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Suan Yee Aung\WA7_RD2_DD_UT\棚卸しファイル\"/>
    </mc:Choice>
  </mc:AlternateContent>
  <xr:revisionPtr revIDLastSave="0" documentId="13_ncr:1_{C0991378-4361-468F-9D27-39C6775FF1B5}" xr6:coauthVersionLast="47" xr6:coauthVersionMax="47" xr10:uidLastSave="{00000000-0000-0000-0000-000000000000}"/>
  <bookViews>
    <workbookView xWindow="-120" yWindow="-120" windowWidth="29040" windowHeight="15720" tabRatio="913" firstSheet="1" activeTab="2" xr2:uid="{00000000-000D-0000-FFFF-FFFF00000000}"/>
  </bookViews>
  <sheets>
    <sheet name="まとめ" sheetId="90" r:id="rId1"/>
    <sheet name="wb4_20250810_pr" sheetId="62" r:id="rId2"/>
    <sheet name="内藤証券" sheetId="77" r:id="rId3"/>
    <sheet name="対面共同" sheetId="78" r:id="rId4"/>
    <sheet name="スマートプラス" sheetId="79" r:id="rId5"/>
    <sheet name="第一生命保険" sheetId="80" r:id="rId6"/>
    <sheet name="大和コネクト証券" sheetId="81" r:id="rId7"/>
    <sheet name="セゾン投信" sheetId="83" r:id="rId8"/>
    <sheet name="マネックス証券" sheetId="84" r:id="rId9"/>
    <sheet name="リテラ・クレア証券対面ネット" sheetId="85" r:id="rId10"/>
    <sheet name="SBIネオトレード証券" sheetId="86" r:id="rId11"/>
    <sheet name="OKB証券" sheetId="88" r:id="rId12"/>
    <sheet name="安藤証券" sheetId="89" r:id="rId13"/>
    <sheet name="フィデリティ証券" sheetId="82" r:id="rId14"/>
    <sheet name="リッチWEB" sheetId="87" r:id="rId15"/>
  </sheets>
  <definedNames>
    <definedName name="_xlnm._FilterDatabase" localSheetId="11" hidden="1">OKB証券!$A$2:$X$123</definedName>
    <definedName name="_xlnm._FilterDatabase" localSheetId="10" hidden="1">SBIネオトレード証券!$A$2:$X$41</definedName>
    <definedName name="_xlnm._FilterDatabase" localSheetId="1" hidden="1">wb4_20250810_pr!$A$3:$Z$2959</definedName>
    <definedName name="_xlnm._FilterDatabase" localSheetId="4" hidden="1">スマートプラス!$A$2:$X$135</definedName>
    <definedName name="_xlnm._FilterDatabase" localSheetId="7" hidden="1">セゾン投信!$A$2:$X$137</definedName>
    <definedName name="_xlnm._FilterDatabase" localSheetId="8" hidden="1">マネックス証券!$A$2:$X$137</definedName>
    <definedName name="_xlnm._FilterDatabase" localSheetId="9" hidden="1">リテラ・クレア証券対面ネット!$A$2:$X$135</definedName>
    <definedName name="_xlnm._FilterDatabase" localSheetId="12" hidden="1">安藤証券!$A$2:$X$128</definedName>
    <definedName name="_xlnm._FilterDatabase" localSheetId="3" hidden="1">対面共同!$A$2:$X$135</definedName>
    <definedName name="_xlnm._FilterDatabase" localSheetId="6" hidden="1">大和コネクト証券!$A$2:$X$106</definedName>
    <definedName name="_xlnm._FilterDatabase" localSheetId="5" hidden="1">第一生命保険!$A$2:$X$135</definedName>
    <definedName name="_xlnm._FilterDatabase" localSheetId="2" hidden="1">内藤証券!$A$2:$X$122</definedName>
    <definedName name="IN_File名">#REF!</definedName>
    <definedName name="IN_コミットリビジョン">#REF!</definedName>
    <definedName name="IN_サーバー">#REF!</definedName>
    <definedName name="IN_同期">#REF!</definedName>
    <definedName name="IN_配信環境">#REF!</definedName>
    <definedName name="UP区分">#REF!</definedName>
    <definedName name="サーバー">#REF!</definedName>
    <definedName name="修正区分">#REF!</definedName>
    <definedName name="同期サーバ">#REF!</definedName>
    <definedName name="配信環境">#REF!</definedName>
  </definedNames>
  <calcPr calcId="191029"/>
  <customWorkbookViews>
    <customWorkbookView name="Fumihiko Sekiya - 個人用ビュー" guid="{BA84E47E-D6FD-49DC-A291-C3ED00CC717D}" mergeInterval="0" personalView="1" maximized="1" xWindow="-8" yWindow="-8" windowWidth="2576" windowHeight="1416" activeSheetId="2"/>
    <customWorkbookView name="清水 政博/DIR金融システム部 - 個人用ビュー" guid="{94098FC3-ED33-4A80-9834-CEC4D1FED9CC}" mergeInterval="0" personalView="1" maximized="1" xWindow="-8" yWindow="-8" windowWidth="1795" windowHeight="1096" activeSheetId="2"/>
    <customWorkbookView name="岡松　洋輔/DIR金融システム部 - 個人用ビュー" guid="{269FE49E-A1CA-4E0C-AEB8-5234A7B018AF}" mergeInterval="0" personalView="1" maximized="1" xWindow="-8" yWindow="-8" windowWidth="1874" windowHeight="1096" activeSheetId="2"/>
    <customWorkbookView name="Daiwa Institute of Research Ltd. - 個人用ビュー" guid="{3733188E-1698-42F2-AC91-DFE6E46509DB}" mergeInterval="0" personalView="1" maximized="1" xWindow="54" yWindow="-8" windowWidth="1874" windowHeight="1096" activeSheetId="2"/>
    <customWorkbookView name="中村 明博/DIR金融システム部 - 個人用ビュー" guid="{EAD224AF-3ED4-476F-BDA5-2067ED91BCBF}" mergeInterval="0" personalView="1" maximized="1" xWindow="-8" yWindow="-8" windowWidth="1936" windowHeight="1035" activeSheetId="2"/>
    <customWorkbookView name="倪 ジャニ/DIR金融システム部 - 個人用ビュー" guid="{BDB62F4F-87DF-451D-B089-5CACBCDD360C}" mergeInterval="0" personalView="1" maximized="1" xWindow="-8" yWindow="-8" windowWidth="1616" windowHeight="876" activeSheetId="2"/>
    <customWorkbookView name="原明沙実-金融システム部(#961-3913) - 個人用ビュー" guid="{7BD8A4B8-2E5C-4818-9AE0-7E32C3FE6BE2}" mergeInterval="0" personalView="1" maximized="1" xWindow="-1928" yWindow="-8" windowWidth="1874" windowHeight="1096" activeSheetId="2"/>
    <customWorkbookView name="DIR金融システム部 飯田雅子 - 個人用ビュー" guid="{3BF1127E-8672-404B-9F4C-D1B1D79B6AA3}" mergeInterval="0" personalView="1" xWindow="114" yWindow="52" windowWidth="1607" windowHeight="987" activeSheetId="2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87" l="1"/>
  <c r="U4" i="87"/>
  <c r="U5" i="87"/>
  <c r="U6" i="87"/>
  <c r="U7" i="87"/>
  <c r="U3" i="81"/>
  <c r="V3" i="81" s="1"/>
  <c r="U4" i="81"/>
  <c r="V4" i="81" s="1"/>
  <c r="U5" i="81"/>
  <c r="V5" i="81" s="1"/>
  <c r="U6" i="81"/>
  <c r="V6" i="81" s="1"/>
  <c r="U7" i="81"/>
  <c r="V7" i="81" s="1"/>
  <c r="V3" i="85"/>
  <c r="V7" i="85"/>
  <c r="U3" i="85"/>
  <c r="U4" i="85"/>
  <c r="V4" i="85" s="1"/>
  <c r="U5" i="85"/>
  <c r="V5" i="85" s="1"/>
  <c r="U6" i="85"/>
  <c r="V6" i="85" s="1"/>
  <c r="U7" i="85"/>
  <c r="V5" i="80"/>
  <c r="U3" i="80"/>
  <c r="V3" i="80" s="1"/>
  <c r="U4" i="80"/>
  <c r="V4" i="80" s="1"/>
  <c r="U5" i="80"/>
  <c r="U6" i="80"/>
  <c r="V6" i="80" s="1"/>
  <c r="U7" i="80"/>
  <c r="V7" i="80" s="1"/>
  <c r="V3" i="88"/>
  <c r="U3" i="88"/>
  <c r="U4" i="88"/>
  <c r="V4" i="88" s="1"/>
  <c r="V3" i="79"/>
  <c r="V7" i="79"/>
  <c r="U3" i="79"/>
  <c r="U4" i="79"/>
  <c r="V4" i="79" s="1"/>
  <c r="U5" i="79"/>
  <c r="V5" i="79" s="1"/>
  <c r="U6" i="79"/>
  <c r="V6" i="79" s="1"/>
  <c r="U7" i="79"/>
  <c r="V5" i="89"/>
  <c r="U3" i="89"/>
  <c r="V3" i="89" s="1"/>
  <c r="U4" i="89"/>
  <c r="V4" i="89" s="1"/>
  <c r="U5" i="89"/>
  <c r="U6" i="89"/>
  <c r="V6" i="89" s="1"/>
  <c r="U7" i="89"/>
  <c r="V7" i="89" s="1"/>
  <c r="V3" i="86"/>
  <c r="U3" i="86"/>
  <c r="U4" i="86"/>
  <c r="V4" i="86" s="1"/>
  <c r="U5" i="86"/>
  <c r="V5" i="86" s="1"/>
  <c r="V5" i="84"/>
  <c r="U3" i="84"/>
  <c r="V3" i="84" s="1"/>
  <c r="U4" i="84"/>
  <c r="V4" i="84" s="1"/>
  <c r="U5" i="84"/>
  <c r="U6" i="84"/>
  <c r="V6" i="84" s="1"/>
  <c r="U7" i="84"/>
  <c r="V7" i="84" s="1"/>
  <c r="V3" i="83"/>
  <c r="V7" i="83"/>
  <c r="U3" i="83"/>
  <c r="U4" i="83"/>
  <c r="V4" i="83" s="1"/>
  <c r="U5" i="83"/>
  <c r="V5" i="83" s="1"/>
  <c r="U6" i="83"/>
  <c r="V6" i="83" s="1"/>
  <c r="U7" i="83"/>
  <c r="U3" i="82"/>
  <c r="U4" i="82"/>
  <c r="U5" i="82"/>
  <c r="U6" i="82"/>
  <c r="U7" i="82"/>
  <c r="V4" i="78"/>
  <c r="U3" i="78"/>
  <c r="V3" i="78" s="1"/>
  <c r="U4" i="78"/>
  <c r="U5" i="78"/>
  <c r="V5" i="78" s="1"/>
  <c r="U6" i="78"/>
  <c r="V6" i="78" s="1"/>
  <c r="U7" i="78"/>
  <c r="V7" i="78" s="1"/>
  <c r="V6" i="77"/>
  <c r="U3" i="77"/>
  <c r="V3" i="77" s="1"/>
  <c r="U4" i="77"/>
  <c r="V4" i="77" s="1"/>
  <c r="U5" i="77"/>
  <c r="V5" i="77" s="1"/>
  <c r="U6" i="77"/>
  <c r="U7" i="77"/>
  <c r="V7" i="77" s="1"/>
  <c r="Z250" i="62" l="1"/>
  <c r="Z2748" i="62"/>
  <c r="Z2747" i="62"/>
  <c r="Z2610" i="62"/>
  <c r="Z2609" i="62"/>
  <c r="Z2608" i="62"/>
  <c r="Z2607" i="62"/>
  <c r="Z2606" i="62"/>
  <c r="Z2469" i="62"/>
  <c r="Z2468" i="62"/>
  <c r="Z2467" i="62"/>
  <c r="Z1676" i="62"/>
  <c r="Z1536" i="62"/>
  <c r="Z1535" i="62"/>
  <c r="Z1395" i="62"/>
  <c r="Z1394" i="62"/>
  <c r="Z1033" i="62"/>
  <c r="Z896" i="62"/>
  <c r="Z757" i="62"/>
  <c r="Z895" i="62"/>
  <c r="W757" i="62"/>
  <c r="W756" i="62"/>
  <c r="W755" i="62"/>
  <c r="W754" i="62"/>
  <c r="W753" i="62"/>
  <c r="W752" i="62"/>
  <c r="W751" i="62"/>
  <c r="W750" i="62"/>
  <c r="W749" i="62"/>
  <c r="W748" i="62"/>
  <c r="W747" i="62"/>
  <c r="W746" i="62"/>
  <c r="W745" i="62"/>
  <c r="W744" i="62"/>
  <c r="W743" i="62"/>
  <c r="W742" i="62"/>
  <c r="W741" i="62"/>
  <c r="W740" i="62"/>
  <c r="W739" i="62"/>
  <c r="W738" i="62"/>
  <c r="W737" i="62"/>
  <c r="W736" i="62"/>
  <c r="W735" i="62"/>
  <c r="W734" i="62"/>
  <c r="W733" i="62"/>
  <c r="W732" i="62"/>
  <c r="W731" i="62"/>
  <c r="W730" i="62"/>
  <c r="W729" i="62"/>
  <c r="W728" i="62"/>
  <c r="W727" i="62"/>
  <c r="W726" i="62"/>
  <c r="W725" i="62"/>
  <c r="W724" i="62"/>
  <c r="W723" i="62"/>
  <c r="W722" i="62"/>
  <c r="W721" i="62"/>
  <c r="W720" i="62"/>
  <c r="W719" i="62"/>
  <c r="W718" i="62"/>
  <c r="W717" i="62"/>
  <c r="W716" i="62"/>
  <c r="W715" i="62"/>
  <c r="W714" i="62"/>
  <c r="W713" i="62"/>
  <c r="W712" i="62"/>
  <c r="W711" i="62"/>
  <c r="W710" i="62"/>
  <c r="W709" i="62"/>
  <c r="W708" i="62"/>
  <c r="W707" i="62"/>
  <c r="W706" i="62"/>
  <c r="W705" i="62"/>
  <c r="W704" i="62"/>
  <c r="W703" i="62"/>
  <c r="W702" i="62"/>
  <c r="W701" i="62"/>
  <c r="W700" i="62"/>
  <c r="W699" i="62"/>
  <c r="W698" i="62"/>
  <c r="W697" i="62"/>
  <c r="W696" i="62"/>
  <c r="W695" i="62"/>
  <c r="W694" i="62"/>
  <c r="W693" i="62"/>
  <c r="W692" i="62"/>
  <c r="W691" i="62"/>
  <c r="W690" i="62"/>
  <c r="W689" i="62"/>
  <c r="W688" i="62"/>
  <c r="W687" i="62"/>
  <c r="W686" i="62"/>
  <c r="W685" i="62"/>
  <c r="W684" i="62"/>
  <c r="W683" i="62"/>
  <c r="W682" i="62"/>
  <c r="W681" i="62"/>
  <c r="W680" i="62"/>
  <c r="W679" i="62"/>
  <c r="W678" i="62"/>
  <c r="W677" i="62"/>
  <c r="W676" i="62"/>
  <c r="W675" i="62"/>
  <c r="W674" i="62"/>
  <c r="W673" i="62"/>
  <c r="W672" i="62"/>
  <c r="W671" i="62"/>
  <c r="W670" i="62"/>
  <c r="W669" i="62"/>
  <c r="W668" i="62"/>
  <c r="W667" i="62"/>
  <c r="W666" i="62"/>
  <c r="W665" i="62"/>
  <c r="W664" i="62"/>
  <c r="W663" i="62"/>
  <c r="W662" i="62"/>
  <c r="W661" i="62"/>
  <c r="W660" i="62"/>
  <c r="W659" i="62"/>
  <c r="W658" i="62"/>
  <c r="W657" i="62"/>
  <c r="W656" i="62"/>
  <c r="W655" i="62"/>
  <c r="W654" i="62"/>
  <c r="W653" i="62"/>
  <c r="W652" i="62"/>
  <c r="W651" i="62"/>
  <c r="W650" i="62"/>
  <c r="W649" i="62"/>
  <c r="W648" i="62"/>
  <c r="W647" i="62"/>
  <c r="W646" i="62"/>
  <c r="W645" i="62"/>
  <c r="W644" i="62"/>
  <c r="W643" i="62"/>
  <c r="W642" i="62"/>
  <c r="W641" i="62"/>
  <c r="W640" i="62"/>
  <c r="W639" i="62"/>
  <c r="W638" i="62"/>
  <c r="W637" i="62"/>
  <c r="W636" i="62"/>
  <c r="W635" i="62"/>
  <c r="W634" i="62"/>
  <c r="W633" i="62"/>
  <c r="W632" i="62"/>
  <c r="W631" i="62"/>
  <c r="W630" i="62"/>
  <c r="W629" i="62"/>
  <c r="W628" i="62"/>
  <c r="W627" i="62"/>
  <c r="W626" i="62"/>
  <c r="W625" i="62"/>
  <c r="W624" i="62"/>
  <c r="W623" i="62"/>
  <c r="W622" i="62"/>
  <c r="W621" i="62"/>
  <c r="W1958" i="62"/>
  <c r="W1957" i="62"/>
  <c r="W1956" i="62"/>
  <c r="W1955" i="62"/>
  <c r="W1954" i="62"/>
  <c r="W1953" i="62"/>
  <c r="W1952" i="62"/>
  <c r="W1951" i="62"/>
  <c r="W1950" i="62"/>
  <c r="W1949" i="62"/>
  <c r="W1948" i="62"/>
  <c r="W1947" i="62"/>
  <c r="W1946" i="62"/>
  <c r="W1945" i="62"/>
  <c r="W1944" i="62"/>
  <c r="W1943" i="62"/>
  <c r="W1942" i="62"/>
  <c r="W1941" i="62"/>
  <c r="W1940" i="62"/>
  <c r="W1939" i="62"/>
  <c r="W1938" i="62"/>
  <c r="W1937" i="62"/>
  <c r="W1936" i="62"/>
  <c r="W1935" i="62"/>
  <c r="W1934" i="62"/>
  <c r="W1933" i="62"/>
  <c r="W1932" i="62"/>
  <c r="W1931" i="62"/>
  <c r="W1930" i="62"/>
  <c r="W1929" i="62"/>
  <c r="W1928" i="62"/>
  <c r="W1927" i="62"/>
  <c r="W1926" i="62"/>
  <c r="W1925" i="62"/>
  <c r="W1924" i="62"/>
  <c r="W1923" i="62"/>
  <c r="W1922" i="62"/>
  <c r="W1921" i="62"/>
  <c r="W1920" i="62"/>
  <c r="W1919" i="62"/>
  <c r="W1918" i="62"/>
  <c r="W1917" i="62"/>
  <c r="W1916" i="62"/>
  <c r="W1915" i="62"/>
  <c r="W1914" i="62"/>
  <c r="W1913" i="62"/>
  <c r="W1912" i="62"/>
  <c r="W1911" i="62"/>
  <c r="W1910" i="62"/>
  <c r="W1909" i="62"/>
  <c r="W1908" i="62"/>
  <c r="W1907" i="62"/>
  <c r="W1906" i="62"/>
  <c r="W1905" i="62"/>
  <c r="W1904" i="62"/>
  <c r="W1903" i="62"/>
  <c r="W1902" i="62"/>
  <c r="W1901" i="62"/>
  <c r="W1900" i="62"/>
  <c r="W1899" i="62"/>
  <c r="W1898" i="62"/>
  <c r="W1897" i="62"/>
  <c r="W1896" i="62"/>
  <c r="W1895" i="62"/>
  <c r="W1894" i="62"/>
  <c r="W1893" i="62"/>
  <c r="W1892" i="62"/>
  <c r="W1891" i="62"/>
  <c r="W1890" i="62"/>
  <c r="W1889" i="62"/>
  <c r="W1888" i="62"/>
  <c r="W1887" i="62"/>
  <c r="W1886" i="62"/>
  <c r="W1885" i="62"/>
  <c r="W1884" i="62"/>
  <c r="W1883" i="62"/>
  <c r="W1882" i="62"/>
  <c r="W1881" i="62"/>
  <c r="W1880" i="62"/>
  <c r="W1879" i="62"/>
  <c r="W1878" i="62"/>
  <c r="W1877" i="62"/>
  <c r="W1876" i="62"/>
  <c r="W1875" i="62"/>
  <c r="W1874" i="62"/>
  <c r="W1873" i="62"/>
  <c r="W1872" i="62"/>
  <c r="W1871" i="62"/>
  <c r="W1870" i="62"/>
  <c r="W1869" i="62"/>
  <c r="W1868" i="62"/>
  <c r="W1867" i="62"/>
  <c r="W1866" i="62"/>
  <c r="W1865" i="62"/>
  <c r="W1864" i="62"/>
  <c r="W1863" i="62"/>
  <c r="W1862" i="62"/>
  <c r="W1861" i="62"/>
  <c r="W1860" i="62"/>
  <c r="W1859" i="62"/>
  <c r="W1858" i="62"/>
  <c r="W1857" i="62"/>
  <c r="W1856" i="62"/>
  <c r="W1855" i="62"/>
  <c r="W1854" i="62"/>
  <c r="W1853" i="62"/>
  <c r="W1852" i="62"/>
  <c r="W1851" i="62"/>
  <c r="W1850" i="62"/>
  <c r="W1849" i="62"/>
  <c r="W1848" i="62"/>
  <c r="W1847" i="62"/>
  <c r="W1846" i="62"/>
  <c r="W1845" i="62"/>
  <c r="W1844" i="62"/>
  <c r="W1843" i="62"/>
  <c r="W1842" i="62"/>
  <c r="W1841" i="62"/>
  <c r="W1840" i="62"/>
  <c r="W1839" i="62"/>
  <c r="W1838" i="62"/>
  <c r="W1837" i="62"/>
  <c r="W1836" i="62"/>
  <c r="W1835" i="62"/>
  <c r="W1834" i="62"/>
  <c r="W1833" i="62"/>
  <c r="W1832" i="62"/>
  <c r="W1831" i="62"/>
  <c r="W1830" i="62"/>
  <c r="W1829" i="62"/>
  <c r="W1828" i="62"/>
  <c r="W1827" i="62"/>
  <c r="W1826" i="62"/>
  <c r="W1825" i="62"/>
  <c r="W1824" i="62"/>
  <c r="W1823" i="62"/>
  <c r="W1822" i="62"/>
  <c r="W1821" i="62"/>
  <c r="W1820" i="62"/>
  <c r="W1819" i="62"/>
  <c r="W1818" i="62"/>
  <c r="W1817" i="62"/>
  <c r="W1816" i="62"/>
  <c r="W1815" i="62"/>
  <c r="W1814" i="62"/>
  <c r="W1813" i="62"/>
  <c r="W1812" i="62"/>
  <c r="W1811" i="62"/>
  <c r="W1810" i="62"/>
  <c r="W1809" i="62"/>
  <c r="W1808" i="62"/>
  <c r="W1807" i="62"/>
  <c r="W1806" i="62"/>
  <c r="W1805" i="62"/>
  <c r="W1804" i="62"/>
  <c r="W1803" i="62"/>
  <c r="W1802" i="62"/>
  <c r="W1801" i="62"/>
  <c r="W1800" i="62"/>
  <c r="W1799" i="62"/>
  <c r="W1798" i="62"/>
  <c r="W1797" i="62"/>
  <c r="W1796" i="62"/>
  <c r="W1795" i="62"/>
  <c r="W1794" i="62"/>
  <c r="W1793" i="62"/>
  <c r="W1792" i="62"/>
  <c r="W1791" i="62"/>
  <c r="W1790" i="62"/>
  <c r="W1789" i="62"/>
  <c r="W1788" i="62"/>
  <c r="W1787" i="62"/>
  <c r="W1786" i="62"/>
  <c r="W1785" i="62"/>
  <c r="W1784" i="62"/>
  <c r="W1783" i="62"/>
  <c r="W1782" i="62"/>
  <c r="W1781" i="62"/>
  <c r="W1780" i="62"/>
  <c r="W1779" i="62"/>
  <c r="W1778" i="62"/>
  <c r="W1777" i="62"/>
  <c r="W1776" i="62"/>
  <c r="W1775" i="62"/>
  <c r="W1774" i="62"/>
  <c r="W1773" i="62"/>
  <c r="W1772" i="62"/>
  <c r="W1771" i="62"/>
  <c r="W1770" i="62"/>
  <c r="W1769" i="62"/>
  <c r="W1768" i="62"/>
  <c r="W1767" i="62"/>
  <c r="W1766" i="62"/>
  <c r="W1765" i="62"/>
  <c r="W1764" i="62"/>
  <c r="W1763" i="62"/>
  <c r="W1762" i="62"/>
  <c r="W1761" i="62"/>
  <c r="W1760" i="62"/>
  <c r="W1759" i="62"/>
  <c r="W1758" i="62"/>
  <c r="W1757" i="62"/>
  <c r="W1756" i="62"/>
  <c r="W1755" i="62"/>
  <c r="W1754" i="62"/>
  <c r="W1753" i="62"/>
  <c r="W1752" i="62"/>
  <c r="W1751" i="62"/>
  <c r="W1750" i="62"/>
  <c r="W1749" i="62"/>
  <c r="W1748" i="62"/>
  <c r="W1747" i="62"/>
  <c r="W1746" i="62"/>
  <c r="W1745" i="62"/>
  <c r="W1744" i="62"/>
  <c r="W1743" i="62"/>
  <c r="W1742" i="62"/>
  <c r="W1741" i="62"/>
  <c r="W1740" i="62"/>
  <c r="W1739" i="62"/>
  <c r="W1738" i="62"/>
  <c r="W1737" i="62"/>
  <c r="W1736" i="62"/>
  <c r="W1735" i="62"/>
  <c r="W1734" i="62"/>
  <c r="W1733" i="62"/>
  <c r="W1732" i="62"/>
  <c r="W1731" i="62"/>
  <c r="W1730" i="62"/>
  <c r="W1729" i="62"/>
  <c r="W1728" i="62"/>
  <c r="W1727" i="62"/>
  <c r="W1726" i="62"/>
  <c r="W1725" i="62"/>
  <c r="W1724" i="62"/>
  <c r="W1723" i="62"/>
  <c r="W1722" i="62"/>
  <c r="W1721" i="62"/>
  <c r="W1720" i="62"/>
  <c r="W1719" i="62"/>
  <c r="W1718" i="62"/>
  <c r="W1717" i="62"/>
  <c r="W1716" i="62"/>
  <c r="W1715" i="62"/>
  <c r="W1714" i="62"/>
  <c r="W1713" i="62"/>
  <c r="W1712" i="62"/>
  <c r="W1711" i="62"/>
  <c r="W1710" i="62"/>
  <c r="W1709" i="62"/>
  <c r="W1708" i="62"/>
  <c r="W1707" i="62"/>
  <c r="W1706" i="62"/>
  <c r="W1705" i="62"/>
  <c r="W1704" i="62"/>
  <c r="W1703" i="62"/>
  <c r="W1702" i="62"/>
  <c r="W1701" i="62"/>
  <c r="W1700" i="62"/>
  <c r="W1699" i="62"/>
  <c r="W1698" i="62"/>
  <c r="W1697" i="62"/>
  <c r="W1696" i="62"/>
  <c r="W1695" i="62"/>
  <c r="W1694" i="62"/>
  <c r="W1693" i="62"/>
  <c r="W1692" i="62"/>
  <c r="W1691" i="62"/>
  <c r="W1690" i="62"/>
  <c r="W1689" i="62"/>
  <c r="W1688" i="62"/>
  <c r="W1687" i="62"/>
  <c r="W1686" i="62"/>
  <c r="W1685" i="62"/>
  <c r="W1684" i="62"/>
  <c r="W1683" i="62"/>
  <c r="W1682" i="62"/>
  <c r="W1681" i="62"/>
  <c r="W1680" i="62"/>
  <c r="W1679" i="62"/>
  <c r="W1678" i="62"/>
  <c r="W1677" i="62"/>
  <c r="W2959" i="62"/>
  <c r="W2958" i="62"/>
  <c r="W2957" i="62"/>
  <c r="W2956" i="62"/>
  <c r="W2955" i="62"/>
  <c r="W2954" i="62"/>
  <c r="W2953" i="62"/>
  <c r="W2952" i="62"/>
  <c r="W2951" i="62"/>
  <c r="W2950" i="62"/>
  <c r="W2949" i="62"/>
  <c r="W2948" i="62"/>
  <c r="W2947" i="62"/>
  <c r="W2946" i="62"/>
  <c r="W2945" i="62"/>
  <c r="W2944" i="62"/>
  <c r="W2943" i="62"/>
  <c r="W2942" i="62"/>
  <c r="W2941" i="62"/>
  <c r="W2940" i="62"/>
  <c r="W2939" i="62"/>
  <c r="W2938" i="62"/>
  <c r="W2937" i="62"/>
  <c r="W2936" i="62"/>
  <c r="W2935" i="62"/>
  <c r="W2934" i="62"/>
  <c r="W2933" i="62"/>
  <c r="W2932" i="62"/>
  <c r="W2931" i="62"/>
  <c r="W2930" i="62"/>
  <c r="W2929" i="62"/>
  <c r="W2928" i="62"/>
  <c r="W2927" i="62"/>
  <c r="W2926" i="62"/>
  <c r="W2925" i="62"/>
  <c r="W2924" i="62"/>
  <c r="W2923" i="62"/>
  <c r="W2922" i="62"/>
  <c r="W2921" i="62"/>
  <c r="W2920" i="62"/>
  <c r="W2919" i="62"/>
  <c r="W2918" i="62"/>
  <c r="W2917" i="62"/>
  <c r="W2916" i="62"/>
  <c r="W2915" i="62"/>
  <c r="W2914" i="62"/>
  <c r="W2913" i="62"/>
  <c r="W2912" i="62"/>
  <c r="W2911" i="62"/>
  <c r="W2910" i="62"/>
  <c r="W2909" i="62"/>
  <c r="W2908" i="62"/>
  <c r="W2907" i="62"/>
  <c r="W2906" i="62"/>
  <c r="W2905" i="62"/>
  <c r="W2904" i="62"/>
  <c r="W2903" i="62"/>
  <c r="W2902" i="62"/>
  <c r="W2901" i="62"/>
  <c r="W2900" i="62"/>
  <c r="W2899" i="62"/>
  <c r="W2898" i="62"/>
  <c r="W2897" i="62"/>
  <c r="W2896" i="62"/>
  <c r="W2895" i="62"/>
  <c r="W2894" i="62"/>
  <c r="W2893" i="62"/>
  <c r="W2892" i="62"/>
  <c r="W2891" i="62"/>
  <c r="W2890" i="62"/>
  <c r="W2889" i="62"/>
  <c r="W2888" i="62"/>
  <c r="W2887" i="62"/>
  <c r="W2886" i="62"/>
  <c r="W2885" i="62"/>
  <c r="W2884" i="62"/>
  <c r="W2883" i="62"/>
  <c r="W2882" i="62"/>
  <c r="W2881" i="62"/>
  <c r="W2880" i="62"/>
  <c r="W2879" i="62"/>
  <c r="W2878" i="62"/>
  <c r="W2877" i="62"/>
  <c r="W2876" i="62"/>
  <c r="W2875" i="62"/>
  <c r="W2874" i="62"/>
  <c r="W2873" i="62"/>
  <c r="W2872" i="62"/>
  <c r="W2871" i="62"/>
  <c r="W2870" i="62"/>
  <c r="W2869" i="62"/>
  <c r="W2868" i="62"/>
  <c r="W2867" i="62"/>
  <c r="W2866" i="62"/>
  <c r="W2865" i="62"/>
  <c r="W2864" i="62"/>
  <c r="W2863" i="62"/>
  <c r="W2862" i="62"/>
  <c r="W2861" i="62"/>
  <c r="W2860" i="62"/>
  <c r="W2859" i="62"/>
  <c r="W2858" i="62"/>
  <c r="W2857" i="62"/>
  <c r="W2856" i="62"/>
  <c r="W2855" i="62"/>
  <c r="W2854" i="62"/>
  <c r="W2853" i="62"/>
  <c r="W2852" i="62"/>
  <c r="W2851" i="62"/>
  <c r="W2850" i="62"/>
  <c r="W2849" i="62"/>
  <c r="W2848" i="62"/>
  <c r="W2847" i="62"/>
  <c r="W2846" i="62"/>
  <c r="W2845" i="62"/>
  <c r="W2844" i="62"/>
  <c r="W2843" i="62"/>
  <c r="W2842" i="62"/>
  <c r="W2841" i="62"/>
  <c r="W2840" i="62"/>
  <c r="W2839" i="62"/>
  <c r="W2838" i="62"/>
  <c r="W2837" i="62"/>
  <c r="W2836" i="62"/>
  <c r="W2835" i="62"/>
  <c r="W2834" i="62"/>
  <c r="W2833" i="62"/>
  <c r="W2832" i="62"/>
  <c r="W2831" i="62"/>
  <c r="W2830" i="62"/>
  <c r="W2829" i="62"/>
  <c r="W2828" i="62"/>
  <c r="W2827" i="62"/>
  <c r="W2826" i="62"/>
  <c r="W2825" i="62"/>
  <c r="W2824" i="62"/>
  <c r="W2823" i="62"/>
  <c r="W2822" i="62"/>
  <c r="W2821" i="62"/>
  <c r="W2820" i="62"/>
  <c r="W2819" i="62"/>
  <c r="W2818" i="62"/>
  <c r="W2817" i="62"/>
  <c r="W2816" i="62"/>
  <c r="W2815" i="62"/>
  <c r="W2814" i="62"/>
  <c r="W2813" i="62"/>
  <c r="W2812" i="62"/>
  <c r="W2811" i="62"/>
  <c r="W2810" i="62"/>
  <c r="W2809" i="62"/>
  <c r="W2808" i="62"/>
  <c r="W2807" i="62"/>
  <c r="W2806" i="62"/>
  <c r="W2805" i="62"/>
  <c r="W2804" i="62"/>
  <c r="W2803" i="62"/>
  <c r="W2802" i="62"/>
  <c r="W2801" i="62"/>
  <c r="W2800" i="62"/>
  <c r="W2799" i="62"/>
  <c r="W2798" i="62"/>
  <c r="W2797" i="62"/>
  <c r="W2796" i="62"/>
  <c r="W2795" i="62"/>
  <c r="W2794" i="62"/>
  <c r="W2793" i="62"/>
  <c r="W2792" i="62"/>
  <c r="W2791" i="62"/>
  <c r="W2790" i="62"/>
  <c r="W2789" i="62"/>
  <c r="W2788" i="62"/>
  <c r="W2787" i="62"/>
  <c r="W2786" i="62"/>
  <c r="W2785" i="62"/>
  <c r="W2784" i="62"/>
  <c r="W2783" i="62"/>
  <c r="W2782" i="62"/>
  <c r="W2781" i="62"/>
  <c r="W2780" i="62"/>
  <c r="W2779" i="62"/>
  <c r="W2778" i="62"/>
  <c r="W2777" i="62"/>
  <c r="W2776" i="62"/>
  <c r="W2775" i="62"/>
  <c r="W2774" i="62"/>
  <c r="W2773" i="62"/>
  <c r="W2772" i="62"/>
  <c r="W2771" i="62"/>
  <c r="W2770" i="62"/>
  <c r="W2769" i="62"/>
  <c r="W2768" i="62"/>
  <c r="W2767" i="62"/>
  <c r="W2766" i="62"/>
  <c r="W2765" i="62"/>
  <c r="W2764" i="62"/>
  <c r="W2763" i="62"/>
  <c r="W2762" i="62"/>
  <c r="W2761" i="62"/>
  <c r="W2760" i="62"/>
  <c r="W2759" i="62"/>
  <c r="W2758" i="62"/>
  <c r="W2757" i="62"/>
  <c r="W2756" i="62"/>
  <c r="W2755" i="62"/>
  <c r="W2754" i="62"/>
  <c r="W2753" i="62"/>
  <c r="W2752" i="62"/>
  <c r="W2751" i="62"/>
  <c r="W2750" i="62"/>
  <c r="W1121" i="62"/>
  <c r="W1120" i="62"/>
  <c r="W1119" i="62"/>
  <c r="W1118" i="62"/>
  <c r="W1117" i="62"/>
  <c r="W1116" i="62"/>
  <c r="W1115" i="62"/>
  <c r="W1114" i="62"/>
  <c r="W1113" i="62"/>
  <c r="W1112" i="62"/>
  <c r="W1111" i="62"/>
  <c r="W1110" i="62"/>
  <c r="W1109" i="62"/>
  <c r="W1108" i="62"/>
  <c r="W1107" i="62"/>
  <c r="W1106" i="62"/>
  <c r="W1105" i="62"/>
  <c r="W1104" i="62"/>
  <c r="W1103" i="62"/>
  <c r="W1102" i="62"/>
  <c r="W1101" i="62"/>
  <c r="W1100" i="62"/>
  <c r="W1099" i="62"/>
  <c r="W1098" i="62"/>
  <c r="W1097" i="62"/>
  <c r="W1096" i="62"/>
  <c r="W1095" i="62"/>
  <c r="W1094" i="62"/>
  <c r="W1093" i="62"/>
  <c r="W1092" i="62"/>
  <c r="W1091" i="62"/>
  <c r="W1090" i="62"/>
  <c r="W1089" i="62"/>
  <c r="W1088" i="62"/>
  <c r="W1087" i="62"/>
  <c r="W1086" i="62"/>
  <c r="W1085" i="62"/>
  <c r="W1084" i="62"/>
  <c r="W1083" i="62"/>
  <c r="W1082" i="62"/>
  <c r="W1081" i="62"/>
  <c r="W1080" i="62"/>
  <c r="W1079" i="62"/>
  <c r="W1078" i="62"/>
  <c r="W1077" i="62"/>
  <c r="W1076" i="62"/>
  <c r="W1075" i="62"/>
  <c r="W1074" i="62"/>
  <c r="W1073" i="62"/>
  <c r="W1072" i="62"/>
  <c r="W1071" i="62"/>
  <c r="W1070" i="62"/>
  <c r="W1069" i="62"/>
  <c r="W1068" i="62"/>
  <c r="W1067" i="62"/>
  <c r="W1066" i="62"/>
  <c r="W1065" i="62"/>
  <c r="W1064" i="62"/>
  <c r="W1063" i="62"/>
  <c r="W1062" i="62"/>
  <c r="W1061" i="62"/>
  <c r="W1060" i="62"/>
  <c r="W1059" i="62"/>
  <c r="W1058" i="62"/>
  <c r="W1057" i="62"/>
  <c r="W1056" i="62"/>
  <c r="W1055" i="62"/>
  <c r="W1054" i="62"/>
  <c r="W1053" i="62"/>
  <c r="W1052" i="62"/>
  <c r="W1051" i="62"/>
  <c r="W1050" i="62"/>
  <c r="W1049" i="62"/>
  <c r="W1048" i="62"/>
  <c r="W1047" i="62"/>
  <c r="W1046" i="62"/>
  <c r="W1045" i="62"/>
  <c r="W1044" i="62"/>
  <c r="W1043" i="62"/>
  <c r="W1042" i="62"/>
  <c r="W1041" i="62"/>
  <c r="W1040" i="62"/>
  <c r="W1039" i="62"/>
  <c r="W1038" i="62"/>
  <c r="W1037" i="62"/>
  <c r="W1036" i="62"/>
  <c r="W1035" i="62"/>
  <c r="W1034" i="62"/>
  <c r="W2464" i="62"/>
  <c r="W2463" i="62"/>
  <c r="W2462" i="62"/>
  <c r="W2461" i="62"/>
  <c r="W2460" i="62"/>
  <c r="W2459" i="62"/>
  <c r="W2458" i="62"/>
  <c r="W2457" i="62"/>
  <c r="W2456" i="62"/>
  <c r="W2455" i="62"/>
  <c r="W2454" i="62"/>
  <c r="W2453" i="62"/>
  <c r="W2452" i="62"/>
  <c r="W2451" i="62"/>
  <c r="W2450" i="62"/>
  <c r="W2449" i="62"/>
  <c r="W2448" i="62"/>
  <c r="W2447" i="62"/>
  <c r="W2446" i="62"/>
  <c r="W2445" i="62"/>
  <c r="W2444" i="62"/>
  <c r="W2443" i="62"/>
  <c r="W2442" i="62"/>
  <c r="W2441" i="62"/>
  <c r="W2440" i="62"/>
  <c r="W2439" i="62"/>
  <c r="W2438" i="62"/>
  <c r="W2437" i="62"/>
  <c r="W2436" i="62"/>
  <c r="W2435" i="62"/>
  <c r="W2434" i="62"/>
  <c r="W2433" i="62"/>
  <c r="W2432" i="62"/>
  <c r="W2431" i="62"/>
  <c r="W2430" i="62"/>
  <c r="W2429" i="62"/>
  <c r="W2428" i="62"/>
  <c r="W2427" i="62"/>
  <c r="W2426" i="62"/>
  <c r="W2425" i="62"/>
  <c r="W2424" i="62"/>
  <c r="W2423" i="62"/>
  <c r="W2422" i="62"/>
  <c r="W2421" i="62"/>
  <c r="W2420" i="62"/>
  <c r="W2419" i="62"/>
  <c r="W2418" i="62"/>
  <c r="W2417" i="62"/>
  <c r="W2416" i="62"/>
  <c r="W2415" i="62"/>
  <c r="W2414" i="62"/>
  <c r="W2413" i="62"/>
  <c r="W2412" i="62"/>
  <c r="W2411" i="62"/>
  <c r="W2410" i="62"/>
  <c r="W2409" i="62"/>
  <c r="W2408" i="62"/>
  <c r="W2407" i="62"/>
  <c r="W2406" i="62"/>
  <c r="W2405" i="62"/>
  <c r="W2404" i="62"/>
  <c r="W2403" i="62"/>
  <c r="W2402" i="62"/>
  <c r="W2401" i="62"/>
  <c r="W2400" i="62"/>
  <c r="W2399" i="62"/>
  <c r="W2398" i="62"/>
  <c r="W2397" i="62"/>
  <c r="W2396" i="62"/>
  <c r="W2395" i="62"/>
  <c r="W2394" i="62"/>
  <c r="W2393" i="62"/>
  <c r="W2392" i="62"/>
  <c r="W2391" i="62"/>
  <c r="W2390" i="62"/>
  <c r="W2389" i="62"/>
  <c r="W2388" i="62"/>
  <c r="W2387" i="62"/>
  <c r="W2386" i="62"/>
  <c r="W2385" i="62"/>
  <c r="W2384" i="62"/>
  <c r="W2383" i="62"/>
  <c r="W2382" i="62"/>
  <c r="W2381" i="62"/>
  <c r="W2380" i="62"/>
  <c r="W2379" i="62"/>
  <c r="W2378" i="62"/>
  <c r="W2377" i="62"/>
  <c r="W2376" i="62"/>
  <c r="W2375" i="62"/>
  <c r="W2374" i="62"/>
  <c r="W2373" i="62"/>
  <c r="W2372" i="62"/>
  <c r="W2371" i="62"/>
  <c r="W2370" i="62"/>
  <c r="W2369" i="62"/>
  <c r="W2368" i="62"/>
  <c r="W2367" i="62"/>
  <c r="W2366" i="62"/>
  <c r="W2365" i="62"/>
  <c r="W2364" i="62"/>
  <c r="W2363" i="62"/>
  <c r="W2362" i="62"/>
  <c r="W2361" i="62"/>
  <c r="W2360" i="62"/>
  <c r="W2359" i="62"/>
  <c r="W2358" i="62"/>
  <c r="W2357" i="62"/>
  <c r="W2356" i="62"/>
  <c r="W2355" i="62"/>
  <c r="W2354" i="62"/>
  <c r="W2353" i="62"/>
  <c r="W2352" i="62"/>
  <c r="W2351" i="62"/>
  <c r="W2350" i="62"/>
  <c r="W2349" i="62"/>
  <c r="W2348" i="62"/>
  <c r="W2347" i="62"/>
  <c r="W2346" i="62"/>
  <c r="W2345" i="62"/>
  <c r="W2344" i="62"/>
  <c r="W2343" i="62"/>
  <c r="W2342" i="62"/>
  <c r="W2341" i="62"/>
  <c r="W2340" i="62"/>
  <c r="W2339" i="62"/>
  <c r="W2338" i="62"/>
  <c r="W2337" i="62"/>
  <c r="W2336" i="62"/>
  <c r="W2335" i="62"/>
  <c r="W2334" i="62"/>
  <c r="W2333" i="62"/>
  <c r="W2332" i="62"/>
  <c r="W2331" i="62"/>
  <c r="W2330" i="62"/>
  <c r="W2329" i="62"/>
  <c r="W2328" i="62"/>
  <c r="W2327" i="62"/>
  <c r="W2326" i="62"/>
  <c r="W2325" i="62"/>
  <c r="W2324" i="62"/>
  <c r="W2323" i="62"/>
  <c r="W2322" i="62"/>
  <c r="W2321" i="62"/>
  <c r="W2320" i="62"/>
  <c r="W2319" i="62"/>
  <c r="W2318" i="62"/>
  <c r="W2317" i="62"/>
  <c r="W2316" i="62"/>
  <c r="W2315" i="62"/>
  <c r="W2314" i="62"/>
  <c r="W2313" i="62"/>
  <c r="W2312" i="62"/>
  <c r="W2311" i="62"/>
  <c r="W2310" i="62"/>
  <c r="W2309" i="62"/>
  <c r="W2308" i="62"/>
  <c r="W2307" i="62"/>
  <c r="W2306" i="62"/>
  <c r="W2305" i="62"/>
  <c r="W2304" i="62"/>
  <c r="W2303" i="62"/>
  <c r="W2302" i="62"/>
  <c r="W2301" i="62"/>
  <c r="W2300" i="62"/>
  <c r="W2299" i="62"/>
  <c r="W2298" i="62"/>
  <c r="W2297" i="62"/>
  <c r="W2296" i="62"/>
  <c r="W2295" i="62"/>
  <c r="W2294" i="62"/>
  <c r="W2293" i="62"/>
  <c r="W2292" i="62"/>
  <c r="W2291" i="62"/>
  <c r="W2290" i="62"/>
  <c r="W2289" i="62"/>
  <c r="W2288" i="62"/>
  <c r="W2287" i="62"/>
  <c r="W2286" i="62"/>
  <c r="W2285" i="62"/>
  <c r="W2284" i="62"/>
  <c r="W2283" i="62"/>
  <c r="W2282" i="62"/>
  <c r="W2281" i="62"/>
  <c r="W2280" i="62"/>
  <c r="W2279" i="62"/>
  <c r="W2278" i="62"/>
  <c r="W2277" i="62"/>
  <c r="W2276" i="62"/>
  <c r="W2275" i="62"/>
  <c r="W2274" i="62"/>
  <c r="W2273" i="62"/>
  <c r="W2272" i="62"/>
  <c r="W2271" i="62"/>
  <c r="W2270" i="62"/>
  <c r="W2269" i="62"/>
  <c r="W2268" i="62"/>
  <c r="W2267" i="62"/>
  <c r="W2266" i="62"/>
  <c r="W2265" i="62"/>
  <c r="W2264" i="62"/>
  <c r="W2263" i="62"/>
  <c r="W2262" i="62"/>
  <c r="W2261" i="62"/>
  <c r="W2260" i="62"/>
  <c r="W2259" i="62"/>
  <c r="W2258" i="62"/>
  <c r="W2257" i="62"/>
  <c r="W2256" i="62"/>
  <c r="W2255" i="62"/>
  <c r="W2254" i="62"/>
  <c r="W2253" i="62"/>
  <c r="W2252" i="62"/>
  <c r="W2251" i="62"/>
  <c r="W2250" i="62"/>
  <c r="W2249" i="62"/>
  <c r="W2248" i="62"/>
  <c r="W2247" i="62"/>
  <c r="W2246" i="62"/>
  <c r="W2245" i="62"/>
  <c r="W2244" i="62"/>
  <c r="W2243" i="62"/>
  <c r="W2242" i="62"/>
  <c r="W2241" i="62"/>
  <c r="W2240" i="62"/>
  <c r="W2239" i="62"/>
  <c r="W2238" i="62"/>
  <c r="W2237" i="62"/>
  <c r="W2236" i="62"/>
  <c r="W2235" i="62"/>
  <c r="W2234" i="62"/>
  <c r="W2233" i="62"/>
  <c r="W2232" i="62"/>
  <c r="W2231" i="62"/>
  <c r="W2230" i="62"/>
  <c r="W2229" i="62"/>
  <c r="W2228" i="62"/>
  <c r="W2227" i="62"/>
  <c r="W2226" i="62"/>
  <c r="W2225" i="62"/>
  <c r="W2224" i="62"/>
  <c r="W2223" i="62"/>
  <c r="W2222" i="62"/>
  <c r="W2221" i="62"/>
  <c r="W2220" i="62"/>
  <c r="W2219" i="62"/>
  <c r="W2218" i="62"/>
  <c r="W2217" i="62"/>
  <c r="W2216" i="62"/>
  <c r="W2215" i="62"/>
  <c r="W2214" i="62"/>
  <c r="W2213" i="62"/>
  <c r="W2212" i="62"/>
  <c r="W2211" i="62"/>
  <c r="W2210" i="62"/>
  <c r="W2209" i="62"/>
  <c r="W2208" i="62"/>
  <c r="W2207" i="62"/>
  <c r="W2206" i="62"/>
  <c r="W2205" i="62"/>
  <c r="W1676" i="62"/>
  <c r="W1675" i="62"/>
  <c r="W1674" i="62"/>
  <c r="W1673" i="62"/>
  <c r="W1672" i="62"/>
  <c r="W1671" i="62"/>
  <c r="W1670" i="62"/>
  <c r="W1669" i="62"/>
  <c r="W1668" i="62"/>
  <c r="W1667" i="62"/>
  <c r="W1666" i="62"/>
  <c r="W1665" i="62"/>
  <c r="W1664" i="62"/>
  <c r="W1663" i="62"/>
  <c r="W1662" i="62"/>
  <c r="W1661" i="62"/>
  <c r="W1660" i="62"/>
  <c r="W1659" i="62"/>
  <c r="W1658" i="62"/>
  <c r="W1657" i="62"/>
  <c r="W1656" i="62"/>
  <c r="W1655" i="62"/>
  <c r="W1654" i="62"/>
  <c r="W1653" i="62"/>
  <c r="W1652" i="62"/>
  <c r="W1651" i="62"/>
  <c r="W1650" i="62"/>
  <c r="W1649" i="62"/>
  <c r="W1648" i="62"/>
  <c r="W1647" i="62"/>
  <c r="W1646" i="62"/>
  <c r="W1645" i="62"/>
  <c r="W1644" i="62"/>
  <c r="W1643" i="62"/>
  <c r="W1642" i="62"/>
  <c r="W1641" i="62"/>
  <c r="W1640" i="62"/>
  <c r="W1639" i="62"/>
  <c r="W1638" i="62"/>
  <c r="W1637" i="62"/>
  <c r="W1636" i="62"/>
  <c r="W1635" i="62"/>
  <c r="W1634" i="62"/>
  <c r="W1633" i="62"/>
  <c r="W1632" i="62"/>
  <c r="W1631" i="62"/>
  <c r="W1630" i="62"/>
  <c r="W1629" i="62"/>
  <c r="W1628" i="62"/>
  <c r="W1627" i="62"/>
  <c r="W1626" i="62"/>
  <c r="W1625" i="62"/>
  <c r="W1624" i="62"/>
  <c r="W1623" i="62"/>
  <c r="W1622" i="62"/>
  <c r="W1621" i="62"/>
  <c r="W1620" i="62"/>
  <c r="W1619" i="62"/>
  <c r="W1618" i="62"/>
  <c r="W1617" i="62"/>
  <c r="W1616" i="62"/>
  <c r="W1615" i="62"/>
  <c r="W1614" i="62"/>
  <c r="W1613" i="62"/>
  <c r="W1612" i="62"/>
  <c r="W1611" i="62"/>
  <c r="W1610" i="62"/>
  <c r="W1609" i="62"/>
  <c r="W1608" i="62"/>
  <c r="W1607" i="62"/>
  <c r="W1606" i="62"/>
  <c r="W1605" i="62"/>
  <c r="W1604" i="62"/>
  <c r="W1603" i="62"/>
  <c r="W1602" i="62"/>
  <c r="W1601" i="62"/>
  <c r="W1600" i="62"/>
  <c r="W1599" i="62"/>
  <c r="W1598" i="62"/>
  <c r="W1597" i="62"/>
  <c r="W1596" i="62"/>
  <c r="W1595" i="62"/>
  <c r="W1594" i="62"/>
  <c r="W1593" i="62"/>
  <c r="W1592" i="62"/>
  <c r="W1591" i="62"/>
  <c r="W1590" i="62"/>
  <c r="W1589" i="62"/>
  <c r="W1588" i="62"/>
  <c r="W1587" i="62"/>
  <c r="W1586" i="62"/>
  <c r="W1585" i="62"/>
  <c r="W1584" i="62"/>
  <c r="W1583" i="62"/>
  <c r="W1582" i="62"/>
  <c r="W1581" i="62"/>
  <c r="W1580" i="62"/>
  <c r="W1579" i="62"/>
  <c r="W1578" i="62"/>
  <c r="W1577" i="62"/>
  <c r="W1576" i="62"/>
  <c r="W1575" i="62"/>
  <c r="W1574" i="62"/>
  <c r="W1573" i="62"/>
  <c r="W1572" i="62"/>
  <c r="W1571" i="62"/>
  <c r="W1570" i="62"/>
  <c r="W1569" i="62"/>
  <c r="W1568" i="62"/>
  <c r="W1567" i="62"/>
  <c r="W1566" i="62"/>
  <c r="W1565" i="62"/>
  <c r="W1564" i="62"/>
  <c r="W1563" i="62"/>
  <c r="W1562" i="62"/>
  <c r="W1561" i="62"/>
  <c r="W1560" i="62"/>
  <c r="W1559" i="62"/>
  <c r="W1558" i="62"/>
  <c r="W1557" i="62"/>
  <c r="W1556" i="62"/>
  <c r="W1555" i="62"/>
  <c r="W1554" i="62"/>
  <c r="W1553" i="62"/>
  <c r="W1552" i="62"/>
  <c r="W1551" i="62"/>
  <c r="W1550" i="62"/>
  <c r="W1549" i="62"/>
  <c r="W1548" i="62"/>
  <c r="W1547" i="62"/>
  <c r="W1546" i="62"/>
  <c r="W1545" i="62"/>
  <c r="W1544" i="62"/>
  <c r="W1543" i="62"/>
  <c r="W1542" i="62"/>
  <c r="W1541" i="62"/>
  <c r="W1540" i="62"/>
  <c r="W1539" i="62"/>
  <c r="W1538" i="62"/>
  <c r="W1537" i="62"/>
  <c r="W1536" i="62"/>
  <c r="W1535" i="62"/>
  <c r="W1534" i="62"/>
  <c r="W1533" i="62"/>
  <c r="W1532" i="62"/>
  <c r="W1531" i="62"/>
  <c r="W1530" i="62"/>
  <c r="W1529" i="62"/>
  <c r="W1528" i="62"/>
  <c r="W1527" i="62"/>
  <c r="W1526" i="62"/>
  <c r="W1525" i="62"/>
  <c r="W1524" i="62"/>
  <c r="W1523" i="62"/>
  <c r="W1522" i="62"/>
  <c r="W1521" i="62"/>
  <c r="W1520" i="62"/>
  <c r="W1519" i="62"/>
  <c r="W1518" i="62"/>
  <c r="W1517" i="62"/>
  <c r="W1516" i="62"/>
  <c r="W1515" i="62"/>
  <c r="W1514" i="62"/>
  <c r="W1513" i="62"/>
  <c r="W1512" i="62"/>
  <c r="W1511" i="62"/>
  <c r="W1510" i="62"/>
  <c r="W1509" i="62"/>
  <c r="W1508" i="62"/>
  <c r="W1507" i="62"/>
  <c r="W1506" i="62"/>
  <c r="W1505" i="62"/>
  <c r="W1504" i="62"/>
  <c r="W1503" i="62"/>
  <c r="W1502" i="62"/>
  <c r="W1501" i="62"/>
  <c r="W1500" i="62"/>
  <c r="W1499" i="62"/>
  <c r="W1498" i="62"/>
  <c r="W1497" i="62"/>
  <c r="W1496" i="62"/>
  <c r="W1495" i="62"/>
  <c r="W1494" i="62"/>
  <c r="W1493" i="62"/>
  <c r="W1492" i="62"/>
  <c r="W1491" i="62"/>
  <c r="W1490" i="62"/>
  <c r="W1489" i="62"/>
  <c r="W1488" i="62"/>
  <c r="W1487" i="62"/>
  <c r="W1486" i="62"/>
  <c r="W1485" i="62"/>
  <c r="W1484" i="62"/>
  <c r="W1483" i="62"/>
  <c r="W1482" i="62"/>
  <c r="W1481" i="62"/>
  <c r="W1480" i="62"/>
  <c r="W1479" i="62"/>
  <c r="W1478" i="62"/>
  <c r="W1477" i="62"/>
  <c r="W1476" i="62"/>
  <c r="W1475" i="62"/>
  <c r="W1474" i="62"/>
  <c r="W1473" i="62"/>
  <c r="W1472" i="62"/>
  <c r="W1471" i="62"/>
  <c r="W1470" i="62"/>
  <c r="W1469" i="62"/>
  <c r="W1468" i="62"/>
  <c r="W1467" i="62"/>
  <c r="W1466" i="62"/>
  <c r="W1465" i="62"/>
  <c r="W1464" i="62"/>
  <c r="W1463" i="62"/>
  <c r="W1462" i="62"/>
  <c r="W1461" i="62"/>
  <c r="W1460" i="62"/>
  <c r="W1459" i="62"/>
  <c r="W1458" i="62"/>
  <c r="W1457" i="62"/>
  <c r="W1456" i="62"/>
  <c r="W1455" i="62"/>
  <c r="W1454" i="62"/>
  <c r="W1453" i="62"/>
  <c r="W1452" i="62"/>
  <c r="W1451" i="62"/>
  <c r="W1450" i="62"/>
  <c r="W1449" i="62"/>
  <c r="W1448" i="62"/>
  <c r="W1447" i="62"/>
  <c r="W1446" i="62"/>
  <c r="W1445" i="62"/>
  <c r="W1444" i="62"/>
  <c r="W1443" i="62"/>
  <c r="W1442" i="62"/>
  <c r="W1441" i="62"/>
  <c r="W1440" i="62"/>
  <c r="W1439" i="62"/>
  <c r="W1438" i="62"/>
  <c r="W1437" i="62"/>
  <c r="W1436" i="62"/>
  <c r="W1435" i="62"/>
  <c r="W1434" i="62"/>
  <c r="W1433" i="62"/>
  <c r="W1432" i="62"/>
  <c r="W1431" i="62"/>
  <c r="W1430" i="62"/>
  <c r="W1429" i="62"/>
  <c r="W1428" i="62"/>
  <c r="W1427" i="62"/>
  <c r="W1426" i="62"/>
  <c r="W1425" i="62"/>
  <c r="W1424" i="62"/>
  <c r="W1423" i="62"/>
  <c r="W1422" i="62"/>
  <c r="W1421" i="62"/>
  <c r="W1420" i="62"/>
  <c r="W1419" i="62"/>
  <c r="W1418" i="62"/>
  <c r="W1417" i="62"/>
  <c r="W1416" i="62"/>
  <c r="W1415" i="62"/>
  <c r="W1414" i="62"/>
  <c r="W1413" i="62"/>
  <c r="W1412" i="62"/>
  <c r="W1411" i="62"/>
  <c r="W1410" i="62"/>
  <c r="W1409" i="62"/>
  <c r="W1408" i="62"/>
  <c r="W1407" i="62"/>
  <c r="W1406" i="62"/>
  <c r="W1405" i="62"/>
  <c r="W1404" i="62"/>
  <c r="W1403" i="62"/>
  <c r="W1402" i="62"/>
  <c r="W1401" i="62"/>
  <c r="W1400" i="62"/>
  <c r="W1399" i="62"/>
  <c r="W1398" i="62"/>
  <c r="W1397" i="62"/>
  <c r="W1396" i="62"/>
  <c r="W2749" i="62"/>
  <c r="W2748" i="62"/>
  <c r="W2747" i="62"/>
  <c r="W2746" i="62"/>
  <c r="W2745" i="62"/>
  <c r="W2744" i="62"/>
  <c r="W2743" i="62"/>
  <c r="W2742" i="62"/>
  <c r="W2741" i="62"/>
  <c r="W2740" i="62"/>
  <c r="W2739" i="62"/>
  <c r="W2738" i="62"/>
  <c r="W2737" i="62"/>
  <c r="W2736" i="62"/>
  <c r="W2735" i="62"/>
  <c r="W2734" i="62"/>
  <c r="W2733" i="62"/>
  <c r="W2732" i="62"/>
  <c r="W2731" i="62"/>
  <c r="W2730" i="62"/>
  <c r="W2729" i="62"/>
  <c r="W2728" i="62"/>
  <c r="W2727" i="62"/>
  <c r="W2726" i="62"/>
  <c r="W2725" i="62"/>
  <c r="W2724" i="62"/>
  <c r="W2723" i="62"/>
  <c r="W2722" i="62"/>
  <c r="W2721" i="62"/>
  <c r="W2720" i="62"/>
  <c r="W2719" i="62"/>
  <c r="W2718" i="62"/>
  <c r="W2717" i="62"/>
  <c r="W2716" i="62"/>
  <c r="W2715" i="62"/>
  <c r="W2714" i="62"/>
  <c r="W2713" i="62"/>
  <c r="W2712" i="62"/>
  <c r="W2711" i="62"/>
  <c r="W2710" i="62"/>
  <c r="W2709" i="62"/>
  <c r="W2708" i="62"/>
  <c r="W2707" i="62"/>
  <c r="W2706" i="62"/>
  <c r="W2705" i="62"/>
  <c r="W2704" i="62"/>
  <c r="W2703" i="62"/>
  <c r="W2702" i="62"/>
  <c r="W2701" i="62"/>
  <c r="W2700" i="62"/>
  <c r="W2699" i="62"/>
  <c r="W2698" i="62"/>
  <c r="W2697" i="62"/>
  <c r="W2696" i="62"/>
  <c r="W2695" i="62"/>
  <c r="W2694" i="62"/>
  <c r="W2693" i="62"/>
  <c r="W2692" i="62"/>
  <c r="W2691" i="62"/>
  <c r="W2690" i="62"/>
  <c r="W2689" i="62"/>
  <c r="W2688" i="62"/>
  <c r="W2687" i="62"/>
  <c r="W2686" i="62"/>
  <c r="W2685" i="62"/>
  <c r="W2684" i="62"/>
  <c r="W2683" i="62"/>
  <c r="W2682" i="62"/>
  <c r="W2681" i="62"/>
  <c r="W2680" i="62"/>
  <c r="W2679" i="62"/>
  <c r="W2678" i="62"/>
  <c r="W2677" i="62"/>
  <c r="W2676" i="62"/>
  <c r="W2675" i="62"/>
  <c r="W2674" i="62"/>
  <c r="W2673" i="62"/>
  <c r="W2672" i="62"/>
  <c r="W2671" i="62"/>
  <c r="W2670" i="62"/>
  <c r="W2669" i="62"/>
  <c r="W2668" i="62"/>
  <c r="W2667" i="62"/>
  <c r="W2666" i="62"/>
  <c r="W2665" i="62"/>
  <c r="W2664" i="62"/>
  <c r="W2663" i="62"/>
  <c r="W2662" i="62"/>
  <c r="W2661" i="62"/>
  <c r="W2660" i="62"/>
  <c r="W2659" i="62"/>
  <c r="W2658" i="62"/>
  <c r="W2657" i="62"/>
  <c r="W2656" i="62"/>
  <c r="W2655" i="62"/>
  <c r="W2654" i="62"/>
  <c r="W2653" i="62"/>
  <c r="W2652" i="62"/>
  <c r="W2651" i="62"/>
  <c r="W2650" i="62"/>
  <c r="W2649" i="62"/>
  <c r="W2648" i="62"/>
  <c r="W2647" i="62"/>
  <c r="W2646" i="62"/>
  <c r="W2645" i="62"/>
  <c r="W2644" i="62"/>
  <c r="W2643" i="62"/>
  <c r="W2642" i="62"/>
  <c r="W2641" i="62"/>
  <c r="W2640" i="62"/>
  <c r="W2639" i="62"/>
  <c r="W2638" i="62"/>
  <c r="W2637" i="62"/>
  <c r="W2636" i="62"/>
  <c r="W2635" i="62"/>
  <c r="W2634" i="62"/>
  <c r="W2633" i="62"/>
  <c r="W2632" i="62"/>
  <c r="W2631" i="62"/>
  <c r="W2630" i="62"/>
  <c r="W2629" i="62"/>
  <c r="W2628" i="62"/>
  <c r="W2627" i="62"/>
  <c r="W2626" i="62"/>
  <c r="W2625" i="62"/>
  <c r="W2624" i="62"/>
  <c r="W2623" i="62"/>
  <c r="W2622" i="62"/>
  <c r="W2621" i="62"/>
  <c r="W2620" i="62"/>
  <c r="W2619" i="62"/>
  <c r="W2618" i="62"/>
  <c r="W2617" i="62"/>
  <c r="W2616" i="62"/>
  <c r="W2615" i="62"/>
  <c r="W2614" i="62"/>
  <c r="W2613" i="62"/>
  <c r="W2612" i="62"/>
  <c r="W2611" i="62"/>
  <c r="W2610" i="62"/>
  <c r="W2609" i="62"/>
  <c r="W2608" i="62"/>
  <c r="W2607" i="62"/>
  <c r="W2606" i="62"/>
  <c r="W2605" i="62"/>
  <c r="W2604" i="62"/>
  <c r="W2603" i="62"/>
  <c r="W2602" i="62"/>
  <c r="W2601" i="62"/>
  <c r="W2600" i="62"/>
  <c r="W2599" i="62"/>
  <c r="W2598" i="62"/>
  <c r="W2597" i="62"/>
  <c r="W2596" i="62"/>
  <c r="W2595" i="62"/>
  <c r="W2594" i="62"/>
  <c r="W2593" i="62"/>
  <c r="W2592" i="62"/>
  <c r="W2591" i="62"/>
  <c r="W2590" i="62"/>
  <c r="W2589" i="62"/>
  <c r="W2588" i="62"/>
  <c r="W2587" i="62"/>
  <c r="W2586" i="62"/>
  <c r="W2585" i="62"/>
  <c r="W2584" i="62"/>
  <c r="W2583" i="62"/>
  <c r="W2582" i="62"/>
  <c r="W2581" i="62"/>
  <c r="W2580" i="62"/>
  <c r="W2579" i="62"/>
  <c r="W2578" i="62"/>
  <c r="W2577" i="62"/>
  <c r="W2576" i="62"/>
  <c r="W2575" i="62"/>
  <c r="W2574" i="62"/>
  <c r="W2573" i="62"/>
  <c r="W2572" i="62"/>
  <c r="W2571" i="62"/>
  <c r="W2570" i="62"/>
  <c r="W2569" i="62"/>
  <c r="W2568" i="62"/>
  <c r="W2567" i="62"/>
  <c r="W2566" i="62"/>
  <c r="W2565" i="62"/>
  <c r="W2564" i="62"/>
  <c r="W2563" i="62"/>
  <c r="W2562" i="62"/>
  <c r="W2561" i="62"/>
  <c r="W2560" i="62"/>
  <c r="W2559" i="62"/>
  <c r="W2558" i="62"/>
  <c r="W2557" i="62"/>
  <c r="W2556" i="62"/>
  <c r="W2555" i="62"/>
  <c r="W2554" i="62"/>
  <c r="W2553" i="62"/>
  <c r="W2552" i="62"/>
  <c r="W2551" i="62"/>
  <c r="W2550" i="62"/>
  <c r="W2549" i="62"/>
  <c r="W2548" i="62"/>
  <c r="W2547" i="62"/>
  <c r="W2546" i="62"/>
  <c r="W2545" i="62"/>
  <c r="W2544" i="62"/>
  <c r="W2543" i="62"/>
  <c r="W2542" i="62"/>
  <c r="W2541" i="62"/>
  <c r="W2540" i="62"/>
  <c r="W2539" i="62"/>
  <c r="W2538" i="62"/>
  <c r="W2537" i="62"/>
  <c r="W2536" i="62"/>
  <c r="W2535" i="62"/>
  <c r="W2534" i="62"/>
  <c r="W2533" i="62"/>
  <c r="W2532" i="62"/>
  <c r="W2531" i="62"/>
  <c r="W2530" i="62"/>
  <c r="W2529" i="62"/>
  <c r="W2528" i="62"/>
  <c r="W2527" i="62"/>
  <c r="W2526" i="62"/>
  <c r="W2525" i="62"/>
  <c r="W2524" i="62"/>
  <c r="W2523" i="62"/>
  <c r="W2522" i="62"/>
  <c r="W2521" i="62"/>
  <c r="W2520" i="62"/>
  <c r="W2519" i="62"/>
  <c r="W2518" i="62"/>
  <c r="W2517" i="62"/>
  <c r="W2516" i="62"/>
  <c r="W2515" i="62"/>
  <c r="W2514" i="62"/>
  <c r="W2513" i="62"/>
  <c r="W2512" i="62"/>
  <c r="W2511" i="62"/>
  <c r="W2510" i="62"/>
  <c r="W2509" i="62"/>
  <c r="W2508" i="62"/>
  <c r="W2507" i="62"/>
  <c r="W2506" i="62"/>
  <c r="W2505" i="62"/>
  <c r="W2504" i="62"/>
  <c r="W2503" i="62"/>
  <c r="W2502" i="62"/>
  <c r="W2501" i="62"/>
  <c r="W2500" i="62"/>
  <c r="W2499" i="62"/>
  <c r="W2498" i="62"/>
  <c r="W2497" i="62"/>
  <c r="W2496" i="62"/>
  <c r="W2495" i="62"/>
  <c r="W2494" i="62"/>
  <c r="W2493" i="62"/>
  <c r="W2492" i="62"/>
  <c r="W2491" i="62"/>
  <c r="W2490" i="62"/>
  <c r="W2489" i="62"/>
  <c r="W2488" i="62"/>
  <c r="W2487" i="62"/>
  <c r="W2486" i="62"/>
  <c r="W2485" i="62"/>
  <c r="W2484" i="62"/>
  <c r="W2483" i="62"/>
  <c r="W2482" i="62"/>
  <c r="W2481" i="62"/>
  <c r="W2480" i="62"/>
  <c r="W2479" i="62"/>
  <c r="W2478" i="62"/>
  <c r="W2477" i="62"/>
  <c r="W2476" i="62"/>
  <c r="W2475" i="62"/>
  <c r="W2474" i="62"/>
  <c r="W2473" i="62"/>
  <c r="W2472" i="62"/>
  <c r="W2471" i="62"/>
  <c r="W2470" i="62"/>
  <c r="W2469" i="62"/>
  <c r="W2468" i="62"/>
  <c r="W2467" i="62"/>
  <c r="W2466" i="62"/>
  <c r="W2465" i="62"/>
  <c r="W2204" i="62"/>
  <c r="W2203" i="62"/>
  <c r="W2202" i="62"/>
  <c r="W2201" i="62"/>
  <c r="W2200" i="62"/>
  <c r="W2199" i="62"/>
  <c r="W2198" i="62"/>
  <c r="W2197" i="62"/>
  <c r="W2196" i="62"/>
  <c r="W2195" i="62"/>
  <c r="W2194" i="62"/>
  <c r="W2193" i="62"/>
  <c r="W2192" i="62"/>
  <c r="W2191" i="62"/>
  <c r="W2190" i="62"/>
  <c r="W2189" i="62"/>
  <c r="W2188" i="62"/>
  <c r="W2187" i="62"/>
  <c r="W2186" i="62"/>
  <c r="W2185" i="62"/>
  <c r="W2184" i="62"/>
  <c r="W2183" i="62"/>
  <c r="W2182" i="62"/>
  <c r="W2181" i="62"/>
  <c r="W2180" i="62"/>
  <c r="W2179" i="62"/>
  <c r="W2178" i="62"/>
  <c r="W2177" i="62"/>
  <c r="W2176" i="62"/>
  <c r="W2175" i="62"/>
  <c r="W2174" i="62"/>
  <c r="W2173" i="62"/>
  <c r="W2172" i="62"/>
  <c r="W2171" i="62"/>
  <c r="W2170" i="62"/>
  <c r="W2169" i="62"/>
  <c r="W2168" i="62"/>
  <c r="W2167" i="62"/>
  <c r="W2166" i="62"/>
  <c r="W2165" i="62"/>
  <c r="W2164" i="62"/>
  <c r="W2163" i="62"/>
  <c r="W2162" i="62"/>
  <c r="W2161" i="62"/>
  <c r="W2160" i="62"/>
  <c r="W2159" i="62"/>
  <c r="W2158" i="62"/>
  <c r="W2157" i="62"/>
  <c r="W2156" i="62"/>
  <c r="W2155" i="62"/>
  <c r="W2154" i="62"/>
  <c r="W2153" i="62"/>
  <c r="W2152" i="62"/>
  <c r="W2151" i="62"/>
  <c r="W2150" i="62"/>
  <c r="W2149" i="62"/>
  <c r="W2148" i="62"/>
  <c r="W2147" i="62"/>
  <c r="W2146" i="62"/>
  <c r="W2145" i="62"/>
  <c r="W2144" i="62"/>
  <c r="W2143" i="62"/>
  <c r="W2142" i="62"/>
  <c r="W2141" i="62"/>
  <c r="W2140" i="62"/>
  <c r="W2139" i="62"/>
  <c r="W2138" i="62"/>
  <c r="W2137" i="62"/>
  <c r="W2136" i="62"/>
  <c r="W2135" i="62"/>
  <c r="W2134" i="62"/>
  <c r="W2133" i="62"/>
  <c r="W2132" i="62"/>
  <c r="W2131" i="62"/>
  <c r="W2130" i="62"/>
  <c r="W2129" i="62"/>
  <c r="W2128" i="62"/>
  <c r="W2127" i="62"/>
  <c r="W2126" i="62"/>
  <c r="W2125" i="62"/>
  <c r="W2124" i="62"/>
  <c r="W2123" i="62"/>
  <c r="W2122" i="62"/>
  <c r="W2121" i="62"/>
  <c r="W2120" i="62"/>
  <c r="W2119" i="62"/>
  <c r="W2118" i="62"/>
  <c r="W2117" i="62"/>
  <c r="W2116" i="62"/>
  <c r="W2115" i="62"/>
  <c r="W2114" i="62"/>
  <c r="W2113" i="62"/>
  <c r="W2112" i="62"/>
  <c r="W2111" i="62"/>
  <c r="W2110" i="62"/>
  <c r="W2109" i="62"/>
  <c r="W2108" i="62"/>
  <c r="W2107" i="62"/>
  <c r="W2106" i="62"/>
  <c r="W2105" i="62"/>
  <c r="W2104" i="62"/>
  <c r="W2103" i="62"/>
  <c r="W2102" i="62"/>
  <c r="W2101" i="62"/>
  <c r="W2100" i="62"/>
  <c r="W2099" i="62"/>
  <c r="W2098" i="62"/>
  <c r="W2097" i="62"/>
  <c r="W2096" i="62"/>
  <c r="W2095" i="62"/>
  <c r="W2094" i="62"/>
  <c r="W2093" i="62"/>
  <c r="W2092" i="62"/>
  <c r="W2091" i="62"/>
  <c r="W2090" i="62"/>
  <c r="W2089" i="62"/>
  <c r="W2088" i="62"/>
  <c r="W2087" i="62"/>
  <c r="W2086" i="62"/>
  <c r="W2085" i="62"/>
  <c r="W2084" i="62"/>
  <c r="W2083" i="62"/>
  <c r="W2082" i="62"/>
  <c r="W2081" i="62"/>
  <c r="W2080" i="62"/>
  <c r="W2079" i="62"/>
  <c r="W2078" i="62"/>
  <c r="W2077" i="62"/>
  <c r="W2076" i="62"/>
  <c r="W2075" i="62"/>
  <c r="W2074" i="62"/>
  <c r="W2073" i="62"/>
  <c r="W2072" i="62"/>
  <c r="W2071" i="62"/>
  <c r="W2070" i="62"/>
  <c r="W2069" i="62"/>
  <c r="W2068" i="62"/>
  <c r="W2067" i="62"/>
  <c r="W2066" i="62"/>
  <c r="W2065" i="62"/>
  <c r="W2064" i="62"/>
  <c r="W2063" i="62"/>
  <c r="W2062" i="62"/>
  <c r="W2061" i="62"/>
  <c r="W2060" i="62"/>
  <c r="W2059" i="62"/>
  <c r="W2058" i="62"/>
  <c r="W2057" i="62"/>
  <c r="W2056" i="62"/>
  <c r="W2055" i="62"/>
  <c r="W2054" i="62"/>
  <c r="W2053" i="62"/>
  <c r="W2052" i="62"/>
  <c r="W2051" i="62"/>
  <c r="W2050" i="62"/>
  <c r="W2049" i="62"/>
  <c r="W2048" i="62"/>
  <c r="W2047" i="62"/>
  <c r="W2046" i="62"/>
  <c r="W2045" i="62"/>
  <c r="W2044" i="62"/>
  <c r="W2043" i="62"/>
  <c r="W2042" i="62"/>
  <c r="W2041" i="62"/>
  <c r="W2040" i="62"/>
  <c r="W2039" i="62"/>
  <c r="W2038" i="62"/>
  <c r="W2037" i="62"/>
  <c r="W2036" i="62"/>
  <c r="W2035" i="62"/>
  <c r="W2034" i="62"/>
  <c r="W2033" i="62"/>
  <c r="W2032" i="62"/>
  <c r="W2031" i="62"/>
  <c r="W2030" i="62"/>
  <c r="W2029" i="62"/>
  <c r="W2028" i="62"/>
  <c r="W2027" i="62"/>
  <c r="W2026" i="62"/>
  <c r="W2025" i="62"/>
  <c r="W2024" i="62"/>
  <c r="W2023" i="62"/>
  <c r="W2022" i="62"/>
  <c r="W2021" i="62"/>
  <c r="W2020" i="62"/>
  <c r="W2019" i="62"/>
  <c r="W2018" i="62"/>
  <c r="W2017" i="62"/>
  <c r="W2016" i="62"/>
  <c r="W2015" i="62"/>
  <c r="W2014" i="62"/>
  <c r="W2013" i="62"/>
  <c r="W2012" i="62"/>
  <c r="W2011" i="62"/>
  <c r="W2010" i="62"/>
  <c r="W2009" i="62"/>
  <c r="W2008" i="62"/>
  <c r="W2007" i="62"/>
  <c r="W2006" i="62"/>
  <c r="W2005" i="62"/>
  <c r="W2004" i="62"/>
  <c r="W2003" i="62"/>
  <c r="W2002" i="62"/>
  <c r="W2001" i="62"/>
  <c r="W2000" i="62"/>
  <c r="W1999" i="62"/>
  <c r="W1998" i="62"/>
  <c r="W1997" i="62"/>
  <c r="W1996" i="62"/>
  <c r="W1995" i="62"/>
  <c r="W1994" i="62"/>
  <c r="W1993" i="62"/>
  <c r="W1992" i="62"/>
  <c r="W1991" i="62"/>
  <c r="W1990" i="62"/>
  <c r="W1989" i="62"/>
  <c r="W1988" i="62"/>
  <c r="W1987" i="62"/>
  <c r="W1986" i="62"/>
  <c r="W1985" i="62"/>
  <c r="W1984" i="62"/>
  <c r="W1983" i="62"/>
  <c r="W1982" i="62"/>
  <c r="W1981" i="62"/>
  <c r="W1980" i="62"/>
  <c r="W1979" i="62"/>
  <c r="W1978" i="62"/>
  <c r="W1977" i="62"/>
  <c r="W1976" i="62"/>
  <c r="W1975" i="62"/>
  <c r="W1974" i="62"/>
  <c r="W1973" i="62"/>
  <c r="W1972" i="62"/>
  <c r="W1971" i="62"/>
  <c r="W1970" i="62"/>
  <c r="W1969" i="62"/>
  <c r="W1968" i="62"/>
  <c r="W1967" i="62"/>
  <c r="W1966" i="62"/>
  <c r="W1965" i="62"/>
  <c r="W1964" i="62"/>
  <c r="W1963" i="62"/>
  <c r="W1962" i="62"/>
  <c r="W1961" i="62"/>
  <c r="W1960" i="62"/>
  <c r="W1959" i="62"/>
  <c r="W1395" i="62"/>
  <c r="W1394" i="62"/>
  <c r="W1393" i="62"/>
  <c r="W1392" i="62"/>
  <c r="W1391" i="62"/>
  <c r="W1390" i="62"/>
  <c r="W1389" i="62"/>
  <c r="W1388" i="62"/>
  <c r="W1387" i="62"/>
  <c r="W1386" i="62"/>
  <c r="W1385" i="62"/>
  <c r="W1384" i="62"/>
  <c r="W1383" i="62"/>
  <c r="W1382" i="62"/>
  <c r="W1381" i="62"/>
  <c r="W1380" i="62"/>
  <c r="W1379" i="62"/>
  <c r="W1378" i="62"/>
  <c r="W1377" i="62"/>
  <c r="W1376" i="62"/>
  <c r="W1375" i="62"/>
  <c r="W1374" i="62"/>
  <c r="W1373" i="62"/>
  <c r="W1372" i="62"/>
  <c r="W1371" i="62"/>
  <c r="W1370" i="62"/>
  <c r="W1369" i="62"/>
  <c r="W1368" i="62"/>
  <c r="W1367" i="62"/>
  <c r="W1366" i="62"/>
  <c r="W1365" i="62"/>
  <c r="W1364" i="62"/>
  <c r="W1363" i="62"/>
  <c r="W1362" i="62"/>
  <c r="W1361" i="62"/>
  <c r="W1360" i="62"/>
  <c r="W1359" i="62"/>
  <c r="W1358" i="62"/>
  <c r="W1357" i="62"/>
  <c r="W1356" i="62"/>
  <c r="W1355" i="62"/>
  <c r="W1354" i="62"/>
  <c r="W1353" i="62"/>
  <c r="W1352" i="62"/>
  <c r="W1351" i="62"/>
  <c r="W1350" i="62"/>
  <c r="W1349" i="62"/>
  <c r="W1348" i="62"/>
  <c r="W1347" i="62"/>
  <c r="W1346" i="62"/>
  <c r="W1345" i="62"/>
  <c r="W1344" i="62"/>
  <c r="W1343" i="62"/>
  <c r="W1342" i="62"/>
  <c r="W1341" i="62"/>
  <c r="W1340" i="62"/>
  <c r="W1339" i="62"/>
  <c r="W1338" i="62"/>
  <c r="W1337" i="62"/>
  <c r="W1336" i="62"/>
  <c r="W1335" i="62"/>
  <c r="W1334" i="62"/>
  <c r="W1333" i="62"/>
  <c r="W1332" i="62"/>
  <c r="W1331" i="62"/>
  <c r="W1330" i="62"/>
  <c r="W1329" i="62"/>
  <c r="W1328" i="62"/>
  <c r="W1327" i="62"/>
  <c r="W1326" i="62"/>
  <c r="W1325" i="62"/>
  <c r="W1324" i="62"/>
  <c r="W1323" i="62"/>
  <c r="W1322" i="62"/>
  <c r="W1321" i="62"/>
  <c r="W1320" i="62"/>
  <c r="W1319" i="62"/>
  <c r="W1318" i="62"/>
  <c r="W1317" i="62"/>
  <c r="W1316" i="62"/>
  <c r="W1315" i="62"/>
  <c r="W1314" i="62"/>
  <c r="W1313" i="62"/>
  <c r="W1312" i="62"/>
  <c r="W1311" i="62"/>
  <c r="W1310" i="62"/>
  <c r="W1309" i="62"/>
  <c r="W1308" i="62"/>
  <c r="W1307" i="62"/>
  <c r="W1306" i="62"/>
  <c r="W1305" i="62"/>
  <c r="W1304" i="62"/>
  <c r="W1303" i="62"/>
  <c r="W1302" i="62"/>
  <c r="W1301" i="62"/>
  <c r="W1300" i="62"/>
  <c r="W1299" i="62"/>
  <c r="W1298" i="62"/>
  <c r="W1297" i="62"/>
  <c r="W1296" i="62"/>
  <c r="W1295" i="62"/>
  <c r="W1294" i="62"/>
  <c r="W1293" i="62"/>
  <c r="W1292" i="62"/>
  <c r="W1291" i="62"/>
  <c r="W1290" i="62"/>
  <c r="W1289" i="62"/>
  <c r="W1288" i="62"/>
  <c r="W1287" i="62"/>
  <c r="W1286" i="62"/>
  <c r="W1285" i="62"/>
  <c r="W1284" i="62"/>
  <c r="W1283" i="62"/>
  <c r="W1282" i="62"/>
  <c r="W1281" i="62"/>
  <c r="W1280" i="62"/>
  <c r="W1279" i="62"/>
  <c r="W1278" i="62"/>
  <c r="W1277" i="62"/>
  <c r="W1276" i="62"/>
  <c r="W1275" i="62"/>
  <c r="W1274" i="62"/>
  <c r="W1273" i="62"/>
  <c r="W1272" i="62"/>
  <c r="W1271" i="62"/>
  <c r="W1270" i="62"/>
  <c r="W1269" i="62"/>
  <c r="W1268" i="62"/>
  <c r="W1267" i="62"/>
  <c r="W1266" i="62"/>
  <c r="W1265" i="62"/>
  <c r="W1264" i="62"/>
  <c r="W1263" i="62"/>
  <c r="W1262" i="62"/>
  <c r="W1261" i="62"/>
  <c r="W1260" i="62"/>
  <c r="W1259" i="62"/>
  <c r="W1258" i="62"/>
  <c r="W1257" i="62"/>
  <c r="W1256" i="62"/>
  <c r="W1255" i="62"/>
  <c r="W1254" i="62"/>
  <c r="W1253" i="62"/>
  <c r="W1252" i="62"/>
  <c r="W1251" i="62"/>
  <c r="W1250" i="62"/>
  <c r="W1249" i="62"/>
  <c r="W1248" i="62"/>
  <c r="W1247" i="62"/>
  <c r="W1246" i="62"/>
  <c r="W1245" i="62"/>
  <c r="W1244" i="62"/>
  <c r="W1243" i="62"/>
  <c r="W1242" i="62"/>
  <c r="W1241" i="62"/>
  <c r="W1240" i="62"/>
  <c r="W1239" i="62"/>
  <c r="W1238" i="62"/>
  <c r="W1237" i="62"/>
  <c r="W1236" i="62"/>
  <c r="W1235" i="62"/>
  <c r="W1234" i="62"/>
  <c r="W1233" i="62"/>
  <c r="W1232" i="62"/>
  <c r="W1231" i="62"/>
  <c r="W1230" i="62"/>
  <c r="W1229" i="62"/>
  <c r="W1228" i="62"/>
  <c r="W1227" i="62"/>
  <c r="W1226" i="62"/>
  <c r="W1225" i="62"/>
  <c r="W1224" i="62"/>
  <c r="W1223" i="62"/>
  <c r="W1222" i="62"/>
  <c r="W1221" i="62"/>
  <c r="W1220" i="62"/>
  <c r="W1219" i="62"/>
  <c r="W1218" i="62"/>
  <c r="W1217" i="62"/>
  <c r="W1216" i="62"/>
  <c r="W1215" i="62"/>
  <c r="W1214" i="62"/>
  <c r="W1213" i="62"/>
  <c r="W1212" i="62"/>
  <c r="W1211" i="62"/>
  <c r="W1210" i="62"/>
  <c r="W1209" i="62"/>
  <c r="W1208" i="62"/>
  <c r="W1207" i="62"/>
  <c r="W1206" i="62"/>
  <c r="W1205" i="62"/>
  <c r="W1204" i="62"/>
  <c r="W1203" i="62"/>
  <c r="W1202" i="62"/>
  <c r="W1201" i="62"/>
  <c r="W1200" i="62"/>
  <c r="W1199" i="62"/>
  <c r="W1198" i="62"/>
  <c r="W1197" i="62"/>
  <c r="W1196" i="62"/>
  <c r="W1195" i="62"/>
  <c r="W1194" i="62"/>
  <c r="W1193" i="62"/>
  <c r="W1192" i="62"/>
  <c r="W1191" i="62"/>
  <c r="W1190" i="62"/>
  <c r="W1189" i="62"/>
  <c r="W1188" i="62"/>
  <c r="W1187" i="62"/>
  <c r="W1186" i="62"/>
  <c r="W1185" i="62"/>
  <c r="W1184" i="62"/>
  <c r="W1183" i="62"/>
  <c r="W1182" i="62"/>
  <c r="W1181" i="62"/>
  <c r="W1180" i="62"/>
  <c r="W1179" i="62"/>
  <c r="W1178" i="62"/>
  <c r="W1177" i="62"/>
  <c r="W1176" i="62"/>
  <c r="W1175" i="62"/>
  <c r="W1174" i="62"/>
  <c r="W1173" i="62"/>
  <c r="W1172" i="62"/>
  <c r="W1171" i="62"/>
  <c r="W1170" i="62"/>
  <c r="W1169" i="62"/>
  <c r="W1168" i="62"/>
  <c r="W1167" i="62"/>
  <c r="W1166" i="62"/>
  <c r="W1165" i="62"/>
  <c r="W1164" i="62"/>
  <c r="W1163" i="62"/>
  <c r="W1162" i="62"/>
  <c r="W1161" i="62"/>
  <c r="W1160" i="62"/>
  <c r="W1159" i="62"/>
  <c r="W1158" i="62"/>
  <c r="W1157" i="62"/>
  <c r="W1156" i="62"/>
  <c r="W1155" i="62"/>
  <c r="W1154" i="62"/>
  <c r="W1153" i="62"/>
  <c r="W1152" i="62"/>
  <c r="W1151" i="62"/>
  <c r="W1150" i="62"/>
  <c r="W1149" i="62"/>
  <c r="W1148" i="62"/>
  <c r="W1147" i="62"/>
  <c r="W1146" i="62"/>
  <c r="W1145" i="62"/>
  <c r="W1144" i="62"/>
  <c r="W1143" i="62"/>
  <c r="W1142" i="62"/>
  <c r="W1141" i="62"/>
  <c r="W1140" i="62"/>
  <c r="W1139" i="62"/>
  <c r="W1138" i="62"/>
  <c r="W1137" i="62"/>
  <c r="W1136" i="62"/>
  <c r="W1135" i="62"/>
  <c r="W1134" i="62"/>
  <c r="W1133" i="62"/>
  <c r="W1132" i="62"/>
  <c r="W1131" i="62"/>
  <c r="W1130" i="62"/>
  <c r="W1129" i="62"/>
  <c r="W1128" i="62"/>
  <c r="W1127" i="62"/>
  <c r="W1126" i="62"/>
  <c r="W1125" i="62"/>
  <c r="W1124" i="62"/>
  <c r="W1123" i="62"/>
  <c r="W1122" i="62"/>
  <c r="W1033" i="62"/>
  <c r="W1032" i="62"/>
  <c r="W1031" i="62"/>
  <c r="W1030" i="62"/>
  <c r="W1029" i="62"/>
  <c r="W1028" i="62"/>
  <c r="W1027" i="62"/>
  <c r="W1026" i="62"/>
  <c r="W1025" i="62"/>
  <c r="W1024" i="62"/>
  <c r="W1023" i="62"/>
  <c r="W1022" i="62"/>
  <c r="W1021" i="62"/>
  <c r="W1020" i="62"/>
  <c r="W1019" i="62"/>
  <c r="W1018" i="62"/>
  <c r="W1017" i="62"/>
  <c r="W1016" i="62"/>
  <c r="W1015" i="62"/>
  <c r="W1014" i="62"/>
  <c r="W1013" i="62"/>
  <c r="W1012" i="62"/>
  <c r="W1011" i="62"/>
  <c r="W1010" i="62"/>
  <c r="W1009" i="62"/>
  <c r="W1008" i="62"/>
  <c r="W1007" i="62"/>
  <c r="W1006" i="62"/>
  <c r="W1005" i="62"/>
  <c r="W1004" i="62"/>
  <c r="W1003" i="62"/>
  <c r="W1002" i="62"/>
  <c r="W1001" i="62"/>
  <c r="W1000" i="62"/>
  <c r="W999" i="62"/>
  <c r="W998" i="62"/>
  <c r="W997" i="62"/>
  <c r="W996" i="62"/>
  <c r="W995" i="62"/>
  <c r="W994" i="62"/>
  <c r="W993" i="62"/>
  <c r="W992" i="62"/>
  <c r="W991" i="62"/>
  <c r="W990" i="62"/>
  <c r="W989" i="62"/>
  <c r="W988" i="62"/>
  <c r="W987" i="62"/>
  <c r="W986" i="62"/>
  <c r="W985" i="62"/>
  <c r="W984" i="62"/>
  <c r="W983" i="62"/>
  <c r="W982" i="62"/>
  <c r="W981" i="62"/>
  <c r="W980" i="62"/>
  <c r="W979" i="62"/>
  <c r="W978" i="62"/>
  <c r="W977" i="62"/>
  <c r="W976" i="62"/>
  <c r="W975" i="62"/>
  <c r="W974" i="62"/>
  <c r="W973" i="62"/>
  <c r="W972" i="62"/>
  <c r="W971" i="62"/>
  <c r="W970" i="62"/>
  <c r="W969" i="62"/>
  <c r="W968" i="62"/>
  <c r="W967" i="62"/>
  <c r="W966" i="62"/>
  <c r="W965" i="62"/>
  <c r="W964" i="62"/>
  <c r="W963" i="62"/>
  <c r="W962" i="62"/>
  <c r="W961" i="62"/>
  <c r="W960" i="62"/>
  <c r="W959" i="62"/>
  <c r="W958" i="62"/>
  <c r="W957" i="62"/>
  <c r="W956" i="62"/>
  <c r="W955" i="62"/>
  <c r="W954" i="62"/>
  <c r="W953" i="62"/>
  <c r="W952" i="62"/>
  <c r="W951" i="62"/>
  <c r="W950" i="62"/>
  <c r="W949" i="62"/>
  <c r="W948" i="62"/>
  <c r="W947" i="62"/>
  <c r="W946" i="62"/>
  <c r="W945" i="62"/>
  <c r="W944" i="62"/>
  <c r="W943" i="62"/>
  <c r="W942" i="62"/>
  <c r="W941" i="62"/>
  <c r="W940" i="62"/>
  <c r="W939" i="62"/>
  <c r="W938" i="62"/>
  <c r="W937" i="62"/>
  <c r="W936" i="62"/>
  <c r="W935" i="62"/>
  <c r="W934" i="62"/>
  <c r="W933" i="62"/>
  <c r="W932" i="62"/>
  <c r="W931" i="62"/>
  <c r="W930" i="62"/>
  <c r="W929" i="62"/>
  <c r="W928" i="62"/>
  <c r="W927" i="62"/>
  <c r="W926" i="62"/>
  <c r="W925" i="62"/>
  <c r="W924" i="62"/>
  <c r="W923" i="62"/>
  <c r="W922" i="62"/>
  <c r="W921" i="62"/>
  <c r="W920" i="62"/>
  <c r="W919" i="62"/>
  <c r="W918" i="62"/>
  <c r="W917" i="62"/>
  <c r="W916" i="62"/>
  <c r="W915" i="62"/>
  <c r="W914" i="62"/>
  <c r="W913" i="62"/>
  <c r="W912" i="62"/>
  <c r="W911" i="62"/>
  <c r="W910" i="62"/>
  <c r="W909" i="62"/>
  <c r="W908" i="62"/>
  <c r="W907" i="62"/>
  <c r="W906" i="62"/>
  <c r="W905" i="62"/>
  <c r="W904" i="62"/>
  <c r="W903" i="62"/>
  <c r="W902" i="62"/>
  <c r="W901" i="62"/>
  <c r="W900" i="62"/>
  <c r="W899" i="62"/>
  <c r="W898" i="62"/>
  <c r="W897" i="62"/>
  <c r="W896" i="62"/>
  <c r="W895" i="62"/>
  <c r="W894" i="62"/>
  <c r="W893" i="62"/>
  <c r="W892" i="62"/>
  <c r="W891" i="62"/>
  <c r="W890" i="62"/>
  <c r="W889" i="62"/>
  <c r="W888" i="62"/>
  <c r="W887" i="62"/>
  <c r="W886" i="62"/>
  <c r="W885" i="62"/>
  <c r="W884" i="62"/>
  <c r="W883" i="62"/>
  <c r="W882" i="62"/>
  <c r="W881" i="62"/>
  <c r="W880" i="62"/>
  <c r="W879" i="62"/>
  <c r="W878" i="62"/>
  <c r="W877" i="62"/>
  <c r="W876" i="62"/>
  <c r="W875" i="62"/>
  <c r="W874" i="62"/>
  <c r="W873" i="62"/>
  <c r="W872" i="62"/>
  <c r="W871" i="62"/>
  <c r="W870" i="62"/>
  <c r="W869" i="62"/>
  <c r="W868" i="62"/>
  <c r="W867" i="62"/>
  <c r="W866" i="62"/>
  <c r="W865" i="62"/>
  <c r="W864" i="62"/>
  <c r="W863" i="62"/>
  <c r="W862" i="62"/>
  <c r="W861" i="62"/>
  <c r="W860" i="62"/>
  <c r="W859" i="62"/>
  <c r="W858" i="62"/>
  <c r="W857" i="62"/>
  <c r="W856" i="62"/>
  <c r="W855" i="62"/>
  <c r="W854" i="62"/>
  <c r="W853" i="62"/>
  <c r="W852" i="62"/>
  <c r="W851" i="62"/>
  <c r="W850" i="62"/>
  <c r="W849" i="62"/>
  <c r="W848" i="62"/>
  <c r="W847" i="62"/>
  <c r="W846" i="62"/>
  <c r="W845" i="62"/>
  <c r="W844" i="62"/>
  <c r="W843" i="62"/>
  <c r="W842" i="62"/>
  <c r="W841" i="62"/>
  <c r="W840" i="62"/>
  <c r="W839" i="62"/>
  <c r="W838" i="62"/>
  <c r="W837" i="62"/>
  <c r="W836" i="62"/>
  <c r="W835" i="62"/>
  <c r="W834" i="62"/>
  <c r="W833" i="62"/>
  <c r="W832" i="62"/>
  <c r="W831" i="62"/>
  <c r="W830" i="62"/>
  <c r="W829" i="62"/>
  <c r="W828" i="62"/>
  <c r="W827" i="62"/>
  <c r="W826" i="62"/>
  <c r="W825" i="62"/>
  <c r="W824" i="62"/>
  <c r="W823" i="62"/>
  <c r="W822" i="62"/>
  <c r="W821" i="62"/>
  <c r="W820" i="62"/>
  <c r="W819" i="62"/>
  <c r="W818" i="62"/>
  <c r="W817" i="62"/>
  <c r="W816" i="62"/>
  <c r="W815" i="62"/>
  <c r="W814" i="62"/>
  <c r="W813" i="62"/>
  <c r="W812" i="62"/>
  <c r="W811" i="62"/>
  <c r="W810" i="62"/>
  <c r="W809" i="62"/>
  <c r="W808" i="62"/>
  <c r="W807" i="62"/>
  <c r="W806" i="62"/>
  <c r="W805" i="62"/>
  <c r="W804" i="62"/>
  <c r="W803" i="62"/>
  <c r="W802" i="62"/>
  <c r="W801" i="62"/>
  <c r="W800" i="62"/>
  <c r="W799" i="62"/>
  <c r="W798" i="62"/>
  <c r="W797" i="62"/>
  <c r="W796" i="62"/>
  <c r="W795" i="62"/>
  <c r="W794" i="62"/>
  <c r="W793" i="62"/>
  <c r="W792" i="62"/>
  <c r="W791" i="62"/>
  <c r="W790" i="62"/>
  <c r="W789" i="62"/>
  <c r="W788" i="62"/>
  <c r="W787" i="62"/>
  <c r="W786" i="62"/>
  <c r="W785" i="62"/>
  <c r="W784" i="62"/>
  <c r="W783" i="62"/>
  <c r="W782" i="62"/>
  <c r="W781" i="62"/>
  <c r="W780" i="62"/>
  <c r="W779" i="62"/>
  <c r="W778" i="62"/>
  <c r="W777" i="62"/>
  <c r="W776" i="62"/>
  <c r="W775" i="62"/>
  <c r="W774" i="62"/>
  <c r="W773" i="62"/>
  <c r="W772" i="62"/>
  <c r="W771" i="62"/>
  <c r="W770" i="62"/>
  <c r="W769" i="62"/>
  <c r="W768" i="62"/>
  <c r="W767" i="62"/>
  <c r="W766" i="62"/>
  <c r="W765" i="62"/>
  <c r="W764" i="62"/>
  <c r="W763" i="62"/>
  <c r="W762" i="62"/>
  <c r="W761" i="62"/>
  <c r="W760" i="62"/>
  <c r="W759" i="62"/>
  <c r="W758" i="62"/>
  <c r="W620" i="62"/>
  <c r="W619" i="62"/>
  <c r="W618" i="62"/>
  <c r="W617" i="62"/>
  <c r="W616" i="62"/>
  <c r="W615" i="62"/>
  <c r="W614" i="62"/>
  <c r="W613" i="62"/>
  <c r="W612" i="62"/>
  <c r="W611" i="62"/>
  <c r="W610" i="62"/>
  <c r="W609" i="62"/>
  <c r="W608" i="62"/>
  <c r="W607" i="62"/>
  <c r="W606" i="62"/>
  <c r="W605" i="62"/>
  <c r="W604" i="62"/>
  <c r="W603" i="62"/>
  <c r="W602" i="62"/>
  <c r="W601" i="62"/>
  <c r="W600" i="62"/>
  <c r="W599" i="62"/>
  <c r="W598" i="62"/>
  <c r="W597" i="62"/>
  <c r="W596" i="62"/>
  <c r="W595" i="62"/>
  <c r="W594" i="62"/>
  <c r="W593" i="62"/>
  <c r="W592" i="62"/>
  <c r="W591" i="62"/>
  <c r="W590" i="62"/>
  <c r="W589" i="62"/>
  <c r="W588" i="62"/>
  <c r="W587" i="62"/>
  <c r="W586" i="62"/>
  <c r="W585" i="62"/>
  <c r="W584" i="62"/>
  <c r="W583" i="62"/>
  <c r="W582" i="62"/>
  <c r="W581" i="62"/>
  <c r="W580" i="62"/>
  <c r="W579" i="62"/>
  <c r="W578" i="62"/>
  <c r="W577" i="62"/>
  <c r="W576" i="62"/>
  <c r="W575" i="62"/>
  <c r="W574" i="62"/>
  <c r="W573" i="62"/>
  <c r="W572" i="62"/>
  <c r="W571" i="62"/>
  <c r="W570" i="62"/>
  <c r="W569" i="62"/>
  <c r="W568" i="62"/>
  <c r="W567" i="62"/>
  <c r="W566" i="62"/>
  <c r="W565" i="62"/>
  <c r="W564" i="62"/>
  <c r="W563" i="62"/>
  <c r="W562" i="62"/>
  <c r="W561" i="62"/>
  <c r="W560" i="62"/>
  <c r="W559" i="62"/>
  <c r="W558" i="62"/>
  <c r="W557" i="62"/>
  <c r="W556" i="62"/>
  <c r="W555" i="62"/>
  <c r="W554" i="62"/>
  <c r="W553" i="62"/>
  <c r="W552" i="62"/>
  <c r="W551" i="62"/>
  <c r="W550" i="62"/>
  <c r="W549" i="62"/>
  <c r="W548" i="62"/>
  <c r="W547" i="62"/>
  <c r="W546" i="62"/>
  <c r="W545" i="62"/>
  <c r="W544" i="62"/>
  <c r="W543" i="62"/>
  <c r="W542" i="62"/>
  <c r="W541" i="62"/>
  <c r="W540" i="62"/>
  <c r="W539" i="62"/>
  <c r="W538" i="62"/>
  <c r="W537" i="62"/>
  <c r="W536" i="62"/>
  <c r="W535" i="62"/>
  <c r="W534" i="62"/>
  <c r="W533" i="62"/>
  <c r="W532" i="62"/>
  <c r="W531" i="62"/>
  <c r="W530" i="62"/>
  <c r="W529" i="62"/>
  <c r="W528" i="62"/>
  <c r="W527" i="62"/>
  <c r="W526" i="62"/>
  <c r="W525" i="62"/>
  <c r="W524" i="62"/>
  <c r="W523" i="62"/>
  <c r="W522" i="62"/>
  <c r="W521" i="62"/>
  <c r="W520" i="62"/>
  <c r="W519" i="62"/>
  <c r="W518" i="62"/>
  <c r="W517" i="62"/>
  <c r="W516" i="62"/>
  <c r="W515" i="62"/>
  <c r="W514" i="62"/>
  <c r="W513" i="62"/>
  <c r="W512" i="62"/>
  <c r="W511" i="62"/>
  <c r="W510" i="62"/>
  <c r="W509" i="62"/>
  <c r="W508" i="62"/>
  <c r="W507" i="62"/>
  <c r="W506" i="62"/>
  <c r="W505" i="62"/>
  <c r="W504" i="62"/>
  <c r="W503" i="62"/>
  <c r="W502" i="62"/>
  <c r="W501" i="62"/>
  <c r="W500" i="62"/>
  <c r="W499" i="62"/>
  <c r="W498" i="62"/>
  <c r="W497" i="62"/>
  <c r="W496" i="62"/>
  <c r="W495" i="62"/>
  <c r="W494" i="62"/>
  <c r="W493" i="62"/>
  <c r="W492" i="62"/>
  <c r="W491" i="62"/>
  <c r="W490" i="62"/>
  <c r="W489" i="62"/>
  <c r="W488" i="62"/>
  <c r="W487" i="62"/>
  <c r="W486" i="62"/>
  <c r="W485" i="62"/>
  <c r="W484" i="62"/>
  <c r="W483" i="62"/>
  <c r="W482" i="62"/>
  <c r="W481" i="62"/>
  <c r="W480" i="62"/>
  <c r="W479" i="62"/>
  <c r="W478" i="62"/>
  <c r="W477" i="62"/>
  <c r="W476" i="62"/>
  <c r="W475" i="62"/>
  <c r="W474" i="62"/>
  <c r="W473" i="62"/>
  <c r="W472" i="62"/>
  <c r="W471" i="62"/>
  <c r="W470" i="62"/>
  <c r="W469" i="62"/>
  <c r="W468" i="62"/>
  <c r="W467" i="62"/>
  <c r="W466" i="62"/>
  <c r="W465" i="62"/>
  <c r="W464" i="62"/>
  <c r="W463" i="62"/>
  <c r="W462" i="62"/>
  <c r="W461" i="62"/>
  <c r="W460" i="62"/>
  <c r="W459" i="62"/>
  <c r="W458" i="62"/>
  <c r="W457" i="62"/>
  <c r="W456" i="62"/>
  <c r="W455" i="62"/>
  <c r="W454" i="62"/>
  <c r="W453" i="62"/>
  <c r="W452" i="62"/>
  <c r="W451" i="62"/>
  <c r="W450" i="62"/>
  <c r="W449" i="62"/>
  <c r="W448" i="62"/>
  <c r="W447" i="62"/>
  <c r="W446" i="62"/>
  <c r="W445" i="62"/>
  <c r="W444" i="62"/>
  <c r="W443" i="62"/>
  <c r="W442" i="62"/>
  <c r="W441" i="62"/>
  <c r="W440" i="62"/>
  <c r="W439" i="62"/>
  <c r="W438" i="62"/>
  <c r="W437" i="62"/>
  <c r="W436" i="62"/>
  <c r="W435" i="62"/>
  <c r="W434" i="62"/>
  <c r="W433" i="62"/>
  <c r="W432" i="62"/>
  <c r="W431" i="62"/>
  <c r="W430" i="62"/>
  <c r="W429" i="62"/>
  <c r="W428" i="62"/>
  <c r="W427" i="62"/>
  <c r="W426" i="62"/>
  <c r="W425" i="62"/>
  <c r="W424" i="62"/>
  <c r="W423" i="62"/>
  <c r="W422" i="62"/>
  <c r="W421" i="62"/>
  <c r="W420" i="62"/>
  <c r="W419" i="62"/>
  <c r="W418" i="62"/>
  <c r="W417" i="62"/>
  <c r="W416" i="62"/>
  <c r="W415" i="62"/>
  <c r="W414" i="62"/>
  <c r="W413" i="62"/>
  <c r="W412" i="62"/>
  <c r="W411" i="62"/>
  <c r="W410" i="62"/>
  <c r="W409" i="62"/>
  <c r="W408" i="62"/>
  <c r="W407" i="62"/>
  <c r="W406" i="62"/>
  <c r="W405" i="62"/>
  <c r="W404" i="62"/>
  <c r="W403" i="62"/>
  <c r="W402" i="62"/>
  <c r="W401" i="62"/>
  <c r="W400" i="62"/>
  <c r="W399" i="62"/>
  <c r="W398" i="62"/>
  <c r="W397" i="62"/>
  <c r="W396" i="62"/>
  <c r="W395" i="62"/>
  <c r="W394" i="62"/>
  <c r="W393" i="62"/>
  <c r="W392" i="62"/>
  <c r="W391" i="62"/>
  <c r="W390" i="62"/>
  <c r="W389" i="62"/>
  <c r="W388" i="62"/>
  <c r="W387" i="62"/>
  <c r="W386" i="62"/>
  <c r="W385" i="62"/>
  <c r="W384" i="62"/>
  <c r="W383" i="62"/>
  <c r="W382" i="62"/>
  <c r="W381" i="62"/>
  <c r="W380" i="62"/>
  <c r="W379" i="62"/>
  <c r="W378" i="62"/>
  <c r="W377" i="62"/>
  <c r="W376" i="62"/>
  <c r="W375" i="62"/>
  <c r="W374" i="62"/>
  <c r="W373" i="62"/>
  <c r="W372" i="62"/>
  <c r="W371" i="62"/>
  <c r="W370" i="62"/>
  <c r="W369" i="62"/>
  <c r="W368" i="62"/>
  <c r="W367" i="62"/>
  <c r="W366" i="62"/>
  <c r="W365" i="62"/>
  <c r="W364" i="62"/>
  <c r="W363" i="62"/>
  <c r="W362" i="62"/>
  <c r="W361" i="62"/>
  <c r="W360" i="62"/>
  <c r="W359" i="62"/>
  <c r="W358" i="62"/>
  <c r="W357" i="62"/>
  <c r="W356" i="62"/>
  <c r="W355" i="62"/>
  <c r="W354" i="62"/>
  <c r="W353" i="62"/>
  <c r="W352" i="62"/>
  <c r="W351" i="62"/>
  <c r="W350" i="62"/>
  <c r="W349" i="62"/>
  <c r="W348" i="62"/>
  <c r="W347" i="62"/>
  <c r="W346" i="62"/>
  <c r="W345" i="62"/>
  <c r="W344" i="62"/>
  <c r="W343" i="62"/>
  <c r="W342" i="62"/>
  <c r="W341" i="62"/>
  <c r="W340" i="62"/>
  <c r="W339" i="62"/>
  <c r="W338" i="62"/>
  <c r="W337" i="62"/>
  <c r="W336" i="62"/>
  <c r="W335" i="62"/>
  <c r="W334" i="62"/>
  <c r="W333" i="62"/>
  <c r="W332" i="62"/>
  <c r="W331" i="62"/>
  <c r="W330" i="62"/>
  <c r="W329" i="62"/>
  <c r="W328" i="62"/>
  <c r="W327" i="62"/>
  <c r="W326" i="62"/>
  <c r="W325" i="62"/>
  <c r="W324" i="62"/>
  <c r="W323" i="62"/>
  <c r="W322" i="62"/>
  <c r="W321" i="62"/>
  <c r="W320" i="62"/>
  <c r="W319" i="62"/>
  <c r="W318" i="62"/>
  <c r="W317" i="62"/>
  <c r="W316" i="62"/>
  <c r="W315" i="62"/>
  <c r="W314" i="62"/>
  <c r="W313" i="62"/>
  <c r="W312" i="62"/>
  <c r="W311" i="62"/>
  <c r="W310" i="62"/>
  <c r="W309" i="62"/>
  <c r="W308" i="62"/>
  <c r="W307" i="62"/>
  <c r="W306" i="62"/>
  <c r="W305" i="62"/>
  <c r="W304" i="62"/>
  <c r="W303" i="62"/>
  <c r="W302" i="62"/>
  <c r="W301" i="62"/>
  <c r="W300" i="62"/>
  <c r="W299" i="62"/>
  <c r="W298" i="62"/>
  <c r="W297" i="62"/>
  <c r="W296" i="62"/>
  <c r="W295" i="62"/>
  <c r="W294" i="62"/>
  <c r="W293" i="62"/>
  <c r="W292" i="62"/>
  <c r="W291" i="62"/>
  <c r="W290" i="62"/>
  <c r="W289" i="62"/>
  <c r="W288" i="62"/>
  <c r="W287" i="62"/>
  <c r="W286" i="62"/>
  <c r="W285" i="62"/>
  <c r="W284" i="62"/>
  <c r="W283" i="62"/>
  <c r="W282" i="62"/>
  <c r="W281" i="62"/>
  <c r="W280" i="62"/>
  <c r="W279" i="62"/>
  <c r="W278" i="62"/>
  <c r="W277" i="62"/>
  <c r="W276" i="62"/>
  <c r="W275" i="62"/>
  <c r="W274" i="62"/>
  <c r="W273" i="62"/>
  <c r="W272" i="62"/>
  <c r="W271" i="62"/>
  <c r="W270" i="62"/>
  <c r="W269" i="62"/>
  <c r="W268" i="62"/>
  <c r="W267" i="62"/>
  <c r="W266" i="62"/>
  <c r="W265" i="62"/>
  <c r="W264" i="62"/>
  <c r="W263" i="62"/>
  <c r="W262" i="62"/>
  <c r="W261" i="62"/>
  <c r="W260" i="62"/>
  <c r="W259" i="62"/>
  <c r="W258" i="62"/>
  <c r="W257" i="62"/>
  <c r="W256" i="62"/>
  <c r="W255" i="62"/>
  <c r="W254" i="62"/>
  <c r="W253" i="62"/>
  <c r="W252" i="62"/>
  <c r="W251" i="62"/>
  <c r="W250" i="62"/>
  <c r="W249" i="62"/>
  <c r="W248" i="62"/>
  <c r="W247" i="62"/>
  <c r="W246" i="62"/>
  <c r="W245" i="62"/>
  <c r="W244" i="62"/>
  <c r="W243" i="62"/>
  <c r="W242" i="62"/>
  <c r="W241" i="62"/>
  <c r="W240" i="62"/>
  <c r="W239" i="62"/>
  <c r="W238" i="62"/>
  <c r="W237" i="62"/>
  <c r="W236" i="62"/>
  <c r="W235" i="62"/>
  <c r="W234" i="62"/>
  <c r="W233" i="62"/>
  <c r="W232" i="62"/>
  <c r="W231" i="62"/>
  <c r="W230" i="62"/>
  <c r="W229" i="62"/>
  <c r="W228" i="62"/>
  <c r="W227" i="62"/>
  <c r="W226" i="62"/>
  <c r="W225" i="62"/>
  <c r="W224" i="62"/>
  <c r="W223" i="62"/>
  <c r="W222" i="62"/>
  <c r="W221" i="62"/>
  <c r="W220" i="62"/>
  <c r="W219" i="62"/>
  <c r="W218" i="62"/>
  <c r="W217" i="62"/>
  <c r="W216" i="62"/>
  <c r="W215" i="62"/>
  <c r="W214" i="62"/>
  <c r="W213" i="62"/>
  <c r="W212" i="62"/>
  <c r="W211" i="62"/>
  <c r="W210" i="62"/>
  <c r="W209" i="62"/>
  <c r="W208" i="62"/>
  <c r="W207" i="62"/>
  <c r="W206" i="62"/>
  <c r="W205" i="62"/>
  <c r="W204" i="62"/>
  <c r="W203" i="62"/>
  <c r="W202" i="62"/>
  <c r="W201" i="62"/>
  <c r="W200" i="62"/>
  <c r="W199" i="62"/>
  <c r="W198" i="62"/>
  <c r="W197" i="62"/>
  <c r="W196" i="62"/>
  <c r="W195" i="62"/>
  <c r="W194" i="62"/>
  <c r="W193" i="62"/>
  <c r="W192" i="62"/>
  <c r="W191" i="62"/>
  <c r="W190" i="62"/>
  <c r="W189" i="62"/>
  <c r="W188" i="62"/>
  <c r="W187" i="62"/>
  <c r="W186" i="62"/>
  <c r="W185" i="62"/>
  <c r="W184" i="62"/>
  <c r="W183" i="62"/>
  <c r="W182" i="62"/>
  <c r="W181" i="62"/>
  <c r="W180" i="62"/>
  <c r="W179" i="62"/>
  <c r="W178" i="62"/>
  <c r="W177" i="62"/>
  <c r="W176" i="62"/>
  <c r="W175" i="62"/>
  <c r="W174" i="62"/>
  <c r="W173" i="62"/>
  <c r="W172" i="62"/>
  <c r="W171" i="62"/>
  <c r="W170" i="62"/>
  <c r="W169" i="62"/>
  <c r="W168" i="62"/>
  <c r="W167" i="62"/>
  <c r="W166" i="62"/>
  <c r="W165" i="62"/>
  <c r="W164" i="62"/>
  <c r="W163" i="62"/>
  <c r="W162" i="62"/>
  <c r="W161" i="62"/>
  <c r="W160" i="62"/>
  <c r="W159" i="62"/>
  <c r="W158" i="62"/>
  <c r="W157" i="62"/>
  <c r="W156" i="62"/>
  <c r="W155" i="62"/>
  <c r="W154" i="62"/>
  <c r="W153" i="62"/>
  <c r="W152" i="62"/>
  <c r="W151" i="62"/>
  <c r="W150" i="62"/>
  <c r="W149" i="62"/>
  <c r="W148" i="62"/>
  <c r="W147" i="62"/>
  <c r="W146" i="62"/>
  <c r="W145" i="62"/>
  <c r="W144" i="62"/>
  <c r="W143" i="62"/>
  <c r="W142" i="62"/>
  <c r="W141" i="62"/>
  <c r="W140" i="62"/>
  <c r="W139" i="62"/>
  <c r="W138" i="62"/>
  <c r="W137" i="62"/>
  <c r="W136" i="62"/>
  <c r="W135" i="62"/>
  <c r="W134" i="62"/>
  <c r="W133" i="62"/>
  <c r="W132" i="62"/>
  <c r="W131" i="62"/>
  <c r="W130" i="62"/>
  <c r="W129" i="62"/>
  <c r="W128" i="62"/>
  <c r="W127" i="62"/>
  <c r="W126" i="62"/>
  <c r="W125" i="62"/>
  <c r="W124" i="62"/>
  <c r="W123" i="62"/>
  <c r="W122" i="62"/>
  <c r="W121" i="62"/>
  <c r="W120" i="62"/>
  <c r="W119" i="62"/>
  <c r="W118" i="62"/>
  <c r="W117" i="62"/>
  <c r="W116" i="62"/>
  <c r="W115" i="62"/>
  <c r="W114" i="62"/>
  <c r="W113" i="62"/>
  <c r="W112" i="62"/>
  <c r="W111" i="62"/>
  <c r="W110" i="62"/>
  <c r="W109" i="62"/>
  <c r="W108" i="62"/>
  <c r="W107" i="62"/>
  <c r="W106" i="62"/>
  <c r="W105" i="62"/>
  <c r="W104" i="62"/>
  <c r="W103" i="62"/>
  <c r="W102" i="62"/>
  <c r="W101" i="62"/>
  <c r="W100" i="62"/>
  <c r="W99" i="62"/>
  <c r="W98" i="62"/>
  <c r="W97" i="62"/>
  <c r="W96" i="62"/>
  <c r="W95" i="62"/>
  <c r="W94" i="62"/>
  <c r="W93" i="62"/>
  <c r="W92" i="62"/>
  <c r="W91" i="62"/>
  <c r="W90" i="62"/>
  <c r="W89" i="62"/>
  <c r="W88" i="62"/>
  <c r="W87" i="62"/>
  <c r="W86" i="62"/>
  <c r="W85" i="62"/>
  <c r="W84" i="62"/>
  <c r="W83" i="62"/>
  <c r="W82" i="62"/>
  <c r="W81" i="62"/>
  <c r="W80" i="62"/>
  <c r="W79" i="62"/>
  <c r="W78" i="62"/>
  <c r="W77" i="62"/>
  <c r="W76" i="62"/>
  <c r="W75" i="62"/>
  <c r="W74" i="62"/>
  <c r="W73" i="62"/>
  <c r="W72" i="62"/>
  <c r="W71" i="62"/>
  <c r="W70" i="62"/>
  <c r="W69" i="62"/>
  <c r="W68" i="62"/>
  <c r="W67" i="62"/>
  <c r="W66" i="62"/>
  <c r="W65" i="62"/>
  <c r="W64" i="62"/>
  <c r="W63" i="62"/>
  <c r="W62" i="62"/>
  <c r="W61" i="62"/>
  <c r="W60" i="62"/>
  <c r="W59" i="62"/>
  <c r="W58" i="62"/>
  <c r="W57" i="62"/>
  <c r="W56" i="62"/>
  <c r="W55" i="62"/>
  <c r="W54" i="62"/>
  <c r="W53" i="62"/>
  <c r="W52" i="62"/>
  <c r="W51" i="62"/>
  <c r="W50" i="62"/>
  <c r="W49" i="62"/>
  <c r="W48" i="62"/>
  <c r="W47" i="62"/>
  <c r="W46" i="62"/>
  <c r="W45" i="62"/>
  <c r="W44" i="62"/>
  <c r="W43" i="62"/>
  <c r="W42" i="62"/>
  <c r="W41" i="62"/>
  <c r="W40" i="62"/>
  <c r="W39" i="62"/>
  <c r="W38" i="62"/>
  <c r="W37" i="62"/>
  <c r="W36" i="62"/>
  <c r="W35" i="62"/>
  <c r="W34" i="62"/>
  <c r="W33" i="62"/>
  <c r="W32" i="62"/>
  <c r="W31" i="62"/>
  <c r="W30" i="62"/>
  <c r="W29" i="62"/>
  <c r="W28" i="62"/>
  <c r="W27" i="62"/>
  <c r="W26" i="62"/>
  <c r="W25" i="62"/>
  <c r="W24" i="62"/>
  <c r="W23" i="62"/>
  <c r="W22" i="62"/>
  <c r="W21" i="62"/>
  <c r="W20" i="62"/>
  <c r="W19" i="62"/>
  <c r="W18" i="62"/>
  <c r="W17" i="62"/>
  <c r="W16" i="62"/>
  <c r="W15" i="62"/>
  <c r="W14" i="62"/>
  <c r="W13" i="62"/>
  <c r="W12" i="62"/>
  <c r="W11" i="62"/>
  <c r="W10" i="62"/>
  <c r="W9" i="62"/>
  <c r="W8" i="62"/>
  <c r="W7" i="62"/>
  <c r="W6" i="62"/>
  <c r="W5" i="62"/>
  <c r="W4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DIR-BI金融システム開発第一部 飯田雅子</author>
    <author>DIR金融システム部 飯田雅子</author>
  </authors>
  <commentList>
    <comment ref="G3" authorId="0" shapeId="0" xr:uid="{69E34788-BABC-46AD-9E20-96E35D999575}">
      <text>
        <r>
          <rPr>
            <b/>
            <sz val="10"/>
            <color indexed="81"/>
            <rFont val="メイリオ"/>
            <family val="3"/>
            <charset val="128"/>
          </rPr>
          <t>01：デグレード  02：コミット漏れ・ミス
03：他社展開前  90：その他  99：除外</t>
        </r>
      </text>
    </comment>
    <comment ref="H3" authorId="1" shapeId="0" xr:uid="{F435A637-CEDD-4949-9556-19150525B901}">
      <text>
        <r>
          <rPr>
            <b/>
            <sz val="9"/>
            <color indexed="81"/>
            <rFont val="メイリオ"/>
            <family val="3"/>
            <charset val="128"/>
          </rPr>
          <t>該当案件、乖離の原因詳細を記載してください</t>
        </r>
      </text>
    </comment>
  </commentList>
</comments>
</file>

<file path=xl/sharedStrings.xml><?xml version="1.0" encoding="utf-8"?>
<sst xmlns="http://schemas.openxmlformats.org/spreadsheetml/2006/main" count="27873" uniqueCount="476">
  <si>
    <t>記載日</t>
    <rPh sb="0" eb="2">
      <t>キサイ</t>
    </rPh>
    <rPh sb="2" eb="3">
      <t>ビ</t>
    </rPh>
    <phoneticPr fontId="5"/>
  </si>
  <si>
    <t>記載者</t>
    <rPh sb="0" eb="2">
      <t>キサイ</t>
    </rPh>
    <rPh sb="2" eb="3">
      <t>シャ</t>
    </rPh>
    <phoneticPr fontId="5"/>
  </si>
  <si>
    <t>案件担当者</t>
    <rPh sb="0" eb="2">
      <t>アンケン</t>
    </rPh>
    <rPh sb="2" eb="5">
      <t>タントウシャ</t>
    </rPh>
    <phoneticPr fontId="5"/>
  </si>
  <si>
    <t>案件</t>
  </si>
  <si>
    <t>概要</t>
    <rPh sb="0" eb="2">
      <t>ガイヨウ</t>
    </rPh>
    <phoneticPr fontId="5"/>
  </si>
  <si>
    <t>判定</t>
    <rPh sb="0" eb="2">
      <t>ハンテイ</t>
    </rPh>
    <phoneticPr fontId="5"/>
  </si>
  <si>
    <t>完了日</t>
    <rPh sb="0" eb="3">
      <t>カンリョウビ</t>
    </rPh>
    <phoneticPr fontId="5"/>
  </si>
  <si>
    <t>完了予定日</t>
    <rPh sb="0" eb="2">
      <t>カンリョウ</t>
    </rPh>
    <rPh sb="2" eb="4">
      <t>ヨテイ</t>
    </rPh>
    <rPh sb="4" eb="5">
      <t>ビ</t>
    </rPh>
    <phoneticPr fontId="5"/>
  </si>
  <si>
    <t>担当者</t>
    <rPh sb="0" eb="3">
      <t>タントウシャ</t>
    </rPh>
    <phoneticPr fontId="5"/>
  </si>
  <si>
    <t>詳細</t>
  </si>
  <si>
    <t>種別</t>
    <rPh sb="0" eb="2">
      <t>シュベツ</t>
    </rPh>
    <phoneticPr fontId="5"/>
  </si>
  <si>
    <t>承認</t>
    <rPh sb="0" eb="2">
      <t>ショウニン</t>
    </rPh>
    <phoneticPr fontId="5"/>
  </si>
  <si>
    <t>確認</t>
    <rPh sb="0" eb="2">
      <t>カクニン</t>
    </rPh>
    <phoneticPr fontId="5"/>
  </si>
  <si>
    <t>対応</t>
    <rPh sb="0" eb="2">
      <t>タイオウ</t>
    </rPh>
    <phoneticPr fontId="5"/>
  </si>
  <si>
    <t>原因</t>
  </si>
  <si>
    <t>備考／差分発生日</t>
    <rPh sb="3" eb="5">
      <t>サブン</t>
    </rPh>
    <rPh sb="5" eb="7">
      <t>ハッセイ</t>
    </rPh>
    <rPh sb="7" eb="8">
      <t>ビ</t>
    </rPh>
    <phoneticPr fontId="5"/>
  </si>
  <si>
    <t>差異概要</t>
  </si>
  <si>
    <t>SVN</t>
  </si>
  <si>
    <t>本番</t>
  </si>
  <si>
    <t>ファイル</t>
  </si>
  <si>
    <t>コード</t>
    <phoneticPr fontId="5"/>
  </si>
  <si>
    <t>wb4_pr</t>
    <phoneticPr fontId="5"/>
  </si>
  <si>
    <t>52/i/テスト環境用_WEB3AccountLogin.jsp</t>
    <phoneticPr fontId="5"/>
  </si>
  <si>
    <t>90</t>
    <phoneticPr fontId="5"/>
  </si>
  <si>
    <t>-</t>
    <phoneticPr fontId="5"/>
  </si>
  <si>
    <t>52/pc/testWEB3BusinessError.jsp</t>
    <phoneticPr fontId="5"/>
  </si>
  <si>
    <t>02</t>
    <phoneticPr fontId="5"/>
  </si>
  <si>
    <t>0D cw</t>
    <phoneticPr fontId="5"/>
  </si>
  <si>
    <t>08 cw</t>
    <phoneticPr fontId="5"/>
  </si>
  <si>
    <t>0D wb</t>
    <phoneticPr fontId="5"/>
  </si>
  <si>
    <t>0D/pc/aio/WEB3AioCashoutCancelList_inc.jsp</t>
    <phoneticPr fontId="5"/>
  </si>
  <si>
    <t>○</t>
    <phoneticPr fontId="5"/>
  </si>
  <si>
    <t>ファイルが違う</t>
    <phoneticPr fontId="5"/>
  </si>
  <si>
    <t>20210606 新規差分</t>
    <phoneticPr fontId="5"/>
  </si>
  <si>
    <t>0D/sp/WEB3Index_stop.jsp</t>
    <phoneticPr fontId="5"/>
  </si>
  <si>
    <t>本番ファイルがない</t>
    <phoneticPr fontId="5"/>
  </si>
  <si>
    <t>2021/6/2 関谷
概要欄に記載の通り、チェック不要としてよいのではないでしょうか？</t>
    <phoneticPr fontId="5"/>
  </si>
  <si>
    <t>WEB-INF/classes/webbroker3/web/define/CodeValueConst.class</t>
    <phoneticPr fontId="5"/>
  </si>
  <si>
    <t>WEB-INF/lib/plug-web3-accountinfo.jar</t>
    <phoneticPr fontId="5"/>
  </si>
  <si>
    <t>WEB-INF/lib/plug-web3-common.jar</t>
    <phoneticPr fontId="5"/>
  </si>
  <si>
    <t>03</t>
    <phoneticPr fontId="5"/>
  </si>
  <si>
    <t>他社展開前のため</t>
    <phoneticPr fontId="5"/>
  </si>
  <si>
    <t>WEB-INF/lib/plug-web3-gentrade.jar</t>
    <phoneticPr fontId="5"/>
  </si>
  <si>
    <t>WEB-INF/lib/plug-web3-login.jar</t>
    <phoneticPr fontId="5"/>
  </si>
  <si>
    <t>WEB-INF/lib/plug-web3-xbaio.jar</t>
    <phoneticPr fontId="5"/>
  </si>
  <si>
    <t>WEB-INF/lib/plug-web3-xbfeq.jar</t>
    <phoneticPr fontId="5"/>
  </si>
  <si>
    <t>08 wb</t>
    <phoneticPr fontId="5"/>
  </si>
  <si>
    <t>08/pc/WEB3AccountLogin_close.jsp</t>
    <phoneticPr fontId="5"/>
  </si>
  <si>
    <t>08/pc/WEB3AccountLogin_open.jsp</t>
    <phoneticPr fontId="5"/>
  </si>
  <si>
    <t>WEB-INF/classes/ssoConnection52.properties</t>
    <phoneticPr fontId="5"/>
  </si>
  <si>
    <t>SVNファイルがない</t>
    <phoneticPr fontId="5"/>
  </si>
  <si>
    <t>2021/6/2 関谷
不要資源</t>
    <phoneticPr fontId="5"/>
  </si>
  <si>
    <t>本番から削除する</t>
    <phoneticPr fontId="5"/>
  </si>
  <si>
    <t>関谷</t>
    <phoneticPr fontId="5"/>
  </si>
  <si>
    <t>rc/DTD/WEB3RcHistoryTradeHistoryListRequest.dtd</t>
    <phoneticPr fontId="5"/>
  </si>
  <si>
    <t>rc/DTD/WEB3RcMutualBalanceReferenceRequest.dtd</t>
    <phoneticPr fontId="5"/>
  </si>
  <si>
    <t>rc/DTD/WEB3RcMutualOrderReferenceRequest.dtd</t>
    <phoneticPr fontId="5"/>
  </si>
  <si>
    <t>P0 cw</t>
    <phoneticPr fontId="5"/>
  </si>
  <si>
    <t>99</t>
    <phoneticPr fontId="5"/>
  </si>
  <si>
    <t>44 wb</t>
    <phoneticPr fontId="5"/>
  </si>
  <si>
    <t>44/pc/WEB3MvForward.jsp_bk20210417</t>
    <phoneticPr fontId="5"/>
  </si>
  <si>
    <t>44 cw</t>
    <phoneticPr fontId="5"/>
  </si>
  <si>
    <t>WEB-INF/lib/plug-web3-accountopen.jar_20200430</t>
    <phoneticPr fontId="5"/>
  </si>
  <si>
    <t>0C wb</t>
    <phoneticPr fontId="5"/>
  </si>
  <si>
    <t>0C cw</t>
    <phoneticPr fontId="5"/>
  </si>
  <si>
    <t>0H wb</t>
    <phoneticPr fontId="5"/>
  </si>
  <si>
    <t>0H cw</t>
    <phoneticPr fontId="5"/>
  </si>
  <si>
    <t>52 wb</t>
    <phoneticPr fontId="5"/>
  </si>
  <si>
    <t>2021/6/3 関谷
Trunkに存在するので、このままでよいのでは？
http://w3ttsvn10/svn/webbroker3_pr/Applications/trunk/webbroker3/52/i/テスト環境用_WEB3AccountLogin.jsp</t>
    <phoneticPr fontId="5"/>
  </si>
  <si>
    <t>52/pc/(実施確認用)WEB3OperatorLogin.jsp</t>
    <phoneticPr fontId="5"/>
  </si>
  <si>
    <t>2021/6/3 関谷
オペレータ用なのでwbないのは、OKと思います。</t>
    <phoneticPr fontId="5"/>
  </si>
  <si>
    <t>relay.war</t>
    <phoneticPr fontId="5"/>
  </si>
  <si>
    <t>52 cw</t>
    <phoneticPr fontId="5"/>
  </si>
  <si>
    <t>0F wb</t>
    <phoneticPr fontId="5"/>
  </si>
  <si>
    <t>0F cw</t>
    <phoneticPr fontId="5"/>
  </si>
  <si>
    <t>0X wb</t>
    <phoneticPr fontId="5"/>
  </si>
  <si>
    <t>0X cw</t>
    <phoneticPr fontId="5"/>
  </si>
  <si>
    <t>46 wb</t>
    <phoneticPr fontId="5"/>
  </si>
  <si>
    <t>岡松</t>
    <phoneticPr fontId="5"/>
  </si>
  <si>
    <t>46 cw</t>
    <phoneticPr fontId="5"/>
  </si>
  <si>
    <t>20210411 新規差分</t>
    <phoneticPr fontId="5"/>
  </si>
  <si>
    <t>確認</t>
    <phoneticPr fontId="5"/>
  </si>
  <si>
    <t>[OS更改前除外対象]trunk削除？cwには本番あり、cw本番削除？
（障害時にSPを停止するソースのため、意図的に本番にあげていないソース[若松]）</t>
    <phoneticPr fontId="5"/>
  </si>
  <si>
    <t>金融OS更改</t>
    <phoneticPr fontId="5"/>
  </si>
  <si>
    <t>[OS更改前除外対象]cwには本番あり、cw本番削除？
（新サイトの本番実施によるサービス停止を行った、システムメンテナンス時のみ、使用する。バックアップサイトのログイン画面を閉じる内容だが、
UPDATEする際はWEB3AccountLogin.jspにリネームして使用する[杉岡]）</t>
    <phoneticPr fontId="5"/>
  </si>
  <si>
    <t>本番削除
実施対象外資源として、PGMでSVN取得対象から除外
本番に存在するのは wb308wb/cw wb30hwb/cw wb352wb/cw で、同じ共同1のwb447wb/cw には存在しない、他環境の本番にも存在しない</t>
    <phoneticPr fontId="5"/>
  </si>
  <si>
    <t>本番削除[rc/DTD]
wb40ccw wb447cw以外本番実施対象外
&lt;\\cs.dir.co.jp\document\共通エリア\bifisv02a\HN_CMN_PRO_2\証券システム開発第一部・第二部\WB3\10.プロダクション\02.基本設計\17.【WOLF2】リッチクライアント\リッチクライアント案件が完了するまでの流れ.xls&gt;</t>
    <phoneticPr fontId="5"/>
  </si>
  <si>
    <t>[OS更改前除外対象]本番削除？</t>
    <phoneticPr fontId="5"/>
  </si>
  <si>
    <t>trunkディレクトリ変更
52だけtrunk ディレクトリ構成が違うディレクトリ変更？
52 : webbroker3_config/52/wb/relay.war
その他: webbroker3_config/[会社コード]/relay.war</t>
    <phoneticPr fontId="5"/>
  </si>
  <si>
    <t>20210704 新規差分</t>
    <phoneticPr fontId="5"/>
  </si>
  <si>
    <t>(44)画面改善</t>
    <phoneticPr fontId="5"/>
  </si>
  <si>
    <t>WEB-INF/lib/web3base.jar</t>
    <phoneticPr fontId="5"/>
  </si>
  <si>
    <t>本番削除</t>
    <phoneticPr fontId="5"/>
  </si>
  <si>
    <t xml:space="preserve">3/13実施 (0D)WB4レベルアップ対応 他社展開(0D) 出金取消対応 tar作成 </t>
    <phoneticPr fontId="5"/>
  </si>
  <si>
    <t>20210912 新規差分</t>
    <phoneticPr fontId="5"/>
  </si>
  <si>
    <t>WEB-INF/lib/plug-web3-sle-base.jar</t>
    <phoneticPr fontId="5"/>
  </si>
  <si>
    <t>他社展開前</t>
    <phoneticPr fontId="5"/>
  </si>
  <si>
    <t>コミット漏れ</t>
    <phoneticPr fontId="5"/>
  </si>
  <si>
    <t>黒須代理</t>
    <phoneticPr fontId="5"/>
  </si>
  <si>
    <t>未定</t>
    <phoneticPr fontId="5"/>
  </si>
  <si>
    <t>[OS更改前除外対象]trunk削除？cwには本番あり、cw本番削除？旧OSは本番（cw）に存在なし</t>
    <phoneticPr fontId="5"/>
  </si>
  <si>
    <t>[OS更改前除外対象]cw本番削除漏れ？</t>
    <phoneticPr fontId="5"/>
  </si>
  <si>
    <t>20211107 新規差分</t>
    <phoneticPr fontId="5"/>
  </si>
  <si>
    <t>WEB-INF/lib/plug-web3-sle-gateway.jar</t>
    <phoneticPr fontId="5"/>
  </si>
  <si>
    <t>20211205 新規差分</t>
    <phoneticPr fontId="5"/>
  </si>
  <si>
    <t>(0C)外株桁拡張・為替HULFT連携
(0D)上海A株_深センA株の直結発注導入対応
(46)2021年度カスタマイズ対応</t>
    <phoneticPr fontId="5"/>
  </si>
  <si>
    <t>(0D)上海A株_深センA株の直結発注導入対応
(0D)(香港直結)注文訂正時におけるFISエラーの処理ロジック変更対応</t>
    <phoneticPr fontId="5"/>
  </si>
  <si>
    <t>20220515 新規差分</t>
    <phoneticPr fontId="5"/>
  </si>
  <si>
    <t>20220605 新規差分</t>
    <phoneticPr fontId="5"/>
  </si>
  <si>
    <t>SLE関連のjarのため、市場テスト後にまく</t>
    <phoneticPr fontId="5"/>
  </si>
  <si>
    <t>片岡</t>
    <phoneticPr fontId="5"/>
  </si>
  <si>
    <t>WEB-INF/lib/plug-web3-equity.jar</t>
    <phoneticPr fontId="5"/>
  </si>
  <si>
    <t>(0C)外株桁拡張・為替HULFT連携
(46)2021年度カスタマイズ対応
(52)FISエラーメッセージ対応_Ph2</t>
    <phoneticPr fontId="5"/>
  </si>
  <si>
    <t>(52)FISエラーメッセージ対応_Ph1
(52)FISエラーメッセージ対応_Ph2</t>
    <phoneticPr fontId="5"/>
  </si>
  <si>
    <t>WEB-INF/classes/InputCheckPropertyFileMap.properties</t>
    <phoneticPr fontId="5"/>
  </si>
  <si>
    <t>WEB-INF/classes/webbroker3/web/beans/application.xml</t>
    <phoneticPr fontId="5"/>
  </si>
  <si>
    <t>WEB-INF/classes/webbroker3/web/define/AA_CodeValueConst.class</t>
    <phoneticPr fontId="5"/>
  </si>
  <si>
    <t>WEB-INF/classes/webbroker3/web/define/LG_ParameterConst.class</t>
    <phoneticPr fontId="5"/>
  </si>
  <si>
    <t>WEB-INF/classes/webbroker3/web/define/SessionKeyConst.class</t>
    <phoneticPr fontId="5"/>
  </si>
  <si>
    <t>WEB-INF/lib/plug-web3-accountopen.jar</t>
    <phoneticPr fontId="5"/>
  </si>
  <si>
    <t>WEB-INF/lib/plug-web3-adminorderexecinquiry.jar</t>
    <phoneticPr fontId="5"/>
  </si>
  <si>
    <t>WEB-INF/lib/plug-web3-tplib.jar</t>
    <phoneticPr fontId="5"/>
  </si>
  <si>
    <t>WEB-INF/lib/plug-web3-tradehistory.jar</t>
    <phoneticPr fontId="5"/>
  </si>
  <si>
    <t>WEB-INF/classes/webbroker3/web/define/AI_ParameterConst.class</t>
    <phoneticPr fontId="5"/>
  </si>
  <si>
    <t>WEB-INF/classes/webbroker3/web/define/AA_ParameterConst.class</t>
    <phoneticPr fontId="5"/>
  </si>
  <si>
    <t>20230910 新規差分</t>
    <phoneticPr fontId="5"/>
  </si>
  <si>
    <t>WEB-INF/classes/webbroker3/web/define/MF_ParameterConst.class</t>
    <phoneticPr fontId="5"/>
  </si>
  <si>
    <t>rc/DTD/WEB3RcTPIsaAccBuyPossibleAmtResponse.dtd</t>
    <phoneticPr fontId="5"/>
  </si>
  <si>
    <t>0X/pc/tp/WEB3TPAsset_inc.jsp</t>
    <phoneticPr fontId="5"/>
  </si>
  <si>
    <t>20231105 新規差分</t>
    <phoneticPr fontId="5"/>
  </si>
  <si>
    <t>20240107 新規差分</t>
    <phoneticPr fontId="5"/>
  </si>
  <si>
    <t>WEB-INF/classes/webbroker3/web/define/TH_ParameterConst.class</t>
    <phoneticPr fontId="5"/>
  </si>
  <si>
    <t>WEB-INF/classes/webbroker3/web/factory/pc/accinfo/AccInfoFinancialSearchFactory.class</t>
    <phoneticPr fontId="5"/>
  </si>
  <si>
    <t>rc/DTD/WEB3RcEquityBalanceReferenceResponse.dtd</t>
    <phoneticPr fontId="5"/>
  </si>
  <si>
    <t>rc/DTD/WEB3RcFeqBalanceReferenceResponse.dtd</t>
    <phoneticPr fontId="5"/>
  </si>
  <si>
    <t>rc/DTD</t>
    <phoneticPr fontId="5"/>
  </si>
  <si>
    <t>rc/test_client</t>
    <phoneticPr fontId="5"/>
  </si>
  <si>
    <t>コミットミス？</t>
    <phoneticPr fontId="5"/>
  </si>
  <si>
    <t>(0H)フロントシステムBaaS利用対応</t>
    <phoneticPr fontId="5"/>
  </si>
  <si>
    <t>20240204 新規差分</t>
    <phoneticPr fontId="5"/>
  </si>
  <si>
    <t>WBサーバへのUPDATE対象外</t>
    <phoneticPr fontId="5"/>
  </si>
  <si>
    <t>実施漏れ？</t>
    <phoneticPr fontId="5"/>
  </si>
  <si>
    <t>2023年度NISA制度対応_1次実施</t>
    <phoneticPr fontId="5"/>
  </si>
  <si>
    <t>2023年度NISA制度対応_3次実施</t>
    <phoneticPr fontId="5"/>
  </si>
  <si>
    <t>実施対象外？</t>
    <phoneticPr fontId="5"/>
  </si>
  <si>
    <t>(0X)安藤証券向けWB4の新NISA対応</t>
    <phoneticPr fontId="5"/>
  </si>
  <si>
    <t>自案件実施後に他の案件が資産を反映したため。</t>
    <phoneticPr fontId="5"/>
  </si>
  <si>
    <t>01</t>
    <phoneticPr fontId="5"/>
  </si>
  <si>
    <t>自案件の後に他案件の実施があったため。</t>
    <phoneticPr fontId="5"/>
  </si>
  <si>
    <t>0G wb</t>
    <phoneticPr fontId="5"/>
  </si>
  <si>
    <t>20240324 新規差分</t>
    <phoneticPr fontId="5"/>
  </si>
  <si>
    <t>他社展開で対応。</t>
    <phoneticPr fontId="5"/>
  </si>
  <si>
    <t>吉澤</t>
    <phoneticPr fontId="5"/>
  </si>
  <si>
    <t>問題ないため、対応なし。</t>
    <phoneticPr fontId="5"/>
  </si>
  <si>
    <t>利用されていない為、本番へのUPDATE対象外</t>
    <phoneticPr fontId="5"/>
  </si>
  <si>
    <t>0G/admin/WEB3AdminLogin.jsp</t>
    <phoneticPr fontId="5"/>
  </si>
  <si>
    <t>0G/pc/WEB3OperatorLogin.jsp</t>
    <phoneticPr fontId="5"/>
  </si>
  <si>
    <t>WEB-INF/KeyCodeDefinition01.properties</t>
    <phoneticPr fontId="5"/>
  </si>
  <si>
    <t>WEB-INF/classes/jp/co/dir/ms/wolf2/WF.properties</t>
    <phoneticPr fontId="5"/>
  </si>
  <si>
    <t>WEB-INF/classes/webbroker3/web/beans/WF.properties</t>
    <phoneticPr fontId="5"/>
  </si>
  <si>
    <t>WEB-INF/web.xml</t>
    <phoneticPr fontId="5"/>
  </si>
  <si>
    <t>WEB-INF/wf_dbsession_node.properties</t>
    <phoneticPr fontId="5"/>
  </si>
  <si>
    <t>0G cw</t>
    <phoneticPr fontId="5"/>
  </si>
  <si>
    <t>rc/test_client/accopen/AccOpenApplyComplete.jsp</t>
    <phoneticPr fontId="5"/>
  </si>
  <si>
    <t>(xx)FinancialPlate導入（SONARからの切替）</t>
    <phoneticPr fontId="5"/>
  </si>
  <si>
    <t>髙田副部長</t>
    <phoneticPr fontId="5"/>
  </si>
  <si>
    <t>20240707 新規差分</t>
    <phoneticPr fontId="5"/>
  </si>
  <si>
    <t>WEB-INF/classes/webbroker3/web/factory/pc/accinfo/AccInfoBaseInfoReferenceFactory.class</t>
    <phoneticPr fontId="5"/>
  </si>
  <si>
    <t>WEB-INF/classes/webbroker3/web/service/pc/accinfo/AccInfoBaseInfoReferenceService.class</t>
    <phoneticPr fontId="5"/>
  </si>
  <si>
    <t>小林（由）</t>
    <phoneticPr fontId="5"/>
  </si>
  <si>
    <t>20240804 新規差分</t>
    <phoneticPr fontId="5"/>
  </si>
  <si>
    <t>WEB-INF/classes/webbroker3/web/define/AD_OR_ParameterConst.class</t>
    <phoneticPr fontId="5"/>
  </si>
  <si>
    <t>WEB-INF/lib/plug-web3-eqtypeadmin.jar</t>
    <phoneticPr fontId="5"/>
  </si>
  <si>
    <t>20241103 新規差分</t>
    <phoneticPr fontId="5"/>
  </si>
  <si>
    <t>WEB-INF/classes/webbroker3/web/beans/admin/eqtypeadmin/WEB3AdminPMFailureOrderDownloadBean.class</t>
    <phoneticPr fontId="5"/>
  </si>
  <si>
    <t>WEB-INF/classes/webbroker3/web/beans/admin/eqtypeadmin/WEB3AdminPMFailureOrderDownloadInputBean.class</t>
    <phoneticPr fontId="5"/>
  </si>
  <si>
    <t>WEB-INF/classes/webbroker3/web/factory/admin/eqtypeadmin/AdminPMFailureOrderDownloadFactory.class</t>
    <phoneticPr fontId="5"/>
  </si>
  <si>
    <t>WEB-INF/classes/webbroker3/web/factory/admin/eqtypeadmin/AdminPMFailureOrderDownloadInputFactory.class</t>
    <phoneticPr fontId="5"/>
  </si>
  <si>
    <t>WEB-INF/classes/webbroker3/web/service/admin/eqtypeadmin/AdminPMFailureOrderDownloadInputService.class</t>
    <phoneticPr fontId="5"/>
  </si>
  <si>
    <t>WEB-INF/classes/webbroker3/web/service/admin/eqtypeadmin/AdminPMFailureOrderDownloadService.class</t>
    <phoneticPr fontId="5"/>
  </si>
  <si>
    <t>WEB-INF/classes/webbroker3/web/util/CategoryCodePropertyUtility.class</t>
    <phoneticPr fontId="5"/>
  </si>
  <si>
    <t>(全社)発注エンジン統合</t>
    <phoneticPr fontId="5"/>
  </si>
  <si>
    <t>info_updatetst.html</t>
    <phoneticPr fontId="5"/>
  </si>
  <si>
    <t>20241201 新規差分</t>
    <phoneticPr fontId="5"/>
  </si>
  <si>
    <t>20250105 新規差分</t>
    <phoneticPr fontId="5"/>
  </si>
  <si>
    <t>WEB-INF/classes/webbroker3/web/beans/pc/gentrade/WEB3PcPostInfoDisplayBean2.class</t>
    <phoneticPr fontId="5"/>
  </si>
  <si>
    <t>WEB-INF/classes/webbroker3/web/beans/pc/mutual/WEB3PcMutualAcmltChangeApplyCompleteBean.class</t>
    <phoneticPr fontId="5"/>
  </si>
  <si>
    <t>WEB-INF/classes/webbroker3/web/beans/pc/mutual/WEB3PcMutualAcmltNewApplyCompleteBean.class</t>
    <phoneticPr fontId="5"/>
  </si>
  <si>
    <t>WEB-INF/classes/webbroker3/web/beans/pc/mutual/WEB3PcMutualApplyCompleteBean.class</t>
    <phoneticPr fontId="5"/>
  </si>
  <si>
    <t>WEB-INF/classes/webbroker3/web/beans/pc/mutual/WEB3PcMutualBuyCompleteBean.class</t>
    <phoneticPr fontId="5"/>
  </si>
  <si>
    <t>WEB-INF/classes/webbroker3/web/beans/pc/mutual/WEB3PcMutualSellCompleteBean.class</t>
    <phoneticPr fontId="5"/>
  </si>
  <si>
    <t>WEB-INF/classes/webbroker3/web/details/gentrade/ZipContainer.class</t>
    <phoneticPr fontId="5"/>
  </si>
  <si>
    <t>common/inputcheck.js</t>
    <phoneticPr fontId="5"/>
  </si>
  <si>
    <t>WEB-INF/classes/webbroker3/web/factory/pc/history/HistoryIsaAnnualBalanceListFactory.class</t>
    <phoneticPr fontId="5"/>
  </si>
  <si>
    <t>WEB-INF/classes/webbroker3/web/service/pc/history/HistoryIsaAnnualBalanceListService.class</t>
    <phoneticPr fontId="5"/>
  </si>
  <si>
    <t>WEB-INF/classes/webbroker3/web/beans/login/WEB3FPTRegistBean.class</t>
    <phoneticPr fontId="5"/>
  </si>
  <si>
    <t>WEB-INF/classes/webbroker3/web/define/BD_ParameterConst.class</t>
    <phoneticPr fontId="5"/>
  </si>
  <si>
    <t>WEB-INF/classes/webbroker3/web/factory/login/FPTRegistFactory.class</t>
    <phoneticPr fontId="5"/>
  </si>
  <si>
    <t>WEB-INF/classes/webbroker3/web/factory/login/OpeAccountAutoLoginFactory.class</t>
    <phoneticPr fontId="5"/>
  </si>
  <si>
    <t>WEB-INF/classes/webbroker3/web/factory/login/SetAccountLoginFactory.class</t>
    <phoneticPr fontId="5"/>
  </si>
  <si>
    <t>WEB-INF/classes/webbroker3/web/factory/pc/accinfo/AccInfoMailAddrChangeInputFactory.class</t>
    <phoneticPr fontId="5"/>
  </si>
  <si>
    <t>WEB-INF/classes/webbroker3/web/factory/pc/bond/BondBalanceReferenceTotalFactory.class</t>
    <phoneticPr fontId="5"/>
  </si>
  <si>
    <t>WEB-INF/classes/webbroker3/web/factory/pc/mutual/MutualBalanceReferenceMutualTotalListFactory.class</t>
    <phoneticPr fontId="5"/>
  </si>
  <si>
    <t>WEB-INF/classes/webbroker3/web/factory/pc/tp/TPFrgnCashBalanceListFactory.class</t>
    <phoneticPr fontId="5"/>
  </si>
  <si>
    <t>WEB-INF/classes/webbroker3/web/service/login/FPTRegistService.class</t>
    <phoneticPr fontId="5"/>
  </si>
  <si>
    <t>WEB-INF/classes/webbroker3/web/service/pc/bond/BondBalanceReferenceTotalService.class</t>
    <phoneticPr fontId="5"/>
  </si>
  <si>
    <t>WEB-INF/classes/webbroker3/web/service/pc/mutual/MutualBalanceReferenceMutualTotalListService.class</t>
    <phoneticPr fontId="5"/>
  </si>
  <si>
    <t>WEB-INF/lib/plug-web3-pvinfo.jar</t>
    <phoneticPr fontId="5"/>
  </si>
  <si>
    <t>本番削除⇒撤退予定のため対応なし</t>
    <phoneticPr fontId="5"/>
  </si>
  <si>
    <t>(09)対面顧客向けネット環境の導入</t>
    <phoneticPr fontId="5"/>
  </si>
  <si>
    <t>(0G)Plateシステム対応_投資案件_12月実施</t>
    <phoneticPr fontId="5"/>
  </si>
  <si>
    <t>(0D)（新NISA）追加要望対応（WB4）</t>
    <phoneticPr fontId="5"/>
  </si>
  <si>
    <t>20250209 新規差分</t>
    <phoneticPr fontId="5"/>
  </si>
  <si>
    <t>五十嵐</t>
    <phoneticPr fontId="5"/>
  </si>
  <si>
    <t>09 wb</t>
    <phoneticPr fontId="5"/>
  </si>
  <si>
    <t>P0/ppc_09/WEB3OperatorLogin.jsp</t>
    <phoneticPr fontId="5"/>
  </si>
  <si>
    <t>cgi-bin</t>
    <phoneticPr fontId="5"/>
  </si>
  <si>
    <t>09 cw</t>
    <phoneticPr fontId="5"/>
  </si>
  <si>
    <t>WEB-INF/lib/plug-web3-tp-admin.jar</t>
    <phoneticPr fontId="5"/>
  </si>
  <si>
    <t>(0D)（新NISA）追加要望対応（WB4）
(09)対面顧客向けネット環境の導入</t>
    <phoneticPr fontId="5"/>
  </si>
  <si>
    <t>WEB-INF/lib/plug-web3-docadmin.jar</t>
    <phoneticPr fontId="5"/>
  </si>
  <si>
    <t>20250309 新規差分</t>
    <phoneticPr fontId="5"/>
  </si>
  <si>
    <t>info_409test.html</t>
    <phoneticPr fontId="5"/>
  </si>
  <si>
    <t>cwサーバにのみ配備する資源のため</t>
    <phoneticPr fontId="5"/>
  </si>
  <si>
    <t>cwサーバーにのみ配備する資源のため</t>
    <phoneticPr fontId="5"/>
  </si>
  <si>
    <t>WEB-INF/classes/webbroker3/web/define/EQ_ParameterConst.class</t>
    <phoneticPr fontId="5"/>
  </si>
  <si>
    <t>WEB-INF/classes/webbroker3/web/define/MR_ParameterConst.class</t>
    <phoneticPr fontId="5"/>
  </si>
  <si>
    <t>WEB-INF/classes/webbroker3/web/details/adminorderexecinq/AdminOREquityOrderExecutionRefUnit.class</t>
    <phoneticPr fontId="5"/>
  </si>
  <si>
    <t>WEB-INF/classes/webbroker3/web/details/equity/EquityChangeCancelHistoryGroup.class</t>
    <phoneticPr fontId="5"/>
  </si>
  <si>
    <t>WEB-INF/classes/webbroker3/web/details/equity/EquityExecuteGroup.class</t>
    <phoneticPr fontId="5"/>
  </si>
  <si>
    <t>WEB-INF/classes/webbroker3/web/details/margin/MarginChangeCancelHistoryGroup.class</t>
    <phoneticPr fontId="5"/>
  </si>
  <si>
    <t>WEB-INF/classes/webbroker3/web/details/margin/MarginExecuteGroup.class</t>
    <phoneticPr fontId="5"/>
  </si>
  <si>
    <t>WEB-INF/classes/webbroker3/web/factory/admin/adminorderexecinq/AdminOREquityOrderExecutionDetailsFactory.class</t>
    <phoneticPr fontId="5"/>
  </si>
  <si>
    <t>WEB-INF/classes/webbroker3/web/factory/admin/adminorderexecinq/AdminOREquityOrderExecutionRefInputFactory.class</t>
    <phoneticPr fontId="5"/>
  </si>
  <si>
    <t>WEB-INF/classes/webbroker3/web/factory/admin/adminorderexecinq/AdminOREquityOrderExecutionRefReferenceFactory.class</t>
    <phoneticPr fontId="5"/>
  </si>
  <si>
    <t>WEB-INF/classes/webbroker3/web/factory/admin/adminorderexecinq/AdminOREquityOrderHistoryFactory.class</t>
    <phoneticPr fontId="5"/>
  </si>
  <si>
    <t>WEB-INF/classes/webbroker3/web/factory/admin/adminorderexecinq/AdminORMarginExecuteDetailsFactory.class</t>
    <phoneticPr fontId="5"/>
  </si>
  <si>
    <t>WEB-INF/classes/webbroker3/web/factory/admin/adminorderexecinq/AdminORMarginOrderHistoryFactory.class</t>
    <phoneticPr fontId="5"/>
  </si>
  <si>
    <t>WEB-INF/classes/webbroker3/web/factory/pc/equity/EquityBuyCompleteFactory.class</t>
    <phoneticPr fontId="5"/>
  </si>
  <si>
    <t>WEB-INF/classes/webbroker3/web/factory/pc/equity/EquityBuyConfirmFactory.class</t>
    <phoneticPr fontId="5"/>
  </si>
  <si>
    <t>WEB-INF/classes/webbroker3/web/factory/pc/equity/EquityBuyInputFactory.class</t>
    <phoneticPr fontId="5"/>
  </si>
  <si>
    <t>WEB-INF/classes/webbroker3/web/factory/pc/equity/EquityCancelCompleteFactory.class</t>
    <phoneticPr fontId="5"/>
  </si>
  <si>
    <t>WEB-INF/classes/webbroker3/web/factory/pc/equity/EquityCancelConfirmFactory.class</t>
    <phoneticPr fontId="5"/>
  </si>
  <si>
    <t>WEB-INF/classes/webbroker3/web/factory/pc/equity/EquityChangeCompleteFactory.class</t>
    <phoneticPr fontId="5"/>
  </si>
  <si>
    <t>WEB-INF/classes/webbroker3/web/factory/pc/equity/EquityChangeConfirmFactory.class</t>
    <phoneticPr fontId="5"/>
  </si>
  <si>
    <t>WEB-INF/classes/webbroker3/web/factory/pc/equity/EquityChangeInputFactory.class</t>
    <phoneticPr fontId="5"/>
  </si>
  <si>
    <t>WEB-INF/classes/webbroker3/web/factory/pc/equity/EquityExecuteDetailsFactory.class</t>
    <phoneticPr fontId="5"/>
  </si>
  <si>
    <t>WEB-INF/classes/webbroker3/web/factory/pc/equity/EquityExecuteReferenceFactory.class</t>
    <phoneticPr fontId="5"/>
  </si>
  <si>
    <t>WEB-INF/classes/webbroker3/web/factory/pc/equity/EquityOrderHistoryFactory.class</t>
    <phoneticPr fontId="5"/>
  </si>
  <si>
    <t>WEB-INF/classes/webbroker3/web/factory/pc/equity/EquitySellCompleteFactory.class</t>
    <phoneticPr fontId="5"/>
  </si>
  <si>
    <t>WEB-INF/classes/webbroker3/web/factory/pc/equity/EquitySellConfirmFactory.class</t>
    <phoneticPr fontId="5"/>
  </si>
  <si>
    <t>WEB-INF/classes/webbroker3/web/factory/pc/equity/EquitySellInputFactory.class</t>
    <phoneticPr fontId="5"/>
  </si>
  <si>
    <t>WEB-INF/classes/webbroker3/web/factory/pc/margin/MarginCloseMarginCancelCompleteFactory.class</t>
    <phoneticPr fontId="5"/>
  </si>
  <si>
    <t>WEB-INF/classes/webbroker3/web/factory/pc/margin/MarginCloseMarginCancelConfirmFactory.class</t>
    <phoneticPr fontId="5"/>
  </si>
  <si>
    <t>WEB-INF/classes/webbroker3/web/factory/pc/margin/MarginCloseMarginChangeCompleteFactory.class</t>
    <phoneticPr fontId="5"/>
  </si>
  <si>
    <t>WEB-INF/classes/webbroker3/web/factory/pc/margin/MarginCloseMarginChangeConfirmFactory.class</t>
    <phoneticPr fontId="5"/>
  </si>
  <si>
    <t>WEB-INF/classes/webbroker3/web/factory/pc/margin/MarginCloseMarginChangeInputFactory.class</t>
    <phoneticPr fontId="5"/>
  </si>
  <si>
    <t>WEB-INF/classes/webbroker3/web/factory/pc/margin/MarginCloseMarginCompleteFactory.class</t>
    <phoneticPr fontId="5"/>
  </si>
  <si>
    <t>WEB-INF/classes/webbroker3/web/factory/pc/margin/MarginCloseMarginConfirmFactory.class</t>
    <phoneticPr fontId="5"/>
  </si>
  <si>
    <t>WEB-INF/classes/webbroker3/web/factory/pc/margin/MarginCloseMarginInputFactory.class</t>
    <phoneticPr fontId="5"/>
  </si>
  <si>
    <t>WEB-INF/classes/webbroker3/web/factory/pc/margin/MarginCloseMarginSortFactory.class</t>
    <phoneticPr fontId="5"/>
  </si>
  <si>
    <t>WEB-INF/classes/webbroker3/web/factory/pc/margin/MarginExecuteDetailsFactory.class</t>
    <phoneticPr fontId="5"/>
  </si>
  <si>
    <t>WEB-INF/classes/webbroker3/web/factory/pc/margin/MarginExecuteReferenceFactory.class</t>
    <phoneticPr fontId="5"/>
  </si>
  <si>
    <t>WEB-INF/classes/webbroker3/web/factory/pc/margin/MarginOpenMarginCancelCompleteFactory.class</t>
    <phoneticPr fontId="5"/>
  </si>
  <si>
    <t>WEB-INF/classes/webbroker3/web/factory/pc/margin/MarginOpenMarginCancelConfirmFactory.class</t>
    <phoneticPr fontId="5"/>
  </si>
  <si>
    <t>WEB-INF/classes/webbroker3/web/factory/pc/margin/MarginOpenMarginChangeCompleteFactory.class</t>
    <phoneticPr fontId="5"/>
  </si>
  <si>
    <t>WEB-INF/classes/webbroker3/web/factory/pc/margin/MarginOpenMarginChangeConfirmFactory.class</t>
    <phoneticPr fontId="5"/>
  </si>
  <si>
    <t>WEB-INF/classes/webbroker3/web/factory/pc/margin/MarginOpenMarginChangeInputFactory.class</t>
    <phoneticPr fontId="5"/>
  </si>
  <si>
    <t>WEB-INF/classes/webbroker3/web/factory/pc/margin/MarginOpenMarginCompleteFactory.class</t>
    <phoneticPr fontId="5"/>
  </si>
  <si>
    <t>WEB-INF/classes/webbroker3/web/factory/pc/margin/MarginOpenMarginConfirmFactory.class</t>
    <phoneticPr fontId="5"/>
  </si>
  <si>
    <t>WEB-INF/classes/webbroker3/web/factory/pc/margin/MarginOpenMarginInputFactory.class</t>
    <phoneticPr fontId="5"/>
  </si>
  <si>
    <t>WEB-INF/classes/webbroker3/web/factory/pc/margin/MarginOrderHistoryFactory.class</t>
    <phoneticPr fontId="5"/>
  </si>
  <si>
    <t>WEB-INF/classes/webbroker3/web/model/EquityOrderInfo.class</t>
    <phoneticPr fontId="5"/>
  </si>
  <si>
    <t>WEB-INF/classes/webbroker3/web/model/MarginOrderInfo.class</t>
    <phoneticPr fontId="5"/>
  </si>
  <si>
    <t>WEB-INF/classes/webbroker3/web/service/admin/adminorderexecinq/AdminOREquityOrderExecutionRefInputService.class</t>
    <phoneticPr fontId="5"/>
  </si>
  <si>
    <t>WEB-INF/classes/webbroker3/web/service/admin/adminorderexecinq/AdminOREquityOrderExecutionRefReferenceService.class</t>
    <phoneticPr fontId="5"/>
  </si>
  <si>
    <t>WEB-INF/classes/webbroker3/web/service/pc/equity/EquityBuyCompleteService.class</t>
    <phoneticPr fontId="5"/>
  </si>
  <si>
    <t>WEB-INF/classes/webbroker3/web/service/pc/equity/EquityBuyConfirmService.class</t>
    <phoneticPr fontId="5"/>
  </si>
  <si>
    <t>WEB-INF/classes/webbroker3/web/service/pc/equity/EquityBuyInputService.class</t>
    <phoneticPr fontId="5"/>
  </si>
  <si>
    <t>WEB-INF/classes/webbroker3/web/service/pc/equity/EquityCancelCompleteService.class</t>
    <phoneticPr fontId="5"/>
  </si>
  <si>
    <t>WEB-INF/classes/webbroker3/web/service/pc/equity/EquityCancelConfirmService.class</t>
    <phoneticPr fontId="5"/>
  </si>
  <si>
    <t>WEB-INF/classes/webbroker3/web/service/pc/equity/EquityChangeCompleteService.class</t>
    <phoneticPr fontId="5"/>
  </si>
  <si>
    <t>WEB-INF/classes/webbroker3/web/service/pc/equity/EquityChangeConfirmService.class</t>
    <phoneticPr fontId="5"/>
  </si>
  <si>
    <t>WEB-INF/classes/webbroker3/web/service/pc/equity/EquityChangeInputService.class</t>
    <phoneticPr fontId="5"/>
  </si>
  <si>
    <t>WEB-INF/classes/webbroker3/web/service/pc/equity/EquityExecuteDetailsService.class</t>
    <phoneticPr fontId="5"/>
  </si>
  <si>
    <t>WEB-INF/classes/webbroker3/web/service/pc/equity/EquitySellCompleteService.class</t>
    <phoneticPr fontId="5"/>
  </si>
  <si>
    <t>WEB-INF/classes/webbroker3/web/service/pc/equity/EquitySellConfirmService.class</t>
    <phoneticPr fontId="5"/>
  </si>
  <si>
    <t>WEB-INF/classes/webbroker3/web/service/pc/equity/EquitySellInputService.class</t>
    <phoneticPr fontId="5"/>
  </si>
  <si>
    <t>WEB-INF/classes/webbroker3/web/service/pc/margin/MarginCloseMarginCancelCompleteService.class</t>
    <phoneticPr fontId="5"/>
  </si>
  <si>
    <t>WEB-INF/classes/webbroker3/web/service/pc/margin/MarginCloseMarginCancelConfirmService.class</t>
    <phoneticPr fontId="5"/>
  </si>
  <si>
    <t>WEB-INF/classes/webbroker3/web/service/pc/margin/MarginCloseMarginChangeCompleteService.class</t>
    <phoneticPr fontId="5"/>
  </si>
  <si>
    <t>WEB-INF/classes/webbroker3/web/service/pc/margin/MarginCloseMarginChangeConfirmService.class</t>
    <phoneticPr fontId="5"/>
  </si>
  <si>
    <t>WEB-INF/classes/webbroker3/web/service/pc/margin/MarginCloseMarginChangeInputService.class</t>
    <phoneticPr fontId="5"/>
  </si>
  <si>
    <t>WEB-INF/classes/webbroker3/web/service/pc/margin/MarginCloseMarginCompleteService.class</t>
    <phoneticPr fontId="5"/>
  </si>
  <si>
    <t>WEB-INF/classes/webbroker3/web/service/pc/margin/MarginCloseMarginConfirmService.class</t>
    <phoneticPr fontId="5"/>
  </si>
  <si>
    <t>WEB-INF/classes/webbroker3/web/service/pc/margin/MarginCloseMarginInputService.class</t>
    <phoneticPr fontId="5"/>
  </si>
  <si>
    <t>WEB-INF/classes/webbroker3/web/service/pc/margin/MarginCloseMarginSortService.class</t>
    <phoneticPr fontId="5"/>
  </si>
  <si>
    <t>WEB-INF/classes/webbroker3/web/service/pc/margin/MarginExecuteDetailsService.class</t>
    <phoneticPr fontId="5"/>
  </si>
  <si>
    <t>WEB-INF/classes/webbroker3/web/service/pc/margin/MarginOpenMarginCancelCompleteService.class</t>
    <phoneticPr fontId="5"/>
  </si>
  <si>
    <t>WEB-INF/classes/webbroker3/web/service/pc/margin/MarginOpenMarginCancelConfirmService.class</t>
    <phoneticPr fontId="5"/>
  </si>
  <si>
    <t>WEB-INF/classes/webbroker3/web/service/pc/margin/MarginOpenMarginChangeCompleteService.class</t>
    <phoneticPr fontId="5"/>
  </si>
  <si>
    <t>WEB-INF/classes/webbroker3/web/service/pc/margin/MarginOpenMarginChangeConfirmService.class</t>
    <phoneticPr fontId="5"/>
  </si>
  <si>
    <t>WEB-INF/classes/webbroker3/web/service/pc/margin/MarginOpenMarginChangeInputService.class</t>
    <phoneticPr fontId="5"/>
  </si>
  <si>
    <t>WEB-INF/classes/webbroker3/web/service/pc/margin/MarginOpenMarginCompleteService.class</t>
    <phoneticPr fontId="5"/>
  </si>
  <si>
    <t>WEB-INF/classes/webbroker3/web/service/pc/margin/MarginOpenMarginConfirmService.class</t>
    <phoneticPr fontId="5"/>
  </si>
  <si>
    <t>WEB-INF/classes/webbroker3/web/service/pc/margin/MarginOpenMarginInputService.class</t>
    <phoneticPr fontId="5"/>
  </si>
  <si>
    <t>WEB-INF/classes/webbroker3/web/util/EquityMarginOrderUtility.class</t>
    <phoneticPr fontId="5"/>
  </si>
  <si>
    <t>WEB-INF/lib/plug-eqtype-base.jar</t>
    <phoneticPr fontId="5"/>
  </si>
  <si>
    <t>(0G)Plateシステム対応_投資案件_12月実施
(09)対面顧客向けネット環境の導入
(09)対面顧客向けネット環境の導入_追加対応</t>
    <phoneticPr fontId="5"/>
  </si>
  <si>
    <t>(09)対面顧客向けネット環境の導入
(09)対面顧客向けネット環境の導入_金商法交付データ連携不具合対応</t>
    <phoneticPr fontId="5"/>
  </si>
  <si>
    <t>(09)対面顧客向けネット環境の導入
(09)対面顧客向けネット環境の導入_追加対応
(09)対面顧客向けネット環境の導入_金商法承諾不具合対応
(09)対面顧客向けネット環境の導入_金商法交付データ連携不具合対応</t>
    <phoneticPr fontId="5"/>
  </si>
  <si>
    <t>(全社)脆弱性対応（2022年）_アクセス制御の不備対応_Pvinfo
ORA-01861（日付形式の暗黙の型変換）の明示変換化_3/1実施</t>
    <phoneticPr fontId="5"/>
  </si>
  <si>
    <t>投資残高1000億決算対応
(0D)（新NISA）追加要望対応（WB4）
(0D)(新NISA)追加要望対応(WB4)_会社条件化　※未実施・2025年4月の他社展開で実施予定</t>
    <phoneticPr fontId="5"/>
  </si>
  <si>
    <t>WEB-INF/classes/webbroker3/web/beans/pc/accinfo/WEB3AccInfoFinancialSearchBean2.class</t>
    <phoneticPr fontId="5"/>
  </si>
  <si>
    <t>20250406 新規差分</t>
    <phoneticPr fontId="5"/>
  </si>
  <si>
    <t>WEB-INF/classes/webbroker3/web/beans/pc/accinfo/WEB3PcAccInfoMynumberAcceptInfoRegistCompleteBean.class</t>
    <phoneticPr fontId="5"/>
  </si>
  <si>
    <t>WEB-INF/classes/webbroker3/web/beans/pc/accinfo/WEB3PcAccInfoMynumberAcceptInfoRegistConfirmBean.class</t>
    <phoneticPr fontId="5"/>
  </si>
  <si>
    <t>WEB-INF/classes/webbroker3/web/beans/pc/accinfo/WEB3PcAccInfoMynumberAcceptInfoRegistInputBean.class</t>
    <phoneticPr fontId="5"/>
  </si>
  <si>
    <t>WEB-INF/classes/webbroker3/web/define/RC_ParameterConst.class</t>
    <phoneticPr fontId="5"/>
  </si>
  <si>
    <t>WEB-INF/classes/webbroker3/web/details/accopen/FinancialInstitution.class</t>
    <phoneticPr fontId="5"/>
  </si>
  <si>
    <t>WEB-INF/classes/webbroker3/web/factory/pc/accinfo/AccInfoAccountInfoRegistListFactory.class</t>
    <phoneticPr fontId="5"/>
  </si>
  <si>
    <t>WEB-INF/classes/webbroker3/web/factory/pc/accinfo/AccInfoMynumberAcceptInfoRegistCompleteFactory.class</t>
    <phoneticPr fontId="5"/>
  </si>
  <si>
    <t>WEB-INF/classes/webbroker3/web/factory/pc/accinfo/AccInfoMynumberAcceptInfoRegistConfirmFactory.class</t>
    <phoneticPr fontId="5"/>
  </si>
  <si>
    <t>WEB-INF/classes/webbroker3/web/factory/pc/accinfo/AccInfoMynumberAcceptInfoRegistInputFactory.class</t>
    <phoneticPr fontId="5"/>
  </si>
  <si>
    <t>WEB-INF/classes/webbroker3/web/factory/rc/accinfo/AccInfoAccountInfoRegistStatusFactory.class</t>
    <phoneticPr fontId="5"/>
  </si>
  <si>
    <t>WEB-INF/classes/webbroker3/web/model/AccInfoMynumberAcceptInfo.class</t>
    <phoneticPr fontId="5"/>
  </si>
  <si>
    <t>WEB-INF/classes/webbroker3/web/service/pc/accinfo/AccInfoAccountInfoRegistStatusService.class</t>
    <phoneticPr fontId="5"/>
  </si>
  <si>
    <t>WEB-INF/classes/webbroker3/web/service/pc/accinfo/AccInfoMynumberAcceptInfoRegistCompleteService.class</t>
    <phoneticPr fontId="5"/>
  </si>
  <si>
    <t>WEB-INF/classes/webbroker3/web/service/pc/accinfo/AccInfoMynumberAcceptInfoRegistConfirmService.class</t>
    <phoneticPr fontId="5"/>
  </si>
  <si>
    <t>WEB-INF/classes/webbroker3/web/service/pc/accinfo/AccInfoMynumberAcceptInfoRegistInputService.class</t>
    <phoneticPr fontId="5"/>
  </si>
  <si>
    <t>WEB-INF/lib/plug-web3-ipo.jar</t>
    <phoneticPr fontId="5"/>
  </si>
  <si>
    <t>テストファイルが混入した。どこから混入したかは不明。</t>
    <phoneticPr fontId="5"/>
  </si>
  <si>
    <t>不要ファイルなので本番から削除します。</t>
    <phoneticPr fontId="5"/>
  </si>
  <si>
    <t>DIR五十嵐</t>
    <phoneticPr fontId="5"/>
  </si>
  <si>
    <t>2025年4月中</t>
    <phoneticPr fontId="5"/>
  </si>
  <si>
    <t>(0C)外債導入対応</t>
    <phoneticPr fontId="5"/>
  </si>
  <si>
    <t>(44)大引け注文対応</t>
    <phoneticPr fontId="5"/>
  </si>
  <si>
    <t>(46)大和ネクスト銀行でのマイナンバー受入確認義務化に関する追加開発</t>
    <phoneticPr fontId="5"/>
  </si>
  <si>
    <t>ORA-01861（日付形式の暗黙の型変換）の明示変換化_3/22実施</t>
    <phoneticPr fontId="5"/>
  </si>
  <si>
    <t>(44)大引け注文対応
ORA-01861（日付形式の暗黙の型変換）の明示変換化_3/22実施</t>
    <phoneticPr fontId="5"/>
  </si>
  <si>
    <t>20250504 新規差分</t>
    <phoneticPr fontId="5"/>
  </si>
  <si>
    <t>WEB-INF/classes/webbroker3/web/factory/pc/feq/FeqBuyCompleteFactory.class</t>
    <phoneticPr fontId="5"/>
  </si>
  <si>
    <t>WEB-INF/classes/webbroker3/web/service/pc/feq/FeqBuyCompleteService.class</t>
    <phoneticPr fontId="5"/>
  </si>
  <si>
    <t>WEB-INF/lib/plug-web3-srvregi.jar</t>
    <phoneticPr fontId="5"/>
  </si>
  <si>
    <t>DIS山田</t>
    <phoneticPr fontId="5"/>
  </si>
  <si>
    <t>(0D)中国株売買画面のリアルタイム株価パーツ入替</t>
    <phoneticPr fontId="5"/>
  </si>
  <si>
    <t>WEB-INF/classes/webbroker3/web/factory/login/AccountLoginFactory.class</t>
    <phoneticPr fontId="5"/>
  </si>
  <si>
    <t>WEB-INF/classes/webbroker3/web/factory/login/LoginAuthCodeConfirmInputFactory.class</t>
    <phoneticPr fontId="5"/>
  </si>
  <si>
    <t>大和ネクスト銀行でのマイナンバー受入確認義務化に関する追加開発</t>
    <phoneticPr fontId="5"/>
  </si>
  <si>
    <t>(46)大和ネクスト銀行でのマイナンバー受入確認義務化に関する追加開発
(44)大引け注文対応</t>
    <phoneticPr fontId="5"/>
  </si>
  <si>
    <t>(44)大引け注文対応
大和ネクスト銀行でのマイナンバー受入確認義務化に関する追加開発</t>
    <phoneticPr fontId="5"/>
  </si>
  <si>
    <t>(44)大引け注文対応
ORA-01861（日付形式の暗黙の型変換）の明示変換化_3/22実施
(0D)中国株売買画面のリアルタイム株価パーツ入替</t>
    <phoneticPr fontId="5"/>
  </si>
  <si>
    <t>ORA-01861（日付形式の暗黙の型変換）の明示変換化_3/22実施
(0D)中国株売買画面のリアルタイム株価パーツ入替</t>
    <phoneticPr fontId="5"/>
  </si>
  <si>
    <t>ORA-01861（日付形式の暗黙の型変換）の明示変換化_3/22実施
大和ネクスト銀行でのマイナンバー受入確認義務化に関する追加開発</t>
    <phoneticPr fontId="5"/>
  </si>
  <si>
    <t>METAずれ</t>
    <phoneticPr fontId="5"/>
  </si>
  <si>
    <t>WEB-INF/classes/webbroker3/web/define/AA_JSPFileNameConst.class</t>
    <phoneticPr fontId="5"/>
  </si>
  <si>
    <t>20250706 新規差分</t>
    <phoneticPr fontId="5"/>
  </si>
  <si>
    <t>WEB-INF/classes/webbroker3/web/factory/login/AccountLoginLcFactory.class</t>
    <phoneticPr fontId="5"/>
  </si>
  <si>
    <t>【保守】(46)出金エラー対応</t>
    <phoneticPr fontId="5"/>
  </si>
  <si>
    <t>ORA-01861（日付形式の暗黙の型変換）の明示変換化_3/22実施
【保守】(46)出金エラー対応</t>
    <phoneticPr fontId="5"/>
  </si>
  <si>
    <t>ログイン時多要素認証の導入_脆弱性対応</t>
    <phoneticPr fontId="5"/>
  </si>
  <si>
    <t>承認者</t>
    <rPh sb="0" eb="2">
      <t>ショウニン</t>
    </rPh>
    <rPh sb="2" eb="3">
      <t>シャ</t>
    </rPh>
    <phoneticPr fontId="3"/>
  </si>
  <si>
    <t>承認日</t>
    <rPh sb="0" eb="2">
      <t>ショウニン</t>
    </rPh>
    <rPh sb="2" eb="3">
      <t>ビ</t>
    </rPh>
    <phoneticPr fontId="3"/>
  </si>
  <si>
    <t>備考</t>
    <rPh sb="0" eb="2">
      <t>ビコウ</t>
    </rPh>
    <phoneticPr fontId="3"/>
  </si>
  <si>
    <t>WEB-INF/classes/webbroker3/web/beans/rc/login/WEB3RcLoginAuthCodeConfirmInputBean.class</t>
    <phoneticPr fontId="5"/>
  </si>
  <si>
    <t>20250810 新規差分</t>
    <phoneticPr fontId="5"/>
  </si>
  <si>
    <t>WEB-INF/classes/webbroker3/web/factory/pc/mutual/MutualAcmltProductListFactory.class</t>
    <phoneticPr fontId="5"/>
  </si>
  <si>
    <t>WEB-INF/classes/webbroker3/web/factory/pc/mutual/MutualBuyListFactory.class</t>
    <phoneticPr fontId="5"/>
  </si>
  <si>
    <t>WEB-INF/classes/webbroker3/web/factory/rc/login/AccountLoginLcFactory.class</t>
    <phoneticPr fontId="5"/>
  </si>
  <si>
    <t>WEB-INF/classes/webbroker3/web/factory/rc/login/LoginAuthCodeConfirmInputFactory.class</t>
    <phoneticPr fontId="5"/>
  </si>
  <si>
    <t>WEB-INF/classes/webbroker3/web/service/pc/mutual/MutualAcmltProductListService.class</t>
    <phoneticPr fontId="5"/>
  </si>
  <si>
    <t>WEB-INF/classes/webbroker3/web/service/pc/mutual/MutualBuyListService.class</t>
    <phoneticPr fontId="5"/>
  </si>
  <si>
    <t>ログイン時多要素認証の導入_API対応</t>
    <phoneticPr fontId="5"/>
  </si>
  <si>
    <t>(0F)投資信託銘柄検索機能の追加</t>
    <phoneticPr fontId="5"/>
  </si>
  <si>
    <t>他社展開前</t>
    <rPh sb="0" eb="5">
      <t>タシャテンカイマエ</t>
    </rPh>
    <phoneticPr fontId="5"/>
  </si>
  <si>
    <t>(46)加入者情報マスターテーブル属性変更</t>
    <phoneticPr fontId="5"/>
  </si>
  <si>
    <t>モジュール情報</t>
    <rPh sb="5" eb="7">
      <t>ジョウホウ</t>
    </rPh>
    <phoneticPr fontId="15"/>
  </si>
  <si>
    <t>No</t>
    <phoneticPr fontId="15"/>
  </si>
  <si>
    <t>サーバー</t>
    <phoneticPr fontId="15"/>
  </si>
  <si>
    <t>ディレクトリ</t>
    <phoneticPr fontId="15"/>
  </si>
  <si>
    <t>File名</t>
    <rPh sb="4" eb="5">
      <t>メイ</t>
    </rPh>
    <phoneticPr fontId="15"/>
  </si>
  <si>
    <t>Size</t>
    <phoneticPr fontId="15"/>
  </si>
  <si>
    <t>TimeStamp</t>
    <phoneticPr fontId="15"/>
  </si>
  <si>
    <t>機能名</t>
    <rPh sb="0" eb="2">
      <t>キノウ</t>
    </rPh>
    <rPh sb="2" eb="3">
      <t>メイ</t>
    </rPh>
    <phoneticPr fontId="15"/>
  </si>
  <si>
    <t>修正
区分</t>
    <rPh sb="0" eb="2">
      <t>シュウセイ</t>
    </rPh>
    <rPh sb="3" eb="5">
      <t>クブン</t>
    </rPh>
    <phoneticPr fontId="15"/>
  </si>
  <si>
    <t>ＵＰ区分</t>
    <rPh sb="2" eb="4">
      <t>クブン</t>
    </rPh>
    <phoneticPr fontId="5"/>
  </si>
  <si>
    <t>44</t>
  </si>
  <si>
    <t>同期</t>
    <rPh sb="0" eb="2">
      <t>ドウキ</t>
    </rPh>
    <phoneticPr fontId="15"/>
  </si>
  <si>
    <t>PR層</t>
  </si>
  <si>
    <t>/wb[cw]/wb[cw]_stage/</t>
  </si>
  <si>
    <t>■(44)大引け注文対応</t>
  </si>
  <si>
    <t>変更</t>
  </si>
  <si>
    <t>通常</t>
  </si>
  <si>
    <t>○</t>
  </si>
  <si>
    <t>■(0D)中国株売買画面のリアルタイム株価パーツ入替</t>
  </si>
  <si>
    <t>■投資信託銘柄検索機能の追加</t>
  </si>
  <si>
    <t>./webbroker3.war/WEB-INF/classes/webbroker3/web/define/</t>
  </si>
  <si>
    <t>CodeValueConst.class</t>
  </si>
  <si>
    <t>./webbroker3.war/WEB-INF/classes/webbroker3/web/beans/</t>
  </si>
  <si>
    <t>application.xml</t>
  </si>
  <si>
    <t>./webbroker3.war/WEB-INF/classes/webbroker3/web/beans/pc/accinfo/</t>
  </si>
  <si>
    <t>配信</t>
    <rPh sb="0" eb="2">
      <t>ハイシン</t>
    </rPh>
    <phoneticPr fontId="15"/>
  </si>
  <si>
    <t>SVN</t>
    <phoneticPr fontId="15"/>
  </si>
  <si>
    <t>移行フェーズ</t>
    <rPh sb="0" eb="2">
      <t>イコウ</t>
    </rPh>
    <phoneticPr fontId="15"/>
  </si>
  <si>
    <t>参考</t>
    <rPh sb="0" eb="2">
      <t>サンコウ</t>
    </rPh>
    <phoneticPr fontId="15"/>
  </si>
  <si>
    <t>環境</t>
    <phoneticPr fontId="15"/>
  </si>
  <si>
    <t>リビジョン</t>
    <phoneticPr fontId="15"/>
  </si>
  <si>
    <t>UP予定日</t>
    <rPh sb="2" eb="5">
      <t>ヨテイビ</t>
    </rPh>
    <phoneticPr fontId="15"/>
  </si>
  <si>
    <t>UP区分</t>
    <phoneticPr fontId="15"/>
  </si>
  <si>
    <t>UP担当者</t>
    <rPh sb="2" eb="5">
      <t>タントウシャ</t>
    </rPh>
    <phoneticPr fontId="15"/>
  </si>
  <si>
    <t>ユーザID</t>
    <phoneticPr fontId="15"/>
  </si>
  <si>
    <t>変更概要（※案件名を記入）</t>
    <phoneticPr fontId="15"/>
  </si>
  <si>
    <t>備考（※定型案件の場合「定型案件」と記入）</t>
    <phoneticPr fontId="15"/>
  </si>
  <si>
    <t>0D</t>
  </si>
  <si>
    <t>■大和ネクスト銀行でのマイナンバー受入確認義務化に関する追加開発</t>
  </si>
  <si>
    <t>P0</t>
  </si>
  <si>
    <t>0C</t>
  </si>
  <si>
    <t>0G</t>
  </si>
  <si>
    <t>46</t>
  </si>
  <si>
    <t>08</t>
  </si>
  <si>
    <t>0H</t>
  </si>
  <si>
    <t>52</t>
  </si>
  <si>
    <t>09</t>
  </si>
  <si>
    <t>44
rch</t>
  </si>
  <si>
    <t>0F</t>
  </si>
  <si>
    <t>0X</t>
  </si>
  <si>
    <t>■ログイン時多要素認証の導入_脆弱性対応</t>
  </si>
  <si>
    <t>AA_JSPFileNameConst.class</t>
  </si>
  <si>
    <t>■ログイン時多要素認証の導入</t>
  </si>
  <si>
    <t>memo</t>
    <phoneticPr fontId="5"/>
  </si>
  <si>
    <t>UPDATEリストチェック</t>
    <phoneticPr fontId="5"/>
  </si>
  <si>
    <t>AP jar 重複</t>
    <rPh sb="7" eb="9">
      <t>チョウフク</t>
    </rPh>
    <phoneticPr fontId="5"/>
  </si>
  <si>
    <t>CodeValueConst.class 記載重複</t>
    <rPh sb="21" eb="23">
      <t>キサイ</t>
    </rPh>
    <rPh sb="23" eb="25">
      <t>チョウフク</t>
    </rPh>
    <phoneticPr fontId="5"/>
  </si>
  <si>
    <t>撤退：フィデリティ</t>
    <rPh sb="0" eb="2">
      <t>テッタイ</t>
    </rPh>
    <phoneticPr fontId="5"/>
  </si>
  <si>
    <t>jsp</t>
    <phoneticPr fontId="5"/>
  </si>
  <si>
    <t>古い差分</t>
    <rPh sb="0" eb="1">
      <t>フル</t>
    </rPh>
    <rPh sb="2" eb="4">
      <t>サブン</t>
    </rPh>
    <phoneticPr fontId="5"/>
  </si>
  <si>
    <t>1：UPDATEリストに記載あり</t>
    <rPh sb="12" eb="14">
      <t>キサイ</t>
    </rPh>
    <phoneticPr fontId="5"/>
  </si>
  <si>
    <t>META</t>
    <phoneticPr fontId="5"/>
  </si>
  <si>
    <t>(0F)投資信託銘柄検索機能の追加</t>
  </si>
  <si>
    <t>WEB-INF/lib/plug-web3-xbmf.jar</t>
  </si>
  <si>
    <t>※ 内藤には　＋ (0D)定時定額金額チェック仕様の改善</t>
  </si>
  <si>
    <t>ログイン時多要素認証の導入_API対応</t>
  </si>
  <si>
    <t>WEB-INF/classes/webbroker3/web/beans/rc/login/WEB3RcLoginAuthCodeConfirmInputBean.class</t>
  </si>
  <si>
    <t>WEB-INF/classes/webbroker3/web/factory/rc/login/AccountLoginLcFactory.class</t>
  </si>
  <si>
    <t>WEB-INF/classes/webbroker3/web/factory/rc/login/LoginAuthCodeConfirmInputFactory.class</t>
  </si>
  <si>
    <t>ログイン時多要素認証の導入_脆弱性対応</t>
  </si>
  <si>
    <t>WEB-INF/lib/web3base.jar</t>
  </si>
  <si>
    <t>'0D</t>
  </si>
  <si>
    <t>'44</t>
  </si>
  <si>
    <t>'0X</t>
  </si>
  <si>
    <t>'46</t>
  </si>
  <si>
    <t>'P0</t>
  </si>
  <si>
    <t>'09</t>
  </si>
  <si>
    <t>'0C</t>
  </si>
  <si>
    <t>'0H</t>
  </si>
  <si>
    <t>'52</t>
  </si>
  <si>
    <t>'0F</t>
  </si>
  <si>
    <t>'0G</t>
  </si>
  <si>
    <t>棚卸しで差分が出ていてUPDATEリストに記載がない</t>
    <rPh sb="0" eb="2">
      <t>タナオロ</t>
    </rPh>
    <rPh sb="4" eb="6">
      <t>サブン</t>
    </rPh>
    <rPh sb="7" eb="8">
      <t>デ</t>
    </rPh>
    <rPh sb="21" eb="23">
      <t>キサイ</t>
    </rPh>
    <phoneticPr fontId="5"/>
  </si>
  <si>
    <t>UPDATEリストの対象にフィデリティ（撤退会社）がある</t>
    <rPh sb="10" eb="12">
      <t>タイショウ</t>
    </rPh>
    <rPh sb="20" eb="22">
      <t>テッタイ</t>
    </rPh>
    <rPh sb="22" eb="24">
      <t>カイシャ</t>
    </rPh>
    <phoneticPr fontId="5"/>
  </si>
  <si>
    <t>UPDATEリストで重複（資源が競合してる場合は、資源が重複しないように、案件名を一緒に記載していない）</t>
    <rPh sb="10" eb="12">
      <t>チョウフク</t>
    </rPh>
    <phoneticPr fontId="5"/>
  </si>
  <si>
    <t>WEB-INF/classes/webbroker3/web/define/CodeValueConst.class</t>
  </si>
  <si>
    <t>(46)大和ネクスト銀行でのマイナンバー受入確認義務化に関する追加開発</t>
  </si>
  <si>
    <t>(44)大引け注文対応</t>
  </si>
  <si>
    <t>WEB-INF/lib/plug-web3-common.jar</t>
  </si>
  <si>
    <t>WEB-INF/lib/plug-web3-xbfeq.jar</t>
  </si>
  <si>
    <t>大和ネクスト銀行でのマイナンバー受入確認義務化に関する追加開発</t>
  </si>
  <si>
    <t>ORA-01861（日付形式の暗黙の型変換）の明示変換化_3/22実施</t>
  </si>
  <si>
    <t>パスキー認証レベルアップ対応_要件38</t>
    <phoneticPr fontId="5"/>
  </si>
  <si>
    <t>WEB-INF/src/jp/co/dir/ms/wolf2/LogCryptParamNames.properties</t>
    <phoneticPr fontId="5"/>
  </si>
  <si>
    <t>WEB3PcAccInfoMfaPskRegistCompleteBean.class</t>
  </si>
  <si>
    <t>■PB00202136_44パスキー未登録顧客のSSO不可対応</t>
  </si>
  <si>
    <t>[ap][wb]</t>
  </si>
  <si>
    <t>WEB3XTradeSessionUpdate0FEqBean.class</t>
  </si>
  <si>
    <t>■PB00201704_0FQUICK連携対応</t>
  </si>
  <si>
    <t>./webbroker3.war/WEB-INF/src/webbroker3/web/beans/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</si>
</sst>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9" x14ac:knownFonts="1">
    <font>
      <sz val="10"/>
      <color theme="1"/>
      <name val="メイリオ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メイリオ"/>
      <family val="2"/>
      <charset val="128"/>
    </font>
    <font>
      <sz val="10"/>
      <color theme="0"/>
      <name val="メイリオ"/>
      <family val="3"/>
      <charset val="128"/>
    </font>
    <font>
      <sz val="10"/>
      <color theme="0"/>
      <name val="メイリオ"/>
      <family val="2"/>
      <charset val="128"/>
    </font>
    <font>
      <sz val="14"/>
      <color theme="1"/>
      <name val="メイリオ"/>
      <family val="2"/>
      <charset val="128"/>
    </font>
    <font>
      <b/>
      <sz val="10"/>
      <color indexed="81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Ｐゴシック"/>
      <family val="3"/>
      <charset val="128"/>
    </font>
    <font>
      <b/>
      <sz val="9"/>
      <color indexed="81"/>
      <name val="メイリオ"/>
      <family val="3"/>
      <charset val="128"/>
    </font>
    <font>
      <sz val="10"/>
      <color theme="1"/>
      <name val="Meiryo UI"/>
      <family val="3"/>
      <charset val="128"/>
    </font>
    <font>
      <i/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i/>
      <sz val="10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/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>
      <alignment vertical="center"/>
    </xf>
    <xf numFmtId="0" fontId="6" fillId="4" borderId="1" xfId="0" applyFont="1" applyFill="1" applyBorder="1" applyAlignment="1">
      <alignment horizontal="centerContinuous" vertical="center"/>
    </xf>
    <xf numFmtId="0" fontId="7" fillId="4" borderId="1" xfId="0" applyFont="1" applyFill="1" applyBorder="1" applyAlignment="1">
      <alignment horizontal="centerContinuous" vertical="center"/>
    </xf>
    <xf numFmtId="0" fontId="6" fillId="5" borderId="1" xfId="0" applyFont="1" applyFill="1" applyBorder="1" applyAlignment="1">
      <alignment horizontal="centerContinuous" vertical="center"/>
    </xf>
    <xf numFmtId="0" fontId="7" fillId="5" borderId="1" xfId="0" applyFont="1" applyFill="1" applyBorder="1" applyAlignment="1">
      <alignment horizontal="centerContinuous" vertical="center"/>
    </xf>
    <xf numFmtId="0" fontId="6" fillId="6" borderId="3" xfId="0" applyFont="1" applyFill="1" applyBorder="1" applyAlignment="1">
      <alignment horizontal="centerContinuous" vertical="center"/>
    </xf>
    <xf numFmtId="0" fontId="7" fillId="6" borderId="3" xfId="0" applyFont="1" applyFill="1" applyBorder="1" applyAlignment="1">
      <alignment horizontal="centerContinuous" vertical="center"/>
    </xf>
    <xf numFmtId="0" fontId="8" fillId="0" borderId="0" xfId="0" applyFont="1">
      <alignment vertical="center"/>
    </xf>
    <xf numFmtId="0" fontId="0" fillId="3" borderId="1" xfId="0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49" fontId="0" fillId="8" borderId="1" xfId="0" applyNumberFormat="1" applyFill="1" applyBorder="1">
      <alignment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Continuous" vertical="center"/>
    </xf>
    <xf numFmtId="0" fontId="7" fillId="9" borderId="1" xfId="0" applyFont="1" applyFill="1" applyBorder="1" applyAlignment="1">
      <alignment horizontal="centerContinuous" vertical="center"/>
    </xf>
    <xf numFmtId="0" fontId="0" fillId="3" borderId="1" xfId="0" applyFill="1" applyBorder="1">
      <alignment vertical="center"/>
    </xf>
    <xf numFmtId="14" fontId="0" fillId="3" borderId="1" xfId="0" applyNumberFormat="1" applyFill="1" applyBorder="1">
      <alignment vertical="center"/>
    </xf>
    <xf numFmtId="14" fontId="0" fillId="7" borderId="1" xfId="0" applyNumberFormat="1" applyFill="1" applyBorder="1">
      <alignment vertical="center"/>
    </xf>
    <xf numFmtId="0" fontId="0" fillId="7" borderId="1" xfId="0" applyFill="1" applyBorder="1">
      <alignment vertical="center"/>
    </xf>
    <xf numFmtId="49" fontId="0" fillId="7" borderId="1" xfId="0" applyNumberFormat="1" applyFill="1" applyBorder="1">
      <alignment vertical="center"/>
    </xf>
    <xf numFmtId="0" fontId="0" fillId="7" borderId="1" xfId="0" applyFill="1" applyBorder="1" applyAlignment="1">
      <alignment vertical="center" wrapText="1"/>
    </xf>
    <xf numFmtId="0" fontId="17" fillId="0" borderId="0" xfId="6" applyFont="1">
      <alignment vertical="center"/>
    </xf>
    <xf numFmtId="0" fontId="18" fillId="0" borderId="4" xfId="6" applyFont="1" applyBorder="1">
      <alignment vertical="center"/>
    </xf>
    <xf numFmtId="49" fontId="18" fillId="0" borderId="4" xfId="6" applyNumberFormat="1" applyFont="1" applyBorder="1">
      <alignment vertical="center"/>
    </xf>
    <xf numFmtId="176" fontId="18" fillId="0" borderId="4" xfId="6" applyNumberFormat="1" applyFont="1" applyBorder="1">
      <alignment vertical="center"/>
    </xf>
    <xf numFmtId="3" fontId="18" fillId="0" borderId="4" xfId="6" applyNumberFormat="1" applyFont="1" applyBorder="1">
      <alignment vertical="center"/>
    </xf>
    <xf numFmtId="0" fontId="18" fillId="0" borderId="4" xfId="6" applyFont="1" applyBorder="1" applyAlignment="1">
      <alignment vertical="center" wrapText="1"/>
    </xf>
    <xf numFmtId="0" fontId="13" fillId="0" borderId="0" xfId="6" applyFont="1">
      <alignment vertical="center"/>
    </xf>
    <xf numFmtId="0" fontId="13" fillId="12" borderId="4" xfId="6" applyFont="1" applyFill="1" applyBorder="1" applyAlignment="1">
      <alignment horizontal="center" vertical="center"/>
    </xf>
    <xf numFmtId="0" fontId="13" fillId="7" borderId="4" xfId="6" applyFont="1" applyFill="1" applyBorder="1" applyAlignment="1">
      <alignment horizontal="center" vertical="center"/>
    </xf>
    <xf numFmtId="0" fontId="13" fillId="11" borderId="4" xfId="6" applyFont="1" applyFill="1" applyBorder="1" applyAlignment="1">
      <alignment horizontal="center" vertical="center" wrapText="1"/>
    </xf>
    <xf numFmtId="0" fontId="13" fillId="2" borderId="4" xfId="6" applyFont="1" applyFill="1" applyBorder="1" applyAlignment="1">
      <alignment horizontal="center" vertical="center" wrapText="1"/>
    </xf>
    <xf numFmtId="49" fontId="13" fillId="2" borderId="4" xfId="6" applyNumberFormat="1" applyFont="1" applyFill="1" applyBorder="1" applyAlignment="1">
      <alignment horizontal="center" vertical="center"/>
    </xf>
    <xf numFmtId="0" fontId="13" fillId="10" borderId="4" xfId="6" applyFont="1" applyFill="1" applyBorder="1" applyAlignment="1">
      <alignment horizontal="center" vertical="center" wrapText="1"/>
    </xf>
    <xf numFmtId="0" fontId="13" fillId="10" borderId="4" xfId="6" applyFont="1" applyFill="1" applyBorder="1" applyAlignment="1">
      <alignment horizontal="centerContinuous" vertical="center" wrapText="1"/>
    </xf>
    <xf numFmtId="0" fontId="13" fillId="10" borderId="4" xfId="6" applyFont="1" applyFill="1" applyBorder="1" applyAlignment="1">
      <alignment horizontal="centerContinuous" vertical="center"/>
    </xf>
    <xf numFmtId="0" fontId="16" fillId="12" borderId="4" xfId="6" applyFont="1" applyFill="1" applyBorder="1" applyAlignment="1">
      <alignment horizontal="centerContinuous" vertical="center"/>
    </xf>
    <xf numFmtId="0" fontId="16" fillId="7" borderId="4" xfId="6" applyFont="1" applyFill="1" applyBorder="1" applyAlignment="1">
      <alignment horizontal="centerContinuous" vertical="center"/>
    </xf>
    <xf numFmtId="0" fontId="17" fillId="11" borderId="4" xfId="6" applyFont="1" applyFill="1" applyBorder="1" applyAlignment="1">
      <alignment horizontal="center" vertical="center" wrapText="1"/>
    </xf>
    <xf numFmtId="0" fontId="17" fillId="2" borderId="4" xfId="6" applyFont="1" applyFill="1" applyBorder="1" applyAlignment="1">
      <alignment horizontal="center" vertical="center" wrapText="1"/>
    </xf>
    <xf numFmtId="49" fontId="17" fillId="2" borderId="4" xfId="6" applyNumberFormat="1" applyFont="1" applyFill="1" applyBorder="1" applyAlignment="1">
      <alignment horizontal="center" vertical="center" wrapText="1"/>
    </xf>
    <xf numFmtId="0" fontId="14" fillId="10" borderId="4" xfId="6" applyFont="1" applyFill="1" applyBorder="1" applyAlignment="1">
      <alignment horizontal="centerContinuous" vertical="center"/>
    </xf>
    <xf numFmtId="0" fontId="16" fillId="10" borderId="4" xfId="6" applyFont="1" applyFill="1" applyBorder="1" applyAlignment="1">
      <alignment horizontal="centerContinuous" vertical="center"/>
    </xf>
    <xf numFmtId="49" fontId="18" fillId="0" borderId="4" xfId="6" applyNumberFormat="1" applyFont="1" applyBorder="1" applyAlignment="1">
      <alignment vertical="center" wrapText="1"/>
    </xf>
    <xf numFmtId="0" fontId="0" fillId="8" borderId="1" xfId="0" applyFill="1" applyBorder="1" applyAlignment="1">
      <alignment vertical="center" wrapText="1"/>
    </xf>
  </cellXfs>
  <cellStyles count="7">
    <cellStyle name="Normal" xfId="0" builtinId="0"/>
    <cellStyle name="標準 2" xfId="1" xr:uid="{00000000-0005-0000-0000-000001000000}"/>
    <cellStyle name="標準 2 2" xfId="4" xr:uid="{00000000-0005-0000-0000-000002000000}"/>
    <cellStyle name="標準 2 3" xfId="5" xr:uid="{C7D06FD4-63A5-432A-A981-CDD3E34A8FD8}"/>
    <cellStyle name="標準 2 4" xfId="6" xr:uid="{EA83D852-8540-4FF1-B64E-46E776754AD2}"/>
    <cellStyle name="標準 3" xfId="3" xr:uid="{00000000-0005-0000-0000-000003000000}"/>
    <cellStyle name="標準 6" xfId="2" xr:uid="{00000000-0005-0000-0000-000004000000}"/>
  </cellStyles>
  <dxfs count="13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810E-9573-4456-878D-FB61B703F59E}">
  <dimension ref="A1:D63"/>
  <sheetViews>
    <sheetView workbookViewId="0"/>
  </sheetViews>
  <sheetFormatPr defaultRowHeight="16.5" x14ac:dyDescent="0.4"/>
  <sheetData>
    <row r="1" spans="1:4" x14ac:dyDescent="0.4">
      <c r="A1" t="s">
        <v>460</v>
      </c>
    </row>
    <row r="2" spans="1:4" x14ac:dyDescent="0.4">
      <c r="B2" t="s">
        <v>462</v>
      </c>
    </row>
    <row r="3" spans="1:4" x14ac:dyDescent="0.4">
      <c r="B3" t="s">
        <v>463</v>
      </c>
    </row>
    <row r="4" spans="1:4" x14ac:dyDescent="0.4">
      <c r="C4" t="s">
        <v>461</v>
      </c>
    </row>
    <row r="5" spans="1:4" x14ac:dyDescent="0.4">
      <c r="D5" t="s">
        <v>447</v>
      </c>
    </row>
    <row r="6" spans="1:4" x14ac:dyDescent="0.4">
      <c r="D6" t="s">
        <v>451</v>
      </c>
    </row>
    <row r="7" spans="1:4" x14ac:dyDescent="0.4">
      <c r="D7" t="s">
        <v>452</v>
      </c>
    </row>
    <row r="8" spans="1:4" x14ac:dyDescent="0.4">
      <c r="D8" t="s">
        <v>453</v>
      </c>
    </row>
    <row r="9" spans="1:4" x14ac:dyDescent="0.4">
      <c r="D9" t="s">
        <v>454</v>
      </c>
    </row>
    <row r="10" spans="1:4" x14ac:dyDescent="0.4">
      <c r="D10" t="s">
        <v>455</v>
      </c>
    </row>
    <row r="11" spans="1:4" x14ac:dyDescent="0.4">
      <c r="D11" t="s">
        <v>456</v>
      </c>
    </row>
    <row r="12" spans="1:4" x14ac:dyDescent="0.4">
      <c r="D12" t="s">
        <v>449</v>
      </c>
    </row>
    <row r="13" spans="1:4" x14ac:dyDescent="0.4">
      <c r="D13" t="s">
        <v>457</v>
      </c>
    </row>
    <row r="14" spans="1:4" x14ac:dyDescent="0.4">
      <c r="B14" t="s">
        <v>463</v>
      </c>
    </row>
    <row r="15" spans="1:4" x14ac:dyDescent="0.4">
      <c r="B15" t="s">
        <v>466</v>
      </c>
    </row>
    <row r="16" spans="1:4" x14ac:dyDescent="0.4">
      <c r="C16" t="s">
        <v>464</v>
      </c>
    </row>
    <row r="17" spans="1:4" x14ac:dyDescent="0.4">
      <c r="D17" t="s">
        <v>454</v>
      </c>
    </row>
    <row r="18" spans="1:4" x14ac:dyDescent="0.4">
      <c r="D18" t="s">
        <v>455</v>
      </c>
    </row>
    <row r="19" spans="1:4" x14ac:dyDescent="0.4">
      <c r="B19" t="s">
        <v>467</v>
      </c>
    </row>
    <row r="20" spans="1:4" x14ac:dyDescent="0.4">
      <c r="C20" t="s">
        <v>465</v>
      </c>
    </row>
    <row r="21" spans="1:4" x14ac:dyDescent="0.4">
      <c r="D21" t="s">
        <v>454</v>
      </c>
    </row>
    <row r="22" spans="1:4" x14ac:dyDescent="0.4">
      <c r="D22" t="s">
        <v>455</v>
      </c>
    </row>
    <row r="24" spans="1:4" x14ac:dyDescent="0.4">
      <c r="A24" t="s">
        <v>458</v>
      </c>
    </row>
    <row r="25" spans="1:4" x14ac:dyDescent="0.4">
      <c r="B25" t="s">
        <v>438</v>
      </c>
    </row>
    <row r="26" spans="1:4" x14ac:dyDescent="0.4">
      <c r="C26" t="s">
        <v>439</v>
      </c>
    </row>
    <row r="27" spans="1:4" x14ac:dyDescent="0.4">
      <c r="D27" t="s">
        <v>447</v>
      </c>
    </row>
    <row r="28" spans="1:4" x14ac:dyDescent="0.4">
      <c r="D28" t="s">
        <v>448</v>
      </c>
    </row>
    <row r="29" spans="1:4" x14ac:dyDescent="0.4">
      <c r="D29" t="s">
        <v>449</v>
      </c>
    </row>
    <row r="30" spans="1:4" x14ac:dyDescent="0.4">
      <c r="D30" t="s">
        <v>450</v>
      </c>
    </row>
    <row r="31" spans="1:4" x14ac:dyDescent="0.4">
      <c r="B31" t="s">
        <v>440</v>
      </c>
    </row>
    <row r="33" spans="2:4" x14ac:dyDescent="0.4">
      <c r="B33" t="s">
        <v>441</v>
      </c>
    </row>
    <row r="34" spans="2:4" x14ac:dyDescent="0.4">
      <c r="C34" t="s">
        <v>442</v>
      </c>
    </row>
    <row r="35" spans="2:4" x14ac:dyDescent="0.4">
      <c r="C35" t="s">
        <v>443</v>
      </c>
    </row>
    <row r="36" spans="2:4" x14ac:dyDescent="0.4">
      <c r="C36" t="s">
        <v>444</v>
      </c>
    </row>
    <row r="37" spans="2:4" x14ac:dyDescent="0.4">
      <c r="D37" t="s">
        <v>447</v>
      </c>
    </row>
    <row r="38" spans="2:4" x14ac:dyDescent="0.4">
      <c r="D38" t="s">
        <v>451</v>
      </c>
    </row>
    <row r="39" spans="2:4" x14ac:dyDescent="0.4">
      <c r="D39" t="s">
        <v>452</v>
      </c>
    </row>
    <row r="40" spans="2:4" x14ac:dyDescent="0.4">
      <c r="D40" t="s">
        <v>448</v>
      </c>
    </row>
    <row r="41" spans="2:4" x14ac:dyDescent="0.4">
      <c r="D41" t="s">
        <v>453</v>
      </c>
    </row>
    <row r="42" spans="2:4" x14ac:dyDescent="0.4">
      <c r="D42" t="s">
        <v>454</v>
      </c>
    </row>
    <row r="43" spans="2:4" x14ac:dyDescent="0.4">
      <c r="D43" t="s">
        <v>455</v>
      </c>
    </row>
    <row r="44" spans="2:4" x14ac:dyDescent="0.4">
      <c r="D44" t="s">
        <v>456</v>
      </c>
    </row>
    <row r="45" spans="2:4" x14ac:dyDescent="0.4">
      <c r="D45" t="s">
        <v>449</v>
      </c>
    </row>
    <row r="46" spans="2:4" x14ac:dyDescent="0.4">
      <c r="D46" t="s">
        <v>457</v>
      </c>
    </row>
    <row r="48" spans="2:4" x14ac:dyDescent="0.4">
      <c r="B48" t="s">
        <v>445</v>
      </c>
    </row>
    <row r="49" spans="1:4" x14ac:dyDescent="0.4">
      <c r="C49" t="s">
        <v>446</v>
      </c>
    </row>
    <row r="50" spans="1:4" x14ac:dyDescent="0.4">
      <c r="D50" t="s">
        <v>451</v>
      </c>
    </row>
    <row r="51" spans="1:4" x14ac:dyDescent="0.4">
      <c r="D51" t="s">
        <v>452</v>
      </c>
    </row>
    <row r="52" spans="1:4" x14ac:dyDescent="0.4">
      <c r="D52" t="s">
        <v>453</v>
      </c>
    </row>
    <row r="53" spans="1:4" x14ac:dyDescent="0.4">
      <c r="D53" t="s">
        <v>454</v>
      </c>
    </row>
    <row r="54" spans="1:4" x14ac:dyDescent="0.4">
      <c r="D54" t="s">
        <v>455</v>
      </c>
    </row>
    <row r="55" spans="1:4" x14ac:dyDescent="0.4">
      <c r="D55" t="s">
        <v>457</v>
      </c>
    </row>
    <row r="56" spans="1:4" x14ac:dyDescent="0.4">
      <c r="A56" t="s">
        <v>459</v>
      </c>
    </row>
    <row r="57" spans="1:4" x14ac:dyDescent="0.4">
      <c r="B57" t="s">
        <v>394</v>
      </c>
    </row>
    <row r="58" spans="1:4" x14ac:dyDescent="0.4">
      <c r="B58" t="s">
        <v>390</v>
      </c>
    </row>
    <row r="59" spans="1:4" x14ac:dyDescent="0.4">
      <c r="B59" t="s">
        <v>414</v>
      </c>
    </row>
    <row r="60" spans="1:4" x14ac:dyDescent="0.4">
      <c r="B60" t="s">
        <v>395</v>
      </c>
    </row>
    <row r="61" spans="1:4" x14ac:dyDescent="0.4">
      <c r="B61" t="s">
        <v>441</v>
      </c>
    </row>
    <row r="62" spans="1:4" x14ac:dyDescent="0.4">
      <c r="B62" t="s">
        <v>428</v>
      </c>
    </row>
    <row r="63" spans="1:4" x14ac:dyDescent="0.4">
      <c r="B63" t="s">
        <v>426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5479-C5CF-43E6-9B30-D617F276BC7A}">
  <sheetPr codeName="Sheet19" filterMode="1"/>
  <dimension ref="A1:Z2959"/>
  <sheetViews>
    <sheetView showGridLines="0" workbookViewId="0">
      <pane xSplit="2" ySplit="3" topLeftCell="C131" activePane="bottomRight" state="frozen"/>
      <selection pane="topRight" activeCell="C1" sqref="C1"/>
      <selection pane="bottomLeft" activeCell="A4" sqref="A4"/>
      <selection pane="bottomRight" activeCell="C131" sqref="C131"/>
    </sheetView>
  </sheetViews>
  <sheetFormatPr defaultColWidth="8.625" defaultRowHeight="24.95" customHeight="1" x14ac:dyDescent="0.4"/>
  <cols>
    <col min="1" max="1" width="6.625" style="17" customWidth="1"/>
    <col min="2" max="2" width="60.625" style="15" customWidth="1"/>
    <col min="3" max="4" width="9.625" style="16" customWidth="1"/>
    <col min="5" max="5" width="15.625" style="15" customWidth="1"/>
    <col min="6" max="6" width="20.625" style="15" customWidth="1"/>
    <col min="7" max="7" width="5.625" style="25" hidden="1" customWidth="1"/>
    <col min="8" max="9" width="30.625" style="24" hidden="1" customWidth="1"/>
    <col min="10" max="10" width="10.625" style="24" hidden="1" customWidth="1"/>
    <col min="11" max="12" width="10.625" style="23" hidden="1" customWidth="1"/>
    <col min="13" max="13" width="5.625" style="21" customWidth="1"/>
    <col min="14" max="15" width="20.625" style="21" customWidth="1"/>
    <col min="16" max="16" width="10.625" style="21" customWidth="1"/>
    <col min="17" max="17" width="8.625" style="21"/>
    <col min="18" max="18" width="10.625" style="22" customWidth="1"/>
    <col min="19" max="19" width="0" style="1" hidden="1" customWidth="1"/>
    <col min="20" max="20" width="10.625" style="14" hidden="1" customWidth="1"/>
    <col min="21" max="21" width="20.625" style="1" hidden="1" customWidth="1"/>
  </cols>
  <sheetData>
    <row r="1" spans="1:26" ht="24.95" customHeight="1" x14ac:dyDescent="0.4">
      <c r="A1" s="12" t="s">
        <v>21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spans="1:26" ht="24.95" customHeight="1" x14ac:dyDescent="0.4">
      <c r="A2" s="11" t="s">
        <v>20</v>
      </c>
      <c r="B2" s="10" t="s">
        <v>19</v>
      </c>
      <c r="C2" s="10" t="s">
        <v>18</v>
      </c>
      <c r="D2" s="10" t="s">
        <v>17</v>
      </c>
      <c r="E2" s="10" t="s">
        <v>16</v>
      </c>
      <c r="F2" s="10" t="s">
        <v>15</v>
      </c>
      <c r="G2" s="20" t="s">
        <v>14</v>
      </c>
      <c r="H2" s="19"/>
      <c r="I2" s="19" t="s">
        <v>13</v>
      </c>
      <c r="J2" s="19"/>
      <c r="K2" s="19"/>
      <c r="L2" s="19"/>
      <c r="M2" s="9" t="s">
        <v>12</v>
      </c>
      <c r="N2" s="8"/>
      <c r="O2" s="8"/>
      <c r="P2" s="8"/>
      <c r="Q2" s="8"/>
      <c r="R2" s="8"/>
      <c r="S2" s="7" t="s">
        <v>11</v>
      </c>
      <c r="T2" s="6"/>
      <c r="U2" s="6"/>
      <c r="W2" t="s">
        <v>436</v>
      </c>
    </row>
    <row r="3" spans="1:26" ht="24.95" customHeight="1" x14ac:dyDescent="0.4">
      <c r="A3" s="5"/>
      <c r="B3" s="5"/>
      <c r="C3" s="4">
        <v>20250810</v>
      </c>
      <c r="D3" s="4">
        <v>1713128</v>
      </c>
      <c r="E3" s="4"/>
      <c r="F3" s="4"/>
      <c r="G3" s="18" t="s">
        <v>10</v>
      </c>
      <c r="H3" s="18" t="s">
        <v>9</v>
      </c>
      <c r="I3" s="18" t="s">
        <v>4</v>
      </c>
      <c r="J3" s="18" t="s">
        <v>8</v>
      </c>
      <c r="K3" s="18" t="s">
        <v>7</v>
      </c>
      <c r="L3" s="18" t="s">
        <v>6</v>
      </c>
      <c r="M3" s="3" t="s">
        <v>5</v>
      </c>
      <c r="N3" s="3" t="s">
        <v>4</v>
      </c>
      <c r="O3" s="3" t="s">
        <v>3</v>
      </c>
      <c r="P3" s="3" t="s">
        <v>2</v>
      </c>
      <c r="Q3" s="3" t="s">
        <v>1</v>
      </c>
      <c r="R3" s="3" t="s">
        <v>0</v>
      </c>
      <c r="S3" s="2" t="s">
        <v>361</v>
      </c>
      <c r="T3" s="2" t="s">
        <v>362</v>
      </c>
      <c r="U3" s="2" t="s">
        <v>363</v>
      </c>
      <c r="W3" t="s">
        <v>430</v>
      </c>
      <c r="Z3" t="s">
        <v>429</v>
      </c>
    </row>
    <row r="4" spans="1:26" ht="24.95" hidden="1" customHeight="1" x14ac:dyDescent="0.4">
      <c r="A4" s="17" t="s">
        <v>29</v>
      </c>
      <c r="B4" s="15" t="s">
        <v>30</v>
      </c>
      <c r="C4" s="16" t="s">
        <v>393</v>
      </c>
      <c r="D4" s="16" t="s">
        <v>31</v>
      </c>
      <c r="E4" s="15" t="s">
        <v>32</v>
      </c>
      <c r="F4" s="15" t="s">
        <v>80</v>
      </c>
      <c r="M4" s="21" t="s">
        <v>81</v>
      </c>
      <c r="N4" s="21" t="s">
        <v>97</v>
      </c>
      <c r="O4" s="21" t="s">
        <v>93</v>
      </c>
      <c r="P4" s="21" t="s">
        <v>98</v>
      </c>
      <c r="W4">
        <f>COUNTIF(内藤証券!U:U,B4)</f>
        <v>0</v>
      </c>
      <c r="Z4" t="s">
        <v>434</v>
      </c>
    </row>
    <row r="5" spans="1:26" ht="24.95" hidden="1" customHeight="1" x14ac:dyDescent="0.4">
      <c r="A5" s="17" t="s">
        <v>29</v>
      </c>
      <c r="B5" s="15" t="s">
        <v>34</v>
      </c>
      <c r="C5" s="16" t="s">
        <v>24</v>
      </c>
      <c r="D5" s="16" t="s">
        <v>31</v>
      </c>
      <c r="E5" s="15" t="s">
        <v>35</v>
      </c>
      <c r="F5" s="15" t="s">
        <v>80</v>
      </c>
      <c r="G5" s="25" t="s">
        <v>23</v>
      </c>
      <c r="H5" s="26" t="s">
        <v>36</v>
      </c>
      <c r="I5" s="24" t="s">
        <v>24</v>
      </c>
      <c r="J5" s="24" t="s">
        <v>24</v>
      </c>
      <c r="K5" s="23" t="s">
        <v>24</v>
      </c>
      <c r="L5" s="23" t="s">
        <v>24</v>
      </c>
      <c r="N5" s="13" t="s">
        <v>82</v>
      </c>
      <c r="O5" s="21" t="s">
        <v>83</v>
      </c>
      <c r="R5" s="22" t="s">
        <v>24</v>
      </c>
      <c r="W5">
        <f>COUNTIF(内藤証券!U:U,B5)</f>
        <v>0</v>
      </c>
      <c r="Z5" t="s">
        <v>434</v>
      </c>
    </row>
    <row r="6" spans="1:26" ht="24.95" hidden="1" customHeight="1" x14ac:dyDescent="0.4">
      <c r="A6" s="17" t="s">
        <v>29</v>
      </c>
      <c r="B6" s="15" t="s">
        <v>115</v>
      </c>
      <c r="C6" s="16" t="s">
        <v>31</v>
      </c>
      <c r="D6" s="16" t="s">
        <v>31</v>
      </c>
      <c r="E6" s="15" t="s">
        <v>32</v>
      </c>
      <c r="F6" s="15" t="s">
        <v>184</v>
      </c>
      <c r="N6" s="21" t="s">
        <v>96</v>
      </c>
      <c r="O6" s="21" t="s">
        <v>337</v>
      </c>
      <c r="Q6" s="21" t="s">
        <v>344</v>
      </c>
      <c r="R6" s="22">
        <v>45814</v>
      </c>
      <c r="W6">
        <f>COUNTIF(内藤証券!U:U,B6)</f>
        <v>0</v>
      </c>
    </row>
    <row r="7" spans="1:26" ht="24.95" hidden="1" customHeight="1" x14ac:dyDescent="0.4">
      <c r="A7" s="17" t="s">
        <v>29</v>
      </c>
      <c r="B7" s="15" t="s">
        <v>313</v>
      </c>
      <c r="C7" s="16" t="s">
        <v>24</v>
      </c>
      <c r="D7" s="16" t="s">
        <v>31</v>
      </c>
      <c r="E7" s="15" t="s">
        <v>35</v>
      </c>
      <c r="F7" s="15" t="s">
        <v>314</v>
      </c>
      <c r="N7" s="21" t="s">
        <v>96</v>
      </c>
      <c r="O7" s="21" t="s">
        <v>337</v>
      </c>
      <c r="Q7" s="21" t="s">
        <v>344</v>
      </c>
      <c r="R7" s="22">
        <v>45756</v>
      </c>
      <c r="W7">
        <f>COUNTIF(内藤証券!U:U,B7)</f>
        <v>0</v>
      </c>
    </row>
    <row r="8" spans="1:26" ht="24.95" hidden="1" customHeight="1" x14ac:dyDescent="0.4">
      <c r="A8" s="17" t="s">
        <v>29</v>
      </c>
      <c r="B8" s="15" t="s">
        <v>315</v>
      </c>
      <c r="C8" s="16" t="s">
        <v>24</v>
      </c>
      <c r="D8" s="16" t="s">
        <v>31</v>
      </c>
      <c r="E8" s="15" t="s">
        <v>35</v>
      </c>
      <c r="F8" s="15" t="s">
        <v>314</v>
      </c>
      <c r="N8" s="21" t="s">
        <v>96</v>
      </c>
      <c r="O8" s="21" t="s">
        <v>337</v>
      </c>
      <c r="Q8" s="21" t="s">
        <v>344</v>
      </c>
      <c r="R8" s="22">
        <v>45756</v>
      </c>
      <c r="W8">
        <f>COUNTIF(内藤証券!U:U,B8)</f>
        <v>0</v>
      </c>
    </row>
    <row r="9" spans="1:26" ht="24.95" hidden="1" customHeight="1" x14ac:dyDescent="0.4">
      <c r="A9" s="17" t="s">
        <v>29</v>
      </c>
      <c r="B9" s="15" t="s">
        <v>316</v>
      </c>
      <c r="C9" s="16" t="s">
        <v>24</v>
      </c>
      <c r="D9" s="16" t="s">
        <v>31</v>
      </c>
      <c r="E9" s="15" t="s">
        <v>35</v>
      </c>
      <c r="F9" s="15" t="s">
        <v>314</v>
      </c>
      <c r="N9" s="21" t="s">
        <v>96</v>
      </c>
      <c r="O9" s="21" t="s">
        <v>337</v>
      </c>
      <c r="Q9" s="21" t="s">
        <v>344</v>
      </c>
      <c r="R9" s="22">
        <v>45756</v>
      </c>
      <c r="W9">
        <f>COUNTIF(内藤証券!U:U,B9)</f>
        <v>0</v>
      </c>
    </row>
    <row r="10" spans="1:26" ht="24.95" hidden="1" customHeight="1" x14ac:dyDescent="0.4">
      <c r="A10" s="17" t="s">
        <v>29</v>
      </c>
      <c r="B10" s="15" t="s">
        <v>317</v>
      </c>
      <c r="C10" s="16" t="s">
        <v>24</v>
      </c>
      <c r="D10" s="16" t="s">
        <v>31</v>
      </c>
      <c r="E10" s="15" t="s">
        <v>35</v>
      </c>
      <c r="F10" s="15" t="s">
        <v>314</v>
      </c>
      <c r="N10" s="21" t="s">
        <v>96</v>
      </c>
      <c r="O10" s="21" t="s">
        <v>337</v>
      </c>
      <c r="Q10" s="21" t="s">
        <v>344</v>
      </c>
      <c r="R10" s="22">
        <v>45756</v>
      </c>
      <c r="W10">
        <f>COUNTIF(内藤証券!U:U,B10)</f>
        <v>0</v>
      </c>
    </row>
    <row r="11" spans="1:26" ht="24.95" hidden="1" customHeight="1" x14ac:dyDescent="0.4">
      <c r="A11" s="17" t="s">
        <v>29</v>
      </c>
      <c r="B11" s="50" t="s">
        <v>364</v>
      </c>
      <c r="C11" s="16" t="s">
        <v>24</v>
      </c>
      <c r="D11" s="16" t="s">
        <v>31</v>
      </c>
      <c r="E11" s="15" t="s">
        <v>35</v>
      </c>
      <c r="F11" s="15" t="s">
        <v>365</v>
      </c>
      <c r="N11" s="21" t="s">
        <v>96</v>
      </c>
      <c r="O11" s="21" t="s">
        <v>372</v>
      </c>
      <c r="Q11" s="21" t="s">
        <v>344</v>
      </c>
      <c r="R11" s="22">
        <v>45883</v>
      </c>
      <c r="W11">
        <f>COUNTIF(内藤証券!U:U,B11)</f>
        <v>0</v>
      </c>
    </row>
    <row r="12" spans="1:26" ht="24.95" hidden="1" customHeight="1" x14ac:dyDescent="0.4">
      <c r="A12" s="17" t="s">
        <v>29</v>
      </c>
      <c r="B12" s="15" t="s">
        <v>171</v>
      </c>
      <c r="C12" s="16" t="s">
        <v>31</v>
      </c>
      <c r="D12" s="16" t="s">
        <v>31</v>
      </c>
      <c r="E12" s="15" t="s">
        <v>32</v>
      </c>
      <c r="F12" s="15" t="s">
        <v>314</v>
      </c>
      <c r="N12" s="21" t="s">
        <v>96</v>
      </c>
      <c r="O12" s="21" t="s">
        <v>336</v>
      </c>
      <c r="Q12" s="21" t="s">
        <v>344</v>
      </c>
      <c r="R12" s="22">
        <v>45756</v>
      </c>
      <c r="W12">
        <f>COUNTIF(内藤証券!U:U,B12)</f>
        <v>0</v>
      </c>
    </row>
    <row r="13" spans="1:26" ht="24.95" hidden="1" customHeight="1" x14ac:dyDescent="0.4">
      <c r="A13" s="17" t="s">
        <v>29</v>
      </c>
      <c r="B13" s="15" t="s">
        <v>123</v>
      </c>
      <c r="C13" s="16" t="s">
        <v>31</v>
      </c>
      <c r="D13" s="16" t="s">
        <v>31</v>
      </c>
      <c r="E13" s="15" t="s">
        <v>32</v>
      </c>
      <c r="F13" s="15" t="s">
        <v>212</v>
      </c>
      <c r="N13" s="21" t="s">
        <v>96</v>
      </c>
      <c r="O13" s="21" t="s">
        <v>337</v>
      </c>
      <c r="Q13" s="21" t="s">
        <v>344</v>
      </c>
      <c r="R13" s="22">
        <v>45814</v>
      </c>
      <c r="W13">
        <f>COUNTIF(内藤証券!U:U,B13)</f>
        <v>0</v>
      </c>
    </row>
    <row r="14" spans="1:26" ht="24.95" hidden="1" customHeight="1" x14ac:dyDescent="0.4">
      <c r="A14" s="17" t="s">
        <v>29</v>
      </c>
      <c r="B14" s="15" t="s">
        <v>37</v>
      </c>
      <c r="C14" s="16" t="s">
        <v>31</v>
      </c>
      <c r="D14" s="16" t="s">
        <v>31</v>
      </c>
      <c r="E14" s="15" t="s">
        <v>32</v>
      </c>
      <c r="F14" s="15" t="s">
        <v>212</v>
      </c>
      <c r="N14" s="21" t="s">
        <v>96</v>
      </c>
      <c r="O14" s="13" t="s">
        <v>349</v>
      </c>
      <c r="Q14" s="21" t="s">
        <v>344</v>
      </c>
      <c r="R14" s="22">
        <v>45814</v>
      </c>
      <c r="W14">
        <f>COUNTIF(内藤証券!U:U,B14)</f>
        <v>1</v>
      </c>
      <c r="Z14" t="s">
        <v>432</v>
      </c>
    </row>
    <row r="15" spans="1:26" ht="24.95" hidden="1" customHeight="1" x14ac:dyDescent="0.4">
      <c r="A15" s="17" t="s">
        <v>29</v>
      </c>
      <c r="B15" s="15" t="s">
        <v>225</v>
      </c>
      <c r="C15" s="16" t="s">
        <v>31</v>
      </c>
      <c r="D15" s="16" t="s">
        <v>31</v>
      </c>
      <c r="E15" s="15" t="s">
        <v>32</v>
      </c>
      <c r="F15" s="15" t="s">
        <v>314</v>
      </c>
      <c r="N15" s="21" t="s">
        <v>96</v>
      </c>
      <c r="O15" s="21" t="s">
        <v>336</v>
      </c>
      <c r="Q15" s="21" t="s">
        <v>344</v>
      </c>
      <c r="R15" s="22">
        <v>45756</v>
      </c>
      <c r="W15">
        <f>COUNTIF(内藤証券!U:U,B15)</f>
        <v>0</v>
      </c>
    </row>
    <row r="16" spans="1:26" ht="24.95" hidden="1" customHeight="1" x14ac:dyDescent="0.4">
      <c r="A16" s="17" t="s">
        <v>29</v>
      </c>
      <c r="B16" s="15" t="s">
        <v>126</v>
      </c>
      <c r="C16" s="16" t="s">
        <v>31</v>
      </c>
      <c r="D16" s="16" t="s">
        <v>31</v>
      </c>
      <c r="E16" s="15" t="s">
        <v>32</v>
      </c>
      <c r="F16" s="15" t="s">
        <v>365</v>
      </c>
      <c r="N16" s="21" t="s">
        <v>374</v>
      </c>
      <c r="O16" s="21" t="s">
        <v>373</v>
      </c>
      <c r="Q16" s="21" t="s">
        <v>344</v>
      </c>
      <c r="R16" s="22">
        <v>45883</v>
      </c>
      <c r="W16">
        <f>COUNTIF(内藤証券!U:U,B16)</f>
        <v>0</v>
      </c>
    </row>
    <row r="17" spans="1:23" ht="24.95" hidden="1" customHeight="1" x14ac:dyDescent="0.4">
      <c r="A17" s="17" t="s">
        <v>29</v>
      </c>
      <c r="B17" s="15" t="s">
        <v>226</v>
      </c>
      <c r="C17" s="16" t="s">
        <v>31</v>
      </c>
      <c r="D17" s="16" t="s">
        <v>31</v>
      </c>
      <c r="E17" s="15" t="s">
        <v>32</v>
      </c>
      <c r="F17" s="15" t="s">
        <v>314</v>
      </c>
      <c r="N17" s="21" t="s">
        <v>96</v>
      </c>
      <c r="O17" s="21" t="s">
        <v>336</v>
      </c>
      <c r="Q17" s="21" t="s">
        <v>344</v>
      </c>
      <c r="R17" s="22">
        <v>45756</v>
      </c>
      <c r="W17">
        <f>COUNTIF(内藤証券!U:U,B17)</f>
        <v>0</v>
      </c>
    </row>
    <row r="18" spans="1:23" ht="24.95" hidden="1" customHeight="1" x14ac:dyDescent="0.4">
      <c r="A18" s="17" t="s">
        <v>29</v>
      </c>
      <c r="B18" s="15" t="s">
        <v>318</v>
      </c>
      <c r="C18" s="16" t="s">
        <v>31</v>
      </c>
      <c r="D18" s="16" t="s">
        <v>31</v>
      </c>
      <c r="E18" s="15" t="s">
        <v>32</v>
      </c>
      <c r="F18" s="15" t="s">
        <v>314</v>
      </c>
      <c r="N18" s="21" t="s">
        <v>96</v>
      </c>
      <c r="O18" s="21" t="s">
        <v>337</v>
      </c>
      <c r="Q18" s="21" t="s">
        <v>344</v>
      </c>
      <c r="R18" s="22">
        <v>45756</v>
      </c>
      <c r="W18">
        <f>COUNTIF(内藤証券!U:U,B18)</f>
        <v>0</v>
      </c>
    </row>
    <row r="19" spans="1:23" ht="24.95" hidden="1" customHeight="1" x14ac:dyDescent="0.4">
      <c r="A19" s="17" t="s">
        <v>29</v>
      </c>
      <c r="B19" s="15" t="s">
        <v>118</v>
      </c>
      <c r="C19" s="16" t="s">
        <v>31</v>
      </c>
      <c r="D19" s="16" t="s">
        <v>31</v>
      </c>
      <c r="E19" s="15" t="s">
        <v>32</v>
      </c>
      <c r="F19" s="15" t="s">
        <v>314</v>
      </c>
      <c r="N19" s="21" t="s">
        <v>96</v>
      </c>
      <c r="O19" s="21" t="s">
        <v>337</v>
      </c>
      <c r="Q19" s="21" t="s">
        <v>344</v>
      </c>
      <c r="R19" s="22">
        <v>45756</v>
      </c>
      <c r="W19">
        <f>COUNTIF(内藤証券!U:U,B19)</f>
        <v>0</v>
      </c>
    </row>
    <row r="20" spans="1:23" ht="24.95" hidden="1" customHeight="1" x14ac:dyDescent="0.4">
      <c r="A20" s="17" t="s">
        <v>29</v>
      </c>
      <c r="B20" s="15" t="s">
        <v>319</v>
      </c>
      <c r="C20" s="16" t="s">
        <v>31</v>
      </c>
      <c r="D20" s="16" t="s">
        <v>31</v>
      </c>
      <c r="E20" s="15" t="s">
        <v>32</v>
      </c>
      <c r="F20" s="15" t="s">
        <v>314</v>
      </c>
      <c r="N20" s="21" t="s">
        <v>96</v>
      </c>
      <c r="O20" s="21" t="s">
        <v>337</v>
      </c>
      <c r="Q20" s="21" t="s">
        <v>344</v>
      </c>
      <c r="R20" s="22">
        <v>45756</v>
      </c>
      <c r="W20">
        <f>COUNTIF(内藤証券!U:U,B20)</f>
        <v>0</v>
      </c>
    </row>
    <row r="21" spans="1:23" ht="24.95" hidden="1" customHeight="1" x14ac:dyDescent="0.4">
      <c r="A21" s="17" t="s">
        <v>29</v>
      </c>
      <c r="B21" s="15" t="s">
        <v>227</v>
      </c>
      <c r="C21" s="16" t="s">
        <v>31</v>
      </c>
      <c r="D21" s="16" t="s">
        <v>31</v>
      </c>
      <c r="E21" s="15" t="s">
        <v>32</v>
      </c>
      <c r="F21" s="15" t="s">
        <v>314</v>
      </c>
      <c r="N21" s="21" t="s">
        <v>96</v>
      </c>
      <c r="O21" s="21" t="s">
        <v>336</v>
      </c>
      <c r="Q21" s="21" t="s">
        <v>344</v>
      </c>
      <c r="R21" s="22">
        <v>45756</v>
      </c>
      <c r="W21">
        <f>COUNTIF(内藤証券!U:U,B21)</f>
        <v>0</v>
      </c>
    </row>
    <row r="22" spans="1:23" ht="24.95" hidden="1" customHeight="1" x14ac:dyDescent="0.4">
      <c r="A22" s="17" t="s">
        <v>29</v>
      </c>
      <c r="B22" s="15" t="s">
        <v>228</v>
      </c>
      <c r="C22" s="16" t="s">
        <v>31</v>
      </c>
      <c r="D22" s="16" t="s">
        <v>31</v>
      </c>
      <c r="E22" s="15" t="s">
        <v>32</v>
      </c>
      <c r="F22" s="15" t="s">
        <v>314</v>
      </c>
      <c r="N22" s="21" t="s">
        <v>96</v>
      </c>
      <c r="O22" s="21" t="s">
        <v>336</v>
      </c>
      <c r="Q22" s="21" t="s">
        <v>344</v>
      </c>
      <c r="R22" s="22">
        <v>45756</v>
      </c>
      <c r="W22">
        <f>COUNTIF(内藤証券!U:U,B22)</f>
        <v>0</v>
      </c>
    </row>
    <row r="23" spans="1:23" ht="24.95" hidden="1" customHeight="1" x14ac:dyDescent="0.4">
      <c r="A23" s="17" t="s">
        <v>29</v>
      </c>
      <c r="B23" s="15" t="s">
        <v>229</v>
      </c>
      <c r="C23" s="16" t="s">
        <v>31</v>
      </c>
      <c r="D23" s="16" t="s">
        <v>31</v>
      </c>
      <c r="E23" s="15" t="s">
        <v>32</v>
      </c>
      <c r="F23" s="15" t="s">
        <v>314</v>
      </c>
      <c r="N23" s="21" t="s">
        <v>96</v>
      </c>
      <c r="O23" s="21" t="s">
        <v>336</v>
      </c>
      <c r="Q23" s="21" t="s">
        <v>344</v>
      </c>
      <c r="R23" s="22">
        <v>45756</v>
      </c>
      <c r="W23">
        <f>COUNTIF(内藤証券!U:U,B23)</f>
        <v>0</v>
      </c>
    </row>
    <row r="24" spans="1:23" ht="24.95" hidden="1" customHeight="1" x14ac:dyDescent="0.4">
      <c r="A24" s="17" t="s">
        <v>29</v>
      </c>
      <c r="B24" s="15" t="s">
        <v>230</v>
      </c>
      <c r="C24" s="16" t="s">
        <v>31</v>
      </c>
      <c r="D24" s="16" t="s">
        <v>31</v>
      </c>
      <c r="E24" s="15" t="s">
        <v>32</v>
      </c>
      <c r="F24" s="15" t="s">
        <v>314</v>
      </c>
      <c r="N24" s="21" t="s">
        <v>96</v>
      </c>
      <c r="O24" s="21" t="s">
        <v>336</v>
      </c>
      <c r="Q24" s="21" t="s">
        <v>344</v>
      </c>
      <c r="R24" s="22">
        <v>45756</v>
      </c>
      <c r="W24">
        <f>COUNTIF(内藤証券!U:U,B24)</f>
        <v>0</v>
      </c>
    </row>
    <row r="25" spans="1:23" ht="24.95" hidden="1" customHeight="1" x14ac:dyDescent="0.4">
      <c r="A25" s="17" t="s">
        <v>29</v>
      </c>
      <c r="B25" s="15" t="s">
        <v>231</v>
      </c>
      <c r="C25" s="16" t="s">
        <v>31</v>
      </c>
      <c r="D25" s="16" t="s">
        <v>31</v>
      </c>
      <c r="E25" s="15" t="s">
        <v>32</v>
      </c>
      <c r="F25" s="15" t="s">
        <v>314</v>
      </c>
      <c r="N25" s="21" t="s">
        <v>96</v>
      </c>
      <c r="O25" s="21" t="s">
        <v>336</v>
      </c>
      <c r="Q25" s="21" t="s">
        <v>344</v>
      </c>
      <c r="R25" s="22">
        <v>45756</v>
      </c>
      <c r="W25">
        <f>COUNTIF(内藤証券!U:U,B25)</f>
        <v>0</v>
      </c>
    </row>
    <row r="26" spans="1:23" ht="24.95" hidden="1" customHeight="1" x14ac:dyDescent="0.4">
      <c r="A26" s="17" t="s">
        <v>29</v>
      </c>
      <c r="B26" s="15" t="s">
        <v>232</v>
      </c>
      <c r="C26" s="16" t="s">
        <v>31</v>
      </c>
      <c r="D26" s="16" t="s">
        <v>31</v>
      </c>
      <c r="E26" s="15" t="s">
        <v>32</v>
      </c>
      <c r="F26" s="15" t="s">
        <v>314</v>
      </c>
      <c r="N26" s="21" t="s">
        <v>96</v>
      </c>
      <c r="O26" s="21" t="s">
        <v>336</v>
      </c>
      <c r="Q26" s="21" t="s">
        <v>344</v>
      </c>
      <c r="R26" s="22">
        <v>45756</v>
      </c>
      <c r="W26">
        <f>COUNTIF(内藤証券!U:U,B26)</f>
        <v>0</v>
      </c>
    </row>
    <row r="27" spans="1:23" ht="24.95" hidden="1" customHeight="1" x14ac:dyDescent="0.4">
      <c r="A27" s="17" t="s">
        <v>29</v>
      </c>
      <c r="B27" s="15" t="s">
        <v>233</v>
      </c>
      <c r="C27" s="16" t="s">
        <v>31</v>
      </c>
      <c r="D27" s="16" t="s">
        <v>31</v>
      </c>
      <c r="E27" s="15" t="s">
        <v>32</v>
      </c>
      <c r="F27" s="15" t="s">
        <v>314</v>
      </c>
      <c r="N27" s="21" t="s">
        <v>96</v>
      </c>
      <c r="O27" s="21" t="s">
        <v>336</v>
      </c>
      <c r="Q27" s="21" t="s">
        <v>344</v>
      </c>
      <c r="R27" s="22">
        <v>45756</v>
      </c>
      <c r="W27">
        <f>COUNTIF(内藤証券!U:U,B27)</f>
        <v>0</v>
      </c>
    </row>
    <row r="28" spans="1:23" ht="24.95" hidden="1" customHeight="1" x14ac:dyDescent="0.4">
      <c r="A28" s="17" t="s">
        <v>29</v>
      </c>
      <c r="B28" s="15" t="s">
        <v>234</v>
      </c>
      <c r="C28" s="16" t="s">
        <v>31</v>
      </c>
      <c r="D28" s="16" t="s">
        <v>31</v>
      </c>
      <c r="E28" s="15" t="s">
        <v>32</v>
      </c>
      <c r="F28" s="15" t="s">
        <v>314</v>
      </c>
      <c r="N28" s="21" t="s">
        <v>96</v>
      </c>
      <c r="O28" s="21" t="s">
        <v>336</v>
      </c>
      <c r="Q28" s="21" t="s">
        <v>344</v>
      </c>
      <c r="R28" s="22">
        <v>45756</v>
      </c>
      <c r="W28">
        <f>COUNTIF(内藤証券!U:U,B28)</f>
        <v>0</v>
      </c>
    </row>
    <row r="29" spans="1:23" ht="24.95" hidden="1" customHeight="1" x14ac:dyDescent="0.4">
      <c r="A29" s="17" t="s">
        <v>29</v>
      </c>
      <c r="B29" s="15" t="s">
        <v>235</v>
      </c>
      <c r="C29" s="16" t="s">
        <v>31</v>
      </c>
      <c r="D29" s="16" t="s">
        <v>31</v>
      </c>
      <c r="E29" s="15" t="s">
        <v>32</v>
      </c>
      <c r="F29" s="15" t="s">
        <v>314</v>
      </c>
      <c r="N29" s="21" t="s">
        <v>96</v>
      </c>
      <c r="O29" s="21" t="s">
        <v>336</v>
      </c>
      <c r="Q29" s="21" t="s">
        <v>344</v>
      </c>
      <c r="R29" s="22">
        <v>45756</v>
      </c>
      <c r="W29">
        <f>COUNTIF(内藤証券!U:U,B29)</f>
        <v>0</v>
      </c>
    </row>
    <row r="30" spans="1:23" ht="24.95" hidden="1" customHeight="1" x14ac:dyDescent="0.4">
      <c r="A30" s="17" t="s">
        <v>29</v>
      </c>
      <c r="B30" s="15" t="s">
        <v>236</v>
      </c>
      <c r="C30" s="16" t="s">
        <v>31</v>
      </c>
      <c r="D30" s="16" t="s">
        <v>31</v>
      </c>
      <c r="E30" s="15" t="s">
        <v>32</v>
      </c>
      <c r="F30" s="15" t="s">
        <v>314</v>
      </c>
      <c r="N30" s="21" t="s">
        <v>96</v>
      </c>
      <c r="O30" s="21" t="s">
        <v>336</v>
      </c>
      <c r="Q30" s="21" t="s">
        <v>344</v>
      </c>
      <c r="R30" s="22">
        <v>45756</v>
      </c>
      <c r="W30">
        <f>COUNTIF(内藤証券!U:U,B30)</f>
        <v>0</v>
      </c>
    </row>
    <row r="31" spans="1:23" ht="24.95" hidden="1" customHeight="1" x14ac:dyDescent="0.4">
      <c r="A31" s="17" t="s">
        <v>29</v>
      </c>
      <c r="B31" s="15" t="s">
        <v>237</v>
      </c>
      <c r="C31" s="16" t="s">
        <v>31</v>
      </c>
      <c r="D31" s="16" t="s">
        <v>31</v>
      </c>
      <c r="E31" s="15" t="s">
        <v>32</v>
      </c>
      <c r="F31" s="15" t="s">
        <v>314</v>
      </c>
      <c r="N31" s="21" t="s">
        <v>96</v>
      </c>
      <c r="O31" s="21" t="s">
        <v>336</v>
      </c>
      <c r="Q31" s="21" t="s">
        <v>344</v>
      </c>
      <c r="R31" s="22">
        <v>45756</v>
      </c>
      <c r="W31">
        <f>COUNTIF(内藤証券!U:U,B31)</f>
        <v>0</v>
      </c>
    </row>
    <row r="32" spans="1:23" ht="24.95" hidden="1" customHeight="1" x14ac:dyDescent="0.4">
      <c r="A32" s="17" t="s">
        <v>29</v>
      </c>
      <c r="B32" s="15" t="s">
        <v>320</v>
      </c>
      <c r="C32" s="16" t="s">
        <v>31</v>
      </c>
      <c r="D32" s="16" t="s">
        <v>31</v>
      </c>
      <c r="E32" s="15" t="s">
        <v>32</v>
      </c>
      <c r="F32" s="15" t="s">
        <v>314</v>
      </c>
      <c r="N32" s="21" t="s">
        <v>96</v>
      </c>
      <c r="O32" s="21" t="s">
        <v>337</v>
      </c>
      <c r="Q32" s="21" t="s">
        <v>344</v>
      </c>
      <c r="R32" s="22">
        <v>45756</v>
      </c>
      <c r="W32">
        <f>COUNTIF(内藤証券!U:U,B32)</f>
        <v>0</v>
      </c>
    </row>
    <row r="33" spans="1:23" ht="24.95" hidden="1" customHeight="1" x14ac:dyDescent="0.4">
      <c r="A33" s="17" t="s">
        <v>29</v>
      </c>
      <c r="B33" s="15" t="s">
        <v>132</v>
      </c>
      <c r="C33" s="16" t="s">
        <v>31</v>
      </c>
      <c r="D33" s="16" t="s">
        <v>31</v>
      </c>
      <c r="E33" s="15" t="s">
        <v>32</v>
      </c>
      <c r="F33" s="15" t="s">
        <v>314</v>
      </c>
      <c r="N33" s="21" t="s">
        <v>96</v>
      </c>
      <c r="O33" s="21" t="s">
        <v>337</v>
      </c>
      <c r="Q33" s="21" t="s">
        <v>344</v>
      </c>
      <c r="R33" s="22">
        <v>45756</v>
      </c>
      <c r="W33">
        <f>COUNTIF(内藤証券!U:U,B33)</f>
        <v>0</v>
      </c>
    </row>
    <row r="34" spans="1:23" ht="24.95" hidden="1" customHeight="1" x14ac:dyDescent="0.4">
      <c r="A34" s="17" t="s">
        <v>29</v>
      </c>
      <c r="B34" s="15" t="s">
        <v>321</v>
      </c>
      <c r="C34" s="16" t="s">
        <v>24</v>
      </c>
      <c r="D34" s="16" t="s">
        <v>31</v>
      </c>
      <c r="E34" s="15" t="s">
        <v>35</v>
      </c>
      <c r="F34" s="15" t="s">
        <v>314</v>
      </c>
      <c r="N34" s="21" t="s">
        <v>96</v>
      </c>
      <c r="O34" s="21" t="s">
        <v>337</v>
      </c>
      <c r="Q34" s="21" t="s">
        <v>344</v>
      </c>
      <c r="R34" s="22">
        <v>45756</v>
      </c>
      <c r="W34">
        <f>COUNTIF(内藤証券!U:U,B34)</f>
        <v>0</v>
      </c>
    </row>
    <row r="35" spans="1:23" ht="24.95" hidden="1" customHeight="1" x14ac:dyDescent="0.4">
      <c r="A35" s="17" t="s">
        <v>29</v>
      </c>
      <c r="B35" s="15" t="s">
        <v>322</v>
      </c>
      <c r="C35" s="16" t="s">
        <v>24</v>
      </c>
      <c r="D35" s="16" t="s">
        <v>31</v>
      </c>
      <c r="E35" s="15" t="s">
        <v>35</v>
      </c>
      <c r="F35" s="15" t="s">
        <v>314</v>
      </c>
      <c r="N35" s="21" t="s">
        <v>96</v>
      </c>
      <c r="O35" s="21" t="s">
        <v>337</v>
      </c>
      <c r="Q35" s="21" t="s">
        <v>344</v>
      </c>
      <c r="R35" s="22">
        <v>45756</v>
      </c>
      <c r="W35">
        <f>COUNTIF(内藤証券!U:U,B35)</f>
        <v>0</v>
      </c>
    </row>
    <row r="36" spans="1:23" ht="24.95" hidden="1" customHeight="1" x14ac:dyDescent="0.4">
      <c r="A36" s="17" t="s">
        <v>29</v>
      </c>
      <c r="B36" s="15" t="s">
        <v>323</v>
      </c>
      <c r="C36" s="16" t="s">
        <v>24</v>
      </c>
      <c r="D36" s="16" t="s">
        <v>31</v>
      </c>
      <c r="E36" s="15" t="s">
        <v>35</v>
      </c>
      <c r="F36" s="15" t="s">
        <v>314</v>
      </c>
      <c r="N36" s="21" t="s">
        <v>96</v>
      </c>
      <c r="O36" s="21" t="s">
        <v>337</v>
      </c>
      <c r="Q36" s="21" t="s">
        <v>344</v>
      </c>
      <c r="R36" s="22">
        <v>45756</v>
      </c>
      <c r="W36">
        <f>COUNTIF(内藤証券!U:U,B36)</f>
        <v>0</v>
      </c>
    </row>
    <row r="37" spans="1:23" ht="24.95" hidden="1" customHeight="1" x14ac:dyDescent="0.4">
      <c r="A37" s="17" t="s">
        <v>29</v>
      </c>
      <c r="B37" s="15" t="s">
        <v>238</v>
      </c>
      <c r="C37" s="16" t="s">
        <v>31</v>
      </c>
      <c r="D37" s="16" t="s">
        <v>31</v>
      </c>
      <c r="E37" s="15" t="s">
        <v>32</v>
      </c>
      <c r="F37" s="15" t="s">
        <v>314</v>
      </c>
      <c r="N37" s="21" t="s">
        <v>96</v>
      </c>
      <c r="O37" s="21" t="s">
        <v>336</v>
      </c>
      <c r="Q37" s="21" t="s">
        <v>344</v>
      </c>
      <c r="R37" s="22">
        <v>45756</v>
      </c>
      <c r="W37">
        <f>COUNTIF(内藤証券!U:U,B37)</f>
        <v>0</v>
      </c>
    </row>
    <row r="38" spans="1:23" ht="24.95" hidden="1" customHeight="1" x14ac:dyDescent="0.4">
      <c r="A38" s="17" t="s">
        <v>29</v>
      </c>
      <c r="B38" s="15" t="s">
        <v>239</v>
      </c>
      <c r="C38" s="16" t="s">
        <v>31</v>
      </c>
      <c r="D38" s="16" t="s">
        <v>31</v>
      </c>
      <c r="E38" s="15" t="s">
        <v>32</v>
      </c>
      <c r="F38" s="15" t="s">
        <v>314</v>
      </c>
      <c r="N38" s="21" t="s">
        <v>96</v>
      </c>
      <c r="O38" s="21" t="s">
        <v>336</v>
      </c>
      <c r="Q38" s="21" t="s">
        <v>344</v>
      </c>
      <c r="R38" s="22">
        <v>45756</v>
      </c>
      <c r="W38">
        <f>COUNTIF(内藤証券!U:U,B38)</f>
        <v>0</v>
      </c>
    </row>
    <row r="39" spans="1:23" ht="24.95" hidden="1" customHeight="1" x14ac:dyDescent="0.4">
      <c r="A39" s="17" t="s">
        <v>29</v>
      </c>
      <c r="B39" s="15" t="s">
        <v>240</v>
      </c>
      <c r="C39" s="16" t="s">
        <v>31</v>
      </c>
      <c r="D39" s="16" t="s">
        <v>31</v>
      </c>
      <c r="E39" s="15" t="s">
        <v>32</v>
      </c>
      <c r="F39" s="15" t="s">
        <v>314</v>
      </c>
      <c r="N39" s="21" t="s">
        <v>96</v>
      </c>
      <c r="O39" s="21" t="s">
        <v>336</v>
      </c>
      <c r="Q39" s="21" t="s">
        <v>344</v>
      </c>
      <c r="R39" s="22">
        <v>45756</v>
      </c>
      <c r="W39">
        <f>COUNTIF(内藤証券!U:U,B39)</f>
        <v>0</v>
      </c>
    </row>
    <row r="40" spans="1:23" ht="24.95" hidden="1" customHeight="1" x14ac:dyDescent="0.4">
      <c r="A40" s="17" t="s">
        <v>29</v>
      </c>
      <c r="B40" s="15" t="s">
        <v>241</v>
      </c>
      <c r="C40" s="16" t="s">
        <v>31</v>
      </c>
      <c r="D40" s="16" t="s">
        <v>31</v>
      </c>
      <c r="E40" s="15" t="s">
        <v>32</v>
      </c>
      <c r="F40" s="15" t="s">
        <v>314</v>
      </c>
      <c r="N40" s="21" t="s">
        <v>96</v>
      </c>
      <c r="O40" s="21" t="s">
        <v>336</v>
      </c>
      <c r="Q40" s="21" t="s">
        <v>344</v>
      </c>
      <c r="R40" s="22">
        <v>45756</v>
      </c>
      <c r="W40">
        <f>COUNTIF(内藤証券!U:U,B40)</f>
        <v>0</v>
      </c>
    </row>
    <row r="41" spans="1:23" ht="24.95" hidden="1" customHeight="1" x14ac:dyDescent="0.4">
      <c r="A41" s="17" t="s">
        <v>29</v>
      </c>
      <c r="B41" s="15" t="s">
        <v>242</v>
      </c>
      <c r="C41" s="16" t="s">
        <v>31</v>
      </c>
      <c r="D41" s="16" t="s">
        <v>31</v>
      </c>
      <c r="E41" s="15" t="s">
        <v>32</v>
      </c>
      <c r="F41" s="15" t="s">
        <v>314</v>
      </c>
      <c r="N41" s="21" t="s">
        <v>96</v>
      </c>
      <c r="O41" s="21" t="s">
        <v>336</v>
      </c>
      <c r="Q41" s="21" t="s">
        <v>344</v>
      </c>
      <c r="R41" s="22">
        <v>45756</v>
      </c>
      <c r="W41">
        <f>COUNTIF(内藤証券!U:U,B41)</f>
        <v>0</v>
      </c>
    </row>
    <row r="42" spans="1:23" ht="24.95" hidden="1" customHeight="1" x14ac:dyDescent="0.4">
      <c r="A42" s="17" t="s">
        <v>29</v>
      </c>
      <c r="B42" s="15" t="s">
        <v>243</v>
      </c>
      <c r="C42" s="16" t="s">
        <v>31</v>
      </c>
      <c r="D42" s="16" t="s">
        <v>31</v>
      </c>
      <c r="E42" s="15" t="s">
        <v>32</v>
      </c>
      <c r="F42" s="15" t="s">
        <v>314</v>
      </c>
      <c r="N42" s="21" t="s">
        <v>96</v>
      </c>
      <c r="O42" s="21" t="s">
        <v>336</v>
      </c>
      <c r="Q42" s="21" t="s">
        <v>344</v>
      </c>
      <c r="R42" s="22">
        <v>45756</v>
      </c>
      <c r="W42">
        <f>COUNTIF(内藤証券!U:U,B42)</f>
        <v>0</v>
      </c>
    </row>
    <row r="43" spans="1:23" ht="24.95" hidden="1" customHeight="1" x14ac:dyDescent="0.4">
      <c r="A43" s="17" t="s">
        <v>29</v>
      </c>
      <c r="B43" s="15" t="s">
        <v>244</v>
      </c>
      <c r="C43" s="16" t="s">
        <v>31</v>
      </c>
      <c r="D43" s="16" t="s">
        <v>31</v>
      </c>
      <c r="E43" s="15" t="s">
        <v>32</v>
      </c>
      <c r="F43" s="15" t="s">
        <v>314</v>
      </c>
      <c r="N43" s="21" t="s">
        <v>96</v>
      </c>
      <c r="O43" s="21" t="s">
        <v>336</v>
      </c>
      <c r="Q43" s="21" t="s">
        <v>344</v>
      </c>
      <c r="R43" s="22">
        <v>45756</v>
      </c>
      <c r="W43">
        <f>COUNTIF(内藤証券!U:U,B43)</f>
        <v>0</v>
      </c>
    </row>
    <row r="44" spans="1:23" ht="24.95" hidden="1" customHeight="1" x14ac:dyDescent="0.4">
      <c r="A44" s="17" t="s">
        <v>29</v>
      </c>
      <c r="B44" s="15" t="s">
        <v>245</v>
      </c>
      <c r="C44" s="16" t="s">
        <v>31</v>
      </c>
      <c r="D44" s="16" t="s">
        <v>31</v>
      </c>
      <c r="E44" s="15" t="s">
        <v>32</v>
      </c>
      <c r="F44" s="15" t="s">
        <v>314</v>
      </c>
      <c r="N44" s="21" t="s">
        <v>96</v>
      </c>
      <c r="O44" s="21" t="s">
        <v>336</v>
      </c>
      <c r="Q44" s="21" t="s">
        <v>344</v>
      </c>
      <c r="R44" s="22">
        <v>45756</v>
      </c>
      <c r="W44">
        <f>COUNTIF(内藤証券!U:U,B44)</f>
        <v>0</v>
      </c>
    </row>
    <row r="45" spans="1:23" ht="24.95" hidden="1" customHeight="1" x14ac:dyDescent="0.4">
      <c r="A45" s="17" t="s">
        <v>29</v>
      </c>
      <c r="B45" s="15" t="s">
        <v>246</v>
      </c>
      <c r="C45" s="16" t="s">
        <v>31</v>
      </c>
      <c r="D45" s="16" t="s">
        <v>31</v>
      </c>
      <c r="E45" s="15" t="s">
        <v>32</v>
      </c>
      <c r="F45" s="15" t="s">
        <v>314</v>
      </c>
      <c r="N45" s="21" t="s">
        <v>96</v>
      </c>
      <c r="O45" s="21" t="s">
        <v>336</v>
      </c>
      <c r="Q45" s="21" t="s">
        <v>344</v>
      </c>
      <c r="R45" s="22">
        <v>45756</v>
      </c>
      <c r="W45">
        <f>COUNTIF(内藤証券!U:U,B45)</f>
        <v>0</v>
      </c>
    </row>
    <row r="46" spans="1:23" ht="24.95" hidden="1" customHeight="1" x14ac:dyDescent="0.4">
      <c r="A46" s="17" t="s">
        <v>29</v>
      </c>
      <c r="B46" s="15" t="s">
        <v>247</v>
      </c>
      <c r="C46" s="16" t="s">
        <v>31</v>
      </c>
      <c r="D46" s="16" t="s">
        <v>31</v>
      </c>
      <c r="E46" s="15" t="s">
        <v>32</v>
      </c>
      <c r="F46" s="15" t="s">
        <v>314</v>
      </c>
      <c r="N46" s="21" t="s">
        <v>96</v>
      </c>
      <c r="O46" s="21" t="s">
        <v>336</v>
      </c>
      <c r="Q46" s="21" t="s">
        <v>344</v>
      </c>
      <c r="R46" s="22">
        <v>45756</v>
      </c>
      <c r="W46">
        <f>COUNTIF(内藤証券!U:U,B46)</f>
        <v>0</v>
      </c>
    </row>
    <row r="47" spans="1:23" ht="24.95" hidden="1" customHeight="1" x14ac:dyDescent="0.4">
      <c r="A47" s="17" t="s">
        <v>29</v>
      </c>
      <c r="B47" s="15" t="s">
        <v>248</v>
      </c>
      <c r="C47" s="16" t="s">
        <v>31</v>
      </c>
      <c r="D47" s="16" t="s">
        <v>31</v>
      </c>
      <c r="E47" s="15" t="s">
        <v>32</v>
      </c>
      <c r="F47" s="15" t="s">
        <v>314</v>
      </c>
      <c r="N47" s="21" t="s">
        <v>96</v>
      </c>
      <c r="O47" s="21" t="s">
        <v>336</v>
      </c>
      <c r="Q47" s="21" t="s">
        <v>344</v>
      </c>
      <c r="R47" s="22">
        <v>45756</v>
      </c>
      <c r="W47">
        <f>COUNTIF(内藤証券!U:U,B47)</f>
        <v>0</v>
      </c>
    </row>
    <row r="48" spans="1:23" ht="24.95" hidden="1" customHeight="1" x14ac:dyDescent="0.4">
      <c r="A48" s="17" t="s">
        <v>29</v>
      </c>
      <c r="B48" s="15" t="s">
        <v>249</v>
      </c>
      <c r="C48" s="16" t="s">
        <v>31</v>
      </c>
      <c r="D48" s="16" t="s">
        <v>31</v>
      </c>
      <c r="E48" s="15" t="s">
        <v>32</v>
      </c>
      <c r="F48" s="15" t="s">
        <v>314</v>
      </c>
      <c r="N48" s="21" t="s">
        <v>96</v>
      </c>
      <c r="O48" s="21" t="s">
        <v>336</v>
      </c>
      <c r="Q48" s="21" t="s">
        <v>344</v>
      </c>
      <c r="R48" s="22">
        <v>45756</v>
      </c>
      <c r="W48">
        <f>COUNTIF(内藤証券!U:U,B48)</f>
        <v>0</v>
      </c>
    </row>
    <row r="49" spans="1:23" ht="24.95" hidden="1" customHeight="1" x14ac:dyDescent="0.4">
      <c r="A49" s="17" t="s">
        <v>29</v>
      </c>
      <c r="B49" s="15" t="s">
        <v>250</v>
      </c>
      <c r="C49" s="16" t="s">
        <v>31</v>
      </c>
      <c r="D49" s="16" t="s">
        <v>31</v>
      </c>
      <c r="E49" s="15" t="s">
        <v>32</v>
      </c>
      <c r="F49" s="15" t="s">
        <v>314</v>
      </c>
      <c r="N49" s="21" t="s">
        <v>96</v>
      </c>
      <c r="O49" s="21" t="s">
        <v>336</v>
      </c>
      <c r="Q49" s="21" t="s">
        <v>344</v>
      </c>
      <c r="R49" s="22">
        <v>45756</v>
      </c>
      <c r="W49">
        <f>COUNTIF(内藤証券!U:U,B49)</f>
        <v>0</v>
      </c>
    </row>
    <row r="50" spans="1:23" ht="24.95" hidden="1" customHeight="1" x14ac:dyDescent="0.4">
      <c r="A50" s="17" t="s">
        <v>29</v>
      </c>
      <c r="B50" s="15" t="s">
        <v>251</v>
      </c>
      <c r="C50" s="16" t="s">
        <v>31</v>
      </c>
      <c r="D50" s="16" t="s">
        <v>31</v>
      </c>
      <c r="E50" s="15" t="s">
        <v>32</v>
      </c>
      <c r="F50" s="15" t="s">
        <v>314</v>
      </c>
      <c r="N50" s="21" t="s">
        <v>96</v>
      </c>
      <c r="O50" s="21" t="s">
        <v>336</v>
      </c>
      <c r="Q50" s="21" t="s">
        <v>344</v>
      </c>
      <c r="R50" s="22">
        <v>45756</v>
      </c>
      <c r="W50">
        <f>COUNTIF(内藤証券!U:U,B50)</f>
        <v>0</v>
      </c>
    </row>
    <row r="51" spans="1:23" ht="24.95" hidden="1" customHeight="1" x14ac:dyDescent="0.4">
      <c r="A51" s="17" t="s">
        <v>29</v>
      </c>
      <c r="B51" s="15" t="s">
        <v>252</v>
      </c>
      <c r="C51" s="16" t="s">
        <v>31</v>
      </c>
      <c r="D51" s="16" t="s">
        <v>31</v>
      </c>
      <c r="E51" s="15" t="s">
        <v>32</v>
      </c>
      <c r="F51" s="15" t="s">
        <v>314</v>
      </c>
      <c r="N51" s="21" t="s">
        <v>96</v>
      </c>
      <c r="O51" s="21" t="s">
        <v>336</v>
      </c>
      <c r="Q51" s="21" t="s">
        <v>344</v>
      </c>
      <c r="R51" s="22">
        <v>45756</v>
      </c>
      <c r="W51">
        <f>COUNTIF(内藤証券!U:U,B51)</f>
        <v>0</v>
      </c>
    </row>
    <row r="52" spans="1:23" ht="24.95" hidden="1" customHeight="1" x14ac:dyDescent="0.4">
      <c r="A52" s="17" t="s">
        <v>29</v>
      </c>
      <c r="B52" s="15" t="s">
        <v>253</v>
      </c>
      <c r="C52" s="16" t="s">
        <v>31</v>
      </c>
      <c r="D52" s="16" t="s">
        <v>31</v>
      </c>
      <c r="E52" s="15" t="s">
        <v>32</v>
      </c>
      <c r="F52" s="15" t="s">
        <v>314</v>
      </c>
      <c r="N52" s="21" t="s">
        <v>96</v>
      </c>
      <c r="O52" s="21" t="s">
        <v>336</v>
      </c>
      <c r="Q52" s="21" t="s">
        <v>344</v>
      </c>
      <c r="R52" s="22">
        <v>45756</v>
      </c>
      <c r="W52">
        <f>COUNTIF(内藤証券!U:U,B52)</f>
        <v>0</v>
      </c>
    </row>
    <row r="53" spans="1:23" ht="24.95" hidden="1" customHeight="1" x14ac:dyDescent="0.4">
      <c r="A53" s="17" t="s">
        <v>29</v>
      </c>
      <c r="B53" s="15" t="s">
        <v>254</v>
      </c>
      <c r="C53" s="16" t="s">
        <v>31</v>
      </c>
      <c r="D53" s="16" t="s">
        <v>31</v>
      </c>
      <c r="E53" s="15" t="s">
        <v>32</v>
      </c>
      <c r="F53" s="15" t="s">
        <v>314</v>
      </c>
      <c r="N53" s="21" t="s">
        <v>96</v>
      </c>
      <c r="O53" s="21" t="s">
        <v>336</v>
      </c>
      <c r="Q53" s="21" t="s">
        <v>344</v>
      </c>
      <c r="R53" s="22">
        <v>45756</v>
      </c>
      <c r="W53">
        <f>COUNTIF(内藤証券!U:U,B53)</f>
        <v>0</v>
      </c>
    </row>
    <row r="54" spans="1:23" ht="24.95" hidden="1" customHeight="1" x14ac:dyDescent="0.4">
      <c r="A54" s="17" t="s">
        <v>29</v>
      </c>
      <c r="B54" s="15" t="s">
        <v>255</v>
      </c>
      <c r="C54" s="16" t="s">
        <v>31</v>
      </c>
      <c r="D54" s="16" t="s">
        <v>31</v>
      </c>
      <c r="E54" s="15" t="s">
        <v>32</v>
      </c>
      <c r="F54" s="15" t="s">
        <v>314</v>
      </c>
      <c r="N54" s="21" t="s">
        <v>96</v>
      </c>
      <c r="O54" s="21" t="s">
        <v>336</v>
      </c>
      <c r="Q54" s="21" t="s">
        <v>344</v>
      </c>
      <c r="R54" s="22">
        <v>45756</v>
      </c>
      <c r="W54">
        <f>COUNTIF(内藤証券!U:U,B54)</f>
        <v>0</v>
      </c>
    </row>
    <row r="55" spans="1:23" ht="24.95" hidden="1" customHeight="1" x14ac:dyDescent="0.4">
      <c r="A55" s="17" t="s">
        <v>29</v>
      </c>
      <c r="B55" s="15" t="s">
        <v>256</v>
      </c>
      <c r="C55" s="16" t="s">
        <v>31</v>
      </c>
      <c r="D55" s="16" t="s">
        <v>31</v>
      </c>
      <c r="E55" s="15" t="s">
        <v>32</v>
      </c>
      <c r="F55" s="15" t="s">
        <v>314</v>
      </c>
      <c r="N55" s="21" t="s">
        <v>96</v>
      </c>
      <c r="O55" s="21" t="s">
        <v>336</v>
      </c>
      <c r="Q55" s="21" t="s">
        <v>344</v>
      </c>
      <c r="R55" s="22">
        <v>45756</v>
      </c>
      <c r="W55">
        <f>COUNTIF(内藤証券!U:U,B55)</f>
        <v>0</v>
      </c>
    </row>
    <row r="56" spans="1:23" ht="24.95" hidden="1" customHeight="1" x14ac:dyDescent="0.4">
      <c r="A56" s="17" t="s">
        <v>29</v>
      </c>
      <c r="B56" s="15" t="s">
        <v>257</v>
      </c>
      <c r="C56" s="16" t="s">
        <v>31</v>
      </c>
      <c r="D56" s="16" t="s">
        <v>31</v>
      </c>
      <c r="E56" s="15" t="s">
        <v>32</v>
      </c>
      <c r="F56" s="15" t="s">
        <v>314</v>
      </c>
      <c r="N56" s="21" t="s">
        <v>96</v>
      </c>
      <c r="O56" s="21" t="s">
        <v>336</v>
      </c>
      <c r="Q56" s="21" t="s">
        <v>344</v>
      </c>
      <c r="R56" s="22">
        <v>45756</v>
      </c>
      <c r="W56">
        <f>COUNTIF(内藤証券!U:U,B56)</f>
        <v>0</v>
      </c>
    </row>
    <row r="57" spans="1:23" ht="24.95" hidden="1" customHeight="1" x14ac:dyDescent="0.4">
      <c r="A57" s="17" t="s">
        <v>29</v>
      </c>
      <c r="B57" s="15" t="s">
        <v>258</v>
      </c>
      <c r="C57" s="16" t="s">
        <v>31</v>
      </c>
      <c r="D57" s="16" t="s">
        <v>31</v>
      </c>
      <c r="E57" s="15" t="s">
        <v>32</v>
      </c>
      <c r="F57" s="15" t="s">
        <v>314</v>
      </c>
      <c r="N57" s="21" t="s">
        <v>96</v>
      </c>
      <c r="O57" s="21" t="s">
        <v>336</v>
      </c>
      <c r="Q57" s="21" t="s">
        <v>344</v>
      </c>
      <c r="R57" s="22">
        <v>45756</v>
      </c>
      <c r="W57">
        <f>COUNTIF(内藤証券!U:U,B57)</f>
        <v>0</v>
      </c>
    </row>
    <row r="58" spans="1:23" ht="24.95" hidden="1" customHeight="1" x14ac:dyDescent="0.4">
      <c r="A58" s="17" t="s">
        <v>29</v>
      </c>
      <c r="B58" s="15" t="s">
        <v>259</v>
      </c>
      <c r="C58" s="16" t="s">
        <v>31</v>
      </c>
      <c r="D58" s="16" t="s">
        <v>31</v>
      </c>
      <c r="E58" s="15" t="s">
        <v>32</v>
      </c>
      <c r="F58" s="15" t="s">
        <v>314</v>
      </c>
      <c r="N58" s="21" t="s">
        <v>96</v>
      </c>
      <c r="O58" s="21" t="s">
        <v>336</v>
      </c>
      <c r="Q58" s="21" t="s">
        <v>344</v>
      </c>
      <c r="R58" s="22">
        <v>45756</v>
      </c>
      <c r="W58">
        <f>COUNTIF(内藤証券!U:U,B58)</f>
        <v>0</v>
      </c>
    </row>
    <row r="59" spans="1:23" ht="24.95" hidden="1" customHeight="1" x14ac:dyDescent="0.4">
      <c r="A59" s="17" t="s">
        <v>29</v>
      </c>
      <c r="B59" s="15" t="s">
        <v>260</v>
      </c>
      <c r="C59" s="16" t="s">
        <v>31</v>
      </c>
      <c r="D59" s="16" t="s">
        <v>31</v>
      </c>
      <c r="E59" s="15" t="s">
        <v>32</v>
      </c>
      <c r="F59" s="15" t="s">
        <v>314</v>
      </c>
      <c r="N59" s="21" t="s">
        <v>96</v>
      </c>
      <c r="O59" s="21" t="s">
        <v>336</v>
      </c>
      <c r="Q59" s="21" t="s">
        <v>344</v>
      </c>
      <c r="R59" s="22">
        <v>45756</v>
      </c>
      <c r="W59">
        <f>COUNTIF(内藤証券!U:U,B59)</f>
        <v>0</v>
      </c>
    </row>
    <row r="60" spans="1:23" ht="24.95" hidden="1" customHeight="1" x14ac:dyDescent="0.4">
      <c r="A60" s="17" t="s">
        <v>29</v>
      </c>
      <c r="B60" s="15" t="s">
        <v>261</v>
      </c>
      <c r="C60" s="16" t="s">
        <v>31</v>
      </c>
      <c r="D60" s="16" t="s">
        <v>31</v>
      </c>
      <c r="E60" s="15" t="s">
        <v>32</v>
      </c>
      <c r="F60" s="15" t="s">
        <v>314</v>
      </c>
      <c r="N60" s="21" t="s">
        <v>96</v>
      </c>
      <c r="O60" s="21" t="s">
        <v>336</v>
      </c>
      <c r="Q60" s="21" t="s">
        <v>344</v>
      </c>
      <c r="R60" s="22">
        <v>45756</v>
      </c>
      <c r="W60">
        <f>COUNTIF(内藤証券!U:U,B60)</f>
        <v>0</v>
      </c>
    </row>
    <row r="61" spans="1:23" ht="24.95" hidden="1" customHeight="1" x14ac:dyDescent="0.4">
      <c r="A61" s="17" t="s">
        <v>29</v>
      </c>
      <c r="B61" s="15" t="s">
        <v>262</v>
      </c>
      <c r="C61" s="16" t="s">
        <v>31</v>
      </c>
      <c r="D61" s="16" t="s">
        <v>31</v>
      </c>
      <c r="E61" s="15" t="s">
        <v>32</v>
      </c>
      <c r="F61" s="15" t="s">
        <v>314</v>
      </c>
      <c r="N61" s="21" t="s">
        <v>96</v>
      </c>
      <c r="O61" s="21" t="s">
        <v>336</v>
      </c>
      <c r="Q61" s="21" t="s">
        <v>344</v>
      </c>
      <c r="R61" s="22">
        <v>45756</v>
      </c>
      <c r="W61">
        <f>COUNTIF(内藤証券!U:U,B61)</f>
        <v>0</v>
      </c>
    </row>
    <row r="62" spans="1:23" ht="24.95" hidden="1" customHeight="1" x14ac:dyDescent="0.4">
      <c r="A62" s="17" t="s">
        <v>29</v>
      </c>
      <c r="B62" s="15" t="s">
        <v>263</v>
      </c>
      <c r="C62" s="16" t="s">
        <v>31</v>
      </c>
      <c r="D62" s="16" t="s">
        <v>31</v>
      </c>
      <c r="E62" s="15" t="s">
        <v>32</v>
      </c>
      <c r="F62" s="15" t="s">
        <v>314</v>
      </c>
      <c r="N62" s="21" t="s">
        <v>96</v>
      </c>
      <c r="O62" s="21" t="s">
        <v>336</v>
      </c>
      <c r="Q62" s="21" t="s">
        <v>344</v>
      </c>
      <c r="R62" s="22">
        <v>45756</v>
      </c>
      <c r="W62">
        <f>COUNTIF(内藤証券!U:U,B62)</f>
        <v>0</v>
      </c>
    </row>
    <row r="63" spans="1:23" ht="24.95" hidden="1" customHeight="1" x14ac:dyDescent="0.4">
      <c r="A63" s="17" t="s">
        <v>29</v>
      </c>
      <c r="B63" s="15" t="s">
        <v>264</v>
      </c>
      <c r="C63" s="16" t="s">
        <v>31</v>
      </c>
      <c r="D63" s="16" t="s">
        <v>31</v>
      </c>
      <c r="E63" s="15" t="s">
        <v>32</v>
      </c>
      <c r="F63" s="15" t="s">
        <v>314</v>
      </c>
      <c r="N63" s="21" t="s">
        <v>96</v>
      </c>
      <c r="O63" s="21" t="s">
        <v>336</v>
      </c>
      <c r="Q63" s="21" t="s">
        <v>344</v>
      </c>
      <c r="R63" s="22">
        <v>45756</v>
      </c>
      <c r="W63">
        <f>COUNTIF(内藤証券!U:U,B63)</f>
        <v>0</v>
      </c>
    </row>
    <row r="64" spans="1:23" ht="24.95" hidden="1" customHeight="1" x14ac:dyDescent="0.4">
      <c r="A64" s="17" t="s">
        <v>29</v>
      </c>
      <c r="B64" s="15" t="s">
        <v>265</v>
      </c>
      <c r="C64" s="16" t="s">
        <v>31</v>
      </c>
      <c r="D64" s="16" t="s">
        <v>31</v>
      </c>
      <c r="E64" s="15" t="s">
        <v>32</v>
      </c>
      <c r="F64" s="15" t="s">
        <v>314</v>
      </c>
      <c r="N64" s="21" t="s">
        <v>96</v>
      </c>
      <c r="O64" s="21" t="s">
        <v>336</v>
      </c>
      <c r="Q64" s="21" t="s">
        <v>344</v>
      </c>
      <c r="R64" s="22">
        <v>45756</v>
      </c>
      <c r="W64">
        <f>COUNTIF(内藤証券!U:U,B64)</f>
        <v>0</v>
      </c>
    </row>
    <row r="65" spans="1:23" ht="24.95" hidden="1" customHeight="1" x14ac:dyDescent="0.4">
      <c r="A65" s="17" t="s">
        <v>29</v>
      </c>
      <c r="B65" s="15" t="s">
        <v>266</v>
      </c>
      <c r="C65" s="16" t="s">
        <v>31</v>
      </c>
      <c r="D65" s="16" t="s">
        <v>31</v>
      </c>
      <c r="E65" s="15" t="s">
        <v>32</v>
      </c>
      <c r="F65" s="15" t="s">
        <v>314</v>
      </c>
      <c r="N65" s="21" t="s">
        <v>96</v>
      </c>
      <c r="O65" s="21" t="s">
        <v>336</v>
      </c>
      <c r="Q65" s="21" t="s">
        <v>344</v>
      </c>
      <c r="R65" s="22">
        <v>45756</v>
      </c>
      <c r="W65">
        <f>COUNTIF(内藤証券!U:U,B65)</f>
        <v>0</v>
      </c>
    </row>
    <row r="66" spans="1:23" ht="24.95" hidden="1" customHeight="1" x14ac:dyDescent="0.4">
      <c r="A66" s="17" t="s">
        <v>29</v>
      </c>
      <c r="B66" s="15" t="s">
        <v>267</v>
      </c>
      <c r="C66" s="16" t="s">
        <v>31</v>
      </c>
      <c r="D66" s="16" t="s">
        <v>31</v>
      </c>
      <c r="E66" s="15" t="s">
        <v>32</v>
      </c>
      <c r="F66" s="15" t="s">
        <v>314</v>
      </c>
      <c r="N66" s="21" t="s">
        <v>96</v>
      </c>
      <c r="O66" s="21" t="s">
        <v>336</v>
      </c>
      <c r="Q66" s="21" t="s">
        <v>344</v>
      </c>
      <c r="R66" s="22">
        <v>45756</v>
      </c>
      <c r="W66">
        <f>COUNTIF(内藤証券!U:U,B66)</f>
        <v>0</v>
      </c>
    </row>
    <row r="67" spans="1:23" ht="24.95" hidden="1" customHeight="1" x14ac:dyDescent="0.4">
      <c r="A67" s="17" t="s">
        <v>29</v>
      </c>
      <c r="B67" s="15" t="s">
        <v>268</v>
      </c>
      <c r="C67" s="16" t="s">
        <v>31</v>
      </c>
      <c r="D67" s="16" t="s">
        <v>31</v>
      </c>
      <c r="E67" s="15" t="s">
        <v>32</v>
      </c>
      <c r="F67" s="15" t="s">
        <v>314</v>
      </c>
      <c r="N67" s="21" t="s">
        <v>96</v>
      </c>
      <c r="O67" s="21" t="s">
        <v>336</v>
      </c>
      <c r="Q67" s="21" t="s">
        <v>344</v>
      </c>
      <c r="R67" s="22">
        <v>45756</v>
      </c>
      <c r="W67">
        <f>COUNTIF(内藤証券!U:U,B67)</f>
        <v>0</v>
      </c>
    </row>
    <row r="68" spans="1:23" ht="24.95" hidden="1" customHeight="1" x14ac:dyDescent="0.4">
      <c r="A68" s="17" t="s">
        <v>29</v>
      </c>
      <c r="B68" s="15" t="s">
        <v>269</v>
      </c>
      <c r="C68" s="16" t="s">
        <v>31</v>
      </c>
      <c r="D68" s="16" t="s">
        <v>31</v>
      </c>
      <c r="E68" s="15" t="s">
        <v>32</v>
      </c>
      <c r="F68" s="15" t="s">
        <v>314</v>
      </c>
      <c r="N68" s="21" t="s">
        <v>96</v>
      </c>
      <c r="O68" s="21" t="s">
        <v>336</v>
      </c>
      <c r="Q68" s="21" t="s">
        <v>344</v>
      </c>
      <c r="R68" s="22">
        <v>45756</v>
      </c>
      <c r="W68">
        <f>COUNTIF(内藤証券!U:U,B68)</f>
        <v>0</v>
      </c>
    </row>
    <row r="69" spans="1:23" ht="24.95" hidden="1" customHeight="1" x14ac:dyDescent="0.4">
      <c r="A69" s="17" t="s">
        <v>29</v>
      </c>
      <c r="B69" s="15" t="s">
        <v>270</v>
      </c>
      <c r="C69" s="16" t="s">
        <v>31</v>
      </c>
      <c r="D69" s="16" t="s">
        <v>31</v>
      </c>
      <c r="E69" s="15" t="s">
        <v>32</v>
      </c>
      <c r="F69" s="15" t="s">
        <v>314</v>
      </c>
      <c r="N69" s="21" t="s">
        <v>96</v>
      </c>
      <c r="O69" s="21" t="s">
        <v>336</v>
      </c>
      <c r="Q69" s="21" t="s">
        <v>344</v>
      </c>
      <c r="R69" s="22">
        <v>45756</v>
      </c>
      <c r="W69">
        <f>COUNTIF(内藤証券!U:U,B69)</f>
        <v>0</v>
      </c>
    </row>
    <row r="70" spans="1:23" ht="24.95" hidden="1" customHeight="1" x14ac:dyDescent="0.4">
      <c r="A70" s="17" t="s">
        <v>29</v>
      </c>
      <c r="B70" s="15" t="s">
        <v>271</v>
      </c>
      <c r="C70" s="16" t="s">
        <v>31</v>
      </c>
      <c r="D70" s="16" t="s">
        <v>31</v>
      </c>
      <c r="E70" s="15" t="s">
        <v>32</v>
      </c>
      <c r="F70" s="15" t="s">
        <v>314</v>
      </c>
      <c r="N70" s="21" t="s">
        <v>96</v>
      </c>
      <c r="O70" s="21" t="s">
        <v>336</v>
      </c>
      <c r="Q70" s="21" t="s">
        <v>344</v>
      </c>
      <c r="R70" s="22">
        <v>45756</v>
      </c>
      <c r="W70">
        <f>COUNTIF(内藤証券!U:U,B70)</f>
        <v>0</v>
      </c>
    </row>
    <row r="71" spans="1:23" ht="24.95" hidden="1" customHeight="1" x14ac:dyDescent="0.4">
      <c r="A71" s="17" t="s">
        <v>29</v>
      </c>
      <c r="B71" s="15" t="s">
        <v>366</v>
      </c>
      <c r="C71" s="16" t="s">
        <v>31</v>
      </c>
      <c r="D71" s="16" t="s">
        <v>31</v>
      </c>
      <c r="E71" s="15" t="s">
        <v>32</v>
      </c>
      <c r="F71" s="15" t="s">
        <v>365</v>
      </c>
      <c r="N71" s="21" t="s">
        <v>374</v>
      </c>
      <c r="O71" s="21" t="s">
        <v>373</v>
      </c>
      <c r="Q71" s="21" t="s">
        <v>344</v>
      </c>
      <c r="R71" s="22">
        <v>45883</v>
      </c>
      <c r="W71">
        <f>COUNTIF(内藤証券!U:U,B71)</f>
        <v>0</v>
      </c>
    </row>
    <row r="72" spans="1:23" ht="24.95" hidden="1" customHeight="1" x14ac:dyDescent="0.4">
      <c r="A72" s="17" t="s">
        <v>29</v>
      </c>
      <c r="B72" s="15" t="s">
        <v>367</v>
      </c>
      <c r="C72" s="16" t="s">
        <v>31</v>
      </c>
      <c r="D72" s="16" t="s">
        <v>31</v>
      </c>
      <c r="E72" s="15" t="s">
        <v>32</v>
      </c>
      <c r="F72" s="15" t="s">
        <v>365</v>
      </c>
      <c r="N72" s="21" t="s">
        <v>374</v>
      </c>
      <c r="O72" s="21" t="s">
        <v>373</v>
      </c>
      <c r="Q72" s="21" t="s">
        <v>344</v>
      </c>
      <c r="R72" s="22">
        <v>45883</v>
      </c>
      <c r="W72">
        <f>COUNTIF(内藤証券!U:U,B72)</f>
        <v>0</v>
      </c>
    </row>
    <row r="73" spans="1:23" ht="24.95" hidden="1" customHeight="1" x14ac:dyDescent="0.4">
      <c r="A73" s="17" t="s">
        <v>29</v>
      </c>
      <c r="B73" s="15" t="s">
        <v>324</v>
      </c>
      <c r="C73" s="16" t="s">
        <v>31</v>
      </c>
      <c r="D73" s="16" t="s">
        <v>31</v>
      </c>
      <c r="E73" s="15" t="s">
        <v>32</v>
      </c>
      <c r="F73" s="15" t="s">
        <v>314</v>
      </c>
      <c r="N73" s="21" t="s">
        <v>96</v>
      </c>
      <c r="O73" s="21" t="s">
        <v>337</v>
      </c>
      <c r="Q73" s="21" t="s">
        <v>344</v>
      </c>
      <c r="R73" s="22">
        <v>45756</v>
      </c>
      <c r="W73">
        <f>COUNTIF(内藤証券!U:U,B73)</f>
        <v>0</v>
      </c>
    </row>
    <row r="74" spans="1:23" ht="24.95" hidden="1" customHeight="1" x14ac:dyDescent="0.4">
      <c r="A74" s="17" t="s">
        <v>29</v>
      </c>
      <c r="B74" s="50" t="s">
        <v>368</v>
      </c>
      <c r="C74" s="16" t="s">
        <v>31</v>
      </c>
      <c r="D74" s="16" t="s">
        <v>31</v>
      </c>
      <c r="E74" s="15" t="s">
        <v>32</v>
      </c>
      <c r="F74" s="15" t="s">
        <v>365</v>
      </c>
      <c r="N74" s="21" t="s">
        <v>96</v>
      </c>
      <c r="O74" s="21" t="s">
        <v>372</v>
      </c>
      <c r="Q74" s="21" t="s">
        <v>344</v>
      </c>
      <c r="R74" s="22">
        <v>45883</v>
      </c>
      <c r="W74">
        <f>COUNTIF(内藤証券!U:U,B74)</f>
        <v>0</v>
      </c>
    </row>
    <row r="75" spans="1:23" ht="24.95" hidden="1" customHeight="1" x14ac:dyDescent="0.4">
      <c r="A75" s="17" t="s">
        <v>29</v>
      </c>
      <c r="B75" s="50" t="s">
        <v>369</v>
      </c>
      <c r="C75" s="16" t="s">
        <v>24</v>
      </c>
      <c r="D75" s="16" t="s">
        <v>31</v>
      </c>
      <c r="E75" s="15" t="s">
        <v>35</v>
      </c>
      <c r="F75" s="15" t="s">
        <v>365</v>
      </c>
      <c r="N75" s="21" t="s">
        <v>96</v>
      </c>
      <c r="O75" s="21" t="s">
        <v>372</v>
      </c>
      <c r="Q75" s="21" t="s">
        <v>344</v>
      </c>
      <c r="R75" s="22">
        <v>45883</v>
      </c>
      <c r="W75">
        <f>COUNTIF(内藤証券!U:U,B75)</f>
        <v>0</v>
      </c>
    </row>
    <row r="76" spans="1:23" ht="24.95" hidden="1" customHeight="1" x14ac:dyDescent="0.4">
      <c r="A76" s="17" t="s">
        <v>29</v>
      </c>
      <c r="B76" s="15" t="s">
        <v>325</v>
      </c>
      <c r="C76" s="16" t="s">
        <v>24</v>
      </c>
      <c r="D76" s="16" t="s">
        <v>31</v>
      </c>
      <c r="E76" s="15" t="s">
        <v>35</v>
      </c>
      <c r="F76" s="15" t="s">
        <v>314</v>
      </c>
      <c r="N76" s="21" t="s">
        <v>96</v>
      </c>
      <c r="O76" s="21" t="s">
        <v>337</v>
      </c>
      <c r="Q76" s="21" t="s">
        <v>344</v>
      </c>
      <c r="R76" s="22">
        <v>45756</v>
      </c>
      <c r="W76">
        <f>COUNTIF(内藤証券!U:U,B76)</f>
        <v>0</v>
      </c>
    </row>
    <row r="77" spans="1:23" ht="24.95" hidden="1" customHeight="1" x14ac:dyDescent="0.4">
      <c r="A77" s="17" t="s">
        <v>29</v>
      </c>
      <c r="B77" s="15" t="s">
        <v>272</v>
      </c>
      <c r="C77" s="16" t="s">
        <v>31</v>
      </c>
      <c r="D77" s="16" t="s">
        <v>31</v>
      </c>
      <c r="E77" s="15" t="s">
        <v>32</v>
      </c>
      <c r="F77" s="15" t="s">
        <v>314</v>
      </c>
      <c r="N77" s="21" t="s">
        <v>96</v>
      </c>
      <c r="O77" s="21" t="s">
        <v>336</v>
      </c>
      <c r="Q77" s="21" t="s">
        <v>344</v>
      </c>
      <c r="R77" s="22">
        <v>45756</v>
      </c>
      <c r="W77">
        <f>COUNTIF(内藤証券!U:U,B77)</f>
        <v>0</v>
      </c>
    </row>
    <row r="78" spans="1:23" ht="24.95" hidden="1" customHeight="1" x14ac:dyDescent="0.4">
      <c r="A78" s="17" t="s">
        <v>29</v>
      </c>
      <c r="B78" s="15" t="s">
        <v>273</v>
      </c>
      <c r="C78" s="16" t="s">
        <v>31</v>
      </c>
      <c r="D78" s="16" t="s">
        <v>31</v>
      </c>
      <c r="E78" s="15" t="s">
        <v>32</v>
      </c>
      <c r="F78" s="15" t="s">
        <v>314</v>
      </c>
      <c r="N78" s="21" t="s">
        <v>96</v>
      </c>
      <c r="O78" s="21" t="s">
        <v>336</v>
      </c>
      <c r="Q78" s="21" t="s">
        <v>344</v>
      </c>
      <c r="R78" s="22">
        <v>45756</v>
      </c>
      <c r="W78">
        <f>COUNTIF(内藤証券!U:U,B78)</f>
        <v>0</v>
      </c>
    </row>
    <row r="79" spans="1:23" ht="24.95" hidden="1" customHeight="1" x14ac:dyDescent="0.4">
      <c r="A79" s="17" t="s">
        <v>29</v>
      </c>
      <c r="B79" s="15" t="s">
        <v>274</v>
      </c>
      <c r="C79" s="16" t="s">
        <v>31</v>
      </c>
      <c r="D79" s="16" t="s">
        <v>31</v>
      </c>
      <c r="E79" s="15" t="s">
        <v>32</v>
      </c>
      <c r="F79" s="15" t="s">
        <v>314</v>
      </c>
      <c r="N79" s="21" t="s">
        <v>96</v>
      </c>
      <c r="O79" s="21" t="s">
        <v>336</v>
      </c>
      <c r="Q79" s="21" t="s">
        <v>344</v>
      </c>
      <c r="R79" s="22">
        <v>45756</v>
      </c>
      <c r="W79">
        <f>COUNTIF(内藤証券!U:U,B79)</f>
        <v>0</v>
      </c>
    </row>
    <row r="80" spans="1:23" ht="24.95" hidden="1" customHeight="1" x14ac:dyDescent="0.4">
      <c r="A80" s="17" t="s">
        <v>29</v>
      </c>
      <c r="B80" s="15" t="s">
        <v>275</v>
      </c>
      <c r="C80" s="16" t="s">
        <v>31</v>
      </c>
      <c r="D80" s="16" t="s">
        <v>31</v>
      </c>
      <c r="E80" s="15" t="s">
        <v>32</v>
      </c>
      <c r="F80" s="15" t="s">
        <v>314</v>
      </c>
      <c r="N80" s="21" t="s">
        <v>96</v>
      </c>
      <c r="O80" s="21" t="s">
        <v>336</v>
      </c>
      <c r="Q80" s="21" t="s">
        <v>344</v>
      </c>
      <c r="R80" s="22">
        <v>45756</v>
      </c>
      <c r="W80">
        <f>COUNTIF(内藤証券!U:U,B80)</f>
        <v>0</v>
      </c>
    </row>
    <row r="81" spans="1:23" ht="24.95" hidden="1" customHeight="1" x14ac:dyDescent="0.4">
      <c r="A81" s="17" t="s">
        <v>29</v>
      </c>
      <c r="B81" s="15" t="s">
        <v>326</v>
      </c>
      <c r="C81" s="16" t="s">
        <v>31</v>
      </c>
      <c r="D81" s="16" t="s">
        <v>31</v>
      </c>
      <c r="E81" s="15" t="s">
        <v>32</v>
      </c>
      <c r="F81" s="15" t="s">
        <v>314</v>
      </c>
      <c r="N81" s="21" t="s">
        <v>96</v>
      </c>
      <c r="O81" s="21" t="s">
        <v>337</v>
      </c>
      <c r="Q81" s="21" t="s">
        <v>344</v>
      </c>
      <c r="R81" s="22">
        <v>45756</v>
      </c>
      <c r="W81">
        <f>COUNTIF(内藤証券!U:U,B81)</f>
        <v>0</v>
      </c>
    </row>
    <row r="82" spans="1:23" ht="24.95" hidden="1" customHeight="1" x14ac:dyDescent="0.4">
      <c r="A82" s="17" t="s">
        <v>29</v>
      </c>
      <c r="B82" s="15" t="s">
        <v>327</v>
      </c>
      <c r="C82" s="16" t="s">
        <v>24</v>
      </c>
      <c r="D82" s="16" t="s">
        <v>31</v>
      </c>
      <c r="E82" s="15" t="s">
        <v>35</v>
      </c>
      <c r="F82" s="15" t="s">
        <v>314</v>
      </c>
      <c r="N82" s="21" t="s">
        <v>96</v>
      </c>
      <c r="O82" s="21" t="s">
        <v>337</v>
      </c>
      <c r="Q82" s="21" t="s">
        <v>344</v>
      </c>
      <c r="R82" s="22">
        <v>45756</v>
      </c>
      <c r="W82">
        <f>COUNTIF(内藤証券!U:U,B82)</f>
        <v>0</v>
      </c>
    </row>
    <row r="83" spans="1:23" ht="24.95" hidden="1" customHeight="1" x14ac:dyDescent="0.4">
      <c r="A83" s="17" t="s">
        <v>29</v>
      </c>
      <c r="B83" s="15" t="s">
        <v>328</v>
      </c>
      <c r="C83" s="16" t="s">
        <v>24</v>
      </c>
      <c r="D83" s="16" t="s">
        <v>31</v>
      </c>
      <c r="E83" s="15" t="s">
        <v>35</v>
      </c>
      <c r="F83" s="15" t="s">
        <v>314</v>
      </c>
      <c r="N83" s="21" t="s">
        <v>96</v>
      </c>
      <c r="O83" s="21" t="s">
        <v>337</v>
      </c>
      <c r="Q83" s="21" t="s">
        <v>344</v>
      </c>
      <c r="R83" s="22">
        <v>45756</v>
      </c>
      <c r="W83">
        <f>COUNTIF(内藤証券!U:U,B83)</f>
        <v>0</v>
      </c>
    </row>
    <row r="84" spans="1:23" ht="24.95" hidden="1" customHeight="1" x14ac:dyDescent="0.4">
      <c r="A84" s="17" t="s">
        <v>29</v>
      </c>
      <c r="B84" s="15" t="s">
        <v>329</v>
      </c>
      <c r="C84" s="16" t="s">
        <v>24</v>
      </c>
      <c r="D84" s="16" t="s">
        <v>31</v>
      </c>
      <c r="E84" s="15" t="s">
        <v>35</v>
      </c>
      <c r="F84" s="15" t="s">
        <v>314</v>
      </c>
      <c r="N84" s="21" t="s">
        <v>96</v>
      </c>
      <c r="O84" s="21" t="s">
        <v>337</v>
      </c>
      <c r="Q84" s="21" t="s">
        <v>344</v>
      </c>
      <c r="R84" s="22">
        <v>45756</v>
      </c>
      <c r="W84">
        <f>COUNTIF(内藤証券!U:U,B84)</f>
        <v>0</v>
      </c>
    </row>
    <row r="85" spans="1:23" ht="24.95" hidden="1" customHeight="1" x14ac:dyDescent="0.4">
      <c r="A85" s="17" t="s">
        <v>29</v>
      </c>
      <c r="B85" s="15" t="s">
        <v>276</v>
      </c>
      <c r="C85" s="16" t="s">
        <v>31</v>
      </c>
      <c r="D85" s="16" t="s">
        <v>31</v>
      </c>
      <c r="E85" s="15" t="s">
        <v>32</v>
      </c>
      <c r="F85" s="15" t="s">
        <v>314</v>
      </c>
      <c r="N85" s="21" t="s">
        <v>96</v>
      </c>
      <c r="O85" s="21" t="s">
        <v>336</v>
      </c>
      <c r="Q85" s="21" t="s">
        <v>344</v>
      </c>
      <c r="R85" s="22">
        <v>45756</v>
      </c>
      <c r="W85">
        <f>COUNTIF(内藤証券!U:U,B85)</f>
        <v>0</v>
      </c>
    </row>
    <row r="86" spans="1:23" ht="24.95" hidden="1" customHeight="1" x14ac:dyDescent="0.4">
      <c r="A86" s="17" t="s">
        <v>29</v>
      </c>
      <c r="B86" s="15" t="s">
        <v>277</v>
      </c>
      <c r="C86" s="16" t="s">
        <v>31</v>
      </c>
      <c r="D86" s="16" t="s">
        <v>31</v>
      </c>
      <c r="E86" s="15" t="s">
        <v>32</v>
      </c>
      <c r="F86" s="15" t="s">
        <v>314</v>
      </c>
      <c r="N86" s="21" t="s">
        <v>96</v>
      </c>
      <c r="O86" s="21" t="s">
        <v>336</v>
      </c>
      <c r="Q86" s="21" t="s">
        <v>344</v>
      </c>
      <c r="R86" s="22">
        <v>45756</v>
      </c>
      <c r="W86">
        <f>COUNTIF(内藤証券!U:U,B86)</f>
        <v>0</v>
      </c>
    </row>
    <row r="87" spans="1:23" ht="24.95" hidden="1" customHeight="1" x14ac:dyDescent="0.4">
      <c r="A87" s="17" t="s">
        <v>29</v>
      </c>
      <c r="B87" s="15" t="s">
        <v>278</v>
      </c>
      <c r="C87" s="16" t="s">
        <v>31</v>
      </c>
      <c r="D87" s="16" t="s">
        <v>31</v>
      </c>
      <c r="E87" s="15" t="s">
        <v>32</v>
      </c>
      <c r="F87" s="15" t="s">
        <v>314</v>
      </c>
      <c r="N87" s="21" t="s">
        <v>96</v>
      </c>
      <c r="O87" s="21" t="s">
        <v>336</v>
      </c>
      <c r="Q87" s="21" t="s">
        <v>344</v>
      </c>
      <c r="R87" s="22">
        <v>45756</v>
      </c>
      <c r="W87">
        <f>COUNTIF(内藤証券!U:U,B87)</f>
        <v>0</v>
      </c>
    </row>
    <row r="88" spans="1:23" ht="24.95" hidden="1" customHeight="1" x14ac:dyDescent="0.4">
      <c r="A88" s="17" t="s">
        <v>29</v>
      </c>
      <c r="B88" s="15" t="s">
        <v>279</v>
      </c>
      <c r="C88" s="16" t="s">
        <v>31</v>
      </c>
      <c r="D88" s="16" t="s">
        <v>31</v>
      </c>
      <c r="E88" s="15" t="s">
        <v>32</v>
      </c>
      <c r="F88" s="15" t="s">
        <v>314</v>
      </c>
      <c r="N88" s="21" t="s">
        <v>96</v>
      </c>
      <c r="O88" s="21" t="s">
        <v>336</v>
      </c>
      <c r="Q88" s="21" t="s">
        <v>344</v>
      </c>
      <c r="R88" s="22">
        <v>45756</v>
      </c>
      <c r="W88">
        <f>COUNTIF(内藤証券!U:U,B88)</f>
        <v>0</v>
      </c>
    </row>
    <row r="89" spans="1:23" ht="24.95" hidden="1" customHeight="1" x14ac:dyDescent="0.4">
      <c r="A89" s="17" t="s">
        <v>29</v>
      </c>
      <c r="B89" s="15" t="s">
        <v>280</v>
      </c>
      <c r="C89" s="16" t="s">
        <v>31</v>
      </c>
      <c r="D89" s="16" t="s">
        <v>31</v>
      </c>
      <c r="E89" s="15" t="s">
        <v>32</v>
      </c>
      <c r="F89" s="15" t="s">
        <v>314</v>
      </c>
      <c r="N89" s="21" t="s">
        <v>96</v>
      </c>
      <c r="O89" s="21" t="s">
        <v>336</v>
      </c>
      <c r="Q89" s="21" t="s">
        <v>344</v>
      </c>
      <c r="R89" s="22">
        <v>45756</v>
      </c>
      <c r="W89">
        <f>COUNTIF(内藤証券!U:U,B89)</f>
        <v>0</v>
      </c>
    </row>
    <row r="90" spans="1:23" ht="24.95" hidden="1" customHeight="1" x14ac:dyDescent="0.4">
      <c r="A90" s="17" t="s">
        <v>29</v>
      </c>
      <c r="B90" s="15" t="s">
        <v>281</v>
      </c>
      <c r="C90" s="16" t="s">
        <v>31</v>
      </c>
      <c r="D90" s="16" t="s">
        <v>31</v>
      </c>
      <c r="E90" s="15" t="s">
        <v>32</v>
      </c>
      <c r="F90" s="15" t="s">
        <v>314</v>
      </c>
      <c r="N90" s="21" t="s">
        <v>96</v>
      </c>
      <c r="O90" s="21" t="s">
        <v>336</v>
      </c>
      <c r="Q90" s="21" t="s">
        <v>344</v>
      </c>
      <c r="R90" s="22">
        <v>45756</v>
      </c>
      <c r="W90">
        <f>COUNTIF(内藤証券!U:U,B90)</f>
        <v>0</v>
      </c>
    </row>
    <row r="91" spans="1:23" ht="24.95" hidden="1" customHeight="1" x14ac:dyDescent="0.4">
      <c r="A91" s="17" t="s">
        <v>29</v>
      </c>
      <c r="B91" s="15" t="s">
        <v>282</v>
      </c>
      <c r="C91" s="16" t="s">
        <v>31</v>
      </c>
      <c r="D91" s="16" t="s">
        <v>31</v>
      </c>
      <c r="E91" s="15" t="s">
        <v>32</v>
      </c>
      <c r="F91" s="15" t="s">
        <v>314</v>
      </c>
      <c r="N91" s="21" t="s">
        <v>96</v>
      </c>
      <c r="O91" s="21" t="s">
        <v>336</v>
      </c>
      <c r="Q91" s="21" t="s">
        <v>344</v>
      </c>
      <c r="R91" s="22">
        <v>45756</v>
      </c>
      <c r="W91">
        <f>COUNTIF(内藤証券!U:U,B91)</f>
        <v>0</v>
      </c>
    </row>
    <row r="92" spans="1:23" ht="24.95" hidden="1" customHeight="1" x14ac:dyDescent="0.4">
      <c r="A92" s="17" t="s">
        <v>29</v>
      </c>
      <c r="B92" s="15" t="s">
        <v>283</v>
      </c>
      <c r="C92" s="16" t="s">
        <v>31</v>
      </c>
      <c r="D92" s="16" t="s">
        <v>31</v>
      </c>
      <c r="E92" s="15" t="s">
        <v>32</v>
      </c>
      <c r="F92" s="15" t="s">
        <v>314</v>
      </c>
      <c r="N92" s="21" t="s">
        <v>96</v>
      </c>
      <c r="O92" s="21" t="s">
        <v>336</v>
      </c>
      <c r="Q92" s="21" t="s">
        <v>344</v>
      </c>
      <c r="R92" s="22">
        <v>45756</v>
      </c>
      <c r="W92">
        <f>COUNTIF(内藤証券!U:U,B92)</f>
        <v>0</v>
      </c>
    </row>
    <row r="93" spans="1:23" ht="24.95" hidden="1" customHeight="1" x14ac:dyDescent="0.4">
      <c r="A93" s="17" t="s">
        <v>29</v>
      </c>
      <c r="B93" s="15" t="s">
        <v>284</v>
      </c>
      <c r="C93" s="16" t="s">
        <v>31</v>
      </c>
      <c r="D93" s="16" t="s">
        <v>31</v>
      </c>
      <c r="E93" s="15" t="s">
        <v>32</v>
      </c>
      <c r="F93" s="15" t="s">
        <v>314</v>
      </c>
      <c r="N93" s="21" t="s">
        <v>96</v>
      </c>
      <c r="O93" s="21" t="s">
        <v>336</v>
      </c>
      <c r="Q93" s="21" t="s">
        <v>344</v>
      </c>
      <c r="R93" s="22">
        <v>45756</v>
      </c>
      <c r="W93">
        <f>COUNTIF(内藤証券!U:U,B93)</f>
        <v>0</v>
      </c>
    </row>
    <row r="94" spans="1:23" ht="24.95" hidden="1" customHeight="1" x14ac:dyDescent="0.4">
      <c r="A94" s="17" t="s">
        <v>29</v>
      </c>
      <c r="B94" s="15" t="s">
        <v>285</v>
      </c>
      <c r="C94" s="16" t="s">
        <v>31</v>
      </c>
      <c r="D94" s="16" t="s">
        <v>31</v>
      </c>
      <c r="E94" s="15" t="s">
        <v>32</v>
      </c>
      <c r="F94" s="15" t="s">
        <v>314</v>
      </c>
      <c r="N94" s="21" t="s">
        <v>96</v>
      </c>
      <c r="O94" s="21" t="s">
        <v>336</v>
      </c>
      <c r="Q94" s="21" t="s">
        <v>344</v>
      </c>
      <c r="R94" s="22">
        <v>45756</v>
      </c>
      <c r="W94">
        <f>COUNTIF(内藤証券!U:U,B94)</f>
        <v>0</v>
      </c>
    </row>
    <row r="95" spans="1:23" ht="24.95" hidden="1" customHeight="1" x14ac:dyDescent="0.4">
      <c r="A95" s="17" t="s">
        <v>29</v>
      </c>
      <c r="B95" s="15" t="s">
        <v>286</v>
      </c>
      <c r="C95" s="16" t="s">
        <v>31</v>
      </c>
      <c r="D95" s="16" t="s">
        <v>31</v>
      </c>
      <c r="E95" s="15" t="s">
        <v>32</v>
      </c>
      <c r="F95" s="15" t="s">
        <v>314</v>
      </c>
      <c r="N95" s="21" t="s">
        <v>96</v>
      </c>
      <c r="O95" s="21" t="s">
        <v>336</v>
      </c>
      <c r="Q95" s="21" t="s">
        <v>344</v>
      </c>
      <c r="R95" s="22">
        <v>45756</v>
      </c>
      <c r="W95">
        <f>COUNTIF(内藤証券!U:U,B95)</f>
        <v>0</v>
      </c>
    </row>
    <row r="96" spans="1:23" ht="24.95" hidden="1" customHeight="1" x14ac:dyDescent="0.4">
      <c r="A96" s="17" t="s">
        <v>29</v>
      </c>
      <c r="B96" s="15" t="s">
        <v>287</v>
      </c>
      <c r="C96" s="16" t="s">
        <v>31</v>
      </c>
      <c r="D96" s="16" t="s">
        <v>31</v>
      </c>
      <c r="E96" s="15" t="s">
        <v>32</v>
      </c>
      <c r="F96" s="15" t="s">
        <v>314</v>
      </c>
      <c r="N96" s="21" t="s">
        <v>96</v>
      </c>
      <c r="O96" s="21" t="s">
        <v>336</v>
      </c>
      <c r="Q96" s="21" t="s">
        <v>344</v>
      </c>
      <c r="R96" s="22">
        <v>45756</v>
      </c>
      <c r="W96">
        <f>COUNTIF(内藤証券!U:U,B96)</f>
        <v>0</v>
      </c>
    </row>
    <row r="97" spans="1:23" ht="24.95" hidden="1" customHeight="1" x14ac:dyDescent="0.4">
      <c r="A97" s="17" t="s">
        <v>29</v>
      </c>
      <c r="B97" s="15" t="s">
        <v>288</v>
      </c>
      <c r="C97" s="16" t="s">
        <v>31</v>
      </c>
      <c r="D97" s="16" t="s">
        <v>31</v>
      </c>
      <c r="E97" s="15" t="s">
        <v>32</v>
      </c>
      <c r="F97" s="15" t="s">
        <v>314</v>
      </c>
      <c r="N97" s="21" t="s">
        <v>96</v>
      </c>
      <c r="O97" s="21" t="s">
        <v>336</v>
      </c>
      <c r="Q97" s="21" t="s">
        <v>344</v>
      </c>
      <c r="R97" s="22">
        <v>45756</v>
      </c>
      <c r="W97">
        <f>COUNTIF(内藤証券!U:U,B97)</f>
        <v>0</v>
      </c>
    </row>
    <row r="98" spans="1:23" ht="24.95" hidden="1" customHeight="1" x14ac:dyDescent="0.4">
      <c r="A98" s="17" t="s">
        <v>29</v>
      </c>
      <c r="B98" s="15" t="s">
        <v>289</v>
      </c>
      <c r="C98" s="16" t="s">
        <v>31</v>
      </c>
      <c r="D98" s="16" t="s">
        <v>31</v>
      </c>
      <c r="E98" s="15" t="s">
        <v>32</v>
      </c>
      <c r="F98" s="15" t="s">
        <v>314</v>
      </c>
      <c r="N98" s="21" t="s">
        <v>96</v>
      </c>
      <c r="O98" s="21" t="s">
        <v>336</v>
      </c>
      <c r="Q98" s="21" t="s">
        <v>344</v>
      </c>
      <c r="R98" s="22">
        <v>45756</v>
      </c>
      <c r="W98">
        <f>COUNTIF(内藤証券!U:U,B98)</f>
        <v>0</v>
      </c>
    </row>
    <row r="99" spans="1:23" ht="24.95" hidden="1" customHeight="1" x14ac:dyDescent="0.4">
      <c r="A99" s="17" t="s">
        <v>29</v>
      </c>
      <c r="B99" s="15" t="s">
        <v>290</v>
      </c>
      <c r="C99" s="16" t="s">
        <v>31</v>
      </c>
      <c r="D99" s="16" t="s">
        <v>31</v>
      </c>
      <c r="E99" s="15" t="s">
        <v>32</v>
      </c>
      <c r="F99" s="15" t="s">
        <v>314</v>
      </c>
      <c r="N99" s="21" t="s">
        <v>96</v>
      </c>
      <c r="O99" s="21" t="s">
        <v>336</v>
      </c>
      <c r="Q99" s="21" t="s">
        <v>344</v>
      </c>
      <c r="R99" s="22">
        <v>45756</v>
      </c>
      <c r="W99">
        <f>COUNTIF(内藤証券!U:U,B99)</f>
        <v>0</v>
      </c>
    </row>
    <row r="100" spans="1:23" ht="24.95" hidden="1" customHeight="1" x14ac:dyDescent="0.4">
      <c r="A100" s="17" t="s">
        <v>29</v>
      </c>
      <c r="B100" s="15" t="s">
        <v>291</v>
      </c>
      <c r="C100" s="16" t="s">
        <v>31</v>
      </c>
      <c r="D100" s="16" t="s">
        <v>31</v>
      </c>
      <c r="E100" s="15" t="s">
        <v>32</v>
      </c>
      <c r="F100" s="15" t="s">
        <v>314</v>
      </c>
      <c r="N100" s="21" t="s">
        <v>96</v>
      </c>
      <c r="O100" s="21" t="s">
        <v>336</v>
      </c>
      <c r="Q100" s="21" t="s">
        <v>344</v>
      </c>
      <c r="R100" s="22">
        <v>45756</v>
      </c>
      <c r="W100">
        <f>COUNTIF(内藤証券!U:U,B100)</f>
        <v>0</v>
      </c>
    </row>
    <row r="101" spans="1:23" ht="24.95" hidden="1" customHeight="1" x14ac:dyDescent="0.4">
      <c r="A101" s="17" t="s">
        <v>29</v>
      </c>
      <c r="B101" s="15" t="s">
        <v>292</v>
      </c>
      <c r="C101" s="16" t="s">
        <v>31</v>
      </c>
      <c r="D101" s="16" t="s">
        <v>31</v>
      </c>
      <c r="E101" s="15" t="s">
        <v>32</v>
      </c>
      <c r="F101" s="15" t="s">
        <v>314</v>
      </c>
      <c r="N101" s="21" t="s">
        <v>96</v>
      </c>
      <c r="O101" s="21" t="s">
        <v>336</v>
      </c>
      <c r="Q101" s="21" t="s">
        <v>344</v>
      </c>
      <c r="R101" s="22">
        <v>45756</v>
      </c>
      <c r="W101">
        <f>COUNTIF(内藤証券!U:U,B101)</f>
        <v>0</v>
      </c>
    </row>
    <row r="102" spans="1:23" ht="24.95" hidden="1" customHeight="1" x14ac:dyDescent="0.4">
      <c r="A102" s="17" t="s">
        <v>29</v>
      </c>
      <c r="B102" s="15" t="s">
        <v>293</v>
      </c>
      <c r="C102" s="16" t="s">
        <v>31</v>
      </c>
      <c r="D102" s="16" t="s">
        <v>31</v>
      </c>
      <c r="E102" s="15" t="s">
        <v>32</v>
      </c>
      <c r="F102" s="15" t="s">
        <v>314</v>
      </c>
      <c r="N102" s="21" t="s">
        <v>96</v>
      </c>
      <c r="O102" s="21" t="s">
        <v>336</v>
      </c>
      <c r="Q102" s="21" t="s">
        <v>344</v>
      </c>
      <c r="R102" s="22">
        <v>45756</v>
      </c>
      <c r="W102">
        <f>COUNTIF(内藤証券!U:U,B102)</f>
        <v>0</v>
      </c>
    </row>
    <row r="103" spans="1:23" ht="24.95" hidden="1" customHeight="1" x14ac:dyDescent="0.4">
      <c r="A103" s="17" t="s">
        <v>29</v>
      </c>
      <c r="B103" s="15" t="s">
        <v>294</v>
      </c>
      <c r="C103" s="16" t="s">
        <v>31</v>
      </c>
      <c r="D103" s="16" t="s">
        <v>31</v>
      </c>
      <c r="E103" s="15" t="s">
        <v>32</v>
      </c>
      <c r="F103" s="15" t="s">
        <v>314</v>
      </c>
      <c r="N103" s="21" t="s">
        <v>96</v>
      </c>
      <c r="O103" s="21" t="s">
        <v>336</v>
      </c>
      <c r="Q103" s="21" t="s">
        <v>344</v>
      </c>
      <c r="R103" s="22">
        <v>45756</v>
      </c>
      <c r="W103">
        <f>COUNTIF(内藤証券!U:U,B103)</f>
        <v>0</v>
      </c>
    </row>
    <row r="104" spans="1:23" ht="24.95" hidden="1" customHeight="1" x14ac:dyDescent="0.4">
      <c r="A104" s="17" t="s">
        <v>29</v>
      </c>
      <c r="B104" s="15" t="s">
        <v>295</v>
      </c>
      <c r="C104" s="16" t="s">
        <v>31</v>
      </c>
      <c r="D104" s="16" t="s">
        <v>31</v>
      </c>
      <c r="E104" s="15" t="s">
        <v>32</v>
      </c>
      <c r="F104" s="15" t="s">
        <v>314</v>
      </c>
      <c r="N104" s="21" t="s">
        <v>96</v>
      </c>
      <c r="O104" s="21" t="s">
        <v>336</v>
      </c>
      <c r="Q104" s="21" t="s">
        <v>344</v>
      </c>
      <c r="R104" s="22">
        <v>45756</v>
      </c>
      <c r="W104">
        <f>COUNTIF(内藤証券!U:U,B104)</f>
        <v>0</v>
      </c>
    </row>
    <row r="105" spans="1:23" ht="24.95" hidden="1" customHeight="1" x14ac:dyDescent="0.4">
      <c r="A105" s="17" t="s">
        <v>29</v>
      </c>
      <c r="B105" s="15" t="s">
        <v>296</v>
      </c>
      <c r="C105" s="16" t="s">
        <v>31</v>
      </c>
      <c r="D105" s="16" t="s">
        <v>31</v>
      </c>
      <c r="E105" s="15" t="s">
        <v>32</v>
      </c>
      <c r="F105" s="15" t="s">
        <v>314</v>
      </c>
      <c r="N105" s="21" t="s">
        <v>96</v>
      </c>
      <c r="O105" s="21" t="s">
        <v>336</v>
      </c>
      <c r="Q105" s="21" t="s">
        <v>344</v>
      </c>
      <c r="R105" s="22">
        <v>45756</v>
      </c>
      <c r="W105">
        <f>COUNTIF(内藤証券!U:U,B105)</f>
        <v>0</v>
      </c>
    </row>
    <row r="106" spans="1:23" ht="24.95" hidden="1" customHeight="1" x14ac:dyDescent="0.4">
      <c r="A106" s="17" t="s">
        <v>29</v>
      </c>
      <c r="B106" s="15" t="s">
        <v>297</v>
      </c>
      <c r="C106" s="16" t="s">
        <v>31</v>
      </c>
      <c r="D106" s="16" t="s">
        <v>31</v>
      </c>
      <c r="E106" s="15" t="s">
        <v>32</v>
      </c>
      <c r="F106" s="15" t="s">
        <v>314</v>
      </c>
      <c r="N106" s="21" t="s">
        <v>96</v>
      </c>
      <c r="O106" s="21" t="s">
        <v>336</v>
      </c>
      <c r="Q106" s="21" t="s">
        <v>344</v>
      </c>
      <c r="R106" s="22">
        <v>45756</v>
      </c>
      <c r="W106">
        <f>COUNTIF(内藤証券!U:U,B106)</f>
        <v>0</v>
      </c>
    </row>
    <row r="107" spans="1:23" ht="24.95" hidden="1" customHeight="1" x14ac:dyDescent="0.4">
      <c r="A107" s="17" t="s">
        <v>29</v>
      </c>
      <c r="B107" s="15" t="s">
        <v>298</v>
      </c>
      <c r="C107" s="16" t="s">
        <v>31</v>
      </c>
      <c r="D107" s="16" t="s">
        <v>31</v>
      </c>
      <c r="E107" s="15" t="s">
        <v>32</v>
      </c>
      <c r="F107" s="15" t="s">
        <v>314</v>
      </c>
      <c r="N107" s="21" t="s">
        <v>96</v>
      </c>
      <c r="O107" s="21" t="s">
        <v>336</v>
      </c>
      <c r="Q107" s="21" t="s">
        <v>344</v>
      </c>
      <c r="R107" s="22">
        <v>45756</v>
      </c>
      <c r="W107">
        <f>COUNTIF(内藤証券!U:U,B107)</f>
        <v>0</v>
      </c>
    </row>
    <row r="108" spans="1:23" ht="24.95" hidden="1" customHeight="1" x14ac:dyDescent="0.4">
      <c r="A108" s="17" t="s">
        <v>29</v>
      </c>
      <c r="B108" s="15" t="s">
        <v>299</v>
      </c>
      <c r="C108" s="16" t="s">
        <v>31</v>
      </c>
      <c r="D108" s="16" t="s">
        <v>31</v>
      </c>
      <c r="E108" s="15" t="s">
        <v>32</v>
      </c>
      <c r="F108" s="15" t="s">
        <v>314</v>
      </c>
      <c r="N108" s="21" t="s">
        <v>96</v>
      </c>
      <c r="O108" s="21" t="s">
        <v>336</v>
      </c>
      <c r="Q108" s="21" t="s">
        <v>344</v>
      </c>
      <c r="R108" s="22">
        <v>45756</v>
      </c>
      <c r="W108">
        <f>COUNTIF(内藤証券!U:U,B108)</f>
        <v>0</v>
      </c>
    </row>
    <row r="109" spans="1:23" ht="24.95" hidden="1" customHeight="1" x14ac:dyDescent="0.4">
      <c r="A109" s="17" t="s">
        <v>29</v>
      </c>
      <c r="B109" s="15" t="s">
        <v>300</v>
      </c>
      <c r="C109" s="16" t="s">
        <v>31</v>
      </c>
      <c r="D109" s="16" t="s">
        <v>31</v>
      </c>
      <c r="E109" s="15" t="s">
        <v>32</v>
      </c>
      <c r="F109" s="15" t="s">
        <v>314</v>
      </c>
      <c r="N109" s="21" t="s">
        <v>96</v>
      </c>
      <c r="O109" s="21" t="s">
        <v>336</v>
      </c>
      <c r="Q109" s="21" t="s">
        <v>344</v>
      </c>
      <c r="R109" s="22">
        <v>45756</v>
      </c>
      <c r="W109">
        <f>COUNTIF(内藤証券!U:U,B109)</f>
        <v>0</v>
      </c>
    </row>
    <row r="110" spans="1:23" ht="24.95" hidden="1" customHeight="1" x14ac:dyDescent="0.4">
      <c r="A110" s="17" t="s">
        <v>29</v>
      </c>
      <c r="B110" s="15" t="s">
        <v>301</v>
      </c>
      <c r="C110" s="16" t="s">
        <v>31</v>
      </c>
      <c r="D110" s="16" t="s">
        <v>31</v>
      </c>
      <c r="E110" s="15" t="s">
        <v>32</v>
      </c>
      <c r="F110" s="15" t="s">
        <v>314</v>
      </c>
      <c r="N110" s="21" t="s">
        <v>96</v>
      </c>
      <c r="O110" s="21" t="s">
        <v>336</v>
      </c>
      <c r="Q110" s="21" t="s">
        <v>344</v>
      </c>
      <c r="R110" s="22">
        <v>45756</v>
      </c>
      <c r="W110">
        <f>COUNTIF(内藤証券!U:U,B110)</f>
        <v>0</v>
      </c>
    </row>
    <row r="111" spans="1:23" ht="24.95" hidden="1" customHeight="1" x14ac:dyDescent="0.4">
      <c r="A111" s="17" t="s">
        <v>29</v>
      </c>
      <c r="B111" s="15" t="s">
        <v>302</v>
      </c>
      <c r="C111" s="16" t="s">
        <v>31</v>
      </c>
      <c r="D111" s="16" t="s">
        <v>31</v>
      </c>
      <c r="E111" s="15" t="s">
        <v>32</v>
      </c>
      <c r="F111" s="15" t="s">
        <v>314</v>
      </c>
      <c r="N111" s="21" t="s">
        <v>96</v>
      </c>
      <c r="O111" s="21" t="s">
        <v>336</v>
      </c>
      <c r="Q111" s="21" t="s">
        <v>344</v>
      </c>
      <c r="R111" s="22">
        <v>45756</v>
      </c>
      <c r="W111">
        <f>COUNTIF(内藤証券!U:U,B111)</f>
        <v>0</v>
      </c>
    </row>
    <row r="112" spans="1:23" ht="24.95" hidden="1" customHeight="1" x14ac:dyDescent="0.4">
      <c r="A112" s="17" t="s">
        <v>29</v>
      </c>
      <c r="B112" s="15" t="s">
        <v>303</v>
      </c>
      <c r="C112" s="16" t="s">
        <v>31</v>
      </c>
      <c r="D112" s="16" t="s">
        <v>31</v>
      </c>
      <c r="E112" s="15" t="s">
        <v>32</v>
      </c>
      <c r="F112" s="15" t="s">
        <v>314</v>
      </c>
      <c r="N112" s="21" t="s">
        <v>96</v>
      </c>
      <c r="O112" s="21" t="s">
        <v>336</v>
      </c>
      <c r="Q112" s="21" t="s">
        <v>344</v>
      </c>
      <c r="R112" s="22">
        <v>45756</v>
      </c>
      <c r="W112">
        <f>COUNTIF(内藤証券!U:U,B112)</f>
        <v>0</v>
      </c>
    </row>
    <row r="113" spans="1:26" ht="24.95" hidden="1" customHeight="1" x14ac:dyDescent="0.4">
      <c r="A113" s="17" t="s">
        <v>29</v>
      </c>
      <c r="B113" s="15" t="s">
        <v>304</v>
      </c>
      <c r="C113" s="16" t="s">
        <v>31</v>
      </c>
      <c r="D113" s="16" t="s">
        <v>31</v>
      </c>
      <c r="E113" s="15" t="s">
        <v>32</v>
      </c>
      <c r="F113" s="15" t="s">
        <v>314</v>
      </c>
      <c r="N113" s="21" t="s">
        <v>96</v>
      </c>
      <c r="O113" s="21" t="s">
        <v>336</v>
      </c>
      <c r="Q113" s="21" t="s">
        <v>344</v>
      </c>
      <c r="R113" s="22">
        <v>45756</v>
      </c>
      <c r="W113">
        <f>COUNTIF(内藤証券!U:U,B113)</f>
        <v>0</v>
      </c>
    </row>
    <row r="114" spans="1:26" ht="24.95" hidden="1" customHeight="1" x14ac:dyDescent="0.4">
      <c r="A114" s="17" t="s">
        <v>29</v>
      </c>
      <c r="B114" s="15" t="s">
        <v>305</v>
      </c>
      <c r="C114" s="16" t="s">
        <v>31</v>
      </c>
      <c r="D114" s="16" t="s">
        <v>31</v>
      </c>
      <c r="E114" s="15" t="s">
        <v>32</v>
      </c>
      <c r="F114" s="15" t="s">
        <v>314</v>
      </c>
      <c r="N114" s="21" t="s">
        <v>96</v>
      </c>
      <c r="O114" s="21" t="s">
        <v>336</v>
      </c>
      <c r="Q114" s="21" t="s">
        <v>344</v>
      </c>
      <c r="R114" s="22">
        <v>45756</v>
      </c>
      <c r="W114">
        <f>COUNTIF(内藤証券!U:U,B114)</f>
        <v>0</v>
      </c>
    </row>
    <row r="115" spans="1:26" ht="24.95" hidden="1" customHeight="1" x14ac:dyDescent="0.4">
      <c r="A115" s="17" t="s">
        <v>29</v>
      </c>
      <c r="B115" s="15" t="s">
        <v>370</v>
      </c>
      <c r="C115" s="16" t="s">
        <v>31</v>
      </c>
      <c r="D115" s="16" t="s">
        <v>31</v>
      </c>
      <c r="E115" s="15" t="s">
        <v>32</v>
      </c>
      <c r="F115" s="15" t="s">
        <v>365</v>
      </c>
      <c r="N115" s="21" t="s">
        <v>374</v>
      </c>
      <c r="O115" s="21" t="s">
        <v>373</v>
      </c>
      <c r="Q115" s="21" t="s">
        <v>344</v>
      </c>
      <c r="R115" s="22">
        <v>45883</v>
      </c>
      <c r="W115">
        <f>COUNTIF(内藤証券!U:U,B115)</f>
        <v>0</v>
      </c>
    </row>
    <row r="116" spans="1:26" ht="24.95" hidden="1" customHeight="1" x14ac:dyDescent="0.4">
      <c r="A116" s="17" t="s">
        <v>29</v>
      </c>
      <c r="B116" s="15" t="s">
        <v>371</v>
      </c>
      <c r="C116" s="16" t="s">
        <v>31</v>
      </c>
      <c r="D116" s="16" t="s">
        <v>31</v>
      </c>
      <c r="E116" s="15" t="s">
        <v>32</v>
      </c>
      <c r="F116" s="15" t="s">
        <v>365</v>
      </c>
      <c r="N116" s="21" t="s">
        <v>374</v>
      </c>
      <c r="O116" s="21" t="s">
        <v>373</v>
      </c>
      <c r="Q116" s="21" t="s">
        <v>344</v>
      </c>
      <c r="R116" s="22">
        <v>45883</v>
      </c>
      <c r="W116">
        <f>COUNTIF(内藤証券!U:U,B116)</f>
        <v>0</v>
      </c>
    </row>
    <row r="117" spans="1:26" ht="24.95" hidden="1" customHeight="1" x14ac:dyDescent="0.4">
      <c r="A117" s="17" t="s">
        <v>29</v>
      </c>
      <c r="B117" s="15" t="s">
        <v>306</v>
      </c>
      <c r="C117" s="16" t="s">
        <v>24</v>
      </c>
      <c r="D117" s="16" t="s">
        <v>31</v>
      </c>
      <c r="E117" s="15" t="s">
        <v>35</v>
      </c>
      <c r="F117" s="15" t="s">
        <v>314</v>
      </c>
      <c r="N117" s="21" t="s">
        <v>96</v>
      </c>
      <c r="O117" s="21" t="s">
        <v>336</v>
      </c>
      <c r="Q117" s="21" t="s">
        <v>344</v>
      </c>
      <c r="R117" s="22">
        <v>45756</v>
      </c>
      <c r="W117">
        <f>COUNTIF(内藤証券!U:U,B117)</f>
        <v>0</v>
      </c>
    </row>
    <row r="118" spans="1:26" ht="24.95" hidden="1" customHeight="1" x14ac:dyDescent="0.4">
      <c r="A118" s="17" t="s">
        <v>29</v>
      </c>
      <c r="B118" s="15" t="s">
        <v>307</v>
      </c>
      <c r="C118" s="16" t="s">
        <v>31</v>
      </c>
      <c r="D118" s="16" t="s">
        <v>31</v>
      </c>
      <c r="E118" s="15" t="s">
        <v>32</v>
      </c>
      <c r="F118" s="15" t="s">
        <v>314</v>
      </c>
      <c r="N118" s="21" t="s">
        <v>96</v>
      </c>
      <c r="O118" s="21" t="s">
        <v>336</v>
      </c>
      <c r="Q118" s="21" t="s">
        <v>344</v>
      </c>
      <c r="R118" s="22">
        <v>45756</v>
      </c>
      <c r="W118">
        <f>COUNTIF(内藤証券!U:U,B118)</f>
        <v>0</v>
      </c>
    </row>
    <row r="119" spans="1:26" ht="24.95" hidden="1" customHeight="1" x14ac:dyDescent="0.4">
      <c r="A119" s="17" t="s">
        <v>29</v>
      </c>
      <c r="B119" s="15" t="s">
        <v>38</v>
      </c>
      <c r="C119" s="16" t="s">
        <v>31</v>
      </c>
      <c r="D119" s="16" t="s">
        <v>31</v>
      </c>
      <c r="E119" s="15" t="s">
        <v>32</v>
      </c>
      <c r="F119" s="15" t="s">
        <v>108</v>
      </c>
      <c r="N119" s="21" t="s">
        <v>96</v>
      </c>
      <c r="O119" s="21" t="s">
        <v>348</v>
      </c>
      <c r="Q119" s="21" t="s">
        <v>344</v>
      </c>
      <c r="R119" s="22">
        <v>45814</v>
      </c>
      <c r="W119">
        <f>COUNTIF(内藤証券!U:U,B119)</f>
        <v>0</v>
      </c>
    </row>
    <row r="120" spans="1:26" ht="24.95" hidden="1" customHeight="1" x14ac:dyDescent="0.4">
      <c r="A120" s="17" t="s">
        <v>29</v>
      </c>
      <c r="B120" s="15" t="s">
        <v>119</v>
      </c>
      <c r="C120" s="16" t="s">
        <v>31</v>
      </c>
      <c r="D120" s="16" t="s">
        <v>31</v>
      </c>
      <c r="E120" s="15" t="s">
        <v>32</v>
      </c>
      <c r="F120" s="15" t="s">
        <v>365</v>
      </c>
      <c r="N120" s="21" t="s">
        <v>374</v>
      </c>
      <c r="O120" s="21" t="s">
        <v>375</v>
      </c>
      <c r="Q120" s="21" t="s">
        <v>344</v>
      </c>
      <c r="R120" s="22">
        <v>45883</v>
      </c>
      <c r="W120">
        <f>COUNTIF(内藤証券!U:U,B120)</f>
        <v>0</v>
      </c>
    </row>
    <row r="121" spans="1:26" ht="24.95" hidden="1" customHeight="1" x14ac:dyDescent="0.4">
      <c r="A121" s="17" t="s">
        <v>29</v>
      </c>
      <c r="B121" s="15" t="s">
        <v>120</v>
      </c>
      <c r="C121" s="16" t="s">
        <v>31</v>
      </c>
      <c r="D121" s="16" t="s">
        <v>31</v>
      </c>
      <c r="E121" s="15" t="s">
        <v>32</v>
      </c>
      <c r="F121" s="15" t="s">
        <v>314</v>
      </c>
      <c r="N121" s="21" t="s">
        <v>96</v>
      </c>
      <c r="O121" s="21" t="s">
        <v>336</v>
      </c>
      <c r="Q121" s="21" t="s">
        <v>344</v>
      </c>
      <c r="R121" s="22">
        <v>45756</v>
      </c>
      <c r="W121">
        <f>COUNTIF(内藤証券!U:U,B121)</f>
        <v>0</v>
      </c>
    </row>
    <row r="122" spans="1:26" ht="24.95" hidden="1" customHeight="1" x14ac:dyDescent="0.4">
      <c r="A122" s="17" t="s">
        <v>29</v>
      </c>
      <c r="B122" s="15" t="s">
        <v>39</v>
      </c>
      <c r="C122" s="16" t="s">
        <v>31</v>
      </c>
      <c r="D122" s="16" t="s">
        <v>31</v>
      </c>
      <c r="E122" s="15" t="s">
        <v>32</v>
      </c>
      <c r="F122" s="15" t="s">
        <v>129</v>
      </c>
      <c r="N122" s="21" t="s">
        <v>96</v>
      </c>
      <c r="O122" s="13" t="s">
        <v>350</v>
      </c>
      <c r="Q122" s="21" t="s">
        <v>344</v>
      </c>
      <c r="R122" s="22">
        <v>45814</v>
      </c>
      <c r="W122">
        <f>COUNTIF(内藤証券!U:U,B122)</f>
        <v>0</v>
      </c>
    </row>
    <row r="123" spans="1:26" ht="24.95" hidden="1" customHeight="1" x14ac:dyDescent="0.4">
      <c r="A123" s="17" t="s">
        <v>29</v>
      </c>
      <c r="B123" s="50" t="s">
        <v>220</v>
      </c>
      <c r="C123" s="16" t="s">
        <v>31</v>
      </c>
      <c r="D123" s="16" t="s">
        <v>31</v>
      </c>
      <c r="E123" s="15" t="s">
        <v>32</v>
      </c>
      <c r="F123" s="15" t="s">
        <v>221</v>
      </c>
      <c r="N123" s="21" t="s">
        <v>354</v>
      </c>
      <c r="Q123" s="21" t="s">
        <v>344</v>
      </c>
      <c r="R123" s="22">
        <v>45814</v>
      </c>
      <c r="W123">
        <f>COUNTIF(内藤証券!U:U,B123)</f>
        <v>0</v>
      </c>
      <c r="Z123" t="s">
        <v>437</v>
      </c>
    </row>
    <row r="124" spans="1:26" ht="24.95" hidden="1" customHeight="1" x14ac:dyDescent="0.4">
      <c r="A124" s="17" t="s">
        <v>29</v>
      </c>
      <c r="B124" s="15" t="s">
        <v>172</v>
      </c>
      <c r="C124" s="16" t="s">
        <v>31</v>
      </c>
      <c r="D124" s="16" t="s">
        <v>31</v>
      </c>
      <c r="E124" s="15" t="s">
        <v>32</v>
      </c>
      <c r="F124" s="15" t="s">
        <v>173</v>
      </c>
      <c r="N124" s="21" t="s">
        <v>96</v>
      </c>
      <c r="O124" s="21" t="s">
        <v>336</v>
      </c>
      <c r="Q124" s="21" t="s">
        <v>344</v>
      </c>
      <c r="R124" s="22">
        <v>45814</v>
      </c>
      <c r="W124">
        <f>COUNTIF(内藤証券!U:U,B124)</f>
        <v>0</v>
      </c>
    </row>
    <row r="125" spans="1:26" ht="24.95" hidden="1" customHeight="1" x14ac:dyDescent="0.4">
      <c r="A125" s="17" t="s">
        <v>29</v>
      </c>
      <c r="B125" s="15" t="s">
        <v>111</v>
      </c>
      <c r="C125" s="16" t="s">
        <v>31</v>
      </c>
      <c r="D125" s="16" t="s">
        <v>31</v>
      </c>
      <c r="E125" s="15" t="s">
        <v>32</v>
      </c>
      <c r="F125" s="15" t="s">
        <v>314</v>
      </c>
      <c r="N125" s="21" t="s">
        <v>96</v>
      </c>
      <c r="O125" s="21" t="s">
        <v>336</v>
      </c>
      <c r="Q125" s="21" t="s">
        <v>344</v>
      </c>
      <c r="R125" s="22">
        <v>45756</v>
      </c>
      <c r="W125">
        <f>COUNTIF(内藤証券!U:U,B125)</f>
        <v>0</v>
      </c>
    </row>
    <row r="126" spans="1:26" ht="24.95" hidden="1" customHeight="1" x14ac:dyDescent="0.4">
      <c r="A126" s="17" t="s">
        <v>29</v>
      </c>
      <c r="B126" s="15" t="s">
        <v>42</v>
      </c>
      <c r="C126" s="16" t="s">
        <v>31</v>
      </c>
      <c r="D126" s="16" t="s">
        <v>31</v>
      </c>
      <c r="E126" s="15" t="s">
        <v>32</v>
      </c>
      <c r="F126" s="15" t="s">
        <v>129</v>
      </c>
      <c r="N126" s="21" t="s">
        <v>96</v>
      </c>
      <c r="O126" s="21" t="s">
        <v>336</v>
      </c>
      <c r="Q126" s="21" t="s">
        <v>344</v>
      </c>
      <c r="R126" s="22">
        <v>45814</v>
      </c>
      <c r="W126">
        <f>COUNTIF(内藤証券!U:U,B126)</f>
        <v>0</v>
      </c>
    </row>
    <row r="127" spans="1:26" ht="24.95" hidden="1" customHeight="1" x14ac:dyDescent="0.4">
      <c r="A127" s="17" t="s">
        <v>29</v>
      </c>
      <c r="B127" s="15" t="s">
        <v>95</v>
      </c>
      <c r="C127" s="16" t="s">
        <v>31</v>
      </c>
      <c r="D127" s="16" t="s">
        <v>31</v>
      </c>
      <c r="E127" s="15" t="s">
        <v>32</v>
      </c>
      <c r="F127" s="15" t="s">
        <v>94</v>
      </c>
      <c r="G127" s="25" t="s">
        <v>40</v>
      </c>
      <c r="H127" s="24" t="s">
        <v>41</v>
      </c>
      <c r="I127" s="24" t="s">
        <v>151</v>
      </c>
      <c r="J127" s="24" t="s">
        <v>152</v>
      </c>
      <c r="K127" s="23" t="s">
        <v>99</v>
      </c>
      <c r="N127" s="21" t="s">
        <v>96</v>
      </c>
      <c r="O127" s="13" t="s">
        <v>112</v>
      </c>
      <c r="R127" s="22" t="s">
        <v>24</v>
      </c>
      <c r="W127">
        <f>COUNTIF(内藤証券!U:U,B127)</f>
        <v>0</v>
      </c>
      <c r="Z127" t="s">
        <v>435</v>
      </c>
    </row>
    <row r="128" spans="1:26" ht="24.95" hidden="1" customHeight="1" x14ac:dyDescent="0.4">
      <c r="A128" s="17" t="s">
        <v>29</v>
      </c>
      <c r="B128" s="15" t="s">
        <v>103</v>
      </c>
      <c r="C128" s="16" t="s">
        <v>31</v>
      </c>
      <c r="D128" s="16" t="s">
        <v>31</v>
      </c>
      <c r="E128" s="15" t="s">
        <v>32</v>
      </c>
      <c r="F128" s="15" t="s">
        <v>104</v>
      </c>
      <c r="G128" s="25" t="s">
        <v>40</v>
      </c>
      <c r="H128" s="24" t="s">
        <v>96</v>
      </c>
      <c r="I128" s="24" t="s">
        <v>109</v>
      </c>
      <c r="J128" s="24" t="s">
        <v>78</v>
      </c>
      <c r="K128" s="23" t="s">
        <v>99</v>
      </c>
      <c r="N128" s="21" t="s">
        <v>96</v>
      </c>
      <c r="O128" s="13" t="s">
        <v>113</v>
      </c>
      <c r="R128" s="22" t="s">
        <v>24</v>
      </c>
      <c r="W128">
        <f>COUNTIF(内藤証券!U:U,B128)</f>
        <v>0</v>
      </c>
      <c r="Z128" t="s">
        <v>435</v>
      </c>
    </row>
    <row r="129" spans="1:26" ht="24.95" hidden="1" customHeight="1" x14ac:dyDescent="0.4">
      <c r="A129" s="17" t="s">
        <v>29</v>
      </c>
      <c r="B129" s="15" t="s">
        <v>121</v>
      </c>
      <c r="C129" s="16" t="s">
        <v>31</v>
      </c>
      <c r="D129" s="16" t="s">
        <v>31</v>
      </c>
      <c r="E129" s="15" t="s">
        <v>32</v>
      </c>
      <c r="F129" s="15" t="s">
        <v>314</v>
      </c>
      <c r="N129" s="21" t="s">
        <v>96</v>
      </c>
      <c r="O129" s="21" t="s">
        <v>336</v>
      </c>
      <c r="Q129" s="21" t="s">
        <v>344</v>
      </c>
      <c r="R129" s="22">
        <v>45756</v>
      </c>
      <c r="W129">
        <f>COUNTIF(内藤証券!U:U,B129)</f>
        <v>0</v>
      </c>
    </row>
    <row r="130" spans="1:26" ht="24.95" hidden="1" customHeight="1" x14ac:dyDescent="0.4">
      <c r="A130" s="17" t="s">
        <v>29</v>
      </c>
      <c r="B130" s="15" t="s">
        <v>44</v>
      </c>
      <c r="C130" s="16" t="s">
        <v>31</v>
      </c>
      <c r="D130" s="16" t="s">
        <v>31</v>
      </c>
      <c r="E130" s="15" t="s">
        <v>32</v>
      </c>
      <c r="F130" s="15" t="s">
        <v>221</v>
      </c>
      <c r="N130" s="21" t="s">
        <v>96</v>
      </c>
      <c r="O130" s="21" t="s">
        <v>358</v>
      </c>
      <c r="Q130" s="21" t="s">
        <v>344</v>
      </c>
      <c r="R130" s="22">
        <v>45814</v>
      </c>
      <c r="W130">
        <f>COUNTIF(内藤証券!U:U,B130)</f>
        <v>0</v>
      </c>
    </row>
    <row r="131" spans="1:26" ht="24.95" customHeight="1" x14ac:dyDescent="0.4">
      <c r="A131" s="17" t="s">
        <v>29</v>
      </c>
      <c r="B131" s="50" t="s">
        <v>469</v>
      </c>
      <c r="C131" s="16" t="s">
        <v>31</v>
      </c>
      <c r="D131" s="16" t="s">
        <v>31</v>
      </c>
      <c r="E131" s="15" t="s">
        <v>32</v>
      </c>
      <c r="F131" s="15" t="s">
        <v>365</v>
      </c>
      <c r="N131" s="21" t="s">
        <v>374</v>
      </c>
      <c r="O131" s="13" t="s">
        <v>468</v>
      </c>
      <c r="Q131" s="21" t="s">
        <v>344</v>
      </c>
      <c r="R131" s="22">
        <v>45883</v>
      </c>
      <c r="W131">
        <f>COUNTIF(内藤証券!U:U,B131)</f>
        <v>0</v>
      </c>
    </row>
    <row r="132" spans="1:26" ht="24.95" hidden="1" customHeight="1" x14ac:dyDescent="0.4">
      <c r="A132" s="17" t="s">
        <v>27</v>
      </c>
      <c r="B132" s="15" t="s">
        <v>30</v>
      </c>
      <c r="C132" s="16" t="s">
        <v>31</v>
      </c>
      <c r="D132" s="16" t="s">
        <v>31</v>
      </c>
      <c r="E132" s="15" t="s">
        <v>32</v>
      </c>
      <c r="F132" s="15" t="s">
        <v>80</v>
      </c>
      <c r="M132" s="21" t="s">
        <v>81</v>
      </c>
      <c r="N132" s="21" t="s">
        <v>97</v>
      </c>
      <c r="O132" s="21" t="s">
        <v>93</v>
      </c>
      <c r="P132" s="21" t="s">
        <v>98</v>
      </c>
      <c r="W132">
        <f>COUNTIF(内藤証券!U:U,B132)</f>
        <v>0</v>
      </c>
      <c r="Z132" t="s">
        <v>434</v>
      </c>
    </row>
    <row r="133" spans="1:26" ht="24.95" hidden="1" customHeight="1" x14ac:dyDescent="0.4">
      <c r="A133" s="17" t="s">
        <v>27</v>
      </c>
      <c r="B133" s="15" t="s">
        <v>115</v>
      </c>
      <c r="C133" s="16" t="s">
        <v>31</v>
      </c>
      <c r="D133" s="16" t="s">
        <v>31</v>
      </c>
      <c r="E133" s="15" t="s">
        <v>32</v>
      </c>
      <c r="F133" s="15" t="s">
        <v>184</v>
      </c>
      <c r="N133" s="21" t="s">
        <v>96</v>
      </c>
      <c r="O133" s="21" t="s">
        <v>337</v>
      </c>
      <c r="Q133" s="21" t="s">
        <v>344</v>
      </c>
      <c r="R133" s="22">
        <v>45814</v>
      </c>
      <c r="W133">
        <f>COUNTIF(内藤証券!U:U,B133)</f>
        <v>0</v>
      </c>
    </row>
    <row r="134" spans="1:26" ht="24.95" hidden="1" customHeight="1" x14ac:dyDescent="0.4">
      <c r="A134" s="17" t="s">
        <v>27</v>
      </c>
      <c r="B134" s="15" t="s">
        <v>313</v>
      </c>
      <c r="C134" s="16" t="s">
        <v>24</v>
      </c>
      <c r="D134" s="16" t="s">
        <v>31</v>
      </c>
      <c r="E134" s="15" t="s">
        <v>35</v>
      </c>
      <c r="F134" s="15" t="s">
        <v>314</v>
      </c>
      <c r="N134" s="21" t="s">
        <v>96</v>
      </c>
      <c r="O134" s="21" t="s">
        <v>337</v>
      </c>
      <c r="Q134" s="21" t="s">
        <v>344</v>
      </c>
      <c r="R134" s="22">
        <v>45756</v>
      </c>
      <c r="W134">
        <f>COUNTIF(内藤証券!U:U,B134)</f>
        <v>0</v>
      </c>
    </row>
    <row r="135" spans="1:26" ht="24.95" hidden="1" customHeight="1" x14ac:dyDescent="0.4">
      <c r="A135" s="17" t="s">
        <v>27</v>
      </c>
      <c r="B135" s="15" t="s">
        <v>315</v>
      </c>
      <c r="C135" s="16" t="s">
        <v>24</v>
      </c>
      <c r="D135" s="16" t="s">
        <v>31</v>
      </c>
      <c r="E135" s="15" t="s">
        <v>35</v>
      </c>
      <c r="F135" s="15" t="s">
        <v>314</v>
      </c>
      <c r="N135" s="21" t="s">
        <v>96</v>
      </c>
      <c r="O135" s="21" t="s">
        <v>337</v>
      </c>
      <c r="Q135" s="21" t="s">
        <v>344</v>
      </c>
      <c r="R135" s="22">
        <v>45756</v>
      </c>
      <c r="W135">
        <f>COUNTIF(内藤証券!U:U,B135)</f>
        <v>0</v>
      </c>
    </row>
    <row r="136" spans="1:26" ht="24.95" hidden="1" customHeight="1" x14ac:dyDescent="0.4">
      <c r="A136" s="17" t="s">
        <v>27</v>
      </c>
      <c r="B136" s="15" t="s">
        <v>316</v>
      </c>
      <c r="C136" s="16" t="s">
        <v>24</v>
      </c>
      <c r="D136" s="16" t="s">
        <v>31</v>
      </c>
      <c r="E136" s="15" t="s">
        <v>35</v>
      </c>
      <c r="F136" s="15" t="s">
        <v>314</v>
      </c>
      <c r="N136" s="21" t="s">
        <v>96</v>
      </c>
      <c r="O136" s="21" t="s">
        <v>337</v>
      </c>
      <c r="Q136" s="21" t="s">
        <v>344</v>
      </c>
      <c r="R136" s="22">
        <v>45756</v>
      </c>
      <c r="W136">
        <f>COUNTIF(内藤証券!U:U,B136)</f>
        <v>0</v>
      </c>
    </row>
    <row r="137" spans="1:26" ht="24.95" hidden="1" customHeight="1" x14ac:dyDescent="0.4">
      <c r="A137" s="17" t="s">
        <v>27</v>
      </c>
      <c r="B137" s="15" t="s">
        <v>317</v>
      </c>
      <c r="C137" s="16" t="s">
        <v>24</v>
      </c>
      <c r="D137" s="16" t="s">
        <v>31</v>
      </c>
      <c r="E137" s="15" t="s">
        <v>35</v>
      </c>
      <c r="F137" s="15" t="s">
        <v>314</v>
      </c>
      <c r="N137" s="21" t="s">
        <v>96</v>
      </c>
      <c r="O137" s="21" t="s">
        <v>337</v>
      </c>
      <c r="Q137" s="21" t="s">
        <v>344</v>
      </c>
      <c r="R137" s="22">
        <v>45756</v>
      </c>
      <c r="W137">
        <f>COUNTIF(内藤証券!U:U,B137)</f>
        <v>0</v>
      </c>
    </row>
    <row r="138" spans="1:26" ht="24.95" hidden="1" customHeight="1" x14ac:dyDescent="0.4">
      <c r="A138" s="17" t="s">
        <v>27</v>
      </c>
      <c r="B138" s="50" t="s">
        <v>364</v>
      </c>
      <c r="C138" s="16" t="s">
        <v>24</v>
      </c>
      <c r="D138" s="16" t="s">
        <v>31</v>
      </c>
      <c r="E138" s="15" t="s">
        <v>35</v>
      </c>
      <c r="F138" s="15" t="s">
        <v>365</v>
      </c>
      <c r="N138" s="21" t="s">
        <v>96</v>
      </c>
      <c r="O138" s="21" t="s">
        <v>372</v>
      </c>
      <c r="Q138" s="21" t="s">
        <v>344</v>
      </c>
      <c r="R138" s="22">
        <v>45883</v>
      </c>
      <c r="W138">
        <f>COUNTIF(内藤証券!U:U,B138)</f>
        <v>0</v>
      </c>
    </row>
    <row r="139" spans="1:26" ht="24.95" hidden="1" customHeight="1" x14ac:dyDescent="0.4">
      <c r="A139" s="17" t="s">
        <v>27</v>
      </c>
      <c r="B139" s="15" t="s">
        <v>171</v>
      </c>
      <c r="C139" s="16" t="s">
        <v>31</v>
      </c>
      <c r="D139" s="16" t="s">
        <v>31</v>
      </c>
      <c r="E139" s="15" t="s">
        <v>32</v>
      </c>
      <c r="F139" s="15" t="s">
        <v>314</v>
      </c>
      <c r="N139" s="21" t="s">
        <v>96</v>
      </c>
      <c r="O139" s="21" t="s">
        <v>336</v>
      </c>
      <c r="Q139" s="21" t="s">
        <v>344</v>
      </c>
      <c r="R139" s="22">
        <v>45756</v>
      </c>
      <c r="W139">
        <f>COUNTIF(内藤証券!U:U,B139)</f>
        <v>0</v>
      </c>
    </row>
    <row r="140" spans="1:26" ht="24.95" hidden="1" customHeight="1" x14ac:dyDescent="0.4">
      <c r="A140" s="17" t="s">
        <v>27</v>
      </c>
      <c r="B140" s="15" t="s">
        <v>123</v>
      </c>
      <c r="C140" s="16" t="s">
        <v>31</v>
      </c>
      <c r="D140" s="16" t="s">
        <v>31</v>
      </c>
      <c r="E140" s="15" t="s">
        <v>32</v>
      </c>
      <c r="F140" s="15" t="s">
        <v>212</v>
      </c>
      <c r="N140" s="21" t="s">
        <v>96</v>
      </c>
      <c r="O140" s="21" t="s">
        <v>337</v>
      </c>
      <c r="Q140" s="21" t="s">
        <v>344</v>
      </c>
      <c r="R140" s="22">
        <v>45814</v>
      </c>
      <c r="W140">
        <f>COUNTIF(内藤証券!U:U,B140)</f>
        <v>0</v>
      </c>
    </row>
    <row r="141" spans="1:26" ht="24.95" hidden="1" customHeight="1" x14ac:dyDescent="0.4">
      <c r="A141" s="17" t="s">
        <v>27</v>
      </c>
      <c r="B141" s="15" t="s">
        <v>37</v>
      </c>
      <c r="C141" s="16" t="s">
        <v>31</v>
      </c>
      <c r="D141" s="16" t="s">
        <v>31</v>
      </c>
      <c r="E141" s="15" t="s">
        <v>32</v>
      </c>
      <c r="F141" s="15" t="s">
        <v>212</v>
      </c>
      <c r="N141" s="21" t="s">
        <v>96</v>
      </c>
      <c r="O141" s="13" t="s">
        <v>349</v>
      </c>
      <c r="Q141" s="21" t="s">
        <v>344</v>
      </c>
      <c r="R141" s="22">
        <v>45814</v>
      </c>
      <c r="W141">
        <f>COUNTIF(内藤証券!U:U,B141)</f>
        <v>1</v>
      </c>
      <c r="Z141" t="s">
        <v>432</v>
      </c>
    </row>
    <row r="142" spans="1:26" ht="24.95" hidden="1" customHeight="1" x14ac:dyDescent="0.4">
      <c r="A142" s="17" t="s">
        <v>27</v>
      </c>
      <c r="B142" s="15" t="s">
        <v>225</v>
      </c>
      <c r="C142" s="16" t="s">
        <v>31</v>
      </c>
      <c r="D142" s="16" t="s">
        <v>31</v>
      </c>
      <c r="E142" s="15" t="s">
        <v>32</v>
      </c>
      <c r="F142" s="15" t="s">
        <v>314</v>
      </c>
      <c r="N142" s="21" t="s">
        <v>96</v>
      </c>
      <c r="O142" s="21" t="s">
        <v>336</v>
      </c>
      <c r="Q142" s="21" t="s">
        <v>344</v>
      </c>
      <c r="R142" s="22">
        <v>45756</v>
      </c>
      <c r="W142">
        <f>COUNTIF(内藤証券!U:U,B142)</f>
        <v>0</v>
      </c>
    </row>
    <row r="143" spans="1:26" ht="24.95" hidden="1" customHeight="1" x14ac:dyDescent="0.4">
      <c r="A143" s="17" t="s">
        <v>27</v>
      </c>
      <c r="B143" s="15" t="s">
        <v>126</v>
      </c>
      <c r="C143" s="16" t="s">
        <v>31</v>
      </c>
      <c r="D143" s="16" t="s">
        <v>31</v>
      </c>
      <c r="E143" s="15" t="s">
        <v>32</v>
      </c>
      <c r="F143" s="15" t="s">
        <v>365</v>
      </c>
      <c r="N143" s="21" t="s">
        <v>374</v>
      </c>
      <c r="O143" s="21" t="s">
        <v>373</v>
      </c>
      <c r="Q143" s="21" t="s">
        <v>344</v>
      </c>
      <c r="R143" s="22">
        <v>45883</v>
      </c>
      <c r="W143">
        <f>COUNTIF(内藤証券!U:U,B143)</f>
        <v>0</v>
      </c>
    </row>
    <row r="144" spans="1:26" ht="24.95" hidden="1" customHeight="1" x14ac:dyDescent="0.4">
      <c r="A144" s="17" t="s">
        <v>27</v>
      </c>
      <c r="B144" s="15" t="s">
        <v>226</v>
      </c>
      <c r="C144" s="16" t="s">
        <v>31</v>
      </c>
      <c r="D144" s="16" t="s">
        <v>31</v>
      </c>
      <c r="E144" s="15" t="s">
        <v>32</v>
      </c>
      <c r="F144" s="15" t="s">
        <v>314</v>
      </c>
      <c r="N144" s="21" t="s">
        <v>96</v>
      </c>
      <c r="O144" s="21" t="s">
        <v>336</v>
      </c>
      <c r="Q144" s="21" t="s">
        <v>344</v>
      </c>
      <c r="R144" s="22">
        <v>45756</v>
      </c>
      <c r="W144">
        <f>COUNTIF(内藤証券!U:U,B144)</f>
        <v>0</v>
      </c>
    </row>
    <row r="145" spans="1:23" ht="24.95" hidden="1" customHeight="1" x14ac:dyDescent="0.4">
      <c r="A145" s="17" t="s">
        <v>27</v>
      </c>
      <c r="B145" s="15" t="s">
        <v>318</v>
      </c>
      <c r="C145" s="16" t="s">
        <v>31</v>
      </c>
      <c r="D145" s="16" t="s">
        <v>31</v>
      </c>
      <c r="E145" s="15" t="s">
        <v>32</v>
      </c>
      <c r="F145" s="15" t="s">
        <v>314</v>
      </c>
      <c r="N145" s="21" t="s">
        <v>96</v>
      </c>
      <c r="O145" s="21" t="s">
        <v>337</v>
      </c>
      <c r="Q145" s="21" t="s">
        <v>344</v>
      </c>
      <c r="R145" s="22">
        <v>45756</v>
      </c>
      <c r="W145">
        <f>COUNTIF(内藤証券!U:U,B145)</f>
        <v>0</v>
      </c>
    </row>
    <row r="146" spans="1:23" ht="24.95" hidden="1" customHeight="1" x14ac:dyDescent="0.4">
      <c r="A146" s="17" t="s">
        <v>27</v>
      </c>
      <c r="B146" s="15" t="s">
        <v>118</v>
      </c>
      <c r="C146" s="16" t="s">
        <v>31</v>
      </c>
      <c r="D146" s="16" t="s">
        <v>31</v>
      </c>
      <c r="E146" s="15" t="s">
        <v>32</v>
      </c>
      <c r="F146" s="15" t="s">
        <v>314</v>
      </c>
      <c r="N146" s="21" t="s">
        <v>96</v>
      </c>
      <c r="O146" s="21" t="s">
        <v>337</v>
      </c>
      <c r="Q146" s="21" t="s">
        <v>344</v>
      </c>
      <c r="R146" s="22">
        <v>45756</v>
      </c>
      <c r="W146">
        <f>COUNTIF(内藤証券!U:U,B146)</f>
        <v>0</v>
      </c>
    </row>
    <row r="147" spans="1:23" ht="24.95" hidden="1" customHeight="1" x14ac:dyDescent="0.4">
      <c r="A147" s="17" t="s">
        <v>27</v>
      </c>
      <c r="B147" s="15" t="s">
        <v>319</v>
      </c>
      <c r="C147" s="16" t="s">
        <v>31</v>
      </c>
      <c r="D147" s="16" t="s">
        <v>31</v>
      </c>
      <c r="E147" s="15" t="s">
        <v>32</v>
      </c>
      <c r="F147" s="15" t="s">
        <v>314</v>
      </c>
      <c r="N147" s="21" t="s">
        <v>96</v>
      </c>
      <c r="O147" s="21" t="s">
        <v>337</v>
      </c>
      <c r="Q147" s="21" t="s">
        <v>344</v>
      </c>
      <c r="R147" s="22">
        <v>45756</v>
      </c>
      <c r="W147">
        <f>COUNTIF(内藤証券!U:U,B147)</f>
        <v>0</v>
      </c>
    </row>
    <row r="148" spans="1:23" ht="24.95" hidden="1" customHeight="1" x14ac:dyDescent="0.4">
      <c r="A148" s="17" t="s">
        <v>27</v>
      </c>
      <c r="B148" s="15" t="s">
        <v>227</v>
      </c>
      <c r="C148" s="16" t="s">
        <v>31</v>
      </c>
      <c r="D148" s="16" t="s">
        <v>31</v>
      </c>
      <c r="E148" s="15" t="s">
        <v>32</v>
      </c>
      <c r="F148" s="15" t="s">
        <v>314</v>
      </c>
      <c r="N148" s="21" t="s">
        <v>96</v>
      </c>
      <c r="O148" s="21" t="s">
        <v>336</v>
      </c>
      <c r="Q148" s="21" t="s">
        <v>344</v>
      </c>
      <c r="R148" s="22">
        <v>45756</v>
      </c>
      <c r="W148">
        <f>COUNTIF(内藤証券!U:U,B148)</f>
        <v>0</v>
      </c>
    </row>
    <row r="149" spans="1:23" ht="24.95" hidden="1" customHeight="1" x14ac:dyDescent="0.4">
      <c r="A149" s="17" t="s">
        <v>27</v>
      </c>
      <c r="B149" s="15" t="s">
        <v>228</v>
      </c>
      <c r="C149" s="16" t="s">
        <v>31</v>
      </c>
      <c r="D149" s="16" t="s">
        <v>31</v>
      </c>
      <c r="E149" s="15" t="s">
        <v>32</v>
      </c>
      <c r="F149" s="15" t="s">
        <v>314</v>
      </c>
      <c r="N149" s="21" t="s">
        <v>96</v>
      </c>
      <c r="O149" s="21" t="s">
        <v>336</v>
      </c>
      <c r="Q149" s="21" t="s">
        <v>344</v>
      </c>
      <c r="R149" s="22">
        <v>45756</v>
      </c>
      <c r="W149">
        <f>COUNTIF(内藤証券!U:U,B149)</f>
        <v>0</v>
      </c>
    </row>
    <row r="150" spans="1:23" ht="24.95" hidden="1" customHeight="1" x14ac:dyDescent="0.4">
      <c r="A150" s="17" t="s">
        <v>27</v>
      </c>
      <c r="B150" s="15" t="s">
        <v>229</v>
      </c>
      <c r="C150" s="16" t="s">
        <v>31</v>
      </c>
      <c r="D150" s="16" t="s">
        <v>31</v>
      </c>
      <c r="E150" s="15" t="s">
        <v>32</v>
      </c>
      <c r="F150" s="15" t="s">
        <v>314</v>
      </c>
      <c r="N150" s="21" t="s">
        <v>96</v>
      </c>
      <c r="O150" s="21" t="s">
        <v>336</v>
      </c>
      <c r="Q150" s="21" t="s">
        <v>344</v>
      </c>
      <c r="R150" s="22">
        <v>45756</v>
      </c>
      <c r="W150">
        <f>COUNTIF(内藤証券!U:U,B150)</f>
        <v>0</v>
      </c>
    </row>
    <row r="151" spans="1:23" ht="24.95" hidden="1" customHeight="1" x14ac:dyDescent="0.4">
      <c r="A151" s="17" t="s">
        <v>27</v>
      </c>
      <c r="B151" s="15" t="s">
        <v>230</v>
      </c>
      <c r="C151" s="16" t="s">
        <v>31</v>
      </c>
      <c r="D151" s="16" t="s">
        <v>31</v>
      </c>
      <c r="E151" s="15" t="s">
        <v>32</v>
      </c>
      <c r="F151" s="15" t="s">
        <v>314</v>
      </c>
      <c r="N151" s="21" t="s">
        <v>96</v>
      </c>
      <c r="O151" s="21" t="s">
        <v>336</v>
      </c>
      <c r="Q151" s="21" t="s">
        <v>344</v>
      </c>
      <c r="R151" s="22">
        <v>45756</v>
      </c>
      <c r="W151">
        <f>COUNTIF(内藤証券!U:U,B151)</f>
        <v>0</v>
      </c>
    </row>
    <row r="152" spans="1:23" ht="24.95" hidden="1" customHeight="1" x14ac:dyDescent="0.4">
      <c r="A152" s="17" t="s">
        <v>27</v>
      </c>
      <c r="B152" s="15" t="s">
        <v>231</v>
      </c>
      <c r="C152" s="16" t="s">
        <v>31</v>
      </c>
      <c r="D152" s="16" t="s">
        <v>31</v>
      </c>
      <c r="E152" s="15" t="s">
        <v>32</v>
      </c>
      <c r="F152" s="15" t="s">
        <v>314</v>
      </c>
      <c r="N152" s="21" t="s">
        <v>96</v>
      </c>
      <c r="O152" s="21" t="s">
        <v>336</v>
      </c>
      <c r="Q152" s="21" t="s">
        <v>344</v>
      </c>
      <c r="R152" s="22">
        <v>45756</v>
      </c>
      <c r="W152">
        <f>COUNTIF(内藤証券!U:U,B152)</f>
        <v>0</v>
      </c>
    </row>
    <row r="153" spans="1:23" ht="24.95" hidden="1" customHeight="1" x14ac:dyDescent="0.4">
      <c r="A153" s="17" t="s">
        <v>27</v>
      </c>
      <c r="B153" s="15" t="s">
        <v>232</v>
      </c>
      <c r="C153" s="16" t="s">
        <v>31</v>
      </c>
      <c r="D153" s="16" t="s">
        <v>31</v>
      </c>
      <c r="E153" s="15" t="s">
        <v>32</v>
      </c>
      <c r="F153" s="15" t="s">
        <v>314</v>
      </c>
      <c r="N153" s="21" t="s">
        <v>96</v>
      </c>
      <c r="O153" s="21" t="s">
        <v>336</v>
      </c>
      <c r="Q153" s="21" t="s">
        <v>344</v>
      </c>
      <c r="R153" s="22">
        <v>45756</v>
      </c>
      <c r="W153">
        <f>COUNTIF(内藤証券!U:U,B153)</f>
        <v>0</v>
      </c>
    </row>
    <row r="154" spans="1:23" ht="24.95" hidden="1" customHeight="1" x14ac:dyDescent="0.4">
      <c r="A154" s="17" t="s">
        <v>27</v>
      </c>
      <c r="B154" s="15" t="s">
        <v>233</v>
      </c>
      <c r="C154" s="16" t="s">
        <v>31</v>
      </c>
      <c r="D154" s="16" t="s">
        <v>31</v>
      </c>
      <c r="E154" s="15" t="s">
        <v>32</v>
      </c>
      <c r="F154" s="15" t="s">
        <v>314</v>
      </c>
      <c r="N154" s="21" t="s">
        <v>96</v>
      </c>
      <c r="O154" s="21" t="s">
        <v>336</v>
      </c>
      <c r="Q154" s="21" t="s">
        <v>344</v>
      </c>
      <c r="R154" s="22">
        <v>45756</v>
      </c>
      <c r="W154">
        <f>COUNTIF(内藤証券!U:U,B154)</f>
        <v>0</v>
      </c>
    </row>
    <row r="155" spans="1:23" ht="24.95" hidden="1" customHeight="1" x14ac:dyDescent="0.4">
      <c r="A155" s="17" t="s">
        <v>27</v>
      </c>
      <c r="B155" s="15" t="s">
        <v>234</v>
      </c>
      <c r="C155" s="16" t="s">
        <v>31</v>
      </c>
      <c r="D155" s="16" t="s">
        <v>31</v>
      </c>
      <c r="E155" s="15" t="s">
        <v>32</v>
      </c>
      <c r="F155" s="15" t="s">
        <v>314</v>
      </c>
      <c r="N155" s="21" t="s">
        <v>96</v>
      </c>
      <c r="O155" s="21" t="s">
        <v>336</v>
      </c>
      <c r="Q155" s="21" t="s">
        <v>344</v>
      </c>
      <c r="R155" s="22">
        <v>45756</v>
      </c>
      <c r="W155">
        <f>COUNTIF(内藤証券!U:U,B155)</f>
        <v>0</v>
      </c>
    </row>
    <row r="156" spans="1:23" ht="24.95" hidden="1" customHeight="1" x14ac:dyDescent="0.4">
      <c r="A156" s="17" t="s">
        <v>27</v>
      </c>
      <c r="B156" s="15" t="s">
        <v>235</v>
      </c>
      <c r="C156" s="16" t="s">
        <v>31</v>
      </c>
      <c r="D156" s="16" t="s">
        <v>31</v>
      </c>
      <c r="E156" s="15" t="s">
        <v>32</v>
      </c>
      <c r="F156" s="15" t="s">
        <v>314</v>
      </c>
      <c r="N156" s="21" t="s">
        <v>96</v>
      </c>
      <c r="O156" s="21" t="s">
        <v>336</v>
      </c>
      <c r="Q156" s="21" t="s">
        <v>344</v>
      </c>
      <c r="R156" s="22">
        <v>45756</v>
      </c>
      <c r="W156">
        <f>COUNTIF(内藤証券!U:U,B156)</f>
        <v>0</v>
      </c>
    </row>
    <row r="157" spans="1:23" ht="24.95" hidden="1" customHeight="1" x14ac:dyDescent="0.4">
      <c r="A157" s="17" t="s">
        <v>27</v>
      </c>
      <c r="B157" s="15" t="s">
        <v>236</v>
      </c>
      <c r="C157" s="16" t="s">
        <v>31</v>
      </c>
      <c r="D157" s="16" t="s">
        <v>31</v>
      </c>
      <c r="E157" s="15" t="s">
        <v>32</v>
      </c>
      <c r="F157" s="15" t="s">
        <v>314</v>
      </c>
      <c r="N157" s="21" t="s">
        <v>96</v>
      </c>
      <c r="O157" s="21" t="s">
        <v>336</v>
      </c>
      <c r="Q157" s="21" t="s">
        <v>344</v>
      </c>
      <c r="R157" s="22">
        <v>45756</v>
      </c>
      <c r="W157">
        <f>COUNTIF(内藤証券!U:U,B157)</f>
        <v>0</v>
      </c>
    </row>
    <row r="158" spans="1:23" ht="24.95" hidden="1" customHeight="1" x14ac:dyDescent="0.4">
      <c r="A158" s="17" t="s">
        <v>27</v>
      </c>
      <c r="B158" s="15" t="s">
        <v>237</v>
      </c>
      <c r="C158" s="16" t="s">
        <v>31</v>
      </c>
      <c r="D158" s="16" t="s">
        <v>31</v>
      </c>
      <c r="E158" s="15" t="s">
        <v>32</v>
      </c>
      <c r="F158" s="15" t="s">
        <v>314</v>
      </c>
      <c r="N158" s="21" t="s">
        <v>96</v>
      </c>
      <c r="O158" s="21" t="s">
        <v>336</v>
      </c>
      <c r="Q158" s="21" t="s">
        <v>344</v>
      </c>
      <c r="R158" s="22">
        <v>45756</v>
      </c>
      <c r="W158">
        <f>COUNTIF(内藤証券!U:U,B158)</f>
        <v>0</v>
      </c>
    </row>
    <row r="159" spans="1:23" ht="24.95" hidden="1" customHeight="1" x14ac:dyDescent="0.4">
      <c r="A159" s="17" t="s">
        <v>27</v>
      </c>
      <c r="B159" s="15" t="s">
        <v>320</v>
      </c>
      <c r="C159" s="16" t="s">
        <v>31</v>
      </c>
      <c r="D159" s="16" t="s">
        <v>31</v>
      </c>
      <c r="E159" s="15" t="s">
        <v>32</v>
      </c>
      <c r="F159" s="15" t="s">
        <v>314</v>
      </c>
      <c r="N159" s="21" t="s">
        <v>96</v>
      </c>
      <c r="O159" s="21" t="s">
        <v>337</v>
      </c>
      <c r="Q159" s="21" t="s">
        <v>344</v>
      </c>
      <c r="R159" s="22">
        <v>45756</v>
      </c>
      <c r="W159">
        <f>COUNTIF(内藤証券!U:U,B159)</f>
        <v>0</v>
      </c>
    </row>
    <row r="160" spans="1:23" ht="24.95" hidden="1" customHeight="1" x14ac:dyDescent="0.4">
      <c r="A160" s="17" t="s">
        <v>27</v>
      </c>
      <c r="B160" s="15" t="s">
        <v>132</v>
      </c>
      <c r="C160" s="16" t="s">
        <v>31</v>
      </c>
      <c r="D160" s="16" t="s">
        <v>31</v>
      </c>
      <c r="E160" s="15" t="s">
        <v>32</v>
      </c>
      <c r="F160" s="15" t="s">
        <v>314</v>
      </c>
      <c r="N160" s="21" t="s">
        <v>96</v>
      </c>
      <c r="O160" s="21" t="s">
        <v>337</v>
      </c>
      <c r="Q160" s="21" t="s">
        <v>344</v>
      </c>
      <c r="R160" s="22">
        <v>45756</v>
      </c>
      <c r="W160">
        <f>COUNTIF(内藤証券!U:U,B160)</f>
        <v>0</v>
      </c>
    </row>
    <row r="161" spans="1:23" ht="24.95" hidden="1" customHeight="1" x14ac:dyDescent="0.4">
      <c r="A161" s="17" t="s">
        <v>27</v>
      </c>
      <c r="B161" s="15" t="s">
        <v>321</v>
      </c>
      <c r="C161" s="16" t="s">
        <v>24</v>
      </c>
      <c r="D161" s="16" t="s">
        <v>31</v>
      </c>
      <c r="E161" s="15" t="s">
        <v>35</v>
      </c>
      <c r="F161" s="15" t="s">
        <v>314</v>
      </c>
      <c r="N161" s="21" t="s">
        <v>96</v>
      </c>
      <c r="O161" s="21" t="s">
        <v>337</v>
      </c>
      <c r="Q161" s="21" t="s">
        <v>344</v>
      </c>
      <c r="R161" s="22">
        <v>45756</v>
      </c>
      <c r="W161">
        <f>COUNTIF(内藤証券!U:U,B161)</f>
        <v>0</v>
      </c>
    </row>
    <row r="162" spans="1:23" ht="24.95" hidden="1" customHeight="1" x14ac:dyDescent="0.4">
      <c r="A162" s="17" t="s">
        <v>27</v>
      </c>
      <c r="B162" s="15" t="s">
        <v>322</v>
      </c>
      <c r="C162" s="16" t="s">
        <v>24</v>
      </c>
      <c r="D162" s="16" t="s">
        <v>31</v>
      </c>
      <c r="E162" s="15" t="s">
        <v>35</v>
      </c>
      <c r="F162" s="15" t="s">
        <v>314</v>
      </c>
      <c r="N162" s="21" t="s">
        <v>96</v>
      </c>
      <c r="O162" s="21" t="s">
        <v>337</v>
      </c>
      <c r="Q162" s="21" t="s">
        <v>344</v>
      </c>
      <c r="R162" s="22">
        <v>45756</v>
      </c>
      <c r="W162">
        <f>COUNTIF(内藤証券!U:U,B162)</f>
        <v>0</v>
      </c>
    </row>
    <row r="163" spans="1:23" ht="24.95" hidden="1" customHeight="1" x14ac:dyDescent="0.4">
      <c r="A163" s="17" t="s">
        <v>27</v>
      </c>
      <c r="B163" s="15" t="s">
        <v>323</v>
      </c>
      <c r="C163" s="16" t="s">
        <v>24</v>
      </c>
      <c r="D163" s="16" t="s">
        <v>31</v>
      </c>
      <c r="E163" s="15" t="s">
        <v>35</v>
      </c>
      <c r="F163" s="15" t="s">
        <v>314</v>
      </c>
      <c r="N163" s="21" t="s">
        <v>96</v>
      </c>
      <c r="O163" s="21" t="s">
        <v>337</v>
      </c>
      <c r="Q163" s="21" t="s">
        <v>344</v>
      </c>
      <c r="R163" s="22">
        <v>45756</v>
      </c>
      <c r="W163">
        <f>COUNTIF(内藤証券!U:U,B163)</f>
        <v>0</v>
      </c>
    </row>
    <row r="164" spans="1:23" ht="24.95" hidden="1" customHeight="1" x14ac:dyDescent="0.4">
      <c r="A164" s="17" t="s">
        <v>27</v>
      </c>
      <c r="B164" s="15" t="s">
        <v>238</v>
      </c>
      <c r="C164" s="16" t="s">
        <v>31</v>
      </c>
      <c r="D164" s="16" t="s">
        <v>31</v>
      </c>
      <c r="E164" s="15" t="s">
        <v>32</v>
      </c>
      <c r="F164" s="15" t="s">
        <v>314</v>
      </c>
      <c r="N164" s="21" t="s">
        <v>96</v>
      </c>
      <c r="O164" s="21" t="s">
        <v>336</v>
      </c>
      <c r="Q164" s="21" t="s">
        <v>344</v>
      </c>
      <c r="R164" s="22">
        <v>45756</v>
      </c>
      <c r="W164">
        <f>COUNTIF(内藤証券!U:U,B164)</f>
        <v>0</v>
      </c>
    </row>
    <row r="165" spans="1:23" ht="24.95" hidden="1" customHeight="1" x14ac:dyDescent="0.4">
      <c r="A165" s="17" t="s">
        <v>27</v>
      </c>
      <c r="B165" s="15" t="s">
        <v>239</v>
      </c>
      <c r="C165" s="16" t="s">
        <v>31</v>
      </c>
      <c r="D165" s="16" t="s">
        <v>31</v>
      </c>
      <c r="E165" s="15" t="s">
        <v>32</v>
      </c>
      <c r="F165" s="15" t="s">
        <v>314</v>
      </c>
      <c r="N165" s="21" t="s">
        <v>96</v>
      </c>
      <c r="O165" s="21" t="s">
        <v>336</v>
      </c>
      <c r="Q165" s="21" t="s">
        <v>344</v>
      </c>
      <c r="R165" s="22">
        <v>45756</v>
      </c>
      <c r="W165">
        <f>COUNTIF(内藤証券!U:U,B165)</f>
        <v>0</v>
      </c>
    </row>
    <row r="166" spans="1:23" ht="24.95" hidden="1" customHeight="1" x14ac:dyDescent="0.4">
      <c r="A166" s="17" t="s">
        <v>27</v>
      </c>
      <c r="B166" s="15" t="s">
        <v>240</v>
      </c>
      <c r="C166" s="16" t="s">
        <v>31</v>
      </c>
      <c r="D166" s="16" t="s">
        <v>31</v>
      </c>
      <c r="E166" s="15" t="s">
        <v>32</v>
      </c>
      <c r="F166" s="15" t="s">
        <v>314</v>
      </c>
      <c r="N166" s="21" t="s">
        <v>96</v>
      </c>
      <c r="O166" s="21" t="s">
        <v>336</v>
      </c>
      <c r="Q166" s="21" t="s">
        <v>344</v>
      </c>
      <c r="R166" s="22">
        <v>45756</v>
      </c>
      <c r="W166">
        <f>COUNTIF(内藤証券!U:U,B166)</f>
        <v>0</v>
      </c>
    </row>
    <row r="167" spans="1:23" ht="24.95" hidden="1" customHeight="1" x14ac:dyDescent="0.4">
      <c r="A167" s="17" t="s">
        <v>27</v>
      </c>
      <c r="B167" s="15" t="s">
        <v>241</v>
      </c>
      <c r="C167" s="16" t="s">
        <v>31</v>
      </c>
      <c r="D167" s="16" t="s">
        <v>31</v>
      </c>
      <c r="E167" s="15" t="s">
        <v>32</v>
      </c>
      <c r="F167" s="15" t="s">
        <v>314</v>
      </c>
      <c r="N167" s="21" t="s">
        <v>96</v>
      </c>
      <c r="O167" s="21" t="s">
        <v>336</v>
      </c>
      <c r="Q167" s="21" t="s">
        <v>344</v>
      </c>
      <c r="R167" s="22">
        <v>45756</v>
      </c>
      <c r="W167">
        <f>COUNTIF(内藤証券!U:U,B167)</f>
        <v>0</v>
      </c>
    </row>
    <row r="168" spans="1:23" ht="24.95" hidden="1" customHeight="1" x14ac:dyDescent="0.4">
      <c r="A168" s="17" t="s">
        <v>27</v>
      </c>
      <c r="B168" s="15" t="s">
        <v>242</v>
      </c>
      <c r="C168" s="16" t="s">
        <v>31</v>
      </c>
      <c r="D168" s="16" t="s">
        <v>31</v>
      </c>
      <c r="E168" s="15" t="s">
        <v>32</v>
      </c>
      <c r="F168" s="15" t="s">
        <v>314</v>
      </c>
      <c r="N168" s="21" t="s">
        <v>96</v>
      </c>
      <c r="O168" s="21" t="s">
        <v>336</v>
      </c>
      <c r="Q168" s="21" t="s">
        <v>344</v>
      </c>
      <c r="R168" s="22">
        <v>45756</v>
      </c>
      <c r="W168">
        <f>COUNTIF(内藤証券!U:U,B168)</f>
        <v>0</v>
      </c>
    </row>
    <row r="169" spans="1:23" ht="24.95" hidden="1" customHeight="1" x14ac:dyDescent="0.4">
      <c r="A169" s="17" t="s">
        <v>27</v>
      </c>
      <c r="B169" s="15" t="s">
        <v>243</v>
      </c>
      <c r="C169" s="16" t="s">
        <v>31</v>
      </c>
      <c r="D169" s="16" t="s">
        <v>31</v>
      </c>
      <c r="E169" s="15" t="s">
        <v>32</v>
      </c>
      <c r="F169" s="15" t="s">
        <v>314</v>
      </c>
      <c r="N169" s="21" t="s">
        <v>96</v>
      </c>
      <c r="O169" s="21" t="s">
        <v>336</v>
      </c>
      <c r="Q169" s="21" t="s">
        <v>344</v>
      </c>
      <c r="R169" s="22">
        <v>45756</v>
      </c>
      <c r="W169">
        <f>COUNTIF(内藤証券!U:U,B169)</f>
        <v>0</v>
      </c>
    </row>
    <row r="170" spans="1:23" ht="24.95" hidden="1" customHeight="1" x14ac:dyDescent="0.4">
      <c r="A170" s="17" t="s">
        <v>27</v>
      </c>
      <c r="B170" s="15" t="s">
        <v>244</v>
      </c>
      <c r="C170" s="16" t="s">
        <v>31</v>
      </c>
      <c r="D170" s="16" t="s">
        <v>31</v>
      </c>
      <c r="E170" s="15" t="s">
        <v>32</v>
      </c>
      <c r="F170" s="15" t="s">
        <v>314</v>
      </c>
      <c r="N170" s="21" t="s">
        <v>96</v>
      </c>
      <c r="O170" s="21" t="s">
        <v>336</v>
      </c>
      <c r="Q170" s="21" t="s">
        <v>344</v>
      </c>
      <c r="R170" s="22">
        <v>45756</v>
      </c>
      <c r="W170">
        <f>COUNTIF(内藤証券!U:U,B170)</f>
        <v>0</v>
      </c>
    </row>
    <row r="171" spans="1:23" ht="24.95" hidden="1" customHeight="1" x14ac:dyDescent="0.4">
      <c r="A171" s="17" t="s">
        <v>27</v>
      </c>
      <c r="B171" s="15" t="s">
        <v>245</v>
      </c>
      <c r="C171" s="16" t="s">
        <v>31</v>
      </c>
      <c r="D171" s="16" t="s">
        <v>31</v>
      </c>
      <c r="E171" s="15" t="s">
        <v>32</v>
      </c>
      <c r="F171" s="15" t="s">
        <v>314</v>
      </c>
      <c r="N171" s="21" t="s">
        <v>96</v>
      </c>
      <c r="O171" s="21" t="s">
        <v>336</v>
      </c>
      <c r="Q171" s="21" t="s">
        <v>344</v>
      </c>
      <c r="R171" s="22">
        <v>45756</v>
      </c>
      <c r="W171">
        <f>COUNTIF(内藤証券!U:U,B171)</f>
        <v>0</v>
      </c>
    </row>
    <row r="172" spans="1:23" ht="24.95" hidden="1" customHeight="1" x14ac:dyDescent="0.4">
      <c r="A172" s="17" t="s">
        <v>27</v>
      </c>
      <c r="B172" s="15" t="s">
        <v>246</v>
      </c>
      <c r="C172" s="16" t="s">
        <v>31</v>
      </c>
      <c r="D172" s="16" t="s">
        <v>31</v>
      </c>
      <c r="E172" s="15" t="s">
        <v>32</v>
      </c>
      <c r="F172" s="15" t="s">
        <v>314</v>
      </c>
      <c r="N172" s="21" t="s">
        <v>96</v>
      </c>
      <c r="O172" s="21" t="s">
        <v>336</v>
      </c>
      <c r="Q172" s="21" t="s">
        <v>344</v>
      </c>
      <c r="R172" s="22">
        <v>45756</v>
      </c>
      <c r="W172">
        <f>COUNTIF(内藤証券!U:U,B172)</f>
        <v>0</v>
      </c>
    </row>
    <row r="173" spans="1:23" ht="24.95" hidden="1" customHeight="1" x14ac:dyDescent="0.4">
      <c r="A173" s="17" t="s">
        <v>27</v>
      </c>
      <c r="B173" s="15" t="s">
        <v>247</v>
      </c>
      <c r="C173" s="16" t="s">
        <v>31</v>
      </c>
      <c r="D173" s="16" t="s">
        <v>31</v>
      </c>
      <c r="E173" s="15" t="s">
        <v>32</v>
      </c>
      <c r="F173" s="15" t="s">
        <v>314</v>
      </c>
      <c r="N173" s="21" t="s">
        <v>96</v>
      </c>
      <c r="O173" s="21" t="s">
        <v>336</v>
      </c>
      <c r="Q173" s="21" t="s">
        <v>344</v>
      </c>
      <c r="R173" s="22">
        <v>45756</v>
      </c>
      <c r="W173">
        <f>COUNTIF(内藤証券!U:U,B173)</f>
        <v>0</v>
      </c>
    </row>
    <row r="174" spans="1:23" ht="24.95" hidden="1" customHeight="1" x14ac:dyDescent="0.4">
      <c r="A174" s="17" t="s">
        <v>27</v>
      </c>
      <c r="B174" s="15" t="s">
        <v>248</v>
      </c>
      <c r="C174" s="16" t="s">
        <v>31</v>
      </c>
      <c r="D174" s="16" t="s">
        <v>31</v>
      </c>
      <c r="E174" s="15" t="s">
        <v>32</v>
      </c>
      <c r="F174" s="15" t="s">
        <v>314</v>
      </c>
      <c r="N174" s="21" t="s">
        <v>96</v>
      </c>
      <c r="O174" s="21" t="s">
        <v>336</v>
      </c>
      <c r="Q174" s="21" t="s">
        <v>344</v>
      </c>
      <c r="R174" s="22">
        <v>45756</v>
      </c>
      <c r="W174">
        <f>COUNTIF(内藤証券!U:U,B174)</f>
        <v>0</v>
      </c>
    </row>
    <row r="175" spans="1:23" ht="24.95" hidden="1" customHeight="1" x14ac:dyDescent="0.4">
      <c r="A175" s="17" t="s">
        <v>27</v>
      </c>
      <c r="B175" s="15" t="s">
        <v>249</v>
      </c>
      <c r="C175" s="16" t="s">
        <v>31</v>
      </c>
      <c r="D175" s="16" t="s">
        <v>31</v>
      </c>
      <c r="E175" s="15" t="s">
        <v>32</v>
      </c>
      <c r="F175" s="15" t="s">
        <v>314</v>
      </c>
      <c r="N175" s="21" t="s">
        <v>96</v>
      </c>
      <c r="O175" s="21" t="s">
        <v>336</v>
      </c>
      <c r="Q175" s="21" t="s">
        <v>344</v>
      </c>
      <c r="R175" s="22">
        <v>45756</v>
      </c>
      <c r="W175">
        <f>COUNTIF(内藤証券!U:U,B175)</f>
        <v>0</v>
      </c>
    </row>
    <row r="176" spans="1:23" ht="24.95" hidden="1" customHeight="1" x14ac:dyDescent="0.4">
      <c r="A176" s="17" t="s">
        <v>27</v>
      </c>
      <c r="B176" s="15" t="s">
        <v>250</v>
      </c>
      <c r="C176" s="16" t="s">
        <v>31</v>
      </c>
      <c r="D176" s="16" t="s">
        <v>31</v>
      </c>
      <c r="E176" s="15" t="s">
        <v>32</v>
      </c>
      <c r="F176" s="15" t="s">
        <v>314</v>
      </c>
      <c r="N176" s="21" t="s">
        <v>96</v>
      </c>
      <c r="O176" s="21" t="s">
        <v>336</v>
      </c>
      <c r="Q176" s="21" t="s">
        <v>344</v>
      </c>
      <c r="R176" s="22">
        <v>45756</v>
      </c>
      <c r="W176">
        <f>COUNTIF(内藤証券!U:U,B176)</f>
        <v>0</v>
      </c>
    </row>
    <row r="177" spans="1:23" ht="24.95" hidden="1" customHeight="1" x14ac:dyDescent="0.4">
      <c r="A177" s="17" t="s">
        <v>27</v>
      </c>
      <c r="B177" s="15" t="s">
        <v>251</v>
      </c>
      <c r="C177" s="16" t="s">
        <v>31</v>
      </c>
      <c r="D177" s="16" t="s">
        <v>31</v>
      </c>
      <c r="E177" s="15" t="s">
        <v>32</v>
      </c>
      <c r="F177" s="15" t="s">
        <v>314</v>
      </c>
      <c r="N177" s="21" t="s">
        <v>96</v>
      </c>
      <c r="O177" s="21" t="s">
        <v>336</v>
      </c>
      <c r="Q177" s="21" t="s">
        <v>344</v>
      </c>
      <c r="R177" s="22">
        <v>45756</v>
      </c>
      <c r="W177">
        <f>COUNTIF(内藤証券!U:U,B177)</f>
        <v>0</v>
      </c>
    </row>
    <row r="178" spans="1:23" ht="24.95" hidden="1" customHeight="1" x14ac:dyDescent="0.4">
      <c r="A178" s="17" t="s">
        <v>27</v>
      </c>
      <c r="B178" s="15" t="s">
        <v>252</v>
      </c>
      <c r="C178" s="16" t="s">
        <v>31</v>
      </c>
      <c r="D178" s="16" t="s">
        <v>31</v>
      </c>
      <c r="E178" s="15" t="s">
        <v>32</v>
      </c>
      <c r="F178" s="15" t="s">
        <v>314</v>
      </c>
      <c r="N178" s="21" t="s">
        <v>96</v>
      </c>
      <c r="O178" s="21" t="s">
        <v>336</v>
      </c>
      <c r="Q178" s="21" t="s">
        <v>344</v>
      </c>
      <c r="R178" s="22">
        <v>45756</v>
      </c>
      <c r="W178">
        <f>COUNTIF(内藤証券!U:U,B178)</f>
        <v>0</v>
      </c>
    </row>
    <row r="179" spans="1:23" ht="24.95" hidden="1" customHeight="1" x14ac:dyDescent="0.4">
      <c r="A179" s="17" t="s">
        <v>27</v>
      </c>
      <c r="B179" s="15" t="s">
        <v>253</v>
      </c>
      <c r="C179" s="16" t="s">
        <v>31</v>
      </c>
      <c r="D179" s="16" t="s">
        <v>31</v>
      </c>
      <c r="E179" s="15" t="s">
        <v>32</v>
      </c>
      <c r="F179" s="15" t="s">
        <v>314</v>
      </c>
      <c r="N179" s="21" t="s">
        <v>96</v>
      </c>
      <c r="O179" s="21" t="s">
        <v>336</v>
      </c>
      <c r="Q179" s="21" t="s">
        <v>344</v>
      </c>
      <c r="R179" s="22">
        <v>45756</v>
      </c>
      <c r="W179">
        <f>COUNTIF(内藤証券!U:U,B179)</f>
        <v>0</v>
      </c>
    </row>
    <row r="180" spans="1:23" ht="24.95" hidden="1" customHeight="1" x14ac:dyDescent="0.4">
      <c r="A180" s="17" t="s">
        <v>27</v>
      </c>
      <c r="B180" s="15" t="s">
        <v>254</v>
      </c>
      <c r="C180" s="16" t="s">
        <v>31</v>
      </c>
      <c r="D180" s="16" t="s">
        <v>31</v>
      </c>
      <c r="E180" s="15" t="s">
        <v>32</v>
      </c>
      <c r="F180" s="15" t="s">
        <v>314</v>
      </c>
      <c r="N180" s="21" t="s">
        <v>96</v>
      </c>
      <c r="O180" s="21" t="s">
        <v>336</v>
      </c>
      <c r="Q180" s="21" t="s">
        <v>344</v>
      </c>
      <c r="R180" s="22">
        <v>45756</v>
      </c>
      <c r="W180">
        <f>COUNTIF(内藤証券!U:U,B180)</f>
        <v>0</v>
      </c>
    </row>
    <row r="181" spans="1:23" ht="24.95" hidden="1" customHeight="1" x14ac:dyDescent="0.4">
      <c r="A181" s="17" t="s">
        <v>27</v>
      </c>
      <c r="B181" s="15" t="s">
        <v>255</v>
      </c>
      <c r="C181" s="16" t="s">
        <v>31</v>
      </c>
      <c r="D181" s="16" t="s">
        <v>31</v>
      </c>
      <c r="E181" s="15" t="s">
        <v>32</v>
      </c>
      <c r="F181" s="15" t="s">
        <v>314</v>
      </c>
      <c r="N181" s="21" t="s">
        <v>96</v>
      </c>
      <c r="O181" s="21" t="s">
        <v>336</v>
      </c>
      <c r="Q181" s="21" t="s">
        <v>344</v>
      </c>
      <c r="R181" s="22">
        <v>45756</v>
      </c>
      <c r="W181">
        <f>COUNTIF(内藤証券!U:U,B181)</f>
        <v>0</v>
      </c>
    </row>
    <row r="182" spans="1:23" ht="24.95" hidden="1" customHeight="1" x14ac:dyDescent="0.4">
      <c r="A182" s="17" t="s">
        <v>27</v>
      </c>
      <c r="B182" s="15" t="s">
        <v>256</v>
      </c>
      <c r="C182" s="16" t="s">
        <v>31</v>
      </c>
      <c r="D182" s="16" t="s">
        <v>31</v>
      </c>
      <c r="E182" s="15" t="s">
        <v>32</v>
      </c>
      <c r="F182" s="15" t="s">
        <v>314</v>
      </c>
      <c r="N182" s="21" t="s">
        <v>96</v>
      </c>
      <c r="O182" s="21" t="s">
        <v>336</v>
      </c>
      <c r="Q182" s="21" t="s">
        <v>344</v>
      </c>
      <c r="R182" s="22">
        <v>45756</v>
      </c>
      <c r="W182">
        <f>COUNTIF(内藤証券!U:U,B182)</f>
        <v>0</v>
      </c>
    </row>
    <row r="183" spans="1:23" ht="24.95" hidden="1" customHeight="1" x14ac:dyDescent="0.4">
      <c r="A183" s="17" t="s">
        <v>27</v>
      </c>
      <c r="B183" s="15" t="s">
        <v>257</v>
      </c>
      <c r="C183" s="16" t="s">
        <v>31</v>
      </c>
      <c r="D183" s="16" t="s">
        <v>31</v>
      </c>
      <c r="E183" s="15" t="s">
        <v>32</v>
      </c>
      <c r="F183" s="15" t="s">
        <v>314</v>
      </c>
      <c r="N183" s="21" t="s">
        <v>96</v>
      </c>
      <c r="O183" s="21" t="s">
        <v>336</v>
      </c>
      <c r="Q183" s="21" t="s">
        <v>344</v>
      </c>
      <c r="R183" s="22">
        <v>45756</v>
      </c>
      <c r="W183">
        <f>COUNTIF(内藤証券!U:U,B183)</f>
        <v>0</v>
      </c>
    </row>
    <row r="184" spans="1:23" ht="24.95" hidden="1" customHeight="1" x14ac:dyDescent="0.4">
      <c r="A184" s="17" t="s">
        <v>27</v>
      </c>
      <c r="B184" s="15" t="s">
        <v>258</v>
      </c>
      <c r="C184" s="16" t="s">
        <v>31</v>
      </c>
      <c r="D184" s="16" t="s">
        <v>31</v>
      </c>
      <c r="E184" s="15" t="s">
        <v>32</v>
      </c>
      <c r="F184" s="15" t="s">
        <v>314</v>
      </c>
      <c r="N184" s="21" t="s">
        <v>96</v>
      </c>
      <c r="O184" s="21" t="s">
        <v>336</v>
      </c>
      <c r="Q184" s="21" t="s">
        <v>344</v>
      </c>
      <c r="R184" s="22">
        <v>45756</v>
      </c>
      <c r="W184">
        <f>COUNTIF(内藤証券!U:U,B184)</f>
        <v>0</v>
      </c>
    </row>
    <row r="185" spans="1:23" ht="24.95" hidden="1" customHeight="1" x14ac:dyDescent="0.4">
      <c r="A185" s="17" t="s">
        <v>27</v>
      </c>
      <c r="B185" s="15" t="s">
        <v>259</v>
      </c>
      <c r="C185" s="16" t="s">
        <v>31</v>
      </c>
      <c r="D185" s="16" t="s">
        <v>31</v>
      </c>
      <c r="E185" s="15" t="s">
        <v>32</v>
      </c>
      <c r="F185" s="15" t="s">
        <v>314</v>
      </c>
      <c r="N185" s="21" t="s">
        <v>96</v>
      </c>
      <c r="O185" s="21" t="s">
        <v>336</v>
      </c>
      <c r="Q185" s="21" t="s">
        <v>344</v>
      </c>
      <c r="R185" s="22">
        <v>45756</v>
      </c>
      <c r="W185">
        <f>COUNTIF(内藤証券!U:U,B185)</f>
        <v>0</v>
      </c>
    </row>
    <row r="186" spans="1:23" ht="24.95" hidden="1" customHeight="1" x14ac:dyDescent="0.4">
      <c r="A186" s="17" t="s">
        <v>27</v>
      </c>
      <c r="B186" s="15" t="s">
        <v>260</v>
      </c>
      <c r="C186" s="16" t="s">
        <v>31</v>
      </c>
      <c r="D186" s="16" t="s">
        <v>31</v>
      </c>
      <c r="E186" s="15" t="s">
        <v>32</v>
      </c>
      <c r="F186" s="15" t="s">
        <v>314</v>
      </c>
      <c r="N186" s="21" t="s">
        <v>96</v>
      </c>
      <c r="O186" s="21" t="s">
        <v>336</v>
      </c>
      <c r="Q186" s="21" t="s">
        <v>344</v>
      </c>
      <c r="R186" s="22">
        <v>45756</v>
      </c>
      <c r="W186">
        <f>COUNTIF(内藤証券!U:U,B186)</f>
        <v>0</v>
      </c>
    </row>
    <row r="187" spans="1:23" ht="24.95" hidden="1" customHeight="1" x14ac:dyDescent="0.4">
      <c r="A187" s="17" t="s">
        <v>27</v>
      </c>
      <c r="B187" s="15" t="s">
        <v>261</v>
      </c>
      <c r="C187" s="16" t="s">
        <v>31</v>
      </c>
      <c r="D187" s="16" t="s">
        <v>31</v>
      </c>
      <c r="E187" s="15" t="s">
        <v>32</v>
      </c>
      <c r="F187" s="15" t="s">
        <v>314</v>
      </c>
      <c r="N187" s="21" t="s">
        <v>96</v>
      </c>
      <c r="O187" s="21" t="s">
        <v>336</v>
      </c>
      <c r="Q187" s="21" t="s">
        <v>344</v>
      </c>
      <c r="R187" s="22">
        <v>45756</v>
      </c>
      <c r="W187">
        <f>COUNTIF(内藤証券!U:U,B187)</f>
        <v>0</v>
      </c>
    </row>
    <row r="188" spans="1:23" ht="24.95" hidden="1" customHeight="1" x14ac:dyDescent="0.4">
      <c r="A188" s="17" t="s">
        <v>27</v>
      </c>
      <c r="B188" s="15" t="s">
        <v>262</v>
      </c>
      <c r="C188" s="16" t="s">
        <v>31</v>
      </c>
      <c r="D188" s="16" t="s">
        <v>31</v>
      </c>
      <c r="E188" s="15" t="s">
        <v>32</v>
      </c>
      <c r="F188" s="15" t="s">
        <v>314</v>
      </c>
      <c r="N188" s="21" t="s">
        <v>96</v>
      </c>
      <c r="O188" s="21" t="s">
        <v>336</v>
      </c>
      <c r="Q188" s="21" t="s">
        <v>344</v>
      </c>
      <c r="R188" s="22">
        <v>45756</v>
      </c>
      <c r="W188">
        <f>COUNTIF(内藤証券!U:U,B188)</f>
        <v>0</v>
      </c>
    </row>
    <row r="189" spans="1:23" ht="24.95" hidden="1" customHeight="1" x14ac:dyDescent="0.4">
      <c r="A189" s="17" t="s">
        <v>27</v>
      </c>
      <c r="B189" s="15" t="s">
        <v>263</v>
      </c>
      <c r="C189" s="16" t="s">
        <v>31</v>
      </c>
      <c r="D189" s="16" t="s">
        <v>31</v>
      </c>
      <c r="E189" s="15" t="s">
        <v>32</v>
      </c>
      <c r="F189" s="15" t="s">
        <v>314</v>
      </c>
      <c r="N189" s="21" t="s">
        <v>96</v>
      </c>
      <c r="O189" s="21" t="s">
        <v>336</v>
      </c>
      <c r="Q189" s="21" t="s">
        <v>344</v>
      </c>
      <c r="R189" s="22">
        <v>45756</v>
      </c>
      <c r="W189">
        <f>COUNTIF(内藤証券!U:U,B189)</f>
        <v>0</v>
      </c>
    </row>
    <row r="190" spans="1:23" ht="24.95" hidden="1" customHeight="1" x14ac:dyDescent="0.4">
      <c r="A190" s="17" t="s">
        <v>27</v>
      </c>
      <c r="B190" s="15" t="s">
        <v>264</v>
      </c>
      <c r="C190" s="16" t="s">
        <v>31</v>
      </c>
      <c r="D190" s="16" t="s">
        <v>31</v>
      </c>
      <c r="E190" s="15" t="s">
        <v>32</v>
      </c>
      <c r="F190" s="15" t="s">
        <v>314</v>
      </c>
      <c r="N190" s="21" t="s">
        <v>96</v>
      </c>
      <c r="O190" s="21" t="s">
        <v>336</v>
      </c>
      <c r="Q190" s="21" t="s">
        <v>344</v>
      </c>
      <c r="R190" s="22">
        <v>45756</v>
      </c>
      <c r="W190">
        <f>COUNTIF(内藤証券!U:U,B190)</f>
        <v>0</v>
      </c>
    </row>
    <row r="191" spans="1:23" ht="24.95" hidden="1" customHeight="1" x14ac:dyDescent="0.4">
      <c r="A191" s="17" t="s">
        <v>27</v>
      </c>
      <c r="B191" s="15" t="s">
        <v>265</v>
      </c>
      <c r="C191" s="16" t="s">
        <v>31</v>
      </c>
      <c r="D191" s="16" t="s">
        <v>31</v>
      </c>
      <c r="E191" s="15" t="s">
        <v>32</v>
      </c>
      <c r="F191" s="15" t="s">
        <v>314</v>
      </c>
      <c r="N191" s="21" t="s">
        <v>96</v>
      </c>
      <c r="O191" s="21" t="s">
        <v>336</v>
      </c>
      <c r="Q191" s="21" t="s">
        <v>344</v>
      </c>
      <c r="R191" s="22">
        <v>45756</v>
      </c>
      <c r="W191">
        <f>COUNTIF(内藤証券!U:U,B191)</f>
        <v>0</v>
      </c>
    </row>
    <row r="192" spans="1:23" ht="24.95" hidden="1" customHeight="1" x14ac:dyDescent="0.4">
      <c r="A192" s="17" t="s">
        <v>27</v>
      </c>
      <c r="B192" s="15" t="s">
        <v>266</v>
      </c>
      <c r="C192" s="16" t="s">
        <v>31</v>
      </c>
      <c r="D192" s="16" t="s">
        <v>31</v>
      </c>
      <c r="E192" s="15" t="s">
        <v>32</v>
      </c>
      <c r="F192" s="15" t="s">
        <v>314</v>
      </c>
      <c r="N192" s="21" t="s">
        <v>96</v>
      </c>
      <c r="O192" s="21" t="s">
        <v>336</v>
      </c>
      <c r="Q192" s="21" t="s">
        <v>344</v>
      </c>
      <c r="R192" s="22">
        <v>45756</v>
      </c>
      <c r="W192">
        <f>COUNTIF(内藤証券!U:U,B192)</f>
        <v>0</v>
      </c>
    </row>
    <row r="193" spans="1:23" ht="24.95" hidden="1" customHeight="1" x14ac:dyDescent="0.4">
      <c r="A193" s="17" t="s">
        <v>27</v>
      </c>
      <c r="B193" s="15" t="s">
        <v>267</v>
      </c>
      <c r="C193" s="16" t="s">
        <v>31</v>
      </c>
      <c r="D193" s="16" t="s">
        <v>31</v>
      </c>
      <c r="E193" s="15" t="s">
        <v>32</v>
      </c>
      <c r="F193" s="15" t="s">
        <v>314</v>
      </c>
      <c r="N193" s="21" t="s">
        <v>96</v>
      </c>
      <c r="O193" s="21" t="s">
        <v>336</v>
      </c>
      <c r="Q193" s="21" t="s">
        <v>344</v>
      </c>
      <c r="R193" s="22">
        <v>45756</v>
      </c>
      <c r="W193">
        <f>COUNTIF(内藤証券!U:U,B193)</f>
        <v>0</v>
      </c>
    </row>
    <row r="194" spans="1:23" ht="24.95" hidden="1" customHeight="1" x14ac:dyDescent="0.4">
      <c r="A194" s="17" t="s">
        <v>27</v>
      </c>
      <c r="B194" s="15" t="s">
        <v>268</v>
      </c>
      <c r="C194" s="16" t="s">
        <v>31</v>
      </c>
      <c r="D194" s="16" t="s">
        <v>31</v>
      </c>
      <c r="E194" s="15" t="s">
        <v>32</v>
      </c>
      <c r="F194" s="15" t="s">
        <v>314</v>
      </c>
      <c r="N194" s="21" t="s">
        <v>96</v>
      </c>
      <c r="O194" s="21" t="s">
        <v>336</v>
      </c>
      <c r="Q194" s="21" t="s">
        <v>344</v>
      </c>
      <c r="R194" s="22">
        <v>45756</v>
      </c>
      <c r="W194">
        <f>COUNTIF(内藤証券!U:U,B194)</f>
        <v>0</v>
      </c>
    </row>
    <row r="195" spans="1:23" ht="24.95" hidden="1" customHeight="1" x14ac:dyDescent="0.4">
      <c r="A195" s="17" t="s">
        <v>27</v>
      </c>
      <c r="B195" s="15" t="s">
        <v>269</v>
      </c>
      <c r="C195" s="16" t="s">
        <v>31</v>
      </c>
      <c r="D195" s="16" t="s">
        <v>31</v>
      </c>
      <c r="E195" s="15" t="s">
        <v>32</v>
      </c>
      <c r="F195" s="15" t="s">
        <v>314</v>
      </c>
      <c r="N195" s="21" t="s">
        <v>96</v>
      </c>
      <c r="O195" s="21" t="s">
        <v>336</v>
      </c>
      <c r="Q195" s="21" t="s">
        <v>344</v>
      </c>
      <c r="R195" s="22">
        <v>45756</v>
      </c>
      <c r="W195">
        <f>COUNTIF(内藤証券!U:U,B195)</f>
        <v>0</v>
      </c>
    </row>
    <row r="196" spans="1:23" ht="24.95" hidden="1" customHeight="1" x14ac:dyDescent="0.4">
      <c r="A196" s="17" t="s">
        <v>27</v>
      </c>
      <c r="B196" s="15" t="s">
        <v>270</v>
      </c>
      <c r="C196" s="16" t="s">
        <v>31</v>
      </c>
      <c r="D196" s="16" t="s">
        <v>31</v>
      </c>
      <c r="E196" s="15" t="s">
        <v>32</v>
      </c>
      <c r="F196" s="15" t="s">
        <v>314</v>
      </c>
      <c r="N196" s="21" t="s">
        <v>96</v>
      </c>
      <c r="O196" s="21" t="s">
        <v>336</v>
      </c>
      <c r="Q196" s="21" t="s">
        <v>344</v>
      </c>
      <c r="R196" s="22">
        <v>45756</v>
      </c>
      <c r="W196">
        <f>COUNTIF(内藤証券!U:U,B196)</f>
        <v>0</v>
      </c>
    </row>
    <row r="197" spans="1:23" ht="24.95" hidden="1" customHeight="1" x14ac:dyDescent="0.4">
      <c r="A197" s="17" t="s">
        <v>27</v>
      </c>
      <c r="B197" s="15" t="s">
        <v>271</v>
      </c>
      <c r="C197" s="16" t="s">
        <v>31</v>
      </c>
      <c r="D197" s="16" t="s">
        <v>31</v>
      </c>
      <c r="E197" s="15" t="s">
        <v>32</v>
      </c>
      <c r="F197" s="15" t="s">
        <v>314</v>
      </c>
      <c r="N197" s="21" t="s">
        <v>96</v>
      </c>
      <c r="O197" s="21" t="s">
        <v>336</v>
      </c>
      <c r="Q197" s="21" t="s">
        <v>344</v>
      </c>
      <c r="R197" s="22">
        <v>45756</v>
      </c>
      <c r="W197">
        <f>COUNTIF(内藤証券!U:U,B197)</f>
        <v>0</v>
      </c>
    </row>
    <row r="198" spans="1:23" ht="24.95" hidden="1" customHeight="1" x14ac:dyDescent="0.4">
      <c r="A198" s="17" t="s">
        <v>27</v>
      </c>
      <c r="B198" s="15" t="s">
        <v>366</v>
      </c>
      <c r="C198" s="16" t="s">
        <v>31</v>
      </c>
      <c r="D198" s="16" t="s">
        <v>31</v>
      </c>
      <c r="E198" s="15" t="s">
        <v>32</v>
      </c>
      <c r="F198" s="15" t="s">
        <v>365</v>
      </c>
      <c r="N198" s="21" t="s">
        <v>374</v>
      </c>
      <c r="O198" s="21" t="s">
        <v>373</v>
      </c>
      <c r="Q198" s="21" t="s">
        <v>344</v>
      </c>
      <c r="R198" s="22">
        <v>45883</v>
      </c>
      <c r="W198">
        <f>COUNTIF(内藤証券!U:U,B198)</f>
        <v>0</v>
      </c>
    </row>
    <row r="199" spans="1:23" ht="24.95" hidden="1" customHeight="1" x14ac:dyDescent="0.4">
      <c r="A199" s="17" t="s">
        <v>27</v>
      </c>
      <c r="B199" s="15" t="s">
        <v>367</v>
      </c>
      <c r="C199" s="16" t="s">
        <v>31</v>
      </c>
      <c r="D199" s="16" t="s">
        <v>31</v>
      </c>
      <c r="E199" s="15" t="s">
        <v>32</v>
      </c>
      <c r="F199" s="15" t="s">
        <v>365</v>
      </c>
      <c r="N199" s="21" t="s">
        <v>374</v>
      </c>
      <c r="O199" s="21" t="s">
        <v>373</v>
      </c>
      <c r="Q199" s="21" t="s">
        <v>344</v>
      </c>
      <c r="R199" s="22">
        <v>45883</v>
      </c>
      <c r="W199">
        <f>COUNTIF(内藤証券!U:U,B199)</f>
        <v>0</v>
      </c>
    </row>
    <row r="200" spans="1:23" ht="24.95" hidden="1" customHeight="1" x14ac:dyDescent="0.4">
      <c r="A200" s="17" t="s">
        <v>27</v>
      </c>
      <c r="B200" s="15" t="s">
        <v>324</v>
      </c>
      <c r="C200" s="16" t="s">
        <v>31</v>
      </c>
      <c r="D200" s="16" t="s">
        <v>31</v>
      </c>
      <c r="E200" s="15" t="s">
        <v>32</v>
      </c>
      <c r="F200" s="15" t="s">
        <v>314</v>
      </c>
      <c r="N200" s="21" t="s">
        <v>96</v>
      </c>
      <c r="O200" s="21" t="s">
        <v>337</v>
      </c>
      <c r="Q200" s="21" t="s">
        <v>344</v>
      </c>
      <c r="R200" s="22">
        <v>45756</v>
      </c>
      <c r="W200">
        <f>COUNTIF(内藤証券!U:U,B200)</f>
        <v>0</v>
      </c>
    </row>
    <row r="201" spans="1:23" ht="24.95" hidden="1" customHeight="1" x14ac:dyDescent="0.4">
      <c r="A201" s="17" t="s">
        <v>27</v>
      </c>
      <c r="B201" s="50" t="s">
        <v>368</v>
      </c>
      <c r="C201" s="16" t="s">
        <v>31</v>
      </c>
      <c r="D201" s="16" t="s">
        <v>31</v>
      </c>
      <c r="E201" s="15" t="s">
        <v>32</v>
      </c>
      <c r="F201" s="15" t="s">
        <v>365</v>
      </c>
      <c r="N201" s="21" t="s">
        <v>96</v>
      </c>
      <c r="O201" s="21" t="s">
        <v>372</v>
      </c>
      <c r="Q201" s="21" t="s">
        <v>344</v>
      </c>
      <c r="R201" s="22">
        <v>45883</v>
      </c>
      <c r="W201">
        <f>COUNTIF(内藤証券!U:U,B201)</f>
        <v>0</v>
      </c>
    </row>
    <row r="202" spans="1:23" ht="24.95" hidden="1" customHeight="1" x14ac:dyDescent="0.4">
      <c r="A202" s="17" t="s">
        <v>27</v>
      </c>
      <c r="B202" s="50" t="s">
        <v>369</v>
      </c>
      <c r="C202" s="16" t="s">
        <v>24</v>
      </c>
      <c r="D202" s="16" t="s">
        <v>31</v>
      </c>
      <c r="E202" s="15" t="s">
        <v>35</v>
      </c>
      <c r="F202" s="15" t="s">
        <v>365</v>
      </c>
      <c r="N202" s="21" t="s">
        <v>96</v>
      </c>
      <c r="O202" s="21" t="s">
        <v>372</v>
      </c>
      <c r="Q202" s="21" t="s">
        <v>344</v>
      </c>
      <c r="R202" s="22">
        <v>45883</v>
      </c>
      <c r="W202">
        <f>COUNTIF(内藤証券!U:U,B202)</f>
        <v>0</v>
      </c>
    </row>
    <row r="203" spans="1:23" ht="24.95" hidden="1" customHeight="1" x14ac:dyDescent="0.4">
      <c r="A203" s="17" t="s">
        <v>27</v>
      </c>
      <c r="B203" s="15" t="s">
        <v>325</v>
      </c>
      <c r="C203" s="16" t="s">
        <v>24</v>
      </c>
      <c r="D203" s="16" t="s">
        <v>31</v>
      </c>
      <c r="E203" s="15" t="s">
        <v>35</v>
      </c>
      <c r="F203" s="15" t="s">
        <v>314</v>
      </c>
      <c r="N203" s="21" t="s">
        <v>96</v>
      </c>
      <c r="O203" s="21" t="s">
        <v>337</v>
      </c>
      <c r="Q203" s="21" t="s">
        <v>344</v>
      </c>
      <c r="R203" s="22">
        <v>45756</v>
      </c>
      <c r="W203">
        <f>COUNTIF(内藤証券!U:U,B203)</f>
        <v>0</v>
      </c>
    </row>
    <row r="204" spans="1:23" ht="24.95" hidden="1" customHeight="1" x14ac:dyDescent="0.4">
      <c r="A204" s="17" t="s">
        <v>27</v>
      </c>
      <c r="B204" s="15" t="s">
        <v>272</v>
      </c>
      <c r="C204" s="16" t="s">
        <v>31</v>
      </c>
      <c r="D204" s="16" t="s">
        <v>31</v>
      </c>
      <c r="E204" s="15" t="s">
        <v>32</v>
      </c>
      <c r="F204" s="15" t="s">
        <v>314</v>
      </c>
      <c r="N204" s="21" t="s">
        <v>96</v>
      </c>
      <c r="O204" s="21" t="s">
        <v>336</v>
      </c>
      <c r="Q204" s="21" t="s">
        <v>344</v>
      </c>
      <c r="R204" s="22">
        <v>45756</v>
      </c>
      <c r="W204">
        <f>COUNTIF(内藤証券!U:U,B204)</f>
        <v>0</v>
      </c>
    </row>
    <row r="205" spans="1:23" ht="24.95" hidden="1" customHeight="1" x14ac:dyDescent="0.4">
      <c r="A205" s="17" t="s">
        <v>27</v>
      </c>
      <c r="B205" s="15" t="s">
        <v>273</v>
      </c>
      <c r="C205" s="16" t="s">
        <v>31</v>
      </c>
      <c r="D205" s="16" t="s">
        <v>31</v>
      </c>
      <c r="E205" s="15" t="s">
        <v>32</v>
      </c>
      <c r="F205" s="15" t="s">
        <v>314</v>
      </c>
      <c r="N205" s="21" t="s">
        <v>96</v>
      </c>
      <c r="O205" s="21" t="s">
        <v>336</v>
      </c>
      <c r="Q205" s="21" t="s">
        <v>344</v>
      </c>
      <c r="R205" s="22">
        <v>45756</v>
      </c>
      <c r="W205">
        <f>COUNTIF(内藤証券!U:U,B205)</f>
        <v>0</v>
      </c>
    </row>
    <row r="206" spans="1:23" ht="24.95" hidden="1" customHeight="1" x14ac:dyDescent="0.4">
      <c r="A206" s="17" t="s">
        <v>27</v>
      </c>
      <c r="B206" s="15" t="s">
        <v>274</v>
      </c>
      <c r="C206" s="16" t="s">
        <v>31</v>
      </c>
      <c r="D206" s="16" t="s">
        <v>31</v>
      </c>
      <c r="E206" s="15" t="s">
        <v>32</v>
      </c>
      <c r="F206" s="15" t="s">
        <v>314</v>
      </c>
      <c r="N206" s="21" t="s">
        <v>96</v>
      </c>
      <c r="O206" s="21" t="s">
        <v>336</v>
      </c>
      <c r="Q206" s="21" t="s">
        <v>344</v>
      </c>
      <c r="R206" s="22">
        <v>45756</v>
      </c>
      <c r="W206">
        <f>COUNTIF(内藤証券!U:U,B206)</f>
        <v>0</v>
      </c>
    </row>
    <row r="207" spans="1:23" ht="24.95" hidden="1" customHeight="1" x14ac:dyDescent="0.4">
      <c r="A207" s="17" t="s">
        <v>27</v>
      </c>
      <c r="B207" s="15" t="s">
        <v>275</v>
      </c>
      <c r="C207" s="16" t="s">
        <v>31</v>
      </c>
      <c r="D207" s="16" t="s">
        <v>31</v>
      </c>
      <c r="E207" s="15" t="s">
        <v>32</v>
      </c>
      <c r="F207" s="15" t="s">
        <v>314</v>
      </c>
      <c r="N207" s="21" t="s">
        <v>96</v>
      </c>
      <c r="O207" s="21" t="s">
        <v>336</v>
      </c>
      <c r="Q207" s="21" t="s">
        <v>344</v>
      </c>
      <c r="R207" s="22">
        <v>45756</v>
      </c>
      <c r="W207">
        <f>COUNTIF(内藤証券!U:U,B207)</f>
        <v>0</v>
      </c>
    </row>
    <row r="208" spans="1:23" ht="24.95" hidden="1" customHeight="1" x14ac:dyDescent="0.4">
      <c r="A208" s="17" t="s">
        <v>27</v>
      </c>
      <c r="B208" s="15" t="s">
        <v>326</v>
      </c>
      <c r="C208" s="16" t="s">
        <v>31</v>
      </c>
      <c r="D208" s="16" t="s">
        <v>31</v>
      </c>
      <c r="E208" s="15" t="s">
        <v>32</v>
      </c>
      <c r="F208" s="15" t="s">
        <v>314</v>
      </c>
      <c r="N208" s="21" t="s">
        <v>96</v>
      </c>
      <c r="O208" s="21" t="s">
        <v>337</v>
      </c>
      <c r="Q208" s="21" t="s">
        <v>344</v>
      </c>
      <c r="R208" s="22">
        <v>45756</v>
      </c>
      <c r="W208">
        <f>COUNTIF(内藤証券!U:U,B208)</f>
        <v>0</v>
      </c>
    </row>
    <row r="209" spans="1:23" ht="24.95" hidden="1" customHeight="1" x14ac:dyDescent="0.4">
      <c r="A209" s="17" t="s">
        <v>27</v>
      </c>
      <c r="B209" s="15" t="s">
        <v>327</v>
      </c>
      <c r="C209" s="16" t="s">
        <v>24</v>
      </c>
      <c r="D209" s="16" t="s">
        <v>31</v>
      </c>
      <c r="E209" s="15" t="s">
        <v>35</v>
      </c>
      <c r="F209" s="15" t="s">
        <v>314</v>
      </c>
      <c r="N209" s="21" t="s">
        <v>96</v>
      </c>
      <c r="O209" s="21" t="s">
        <v>337</v>
      </c>
      <c r="Q209" s="21" t="s">
        <v>344</v>
      </c>
      <c r="R209" s="22">
        <v>45756</v>
      </c>
      <c r="W209">
        <f>COUNTIF(内藤証券!U:U,B209)</f>
        <v>0</v>
      </c>
    </row>
    <row r="210" spans="1:23" ht="24.95" hidden="1" customHeight="1" x14ac:dyDescent="0.4">
      <c r="A210" s="17" t="s">
        <v>27</v>
      </c>
      <c r="B210" s="15" t="s">
        <v>328</v>
      </c>
      <c r="C210" s="16" t="s">
        <v>24</v>
      </c>
      <c r="D210" s="16" t="s">
        <v>31</v>
      </c>
      <c r="E210" s="15" t="s">
        <v>35</v>
      </c>
      <c r="F210" s="15" t="s">
        <v>314</v>
      </c>
      <c r="N210" s="21" t="s">
        <v>96</v>
      </c>
      <c r="O210" s="21" t="s">
        <v>337</v>
      </c>
      <c r="Q210" s="21" t="s">
        <v>344</v>
      </c>
      <c r="R210" s="22">
        <v>45756</v>
      </c>
      <c r="W210">
        <f>COUNTIF(内藤証券!U:U,B210)</f>
        <v>0</v>
      </c>
    </row>
    <row r="211" spans="1:23" ht="24.95" hidden="1" customHeight="1" x14ac:dyDescent="0.4">
      <c r="A211" s="17" t="s">
        <v>27</v>
      </c>
      <c r="B211" s="15" t="s">
        <v>329</v>
      </c>
      <c r="C211" s="16" t="s">
        <v>24</v>
      </c>
      <c r="D211" s="16" t="s">
        <v>31</v>
      </c>
      <c r="E211" s="15" t="s">
        <v>35</v>
      </c>
      <c r="F211" s="15" t="s">
        <v>314</v>
      </c>
      <c r="N211" s="21" t="s">
        <v>96</v>
      </c>
      <c r="O211" s="21" t="s">
        <v>337</v>
      </c>
      <c r="Q211" s="21" t="s">
        <v>344</v>
      </c>
      <c r="R211" s="22">
        <v>45756</v>
      </c>
      <c r="W211">
        <f>COUNTIF(内藤証券!U:U,B211)</f>
        <v>0</v>
      </c>
    </row>
    <row r="212" spans="1:23" ht="24.95" hidden="1" customHeight="1" x14ac:dyDescent="0.4">
      <c r="A212" s="17" t="s">
        <v>27</v>
      </c>
      <c r="B212" s="15" t="s">
        <v>276</v>
      </c>
      <c r="C212" s="16" t="s">
        <v>31</v>
      </c>
      <c r="D212" s="16" t="s">
        <v>31</v>
      </c>
      <c r="E212" s="15" t="s">
        <v>32</v>
      </c>
      <c r="F212" s="15" t="s">
        <v>314</v>
      </c>
      <c r="N212" s="21" t="s">
        <v>96</v>
      </c>
      <c r="O212" s="21" t="s">
        <v>336</v>
      </c>
      <c r="Q212" s="21" t="s">
        <v>344</v>
      </c>
      <c r="R212" s="22">
        <v>45756</v>
      </c>
      <c r="W212">
        <f>COUNTIF(内藤証券!U:U,B212)</f>
        <v>0</v>
      </c>
    </row>
    <row r="213" spans="1:23" ht="24.95" hidden="1" customHeight="1" x14ac:dyDescent="0.4">
      <c r="A213" s="17" t="s">
        <v>27</v>
      </c>
      <c r="B213" s="15" t="s">
        <v>277</v>
      </c>
      <c r="C213" s="16" t="s">
        <v>31</v>
      </c>
      <c r="D213" s="16" t="s">
        <v>31</v>
      </c>
      <c r="E213" s="15" t="s">
        <v>32</v>
      </c>
      <c r="F213" s="15" t="s">
        <v>314</v>
      </c>
      <c r="N213" s="21" t="s">
        <v>96</v>
      </c>
      <c r="O213" s="21" t="s">
        <v>336</v>
      </c>
      <c r="Q213" s="21" t="s">
        <v>344</v>
      </c>
      <c r="R213" s="22">
        <v>45756</v>
      </c>
      <c r="W213">
        <f>COUNTIF(内藤証券!U:U,B213)</f>
        <v>0</v>
      </c>
    </row>
    <row r="214" spans="1:23" ht="24.95" hidden="1" customHeight="1" x14ac:dyDescent="0.4">
      <c r="A214" s="17" t="s">
        <v>27</v>
      </c>
      <c r="B214" s="15" t="s">
        <v>278</v>
      </c>
      <c r="C214" s="16" t="s">
        <v>31</v>
      </c>
      <c r="D214" s="16" t="s">
        <v>31</v>
      </c>
      <c r="E214" s="15" t="s">
        <v>32</v>
      </c>
      <c r="F214" s="15" t="s">
        <v>314</v>
      </c>
      <c r="N214" s="21" t="s">
        <v>96</v>
      </c>
      <c r="O214" s="21" t="s">
        <v>336</v>
      </c>
      <c r="Q214" s="21" t="s">
        <v>344</v>
      </c>
      <c r="R214" s="22">
        <v>45756</v>
      </c>
      <c r="W214">
        <f>COUNTIF(内藤証券!U:U,B214)</f>
        <v>0</v>
      </c>
    </row>
    <row r="215" spans="1:23" ht="24.95" hidden="1" customHeight="1" x14ac:dyDescent="0.4">
      <c r="A215" s="17" t="s">
        <v>27</v>
      </c>
      <c r="B215" s="15" t="s">
        <v>279</v>
      </c>
      <c r="C215" s="16" t="s">
        <v>31</v>
      </c>
      <c r="D215" s="16" t="s">
        <v>31</v>
      </c>
      <c r="E215" s="15" t="s">
        <v>32</v>
      </c>
      <c r="F215" s="15" t="s">
        <v>314</v>
      </c>
      <c r="N215" s="21" t="s">
        <v>96</v>
      </c>
      <c r="O215" s="21" t="s">
        <v>336</v>
      </c>
      <c r="Q215" s="21" t="s">
        <v>344</v>
      </c>
      <c r="R215" s="22">
        <v>45756</v>
      </c>
      <c r="W215">
        <f>COUNTIF(内藤証券!U:U,B215)</f>
        <v>0</v>
      </c>
    </row>
    <row r="216" spans="1:23" ht="24.95" hidden="1" customHeight="1" x14ac:dyDescent="0.4">
      <c r="A216" s="17" t="s">
        <v>27</v>
      </c>
      <c r="B216" s="15" t="s">
        <v>280</v>
      </c>
      <c r="C216" s="16" t="s">
        <v>31</v>
      </c>
      <c r="D216" s="16" t="s">
        <v>31</v>
      </c>
      <c r="E216" s="15" t="s">
        <v>32</v>
      </c>
      <c r="F216" s="15" t="s">
        <v>314</v>
      </c>
      <c r="N216" s="21" t="s">
        <v>96</v>
      </c>
      <c r="O216" s="21" t="s">
        <v>336</v>
      </c>
      <c r="Q216" s="21" t="s">
        <v>344</v>
      </c>
      <c r="R216" s="22">
        <v>45756</v>
      </c>
      <c r="W216">
        <f>COUNTIF(内藤証券!U:U,B216)</f>
        <v>0</v>
      </c>
    </row>
    <row r="217" spans="1:23" ht="24.95" hidden="1" customHeight="1" x14ac:dyDescent="0.4">
      <c r="A217" s="17" t="s">
        <v>27</v>
      </c>
      <c r="B217" s="15" t="s">
        <v>281</v>
      </c>
      <c r="C217" s="16" t="s">
        <v>31</v>
      </c>
      <c r="D217" s="16" t="s">
        <v>31</v>
      </c>
      <c r="E217" s="15" t="s">
        <v>32</v>
      </c>
      <c r="F217" s="15" t="s">
        <v>314</v>
      </c>
      <c r="N217" s="21" t="s">
        <v>96</v>
      </c>
      <c r="O217" s="21" t="s">
        <v>336</v>
      </c>
      <c r="Q217" s="21" t="s">
        <v>344</v>
      </c>
      <c r="R217" s="22">
        <v>45756</v>
      </c>
      <c r="W217">
        <f>COUNTIF(内藤証券!U:U,B217)</f>
        <v>0</v>
      </c>
    </row>
    <row r="218" spans="1:23" ht="24.95" hidden="1" customHeight="1" x14ac:dyDescent="0.4">
      <c r="A218" s="17" t="s">
        <v>27</v>
      </c>
      <c r="B218" s="15" t="s">
        <v>282</v>
      </c>
      <c r="C218" s="16" t="s">
        <v>31</v>
      </c>
      <c r="D218" s="16" t="s">
        <v>31</v>
      </c>
      <c r="E218" s="15" t="s">
        <v>32</v>
      </c>
      <c r="F218" s="15" t="s">
        <v>314</v>
      </c>
      <c r="N218" s="21" t="s">
        <v>96</v>
      </c>
      <c r="O218" s="21" t="s">
        <v>336</v>
      </c>
      <c r="Q218" s="21" t="s">
        <v>344</v>
      </c>
      <c r="R218" s="22">
        <v>45756</v>
      </c>
      <c r="W218">
        <f>COUNTIF(内藤証券!U:U,B218)</f>
        <v>0</v>
      </c>
    </row>
    <row r="219" spans="1:23" ht="24.95" hidden="1" customHeight="1" x14ac:dyDescent="0.4">
      <c r="A219" s="17" t="s">
        <v>27</v>
      </c>
      <c r="B219" s="15" t="s">
        <v>283</v>
      </c>
      <c r="C219" s="16" t="s">
        <v>31</v>
      </c>
      <c r="D219" s="16" t="s">
        <v>31</v>
      </c>
      <c r="E219" s="15" t="s">
        <v>32</v>
      </c>
      <c r="F219" s="15" t="s">
        <v>314</v>
      </c>
      <c r="N219" s="21" t="s">
        <v>96</v>
      </c>
      <c r="O219" s="21" t="s">
        <v>336</v>
      </c>
      <c r="Q219" s="21" t="s">
        <v>344</v>
      </c>
      <c r="R219" s="22">
        <v>45756</v>
      </c>
      <c r="W219">
        <f>COUNTIF(内藤証券!U:U,B219)</f>
        <v>0</v>
      </c>
    </row>
    <row r="220" spans="1:23" ht="24.95" hidden="1" customHeight="1" x14ac:dyDescent="0.4">
      <c r="A220" s="17" t="s">
        <v>27</v>
      </c>
      <c r="B220" s="15" t="s">
        <v>284</v>
      </c>
      <c r="C220" s="16" t="s">
        <v>31</v>
      </c>
      <c r="D220" s="16" t="s">
        <v>31</v>
      </c>
      <c r="E220" s="15" t="s">
        <v>32</v>
      </c>
      <c r="F220" s="15" t="s">
        <v>314</v>
      </c>
      <c r="N220" s="21" t="s">
        <v>96</v>
      </c>
      <c r="O220" s="21" t="s">
        <v>336</v>
      </c>
      <c r="Q220" s="21" t="s">
        <v>344</v>
      </c>
      <c r="R220" s="22">
        <v>45756</v>
      </c>
      <c r="W220">
        <f>COUNTIF(内藤証券!U:U,B220)</f>
        <v>0</v>
      </c>
    </row>
    <row r="221" spans="1:23" ht="24.95" hidden="1" customHeight="1" x14ac:dyDescent="0.4">
      <c r="A221" s="17" t="s">
        <v>27</v>
      </c>
      <c r="B221" s="15" t="s">
        <v>285</v>
      </c>
      <c r="C221" s="16" t="s">
        <v>31</v>
      </c>
      <c r="D221" s="16" t="s">
        <v>31</v>
      </c>
      <c r="E221" s="15" t="s">
        <v>32</v>
      </c>
      <c r="F221" s="15" t="s">
        <v>314</v>
      </c>
      <c r="N221" s="21" t="s">
        <v>96</v>
      </c>
      <c r="O221" s="21" t="s">
        <v>336</v>
      </c>
      <c r="Q221" s="21" t="s">
        <v>344</v>
      </c>
      <c r="R221" s="22">
        <v>45756</v>
      </c>
      <c r="W221">
        <f>COUNTIF(内藤証券!U:U,B221)</f>
        <v>0</v>
      </c>
    </row>
    <row r="222" spans="1:23" ht="24.95" hidden="1" customHeight="1" x14ac:dyDescent="0.4">
      <c r="A222" s="17" t="s">
        <v>27</v>
      </c>
      <c r="B222" s="15" t="s">
        <v>286</v>
      </c>
      <c r="C222" s="16" t="s">
        <v>31</v>
      </c>
      <c r="D222" s="16" t="s">
        <v>31</v>
      </c>
      <c r="E222" s="15" t="s">
        <v>32</v>
      </c>
      <c r="F222" s="15" t="s">
        <v>314</v>
      </c>
      <c r="N222" s="21" t="s">
        <v>96</v>
      </c>
      <c r="O222" s="21" t="s">
        <v>336</v>
      </c>
      <c r="Q222" s="21" t="s">
        <v>344</v>
      </c>
      <c r="R222" s="22">
        <v>45756</v>
      </c>
      <c r="W222">
        <f>COUNTIF(内藤証券!U:U,B222)</f>
        <v>0</v>
      </c>
    </row>
    <row r="223" spans="1:23" ht="24.95" hidden="1" customHeight="1" x14ac:dyDescent="0.4">
      <c r="A223" s="17" t="s">
        <v>27</v>
      </c>
      <c r="B223" s="15" t="s">
        <v>287</v>
      </c>
      <c r="C223" s="16" t="s">
        <v>31</v>
      </c>
      <c r="D223" s="16" t="s">
        <v>31</v>
      </c>
      <c r="E223" s="15" t="s">
        <v>32</v>
      </c>
      <c r="F223" s="15" t="s">
        <v>314</v>
      </c>
      <c r="N223" s="21" t="s">
        <v>96</v>
      </c>
      <c r="O223" s="21" t="s">
        <v>336</v>
      </c>
      <c r="Q223" s="21" t="s">
        <v>344</v>
      </c>
      <c r="R223" s="22">
        <v>45756</v>
      </c>
      <c r="W223">
        <f>COUNTIF(内藤証券!U:U,B223)</f>
        <v>0</v>
      </c>
    </row>
    <row r="224" spans="1:23" ht="24.95" hidden="1" customHeight="1" x14ac:dyDescent="0.4">
      <c r="A224" s="17" t="s">
        <v>27</v>
      </c>
      <c r="B224" s="15" t="s">
        <v>288</v>
      </c>
      <c r="C224" s="16" t="s">
        <v>31</v>
      </c>
      <c r="D224" s="16" t="s">
        <v>31</v>
      </c>
      <c r="E224" s="15" t="s">
        <v>32</v>
      </c>
      <c r="F224" s="15" t="s">
        <v>314</v>
      </c>
      <c r="N224" s="21" t="s">
        <v>96</v>
      </c>
      <c r="O224" s="21" t="s">
        <v>336</v>
      </c>
      <c r="Q224" s="21" t="s">
        <v>344</v>
      </c>
      <c r="R224" s="22">
        <v>45756</v>
      </c>
      <c r="W224">
        <f>COUNTIF(内藤証券!U:U,B224)</f>
        <v>0</v>
      </c>
    </row>
    <row r="225" spans="1:23" ht="24.95" hidden="1" customHeight="1" x14ac:dyDescent="0.4">
      <c r="A225" s="17" t="s">
        <v>27</v>
      </c>
      <c r="B225" s="15" t="s">
        <v>289</v>
      </c>
      <c r="C225" s="16" t="s">
        <v>31</v>
      </c>
      <c r="D225" s="16" t="s">
        <v>31</v>
      </c>
      <c r="E225" s="15" t="s">
        <v>32</v>
      </c>
      <c r="F225" s="15" t="s">
        <v>314</v>
      </c>
      <c r="N225" s="21" t="s">
        <v>96</v>
      </c>
      <c r="O225" s="21" t="s">
        <v>336</v>
      </c>
      <c r="Q225" s="21" t="s">
        <v>344</v>
      </c>
      <c r="R225" s="22">
        <v>45756</v>
      </c>
      <c r="W225">
        <f>COUNTIF(内藤証券!U:U,B225)</f>
        <v>0</v>
      </c>
    </row>
    <row r="226" spans="1:23" ht="24.95" hidden="1" customHeight="1" x14ac:dyDescent="0.4">
      <c r="A226" s="17" t="s">
        <v>27</v>
      </c>
      <c r="B226" s="15" t="s">
        <v>290</v>
      </c>
      <c r="C226" s="16" t="s">
        <v>31</v>
      </c>
      <c r="D226" s="16" t="s">
        <v>31</v>
      </c>
      <c r="E226" s="15" t="s">
        <v>32</v>
      </c>
      <c r="F226" s="15" t="s">
        <v>314</v>
      </c>
      <c r="N226" s="21" t="s">
        <v>96</v>
      </c>
      <c r="O226" s="21" t="s">
        <v>336</v>
      </c>
      <c r="Q226" s="21" t="s">
        <v>344</v>
      </c>
      <c r="R226" s="22">
        <v>45756</v>
      </c>
      <c r="W226">
        <f>COUNTIF(内藤証券!U:U,B226)</f>
        <v>0</v>
      </c>
    </row>
    <row r="227" spans="1:23" ht="24.95" hidden="1" customHeight="1" x14ac:dyDescent="0.4">
      <c r="A227" s="17" t="s">
        <v>27</v>
      </c>
      <c r="B227" s="15" t="s">
        <v>291</v>
      </c>
      <c r="C227" s="16" t="s">
        <v>31</v>
      </c>
      <c r="D227" s="16" t="s">
        <v>31</v>
      </c>
      <c r="E227" s="15" t="s">
        <v>32</v>
      </c>
      <c r="F227" s="15" t="s">
        <v>314</v>
      </c>
      <c r="N227" s="21" t="s">
        <v>96</v>
      </c>
      <c r="O227" s="21" t="s">
        <v>336</v>
      </c>
      <c r="Q227" s="21" t="s">
        <v>344</v>
      </c>
      <c r="R227" s="22">
        <v>45756</v>
      </c>
      <c r="W227">
        <f>COUNTIF(内藤証券!U:U,B227)</f>
        <v>0</v>
      </c>
    </row>
    <row r="228" spans="1:23" ht="24.95" hidden="1" customHeight="1" x14ac:dyDescent="0.4">
      <c r="A228" s="17" t="s">
        <v>27</v>
      </c>
      <c r="B228" s="15" t="s">
        <v>292</v>
      </c>
      <c r="C228" s="16" t="s">
        <v>31</v>
      </c>
      <c r="D228" s="16" t="s">
        <v>31</v>
      </c>
      <c r="E228" s="15" t="s">
        <v>32</v>
      </c>
      <c r="F228" s="15" t="s">
        <v>314</v>
      </c>
      <c r="N228" s="21" t="s">
        <v>96</v>
      </c>
      <c r="O228" s="21" t="s">
        <v>336</v>
      </c>
      <c r="Q228" s="21" t="s">
        <v>344</v>
      </c>
      <c r="R228" s="22">
        <v>45756</v>
      </c>
      <c r="W228">
        <f>COUNTIF(内藤証券!U:U,B228)</f>
        <v>0</v>
      </c>
    </row>
    <row r="229" spans="1:23" ht="24.95" hidden="1" customHeight="1" x14ac:dyDescent="0.4">
      <c r="A229" s="17" t="s">
        <v>27</v>
      </c>
      <c r="B229" s="15" t="s">
        <v>293</v>
      </c>
      <c r="C229" s="16" t="s">
        <v>31</v>
      </c>
      <c r="D229" s="16" t="s">
        <v>31</v>
      </c>
      <c r="E229" s="15" t="s">
        <v>32</v>
      </c>
      <c r="F229" s="15" t="s">
        <v>314</v>
      </c>
      <c r="N229" s="21" t="s">
        <v>96</v>
      </c>
      <c r="O229" s="21" t="s">
        <v>336</v>
      </c>
      <c r="Q229" s="21" t="s">
        <v>344</v>
      </c>
      <c r="R229" s="22">
        <v>45756</v>
      </c>
      <c r="W229">
        <f>COUNTIF(内藤証券!U:U,B229)</f>
        <v>0</v>
      </c>
    </row>
    <row r="230" spans="1:23" ht="24.95" hidden="1" customHeight="1" x14ac:dyDescent="0.4">
      <c r="A230" s="17" t="s">
        <v>27</v>
      </c>
      <c r="B230" s="15" t="s">
        <v>294</v>
      </c>
      <c r="C230" s="16" t="s">
        <v>31</v>
      </c>
      <c r="D230" s="16" t="s">
        <v>31</v>
      </c>
      <c r="E230" s="15" t="s">
        <v>32</v>
      </c>
      <c r="F230" s="15" t="s">
        <v>314</v>
      </c>
      <c r="N230" s="21" t="s">
        <v>96</v>
      </c>
      <c r="O230" s="21" t="s">
        <v>336</v>
      </c>
      <c r="Q230" s="21" t="s">
        <v>344</v>
      </c>
      <c r="R230" s="22">
        <v>45756</v>
      </c>
      <c r="W230">
        <f>COUNTIF(内藤証券!U:U,B230)</f>
        <v>0</v>
      </c>
    </row>
    <row r="231" spans="1:23" ht="24.95" hidden="1" customHeight="1" x14ac:dyDescent="0.4">
      <c r="A231" s="17" t="s">
        <v>27</v>
      </c>
      <c r="B231" s="15" t="s">
        <v>295</v>
      </c>
      <c r="C231" s="16" t="s">
        <v>31</v>
      </c>
      <c r="D231" s="16" t="s">
        <v>31</v>
      </c>
      <c r="E231" s="15" t="s">
        <v>32</v>
      </c>
      <c r="F231" s="15" t="s">
        <v>314</v>
      </c>
      <c r="N231" s="21" t="s">
        <v>96</v>
      </c>
      <c r="O231" s="21" t="s">
        <v>336</v>
      </c>
      <c r="Q231" s="21" t="s">
        <v>344</v>
      </c>
      <c r="R231" s="22">
        <v>45756</v>
      </c>
      <c r="W231">
        <f>COUNTIF(内藤証券!U:U,B231)</f>
        <v>0</v>
      </c>
    </row>
    <row r="232" spans="1:23" ht="24.95" hidden="1" customHeight="1" x14ac:dyDescent="0.4">
      <c r="A232" s="17" t="s">
        <v>27</v>
      </c>
      <c r="B232" s="15" t="s">
        <v>296</v>
      </c>
      <c r="C232" s="16" t="s">
        <v>31</v>
      </c>
      <c r="D232" s="16" t="s">
        <v>31</v>
      </c>
      <c r="E232" s="15" t="s">
        <v>32</v>
      </c>
      <c r="F232" s="15" t="s">
        <v>314</v>
      </c>
      <c r="N232" s="21" t="s">
        <v>96</v>
      </c>
      <c r="O232" s="21" t="s">
        <v>336</v>
      </c>
      <c r="Q232" s="21" t="s">
        <v>344</v>
      </c>
      <c r="R232" s="22">
        <v>45756</v>
      </c>
      <c r="W232">
        <f>COUNTIF(内藤証券!U:U,B232)</f>
        <v>0</v>
      </c>
    </row>
    <row r="233" spans="1:23" ht="24.95" hidden="1" customHeight="1" x14ac:dyDescent="0.4">
      <c r="A233" s="17" t="s">
        <v>27</v>
      </c>
      <c r="B233" s="15" t="s">
        <v>297</v>
      </c>
      <c r="C233" s="16" t="s">
        <v>31</v>
      </c>
      <c r="D233" s="16" t="s">
        <v>31</v>
      </c>
      <c r="E233" s="15" t="s">
        <v>32</v>
      </c>
      <c r="F233" s="15" t="s">
        <v>314</v>
      </c>
      <c r="N233" s="21" t="s">
        <v>96</v>
      </c>
      <c r="O233" s="21" t="s">
        <v>336</v>
      </c>
      <c r="Q233" s="21" t="s">
        <v>344</v>
      </c>
      <c r="R233" s="22">
        <v>45756</v>
      </c>
      <c r="W233">
        <f>COUNTIF(内藤証券!U:U,B233)</f>
        <v>0</v>
      </c>
    </row>
    <row r="234" spans="1:23" ht="24.95" hidden="1" customHeight="1" x14ac:dyDescent="0.4">
      <c r="A234" s="17" t="s">
        <v>27</v>
      </c>
      <c r="B234" s="15" t="s">
        <v>298</v>
      </c>
      <c r="C234" s="16" t="s">
        <v>31</v>
      </c>
      <c r="D234" s="16" t="s">
        <v>31</v>
      </c>
      <c r="E234" s="15" t="s">
        <v>32</v>
      </c>
      <c r="F234" s="15" t="s">
        <v>314</v>
      </c>
      <c r="N234" s="21" t="s">
        <v>96</v>
      </c>
      <c r="O234" s="21" t="s">
        <v>336</v>
      </c>
      <c r="Q234" s="21" t="s">
        <v>344</v>
      </c>
      <c r="R234" s="22">
        <v>45756</v>
      </c>
      <c r="W234">
        <f>COUNTIF(内藤証券!U:U,B234)</f>
        <v>0</v>
      </c>
    </row>
    <row r="235" spans="1:23" ht="24.95" hidden="1" customHeight="1" x14ac:dyDescent="0.4">
      <c r="A235" s="17" t="s">
        <v>27</v>
      </c>
      <c r="B235" s="15" t="s">
        <v>299</v>
      </c>
      <c r="C235" s="16" t="s">
        <v>31</v>
      </c>
      <c r="D235" s="16" t="s">
        <v>31</v>
      </c>
      <c r="E235" s="15" t="s">
        <v>32</v>
      </c>
      <c r="F235" s="15" t="s">
        <v>314</v>
      </c>
      <c r="N235" s="21" t="s">
        <v>96</v>
      </c>
      <c r="O235" s="21" t="s">
        <v>336</v>
      </c>
      <c r="Q235" s="21" t="s">
        <v>344</v>
      </c>
      <c r="R235" s="22">
        <v>45756</v>
      </c>
      <c r="W235">
        <f>COUNTIF(内藤証券!U:U,B235)</f>
        <v>0</v>
      </c>
    </row>
    <row r="236" spans="1:23" ht="24.95" hidden="1" customHeight="1" x14ac:dyDescent="0.4">
      <c r="A236" s="17" t="s">
        <v>27</v>
      </c>
      <c r="B236" s="15" t="s">
        <v>300</v>
      </c>
      <c r="C236" s="16" t="s">
        <v>31</v>
      </c>
      <c r="D236" s="16" t="s">
        <v>31</v>
      </c>
      <c r="E236" s="15" t="s">
        <v>32</v>
      </c>
      <c r="F236" s="15" t="s">
        <v>314</v>
      </c>
      <c r="N236" s="21" t="s">
        <v>96</v>
      </c>
      <c r="O236" s="21" t="s">
        <v>336</v>
      </c>
      <c r="Q236" s="21" t="s">
        <v>344</v>
      </c>
      <c r="R236" s="22">
        <v>45756</v>
      </c>
      <c r="W236">
        <f>COUNTIF(内藤証券!U:U,B236)</f>
        <v>0</v>
      </c>
    </row>
    <row r="237" spans="1:23" ht="24.95" hidden="1" customHeight="1" x14ac:dyDescent="0.4">
      <c r="A237" s="17" t="s">
        <v>27</v>
      </c>
      <c r="B237" s="15" t="s">
        <v>301</v>
      </c>
      <c r="C237" s="16" t="s">
        <v>31</v>
      </c>
      <c r="D237" s="16" t="s">
        <v>31</v>
      </c>
      <c r="E237" s="15" t="s">
        <v>32</v>
      </c>
      <c r="F237" s="15" t="s">
        <v>314</v>
      </c>
      <c r="N237" s="21" t="s">
        <v>96</v>
      </c>
      <c r="O237" s="21" t="s">
        <v>336</v>
      </c>
      <c r="Q237" s="21" t="s">
        <v>344</v>
      </c>
      <c r="R237" s="22">
        <v>45756</v>
      </c>
      <c r="W237">
        <f>COUNTIF(内藤証券!U:U,B237)</f>
        <v>0</v>
      </c>
    </row>
    <row r="238" spans="1:23" ht="24.95" hidden="1" customHeight="1" x14ac:dyDescent="0.4">
      <c r="A238" s="17" t="s">
        <v>27</v>
      </c>
      <c r="B238" s="15" t="s">
        <v>302</v>
      </c>
      <c r="C238" s="16" t="s">
        <v>31</v>
      </c>
      <c r="D238" s="16" t="s">
        <v>31</v>
      </c>
      <c r="E238" s="15" t="s">
        <v>32</v>
      </c>
      <c r="F238" s="15" t="s">
        <v>314</v>
      </c>
      <c r="N238" s="21" t="s">
        <v>96</v>
      </c>
      <c r="O238" s="21" t="s">
        <v>336</v>
      </c>
      <c r="Q238" s="21" t="s">
        <v>344</v>
      </c>
      <c r="R238" s="22">
        <v>45756</v>
      </c>
      <c r="W238">
        <f>COUNTIF(内藤証券!U:U,B238)</f>
        <v>0</v>
      </c>
    </row>
    <row r="239" spans="1:23" ht="24.95" hidden="1" customHeight="1" x14ac:dyDescent="0.4">
      <c r="A239" s="17" t="s">
        <v>27</v>
      </c>
      <c r="B239" s="15" t="s">
        <v>303</v>
      </c>
      <c r="C239" s="16" t="s">
        <v>31</v>
      </c>
      <c r="D239" s="16" t="s">
        <v>31</v>
      </c>
      <c r="E239" s="15" t="s">
        <v>32</v>
      </c>
      <c r="F239" s="15" t="s">
        <v>314</v>
      </c>
      <c r="N239" s="21" t="s">
        <v>96</v>
      </c>
      <c r="O239" s="21" t="s">
        <v>336</v>
      </c>
      <c r="Q239" s="21" t="s">
        <v>344</v>
      </c>
      <c r="R239" s="22">
        <v>45756</v>
      </c>
      <c r="W239">
        <f>COUNTIF(内藤証券!U:U,B239)</f>
        <v>0</v>
      </c>
    </row>
    <row r="240" spans="1:23" ht="24.95" hidden="1" customHeight="1" x14ac:dyDescent="0.4">
      <c r="A240" s="17" t="s">
        <v>27</v>
      </c>
      <c r="B240" s="15" t="s">
        <v>304</v>
      </c>
      <c r="C240" s="16" t="s">
        <v>31</v>
      </c>
      <c r="D240" s="16" t="s">
        <v>31</v>
      </c>
      <c r="E240" s="15" t="s">
        <v>32</v>
      </c>
      <c r="F240" s="15" t="s">
        <v>314</v>
      </c>
      <c r="N240" s="21" t="s">
        <v>96</v>
      </c>
      <c r="O240" s="21" t="s">
        <v>336</v>
      </c>
      <c r="Q240" s="21" t="s">
        <v>344</v>
      </c>
      <c r="R240" s="22">
        <v>45756</v>
      </c>
      <c r="W240">
        <f>COUNTIF(内藤証券!U:U,B240)</f>
        <v>0</v>
      </c>
    </row>
    <row r="241" spans="1:26" ht="24.95" hidden="1" customHeight="1" x14ac:dyDescent="0.4">
      <c r="A241" s="17" t="s">
        <v>27</v>
      </c>
      <c r="B241" s="15" t="s">
        <v>305</v>
      </c>
      <c r="C241" s="16" t="s">
        <v>31</v>
      </c>
      <c r="D241" s="16" t="s">
        <v>31</v>
      </c>
      <c r="E241" s="15" t="s">
        <v>32</v>
      </c>
      <c r="F241" s="15" t="s">
        <v>314</v>
      </c>
      <c r="N241" s="21" t="s">
        <v>96</v>
      </c>
      <c r="O241" s="21" t="s">
        <v>336</v>
      </c>
      <c r="Q241" s="21" t="s">
        <v>344</v>
      </c>
      <c r="R241" s="22">
        <v>45756</v>
      </c>
      <c r="W241">
        <f>COUNTIF(内藤証券!U:U,B241)</f>
        <v>0</v>
      </c>
    </row>
    <row r="242" spans="1:26" ht="24.95" hidden="1" customHeight="1" x14ac:dyDescent="0.4">
      <c r="A242" s="17" t="s">
        <v>27</v>
      </c>
      <c r="B242" s="15" t="s">
        <v>370</v>
      </c>
      <c r="C242" s="16" t="s">
        <v>31</v>
      </c>
      <c r="D242" s="16" t="s">
        <v>31</v>
      </c>
      <c r="E242" s="15" t="s">
        <v>32</v>
      </c>
      <c r="F242" s="15" t="s">
        <v>365</v>
      </c>
      <c r="N242" s="21" t="s">
        <v>374</v>
      </c>
      <c r="O242" s="21" t="s">
        <v>373</v>
      </c>
      <c r="Q242" s="21" t="s">
        <v>344</v>
      </c>
      <c r="R242" s="22">
        <v>45883</v>
      </c>
      <c r="W242">
        <f>COUNTIF(内藤証券!U:U,B242)</f>
        <v>0</v>
      </c>
    </row>
    <row r="243" spans="1:26" ht="24.95" hidden="1" customHeight="1" x14ac:dyDescent="0.4">
      <c r="A243" s="17" t="s">
        <v>27</v>
      </c>
      <c r="B243" s="15" t="s">
        <v>371</v>
      </c>
      <c r="C243" s="16" t="s">
        <v>31</v>
      </c>
      <c r="D243" s="16" t="s">
        <v>31</v>
      </c>
      <c r="E243" s="15" t="s">
        <v>32</v>
      </c>
      <c r="F243" s="15" t="s">
        <v>365</v>
      </c>
      <c r="N243" s="21" t="s">
        <v>374</v>
      </c>
      <c r="O243" s="21" t="s">
        <v>373</v>
      </c>
      <c r="Q243" s="21" t="s">
        <v>344</v>
      </c>
      <c r="R243" s="22">
        <v>45883</v>
      </c>
      <c r="W243">
        <f>COUNTIF(内藤証券!U:U,B243)</f>
        <v>0</v>
      </c>
    </row>
    <row r="244" spans="1:26" ht="24.95" hidden="1" customHeight="1" x14ac:dyDescent="0.4">
      <c r="A244" s="17" t="s">
        <v>27</v>
      </c>
      <c r="B244" s="15" t="s">
        <v>306</v>
      </c>
      <c r="C244" s="16" t="s">
        <v>24</v>
      </c>
      <c r="D244" s="16" t="s">
        <v>31</v>
      </c>
      <c r="E244" s="15" t="s">
        <v>35</v>
      </c>
      <c r="F244" s="15" t="s">
        <v>314</v>
      </c>
      <c r="N244" s="21" t="s">
        <v>96</v>
      </c>
      <c r="O244" s="21" t="s">
        <v>336</v>
      </c>
      <c r="Q244" s="21" t="s">
        <v>344</v>
      </c>
      <c r="R244" s="22">
        <v>45756</v>
      </c>
      <c r="W244">
        <f>COUNTIF(内藤証券!U:U,B244)</f>
        <v>0</v>
      </c>
    </row>
    <row r="245" spans="1:26" ht="24.95" hidden="1" customHeight="1" x14ac:dyDescent="0.4">
      <c r="A245" s="17" t="s">
        <v>27</v>
      </c>
      <c r="B245" s="15" t="s">
        <v>307</v>
      </c>
      <c r="C245" s="16" t="s">
        <v>31</v>
      </c>
      <c r="D245" s="16" t="s">
        <v>31</v>
      </c>
      <c r="E245" s="15" t="s">
        <v>32</v>
      </c>
      <c r="F245" s="15" t="s">
        <v>314</v>
      </c>
      <c r="N245" s="21" t="s">
        <v>96</v>
      </c>
      <c r="O245" s="21" t="s">
        <v>336</v>
      </c>
      <c r="Q245" s="21" t="s">
        <v>344</v>
      </c>
      <c r="R245" s="22">
        <v>45756</v>
      </c>
      <c r="W245">
        <f>COUNTIF(内藤証券!U:U,B245)</f>
        <v>0</v>
      </c>
    </row>
    <row r="246" spans="1:26" ht="24.95" hidden="1" customHeight="1" x14ac:dyDescent="0.4">
      <c r="A246" s="17" t="s">
        <v>27</v>
      </c>
      <c r="B246" s="15" t="s">
        <v>38</v>
      </c>
      <c r="C246" s="16" t="s">
        <v>31</v>
      </c>
      <c r="D246" s="16" t="s">
        <v>31</v>
      </c>
      <c r="E246" s="15" t="s">
        <v>32</v>
      </c>
      <c r="F246" s="15" t="s">
        <v>108</v>
      </c>
      <c r="N246" s="21" t="s">
        <v>96</v>
      </c>
      <c r="O246" s="21" t="s">
        <v>348</v>
      </c>
      <c r="Q246" s="21" t="s">
        <v>344</v>
      </c>
      <c r="R246" s="22">
        <v>45814</v>
      </c>
      <c r="W246">
        <f>COUNTIF(内藤証券!U:U,B246)</f>
        <v>0</v>
      </c>
    </row>
    <row r="247" spans="1:26" ht="24.95" hidden="1" customHeight="1" x14ac:dyDescent="0.4">
      <c r="A247" s="17" t="s">
        <v>27</v>
      </c>
      <c r="B247" s="15" t="s">
        <v>119</v>
      </c>
      <c r="C247" s="16" t="s">
        <v>31</v>
      </c>
      <c r="D247" s="16" t="s">
        <v>31</v>
      </c>
      <c r="E247" s="15" t="s">
        <v>32</v>
      </c>
      <c r="F247" s="15" t="s">
        <v>365</v>
      </c>
      <c r="N247" s="21" t="s">
        <v>374</v>
      </c>
      <c r="O247" s="21" t="s">
        <v>375</v>
      </c>
      <c r="Q247" s="21" t="s">
        <v>344</v>
      </c>
      <c r="R247" s="22">
        <v>45883</v>
      </c>
      <c r="W247">
        <f>COUNTIF(内藤証券!U:U,B247)</f>
        <v>0</v>
      </c>
    </row>
    <row r="248" spans="1:26" ht="24.95" hidden="1" customHeight="1" x14ac:dyDescent="0.4">
      <c r="A248" s="17" t="s">
        <v>27</v>
      </c>
      <c r="B248" s="15" t="s">
        <v>120</v>
      </c>
      <c r="C248" s="16" t="s">
        <v>31</v>
      </c>
      <c r="D248" s="16" t="s">
        <v>31</v>
      </c>
      <c r="E248" s="15" t="s">
        <v>32</v>
      </c>
      <c r="F248" s="15" t="s">
        <v>314</v>
      </c>
      <c r="N248" s="21" t="s">
        <v>96</v>
      </c>
      <c r="O248" s="21" t="s">
        <v>336</v>
      </c>
      <c r="Q248" s="21" t="s">
        <v>344</v>
      </c>
      <c r="R248" s="22">
        <v>45756</v>
      </c>
      <c r="W248">
        <f>COUNTIF(内藤証券!U:U,B248)</f>
        <v>0</v>
      </c>
    </row>
    <row r="249" spans="1:26" ht="24.95" hidden="1" customHeight="1" x14ac:dyDescent="0.4">
      <c r="A249" s="17" t="s">
        <v>27</v>
      </c>
      <c r="B249" s="15" t="s">
        <v>39</v>
      </c>
      <c r="C249" s="16" t="s">
        <v>31</v>
      </c>
      <c r="D249" s="16" t="s">
        <v>31</v>
      </c>
      <c r="E249" s="15" t="s">
        <v>32</v>
      </c>
      <c r="F249" s="15" t="s">
        <v>129</v>
      </c>
      <c r="N249" s="21" t="s">
        <v>96</v>
      </c>
      <c r="O249" s="13" t="s">
        <v>350</v>
      </c>
      <c r="Q249" s="21" t="s">
        <v>344</v>
      </c>
      <c r="R249" s="22">
        <v>45814</v>
      </c>
      <c r="W249">
        <f>COUNTIF(内藤証券!U:U,B249)</f>
        <v>0</v>
      </c>
    </row>
    <row r="250" spans="1:26" ht="24.95" hidden="1" customHeight="1" x14ac:dyDescent="0.4">
      <c r="A250" s="17" t="s">
        <v>27</v>
      </c>
      <c r="B250" s="50" t="s">
        <v>220</v>
      </c>
      <c r="C250" s="16" t="s">
        <v>31</v>
      </c>
      <c r="D250" s="16" t="s">
        <v>31</v>
      </c>
      <c r="E250" s="15" t="s">
        <v>32</v>
      </c>
      <c r="F250" s="15" t="s">
        <v>221</v>
      </c>
      <c r="N250" s="21" t="s">
        <v>354</v>
      </c>
      <c r="Q250" s="21" t="s">
        <v>344</v>
      </c>
      <c r="R250" s="22">
        <v>45814</v>
      </c>
      <c r="W250">
        <f>COUNTIF(内藤証券!U:U,B250)</f>
        <v>0</v>
      </c>
      <c r="Z250" t="str">
        <f>A250&amp;" "&amp;B250</f>
        <v>0D cw WEB-INF/lib/plug-web3-docadmin.jar</v>
      </c>
    </row>
    <row r="251" spans="1:26" ht="24.95" hidden="1" customHeight="1" x14ac:dyDescent="0.4">
      <c r="A251" s="17" t="s">
        <v>27</v>
      </c>
      <c r="B251" s="15" t="s">
        <v>172</v>
      </c>
      <c r="C251" s="16" t="s">
        <v>31</v>
      </c>
      <c r="D251" s="16" t="s">
        <v>31</v>
      </c>
      <c r="E251" s="15" t="s">
        <v>32</v>
      </c>
      <c r="F251" s="15" t="s">
        <v>173</v>
      </c>
      <c r="N251" s="21" t="s">
        <v>96</v>
      </c>
      <c r="O251" s="21" t="s">
        <v>336</v>
      </c>
      <c r="Q251" s="21" t="s">
        <v>344</v>
      </c>
      <c r="R251" s="22">
        <v>45814</v>
      </c>
      <c r="W251">
        <f>COUNTIF(内藤証券!U:U,B251)</f>
        <v>0</v>
      </c>
    </row>
    <row r="252" spans="1:26" ht="24.95" hidden="1" customHeight="1" x14ac:dyDescent="0.4">
      <c r="A252" s="17" t="s">
        <v>27</v>
      </c>
      <c r="B252" s="15" t="s">
        <v>111</v>
      </c>
      <c r="C252" s="16" t="s">
        <v>31</v>
      </c>
      <c r="D252" s="16" t="s">
        <v>31</v>
      </c>
      <c r="E252" s="15" t="s">
        <v>32</v>
      </c>
      <c r="F252" s="15" t="s">
        <v>314</v>
      </c>
      <c r="N252" s="21" t="s">
        <v>96</v>
      </c>
      <c r="O252" s="21" t="s">
        <v>336</v>
      </c>
      <c r="Q252" s="21" t="s">
        <v>344</v>
      </c>
      <c r="R252" s="22">
        <v>45756</v>
      </c>
      <c r="W252">
        <f>COUNTIF(内藤証券!U:U,B252)</f>
        <v>0</v>
      </c>
    </row>
    <row r="253" spans="1:26" ht="24.95" hidden="1" customHeight="1" x14ac:dyDescent="0.4">
      <c r="A253" s="17" t="s">
        <v>27</v>
      </c>
      <c r="B253" s="15" t="s">
        <v>42</v>
      </c>
      <c r="C253" s="16" t="s">
        <v>31</v>
      </c>
      <c r="D253" s="16" t="s">
        <v>31</v>
      </c>
      <c r="E253" s="15" t="s">
        <v>32</v>
      </c>
      <c r="F253" s="15" t="s">
        <v>129</v>
      </c>
      <c r="N253" s="21" t="s">
        <v>96</v>
      </c>
      <c r="O253" s="21" t="s">
        <v>336</v>
      </c>
      <c r="Q253" s="21" t="s">
        <v>344</v>
      </c>
      <c r="R253" s="22">
        <v>45814</v>
      </c>
      <c r="W253">
        <f>COUNTIF(内藤証券!U:U,B253)</f>
        <v>0</v>
      </c>
    </row>
    <row r="254" spans="1:26" ht="24.95" hidden="1" customHeight="1" x14ac:dyDescent="0.4">
      <c r="A254" s="17" t="s">
        <v>27</v>
      </c>
      <c r="B254" s="15" t="s">
        <v>95</v>
      </c>
      <c r="C254" s="16" t="s">
        <v>31</v>
      </c>
      <c r="D254" s="16" t="s">
        <v>31</v>
      </c>
      <c r="E254" s="15" t="s">
        <v>32</v>
      </c>
      <c r="F254" s="15" t="s">
        <v>94</v>
      </c>
      <c r="G254" s="25" t="s">
        <v>40</v>
      </c>
      <c r="H254" s="24" t="s">
        <v>41</v>
      </c>
      <c r="I254" s="24" t="s">
        <v>151</v>
      </c>
      <c r="J254" s="24" t="s">
        <v>152</v>
      </c>
      <c r="K254" s="23" t="s">
        <v>99</v>
      </c>
      <c r="N254" s="21" t="s">
        <v>96</v>
      </c>
      <c r="O254" s="13" t="s">
        <v>112</v>
      </c>
      <c r="R254" s="22" t="s">
        <v>24</v>
      </c>
      <c r="W254">
        <f>COUNTIF(内藤証券!U:U,B254)</f>
        <v>0</v>
      </c>
      <c r="Z254" t="s">
        <v>435</v>
      </c>
    </row>
    <row r="255" spans="1:26" ht="24.95" hidden="1" customHeight="1" x14ac:dyDescent="0.4">
      <c r="A255" s="17" t="s">
        <v>27</v>
      </c>
      <c r="B255" s="15" t="s">
        <v>103</v>
      </c>
      <c r="C255" s="16" t="s">
        <v>31</v>
      </c>
      <c r="D255" s="16" t="s">
        <v>31</v>
      </c>
      <c r="E255" s="15" t="s">
        <v>32</v>
      </c>
      <c r="F255" s="15" t="s">
        <v>104</v>
      </c>
      <c r="G255" s="25" t="s">
        <v>40</v>
      </c>
      <c r="H255" s="24" t="s">
        <v>96</v>
      </c>
      <c r="I255" s="24" t="s">
        <v>109</v>
      </c>
      <c r="J255" s="24" t="s">
        <v>78</v>
      </c>
      <c r="K255" s="23" t="s">
        <v>99</v>
      </c>
      <c r="N255" s="21" t="s">
        <v>96</v>
      </c>
      <c r="O255" s="13" t="s">
        <v>113</v>
      </c>
      <c r="R255" s="22" t="s">
        <v>24</v>
      </c>
      <c r="W255">
        <f>COUNTIF(内藤証券!U:U,B255)</f>
        <v>0</v>
      </c>
      <c r="Z255" t="s">
        <v>435</v>
      </c>
    </row>
    <row r="256" spans="1:26" ht="24.95" hidden="1" customHeight="1" x14ac:dyDescent="0.4">
      <c r="A256" s="17" t="s">
        <v>27</v>
      </c>
      <c r="B256" s="15" t="s">
        <v>121</v>
      </c>
      <c r="C256" s="16" t="s">
        <v>31</v>
      </c>
      <c r="D256" s="16" t="s">
        <v>31</v>
      </c>
      <c r="E256" s="15" t="s">
        <v>32</v>
      </c>
      <c r="F256" s="15" t="s">
        <v>314</v>
      </c>
      <c r="N256" s="21" t="s">
        <v>96</v>
      </c>
      <c r="O256" s="21" t="s">
        <v>336</v>
      </c>
      <c r="Q256" s="21" t="s">
        <v>344</v>
      </c>
      <c r="R256" s="22">
        <v>45756</v>
      </c>
      <c r="W256">
        <f>COUNTIF(内藤証券!U:U,B256)</f>
        <v>0</v>
      </c>
    </row>
    <row r="257" spans="1:26" ht="24.95" hidden="1" customHeight="1" x14ac:dyDescent="0.4">
      <c r="A257" s="17" t="s">
        <v>27</v>
      </c>
      <c r="B257" s="15" t="s">
        <v>44</v>
      </c>
      <c r="C257" s="16" t="s">
        <v>31</v>
      </c>
      <c r="D257" s="16" t="s">
        <v>31</v>
      </c>
      <c r="E257" s="15" t="s">
        <v>32</v>
      </c>
      <c r="F257" s="15" t="s">
        <v>221</v>
      </c>
      <c r="N257" s="21" t="s">
        <v>96</v>
      </c>
      <c r="O257" s="21" t="s">
        <v>358</v>
      </c>
      <c r="Q257" s="21" t="s">
        <v>344</v>
      </c>
      <c r="R257" s="22">
        <v>45814</v>
      </c>
      <c r="W257">
        <f>COUNTIF(内藤証券!U:U,B257)</f>
        <v>0</v>
      </c>
    </row>
    <row r="258" spans="1:26" ht="24.95" customHeight="1" x14ac:dyDescent="0.4">
      <c r="A258" s="17" t="s">
        <v>27</v>
      </c>
      <c r="B258" s="50" t="s">
        <v>469</v>
      </c>
      <c r="C258" s="16" t="s">
        <v>31</v>
      </c>
      <c r="D258" s="16" t="s">
        <v>31</v>
      </c>
      <c r="E258" s="15" t="s">
        <v>32</v>
      </c>
      <c r="F258" s="15" t="s">
        <v>365</v>
      </c>
      <c r="N258" s="21" t="s">
        <v>374</v>
      </c>
      <c r="O258" s="13" t="s">
        <v>468</v>
      </c>
      <c r="Q258" s="21" t="s">
        <v>344</v>
      </c>
      <c r="R258" s="22">
        <v>45883</v>
      </c>
      <c r="W258">
        <f>COUNTIF(内藤証券!U:U,B258)</f>
        <v>0</v>
      </c>
    </row>
    <row r="259" spans="1:26" ht="24.95" hidden="1" customHeight="1" x14ac:dyDescent="0.4">
      <c r="A259" s="17" t="s">
        <v>46</v>
      </c>
      <c r="B259" s="15" t="s">
        <v>47</v>
      </c>
      <c r="C259" s="16" t="s">
        <v>24</v>
      </c>
      <c r="D259" s="16" t="s">
        <v>31</v>
      </c>
      <c r="E259" s="15" t="s">
        <v>35</v>
      </c>
      <c r="F259" s="15" t="s">
        <v>80</v>
      </c>
      <c r="G259" s="25" t="s">
        <v>23</v>
      </c>
      <c r="H259" s="26" t="s">
        <v>36</v>
      </c>
      <c r="I259" s="24" t="s">
        <v>24</v>
      </c>
      <c r="J259" s="24" t="s">
        <v>24</v>
      </c>
      <c r="K259" s="23" t="s">
        <v>24</v>
      </c>
      <c r="L259" s="23" t="s">
        <v>24</v>
      </c>
      <c r="N259" s="13" t="s">
        <v>84</v>
      </c>
      <c r="O259" s="21" t="s">
        <v>83</v>
      </c>
      <c r="R259" s="22" t="s">
        <v>24</v>
      </c>
      <c r="W259">
        <f>COUNTIF(内藤証券!U:U,B259)</f>
        <v>0</v>
      </c>
      <c r="Z259" t="s">
        <v>433</v>
      </c>
    </row>
    <row r="260" spans="1:26" ht="24.95" hidden="1" customHeight="1" x14ac:dyDescent="0.4">
      <c r="A260" s="17" t="s">
        <v>46</v>
      </c>
      <c r="B260" s="15" t="s">
        <v>48</v>
      </c>
      <c r="C260" s="16" t="s">
        <v>24</v>
      </c>
      <c r="D260" s="16" t="s">
        <v>31</v>
      </c>
      <c r="E260" s="15" t="s">
        <v>35</v>
      </c>
      <c r="F260" s="15" t="s">
        <v>80</v>
      </c>
      <c r="G260" s="25" t="s">
        <v>23</v>
      </c>
      <c r="H260" s="26" t="s">
        <v>36</v>
      </c>
      <c r="I260" s="24" t="s">
        <v>24</v>
      </c>
      <c r="J260" s="24" t="s">
        <v>24</v>
      </c>
      <c r="K260" s="23" t="s">
        <v>24</v>
      </c>
      <c r="L260" s="23" t="s">
        <v>24</v>
      </c>
      <c r="N260" s="13" t="s">
        <v>84</v>
      </c>
      <c r="O260" s="21" t="s">
        <v>83</v>
      </c>
      <c r="R260" s="22" t="s">
        <v>24</v>
      </c>
      <c r="W260">
        <f>COUNTIF(内藤証券!U:U,B260)</f>
        <v>0</v>
      </c>
      <c r="Z260" t="s">
        <v>433</v>
      </c>
    </row>
    <row r="261" spans="1:26" ht="24.95" hidden="1" customHeight="1" x14ac:dyDescent="0.4">
      <c r="A261" s="17" t="s">
        <v>46</v>
      </c>
      <c r="B261" s="15" t="s">
        <v>114</v>
      </c>
      <c r="C261" s="16" t="s">
        <v>31</v>
      </c>
      <c r="D261" s="16" t="s">
        <v>31</v>
      </c>
      <c r="E261" s="15" t="s">
        <v>32</v>
      </c>
      <c r="F261" s="15" t="s">
        <v>212</v>
      </c>
      <c r="N261" s="21" t="s">
        <v>96</v>
      </c>
      <c r="O261" s="21" t="s">
        <v>209</v>
      </c>
      <c r="Q261" s="21" t="s">
        <v>169</v>
      </c>
      <c r="R261" s="22">
        <v>45756</v>
      </c>
      <c r="W261">
        <f>COUNTIF(内藤証券!U:U,B261)</f>
        <v>0</v>
      </c>
      <c r="Z261" t="s">
        <v>433</v>
      </c>
    </row>
    <row r="262" spans="1:26" ht="24.95" hidden="1" customHeight="1" x14ac:dyDescent="0.4">
      <c r="A262" s="17" t="s">
        <v>46</v>
      </c>
      <c r="B262" s="15" t="s">
        <v>49</v>
      </c>
      <c r="C262" s="16" t="s">
        <v>31</v>
      </c>
      <c r="D262" s="16" t="s">
        <v>24</v>
      </c>
      <c r="E262" s="15" t="s">
        <v>50</v>
      </c>
      <c r="F262" s="15" t="s">
        <v>80</v>
      </c>
      <c r="G262" s="25" t="s">
        <v>23</v>
      </c>
      <c r="H262" s="26" t="s">
        <v>51</v>
      </c>
      <c r="I262" s="24" t="s">
        <v>52</v>
      </c>
      <c r="J262" s="24" t="s">
        <v>53</v>
      </c>
      <c r="N262" s="13" t="s">
        <v>85</v>
      </c>
      <c r="O262" s="21" t="s">
        <v>83</v>
      </c>
      <c r="R262" s="22" t="s">
        <v>24</v>
      </c>
      <c r="W262">
        <f>COUNTIF(内藤証券!U:U,B262)</f>
        <v>0</v>
      </c>
      <c r="Z262" t="s">
        <v>433</v>
      </c>
    </row>
    <row r="263" spans="1:26" ht="24.95" hidden="1" customHeight="1" x14ac:dyDescent="0.4">
      <c r="A263" s="17" t="s">
        <v>46</v>
      </c>
      <c r="B263" s="15" t="s">
        <v>174</v>
      </c>
      <c r="C263" s="16" t="s">
        <v>24</v>
      </c>
      <c r="D263" s="16" t="s">
        <v>31</v>
      </c>
      <c r="E263" s="15" t="s">
        <v>35</v>
      </c>
      <c r="F263" s="15" t="s">
        <v>173</v>
      </c>
      <c r="N263" s="21" t="s">
        <v>96</v>
      </c>
      <c r="O263" s="21" t="s">
        <v>181</v>
      </c>
      <c r="Q263" s="21" t="s">
        <v>169</v>
      </c>
      <c r="R263" s="22">
        <v>45756</v>
      </c>
      <c r="W263">
        <f>COUNTIF(内藤証券!U:U,B263)</f>
        <v>0</v>
      </c>
      <c r="Z263" t="s">
        <v>433</v>
      </c>
    </row>
    <row r="264" spans="1:26" ht="24.95" hidden="1" customHeight="1" x14ac:dyDescent="0.4">
      <c r="A264" s="17" t="s">
        <v>46</v>
      </c>
      <c r="B264" s="15" t="s">
        <v>175</v>
      </c>
      <c r="C264" s="16" t="s">
        <v>24</v>
      </c>
      <c r="D264" s="16" t="s">
        <v>31</v>
      </c>
      <c r="E264" s="15" t="s">
        <v>35</v>
      </c>
      <c r="F264" s="15" t="s">
        <v>173</v>
      </c>
      <c r="N264" s="21" t="s">
        <v>96</v>
      </c>
      <c r="O264" s="21" t="s">
        <v>181</v>
      </c>
      <c r="Q264" s="21" t="s">
        <v>169</v>
      </c>
      <c r="R264" s="22">
        <v>45756</v>
      </c>
      <c r="W264">
        <f>COUNTIF(内藤証券!U:U,B264)</f>
        <v>0</v>
      </c>
      <c r="Z264" t="s">
        <v>433</v>
      </c>
    </row>
    <row r="265" spans="1:26" ht="24.95" hidden="1" customHeight="1" x14ac:dyDescent="0.4">
      <c r="A265" s="17" t="s">
        <v>46</v>
      </c>
      <c r="B265" s="15" t="s">
        <v>115</v>
      </c>
      <c r="C265" s="16" t="s">
        <v>31</v>
      </c>
      <c r="D265" s="16" t="s">
        <v>31</v>
      </c>
      <c r="E265" s="15" t="s">
        <v>32</v>
      </c>
      <c r="F265" s="15" t="s">
        <v>166</v>
      </c>
      <c r="N265" s="21" t="s">
        <v>96</v>
      </c>
      <c r="O265" s="21" t="s">
        <v>337</v>
      </c>
      <c r="Q265" s="21" t="s">
        <v>344</v>
      </c>
      <c r="R265" s="22">
        <v>45814</v>
      </c>
      <c r="W265">
        <f>COUNTIF(内藤証券!U:U,B265)</f>
        <v>0</v>
      </c>
    </row>
    <row r="266" spans="1:26" ht="24.95" hidden="1" customHeight="1" x14ac:dyDescent="0.4">
      <c r="A266" s="17" t="s">
        <v>46</v>
      </c>
      <c r="B266" s="15" t="s">
        <v>195</v>
      </c>
      <c r="C266" s="16" t="s">
        <v>24</v>
      </c>
      <c r="D266" s="16" t="s">
        <v>31</v>
      </c>
      <c r="E266" s="15" t="s">
        <v>35</v>
      </c>
      <c r="F266" s="15" t="s">
        <v>212</v>
      </c>
      <c r="N266" s="21" t="s">
        <v>96</v>
      </c>
      <c r="O266" s="13" t="s">
        <v>309</v>
      </c>
      <c r="Q266" s="21" t="s">
        <v>169</v>
      </c>
      <c r="R266" s="22">
        <v>45756</v>
      </c>
      <c r="W266">
        <f>COUNTIF(内藤証券!U:U,B266)</f>
        <v>0</v>
      </c>
      <c r="Z266" t="s">
        <v>433</v>
      </c>
    </row>
    <row r="267" spans="1:26" ht="24.95" hidden="1" customHeight="1" x14ac:dyDescent="0.4">
      <c r="A267" s="17" t="s">
        <v>46</v>
      </c>
      <c r="B267" s="15" t="s">
        <v>313</v>
      </c>
      <c r="C267" s="16" t="s">
        <v>24</v>
      </c>
      <c r="D267" s="16" t="s">
        <v>31</v>
      </c>
      <c r="E267" s="15" t="s">
        <v>35</v>
      </c>
      <c r="F267" s="15" t="s">
        <v>314</v>
      </c>
      <c r="N267" s="21" t="s">
        <v>96</v>
      </c>
      <c r="O267" s="21" t="s">
        <v>337</v>
      </c>
      <c r="Q267" s="21" t="s">
        <v>344</v>
      </c>
      <c r="R267" s="22">
        <v>45756</v>
      </c>
      <c r="W267">
        <f>COUNTIF(内藤証券!U:U,B267)</f>
        <v>0</v>
      </c>
    </row>
    <row r="268" spans="1:26" ht="24.95" hidden="1" customHeight="1" x14ac:dyDescent="0.4">
      <c r="A268" s="17" t="s">
        <v>46</v>
      </c>
      <c r="B268" s="15" t="s">
        <v>315</v>
      </c>
      <c r="C268" s="16" t="s">
        <v>24</v>
      </c>
      <c r="D268" s="16" t="s">
        <v>31</v>
      </c>
      <c r="E268" s="15" t="s">
        <v>35</v>
      </c>
      <c r="F268" s="15" t="s">
        <v>314</v>
      </c>
      <c r="N268" s="21" t="s">
        <v>96</v>
      </c>
      <c r="O268" s="21" t="s">
        <v>337</v>
      </c>
      <c r="Q268" s="21" t="s">
        <v>344</v>
      </c>
      <c r="R268" s="22">
        <v>45756</v>
      </c>
      <c r="W268">
        <f>COUNTIF(内藤証券!U:U,B268)</f>
        <v>0</v>
      </c>
    </row>
    <row r="269" spans="1:26" ht="24.95" hidden="1" customHeight="1" x14ac:dyDescent="0.4">
      <c r="A269" s="17" t="s">
        <v>46</v>
      </c>
      <c r="B269" s="15" t="s">
        <v>316</v>
      </c>
      <c r="C269" s="16" t="s">
        <v>24</v>
      </c>
      <c r="D269" s="16" t="s">
        <v>31</v>
      </c>
      <c r="E269" s="15" t="s">
        <v>35</v>
      </c>
      <c r="F269" s="15" t="s">
        <v>314</v>
      </c>
      <c r="N269" s="21" t="s">
        <v>96</v>
      </c>
      <c r="O269" s="21" t="s">
        <v>337</v>
      </c>
      <c r="Q269" s="21" t="s">
        <v>344</v>
      </c>
      <c r="R269" s="22">
        <v>45756</v>
      </c>
      <c r="W269">
        <f>COUNTIF(内藤証券!U:U,B269)</f>
        <v>0</v>
      </c>
    </row>
    <row r="270" spans="1:26" ht="24.95" hidden="1" customHeight="1" x14ac:dyDescent="0.4">
      <c r="A270" s="17" t="s">
        <v>46</v>
      </c>
      <c r="B270" s="15" t="s">
        <v>317</v>
      </c>
      <c r="C270" s="16" t="s">
        <v>24</v>
      </c>
      <c r="D270" s="16" t="s">
        <v>31</v>
      </c>
      <c r="E270" s="15" t="s">
        <v>35</v>
      </c>
      <c r="F270" s="15" t="s">
        <v>314</v>
      </c>
      <c r="N270" s="21" t="s">
        <v>96</v>
      </c>
      <c r="O270" s="21" t="s">
        <v>337</v>
      </c>
      <c r="Q270" s="21" t="s">
        <v>344</v>
      </c>
      <c r="R270" s="22">
        <v>45756</v>
      </c>
      <c r="W270">
        <f>COUNTIF(内藤証券!U:U,B270)</f>
        <v>0</v>
      </c>
    </row>
    <row r="271" spans="1:26" ht="24.95" hidden="1" customHeight="1" x14ac:dyDescent="0.4">
      <c r="A271" s="17" t="s">
        <v>46</v>
      </c>
      <c r="B271" s="15" t="s">
        <v>185</v>
      </c>
      <c r="C271" s="16" t="s">
        <v>24</v>
      </c>
      <c r="D271" s="16" t="s">
        <v>31</v>
      </c>
      <c r="E271" s="15" t="s">
        <v>35</v>
      </c>
      <c r="F271" s="15" t="s">
        <v>184</v>
      </c>
      <c r="N271" s="21" t="s">
        <v>96</v>
      </c>
      <c r="O271" s="21" t="s">
        <v>210</v>
      </c>
      <c r="Q271" s="21" t="s">
        <v>169</v>
      </c>
      <c r="R271" s="22">
        <v>45756</v>
      </c>
      <c r="W271">
        <f>COUNTIF(内藤証券!U:U,B271)</f>
        <v>0</v>
      </c>
      <c r="Z271" t="s">
        <v>433</v>
      </c>
    </row>
    <row r="272" spans="1:26" ht="24.95" hidden="1" customHeight="1" x14ac:dyDescent="0.4">
      <c r="A272" s="17" t="s">
        <v>46</v>
      </c>
      <c r="B272" s="15" t="s">
        <v>186</v>
      </c>
      <c r="C272" s="16" t="s">
        <v>31</v>
      </c>
      <c r="D272" s="16" t="s">
        <v>31</v>
      </c>
      <c r="E272" s="15" t="s">
        <v>32</v>
      </c>
      <c r="F272" s="15" t="s">
        <v>184</v>
      </c>
      <c r="N272" s="21" t="s">
        <v>96</v>
      </c>
      <c r="O272" s="21" t="s">
        <v>210</v>
      </c>
      <c r="Q272" s="21" t="s">
        <v>169</v>
      </c>
      <c r="R272" s="22">
        <v>45756</v>
      </c>
      <c r="W272">
        <f>COUNTIF(内藤証券!U:U,B272)</f>
        <v>0</v>
      </c>
      <c r="Z272" t="s">
        <v>433</v>
      </c>
    </row>
    <row r="273" spans="1:26" ht="24.95" hidden="1" customHeight="1" x14ac:dyDescent="0.4">
      <c r="A273" s="17" t="s">
        <v>46</v>
      </c>
      <c r="B273" s="15" t="s">
        <v>187</v>
      </c>
      <c r="C273" s="16" t="s">
        <v>31</v>
      </c>
      <c r="D273" s="16" t="s">
        <v>31</v>
      </c>
      <c r="E273" s="15" t="s">
        <v>32</v>
      </c>
      <c r="F273" s="15" t="s">
        <v>184</v>
      </c>
      <c r="N273" s="21" t="s">
        <v>96</v>
      </c>
      <c r="O273" s="21" t="s">
        <v>210</v>
      </c>
      <c r="Q273" s="21" t="s">
        <v>169</v>
      </c>
      <c r="R273" s="22">
        <v>45756</v>
      </c>
      <c r="W273">
        <f>COUNTIF(内藤証券!U:U,B273)</f>
        <v>0</v>
      </c>
      <c r="Z273" t="s">
        <v>433</v>
      </c>
    </row>
    <row r="274" spans="1:26" ht="24.95" hidden="1" customHeight="1" x14ac:dyDescent="0.4">
      <c r="A274" s="17" t="s">
        <v>46</v>
      </c>
      <c r="B274" s="15" t="s">
        <v>188</v>
      </c>
      <c r="C274" s="16" t="s">
        <v>31</v>
      </c>
      <c r="D274" s="16" t="s">
        <v>31</v>
      </c>
      <c r="E274" s="15" t="s">
        <v>32</v>
      </c>
      <c r="F274" s="15" t="s">
        <v>184</v>
      </c>
      <c r="N274" s="21" t="s">
        <v>96</v>
      </c>
      <c r="O274" s="21" t="s">
        <v>210</v>
      </c>
      <c r="Q274" s="21" t="s">
        <v>169</v>
      </c>
      <c r="R274" s="22">
        <v>45756</v>
      </c>
      <c r="W274">
        <f>COUNTIF(内藤証券!U:U,B274)</f>
        <v>0</v>
      </c>
      <c r="Z274" t="s">
        <v>433</v>
      </c>
    </row>
    <row r="275" spans="1:26" ht="24.95" hidden="1" customHeight="1" x14ac:dyDescent="0.4">
      <c r="A275" s="17" t="s">
        <v>46</v>
      </c>
      <c r="B275" s="15" t="s">
        <v>189</v>
      </c>
      <c r="C275" s="16" t="s">
        <v>31</v>
      </c>
      <c r="D275" s="16" t="s">
        <v>31</v>
      </c>
      <c r="E275" s="15" t="s">
        <v>32</v>
      </c>
      <c r="F275" s="15" t="s">
        <v>184</v>
      </c>
      <c r="N275" s="21" t="s">
        <v>96</v>
      </c>
      <c r="O275" s="21" t="s">
        <v>210</v>
      </c>
      <c r="Q275" s="21" t="s">
        <v>169</v>
      </c>
      <c r="R275" s="22">
        <v>45756</v>
      </c>
      <c r="W275">
        <f>COUNTIF(内藤証券!U:U,B275)</f>
        <v>0</v>
      </c>
      <c r="Z275" t="s">
        <v>433</v>
      </c>
    </row>
    <row r="276" spans="1:26" ht="24.95" hidden="1" customHeight="1" x14ac:dyDescent="0.4">
      <c r="A276" s="17" t="s">
        <v>46</v>
      </c>
      <c r="B276" s="15" t="s">
        <v>190</v>
      </c>
      <c r="C276" s="16" t="s">
        <v>31</v>
      </c>
      <c r="D276" s="16" t="s">
        <v>31</v>
      </c>
      <c r="E276" s="15" t="s">
        <v>32</v>
      </c>
      <c r="F276" s="15" t="s">
        <v>184</v>
      </c>
      <c r="N276" s="21" t="s">
        <v>96</v>
      </c>
      <c r="O276" s="21" t="s">
        <v>210</v>
      </c>
      <c r="Q276" s="21" t="s">
        <v>169</v>
      </c>
      <c r="R276" s="22">
        <v>45756</v>
      </c>
      <c r="W276">
        <f>COUNTIF(内藤証券!U:U,B276)</f>
        <v>0</v>
      </c>
      <c r="Z276" t="s">
        <v>433</v>
      </c>
    </row>
    <row r="277" spans="1:26" ht="24.95" hidden="1" customHeight="1" x14ac:dyDescent="0.4">
      <c r="A277" s="17" t="s">
        <v>46</v>
      </c>
      <c r="B277" s="15" t="s">
        <v>364</v>
      </c>
      <c r="C277" s="16" t="s">
        <v>24</v>
      </c>
      <c r="D277" s="16" t="s">
        <v>31</v>
      </c>
      <c r="E277" s="15" t="s">
        <v>35</v>
      </c>
      <c r="F277" s="15" t="s">
        <v>365</v>
      </c>
      <c r="N277" s="21" t="s">
        <v>96</v>
      </c>
      <c r="O277" s="21" t="s">
        <v>372</v>
      </c>
      <c r="Q277" s="21" t="s">
        <v>344</v>
      </c>
      <c r="R277" s="22">
        <v>45883</v>
      </c>
      <c r="W277">
        <f>COUNTIF(内藤証券!U:U,B277)</f>
        <v>0</v>
      </c>
      <c r="Z277" t="s">
        <v>433</v>
      </c>
    </row>
    <row r="278" spans="1:26" ht="24.95" hidden="1" customHeight="1" x14ac:dyDescent="0.4">
      <c r="A278" s="17" t="s">
        <v>46</v>
      </c>
      <c r="B278" s="15" t="s">
        <v>116</v>
      </c>
      <c r="C278" s="16" t="s">
        <v>31</v>
      </c>
      <c r="D278" s="16" t="s">
        <v>31</v>
      </c>
      <c r="E278" s="15" t="s">
        <v>32</v>
      </c>
      <c r="F278" s="15" t="s">
        <v>212</v>
      </c>
      <c r="N278" s="21" t="s">
        <v>96</v>
      </c>
      <c r="O278" s="21" t="s">
        <v>209</v>
      </c>
      <c r="Q278" s="21" t="s">
        <v>169</v>
      </c>
      <c r="R278" s="22">
        <v>45756</v>
      </c>
      <c r="W278">
        <f>COUNTIF(内藤証券!U:U,B278)</f>
        <v>0</v>
      </c>
      <c r="Z278" t="s">
        <v>433</v>
      </c>
    </row>
    <row r="279" spans="1:26" ht="24.95" hidden="1" customHeight="1" x14ac:dyDescent="0.4">
      <c r="A279" s="17" t="s">
        <v>46</v>
      </c>
      <c r="B279" s="15" t="s">
        <v>355</v>
      </c>
      <c r="C279" s="16" t="s">
        <v>31</v>
      </c>
      <c r="D279" s="16" t="s">
        <v>31</v>
      </c>
      <c r="E279" s="15" t="s">
        <v>32</v>
      </c>
      <c r="F279" s="15" t="s">
        <v>356</v>
      </c>
      <c r="N279" s="21" t="s">
        <v>96</v>
      </c>
      <c r="O279" s="21" t="s">
        <v>360</v>
      </c>
      <c r="Q279" s="21" t="s">
        <v>344</v>
      </c>
      <c r="R279" s="22">
        <v>45847</v>
      </c>
      <c r="W279">
        <f>COUNTIF(内藤証券!U:U,B279)</f>
        <v>1</v>
      </c>
      <c r="Z279" t="s">
        <v>433</v>
      </c>
    </row>
    <row r="280" spans="1:26" ht="24.95" hidden="1" customHeight="1" x14ac:dyDescent="0.4">
      <c r="A280" s="17" t="s">
        <v>46</v>
      </c>
      <c r="B280" s="15" t="s">
        <v>124</v>
      </c>
      <c r="C280" s="16" t="s">
        <v>31</v>
      </c>
      <c r="D280" s="16" t="s">
        <v>31</v>
      </c>
      <c r="E280" s="15" t="s">
        <v>32</v>
      </c>
      <c r="F280" s="15" t="s">
        <v>184</v>
      </c>
      <c r="N280" s="21" t="s">
        <v>96</v>
      </c>
      <c r="O280" s="13" t="s">
        <v>308</v>
      </c>
      <c r="Q280" s="21" t="s">
        <v>169</v>
      </c>
      <c r="R280" s="22">
        <v>45756</v>
      </c>
      <c r="W280">
        <f>COUNTIF(内藤証券!U:U,B280)</f>
        <v>0</v>
      </c>
      <c r="Z280" t="s">
        <v>433</v>
      </c>
    </row>
    <row r="281" spans="1:26" ht="24.95" hidden="1" customHeight="1" x14ac:dyDescent="0.4">
      <c r="A281" s="17" t="s">
        <v>46</v>
      </c>
      <c r="B281" s="15" t="s">
        <v>171</v>
      </c>
      <c r="C281" s="16" t="s">
        <v>31</v>
      </c>
      <c r="D281" s="16" t="s">
        <v>31</v>
      </c>
      <c r="E281" s="15" t="s">
        <v>32</v>
      </c>
      <c r="F281" s="15" t="s">
        <v>314</v>
      </c>
      <c r="N281" s="21" t="s">
        <v>96</v>
      </c>
      <c r="O281" s="21" t="s">
        <v>336</v>
      </c>
      <c r="Q281" s="21" t="s">
        <v>344</v>
      </c>
      <c r="R281" s="22">
        <v>45756</v>
      </c>
      <c r="W281">
        <f>COUNTIF(内藤証券!U:U,B281)</f>
        <v>0</v>
      </c>
    </row>
    <row r="282" spans="1:26" ht="24.95" hidden="1" customHeight="1" x14ac:dyDescent="0.4">
      <c r="A282" s="17" t="s">
        <v>46</v>
      </c>
      <c r="B282" s="15" t="s">
        <v>123</v>
      </c>
      <c r="C282" s="16" t="s">
        <v>31</v>
      </c>
      <c r="D282" s="16" t="s">
        <v>31</v>
      </c>
      <c r="E282" s="15" t="s">
        <v>32</v>
      </c>
      <c r="F282" s="15" t="s">
        <v>170</v>
      </c>
      <c r="N282" s="21" t="s">
        <v>96</v>
      </c>
      <c r="O282" s="21" t="s">
        <v>337</v>
      </c>
      <c r="Q282" s="21" t="s">
        <v>344</v>
      </c>
      <c r="R282" s="22">
        <v>45814</v>
      </c>
      <c r="W282">
        <f>COUNTIF(内藤証券!U:U,B282)</f>
        <v>0</v>
      </c>
    </row>
    <row r="283" spans="1:26" ht="24.95" hidden="1" customHeight="1" x14ac:dyDescent="0.4">
      <c r="A283" s="17" t="s">
        <v>46</v>
      </c>
      <c r="B283" s="15" t="s">
        <v>196</v>
      </c>
      <c r="C283" s="16" t="s">
        <v>31</v>
      </c>
      <c r="D283" s="16" t="s">
        <v>31</v>
      </c>
      <c r="E283" s="15" t="s">
        <v>32</v>
      </c>
      <c r="F283" s="15" t="s">
        <v>212</v>
      </c>
      <c r="N283" s="21" t="s">
        <v>96</v>
      </c>
      <c r="O283" s="21" t="s">
        <v>209</v>
      </c>
      <c r="Q283" s="21" t="s">
        <v>169</v>
      </c>
      <c r="R283" s="22">
        <v>45756</v>
      </c>
      <c r="W283">
        <f>COUNTIF(内藤証券!U:U,B283)</f>
        <v>0</v>
      </c>
      <c r="Z283" t="s">
        <v>433</v>
      </c>
    </row>
    <row r="284" spans="1:26" ht="24.95" hidden="1" customHeight="1" x14ac:dyDescent="0.4">
      <c r="A284" s="17" t="s">
        <v>46</v>
      </c>
      <c r="B284" s="15" t="s">
        <v>37</v>
      </c>
      <c r="C284" s="16" t="s">
        <v>31</v>
      </c>
      <c r="D284" s="16" t="s">
        <v>31</v>
      </c>
      <c r="E284" s="15" t="s">
        <v>32</v>
      </c>
      <c r="F284" s="15" t="s">
        <v>212</v>
      </c>
      <c r="N284" s="21" t="s">
        <v>96</v>
      </c>
      <c r="O284" s="13" t="s">
        <v>349</v>
      </c>
      <c r="Q284" s="21" t="s">
        <v>344</v>
      </c>
      <c r="R284" s="22">
        <v>45814</v>
      </c>
      <c r="W284">
        <f>COUNTIF(内藤証券!U:U,B284)</f>
        <v>1</v>
      </c>
      <c r="Z284" t="s">
        <v>432</v>
      </c>
    </row>
    <row r="285" spans="1:26" ht="24.95" hidden="1" customHeight="1" x14ac:dyDescent="0.4">
      <c r="A285" s="17" t="s">
        <v>46</v>
      </c>
      <c r="B285" s="15" t="s">
        <v>225</v>
      </c>
      <c r="C285" s="16" t="s">
        <v>31</v>
      </c>
      <c r="D285" s="16" t="s">
        <v>31</v>
      </c>
      <c r="E285" s="15" t="s">
        <v>32</v>
      </c>
      <c r="F285" s="15" t="s">
        <v>314</v>
      </c>
      <c r="N285" s="21" t="s">
        <v>96</v>
      </c>
      <c r="O285" s="21" t="s">
        <v>336</v>
      </c>
      <c r="Q285" s="21" t="s">
        <v>344</v>
      </c>
      <c r="R285" s="22">
        <v>45756</v>
      </c>
      <c r="W285">
        <f>COUNTIF(内藤証券!U:U,B285)</f>
        <v>0</v>
      </c>
    </row>
    <row r="286" spans="1:26" ht="24.95" hidden="1" customHeight="1" x14ac:dyDescent="0.4">
      <c r="A286" s="17" t="s">
        <v>46</v>
      </c>
      <c r="B286" s="15" t="s">
        <v>117</v>
      </c>
      <c r="C286" s="16" t="s">
        <v>31</v>
      </c>
      <c r="D286" s="16" t="s">
        <v>31</v>
      </c>
      <c r="E286" s="15" t="s">
        <v>32</v>
      </c>
      <c r="F286" s="15" t="s">
        <v>212</v>
      </c>
      <c r="N286" s="21" t="s">
        <v>96</v>
      </c>
      <c r="O286" s="21" t="s">
        <v>209</v>
      </c>
      <c r="Q286" s="21" t="s">
        <v>169</v>
      </c>
      <c r="R286" s="22">
        <v>45756</v>
      </c>
      <c r="W286">
        <f>COUNTIF(内藤証券!U:U,B286)</f>
        <v>0</v>
      </c>
      <c r="Z286" t="s">
        <v>433</v>
      </c>
    </row>
    <row r="287" spans="1:26" ht="24.95" hidden="1" customHeight="1" x14ac:dyDescent="0.4">
      <c r="A287" s="17" t="s">
        <v>46</v>
      </c>
      <c r="B287" s="15" t="s">
        <v>126</v>
      </c>
      <c r="C287" s="16" t="s">
        <v>31</v>
      </c>
      <c r="D287" s="16" t="s">
        <v>31</v>
      </c>
      <c r="E287" s="15" t="s">
        <v>32</v>
      </c>
      <c r="F287" s="15" t="s">
        <v>212</v>
      </c>
      <c r="N287" s="21" t="s">
        <v>96</v>
      </c>
      <c r="O287" s="21" t="s">
        <v>209</v>
      </c>
      <c r="Q287" s="21" t="s">
        <v>169</v>
      </c>
      <c r="R287" s="22">
        <v>45756</v>
      </c>
      <c r="W287">
        <f>COUNTIF(内藤証券!U:U,B287)</f>
        <v>0</v>
      </c>
    </row>
    <row r="288" spans="1:26" ht="24.95" hidden="1" customHeight="1" x14ac:dyDescent="0.4">
      <c r="A288" s="17" t="s">
        <v>46</v>
      </c>
      <c r="B288" s="15" t="s">
        <v>226</v>
      </c>
      <c r="C288" s="16" t="s">
        <v>31</v>
      </c>
      <c r="D288" s="16" t="s">
        <v>31</v>
      </c>
      <c r="E288" s="15" t="s">
        <v>32</v>
      </c>
      <c r="F288" s="15" t="s">
        <v>314</v>
      </c>
      <c r="N288" s="21" t="s">
        <v>96</v>
      </c>
      <c r="O288" s="21" t="s">
        <v>336</v>
      </c>
      <c r="Q288" s="21" t="s">
        <v>344</v>
      </c>
      <c r="R288" s="22">
        <v>45756</v>
      </c>
      <c r="W288">
        <f>COUNTIF(内藤証券!U:U,B288)</f>
        <v>0</v>
      </c>
    </row>
    <row r="289" spans="1:26" ht="24.95" hidden="1" customHeight="1" x14ac:dyDescent="0.4">
      <c r="A289" s="17" t="s">
        <v>46</v>
      </c>
      <c r="B289" s="15" t="s">
        <v>318</v>
      </c>
      <c r="C289" s="16" t="s">
        <v>31</v>
      </c>
      <c r="D289" s="16" t="s">
        <v>31</v>
      </c>
      <c r="E289" s="15" t="s">
        <v>32</v>
      </c>
      <c r="F289" s="15" t="s">
        <v>314</v>
      </c>
      <c r="N289" s="21" t="s">
        <v>96</v>
      </c>
      <c r="O289" s="21" t="s">
        <v>337</v>
      </c>
      <c r="Q289" s="21" t="s">
        <v>344</v>
      </c>
      <c r="R289" s="22">
        <v>45756</v>
      </c>
      <c r="W289">
        <f>COUNTIF(内藤証券!U:U,B289)</f>
        <v>0</v>
      </c>
    </row>
    <row r="290" spans="1:26" ht="24.95" hidden="1" customHeight="1" x14ac:dyDescent="0.4">
      <c r="A290" s="17" t="s">
        <v>46</v>
      </c>
      <c r="B290" s="15" t="s">
        <v>118</v>
      </c>
      <c r="C290" s="16" t="s">
        <v>31</v>
      </c>
      <c r="D290" s="16" t="s">
        <v>31</v>
      </c>
      <c r="E290" s="15" t="s">
        <v>32</v>
      </c>
      <c r="F290" s="15" t="s">
        <v>314</v>
      </c>
      <c r="N290" s="21" t="s">
        <v>96</v>
      </c>
      <c r="O290" s="21" t="s">
        <v>337</v>
      </c>
      <c r="Q290" s="21" t="s">
        <v>344</v>
      </c>
      <c r="R290" s="22">
        <v>45756</v>
      </c>
      <c r="W290">
        <f>COUNTIF(内藤証券!U:U,B290)</f>
        <v>0</v>
      </c>
    </row>
    <row r="291" spans="1:26" ht="24.95" hidden="1" customHeight="1" x14ac:dyDescent="0.4">
      <c r="A291" s="17" t="s">
        <v>46</v>
      </c>
      <c r="B291" s="15" t="s">
        <v>131</v>
      </c>
      <c r="C291" s="16" t="s">
        <v>31</v>
      </c>
      <c r="D291" s="16" t="s">
        <v>31</v>
      </c>
      <c r="E291" s="15" t="s">
        <v>32</v>
      </c>
      <c r="F291" s="15" t="s">
        <v>184</v>
      </c>
      <c r="N291" s="21" t="s">
        <v>96</v>
      </c>
      <c r="O291" s="21" t="s">
        <v>211</v>
      </c>
      <c r="Q291" s="21" t="s">
        <v>169</v>
      </c>
      <c r="R291" s="22">
        <v>45756</v>
      </c>
      <c r="W291">
        <f>COUNTIF(内藤証券!U:U,B291)</f>
        <v>0</v>
      </c>
      <c r="Z291" t="s">
        <v>433</v>
      </c>
    </row>
    <row r="292" spans="1:26" ht="24.95" hidden="1" customHeight="1" x14ac:dyDescent="0.4">
      <c r="A292" s="17" t="s">
        <v>46</v>
      </c>
      <c r="B292" s="15" t="s">
        <v>319</v>
      </c>
      <c r="C292" s="16" t="s">
        <v>31</v>
      </c>
      <c r="D292" s="16" t="s">
        <v>31</v>
      </c>
      <c r="E292" s="15" t="s">
        <v>32</v>
      </c>
      <c r="F292" s="15" t="s">
        <v>314</v>
      </c>
      <c r="N292" s="21" t="s">
        <v>96</v>
      </c>
      <c r="O292" s="21" t="s">
        <v>337</v>
      </c>
      <c r="Q292" s="21" t="s">
        <v>344</v>
      </c>
      <c r="R292" s="22">
        <v>45756</v>
      </c>
      <c r="W292">
        <f>COUNTIF(内藤証券!U:U,B292)</f>
        <v>0</v>
      </c>
    </row>
    <row r="293" spans="1:26" ht="24.95" hidden="1" customHeight="1" x14ac:dyDescent="0.4">
      <c r="A293" s="17" t="s">
        <v>46</v>
      </c>
      <c r="B293" s="15" t="s">
        <v>227</v>
      </c>
      <c r="C293" s="16" t="s">
        <v>31</v>
      </c>
      <c r="D293" s="16" t="s">
        <v>31</v>
      </c>
      <c r="E293" s="15" t="s">
        <v>32</v>
      </c>
      <c r="F293" s="15" t="s">
        <v>314</v>
      </c>
      <c r="N293" s="21" t="s">
        <v>96</v>
      </c>
      <c r="O293" s="21" t="s">
        <v>336</v>
      </c>
      <c r="Q293" s="21" t="s">
        <v>344</v>
      </c>
      <c r="R293" s="22">
        <v>45756</v>
      </c>
      <c r="W293">
        <f>COUNTIF(内藤証券!U:U,B293)</f>
        <v>0</v>
      </c>
    </row>
    <row r="294" spans="1:26" ht="24.95" hidden="1" customHeight="1" x14ac:dyDescent="0.4">
      <c r="A294" s="17" t="s">
        <v>46</v>
      </c>
      <c r="B294" s="15" t="s">
        <v>228</v>
      </c>
      <c r="C294" s="16" t="s">
        <v>31</v>
      </c>
      <c r="D294" s="16" t="s">
        <v>31</v>
      </c>
      <c r="E294" s="15" t="s">
        <v>32</v>
      </c>
      <c r="F294" s="15" t="s">
        <v>314</v>
      </c>
      <c r="N294" s="21" t="s">
        <v>96</v>
      </c>
      <c r="O294" s="21" t="s">
        <v>336</v>
      </c>
      <c r="Q294" s="21" t="s">
        <v>344</v>
      </c>
      <c r="R294" s="22">
        <v>45756</v>
      </c>
      <c r="W294">
        <f>COUNTIF(内藤証券!U:U,B294)</f>
        <v>0</v>
      </c>
    </row>
    <row r="295" spans="1:26" ht="24.95" hidden="1" customHeight="1" x14ac:dyDescent="0.4">
      <c r="A295" s="17" t="s">
        <v>46</v>
      </c>
      <c r="B295" s="15" t="s">
        <v>229</v>
      </c>
      <c r="C295" s="16" t="s">
        <v>31</v>
      </c>
      <c r="D295" s="16" t="s">
        <v>31</v>
      </c>
      <c r="E295" s="15" t="s">
        <v>32</v>
      </c>
      <c r="F295" s="15" t="s">
        <v>314</v>
      </c>
      <c r="N295" s="21" t="s">
        <v>96</v>
      </c>
      <c r="O295" s="21" t="s">
        <v>336</v>
      </c>
      <c r="Q295" s="21" t="s">
        <v>344</v>
      </c>
      <c r="R295" s="22">
        <v>45756</v>
      </c>
      <c r="W295">
        <f>COUNTIF(内藤証券!U:U,B295)</f>
        <v>0</v>
      </c>
    </row>
    <row r="296" spans="1:26" ht="24.95" hidden="1" customHeight="1" x14ac:dyDescent="0.4">
      <c r="A296" s="17" t="s">
        <v>46</v>
      </c>
      <c r="B296" s="15" t="s">
        <v>191</v>
      </c>
      <c r="C296" s="16" t="s">
        <v>31</v>
      </c>
      <c r="D296" s="16" t="s">
        <v>31</v>
      </c>
      <c r="E296" s="15" t="s">
        <v>32</v>
      </c>
      <c r="F296" s="15" t="s">
        <v>184</v>
      </c>
      <c r="N296" s="21" t="s">
        <v>96</v>
      </c>
      <c r="O296" s="21" t="s">
        <v>210</v>
      </c>
      <c r="Q296" s="21" t="s">
        <v>169</v>
      </c>
      <c r="R296" s="22">
        <v>45756</v>
      </c>
      <c r="W296">
        <f>COUNTIF(内藤証券!U:U,B296)</f>
        <v>0</v>
      </c>
      <c r="Z296" t="s">
        <v>433</v>
      </c>
    </row>
    <row r="297" spans="1:26" ht="24.95" hidden="1" customHeight="1" x14ac:dyDescent="0.4">
      <c r="A297" s="17" t="s">
        <v>46</v>
      </c>
      <c r="B297" s="15" t="s">
        <v>230</v>
      </c>
      <c r="C297" s="16" t="s">
        <v>31</v>
      </c>
      <c r="D297" s="16" t="s">
        <v>31</v>
      </c>
      <c r="E297" s="15" t="s">
        <v>32</v>
      </c>
      <c r="F297" s="15" t="s">
        <v>314</v>
      </c>
      <c r="N297" s="21" t="s">
        <v>96</v>
      </c>
      <c r="O297" s="21" t="s">
        <v>336</v>
      </c>
      <c r="Q297" s="21" t="s">
        <v>344</v>
      </c>
      <c r="R297" s="22">
        <v>45756</v>
      </c>
      <c r="W297">
        <f>COUNTIF(内藤証券!U:U,B297)</f>
        <v>0</v>
      </c>
    </row>
    <row r="298" spans="1:26" ht="24.95" hidden="1" customHeight="1" x14ac:dyDescent="0.4">
      <c r="A298" s="17" t="s">
        <v>46</v>
      </c>
      <c r="B298" s="15" t="s">
        <v>231</v>
      </c>
      <c r="C298" s="16" t="s">
        <v>31</v>
      </c>
      <c r="D298" s="16" t="s">
        <v>31</v>
      </c>
      <c r="E298" s="15" t="s">
        <v>32</v>
      </c>
      <c r="F298" s="15" t="s">
        <v>314</v>
      </c>
      <c r="N298" s="21" t="s">
        <v>96</v>
      </c>
      <c r="O298" s="21" t="s">
        <v>336</v>
      </c>
      <c r="Q298" s="21" t="s">
        <v>344</v>
      </c>
      <c r="R298" s="22">
        <v>45756</v>
      </c>
      <c r="W298">
        <f>COUNTIF(内藤証券!U:U,B298)</f>
        <v>0</v>
      </c>
    </row>
    <row r="299" spans="1:26" ht="24.95" hidden="1" customHeight="1" x14ac:dyDescent="0.4">
      <c r="A299" s="17" t="s">
        <v>46</v>
      </c>
      <c r="B299" s="15" t="s">
        <v>232</v>
      </c>
      <c r="C299" s="16" t="s">
        <v>31</v>
      </c>
      <c r="D299" s="16" t="s">
        <v>31</v>
      </c>
      <c r="E299" s="15" t="s">
        <v>32</v>
      </c>
      <c r="F299" s="15" t="s">
        <v>314</v>
      </c>
      <c r="N299" s="21" t="s">
        <v>96</v>
      </c>
      <c r="O299" s="21" t="s">
        <v>336</v>
      </c>
      <c r="Q299" s="21" t="s">
        <v>344</v>
      </c>
      <c r="R299" s="22">
        <v>45756</v>
      </c>
      <c r="W299">
        <f>COUNTIF(内藤証券!U:U,B299)</f>
        <v>0</v>
      </c>
    </row>
    <row r="300" spans="1:26" ht="24.95" hidden="1" customHeight="1" x14ac:dyDescent="0.4">
      <c r="A300" s="17" t="s">
        <v>46</v>
      </c>
      <c r="B300" s="15" t="s">
        <v>233</v>
      </c>
      <c r="C300" s="16" t="s">
        <v>31</v>
      </c>
      <c r="D300" s="16" t="s">
        <v>31</v>
      </c>
      <c r="E300" s="15" t="s">
        <v>32</v>
      </c>
      <c r="F300" s="15" t="s">
        <v>314</v>
      </c>
      <c r="N300" s="21" t="s">
        <v>96</v>
      </c>
      <c r="O300" s="21" t="s">
        <v>336</v>
      </c>
      <c r="Q300" s="21" t="s">
        <v>344</v>
      </c>
      <c r="R300" s="22">
        <v>45756</v>
      </c>
      <c r="W300">
        <f>COUNTIF(内藤証券!U:U,B300)</f>
        <v>0</v>
      </c>
    </row>
    <row r="301" spans="1:26" ht="24.95" hidden="1" customHeight="1" x14ac:dyDescent="0.4">
      <c r="A301" s="17" t="s">
        <v>46</v>
      </c>
      <c r="B301" s="15" t="s">
        <v>234</v>
      </c>
      <c r="C301" s="16" t="s">
        <v>31</v>
      </c>
      <c r="D301" s="16" t="s">
        <v>31</v>
      </c>
      <c r="E301" s="15" t="s">
        <v>32</v>
      </c>
      <c r="F301" s="15" t="s">
        <v>314</v>
      </c>
      <c r="N301" s="21" t="s">
        <v>96</v>
      </c>
      <c r="O301" s="21" t="s">
        <v>336</v>
      </c>
      <c r="Q301" s="21" t="s">
        <v>344</v>
      </c>
      <c r="R301" s="22">
        <v>45756</v>
      </c>
      <c r="W301">
        <f>COUNTIF(内藤証券!U:U,B301)</f>
        <v>0</v>
      </c>
    </row>
    <row r="302" spans="1:26" ht="24.95" hidden="1" customHeight="1" x14ac:dyDescent="0.4">
      <c r="A302" s="17" t="s">
        <v>46</v>
      </c>
      <c r="B302" s="15" t="s">
        <v>235</v>
      </c>
      <c r="C302" s="16" t="s">
        <v>31</v>
      </c>
      <c r="D302" s="16" t="s">
        <v>31</v>
      </c>
      <c r="E302" s="15" t="s">
        <v>32</v>
      </c>
      <c r="F302" s="15" t="s">
        <v>314</v>
      </c>
      <c r="N302" s="21" t="s">
        <v>96</v>
      </c>
      <c r="O302" s="21" t="s">
        <v>336</v>
      </c>
      <c r="Q302" s="21" t="s">
        <v>344</v>
      </c>
      <c r="R302" s="22">
        <v>45756</v>
      </c>
      <c r="W302">
        <f>COUNTIF(内藤証券!U:U,B302)</f>
        <v>0</v>
      </c>
    </row>
    <row r="303" spans="1:26" ht="24.95" hidden="1" customHeight="1" x14ac:dyDescent="0.4">
      <c r="A303" s="17" t="s">
        <v>46</v>
      </c>
      <c r="B303" s="15" t="s">
        <v>236</v>
      </c>
      <c r="C303" s="16" t="s">
        <v>31</v>
      </c>
      <c r="D303" s="16" t="s">
        <v>31</v>
      </c>
      <c r="E303" s="15" t="s">
        <v>32</v>
      </c>
      <c r="F303" s="15" t="s">
        <v>314</v>
      </c>
      <c r="N303" s="21" t="s">
        <v>96</v>
      </c>
      <c r="O303" s="21" t="s">
        <v>336</v>
      </c>
      <c r="Q303" s="21" t="s">
        <v>344</v>
      </c>
      <c r="R303" s="22">
        <v>45756</v>
      </c>
      <c r="W303">
        <f>COUNTIF(内藤証券!U:U,B303)</f>
        <v>0</v>
      </c>
    </row>
    <row r="304" spans="1:26" ht="24.95" hidden="1" customHeight="1" x14ac:dyDescent="0.4">
      <c r="A304" s="17" t="s">
        <v>46</v>
      </c>
      <c r="B304" s="15" t="s">
        <v>237</v>
      </c>
      <c r="C304" s="16" t="s">
        <v>31</v>
      </c>
      <c r="D304" s="16" t="s">
        <v>31</v>
      </c>
      <c r="E304" s="15" t="s">
        <v>32</v>
      </c>
      <c r="F304" s="15" t="s">
        <v>314</v>
      </c>
      <c r="N304" s="21" t="s">
        <v>96</v>
      </c>
      <c r="O304" s="21" t="s">
        <v>336</v>
      </c>
      <c r="Q304" s="21" t="s">
        <v>344</v>
      </c>
      <c r="R304" s="22">
        <v>45756</v>
      </c>
      <c r="W304">
        <f>COUNTIF(内藤証券!U:U,B304)</f>
        <v>0</v>
      </c>
    </row>
    <row r="305" spans="1:26" ht="24.95" hidden="1" customHeight="1" x14ac:dyDescent="0.4">
      <c r="A305" s="17" t="s">
        <v>46</v>
      </c>
      <c r="B305" s="15" t="s">
        <v>176</v>
      </c>
      <c r="C305" s="16" t="s">
        <v>24</v>
      </c>
      <c r="D305" s="16" t="s">
        <v>31</v>
      </c>
      <c r="E305" s="15" t="s">
        <v>35</v>
      </c>
      <c r="F305" s="15" t="s">
        <v>173</v>
      </c>
      <c r="N305" s="21" t="s">
        <v>96</v>
      </c>
      <c r="O305" s="21" t="s">
        <v>181</v>
      </c>
      <c r="Q305" s="21" t="s">
        <v>169</v>
      </c>
      <c r="R305" s="22">
        <v>45756</v>
      </c>
      <c r="W305">
        <f>COUNTIF(内藤証券!U:U,B305)</f>
        <v>0</v>
      </c>
      <c r="Z305" t="s">
        <v>433</v>
      </c>
    </row>
    <row r="306" spans="1:26" ht="24.95" hidden="1" customHeight="1" x14ac:dyDescent="0.4">
      <c r="A306" s="17" t="s">
        <v>46</v>
      </c>
      <c r="B306" s="15" t="s">
        <v>177</v>
      </c>
      <c r="C306" s="16" t="s">
        <v>24</v>
      </c>
      <c r="D306" s="16" t="s">
        <v>31</v>
      </c>
      <c r="E306" s="15" t="s">
        <v>35</v>
      </c>
      <c r="F306" s="15" t="s">
        <v>173</v>
      </c>
      <c r="N306" s="21" t="s">
        <v>96</v>
      </c>
      <c r="O306" s="21" t="s">
        <v>181</v>
      </c>
      <c r="Q306" s="21" t="s">
        <v>169</v>
      </c>
      <c r="R306" s="22">
        <v>45756</v>
      </c>
      <c r="W306">
        <f>COUNTIF(内藤証券!U:U,B306)</f>
        <v>0</v>
      </c>
      <c r="Z306" t="s">
        <v>433</v>
      </c>
    </row>
    <row r="307" spans="1:26" ht="24.95" hidden="1" customHeight="1" x14ac:dyDescent="0.4">
      <c r="A307" s="17" t="s">
        <v>46</v>
      </c>
      <c r="B307" s="15" t="s">
        <v>346</v>
      </c>
      <c r="C307" s="16" t="s">
        <v>31</v>
      </c>
      <c r="D307" s="16" t="s">
        <v>31</v>
      </c>
      <c r="E307" s="15" t="s">
        <v>32</v>
      </c>
      <c r="F307" s="15" t="s">
        <v>356</v>
      </c>
      <c r="N307" s="21" t="s">
        <v>96</v>
      </c>
      <c r="O307" s="21" t="s">
        <v>360</v>
      </c>
      <c r="Q307" s="21" t="s">
        <v>344</v>
      </c>
      <c r="R307" s="22">
        <v>45847</v>
      </c>
      <c r="W307">
        <f>COUNTIF(内藤証券!U:U,B307)</f>
        <v>0</v>
      </c>
      <c r="Z307" t="s">
        <v>433</v>
      </c>
    </row>
    <row r="308" spans="1:26" ht="24.95" hidden="1" customHeight="1" x14ac:dyDescent="0.4">
      <c r="A308" s="17" t="s">
        <v>46</v>
      </c>
      <c r="B308" s="15" t="s">
        <v>357</v>
      </c>
      <c r="C308" s="16" t="s">
        <v>31</v>
      </c>
      <c r="D308" s="16" t="s">
        <v>31</v>
      </c>
      <c r="E308" s="15" t="s">
        <v>32</v>
      </c>
      <c r="F308" s="15" t="s">
        <v>356</v>
      </c>
      <c r="N308" s="21" t="s">
        <v>96</v>
      </c>
      <c r="O308" s="21" t="s">
        <v>360</v>
      </c>
      <c r="Q308" s="21" t="s">
        <v>344</v>
      </c>
      <c r="R308" s="22">
        <v>45847</v>
      </c>
      <c r="W308">
        <f>COUNTIF(内藤証券!U:U,B308)</f>
        <v>0</v>
      </c>
      <c r="Z308" t="s">
        <v>433</v>
      </c>
    </row>
    <row r="309" spans="1:26" ht="24.95" hidden="1" customHeight="1" x14ac:dyDescent="0.4">
      <c r="A309" s="17" t="s">
        <v>46</v>
      </c>
      <c r="B309" s="15" t="s">
        <v>197</v>
      </c>
      <c r="C309" s="16" t="s">
        <v>24</v>
      </c>
      <c r="D309" s="16" t="s">
        <v>31</v>
      </c>
      <c r="E309" s="15" t="s">
        <v>35</v>
      </c>
      <c r="F309" s="15" t="s">
        <v>212</v>
      </c>
      <c r="N309" s="21" t="s">
        <v>96</v>
      </c>
      <c r="O309" s="21" t="s">
        <v>209</v>
      </c>
      <c r="Q309" s="21" t="s">
        <v>169</v>
      </c>
      <c r="R309" s="22">
        <v>45756</v>
      </c>
      <c r="W309">
        <f>COUNTIF(内藤証券!U:U,B309)</f>
        <v>0</v>
      </c>
      <c r="Z309" t="s">
        <v>433</v>
      </c>
    </row>
    <row r="310" spans="1:26" ht="24.95" hidden="1" customHeight="1" x14ac:dyDescent="0.4">
      <c r="A310" s="17" t="s">
        <v>46</v>
      </c>
      <c r="B310" s="15" t="s">
        <v>347</v>
      </c>
      <c r="C310" s="16" t="s">
        <v>31</v>
      </c>
      <c r="D310" s="16" t="s">
        <v>31</v>
      </c>
      <c r="E310" s="15" t="s">
        <v>32</v>
      </c>
      <c r="F310" s="15" t="s">
        <v>356</v>
      </c>
      <c r="N310" s="21" t="s">
        <v>96</v>
      </c>
      <c r="O310" s="21" t="s">
        <v>360</v>
      </c>
      <c r="Q310" s="21" t="s">
        <v>344</v>
      </c>
      <c r="R310" s="22">
        <v>45847</v>
      </c>
      <c r="W310">
        <f>COUNTIF(内藤証券!U:U,B310)</f>
        <v>0</v>
      </c>
      <c r="Z310" t="s">
        <v>433</v>
      </c>
    </row>
    <row r="311" spans="1:26" ht="24.95" hidden="1" customHeight="1" x14ac:dyDescent="0.4">
      <c r="A311" s="17" t="s">
        <v>46</v>
      </c>
      <c r="B311" s="15" t="s">
        <v>198</v>
      </c>
      <c r="C311" s="16" t="s">
        <v>31</v>
      </c>
      <c r="D311" s="16" t="s">
        <v>31</v>
      </c>
      <c r="E311" s="15" t="s">
        <v>32</v>
      </c>
      <c r="F311" s="15" t="s">
        <v>212</v>
      </c>
      <c r="N311" s="21" t="s">
        <v>96</v>
      </c>
      <c r="O311" s="21" t="s">
        <v>209</v>
      </c>
      <c r="Q311" s="21" t="s">
        <v>169</v>
      </c>
      <c r="R311" s="22">
        <v>45756</v>
      </c>
      <c r="W311">
        <f>COUNTIF(内藤証券!U:U,B311)</f>
        <v>0</v>
      </c>
      <c r="Z311" t="s">
        <v>433</v>
      </c>
    </row>
    <row r="312" spans="1:26" ht="24.95" hidden="1" customHeight="1" x14ac:dyDescent="0.4">
      <c r="A312" s="17" t="s">
        <v>46</v>
      </c>
      <c r="B312" s="15" t="s">
        <v>199</v>
      </c>
      <c r="C312" s="16" t="s">
        <v>31</v>
      </c>
      <c r="D312" s="16" t="s">
        <v>31</v>
      </c>
      <c r="E312" s="15" t="s">
        <v>32</v>
      </c>
      <c r="F312" s="15" t="s">
        <v>212</v>
      </c>
      <c r="N312" s="21" t="s">
        <v>96</v>
      </c>
      <c r="O312" s="21" t="s">
        <v>209</v>
      </c>
      <c r="Q312" s="21" t="s">
        <v>169</v>
      </c>
      <c r="R312" s="22">
        <v>45756</v>
      </c>
      <c r="W312">
        <f>COUNTIF(内藤証券!U:U,B312)</f>
        <v>0</v>
      </c>
      <c r="Z312" t="s">
        <v>433</v>
      </c>
    </row>
    <row r="313" spans="1:26" ht="24.95" hidden="1" customHeight="1" x14ac:dyDescent="0.4">
      <c r="A313" s="17" t="s">
        <v>46</v>
      </c>
      <c r="B313" s="15" t="s">
        <v>320</v>
      </c>
      <c r="C313" s="16" t="s">
        <v>31</v>
      </c>
      <c r="D313" s="16" t="s">
        <v>31</v>
      </c>
      <c r="E313" s="15" t="s">
        <v>32</v>
      </c>
      <c r="F313" s="15" t="s">
        <v>314</v>
      </c>
      <c r="N313" s="21" t="s">
        <v>96</v>
      </c>
      <c r="O313" s="21" t="s">
        <v>337</v>
      </c>
      <c r="Q313" s="21" t="s">
        <v>344</v>
      </c>
      <c r="R313" s="22">
        <v>45756</v>
      </c>
      <c r="W313">
        <f>COUNTIF(内藤証券!U:U,B313)</f>
        <v>0</v>
      </c>
    </row>
    <row r="314" spans="1:26" ht="24.95" hidden="1" customHeight="1" x14ac:dyDescent="0.4">
      <c r="A314" s="17" t="s">
        <v>46</v>
      </c>
      <c r="B314" s="15" t="s">
        <v>167</v>
      </c>
      <c r="C314" s="16" t="s">
        <v>31</v>
      </c>
      <c r="D314" s="16" t="s">
        <v>31</v>
      </c>
      <c r="E314" s="15" t="s">
        <v>32</v>
      </c>
      <c r="F314" s="15" t="s">
        <v>170</v>
      </c>
      <c r="N314" s="21" t="s">
        <v>96</v>
      </c>
      <c r="O314" s="13" t="s">
        <v>219</v>
      </c>
      <c r="Q314" s="21" t="s">
        <v>169</v>
      </c>
      <c r="R314" s="22">
        <v>45756</v>
      </c>
      <c r="W314">
        <f>COUNTIF(内藤証券!U:U,B314)</f>
        <v>0</v>
      </c>
      <c r="Z314" t="s">
        <v>433</v>
      </c>
    </row>
    <row r="315" spans="1:26" ht="24.95" hidden="1" customHeight="1" x14ac:dyDescent="0.4">
      <c r="A315" s="17" t="s">
        <v>46</v>
      </c>
      <c r="B315" s="15" t="s">
        <v>132</v>
      </c>
      <c r="C315" s="16" t="s">
        <v>31</v>
      </c>
      <c r="D315" s="16" t="s">
        <v>31</v>
      </c>
      <c r="E315" s="15" t="s">
        <v>32</v>
      </c>
      <c r="F315" s="15" t="s">
        <v>314</v>
      </c>
      <c r="N315" s="21" t="s">
        <v>96</v>
      </c>
      <c r="O315" s="21" t="s">
        <v>337</v>
      </c>
      <c r="Q315" s="21" t="s">
        <v>344</v>
      </c>
      <c r="R315" s="22">
        <v>45756</v>
      </c>
      <c r="W315">
        <f>COUNTIF(内藤証券!U:U,B315)</f>
        <v>0</v>
      </c>
    </row>
    <row r="316" spans="1:26" ht="24.95" hidden="1" customHeight="1" x14ac:dyDescent="0.4">
      <c r="A316" s="17" t="s">
        <v>46</v>
      </c>
      <c r="B316" s="15" t="s">
        <v>200</v>
      </c>
      <c r="C316" s="16" t="s">
        <v>31</v>
      </c>
      <c r="D316" s="16" t="s">
        <v>31</v>
      </c>
      <c r="E316" s="15" t="s">
        <v>32</v>
      </c>
      <c r="F316" s="15" t="s">
        <v>212</v>
      </c>
      <c r="N316" s="21" t="s">
        <v>96</v>
      </c>
      <c r="O316" s="21" t="s">
        <v>209</v>
      </c>
      <c r="Q316" s="21" t="s">
        <v>169</v>
      </c>
      <c r="R316" s="22">
        <v>45756</v>
      </c>
      <c r="W316">
        <f>COUNTIF(内藤証券!U:U,B316)</f>
        <v>0</v>
      </c>
      <c r="Z316" t="s">
        <v>433</v>
      </c>
    </row>
    <row r="317" spans="1:26" ht="24.95" hidden="1" customHeight="1" x14ac:dyDescent="0.4">
      <c r="A317" s="17" t="s">
        <v>46</v>
      </c>
      <c r="B317" s="15" t="s">
        <v>321</v>
      </c>
      <c r="C317" s="16" t="s">
        <v>24</v>
      </c>
      <c r="D317" s="16" t="s">
        <v>31</v>
      </c>
      <c r="E317" s="15" t="s">
        <v>35</v>
      </c>
      <c r="F317" s="15" t="s">
        <v>314</v>
      </c>
      <c r="N317" s="21" t="s">
        <v>96</v>
      </c>
      <c r="O317" s="21" t="s">
        <v>337</v>
      </c>
      <c r="Q317" s="21" t="s">
        <v>344</v>
      </c>
      <c r="R317" s="22">
        <v>45756</v>
      </c>
      <c r="W317">
        <f>COUNTIF(内藤証券!U:U,B317)</f>
        <v>0</v>
      </c>
    </row>
    <row r="318" spans="1:26" ht="24.95" hidden="1" customHeight="1" x14ac:dyDescent="0.4">
      <c r="A318" s="17" t="s">
        <v>46</v>
      </c>
      <c r="B318" s="15" t="s">
        <v>322</v>
      </c>
      <c r="C318" s="16" t="s">
        <v>24</v>
      </c>
      <c r="D318" s="16" t="s">
        <v>31</v>
      </c>
      <c r="E318" s="15" t="s">
        <v>35</v>
      </c>
      <c r="F318" s="15" t="s">
        <v>314</v>
      </c>
      <c r="N318" s="21" t="s">
        <v>96</v>
      </c>
      <c r="O318" s="21" t="s">
        <v>337</v>
      </c>
      <c r="Q318" s="21" t="s">
        <v>344</v>
      </c>
      <c r="R318" s="22">
        <v>45756</v>
      </c>
      <c r="W318">
        <f>COUNTIF(内藤証券!U:U,B318)</f>
        <v>0</v>
      </c>
    </row>
    <row r="319" spans="1:26" ht="24.95" hidden="1" customHeight="1" x14ac:dyDescent="0.4">
      <c r="A319" s="17" t="s">
        <v>46</v>
      </c>
      <c r="B319" s="15" t="s">
        <v>323</v>
      </c>
      <c r="C319" s="16" t="s">
        <v>24</v>
      </c>
      <c r="D319" s="16" t="s">
        <v>31</v>
      </c>
      <c r="E319" s="15" t="s">
        <v>35</v>
      </c>
      <c r="F319" s="15" t="s">
        <v>314</v>
      </c>
      <c r="N319" s="21" t="s">
        <v>96</v>
      </c>
      <c r="O319" s="21" t="s">
        <v>337</v>
      </c>
      <c r="Q319" s="21" t="s">
        <v>344</v>
      </c>
      <c r="R319" s="22">
        <v>45756</v>
      </c>
      <c r="W319">
        <f>COUNTIF(内藤証券!U:U,B319)</f>
        <v>0</v>
      </c>
    </row>
    <row r="320" spans="1:26" ht="24.95" hidden="1" customHeight="1" x14ac:dyDescent="0.4">
      <c r="A320" s="17" t="s">
        <v>46</v>
      </c>
      <c r="B320" s="15" t="s">
        <v>201</v>
      </c>
      <c r="C320" s="16" t="s">
        <v>24</v>
      </c>
      <c r="D320" s="16" t="s">
        <v>31</v>
      </c>
      <c r="E320" s="15" t="s">
        <v>35</v>
      </c>
      <c r="F320" s="15" t="s">
        <v>212</v>
      </c>
      <c r="N320" s="21" t="s">
        <v>96</v>
      </c>
      <c r="O320" s="21" t="s">
        <v>209</v>
      </c>
      <c r="Q320" s="21" t="s">
        <v>169</v>
      </c>
      <c r="R320" s="22">
        <v>45756</v>
      </c>
      <c r="W320">
        <f>COUNTIF(内藤証券!U:U,B320)</f>
        <v>0</v>
      </c>
      <c r="Z320" t="s">
        <v>433</v>
      </c>
    </row>
    <row r="321" spans="1:26" ht="24.95" hidden="1" customHeight="1" x14ac:dyDescent="0.4">
      <c r="A321" s="17" t="s">
        <v>46</v>
      </c>
      <c r="B321" s="15" t="s">
        <v>238</v>
      </c>
      <c r="C321" s="16" t="s">
        <v>31</v>
      </c>
      <c r="D321" s="16" t="s">
        <v>31</v>
      </c>
      <c r="E321" s="15" t="s">
        <v>32</v>
      </c>
      <c r="F321" s="15" t="s">
        <v>314</v>
      </c>
      <c r="N321" s="21" t="s">
        <v>96</v>
      </c>
      <c r="O321" s="21" t="s">
        <v>336</v>
      </c>
      <c r="Q321" s="21" t="s">
        <v>344</v>
      </c>
      <c r="R321" s="22">
        <v>45756</v>
      </c>
      <c r="W321">
        <f>COUNTIF(内藤証券!U:U,B321)</f>
        <v>0</v>
      </c>
    </row>
    <row r="322" spans="1:26" ht="24.95" hidden="1" customHeight="1" x14ac:dyDescent="0.4">
      <c r="A322" s="17" t="s">
        <v>46</v>
      </c>
      <c r="B322" s="15" t="s">
        <v>239</v>
      </c>
      <c r="C322" s="16" t="s">
        <v>31</v>
      </c>
      <c r="D322" s="16" t="s">
        <v>31</v>
      </c>
      <c r="E322" s="15" t="s">
        <v>32</v>
      </c>
      <c r="F322" s="15" t="s">
        <v>314</v>
      </c>
      <c r="N322" s="21" t="s">
        <v>96</v>
      </c>
      <c r="O322" s="21" t="s">
        <v>336</v>
      </c>
      <c r="Q322" s="21" t="s">
        <v>344</v>
      </c>
      <c r="R322" s="22">
        <v>45756</v>
      </c>
      <c r="W322">
        <f>COUNTIF(内藤証券!U:U,B322)</f>
        <v>0</v>
      </c>
    </row>
    <row r="323" spans="1:26" ht="24.95" hidden="1" customHeight="1" x14ac:dyDescent="0.4">
      <c r="A323" s="17" t="s">
        <v>46</v>
      </c>
      <c r="B323" s="15" t="s">
        <v>240</v>
      </c>
      <c r="C323" s="16" t="s">
        <v>31</v>
      </c>
      <c r="D323" s="16" t="s">
        <v>31</v>
      </c>
      <c r="E323" s="15" t="s">
        <v>32</v>
      </c>
      <c r="F323" s="15" t="s">
        <v>314</v>
      </c>
      <c r="N323" s="21" t="s">
        <v>96</v>
      </c>
      <c r="O323" s="21" t="s">
        <v>336</v>
      </c>
      <c r="Q323" s="21" t="s">
        <v>344</v>
      </c>
      <c r="R323" s="22">
        <v>45756</v>
      </c>
      <c r="W323">
        <f>COUNTIF(内藤証券!U:U,B323)</f>
        <v>0</v>
      </c>
    </row>
    <row r="324" spans="1:26" ht="24.95" hidden="1" customHeight="1" x14ac:dyDescent="0.4">
      <c r="A324" s="17" t="s">
        <v>46</v>
      </c>
      <c r="B324" s="15" t="s">
        <v>241</v>
      </c>
      <c r="C324" s="16" t="s">
        <v>31</v>
      </c>
      <c r="D324" s="16" t="s">
        <v>31</v>
      </c>
      <c r="E324" s="15" t="s">
        <v>32</v>
      </c>
      <c r="F324" s="15" t="s">
        <v>314</v>
      </c>
      <c r="N324" s="21" t="s">
        <v>96</v>
      </c>
      <c r="O324" s="21" t="s">
        <v>336</v>
      </c>
      <c r="Q324" s="21" t="s">
        <v>344</v>
      </c>
      <c r="R324" s="22">
        <v>45756</v>
      </c>
      <c r="W324">
        <f>COUNTIF(内藤証券!U:U,B324)</f>
        <v>0</v>
      </c>
    </row>
    <row r="325" spans="1:26" ht="24.95" hidden="1" customHeight="1" x14ac:dyDescent="0.4">
      <c r="A325" s="17" t="s">
        <v>46</v>
      </c>
      <c r="B325" s="15" t="s">
        <v>242</v>
      </c>
      <c r="C325" s="16" t="s">
        <v>31</v>
      </c>
      <c r="D325" s="16" t="s">
        <v>31</v>
      </c>
      <c r="E325" s="15" t="s">
        <v>32</v>
      </c>
      <c r="F325" s="15" t="s">
        <v>314</v>
      </c>
      <c r="N325" s="21" t="s">
        <v>96</v>
      </c>
      <c r="O325" s="21" t="s">
        <v>336</v>
      </c>
      <c r="Q325" s="21" t="s">
        <v>344</v>
      </c>
      <c r="R325" s="22">
        <v>45756</v>
      </c>
      <c r="W325">
        <f>COUNTIF(内藤証券!U:U,B325)</f>
        <v>0</v>
      </c>
    </row>
    <row r="326" spans="1:26" ht="24.95" hidden="1" customHeight="1" x14ac:dyDescent="0.4">
      <c r="A326" s="17" t="s">
        <v>46</v>
      </c>
      <c r="B326" s="15" t="s">
        <v>243</v>
      </c>
      <c r="C326" s="16" t="s">
        <v>31</v>
      </c>
      <c r="D326" s="16" t="s">
        <v>31</v>
      </c>
      <c r="E326" s="15" t="s">
        <v>32</v>
      </c>
      <c r="F326" s="15" t="s">
        <v>314</v>
      </c>
      <c r="N326" s="21" t="s">
        <v>96</v>
      </c>
      <c r="O326" s="21" t="s">
        <v>336</v>
      </c>
      <c r="Q326" s="21" t="s">
        <v>344</v>
      </c>
      <c r="R326" s="22">
        <v>45756</v>
      </c>
      <c r="W326">
        <f>COUNTIF(内藤証券!U:U,B326)</f>
        <v>0</v>
      </c>
    </row>
    <row r="327" spans="1:26" ht="24.95" hidden="1" customHeight="1" x14ac:dyDescent="0.4">
      <c r="A327" s="17" t="s">
        <v>46</v>
      </c>
      <c r="B327" s="15" t="s">
        <v>244</v>
      </c>
      <c r="C327" s="16" t="s">
        <v>31</v>
      </c>
      <c r="D327" s="16" t="s">
        <v>31</v>
      </c>
      <c r="E327" s="15" t="s">
        <v>32</v>
      </c>
      <c r="F327" s="15" t="s">
        <v>314</v>
      </c>
      <c r="N327" s="21" t="s">
        <v>96</v>
      </c>
      <c r="O327" s="21" t="s">
        <v>336</v>
      </c>
      <c r="Q327" s="21" t="s">
        <v>344</v>
      </c>
      <c r="R327" s="22">
        <v>45756</v>
      </c>
      <c r="W327">
        <f>COUNTIF(内藤証券!U:U,B327)</f>
        <v>0</v>
      </c>
    </row>
    <row r="328" spans="1:26" ht="24.95" hidden="1" customHeight="1" x14ac:dyDescent="0.4">
      <c r="A328" s="17" t="s">
        <v>46</v>
      </c>
      <c r="B328" s="15" t="s">
        <v>245</v>
      </c>
      <c r="C328" s="16" t="s">
        <v>31</v>
      </c>
      <c r="D328" s="16" t="s">
        <v>31</v>
      </c>
      <c r="E328" s="15" t="s">
        <v>32</v>
      </c>
      <c r="F328" s="15" t="s">
        <v>314</v>
      </c>
      <c r="N328" s="21" t="s">
        <v>96</v>
      </c>
      <c r="O328" s="21" t="s">
        <v>336</v>
      </c>
      <c r="Q328" s="21" t="s">
        <v>344</v>
      </c>
      <c r="R328" s="22">
        <v>45756</v>
      </c>
      <c r="W328">
        <f>COUNTIF(内藤証券!U:U,B328)</f>
        <v>0</v>
      </c>
    </row>
    <row r="329" spans="1:26" ht="24.95" hidden="1" customHeight="1" x14ac:dyDescent="0.4">
      <c r="A329" s="17" t="s">
        <v>46</v>
      </c>
      <c r="B329" s="15" t="s">
        <v>246</v>
      </c>
      <c r="C329" s="16" t="s">
        <v>31</v>
      </c>
      <c r="D329" s="16" t="s">
        <v>31</v>
      </c>
      <c r="E329" s="15" t="s">
        <v>32</v>
      </c>
      <c r="F329" s="15" t="s">
        <v>314</v>
      </c>
      <c r="N329" s="21" t="s">
        <v>96</v>
      </c>
      <c r="O329" s="21" t="s">
        <v>336</v>
      </c>
      <c r="Q329" s="21" t="s">
        <v>344</v>
      </c>
      <c r="R329" s="22">
        <v>45756</v>
      </c>
      <c r="W329">
        <f>COUNTIF(内藤証券!U:U,B329)</f>
        <v>0</v>
      </c>
    </row>
    <row r="330" spans="1:26" ht="24.95" hidden="1" customHeight="1" x14ac:dyDescent="0.4">
      <c r="A330" s="17" t="s">
        <v>46</v>
      </c>
      <c r="B330" s="15" t="s">
        <v>247</v>
      </c>
      <c r="C330" s="16" t="s">
        <v>31</v>
      </c>
      <c r="D330" s="16" t="s">
        <v>31</v>
      </c>
      <c r="E330" s="15" t="s">
        <v>32</v>
      </c>
      <c r="F330" s="15" t="s">
        <v>314</v>
      </c>
      <c r="N330" s="21" t="s">
        <v>96</v>
      </c>
      <c r="O330" s="21" t="s">
        <v>336</v>
      </c>
      <c r="Q330" s="21" t="s">
        <v>344</v>
      </c>
      <c r="R330" s="22">
        <v>45756</v>
      </c>
      <c r="W330">
        <f>COUNTIF(内藤証券!U:U,B330)</f>
        <v>0</v>
      </c>
    </row>
    <row r="331" spans="1:26" ht="24.95" hidden="1" customHeight="1" x14ac:dyDescent="0.4">
      <c r="A331" s="17" t="s">
        <v>46</v>
      </c>
      <c r="B331" s="15" t="s">
        <v>248</v>
      </c>
      <c r="C331" s="16" t="s">
        <v>31</v>
      </c>
      <c r="D331" s="16" t="s">
        <v>31</v>
      </c>
      <c r="E331" s="15" t="s">
        <v>32</v>
      </c>
      <c r="F331" s="15" t="s">
        <v>314</v>
      </c>
      <c r="N331" s="21" t="s">
        <v>96</v>
      </c>
      <c r="O331" s="21" t="s">
        <v>336</v>
      </c>
      <c r="Q331" s="21" t="s">
        <v>344</v>
      </c>
      <c r="R331" s="22">
        <v>45756</v>
      </c>
      <c r="W331">
        <f>COUNTIF(内藤証券!U:U,B331)</f>
        <v>0</v>
      </c>
    </row>
    <row r="332" spans="1:26" ht="24.95" hidden="1" customHeight="1" x14ac:dyDescent="0.4">
      <c r="A332" s="17" t="s">
        <v>46</v>
      </c>
      <c r="B332" s="15" t="s">
        <v>249</v>
      </c>
      <c r="C332" s="16" t="s">
        <v>31</v>
      </c>
      <c r="D332" s="16" t="s">
        <v>31</v>
      </c>
      <c r="E332" s="15" t="s">
        <v>32</v>
      </c>
      <c r="F332" s="15" t="s">
        <v>314</v>
      </c>
      <c r="N332" s="21" t="s">
        <v>96</v>
      </c>
      <c r="O332" s="21" t="s">
        <v>336</v>
      </c>
      <c r="Q332" s="21" t="s">
        <v>344</v>
      </c>
      <c r="R332" s="22">
        <v>45756</v>
      </c>
      <c r="W332">
        <f>COUNTIF(内藤証券!U:U,B332)</f>
        <v>0</v>
      </c>
    </row>
    <row r="333" spans="1:26" ht="24.95" hidden="1" customHeight="1" x14ac:dyDescent="0.4">
      <c r="A333" s="17" t="s">
        <v>46</v>
      </c>
      <c r="B333" s="15" t="s">
        <v>250</v>
      </c>
      <c r="C333" s="16" t="s">
        <v>31</v>
      </c>
      <c r="D333" s="16" t="s">
        <v>31</v>
      </c>
      <c r="E333" s="15" t="s">
        <v>32</v>
      </c>
      <c r="F333" s="15" t="s">
        <v>314</v>
      </c>
      <c r="N333" s="21" t="s">
        <v>96</v>
      </c>
      <c r="O333" s="21" t="s">
        <v>336</v>
      </c>
      <c r="Q333" s="21" t="s">
        <v>344</v>
      </c>
      <c r="R333" s="22">
        <v>45756</v>
      </c>
      <c r="W333">
        <f>COUNTIF(内藤証券!U:U,B333)</f>
        <v>0</v>
      </c>
    </row>
    <row r="334" spans="1:26" ht="24.95" hidden="1" customHeight="1" x14ac:dyDescent="0.4">
      <c r="A334" s="17" t="s">
        <v>46</v>
      </c>
      <c r="B334" s="15" t="s">
        <v>251</v>
      </c>
      <c r="C334" s="16" t="s">
        <v>31</v>
      </c>
      <c r="D334" s="16" t="s">
        <v>31</v>
      </c>
      <c r="E334" s="15" t="s">
        <v>32</v>
      </c>
      <c r="F334" s="15" t="s">
        <v>314</v>
      </c>
      <c r="N334" s="21" t="s">
        <v>96</v>
      </c>
      <c r="O334" s="21" t="s">
        <v>336</v>
      </c>
      <c r="Q334" s="21" t="s">
        <v>344</v>
      </c>
      <c r="R334" s="22">
        <v>45756</v>
      </c>
      <c r="W334">
        <f>COUNTIF(内藤証券!U:U,B334)</f>
        <v>0</v>
      </c>
    </row>
    <row r="335" spans="1:26" ht="24.95" hidden="1" customHeight="1" x14ac:dyDescent="0.4">
      <c r="A335" s="17" t="s">
        <v>46</v>
      </c>
      <c r="B335" s="15" t="s">
        <v>341</v>
      </c>
      <c r="C335" s="16" t="s">
        <v>31</v>
      </c>
      <c r="D335" s="16" t="s">
        <v>31</v>
      </c>
      <c r="E335" s="15" t="s">
        <v>32</v>
      </c>
      <c r="F335" s="15" t="s">
        <v>340</v>
      </c>
      <c r="N335" s="21" t="s">
        <v>96</v>
      </c>
      <c r="O335" s="21" t="s">
        <v>345</v>
      </c>
      <c r="Q335" s="21" t="s">
        <v>344</v>
      </c>
      <c r="R335" s="22">
        <v>45784</v>
      </c>
      <c r="W335">
        <f>COUNTIF(内藤証券!U:U,B335)</f>
        <v>0</v>
      </c>
      <c r="Z335" t="s">
        <v>433</v>
      </c>
    </row>
    <row r="336" spans="1:26" ht="24.95" hidden="1" customHeight="1" x14ac:dyDescent="0.4">
      <c r="A336" s="17" t="s">
        <v>46</v>
      </c>
      <c r="B336" s="15" t="s">
        <v>193</v>
      </c>
      <c r="C336" s="16" t="s">
        <v>31</v>
      </c>
      <c r="D336" s="16" t="s">
        <v>31</v>
      </c>
      <c r="E336" s="15" t="s">
        <v>32</v>
      </c>
      <c r="F336" s="15" t="s">
        <v>184</v>
      </c>
      <c r="N336" s="21" t="s">
        <v>96</v>
      </c>
      <c r="O336" s="21" t="s">
        <v>211</v>
      </c>
      <c r="Q336" s="21" t="s">
        <v>169</v>
      </c>
      <c r="R336" s="22">
        <v>45756</v>
      </c>
      <c r="W336">
        <f>COUNTIF(内藤証券!U:U,B336)</f>
        <v>0</v>
      </c>
      <c r="Z336" t="s">
        <v>433</v>
      </c>
    </row>
    <row r="337" spans="1:23" ht="24.95" hidden="1" customHeight="1" x14ac:dyDescent="0.4">
      <c r="A337" s="17" t="s">
        <v>46</v>
      </c>
      <c r="B337" s="15" t="s">
        <v>252</v>
      </c>
      <c r="C337" s="16" t="s">
        <v>31</v>
      </c>
      <c r="D337" s="16" t="s">
        <v>31</v>
      </c>
      <c r="E337" s="15" t="s">
        <v>32</v>
      </c>
      <c r="F337" s="15" t="s">
        <v>314</v>
      </c>
      <c r="N337" s="21" t="s">
        <v>96</v>
      </c>
      <c r="O337" s="21" t="s">
        <v>336</v>
      </c>
      <c r="Q337" s="21" t="s">
        <v>344</v>
      </c>
      <c r="R337" s="22">
        <v>45756</v>
      </c>
      <c r="W337">
        <f>COUNTIF(内藤証券!U:U,B337)</f>
        <v>0</v>
      </c>
    </row>
    <row r="338" spans="1:23" ht="24.95" hidden="1" customHeight="1" x14ac:dyDescent="0.4">
      <c r="A338" s="17" t="s">
        <v>46</v>
      </c>
      <c r="B338" s="15" t="s">
        <v>253</v>
      </c>
      <c r="C338" s="16" t="s">
        <v>31</v>
      </c>
      <c r="D338" s="16" t="s">
        <v>31</v>
      </c>
      <c r="E338" s="15" t="s">
        <v>32</v>
      </c>
      <c r="F338" s="15" t="s">
        <v>314</v>
      </c>
      <c r="N338" s="21" t="s">
        <v>96</v>
      </c>
      <c r="O338" s="21" t="s">
        <v>336</v>
      </c>
      <c r="Q338" s="21" t="s">
        <v>344</v>
      </c>
      <c r="R338" s="22">
        <v>45756</v>
      </c>
      <c r="W338">
        <f>COUNTIF(内藤証券!U:U,B338)</f>
        <v>0</v>
      </c>
    </row>
    <row r="339" spans="1:23" ht="24.95" hidden="1" customHeight="1" x14ac:dyDescent="0.4">
      <c r="A339" s="17" t="s">
        <v>46</v>
      </c>
      <c r="B339" s="15" t="s">
        <v>254</v>
      </c>
      <c r="C339" s="16" t="s">
        <v>31</v>
      </c>
      <c r="D339" s="16" t="s">
        <v>31</v>
      </c>
      <c r="E339" s="15" t="s">
        <v>32</v>
      </c>
      <c r="F339" s="15" t="s">
        <v>314</v>
      </c>
      <c r="N339" s="21" t="s">
        <v>96</v>
      </c>
      <c r="O339" s="21" t="s">
        <v>336</v>
      </c>
      <c r="Q339" s="21" t="s">
        <v>344</v>
      </c>
      <c r="R339" s="22">
        <v>45756</v>
      </c>
      <c r="W339">
        <f>COUNTIF(内藤証券!U:U,B339)</f>
        <v>0</v>
      </c>
    </row>
    <row r="340" spans="1:23" ht="24.95" hidden="1" customHeight="1" x14ac:dyDescent="0.4">
      <c r="A340" s="17" t="s">
        <v>46</v>
      </c>
      <c r="B340" s="15" t="s">
        <v>255</v>
      </c>
      <c r="C340" s="16" t="s">
        <v>31</v>
      </c>
      <c r="D340" s="16" t="s">
        <v>31</v>
      </c>
      <c r="E340" s="15" t="s">
        <v>32</v>
      </c>
      <c r="F340" s="15" t="s">
        <v>314</v>
      </c>
      <c r="N340" s="21" t="s">
        <v>96</v>
      </c>
      <c r="O340" s="21" t="s">
        <v>336</v>
      </c>
      <c r="Q340" s="21" t="s">
        <v>344</v>
      </c>
      <c r="R340" s="22">
        <v>45756</v>
      </c>
      <c r="W340">
        <f>COUNTIF(内藤証券!U:U,B340)</f>
        <v>0</v>
      </c>
    </row>
    <row r="341" spans="1:23" ht="24.95" hidden="1" customHeight="1" x14ac:dyDescent="0.4">
      <c r="A341" s="17" t="s">
        <v>46</v>
      </c>
      <c r="B341" s="15" t="s">
        <v>256</v>
      </c>
      <c r="C341" s="16" t="s">
        <v>31</v>
      </c>
      <c r="D341" s="16" t="s">
        <v>31</v>
      </c>
      <c r="E341" s="15" t="s">
        <v>32</v>
      </c>
      <c r="F341" s="15" t="s">
        <v>314</v>
      </c>
      <c r="N341" s="21" t="s">
        <v>96</v>
      </c>
      <c r="O341" s="21" t="s">
        <v>336</v>
      </c>
      <c r="Q341" s="21" t="s">
        <v>344</v>
      </c>
      <c r="R341" s="22">
        <v>45756</v>
      </c>
      <c r="W341">
        <f>COUNTIF(内藤証券!U:U,B341)</f>
        <v>0</v>
      </c>
    </row>
    <row r="342" spans="1:23" ht="24.95" hidden="1" customHeight="1" x14ac:dyDescent="0.4">
      <c r="A342" s="17" t="s">
        <v>46</v>
      </c>
      <c r="B342" s="15" t="s">
        <v>257</v>
      </c>
      <c r="C342" s="16" t="s">
        <v>31</v>
      </c>
      <c r="D342" s="16" t="s">
        <v>31</v>
      </c>
      <c r="E342" s="15" t="s">
        <v>32</v>
      </c>
      <c r="F342" s="15" t="s">
        <v>314</v>
      </c>
      <c r="N342" s="21" t="s">
        <v>96</v>
      </c>
      <c r="O342" s="21" t="s">
        <v>336</v>
      </c>
      <c r="Q342" s="21" t="s">
        <v>344</v>
      </c>
      <c r="R342" s="22">
        <v>45756</v>
      </c>
      <c r="W342">
        <f>COUNTIF(内藤証券!U:U,B342)</f>
        <v>0</v>
      </c>
    </row>
    <row r="343" spans="1:23" ht="24.95" hidden="1" customHeight="1" x14ac:dyDescent="0.4">
      <c r="A343" s="17" t="s">
        <v>46</v>
      </c>
      <c r="B343" s="15" t="s">
        <v>258</v>
      </c>
      <c r="C343" s="16" t="s">
        <v>31</v>
      </c>
      <c r="D343" s="16" t="s">
        <v>31</v>
      </c>
      <c r="E343" s="15" t="s">
        <v>32</v>
      </c>
      <c r="F343" s="15" t="s">
        <v>314</v>
      </c>
      <c r="N343" s="21" t="s">
        <v>96</v>
      </c>
      <c r="O343" s="21" t="s">
        <v>336</v>
      </c>
      <c r="Q343" s="21" t="s">
        <v>344</v>
      </c>
      <c r="R343" s="22">
        <v>45756</v>
      </c>
      <c r="W343">
        <f>COUNTIF(内藤証券!U:U,B343)</f>
        <v>0</v>
      </c>
    </row>
    <row r="344" spans="1:23" ht="24.95" hidden="1" customHeight="1" x14ac:dyDescent="0.4">
      <c r="A344" s="17" t="s">
        <v>46</v>
      </c>
      <c r="B344" s="15" t="s">
        <v>259</v>
      </c>
      <c r="C344" s="16" t="s">
        <v>31</v>
      </c>
      <c r="D344" s="16" t="s">
        <v>31</v>
      </c>
      <c r="E344" s="15" t="s">
        <v>32</v>
      </c>
      <c r="F344" s="15" t="s">
        <v>314</v>
      </c>
      <c r="N344" s="21" t="s">
        <v>96</v>
      </c>
      <c r="O344" s="21" t="s">
        <v>336</v>
      </c>
      <c r="Q344" s="21" t="s">
        <v>344</v>
      </c>
      <c r="R344" s="22">
        <v>45756</v>
      </c>
      <c r="W344">
        <f>COUNTIF(内藤証券!U:U,B344)</f>
        <v>0</v>
      </c>
    </row>
    <row r="345" spans="1:23" ht="24.95" hidden="1" customHeight="1" x14ac:dyDescent="0.4">
      <c r="A345" s="17" t="s">
        <v>46</v>
      </c>
      <c r="B345" s="15" t="s">
        <v>260</v>
      </c>
      <c r="C345" s="16" t="s">
        <v>31</v>
      </c>
      <c r="D345" s="16" t="s">
        <v>31</v>
      </c>
      <c r="E345" s="15" t="s">
        <v>32</v>
      </c>
      <c r="F345" s="15" t="s">
        <v>314</v>
      </c>
      <c r="N345" s="21" t="s">
        <v>96</v>
      </c>
      <c r="O345" s="21" t="s">
        <v>336</v>
      </c>
      <c r="Q345" s="21" t="s">
        <v>344</v>
      </c>
      <c r="R345" s="22">
        <v>45756</v>
      </c>
      <c r="W345">
        <f>COUNTIF(内藤証券!U:U,B345)</f>
        <v>0</v>
      </c>
    </row>
    <row r="346" spans="1:23" ht="24.95" hidden="1" customHeight="1" x14ac:dyDescent="0.4">
      <c r="A346" s="17" t="s">
        <v>46</v>
      </c>
      <c r="B346" s="15" t="s">
        <v>261</v>
      </c>
      <c r="C346" s="16" t="s">
        <v>31</v>
      </c>
      <c r="D346" s="16" t="s">
        <v>31</v>
      </c>
      <c r="E346" s="15" t="s">
        <v>32</v>
      </c>
      <c r="F346" s="15" t="s">
        <v>314</v>
      </c>
      <c r="N346" s="21" t="s">
        <v>96</v>
      </c>
      <c r="O346" s="21" t="s">
        <v>336</v>
      </c>
      <c r="Q346" s="21" t="s">
        <v>344</v>
      </c>
      <c r="R346" s="22">
        <v>45756</v>
      </c>
      <c r="W346">
        <f>COUNTIF(内藤証券!U:U,B346)</f>
        <v>0</v>
      </c>
    </row>
    <row r="347" spans="1:23" ht="24.95" hidden="1" customHeight="1" x14ac:dyDescent="0.4">
      <c r="A347" s="17" t="s">
        <v>46</v>
      </c>
      <c r="B347" s="15" t="s">
        <v>262</v>
      </c>
      <c r="C347" s="16" t="s">
        <v>31</v>
      </c>
      <c r="D347" s="16" t="s">
        <v>31</v>
      </c>
      <c r="E347" s="15" t="s">
        <v>32</v>
      </c>
      <c r="F347" s="15" t="s">
        <v>314</v>
      </c>
      <c r="N347" s="21" t="s">
        <v>96</v>
      </c>
      <c r="O347" s="21" t="s">
        <v>336</v>
      </c>
      <c r="Q347" s="21" t="s">
        <v>344</v>
      </c>
      <c r="R347" s="22">
        <v>45756</v>
      </c>
      <c r="W347">
        <f>COUNTIF(内藤証券!U:U,B347)</f>
        <v>0</v>
      </c>
    </row>
    <row r="348" spans="1:23" ht="24.95" hidden="1" customHeight="1" x14ac:dyDescent="0.4">
      <c r="A348" s="17" t="s">
        <v>46</v>
      </c>
      <c r="B348" s="15" t="s">
        <v>263</v>
      </c>
      <c r="C348" s="16" t="s">
        <v>31</v>
      </c>
      <c r="D348" s="16" t="s">
        <v>31</v>
      </c>
      <c r="E348" s="15" t="s">
        <v>32</v>
      </c>
      <c r="F348" s="15" t="s">
        <v>314</v>
      </c>
      <c r="N348" s="21" t="s">
        <v>96</v>
      </c>
      <c r="O348" s="21" t="s">
        <v>336</v>
      </c>
      <c r="Q348" s="21" t="s">
        <v>344</v>
      </c>
      <c r="R348" s="22">
        <v>45756</v>
      </c>
      <c r="W348">
        <f>COUNTIF(内藤証券!U:U,B348)</f>
        <v>0</v>
      </c>
    </row>
    <row r="349" spans="1:23" ht="24.95" hidden="1" customHeight="1" x14ac:dyDescent="0.4">
      <c r="A349" s="17" t="s">
        <v>46</v>
      </c>
      <c r="B349" s="15" t="s">
        <v>264</v>
      </c>
      <c r="C349" s="16" t="s">
        <v>31</v>
      </c>
      <c r="D349" s="16" t="s">
        <v>31</v>
      </c>
      <c r="E349" s="15" t="s">
        <v>32</v>
      </c>
      <c r="F349" s="15" t="s">
        <v>314</v>
      </c>
      <c r="N349" s="21" t="s">
        <v>96</v>
      </c>
      <c r="O349" s="21" t="s">
        <v>336</v>
      </c>
      <c r="Q349" s="21" t="s">
        <v>344</v>
      </c>
      <c r="R349" s="22">
        <v>45756</v>
      </c>
      <c r="W349">
        <f>COUNTIF(内藤証券!U:U,B349)</f>
        <v>0</v>
      </c>
    </row>
    <row r="350" spans="1:23" ht="24.95" hidden="1" customHeight="1" x14ac:dyDescent="0.4">
      <c r="A350" s="17" t="s">
        <v>46</v>
      </c>
      <c r="B350" s="15" t="s">
        <v>265</v>
      </c>
      <c r="C350" s="16" t="s">
        <v>31</v>
      </c>
      <c r="D350" s="16" t="s">
        <v>31</v>
      </c>
      <c r="E350" s="15" t="s">
        <v>32</v>
      </c>
      <c r="F350" s="15" t="s">
        <v>314</v>
      </c>
      <c r="N350" s="21" t="s">
        <v>96</v>
      </c>
      <c r="O350" s="21" t="s">
        <v>336</v>
      </c>
      <c r="Q350" s="21" t="s">
        <v>344</v>
      </c>
      <c r="R350" s="22">
        <v>45756</v>
      </c>
      <c r="W350">
        <f>COUNTIF(内藤証券!U:U,B350)</f>
        <v>0</v>
      </c>
    </row>
    <row r="351" spans="1:23" ht="24.95" hidden="1" customHeight="1" x14ac:dyDescent="0.4">
      <c r="A351" s="17" t="s">
        <v>46</v>
      </c>
      <c r="B351" s="15" t="s">
        <v>266</v>
      </c>
      <c r="C351" s="16" t="s">
        <v>31</v>
      </c>
      <c r="D351" s="16" t="s">
        <v>31</v>
      </c>
      <c r="E351" s="15" t="s">
        <v>32</v>
      </c>
      <c r="F351" s="15" t="s">
        <v>314</v>
      </c>
      <c r="N351" s="21" t="s">
        <v>96</v>
      </c>
      <c r="O351" s="21" t="s">
        <v>336</v>
      </c>
      <c r="Q351" s="21" t="s">
        <v>344</v>
      </c>
      <c r="R351" s="22">
        <v>45756</v>
      </c>
      <c r="W351">
        <f>COUNTIF(内藤証券!U:U,B351)</f>
        <v>0</v>
      </c>
    </row>
    <row r="352" spans="1:23" ht="24.95" hidden="1" customHeight="1" x14ac:dyDescent="0.4">
      <c r="A352" s="17" t="s">
        <v>46</v>
      </c>
      <c r="B352" s="15" t="s">
        <v>267</v>
      </c>
      <c r="C352" s="16" t="s">
        <v>31</v>
      </c>
      <c r="D352" s="16" t="s">
        <v>31</v>
      </c>
      <c r="E352" s="15" t="s">
        <v>32</v>
      </c>
      <c r="F352" s="15" t="s">
        <v>314</v>
      </c>
      <c r="N352" s="21" t="s">
        <v>96</v>
      </c>
      <c r="O352" s="21" t="s">
        <v>336</v>
      </c>
      <c r="Q352" s="21" t="s">
        <v>344</v>
      </c>
      <c r="R352" s="22">
        <v>45756</v>
      </c>
      <c r="W352">
        <f>COUNTIF(内藤証券!U:U,B352)</f>
        <v>0</v>
      </c>
    </row>
    <row r="353" spans="1:26" ht="24.95" hidden="1" customHeight="1" x14ac:dyDescent="0.4">
      <c r="A353" s="17" t="s">
        <v>46</v>
      </c>
      <c r="B353" s="15" t="s">
        <v>268</v>
      </c>
      <c r="C353" s="16" t="s">
        <v>31</v>
      </c>
      <c r="D353" s="16" t="s">
        <v>31</v>
      </c>
      <c r="E353" s="15" t="s">
        <v>32</v>
      </c>
      <c r="F353" s="15" t="s">
        <v>314</v>
      </c>
      <c r="N353" s="21" t="s">
        <v>96</v>
      </c>
      <c r="O353" s="21" t="s">
        <v>336</v>
      </c>
      <c r="Q353" s="21" t="s">
        <v>344</v>
      </c>
      <c r="R353" s="22">
        <v>45756</v>
      </c>
      <c r="W353">
        <f>COUNTIF(内藤証券!U:U,B353)</f>
        <v>0</v>
      </c>
    </row>
    <row r="354" spans="1:26" ht="24.95" hidden="1" customHeight="1" x14ac:dyDescent="0.4">
      <c r="A354" s="17" t="s">
        <v>46</v>
      </c>
      <c r="B354" s="15" t="s">
        <v>269</v>
      </c>
      <c r="C354" s="16" t="s">
        <v>31</v>
      </c>
      <c r="D354" s="16" t="s">
        <v>31</v>
      </c>
      <c r="E354" s="15" t="s">
        <v>32</v>
      </c>
      <c r="F354" s="15" t="s">
        <v>314</v>
      </c>
      <c r="N354" s="21" t="s">
        <v>96</v>
      </c>
      <c r="O354" s="21" t="s">
        <v>336</v>
      </c>
      <c r="Q354" s="21" t="s">
        <v>344</v>
      </c>
      <c r="R354" s="22">
        <v>45756</v>
      </c>
      <c r="W354">
        <f>COUNTIF(内藤証券!U:U,B354)</f>
        <v>0</v>
      </c>
    </row>
    <row r="355" spans="1:26" ht="24.95" hidden="1" customHeight="1" x14ac:dyDescent="0.4">
      <c r="A355" s="17" t="s">
        <v>46</v>
      </c>
      <c r="B355" s="15" t="s">
        <v>270</v>
      </c>
      <c r="C355" s="16" t="s">
        <v>31</v>
      </c>
      <c r="D355" s="16" t="s">
        <v>31</v>
      </c>
      <c r="E355" s="15" t="s">
        <v>32</v>
      </c>
      <c r="F355" s="15" t="s">
        <v>314</v>
      </c>
      <c r="N355" s="21" t="s">
        <v>96</v>
      </c>
      <c r="O355" s="21" t="s">
        <v>336</v>
      </c>
      <c r="Q355" s="21" t="s">
        <v>344</v>
      </c>
      <c r="R355" s="22">
        <v>45756</v>
      </c>
      <c r="W355">
        <f>COUNTIF(内藤証券!U:U,B355)</f>
        <v>0</v>
      </c>
    </row>
    <row r="356" spans="1:26" ht="24.95" hidden="1" customHeight="1" x14ac:dyDescent="0.4">
      <c r="A356" s="17" t="s">
        <v>46</v>
      </c>
      <c r="B356" s="15" t="s">
        <v>271</v>
      </c>
      <c r="C356" s="16" t="s">
        <v>31</v>
      </c>
      <c r="D356" s="16" t="s">
        <v>31</v>
      </c>
      <c r="E356" s="15" t="s">
        <v>32</v>
      </c>
      <c r="F356" s="15" t="s">
        <v>314</v>
      </c>
      <c r="N356" s="21" t="s">
        <v>96</v>
      </c>
      <c r="O356" s="21" t="s">
        <v>336</v>
      </c>
      <c r="Q356" s="21" t="s">
        <v>344</v>
      </c>
      <c r="R356" s="22">
        <v>45756</v>
      </c>
      <c r="W356">
        <f>COUNTIF(内藤証券!U:U,B356)</f>
        <v>0</v>
      </c>
    </row>
    <row r="357" spans="1:26" ht="24.95" hidden="1" customHeight="1" x14ac:dyDescent="0.4">
      <c r="A357" s="17" t="s">
        <v>46</v>
      </c>
      <c r="B357" s="15" t="s">
        <v>366</v>
      </c>
      <c r="C357" s="16" t="s">
        <v>31</v>
      </c>
      <c r="D357" s="16" t="s">
        <v>31</v>
      </c>
      <c r="E357" s="15" t="s">
        <v>32</v>
      </c>
      <c r="F357" s="15" t="s">
        <v>365</v>
      </c>
      <c r="N357" s="21" t="s">
        <v>374</v>
      </c>
      <c r="O357" s="21" t="s">
        <v>373</v>
      </c>
      <c r="Q357" s="21" t="s">
        <v>344</v>
      </c>
      <c r="R357" s="22">
        <v>45883</v>
      </c>
      <c r="W357">
        <f>COUNTIF(内藤証券!U:U,B357)</f>
        <v>0</v>
      </c>
    </row>
    <row r="358" spans="1:26" ht="24.95" hidden="1" customHeight="1" x14ac:dyDescent="0.4">
      <c r="A358" s="17" t="s">
        <v>46</v>
      </c>
      <c r="B358" s="15" t="s">
        <v>202</v>
      </c>
      <c r="C358" s="16" t="s">
        <v>24</v>
      </c>
      <c r="D358" s="16" t="s">
        <v>31</v>
      </c>
      <c r="E358" s="15" t="s">
        <v>35</v>
      </c>
      <c r="F358" s="15" t="s">
        <v>212</v>
      </c>
      <c r="N358" s="21" t="s">
        <v>96</v>
      </c>
      <c r="O358" s="21" t="s">
        <v>209</v>
      </c>
      <c r="Q358" s="21" t="s">
        <v>169</v>
      </c>
      <c r="R358" s="22">
        <v>45756</v>
      </c>
      <c r="W358">
        <f>COUNTIF(内藤証券!U:U,B358)</f>
        <v>0</v>
      </c>
      <c r="Z358" t="s">
        <v>433</v>
      </c>
    </row>
    <row r="359" spans="1:26" ht="24.95" hidden="1" customHeight="1" x14ac:dyDescent="0.4">
      <c r="A359" s="17" t="s">
        <v>46</v>
      </c>
      <c r="B359" s="15" t="s">
        <v>367</v>
      </c>
      <c r="C359" s="16" t="s">
        <v>31</v>
      </c>
      <c r="D359" s="16" t="s">
        <v>31</v>
      </c>
      <c r="E359" s="15" t="s">
        <v>32</v>
      </c>
      <c r="F359" s="15" t="s">
        <v>365</v>
      </c>
      <c r="N359" s="21" t="s">
        <v>374</v>
      </c>
      <c r="O359" s="21" t="s">
        <v>373</v>
      </c>
      <c r="Q359" s="21" t="s">
        <v>344</v>
      </c>
      <c r="R359" s="22">
        <v>45883</v>
      </c>
      <c r="W359">
        <f>COUNTIF(内藤証券!U:U,B359)</f>
        <v>0</v>
      </c>
    </row>
    <row r="360" spans="1:26" ht="24.95" hidden="1" customHeight="1" x14ac:dyDescent="0.4">
      <c r="A360" s="17" t="s">
        <v>46</v>
      </c>
      <c r="B360" s="15" t="s">
        <v>203</v>
      </c>
      <c r="C360" s="16" t="s">
        <v>31</v>
      </c>
      <c r="D360" s="16" t="s">
        <v>31</v>
      </c>
      <c r="E360" s="15" t="s">
        <v>32</v>
      </c>
      <c r="F360" s="15" t="s">
        <v>212</v>
      </c>
      <c r="N360" s="21" t="s">
        <v>96</v>
      </c>
      <c r="O360" s="21" t="s">
        <v>209</v>
      </c>
      <c r="Q360" s="21" t="s">
        <v>169</v>
      </c>
      <c r="R360" s="22">
        <v>45756</v>
      </c>
      <c r="W360">
        <f>COUNTIF(内藤証券!U:U,B360)</f>
        <v>0</v>
      </c>
      <c r="Z360" t="s">
        <v>433</v>
      </c>
    </row>
    <row r="361" spans="1:26" ht="24.95" hidden="1" customHeight="1" x14ac:dyDescent="0.4">
      <c r="A361" s="17" t="s">
        <v>46</v>
      </c>
      <c r="B361" s="15" t="s">
        <v>324</v>
      </c>
      <c r="C361" s="16" t="s">
        <v>31</v>
      </c>
      <c r="D361" s="16" t="s">
        <v>31</v>
      </c>
      <c r="E361" s="15" t="s">
        <v>32</v>
      </c>
      <c r="F361" s="15" t="s">
        <v>314</v>
      </c>
      <c r="N361" s="21" t="s">
        <v>96</v>
      </c>
      <c r="O361" s="21" t="s">
        <v>337</v>
      </c>
      <c r="Q361" s="21" t="s">
        <v>344</v>
      </c>
      <c r="R361" s="22">
        <v>45756</v>
      </c>
      <c r="W361">
        <f>COUNTIF(内藤証券!U:U,B361)</f>
        <v>0</v>
      </c>
    </row>
    <row r="362" spans="1:26" ht="24.95" hidden="1" customHeight="1" x14ac:dyDescent="0.4">
      <c r="A362" s="17" t="s">
        <v>46</v>
      </c>
      <c r="B362" s="15" t="s">
        <v>368</v>
      </c>
      <c r="C362" s="16" t="s">
        <v>31</v>
      </c>
      <c r="D362" s="16" t="s">
        <v>31</v>
      </c>
      <c r="E362" s="15" t="s">
        <v>32</v>
      </c>
      <c r="F362" s="15" t="s">
        <v>365</v>
      </c>
      <c r="N362" s="21" t="s">
        <v>96</v>
      </c>
      <c r="O362" s="21" t="s">
        <v>372</v>
      </c>
      <c r="Q362" s="21" t="s">
        <v>344</v>
      </c>
      <c r="R362" s="22">
        <v>45883</v>
      </c>
      <c r="W362">
        <f>COUNTIF(内藤証券!U:U,B362)</f>
        <v>0</v>
      </c>
      <c r="Z362" t="s">
        <v>433</v>
      </c>
    </row>
    <row r="363" spans="1:26" ht="24.95" hidden="1" customHeight="1" x14ac:dyDescent="0.4">
      <c r="A363" s="17" t="s">
        <v>46</v>
      </c>
      <c r="B363" s="15" t="s">
        <v>369</v>
      </c>
      <c r="C363" s="16" t="s">
        <v>24</v>
      </c>
      <c r="D363" s="16" t="s">
        <v>31</v>
      </c>
      <c r="E363" s="15" t="s">
        <v>35</v>
      </c>
      <c r="F363" s="15" t="s">
        <v>365</v>
      </c>
      <c r="N363" s="21" t="s">
        <v>96</v>
      </c>
      <c r="O363" s="21" t="s">
        <v>372</v>
      </c>
      <c r="Q363" s="21" t="s">
        <v>344</v>
      </c>
      <c r="R363" s="22">
        <v>45883</v>
      </c>
      <c r="W363">
        <f>COUNTIF(内藤証券!U:U,B363)</f>
        <v>0</v>
      </c>
      <c r="Z363" t="s">
        <v>433</v>
      </c>
    </row>
    <row r="364" spans="1:26" ht="24.95" hidden="1" customHeight="1" x14ac:dyDescent="0.4">
      <c r="A364" s="17" t="s">
        <v>46</v>
      </c>
      <c r="B364" s="15" t="s">
        <v>325</v>
      </c>
      <c r="C364" s="16" t="s">
        <v>24</v>
      </c>
      <c r="D364" s="16" t="s">
        <v>31</v>
      </c>
      <c r="E364" s="15" t="s">
        <v>35</v>
      </c>
      <c r="F364" s="15" t="s">
        <v>314</v>
      </c>
      <c r="N364" s="21" t="s">
        <v>96</v>
      </c>
      <c r="O364" s="21" t="s">
        <v>337</v>
      </c>
      <c r="Q364" s="21" t="s">
        <v>344</v>
      </c>
      <c r="R364" s="22">
        <v>45756</v>
      </c>
      <c r="W364">
        <f>COUNTIF(内藤証券!U:U,B364)</f>
        <v>0</v>
      </c>
    </row>
    <row r="365" spans="1:26" ht="24.95" hidden="1" customHeight="1" x14ac:dyDescent="0.4">
      <c r="A365" s="17" t="s">
        <v>46</v>
      </c>
      <c r="B365" s="15" t="s">
        <v>272</v>
      </c>
      <c r="C365" s="16" t="s">
        <v>31</v>
      </c>
      <c r="D365" s="16" t="s">
        <v>31</v>
      </c>
      <c r="E365" s="15" t="s">
        <v>32</v>
      </c>
      <c r="F365" s="15" t="s">
        <v>314</v>
      </c>
      <c r="N365" s="21" t="s">
        <v>96</v>
      </c>
      <c r="O365" s="21" t="s">
        <v>336</v>
      </c>
      <c r="Q365" s="21" t="s">
        <v>344</v>
      </c>
      <c r="R365" s="22">
        <v>45756</v>
      </c>
      <c r="W365">
        <f>COUNTIF(内藤証券!U:U,B365)</f>
        <v>0</v>
      </c>
    </row>
    <row r="366" spans="1:26" ht="24.95" hidden="1" customHeight="1" x14ac:dyDescent="0.4">
      <c r="A366" s="17" t="s">
        <v>46</v>
      </c>
      <c r="B366" s="15" t="s">
        <v>273</v>
      </c>
      <c r="C366" s="16" t="s">
        <v>31</v>
      </c>
      <c r="D366" s="16" t="s">
        <v>31</v>
      </c>
      <c r="E366" s="15" t="s">
        <v>32</v>
      </c>
      <c r="F366" s="15" t="s">
        <v>314</v>
      </c>
      <c r="N366" s="21" t="s">
        <v>96</v>
      </c>
      <c r="O366" s="21" t="s">
        <v>336</v>
      </c>
      <c r="Q366" s="21" t="s">
        <v>344</v>
      </c>
      <c r="R366" s="22">
        <v>45756</v>
      </c>
      <c r="W366">
        <f>COUNTIF(内藤証券!U:U,B366)</f>
        <v>0</v>
      </c>
    </row>
    <row r="367" spans="1:26" ht="24.95" hidden="1" customHeight="1" x14ac:dyDescent="0.4">
      <c r="A367" s="17" t="s">
        <v>46</v>
      </c>
      <c r="B367" s="15" t="s">
        <v>274</v>
      </c>
      <c r="C367" s="16" t="s">
        <v>31</v>
      </c>
      <c r="D367" s="16" t="s">
        <v>31</v>
      </c>
      <c r="E367" s="15" t="s">
        <v>32</v>
      </c>
      <c r="F367" s="15" t="s">
        <v>314</v>
      </c>
      <c r="N367" s="21" t="s">
        <v>96</v>
      </c>
      <c r="O367" s="21" t="s">
        <v>336</v>
      </c>
      <c r="Q367" s="21" t="s">
        <v>344</v>
      </c>
      <c r="R367" s="22">
        <v>45756</v>
      </c>
      <c r="W367">
        <f>COUNTIF(内藤証券!U:U,B367)</f>
        <v>0</v>
      </c>
    </row>
    <row r="368" spans="1:26" ht="24.95" hidden="1" customHeight="1" x14ac:dyDescent="0.4">
      <c r="A368" s="17" t="s">
        <v>46</v>
      </c>
      <c r="B368" s="15" t="s">
        <v>275</v>
      </c>
      <c r="C368" s="16" t="s">
        <v>31</v>
      </c>
      <c r="D368" s="16" t="s">
        <v>31</v>
      </c>
      <c r="E368" s="15" t="s">
        <v>32</v>
      </c>
      <c r="F368" s="15" t="s">
        <v>314</v>
      </c>
      <c r="N368" s="21" t="s">
        <v>96</v>
      </c>
      <c r="O368" s="21" t="s">
        <v>336</v>
      </c>
      <c r="Q368" s="21" t="s">
        <v>344</v>
      </c>
      <c r="R368" s="22">
        <v>45756</v>
      </c>
      <c r="W368">
        <f>COUNTIF(内藤証券!U:U,B368)</f>
        <v>0</v>
      </c>
    </row>
    <row r="369" spans="1:26" ht="24.95" hidden="1" customHeight="1" x14ac:dyDescent="0.4">
      <c r="A369" s="17" t="s">
        <v>46</v>
      </c>
      <c r="B369" s="15" t="s">
        <v>178</v>
      </c>
      <c r="C369" s="16" t="s">
        <v>24</v>
      </c>
      <c r="D369" s="16" t="s">
        <v>31</v>
      </c>
      <c r="E369" s="15" t="s">
        <v>35</v>
      </c>
      <c r="F369" s="15" t="s">
        <v>173</v>
      </c>
      <c r="N369" s="21" t="s">
        <v>96</v>
      </c>
      <c r="O369" s="21" t="s">
        <v>181</v>
      </c>
      <c r="Q369" s="21" t="s">
        <v>169</v>
      </c>
      <c r="R369" s="22">
        <v>45756</v>
      </c>
      <c r="W369">
        <f>COUNTIF(内藤証券!U:U,B369)</f>
        <v>0</v>
      </c>
      <c r="Z369" t="s">
        <v>433</v>
      </c>
    </row>
    <row r="370" spans="1:26" ht="24.95" hidden="1" customHeight="1" x14ac:dyDescent="0.4">
      <c r="A370" s="17" t="s">
        <v>46</v>
      </c>
      <c r="B370" s="15" t="s">
        <v>179</v>
      </c>
      <c r="C370" s="16" t="s">
        <v>24</v>
      </c>
      <c r="D370" s="16" t="s">
        <v>31</v>
      </c>
      <c r="E370" s="15" t="s">
        <v>35</v>
      </c>
      <c r="F370" s="15" t="s">
        <v>173</v>
      </c>
      <c r="N370" s="21" t="s">
        <v>96</v>
      </c>
      <c r="O370" s="21" t="s">
        <v>181</v>
      </c>
      <c r="Q370" s="21" t="s">
        <v>169</v>
      </c>
      <c r="R370" s="22">
        <v>45756</v>
      </c>
      <c r="W370">
        <f>COUNTIF(内藤証券!U:U,B370)</f>
        <v>0</v>
      </c>
      <c r="Z370" t="s">
        <v>433</v>
      </c>
    </row>
    <row r="371" spans="1:26" ht="24.95" hidden="1" customHeight="1" x14ac:dyDescent="0.4">
      <c r="A371" s="17" t="s">
        <v>46</v>
      </c>
      <c r="B371" s="15" t="s">
        <v>204</v>
      </c>
      <c r="C371" s="16" t="s">
        <v>24</v>
      </c>
      <c r="D371" s="16" t="s">
        <v>31</v>
      </c>
      <c r="E371" s="15" t="s">
        <v>35</v>
      </c>
      <c r="F371" s="15" t="s">
        <v>212</v>
      </c>
      <c r="N371" s="21" t="s">
        <v>96</v>
      </c>
      <c r="O371" s="21" t="s">
        <v>209</v>
      </c>
      <c r="Q371" s="21" t="s">
        <v>169</v>
      </c>
      <c r="R371" s="22">
        <v>45756</v>
      </c>
      <c r="W371">
        <f>COUNTIF(内藤証券!U:U,B371)</f>
        <v>0</v>
      </c>
      <c r="Z371" t="s">
        <v>433</v>
      </c>
    </row>
    <row r="372" spans="1:26" ht="24.95" hidden="1" customHeight="1" x14ac:dyDescent="0.4">
      <c r="A372" s="17" t="s">
        <v>46</v>
      </c>
      <c r="B372" s="15" t="s">
        <v>326</v>
      </c>
      <c r="C372" s="16" t="s">
        <v>31</v>
      </c>
      <c r="D372" s="16" t="s">
        <v>31</v>
      </c>
      <c r="E372" s="15" t="s">
        <v>32</v>
      </c>
      <c r="F372" s="15" t="s">
        <v>314</v>
      </c>
      <c r="N372" s="21" t="s">
        <v>96</v>
      </c>
      <c r="O372" s="21" t="s">
        <v>337</v>
      </c>
      <c r="Q372" s="21" t="s">
        <v>344</v>
      </c>
      <c r="R372" s="22">
        <v>45756</v>
      </c>
      <c r="W372">
        <f>COUNTIF(内藤証券!U:U,B372)</f>
        <v>0</v>
      </c>
    </row>
    <row r="373" spans="1:26" ht="24.95" hidden="1" customHeight="1" x14ac:dyDescent="0.4">
      <c r="A373" s="17" t="s">
        <v>46</v>
      </c>
      <c r="B373" s="15" t="s">
        <v>168</v>
      </c>
      <c r="C373" s="16" t="s">
        <v>31</v>
      </c>
      <c r="D373" s="16" t="s">
        <v>31</v>
      </c>
      <c r="E373" s="15" t="s">
        <v>32</v>
      </c>
      <c r="F373" s="15" t="s">
        <v>170</v>
      </c>
      <c r="N373" s="21" t="s">
        <v>96</v>
      </c>
      <c r="O373" s="13" t="s">
        <v>219</v>
      </c>
      <c r="Q373" s="21" t="s">
        <v>169</v>
      </c>
      <c r="R373" s="22">
        <v>45756</v>
      </c>
      <c r="W373">
        <f>COUNTIF(内藤証券!U:U,B373)</f>
        <v>0</v>
      </c>
      <c r="Z373" t="s">
        <v>433</v>
      </c>
    </row>
    <row r="374" spans="1:26" ht="24.95" hidden="1" customHeight="1" x14ac:dyDescent="0.4">
      <c r="A374" s="17" t="s">
        <v>46</v>
      </c>
      <c r="B374" s="15" t="s">
        <v>327</v>
      </c>
      <c r="C374" s="16" t="s">
        <v>24</v>
      </c>
      <c r="D374" s="16" t="s">
        <v>31</v>
      </c>
      <c r="E374" s="15" t="s">
        <v>35</v>
      </c>
      <c r="F374" s="15" t="s">
        <v>314</v>
      </c>
      <c r="N374" s="21" t="s">
        <v>96</v>
      </c>
      <c r="O374" s="21" t="s">
        <v>337</v>
      </c>
      <c r="Q374" s="21" t="s">
        <v>344</v>
      </c>
      <c r="R374" s="22">
        <v>45756</v>
      </c>
      <c r="W374">
        <f>COUNTIF(内藤証券!U:U,B374)</f>
        <v>0</v>
      </c>
    </row>
    <row r="375" spans="1:26" ht="24.95" hidden="1" customHeight="1" x14ac:dyDescent="0.4">
      <c r="A375" s="17" t="s">
        <v>46</v>
      </c>
      <c r="B375" s="15" t="s">
        <v>328</v>
      </c>
      <c r="C375" s="16" t="s">
        <v>24</v>
      </c>
      <c r="D375" s="16" t="s">
        <v>31</v>
      </c>
      <c r="E375" s="15" t="s">
        <v>35</v>
      </c>
      <c r="F375" s="15" t="s">
        <v>314</v>
      </c>
      <c r="N375" s="21" t="s">
        <v>96</v>
      </c>
      <c r="O375" s="21" t="s">
        <v>337</v>
      </c>
      <c r="Q375" s="21" t="s">
        <v>344</v>
      </c>
      <c r="R375" s="22">
        <v>45756</v>
      </c>
      <c r="W375">
        <f>COUNTIF(内藤証券!U:U,B375)</f>
        <v>0</v>
      </c>
    </row>
    <row r="376" spans="1:26" ht="24.95" hidden="1" customHeight="1" x14ac:dyDescent="0.4">
      <c r="A376" s="17" t="s">
        <v>46</v>
      </c>
      <c r="B376" s="15" t="s">
        <v>329</v>
      </c>
      <c r="C376" s="16" t="s">
        <v>24</v>
      </c>
      <c r="D376" s="16" t="s">
        <v>31</v>
      </c>
      <c r="E376" s="15" t="s">
        <v>35</v>
      </c>
      <c r="F376" s="15" t="s">
        <v>314</v>
      </c>
      <c r="N376" s="21" t="s">
        <v>96</v>
      </c>
      <c r="O376" s="21" t="s">
        <v>337</v>
      </c>
      <c r="Q376" s="21" t="s">
        <v>344</v>
      </c>
      <c r="R376" s="22">
        <v>45756</v>
      </c>
      <c r="W376">
        <f>COUNTIF(内藤証券!U:U,B376)</f>
        <v>0</v>
      </c>
    </row>
    <row r="377" spans="1:26" ht="24.95" hidden="1" customHeight="1" x14ac:dyDescent="0.4">
      <c r="A377" s="17" t="s">
        <v>46</v>
      </c>
      <c r="B377" s="15" t="s">
        <v>205</v>
      </c>
      <c r="C377" s="16" t="s">
        <v>24</v>
      </c>
      <c r="D377" s="16" t="s">
        <v>31</v>
      </c>
      <c r="E377" s="15" t="s">
        <v>35</v>
      </c>
      <c r="F377" s="15" t="s">
        <v>212</v>
      </c>
      <c r="N377" s="21" t="s">
        <v>96</v>
      </c>
      <c r="O377" s="21" t="s">
        <v>209</v>
      </c>
      <c r="Q377" s="21" t="s">
        <v>169</v>
      </c>
      <c r="R377" s="22">
        <v>45756</v>
      </c>
      <c r="W377">
        <f>COUNTIF(内藤証券!U:U,B377)</f>
        <v>0</v>
      </c>
      <c r="Z377" t="s">
        <v>433</v>
      </c>
    </row>
    <row r="378" spans="1:26" ht="24.95" hidden="1" customHeight="1" x14ac:dyDescent="0.4">
      <c r="A378" s="17" t="s">
        <v>46</v>
      </c>
      <c r="B378" s="15" t="s">
        <v>276</v>
      </c>
      <c r="C378" s="16" t="s">
        <v>31</v>
      </c>
      <c r="D378" s="16" t="s">
        <v>31</v>
      </c>
      <c r="E378" s="15" t="s">
        <v>32</v>
      </c>
      <c r="F378" s="15" t="s">
        <v>314</v>
      </c>
      <c r="N378" s="21" t="s">
        <v>96</v>
      </c>
      <c r="O378" s="21" t="s">
        <v>336</v>
      </c>
      <c r="Q378" s="21" t="s">
        <v>344</v>
      </c>
      <c r="R378" s="22">
        <v>45756</v>
      </c>
      <c r="W378">
        <f>COUNTIF(内藤証券!U:U,B378)</f>
        <v>0</v>
      </c>
    </row>
    <row r="379" spans="1:26" ht="24.95" hidden="1" customHeight="1" x14ac:dyDescent="0.4">
      <c r="A379" s="17" t="s">
        <v>46</v>
      </c>
      <c r="B379" s="15" t="s">
        <v>277</v>
      </c>
      <c r="C379" s="16" t="s">
        <v>31</v>
      </c>
      <c r="D379" s="16" t="s">
        <v>31</v>
      </c>
      <c r="E379" s="15" t="s">
        <v>32</v>
      </c>
      <c r="F379" s="15" t="s">
        <v>314</v>
      </c>
      <c r="N379" s="21" t="s">
        <v>96</v>
      </c>
      <c r="O379" s="21" t="s">
        <v>336</v>
      </c>
      <c r="Q379" s="21" t="s">
        <v>344</v>
      </c>
      <c r="R379" s="22">
        <v>45756</v>
      </c>
      <c r="W379">
        <f>COUNTIF(内藤証券!U:U,B379)</f>
        <v>0</v>
      </c>
    </row>
    <row r="380" spans="1:26" ht="24.95" hidden="1" customHeight="1" x14ac:dyDescent="0.4">
      <c r="A380" s="17" t="s">
        <v>46</v>
      </c>
      <c r="B380" s="15" t="s">
        <v>278</v>
      </c>
      <c r="C380" s="16" t="s">
        <v>31</v>
      </c>
      <c r="D380" s="16" t="s">
        <v>31</v>
      </c>
      <c r="E380" s="15" t="s">
        <v>32</v>
      </c>
      <c r="F380" s="15" t="s">
        <v>314</v>
      </c>
      <c r="N380" s="21" t="s">
        <v>96</v>
      </c>
      <c r="O380" s="21" t="s">
        <v>336</v>
      </c>
      <c r="Q380" s="21" t="s">
        <v>344</v>
      </c>
      <c r="R380" s="22">
        <v>45756</v>
      </c>
      <c r="W380">
        <f>COUNTIF(内藤証券!U:U,B380)</f>
        <v>0</v>
      </c>
    </row>
    <row r="381" spans="1:26" ht="24.95" hidden="1" customHeight="1" x14ac:dyDescent="0.4">
      <c r="A381" s="17" t="s">
        <v>46</v>
      </c>
      <c r="B381" s="15" t="s">
        <v>279</v>
      </c>
      <c r="C381" s="16" t="s">
        <v>31</v>
      </c>
      <c r="D381" s="16" t="s">
        <v>31</v>
      </c>
      <c r="E381" s="15" t="s">
        <v>32</v>
      </c>
      <c r="F381" s="15" t="s">
        <v>314</v>
      </c>
      <c r="N381" s="21" t="s">
        <v>96</v>
      </c>
      <c r="O381" s="21" t="s">
        <v>336</v>
      </c>
      <c r="Q381" s="21" t="s">
        <v>344</v>
      </c>
      <c r="R381" s="22">
        <v>45756</v>
      </c>
      <c r="W381">
        <f>COUNTIF(内藤証券!U:U,B381)</f>
        <v>0</v>
      </c>
    </row>
    <row r="382" spans="1:26" ht="24.95" hidden="1" customHeight="1" x14ac:dyDescent="0.4">
      <c r="A382" s="17" t="s">
        <v>46</v>
      </c>
      <c r="B382" s="15" t="s">
        <v>280</v>
      </c>
      <c r="C382" s="16" t="s">
        <v>31</v>
      </c>
      <c r="D382" s="16" t="s">
        <v>31</v>
      </c>
      <c r="E382" s="15" t="s">
        <v>32</v>
      </c>
      <c r="F382" s="15" t="s">
        <v>314</v>
      </c>
      <c r="N382" s="21" t="s">
        <v>96</v>
      </c>
      <c r="O382" s="21" t="s">
        <v>336</v>
      </c>
      <c r="Q382" s="21" t="s">
        <v>344</v>
      </c>
      <c r="R382" s="22">
        <v>45756</v>
      </c>
      <c r="W382">
        <f>COUNTIF(内藤証券!U:U,B382)</f>
        <v>0</v>
      </c>
    </row>
    <row r="383" spans="1:26" ht="24.95" hidden="1" customHeight="1" x14ac:dyDescent="0.4">
      <c r="A383" s="17" t="s">
        <v>46</v>
      </c>
      <c r="B383" s="15" t="s">
        <v>281</v>
      </c>
      <c r="C383" s="16" t="s">
        <v>31</v>
      </c>
      <c r="D383" s="16" t="s">
        <v>31</v>
      </c>
      <c r="E383" s="15" t="s">
        <v>32</v>
      </c>
      <c r="F383" s="15" t="s">
        <v>314</v>
      </c>
      <c r="N383" s="21" t="s">
        <v>96</v>
      </c>
      <c r="O383" s="21" t="s">
        <v>336</v>
      </c>
      <c r="Q383" s="21" t="s">
        <v>344</v>
      </c>
      <c r="R383" s="22">
        <v>45756</v>
      </c>
      <c r="W383">
        <f>COUNTIF(内藤証券!U:U,B383)</f>
        <v>0</v>
      </c>
    </row>
    <row r="384" spans="1:26" ht="24.95" hidden="1" customHeight="1" x14ac:dyDescent="0.4">
      <c r="A384" s="17" t="s">
        <v>46</v>
      </c>
      <c r="B384" s="15" t="s">
        <v>282</v>
      </c>
      <c r="C384" s="16" t="s">
        <v>31</v>
      </c>
      <c r="D384" s="16" t="s">
        <v>31</v>
      </c>
      <c r="E384" s="15" t="s">
        <v>32</v>
      </c>
      <c r="F384" s="15" t="s">
        <v>314</v>
      </c>
      <c r="N384" s="21" t="s">
        <v>96</v>
      </c>
      <c r="O384" s="21" t="s">
        <v>336</v>
      </c>
      <c r="Q384" s="21" t="s">
        <v>344</v>
      </c>
      <c r="R384" s="22">
        <v>45756</v>
      </c>
      <c r="W384">
        <f>COUNTIF(内藤証券!U:U,B384)</f>
        <v>0</v>
      </c>
    </row>
    <row r="385" spans="1:26" ht="24.95" hidden="1" customHeight="1" x14ac:dyDescent="0.4">
      <c r="A385" s="17" t="s">
        <v>46</v>
      </c>
      <c r="B385" s="15" t="s">
        <v>283</v>
      </c>
      <c r="C385" s="16" t="s">
        <v>31</v>
      </c>
      <c r="D385" s="16" t="s">
        <v>31</v>
      </c>
      <c r="E385" s="15" t="s">
        <v>32</v>
      </c>
      <c r="F385" s="15" t="s">
        <v>314</v>
      </c>
      <c r="N385" s="21" t="s">
        <v>96</v>
      </c>
      <c r="O385" s="21" t="s">
        <v>336</v>
      </c>
      <c r="Q385" s="21" t="s">
        <v>344</v>
      </c>
      <c r="R385" s="22">
        <v>45756</v>
      </c>
      <c r="W385">
        <f>COUNTIF(内藤証券!U:U,B385)</f>
        <v>0</v>
      </c>
    </row>
    <row r="386" spans="1:26" ht="24.95" hidden="1" customHeight="1" x14ac:dyDescent="0.4">
      <c r="A386" s="17" t="s">
        <v>46</v>
      </c>
      <c r="B386" s="15" t="s">
        <v>284</v>
      </c>
      <c r="C386" s="16" t="s">
        <v>31</v>
      </c>
      <c r="D386" s="16" t="s">
        <v>31</v>
      </c>
      <c r="E386" s="15" t="s">
        <v>32</v>
      </c>
      <c r="F386" s="15" t="s">
        <v>314</v>
      </c>
      <c r="N386" s="21" t="s">
        <v>96</v>
      </c>
      <c r="O386" s="21" t="s">
        <v>336</v>
      </c>
      <c r="Q386" s="21" t="s">
        <v>344</v>
      </c>
      <c r="R386" s="22">
        <v>45756</v>
      </c>
      <c r="W386">
        <f>COUNTIF(内藤証券!U:U,B386)</f>
        <v>0</v>
      </c>
    </row>
    <row r="387" spans="1:26" ht="24.95" hidden="1" customHeight="1" x14ac:dyDescent="0.4">
      <c r="A387" s="17" t="s">
        <v>46</v>
      </c>
      <c r="B387" s="15" t="s">
        <v>285</v>
      </c>
      <c r="C387" s="16" t="s">
        <v>31</v>
      </c>
      <c r="D387" s="16" t="s">
        <v>31</v>
      </c>
      <c r="E387" s="15" t="s">
        <v>32</v>
      </c>
      <c r="F387" s="15" t="s">
        <v>314</v>
      </c>
      <c r="N387" s="21" t="s">
        <v>96</v>
      </c>
      <c r="O387" s="21" t="s">
        <v>336</v>
      </c>
      <c r="Q387" s="21" t="s">
        <v>344</v>
      </c>
      <c r="R387" s="22">
        <v>45756</v>
      </c>
      <c r="W387">
        <f>COUNTIF(内藤証券!U:U,B387)</f>
        <v>0</v>
      </c>
    </row>
    <row r="388" spans="1:26" ht="24.95" hidden="1" customHeight="1" x14ac:dyDescent="0.4">
      <c r="A388" s="17" t="s">
        <v>46</v>
      </c>
      <c r="B388" s="15" t="s">
        <v>286</v>
      </c>
      <c r="C388" s="16" t="s">
        <v>31</v>
      </c>
      <c r="D388" s="16" t="s">
        <v>31</v>
      </c>
      <c r="E388" s="15" t="s">
        <v>32</v>
      </c>
      <c r="F388" s="15" t="s">
        <v>314</v>
      </c>
      <c r="N388" s="21" t="s">
        <v>96</v>
      </c>
      <c r="O388" s="21" t="s">
        <v>336</v>
      </c>
      <c r="Q388" s="21" t="s">
        <v>344</v>
      </c>
      <c r="R388" s="22">
        <v>45756</v>
      </c>
      <c r="W388">
        <f>COUNTIF(内藤証券!U:U,B388)</f>
        <v>0</v>
      </c>
    </row>
    <row r="389" spans="1:26" ht="24.95" hidden="1" customHeight="1" x14ac:dyDescent="0.4">
      <c r="A389" s="17" t="s">
        <v>46</v>
      </c>
      <c r="B389" s="15" t="s">
        <v>287</v>
      </c>
      <c r="C389" s="16" t="s">
        <v>31</v>
      </c>
      <c r="D389" s="16" t="s">
        <v>31</v>
      </c>
      <c r="E389" s="15" t="s">
        <v>32</v>
      </c>
      <c r="F389" s="15" t="s">
        <v>314</v>
      </c>
      <c r="N389" s="21" t="s">
        <v>96</v>
      </c>
      <c r="O389" s="21" t="s">
        <v>336</v>
      </c>
      <c r="Q389" s="21" t="s">
        <v>344</v>
      </c>
      <c r="R389" s="22">
        <v>45756</v>
      </c>
      <c r="W389">
        <f>COUNTIF(内藤証券!U:U,B389)</f>
        <v>0</v>
      </c>
    </row>
    <row r="390" spans="1:26" ht="24.95" hidden="1" customHeight="1" x14ac:dyDescent="0.4">
      <c r="A390" s="17" t="s">
        <v>46</v>
      </c>
      <c r="B390" s="15" t="s">
        <v>342</v>
      </c>
      <c r="C390" s="16" t="s">
        <v>31</v>
      </c>
      <c r="D390" s="16" t="s">
        <v>31</v>
      </c>
      <c r="E390" s="15" t="s">
        <v>32</v>
      </c>
      <c r="F390" s="15" t="s">
        <v>340</v>
      </c>
      <c r="N390" s="21" t="s">
        <v>96</v>
      </c>
      <c r="O390" s="21" t="s">
        <v>345</v>
      </c>
      <c r="Q390" s="21" t="s">
        <v>344</v>
      </c>
      <c r="R390" s="22">
        <v>45784</v>
      </c>
      <c r="W390">
        <f>COUNTIF(内藤証券!U:U,B390)</f>
        <v>0</v>
      </c>
      <c r="Z390" t="s">
        <v>433</v>
      </c>
    </row>
    <row r="391" spans="1:26" ht="24.95" hidden="1" customHeight="1" x14ac:dyDescent="0.4">
      <c r="A391" s="17" t="s">
        <v>46</v>
      </c>
      <c r="B391" s="15" t="s">
        <v>194</v>
      </c>
      <c r="C391" s="16" t="s">
        <v>31</v>
      </c>
      <c r="D391" s="16" t="s">
        <v>31</v>
      </c>
      <c r="E391" s="15" t="s">
        <v>32</v>
      </c>
      <c r="F391" s="15" t="s">
        <v>184</v>
      </c>
      <c r="N391" s="21" t="s">
        <v>96</v>
      </c>
      <c r="O391" s="21" t="s">
        <v>210</v>
      </c>
      <c r="Q391" s="21" t="s">
        <v>169</v>
      </c>
      <c r="R391" s="22">
        <v>45756</v>
      </c>
      <c r="W391">
        <f>COUNTIF(内藤証券!U:U,B391)</f>
        <v>0</v>
      </c>
      <c r="Z391" t="s">
        <v>433</v>
      </c>
    </row>
    <row r="392" spans="1:26" ht="24.95" hidden="1" customHeight="1" x14ac:dyDescent="0.4">
      <c r="A392" s="17" t="s">
        <v>46</v>
      </c>
      <c r="B392" s="15" t="s">
        <v>288</v>
      </c>
      <c r="C392" s="16" t="s">
        <v>31</v>
      </c>
      <c r="D392" s="16" t="s">
        <v>31</v>
      </c>
      <c r="E392" s="15" t="s">
        <v>32</v>
      </c>
      <c r="F392" s="15" t="s">
        <v>314</v>
      </c>
      <c r="N392" s="21" t="s">
        <v>96</v>
      </c>
      <c r="O392" s="21" t="s">
        <v>336</v>
      </c>
      <c r="Q392" s="21" t="s">
        <v>344</v>
      </c>
      <c r="R392" s="22">
        <v>45756</v>
      </c>
      <c r="W392">
        <f>COUNTIF(内藤証券!U:U,B392)</f>
        <v>0</v>
      </c>
    </row>
    <row r="393" spans="1:26" ht="24.95" hidden="1" customHeight="1" x14ac:dyDescent="0.4">
      <c r="A393" s="17" t="s">
        <v>46</v>
      </c>
      <c r="B393" s="15" t="s">
        <v>289</v>
      </c>
      <c r="C393" s="16" t="s">
        <v>31</v>
      </c>
      <c r="D393" s="16" t="s">
        <v>31</v>
      </c>
      <c r="E393" s="15" t="s">
        <v>32</v>
      </c>
      <c r="F393" s="15" t="s">
        <v>314</v>
      </c>
      <c r="N393" s="21" t="s">
        <v>96</v>
      </c>
      <c r="O393" s="21" t="s">
        <v>336</v>
      </c>
      <c r="Q393" s="21" t="s">
        <v>344</v>
      </c>
      <c r="R393" s="22">
        <v>45756</v>
      </c>
      <c r="W393">
        <f>COUNTIF(内藤証券!U:U,B393)</f>
        <v>0</v>
      </c>
    </row>
    <row r="394" spans="1:26" ht="24.95" hidden="1" customHeight="1" x14ac:dyDescent="0.4">
      <c r="A394" s="17" t="s">
        <v>46</v>
      </c>
      <c r="B394" s="15" t="s">
        <v>290</v>
      </c>
      <c r="C394" s="16" t="s">
        <v>31</v>
      </c>
      <c r="D394" s="16" t="s">
        <v>31</v>
      </c>
      <c r="E394" s="15" t="s">
        <v>32</v>
      </c>
      <c r="F394" s="15" t="s">
        <v>314</v>
      </c>
      <c r="N394" s="21" t="s">
        <v>96</v>
      </c>
      <c r="O394" s="21" t="s">
        <v>336</v>
      </c>
      <c r="Q394" s="21" t="s">
        <v>344</v>
      </c>
      <c r="R394" s="22">
        <v>45756</v>
      </c>
      <c r="W394">
        <f>COUNTIF(内藤証券!U:U,B394)</f>
        <v>0</v>
      </c>
    </row>
    <row r="395" spans="1:26" ht="24.95" hidden="1" customHeight="1" x14ac:dyDescent="0.4">
      <c r="A395" s="17" t="s">
        <v>46</v>
      </c>
      <c r="B395" s="15" t="s">
        <v>291</v>
      </c>
      <c r="C395" s="16" t="s">
        <v>31</v>
      </c>
      <c r="D395" s="16" t="s">
        <v>31</v>
      </c>
      <c r="E395" s="15" t="s">
        <v>32</v>
      </c>
      <c r="F395" s="15" t="s">
        <v>314</v>
      </c>
      <c r="N395" s="21" t="s">
        <v>96</v>
      </c>
      <c r="O395" s="21" t="s">
        <v>336</v>
      </c>
      <c r="Q395" s="21" t="s">
        <v>344</v>
      </c>
      <c r="R395" s="22">
        <v>45756</v>
      </c>
      <c r="W395">
        <f>COUNTIF(内藤証券!U:U,B395)</f>
        <v>0</v>
      </c>
    </row>
    <row r="396" spans="1:26" ht="24.95" hidden="1" customHeight="1" x14ac:dyDescent="0.4">
      <c r="A396" s="17" t="s">
        <v>46</v>
      </c>
      <c r="B396" s="15" t="s">
        <v>292</v>
      </c>
      <c r="C396" s="16" t="s">
        <v>31</v>
      </c>
      <c r="D396" s="16" t="s">
        <v>31</v>
      </c>
      <c r="E396" s="15" t="s">
        <v>32</v>
      </c>
      <c r="F396" s="15" t="s">
        <v>314</v>
      </c>
      <c r="N396" s="21" t="s">
        <v>96</v>
      </c>
      <c r="O396" s="21" t="s">
        <v>336</v>
      </c>
      <c r="Q396" s="21" t="s">
        <v>344</v>
      </c>
      <c r="R396" s="22">
        <v>45756</v>
      </c>
      <c r="W396">
        <f>COUNTIF(内藤証券!U:U,B396)</f>
        <v>0</v>
      </c>
    </row>
    <row r="397" spans="1:26" ht="24.95" hidden="1" customHeight="1" x14ac:dyDescent="0.4">
      <c r="A397" s="17" t="s">
        <v>46</v>
      </c>
      <c r="B397" s="15" t="s">
        <v>293</v>
      </c>
      <c r="C397" s="16" t="s">
        <v>31</v>
      </c>
      <c r="D397" s="16" t="s">
        <v>31</v>
      </c>
      <c r="E397" s="15" t="s">
        <v>32</v>
      </c>
      <c r="F397" s="15" t="s">
        <v>314</v>
      </c>
      <c r="N397" s="21" t="s">
        <v>96</v>
      </c>
      <c r="O397" s="21" t="s">
        <v>336</v>
      </c>
      <c r="Q397" s="21" t="s">
        <v>344</v>
      </c>
      <c r="R397" s="22">
        <v>45756</v>
      </c>
      <c r="W397">
        <f>COUNTIF(内藤証券!U:U,B397)</f>
        <v>0</v>
      </c>
    </row>
    <row r="398" spans="1:26" ht="24.95" hidden="1" customHeight="1" x14ac:dyDescent="0.4">
      <c r="A398" s="17" t="s">
        <v>46</v>
      </c>
      <c r="B398" s="15" t="s">
        <v>294</v>
      </c>
      <c r="C398" s="16" t="s">
        <v>31</v>
      </c>
      <c r="D398" s="16" t="s">
        <v>31</v>
      </c>
      <c r="E398" s="15" t="s">
        <v>32</v>
      </c>
      <c r="F398" s="15" t="s">
        <v>314</v>
      </c>
      <c r="N398" s="21" t="s">
        <v>96</v>
      </c>
      <c r="O398" s="21" t="s">
        <v>336</v>
      </c>
      <c r="Q398" s="21" t="s">
        <v>344</v>
      </c>
      <c r="R398" s="22">
        <v>45756</v>
      </c>
      <c r="W398">
        <f>COUNTIF(内藤証券!U:U,B398)</f>
        <v>0</v>
      </c>
    </row>
    <row r="399" spans="1:26" ht="24.95" hidden="1" customHeight="1" x14ac:dyDescent="0.4">
      <c r="A399" s="17" t="s">
        <v>46</v>
      </c>
      <c r="B399" s="15" t="s">
        <v>295</v>
      </c>
      <c r="C399" s="16" t="s">
        <v>31</v>
      </c>
      <c r="D399" s="16" t="s">
        <v>31</v>
      </c>
      <c r="E399" s="15" t="s">
        <v>32</v>
      </c>
      <c r="F399" s="15" t="s">
        <v>314</v>
      </c>
      <c r="N399" s="21" t="s">
        <v>96</v>
      </c>
      <c r="O399" s="21" t="s">
        <v>336</v>
      </c>
      <c r="Q399" s="21" t="s">
        <v>344</v>
      </c>
      <c r="R399" s="22">
        <v>45756</v>
      </c>
      <c r="W399">
        <f>COUNTIF(内藤証券!U:U,B399)</f>
        <v>0</v>
      </c>
    </row>
    <row r="400" spans="1:26" ht="24.95" hidden="1" customHeight="1" x14ac:dyDescent="0.4">
      <c r="A400" s="17" t="s">
        <v>46</v>
      </c>
      <c r="B400" s="15" t="s">
        <v>296</v>
      </c>
      <c r="C400" s="16" t="s">
        <v>31</v>
      </c>
      <c r="D400" s="16" t="s">
        <v>31</v>
      </c>
      <c r="E400" s="15" t="s">
        <v>32</v>
      </c>
      <c r="F400" s="15" t="s">
        <v>314</v>
      </c>
      <c r="N400" s="21" t="s">
        <v>96</v>
      </c>
      <c r="O400" s="21" t="s">
        <v>336</v>
      </c>
      <c r="Q400" s="21" t="s">
        <v>344</v>
      </c>
      <c r="R400" s="22">
        <v>45756</v>
      </c>
      <c r="W400">
        <f>COUNTIF(内藤証券!U:U,B400)</f>
        <v>0</v>
      </c>
    </row>
    <row r="401" spans="1:26" ht="24.95" hidden="1" customHeight="1" x14ac:dyDescent="0.4">
      <c r="A401" s="17" t="s">
        <v>46</v>
      </c>
      <c r="B401" s="15" t="s">
        <v>297</v>
      </c>
      <c r="C401" s="16" t="s">
        <v>31</v>
      </c>
      <c r="D401" s="16" t="s">
        <v>31</v>
      </c>
      <c r="E401" s="15" t="s">
        <v>32</v>
      </c>
      <c r="F401" s="15" t="s">
        <v>314</v>
      </c>
      <c r="N401" s="21" t="s">
        <v>96</v>
      </c>
      <c r="O401" s="21" t="s">
        <v>336</v>
      </c>
      <c r="Q401" s="21" t="s">
        <v>344</v>
      </c>
      <c r="R401" s="22">
        <v>45756</v>
      </c>
      <c r="W401">
        <f>COUNTIF(内藤証券!U:U,B401)</f>
        <v>0</v>
      </c>
    </row>
    <row r="402" spans="1:26" ht="24.95" hidden="1" customHeight="1" x14ac:dyDescent="0.4">
      <c r="A402" s="17" t="s">
        <v>46</v>
      </c>
      <c r="B402" s="15" t="s">
        <v>298</v>
      </c>
      <c r="C402" s="16" t="s">
        <v>31</v>
      </c>
      <c r="D402" s="16" t="s">
        <v>31</v>
      </c>
      <c r="E402" s="15" t="s">
        <v>32</v>
      </c>
      <c r="F402" s="15" t="s">
        <v>314</v>
      </c>
      <c r="N402" s="21" t="s">
        <v>96</v>
      </c>
      <c r="O402" s="21" t="s">
        <v>336</v>
      </c>
      <c r="Q402" s="21" t="s">
        <v>344</v>
      </c>
      <c r="R402" s="22">
        <v>45756</v>
      </c>
      <c r="W402">
        <f>COUNTIF(内藤証券!U:U,B402)</f>
        <v>0</v>
      </c>
    </row>
    <row r="403" spans="1:26" ht="24.95" hidden="1" customHeight="1" x14ac:dyDescent="0.4">
      <c r="A403" s="17" t="s">
        <v>46</v>
      </c>
      <c r="B403" s="15" t="s">
        <v>299</v>
      </c>
      <c r="C403" s="16" t="s">
        <v>31</v>
      </c>
      <c r="D403" s="16" t="s">
        <v>31</v>
      </c>
      <c r="E403" s="15" t="s">
        <v>32</v>
      </c>
      <c r="F403" s="15" t="s">
        <v>314</v>
      </c>
      <c r="N403" s="21" t="s">
        <v>96</v>
      </c>
      <c r="O403" s="21" t="s">
        <v>336</v>
      </c>
      <c r="Q403" s="21" t="s">
        <v>344</v>
      </c>
      <c r="R403" s="22">
        <v>45756</v>
      </c>
      <c r="W403">
        <f>COUNTIF(内藤証券!U:U,B403)</f>
        <v>0</v>
      </c>
    </row>
    <row r="404" spans="1:26" ht="24.95" hidden="1" customHeight="1" x14ac:dyDescent="0.4">
      <c r="A404" s="17" t="s">
        <v>46</v>
      </c>
      <c r="B404" s="15" t="s">
        <v>300</v>
      </c>
      <c r="C404" s="16" t="s">
        <v>31</v>
      </c>
      <c r="D404" s="16" t="s">
        <v>31</v>
      </c>
      <c r="E404" s="15" t="s">
        <v>32</v>
      </c>
      <c r="F404" s="15" t="s">
        <v>314</v>
      </c>
      <c r="N404" s="21" t="s">
        <v>96</v>
      </c>
      <c r="O404" s="21" t="s">
        <v>336</v>
      </c>
      <c r="Q404" s="21" t="s">
        <v>344</v>
      </c>
      <c r="R404" s="22">
        <v>45756</v>
      </c>
      <c r="W404">
        <f>COUNTIF(内藤証券!U:U,B404)</f>
        <v>0</v>
      </c>
    </row>
    <row r="405" spans="1:26" ht="24.95" hidden="1" customHeight="1" x14ac:dyDescent="0.4">
      <c r="A405" s="17" t="s">
        <v>46</v>
      </c>
      <c r="B405" s="15" t="s">
        <v>301</v>
      </c>
      <c r="C405" s="16" t="s">
        <v>31</v>
      </c>
      <c r="D405" s="16" t="s">
        <v>31</v>
      </c>
      <c r="E405" s="15" t="s">
        <v>32</v>
      </c>
      <c r="F405" s="15" t="s">
        <v>314</v>
      </c>
      <c r="N405" s="21" t="s">
        <v>96</v>
      </c>
      <c r="O405" s="21" t="s">
        <v>336</v>
      </c>
      <c r="Q405" s="21" t="s">
        <v>344</v>
      </c>
      <c r="R405" s="22">
        <v>45756</v>
      </c>
      <c r="W405">
        <f>COUNTIF(内藤証券!U:U,B405)</f>
        <v>0</v>
      </c>
    </row>
    <row r="406" spans="1:26" ht="24.95" hidden="1" customHeight="1" x14ac:dyDescent="0.4">
      <c r="A406" s="17" t="s">
        <v>46</v>
      </c>
      <c r="B406" s="15" t="s">
        <v>302</v>
      </c>
      <c r="C406" s="16" t="s">
        <v>31</v>
      </c>
      <c r="D406" s="16" t="s">
        <v>31</v>
      </c>
      <c r="E406" s="15" t="s">
        <v>32</v>
      </c>
      <c r="F406" s="15" t="s">
        <v>314</v>
      </c>
      <c r="N406" s="21" t="s">
        <v>96</v>
      </c>
      <c r="O406" s="21" t="s">
        <v>336</v>
      </c>
      <c r="Q406" s="21" t="s">
        <v>344</v>
      </c>
      <c r="R406" s="22">
        <v>45756</v>
      </c>
      <c r="W406">
        <f>COUNTIF(内藤証券!U:U,B406)</f>
        <v>0</v>
      </c>
    </row>
    <row r="407" spans="1:26" ht="24.95" hidden="1" customHeight="1" x14ac:dyDescent="0.4">
      <c r="A407" s="17" t="s">
        <v>46</v>
      </c>
      <c r="B407" s="15" t="s">
        <v>303</v>
      </c>
      <c r="C407" s="16" t="s">
        <v>31</v>
      </c>
      <c r="D407" s="16" t="s">
        <v>31</v>
      </c>
      <c r="E407" s="15" t="s">
        <v>32</v>
      </c>
      <c r="F407" s="15" t="s">
        <v>314</v>
      </c>
      <c r="N407" s="21" t="s">
        <v>96</v>
      </c>
      <c r="O407" s="21" t="s">
        <v>336</v>
      </c>
      <c r="Q407" s="21" t="s">
        <v>344</v>
      </c>
      <c r="R407" s="22">
        <v>45756</v>
      </c>
      <c r="W407">
        <f>COUNTIF(内藤証券!U:U,B407)</f>
        <v>0</v>
      </c>
    </row>
    <row r="408" spans="1:26" ht="24.95" hidden="1" customHeight="1" x14ac:dyDescent="0.4">
      <c r="A408" s="17" t="s">
        <v>46</v>
      </c>
      <c r="B408" s="15" t="s">
        <v>304</v>
      </c>
      <c r="C408" s="16" t="s">
        <v>31</v>
      </c>
      <c r="D408" s="16" t="s">
        <v>31</v>
      </c>
      <c r="E408" s="15" t="s">
        <v>32</v>
      </c>
      <c r="F408" s="15" t="s">
        <v>314</v>
      </c>
      <c r="N408" s="21" t="s">
        <v>96</v>
      </c>
      <c r="O408" s="21" t="s">
        <v>336</v>
      </c>
      <c r="Q408" s="21" t="s">
        <v>344</v>
      </c>
      <c r="R408" s="22">
        <v>45756</v>
      </c>
      <c r="W408">
        <f>COUNTIF(内藤証券!U:U,B408)</f>
        <v>0</v>
      </c>
    </row>
    <row r="409" spans="1:26" ht="24.95" hidden="1" customHeight="1" x14ac:dyDescent="0.4">
      <c r="A409" s="17" t="s">
        <v>46</v>
      </c>
      <c r="B409" s="15" t="s">
        <v>305</v>
      </c>
      <c r="C409" s="16" t="s">
        <v>31</v>
      </c>
      <c r="D409" s="16" t="s">
        <v>31</v>
      </c>
      <c r="E409" s="15" t="s">
        <v>32</v>
      </c>
      <c r="F409" s="15" t="s">
        <v>314</v>
      </c>
      <c r="N409" s="21" t="s">
        <v>96</v>
      </c>
      <c r="O409" s="21" t="s">
        <v>336</v>
      </c>
      <c r="Q409" s="21" t="s">
        <v>344</v>
      </c>
      <c r="R409" s="22">
        <v>45756</v>
      </c>
      <c r="W409">
        <f>COUNTIF(内藤証券!U:U,B409)</f>
        <v>0</v>
      </c>
    </row>
    <row r="410" spans="1:26" ht="24.95" hidden="1" customHeight="1" x14ac:dyDescent="0.4">
      <c r="A410" s="17" t="s">
        <v>46</v>
      </c>
      <c r="B410" s="15" t="s">
        <v>370</v>
      </c>
      <c r="C410" s="16" t="s">
        <v>31</v>
      </c>
      <c r="D410" s="16" t="s">
        <v>31</v>
      </c>
      <c r="E410" s="15" t="s">
        <v>32</v>
      </c>
      <c r="F410" s="15" t="s">
        <v>365</v>
      </c>
      <c r="N410" s="21" t="s">
        <v>374</v>
      </c>
      <c r="O410" s="21" t="s">
        <v>373</v>
      </c>
      <c r="Q410" s="21" t="s">
        <v>344</v>
      </c>
      <c r="R410" s="22">
        <v>45883</v>
      </c>
      <c r="W410">
        <f>COUNTIF(内藤証券!U:U,B410)</f>
        <v>0</v>
      </c>
    </row>
    <row r="411" spans="1:26" ht="24.95" hidden="1" customHeight="1" x14ac:dyDescent="0.4">
      <c r="A411" s="17" t="s">
        <v>46</v>
      </c>
      <c r="B411" s="15" t="s">
        <v>206</v>
      </c>
      <c r="C411" s="16" t="s">
        <v>24</v>
      </c>
      <c r="D411" s="16" t="s">
        <v>31</v>
      </c>
      <c r="E411" s="15" t="s">
        <v>35</v>
      </c>
      <c r="F411" s="15" t="s">
        <v>212</v>
      </c>
      <c r="N411" s="21" t="s">
        <v>96</v>
      </c>
      <c r="O411" s="21" t="s">
        <v>209</v>
      </c>
      <c r="Q411" s="21" t="s">
        <v>169</v>
      </c>
      <c r="R411" s="22">
        <v>45756</v>
      </c>
      <c r="W411">
        <f>COUNTIF(内藤証券!U:U,B411)</f>
        <v>0</v>
      </c>
      <c r="Z411" t="s">
        <v>433</v>
      </c>
    </row>
    <row r="412" spans="1:26" ht="24.95" hidden="1" customHeight="1" x14ac:dyDescent="0.4">
      <c r="A412" s="17" t="s">
        <v>46</v>
      </c>
      <c r="B412" s="15" t="s">
        <v>371</v>
      </c>
      <c r="C412" s="16" t="s">
        <v>31</v>
      </c>
      <c r="D412" s="16" t="s">
        <v>31</v>
      </c>
      <c r="E412" s="15" t="s">
        <v>32</v>
      </c>
      <c r="F412" s="15" t="s">
        <v>365</v>
      </c>
      <c r="N412" s="21" t="s">
        <v>374</v>
      </c>
      <c r="O412" s="21" t="s">
        <v>373</v>
      </c>
      <c r="Q412" s="21" t="s">
        <v>344</v>
      </c>
      <c r="R412" s="22">
        <v>45883</v>
      </c>
      <c r="W412">
        <f>COUNTIF(内藤証券!U:U,B412)</f>
        <v>0</v>
      </c>
    </row>
    <row r="413" spans="1:26" ht="24.95" hidden="1" customHeight="1" x14ac:dyDescent="0.4">
      <c r="A413" s="17" t="s">
        <v>46</v>
      </c>
      <c r="B413" s="15" t="s">
        <v>180</v>
      </c>
      <c r="C413" s="16" t="s">
        <v>31</v>
      </c>
      <c r="D413" s="16" t="s">
        <v>31</v>
      </c>
      <c r="E413" s="15" t="s">
        <v>32</v>
      </c>
      <c r="F413" s="15" t="s">
        <v>173</v>
      </c>
      <c r="N413" s="21" t="s">
        <v>96</v>
      </c>
      <c r="O413" s="21" t="s">
        <v>181</v>
      </c>
      <c r="Q413" s="21" t="s">
        <v>169</v>
      </c>
      <c r="R413" s="22">
        <v>45756</v>
      </c>
      <c r="W413">
        <f>COUNTIF(内藤証券!U:U,B413)</f>
        <v>0</v>
      </c>
      <c r="Z413" t="s">
        <v>433</v>
      </c>
    </row>
    <row r="414" spans="1:26" ht="24.95" hidden="1" customHeight="1" x14ac:dyDescent="0.4">
      <c r="A414" s="17" t="s">
        <v>46</v>
      </c>
      <c r="B414" s="15" t="s">
        <v>306</v>
      </c>
      <c r="C414" s="16" t="s">
        <v>24</v>
      </c>
      <c r="D414" s="16" t="s">
        <v>31</v>
      </c>
      <c r="E414" s="15" t="s">
        <v>35</v>
      </c>
      <c r="F414" s="15" t="s">
        <v>314</v>
      </c>
      <c r="N414" s="21" t="s">
        <v>96</v>
      </c>
      <c r="O414" s="21" t="s">
        <v>336</v>
      </c>
      <c r="Q414" s="21" t="s">
        <v>344</v>
      </c>
      <c r="R414" s="22">
        <v>45756</v>
      </c>
      <c r="W414">
        <f>COUNTIF(内藤証券!U:U,B414)</f>
        <v>0</v>
      </c>
    </row>
    <row r="415" spans="1:26" ht="24.95" hidden="1" customHeight="1" x14ac:dyDescent="0.4">
      <c r="A415" s="17" t="s">
        <v>46</v>
      </c>
      <c r="B415" s="15" t="s">
        <v>307</v>
      </c>
      <c r="C415" s="16" t="s">
        <v>31</v>
      </c>
      <c r="D415" s="16" t="s">
        <v>31</v>
      </c>
      <c r="E415" s="15" t="s">
        <v>32</v>
      </c>
      <c r="F415" s="15" t="s">
        <v>314</v>
      </c>
      <c r="N415" s="21" t="s">
        <v>96</v>
      </c>
      <c r="O415" s="21" t="s">
        <v>336</v>
      </c>
      <c r="Q415" s="21" t="s">
        <v>344</v>
      </c>
      <c r="R415" s="22">
        <v>45756</v>
      </c>
      <c r="W415">
        <f>COUNTIF(内藤証券!U:U,B415)</f>
        <v>0</v>
      </c>
    </row>
    <row r="416" spans="1:26" ht="24.95" hidden="1" customHeight="1" x14ac:dyDescent="0.4">
      <c r="A416" s="17" t="s">
        <v>46</v>
      </c>
      <c r="B416" s="15" t="s">
        <v>38</v>
      </c>
      <c r="C416" s="16" t="s">
        <v>31</v>
      </c>
      <c r="D416" s="16" t="s">
        <v>31</v>
      </c>
      <c r="E416" s="15" t="s">
        <v>32</v>
      </c>
      <c r="F416" s="15" t="s">
        <v>80</v>
      </c>
      <c r="N416" s="21" t="s">
        <v>96</v>
      </c>
      <c r="O416" s="13" t="s">
        <v>353</v>
      </c>
      <c r="Q416" s="21" t="s">
        <v>344</v>
      </c>
      <c r="R416" s="22">
        <v>45814</v>
      </c>
      <c r="W416">
        <f>COUNTIF(内藤証券!U:U,B416)</f>
        <v>0</v>
      </c>
    </row>
    <row r="417" spans="1:26" ht="24.95" hidden="1" customHeight="1" x14ac:dyDescent="0.4">
      <c r="A417" s="17" t="s">
        <v>46</v>
      </c>
      <c r="B417" s="15" t="s">
        <v>119</v>
      </c>
      <c r="C417" s="16" t="s">
        <v>31</v>
      </c>
      <c r="D417" s="16" t="s">
        <v>31</v>
      </c>
      <c r="E417" s="15" t="s">
        <v>32</v>
      </c>
      <c r="F417" s="15" t="s">
        <v>365</v>
      </c>
      <c r="N417" s="21" t="s">
        <v>374</v>
      </c>
      <c r="O417" s="21" t="s">
        <v>375</v>
      </c>
      <c r="Q417" s="21" t="s">
        <v>344</v>
      </c>
      <c r="R417" s="22">
        <v>45883</v>
      </c>
      <c r="W417">
        <f>COUNTIF(内藤証券!U:U,B417)</f>
        <v>0</v>
      </c>
    </row>
    <row r="418" spans="1:26" ht="24.95" hidden="1" customHeight="1" x14ac:dyDescent="0.4">
      <c r="A418" s="17" t="s">
        <v>46</v>
      </c>
      <c r="B418" s="15" t="s">
        <v>120</v>
      </c>
      <c r="C418" s="16" t="s">
        <v>31</v>
      </c>
      <c r="D418" s="16" t="s">
        <v>31</v>
      </c>
      <c r="E418" s="15" t="s">
        <v>32</v>
      </c>
      <c r="F418" s="15" t="s">
        <v>314</v>
      </c>
      <c r="N418" s="21" t="s">
        <v>96</v>
      </c>
      <c r="O418" s="21" t="s">
        <v>348</v>
      </c>
      <c r="Q418" s="21" t="s">
        <v>344</v>
      </c>
      <c r="R418" s="22">
        <v>45756</v>
      </c>
      <c r="W418">
        <f>COUNTIF(内藤証券!U:U,B418)</f>
        <v>0</v>
      </c>
    </row>
    <row r="419" spans="1:26" ht="24.95" hidden="1" customHeight="1" x14ac:dyDescent="0.4">
      <c r="A419" s="17" t="s">
        <v>46</v>
      </c>
      <c r="B419" s="15" t="s">
        <v>39</v>
      </c>
      <c r="C419" s="16" t="s">
        <v>31</v>
      </c>
      <c r="D419" s="16" t="s">
        <v>31</v>
      </c>
      <c r="E419" s="15" t="s">
        <v>32</v>
      </c>
      <c r="F419" s="15" t="s">
        <v>221</v>
      </c>
      <c r="N419" s="21" t="s">
        <v>96</v>
      </c>
      <c r="O419" s="13" t="s">
        <v>350</v>
      </c>
      <c r="Q419" s="21" t="s">
        <v>344</v>
      </c>
      <c r="R419" s="22">
        <v>45814</v>
      </c>
      <c r="W419">
        <f>COUNTIF(内藤証券!U:U,B419)</f>
        <v>0</v>
      </c>
    </row>
    <row r="420" spans="1:26" ht="24.95" hidden="1" customHeight="1" x14ac:dyDescent="0.4">
      <c r="A420" s="17" t="s">
        <v>46</v>
      </c>
      <c r="B420" s="15" t="s">
        <v>220</v>
      </c>
      <c r="C420" s="16" t="s">
        <v>31</v>
      </c>
      <c r="D420" s="16" t="s">
        <v>31</v>
      </c>
      <c r="E420" s="15" t="s">
        <v>32</v>
      </c>
      <c r="F420" s="15" t="s">
        <v>221</v>
      </c>
      <c r="N420" s="21" t="s">
        <v>96</v>
      </c>
      <c r="O420" s="21" t="s">
        <v>338</v>
      </c>
      <c r="Q420" s="21" t="s">
        <v>344</v>
      </c>
      <c r="R420" s="22">
        <v>45814</v>
      </c>
      <c r="W420">
        <f>COUNTIF(内藤証券!U:U,B420)</f>
        <v>0</v>
      </c>
      <c r="Z420" t="s">
        <v>433</v>
      </c>
    </row>
    <row r="421" spans="1:26" ht="24.95" hidden="1" customHeight="1" x14ac:dyDescent="0.4">
      <c r="A421" s="17" t="s">
        <v>46</v>
      </c>
      <c r="B421" s="15" t="s">
        <v>172</v>
      </c>
      <c r="C421" s="16" t="s">
        <v>31</v>
      </c>
      <c r="D421" s="16" t="s">
        <v>31</v>
      </c>
      <c r="E421" s="15" t="s">
        <v>32</v>
      </c>
      <c r="F421" s="15" t="s">
        <v>173</v>
      </c>
      <c r="N421" s="21" t="s">
        <v>96</v>
      </c>
      <c r="O421" s="21" t="s">
        <v>336</v>
      </c>
      <c r="Q421" s="21" t="s">
        <v>344</v>
      </c>
      <c r="R421" s="22">
        <v>45814</v>
      </c>
      <c r="W421">
        <f>COUNTIF(内藤証券!U:U,B421)</f>
        <v>0</v>
      </c>
    </row>
    <row r="422" spans="1:26" ht="24.95" hidden="1" customHeight="1" x14ac:dyDescent="0.4">
      <c r="A422" s="17" t="s">
        <v>46</v>
      </c>
      <c r="B422" s="15" t="s">
        <v>111</v>
      </c>
      <c r="C422" s="16" t="s">
        <v>31</v>
      </c>
      <c r="D422" s="16" t="s">
        <v>31</v>
      </c>
      <c r="E422" s="15" t="s">
        <v>32</v>
      </c>
      <c r="F422" s="15" t="s">
        <v>314</v>
      </c>
      <c r="N422" s="21" t="s">
        <v>96</v>
      </c>
      <c r="O422" s="13" t="s">
        <v>339</v>
      </c>
      <c r="Q422" s="21" t="s">
        <v>344</v>
      </c>
      <c r="R422" s="22">
        <v>45756</v>
      </c>
      <c r="W422">
        <f>COUNTIF(内藤証券!U:U,B422)</f>
        <v>0</v>
      </c>
    </row>
    <row r="423" spans="1:26" ht="24.95" hidden="1" customHeight="1" x14ac:dyDescent="0.4">
      <c r="A423" s="17" t="s">
        <v>46</v>
      </c>
      <c r="B423" s="15" t="s">
        <v>42</v>
      </c>
      <c r="C423" s="16" t="s">
        <v>31</v>
      </c>
      <c r="D423" s="16" t="s">
        <v>31</v>
      </c>
      <c r="E423" s="15" t="s">
        <v>32</v>
      </c>
      <c r="F423" s="15" t="s">
        <v>221</v>
      </c>
      <c r="N423" s="21" t="s">
        <v>96</v>
      </c>
      <c r="O423" s="13" t="s">
        <v>351</v>
      </c>
      <c r="Q423" s="21" t="s">
        <v>344</v>
      </c>
      <c r="R423" s="22">
        <v>45814</v>
      </c>
      <c r="W423">
        <f>COUNTIF(内藤証券!U:U,B423)</f>
        <v>0</v>
      </c>
    </row>
    <row r="424" spans="1:26" ht="24.95" hidden="1" customHeight="1" x14ac:dyDescent="0.4">
      <c r="A424" s="17" t="s">
        <v>46</v>
      </c>
      <c r="B424" s="15" t="s">
        <v>330</v>
      </c>
      <c r="C424" s="16" t="s">
        <v>31</v>
      </c>
      <c r="D424" s="16" t="s">
        <v>31</v>
      </c>
      <c r="E424" s="15" t="s">
        <v>32</v>
      </c>
      <c r="F424" s="15" t="s">
        <v>314</v>
      </c>
      <c r="N424" s="21" t="s">
        <v>96</v>
      </c>
      <c r="O424" s="21" t="s">
        <v>338</v>
      </c>
      <c r="Q424" s="21" t="s">
        <v>344</v>
      </c>
      <c r="R424" s="22">
        <v>45756</v>
      </c>
      <c r="W424">
        <f>COUNTIF(内藤証券!U:U,B424)</f>
        <v>0</v>
      </c>
      <c r="Z424" t="s">
        <v>433</v>
      </c>
    </row>
    <row r="425" spans="1:26" ht="24.95" hidden="1" customHeight="1" x14ac:dyDescent="0.4">
      <c r="A425" s="17" t="s">
        <v>46</v>
      </c>
      <c r="B425" s="15" t="s">
        <v>43</v>
      </c>
      <c r="C425" s="16" t="s">
        <v>31</v>
      </c>
      <c r="D425" s="16" t="s">
        <v>31</v>
      </c>
      <c r="E425" s="15" t="s">
        <v>32</v>
      </c>
      <c r="F425" s="15" t="s">
        <v>212</v>
      </c>
      <c r="N425" s="21" t="s">
        <v>96</v>
      </c>
      <c r="O425" s="13" t="s">
        <v>310</v>
      </c>
      <c r="Q425" s="21" t="s">
        <v>169</v>
      </c>
      <c r="R425" s="22">
        <v>45756</v>
      </c>
      <c r="W425">
        <f>COUNTIF(内藤証券!U:U,B425)</f>
        <v>0</v>
      </c>
      <c r="Z425" t="s">
        <v>433</v>
      </c>
    </row>
    <row r="426" spans="1:26" ht="24.95" hidden="1" customHeight="1" x14ac:dyDescent="0.4">
      <c r="A426" s="17" t="s">
        <v>46</v>
      </c>
      <c r="B426" s="15" t="s">
        <v>207</v>
      </c>
      <c r="C426" s="16" t="s">
        <v>31</v>
      </c>
      <c r="D426" s="16" t="s">
        <v>31</v>
      </c>
      <c r="E426" s="15" t="s">
        <v>32</v>
      </c>
      <c r="F426" s="15" t="s">
        <v>212</v>
      </c>
      <c r="N426" s="21" t="s">
        <v>96</v>
      </c>
      <c r="O426" s="13" t="s">
        <v>311</v>
      </c>
      <c r="Q426" s="21" t="s">
        <v>169</v>
      </c>
      <c r="R426" s="22">
        <v>45756</v>
      </c>
      <c r="W426">
        <f>COUNTIF(内藤証券!U:U,B426)</f>
        <v>0</v>
      </c>
      <c r="Z426" t="s">
        <v>433</v>
      </c>
    </row>
    <row r="427" spans="1:26" ht="24.95" hidden="1" customHeight="1" x14ac:dyDescent="0.4">
      <c r="A427" s="17" t="s">
        <v>46</v>
      </c>
      <c r="B427" s="15" t="s">
        <v>95</v>
      </c>
      <c r="C427" s="16" t="s">
        <v>31</v>
      </c>
      <c r="D427" s="16" t="s">
        <v>31</v>
      </c>
      <c r="E427" s="15" t="s">
        <v>32</v>
      </c>
      <c r="F427" s="15" t="s">
        <v>94</v>
      </c>
      <c r="G427" s="25" t="s">
        <v>40</v>
      </c>
      <c r="H427" s="24" t="s">
        <v>96</v>
      </c>
      <c r="I427" s="24" t="s">
        <v>109</v>
      </c>
      <c r="J427" s="24" t="s">
        <v>110</v>
      </c>
      <c r="K427" s="23">
        <v>44725</v>
      </c>
      <c r="L427" s="23">
        <v>44723</v>
      </c>
      <c r="N427" s="21" t="s">
        <v>96</v>
      </c>
      <c r="O427" s="13" t="s">
        <v>105</v>
      </c>
      <c r="R427" s="22" t="s">
        <v>24</v>
      </c>
      <c r="W427">
        <f>COUNTIF(内藤証券!U:U,B427)</f>
        <v>0</v>
      </c>
      <c r="Z427" t="s">
        <v>433</v>
      </c>
    </row>
    <row r="428" spans="1:26" ht="24.95" hidden="1" customHeight="1" x14ac:dyDescent="0.4">
      <c r="A428" s="17" t="s">
        <v>46</v>
      </c>
      <c r="B428" s="15" t="s">
        <v>103</v>
      </c>
      <c r="C428" s="16" t="s">
        <v>31</v>
      </c>
      <c r="D428" s="16" t="s">
        <v>31</v>
      </c>
      <c r="E428" s="15" t="s">
        <v>32</v>
      </c>
      <c r="F428" s="15" t="s">
        <v>102</v>
      </c>
      <c r="N428" s="21" t="s">
        <v>96</v>
      </c>
      <c r="O428" s="13" t="s">
        <v>106</v>
      </c>
      <c r="R428" s="22" t="s">
        <v>24</v>
      </c>
      <c r="W428">
        <f>COUNTIF(内藤証券!U:U,B428)</f>
        <v>0</v>
      </c>
      <c r="Z428" t="s">
        <v>433</v>
      </c>
    </row>
    <row r="429" spans="1:26" ht="24.95" hidden="1" customHeight="1" x14ac:dyDescent="0.4">
      <c r="A429" s="17" t="s">
        <v>46</v>
      </c>
      <c r="B429" s="15" t="s">
        <v>343</v>
      </c>
      <c r="C429" s="16" t="s">
        <v>31</v>
      </c>
      <c r="D429" s="16" t="s">
        <v>31</v>
      </c>
      <c r="E429" s="15" t="s">
        <v>32</v>
      </c>
      <c r="F429" s="15" t="s">
        <v>340</v>
      </c>
      <c r="N429" s="21" t="s">
        <v>96</v>
      </c>
      <c r="O429" s="21" t="s">
        <v>345</v>
      </c>
      <c r="Q429" s="21" t="s">
        <v>344</v>
      </c>
      <c r="R429" s="22">
        <v>45784</v>
      </c>
      <c r="W429">
        <f>COUNTIF(内藤証券!U:U,B429)</f>
        <v>0</v>
      </c>
      <c r="Z429" t="s">
        <v>433</v>
      </c>
    </row>
    <row r="430" spans="1:26" ht="24.95" hidden="1" customHeight="1" x14ac:dyDescent="0.4">
      <c r="A430" s="17" t="s">
        <v>46</v>
      </c>
      <c r="B430" s="15" t="s">
        <v>218</v>
      </c>
      <c r="C430" s="16" t="s">
        <v>31</v>
      </c>
      <c r="D430" s="16" t="s">
        <v>31</v>
      </c>
      <c r="E430" s="15" t="s">
        <v>32</v>
      </c>
      <c r="F430" s="15" t="s">
        <v>221</v>
      </c>
      <c r="N430" s="21" t="s">
        <v>96</v>
      </c>
      <c r="O430" s="21" t="s">
        <v>335</v>
      </c>
      <c r="Q430" s="21" t="s">
        <v>169</v>
      </c>
      <c r="R430" s="22">
        <v>45756</v>
      </c>
      <c r="W430">
        <f>COUNTIF(内藤証券!U:U,B430)</f>
        <v>0</v>
      </c>
      <c r="Z430" t="s">
        <v>433</v>
      </c>
    </row>
    <row r="431" spans="1:26" ht="24.95" hidden="1" customHeight="1" x14ac:dyDescent="0.4">
      <c r="A431" s="17" t="s">
        <v>46</v>
      </c>
      <c r="B431" s="15" t="s">
        <v>121</v>
      </c>
      <c r="C431" s="16" t="s">
        <v>31</v>
      </c>
      <c r="D431" s="16" t="s">
        <v>31</v>
      </c>
      <c r="E431" s="15" t="s">
        <v>32</v>
      </c>
      <c r="F431" s="15" t="s">
        <v>314</v>
      </c>
      <c r="N431" s="21" t="s">
        <v>96</v>
      </c>
      <c r="O431" s="21" t="s">
        <v>336</v>
      </c>
      <c r="Q431" s="21" t="s">
        <v>344</v>
      </c>
      <c r="R431" s="22">
        <v>45756</v>
      </c>
      <c r="W431">
        <f>COUNTIF(内藤証券!U:U,B431)</f>
        <v>0</v>
      </c>
    </row>
    <row r="432" spans="1:26" ht="24.95" hidden="1" customHeight="1" x14ac:dyDescent="0.4">
      <c r="A432" s="17" t="s">
        <v>46</v>
      </c>
      <c r="B432" s="15" t="s">
        <v>122</v>
      </c>
      <c r="C432" s="16" t="s">
        <v>31</v>
      </c>
      <c r="D432" s="16" t="s">
        <v>31</v>
      </c>
      <c r="E432" s="15" t="s">
        <v>32</v>
      </c>
      <c r="F432" s="15" t="s">
        <v>184</v>
      </c>
      <c r="N432" s="21" t="s">
        <v>96</v>
      </c>
      <c r="O432" s="13" t="s">
        <v>312</v>
      </c>
      <c r="Q432" s="21" t="s">
        <v>169</v>
      </c>
      <c r="R432" s="22">
        <v>45756</v>
      </c>
      <c r="W432">
        <f>COUNTIF(内藤証券!U:U,B432)</f>
        <v>0</v>
      </c>
      <c r="Z432" t="s">
        <v>433</v>
      </c>
    </row>
    <row r="433" spans="1:26" ht="24.95" hidden="1" customHeight="1" x14ac:dyDescent="0.4">
      <c r="A433" s="17" t="s">
        <v>46</v>
      </c>
      <c r="B433" s="15" t="s">
        <v>44</v>
      </c>
      <c r="C433" s="16" t="s">
        <v>31</v>
      </c>
      <c r="D433" s="16" t="s">
        <v>31</v>
      </c>
      <c r="E433" s="15" t="s">
        <v>32</v>
      </c>
      <c r="F433" s="15" t="s">
        <v>221</v>
      </c>
      <c r="N433" s="21" t="s">
        <v>96</v>
      </c>
      <c r="O433" s="13" t="s">
        <v>359</v>
      </c>
      <c r="Q433" s="21" t="s">
        <v>344</v>
      </c>
      <c r="R433" s="22">
        <v>45814</v>
      </c>
      <c r="W433">
        <f>COUNTIF(内藤証券!U:U,B433)</f>
        <v>0</v>
      </c>
    </row>
    <row r="434" spans="1:26" ht="24.95" hidden="1" customHeight="1" x14ac:dyDescent="0.4">
      <c r="A434" s="17" t="s">
        <v>46</v>
      </c>
      <c r="B434" s="15" t="s">
        <v>45</v>
      </c>
      <c r="C434" s="16" t="s">
        <v>31</v>
      </c>
      <c r="D434" s="16" t="s">
        <v>31</v>
      </c>
      <c r="E434" s="15" t="s">
        <v>32</v>
      </c>
      <c r="F434" s="15" t="s">
        <v>314</v>
      </c>
      <c r="N434" s="21" t="s">
        <v>96</v>
      </c>
      <c r="O434" s="21" t="s">
        <v>338</v>
      </c>
      <c r="Q434" s="21" t="s">
        <v>344</v>
      </c>
      <c r="R434" s="22">
        <v>45756</v>
      </c>
      <c r="W434">
        <f>COUNTIF(内藤証券!U:U,B434)</f>
        <v>0</v>
      </c>
      <c r="Z434" t="s">
        <v>433</v>
      </c>
    </row>
    <row r="435" spans="1:26" ht="24.95" customHeight="1" x14ac:dyDescent="0.4">
      <c r="A435" s="17" t="s">
        <v>46</v>
      </c>
      <c r="B435" s="50" t="s">
        <v>469</v>
      </c>
      <c r="C435" s="16" t="s">
        <v>31</v>
      </c>
      <c r="D435" s="16" t="s">
        <v>31</v>
      </c>
      <c r="E435" s="15" t="s">
        <v>32</v>
      </c>
      <c r="F435" s="15" t="s">
        <v>130</v>
      </c>
      <c r="N435" s="21" t="s">
        <v>96</v>
      </c>
      <c r="O435" s="13" t="s">
        <v>468</v>
      </c>
      <c r="Q435" s="21" t="s">
        <v>169</v>
      </c>
      <c r="R435" s="22">
        <v>45756</v>
      </c>
      <c r="W435">
        <f>COUNTIF(内藤証券!U:U,B435)</f>
        <v>0</v>
      </c>
      <c r="Z435" t="s">
        <v>433</v>
      </c>
    </row>
    <row r="436" spans="1:26" ht="24.95" hidden="1" customHeight="1" x14ac:dyDescent="0.4">
      <c r="A436" s="17" t="s">
        <v>46</v>
      </c>
      <c r="B436" s="15" t="s">
        <v>91</v>
      </c>
      <c r="C436" s="16" t="s">
        <v>31</v>
      </c>
      <c r="D436" s="16" t="s">
        <v>31</v>
      </c>
      <c r="E436" s="15" t="s">
        <v>32</v>
      </c>
      <c r="F436" s="15" t="s">
        <v>212</v>
      </c>
      <c r="N436" s="21" t="s">
        <v>96</v>
      </c>
      <c r="O436" s="21" t="s">
        <v>209</v>
      </c>
      <c r="Q436" s="21" t="s">
        <v>169</v>
      </c>
      <c r="R436" s="22">
        <v>45756</v>
      </c>
      <c r="W436">
        <f>COUNTIF(内藤証券!U:U,B436)</f>
        <v>0</v>
      </c>
      <c r="Z436" t="s">
        <v>433</v>
      </c>
    </row>
    <row r="437" spans="1:26" ht="24.95" hidden="1" customHeight="1" x14ac:dyDescent="0.4">
      <c r="A437" s="17" t="s">
        <v>46</v>
      </c>
      <c r="B437" s="15" t="s">
        <v>192</v>
      </c>
      <c r="C437" s="16" t="s">
        <v>24</v>
      </c>
      <c r="D437" s="16" t="s">
        <v>31</v>
      </c>
      <c r="E437" s="15" t="s">
        <v>35</v>
      </c>
      <c r="F437" s="15" t="s">
        <v>184</v>
      </c>
      <c r="N437" s="21" t="s">
        <v>96</v>
      </c>
      <c r="O437" s="21" t="s">
        <v>210</v>
      </c>
      <c r="Q437" s="21" t="s">
        <v>169</v>
      </c>
      <c r="R437" s="22">
        <v>45756</v>
      </c>
      <c r="W437">
        <f>COUNTIF(内藤証券!U:U,B437)</f>
        <v>0</v>
      </c>
      <c r="Z437" t="s">
        <v>433</v>
      </c>
    </row>
    <row r="438" spans="1:26" ht="24.95" hidden="1" customHeight="1" x14ac:dyDescent="0.4">
      <c r="A438" s="17" t="s">
        <v>46</v>
      </c>
      <c r="B438" s="15" t="s">
        <v>182</v>
      </c>
      <c r="C438" s="16" t="s">
        <v>31</v>
      </c>
      <c r="D438" s="16" t="s">
        <v>24</v>
      </c>
      <c r="E438" s="15" t="s">
        <v>50</v>
      </c>
      <c r="F438" s="15" t="s">
        <v>183</v>
      </c>
      <c r="M438" s="21" t="s">
        <v>81</v>
      </c>
      <c r="N438" s="21" t="s">
        <v>208</v>
      </c>
      <c r="Q438" s="21" t="s">
        <v>169</v>
      </c>
      <c r="R438" s="22">
        <v>45756</v>
      </c>
      <c r="W438">
        <f>COUNTIF(内藤証券!U:U,B438)</f>
        <v>0</v>
      </c>
      <c r="Z438" t="s">
        <v>433</v>
      </c>
    </row>
    <row r="439" spans="1:26" ht="24.95" hidden="1" customHeight="1" x14ac:dyDescent="0.4">
      <c r="A439" s="17" t="s">
        <v>46</v>
      </c>
      <c r="B439" s="15" t="s">
        <v>54</v>
      </c>
      <c r="C439" s="16" t="s">
        <v>31</v>
      </c>
      <c r="D439" s="16" t="s">
        <v>31</v>
      </c>
      <c r="E439" s="15" t="s">
        <v>32</v>
      </c>
      <c r="F439" s="15" t="s">
        <v>80</v>
      </c>
      <c r="G439" s="25" t="s">
        <v>23</v>
      </c>
      <c r="H439" s="26" t="s">
        <v>51</v>
      </c>
      <c r="I439" s="24" t="s">
        <v>52</v>
      </c>
      <c r="J439" s="24" t="s">
        <v>53</v>
      </c>
      <c r="N439" s="13" t="s">
        <v>86</v>
      </c>
      <c r="O439" s="21" t="s">
        <v>83</v>
      </c>
      <c r="R439" s="22" t="s">
        <v>24</v>
      </c>
      <c r="W439">
        <f>COUNTIF(内藤証券!U:U,B439)</f>
        <v>0</v>
      </c>
      <c r="Z439" t="s">
        <v>433</v>
      </c>
    </row>
    <row r="440" spans="1:26" ht="24.95" hidden="1" customHeight="1" x14ac:dyDescent="0.4">
      <c r="A440" s="17" t="s">
        <v>46</v>
      </c>
      <c r="B440" s="15" t="s">
        <v>55</v>
      </c>
      <c r="C440" s="16" t="s">
        <v>31</v>
      </c>
      <c r="D440" s="16" t="s">
        <v>31</v>
      </c>
      <c r="E440" s="15" t="s">
        <v>32</v>
      </c>
      <c r="F440" s="15" t="s">
        <v>80</v>
      </c>
      <c r="G440" s="25" t="s">
        <v>23</v>
      </c>
      <c r="H440" s="26" t="s">
        <v>51</v>
      </c>
      <c r="I440" s="24" t="s">
        <v>52</v>
      </c>
      <c r="J440" s="24" t="s">
        <v>53</v>
      </c>
      <c r="N440" s="13" t="s">
        <v>86</v>
      </c>
      <c r="O440" s="21" t="s">
        <v>83</v>
      </c>
      <c r="R440" s="22" t="s">
        <v>24</v>
      </c>
      <c r="W440">
        <f>COUNTIF(内藤証券!U:U,B440)</f>
        <v>0</v>
      </c>
      <c r="Z440" t="s">
        <v>433</v>
      </c>
    </row>
    <row r="441" spans="1:26" ht="24.95" hidden="1" customHeight="1" x14ac:dyDescent="0.4">
      <c r="A441" s="17" t="s">
        <v>46</v>
      </c>
      <c r="B441" s="15" t="s">
        <v>56</v>
      </c>
      <c r="C441" s="16" t="s">
        <v>31</v>
      </c>
      <c r="D441" s="16" t="s">
        <v>31</v>
      </c>
      <c r="E441" s="15" t="s">
        <v>32</v>
      </c>
      <c r="F441" s="15" t="s">
        <v>80</v>
      </c>
      <c r="G441" s="25" t="s">
        <v>23</v>
      </c>
      <c r="H441" s="26" t="s">
        <v>51</v>
      </c>
      <c r="I441" s="24" t="s">
        <v>52</v>
      </c>
      <c r="J441" s="24" t="s">
        <v>53</v>
      </c>
      <c r="N441" s="13" t="s">
        <v>86</v>
      </c>
      <c r="O441" s="21" t="s">
        <v>83</v>
      </c>
      <c r="R441" s="22" t="s">
        <v>24</v>
      </c>
      <c r="W441">
        <f>COUNTIF(内藤証券!U:U,B441)</f>
        <v>0</v>
      </c>
      <c r="Z441" t="s">
        <v>433</v>
      </c>
    </row>
    <row r="442" spans="1:26" ht="24.95" hidden="1" customHeight="1" x14ac:dyDescent="0.4">
      <c r="A442" s="17" t="s">
        <v>46</v>
      </c>
      <c r="B442" s="15" t="s">
        <v>127</v>
      </c>
      <c r="C442" s="16" t="s">
        <v>31</v>
      </c>
      <c r="D442" s="16" t="s">
        <v>31</v>
      </c>
      <c r="E442" s="15" t="s">
        <v>32</v>
      </c>
      <c r="F442" s="15" t="s">
        <v>125</v>
      </c>
      <c r="M442" s="21" t="s">
        <v>81</v>
      </c>
      <c r="N442" s="21" t="s">
        <v>141</v>
      </c>
      <c r="O442" s="21" t="s">
        <v>142</v>
      </c>
      <c r="W442">
        <f>COUNTIF(内藤証券!U:U,B442)</f>
        <v>0</v>
      </c>
      <c r="Z442" t="s">
        <v>433</v>
      </c>
    </row>
    <row r="443" spans="1:26" ht="24.95" hidden="1" customHeight="1" x14ac:dyDescent="0.4">
      <c r="A443" s="17" t="s">
        <v>28</v>
      </c>
      <c r="B443" s="15" t="s">
        <v>114</v>
      </c>
      <c r="C443" s="16" t="s">
        <v>31</v>
      </c>
      <c r="D443" s="16" t="s">
        <v>31</v>
      </c>
      <c r="E443" s="15" t="s">
        <v>32</v>
      </c>
      <c r="F443" s="15" t="s">
        <v>212</v>
      </c>
      <c r="N443" s="21" t="s">
        <v>96</v>
      </c>
      <c r="O443" s="21" t="s">
        <v>209</v>
      </c>
      <c r="Q443" s="21" t="s">
        <v>169</v>
      </c>
      <c r="R443" s="22">
        <v>45756</v>
      </c>
      <c r="W443">
        <f>COUNTIF(内藤証券!U:U,B443)</f>
        <v>0</v>
      </c>
      <c r="Z443" t="s">
        <v>433</v>
      </c>
    </row>
    <row r="444" spans="1:26" ht="24.95" hidden="1" customHeight="1" x14ac:dyDescent="0.4">
      <c r="A444" s="17" t="s">
        <v>28</v>
      </c>
      <c r="B444" s="15" t="s">
        <v>49</v>
      </c>
      <c r="C444" s="16" t="s">
        <v>31</v>
      </c>
      <c r="D444" s="16" t="s">
        <v>24</v>
      </c>
      <c r="E444" s="15" t="s">
        <v>50</v>
      </c>
      <c r="F444" s="15" t="s">
        <v>80</v>
      </c>
      <c r="G444" s="25" t="s">
        <v>23</v>
      </c>
      <c r="H444" s="26" t="s">
        <v>51</v>
      </c>
      <c r="I444" s="24" t="s">
        <v>52</v>
      </c>
      <c r="J444" s="24" t="s">
        <v>53</v>
      </c>
      <c r="N444" s="13" t="s">
        <v>85</v>
      </c>
      <c r="O444" s="21" t="s">
        <v>83</v>
      </c>
      <c r="R444" s="22" t="s">
        <v>24</v>
      </c>
      <c r="W444">
        <f>COUNTIF(内藤証券!U:U,B444)</f>
        <v>0</v>
      </c>
      <c r="Z444" t="s">
        <v>433</v>
      </c>
    </row>
    <row r="445" spans="1:26" ht="24.95" hidden="1" customHeight="1" x14ac:dyDescent="0.4">
      <c r="A445" s="17" t="s">
        <v>28</v>
      </c>
      <c r="B445" s="15" t="s">
        <v>174</v>
      </c>
      <c r="C445" s="16" t="s">
        <v>24</v>
      </c>
      <c r="D445" s="16" t="s">
        <v>31</v>
      </c>
      <c r="E445" s="15" t="s">
        <v>35</v>
      </c>
      <c r="F445" s="15" t="s">
        <v>173</v>
      </c>
      <c r="N445" s="21" t="s">
        <v>96</v>
      </c>
      <c r="O445" s="21" t="s">
        <v>181</v>
      </c>
      <c r="Q445" s="21" t="s">
        <v>169</v>
      </c>
      <c r="R445" s="22">
        <v>45756</v>
      </c>
      <c r="W445">
        <f>COUNTIF(内藤証券!U:U,B445)</f>
        <v>0</v>
      </c>
      <c r="Z445" t="s">
        <v>433</v>
      </c>
    </row>
    <row r="446" spans="1:26" ht="24.95" hidden="1" customHeight="1" x14ac:dyDescent="0.4">
      <c r="A446" s="17" t="s">
        <v>28</v>
      </c>
      <c r="B446" s="15" t="s">
        <v>175</v>
      </c>
      <c r="C446" s="16" t="s">
        <v>24</v>
      </c>
      <c r="D446" s="16" t="s">
        <v>31</v>
      </c>
      <c r="E446" s="15" t="s">
        <v>35</v>
      </c>
      <c r="F446" s="15" t="s">
        <v>173</v>
      </c>
      <c r="N446" s="21" t="s">
        <v>96</v>
      </c>
      <c r="O446" s="21" t="s">
        <v>181</v>
      </c>
      <c r="Q446" s="21" t="s">
        <v>169</v>
      </c>
      <c r="R446" s="22">
        <v>45756</v>
      </c>
      <c r="W446">
        <f>COUNTIF(内藤証券!U:U,B446)</f>
        <v>0</v>
      </c>
      <c r="Z446" t="s">
        <v>433</v>
      </c>
    </row>
    <row r="447" spans="1:26" ht="24.95" hidden="1" customHeight="1" x14ac:dyDescent="0.4">
      <c r="A447" s="17" t="s">
        <v>28</v>
      </c>
      <c r="B447" s="15" t="s">
        <v>115</v>
      </c>
      <c r="C447" s="16" t="s">
        <v>31</v>
      </c>
      <c r="D447" s="16" t="s">
        <v>31</v>
      </c>
      <c r="E447" s="15" t="s">
        <v>32</v>
      </c>
      <c r="F447" s="15" t="s">
        <v>166</v>
      </c>
      <c r="N447" s="21" t="s">
        <v>96</v>
      </c>
      <c r="O447" s="21" t="s">
        <v>337</v>
      </c>
      <c r="Q447" s="21" t="s">
        <v>344</v>
      </c>
      <c r="R447" s="22">
        <v>45814</v>
      </c>
      <c r="W447">
        <f>COUNTIF(内藤証券!U:U,B447)</f>
        <v>0</v>
      </c>
    </row>
    <row r="448" spans="1:26" ht="24.95" hidden="1" customHeight="1" x14ac:dyDescent="0.4">
      <c r="A448" s="17" t="s">
        <v>28</v>
      </c>
      <c r="B448" s="15" t="s">
        <v>195</v>
      </c>
      <c r="C448" s="16" t="s">
        <v>24</v>
      </c>
      <c r="D448" s="16" t="s">
        <v>31</v>
      </c>
      <c r="E448" s="15" t="s">
        <v>35</v>
      </c>
      <c r="F448" s="15" t="s">
        <v>212</v>
      </c>
      <c r="N448" s="21" t="s">
        <v>96</v>
      </c>
      <c r="O448" s="13" t="s">
        <v>309</v>
      </c>
      <c r="Q448" s="21" t="s">
        <v>169</v>
      </c>
      <c r="R448" s="22">
        <v>45756</v>
      </c>
      <c r="W448">
        <f>COUNTIF(内藤証券!U:U,B448)</f>
        <v>0</v>
      </c>
      <c r="Z448" t="s">
        <v>433</v>
      </c>
    </row>
    <row r="449" spans="1:26" ht="24.95" hidden="1" customHeight="1" x14ac:dyDescent="0.4">
      <c r="A449" s="17" t="s">
        <v>28</v>
      </c>
      <c r="B449" s="15" t="s">
        <v>313</v>
      </c>
      <c r="C449" s="16" t="s">
        <v>24</v>
      </c>
      <c r="D449" s="16" t="s">
        <v>31</v>
      </c>
      <c r="E449" s="15" t="s">
        <v>35</v>
      </c>
      <c r="F449" s="15" t="s">
        <v>314</v>
      </c>
      <c r="N449" s="21" t="s">
        <v>96</v>
      </c>
      <c r="O449" s="21" t="s">
        <v>337</v>
      </c>
      <c r="Q449" s="21" t="s">
        <v>344</v>
      </c>
      <c r="R449" s="22">
        <v>45756</v>
      </c>
      <c r="W449">
        <f>COUNTIF(内藤証券!U:U,B449)</f>
        <v>0</v>
      </c>
    </row>
    <row r="450" spans="1:26" ht="24.95" hidden="1" customHeight="1" x14ac:dyDescent="0.4">
      <c r="A450" s="17" t="s">
        <v>28</v>
      </c>
      <c r="B450" s="15" t="s">
        <v>315</v>
      </c>
      <c r="C450" s="16" t="s">
        <v>24</v>
      </c>
      <c r="D450" s="16" t="s">
        <v>31</v>
      </c>
      <c r="E450" s="15" t="s">
        <v>35</v>
      </c>
      <c r="F450" s="15" t="s">
        <v>314</v>
      </c>
      <c r="N450" s="21" t="s">
        <v>96</v>
      </c>
      <c r="O450" s="21" t="s">
        <v>337</v>
      </c>
      <c r="Q450" s="21" t="s">
        <v>344</v>
      </c>
      <c r="R450" s="22">
        <v>45756</v>
      </c>
      <c r="W450">
        <f>COUNTIF(内藤証券!U:U,B450)</f>
        <v>0</v>
      </c>
    </row>
    <row r="451" spans="1:26" ht="24.95" hidden="1" customHeight="1" x14ac:dyDescent="0.4">
      <c r="A451" s="17" t="s">
        <v>28</v>
      </c>
      <c r="B451" s="15" t="s">
        <v>316</v>
      </c>
      <c r="C451" s="16" t="s">
        <v>24</v>
      </c>
      <c r="D451" s="16" t="s">
        <v>31</v>
      </c>
      <c r="E451" s="15" t="s">
        <v>35</v>
      </c>
      <c r="F451" s="15" t="s">
        <v>314</v>
      </c>
      <c r="N451" s="21" t="s">
        <v>96</v>
      </c>
      <c r="O451" s="21" t="s">
        <v>337</v>
      </c>
      <c r="Q451" s="21" t="s">
        <v>344</v>
      </c>
      <c r="R451" s="22">
        <v>45756</v>
      </c>
      <c r="W451">
        <f>COUNTIF(内藤証券!U:U,B451)</f>
        <v>0</v>
      </c>
    </row>
    <row r="452" spans="1:26" ht="24.95" hidden="1" customHeight="1" x14ac:dyDescent="0.4">
      <c r="A452" s="17" t="s">
        <v>28</v>
      </c>
      <c r="B452" s="15" t="s">
        <v>317</v>
      </c>
      <c r="C452" s="16" t="s">
        <v>24</v>
      </c>
      <c r="D452" s="16" t="s">
        <v>31</v>
      </c>
      <c r="E452" s="15" t="s">
        <v>35</v>
      </c>
      <c r="F452" s="15" t="s">
        <v>314</v>
      </c>
      <c r="N452" s="21" t="s">
        <v>96</v>
      </c>
      <c r="O452" s="21" t="s">
        <v>337</v>
      </c>
      <c r="Q452" s="21" t="s">
        <v>344</v>
      </c>
      <c r="R452" s="22">
        <v>45756</v>
      </c>
      <c r="W452">
        <f>COUNTIF(内藤証券!U:U,B452)</f>
        <v>0</v>
      </c>
    </row>
    <row r="453" spans="1:26" ht="24.95" hidden="1" customHeight="1" x14ac:dyDescent="0.4">
      <c r="A453" s="17" t="s">
        <v>28</v>
      </c>
      <c r="B453" s="15" t="s">
        <v>185</v>
      </c>
      <c r="C453" s="16" t="s">
        <v>24</v>
      </c>
      <c r="D453" s="16" t="s">
        <v>31</v>
      </c>
      <c r="E453" s="15" t="s">
        <v>35</v>
      </c>
      <c r="F453" s="15" t="s">
        <v>184</v>
      </c>
      <c r="N453" s="21" t="s">
        <v>96</v>
      </c>
      <c r="O453" s="21" t="s">
        <v>210</v>
      </c>
      <c r="Q453" s="21" t="s">
        <v>169</v>
      </c>
      <c r="R453" s="22">
        <v>45756</v>
      </c>
      <c r="W453">
        <f>COUNTIF(内藤証券!U:U,B453)</f>
        <v>0</v>
      </c>
      <c r="Z453" t="s">
        <v>433</v>
      </c>
    </row>
    <row r="454" spans="1:26" ht="24.95" hidden="1" customHeight="1" x14ac:dyDescent="0.4">
      <c r="A454" s="17" t="s">
        <v>28</v>
      </c>
      <c r="B454" s="15" t="s">
        <v>186</v>
      </c>
      <c r="C454" s="16" t="s">
        <v>31</v>
      </c>
      <c r="D454" s="16" t="s">
        <v>31</v>
      </c>
      <c r="E454" s="15" t="s">
        <v>32</v>
      </c>
      <c r="F454" s="15" t="s">
        <v>184</v>
      </c>
      <c r="N454" s="21" t="s">
        <v>96</v>
      </c>
      <c r="O454" s="21" t="s">
        <v>210</v>
      </c>
      <c r="Q454" s="21" t="s">
        <v>169</v>
      </c>
      <c r="R454" s="22">
        <v>45756</v>
      </c>
      <c r="W454">
        <f>COUNTIF(内藤証券!U:U,B454)</f>
        <v>0</v>
      </c>
      <c r="Z454" t="s">
        <v>433</v>
      </c>
    </row>
    <row r="455" spans="1:26" ht="24.95" hidden="1" customHeight="1" x14ac:dyDescent="0.4">
      <c r="A455" s="17" t="s">
        <v>28</v>
      </c>
      <c r="B455" s="15" t="s">
        <v>187</v>
      </c>
      <c r="C455" s="16" t="s">
        <v>31</v>
      </c>
      <c r="D455" s="16" t="s">
        <v>31</v>
      </c>
      <c r="E455" s="15" t="s">
        <v>32</v>
      </c>
      <c r="F455" s="15" t="s">
        <v>184</v>
      </c>
      <c r="N455" s="21" t="s">
        <v>96</v>
      </c>
      <c r="O455" s="21" t="s">
        <v>210</v>
      </c>
      <c r="Q455" s="21" t="s">
        <v>169</v>
      </c>
      <c r="R455" s="22">
        <v>45756</v>
      </c>
      <c r="W455">
        <f>COUNTIF(内藤証券!U:U,B455)</f>
        <v>0</v>
      </c>
      <c r="Z455" t="s">
        <v>433</v>
      </c>
    </row>
    <row r="456" spans="1:26" ht="24.95" hidden="1" customHeight="1" x14ac:dyDescent="0.4">
      <c r="A456" s="17" t="s">
        <v>28</v>
      </c>
      <c r="B456" s="15" t="s">
        <v>188</v>
      </c>
      <c r="C456" s="16" t="s">
        <v>31</v>
      </c>
      <c r="D456" s="16" t="s">
        <v>31</v>
      </c>
      <c r="E456" s="15" t="s">
        <v>32</v>
      </c>
      <c r="F456" s="15" t="s">
        <v>184</v>
      </c>
      <c r="N456" s="21" t="s">
        <v>96</v>
      </c>
      <c r="O456" s="21" t="s">
        <v>210</v>
      </c>
      <c r="Q456" s="21" t="s">
        <v>169</v>
      </c>
      <c r="R456" s="22">
        <v>45756</v>
      </c>
      <c r="W456">
        <f>COUNTIF(内藤証券!U:U,B456)</f>
        <v>0</v>
      </c>
      <c r="Z456" t="s">
        <v>433</v>
      </c>
    </row>
    <row r="457" spans="1:26" ht="24.95" hidden="1" customHeight="1" x14ac:dyDescent="0.4">
      <c r="A457" s="17" t="s">
        <v>28</v>
      </c>
      <c r="B457" s="15" t="s">
        <v>189</v>
      </c>
      <c r="C457" s="16" t="s">
        <v>31</v>
      </c>
      <c r="D457" s="16" t="s">
        <v>31</v>
      </c>
      <c r="E457" s="15" t="s">
        <v>32</v>
      </c>
      <c r="F457" s="15" t="s">
        <v>184</v>
      </c>
      <c r="N457" s="21" t="s">
        <v>96</v>
      </c>
      <c r="O457" s="21" t="s">
        <v>210</v>
      </c>
      <c r="Q457" s="21" t="s">
        <v>169</v>
      </c>
      <c r="R457" s="22">
        <v>45756</v>
      </c>
      <c r="W457">
        <f>COUNTIF(内藤証券!U:U,B457)</f>
        <v>0</v>
      </c>
      <c r="Z457" t="s">
        <v>433</v>
      </c>
    </row>
    <row r="458" spans="1:26" ht="24.95" hidden="1" customHeight="1" x14ac:dyDescent="0.4">
      <c r="A458" s="17" t="s">
        <v>28</v>
      </c>
      <c r="B458" s="15" t="s">
        <v>190</v>
      </c>
      <c r="C458" s="16" t="s">
        <v>31</v>
      </c>
      <c r="D458" s="16" t="s">
        <v>31</v>
      </c>
      <c r="E458" s="15" t="s">
        <v>32</v>
      </c>
      <c r="F458" s="15" t="s">
        <v>184</v>
      </c>
      <c r="N458" s="21" t="s">
        <v>96</v>
      </c>
      <c r="O458" s="21" t="s">
        <v>210</v>
      </c>
      <c r="Q458" s="21" t="s">
        <v>169</v>
      </c>
      <c r="R458" s="22">
        <v>45756</v>
      </c>
      <c r="W458">
        <f>COUNTIF(内藤証券!U:U,B458)</f>
        <v>0</v>
      </c>
      <c r="Z458" t="s">
        <v>433</v>
      </c>
    </row>
    <row r="459" spans="1:26" ht="24.95" hidden="1" customHeight="1" x14ac:dyDescent="0.4">
      <c r="A459" s="17" t="s">
        <v>28</v>
      </c>
      <c r="B459" s="15" t="s">
        <v>364</v>
      </c>
      <c r="C459" s="16" t="s">
        <v>24</v>
      </c>
      <c r="D459" s="16" t="s">
        <v>31</v>
      </c>
      <c r="E459" s="15" t="s">
        <v>35</v>
      </c>
      <c r="F459" s="15" t="s">
        <v>365</v>
      </c>
      <c r="N459" s="21" t="s">
        <v>96</v>
      </c>
      <c r="O459" s="21" t="s">
        <v>372</v>
      </c>
      <c r="Q459" s="21" t="s">
        <v>344</v>
      </c>
      <c r="R459" s="22">
        <v>45883</v>
      </c>
      <c r="W459">
        <f>COUNTIF(内藤証券!U:U,B459)</f>
        <v>0</v>
      </c>
      <c r="Z459" t="s">
        <v>433</v>
      </c>
    </row>
    <row r="460" spans="1:26" ht="24.95" hidden="1" customHeight="1" x14ac:dyDescent="0.4">
      <c r="A460" s="17" t="s">
        <v>28</v>
      </c>
      <c r="B460" s="15" t="s">
        <v>116</v>
      </c>
      <c r="C460" s="16" t="s">
        <v>31</v>
      </c>
      <c r="D460" s="16" t="s">
        <v>31</v>
      </c>
      <c r="E460" s="15" t="s">
        <v>32</v>
      </c>
      <c r="F460" s="15" t="s">
        <v>212</v>
      </c>
      <c r="N460" s="21" t="s">
        <v>96</v>
      </c>
      <c r="O460" s="21" t="s">
        <v>209</v>
      </c>
      <c r="Q460" s="21" t="s">
        <v>169</v>
      </c>
      <c r="R460" s="22">
        <v>45756</v>
      </c>
      <c r="W460">
        <f>COUNTIF(内藤証券!U:U,B460)</f>
        <v>0</v>
      </c>
      <c r="Z460" t="s">
        <v>433</v>
      </c>
    </row>
    <row r="461" spans="1:26" ht="24.95" hidden="1" customHeight="1" x14ac:dyDescent="0.4">
      <c r="A461" s="17" t="s">
        <v>28</v>
      </c>
      <c r="B461" s="15" t="s">
        <v>355</v>
      </c>
      <c r="C461" s="16" t="s">
        <v>31</v>
      </c>
      <c r="D461" s="16" t="s">
        <v>31</v>
      </c>
      <c r="E461" s="15" t="s">
        <v>32</v>
      </c>
      <c r="F461" s="15" t="s">
        <v>356</v>
      </c>
      <c r="N461" s="21" t="s">
        <v>96</v>
      </c>
      <c r="O461" s="21" t="s">
        <v>360</v>
      </c>
      <c r="Q461" s="21" t="s">
        <v>344</v>
      </c>
      <c r="R461" s="22">
        <v>45847</v>
      </c>
      <c r="W461">
        <f>COUNTIF(内藤証券!U:U,B461)</f>
        <v>1</v>
      </c>
      <c r="Z461" t="s">
        <v>433</v>
      </c>
    </row>
    <row r="462" spans="1:26" ht="24.95" hidden="1" customHeight="1" x14ac:dyDescent="0.4">
      <c r="A462" s="17" t="s">
        <v>28</v>
      </c>
      <c r="B462" s="15" t="s">
        <v>124</v>
      </c>
      <c r="C462" s="16" t="s">
        <v>31</v>
      </c>
      <c r="D462" s="16" t="s">
        <v>31</v>
      </c>
      <c r="E462" s="15" t="s">
        <v>32</v>
      </c>
      <c r="F462" s="15" t="s">
        <v>184</v>
      </c>
      <c r="N462" s="21" t="s">
        <v>96</v>
      </c>
      <c r="O462" s="13" t="s">
        <v>308</v>
      </c>
      <c r="Q462" s="21" t="s">
        <v>169</v>
      </c>
      <c r="R462" s="22">
        <v>45756</v>
      </c>
      <c r="W462">
        <f>COUNTIF(内藤証券!U:U,B462)</f>
        <v>0</v>
      </c>
      <c r="Z462" t="s">
        <v>433</v>
      </c>
    </row>
    <row r="463" spans="1:26" ht="24.95" hidden="1" customHeight="1" x14ac:dyDescent="0.4">
      <c r="A463" s="17" t="s">
        <v>28</v>
      </c>
      <c r="B463" s="15" t="s">
        <v>171</v>
      </c>
      <c r="C463" s="16" t="s">
        <v>31</v>
      </c>
      <c r="D463" s="16" t="s">
        <v>31</v>
      </c>
      <c r="E463" s="15" t="s">
        <v>32</v>
      </c>
      <c r="F463" s="15" t="s">
        <v>314</v>
      </c>
      <c r="N463" s="21" t="s">
        <v>96</v>
      </c>
      <c r="O463" s="21" t="s">
        <v>336</v>
      </c>
      <c r="Q463" s="21" t="s">
        <v>344</v>
      </c>
      <c r="R463" s="22">
        <v>45756</v>
      </c>
      <c r="W463">
        <f>COUNTIF(内藤証券!U:U,B463)</f>
        <v>0</v>
      </c>
    </row>
    <row r="464" spans="1:26" ht="24.95" hidden="1" customHeight="1" x14ac:dyDescent="0.4">
      <c r="A464" s="17" t="s">
        <v>28</v>
      </c>
      <c r="B464" s="15" t="s">
        <v>123</v>
      </c>
      <c r="C464" s="16" t="s">
        <v>31</v>
      </c>
      <c r="D464" s="16" t="s">
        <v>31</v>
      </c>
      <c r="E464" s="15" t="s">
        <v>32</v>
      </c>
      <c r="F464" s="15" t="s">
        <v>170</v>
      </c>
      <c r="N464" s="21" t="s">
        <v>96</v>
      </c>
      <c r="O464" s="21" t="s">
        <v>337</v>
      </c>
      <c r="Q464" s="21" t="s">
        <v>344</v>
      </c>
      <c r="R464" s="22">
        <v>45814</v>
      </c>
      <c r="W464">
        <f>COUNTIF(内藤証券!U:U,B464)</f>
        <v>0</v>
      </c>
    </row>
    <row r="465" spans="1:26" ht="24.95" hidden="1" customHeight="1" x14ac:dyDescent="0.4">
      <c r="A465" s="17" t="s">
        <v>28</v>
      </c>
      <c r="B465" s="15" t="s">
        <v>196</v>
      </c>
      <c r="C465" s="16" t="s">
        <v>31</v>
      </c>
      <c r="D465" s="16" t="s">
        <v>31</v>
      </c>
      <c r="E465" s="15" t="s">
        <v>32</v>
      </c>
      <c r="F465" s="15" t="s">
        <v>212</v>
      </c>
      <c r="N465" s="21" t="s">
        <v>96</v>
      </c>
      <c r="O465" s="21" t="s">
        <v>209</v>
      </c>
      <c r="Q465" s="21" t="s">
        <v>169</v>
      </c>
      <c r="R465" s="22">
        <v>45756</v>
      </c>
      <c r="W465">
        <f>COUNTIF(内藤証券!U:U,B465)</f>
        <v>0</v>
      </c>
      <c r="Z465" t="s">
        <v>433</v>
      </c>
    </row>
    <row r="466" spans="1:26" ht="24.95" hidden="1" customHeight="1" x14ac:dyDescent="0.4">
      <c r="A466" s="17" t="s">
        <v>28</v>
      </c>
      <c r="B466" s="15" t="s">
        <v>37</v>
      </c>
      <c r="C466" s="16" t="s">
        <v>31</v>
      </c>
      <c r="D466" s="16" t="s">
        <v>31</v>
      </c>
      <c r="E466" s="15" t="s">
        <v>32</v>
      </c>
      <c r="F466" s="15" t="s">
        <v>212</v>
      </c>
      <c r="N466" s="21" t="s">
        <v>96</v>
      </c>
      <c r="O466" s="13" t="s">
        <v>349</v>
      </c>
      <c r="Q466" s="21" t="s">
        <v>344</v>
      </c>
      <c r="R466" s="22">
        <v>45814</v>
      </c>
      <c r="W466">
        <f>COUNTIF(内藤証券!U:U,B466)</f>
        <v>1</v>
      </c>
      <c r="Z466" t="s">
        <v>432</v>
      </c>
    </row>
    <row r="467" spans="1:26" ht="24.95" hidden="1" customHeight="1" x14ac:dyDescent="0.4">
      <c r="A467" s="17" t="s">
        <v>28</v>
      </c>
      <c r="B467" s="15" t="s">
        <v>225</v>
      </c>
      <c r="C467" s="16" t="s">
        <v>31</v>
      </c>
      <c r="D467" s="16" t="s">
        <v>31</v>
      </c>
      <c r="E467" s="15" t="s">
        <v>32</v>
      </c>
      <c r="F467" s="15" t="s">
        <v>314</v>
      </c>
      <c r="N467" s="21" t="s">
        <v>96</v>
      </c>
      <c r="O467" s="21" t="s">
        <v>336</v>
      </c>
      <c r="Q467" s="21" t="s">
        <v>344</v>
      </c>
      <c r="R467" s="22">
        <v>45756</v>
      </c>
      <c r="W467">
        <f>COUNTIF(内藤証券!U:U,B467)</f>
        <v>0</v>
      </c>
    </row>
    <row r="468" spans="1:26" ht="24.95" hidden="1" customHeight="1" x14ac:dyDescent="0.4">
      <c r="A468" s="17" t="s">
        <v>28</v>
      </c>
      <c r="B468" s="15" t="s">
        <v>117</v>
      </c>
      <c r="C468" s="16" t="s">
        <v>31</v>
      </c>
      <c r="D468" s="16" t="s">
        <v>31</v>
      </c>
      <c r="E468" s="15" t="s">
        <v>32</v>
      </c>
      <c r="F468" s="15" t="s">
        <v>212</v>
      </c>
      <c r="N468" s="21" t="s">
        <v>96</v>
      </c>
      <c r="O468" s="21" t="s">
        <v>209</v>
      </c>
      <c r="Q468" s="21" t="s">
        <v>169</v>
      </c>
      <c r="R468" s="22">
        <v>45756</v>
      </c>
      <c r="W468">
        <f>COUNTIF(内藤証券!U:U,B468)</f>
        <v>0</v>
      </c>
      <c r="Z468" t="s">
        <v>433</v>
      </c>
    </row>
    <row r="469" spans="1:26" ht="24.95" hidden="1" customHeight="1" x14ac:dyDescent="0.4">
      <c r="A469" s="17" t="s">
        <v>28</v>
      </c>
      <c r="B469" s="15" t="s">
        <v>126</v>
      </c>
      <c r="C469" s="16" t="s">
        <v>31</v>
      </c>
      <c r="D469" s="16" t="s">
        <v>31</v>
      </c>
      <c r="E469" s="15" t="s">
        <v>32</v>
      </c>
      <c r="F469" s="15" t="s">
        <v>212</v>
      </c>
      <c r="N469" s="21" t="s">
        <v>96</v>
      </c>
      <c r="O469" s="21" t="s">
        <v>209</v>
      </c>
      <c r="Q469" s="21" t="s">
        <v>169</v>
      </c>
      <c r="R469" s="22">
        <v>45756</v>
      </c>
      <c r="W469">
        <f>COUNTIF(内藤証券!U:U,B469)</f>
        <v>0</v>
      </c>
    </row>
    <row r="470" spans="1:26" ht="24.95" hidden="1" customHeight="1" x14ac:dyDescent="0.4">
      <c r="A470" s="17" t="s">
        <v>28</v>
      </c>
      <c r="B470" s="15" t="s">
        <v>226</v>
      </c>
      <c r="C470" s="16" t="s">
        <v>31</v>
      </c>
      <c r="D470" s="16" t="s">
        <v>31</v>
      </c>
      <c r="E470" s="15" t="s">
        <v>32</v>
      </c>
      <c r="F470" s="15" t="s">
        <v>314</v>
      </c>
      <c r="N470" s="21" t="s">
        <v>96</v>
      </c>
      <c r="O470" s="21" t="s">
        <v>336</v>
      </c>
      <c r="Q470" s="21" t="s">
        <v>344</v>
      </c>
      <c r="R470" s="22">
        <v>45756</v>
      </c>
      <c r="W470">
        <f>COUNTIF(内藤証券!U:U,B470)</f>
        <v>0</v>
      </c>
    </row>
    <row r="471" spans="1:26" ht="24.95" hidden="1" customHeight="1" x14ac:dyDescent="0.4">
      <c r="A471" s="17" t="s">
        <v>28</v>
      </c>
      <c r="B471" s="15" t="s">
        <v>318</v>
      </c>
      <c r="C471" s="16" t="s">
        <v>31</v>
      </c>
      <c r="D471" s="16" t="s">
        <v>31</v>
      </c>
      <c r="E471" s="15" t="s">
        <v>32</v>
      </c>
      <c r="F471" s="15" t="s">
        <v>314</v>
      </c>
      <c r="N471" s="21" t="s">
        <v>96</v>
      </c>
      <c r="O471" s="21" t="s">
        <v>337</v>
      </c>
      <c r="Q471" s="21" t="s">
        <v>344</v>
      </c>
      <c r="R471" s="22">
        <v>45756</v>
      </c>
      <c r="W471">
        <f>COUNTIF(内藤証券!U:U,B471)</f>
        <v>0</v>
      </c>
    </row>
    <row r="472" spans="1:26" ht="24.95" hidden="1" customHeight="1" x14ac:dyDescent="0.4">
      <c r="A472" s="17" t="s">
        <v>28</v>
      </c>
      <c r="B472" s="15" t="s">
        <v>118</v>
      </c>
      <c r="C472" s="16" t="s">
        <v>31</v>
      </c>
      <c r="D472" s="16" t="s">
        <v>31</v>
      </c>
      <c r="E472" s="15" t="s">
        <v>32</v>
      </c>
      <c r="F472" s="15" t="s">
        <v>314</v>
      </c>
      <c r="N472" s="21" t="s">
        <v>96</v>
      </c>
      <c r="O472" s="21" t="s">
        <v>337</v>
      </c>
      <c r="Q472" s="21" t="s">
        <v>344</v>
      </c>
      <c r="R472" s="22">
        <v>45756</v>
      </c>
      <c r="W472">
        <f>COUNTIF(内藤証券!U:U,B472)</f>
        <v>0</v>
      </c>
    </row>
    <row r="473" spans="1:26" ht="24.95" hidden="1" customHeight="1" x14ac:dyDescent="0.4">
      <c r="A473" s="17" t="s">
        <v>28</v>
      </c>
      <c r="B473" s="15" t="s">
        <v>131</v>
      </c>
      <c r="C473" s="16" t="s">
        <v>31</v>
      </c>
      <c r="D473" s="16" t="s">
        <v>31</v>
      </c>
      <c r="E473" s="15" t="s">
        <v>32</v>
      </c>
      <c r="F473" s="15" t="s">
        <v>184</v>
      </c>
      <c r="N473" s="21" t="s">
        <v>96</v>
      </c>
      <c r="O473" s="21" t="s">
        <v>211</v>
      </c>
      <c r="Q473" s="21" t="s">
        <v>169</v>
      </c>
      <c r="R473" s="22">
        <v>45756</v>
      </c>
      <c r="W473">
        <f>COUNTIF(内藤証券!U:U,B473)</f>
        <v>0</v>
      </c>
      <c r="Z473" t="s">
        <v>433</v>
      </c>
    </row>
    <row r="474" spans="1:26" ht="24.95" hidden="1" customHeight="1" x14ac:dyDescent="0.4">
      <c r="A474" s="17" t="s">
        <v>28</v>
      </c>
      <c r="B474" s="15" t="s">
        <v>319</v>
      </c>
      <c r="C474" s="16" t="s">
        <v>31</v>
      </c>
      <c r="D474" s="16" t="s">
        <v>31</v>
      </c>
      <c r="E474" s="15" t="s">
        <v>32</v>
      </c>
      <c r="F474" s="15" t="s">
        <v>314</v>
      </c>
      <c r="N474" s="21" t="s">
        <v>96</v>
      </c>
      <c r="O474" s="21" t="s">
        <v>337</v>
      </c>
      <c r="Q474" s="21" t="s">
        <v>344</v>
      </c>
      <c r="R474" s="22">
        <v>45756</v>
      </c>
      <c r="W474">
        <f>COUNTIF(内藤証券!U:U,B474)</f>
        <v>0</v>
      </c>
    </row>
    <row r="475" spans="1:26" ht="24.95" hidden="1" customHeight="1" x14ac:dyDescent="0.4">
      <c r="A475" s="17" t="s">
        <v>28</v>
      </c>
      <c r="B475" s="15" t="s">
        <v>227</v>
      </c>
      <c r="C475" s="16" t="s">
        <v>31</v>
      </c>
      <c r="D475" s="16" t="s">
        <v>31</v>
      </c>
      <c r="E475" s="15" t="s">
        <v>32</v>
      </c>
      <c r="F475" s="15" t="s">
        <v>314</v>
      </c>
      <c r="N475" s="21" t="s">
        <v>96</v>
      </c>
      <c r="O475" s="21" t="s">
        <v>336</v>
      </c>
      <c r="Q475" s="21" t="s">
        <v>344</v>
      </c>
      <c r="R475" s="22">
        <v>45756</v>
      </c>
      <c r="W475">
        <f>COUNTIF(内藤証券!U:U,B475)</f>
        <v>0</v>
      </c>
    </row>
    <row r="476" spans="1:26" ht="24.95" hidden="1" customHeight="1" x14ac:dyDescent="0.4">
      <c r="A476" s="17" t="s">
        <v>28</v>
      </c>
      <c r="B476" s="15" t="s">
        <v>228</v>
      </c>
      <c r="C476" s="16" t="s">
        <v>31</v>
      </c>
      <c r="D476" s="16" t="s">
        <v>31</v>
      </c>
      <c r="E476" s="15" t="s">
        <v>32</v>
      </c>
      <c r="F476" s="15" t="s">
        <v>314</v>
      </c>
      <c r="N476" s="21" t="s">
        <v>96</v>
      </c>
      <c r="O476" s="21" t="s">
        <v>336</v>
      </c>
      <c r="Q476" s="21" t="s">
        <v>344</v>
      </c>
      <c r="R476" s="22">
        <v>45756</v>
      </c>
      <c r="W476">
        <f>COUNTIF(内藤証券!U:U,B476)</f>
        <v>0</v>
      </c>
    </row>
    <row r="477" spans="1:26" ht="24.95" hidden="1" customHeight="1" x14ac:dyDescent="0.4">
      <c r="A477" s="17" t="s">
        <v>28</v>
      </c>
      <c r="B477" s="15" t="s">
        <v>229</v>
      </c>
      <c r="C477" s="16" t="s">
        <v>31</v>
      </c>
      <c r="D477" s="16" t="s">
        <v>31</v>
      </c>
      <c r="E477" s="15" t="s">
        <v>32</v>
      </c>
      <c r="F477" s="15" t="s">
        <v>314</v>
      </c>
      <c r="N477" s="21" t="s">
        <v>96</v>
      </c>
      <c r="O477" s="21" t="s">
        <v>336</v>
      </c>
      <c r="Q477" s="21" t="s">
        <v>344</v>
      </c>
      <c r="R477" s="22">
        <v>45756</v>
      </c>
      <c r="W477">
        <f>COUNTIF(内藤証券!U:U,B477)</f>
        <v>0</v>
      </c>
    </row>
    <row r="478" spans="1:26" ht="24.95" hidden="1" customHeight="1" x14ac:dyDescent="0.4">
      <c r="A478" s="17" t="s">
        <v>28</v>
      </c>
      <c r="B478" s="15" t="s">
        <v>191</v>
      </c>
      <c r="C478" s="16" t="s">
        <v>31</v>
      </c>
      <c r="D478" s="16" t="s">
        <v>31</v>
      </c>
      <c r="E478" s="15" t="s">
        <v>32</v>
      </c>
      <c r="F478" s="15" t="s">
        <v>184</v>
      </c>
      <c r="N478" s="21" t="s">
        <v>96</v>
      </c>
      <c r="O478" s="21" t="s">
        <v>210</v>
      </c>
      <c r="Q478" s="21" t="s">
        <v>169</v>
      </c>
      <c r="R478" s="22">
        <v>45756</v>
      </c>
      <c r="W478">
        <f>COUNTIF(内藤証券!U:U,B478)</f>
        <v>0</v>
      </c>
      <c r="Z478" t="s">
        <v>433</v>
      </c>
    </row>
    <row r="479" spans="1:26" ht="24.95" hidden="1" customHeight="1" x14ac:dyDescent="0.4">
      <c r="A479" s="17" t="s">
        <v>28</v>
      </c>
      <c r="B479" s="15" t="s">
        <v>230</v>
      </c>
      <c r="C479" s="16" t="s">
        <v>31</v>
      </c>
      <c r="D479" s="16" t="s">
        <v>31</v>
      </c>
      <c r="E479" s="15" t="s">
        <v>32</v>
      </c>
      <c r="F479" s="15" t="s">
        <v>314</v>
      </c>
      <c r="N479" s="21" t="s">
        <v>96</v>
      </c>
      <c r="O479" s="21" t="s">
        <v>336</v>
      </c>
      <c r="Q479" s="21" t="s">
        <v>344</v>
      </c>
      <c r="R479" s="22">
        <v>45756</v>
      </c>
      <c r="W479">
        <f>COUNTIF(内藤証券!U:U,B479)</f>
        <v>0</v>
      </c>
    </row>
    <row r="480" spans="1:26" ht="24.95" hidden="1" customHeight="1" x14ac:dyDescent="0.4">
      <c r="A480" s="17" t="s">
        <v>28</v>
      </c>
      <c r="B480" s="15" t="s">
        <v>231</v>
      </c>
      <c r="C480" s="16" t="s">
        <v>31</v>
      </c>
      <c r="D480" s="16" t="s">
        <v>31</v>
      </c>
      <c r="E480" s="15" t="s">
        <v>32</v>
      </c>
      <c r="F480" s="15" t="s">
        <v>314</v>
      </c>
      <c r="N480" s="21" t="s">
        <v>96</v>
      </c>
      <c r="O480" s="21" t="s">
        <v>336</v>
      </c>
      <c r="Q480" s="21" t="s">
        <v>344</v>
      </c>
      <c r="R480" s="22">
        <v>45756</v>
      </c>
      <c r="W480">
        <f>COUNTIF(内藤証券!U:U,B480)</f>
        <v>0</v>
      </c>
    </row>
    <row r="481" spans="1:26" ht="24.95" hidden="1" customHeight="1" x14ac:dyDescent="0.4">
      <c r="A481" s="17" t="s">
        <v>28</v>
      </c>
      <c r="B481" s="15" t="s">
        <v>232</v>
      </c>
      <c r="C481" s="16" t="s">
        <v>31</v>
      </c>
      <c r="D481" s="16" t="s">
        <v>31</v>
      </c>
      <c r="E481" s="15" t="s">
        <v>32</v>
      </c>
      <c r="F481" s="15" t="s">
        <v>314</v>
      </c>
      <c r="N481" s="21" t="s">
        <v>96</v>
      </c>
      <c r="O481" s="21" t="s">
        <v>336</v>
      </c>
      <c r="Q481" s="21" t="s">
        <v>344</v>
      </c>
      <c r="R481" s="22">
        <v>45756</v>
      </c>
      <c r="W481">
        <f>COUNTIF(内藤証券!U:U,B481)</f>
        <v>0</v>
      </c>
    </row>
    <row r="482" spans="1:26" ht="24.95" hidden="1" customHeight="1" x14ac:dyDescent="0.4">
      <c r="A482" s="17" t="s">
        <v>28</v>
      </c>
      <c r="B482" s="15" t="s">
        <v>233</v>
      </c>
      <c r="C482" s="16" t="s">
        <v>31</v>
      </c>
      <c r="D482" s="16" t="s">
        <v>31</v>
      </c>
      <c r="E482" s="15" t="s">
        <v>32</v>
      </c>
      <c r="F482" s="15" t="s">
        <v>314</v>
      </c>
      <c r="N482" s="21" t="s">
        <v>96</v>
      </c>
      <c r="O482" s="21" t="s">
        <v>336</v>
      </c>
      <c r="Q482" s="21" t="s">
        <v>344</v>
      </c>
      <c r="R482" s="22">
        <v>45756</v>
      </c>
      <c r="W482">
        <f>COUNTIF(内藤証券!U:U,B482)</f>
        <v>0</v>
      </c>
    </row>
    <row r="483" spans="1:26" ht="24.95" hidden="1" customHeight="1" x14ac:dyDescent="0.4">
      <c r="A483" s="17" t="s">
        <v>28</v>
      </c>
      <c r="B483" s="15" t="s">
        <v>234</v>
      </c>
      <c r="C483" s="16" t="s">
        <v>31</v>
      </c>
      <c r="D483" s="16" t="s">
        <v>31</v>
      </c>
      <c r="E483" s="15" t="s">
        <v>32</v>
      </c>
      <c r="F483" s="15" t="s">
        <v>314</v>
      </c>
      <c r="N483" s="21" t="s">
        <v>96</v>
      </c>
      <c r="O483" s="21" t="s">
        <v>336</v>
      </c>
      <c r="Q483" s="21" t="s">
        <v>344</v>
      </c>
      <c r="R483" s="22">
        <v>45756</v>
      </c>
      <c r="W483">
        <f>COUNTIF(内藤証券!U:U,B483)</f>
        <v>0</v>
      </c>
    </row>
    <row r="484" spans="1:26" ht="24.95" hidden="1" customHeight="1" x14ac:dyDescent="0.4">
      <c r="A484" s="17" t="s">
        <v>28</v>
      </c>
      <c r="B484" s="15" t="s">
        <v>235</v>
      </c>
      <c r="C484" s="16" t="s">
        <v>31</v>
      </c>
      <c r="D484" s="16" t="s">
        <v>31</v>
      </c>
      <c r="E484" s="15" t="s">
        <v>32</v>
      </c>
      <c r="F484" s="15" t="s">
        <v>314</v>
      </c>
      <c r="N484" s="21" t="s">
        <v>96</v>
      </c>
      <c r="O484" s="21" t="s">
        <v>336</v>
      </c>
      <c r="Q484" s="21" t="s">
        <v>344</v>
      </c>
      <c r="R484" s="22">
        <v>45756</v>
      </c>
      <c r="W484">
        <f>COUNTIF(内藤証券!U:U,B484)</f>
        <v>0</v>
      </c>
    </row>
    <row r="485" spans="1:26" ht="24.95" hidden="1" customHeight="1" x14ac:dyDescent="0.4">
      <c r="A485" s="17" t="s">
        <v>28</v>
      </c>
      <c r="B485" s="15" t="s">
        <v>236</v>
      </c>
      <c r="C485" s="16" t="s">
        <v>31</v>
      </c>
      <c r="D485" s="16" t="s">
        <v>31</v>
      </c>
      <c r="E485" s="15" t="s">
        <v>32</v>
      </c>
      <c r="F485" s="15" t="s">
        <v>314</v>
      </c>
      <c r="N485" s="21" t="s">
        <v>96</v>
      </c>
      <c r="O485" s="21" t="s">
        <v>336</v>
      </c>
      <c r="Q485" s="21" t="s">
        <v>344</v>
      </c>
      <c r="R485" s="22">
        <v>45756</v>
      </c>
      <c r="W485">
        <f>COUNTIF(内藤証券!U:U,B485)</f>
        <v>0</v>
      </c>
    </row>
    <row r="486" spans="1:26" ht="24.95" hidden="1" customHeight="1" x14ac:dyDescent="0.4">
      <c r="A486" s="17" t="s">
        <v>28</v>
      </c>
      <c r="B486" s="15" t="s">
        <v>237</v>
      </c>
      <c r="C486" s="16" t="s">
        <v>31</v>
      </c>
      <c r="D486" s="16" t="s">
        <v>31</v>
      </c>
      <c r="E486" s="15" t="s">
        <v>32</v>
      </c>
      <c r="F486" s="15" t="s">
        <v>314</v>
      </c>
      <c r="N486" s="21" t="s">
        <v>96</v>
      </c>
      <c r="O486" s="21" t="s">
        <v>336</v>
      </c>
      <c r="Q486" s="21" t="s">
        <v>344</v>
      </c>
      <c r="R486" s="22">
        <v>45756</v>
      </c>
      <c r="W486">
        <f>COUNTIF(内藤証券!U:U,B486)</f>
        <v>0</v>
      </c>
    </row>
    <row r="487" spans="1:26" ht="24.95" hidden="1" customHeight="1" x14ac:dyDescent="0.4">
      <c r="A487" s="17" t="s">
        <v>28</v>
      </c>
      <c r="B487" s="15" t="s">
        <v>176</v>
      </c>
      <c r="C487" s="16" t="s">
        <v>24</v>
      </c>
      <c r="D487" s="16" t="s">
        <v>31</v>
      </c>
      <c r="E487" s="15" t="s">
        <v>35</v>
      </c>
      <c r="F487" s="15" t="s">
        <v>173</v>
      </c>
      <c r="N487" s="21" t="s">
        <v>96</v>
      </c>
      <c r="O487" s="21" t="s">
        <v>181</v>
      </c>
      <c r="Q487" s="21" t="s">
        <v>169</v>
      </c>
      <c r="R487" s="22">
        <v>45756</v>
      </c>
      <c r="W487">
        <f>COUNTIF(内藤証券!U:U,B487)</f>
        <v>0</v>
      </c>
      <c r="Z487" t="s">
        <v>433</v>
      </c>
    </row>
    <row r="488" spans="1:26" ht="24.95" hidden="1" customHeight="1" x14ac:dyDescent="0.4">
      <c r="A488" s="17" t="s">
        <v>28</v>
      </c>
      <c r="B488" s="15" t="s">
        <v>177</v>
      </c>
      <c r="C488" s="16" t="s">
        <v>24</v>
      </c>
      <c r="D488" s="16" t="s">
        <v>31</v>
      </c>
      <c r="E488" s="15" t="s">
        <v>35</v>
      </c>
      <c r="F488" s="15" t="s">
        <v>173</v>
      </c>
      <c r="N488" s="21" t="s">
        <v>96</v>
      </c>
      <c r="O488" s="21" t="s">
        <v>181</v>
      </c>
      <c r="Q488" s="21" t="s">
        <v>169</v>
      </c>
      <c r="R488" s="22">
        <v>45756</v>
      </c>
      <c r="W488">
        <f>COUNTIF(内藤証券!U:U,B488)</f>
        <v>0</v>
      </c>
      <c r="Z488" t="s">
        <v>433</v>
      </c>
    </row>
    <row r="489" spans="1:26" ht="24.95" hidden="1" customHeight="1" x14ac:dyDescent="0.4">
      <c r="A489" s="17" t="s">
        <v>28</v>
      </c>
      <c r="B489" s="15" t="s">
        <v>346</v>
      </c>
      <c r="C489" s="16" t="s">
        <v>31</v>
      </c>
      <c r="D489" s="16" t="s">
        <v>31</v>
      </c>
      <c r="E489" s="15" t="s">
        <v>32</v>
      </c>
      <c r="F489" s="15" t="s">
        <v>356</v>
      </c>
      <c r="N489" s="21" t="s">
        <v>96</v>
      </c>
      <c r="O489" s="21" t="s">
        <v>360</v>
      </c>
      <c r="Q489" s="21" t="s">
        <v>344</v>
      </c>
      <c r="R489" s="22">
        <v>45847</v>
      </c>
      <c r="W489">
        <f>COUNTIF(内藤証券!U:U,B489)</f>
        <v>0</v>
      </c>
      <c r="Z489" t="s">
        <v>433</v>
      </c>
    </row>
    <row r="490" spans="1:26" ht="24.95" hidden="1" customHeight="1" x14ac:dyDescent="0.4">
      <c r="A490" s="17" t="s">
        <v>28</v>
      </c>
      <c r="B490" s="15" t="s">
        <v>357</v>
      </c>
      <c r="C490" s="16" t="s">
        <v>31</v>
      </c>
      <c r="D490" s="16" t="s">
        <v>31</v>
      </c>
      <c r="E490" s="15" t="s">
        <v>32</v>
      </c>
      <c r="F490" s="15" t="s">
        <v>356</v>
      </c>
      <c r="N490" s="21" t="s">
        <v>96</v>
      </c>
      <c r="O490" s="21" t="s">
        <v>360</v>
      </c>
      <c r="Q490" s="21" t="s">
        <v>344</v>
      </c>
      <c r="R490" s="22">
        <v>45847</v>
      </c>
      <c r="W490">
        <f>COUNTIF(内藤証券!U:U,B490)</f>
        <v>0</v>
      </c>
      <c r="Z490" t="s">
        <v>433</v>
      </c>
    </row>
    <row r="491" spans="1:26" ht="24.95" hidden="1" customHeight="1" x14ac:dyDescent="0.4">
      <c r="A491" s="17" t="s">
        <v>28</v>
      </c>
      <c r="B491" s="15" t="s">
        <v>197</v>
      </c>
      <c r="C491" s="16" t="s">
        <v>24</v>
      </c>
      <c r="D491" s="16" t="s">
        <v>31</v>
      </c>
      <c r="E491" s="15" t="s">
        <v>35</v>
      </c>
      <c r="F491" s="15" t="s">
        <v>212</v>
      </c>
      <c r="N491" s="21" t="s">
        <v>96</v>
      </c>
      <c r="O491" s="21" t="s">
        <v>209</v>
      </c>
      <c r="Q491" s="21" t="s">
        <v>169</v>
      </c>
      <c r="R491" s="22">
        <v>45756</v>
      </c>
      <c r="W491">
        <f>COUNTIF(内藤証券!U:U,B491)</f>
        <v>0</v>
      </c>
      <c r="Z491" t="s">
        <v>433</v>
      </c>
    </row>
    <row r="492" spans="1:26" ht="24.95" hidden="1" customHeight="1" x14ac:dyDescent="0.4">
      <c r="A492" s="17" t="s">
        <v>28</v>
      </c>
      <c r="B492" s="15" t="s">
        <v>347</v>
      </c>
      <c r="C492" s="16" t="s">
        <v>31</v>
      </c>
      <c r="D492" s="16" t="s">
        <v>31</v>
      </c>
      <c r="E492" s="15" t="s">
        <v>32</v>
      </c>
      <c r="F492" s="15" t="s">
        <v>356</v>
      </c>
      <c r="N492" s="21" t="s">
        <v>96</v>
      </c>
      <c r="O492" s="21" t="s">
        <v>360</v>
      </c>
      <c r="Q492" s="21" t="s">
        <v>344</v>
      </c>
      <c r="R492" s="22">
        <v>45847</v>
      </c>
      <c r="W492">
        <f>COUNTIF(内藤証券!U:U,B492)</f>
        <v>0</v>
      </c>
      <c r="Z492" t="s">
        <v>433</v>
      </c>
    </row>
    <row r="493" spans="1:26" ht="24.95" hidden="1" customHeight="1" x14ac:dyDescent="0.4">
      <c r="A493" s="17" t="s">
        <v>28</v>
      </c>
      <c r="B493" s="15" t="s">
        <v>198</v>
      </c>
      <c r="C493" s="16" t="s">
        <v>31</v>
      </c>
      <c r="D493" s="16" t="s">
        <v>31</v>
      </c>
      <c r="E493" s="15" t="s">
        <v>32</v>
      </c>
      <c r="F493" s="15" t="s">
        <v>212</v>
      </c>
      <c r="N493" s="21" t="s">
        <v>96</v>
      </c>
      <c r="O493" s="21" t="s">
        <v>209</v>
      </c>
      <c r="Q493" s="21" t="s">
        <v>169</v>
      </c>
      <c r="R493" s="22">
        <v>45756</v>
      </c>
      <c r="W493">
        <f>COUNTIF(内藤証券!U:U,B493)</f>
        <v>0</v>
      </c>
      <c r="Z493" t="s">
        <v>433</v>
      </c>
    </row>
    <row r="494" spans="1:26" ht="24.95" hidden="1" customHeight="1" x14ac:dyDescent="0.4">
      <c r="A494" s="17" t="s">
        <v>28</v>
      </c>
      <c r="B494" s="15" t="s">
        <v>199</v>
      </c>
      <c r="C494" s="16" t="s">
        <v>31</v>
      </c>
      <c r="D494" s="16" t="s">
        <v>31</v>
      </c>
      <c r="E494" s="15" t="s">
        <v>32</v>
      </c>
      <c r="F494" s="15" t="s">
        <v>212</v>
      </c>
      <c r="N494" s="21" t="s">
        <v>96</v>
      </c>
      <c r="O494" s="21" t="s">
        <v>209</v>
      </c>
      <c r="Q494" s="21" t="s">
        <v>169</v>
      </c>
      <c r="R494" s="22">
        <v>45756</v>
      </c>
      <c r="W494">
        <f>COUNTIF(内藤証券!U:U,B494)</f>
        <v>0</v>
      </c>
      <c r="Z494" t="s">
        <v>433</v>
      </c>
    </row>
    <row r="495" spans="1:26" ht="24.95" hidden="1" customHeight="1" x14ac:dyDescent="0.4">
      <c r="A495" s="17" t="s">
        <v>28</v>
      </c>
      <c r="B495" s="15" t="s">
        <v>320</v>
      </c>
      <c r="C495" s="16" t="s">
        <v>31</v>
      </c>
      <c r="D495" s="16" t="s">
        <v>31</v>
      </c>
      <c r="E495" s="15" t="s">
        <v>32</v>
      </c>
      <c r="F495" s="15" t="s">
        <v>314</v>
      </c>
      <c r="N495" s="21" t="s">
        <v>96</v>
      </c>
      <c r="O495" s="21" t="s">
        <v>337</v>
      </c>
      <c r="Q495" s="21" t="s">
        <v>344</v>
      </c>
      <c r="R495" s="22">
        <v>45756</v>
      </c>
      <c r="W495">
        <f>COUNTIF(内藤証券!U:U,B495)</f>
        <v>0</v>
      </c>
    </row>
    <row r="496" spans="1:26" ht="24.95" hidden="1" customHeight="1" x14ac:dyDescent="0.4">
      <c r="A496" s="17" t="s">
        <v>28</v>
      </c>
      <c r="B496" s="15" t="s">
        <v>167</v>
      </c>
      <c r="C496" s="16" t="s">
        <v>31</v>
      </c>
      <c r="D496" s="16" t="s">
        <v>31</v>
      </c>
      <c r="E496" s="15" t="s">
        <v>32</v>
      </c>
      <c r="F496" s="15" t="s">
        <v>170</v>
      </c>
      <c r="N496" s="21" t="s">
        <v>96</v>
      </c>
      <c r="O496" s="13" t="s">
        <v>219</v>
      </c>
      <c r="Q496" s="21" t="s">
        <v>169</v>
      </c>
      <c r="R496" s="22">
        <v>45756</v>
      </c>
      <c r="W496">
        <f>COUNTIF(内藤証券!U:U,B496)</f>
        <v>0</v>
      </c>
      <c r="Z496" t="s">
        <v>433</v>
      </c>
    </row>
    <row r="497" spans="1:26" ht="24.95" hidden="1" customHeight="1" x14ac:dyDescent="0.4">
      <c r="A497" s="17" t="s">
        <v>28</v>
      </c>
      <c r="B497" s="15" t="s">
        <v>132</v>
      </c>
      <c r="C497" s="16" t="s">
        <v>31</v>
      </c>
      <c r="D497" s="16" t="s">
        <v>31</v>
      </c>
      <c r="E497" s="15" t="s">
        <v>32</v>
      </c>
      <c r="F497" s="15" t="s">
        <v>314</v>
      </c>
      <c r="N497" s="21" t="s">
        <v>96</v>
      </c>
      <c r="O497" s="21" t="s">
        <v>337</v>
      </c>
      <c r="Q497" s="21" t="s">
        <v>344</v>
      </c>
      <c r="R497" s="22">
        <v>45756</v>
      </c>
      <c r="W497">
        <f>COUNTIF(内藤証券!U:U,B497)</f>
        <v>0</v>
      </c>
    </row>
    <row r="498" spans="1:26" ht="24.95" hidden="1" customHeight="1" x14ac:dyDescent="0.4">
      <c r="A498" s="17" t="s">
        <v>28</v>
      </c>
      <c r="B498" s="15" t="s">
        <v>200</v>
      </c>
      <c r="C498" s="16" t="s">
        <v>31</v>
      </c>
      <c r="D498" s="16" t="s">
        <v>31</v>
      </c>
      <c r="E498" s="15" t="s">
        <v>32</v>
      </c>
      <c r="F498" s="15" t="s">
        <v>212</v>
      </c>
      <c r="N498" s="21" t="s">
        <v>96</v>
      </c>
      <c r="O498" s="21" t="s">
        <v>209</v>
      </c>
      <c r="Q498" s="21" t="s">
        <v>169</v>
      </c>
      <c r="R498" s="22">
        <v>45756</v>
      </c>
      <c r="W498">
        <f>COUNTIF(内藤証券!U:U,B498)</f>
        <v>0</v>
      </c>
      <c r="Z498" t="s">
        <v>433</v>
      </c>
    </row>
    <row r="499" spans="1:26" ht="24.95" hidden="1" customHeight="1" x14ac:dyDescent="0.4">
      <c r="A499" s="17" t="s">
        <v>28</v>
      </c>
      <c r="B499" s="15" t="s">
        <v>321</v>
      </c>
      <c r="C499" s="16" t="s">
        <v>24</v>
      </c>
      <c r="D499" s="16" t="s">
        <v>31</v>
      </c>
      <c r="E499" s="15" t="s">
        <v>35</v>
      </c>
      <c r="F499" s="15" t="s">
        <v>314</v>
      </c>
      <c r="N499" s="21" t="s">
        <v>96</v>
      </c>
      <c r="O499" s="21" t="s">
        <v>337</v>
      </c>
      <c r="Q499" s="21" t="s">
        <v>344</v>
      </c>
      <c r="R499" s="22">
        <v>45756</v>
      </c>
      <c r="W499">
        <f>COUNTIF(内藤証券!U:U,B499)</f>
        <v>0</v>
      </c>
    </row>
    <row r="500" spans="1:26" ht="24.95" hidden="1" customHeight="1" x14ac:dyDescent="0.4">
      <c r="A500" s="17" t="s">
        <v>28</v>
      </c>
      <c r="B500" s="15" t="s">
        <v>322</v>
      </c>
      <c r="C500" s="16" t="s">
        <v>24</v>
      </c>
      <c r="D500" s="16" t="s">
        <v>31</v>
      </c>
      <c r="E500" s="15" t="s">
        <v>35</v>
      </c>
      <c r="F500" s="15" t="s">
        <v>314</v>
      </c>
      <c r="N500" s="21" t="s">
        <v>96</v>
      </c>
      <c r="O500" s="21" t="s">
        <v>337</v>
      </c>
      <c r="Q500" s="21" t="s">
        <v>344</v>
      </c>
      <c r="R500" s="22">
        <v>45756</v>
      </c>
      <c r="W500">
        <f>COUNTIF(内藤証券!U:U,B500)</f>
        <v>0</v>
      </c>
    </row>
    <row r="501" spans="1:26" ht="24.95" hidden="1" customHeight="1" x14ac:dyDescent="0.4">
      <c r="A501" s="17" t="s">
        <v>28</v>
      </c>
      <c r="B501" s="15" t="s">
        <v>323</v>
      </c>
      <c r="C501" s="16" t="s">
        <v>24</v>
      </c>
      <c r="D501" s="16" t="s">
        <v>31</v>
      </c>
      <c r="E501" s="15" t="s">
        <v>35</v>
      </c>
      <c r="F501" s="15" t="s">
        <v>314</v>
      </c>
      <c r="N501" s="21" t="s">
        <v>96</v>
      </c>
      <c r="O501" s="21" t="s">
        <v>337</v>
      </c>
      <c r="Q501" s="21" t="s">
        <v>344</v>
      </c>
      <c r="R501" s="22">
        <v>45756</v>
      </c>
      <c r="W501">
        <f>COUNTIF(内藤証券!U:U,B501)</f>
        <v>0</v>
      </c>
    </row>
    <row r="502" spans="1:26" ht="24.95" hidden="1" customHeight="1" x14ac:dyDescent="0.4">
      <c r="A502" s="17" t="s">
        <v>28</v>
      </c>
      <c r="B502" s="15" t="s">
        <v>201</v>
      </c>
      <c r="C502" s="16" t="s">
        <v>24</v>
      </c>
      <c r="D502" s="16" t="s">
        <v>31</v>
      </c>
      <c r="E502" s="15" t="s">
        <v>35</v>
      </c>
      <c r="F502" s="15" t="s">
        <v>212</v>
      </c>
      <c r="N502" s="21" t="s">
        <v>96</v>
      </c>
      <c r="O502" s="21" t="s">
        <v>209</v>
      </c>
      <c r="Q502" s="21" t="s">
        <v>169</v>
      </c>
      <c r="R502" s="22">
        <v>45756</v>
      </c>
      <c r="W502">
        <f>COUNTIF(内藤証券!U:U,B502)</f>
        <v>0</v>
      </c>
      <c r="Z502" t="s">
        <v>433</v>
      </c>
    </row>
    <row r="503" spans="1:26" ht="24.95" hidden="1" customHeight="1" x14ac:dyDescent="0.4">
      <c r="A503" s="17" t="s">
        <v>28</v>
      </c>
      <c r="B503" s="15" t="s">
        <v>238</v>
      </c>
      <c r="C503" s="16" t="s">
        <v>31</v>
      </c>
      <c r="D503" s="16" t="s">
        <v>31</v>
      </c>
      <c r="E503" s="15" t="s">
        <v>32</v>
      </c>
      <c r="F503" s="15" t="s">
        <v>314</v>
      </c>
      <c r="N503" s="21" t="s">
        <v>96</v>
      </c>
      <c r="O503" s="21" t="s">
        <v>336</v>
      </c>
      <c r="Q503" s="21" t="s">
        <v>344</v>
      </c>
      <c r="R503" s="22">
        <v>45756</v>
      </c>
      <c r="W503">
        <f>COUNTIF(内藤証券!U:U,B503)</f>
        <v>0</v>
      </c>
    </row>
    <row r="504" spans="1:26" ht="24.95" hidden="1" customHeight="1" x14ac:dyDescent="0.4">
      <c r="A504" s="17" t="s">
        <v>28</v>
      </c>
      <c r="B504" s="15" t="s">
        <v>239</v>
      </c>
      <c r="C504" s="16" t="s">
        <v>31</v>
      </c>
      <c r="D504" s="16" t="s">
        <v>31</v>
      </c>
      <c r="E504" s="15" t="s">
        <v>32</v>
      </c>
      <c r="F504" s="15" t="s">
        <v>314</v>
      </c>
      <c r="N504" s="21" t="s">
        <v>96</v>
      </c>
      <c r="O504" s="21" t="s">
        <v>336</v>
      </c>
      <c r="Q504" s="21" t="s">
        <v>344</v>
      </c>
      <c r="R504" s="22">
        <v>45756</v>
      </c>
      <c r="W504">
        <f>COUNTIF(内藤証券!U:U,B504)</f>
        <v>0</v>
      </c>
    </row>
    <row r="505" spans="1:26" ht="24.95" hidden="1" customHeight="1" x14ac:dyDescent="0.4">
      <c r="A505" s="17" t="s">
        <v>28</v>
      </c>
      <c r="B505" s="15" t="s">
        <v>240</v>
      </c>
      <c r="C505" s="16" t="s">
        <v>31</v>
      </c>
      <c r="D505" s="16" t="s">
        <v>31</v>
      </c>
      <c r="E505" s="15" t="s">
        <v>32</v>
      </c>
      <c r="F505" s="15" t="s">
        <v>314</v>
      </c>
      <c r="N505" s="21" t="s">
        <v>96</v>
      </c>
      <c r="O505" s="21" t="s">
        <v>336</v>
      </c>
      <c r="Q505" s="21" t="s">
        <v>344</v>
      </c>
      <c r="R505" s="22">
        <v>45756</v>
      </c>
      <c r="W505">
        <f>COUNTIF(内藤証券!U:U,B505)</f>
        <v>0</v>
      </c>
    </row>
    <row r="506" spans="1:26" ht="24.95" hidden="1" customHeight="1" x14ac:dyDescent="0.4">
      <c r="A506" s="17" t="s">
        <v>28</v>
      </c>
      <c r="B506" s="15" t="s">
        <v>241</v>
      </c>
      <c r="C506" s="16" t="s">
        <v>31</v>
      </c>
      <c r="D506" s="16" t="s">
        <v>31</v>
      </c>
      <c r="E506" s="15" t="s">
        <v>32</v>
      </c>
      <c r="F506" s="15" t="s">
        <v>314</v>
      </c>
      <c r="N506" s="21" t="s">
        <v>96</v>
      </c>
      <c r="O506" s="21" t="s">
        <v>336</v>
      </c>
      <c r="Q506" s="21" t="s">
        <v>344</v>
      </c>
      <c r="R506" s="22">
        <v>45756</v>
      </c>
      <c r="W506">
        <f>COUNTIF(内藤証券!U:U,B506)</f>
        <v>0</v>
      </c>
    </row>
    <row r="507" spans="1:26" ht="24.95" hidden="1" customHeight="1" x14ac:dyDescent="0.4">
      <c r="A507" s="17" t="s">
        <v>28</v>
      </c>
      <c r="B507" s="15" t="s">
        <v>242</v>
      </c>
      <c r="C507" s="16" t="s">
        <v>31</v>
      </c>
      <c r="D507" s="16" t="s">
        <v>31</v>
      </c>
      <c r="E507" s="15" t="s">
        <v>32</v>
      </c>
      <c r="F507" s="15" t="s">
        <v>314</v>
      </c>
      <c r="N507" s="21" t="s">
        <v>96</v>
      </c>
      <c r="O507" s="21" t="s">
        <v>336</v>
      </c>
      <c r="Q507" s="21" t="s">
        <v>344</v>
      </c>
      <c r="R507" s="22">
        <v>45756</v>
      </c>
      <c r="W507">
        <f>COUNTIF(内藤証券!U:U,B507)</f>
        <v>0</v>
      </c>
    </row>
    <row r="508" spans="1:26" ht="24.95" hidden="1" customHeight="1" x14ac:dyDescent="0.4">
      <c r="A508" s="17" t="s">
        <v>28</v>
      </c>
      <c r="B508" s="15" t="s">
        <v>243</v>
      </c>
      <c r="C508" s="16" t="s">
        <v>31</v>
      </c>
      <c r="D508" s="16" t="s">
        <v>31</v>
      </c>
      <c r="E508" s="15" t="s">
        <v>32</v>
      </c>
      <c r="F508" s="15" t="s">
        <v>314</v>
      </c>
      <c r="N508" s="21" t="s">
        <v>96</v>
      </c>
      <c r="O508" s="21" t="s">
        <v>336</v>
      </c>
      <c r="Q508" s="21" t="s">
        <v>344</v>
      </c>
      <c r="R508" s="22">
        <v>45756</v>
      </c>
      <c r="W508">
        <f>COUNTIF(内藤証券!U:U,B508)</f>
        <v>0</v>
      </c>
    </row>
    <row r="509" spans="1:26" ht="24.95" hidden="1" customHeight="1" x14ac:dyDescent="0.4">
      <c r="A509" s="17" t="s">
        <v>28</v>
      </c>
      <c r="B509" s="15" t="s">
        <v>244</v>
      </c>
      <c r="C509" s="16" t="s">
        <v>31</v>
      </c>
      <c r="D509" s="16" t="s">
        <v>31</v>
      </c>
      <c r="E509" s="15" t="s">
        <v>32</v>
      </c>
      <c r="F509" s="15" t="s">
        <v>314</v>
      </c>
      <c r="N509" s="21" t="s">
        <v>96</v>
      </c>
      <c r="O509" s="21" t="s">
        <v>336</v>
      </c>
      <c r="Q509" s="21" t="s">
        <v>344</v>
      </c>
      <c r="R509" s="22">
        <v>45756</v>
      </c>
      <c r="W509">
        <f>COUNTIF(内藤証券!U:U,B509)</f>
        <v>0</v>
      </c>
    </row>
    <row r="510" spans="1:26" ht="24.95" hidden="1" customHeight="1" x14ac:dyDescent="0.4">
      <c r="A510" s="17" t="s">
        <v>28</v>
      </c>
      <c r="B510" s="15" t="s">
        <v>245</v>
      </c>
      <c r="C510" s="16" t="s">
        <v>31</v>
      </c>
      <c r="D510" s="16" t="s">
        <v>31</v>
      </c>
      <c r="E510" s="15" t="s">
        <v>32</v>
      </c>
      <c r="F510" s="15" t="s">
        <v>314</v>
      </c>
      <c r="N510" s="21" t="s">
        <v>96</v>
      </c>
      <c r="O510" s="21" t="s">
        <v>336</v>
      </c>
      <c r="Q510" s="21" t="s">
        <v>344</v>
      </c>
      <c r="R510" s="22">
        <v>45756</v>
      </c>
      <c r="W510">
        <f>COUNTIF(内藤証券!U:U,B510)</f>
        <v>0</v>
      </c>
    </row>
    <row r="511" spans="1:26" ht="24.95" hidden="1" customHeight="1" x14ac:dyDescent="0.4">
      <c r="A511" s="17" t="s">
        <v>28</v>
      </c>
      <c r="B511" s="15" t="s">
        <v>246</v>
      </c>
      <c r="C511" s="16" t="s">
        <v>31</v>
      </c>
      <c r="D511" s="16" t="s">
        <v>31</v>
      </c>
      <c r="E511" s="15" t="s">
        <v>32</v>
      </c>
      <c r="F511" s="15" t="s">
        <v>314</v>
      </c>
      <c r="N511" s="21" t="s">
        <v>96</v>
      </c>
      <c r="O511" s="21" t="s">
        <v>336</v>
      </c>
      <c r="Q511" s="21" t="s">
        <v>344</v>
      </c>
      <c r="R511" s="22">
        <v>45756</v>
      </c>
      <c r="W511">
        <f>COUNTIF(内藤証券!U:U,B511)</f>
        <v>0</v>
      </c>
    </row>
    <row r="512" spans="1:26" ht="24.95" hidden="1" customHeight="1" x14ac:dyDescent="0.4">
      <c r="A512" s="17" t="s">
        <v>28</v>
      </c>
      <c r="B512" s="15" t="s">
        <v>247</v>
      </c>
      <c r="C512" s="16" t="s">
        <v>31</v>
      </c>
      <c r="D512" s="16" t="s">
        <v>31</v>
      </c>
      <c r="E512" s="15" t="s">
        <v>32</v>
      </c>
      <c r="F512" s="15" t="s">
        <v>314</v>
      </c>
      <c r="N512" s="21" t="s">
        <v>96</v>
      </c>
      <c r="O512" s="21" t="s">
        <v>336</v>
      </c>
      <c r="Q512" s="21" t="s">
        <v>344</v>
      </c>
      <c r="R512" s="22">
        <v>45756</v>
      </c>
      <c r="W512">
        <f>COUNTIF(内藤証券!U:U,B512)</f>
        <v>0</v>
      </c>
    </row>
    <row r="513" spans="1:26" ht="24.95" hidden="1" customHeight="1" x14ac:dyDescent="0.4">
      <c r="A513" s="17" t="s">
        <v>28</v>
      </c>
      <c r="B513" s="15" t="s">
        <v>248</v>
      </c>
      <c r="C513" s="16" t="s">
        <v>31</v>
      </c>
      <c r="D513" s="16" t="s">
        <v>31</v>
      </c>
      <c r="E513" s="15" t="s">
        <v>32</v>
      </c>
      <c r="F513" s="15" t="s">
        <v>314</v>
      </c>
      <c r="N513" s="21" t="s">
        <v>96</v>
      </c>
      <c r="O513" s="21" t="s">
        <v>336</v>
      </c>
      <c r="Q513" s="21" t="s">
        <v>344</v>
      </c>
      <c r="R513" s="22">
        <v>45756</v>
      </c>
      <c r="W513">
        <f>COUNTIF(内藤証券!U:U,B513)</f>
        <v>0</v>
      </c>
    </row>
    <row r="514" spans="1:26" ht="24.95" hidden="1" customHeight="1" x14ac:dyDescent="0.4">
      <c r="A514" s="17" t="s">
        <v>28</v>
      </c>
      <c r="B514" s="15" t="s">
        <v>249</v>
      </c>
      <c r="C514" s="16" t="s">
        <v>31</v>
      </c>
      <c r="D514" s="16" t="s">
        <v>31</v>
      </c>
      <c r="E514" s="15" t="s">
        <v>32</v>
      </c>
      <c r="F514" s="15" t="s">
        <v>314</v>
      </c>
      <c r="N514" s="21" t="s">
        <v>96</v>
      </c>
      <c r="O514" s="21" t="s">
        <v>336</v>
      </c>
      <c r="Q514" s="21" t="s">
        <v>344</v>
      </c>
      <c r="R514" s="22">
        <v>45756</v>
      </c>
      <c r="W514">
        <f>COUNTIF(内藤証券!U:U,B514)</f>
        <v>0</v>
      </c>
    </row>
    <row r="515" spans="1:26" ht="24.95" hidden="1" customHeight="1" x14ac:dyDescent="0.4">
      <c r="A515" s="17" t="s">
        <v>28</v>
      </c>
      <c r="B515" s="15" t="s">
        <v>250</v>
      </c>
      <c r="C515" s="16" t="s">
        <v>31</v>
      </c>
      <c r="D515" s="16" t="s">
        <v>31</v>
      </c>
      <c r="E515" s="15" t="s">
        <v>32</v>
      </c>
      <c r="F515" s="15" t="s">
        <v>314</v>
      </c>
      <c r="N515" s="21" t="s">
        <v>96</v>
      </c>
      <c r="O515" s="21" t="s">
        <v>336</v>
      </c>
      <c r="Q515" s="21" t="s">
        <v>344</v>
      </c>
      <c r="R515" s="22">
        <v>45756</v>
      </c>
      <c r="W515">
        <f>COUNTIF(内藤証券!U:U,B515)</f>
        <v>0</v>
      </c>
    </row>
    <row r="516" spans="1:26" ht="24.95" hidden="1" customHeight="1" x14ac:dyDescent="0.4">
      <c r="A516" s="17" t="s">
        <v>28</v>
      </c>
      <c r="B516" s="15" t="s">
        <v>251</v>
      </c>
      <c r="C516" s="16" t="s">
        <v>31</v>
      </c>
      <c r="D516" s="16" t="s">
        <v>31</v>
      </c>
      <c r="E516" s="15" t="s">
        <v>32</v>
      </c>
      <c r="F516" s="15" t="s">
        <v>314</v>
      </c>
      <c r="N516" s="21" t="s">
        <v>96</v>
      </c>
      <c r="O516" s="21" t="s">
        <v>336</v>
      </c>
      <c r="Q516" s="21" t="s">
        <v>344</v>
      </c>
      <c r="R516" s="22">
        <v>45756</v>
      </c>
      <c r="W516">
        <f>COUNTIF(内藤証券!U:U,B516)</f>
        <v>0</v>
      </c>
    </row>
    <row r="517" spans="1:26" ht="24.95" hidden="1" customHeight="1" x14ac:dyDescent="0.4">
      <c r="A517" s="17" t="s">
        <v>28</v>
      </c>
      <c r="B517" s="15" t="s">
        <v>341</v>
      </c>
      <c r="C517" s="16" t="s">
        <v>31</v>
      </c>
      <c r="D517" s="16" t="s">
        <v>31</v>
      </c>
      <c r="E517" s="15" t="s">
        <v>32</v>
      </c>
      <c r="F517" s="15" t="s">
        <v>340</v>
      </c>
      <c r="N517" s="21" t="s">
        <v>96</v>
      </c>
      <c r="O517" s="21" t="s">
        <v>345</v>
      </c>
      <c r="Q517" s="21" t="s">
        <v>344</v>
      </c>
      <c r="R517" s="22">
        <v>45784</v>
      </c>
      <c r="W517">
        <f>COUNTIF(内藤証券!U:U,B517)</f>
        <v>0</v>
      </c>
      <c r="Z517" t="s">
        <v>433</v>
      </c>
    </row>
    <row r="518" spans="1:26" ht="24.95" hidden="1" customHeight="1" x14ac:dyDescent="0.4">
      <c r="A518" s="17" t="s">
        <v>28</v>
      </c>
      <c r="B518" s="15" t="s">
        <v>193</v>
      </c>
      <c r="C518" s="16" t="s">
        <v>31</v>
      </c>
      <c r="D518" s="16" t="s">
        <v>31</v>
      </c>
      <c r="E518" s="15" t="s">
        <v>32</v>
      </c>
      <c r="F518" s="15" t="s">
        <v>184</v>
      </c>
      <c r="N518" s="21" t="s">
        <v>96</v>
      </c>
      <c r="O518" s="21" t="s">
        <v>211</v>
      </c>
      <c r="Q518" s="21" t="s">
        <v>169</v>
      </c>
      <c r="R518" s="22">
        <v>45756</v>
      </c>
      <c r="W518">
        <f>COUNTIF(内藤証券!U:U,B518)</f>
        <v>0</v>
      </c>
      <c r="Z518" t="s">
        <v>433</v>
      </c>
    </row>
    <row r="519" spans="1:26" ht="24.95" hidden="1" customHeight="1" x14ac:dyDescent="0.4">
      <c r="A519" s="17" t="s">
        <v>28</v>
      </c>
      <c r="B519" s="15" t="s">
        <v>252</v>
      </c>
      <c r="C519" s="16" t="s">
        <v>31</v>
      </c>
      <c r="D519" s="16" t="s">
        <v>31</v>
      </c>
      <c r="E519" s="15" t="s">
        <v>32</v>
      </c>
      <c r="F519" s="15" t="s">
        <v>314</v>
      </c>
      <c r="N519" s="21" t="s">
        <v>96</v>
      </c>
      <c r="O519" s="21" t="s">
        <v>336</v>
      </c>
      <c r="Q519" s="21" t="s">
        <v>344</v>
      </c>
      <c r="R519" s="22">
        <v>45756</v>
      </c>
      <c r="W519">
        <f>COUNTIF(内藤証券!U:U,B519)</f>
        <v>0</v>
      </c>
    </row>
    <row r="520" spans="1:26" ht="24.95" hidden="1" customHeight="1" x14ac:dyDescent="0.4">
      <c r="A520" s="17" t="s">
        <v>28</v>
      </c>
      <c r="B520" s="15" t="s">
        <v>253</v>
      </c>
      <c r="C520" s="16" t="s">
        <v>31</v>
      </c>
      <c r="D520" s="16" t="s">
        <v>31</v>
      </c>
      <c r="E520" s="15" t="s">
        <v>32</v>
      </c>
      <c r="F520" s="15" t="s">
        <v>314</v>
      </c>
      <c r="N520" s="21" t="s">
        <v>96</v>
      </c>
      <c r="O520" s="21" t="s">
        <v>336</v>
      </c>
      <c r="Q520" s="21" t="s">
        <v>344</v>
      </c>
      <c r="R520" s="22">
        <v>45756</v>
      </c>
      <c r="W520">
        <f>COUNTIF(内藤証券!U:U,B520)</f>
        <v>0</v>
      </c>
    </row>
    <row r="521" spans="1:26" ht="24.95" hidden="1" customHeight="1" x14ac:dyDescent="0.4">
      <c r="A521" s="17" t="s">
        <v>28</v>
      </c>
      <c r="B521" s="15" t="s">
        <v>254</v>
      </c>
      <c r="C521" s="16" t="s">
        <v>31</v>
      </c>
      <c r="D521" s="16" t="s">
        <v>31</v>
      </c>
      <c r="E521" s="15" t="s">
        <v>32</v>
      </c>
      <c r="F521" s="15" t="s">
        <v>314</v>
      </c>
      <c r="N521" s="21" t="s">
        <v>96</v>
      </c>
      <c r="O521" s="21" t="s">
        <v>336</v>
      </c>
      <c r="Q521" s="21" t="s">
        <v>344</v>
      </c>
      <c r="R521" s="22">
        <v>45756</v>
      </c>
      <c r="W521">
        <f>COUNTIF(内藤証券!U:U,B521)</f>
        <v>0</v>
      </c>
    </row>
    <row r="522" spans="1:26" ht="24.95" hidden="1" customHeight="1" x14ac:dyDescent="0.4">
      <c r="A522" s="17" t="s">
        <v>28</v>
      </c>
      <c r="B522" s="15" t="s">
        <v>255</v>
      </c>
      <c r="C522" s="16" t="s">
        <v>31</v>
      </c>
      <c r="D522" s="16" t="s">
        <v>31</v>
      </c>
      <c r="E522" s="15" t="s">
        <v>32</v>
      </c>
      <c r="F522" s="15" t="s">
        <v>314</v>
      </c>
      <c r="N522" s="21" t="s">
        <v>96</v>
      </c>
      <c r="O522" s="21" t="s">
        <v>336</v>
      </c>
      <c r="Q522" s="21" t="s">
        <v>344</v>
      </c>
      <c r="R522" s="22">
        <v>45756</v>
      </c>
      <c r="W522">
        <f>COUNTIF(内藤証券!U:U,B522)</f>
        <v>0</v>
      </c>
    </row>
    <row r="523" spans="1:26" ht="24.95" hidden="1" customHeight="1" x14ac:dyDescent="0.4">
      <c r="A523" s="17" t="s">
        <v>28</v>
      </c>
      <c r="B523" s="15" t="s">
        <v>256</v>
      </c>
      <c r="C523" s="16" t="s">
        <v>31</v>
      </c>
      <c r="D523" s="16" t="s">
        <v>31</v>
      </c>
      <c r="E523" s="15" t="s">
        <v>32</v>
      </c>
      <c r="F523" s="15" t="s">
        <v>314</v>
      </c>
      <c r="N523" s="21" t="s">
        <v>96</v>
      </c>
      <c r="O523" s="21" t="s">
        <v>336</v>
      </c>
      <c r="Q523" s="21" t="s">
        <v>344</v>
      </c>
      <c r="R523" s="22">
        <v>45756</v>
      </c>
      <c r="W523">
        <f>COUNTIF(内藤証券!U:U,B523)</f>
        <v>0</v>
      </c>
    </row>
    <row r="524" spans="1:26" ht="24.95" hidden="1" customHeight="1" x14ac:dyDescent="0.4">
      <c r="A524" s="17" t="s">
        <v>28</v>
      </c>
      <c r="B524" s="15" t="s">
        <v>257</v>
      </c>
      <c r="C524" s="16" t="s">
        <v>31</v>
      </c>
      <c r="D524" s="16" t="s">
        <v>31</v>
      </c>
      <c r="E524" s="15" t="s">
        <v>32</v>
      </c>
      <c r="F524" s="15" t="s">
        <v>314</v>
      </c>
      <c r="N524" s="21" t="s">
        <v>96</v>
      </c>
      <c r="O524" s="21" t="s">
        <v>336</v>
      </c>
      <c r="Q524" s="21" t="s">
        <v>344</v>
      </c>
      <c r="R524" s="22">
        <v>45756</v>
      </c>
      <c r="W524">
        <f>COUNTIF(内藤証券!U:U,B524)</f>
        <v>0</v>
      </c>
    </row>
    <row r="525" spans="1:26" ht="24.95" hidden="1" customHeight="1" x14ac:dyDescent="0.4">
      <c r="A525" s="17" t="s">
        <v>28</v>
      </c>
      <c r="B525" s="15" t="s">
        <v>258</v>
      </c>
      <c r="C525" s="16" t="s">
        <v>31</v>
      </c>
      <c r="D525" s="16" t="s">
        <v>31</v>
      </c>
      <c r="E525" s="15" t="s">
        <v>32</v>
      </c>
      <c r="F525" s="15" t="s">
        <v>314</v>
      </c>
      <c r="N525" s="21" t="s">
        <v>96</v>
      </c>
      <c r="O525" s="21" t="s">
        <v>336</v>
      </c>
      <c r="Q525" s="21" t="s">
        <v>344</v>
      </c>
      <c r="R525" s="22">
        <v>45756</v>
      </c>
      <c r="W525">
        <f>COUNTIF(内藤証券!U:U,B525)</f>
        <v>0</v>
      </c>
    </row>
    <row r="526" spans="1:26" ht="24.95" hidden="1" customHeight="1" x14ac:dyDescent="0.4">
      <c r="A526" s="17" t="s">
        <v>28</v>
      </c>
      <c r="B526" s="15" t="s">
        <v>259</v>
      </c>
      <c r="C526" s="16" t="s">
        <v>31</v>
      </c>
      <c r="D526" s="16" t="s">
        <v>31</v>
      </c>
      <c r="E526" s="15" t="s">
        <v>32</v>
      </c>
      <c r="F526" s="15" t="s">
        <v>314</v>
      </c>
      <c r="N526" s="21" t="s">
        <v>96</v>
      </c>
      <c r="O526" s="21" t="s">
        <v>336</v>
      </c>
      <c r="Q526" s="21" t="s">
        <v>344</v>
      </c>
      <c r="R526" s="22">
        <v>45756</v>
      </c>
      <c r="W526">
        <f>COUNTIF(内藤証券!U:U,B526)</f>
        <v>0</v>
      </c>
    </row>
    <row r="527" spans="1:26" ht="24.95" hidden="1" customHeight="1" x14ac:dyDescent="0.4">
      <c r="A527" s="17" t="s">
        <v>28</v>
      </c>
      <c r="B527" s="15" t="s">
        <v>260</v>
      </c>
      <c r="C527" s="16" t="s">
        <v>31</v>
      </c>
      <c r="D527" s="16" t="s">
        <v>31</v>
      </c>
      <c r="E527" s="15" t="s">
        <v>32</v>
      </c>
      <c r="F527" s="15" t="s">
        <v>314</v>
      </c>
      <c r="N527" s="21" t="s">
        <v>96</v>
      </c>
      <c r="O527" s="21" t="s">
        <v>336</v>
      </c>
      <c r="Q527" s="21" t="s">
        <v>344</v>
      </c>
      <c r="R527" s="22">
        <v>45756</v>
      </c>
      <c r="W527">
        <f>COUNTIF(内藤証券!U:U,B527)</f>
        <v>0</v>
      </c>
    </row>
    <row r="528" spans="1:26" ht="24.95" hidden="1" customHeight="1" x14ac:dyDescent="0.4">
      <c r="A528" s="17" t="s">
        <v>28</v>
      </c>
      <c r="B528" s="15" t="s">
        <v>261</v>
      </c>
      <c r="C528" s="16" t="s">
        <v>31</v>
      </c>
      <c r="D528" s="16" t="s">
        <v>31</v>
      </c>
      <c r="E528" s="15" t="s">
        <v>32</v>
      </c>
      <c r="F528" s="15" t="s">
        <v>314</v>
      </c>
      <c r="N528" s="21" t="s">
        <v>96</v>
      </c>
      <c r="O528" s="21" t="s">
        <v>336</v>
      </c>
      <c r="Q528" s="21" t="s">
        <v>344</v>
      </c>
      <c r="R528" s="22">
        <v>45756</v>
      </c>
      <c r="W528">
        <f>COUNTIF(内藤証券!U:U,B528)</f>
        <v>0</v>
      </c>
    </row>
    <row r="529" spans="1:26" ht="24.95" hidden="1" customHeight="1" x14ac:dyDescent="0.4">
      <c r="A529" s="17" t="s">
        <v>28</v>
      </c>
      <c r="B529" s="15" t="s">
        <v>262</v>
      </c>
      <c r="C529" s="16" t="s">
        <v>31</v>
      </c>
      <c r="D529" s="16" t="s">
        <v>31</v>
      </c>
      <c r="E529" s="15" t="s">
        <v>32</v>
      </c>
      <c r="F529" s="15" t="s">
        <v>314</v>
      </c>
      <c r="N529" s="21" t="s">
        <v>96</v>
      </c>
      <c r="O529" s="21" t="s">
        <v>336</v>
      </c>
      <c r="Q529" s="21" t="s">
        <v>344</v>
      </c>
      <c r="R529" s="22">
        <v>45756</v>
      </c>
      <c r="W529">
        <f>COUNTIF(内藤証券!U:U,B529)</f>
        <v>0</v>
      </c>
    </row>
    <row r="530" spans="1:26" ht="24.95" hidden="1" customHeight="1" x14ac:dyDescent="0.4">
      <c r="A530" s="17" t="s">
        <v>28</v>
      </c>
      <c r="B530" s="15" t="s">
        <v>263</v>
      </c>
      <c r="C530" s="16" t="s">
        <v>31</v>
      </c>
      <c r="D530" s="16" t="s">
        <v>31</v>
      </c>
      <c r="E530" s="15" t="s">
        <v>32</v>
      </c>
      <c r="F530" s="15" t="s">
        <v>314</v>
      </c>
      <c r="N530" s="21" t="s">
        <v>96</v>
      </c>
      <c r="O530" s="21" t="s">
        <v>336</v>
      </c>
      <c r="Q530" s="21" t="s">
        <v>344</v>
      </c>
      <c r="R530" s="22">
        <v>45756</v>
      </c>
      <c r="W530">
        <f>COUNTIF(内藤証券!U:U,B530)</f>
        <v>0</v>
      </c>
    </row>
    <row r="531" spans="1:26" ht="24.95" hidden="1" customHeight="1" x14ac:dyDescent="0.4">
      <c r="A531" s="17" t="s">
        <v>28</v>
      </c>
      <c r="B531" s="15" t="s">
        <v>264</v>
      </c>
      <c r="C531" s="16" t="s">
        <v>31</v>
      </c>
      <c r="D531" s="16" t="s">
        <v>31</v>
      </c>
      <c r="E531" s="15" t="s">
        <v>32</v>
      </c>
      <c r="F531" s="15" t="s">
        <v>314</v>
      </c>
      <c r="N531" s="21" t="s">
        <v>96</v>
      </c>
      <c r="O531" s="21" t="s">
        <v>336</v>
      </c>
      <c r="Q531" s="21" t="s">
        <v>344</v>
      </c>
      <c r="R531" s="22">
        <v>45756</v>
      </c>
      <c r="W531">
        <f>COUNTIF(内藤証券!U:U,B531)</f>
        <v>0</v>
      </c>
    </row>
    <row r="532" spans="1:26" ht="24.95" hidden="1" customHeight="1" x14ac:dyDescent="0.4">
      <c r="A532" s="17" t="s">
        <v>28</v>
      </c>
      <c r="B532" s="15" t="s">
        <v>265</v>
      </c>
      <c r="C532" s="16" t="s">
        <v>31</v>
      </c>
      <c r="D532" s="16" t="s">
        <v>31</v>
      </c>
      <c r="E532" s="15" t="s">
        <v>32</v>
      </c>
      <c r="F532" s="15" t="s">
        <v>314</v>
      </c>
      <c r="N532" s="21" t="s">
        <v>96</v>
      </c>
      <c r="O532" s="21" t="s">
        <v>336</v>
      </c>
      <c r="Q532" s="21" t="s">
        <v>344</v>
      </c>
      <c r="R532" s="22">
        <v>45756</v>
      </c>
      <c r="W532">
        <f>COUNTIF(内藤証券!U:U,B532)</f>
        <v>0</v>
      </c>
    </row>
    <row r="533" spans="1:26" ht="24.95" hidden="1" customHeight="1" x14ac:dyDescent="0.4">
      <c r="A533" s="17" t="s">
        <v>28</v>
      </c>
      <c r="B533" s="15" t="s">
        <v>266</v>
      </c>
      <c r="C533" s="16" t="s">
        <v>31</v>
      </c>
      <c r="D533" s="16" t="s">
        <v>31</v>
      </c>
      <c r="E533" s="15" t="s">
        <v>32</v>
      </c>
      <c r="F533" s="15" t="s">
        <v>314</v>
      </c>
      <c r="N533" s="21" t="s">
        <v>96</v>
      </c>
      <c r="O533" s="21" t="s">
        <v>336</v>
      </c>
      <c r="Q533" s="21" t="s">
        <v>344</v>
      </c>
      <c r="R533" s="22">
        <v>45756</v>
      </c>
      <c r="W533">
        <f>COUNTIF(内藤証券!U:U,B533)</f>
        <v>0</v>
      </c>
    </row>
    <row r="534" spans="1:26" ht="24.95" hidden="1" customHeight="1" x14ac:dyDescent="0.4">
      <c r="A534" s="17" t="s">
        <v>28</v>
      </c>
      <c r="B534" s="15" t="s">
        <v>267</v>
      </c>
      <c r="C534" s="16" t="s">
        <v>31</v>
      </c>
      <c r="D534" s="16" t="s">
        <v>31</v>
      </c>
      <c r="E534" s="15" t="s">
        <v>32</v>
      </c>
      <c r="F534" s="15" t="s">
        <v>314</v>
      </c>
      <c r="N534" s="21" t="s">
        <v>96</v>
      </c>
      <c r="O534" s="21" t="s">
        <v>336</v>
      </c>
      <c r="Q534" s="21" t="s">
        <v>344</v>
      </c>
      <c r="R534" s="22">
        <v>45756</v>
      </c>
      <c r="W534">
        <f>COUNTIF(内藤証券!U:U,B534)</f>
        <v>0</v>
      </c>
    </row>
    <row r="535" spans="1:26" ht="24.95" hidden="1" customHeight="1" x14ac:dyDescent="0.4">
      <c r="A535" s="17" t="s">
        <v>28</v>
      </c>
      <c r="B535" s="15" t="s">
        <v>268</v>
      </c>
      <c r="C535" s="16" t="s">
        <v>31</v>
      </c>
      <c r="D535" s="16" t="s">
        <v>31</v>
      </c>
      <c r="E535" s="15" t="s">
        <v>32</v>
      </c>
      <c r="F535" s="15" t="s">
        <v>314</v>
      </c>
      <c r="N535" s="21" t="s">
        <v>96</v>
      </c>
      <c r="O535" s="21" t="s">
        <v>336</v>
      </c>
      <c r="Q535" s="21" t="s">
        <v>344</v>
      </c>
      <c r="R535" s="22">
        <v>45756</v>
      </c>
      <c r="W535">
        <f>COUNTIF(内藤証券!U:U,B535)</f>
        <v>0</v>
      </c>
    </row>
    <row r="536" spans="1:26" ht="24.95" hidden="1" customHeight="1" x14ac:dyDescent="0.4">
      <c r="A536" s="17" t="s">
        <v>28</v>
      </c>
      <c r="B536" s="15" t="s">
        <v>269</v>
      </c>
      <c r="C536" s="16" t="s">
        <v>31</v>
      </c>
      <c r="D536" s="16" t="s">
        <v>31</v>
      </c>
      <c r="E536" s="15" t="s">
        <v>32</v>
      </c>
      <c r="F536" s="15" t="s">
        <v>314</v>
      </c>
      <c r="N536" s="21" t="s">
        <v>96</v>
      </c>
      <c r="O536" s="21" t="s">
        <v>336</v>
      </c>
      <c r="Q536" s="21" t="s">
        <v>344</v>
      </c>
      <c r="R536" s="22">
        <v>45756</v>
      </c>
      <c r="W536">
        <f>COUNTIF(内藤証券!U:U,B536)</f>
        <v>0</v>
      </c>
    </row>
    <row r="537" spans="1:26" ht="24.95" hidden="1" customHeight="1" x14ac:dyDescent="0.4">
      <c r="A537" s="17" t="s">
        <v>28</v>
      </c>
      <c r="B537" s="15" t="s">
        <v>270</v>
      </c>
      <c r="C537" s="16" t="s">
        <v>31</v>
      </c>
      <c r="D537" s="16" t="s">
        <v>31</v>
      </c>
      <c r="E537" s="15" t="s">
        <v>32</v>
      </c>
      <c r="F537" s="15" t="s">
        <v>314</v>
      </c>
      <c r="N537" s="21" t="s">
        <v>96</v>
      </c>
      <c r="O537" s="21" t="s">
        <v>336</v>
      </c>
      <c r="Q537" s="21" t="s">
        <v>344</v>
      </c>
      <c r="R537" s="22">
        <v>45756</v>
      </c>
      <c r="W537">
        <f>COUNTIF(内藤証券!U:U,B537)</f>
        <v>0</v>
      </c>
    </row>
    <row r="538" spans="1:26" ht="24.95" hidden="1" customHeight="1" x14ac:dyDescent="0.4">
      <c r="A538" s="17" t="s">
        <v>28</v>
      </c>
      <c r="B538" s="15" t="s">
        <v>271</v>
      </c>
      <c r="C538" s="16" t="s">
        <v>31</v>
      </c>
      <c r="D538" s="16" t="s">
        <v>31</v>
      </c>
      <c r="E538" s="15" t="s">
        <v>32</v>
      </c>
      <c r="F538" s="15" t="s">
        <v>314</v>
      </c>
      <c r="N538" s="21" t="s">
        <v>96</v>
      </c>
      <c r="O538" s="21" t="s">
        <v>336</v>
      </c>
      <c r="Q538" s="21" t="s">
        <v>344</v>
      </c>
      <c r="R538" s="22">
        <v>45756</v>
      </c>
      <c r="W538">
        <f>COUNTIF(内藤証券!U:U,B538)</f>
        <v>0</v>
      </c>
    </row>
    <row r="539" spans="1:26" ht="24.95" hidden="1" customHeight="1" x14ac:dyDescent="0.4">
      <c r="A539" s="17" t="s">
        <v>28</v>
      </c>
      <c r="B539" s="15" t="s">
        <v>366</v>
      </c>
      <c r="C539" s="16" t="s">
        <v>31</v>
      </c>
      <c r="D539" s="16" t="s">
        <v>31</v>
      </c>
      <c r="E539" s="15" t="s">
        <v>32</v>
      </c>
      <c r="F539" s="15" t="s">
        <v>365</v>
      </c>
      <c r="N539" s="21" t="s">
        <v>374</v>
      </c>
      <c r="O539" s="21" t="s">
        <v>373</v>
      </c>
      <c r="Q539" s="21" t="s">
        <v>344</v>
      </c>
      <c r="R539" s="22">
        <v>45883</v>
      </c>
      <c r="W539">
        <f>COUNTIF(内藤証券!U:U,B539)</f>
        <v>0</v>
      </c>
    </row>
    <row r="540" spans="1:26" ht="24.95" hidden="1" customHeight="1" x14ac:dyDescent="0.4">
      <c r="A540" s="17" t="s">
        <v>28</v>
      </c>
      <c r="B540" s="15" t="s">
        <v>202</v>
      </c>
      <c r="C540" s="16" t="s">
        <v>24</v>
      </c>
      <c r="D540" s="16" t="s">
        <v>31</v>
      </c>
      <c r="E540" s="15" t="s">
        <v>35</v>
      </c>
      <c r="F540" s="15" t="s">
        <v>212</v>
      </c>
      <c r="N540" s="21" t="s">
        <v>96</v>
      </c>
      <c r="O540" s="21" t="s">
        <v>209</v>
      </c>
      <c r="Q540" s="21" t="s">
        <v>169</v>
      </c>
      <c r="R540" s="22">
        <v>45756</v>
      </c>
      <c r="W540">
        <f>COUNTIF(内藤証券!U:U,B540)</f>
        <v>0</v>
      </c>
      <c r="Z540" t="s">
        <v>433</v>
      </c>
    </row>
    <row r="541" spans="1:26" ht="24.95" hidden="1" customHeight="1" x14ac:dyDescent="0.4">
      <c r="A541" s="17" t="s">
        <v>28</v>
      </c>
      <c r="B541" s="15" t="s">
        <v>367</v>
      </c>
      <c r="C541" s="16" t="s">
        <v>31</v>
      </c>
      <c r="D541" s="16" t="s">
        <v>31</v>
      </c>
      <c r="E541" s="15" t="s">
        <v>32</v>
      </c>
      <c r="F541" s="15" t="s">
        <v>365</v>
      </c>
      <c r="N541" s="21" t="s">
        <v>374</v>
      </c>
      <c r="O541" s="21" t="s">
        <v>373</v>
      </c>
      <c r="Q541" s="21" t="s">
        <v>344</v>
      </c>
      <c r="R541" s="22">
        <v>45883</v>
      </c>
      <c r="W541">
        <f>COUNTIF(内藤証券!U:U,B541)</f>
        <v>0</v>
      </c>
    </row>
    <row r="542" spans="1:26" ht="24.95" hidden="1" customHeight="1" x14ac:dyDescent="0.4">
      <c r="A542" s="17" t="s">
        <v>28</v>
      </c>
      <c r="B542" s="15" t="s">
        <v>203</v>
      </c>
      <c r="C542" s="16" t="s">
        <v>31</v>
      </c>
      <c r="D542" s="16" t="s">
        <v>31</v>
      </c>
      <c r="E542" s="15" t="s">
        <v>32</v>
      </c>
      <c r="F542" s="15" t="s">
        <v>212</v>
      </c>
      <c r="N542" s="21" t="s">
        <v>96</v>
      </c>
      <c r="O542" s="21" t="s">
        <v>209</v>
      </c>
      <c r="Q542" s="21" t="s">
        <v>169</v>
      </c>
      <c r="R542" s="22">
        <v>45756</v>
      </c>
      <c r="W542">
        <f>COUNTIF(内藤証券!U:U,B542)</f>
        <v>0</v>
      </c>
      <c r="Z542" t="s">
        <v>433</v>
      </c>
    </row>
    <row r="543" spans="1:26" ht="24.95" hidden="1" customHeight="1" x14ac:dyDescent="0.4">
      <c r="A543" s="17" t="s">
        <v>28</v>
      </c>
      <c r="B543" s="15" t="s">
        <v>324</v>
      </c>
      <c r="C543" s="16" t="s">
        <v>31</v>
      </c>
      <c r="D543" s="16" t="s">
        <v>31</v>
      </c>
      <c r="E543" s="15" t="s">
        <v>32</v>
      </c>
      <c r="F543" s="15" t="s">
        <v>314</v>
      </c>
      <c r="N543" s="21" t="s">
        <v>96</v>
      </c>
      <c r="O543" s="21" t="s">
        <v>337</v>
      </c>
      <c r="Q543" s="21" t="s">
        <v>344</v>
      </c>
      <c r="R543" s="22">
        <v>45756</v>
      </c>
      <c r="W543">
        <f>COUNTIF(内藤証券!U:U,B543)</f>
        <v>0</v>
      </c>
    </row>
    <row r="544" spans="1:26" ht="24.95" hidden="1" customHeight="1" x14ac:dyDescent="0.4">
      <c r="A544" s="17" t="s">
        <v>28</v>
      </c>
      <c r="B544" s="15" t="s">
        <v>368</v>
      </c>
      <c r="C544" s="16" t="s">
        <v>31</v>
      </c>
      <c r="D544" s="16" t="s">
        <v>31</v>
      </c>
      <c r="E544" s="15" t="s">
        <v>32</v>
      </c>
      <c r="F544" s="15" t="s">
        <v>365</v>
      </c>
      <c r="N544" s="21" t="s">
        <v>96</v>
      </c>
      <c r="O544" s="21" t="s">
        <v>372</v>
      </c>
      <c r="Q544" s="21" t="s">
        <v>344</v>
      </c>
      <c r="R544" s="22">
        <v>45883</v>
      </c>
      <c r="W544">
        <f>COUNTIF(内藤証券!U:U,B544)</f>
        <v>0</v>
      </c>
      <c r="Z544" t="s">
        <v>433</v>
      </c>
    </row>
    <row r="545" spans="1:26" ht="24.95" hidden="1" customHeight="1" x14ac:dyDescent="0.4">
      <c r="A545" s="17" t="s">
        <v>28</v>
      </c>
      <c r="B545" s="15" t="s">
        <v>369</v>
      </c>
      <c r="C545" s="16" t="s">
        <v>24</v>
      </c>
      <c r="D545" s="16" t="s">
        <v>31</v>
      </c>
      <c r="E545" s="15" t="s">
        <v>35</v>
      </c>
      <c r="F545" s="15" t="s">
        <v>365</v>
      </c>
      <c r="N545" s="21" t="s">
        <v>96</v>
      </c>
      <c r="O545" s="21" t="s">
        <v>372</v>
      </c>
      <c r="Q545" s="21" t="s">
        <v>344</v>
      </c>
      <c r="R545" s="22">
        <v>45883</v>
      </c>
      <c r="W545">
        <f>COUNTIF(内藤証券!U:U,B545)</f>
        <v>0</v>
      </c>
      <c r="Z545" t="s">
        <v>433</v>
      </c>
    </row>
    <row r="546" spans="1:26" ht="24.95" hidden="1" customHeight="1" x14ac:dyDescent="0.4">
      <c r="A546" s="17" t="s">
        <v>28</v>
      </c>
      <c r="B546" s="15" t="s">
        <v>325</v>
      </c>
      <c r="C546" s="16" t="s">
        <v>24</v>
      </c>
      <c r="D546" s="16" t="s">
        <v>31</v>
      </c>
      <c r="E546" s="15" t="s">
        <v>35</v>
      </c>
      <c r="F546" s="15" t="s">
        <v>314</v>
      </c>
      <c r="N546" s="21" t="s">
        <v>96</v>
      </c>
      <c r="O546" s="21" t="s">
        <v>337</v>
      </c>
      <c r="Q546" s="21" t="s">
        <v>344</v>
      </c>
      <c r="R546" s="22">
        <v>45756</v>
      </c>
      <c r="W546">
        <f>COUNTIF(内藤証券!U:U,B546)</f>
        <v>0</v>
      </c>
    </row>
    <row r="547" spans="1:26" ht="24.95" hidden="1" customHeight="1" x14ac:dyDescent="0.4">
      <c r="A547" s="17" t="s">
        <v>28</v>
      </c>
      <c r="B547" s="15" t="s">
        <v>272</v>
      </c>
      <c r="C547" s="16" t="s">
        <v>31</v>
      </c>
      <c r="D547" s="16" t="s">
        <v>31</v>
      </c>
      <c r="E547" s="15" t="s">
        <v>32</v>
      </c>
      <c r="F547" s="15" t="s">
        <v>314</v>
      </c>
      <c r="N547" s="21" t="s">
        <v>96</v>
      </c>
      <c r="O547" s="21" t="s">
        <v>336</v>
      </c>
      <c r="Q547" s="21" t="s">
        <v>344</v>
      </c>
      <c r="R547" s="22">
        <v>45756</v>
      </c>
      <c r="W547">
        <f>COUNTIF(内藤証券!U:U,B547)</f>
        <v>0</v>
      </c>
    </row>
    <row r="548" spans="1:26" ht="24.95" hidden="1" customHeight="1" x14ac:dyDescent="0.4">
      <c r="A548" s="17" t="s">
        <v>28</v>
      </c>
      <c r="B548" s="15" t="s">
        <v>273</v>
      </c>
      <c r="C548" s="16" t="s">
        <v>31</v>
      </c>
      <c r="D548" s="16" t="s">
        <v>31</v>
      </c>
      <c r="E548" s="15" t="s">
        <v>32</v>
      </c>
      <c r="F548" s="15" t="s">
        <v>314</v>
      </c>
      <c r="N548" s="21" t="s">
        <v>96</v>
      </c>
      <c r="O548" s="21" t="s">
        <v>336</v>
      </c>
      <c r="Q548" s="21" t="s">
        <v>344</v>
      </c>
      <c r="R548" s="22">
        <v>45756</v>
      </c>
      <c r="W548">
        <f>COUNTIF(内藤証券!U:U,B548)</f>
        <v>0</v>
      </c>
    </row>
    <row r="549" spans="1:26" ht="24.95" hidden="1" customHeight="1" x14ac:dyDescent="0.4">
      <c r="A549" s="17" t="s">
        <v>28</v>
      </c>
      <c r="B549" s="15" t="s">
        <v>274</v>
      </c>
      <c r="C549" s="16" t="s">
        <v>31</v>
      </c>
      <c r="D549" s="16" t="s">
        <v>31</v>
      </c>
      <c r="E549" s="15" t="s">
        <v>32</v>
      </c>
      <c r="F549" s="15" t="s">
        <v>314</v>
      </c>
      <c r="N549" s="21" t="s">
        <v>96</v>
      </c>
      <c r="O549" s="21" t="s">
        <v>336</v>
      </c>
      <c r="Q549" s="21" t="s">
        <v>344</v>
      </c>
      <c r="R549" s="22">
        <v>45756</v>
      </c>
      <c r="W549">
        <f>COUNTIF(内藤証券!U:U,B549)</f>
        <v>0</v>
      </c>
    </row>
    <row r="550" spans="1:26" ht="24.95" hidden="1" customHeight="1" x14ac:dyDescent="0.4">
      <c r="A550" s="17" t="s">
        <v>28</v>
      </c>
      <c r="B550" s="15" t="s">
        <v>275</v>
      </c>
      <c r="C550" s="16" t="s">
        <v>31</v>
      </c>
      <c r="D550" s="16" t="s">
        <v>31</v>
      </c>
      <c r="E550" s="15" t="s">
        <v>32</v>
      </c>
      <c r="F550" s="15" t="s">
        <v>314</v>
      </c>
      <c r="N550" s="21" t="s">
        <v>96</v>
      </c>
      <c r="O550" s="21" t="s">
        <v>336</v>
      </c>
      <c r="Q550" s="21" t="s">
        <v>344</v>
      </c>
      <c r="R550" s="22">
        <v>45756</v>
      </c>
      <c r="W550">
        <f>COUNTIF(内藤証券!U:U,B550)</f>
        <v>0</v>
      </c>
    </row>
    <row r="551" spans="1:26" ht="24.95" hidden="1" customHeight="1" x14ac:dyDescent="0.4">
      <c r="A551" s="17" t="s">
        <v>28</v>
      </c>
      <c r="B551" s="15" t="s">
        <v>178</v>
      </c>
      <c r="C551" s="16" t="s">
        <v>24</v>
      </c>
      <c r="D551" s="16" t="s">
        <v>31</v>
      </c>
      <c r="E551" s="15" t="s">
        <v>35</v>
      </c>
      <c r="F551" s="15" t="s">
        <v>173</v>
      </c>
      <c r="N551" s="21" t="s">
        <v>96</v>
      </c>
      <c r="O551" s="21" t="s">
        <v>181</v>
      </c>
      <c r="Q551" s="21" t="s">
        <v>169</v>
      </c>
      <c r="R551" s="22">
        <v>45756</v>
      </c>
      <c r="W551">
        <f>COUNTIF(内藤証券!U:U,B551)</f>
        <v>0</v>
      </c>
      <c r="Z551" t="s">
        <v>433</v>
      </c>
    </row>
    <row r="552" spans="1:26" ht="24.95" hidden="1" customHeight="1" x14ac:dyDescent="0.4">
      <c r="A552" s="17" t="s">
        <v>28</v>
      </c>
      <c r="B552" s="15" t="s">
        <v>179</v>
      </c>
      <c r="C552" s="16" t="s">
        <v>24</v>
      </c>
      <c r="D552" s="16" t="s">
        <v>31</v>
      </c>
      <c r="E552" s="15" t="s">
        <v>35</v>
      </c>
      <c r="F552" s="15" t="s">
        <v>173</v>
      </c>
      <c r="N552" s="21" t="s">
        <v>96</v>
      </c>
      <c r="O552" s="21" t="s">
        <v>181</v>
      </c>
      <c r="Q552" s="21" t="s">
        <v>169</v>
      </c>
      <c r="R552" s="22">
        <v>45756</v>
      </c>
      <c r="W552">
        <f>COUNTIF(内藤証券!U:U,B552)</f>
        <v>0</v>
      </c>
      <c r="Z552" t="s">
        <v>433</v>
      </c>
    </row>
    <row r="553" spans="1:26" ht="24.95" hidden="1" customHeight="1" x14ac:dyDescent="0.4">
      <c r="A553" s="17" t="s">
        <v>28</v>
      </c>
      <c r="B553" s="15" t="s">
        <v>204</v>
      </c>
      <c r="C553" s="16" t="s">
        <v>24</v>
      </c>
      <c r="D553" s="16" t="s">
        <v>31</v>
      </c>
      <c r="E553" s="15" t="s">
        <v>35</v>
      </c>
      <c r="F553" s="15" t="s">
        <v>212</v>
      </c>
      <c r="N553" s="21" t="s">
        <v>96</v>
      </c>
      <c r="O553" s="21" t="s">
        <v>209</v>
      </c>
      <c r="Q553" s="21" t="s">
        <v>169</v>
      </c>
      <c r="R553" s="22">
        <v>45756</v>
      </c>
      <c r="W553">
        <f>COUNTIF(内藤証券!U:U,B553)</f>
        <v>0</v>
      </c>
      <c r="Z553" t="s">
        <v>433</v>
      </c>
    </row>
    <row r="554" spans="1:26" ht="24.95" hidden="1" customHeight="1" x14ac:dyDescent="0.4">
      <c r="A554" s="17" t="s">
        <v>28</v>
      </c>
      <c r="B554" s="15" t="s">
        <v>326</v>
      </c>
      <c r="C554" s="16" t="s">
        <v>31</v>
      </c>
      <c r="D554" s="16" t="s">
        <v>31</v>
      </c>
      <c r="E554" s="15" t="s">
        <v>32</v>
      </c>
      <c r="F554" s="15" t="s">
        <v>314</v>
      </c>
      <c r="N554" s="21" t="s">
        <v>96</v>
      </c>
      <c r="O554" s="21" t="s">
        <v>337</v>
      </c>
      <c r="Q554" s="21" t="s">
        <v>344</v>
      </c>
      <c r="R554" s="22">
        <v>45756</v>
      </c>
      <c r="W554">
        <f>COUNTIF(内藤証券!U:U,B554)</f>
        <v>0</v>
      </c>
    </row>
    <row r="555" spans="1:26" ht="24.95" hidden="1" customHeight="1" x14ac:dyDescent="0.4">
      <c r="A555" s="17" t="s">
        <v>28</v>
      </c>
      <c r="B555" s="15" t="s">
        <v>168</v>
      </c>
      <c r="C555" s="16" t="s">
        <v>31</v>
      </c>
      <c r="D555" s="16" t="s">
        <v>31</v>
      </c>
      <c r="E555" s="15" t="s">
        <v>32</v>
      </c>
      <c r="F555" s="15" t="s">
        <v>170</v>
      </c>
      <c r="N555" s="21" t="s">
        <v>96</v>
      </c>
      <c r="O555" s="13" t="s">
        <v>219</v>
      </c>
      <c r="Q555" s="21" t="s">
        <v>169</v>
      </c>
      <c r="R555" s="22">
        <v>45756</v>
      </c>
      <c r="W555">
        <f>COUNTIF(内藤証券!U:U,B555)</f>
        <v>0</v>
      </c>
      <c r="Z555" t="s">
        <v>433</v>
      </c>
    </row>
    <row r="556" spans="1:26" ht="24.95" hidden="1" customHeight="1" x14ac:dyDescent="0.4">
      <c r="A556" s="17" t="s">
        <v>28</v>
      </c>
      <c r="B556" s="15" t="s">
        <v>327</v>
      </c>
      <c r="C556" s="16" t="s">
        <v>24</v>
      </c>
      <c r="D556" s="16" t="s">
        <v>31</v>
      </c>
      <c r="E556" s="15" t="s">
        <v>35</v>
      </c>
      <c r="F556" s="15" t="s">
        <v>314</v>
      </c>
      <c r="N556" s="21" t="s">
        <v>96</v>
      </c>
      <c r="O556" s="21" t="s">
        <v>337</v>
      </c>
      <c r="Q556" s="21" t="s">
        <v>344</v>
      </c>
      <c r="R556" s="22">
        <v>45756</v>
      </c>
      <c r="W556">
        <f>COUNTIF(内藤証券!U:U,B556)</f>
        <v>0</v>
      </c>
    </row>
    <row r="557" spans="1:26" ht="24.95" hidden="1" customHeight="1" x14ac:dyDescent="0.4">
      <c r="A557" s="17" t="s">
        <v>28</v>
      </c>
      <c r="B557" s="15" t="s">
        <v>328</v>
      </c>
      <c r="C557" s="16" t="s">
        <v>24</v>
      </c>
      <c r="D557" s="16" t="s">
        <v>31</v>
      </c>
      <c r="E557" s="15" t="s">
        <v>35</v>
      </c>
      <c r="F557" s="15" t="s">
        <v>314</v>
      </c>
      <c r="N557" s="21" t="s">
        <v>96</v>
      </c>
      <c r="O557" s="21" t="s">
        <v>337</v>
      </c>
      <c r="Q557" s="21" t="s">
        <v>344</v>
      </c>
      <c r="R557" s="22">
        <v>45756</v>
      </c>
      <c r="W557">
        <f>COUNTIF(内藤証券!U:U,B557)</f>
        <v>0</v>
      </c>
    </row>
    <row r="558" spans="1:26" ht="24.95" hidden="1" customHeight="1" x14ac:dyDescent="0.4">
      <c r="A558" s="17" t="s">
        <v>28</v>
      </c>
      <c r="B558" s="15" t="s">
        <v>329</v>
      </c>
      <c r="C558" s="16" t="s">
        <v>24</v>
      </c>
      <c r="D558" s="16" t="s">
        <v>31</v>
      </c>
      <c r="E558" s="15" t="s">
        <v>35</v>
      </c>
      <c r="F558" s="15" t="s">
        <v>314</v>
      </c>
      <c r="N558" s="21" t="s">
        <v>96</v>
      </c>
      <c r="O558" s="21" t="s">
        <v>337</v>
      </c>
      <c r="Q558" s="21" t="s">
        <v>344</v>
      </c>
      <c r="R558" s="22">
        <v>45756</v>
      </c>
      <c r="W558">
        <f>COUNTIF(内藤証券!U:U,B558)</f>
        <v>0</v>
      </c>
    </row>
    <row r="559" spans="1:26" ht="24.95" hidden="1" customHeight="1" x14ac:dyDescent="0.4">
      <c r="A559" s="17" t="s">
        <v>28</v>
      </c>
      <c r="B559" s="15" t="s">
        <v>205</v>
      </c>
      <c r="C559" s="16" t="s">
        <v>24</v>
      </c>
      <c r="D559" s="16" t="s">
        <v>31</v>
      </c>
      <c r="E559" s="15" t="s">
        <v>35</v>
      </c>
      <c r="F559" s="15" t="s">
        <v>212</v>
      </c>
      <c r="N559" s="21" t="s">
        <v>96</v>
      </c>
      <c r="O559" s="21" t="s">
        <v>209</v>
      </c>
      <c r="Q559" s="21" t="s">
        <v>169</v>
      </c>
      <c r="R559" s="22">
        <v>45756</v>
      </c>
      <c r="W559">
        <f>COUNTIF(内藤証券!U:U,B559)</f>
        <v>0</v>
      </c>
      <c r="Z559" t="s">
        <v>433</v>
      </c>
    </row>
    <row r="560" spans="1:26" ht="24.95" hidden="1" customHeight="1" x14ac:dyDescent="0.4">
      <c r="A560" s="17" t="s">
        <v>28</v>
      </c>
      <c r="B560" s="15" t="s">
        <v>276</v>
      </c>
      <c r="C560" s="16" t="s">
        <v>31</v>
      </c>
      <c r="D560" s="16" t="s">
        <v>31</v>
      </c>
      <c r="E560" s="15" t="s">
        <v>32</v>
      </c>
      <c r="F560" s="15" t="s">
        <v>314</v>
      </c>
      <c r="N560" s="21" t="s">
        <v>96</v>
      </c>
      <c r="O560" s="21" t="s">
        <v>336</v>
      </c>
      <c r="Q560" s="21" t="s">
        <v>344</v>
      </c>
      <c r="R560" s="22">
        <v>45756</v>
      </c>
      <c r="W560">
        <f>COUNTIF(内藤証券!U:U,B560)</f>
        <v>0</v>
      </c>
    </row>
    <row r="561" spans="1:26" ht="24.95" hidden="1" customHeight="1" x14ac:dyDescent="0.4">
      <c r="A561" s="17" t="s">
        <v>28</v>
      </c>
      <c r="B561" s="15" t="s">
        <v>277</v>
      </c>
      <c r="C561" s="16" t="s">
        <v>31</v>
      </c>
      <c r="D561" s="16" t="s">
        <v>31</v>
      </c>
      <c r="E561" s="15" t="s">
        <v>32</v>
      </c>
      <c r="F561" s="15" t="s">
        <v>314</v>
      </c>
      <c r="N561" s="21" t="s">
        <v>96</v>
      </c>
      <c r="O561" s="21" t="s">
        <v>336</v>
      </c>
      <c r="Q561" s="21" t="s">
        <v>344</v>
      </c>
      <c r="R561" s="22">
        <v>45756</v>
      </c>
      <c r="W561">
        <f>COUNTIF(内藤証券!U:U,B561)</f>
        <v>0</v>
      </c>
    </row>
    <row r="562" spans="1:26" ht="24.95" hidden="1" customHeight="1" x14ac:dyDescent="0.4">
      <c r="A562" s="17" t="s">
        <v>28</v>
      </c>
      <c r="B562" s="15" t="s">
        <v>278</v>
      </c>
      <c r="C562" s="16" t="s">
        <v>31</v>
      </c>
      <c r="D562" s="16" t="s">
        <v>31</v>
      </c>
      <c r="E562" s="15" t="s">
        <v>32</v>
      </c>
      <c r="F562" s="15" t="s">
        <v>314</v>
      </c>
      <c r="N562" s="21" t="s">
        <v>96</v>
      </c>
      <c r="O562" s="21" t="s">
        <v>336</v>
      </c>
      <c r="Q562" s="21" t="s">
        <v>344</v>
      </c>
      <c r="R562" s="22">
        <v>45756</v>
      </c>
      <c r="W562">
        <f>COUNTIF(内藤証券!U:U,B562)</f>
        <v>0</v>
      </c>
    </row>
    <row r="563" spans="1:26" ht="24.95" hidden="1" customHeight="1" x14ac:dyDescent="0.4">
      <c r="A563" s="17" t="s">
        <v>28</v>
      </c>
      <c r="B563" s="15" t="s">
        <v>279</v>
      </c>
      <c r="C563" s="16" t="s">
        <v>31</v>
      </c>
      <c r="D563" s="16" t="s">
        <v>31</v>
      </c>
      <c r="E563" s="15" t="s">
        <v>32</v>
      </c>
      <c r="F563" s="15" t="s">
        <v>314</v>
      </c>
      <c r="N563" s="21" t="s">
        <v>96</v>
      </c>
      <c r="O563" s="21" t="s">
        <v>336</v>
      </c>
      <c r="Q563" s="21" t="s">
        <v>344</v>
      </c>
      <c r="R563" s="22">
        <v>45756</v>
      </c>
      <c r="W563">
        <f>COUNTIF(内藤証券!U:U,B563)</f>
        <v>0</v>
      </c>
    </row>
    <row r="564" spans="1:26" ht="24.95" hidden="1" customHeight="1" x14ac:dyDescent="0.4">
      <c r="A564" s="17" t="s">
        <v>28</v>
      </c>
      <c r="B564" s="15" t="s">
        <v>280</v>
      </c>
      <c r="C564" s="16" t="s">
        <v>31</v>
      </c>
      <c r="D564" s="16" t="s">
        <v>31</v>
      </c>
      <c r="E564" s="15" t="s">
        <v>32</v>
      </c>
      <c r="F564" s="15" t="s">
        <v>314</v>
      </c>
      <c r="N564" s="21" t="s">
        <v>96</v>
      </c>
      <c r="O564" s="21" t="s">
        <v>336</v>
      </c>
      <c r="Q564" s="21" t="s">
        <v>344</v>
      </c>
      <c r="R564" s="22">
        <v>45756</v>
      </c>
      <c r="W564">
        <f>COUNTIF(内藤証券!U:U,B564)</f>
        <v>0</v>
      </c>
    </row>
    <row r="565" spans="1:26" ht="24.95" hidden="1" customHeight="1" x14ac:dyDescent="0.4">
      <c r="A565" s="17" t="s">
        <v>28</v>
      </c>
      <c r="B565" s="15" t="s">
        <v>281</v>
      </c>
      <c r="C565" s="16" t="s">
        <v>31</v>
      </c>
      <c r="D565" s="16" t="s">
        <v>31</v>
      </c>
      <c r="E565" s="15" t="s">
        <v>32</v>
      </c>
      <c r="F565" s="15" t="s">
        <v>314</v>
      </c>
      <c r="N565" s="21" t="s">
        <v>96</v>
      </c>
      <c r="O565" s="21" t="s">
        <v>336</v>
      </c>
      <c r="Q565" s="21" t="s">
        <v>344</v>
      </c>
      <c r="R565" s="22">
        <v>45756</v>
      </c>
      <c r="W565">
        <f>COUNTIF(内藤証券!U:U,B565)</f>
        <v>0</v>
      </c>
    </row>
    <row r="566" spans="1:26" ht="24.95" hidden="1" customHeight="1" x14ac:dyDescent="0.4">
      <c r="A566" s="17" t="s">
        <v>28</v>
      </c>
      <c r="B566" s="15" t="s">
        <v>282</v>
      </c>
      <c r="C566" s="16" t="s">
        <v>31</v>
      </c>
      <c r="D566" s="16" t="s">
        <v>31</v>
      </c>
      <c r="E566" s="15" t="s">
        <v>32</v>
      </c>
      <c r="F566" s="15" t="s">
        <v>314</v>
      </c>
      <c r="N566" s="21" t="s">
        <v>96</v>
      </c>
      <c r="O566" s="21" t="s">
        <v>336</v>
      </c>
      <c r="Q566" s="21" t="s">
        <v>344</v>
      </c>
      <c r="R566" s="22">
        <v>45756</v>
      </c>
      <c r="W566">
        <f>COUNTIF(内藤証券!U:U,B566)</f>
        <v>0</v>
      </c>
    </row>
    <row r="567" spans="1:26" ht="24.95" hidden="1" customHeight="1" x14ac:dyDescent="0.4">
      <c r="A567" s="17" t="s">
        <v>28</v>
      </c>
      <c r="B567" s="15" t="s">
        <v>283</v>
      </c>
      <c r="C567" s="16" t="s">
        <v>31</v>
      </c>
      <c r="D567" s="16" t="s">
        <v>31</v>
      </c>
      <c r="E567" s="15" t="s">
        <v>32</v>
      </c>
      <c r="F567" s="15" t="s">
        <v>314</v>
      </c>
      <c r="N567" s="21" t="s">
        <v>96</v>
      </c>
      <c r="O567" s="21" t="s">
        <v>336</v>
      </c>
      <c r="Q567" s="21" t="s">
        <v>344</v>
      </c>
      <c r="R567" s="22">
        <v>45756</v>
      </c>
      <c r="W567">
        <f>COUNTIF(内藤証券!U:U,B567)</f>
        <v>0</v>
      </c>
    </row>
    <row r="568" spans="1:26" ht="24.95" hidden="1" customHeight="1" x14ac:dyDescent="0.4">
      <c r="A568" s="17" t="s">
        <v>28</v>
      </c>
      <c r="B568" s="15" t="s">
        <v>284</v>
      </c>
      <c r="C568" s="16" t="s">
        <v>31</v>
      </c>
      <c r="D568" s="16" t="s">
        <v>31</v>
      </c>
      <c r="E568" s="15" t="s">
        <v>32</v>
      </c>
      <c r="F568" s="15" t="s">
        <v>314</v>
      </c>
      <c r="N568" s="21" t="s">
        <v>96</v>
      </c>
      <c r="O568" s="21" t="s">
        <v>336</v>
      </c>
      <c r="Q568" s="21" t="s">
        <v>344</v>
      </c>
      <c r="R568" s="22">
        <v>45756</v>
      </c>
      <c r="W568">
        <f>COUNTIF(内藤証券!U:U,B568)</f>
        <v>0</v>
      </c>
    </row>
    <row r="569" spans="1:26" ht="24.95" hidden="1" customHeight="1" x14ac:dyDescent="0.4">
      <c r="A569" s="17" t="s">
        <v>28</v>
      </c>
      <c r="B569" s="15" t="s">
        <v>285</v>
      </c>
      <c r="C569" s="16" t="s">
        <v>31</v>
      </c>
      <c r="D569" s="16" t="s">
        <v>31</v>
      </c>
      <c r="E569" s="15" t="s">
        <v>32</v>
      </c>
      <c r="F569" s="15" t="s">
        <v>314</v>
      </c>
      <c r="N569" s="21" t="s">
        <v>96</v>
      </c>
      <c r="O569" s="21" t="s">
        <v>336</v>
      </c>
      <c r="Q569" s="21" t="s">
        <v>344</v>
      </c>
      <c r="R569" s="22">
        <v>45756</v>
      </c>
      <c r="W569">
        <f>COUNTIF(内藤証券!U:U,B569)</f>
        <v>0</v>
      </c>
    </row>
    <row r="570" spans="1:26" ht="24.95" hidden="1" customHeight="1" x14ac:dyDescent="0.4">
      <c r="A570" s="17" t="s">
        <v>28</v>
      </c>
      <c r="B570" s="15" t="s">
        <v>286</v>
      </c>
      <c r="C570" s="16" t="s">
        <v>31</v>
      </c>
      <c r="D570" s="16" t="s">
        <v>31</v>
      </c>
      <c r="E570" s="15" t="s">
        <v>32</v>
      </c>
      <c r="F570" s="15" t="s">
        <v>314</v>
      </c>
      <c r="N570" s="21" t="s">
        <v>96</v>
      </c>
      <c r="O570" s="21" t="s">
        <v>336</v>
      </c>
      <c r="Q570" s="21" t="s">
        <v>344</v>
      </c>
      <c r="R570" s="22">
        <v>45756</v>
      </c>
      <c r="W570">
        <f>COUNTIF(内藤証券!U:U,B570)</f>
        <v>0</v>
      </c>
    </row>
    <row r="571" spans="1:26" ht="24.95" hidden="1" customHeight="1" x14ac:dyDescent="0.4">
      <c r="A571" s="17" t="s">
        <v>28</v>
      </c>
      <c r="B571" s="15" t="s">
        <v>287</v>
      </c>
      <c r="C571" s="16" t="s">
        <v>31</v>
      </c>
      <c r="D571" s="16" t="s">
        <v>31</v>
      </c>
      <c r="E571" s="15" t="s">
        <v>32</v>
      </c>
      <c r="F571" s="15" t="s">
        <v>314</v>
      </c>
      <c r="N571" s="21" t="s">
        <v>96</v>
      </c>
      <c r="O571" s="21" t="s">
        <v>336</v>
      </c>
      <c r="Q571" s="21" t="s">
        <v>344</v>
      </c>
      <c r="R571" s="22">
        <v>45756</v>
      </c>
      <c r="W571">
        <f>COUNTIF(内藤証券!U:U,B571)</f>
        <v>0</v>
      </c>
    </row>
    <row r="572" spans="1:26" ht="24.95" hidden="1" customHeight="1" x14ac:dyDescent="0.4">
      <c r="A572" s="17" t="s">
        <v>28</v>
      </c>
      <c r="B572" s="15" t="s">
        <v>342</v>
      </c>
      <c r="C572" s="16" t="s">
        <v>31</v>
      </c>
      <c r="D572" s="16" t="s">
        <v>31</v>
      </c>
      <c r="E572" s="15" t="s">
        <v>32</v>
      </c>
      <c r="F572" s="15" t="s">
        <v>340</v>
      </c>
      <c r="N572" s="21" t="s">
        <v>96</v>
      </c>
      <c r="O572" s="21" t="s">
        <v>345</v>
      </c>
      <c r="Q572" s="21" t="s">
        <v>344</v>
      </c>
      <c r="R572" s="22">
        <v>45784</v>
      </c>
      <c r="W572">
        <f>COUNTIF(内藤証券!U:U,B572)</f>
        <v>0</v>
      </c>
      <c r="Z572" t="s">
        <v>433</v>
      </c>
    </row>
    <row r="573" spans="1:26" ht="24.95" hidden="1" customHeight="1" x14ac:dyDescent="0.4">
      <c r="A573" s="17" t="s">
        <v>28</v>
      </c>
      <c r="B573" s="15" t="s">
        <v>194</v>
      </c>
      <c r="C573" s="16" t="s">
        <v>31</v>
      </c>
      <c r="D573" s="16" t="s">
        <v>31</v>
      </c>
      <c r="E573" s="15" t="s">
        <v>32</v>
      </c>
      <c r="F573" s="15" t="s">
        <v>184</v>
      </c>
      <c r="N573" s="21" t="s">
        <v>96</v>
      </c>
      <c r="O573" s="21" t="s">
        <v>210</v>
      </c>
      <c r="Q573" s="21" t="s">
        <v>169</v>
      </c>
      <c r="R573" s="22">
        <v>45756</v>
      </c>
      <c r="W573">
        <f>COUNTIF(内藤証券!U:U,B573)</f>
        <v>0</v>
      </c>
      <c r="Z573" t="s">
        <v>433</v>
      </c>
    </row>
    <row r="574" spans="1:26" ht="24.95" hidden="1" customHeight="1" x14ac:dyDescent="0.4">
      <c r="A574" s="17" t="s">
        <v>28</v>
      </c>
      <c r="B574" s="15" t="s">
        <v>288</v>
      </c>
      <c r="C574" s="16" t="s">
        <v>31</v>
      </c>
      <c r="D574" s="16" t="s">
        <v>31</v>
      </c>
      <c r="E574" s="15" t="s">
        <v>32</v>
      </c>
      <c r="F574" s="15" t="s">
        <v>314</v>
      </c>
      <c r="N574" s="21" t="s">
        <v>96</v>
      </c>
      <c r="O574" s="21" t="s">
        <v>336</v>
      </c>
      <c r="Q574" s="21" t="s">
        <v>344</v>
      </c>
      <c r="R574" s="22">
        <v>45756</v>
      </c>
      <c r="W574">
        <f>COUNTIF(内藤証券!U:U,B574)</f>
        <v>0</v>
      </c>
    </row>
    <row r="575" spans="1:26" ht="24.95" hidden="1" customHeight="1" x14ac:dyDescent="0.4">
      <c r="A575" s="17" t="s">
        <v>28</v>
      </c>
      <c r="B575" s="15" t="s">
        <v>289</v>
      </c>
      <c r="C575" s="16" t="s">
        <v>31</v>
      </c>
      <c r="D575" s="16" t="s">
        <v>31</v>
      </c>
      <c r="E575" s="15" t="s">
        <v>32</v>
      </c>
      <c r="F575" s="15" t="s">
        <v>314</v>
      </c>
      <c r="N575" s="21" t="s">
        <v>96</v>
      </c>
      <c r="O575" s="21" t="s">
        <v>336</v>
      </c>
      <c r="Q575" s="21" t="s">
        <v>344</v>
      </c>
      <c r="R575" s="22">
        <v>45756</v>
      </c>
      <c r="W575">
        <f>COUNTIF(内藤証券!U:U,B575)</f>
        <v>0</v>
      </c>
    </row>
    <row r="576" spans="1:26" ht="24.95" hidden="1" customHeight="1" x14ac:dyDescent="0.4">
      <c r="A576" s="17" t="s">
        <v>28</v>
      </c>
      <c r="B576" s="15" t="s">
        <v>290</v>
      </c>
      <c r="C576" s="16" t="s">
        <v>31</v>
      </c>
      <c r="D576" s="16" t="s">
        <v>31</v>
      </c>
      <c r="E576" s="15" t="s">
        <v>32</v>
      </c>
      <c r="F576" s="15" t="s">
        <v>314</v>
      </c>
      <c r="N576" s="21" t="s">
        <v>96</v>
      </c>
      <c r="O576" s="21" t="s">
        <v>336</v>
      </c>
      <c r="Q576" s="21" t="s">
        <v>344</v>
      </c>
      <c r="R576" s="22">
        <v>45756</v>
      </c>
      <c r="W576">
        <f>COUNTIF(内藤証券!U:U,B576)</f>
        <v>0</v>
      </c>
    </row>
    <row r="577" spans="1:23" ht="24.95" hidden="1" customHeight="1" x14ac:dyDescent="0.4">
      <c r="A577" s="17" t="s">
        <v>28</v>
      </c>
      <c r="B577" s="15" t="s">
        <v>291</v>
      </c>
      <c r="C577" s="16" t="s">
        <v>31</v>
      </c>
      <c r="D577" s="16" t="s">
        <v>31</v>
      </c>
      <c r="E577" s="15" t="s">
        <v>32</v>
      </c>
      <c r="F577" s="15" t="s">
        <v>314</v>
      </c>
      <c r="N577" s="21" t="s">
        <v>96</v>
      </c>
      <c r="O577" s="21" t="s">
        <v>336</v>
      </c>
      <c r="Q577" s="21" t="s">
        <v>344</v>
      </c>
      <c r="R577" s="22">
        <v>45756</v>
      </c>
      <c r="W577">
        <f>COUNTIF(内藤証券!U:U,B577)</f>
        <v>0</v>
      </c>
    </row>
    <row r="578" spans="1:23" ht="24.95" hidden="1" customHeight="1" x14ac:dyDescent="0.4">
      <c r="A578" s="17" t="s">
        <v>28</v>
      </c>
      <c r="B578" s="15" t="s">
        <v>292</v>
      </c>
      <c r="C578" s="16" t="s">
        <v>31</v>
      </c>
      <c r="D578" s="16" t="s">
        <v>31</v>
      </c>
      <c r="E578" s="15" t="s">
        <v>32</v>
      </c>
      <c r="F578" s="15" t="s">
        <v>314</v>
      </c>
      <c r="N578" s="21" t="s">
        <v>96</v>
      </c>
      <c r="O578" s="21" t="s">
        <v>336</v>
      </c>
      <c r="Q578" s="21" t="s">
        <v>344</v>
      </c>
      <c r="R578" s="22">
        <v>45756</v>
      </c>
      <c r="W578">
        <f>COUNTIF(内藤証券!U:U,B578)</f>
        <v>0</v>
      </c>
    </row>
    <row r="579" spans="1:23" ht="24.95" hidden="1" customHeight="1" x14ac:dyDescent="0.4">
      <c r="A579" s="17" t="s">
        <v>28</v>
      </c>
      <c r="B579" s="15" t="s">
        <v>293</v>
      </c>
      <c r="C579" s="16" t="s">
        <v>31</v>
      </c>
      <c r="D579" s="16" t="s">
        <v>31</v>
      </c>
      <c r="E579" s="15" t="s">
        <v>32</v>
      </c>
      <c r="F579" s="15" t="s">
        <v>314</v>
      </c>
      <c r="N579" s="21" t="s">
        <v>96</v>
      </c>
      <c r="O579" s="21" t="s">
        <v>336</v>
      </c>
      <c r="Q579" s="21" t="s">
        <v>344</v>
      </c>
      <c r="R579" s="22">
        <v>45756</v>
      </c>
      <c r="W579">
        <f>COUNTIF(内藤証券!U:U,B579)</f>
        <v>0</v>
      </c>
    </row>
    <row r="580" spans="1:23" ht="24.95" hidden="1" customHeight="1" x14ac:dyDescent="0.4">
      <c r="A580" s="17" t="s">
        <v>28</v>
      </c>
      <c r="B580" s="15" t="s">
        <v>294</v>
      </c>
      <c r="C580" s="16" t="s">
        <v>31</v>
      </c>
      <c r="D580" s="16" t="s">
        <v>31</v>
      </c>
      <c r="E580" s="15" t="s">
        <v>32</v>
      </c>
      <c r="F580" s="15" t="s">
        <v>314</v>
      </c>
      <c r="N580" s="21" t="s">
        <v>96</v>
      </c>
      <c r="O580" s="21" t="s">
        <v>336</v>
      </c>
      <c r="Q580" s="21" t="s">
        <v>344</v>
      </c>
      <c r="R580" s="22">
        <v>45756</v>
      </c>
      <c r="W580">
        <f>COUNTIF(内藤証券!U:U,B580)</f>
        <v>0</v>
      </c>
    </row>
    <row r="581" spans="1:23" ht="24.95" hidden="1" customHeight="1" x14ac:dyDescent="0.4">
      <c r="A581" s="17" t="s">
        <v>28</v>
      </c>
      <c r="B581" s="15" t="s">
        <v>295</v>
      </c>
      <c r="C581" s="16" t="s">
        <v>31</v>
      </c>
      <c r="D581" s="16" t="s">
        <v>31</v>
      </c>
      <c r="E581" s="15" t="s">
        <v>32</v>
      </c>
      <c r="F581" s="15" t="s">
        <v>314</v>
      </c>
      <c r="N581" s="21" t="s">
        <v>96</v>
      </c>
      <c r="O581" s="21" t="s">
        <v>336</v>
      </c>
      <c r="Q581" s="21" t="s">
        <v>344</v>
      </c>
      <c r="R581" s="22">
        <v>45756</v>
      </c>
      <c r="W581">
        <f>COUNTIF(内藤証券!U:U,B581)</f>
        <v>0</v>
      </c>
    </row>
    <row r="582" spans="1:23" ht="24.95" hidden="1" customHeight="1" x14ac:dyDescent="0.4">
      <c r="A582" s="17" t="s">
        <v>28</v>
      </c>
      <c r="B582" s="15" t="s">
        <v>296</v>
      </c>
      <c r="C582" s="16" t="s">
        <v>31</v>
      </c>
      <c r="D582" s="16" t="s">
        <v>31</v>
      </c>
      <c r="E582" s="15" t="s">
        <v>32</v>
      </c>
      <c r="F582" s="15" t="s">
        <v>314</v>
      </c>
      <c r="N582" s="21" t="s">
        <v>96</v>
      </c>
      <c r="O582" s="21" t="s">
        <v>336</v>
      </c>
      <c r="Q582" s="21" t="s">
        <v>344</v>
      </c>
      <c r="R582" s="22">
        <v>45756</v>
      </c>
      <c r="W582">
        <f>COUNTIF(内藤証券!U:U,B582)</f>
        <v>0</v>
      </c>
    </row>
    <row r="583" spans="1:23" ht="24.95" hidden="1" customHeight="1" x14ac:dyDescent="0.4">
      <c r="A583" s="17" t="s">
        <v>28</v>
      </c>
      <c r="B583" s="15" t="s">
        <v>297</v>
      </c>
      <c r="C583" s="16" t="s">
        <v>31</v>
      </c>
      <c r="D583" s="16" t="s">
        <v>31</v>
      </c>
      <c r="E583" s="15" t="s">
        <v>32</v>
      </c>
      <c r="F583" s="15" t="s">
        <v>314</v>
      </c>
      <c r="N583" s="21" t="s">
        <v>96</v>
      </c>
      <c r="O583" s="21" t="s">
        <v>336</v>
      </c>
      <c r="Q583" s="21" t="s">
        <v>344</v>
      </c>
      <c r="R583" s="22">
        <v>45756</v>
      </c>
      <c r="W583">
        <f>COUNTIF(内藤証券!U:U,B583)</f>
        <v>0</v>
      </c>
    </row>
    <row r="584" spans="1:23" ht="24.95" hidden="1" customHeight="1" x14ac:dyDescent="0.4">
      <c r="A584" s="17" t="s">
        <v>28</v>
      </c>
      <c r="B584" s="15" t="s">
        <v>298</v>
      </c>
      <c r="C584" s="16" t="s">
        <v>31</v>
      </c>
      <c r="D584" s="16" t="s">
        <v>31</v>
      </c>
      <c r="E584" s="15" t="s">
        <v>32</v>
      </c>
      <c r="F584" s="15" t="s">
        <v>314</v>
      </c>
      <c r="N584" s="21" t="s">
        <v>96</v>
      </c>
      <c r="O584" s="21" t="s">
        <v>336</v>
      </c>
      <c r="Q584" s="21" t="s">
        <v>344</v>
      </c>
      <c r="R584" s="22">
        <v>45756</v>
      </c>
      <c r="W584">
        <f>COUNTIF(内藤証券!U:U,B584)</f>
        <v>0</v>
      </c>
    </row>
    <row r="585" spans="1:23" ht="24.95" hidden="1" customHeight="1" x14ac:dyDescent="0.4">
      <c r="A585" s="17" t="s">
        <v>28</v>
      </c>
      <c r="B585" s="15" t="s">
        <v>299</v>
      </c>
      <c r="C585" s="16" t="s">
        <v>31</v>
      </c>
      <c r="D585" s="16" t="s">
        <v>31</v>
      </c>
      <c r="E585" s="15" t="s">
        <v>32</v>
      </c>
      <c r="F585" s="15" t="s">
        <v>314</v>
      </c>
      <c r="N585" s="21" t="s">
        <v>96</v>
      </c>
      <c r="O585" s="21" t="s">
        <v>336</v>
      </c>
      <c r="Q585" s="21" t="s">
        <v>344</v>
      </c>
      <c r="R585" s="22">
        <v>45756</v>
      </c>
      <c r="W585">
        <f>COUNTIF(内藤証券!U:U,B585)</f>
        <v>0</v>
      </c>
    </row>
    <row r="586" spans="1:23" ht="24.95" hidden="1" customHeight="1" x14ac:dyDescent="0.4">
      <c r="A586" s="17" t="s">
        <v>28</v>
      </c>
      <c r="B586" s="15" t="s">
        <v>300</v>
      </c>
      <c r="C586" s="16" t="s">
        <v>31</v>
      </c>
      <c r="D586" s="16" t="s">
        <v>31</v>
      </c>
      <c r="E586" s="15" t="s">
        <v>32</v>
      </c>
      <c r="F586" s="15" t="s">
        <v>314</v>
      </c>
      <c r="N586" s="21" t="s">
        <v>96</v>
      </c>
      <c r="O586" s="21" t="s">
        <v>336</v>
      </c>
      <c r="Q586" s="21" t="s">
        <v>344</v>
      </c>
      <c r="R586" s="22">
        <v>45756</v>
      </c>
      <c r="W586">
        <f>COUNTIF(内藤証券!U:U,B586)</f>
        <v>0</v>
      </c>
    </row>
    <row r="587" spans="1:23" ht="24.95" hidden="1" customHeight="1" x14ac:dyDescent="0.4">
      <c r="A587" s="17" t="s">
        <v>28</v>
      </c>
      <c r="B587" s="15" t="s">
        <v>301</v>
      </c>
      <c r="C587" s="16" t="s">
        <v>31</v>
      </c>
      <c r="D587" s="16" t="s">
        <v>31</v>
      </c>
      <c r="E587" s="15" t="s">
        <v>32</v>
      </c>
      <c r="F587" s="15" t="s">
        <v>314</v>
      </c>
      <c r="N587" s="21" t="s">
        <v>96</v>
      </c>
      <c r="O587" s="21" t="s">
        <v>336</v>
      </c>
      <c r="Q587" s="21" t="s">
        <v>344</v>
      </c>
      <c r="R587" s="22">
        <v>45756</v>
      </c>
      <c r="W587">
        <f>COUNTIF(内藤証券!U:U,B587)</f>
        <v>0</v>
      </c>
    </row>
    <row r="588" spans="1:23" ht="24.95" hidden="1" customHeight="1" x14ac:dyDescent="0.4">
      <c r="A588" s="17" t="s">
        <v>28</v>
      </c>
      <c r="B588" s="15" t="s">
        <v>302</v>
      </c>
      <c r="C588" s="16" t="s">
        <v>31</v>
      </c>
      <c r="D588" s="16" t="s">
        <v>31</v>
      </c>
      <c r="E588" s="15" t="s">
        <v>32</v>
      </c>
      <c r="F588" s="15" t="s">
        <v>314</v>
      </c>
      <c r="N588" s="21" t="s">
        <v>96</v>
      </c>
      <c r="O588" s="21" t="s">
        <v>336</v>
      </c>
      <c r="Q588" s="21" t="s">
        <v>344</v>
      </c>
      <c r="R588" s="22">
        <v>45756</v>
      </c>
      <c r="W588">
        <f>COUNTIF(内藤証券!U:U,B588)</f>
        <v>0</v>
      </c>
    </row>
    <row r="589" spans="1:23" ht="24.95" hidden="1" customHeight="1" x14ac:dyDescent="0.4">
      <c r="A589" s="17" t="s">
        <v>28</v>
      </c>
      <c r="B589" s="15" t="s">
        <v>303</v>
      </c>
      <c r="C589" s="16" t="s">
        <v>31</v>
      </c>
      <c r="D589" s="16" t="s">
        <v>31</v>
      </c>
      <c r="E589" s="15" t="s">
        <v>32</v>
      </c>
      <c r="F589" s="15" t="s">
        <v>314</v>
      </c>
      <c r="N589" s="21" t="s">
        <v>96</v>
      </c>
      <c r="O589" s="21" t="s">
        <v>336</v>
      </c>
      <c r="Q589" s="21" t="s">
        <v>344</v>
      </c>
      <c r="R589" s="22">
        <v>45756</v>
      </c>
      <c r="W589">
        <f>COUNTIF(内藤証券!U:U,B589)</f>
        <v>0</v>
      </c>
    </row>
    <row r="590" spans="1:23" ht="24.95" hidden="1" customHeight="1" x14ac:dyDescent="0.4">
      <c r="A590" s="17" t="s">
        <v>28</v>
      </c>
      <c r="B590" s="15" t="s">
        <v>304</v>
      </c>
      <c r="C590" s="16" t="s">
        <v>31</v>
      </c>
      <c r="D590" s="16" t="s">
        <v>31</v>
      </c>
      <c r="E590" s="15" t="s">
        <v>32</v>
      </c>
      <c r="F590" s="15" t="s">
        <v>314</v>
      </c>
      <c r="N590" s="21" t="s">
        <v>96</v>
      </c>
      <c r="O590" s="21" t="s">
        <v>336</v>
      </c>
      <c r="Q590" s="21" t="s">
        <v>344</v>
      </c>
      <c r="R590" s="22">
        <v>45756</v>
      </c>
      <c r="W590">
        <f>COUNTIF(内藤証券!U:U,B590)</f>
        <v>0</v>
      </c>
    </row>
    <row r="591" spans="1:23" ht="24.95" hidden="1" customHeight="1" x14ac:dyDescent="0.4">
      <c r="A591" s="17" t="s">
        <v>28</v>
      </c>
      <c r="B591" s="15" t="s">
        <v>305</v>
      </c>
      <c r="C591" s="16" t="s">
        <v>31</v>
      </c>
      <c r="D591" s="16" t="s">
        <v>31</v>
      </c>
      <c r="E591" s="15" t="s">
        <v>32</v>
      </c>
      <c r="F591" s="15" t="s">
        <v>314</v>
      </c>
      <c r="N591" s="21" t="s">
        <v>96</v>
      </c>
      <c r="O591" s="21" t="s">
        <v>336</v>
      </c>
      <c r="Q591" s="21" t="s">
        <v>344</v>
      </c>
      <c r="R591" s="22">
        <v>45756</v>
      </c>
      <c r="W591">
        <f>COUNTIF(内藤証券!U:U,B591)</f>
        <v>0</v>
      </c>
    </row>
    <row r="592" spans="1:23" ht="24.95" hidden="1" customHeight="1" x14ac:dyDescent="0.4">
      <c r="A592" s="17" t="s">
        <v>28</v>
      </c>
      <c r="B592" s="15" t="s">
        <v>370</v>
      </c>
      <c r="C592" s="16" t="s">
        <v>31</v>
      </c>
      <c r="D592" s="16" t="s">
        <v>31</v>
      </c>
      <c r="E592" s="15" t="s">
        <v>32</v>
      </c>
      <c r="F592" s="15" t="s">
        <v>365</v>
      </c>
      <c r="N592" s="21" t="s">
        <v>374</v>
      </c>
      <c r="O592" s="21" t="s">
        <v>373</v>
      </c>
      <c r="Q592" s="21" t="s">
        <v>344</v>
      </c>
      <c r="R592" s="22">
        <v>45883</v>
      </c>
      <c r="W592">
        <f>COUNTIF(内藤証券!U:U,B592)</f>
        <v>0</v>
      </c>
    </row>
    <row r="593" spans="1:26" ht="24.95" hidden="1" customHeight="1" x14ac:dyDescent="0.4">
      <c r="A593" s="17" t="s">
        <v>28</v>
      </c>
      <c r="B593" s="15" t="s">
        <v>206</v>
      </c>
      <c r="C593" s="16" t="s">
        <v>24</v>
      </c>
      <c r="D593" s="16" t="s">
        <v>31</v>
      </c>
      <c r="E593" s="15" t="s">
        <v>35</v>
      </c>
      <c r="F593" s="15" t="s">
        <v>212</v>
      </c>
      <c r="N593" s="21" t="s">
        <v>96</v>
      </c>
      <c r="O593" s="21" t="s">
        <v>209</v>
      </c>
      <c r="Q593" s="21" t="s">
        <v>169</v>
      </c>
      <c r="R593" s="22">
        <v>45756</v>
      </c>
      <c r="W593">
        <f>COUNTIF(内藤証券!U:U,B593)</f>
        <v>0</v>
      </c>
      <c r="Z593" t="s">
        <v>433</v>
      </c>
    </row>
    <row r="594" spans="1:26" ht="24.95" hidden="1" customHeight="1" x14ac:dyDescent="0.4">
      <c r="A594" s="17" t="s">
        <v>28</v>
      </c>
      <c r="B594" s="15" t="s">
        <v>371</v>
      </c>
      <c r="C594" s="16" t="s">
        <v>31</v>
      </c>
      <c r="D594" s="16" t="s">
        <v>31</v>
      </c>
      <c r="E594" s="15" t="s">
        <v>32</v>
      </c>
      <c r="F594" s="15" t="s">
        <v>365</v>
      </c>
      <c r="N594" s="21" t="s">
        <v>374</v>
      </c>
      <c r="O594" s="21" t="s">
        <v>373</v>
      </c>
      <c r="Q594" s="21" t="s">
        <v>344</v>
      </c>
      <c r="R594" s="22">
        <v>45883</v>
      </c>
      <c r="W594">
        <f>COUNTIF(内藤証券!U:U,B594)</f>
        <v>0</v>
      </c>
    </row>
    <row r="595" spans="1:26" ht="24.95" hidden="1" customHeight="1" x14ac:dyDescent="0.4">
      <c r="A595" s="17" t="s">
        <v>28</v>
      </c>
      <c r="B595" s="15" t="s">
        <v>180</v>
      </c>
      <c r="C595" s="16" t="s">
        <v>31</v>
      </c>
      <c r="D595" s="16" t="s">
        <v>31</v>
      </c>
      <c r="E595" s="15" t="s">
        <v>32</v>
      </c>
      <c r="F595" s="15" t="s">
        <v>173</v>
      </c>
      <c r="N595" s="21" t="s">
        <v>96</v>
      </c>
      <c r="O595" s="21" t="s">
        <v>181</v>
      </c>
      <c r="Q595" s="21" t="s">
        <v>169</v>
      </c>
      <c r="R595" s="22">
        <v>45756</v>
      </c>
      <c r="W595">
        <f>COUNTIF(内藤証券!U:U,B595)</f>
        <v>0</v>
      </c>
      <c r="Z595" t="s">
        <v>433</v>
      </c>
    </row>
    <row r="596" spans="1:26" ht="24.95" hidden="1" customHeight="1" x14ac:dyDescent="0.4">
      <c r="A596" s="17" t="s">
        <v>28</v>
      </c>
      <c r="B596" s="15" t="s">
        <v>306</v>
      </c>
      <c r="C596" s="16" t="s">
        <v>24</v>
      </c>
      <c r="D596" s="16" t="s">
        <v>31</v>
      </c>
      <c r="E596" s="15" t="s">
        <v>35</v>
      </c>
      <c r="F596" s="15" t="s">
        <v>314</v>
      </c>
      <c r="N596" s="21" t="s">
        <v>96</v>
      </c>
      <c r="O596" s="21" t="s">
        <v>336</v>
      </c>
      <c r="Q596" s="21" t="s">
        <v>344</v>
      </c>
      <c r="R596" s="22">
        <v>45756</v>
      </c>
      <c r="W596">
        <f>COUNTIF(内藤証券!U:U,B596)</f>
        <v>0</v>
      </c>
    </row>
    <row r="597" spans="1:26" ht="24.95" hidden="1" customHeight="1" x14ac:dyDescent="0.4">
      <c r="A597" s="17" t="s">
        <v>28</v>
      </c>
      <c r="B597" s="15" t="s">
        <v>307</v>
      </c>
      <c r="C597" s="16" t="s">
        <v>31</v>
      </c>
      <c r="D597" s="16" t="s">
        <v>31</v>
      </c>
      <c r="E597" s="15" t="s">
        <v>32</v>
      </c>
      <c r="F597" s="15" t="s">
        <v>314</v>
      </c>
      <c r="N597" s="21" t="s">
        <v>96</v>
      </c>
      <c r="O597" s="21" t="s">
        <v>336</v>
      </c>
      <c r="Q597" s="21" t="s">
        <v>344</v>
      </c>
      <c r="R597" s="22">
        <v>45756</v>
      </c>
      <c r="W597">
        <f>COUNTIF(内藤証券!U:U,B597)</f>
        <v>0</v>
      </c>
    </row>
    <row r="598" spans="1:26" ht="24.95" hidden="1" customHeight="1" x14ac:dyDescent="0.4">
      <c r="A598" s="17" t="s">
        <v>28</v>
      </c>
      <c r="B598" s="15" t="s">
        <v>38</v>
      </c>
      <c r="C598" s="16" t="s">
        <v>31</v>
      </c>
      <c r="D598" s="16" t="s">
        <v>31</v>
      </c>
      <c r="E598" s="15" t="s">
        <v>32</v>
      </c>
      <c r="F598" s="15" t="s">
        <v>80</v>
      </c>
      <c r="N598" s="21" t="s">
        <v>96</v>
      </c>
      <c r="O598" s="13" t="s">
        <v>353</v>
      </c>
      <c r="Q598" s="21" t="s">
        <v>344</v>
      </c>
      <c r="R598" s="22">
        <v>45814</v>
      </c>
      <c r="W598">
        <f>COUNTIF(内藤証券!U:U,B598)</f>
        <v>0</v>
      </c>
    </row>
    <row r="599" spans="1:26" ht="24.95" hidden="1" customHeight="1" x14ac:dyDescent="0.4">
      <c r="A599" s="17" t="s">
        <v>28</v>
      </c>
      <c r="B599" s="15" t="s">
        <v>119</v>
      </c>
      <c r="C599" s="16" t="s">
        <v>31</v>
      </c>
      <c r="D599" s="16" t="s">
        <v>31</v>
      </c>
      <c r="E599" s="15" t="s">
        <v>32</v>
      </c>
      <c r="F599" s="15" t="s">
        <v>365</v>
      </c>
      <c r="N599" s="21" t="s">
        <v>374</v>
      </c>
      <c r="O599" s="21" t="s">
        <v>375</v>
      </c>
      <c r="Q599" s="21" t="s">
        <v>344</v>
      </c>
      <c r="R599" s="22">
        <v>45883</v>
      </c>
      <c r="W599">
        <f>COUNTIF(内藤証券!U:U,B599)</f>
        <v>0</v>
      </c>
    </row>
    <row r="600" spans="1:26" ht="24.95" hidden="1" customHeight="1" x14ac:dyDescent="0.4">
      <c r="A600" s="17" t="s">
        <v>28</v>
      </c>
      <c r="B600" s="15" t="s">
        <v>120</v>
      </c>
      <c r="C600" s="16" t="s">
        <v>31</v>
      </c>
      <c r="D600" s="16" t="s">
        <v>31</v>
      </c>
      <c r="E600" s="15" t="s">
        <v>32</v>
      </c>
      <c r="F600" s="15" t="s">
        <v>314</v>
      </c>
      <c r="N600" s="21" t="s">
        <v>96</v>
      </c>
      <c r="O600" s="13" t="s">
        <v>339</v>
      </c>
      <c r="Q600" s="21" t="s">
        <v>344</v>
      </c>
      <c r="R600" s="22">
        <v>45756</v>
      </c>
      <c r="W600">
        <f>COUNTIF(内藤証券!U:U,B600)</f>
        <v>0</v>
      </c>
    </row>
    <row r="601" spans="1:26" ht="24.95" hidden="1" customHeight="1" x14ac:dyDescent="0.4">
      <c r="A601" s="17" t="s">
        <v>28</v>
      </c>
      <c r="B601" s="15" t="s">
        <v>39</v>
      </c>
      <c r="C601" s="16" t="s">
        <v>31</v>
      </c>
      <c r="D601" s="16" t="s">
        <v>31</v>
      </c>
      <c r="E601" s="15" t="s">
        <v>32</v>
      </c>
      <c r="F601" s="15" t="s">
        <v>221</v>
      </c>
      <c r="N601" s="21" t="s">
        <v>96</v>
      </c>
      <c r="O601" s="13" t="s">
        <v>350</v>
      </c>
      <c r="Q601" s="21" t="s">
        <v>344</v>
      </c>
      <c r="R601" s="22">
        <v>45814</v>
      </c>
      <c r="W601">
        <f>COUNTIF(内藤証券!U:U,B601)</f>
        <v>0</v>
      </c>
    </row>
    <row r="602" spans="1:26" ht="24.95" hidden="1" customHeight="1" x14ac:dyDescent="0.4">
      <c r="A602" s="17" t="s">
        <v>28</v>
      </c>
      <c r="B602" s="15" t="s">
        <v>220</v>
      </c>
      <c r="C602" s="16" t="s">
        <v>31</v>
      </c>
      <c r="D602" s="16" t="s">
        <v>31</v>
      </c>
      <c r="E602" s="15" t="s">
        <v>32</v>
      </c>
      <c r="F602" s="15" t="s">
        <v>221</v>
      </c>
      <c r="N602" s="21" t="s">
        <v>96</v>
      </c>
      <c r="O602" s="21" t="s">
        <v>338</v>
      </c>
      <c r="Q602" s="21" t="s">
        <v>344</v>
      </c>
      <c r="R602" s="22">
        <v>45814</v>
      </c>
      <c r="W602">
        <f>COUNTIF(内藤証券!U:U,B602)</f>
        <v>0</v>
      </c>
      <c r="Z602" t="s">
        <v>433</v>
      </c>
    </row>
    <row r="603" spans="1:26" ht="24.95" hidden="1" customHeight="1" x14ac:dyDescent="0.4">
      <c r="A603" s="17" t="s">
        <v>28</v>
      </c>
      <c r="B603" s="15" t="s">
        <v>172</v>
      </c>
      <c r="C603" s="16" t="s">
        <v>31</v>
      </c>
      <c r="D603" s="16" t="s">
        <v>31</v>
      </c>
      <c r="E603" s="15" t="s">
        <v>32</v>
      </c>
      <c r="F603" s="15" t="s">
        <v>173</v>
      </c>
      <c r="N603" s="21" t="s">
        <v>96</v>
      </c>
      <c r="O603" s="21" t="s">
        <v>336</v>
      </c>
      <c r="Q603" s="21" t="s">
        <v>344</v>
      </c>
      <c r="R603" s="22">
        <v>45814</v>
      </c>
      <c r="W603">
        <f>COUNTIF(内藤証券!U:U,B603)</f>
        <v>0</v>
      </c>
    </row>
    <row r="604" spans="1:26" ht="24.95" hidden="1" customHeight="1" x14ac:dyDescent="0.4">
      <c r="A604" s="17" t="s">
        <v>28</v>
      </c>
      <c r="B604" s="15" t="s">
        <v>111</v>
      </c>
      <c r="C604" s="16" t="s">
        <v>31</v>
      </c>
      <c r="D604" s="16" t="s">
        <v>31</v>
      </c>
      <c r="E604" s="15" t="s">
        <v>32</v>
      </c>
      <c r="F604" s="15" t="s">
        <v>314</v>
      </c>
      <c r="N604" s="21" t="s">
        <v>96</v>
      </c>
      <c r="O604" s="13" t="s">
        <v>339</v>
      </c>
      <c r="Q604" s="21" t="s">
        <v>344</v>
      </c>
      <c r="R604" s="22">
        <v>45756</v>
      </c>
      <c r="W604">
        <f>COUNTIF(内藤証券!U:U,B604)</f>
        <v>0</v>
      </c>
    </row>
    <row r="605" spans="1:26" ht="24.95" hidden="1" customHeight="1" x14ac:dyDescent="0.4">
      <c r="A605" s="17" t="s">
        <v>28</v>
      </c>
      <c r="B605" s="15" t="s">
        <v>42</v>
      </c>
      <c r="C605" s="16" t="s">
        <v>31</v>
      </c>
      <c r="D605" s="16" t="s">
        <v>31</v>
      </c>
      <c r="E605" s="15" t="s">
        <v>32</v>
      </c>
      <c r="F605" s="15" t="s">
        <v>221</v>
      </c>
      <c r="N605" s="21" t="s">
        <v>96</v>
      </c>
      <c r="O605" s="13" t="s">
        <v>351</v>
      </c>
      <c r="Q605" s="21" t="s">
        <v>344</v>
      </c>
      <c r="R605" s="22">
        <v>45814</v>
      </c>
      <c r="W605">
        <f>COUNTIF(内藤証券!U:U,B605)</f>
        <v>0</v>
      </c>
    </row>
    <row r="606" spans="1:26" ht="24.95" hidden="1" customHeight="1" x14ac:dyDescent="0.4">
      <c r="A606" s="17" t="s">
        <v>28</v>
      </c>
      <c r="B606" s="15" t="s">
        <v>330</v>
      </c>
      <c r="C606" s="16" t="s">
        <v>31</v>
      </c>
      <c r="D606" s="16" t="s">
        <v>31</v>
      </c>
      <c r="E606" s="15" t="s">
        <v>32</v>
      </c>
      <c r="F606" s="15" t="s">
        <v>314</v>
      </c>
      <c r="N606" s="21" t="s">
        <v>96</v>
      </c>
      <c r="O606" s="21" t="s">
        <v>338</v>
      </c>
      <c r="Q606" s="21" t="s">
        <v>344</v>
      </c>
      <c r="R606" s="22">
        <v>45756</v>
      </c>
      <c r="W606">
        <f>COUNTIF(内藤証券!U:U,B606)</f>
        <v>0</v>
      </c>
      <c r="Z606" t="s">
        <v>433</v>
      </c>
    </row>
    <row r="607" spans="1:26" ht="24.95" hidden="1" customHeight="1" x14ac:dyDescent="0.4">
      <c r="A607" s="17" t="s">
        <v>28</v>
      </c>
      <c r="B607" s="15" t="s">
        <v>43</v>
      </c>
      <c r="C607" s="16" t="s">
        <v>31</v>
      </c>
      <c r="D607" s="16" t="s">
        <v>31</v>
      </c>
      <c r="E607" s="15" t="s">
        <v>32</v>
      </c>
      <c r="F607" s="15" t="s">
        <v>212</v>
      </c>
      <c r="N607" s="21" t="s">
        <v>96</v>
      </c>
      <c r="O607" s="13" t="s">
        <v>310</v>
      </c>
      <c r="Q607" s="21" t="s">
        <v>169</v>
      </c>
      <c r="R607" s="22">
        <v>45756</v>
      </c>
      <c r="W607">
        <f>COUNTIF(内藤証券!U:U,B607)</f>
        <v>0</v>
      </c>
      <c r="Z607" t="s">
        <v>433</v>
      </c>
    </row>
    <row r="608" spans="1:26" ht="24.95" hidden="1" customHeight="1" x14ac:dyDescent="0.4">
      <c r="A608" s="17" t="s">
        <v>28</v>
      </c>
      <c r="B608" s="15" t="s">
        <v>207</v>
      </c>
      <c r="C608" s="16" t="s">
        <v>31</v>
      </c>
      <c r="D608" s="16" t="s">
        <v>31</v>
      </c>
      <c r="E608" s="15" t="s">
        <v>32</v>
      </c>
      <c r="F608" s="15" t="s">
        <v>212</v>
      </c>
      <c r="N608" s="21" t="s">
        <v>96</v>
      </c>
      <c r="O608" s="13" t="s">
        <v>311</v>
      </c>
      <c r="Q608" s="21" t="s">
        <v>169</v>
      </c>
      <c r="R608" s="22">
        <v>45756</v>
      </c>
      <c r="W608">
        <f>COUNTIF(内藤証券!U:U,B608)</f>
        <v>0</v>
      </c>
      <c r="Z608" t="s">
        <v>433</v>
      </c>
    </row>
    <row r="609" spans="1:26" ht="24.95" hidden="1" customHeight="1" x14ac:dyDescent="0.4">
      <c r="A609" s="17" t="s">
        <v>28</v>
      </c>
      <c r="B609" s="15" t="s">
        <v>95</v>
      </c>
      <c r="C609" s="16" t="s">
        <v>31</v>
      </c>
      <c r="D609" s="16" t="s">
        <v>31</v>
      </c>
      <c r="E609" s="15" t="s">
        <v>32</v>
      </c>
      <c r="F609" s="15" t="s">
        <v>94</v>
      </c>
      <c r="G609" s="25" t="s">
        <v>40</v>
      </c>
      <c r="H609" s="24" t="s">
        <v>96</v>
      </c>
      <c r="I609" s="24" t="s">
        <v>109</v>
      </c>
      <c r="J609" s="24" t="s">
        <v>110</v>
      </c>
      <c r="K609" s="23">
        <v>44725</v>
      </c>
      <c r="L609" s="23">
        <v>44723</v>
      </c>
      <c r="N609" s="21" t="s">
        <v>96</v>
      </c>
      <c r="O609" s="13" t="s">
        <v>105</v>
      </c>
      <c r="R609" s="22" t="s">
        <v>24</v>
      </c>
      <c r="W609">
        <f>COUNTIF(内藤証券!U:U,B609)</f>
        <v>0</v>
      </c>
      <c r="Z609" t="s">
        <v>433</v>
      </c>
    </row>
    <row r="610" spans="1:26" ht="24.95" hidden="1" customHeight="1" x14ac:dyDescent="0.4">
      <c r="A610" s="17" t="s">
        <v>28</v>
      </c>
      <c r="B610" s="15" t="s">
        <v>103</v>
      </c>
      <c r="C610" s="16" t="s">
        <v>31</v>
      </c>
      <c r="D610" s="16" t="s">
        <v>31</v>
      </c>
      <c r="E610" s="15" t="s">
        <v>32</v>
      </c>
      <c r="F610" s="15" t="s">
        <v>102</v>
      </c>
      <c r="N610" s="21" t="s">
        <v>96</v>
      </c>
      <c r="O610" s="13" t="s">
        <v>106</v>
      </c>
      <c r="R610" s="22" t="s">
        <v>24</v>
      </c>
      <c r="W610">
        <f>COUNTIF(内藤証券!U:U,B610)</f>
        <v>0</v>
      </c>
      <c r="Z610" t="s">
        <v>433</v>
      </c>
    </row>
    <row r="611" spans="1:26" ht="24.95" hidden="1" customHeight="1" x14ac:dyDescent="0.4">
      <c r="A611" s="17" t="s">
        <v>28</v>
      </c>
      <c r="B611" s="15" t="s">
        <v>343</v>
      </c>
      <c r="C611" s="16" t="s">
        <v>31</v>
      </c>
      <c r="D611" s="16" t="s">
        <v>31</v>
      </c>
      <c r="E611" s="15" t="s">
        <v>32</v>
      </c>
      <c r="F611" s="15" t="s">
        <v>340</v>
      </c>
      <c r="N611" s="21" t="s">
        <v>96</v>
      </c>
      <c r="O611" s="21" t="s">
        <v>345</v>
      </c>
      <c r="Q611" s="21" t="s">
        <v>344</v>
      </c>
      <c r="R611" s="22">
        <v>45784</v>
      </c>
      <c r="W611">
        <f>COUNTIF(内藤証券!U:U,B611)</f>
        <v>0</v>
      </c>
      <c r="Z611" t="s">
        <v>433</v>
      </c>
    </row>
    <row r="612" spans="1:26" ht="24.95" hidden="1" customHeight="1" x14ac:dyDescent="0.4">
      <c r="A612" s="17" t="s">
        <v>28</v>
      </c>
      <c r="B612" s="15" t="s">
        <v>218</v>
      </c>
      <c r="C612" s="16" t="s">
        <v>31</v>
      </c>
      <c r="D612" s="16" t="s">
        <v>31</v>
      </c>
      <c r="E612" s="15" t="s">
        <v>32</v>
      </c>
      <c r="F612" s="15" t="s">
        <v>221</v>
      </c>
      <c r="N612" s="21" t="s">
        <v>96</v>
      </c>
      <c r="O612" s="21" t="s">
        <v>335</v>
      </c>
      <c r="Q612" s="21" t="s">
        <v>169</v>
      </c>
      <c r="R612" s="22">
        <v>45756</v>
      </c>
      <c r="W612">
        <f>COUNTIF(内藤証券!U:U,B612)</f>
        <v>0</v>
      </c>
      <c r="Z612" t="s">
        <v>433</v>
      </c>
    </row>
    <row r="613" spans="1:26" ht="24.95" hidden="1" customHeight="1" x14ac:dyDescent="0.4">
      <c r="A613" s="17" t="s">
        <v>28</v>
      </c>
      <c r="B613" s="15" t="s">
        <v>121</v>
      </c>
      <c r="C613" s="16" t="s">
        <v>31</v>
      </c>
      <c r="D613" s="16" t="s">
        <v>31</v>
      </c>
      <c r="E613" s="15" t="s">
        <v>32</v>
      </c>
      <c r="F613" s="15" t="s">
        <v>314</v>
      </c>
      <c r="N613" s="21" t="s">
        <v>96</v>
      </c>
      <c r="O613" s="21" t="s">
        <v>336</v>
      </c>
      <c r="Q613" s="21" t="s">
        <v>344</v>
      </c>
      <c r="R613" s="22">
        <v>45756</v>
      </c>
      <c r="W613">
        <f>COUNTIF(内藤証券!U:U,B613)</f>
        <v>0</v>
      </c>
    </row>
    <row r="614" spans="1:26" ht="24.95" hidden="1" customHeight="1" x14ac:dyDescent="0.4">
      <c r="A614" s="17" t="s">
        <v>28</v>
      </c>
      <c r="B614" s="15" t="s">
        <v>122</v>
      </c>
      <c r="C614" s="16" t="s">
        <v>31</v>
      </c>
      <c r="D614" s="16" t="s">
        <v>31</v>
      </c>
      <c r="E614" s="15" t="s">
        <v>32</v>
      </c>
      <c r="F614" s="15" t="s">
        <v>184</v>
      </c>
      <c r="N614" s="21" t="s">
        <v>96</v>
      </c>
      <c r="O614" s="13" t="s">
        <v>312</v>
      </c>
      <c r="Q614" s="21" t="s">
        <v>169</v>
      </c>
      <c r="R614" s="22">
        <v>45756</v>
      </c>
      <c r="W614">
        <f>COUNTIF(内藤証券!U:U,B614)</f>
        <v>0</v>
      </c>
      <c r="Z614" t="s">
        <v>433</v>
      </c>
    </row>
    <row r="615" spans="1:26" ht="24.95" hidden="1" customHeight="1" x14ac:dyDescent="0.4">
      <c r="A615" s="17" t="s">
        <v>28</v>
      </c>
      <c r="B615" s="15" t="s">
        <v>44</v>
      </c>
      <c r="C615" s="16" t="s">
        <v>31</v>
      </c>
      <c r="D615" s="16" t="s">
        <v>31</v>
      </c>
      <c r="E615" s="15" t="s">
        <v>32</v>
      </c>
      <c r="F615" s="15" t="s">
        <v>221</v>
      </c>
      <c r="N615" s="21" t="s">
        <v>96</v>
      </c>
      <c r="O615" s="13" t="s">
        <v>359</v>
      </c>
      <c r="Q615" s="21" t="s">
        <v>344</v>
      </c>
      <c r="R615" s="22">
        <v>45814</v>
      </c>
      <c r="W615">
        <f>COUNTIF(内藤証券!U:U,B615)</f>
        <v>0</v>
      </c>
    </row>
    <row r="616" spans="1:26" ht="24.95" hidden="1" customHeight="1" x14ac:dyDescent="0.4">
      <c r="A616" s="17" t="s">
        <v>28</v>
      </c>
      <c r="B616" s="15" t="s">
        <v>45</v>
      </c>
      <c r="C616" s="16" t="s">
        <v>31</v>
      </c>
      <c r="D616" s="16" t="s">
        <v>31</v>
      </c>
      <c r="E616" s="15" t="s">
        <v>32</v>
      </c>
      <c r="F616" s="15" t="s">
        <v>314</v>
      </c>
      <c r="N616" s="21" t="s">
        <v>96</v>
      </c>
      <c r="O616" s="21" t="s">
        <v>338</v>
      </c>
      <c r="Q616" s="21" t="s">
        <v>344</v>
      </c>
      <c r="R616" s="22">
        <v>45756</v>
      </c>
      <c r="W616">
        <f>COUNTIF(内藤証券!U:U,B616)</f>
        <v>0</v>
      </c>
      <c r="Z616" t="s">
        <v>433</v>
      </c>
    </row>
    <row r="617" spans="1:26" ht="24.95" customHeight="1" x14ac:dyDescent="0.4">
      <c r="A617" s="17" t="s">
        <v>28</v>
      </c>
      <c r="B617" s="50" t="s">
        <v>469</v>
      </c>
      <c r="C617" s="16" t="s">
        <v>31</v>
      </c>
      <c r="D617" s="16" t="s">
        <v>31</v>
      </c>
      <c r="E617" s="15" t="s">
        <v>32</v>
      </c>
      <c r="F617" s="15" t="s">
        <v>130</v>
      </c>
      <c r="N617" s="21" t="s">
        <v>96</v>
      </c>
      <c r="O617" s="13" t="s">
        <v>468</v>
      </c>
      <c r="Q617" s="21" t="s">
        <v>169</v>
      </c>
      <c r="R617" s="22">
        <v>45756</v>
      </c>
      <c r="W617">
        <f>COUNTIF(内藤証券!U:U,B617)</f>
        <v>0</v>
      </c>
      <c r="Z617" t="s">
        <v>433</v>
      </c>
    </row>
    <row r="618" spans="1:26" ht="24.95" hidden="1" customHeight="1" x14ac:dyDescent="0.4">
      <c r="A618" s="17" t="s">
        <v>28</v>
      </c>
      <c r="B618" s="15" t="s">
        <v>91</v>
      </c>
      <c r="C618" s="16" t="s">
        <v>31</v>
      </c>
      <c r="D618" s="16" t="s">
        <v>31</v>
      </c>
      <c r="E618" s="15" t="s">
        <v>32</v>
      </c>
      <c r="F618" s="15" t="s">
        <v>212</v>
      </c>
      <c r="N618" s="21" t="s">
        <v>96</v>
      </c>
      <c r="O618" s="21" t="s">
        <v>209</v>
      </c>
      <c r="Q618" s="21" t="s">
        <v>169</v>
      </c>
      <c r="R618" s="22">
        <v>45756</v>
      </c>
      <c r="W618">
        <f>COUNTIF(内藤証券!U:U,B618)</f>
        <v>0</v>
      </c>
      <c r="Z618" t="s">
        <v>433</v>
      </c>
    </row>
    <row r="619" spans="1:26" ht="24.95" hidden="1" customHeight="1" x14ac:dyDescent="0.4">
      <c r="A619" s="17" t="s">
        <v>28</v>
      </c>
      <c r="B619" s="15" t="s">
        <v>192</v>
      </c>
      <c r="C619" s="16" t="s">
        <v>24</v>
      </c>
      <c r="D619" s="16" t="s">
        <v>31</v>
      </c>
      <c r="E619" s="15" t="s">
        <v>35</v>
      </c>
      <c r="F619" s="15" t="s">
        <v>184</v>
      </c>
      <c r="N619" s="21" t="s">
        <v>96</v>
      </c>
      <c r="O619" s="21" t="s">
        <v>210</v>
      </c>
      <c r="Q619" s="21" t="s">
        <v>169</v>
      </c>
      <c r="R619" s="22">
        <v>45756</v>
      </c>
      <c r="W619">
        <f>COUNTIF(内藤証券!U:U,B619)</f>
        <v>0</v>
      </c>
      <c r="Z619" t="s">
        <v>433</v>
      </c>
    </row>
    <row r="620" spans="1:26" ht="24.95" hidden="1" customHeight="1" x14ac:dyDescent="0.4">
      <c r="A620" s="17" t="s">
        <v>28</v>
      </c>
      <c r="B620" s="15" t="s">
        <v>182</v>
      </c>
      <c r="C620" s="16" t="s">
        <v>31</v>
      </c>
      <c r="D620" s="16" t="s">
        <v>24</v>
      </c>
      <c r="E620" s="15" t="s">
        <v>50</v>
      </c>
      <c r="F620" s="15" t="s">
        <v>183</v>
      </c>
      <c r="M620" s="21" t="s">
        <v>81</v>
      </c>
      <c r="N620" s="21" t="s">
        <v>208</v>
      </c>
      <c r="Q620" s="21" t="s">
        <v>169</v>
      </c>
      <c r="R620" s="22">
        <v>45756</v>
      </c>
      <c r="W620">
        <f>COUNTIF(内藤証券!U:U,B620)</f>
        <v>0</v>
      </c>
      <c r="Z620" t="s">
        <v>433</v>
      </c>
    </row>
    <row r="621" spans="1:26" ht="24.95" hidden="1" customHeight="1" x14ac:dyDescent="0.4">
      <c r="A621" s="17" t="s">
        <v>57</v>
      </c>
      <c r="B621" s="15" t="s">
        <v>115</v>
      </c>
      <c r="C621" s="16" t="s">
        <v>31</v>
      </c>
      <c r="D621" s="16" t="s">
        <v>31</v>
      </c>
      <c r="E621" s="15" t="s">
        <v>32</v>
      </c>
      <c r="F621" s="15" t="s">
        <v>166</v>
      </c>
      <c r="N621" s="21" t="s">
        <v>96</v>
      </c>
      <c r="O621" s="21" t="s">
        <v>337</v>
      </c>
      <c r="Q621" s="21" t="s">
        <v>344</v>
      </c>
      <c r="R621" s="22">
        <v>45814</v>
      </c>
      <c r="W621">
        <f>COUNTIF(対面共同!U:U,B621)</f>
        <v>0</v>
      </c>
    </row>
    <row r="622" spans="1:26" ht="24.95" hidden="1" customHeight="1" x14ac:dyDescent="0.4">
      <c r="A622" s="17" t="s">
        <v>57</v>
      </c>
      <c r="B622" s="15" t="s">
        <v>313</v>
      </c>
      <c r="C622" s="16" t="s">
        <v>24</v>
      </c>
      <c r="D622" s="16" t="s">
        <v>31</v>
      </c>
      <c r="E622" s="15" t="s">
        <v>35</v>
      </c>
      <c r="F622" s="15" t="s">
        <v>314</v>
      </c>
      <c r="N622" s="21" t="s">
        <v>96</v>
      </c>
      <c r="O622" s="21" t="s">
        <v>337</v>
      </c>
      <c r="Q622" s="21" t="s">
        <v>344</v>
      </c>
      <c r="R622" s="22">
        <v>45756</v>
      </c>
      <c r="W622">
        <f>COUNTIF(対面共同!U:U,B622)</f>
        <v>0</v>
      </c>
    </row>
    <row r="623" spans="1:26" ht="24.95" hidden="1" customHeight="1" x14ac:dyDescent="0.4">
      <c r="A623" s="17" t="s">
        <v>57</v>
      </c>
      <c r="B623" s="15" t="s">
        <v>315</v>
      </c>
      <c r="C623" s="16" t="s">
        <v>24</v>
      </c>
      <c r="D623" s="16" t="s">
        <v>31</v>
      </c>
      <c r="E623" s="15" t="s">
        <v>35</v>
      </c>
      <c r="F623" s="15" t="s">
        <v>314</v>
      </c>
      <c r="N623" s="21" t="s">
        <v>96</v>
      </c>
      <c r="O623" s="21" t="s">
        <v>337</v>
      </c>
      <c r="Q623" s="21" t="s">
        <v>344</v>
      </c>
      <c r="R623" s="22">
        <v>45756</v>
      </c>
      <c r="W623">
        <f>COUNTIF(対面共同!U:U,B623)</f>
        <v>0</v>
      </c>
    </row>
    <row r="624" spans="1:26" ht="24.95" hidden="1" customHeight="1" x14ac:dyDescent="0.4">
      <c r="A624" s="17" t="s">
        <v>57</v>
      </c>
      <c r="B624" s="15" t="s">
        <v>316</v>
      </c>
      <c r="C624" s="16" t="s">
        <v>24</v>
      </c>
      <c r="D624" s="16" t="s">
        <v>31</v>
      </c>
      <c r="E624" s="15" t="s">
        <v>35</v>
      </c>
      <c r="F624" s="15" t="s">
        <v>314</v>
      </c>
      <c r="N624" s="21" t="s">
        <v>96</v>
      </c>
      <c r="O624" s="21" t="s">
        <v>337</v>
      </c>
      <c r="Q624" s="21" t="s">
        <v>344</v>
      </c>
      <c r="R624" s="22">
        <v>45756</v>
      </c>
      <c r="W624">
        <f>COUNTIF(対面共同!U:U,B624)</f>
        <v>0</v>
      </c>
    </row>
    <row r="625" spans="1:26" ht="24.95" hidden="1" customHeight="1" x14ac:dyDescent="0.4">
      <c r="A625" s="17" t="s">
        <v>57</v>
      </c>
      <c r="B625" s="15" t="s">
        <v>317</v>
      </c>
      <c r="C625" s="16" t="s">
        <v>24</v>
      </c>
      <c r="D625" s="16" t="s">
        <v>31</v>
      </c>
      <c r="E625" s="15" t="s">
        <v>35</v>
      </c>
      <c r="F625" s="15" t="s">
        <v>314</v>
      </c>
      <c r="N625" s="21" t="s">
        <v>96</v>
      </c>
      <c r="O625" s="21" t="s">
        <v>337</v>
      </c>
      <c r="Q625" s="21" t="s">
        <v>344</v>
      </c>
      <c r="R625" s="22">
        <v>45756</v>
      </c>
      <c r="W625">
        <f>COUNTIF(対面共同!U:U,B625)</f>
        <v>0</v>
      </c>
    </row>
    <row r="626" spans="1:26" ht="24.95" hidden="1" customHeight="1" x14ac:dyDescent="0.4">
      <c r="A626" s="17" t="s">
        <v>57</v>
      </c>
      <c r="B626" s="50" t="s">
        <v>364</v>
      </c>
      <c r="C626" s="16" t="s">
        <v>24</v>
      </c>
      <c r="D626" s="16" t="s">
        <v>31</v>
      </c>
      <c r="E626" s="15" t="s">
        <v>35</v>
      </c>
      <c r="F626" s="15" t="s">
        <v>365</v>
      </c>
      <c r="N626" s="21" t="s">
        <v>96</v>
      </c>
      <c r="O626" s="21" t="s">
        <v>372</v>
      </c>
      <c r="Q626" s="21" t="s">
        <v>344</v>
      </c>
      <c r="R626" s="22">
        <v>45883</v>
      </c>
      <c r="W626">
        <f>COUNTIF(対面共同!U:U,B626)</f>
        <v>0</v>
      </c>
    </row>
    <row r="627" spans="1:26" ht="24.95" hidden="1" customHeight="1" x14ac:dyDescent="0.4">
      <c r="A627" s="17" t="s">
        <v>57</v>
      </c>
      <c r="B627" s="15" t="s">
        <v>355</v>
      </c>
      <c r="C627" s="16" t="s">
        <v>31</v>
      </c>
      <c r="D627" s="16" t="s">
        <v>31</v>
      </c>
      <c r="E627" s="15" t="s">
        <v>32</v>
      </c>
      <c r="F627" s="15" t="s">
        <v>356</v>
      </c>
      <c r="N627" s="21" t="s">
        <v>96</v>
      </c>
      <c r="O627" s="21" t="s">
        <v>360</v>
      </c>
      <c r="Q627" s="21" t="s">
        <v>344</v>
      </c>
      <c r="R627" s="22">
        <v>45847</v>
      </c>
      <c r="W627">
        <f>COUNTIF(対面共同!U:U,B627)</f>
        <v>1</v>
      </c>
    </row>
    <row r="628" spans="1:26" ht="24.95" hidden="1" customHeight="1" x14ac:dyDescent="0.4">
      <c r="A628" s="17" t="s">
        <v>57</v>
      </c>
      <c r="B628" s="15" t="s">
        <v>171</v>
      </c>
      <c r="C628" s="16" t="s">
        <v>31</v>
      </c>
      <c r="D628" s="16" t="s">
        <v>31</v>
      </c>
      <c r="E628" s="15" t="s">
        <v>32</v>
      </c>
      <c r="F628" s="15" t="s">
        <v>314</v>
      </c>
      <c r="N628" s="21" t="s">
        <v>96</v>
      </c>
      <c r="O628" s="21" t="s">
        <v>336</v>
      </c>
      <c r="Q628" s="21" t="s">
        <v>344</v>
      </c>
      <c r="R628" s="22">
        <v>45756</v>
      </c>
      <c r="W628">
        <f>COUNTIF(対面共同!U:U,B628)</f>
        <v>0</v>
      </c>
    </row>
    <row r="629" spans="1:26" ht="24.95" hidden="1" customHeight="1" x14ac:dyDescent="0.4">
      <c r="A629" s="17" t="s">
        <v>57</v>
      </c>
      <c r="B629" s="15" t="s">
        <v>123</v>
      </c>
      <c r="C629" s="16" t="s">
        <v>31</v>
      </c>
      <c r="D629" s="16" t="s">
        <v>31</v>
      </c>
      <c r="E629" s="15" t="s">
        <v>32</v>
      </c>
      <c r="F629" s="15" t="s">
        <v>184</v>
      </c>
      <c r="N629" s="21" t="s">
        <v>96</v>
      </c>
      <c r="O629" s="21" t="s">
        <v>337</v>
      </c>
      <c r="Q629" s="21" t="s">
        <v>344</v>
      </c>
      <c r="R629" s="22">
        <v>45814</v>
      </c>
      <c r="W629">
        <f>COUNTIF(対面共同!U:U,B629)</f>
        <v>0</v>
      </c>
    </row>
    <row r="630" spans="1:26" ht="24.95" hidden="1" customHeight="1" x14ac:dyDescent="0.4">
      <c r="A630" s="17" t="s">
        <v>57</v>
      </c>
      <c r="B630" s="15" t="s">
        <v>37</v>
      </c>
      <c r="C630" s="16" t="s">
        <v>31</v>
      </c>
      <c r="D630" s="16" t="s">
        <v>31</v>
      </c>
      <c r="E630" s="15" t="s">
        <v>32</v>
      </c>
      <c r="F630" s="15" t="s">
        <v>314</v>
      </c>
      <c r="N630" s="21" t="s">
        <v>96</v>
      </c>
      <c r="O630" s="13" t="s">
        <v>349</v>
      </c>
      <c r="Q630" s="21" t="s">
        <v>344</v>
      </c>
      <c r="R630" s="22">
        <v>45814</v>
      </c>
      <c r="W630">
        <f>COUNTIF(対面共同!U:U,B630)</f>
        <v>1</v>
      </c>
      <c r="Z630" t="s">
        <v>432</v>
      </c>
    </row>
    <row r="631" spans="1:26" ht="24.95" hidden="1" customHeight="1" x14ac:dyDescent="0.4">
      <c r="A631" s="17" t="s">
        <v>57</v>
      </c>
      <c r="B631" s="15" t="s">
        <v>225</v>
      </c>
      <c r="C631" s="16" t="s">
        <v>31</v>
      </c>
      <c r="D631" s="16" t="s">
        <v>31</v>
      </c>
      <c r="E631" s="15" t="s">
        <v>32</v>
      </c>
      <c r="F631" s="15" t="s">
        <v>314</v>
      </c>
      <c r="N631" s="21" t="s">
        <v>96</v>
      </c>
      <c r="O631" s="21" t="s">
        <v>336</v>
      </c>
      <c r="Q631" s="21" t="s">
        <v>344</v>
      </c>
      <c r="R631" s="22">
        <v>45756</v>
      </c>
      <c r="W631">
        <f>COUNTIF(対面共同!U:U,B631)</f>
        <v>0</v>
      </c>
    </row>
    <row r="632" spans="1:26" ht="24.95" hidden="1" customHeight="1" x14ac:dyDescent="0.4">
      <c r="A632" s="17" t="s">
        <v>57</v>
      </c>
      <c r="B632" s="15" t="s">
        <v>117</v>
      </c>
      <c r="C632" s="16" t="s">
        <v>31</v>
      </c>
      <c r="D632" s="16" t="s">
        <v>31</v>
      </c>
      <c r="E632" s="15" t="s">
        <v>32</v>
      </c>
      <c r="F632" s="15" t="s">
        <v>356</v>
      </c>
      <c r="N632" s="21" t="s">
        <v>96</v>
      </c>
      <c r="O632" s="21" t="s">
        <v>360</v>
      </c>
      <c r="Q632" s="21" t="s">
        <v>344</v>
      </c>
      <c r="R632" s="22">
        <v>45847</v>
      </c>
      <c r="W632">
        <f>COUNTIF(対面共同!U:U,B632)</f>
        <v>0</v>
      </c>
    </row>
    <row r="633" spans="1:26" ht="24.95" hidden="1" customHeight="1" x14ac:dyDescent="0.4">
      <c r="A633" s="17" t="s">
        <v>57</v>
      </c>
      <c r="B633" s="15" t="s">
        <v>126</v>
      </c>
      <c r="C633" s="16" t="s">
        <v>31</v>
      </c>
      <c r="D633" s="16" t="s">
        <v>31</v>
      </c>
      <c r="E633" s="15" t="s">
        <v>32</v>
      </c>
      <c r="F633" s="15" t="s">
        <v>365</v>
      </c>
      <c r="N633" s="21" t="s">
        <v>374</v>
      </c>
      <c r="O633" s="21" t="s">
        <v>373</v>
      </c>
      <c r="Q633" s="21" t="s">
        <v>344</v>
      </c>
      <c r="R633" s="22">
        <v>45883</v>
      </c>
      <c r="W633">
        <f>COUNTIF(対面共同!U:U,B633)</f>
        <v>0</v>
      </c>
    </row>
    <row r="634" spans="1:26" ht="24.95" hidden="1" customHeight="1" x14ac:dyDescent="0.4">
      <c r="A634" s="17" t="s">
        <v>57</v>
      </c>
      <c r="B634" s="15" t="s">
        <v>226</v>
      </c>
      <c r="C634" s="16" t="s">
        <v>31</v>
      </c>
      <c r="D634" s="16" t="s">
        <v>31</v>
      </c>
      <c r="E634" s="15" t="s">
        <v>32</v>
      </c>
      <c r="F634" s="15" t="s">
        <v>314</v>
      </c>
      <c r="N634" s="21" t="s">
        <v>96</v>
      </c>
      <c r="O634" s="21" t="s">
        <v>336</v>
      </c>
      <c r="Q634" s="21" t="s">
        <v>344</v>
      </c>
      <c r="R634" s="22">
        <v>45756</v>
      </c>
      <c r="W634">
        <f>COUNTIF(対面共同!U:U,B634)</f>
        <v>0</v>
      </c>
    </row>
    <row r="635" spans="1:26" ht="24.95" hidden="1" customHeight="1" x14ac:dyDescent="0.4">
      <c r="A635" s="17" t="s">
        <v>57</v>
      </c>
      <c r="B635" s="15" t="s">
        <v>318</v>
      </c>
      <c r="C635" s="16" t="s">
        <v>31</v>
      </c>
      <c r="D635" s="16" t="s">
        <v>31</v>
      </c>
      <c r="E635" s="15" t="s">
        <v>32</v>
      </c>
      <c r="F635" s="15" t="s">
        <v>314</v>
      </c>
      <c r="N635" s="21" t="s">
        <v>96</v>
      </c>
      <c r="O635" s="21" t="s">
        <v>337</v>
      </c>
      <c r="Q635" s="21" t="s">
        <v>344</v>
      </c>
      <c r="R635" s="22">
        <v>45756</v>
      </c>
      <c r="W635">
        <f>COUNTIF(対面共同!U:U,B635)</f>
        <v>0</v>
      </c>
    </row>
    <row r="636" spans="1:26" ht="24.95" hidden="1" customHeight="1" x14ac:dyDescent="0.4">
      <c r="A636" s="17" t="s">
        <v>57</v>
      </c>
      <c r="B636" s="15" t="s">
        <v>118</v>
      </c>
      <c r="C636" s="16" t="s">
        <v>31</v>
      </c>
      <c r="D636" s="16" t="s">
        <v>31</v>
      </c>
      <c r="E636" s="15" t="s">
        <v>32</v>
      </c>
      <c r="F636" s="15" t="s">
        <v>314</v>
      </c>
      <c r="N636" s="21" t="s">
        <v>96</v>
      </c>
      <c r="O636" s="21" t="s">
        <v>337</v>
      </c>
      <c r="Q636" s="21" t="s">
        <v>344</v>
      </c>
      <c r="R636" s="22">
        <v>45756</v>
      </c>
      <c r="W636">
        <f>COUNTIF(対面共同!U:U,B636)</f>
        <v>0</v>
      </c>
    </row>
    <row r="637" spans="1:26" ht="24.95" hidden="1" customHeight="1" x14ac:dyDescent="0.4">
      <c r="A637" s="17" t="s">
        <v>57</v>
      </c>
      <c r="B637" s="15" t="s">
        <v>319</v>
      </c>
      <c r="C637" s="16" t="s">
        <v>31</v>
      </c>
      <c r="D637" s="16" t="s">
        <v>31</v>
      </c>
      <c r="E637" s="15" t="s">
        <v>32</v>
      </c>
      <c r="F637" s="15" t="s">
        <v>314</v>
      </c>
      <c r="N637" s="21" t="s">
        <v>96</v>
      </c>
      <c r="O637" s="21" t="s">
        <v>337</v>
      </c>
      <c r="Q637" s="21" t="s">
        <v>344</v>
      </c>
      <c r="R637" s="22">
        <v>45756</v>
      </c>
      <c r="W637">
        <f>COUNTIF(対面共同!U:U,B637)</f>
        <v>0</v>
      </c>
    </row>
    <row r="638" spans="1:26" ht="24.95" hidden="1" customHeight="1" x14ac:dyDescent="0.4">
      <c r="A638" s="17" t="s">
        <v>57</v>
      </c>
      <c r="B638" s="15" t="s">
        <v>227</v>
      </c>
      <c r="C638" s="16" t="s">
        <v>31</v>
      </c>
      <c r="D638" s="16" t="s">
        <v>31</v>
      </c>
      <c r="E638" s="15" t="s">
        <v>32</v>
      </c>
      <c r="F638" s="15" t="s">
        <v>314</v>
      </c>
      <c r="N638" s="21" t="s">
        <v>96</v>
      </c>
      <c r="O638" s="21" t="s">
        <v>336</v>
      </c>
      <c r="Q638" s="21" t="s">
        <v>344</v>
      </c>
      <c r="R638" s="22">
        <v>45756</v>
      </c>
      <c r="W638">
        <f>COUNTIF(対面共同!U:U,B638)</f>
        <v>0</v>
      </c>
    </row>
    <row r="639" spans="1:26" ht="24.95" hidden="1" customHeight="1" x14ac:dyDescent="0.4">
      <c r="A639" s="17" t="s">
        <v>57</v>
      </c>
      <c r="B639" s="15" t="s">
        <v>228</v>
      </c>
      <c r="C639" s="16" t="s">
        <v>31</v>
      </c>
      <c r="D639" s="16" t="s">
        <v>31</v>
      </c>
      <c r="E639" s="15" t="s">
        <v>32</v>
      </c>
      <c r="F639" s="15" t="s">
        <v>314</v>
      </c>
      <c r="N639" s="21" t="s">
        <v>96</v>
      </c>
      <c r="O639" s="21" t="s">
        <v>336</v>
      </c>
      <c r="Q639" s="21" t="s">
        <v>344</v>
      </c>
      <c r="R639" s="22">
        <v>45756</v>
      </c>
      <c r="W639">
        <f>COUNTIF(対面共同!U:U,B639)</f>
        <v>0</v>
      </c>
    </row>
    <row r="640" spans="1:26" ht="24.95" hidden="1" customHeight="1" x14ac:dyDescent="0.4">
      <c r="A640" s="17" t="s">
        <v>57</v>
      </c>
      <c r="B640" s="15" t="s">
        <v>229</v>
      </c>
      <c r="C640" s="16" t="s">
        <v>31</v>
      </c>
      <c r="D640" s="16" t="s">
        <v>31</v>
      </c>
      <c r="E640" s="15" t="s">
        <v>32</v>
      </c>
      <c r="F640" s="15" t="s">
        <v>314</v>
      </c>
      <c r="N640" s="21" t="s">
        <v>96</v>
      </c>
      <c r="O640" s="21" t="s">
        <v>336</v>
      </c>
      <c r="Q640" s="21" t="s">
        <v>344</v>
      </c>
      <c r="R640" s="22">
        <v>45756</v>
      </c>
      <c r="W640">
        <f>COUNTIF(対面共同!U:U,B640)</f>
        <v>0</v>
      </c>
    </row>
    <row r="641" spans="1:23" ht="24.95" hidden="1" customHeight="1" x14ac:dyDescent="0.4">
      <c r="A641" s="17" t="s">
        <v>57</v>
      </c>
      <c r="B641" s="15" t="s">
        <v>230</v>
      </c>
      <c r="C641" s="16" t="s">
        <v>31</v>
      </c>
      <c r="D641" s="16" t="s">
        <v>31</v>
      </c>
      <c r="E641" s="15" t="s">
        <v>32</v>
      </c>
      <c r="F641" s="15" t="s">
        <v>314</v>
      </c>
      <c r="N641" s="21" t="s">
        <v>96</v>
      </c>
      <c r="O641" s="21" t="s">
        <v>336</v>
      </c>
      <c r="Q641" s="21" t="s">
        <v>344</v>
      </c>
      <c r="R641" s="22">
        <v>45756</v>
      </c>
      <c r="W641">
        <f>COUNTIF(対面共同!U:U,B641)</f>
        <v>0</v>
      </c>
    </row>
    <row r="642" spans="1:23" ht="24.95" hidden="1" customHeight="1" x14ac:dyDescent="0.4">
      <c r="A642" s="17" t="s">
        <v>57</v>
      </c>
      <c r="B642" s="15" t="s">
        <v>231</v>
      </c>
      <c r="C642" s="16" t="s">
        <v>31</v>
      </c>
      <c r="D642" s="16" t="s">
        <v>31</v>
      </c>
      <c r="E642" s="15" t="s">
        <v>32</v>
      </c>
      <c r="F642" s="15" t="s">
        <v>314</v>
      </c>
      <c r="N642" s="21" t="s">
        <v>96</v>
      </c>
      <c r="O642" s="21" t="s">
        <v>336</v>
      </c>
      <c r="Q642" s="21" t="s">
        <v>344</v>
      </c>
      <c r="R642" s="22">
        <v>45756</v>
      </c>
      <c r="W642">
        <f>COUNTIF(対面共同!U:U,B642)</f>
        <v>0</v>
      </c>
    </row>
    <row r="643" spans="1:23" ht="24.95" hidden="1" customHeight="1" x14ac:dyDescent="0.4">
      <c r="A643" s="17" t="s">
        <v>57</v>
      </c>
      <c r="B643" s="15" t="s">
        <v>232</v>
      </c>
      <c r="C643" s="16" t="s">
        <v>31</v>
      </c>
      <c r="D643" s="16" t="s">
        <v>31</v>
      </c>
      <c r="E643" s="15" t="s">
        <v>32</v>
      </c>
      <c r="F643" s="15" t="s">
        <v>314</v>
      </c>
      <c r="N643" s="21" t="s">
        <v>96</v>
      </c>
      <c r="O643" s="21" t="s">
        <v>336</v>
      </c>
      <c r="Q643" s="21" t="s">
        <v>344</v>
      </c>
      <c r="R643" s="22">
        <v>45756</v>
      </c>
      <c r="W643">
        <f>COUNTIF(対面共同!U:U,B643)</f>
        <v>0</v>
      </c>
    </row>
    <row r="644" spans="1:23" ht="24.95" hidden="1" customHeight="1" x14ac:dyDescent="0.4">
      <c r="A644" s="17" t="s">
        <v>57</v>
      </c>
      <c r="B644" s="15" t="s">
        <v>233</v>
      </c>
      <c r="C644" s="16" t="s">
        <v>31</v>
      </c>
      <c r="D644" s="16" t="s">
        <v>31</v>
      </c>
      <c r="E644" s="15" t="s">
        <v>32</v>
      </c>
      <c r="F644" s="15" t="s">
        <v>314</v>
      </c>
      <c r="N644" s="21" t="s">
        <v>96</v>
      </c>
      <c r="O644" s="21" t="s">
        <v>336</v>
      </c>
      <c r="Q644" s="21" t="s">
        <v>344</v>
      </c>
      <c r="R644" s="22">
        <v>45756</v>
      </c>
      <c r="W644">
        <f>COUNTIF(対面共同!U:U,B644)</f>
        <v>0</v>
      </c>
    </row>
    <row r="645" spans="1:23" ht="24.95" hidden="1" customHeight="1" x14ac:dyDescent="0.4">
      <c r="A645" s="17" t="s">
        <v>57</v>
      </c>
      <c r="B645" s="15" t="s">
        <v>234</v>
      </c>
      <c r="C645" s="16" t="s">
        <v>31</v>
      </c>
      <c r="D645" s="16" t="s">
        <v>31</v>
      </c>
      <c r="E645" s="15" t="s">
        <v>32</v>
      </c>
      <c r="F645" s="15" t="s">
        <v>314</v>
      </c>
      <c r="N645" s="21" t="s">
        <v>96</v>
      </c>
      <c r="O645" s="21" t="s">
        <v>336</v>
      </c>
      <c r="Q645" s="21" t="s">
        <v>344</v>
      </c>
      <c r="R645" s="22">
        <v>45756</v>
      </c>
      <c r="W645">
        <f>COUNTIF(対面共同!U:U,B645)</f>
        <v>0</v>
      </c>
    </row>
    <row r="646" spans="1:23" ht="24.95" hidden="1" customHeight="1" x14ac:dyDescent="0.4">
      <c r="A646" s="17" t="s">
        <v>57</v>
      </c>
      <c r="B646" s="15" t="s">
        <v>235</v>
      </c>
      <c r="C646" s="16" t="s">
        <v>31</v>
      </c>
      <c r="D646" s="16" t="s">
        <v>31</v>
      </c>
      <c r="E646" s="15" t="s">
        <v>32</v>
      </c>
      <c r="F646" s="15" t="s">
        <v>314</v>
      </c>
      <c r="N646" s="21" t="s">
        <v>96</v>
      </c>
      <c r="O646" s="21" t="s">
        <v>336</v>
      </c>
      <c r="Q646" s="21" t="s">
        <v>344</v>
      </c>
      <c r="R646" s="22">
        <v>45756</v>
      </c>
      <c r="W646">
        <f>COUNTIF(対面共同!U:U,B646)</f>
        <v>0</v>
      </c>
    </row>
    <row r="647" spans="1:23" ht="24.95" hidden="1" customHeight="1" x14ac:dyDescent="0.4">
      <c r="A647" s="17" t="s">
        <v>57</v>
      </c>
      <c r="B647" s="15" t="s">
        <v>236</v>
      </c>
      <c r="C647" s="16" t="s">
        <v>31</v>
      </c>
      <c r="D647" s="16" t="s">
        <v>31</v>
      </c>
      <c r="E647" s="15" t="s">
        <v>32</v>
      </c>
      <c r="F647" s="15" t="s">
        <v>314</v>
      </c>
      <c r="N647" s="21" t="s">
        <v>96</v>
      </c>
      <c r="O647" s="21" t="s">
        <v>336</v>
      </c>
      <c r="Q647" s="21" t="s">
        <v>344</v>
      </c>
      <c r="R647" s="22">
        <v>45756</v>
      </c>
      <c r="W647">
        <f>COUNTIF(対面共同!U:U,B647)</f>
        <v>0</v>
      </c>
    </row>
    <row r="648" spans="1:23" ht="24.95" hidden="1" customHeight="1" x14ac:dyDescent="0.4">
      <c r="A648" s="17" t="s">
        <v>57</v>
      </c>
      <c r="B648" s="15" t="s">
        <v>237</v>
      </c>
      <c r="C648" s="16" t="s">
        <v>31</v>
      </c>
      <c r="D648" s="16" t="s">
        <v>31</v>
      </c>
      <c r="E648" s="15" t="s">
        <v>32</v>
      </c>
      <c r="F648" s="15" t="s">
        <v>314</v>
      </c>
      <c r="N648" s="21" t="s">
        <v>96</v>
      </c>
      <c r="O648" s="21" t="s">
        <v>336</v>
      </c>
      <c r="Q648" s="21" t="s">
        <v>344</v>
      </c>
      <c r="R648" s="22">
        <v>45756</v>
      </c>
      <c r="W648">
        <f>COUNTIF(対面共同!U:U,B648)</f>
        <v>0</v>
      </c>
    </row>
    <row r="649" spans="1:23" ht="24.95" hidden="1" customHeight="1" x14ac:dyDescent="0.4">
      <c r="A649" s="17" t="s">
        <v>57</v>
      </c>
      <c r="B649" s="15" t="s">
        <v>346</v>
      </c>
      <c r="C649" s="16" t="s">
        <v>31</v>
      </c>
      <c r="D649" s="16" t="s">
        <v>31</v>
      </c>
      <c r="E649" s="15" t="s">
        <v>32</v>
      </c>
      <c r="F649" s="15" t="s">
        <v>356</v>
      </c>
      <c r="N649" s="21" t="s">
        <v>96</v>
      </c>
      <c r="O649" s="21" t="s">
        <v>360</v>
      </c>
      <c r="Q649" s="21" t="s">
        <v>344</v>
      </c>
      <c r="R649" s="22">
        <v>45847</v>
      </c>
      <c r="W649">
        <f>COUNTIF(対面共同!U:U,B649)</f>
        <v>0</v>
      </c>
    </row>
    <row r="650" spans="1:23" ht="24.95" hidden="1" customHeight="1" x14ac:dyDescent="0.4">
      <c r="A650" s="17" t="s">
        <v>57</v>
      </c>
      <c r="B650" s="15" t="s">
        <v>357</v>
      </c>
      <c r="C650" s="16" t="s">
        <v>31</v>
      </c>
      <c r="D650" s="16" t="s">
        <v>31</v>
      </c>
      <c r="E650" s="15" t="s">
        <v>32</v>
      </c>
      <c r="F650" s="15" t="s">
        <v>356</v>
      </c>
      <c r="N650" s="21" t="s">
        <v>96</v>
      </c>
      <c r="O650" s="21" t="s">
        <v>360</v>
      </c>
      <c r="Q650" s="21" t="s">
        <v>344</v>
      </c>
      <c r="R650" s="22">
        <v>45847</v>
      </c>
      <c r="W650">
        <f>COUNTIF(対面共同!U:U,B650)</f>
        <v>0</v>
      </c>
    </row>
    <row r="651" spans="1:23" ht="24.95" hidden="1" customHeight="1" x14ac:dyDescent="0.4">
      <c r="A651" s="17" t="s">
        <v>57</v>
      </c>
      <c r="B651" s="15" t="s">
        <v>347</v>
      </c>
      <c r="C651" s="16" t="s">
        <v>31</v>
      </c>
      <c r="D651" s="16" t="s">
        <v>31</v>
      </c>
      <c r="E651" s="15" t="s">
        <v>32</v>
      </c>
      <c r="F651" s="15" t="s">
        <v>356</v>
      </c>
      <c r="N651" s="21" t="s">
        <v>96</v>
      </c>
      <c r="O651" s="21" t="s">
        <v>360</v>
      </c>
      <c r="Q651" s="21" t="s">
        <v>344</v>
      </c>
      <c r="R651" s="22">
        <v>45847</v>
      </c>
      <c r="W651">
        <f>COUNTIF(対面共同!U:U,B651)</f>
        <v>0</v>
      </c>
    </row>
    <row r="652" spans="1:23" ht="24.95" hidden="1" customHeight="1" x14ac:dyDescent="0.4">
      <c r="A652" s="17" t="s">
        <v>57</v>
      </c>
      <c r="B652" s="15" t="s">
        <v>320</v>
      </c>
      <c r="C652" s="16" t="s">
        <v>31</v>
      </c>
      <c r="D652" s="16" t="s">
        <v>31</v>
      </c>
      <c r="E652" s="15" t="s">
        <v>32</v>
      </c>
      <c r="F652" s="15" t="s">
        <v>314</v>
      </c>
      <c r="N652" s="21" t="s">
        <v>96</v>
      </c>
      <c r="O652" s="21" t="s">
        <v>337</v>
      </c>
      <c r="Q652" s="21" t="s">
        <v>344</v>
      </c>
      <c r="R652" s="22">
        <v>45756</v>
      </c>
      <c r="W652">
        <f>COUNTIF(対面共同!U:U,B652)</f>
        <v>0</v>
      </c>
    </row>
    <row r="653" spans="1:23" ht="24.95" hidden="1" customHeight="1" x14ac:dyDescent="0.4">
      <c r="A653" s="17" t="s">
        <v>57</v>
      </c>
      <c r="B653" s="15" t="s">
        <v>132</v>
      </c>
      <c r="C653" s="16" t="s">
        <v>31</v>
      </c>
      <c r="D653" s="16" t="s">
        <v>31</v>
      </c>
      <c r="E653" s="15" t="s">
        <v>32</v>
      </c>
      <c r="F653" s="15" t="s">
        <v>314</v>
      </c>
      <c r="N653" s="21" t="s">
        <v>96</v>
      </c>
      <c r="O653" s="21" t="s">
        <v>337</v>
      </c>
      <c r="Q653" s="21" t="s">
        <v>344</v>
      </c>
      <c r="R653" s="22">
        <v>45756</v>
      </c>
      <c r="W653">
        <f>COUNTIF(対面共同!U:U,B653)</f>
        <v>0</v>
      </c>
    </row>
    <row r="654" spans="1:23" ht="24.95" hidden="1" customHeight="1" x14ac:dyDescent="0.4">
      <c r="A654" s="17" t="s">
        <v>57</v>
      </c>
      <c r="B654" s="15" t="s">
        <v>321</v>
      </c>
      <c r="C654" s="16" t="s">
        <v>24</v>
      </c>
      <c r="D654" s="16" t="s">
        <v>31</v>
      </c>
      <c r="E654" s="15" t="s">
        <v>35</v>
      </c>
      <c r="F654" s="15" t="s">
        <v>314</v>
      </c>
      <c r="N654" s="21" t="s">
        <v>96</v>
      </c>
      <c r="O654" s="21" t="s">
        <v>337</v>
      </c>
      <c r="Q654" s="21" t="s">
        <v>344</v>
      </c>
      <c r="R654" s="22">
        <v>45756</v>
      </c>
      <c r="W654">
        <f>COUNTIF(対面共同!U:U,B654)</f>
        <v>0</v>
      </c>
    </row>
    <row r="655" spans="1:23" ht="24.95" hidden="1" customHeight="1" x14ac:dyDescent="0.4">
      <c r="A655" s="17" t="s">
        <v>57</v>
      </c>
      <c r="B655" s="15" t="s">
        <v>322</v>
      </c>
      <c r="C655" s="16" t="s">
        <v>24</v>
      </c>
      <c r="D655" s="16" t="s">
        <v>31</v>
      </c>
      <c r="E655" s="15" t="s">
        <v>35</v>
      </c>
      <c r="F655" s="15" t="s">
        <v>314</v>
      </c>
      <c r="N655" s="21" t="s">
        <v>96</v>
      </c>
      <c r="O655" s="21" t="s">
        <v>337</v>
      </c>
      <c r="Q655" s="21" t="s">
        <v>344</v>
      </c>
      <c r="R655" s="22">
        <v>45756</v>
      </c>
      <c r="W655">
        <f>COUNTIF(対面共同!U:U,B655)</f>
        <v>0</v>
      </c>
    </row>
    <row r="656" spans="1:23" ht="24.95" hidden="1" customHeight="1" x14ac:dyDescent="0.4">
      <c r="A656" s="17" t="s">
        <v>57</v>
      </c>
      <c r="B656" s="15" t="s">
        <v>323</v>
      </c>
      <c r="C656" s="16" t="s">
        <v>24</v>
      </c>
      <c r="D656" s="16" t="s">
        <v>31</v>
      </c>
      <c r="E656" s="15" t="s">
        <v>35</v>
      </c>
      <c r="F656" s="15" t="s">
        <v>314</v>
      </c>
      <c r="N656" s="21" t="s">
        <v>96</v>
      </c>
      <c r="O656" s="21" t="s">
        <v>337</v>
      </c>
      <c r="Q656" s="21" t="s">
        <v>344</v>
      </c>
      <c r="R656" s="22">
        <v>45756</v>
      </c>
      <c r="W656">
        <f>COUNTIF(対面共同!U:U,B656)</f>
        <v>0</v>
      </c>
    </row>
    <row r="657" spans="1:23" ht="24.95" hidden="1" customHeight="1" x14ac:dyDescent="0.4">
      <c r="A657" s="17" t="s">
        <v>57</v>
      </c>
      <c r="B657" s="15" t="s">
        <v>238</v>
      </c>
      <c r="C657" s="16" t="s">
        <v>31</v>
      </c>
      <c r="D657" s="16" t="s">
        <v>31</v>
      </c>
      <c r="E657" s="15" t="s">
        <v>32</v>
      </c>
      <c r="F657" s="15" t="s">
        <v>314</v>
      </c>
      <c r="N657" s="21" t="s">
        <v>96</v>
      </c>
      <c r="O657" s="21" t="s">
        <v>336</v>
      </c>
      <c r="Q657" s="21" t="s">
        <v>344</v>
      </c>
      <c r="R657" s="22">
        <v>45756</v>
      </c>
      <c r="W657">
        <f>COUNTIF(対面共同!U:U,B657)</f>
        <v>0</v>
      </c>
    </row>
    <row r="658" spans="1:23" ht="24.95" hidden="1" customHeight="1" x14ac:dyDescent="0.4">
      <c r="A658" s="17" t="s">
        <v>57</v>
      </c>
      <c r="B658" s="15" t="s">
        <v>239</v>
      </c>
      <c r="C658" s="16" t="s">
        <v>31</v>
      </c>
      <c r="D658" s="16" t="s">
        <v>31</v>
      </c>
      <c r="E658" s="15" t="s">
        <v>32</v>
      </c>
      <c r="F658" s="15" t="s">
        <v>314</v>
      </c>
      <c r="N658" s="21" t="s">
        <v>96</v>
      </c>
      <c r="O658" s="21" t="s">
        <v>336</v>
      </c>
      <c r="Q658" s="21" t="s">
        <v>344</v>
      </c>
      <c r="R658" s="22">
        <v>45756</v>
      </c>
      <c r="W658">
        <f>COUNTIF(対面共同!U:U,B658)</f>
        <v>0</v>
      </c>
    </row>
    <row r="659" spans="1:23" ht="24.95" hidden="1" customHeight="1" x14ac:dyDescent="0.4">
      <c r="A659" s="17" t="s">
        <v>57</v>
      </c>
      <c r="B659" s="15" t="s">
        <v>240</v>
      </c>
      <c r="C659" s="16" t="s">
        <v>31</v>
      </c>
      <c r="D659" s="16" t="s">
        <v>31</v>
      </c>
      <c r="E659" s="15" t="s">
        <v>32</v>
      </c>
      <c r="F659" s="15" t="s">
        <v>314</v>
      </c>
      <c r="N659" s="21" t="s">
        <v>96</v>
      </c>
      <c r="O659" s="21" t="s">
        <v>336</v>
      </c>
      <c r="Q659" s="21" t="s">
        <v>344</v>
      </c>
      <c r="R659" s="22">
        <v>45756</v>
      </c>
      <c r="W659">
        <f>COUNTIF(対面共同!U:U,B659)</f>
        <v>0</v>
      </c>
    </row>
    <row r="660" spans="1:23" ht="24.95" hidden="1" customHeight="1" x14ac:dyDescent="0.4">
      <c r="A660" s="17" t="s">
        <v>57</v>
      </c>
      <c r="B660" s="15" t="s">
        <v>241</v>
      </c>
      <c r="C660" s="16" t="s">
        <v>31</v>
      </c>
      <c r="D660" s="16" t="s">
        <v>31</v>
      </c>
      <c r="E660" s="15" t="s">
        <v>32</v>
      </c>
      <c r="F660" s="15" t="s">
        <v>314</v>
      </c>
      <c r="N660" s="21" t="s">
        <v>96</v>
      </c>
      <c r="O660" s="21" t="s">
        <v>336</v>
      </c>
      <c r="Q660" s="21" t="s">
        <v>344</v>
      </c>
      <c r="R660" s="22">
        <v>45756</v>
      </c>
      <c r="W660">
        <f>COUNTIF(対面共同!U:U,B660)</f>
        <v>0</v>
      </c>
    </row>
    <row r="661" spans="1:23" ht="24.95" hidden="1" customHeight="1" x14ac:dyDescent="0.4">
      <c r="A661" s="17" t="s">
        <v>57</v>
      </c>
      <c r="B661" s="15" t="s">
        <v>242</v>
      </c>
      <c r="C661" s="16" t="s">
        <v>31</v>
      </c>
      <c r="D661" s="16" t="s">
        <v>31</v>
      </c>
      <c r="E661" s="15" t="s">
        <v>32</v>
      </c>
      <c r="F661" s="15" t="s">
        <v>314</v>
      </c>
      <c r="N661" s="21" t="s">
        <v>96</v>
      </c>
      <c r="O661" s="21" t="s">
        <v>336</v>
      </c>
      <c r="Q661" s="21" t="s">
        <v>344</v>
      </c>
      <c r="R661" s="22">
        <v>45756</v>
      </c>
      <c r="W661">
        <f>COUNTIF(対面共同!U:U,B661)</f>
        <v>0</v>
      </c>
    </row>
    <row r="662" spans="1:23" ht="24.95" hidden="1" customHeight="1" x14ac:dyDescent="0.4">
      <c r="A662" s="17" t="s">
        <v>57</v>
      </c>
      <c r="B662" s="15" t="s">
        <v>243</v>
      </c>
      <c r="C662" s="16" t="s">
        <v>31</v>
      </c>
      <c r="D662" s="16" t="s">
        <v>31</v>
      </c>
      <c r="E662" s="15" t="s">
        <v>32</v>
      </c>
      <c r="F662" s="15" t="s">
        <v>314</v>
      </c>
      <c r="N662" s="21" t="s">
        <v>96</v>
      </c>
      <c r="O662" s="21" t="s">
        <v>336</v>
      </c>
      <c r="Q662" s="21" t="s">
        <v>344</v>
      </c>
      <c r="R662" s="22">
        <v>45756</v>
      </c>
      <c r="W662">
        <f>COUNTIF(対面共同!U:U,B662)</f>
        <v>0</v>
      </c>
    </row>
    <row r="663" spans="1:23" ht="24.95" hidden="1" customHeight="1" x14ac:dyDescent="0.4">
      <c r="A663" s="17" t="s">
        <v>57</v>
      </c>
      <c r="B663" s="15" t="s">
        <v>244</v>
      </c>
      <c r="C663" s="16" t="s">
        <v>31</v>
      </c>
      <c r="D663" s="16" t="s">
        <v>31</v>
      </c>
      <c r="E663" s="15" t="s">
        <v>32</v>
      </c>
      <c r="F663" s="15" t="s">
        <v>314</v>
      </c>
      <c r="N663" s="21" t="s">
        <v>96</v>
      </c>
      <c r="O663" s="21" t="s">
        <v>336</v>
      </c>
      <c r="Q663" s="21" t="s">
        <v>344</v>
      </c>
      <c r="R663" s="22">
        <v>45756</v>
      </c>
      <c r="W663">
        <f>COUNTIF(対面共同!U:U,B663)</f>
        <v>0</v>
      </c>
    </row>
    <row r="664" spans="1:23" ht="24.95" hidden="1" customHeight="1" x14ac:dyDescent="0.4">
      <c r="A664" s="17" t="s">
        <v>57</v>
      </c>
      <c r="B664" s="15" t="s">
        <v>245</v>
      </c>
      <c r="C664" s="16" t="s">
        <v>31</v>
      </c>
      <c r="D664" s="16" t="s">
        <v>31</v>
      </c>
      <c r="E664" s="15" t="s">
        <v>32</v>
      </c>
      <c r="F664" s="15" t="s">
        <v>314</v>
      </c>
      <c r="N664" s="21" t="s">
        <v>96</v>
      </c>
      <c r="O664" s="21" t="s">
        <v>336</v>
      </c>
      <c r="Q664" s="21" t="s">
        <v>344</v>
      </c>
      <c r="R664" s="22">
        <v>45756</v>
      </c>
      <c r="W664">
        <f>COUNTIF(対面共同!U:U,B664)</f>
        <v>0</v>
      </c>
    </row>
    <row r="665" spans="1:23" ht="24.95" hidden="1" customHeight="1" x14ac:dyDescent="0.4">
      <c r="A665" s="17" t="s">
        <v>57</v>
      </c>
      <c r="B665" s="15" t="s">
        <v>246</v>
      </c>
      <c r="C665" s="16" t="s">
        <v>31</v>
      </c>
      <c r="D665" s="16" t="s">
        <v>31</v>
      </c>
      <c r="E665" s="15" t="s">
        <v>32</v>
      </c>
      <c r="F665" s="15" t="s">
        <v>314</v>
      </c>
      <c r="N665" s="21" t="s">
        <v>96</v>
      </c>
      <c r="O665" s="21" t="s">
        <v>336</v>
      </c>
      <c r="Q665" s="21" t="s">
        <v>344</v>
      </c>
      <c r="R665" s="22">
        <v>45756</v>
      </c>
      <c r="W665">
        <f>COUNTIF(対面共同!U:U,B665)</f>
        <v>0</v>
      </c>
    </row>
    <row r="666" spans="1:23" ht="24.95" hidden="1" customHeight="1" x14ac:dyDescent="0.4">
      <c r="A666" s="17" t="s">
        <v>57</v>
      </c>
      <c r="B666" s="15" t="s">
        <v>247</v>
      </c>
      <c r="C666" s="16" t="s">
        <v>31</v>
      </c>
      <c r="D666" s="16" t="s">
        <v>31</v>
      </c>
      <c r="E666" s="15" t="s">
        <v>32</v>
      </c>
      <c r="F666" s="15" t="s">
        <v>314</v>
      </c>
      <c r="N666" s="21" t="s">
        <v>96</v>
      </c>
      <c r="O666" s="21" t="s">
        <v>336</v>
      </c>
      <c r="Q666" s="21" t="s">
        <v>344</v>
      </c>
      <c r="R666" s="22">
        <v>45756</v>
      </c>
      <c r="W666">
        <f>COUNTIF(対面共同!U:U,B666)</f>
        <v>0</v>
      </c>
    </row>
    <row r="667" spans="1:23" ht="24.95" hidden="1" customHeight="1" x14ac:dyDescent="0.4">
      <c r="A667" s="17" t="s">
        <v>57</v>
      </c>
      <c r="B667" s="15" t="s">
        <v>248</v>
      </c>
      <c r="C667" s="16" t="s">
        <v>31</v>
      </c>
      <c r="D667" s="16" t="s">
        <v>31</v>
      </c>
      <c r="E667" s="15" t="s">
        <v>32</v>
      </c>
      <c r="F667" s="15" t="s">
        <v>314</v>
      </c>
      <c r="N667" s="21" t="s">
        <v>96</v>
      </c>
      <c r="O667" s="21" t="s">
        <v>336</v>
      </c>
      <c r="Q667" s="21" t="s">
        <v>344</v>
      </c>
      <c r="R667" s="22">
        <v>45756</v>
      </c>
      <c r="W667">
        <f>COUNTIF(対面共同!U:U,B667)</f>
        <v>0</v>
      </c>
    </row>
    <row r="668" spans="1:23" ht="24.95" hidden="1" customHeight="1" x14ac:dyDescent="0.4">
      <c r="A668" s="17" t="s">
        <v>57</v>
      </c>
      <c r="B668" s="15" t="s">
        <v>249</v>
      </c>
      <c r="C668" s="16" t="s">
        <v>31</v>
      </c>
      <c r="D668" s="16" t="s">
        <v>31</v>
      </c>
      <c r="E668" s="15" t="s">
        <v>32</v>
      </c>
      <c r="F668" s="15" t="s">
        <v>314</v>
      </c>
      <c r="N668" s="21" t="s">
        <v>96</v>
      </c>
      <c r="O668" s="21" t="s">
        <v>336</v>
      </c>
      <c r="Q668" s="21" t="s">
        <v>344</v>
      </c>
      <c r="R668" s="22">
        <v>45756</v>
      </c>
      <c r="W668">
        <f>COUNTIF(対面共同!U:U,B668)</f>
        <v>0</v>
      </c>
    </row>
    <row r="669" spans="1:23" ht="24.95" hidden="1" customHeight="1" x14ac:dyDescent="0.4">
      <c r="A669" s="17" t="s">
        <v>57</v>
      </c>
      <c r="B669" s="15" t="s">
        <v>250</v>
      </c>
      <c r="C669" s="16" t="s">
        <v>31</v>
      </c>
      <c r="D669" s="16" t="s">
        <v>31</v>
      </c>
      <c r="E669" s="15" t="s">
        <v>32</v>
      </c>
      <c r="F669" s="15" t="s">
        <v>314</v>
      </c>
      <c r="N669" s="21" t="s">
        <v>96</v>
      </c>
      <c r="O669" s="21" t="s">
        <v>336</v>
      </c>
      <c r="Q669" s="21" t="s">
        <v>344</v>
      </c>
      <c r="R669" s="22">
        <v>45756</v>
      </c>
      <c r="W669">
        <f>COUNTIF(対面共同!U:U,B669)</f>
        <v>0</v>
      </c>
    </row>
    <row r="670" spans="1:23" ht="24.95" hidden="1" customHeight="1" x14ac:dyDescent="0.4">
      <c r="A670" s="17" t="s">
        <v>57</v>
      </c>
      <c r="B670" s="15" t="s">
        <v>251</v>
      </c>
      <c r="C670" s="16" t="s">
        <v>31</v>
      </c>
      <c r="D670" s="16" t="s">
        <v>31</v>
      </c>
      <c r="E670" s="15" t="s">
        <v>32</v>
      </c>
      <c r="F670" s="15" t="s">
        <v>314</v>
      </c>
      <c r="N670" s="21" t="s">
        <v>96</v>
      </c>
      <c r="O670" s="21" t="s">
        <v>336</v>
      </c>
      <c r="Q670" s="21" t="s">
        <v>344</v>
      </c>
      <c r="R670" s="22">
        <v>45756</v>
      </c>
      <c r="W670">
        <f>COUNTIF(対面共同!U:U,B670)</f>
        <v>0</v>
      </c>
    </row>
    <row r="671" spans="1:23" ht="24.95" hidden="1" customHeight="1" x14ac:dyDescent="0.4">
      <c r="A671" s="17" t="s">
        <v>57</v>
      </c>
      <c r="B671" s="15" t="s">
        <v>341</v>
      </c>
      <c r="C671" s="16" t="s">
        <v>31</v>
      </c>
      <c r="D671" s="16" t="s">
        <v>31</v>
      </c>
      <c r="E671" s="15" t="s">
        <v>32</v>
      </c>
      <c r="F671" s="15" t="s">
        <v>340</v>
      </c>
      <c r="N671" s="21" t="s">
        <v>96</v>
      </c>
      <c r="O671" s="21" t="s">
        <v>345</v>
      </c>
      <c r="Q671" s="21" t="s">
        <v>344</v>
      </c>
      <c r="R671" s="22">
        <v>45784</v>
      </c>
      <c r="W671">
        <f>COUNTIF(対面共同!U:U,B671)</f>
        <v>0</v>
      </c>
    </row>
    <row r="672" spans="1:23" ht="24.95" hidden="1" customHeight="1" x14ac:dyDescent="0.4">
      <c r="A672" s="17" t="s">
        <v>57</v>
      </c>
      <c r="B672" s="15" t="s">
        <v>252</v>
      </c>
      <c r="C672" s="16" t="s">
        <v>31</v>
      </c>
      <c r="D672" s="16" t="s">
        <v>31</v>
      </c>
      <c r="E672" s="15" t="s">
        <v>32</v>
      </c>
      <c r="F672" s="15" t="s">
        <v>314</v>
      </c>
      <c r="N672" s="21" t="s">
        <v>96</v>
      </c>
      <c r="O672" s="21" t="s">
        <v>336</v>
      </c>
      <c r="Q672" s="21" t="s">
        <v>344</v>
      </c>
      <c r="R672" s="22">
        <v>45756</v>
      </c>
      <c r="W672">
        <f>COUNTIF(対面共同!U:U,B672)</f>
        <v>0</v>
      </c>
    </row>
    <row r="673" spans="1:23" ht="24.95" hidden="1" customHeight="1" x14ac:dyDescent="0.4">
      <c r="A673" s="17" t="s">
        <v>57</v>
      </c>
      <c r="B673" s="15" t="s">
        <v>253</v>
      </c>
      <c r="C673" s="16" t="s">
        <v>31</v>
      </c>
      <c r="D673" s="16" t="s">
        <v>31</v>
      </c>
      <c r="E673" s="15" t="s">
        <v>32</v>
      </c>
      <c r="F673" s="15" t="s">
        <v>314</v>
      </c>
      <c r="N673" s="21" t="s">
        <v>96</v>
      </c>
      <c r="O673" s="21" t="s">
        <v>336</v>
      </c>
      <c r="Q673" s="21" t="s">
        <v>344</v>
      </c>
      <c r="R673" s="22">
        <v>45756</v>
      </c>
      <c r="W673">
        <f>COUNTIF(対面共同!U:U,B673)</f>
        <v>0</v>
      </c>
    </row>
    <row r="674" spans="1:23" ht="24.95" hidden="1" customHeight="1" x14ac:dyDescent="0.4">
      <c r="A674" s="17" t="s">
        <v>57</v>
      </c>
      <c r="B674" s="15" t="s">
        <v>254</v>
      </c>
      <c r="C674" s="16" t="s">
        <v>31</v>
      </c>
      <c r="D674" s="16" t="s">
        <v>31</v>
      </c>
      <c r="E674" s="15" t="s">
        <v>32</v>
      </c>
      <c r="F674" s="15" t="s">
        <v>314</v>
      </c>
      <c r="N674" s="21" t="s">
        <v>96</v>
      </c>
      <c r="O674" s="21" t="s">
        <v>336</v>
      </c>
      <c r="Q674" s="21" t="s">
        <v>344</v>
      </c>
      <c r="R674" s="22">
        <v>45756</v>
      </c>
      <c r="W674">
        <f>COUNTIF(対面共同!U:U,B674)</f>
        <v>0</v>
      </c>
    </row>
    <row r="675" spans="1:23" ht="24.95" hidden="1" customHeight="1" x14ac:dyDescent="0.4">
      <c r="A675" s="17" t="s">
        <v>57</v>
      </c>
      <c r="B675" s="15" t="s">
        <v>255</v>
      </c>
      <c r="C675" s="16" t="s">
        <v>31</v>
      </c>
      <c r="D675" s="16" t="s">
        <v>31</v>
      </c>
      <c r="E675" s="15" t="s">
        <v>32</v>
      </c>
      <c r="F675" s="15" t="s">
        <v>314</v>
      </c>
      <c r="N675" s="21" t="s">
        <v>96</v>
      </c>
      <c r="O675" s="21" t="s">
        <v>336</v>
      </c>
      <c r="Q675" s="21" t="s">
        <v>344</v>
      </c>
      <c r="R675" s="22">
        <v>45756</v>
      </c>
      <c r="W675">
        <f>COUNTIF(対面共同!U:U,B675)</f>
        <v>0</v>
      </c>
    </row>
    <row r="676" spans="1:23" ht="24.95" hidden="1" customHeight="1" x14ac:dyDescent="0.4">
      <c r="A676" s="17" t="s">
        <v>57</v>
      </c>
      <c r="B676" s="15" t="s">
        <v>256</v>
      </c>
      <c r="C676" s="16" t="s">
        <v>31</v>
      </c>
      <c r="D676" s="16" t="s">
        <v>31</v>
      </c>
      <c r="E676" s="15" t="s">
        <v>32</v>
      </c>
      <c r="F676" s="15" t="s">
        <v>314</v>
      </c>
      <c r="N676" s="21" t="s">
        <v>96</v>
      </c>
      <c r="O676" s="21" t="s">
        <v>336</v>
      </c>
      <c r="Q676" s="21" t="s">
        <v>344</v>
      </c>
      <c r="R676" s="22">
        <v>45756</v>
      </c>
      <c r="W676">
        <f>COUNTIF(対面共同!U:U,B676)</f>
        <v>0</v>
      </c>
    </row>
    <row r="677" spans="1:23" ht="24.95" hidden="1" customHeight="1" x14ac:dyDescent="0.4">
      <c r="A677" s="17" t="s">
        <v>57</v>
      </c>
      <c r="B677" s="15" t="s">
        <v>257</v>
      </c>
      <c r="C677" s="16" t="s">
        <v>31</v>
      </c>
      <c r="D677" s="16" t="s">
        <v>31</v>
      </c>
      <c r="E677" s="15" t="s">
        <v>32</v>
      </c>
      <c r="F677" s="15" t="s">
        <v>314</v>
      </c>
      <c r="N677" s="21" t="s">
        <v>96</v>
      </c>
      <c r="O677" s="21" t="s">
        <v>336</v>
      </c>
      <c r="Q677" s="21" t="s">
        <v>344</v>
      </c>
      <c r="R677" s="22">
        <v>45756</v>
      </c>
      <c r="W677">
        <f>COUNTIF(対面共同!U:U,B677)</f>
        <v>0</v>
      </c>
    </row>
    <row r="678" spans="1:23" ht="24.95" hidden="1" customHeight="1" x14ac:dyDescent="0.4">
      <c r="A678" s="17" t="s">
        <v>57</v>
      </c>
      <c r="B678" s="15" t="s">
        <v>258</v>
      </c>
      <c r="C678" s="16" t="s">
        <v>31</v>
      </c>
      <c r="D678" s="16" t="s">
        <v>31</v>
      </c>
      <c r="E678" s="15" t="s">
        <v>32</v>
      </c>
      <c r="F678" s="15" t="s">
        <v>314</v>
      </c>
      <c r="N678" s="21" t="s">
        <v>96</v>
      </c>
      <c r="O678" s="21" t="s">
        <v>336</v>
      </c>
      <c r="Q678" s="21" t="s">
        <v>344</v>
      </c>
      <c r="R678" s="22">
        <v>45756</v>
      </c>
      <c r="W678">
        <f>COUNTIF(対面共同!U:U,B678)</f>
        <v>0</v>
      </c>
    </row>
    <row r="679" spans="1:23" ht="24.95" hidden="1" customHeight="1" x14ac:dyDescent="0.4">
      <c r="A679" s="17" t="s">
        <v>57</v>
      </c>
      <c r="B679" s="15" t="s">
        <v>259</v>
      </c>
      <c r="C679" s="16" t="s">
        <v>31</v>
      </c>
      <c r="D679" s="16" t="s">
        <v>31</v>
      </c>
      <c r="E679" s="15" t="s">
        <v>32</v>
      </c>
      <c r="F679" s="15" t="s">
        <v>314</v>
      </c>
      <c r="N679" s="21" t="s">
        <v>96</v>
      </c>
      <c r="O679" s="21" t="s">
        <v>336</v>
      </c>
      <c r="Q679" s="21" t="s">
        <v>344</v>
      </c>
      <c r="R679" s="22">
        <v>45756</v>
      </c>
      <c r="W679">
        <f>COUNTIF(対面共同!U:U,B679)</f>
        <v>0</v>
      </c>
    </row>
    <row r="680" spans="1:23" ht="24.95" hidden="1" customHeight="1" x14ac:dyDescent="0.4">
      <c r="A680" s="17" t="s">
        <v>57</v>
      </c>
      <c r="B680" s="15" t="s">
        <v>260</v>
      </c>
      <c r="C680" s="16" t="s">
        <v>31</v>
      </c>
      <c r="D680" s="16" t="s">
        <v>31</v>
      </c>
      <c r="E680" s="15" t="s">
        <v>32</v>
      </c>
      <c r="F680" s="15" t="s">
        <v>314</v>
      </c>
      <c r="N680" s="21" t="s">
        <v>96</v>
      </c>
      <c r="O680" s="21" t="s">
        <v>336</v>
      </c>
      <c r="Q680" s="21" t="s">
        <v>344</v>
      </c>
      <c r="R680" s="22">
        <v>45756</v>
      </c>
      <c r="W680">
        <f>COUNTIF(対面共同!U:U,B680)</f>
        <v>0</v>
      </c>
    </row>
    <row r="681" spans="1:23" ht="24.95" hidden="1" customHeight="1" x14ac:dyDescent="0.4">
      <c r="A681" s="17" t="s">
        <v>57</v>
      </c>
      <c r="B681" s="15" t="s">
        <v>261</v>
      </c>
      <c r="C681" s="16" t="s">
        <v>31</v>
      </c>
      <c r="D681" s="16" t="s">
        <v>31</v>
      </c>
      <c r="E681" s="15" t="s">
        <v>32</v>
      </c>
      <c r="F681" s="15" t="s">
        <v>314</v>
      </c>
      <c r="N681" s="21" t="s">
        <v>96</v>
      </c>
      <c r="O681" s="21" t="s">
        <v>336</v>
      </c>
      <c r="Q681" s="21" t="s">
        <v>344</v>
      </c>
      <c r="R681" s="22">
        <v>45756</v>
      </c>
      <c r="W681">
        <f>COUNTIF(対面共同!U:U,B681)</f>
        <v>0</v>
      </c>
    </row>
    <row r="682" spans="1:23" ht="24.95" hidden="1" customHeight="1" x14ac:dyDescent="0.4">
      <c r="A682" s="17" t="s">
        <v>57</v>
      </c>
      <c r="B682" s="15" t="s">
        <v>262</v>
      </c>
      <c r="C682" s="16" t="s">
        <v>31</v>
      </c>
      <c r="D682" s="16" t="s">
        <v>31</v>
      </c>
      <c r="E682" s="15" t="s">
        <v>32</v>
      </c>
      <c r="F682" s="15" t="s">
        <v>314</v>
      </c>
      <c r="N682" s="21" t="s">
        <v>96</v>
      </c>
      <c r="O682" s="21" t="s">
        <v>336</v>
      </c>
      <c r="Q682" s="21" t="s">
        <v>344</v>
      </c>
      <c r="R682" s="22">
        <v>45756</v>
      </c>
      <c r="W682">
        <f>COUNTIF(対面共同!U:U,B682)</f>
        <v>0</v>
      </c>
    </row>
    <row r="683" spans="1:23" ht="24.95" hidden="1" customHeight="1" x14ac:dyDescent="0.4">
      <c r="A683" s="17" t="s">
        <v>57</v>
      </c>
      <c r="B683" s="15" t="s">
        <v>263</v>
      </c>
      <c r="C683" s="16" t="s">
        <v>31</v>
      </c>
      <c r="D683" s="16" t="s">
        <v>31</v>
      </c>
      <c r="E683" s="15" t="s">
        <v>32</v>
      </c>
      <c r="F683" s="15" t="s">
        <v>314</v>
      </c>
      <c r="N683" s="21" t="s">
        <v>96</v>
      </c>
      <c r="O683" s="21" t="s">
        <v>336</v>
      </c>
      <c r="Q683" s="21" t="s">
        <v>344</v>
      </c>
      <c r="R683" s="22">
        <v>45756</v>
      </c>
      <c r="W683">
        <f>COUNTIF(対面共同!U:U,B683)</f>
        <v>0</v>
      </c>
    </row>
    <row r="684" spans="1:23" ht="24.95" hidden="1" customHeight="1" x14ac:dyDescent="0.4">
      <c r="A684" s="17" t="s">
        <v>57</v>
      </c>
      <c r="B684" s="15" t="s">
        <v>264</v>
      </c>
      <c r="C684" s="16" t="s">
        <v>31</v>
      </c>
      <c r="D684" s="16" t="s">
        <v>31</v>
      </c>
      <c r="E684" s="15" t="s">
        <v>32</v>
      </c>
      <c r="F684" s="15" t="s">
        <v>314</v>
      </c>
      <c r="N684" s="21" t="s">
        <v>96</v>
      </c>
      <c r="O684" s="21" t="s">
        <v>336</v>
      </c>
      <c r="Q684" s="21" t="s">
        <v>344</v>
      </c>
      <c r="R684" s="22">
        <v>45756</v>
      </c>
      <c r="W684">
        <f>COUNTIF(対面共同!U:U,B684)</f>
        <v>0</v>
      </c>
    </row>
    <row r="685" spans="1:23" ht="24.95" hidden="1" customHeight="1" x14ac:dyDescent="0.4">
      <c r="A685" s="17" t="s">
        <v>57</v>
      </c>
      <c r="B685" s="15" t="s">
        <v>265</v>
      </c>
      <c r="C685" s="16" t="s">
        <v>31</v>
      </c>
      <c r="D685" s="16" t="s">
        <v>31</v>
      </c>
      <c r="E685" s="15" t="s">
        <v>32</v>
      </c>
      <c r="F685" s="15" t="s">
        <v>314</v>
      </c>
      <c r="N685" s="21" t="s">
        <v>96</v>
      </c>
      <c r="O685" s="21" t="s">
        <v>336</v>
      </c>
      <c r="Q685" s="21" t="s">
        <v>344</v>
      </c>
      <c r="R685" s="22">
        <v>45756</v>
      </c>
      <c r="W685">
        <f>COUNTIF(対面共同!U:U,B685)</f>
        <v>0</v>
      </c>
    </row>
    <row r="686" spans="1:23" ht="24.95" hidden="1" customHeight="1" x14ac:dyDescent="0.4">
      <c r="A686" s="17" t="s">
        <v>57</v>
      </c>
      <c r="B686" s="15" t="s">
        <v>266</v>
      </c>
      <c r="C686" s="16" t="s">
        <v>31</v>
      </c>
      <c r="D686" s="16" t="s">
        <v>31</v>
      </c>
      <c r="E686" s="15" t="s">
        <v>32</v>
      </c>
      <c r="F686" s="15" t="s">
        <v>314</v>
      </c>
      <c r="N686" s="21" t="s">
        <v>96</v>
      </c>
      <c r="O686" s="21" t="s">
        <v>336</v>
      </c>
      <c r="Q686" s="21" t="s">
        <v>344</v>
      </c>
      <c r="R686" s="22">
        <v>45756</v>
      </c>
      <c r="W686">
        <f>COUNTIF(対面共同!U:U,B686)</f>
        <v>0</v>
      </c>
    </row>
    <row r="687" spans="1:23" ht="24.95" hidden="1" customHeight="1" x14ac:dyDescent="0.4">
      <c r="A687" s="17" t="s">
        <v>57</v>
      </c>
      <c r="B687" s="15" t="s">
        <v>267</v>
      </c>
      <c r="C687" s="16" t="s">
        <v>31</v>
      </c>
      <c r="D687" s="16" t="s">
        <v>31</v>
      </c>
      <c r="E687" s="15" t="s">
        <v>32</v>
      </c>
      <c r="F687" s="15" t="s">
        <v>314</v>
      </c>
      <c r="N687" s="21" t="s">
        <v>96</v>
      </c>
      <c r="O687" s="21" t="s">
        <v>336</v>
      </c>
      <c r="Q687" s="21" t="s">
        <v>344</v>
      </c>
      <c r="R687" s="22">
        <v>45756</v>
      </c>
      <c r="W687">
        <f>COUNTIF(対面共同!U:U,B687)</f>
        <v>0</v>
      </c>
    </row>
    <row r="688" spans="1:23" ht="24.95" hidden="1" customHeight="1" x14ac:dyDescent="0.4">
      <c r="A688" s="17" t="s">
        <v>57</v>
      </c>
      <c r="B688" s="15" t="s">
        <v>268</v>
      </c>
      <c r="C688" s="16" t="s">
        <v>31</v>
      </c>
      <c r="D688" s="16" t="s">
        <v>31</v>
      </c>
      <c r="E688" s="15" t="s">
        <v>32</v>
      </c>
      <c r="F688" s="15" t="s">
        <v>314</v>
      </c>
      <c r="N688" s="21" t="s">
        <v>96</v>
      </c>
      <c r="O688" s="21" t="s">
        <v>336</v>
      </c>
      <c r="Q688" s="21" t="s">
        <v>344</v>
      </c>
      <c r="R688" s="22">
        <v>45756</v>
      </c>
      <c r="W688">
        <f>COUNTIF(対面共同!U:U,B688)</f>
        <v>0</v>
      </c>
    </row>
    <row r="689" spans="1:23" ht="24.95" hidden="1" customHeight="1" x14ac:dyDescent="0.4">
      <c r="A689" s="17" t="s">
        <v>57</v>
      </c>
      <c r="B689" s="15" t="s">
        <v>269</v>
      </c>
      <c r="C689" s="16" t="s">
        <v>31</v>
      </c>
      <c r="D689" s="16" t="s">
        <v>31</v>
      </c>
      <c r="E689" s="15" t="s">
        <v>32</v>
      </c>
      <c r="F689" s="15" t="s">
        <v>314</v>
      </c>
      <c r="N689" s="21" t="s">
        <v>96</v>
      </c>
      <c r="O689" s="21" t="s">
        <v>336</v>
      </c>
      <c r="Q689" s="21" t="s">
        <v>344</v>
      </c>
      <c r="R689" s="22">
        <v>45756</v>
      </c>
      <c r="W689">
        <f>COUNTIF(対面共同!U:U,B689)</f>
        <v>0</v>
      </c>
    </row>
    <row r="690" spans="1:23" ht="24.95" hidden="1" customHeight="1" x14ac:dyDescent="0.4">
      <c r="A690" s="17" t="s">
        <v>57</v>
      </c>
      <c r="B690" s="15" t="s">
        <v>270</v>
      </c>
      <c r="C690" s="16" t="s">
        <v>31</v>
      </c>
      <c r="D690" s="16" t="s">
        <v>31</v>
      </c>
      <c r="E690" s="15" t="s">
        <v>32</v>
      </c>
      <c r="F690" s="15" t="s">
        <v>314</v>
      </c>
      <c r="N690" s="21" t="s">
        <v>96</v>
      </c>
      <c r="O690" s="21" t="s">
        <v>336</v>
      </c>
      <c r="Q690" s="21" t="s">
        <v>344</v>
      </c>
      <c r="R690" s="22">
        <v>45756</v>
      </c>
      <c r="W690">
        <f>COUNTIF(対面共同!U:U,B690)</f>
        <v>0</v>
      </c>
    </row>
    <row r="691" spans="1:23" ht="24.95" hidden="1" customHeight="1" x14ac:dyDescent="0.4">
      <c r="A691" s="17" t="s">
        <v>57</v>
      </c>
      <c r="B691" s="15" t="s">
        <v>271</v>
      </c>
      <c r="C691" s="16" t="s">
        <v>31</v>
      </c>
      <c r="D691" s="16" t="s">
        <v>31</v>
      </c>
      <c r="E691" s="15" t="s">
        <v>32</v>
      </c>
      <c r="F691" s="15" t="s">
        <v>314</v>
      </c>
      <c r="N691" s="21" t="s">
        <v>96</v>
      </c>
      <c r="O691" s="21" t="s">
        <v>336</v>
      </c>
      <c r="Q691" s="21" t="s">
        <v>344</v>
      </c>
      <c r="R691" s="22">
        <v>45756</v>
      </c>
      <c r="W691">
        <f>COUNTIF(対面共同!U:U,B691)</f>
        <v>0</v>
      </c>
    </row>
    <row r="692" spans="1:23" ht="24.95" hidden="1" customHeight="1" x14ac:dyDescent="0.4">
      <c r="A692" s="17" t="s">
        <v>57</v>
      </c>
      <c r="B692" s="15" t="s">
        <v>366</v>
      </c>
      <c r="C692" s="16" t="s">
        <v>31</v>
      </c>
      <c r="D692" s="16" t="s">
        <v>31</v>
      </c>
      <c r="E692" s="15" t="s">
        <v>32</v>
      </c>
      <c r="F692" s="15" t="s">
        <v>365</v>
      </c>
      <c r="N692" s="21" t="s">
        <v>374</v>
      </c>
      <c r="O692" s="21" t="s">
        <v>373</v>
      </c>
      <c r="Q692" s="21" t="s">
        <v>344</v>
      </c>
      <c r="R692" s="22">
        <v>45883</v>
      </c>
      <c r="W692">
        <f>COUNTIF(対面共同!U:U,B692)</f>
        <v>0</v>
      </c>
    </row>
    <row r="693" spans="1:23" ht="24.95" hidden="1" customHeight="1" x14ac:dyDescent="0.4">
      <c r="A693" s="17" t="s">
        <v>57</v>
      </c>
      <c r="B693" s="15" t="s">
        <v>367</v>
      </c>
      <c r="C693" s="16" t="s">
        <v>31</v>
      </c>
      <c r="D693" s="16" t="s">
        <v>31</v>
      </c>
      <c r="E693" s="15" t="s">
        <v>32</v>
      </c>
      <c r="F693" s="15" t="s">
        <v>365</v>
      </c>
      <c r="N693" s="21" t="s">
        <v>374</v>
      </c>
      <c r="O693" s="21" t="s">
        <v>373</v>
      </c>
      <c r="Q693" s="21" t="s">
        <v>344</v>
      </c>
      <c r="R693" s="22">
        <v>45883</v>
      </c>
      <c r="W693">
        <f>COUNTIF(対面共同!U:U,B693)</f>
        <v>0</v>
      </c>
    </row>
    <row r="694" spans="1:23" ht="24.95" hidden="1" customHeight="1" x14ac:dyDescent="0.4">
      <c r="A694" s="17" t="s">
        <v>57</v>
      </c>
      <c r="B694" s="15" t="s">
        <v>324</v>
      </c>
      <c r="C694" s="16" t="s">
        <v>31</v>
      </c>
      <c r="D694" s="16" t="s">
        <v>31</v>
      </c>
      <c r="E694" s="15" t="s">
        <v>32</v>
      </c>
      <c r="F694" s="15" t="s">
        <v>314</v>
      </c>
      <c r="N694" s="21" t="s">
        <v>96</v>
      </c>
      <c r="O694" s="21" t="s">
        <v>337</v>
      </c>
      <c r="Q694" s="21" t="s">
        <v>344</v>
      </c>
      <c r="R694" s="22">
        <v>45756</v>
      </c>
      <c r="W694">
        <f>COUNTIF(対面共同!U:U,B694)</f>
        <v>0</v>
      </c>
    </row>
    <row r="695" spans="1:23" ht="24.95" hidden="1" customHeight="1" x14ac:dyDescent="0.4">
      <c r="A695" s="17" t="s">
        <v>57</v>
      </c>
      <c r="B695" s="50" t="s">
        <v>368</v>
      </c>
      <c r="C695" s="16" t="s">
        <v>31</v>
      </c>
      <c r="D695" s="16" t="s">
        <v>31</v>
      </c>
      <c r="E695" s="15" t="s">
        <v>32</v>
      </c>
      <c r="F695" s="15" t="s">
        <v>365</v>
      </c>
      <c r="N695" s="21" t="s">
        <v>96</v>
      </c>
      <c r="O695" s="21" t="s">
        <v>372</v>
      </c>
      <c r="Q695" s="21" t="s">
        <v>344</v>
      </c>
      <c r="R695" s="22">
        <v>45883</v>
      </c>
      <c r="W695">
        <f>COUNTIF(対面共同!U:U,B695)</f>
        <v>0</v>
      </c>
    </row>
    <row r="696" spans="1:23" ht="24.95" hidden="1" customHeight="1" x14ac:dyDescent="0.4">
      <c r="A696" s="17" t="s">
        <v>57</v>
      </c>
      <c r="B696" s="50" t="s">
        <v>369</v>
      </c>
      <c r="C696" s="16" t="s">
        <v>24</v>
      </c>
      <c r="D696" s="16" t="s">
        <v>31</v>
      </c>
      <c r="E696" s="15" t="s">
        <v>35</v>
      </c>
      <c r="F696" s="15" t="s">
        <v>365</v>
      </c>
      <c r="N696" s="21" t="s">
        <v>96</v>
      </c>
      <c r="O696" s="21" t="s">
        <v>372</v>
      </c>
      <c r="Q696" s="21" t="s">
        <v>344</v>
      </c>
      <c r="R696" s="22">
        <v>45883</v>
      </c>
      <c r="W696">
        <f>COUNTIF(対面共同!U:U,B696)</f>
        <v>0</v>
      </c>
    </row>
    <row r="697" spans="1:23" ht="24.95" hidden="1" customHeight="1" x14ac:dyDescent="0.4">
      <c r="A697" s="17" t="s">
        <v>57</v>
      </c>
      <c r="B697" s="15" t="s">
        <v>325</v>
      </c>
      <c r="C697" s="16" t="s">
        <v>24</v>
      </c>
      <c r="D697" s="16" t="s">
        <v>31</v>
      </c>
      <c r="E697" s="15" t="s">
        <v>35</v>
      </c>
      <c r="F697" s="15" t="s">
        <v>314</v>
      </c>
      <c r="N697" s="21" t="s">
        <v>96</v>
      </c>
      <c r="O697" s="21" t="s">
        <v>337</v>
      </c>
      <c r="Q697" s="21" t="s">
        <v>344</v>
      </c>
      <c r="R697" s="22">
        <v>45756</v>
      </c>
      <c r="W697">
        <f>COUNTIF(対面共同!U:U,B697)</f>
        <v>0</v>
      </c>
    </row>
    <row r="698" spans="1:23" ht="24.95" hidden="1" customHeight="1" x14ac:dyDescent="0.4">
      <c r="A698" s="17" t="s">
        <v>57</v>
      </c>
      <c r="B698" s="15" t="s">
        <v>272</v>
      </c>
      <c r="C698" s="16" t="s">
        <v>31</v>
      </c>
      <c r="D698" s="16" t="s">
        <v>31</v>
      </c>
      <c r="E698" s="15" t="s">
        <v>32</v>
      </c>
      <c r="F698" s="15" t="s">
        <v>314</v>
      </c>
      <c r="N698" s="21" t="s">
        <v>96</v>
      </c>
      <c r="O698" s="21" t="s">
        <v>336</v>
      </c>
      <c r="Q698" s="21" t="s">
        <v>344</v>
      </c>
      <c r="R698" s="22">
        <v>45756</v>
      </c>
      <c r="W698">
        <f>COUNTIF(対面共同!U:U,B698)</f>
        <v>0</v>
      </c>
    </row>
    <row r="699" spans="1:23" ht="24.95" hidden="1" customHeight="1" x14ac:dyDescent="0.4">
      <c r="A699" s="17" t="s">
        <v>57</v>
      </c>
      <c r="B699" s="15" t="s">
        <v>273</v>
      </c>
      <c r="C699" s="16" t="s">
        <v>31</v>
      </c>
      <c r="D699" s="16" t="s">
        <v>31</v>
      </c>
      <c r="E699" s="15" t="s">
        <v>32</v>
      </c>
      <c r="F699" s="15" t="s">
        <v>314</v>
      </c>
      <c r="N699" s="21" t="s">
        <v>96</v>
      </c>
      <c r="O699" s="21" t="s">
        <v>336</v>
      </c>
      <c r="Q699" s="21" t="s">
        <v>344</v>
      </c>
      <c r="R699" s="22">
        <v>45756</v>
      </c>
      <c r="W699">
        <f>COUNTIF(対面共同!U:U,B699)</f>
        <v>0</v>
      </c>
    </row>
    <row r="700" spans="1:23" ht="24.95" hidden="1" customHeight="1" x14ac:dyDescent="0.4">
      <c r="A700" s="17" t="s">
        <v>57</v>
      </c>
      <c r="B700" s="15" t="s">
        <v>274</v>
      </c>
      <c r="C700" s="16" t="s">
        <v>31</v>
      </c>
      <c r="D700" s="16" t="s">
        <v>31</v>
      </c>
      <c r="E700" s="15" t="s">
        <v>32</v>
      </c>
      <c r="F700" s="15" t="s">
        <v>314</v>
      </c>
      <c r="N700" s="21" t="s">
        <v>96</v>
      </c>
      <c r="O700" s="21" t="s">
        <v>336</v>
      </c>
      <c r="Q700" s="21" t="s">
        <v>344</v>
      </c>
      <c r="R700" s="22">
        <v>45756</v>
      </c>
      <c r="W700">
        <f>COUNTIF(対面共同!U:U,B700)</f>
        <v>0</v>
      </c>
    </row>
    <row r="701" spans="1:23" ht="24.95" hidden="1" customHeight="1" x14ac:dyDescent="0.4">
      <c r="A701" s="17" t="s">
        <v>57</v>
      </c>
      <c r="B701" s="15" t="s">
        <v>275</v>
      </c>
      <c r="C701" s="16" t="s">
        <v>31</v>
      </c>
      <c r="D701" s="16" t="s">
        <v>31</v>
      </c>
      <c r="E701" s="15" t="s">
        <v>32</v>
      </c>
      <c r="F701" s="15" t="s">
        <v>314</v>
      </c>
      <c r="N701" s="21" t="s">
        <v>96</v>
      </c>
      <c r="O701" s="21" t="s">
        <v>336</v>
      </c>
      <c r="Q701" s="21" t="s">
        <v>344</v>
      </c>
      <c r="R701" s="22">
        <v>45756</v>
      </c>
      <c r="W701">
        <f>COUNTIF(対面共同!U:U,B701)</f>
        <v>0</v>
      </c>
    </row>
    <row r="702" spans="1:23" ht="24.95" hidden="1" customHeight="1" x14ac:dyDescent="0.4">
      <c r="A702" s="17" t="s">
        <v>57</v>
      </c>
      <c r="B702" s="15" t="s">
        <v>326</v>
      </c>
      <c r="C702" s="16" t="s">
        <v>31</v>
      </c>
      <c r="D702" s="16" t="s">
        <v>31</v>
      </c>
      <c r="E702" s="15" t="s">
        <v>32</v>
      </c>
      <c r="F702" s="15" t="s">
        <v>314</v>
      </c>
      <c r="N702" s="21" t="s">
        <v>96</v>
      </c>
      <c r="O702" s="21" t="s">
        <v>337</v>
      </c>
      <c r="Q702" s="21" t="s">
        <v>344</v>
      </c>
      <c r="R702" s="22">
        <v>45756</v>
      </c>
      <c r="W702">
        <f>COUNTIF(対面共同!U:U,B702)</f>
        <v>0</v>
      </c>
    </row>
    <row r="703" spans="1:23" ht="24.95" hidden="1" customHeight="1" x14ac:dyDescent="0.4">
      <c r="A703" s="17" t="s">
        <v>57</v>
      </c>
      <c r="B703" s="15" t="s">
        <v>327</v>
      </c>
      <c r="C703" s="16" t="s">
        <v>24</v>
      </c>
      <c r="D703" s="16" t="s">
        <v>31</v>
      </c>
      <c r="E703" s="15" t="s">
        <v>35</v>
      </c>
      <c r="F703" s="15" t="s">
        <v>314</v>
      </c>
      <c r="N703" s="21" t="s">
        <v>96</v>
      </c>
      <c r="O703" s="21" t="s">
        <v>337</v>
      </c>
      <c r="Q703" s="21" t="s">
        <v>344</v>
      </c>
      <c r="R703" s="22">
        <v>45756</v>
      </c>
      <c r="W703">
        <f>COUNTIF(対面共同!U:U,B703)</f>
        <v>0</v>
      </c>
    </row>
    <row r="704" spans="1:23" ht="24.95" hidden="1" customHeight="1" x14ac:dyDescent="0.4">
      <c r="A704" s="17" t="s">
        <v>57</v>
      </c>
      <c r="B704" s="15" t="s">
        <v>328</v>
      </c>
      <c r="C704" s="16" t="s">
        <v>24</v>
      </c>
      <c r="D704" s="16" t="s">
        <v>31</v>
      </c>
      <c r="E704" s="15" t="s">
        <v>35</v>
      </c>
      <c r="F704" s="15" t="s">
        <v>314</v>
      </c>
      <c r="N704" s="21" t="s">
        <v>96</v>
      </c>
      <c r="O704" s="21" t="s">
        <v>337</v>
      </c>
      <c r="Q704" s="21" t="s">
        <v>344</v>
      </c>
      <c r="R704" s="22">
        <v>45756</v>
      </c>
      <c r="W704">
        <f>COUNTIF(対面共同!U:U,B704)</f>
        <v>0</v>
      </c>
    </row>
    <row r="705" spans="1:23" ht="24.95" hidden="1" customHeight="1" x14ac:dyDescent="0.4">
      <c r="A705" s="17" t="s">
        <v>57</v>
      </c>
      <c r="B705" s="15" t="s">
        <v>329</v>
      </c>
      <c r="C705" s="16" t="s">
        <v>24</v>
      </c>
      <c r="D705" s="16" t="s">
        <v>31</v>
      </c>
      <c r="E705" s="15" t="s">
        <v>35</v>
      </c>
      <c r="F705" s="15" t="s">
        <v>314</v>
      </c>
      <c r="N705" s="21" t="s">
        <v>96</v>
      </c>
      <c r="O705" s="21" t="s">
        <v>337</v>
      </c>
      <c r="Q705" s="21" t="s">
        <v>344</v>
      </c>
      <c r="R705" s="22">
        <v>45756</v>
      </c>
      <c r="W705">
        <f>COUNTIF(対面共同!U:U,B705)</f>
        <v>0</v>
      </c>
    </row>
    <row r="706" spans="1:23" ht="24.95" hidden="1" customHeight="1" x14ac:dyDescent="0.4">
      <c r="A706" s="17" t="s">
        <v>57</v>
      </c>
      <c r="B706" s="15" t="s">
        <v>276</v>
      </c>
      <c r="C706" s="16" t="s">
        <v>31</v>
      </c>
      <c r="D706" s="16" t="s">
        <v>31</v>
      </c>
      <c r="E706" s="15" t="s">
        <v>32</v>
      </c>
      <c r="F706" s="15" t="s">
        <v>314</v>
      </c>
      <c r="N706" s="21" t="s">
        <v>96</v>
      </c>
      <c r="O706" s="21" t="s">
        <v>336</v>
      </c>
      <c r="Q706" s="21" t="s">
        <v>344</v>
      </c>
      <c r="R706" s="22">
        <v>45756</v>
      </c>
      <c r="W706">
        <f>COUNTIF(対面共同!U:U,B706)</f>
        <v>0</v>
      </c>
    </row>
    <row r="707" spans="1:23" ht="24.95" hidden="1" customHeight="1" x14ac:dyDescent="0.4">
      <c r="A707" s="17" t="s">
        <v>57</v>
      </c>
      <c r="B707" s="15" t="s">
        <v>277</v>
      </c>
      <c r="C707" s="16" t="s">
        <v>31</v>
      </c>
      <c r="D707" s="16" t="s">
        <v>31</v>
      </c>
      <c r="E707" s="15" t="s">
        <v>32</v>
      </c>
      <c r="F707" s="15" t="s">
        <v>314</v>
      </c>
      <c r="N707" s="21" t="s">
        <v>96</v>
      </c>
      <c r="O707" s="21" t="s">
        <v>336</v>
      </c>
      <c r="Q707" s="21" t="s">
        <v>344</v>
      </c>
      <c r="R707" s="22">
        <v>45756</v>
      </c>
      <c r="W707">
        <f>COUNTIF(対面共同!U:U,B707)</f>
        <v>0</v>
      </c>
    </row>
    <row r="708" spans="1:23" ht="24.95" hidden="1" customHeight="1" x14ac:dyDescent="0.4">
      <c r="A708" s="17" t="s">
        <v>57</v>
      </c>
      <c r="B708" s="15" t="s">
        <v>278</v>
      </c>
      <c r="C708" s="16" t="s">
        <v>31</v>
      </c>
      <c r="D708" s="16" t="s">
        <v>31</v>
      </c>
      <c r="E708" s="15" t="s">
        <v>32</v>
      </c>
      <c r="F708" s="15" t="s">
        <v>314</v>
      </c>
      <c r="N708" s="21" t="s">
        <v>96</v>
      </c>
      <c r="O708" s="21" t="s">
        <v>336</v>
      </c>
      <c r="Q708" s="21" t="s">
        <v>344</v>
      </c>
      <c r="R708" s="22">
        <v>45756</v>
      </c>
      <c r="W708">
        <f>COUNTIF(対面共同!U:U,B708)</f>
        <v>0</v>
      </c>
    </row>
    <row r="709" spans="1:23" ht="24.95" hidden="1" customHeight="1" x14ac:dyDescent="0.4">
      <c r="A709" s="17" t="s">
        <v>57</v>
      </c>
      <c r="B709" s="15" t="s">
        <v>279</v>
      </c>
      <c r="C709" s="16" t="s">
        <v>31</v>
      </c>
      <c r="D709" s="16" t="s">
        <v>31</v>
      </c>
      <c r="E709" s="15" t="s">
        <v>32</v>
      </c>
      <c r="F709" s="15" t="s">
        <v>314</v>
      </c>
      <c r="N709" s="21" t="s">
        <v>96</v>
      </c>
      <c r="O709" s="21" t="s">
        <v>336</v>
      </c>
      <c r="Q709" s="21" t="s">
        <v>344</v>
      </c>
      <c r="R709" s="22">
        <v>45756</v>
      </c>
      <c r="W709">
        <f>COUNTIF(対面共同!U:U,B709)</f>
        <v>0</v>
      </c>
    </row>
    <row r="710" spans="1:23" ht="24.95" hidden="1" customHeight="1" x14ac:dyDescent="0.4">
      <c r="A710" s="17" t="s">
        <v>57</v>
      </c>
      <c r="B710" s="15" t="s">
        <v>280</v>
      </c>
      <c r="C710" s="16" t="s">
        <v>31</v>
      </c>
      <c r="D710" s="16" t="s">
        <v>31</v>
      </c>
      <c r="E710" s="15" t="s">
        <v>32</v>
      </c>
      <c r="F710" s="15" t="s">
        <v>314</v>
      </c>
      <c r="N710" s="21" t="s">
        <v>96</v>
      </c>
      <c r="O710" s="21" t="s">
        <v>336</v>
      </c>
      <c r="Q710" s="21" t="s">
        <v>344</v>
      </c>
      <c r="R710" s="22">
        <v>45756</v>
      </c>
      <c r="W710">
        <f>COUNTIF(対面共同!U:U,B710)</f>
        <v>0</v>
      </c>
    </row>
    <row r="711" spans="1:23" ht="24.95" hidden="1" customHeight="1" x14ac:dyDescent="0.4">
      <c r="A711" s="17" t="s">
        <v>57</v>
      </c>
      <c r="B711" s="15" t="s">
        <v>281</v>
      </c>
      <c r="C711" s="16" t="s">
        <v>31</v>
      </c>
      <c r="D711" s="16" t="s">
        <v>31</v>
      </c>
      <c r="E711" s="15" t="s">
        <v>32</v>
      </c>
      <c r="F711" s="15" t="s">
        <v>314</v>
      </c>
      <c r="N711" s="21" t="s">
        <v>96</v>
      </c>
      <c r="O711" s="21" t="s">
        <v>336</v>
      </c>
      <c r="Q711" s="21" t="s">
        <v>344</v>
      </c>
      <c r="R711" s="22">
        <v>45756</v>
      </c>
      <c r="W711">
        <f>COUNTIF(対面共同!U:U,B711)</f>
        <v>0</v>
      </c>
    </row>
    <row r="712" spans="1:23" ht="24.95" hidden="1" customHeight="1" x14ac:dyDescent="0.4">
      <c r="A712" s="17" t="s">
        <v>57</v>
      </c>
      <c r="B712" s="15" t="s">
        <v>282</v>
      </c>
      <c r="C712" s="16" t="s">
        <v>31</v>
      </c>
      <c r="D712" s="16" t="s">
        <v>31</v>
      </c>
      <c r="E712" s="15" t="s">
        <v>32</v>
      </c>
      <c r="F712" s="15" t="s">
        <v>314</v>
      </c>
      <c r="N712" s="21" t="s">
        <v>96</v>
      </c>
      <c r="O712" s="21" t="s">
        <v>336</v>
      </c>
      <c r="Q712" s="21" t="s">
        <v>344</v>
      </c>
      <c r="R712" s="22">
        <v>45756</v>
      </c>
      <c r="W712">
        <f>COUNTIF(対面共同!U:U,B712)</f>
        <v>0</v>
      </c>
    </row>
    <row r="713" spans="1:23" ht="24.95" hidden="1" customHeight="1" x14ac:dyDescent="0.4">
      <c r="A713" s="17" t="s">
        <v>57</v>
      </c>
      <c r="B713" s="15" t="s">
        <v>283</v>
      </c>
      <c r="C713" s="16" t="s">
        <v>31</v>
      </c>
      <c r="D713" s="16" t="s">
        <v>31</v>
      </c>
      <c r="E713" s="15" t="s">
        <v>32</v>
      </c>
      <c r="F713" s="15" t="s">
        <v>314</v>
      </c>
      <c r="N713" s="21" t="s">
        <v>96</v>
      </c>
      <c r="O713" s="21" t="s">
        <v>336</v>
      </c>
      <c r="Q713" s="21" t="s">
        <v>344</v>
      </c>
      <c r="R713" s="22">
        <v>45756</v>
      </c>
      <c r="W713">
        <f>COUNTIF(対面共同!U:U,B713)</f>
        <v>0</v>
      </c>
    </row>
    <row r="714" spans="1:23" ht="24.95" hidden="1" customHeight="1" x14ac:dyDescent="0.4">
      <c r="A714" s="17" t="s">
        <v>57</v>
      </c>
      <c r="B714" s="15" t="s">
        <v>284</v>
      </c>
      <c r="C714" s="16" t="s">
        <v>31</v>
      </c>
      <c r="D714" s="16" t="s">
        <v>31</v>
      </c>
      <c r="E714" s="15" t="s">
        <v>32</v>
      </c>
      <c r="F714" s="15" t="s">
        <v>314</v>
      </c>
      <c r="N714" s="21" t="s">
        <v>96</v>
      </c>
      <c r="O714" s="21" t="s">
        <v>336</v>
      </c>
      <c r="Q714" s="21" t="s">
        <v>344</v>
      </c>
      <c r="R714" s="22">
        <v>45756</v>
      </c>
      <c r="W714">
        <f>COUNTIF(対面共同!U:U,B714)</f>
        <v>0</v>
      </c>
    </row>
    <row r="715" spans="1:23" ht="24.95" hidden="1" customHeight="1" x14ac:dyDescent="0.4">
      <c r="A715" s="17" t="s">
        <v>57</v>
      </c>
      <c r="B715" s="15" t="s">
        <v>285</v>
      </c>
      <c r="C715" s="16" t="s">
        <v>31</v>
      </c>
      <c r="D715" s="16" t="s">
        <v>31</v>
      </c>
      <c r="E715" s="15" t="s">
        <v>32</v>
      </c>
      <c r="F715" s="15" t="s">
        <v>314</v>
      </c>
      <c r="N715" s="21" t="s">
        <v>96</v>
      </c>
      <c r="O715" s="21" t="s">
        <v>336</v>
      </c>
      <c r="Q715" s="21" t="s">
        <v>344</v>
      </c>
      <c r="R715" s="22">
        <v>45756</v>
      </c>
      <c r="W715">
        <f>COUNTIF(対面共同!U:U,B715)</f>
        <v>0</v>
      </c>
    </row>
    <row r="716" spans="1:23" ht="24.95" hidden="1" customHeight="1" x14ac:dyDescent="0.4">
      <c r="A716" s="17" t="s">
        <v>57</v>
      </c>
      <c r="B716" s="15" t="s">
        <v>286</v>
      </c>
      <c r="C716" s="16" t="s">
        <v>31</v>
      </c>
      <c r="D716" s="16" t="s">
        <v>31</v>
      </c>
      <c r="E716" s="15" t="s">
        <v>32</v>
      </c>
      <c r="F716" s="15" t="s">
        <v>314</v>
      </c>
      <c r="N716" s="21" t="s">
        <v>96</v>
      </c>
      <c r="O716" s="21" t="s">
        <v>336</v>
      </c>
      <c r="Q716" s="21" t="s">
        <v>344</v>
      </c>
      <c r="R716" s="22">
        <v>45756</v>
      </c>
      <c r="W716">
        <f>COUNTIF(対面共同!U:U,B716)</f>
        <v>0</v>
      </c>
    </row>
    <row r="717" spans="1:23" ht="24.95" hidden="1" customHeight="1" x14ac:dyDescent="0.4">
      <c r="A717" s="17" t="s">
        <v>57</v>
      </c>
      <c r="B717" s="15" t="s">
        <v>287</v>
      </c>
      <c r="C717" s="16" t="s">
        <v>31</v>
      </c>
      <c r="D717" s="16" t="s">
        <v>31</v>
      </c>
      <c r="E717" s="15" t="s">
        <v>32</v>
      </c>
      <c r="F717" s="15" t="s">
        <v>314</v>
      </c>
      <c r="N717" s="21" t="s">
        <v>96</v>
      </c>
      <c r="O717" s="21" t="s">
        <v>336</v>
      </c>
      <c r="Q717" s="21" t="s">
        <v>344</v>
      </c>
      <c r="R717" s="22">
        <v>45756</v>
      </c>
      <c r="W717">
        <f>COUNTIF(対面共同!U:U,B717)</f>
        <v>0</v>
      </c>
    </row>
    <row r="718" spans="1:23" ht="24.95" hidden="1" customHeight="1" x14ac:dyDescent="0.4">
      <c r="A718" s="17" t="s">
        <v>57</v>
      </c>
      <c r="B718" s="15" t="s">
        <v>342</v>
      </c>
      <c r="C718" s="16" t="s">
        <v>31</v>
      </c>
      <c r="D718" s="16" t="s">
        <v>31</v>
      </c>
      <c r="E718" s="15" t="s">
        <v>32</v>
      </c>
      <c r="F718" s="15" t="s">
        <v>340</v>
      </c>
      <c r="N718" s="21" t="s">
        <v>96</v>
      </c>
      <c r="O718" s="21" t="s">
        <v>345</v>
      </c>
      <c r="Q718" s="21" t="s">
        <v>344</v>
      </c>
      <c r="R718" s="22">
        <v>45784</v>
      </c>
      <c r="W718">
        <f>COUNTIF(対面共同!U:U,B718)</f>
        <v>0</v>
      </c>
    </row>
    <row r="719" spans="1:23" ht="24.95" hidden="1" customHeight="1" x14ac:dyDescent="0.4">
      <c r="A719" s="17" t="s">
        <v>57</v>
      </c>
      <c r="B719" s="15" t="s">
        <v>288</v>
      </c>
      <c r="C719" s="16" t="s">
        <v>31</v>
      </c>
      <c r="D719" s="16" t="s">
        <v>31</v>
      </c>
      <c r="E719" s="15" t="s">
        <v>32</v>
      </c>
      <c r="F719" s="15" t="s">
        <v>314</v>
      </c>
      <c r="N719" s="21" t="s">
        <v>96</v>
      </c>
      <c r="O719" s="21" t="s">
        <v>336</v>
      </c>
      <c r="Q719" s="21" t="s">
        <v>344</v>
      </c>
      <c r="R719" s="22">
        <v>45756</v>
      </c>
      <c r="W719">
        <f>COUNTIF(対面共同!U:U,B719)</f>
        <v>0</v>
      </c>
    </row>
    <row r="720" spans="1:23" ht="24.95" hidden="1" customHeight="1" x14ac:dyDescent="0.4">
      <c r="A720" s="17" t="s">
        <v>57</v>
      </c>
      <c r="B720" s="15" t="s">
        <v>289</v>
      </c>
      <c r="C720" s="16" t="s">
        <v>31</v>
      </c>
      <c r="D720" s="16" t="s">
        <v>31</v>
      </c>
      <c r="E720" s="15" t="s">
        <v>32</v>
      </c>
      <c r="F720" s="15" t="s">
        <v>314</v>
      </c>
      <c r="N720" s="21" t="s">
        <v>96</v>
      </c>
      <c r="O720" s="21" t="s">
        <v>336</v>
      </c>
      <c r="Q720" s="21" t="s">
        <v>344</v>
      </c>
      <c r="R720" s="22">
        <v>45756</v>
      </c>
      <c r="W720">
        <f>COUNTIF(対面共同!U:U,B720)</f>
        <v>0</v>
      </c>
    </row>
    <row r="721" spans="1:23" ht="24.95" hidden="1" customHeight="1" x14ac:dyDescent="0.4">
      <c r="A721" s="17" t="s">
        <v>57</v>
      </c>
      <c r="B721" s="15" t="s">
        <v>290</v>
      </c>
      <c r="C721" s="16" t="s">
        <v>31</v>
      </c>
      <c r="D721" s="16" t="s">
        <v>31</v>
      </c>
      <c r="E721" s="15" t="s">
        <v>32</v>
      </c>
      <c r="F721" s="15" t="s">
        <v>314</v>
      </c>
      <c r="N721" s="21" t="s">
        <v>96</v>
      </c>
      <c r="O721" s="21" t="s">
        <v>336</v>
      </c>
      <c r="Q721" s="21" t="s">
        <v>344</v>
      </c>
      <c r="R721" s="22">
        <v>45756</v>
      </c>
      <c r="W721">
        <f>COUNTIF(対面共同!U:U,B721)</f>
        <v>0</v>
      </c>
    </row>
    <row r="722" spans="1:23" ht="24.95" hidden="1" customHeight="1" x14ac:dyDescent="0.4">
      <c r="A722" s="17" t="s">
        <v>57</v>
      </c>
      <c r="B722" s="15" t="s">
        <v>291</v>
      </c>
      <c r="C722" s="16" t="s">
        <v>31</v>
      </c>
      <c r="D722" s="16" t="s">
        <v>31</v>
      </c>
      <c r="E722" s="15" t="s">
        <v>32</v>
      </c>
      <c r="F722" s="15" t="s">
        <v>314</v>
      </c>
      <c r="N722" s="21" t="s">
        <v>96</v>
      </c>
      <c r="O722" s="21" t="s">
        <v>336</v>
      </c>
      <c r="Q722" s="21" t="s">
        <v>344</v>
      </c>
      <c r="R722" s="22">
        <v>45756</v>
      </c>
      <c r="W722">
        <f>COUNTIF(対面共同!U:U,B722)</f>
        <v>0</v>
      </c>
    </row>
    <row r="723" spans="1:23" ht="24.95" hidden="1" customHeight="1" x14ac:dyDescent="0.4">
      <c r="A723" s="17" t="s">
        <v>57</v>
      </c>
      <c r="B723" s="15" t="s">
        <v>292</v>
      </c>
      <c r="C723" s="16" t="s">
        <v>31</v>
      </c>
      <c r="D723" s="16" t="s">
        <v>31</v>
      </c>
      <c r="E723" s="15" t="s">
        <v>32</v>
      </c>
      <c r="F723" s="15" t="s">
        <v>314</v>
      </c>
      <c r="N723" s="21" t="s">
        <v>96</v>
      </c>
      <c r="O723" s="21" t="s">
        <v>336</v>
      </c>
      <c r="Q723" s="21" t="s">
        <v>344</v>
      </c>
      <c r="R723" s="22">
        <v>45756</v>
      </c>
      <c r="W723">
        <f>COUNTIF(対面共同!U:U,B723)</f>
        <v>0</v>
      </c>
    </row>
    <row r="724" spans="1:23" ht="24.95" hidden="1" customHeight="1" x14ac:dyDescent="0.4">
      <c r="A724" s="17" t="s">
        <v>57</v>
      </c>
      <c r="B724" s="15" t="s">
        <v>293</v>
      </c>
      <c r="C724" s="16" t="s">
        <v>31</v>
      </c>
      <c r="D724" s="16" t="s">
        <v>31</v>
      </c>
      <c r="E724" s="15" t="s">
        <v>32</v>
      </c>
      <c r="F724" s="15" t="s">
        <v>314</v>
      </c>
      <c r="N724" s="21" t="s">
        <v>96</v>
      </c>
      <c r="O724" s="21" t="s">
        <v>336</v>
      </c>
      <c r="Q724" s="21" t="s">
        <v>344</v>
      </c>
      <c r="R724" s="22">
        <v>45756</v>
      </c>
      <c r="W724">
        <f>COUNTIF(対面共同!U:U,B724)</f>
        <v>0</v>
      </c>
    </row>
    <row r="725" spans="1:23" ht="24.95" hidden="1" customHeight="1" x14ac:dyDescent="0.4">
      <c r="A725" s="17" t="s">
        <v>57</v>
      </c>
      <c r="B725" s="15" t="s">
        <v>294</v>
      </c>
      <c r="C725" s="16" t="s">
        <v>31</v>
      </c>
      <c r="D725" s="16" t="s">
        <v>31</v>
      </c>
      <c r="E725" s="15" t="s">
        <v>32</v>
      </c>
      <c r="F725" s="15" t="s">
        <v>314</v>
      </c>
      <c r="N725" s="21" t="s">
        <v>96</v>
      </c>
      <c r="O725" s="21" t="s">
        <v>336</v>
      </c>
      <c r="Q725" s="21" t="s">
        <v>344</v>
      </c>
      <c r="R725" s="22">
        <v>45756</v>
      </c>
      <c r="W725">
        <f>COUNTIF(対面共同!U:U,B725)</f>
        <v>0</v>
      </c>
    </row>
    <row r="726" spans="1:23" ht="24.95" hidden="1" customHeight="1" x14ac:dyDescent="0.4">
      <c r="A726" s="17" t="s">
        <v>57</v>
      </c>
      <c r="B726" s="15" t="s">
        <v>295</v>
      </c>
      <c r="C726" s="16" t="s">
        <v>31</v>
      </c>
      <c r="D726" s="16" t="s">
        <v>31</v>
      </c>
      <c r="E726" s="15" t="s">
        <v>32</v>
      </c>
      <c r="F726" s="15" t="s">
        <v>314</v>
      </c>
      <c r="N726" s="21" t="s">
        <v>96</v>
      </c>
      <c r="O726" s="21" t="s">
        <v>336</v>
      </c>
      <c r="Q726" s="21" t="s">
        <v>344</v>
      </c>
      <c r="R726" s="22">
        <v>45756</v>
      </c>
      <c r="W726">
        <f>COUNTIF(対面共同!U:U,B726)</f>
        <v>0</v>
      </c>
    </row>
    <row r="727" spans="1:23" ht="24.95" hidden="1" customHeight="1" x14ac:dyDescent="0.4">
      <c r="A727" s="17" t="s">
        <v>57</v>
      </c>
      <c r="B727" s="15" t="s">
        <v>296</v>
      </c>
      <c r="C727" s="16" t="s">
        <v>31</v>
      </c>
      <c r="D727" s="16" t="s">
        <v>31</v>
      </c>
      <c r="E727" s="15" t="s">
        <v>32</v>
      </c>
      <c r="F727" s="15" t="s">
        <v>314</v>
      </c>
      <c r="N727" s="21" t="s">
        <v>96</v>
      </c>
      <c r="O727" s="21" t="s">
        <v>336</v>
      </c>
      <c r="Q727" s="21" t="s">
        <v>344</v>
      </c>
      <c r="R727" s="22">
        <v>45756</v>
      </c>
      <c r="W727">
        <f>COUNTIF(対面共同!U:U,B727)</f>
        <v>0</v>
      </c>
    </row>
    <row r="728" spans="1:23" ht="24.95" hidden="1" customHeight="1" x14ac:dyDescent="0.4">
      <c r="A728" s="17" t="s">
        <v>57</v>
      </c>
      <c r="B728" s="15" t="s">
        <v>297</v>
      </c>
      <c r="C728" s="16" t="s">
        <v>31</v>
      </c>
      <c r="D728" s="16" t="s">
        <v>31</v>
      </c>
      <c r="E728" s="15" t="s">
        <v>32</v>
      </c>
      <c r="F728" s="15" t="s">
        <v>314</v>
      </c>
      <c r="N728" s="21" t="s">
        <v>96</v>
      </c>
      <c r="O728" s="21" t="s">
        <v>336</v>
      </c>
      <c r="Q728" s="21" t="s">
        <v>344</v>
      </c>
      <c r="R728" s="22">
        <v>45756</v>
      </c>
      <c r="W728">
        <f>COUNTIF(対面共同!U:U,B728)</f>
        <v>0</v>
      </c>
    </row>
    <row r="729" spans="1:23" ht="24.95" hidden="1" customHeight="1" x14ac:dyDescent="0.4">
      <c r="A729" s="17" t="s">
        <v>57</v>
      </c>
      <c r="B729" s="15" t="s">
        <v>298</v>
      </c>
      <c r="C729" s="16" t="s">
        <v>31</v>
      </c>
      <c r="D729" s="16" t="s">
        <v>31</v>
      </c>
      <c r="E729" s="15" t="s">
        <v>32</v>
      </c>
      <c r="F729" s="15" t="s">
        <v>314</v>
      </c>
      <c r="N729" s="21" t="s">
        <v>96</v>
      </c>
      <c r="O729" s="21" t="s">
        <v>336</v>
      </c>
      <c r="Q729" s="21" t="s">
        <v>344</v>
      </c>
      <c r="R729" s="22">
        <v>45756</v>
      </c>
      <c r="W729">
        <f>COUNTIF(対面共同!U:U,B729)</f>
        <v>0</v>
      </c>
    </row>
    <row r="730" spans="1:23" ht="24.95" hidden="1" customHeight="1" x14ac:dyDescent="0.4">
      <c r="A730" s="17" t="s">
        <v>57</v>
      </c>
      <c r="B730" s="15" t="s">
        <v>299</v>
      </c>
      <c r="C730" s="16" t="s">
        <v>31</v>
      </c>
      <c r="D730" s="16" t="s">
        <v>31</v>
      </c>
      <c r="E730" s="15" t="s">
        <v>32</v>
      </c>
      <c r="F730" s="15" t="s">
        <v>314</v>
      </c>
      <c r="N730" s="21" t="s">
        <v>96</v>
      </c>
      <c r="O730" s="21" t="s">
        <v>336</v>
      </c>
      <c r="Q730" s="21" t="s">
        <v>344</v>
      </c>
      <c r="R730" s="22">
        <v>45756</v>
      </c>
      <c r="W730">
        <f>COUNTIF(対面共同!U:U,B730)</f>
        <v>0</v>
      </c>
    </row>
    <row r="731" spans="1:23" ht="24.95" hidden="1" customHeight="1" x14ac:dyDescent="0.4">
      <c r="A731" s="17" t="s">
        <v>57</v>
      </c>
      <c r="B731" s="15" t="s">
        <v>300</v>
      </c>
      <c r="C731" s="16" t="s">
        <v>31</v>
      </c>
      <c r="D731" s="16" t="s">
        <v>31</v>
      </c>
      <c r="E731" s="15" t="s">
        <v>32</v>
      </c>
      <c r="F731" s="15" t="s">
        <v>314</v>
      </c>
      <c r="N731" s="21" t="s">
        <v>96</v>
      </c>
      <c r="O731" s="21" t="s">
        <v>336</v>
      </c>
      <c r="Q731" s="21" t="s">
        <v>344</v>
      </c>
      <c r="R731" s="22">
        <v>45756</v>
      </c>
      <c r="W731">
        <f>COUNTIF(対面共同!U:U,B731)</f>
        <v>0</v>
      </c>
    </row>
    <row r="732" spans="1:23" ht="24.95" hidden="1" customHeight="1" x14ac:dyDescent="0.4">
      <c r="A732" s="17" t="s">
        <v>57</v>
      </c>
      <c r="B732" s="15" t="s">
        <v>301</v>
      </c>
      <c r="C732" s="16" t="s">
        <v>31</v>
      </c>
      <c r="D732" s="16" t="s">
        <v>31</v>
      </c>
      <c r="E732" s="15" t="s">
        <v>32</v>
      </c>
      <c r="F732" s="15" t="s">
        <v>314</v>
      </c>
      <c r="N732" s="21" t="s">
        <v>96</v>
      </c>
      <c r="O732" s="21" t="s">
        <v>336</v>
      </c>
      <c r="Q732" s="21" t="s">
        <v>344</v>
      </c>
      <c r="R732" s="22">
        <v>45756</v>
      </c>
      <c r="W732">
        <f>COUNTIF(対面共同!U:U,B732)</f>
        <v>0</v>
      </c>
    </row>
    <row r="733" spans="1:23" ht="24.95" hidden="1" customHeight="1" x14ac:dyDescent="0.4">
      <c r="A733" s="17" t="s">
        <v>57</v>
      </c>
      <c r="B733" s="15" t="s">
        <v>302</v>
      </c>
      <c r="C733" s="16" t="s">
        <v>31</v>
      </c>
      <c r="D733" s="16" t="s">
        <v>31</v>
      </c>
      <c r="E733" s="15" t="s">
        <v>32</v>
      </c>
      <c r="F733" s="15" t="s">
        <v>314</v>
      </c>
      <c r="N733" s="21" t="s">
        <v>96</v>
      </c>
      <c r="O733" s="21" t="s">
        <v>336</v>
      </c>
      <c r="Q733" s="21" t="s">
        <v>344</v>
      </c>
      <c r="R733" s="22">
        <v>45756</v>
      </c>
      <c r="W733">
        <f>COUNTIF(対面共同!U:U,B733)</f>
        <v>0</v>
      </c>
    </row>
    <row r="734" spans="1:23" ht="24.95" hidden="1" customHeight="1" x14ac:dyDescent="0.4">
      <c r="A734" s="17" t="s">
        <v>57</v>
      </c>
      <c r="B734" s="15" t="s">
        <v>303</v>
      </c>
      <c r="C734" s="16" t="s">
        <v>31</v>
      </c>
      <c r="D734" s="16" t="s">
        <v>31</v>
      </c>
      <c r="E734" s="15" t="s">
        <v>32</v>
      </c>
      <c r="F734" s="15" t="s">
        <v>314</v>
      </c>
      <c r="N734" s="21" t="s">
        <v>96</v>
      </c>
      <c r="O734" s="21" t="s">
        <v>336</v>
      </c>
      <c r="Q734" s="21" t="s">
        <v>344</v>
      </c>
      <c r="R734" s="22">
        <v>45756</v>
      </c>
      <c r="W734">
        <f>COUNTIF(対面共同!U:U,B734)</f>
        <v>0</v>
      </c>
    </row>
    <row r="735" spans="1:23" ht="24.95" hidden="1" customHeight="1" x14ac:dyDescent="0.4">
      <c r="A735" s="17" t="s">
        <v>57</v>
      </c>
      <c r="B735" s="15" t="s">
        <v>304</v>
      </c>
      <c r="C735" s="16" t="s">
        <v>31</v>
      </c>
      <c r="D735" s="16" t="s">
        <v>31</v>
      </c>
      <c r="E735" s="15" t="s">
        <v>32</v>
      </c>
      <c r="F735" s="15" t="s">
        <v>314</v>
      </c>
      <c r="N735" s="21" t="s">
        <v>96</v>
      </c>
      <c r="O735" s="21" t="s">
        <v>336</v>
      </c>
      <c r="Q735" s="21" t="s">
        <v>344</v>
      </c>
      <c r="R735" s="22">
        <v>45756</v>
      </c>
      <c r="W735">
        <f>COUNTIF(対面共同!U:U,B735)</f>
        <v>0</v>
      </c>
    </row>
    <row r="736" spans="1:23" ht="24.95" hidden="1" customHeight="1" x14ac:dyDescent="0.4">
      <c r="A736" s="17" t="s">
        <v>57</v>
      </c>
      <c r="B736" s="15" t="s">
        <v>305</v>
      </c>
      <c r="C736" s="16" t="s">
        <v>31</v>
      </c>
      <c r="D736" s="16" t="s">
        <v>31</v>
      </c>
      <c r="E736" s="15" t="s">
        <v>32</v>
      </c>
      <c r="F736" s="15" t="s">
        <v>314</v>
      </c>
      <c r="N736" s="21" t="s">
        <v>96</v>
      </c>
      <c r="O736" s="21" t="s">
        <v>336</v>
      </c>
      <c r="Q736" s="21" t="s">
        <v>344</v>
      </c>
      <c r="R736" s="22">
        <v>45756</v>
      </c>
      <c r="W736">
        <f>COUNTIF(対面共同!U:U,B736)</f>
        <v>0</v>
      </c>
    </row>
    <row r="737" spans="1:23" ht="24.95" hidden="1" customHeight="1" x14ac:dyDescent="0.4">
      <c r="A737" s="17" t="s">
        <v>57</v>
      </c>
      <c r="B737" s="15" t="s">
        <v>370</v>
      </c>
      <c r="C737" s="16" t="s">
        <v>31</v>
      </c>
      <c r="D737" s="16" t="s">
        <v>31</v>
      </c>
      <c r="E737" s="15" t="s">
        <v>32</v>
      </c>
      <c r="F737" s="15" t="s">
        <v>365</v>
      </c>
      <c r="N737" s="21" t="s">
        <v>374</v>
      </c>
      <c r="O737" s="21" t="s">
        <v>373</v>
      </c>
      <c r="Q737" s="21" t="s">
        <v>344</v>
      </c>
      <c r="R737" s="22">
        <v>45883</v>
      </c>
      <c r="W737">
        <f>COUNTIF(対面共同!U:U,B737)</f>
        <v>0</v>
      </c>
    </row>
    <row r="738" spans="1:23" ht="24.95" hidden="1" customHeight="1" x14ac:dyDescent="0.4">
      <c r="A738" s="17" t="s">
        <v>57</v>
      </c>
      <c r="B738" s="15" t="s">
        <v>371</v>
      </c>
      <c r="C738" s="16" t="s">
        <v>31</v>
      </c>
      <c r="D738" s="16" t="s">
        <v>31</v>
      </c>
      <c r="E738" s="15" t="s">
        <v>32</v>
      </c>
      <c r="F738" s="15" t="s">
        <v>365</v>
      </c>
      <c r="N738" s="21" t="s">
        <v>374</v>
      </c>
      <c r="O738" s="21" t="s">
        <v>373</v>
      </c>
      <c r="Q738" s="21" t="s">
        <v>344</v>
      </c>
      <c r="R738" s="22">
        <v>45883</v>
      </c>
      <c r="W738">
        <f>COUNTIF(対面共同!U:U,B738)</f>
        <v>0</v>
      </c>
    </row>
    <row r="739" spans="1:23" ht="24.95" hidden="1" customHeight="1" x14ac:dyDescent="0.4">
      <c r="A739" s="17" t="s">
        <v>57</v>
      </c>
      <c r="B739" s="15" t="s">
        <v>306</v>
      </c>
      <c r="C739" s="16" t="s">
        <v>24</v>
      </c>
      <c r="D739" s="16" t="s">
        <v>31</v>
      </c>
      <c r="E739" s="15" t="s">
        <v>35</v>
      </c>
      <c r="F739" s="15" t="s">
        <v>314</v>
      </c>
      <c r="N739" s="21" t="s">
        <v>96</v>
      </c>
      <c r="O739" s="21" t="s">
        <v>336</v>
      </c>
      <c r="Q739" s="21" t="s">
        <v>344</v>
      </c>
      <c r="R739" s="22">
        <v>45756</v>
      </c>
      <c r="W739">
        <f>COUNTIF(対面共同!U:U,B739)</f>
        <v>0</v>
      </c>
    </row>
    <row r="740" spans="1:23" ht="24.95" hidden="1" customHeight="1" x14ac:dyDescent="0.4">
      <c r="A740" s="17" t="s">
        <v>57</v>
      </c>
      <c r="B740" s="15" t="s">
        <v>307</v>
      </c>
      <c r="C740" s="16" t="s">
        <v>31</v>
      </c>
      <c r="D740" s="16" t="s">
        <v>31</v>
      </c>
      <c r="E740" s="15" t="s">
        <v>32</v>
      </c>
      <c r="F740" s="15" t="s">
        <v>314</v>
      </c>
      <c r="N740" s="21" t="s">
        <v>96</v>
      </c>
      <c r="O740" s="21" t="s">
        <v>336</v>
      </c>
      <c r="Q740" s="21" t="s">
        <v>344</v>
      </c>
      <c r="R740" s="22">
        <v>45756</v>
      </c>
      <c r="W740">
        <f>COUNTIF(対面共同!U:U,B740)</f>
        <v>0</v>
      </c>
    </row>
    <row r="741" spans="1:23" ht="24.95" hidden="1" customHeight="1" x14ac:dyDescent="0.4">
      <c r="A741" s="17" t="s">
        <v>57</v>
      </c>
      <c r="B741" s="15" t="s">
        <v>38</v>
      </c>
      <c r="C741" s="16" t="s">
        <v>31</v>
      </c>
      <c r="D741" s="16" t="s">
        <v>31</v>
      </c>
      <c r="E741" s="15" t="s">
        <v>32</v>
      </c>
      <c r="F741" s="15" t="s">
        <v>107</v>
      </c>
      <c r="N741" s="21" t="s">
        <v>96</v>
      </c>
      <c r="O741" s="13" t="s">
        <v>353</v>
      </c>
      <c r="Q741" s="21" t="s">
        <v>344</v>
      </c>
      <c r="R741" s="22">
        <v>45814</v>
      </c>
      <c r="W741">
        <f>COUNTIF(対面共同!U:U,B741)</f>
        <v>0</v>
      </c>
    </row>
    <row r="742" spans="1:23" ht="24.95" hidden="1" customHeight="1" x14ac:dyDescent="0.4">
      <c r="A742" s="17" t="s">
        <v>57</v>
      </c>
      <c r="B742" s="15" t="s">
        <v>119</v>
      </c>
      <c r="C742" s="16" t="s">
        <v>31</v>
      </c>
      <c r="D742" s="16" t="s">
        <v>31</v>
      </c>
      <c r="E742" s="15" t="s">
        <v>32</v>
      </c>
      <c r="F742" s="15" t="s">
        <v>365</v>
      </c>
      <c r="N742" s="21" t="s">
        <v>374</v>
      </c>
      <c r="O742" s="21" t="s">
        <v>375</v>
      </c>
      <c r="Q742" s="21" t="s">
        <v>344</v>
      </c>
      <c r="R742" s="22">
        <v>45883</v>
      </c>
      <c r="W742">
        <f>COUNTIF(対面共同!U:U,B742)</f>
        <v>0</v>
      </c>
    </row>
    <row r="743" spans="1:23" ht="24.95" hidden="1" customHeight="1" x14ac:dyDescent="0.4">
      <c r="A743" s="17" t="s">
        <v>57</v>
      </c>
      <c r="B743" s="15" t="s">
        <v>120</v>
      </c>
      <c r="C743" s="16" t="s">
        <v>31</v>
      </c>
      <c r="D743" s="16" t="s">
        <v>31</v>
      </c>
      <c r="E743" s="15" t="s">
        <v>32</v>
      </c>
      <c r="F743" s="15" t="s">
        <v>314</v>
      </c>
      <c r="N743" s="21" t="s">
        <v>96</v>
      </c>
      <c r="O743" s="13" t="s">
        <v>339</v>
      </c>
      <c r="Q743" s="21" t="s">
        <v>344</v>
      </c>
      <c r="R743" s="22">
        <v>45756</v>
      </c>
      <c r="W743">
        <f>COUNTIF(対面共同!U:U,B743)</f>
        <v>0</v>
      </c>
    </row>
    <row r="744" spans="1:23" ht="24.95" hidden="1" customHeight="1" x14ac:dyDescent="0.4">
      <c r="A744" s="17" t="s">
        <v>57</v>
      </c>
      <c r="B744" s="15" t="s">
        <v>39</v>
      </c>
      <c r="C744" s="16" t="s">
        <v>31</v>
      </c>
      <c r="D744" s="16" t="s">
        <v>31</v>
      </c>
      <c r="E744" s="15" t="s">
        <v>32</v>
      </c>
      <c r="F744" s="15" t="s">
        <v>129</v>
      </c>
      <c r="N744" s="21" t="s">
        <v>96</v>
      </c>
      <c r="O744" s="13" t="s">
        <v>350</v>
      </c>
      <c r="Q744" s="21" t="s">
        <v>344</v>
      </c>
      <c r="R744" s="22">
        <v>45814</v>
      </c>
      <c r="W744">
        <f>COUNTIF(対面共同!U:U,B744)</f>
        <v>0</v>
      </c>
    </row>
    <row r="745" spans="1:23" ht="24.95" hidden="1" customHeight="1" x14ac:dyDescent="0.4">
      <c r="A745" s="17" t="s">
        <v>57</v>
      </c>
      <c r="B745" s="15" t="s">
        <v>220</v>
      </c>
      <c r="C745" s="16" t="s">
        <v>31</v>
      </c>
      <c r="D745" s="16" t="s">
        <v>31</v>
      </c>
      <c r="E745" s="15" t="s">
        <v>32</v>
      </c>
      <c r="F745" s="15" t="s">
        <v>314</v>
      </c>
      <c r="N745" s="21" t="s">
        <v>96</v>
      </c>
      <c r="O745" s="21" t="s">
        <v>338</v>
      </c>
      <c r="Q745" s="21" t="s">
        <v>344</v>
      </c>
      <c r="R745" s="22">
        <v>45756</v>
      </c>
      <c r="W745">
        <f>COUNTIF(対面共同!U:U,B745)</f>
        <v>0</v>
      </c>
    </row>
    <row r="746" spans="1:23" ht="24.95" hidden="1" customHeight="1" x14ac:dyDescent="0.4">
      <c r="A746" s="17" t="s">
        <v>57</v>
      </c>
      <c r="B746" s="15" t="s">
        <v>172</v>
      </c>
      <c r="C746" s="16" t="s">
        <v>31</v>
      </c>
      <c r="D746" s="16" t="s">
        <v>31</v>
      </c>
      <c r="E746" s="15" t="s">
        <v>32</v>
      </c>
      <c r="F746" s="15" t="s">
        <v>173</v>
      </c>
      <c r="N746" s="21" t="s">
        <v>96</v>
      </c>
      <c r="O746" s="21" t="s">
        <v>336</v>
      </c>
      <c r="Q746" s="21" t="s">
        <v>344</v>
      </c>
      <c r="R746" s="22">
        <v>45814</v>
      </c>
      <c r="W746">
        <f>COUNTIF(対面共同!U:U,B746)</f>
        <v>0</v>
      </c>
    </row>
    <row r="747" spans="1:23" ht="24.95" hidden="1" customHeight="1" x14ac:dyDescent="0.4">
      <c r="A747" s="17" t="s">
        <v>57</v>
      </c>
      <c r="B747" s="15" t="s">
        <v>111</v>
      </c>
      <c r="C747" s="16" t="s">
        <v>31</v>
      </c>
      <c r="D747" s="16" t="s">
        <v>31</v>
      </c>
      <c r="E747" s="15" t="s">
        <v>32</v>
      </c>
      <c r="F747" s="15" t="s">
        <v>314</v>
      </c>
      <c r="N747" s="21" t="s">
        <v>96</v>
      </c>
      <c r="O747" s="13" t="s">
        <v>339</v>
      </c>
      <c r="Q747" s="21" t="s">
        <v>344</v>
      </c>
      <c r="R747" s="22">
        <v>45756</v>
      </c>
      <c r="W747">
        <f>COUNTIF(対面共同!U:U,B747)</f>
        <v>0</v>
      </c>
    </row>
    <row r="748" spans="1:23" ht="24.95" hidden="1" customHeight="1" x14ac:dyDescent="0.4">
      <c r="A748" s="17" t="s">
        <v>57</v>
      </c>
      <c r="B748" s="15" t="s">
        <v>42</v>
      </c>
      <c r="C748" s="16" t="s">
        <v>31</v>
      </c>
      <c r="D748" s="16" t="s">
        <v>31</v>
      </c>
      <c r="E748" s="15" t="s">
        <v>32</v>
      </c>
      <c r="F748" s="15" t="s">
        <v>129</v>
      </c>
      <c r="N748" s="21" t="s">
        <v>96</v>
      </c>
      <c r="O748" s="13" t="s">
        <v>351</v>
      </c>
      <c r="Q748" s="21" t="s">
        <v>344</v>
      </c>
      <c r="R748" s="22">
        <v>45814</v>
      </c>
      <c r="W748">
        <f>COUNTIF(対面共同!U:U,B748)</f>
        <v>0</v>
      </c>
    </row>
    <row r="749" spans="1:23" ht="24.95" hidden="1" customHeight="1" x14ac:dyDescent="0.4">
      <c r="A749" s="17" t="s">
        <v>57</v>
      </c>
      <c r="B749" s="15" t="s">
        <v>330</v>
      </c>
      <c r="C749" s="16" t="s">
        <v>31</v>
      </c>
      <c r="D749" s="16" t="s">
        <v>31</v>
      </c>
      <c r="E749" s="15" t="s">
        <v>32</v>
      </c>
      <c r="F749" s="15" t="s">
        <v>314</v>
      </c>
      <c r="N749" s="21" t="s">
        <v>96</v>
      </c>
      <c r="O749" s="21" t="s">
        <v>338</v>
      </c>
      <c r="Q749" s="21" t="s">
        <v>344</v>
      </c>
      <c r="R749" s="22">
        <v>45756</v>
      </c>
      <c r="W749">
        <f>COUNTIF(対面共同!U:U,B749)</f>
        <v>0</v>
      </c>
    </row>
    <row r="750" spans="1:23" ht="24.95" hidden="1" customHeight="1" x14ac:dyDescent="0.4">
      <c r="A750" s="17" t="s">
        <v>57</v>
      </c>
      <c r="B750" s="15" t="s">
        <v>43</v>
      </c>
      <c r="C750" s="16" t="s">
        <v>31</v>
      </c>
      <c r="D750" s="16" t="s">
        <v>31</v>
      </c>
      <c r="E750" s="15" t="s">
        <v>32</v>
      </c>
      <c r="F750" s="15" t="s">
        <v>356</v>
      </c>
      <c r="N750" s="21" t="s">
        <v>96</v>
      </c>
      <c r="O750" s="21" t="s">
        <v>360</v>
      </c>
      <c r="Q750" s="21" t="s">
        <v>344</v>
      </c>
      <c r="R750" s="22">
        <v>45847</v>
      </c>
      <c r="W750">
        <f>COUNTIF(対面共同!U:U,B750)</f>
        <v>0</v>
      </c>
    </row>
    <row r="751" spans="1:23" ht="24.95" hidden="1" customHeight="1" x14ac:dyDescent="0.4">
      <c r="A751" s="17" t="s">
        <v>57</v>
      </c>
      <c r="B751" s="15" t="s">
        <v>343</v>
      </c>
      <c r="C751" s="16" t="s">
        <v>31</v>
      </c>
      <c r="D751" s="16" t="s">
        <v>31</v>
      </c>
      <c r="E751" s="15" t="s">
        <v>32</v>
      </c>
      <c r="F751" s="15" t="s">
        <v>340</v>
      </c>
      <c r="N751" s="21" t="s">
        <v>96</v>
      </c>
      <c r="O751" s="21" t="s">
        <v>345</v>
      </c>
      <c r="Q751" s="21" t="s">
        <v>344</v>
      </c>
      <c r="R751" s="22">
        <v>45784</v>
      </c>
      <c r="W751">
        <f>COUNTIF(対面共同!U:U,B751)</f>
        <v>0</v>
      </c>
    </row>
    <row r="752" spans="1:23" ht="24.95" hidden="1" customHeight="1" x14ac:dyDescent="0.4">
      <c r="A752" s="17" t="s">
        <v>57</v>
      </c>
      <c r="B752" s="15" t="s">
        <v>121</v>
      </c>
      <c r="C752" s="16" t="s">
        <v>31</v>
      </c>
      <c r="D752" s="16" t="s">
        <v>31</v>
      </c>
      <c r="E752" s="15" t="s">
        <v>32</v>
      </c>
      <c r="F752" s="15" t="s">
        <v>314</v>
      </c>
      <c r="N752" s="21" t="s">
        <v>96</v>
      </c>
      <c r="O752" s="21" t="s">
        <v>336</v>
      </c>
      <c r="Q752" s="21" t="s">
        <v>344</v>
      </c>
      <c r="R752" s="22">
        <v>45756</v>
      </c>
      <c r="W752">
        <f>COUNTIF(対面共同!U:U,B752)</f>
        <v>0</v>
      </c>
    </row>
    <row r="753" spans="1:26" ht="24.95" hidden="1" customHeight="1" x14ac:dyDescent="0.4">
      <c r="A753" s="17" t="s">
        <v>57</v>
      </c>
      <c r="B753" s="15" t="s">
        <v>44</v>
      </c>
      <c r="C753" s="16" t="s">
        <v>31</v>
      </c>
      <c r="D753" s="16" t="s">
        <v>31</v>
      </c>
      <c r="E753" s="15" t="s">
        <v>32</v>
      </c>
      <c r="F753" s="15" t="s">
        <v>221</v>
      </c>
      <c r="N753" s="21" t="s">
        <v>96</v>
      </c>
      <c r="O753" s="13" t="s">
        <v>359</v>
      </c>
      <c r="Q753" s="21" t="s">
        <v>344</v>
      </c>
      <c r="R753" s="22">
        <v>45814</v>
      </c>
      <c r="W753">
        <f>COUNTIF(対面共同!U:U,B753)</f>
        <v>0</v>
      </c>
    </row>
    <row r="754" spans="1:26" ht="24.95" hidden="1" customHeight="1" x14ac:dyDescent="0.4">
      <c r="A754" s="17" t="s">
        <v>57</v>
      </c>
      <c r="B754" s="15" t="s">
        <v>45</v>
      </c>
      <c r="C754" s="16" t="s">
        <v>31</v>
      </c>
      <c r="D754" s="16" t="s">
        <v>31</v>
      </c>
      <c r="E754" s="15" t="s">
        <v>32</v>
      </c>
      <c r="F754" s="15" t="s">
        <v>314</v>
      </c>
      <c r="N754" s="21" t="s">
        <v>96</v>
      </c>
      <c r="O754" s="21" t="s">
        <v>338</v>
      </c>
      <c r="Q754" s="21" t="s">
        <v>344</v>
      </c>
      <c r="R754" s="22">
        <v>45756</v>
      </c>
      <c r="W754">
        <f>COUNTIF(対面共同!U:U,B754)</f>
        <v>0</v>
      </c>
    </row>
    <row r="755" spans="1:26" ht="24.95" customHeight="1" x14ac:dyDescent="0.4">
      <c r="A755" s="17" t="s">
        <v>57</v>
      </c>
      <c r="B755" s="50" t="s">
        <v>469</v>
      </c>
      <c r="C755" s="16" t="s">
        <v>31</v>
      </c>
      <c r="D755" s="16" t="s">
        <v>31</v>
      </c>
      <c r="E755" s="15" t="s">
        <v>32</v>
      </c>
      <c r="F755" s="15" t="s">
        <v>365</v>
      </c>
      <c r="N755" s="21" t="s">
        <v>374</v>
      </c>
      <c r="O755" s="13" t="s">
        <v>468</v>
      </c>
      <c r="Q755" s="21" t="s">
        <v>344</v>
      </c>
      <c r="R755" s="22">
        <v>45883</v>
      </c>
      <c r="W755">
        <f>COUNTIF(対面共同!U:U,B755)</f>
        <v>0</v>
      </c>
    </row>
    <row r="756" spans="1:26" ht="24.95" hidden="1" customHeight="1" x14ac:dyDescent="0.4">
      <c r="A756" s="17" t="s">
        <v>57</v>
      </c>
      <c r="B756" s="50" t="s">
        <v>91</v>
      </c>
      <c r="C756" s="16" t="s">
        <v>31</v>
      </c>
      <c r="D756" s="16" t="s">
        <v>31</v>
      </c>
      <c r="E756" s="15" t="s">
        <v>32</v>
      </c>
      <c r="F756" s="15" t="s">
        <v>356</v>
      </c>
      <c r="N756" s="21" t="s">
        <v>96</v>
      </c>
      <c r="O756" s="21" t="s">
        <v>360</v>
      </c>
      <c r="Q756" s="21" t="s">
        <v>344</v>
      </c>
      <c r="R756" s="22">
        <v>45847</v>
      </c>
      <c r="W756">
        <f>COUNTIF(対面共同!U:U,B756)</f>
        <v>0</v>
      </c>
    </row>
    <row r="757" spans="1:26" ht="24.95" hidden="1" customHeight="1" x14ac:dyDescent="0.4">
      <c r="A757" s="17" t="s">
        <v>57</v>
      </c>
      <c r="B757" s="50" t="s">
        <v>222</v>
      </c>
      <c r="C757" s="16" t="s">
        <v>31</v>
      </c>
      <c r="D757" s="16" t="s">
        <v>24</v>
      </c>
      <c r="E757" s="15" t="s">
        <v>50</v>
      </c>
      <c r="F757" s="15" t="s">
        <v>221</v>
      </c>
      <c r="G757" s="25" t="s">
        <v>23</v>
      </c>
      <c r="H757" s="24" t="s">
        <v>331</v>
      </c>
      <c r="I757" s="24" t="s">
        <v>332</v>
      </c>
      <c r="J757" s="24" t="s">
        <v>333</v>
      </c>
      <c r="K757" s="23" t="s">
        <v>334</v>
      </c>
      <c r="M757" s="21" t="s">
        <v>81</v>
      </c>
      <c r="N757" s="21" t="s">
        <v>92</v>
      </c>
      <c r="O757" s="21" t="s">
        <v>209</v>
      </c>
      <c r="P757" s="21" t="s">
        <v>213</v>
      </c>
      <c r="Q757" s="21" t="s">
        <v>169</v>
      </c>
      <c r="R757" s="22">
        <v>45756</v>
      </c>
      <c r="W757">
        <f>COUNTIF(対面共同!U:U,B757)</f>
        <v>0</v>
      </c>
      <c r="Z757" t="str">
        <f>A757&amp;" "&amp;B757</f>
        <v>P0 cw info_409test.html</v>
      </c>
    </row>
    <row r="758" spans="1:26" ht="24.95" hidden="1" customHeight="1" x14ac:dyDescent="0.4">
      <c r="A758" s="17" t="s">
        <v>214</v>
      </c>
      <c r="B758" s="15" t="s">
        <v>215</v>
      </c>
      <c r="C758" s="16" t="s">
        <v>24</v>
      </c>
      <c r="D758" s="16" t="s">
        <v>31</v>
      </c>
      <c r="E758" s="15" t="s">
        <v>35</v>
      </c>
      <c r="F758" s="15" t="s">
        <v>212</v>
      </c>
      <c r="G758" s="25" t="s">
        <v>23</v>
      </c>
      <c r="H758" s="24" t="s">
        <v>223</v>
      </c>
      <c r="M758" s="21" t="s">
        <v>81</v>
      </c>
      <c r="N758" s="21" t="s">
        <v>137</v>
      </c>
      <c r="O758" s="21" t="s">
        <v>209</v>
      </c>
      <c r="P758" s="21" t="s">
        <v>213</v>
      </c>
      <c r="Q758" s="21" t="s">
        <v>169</v>
      </c>
      <c r="R758" s="22">
        <v>45756</v>
      </c>
      <c r="W758">
        <f>COUNTIF(リテラ・クレア証券対面ネット!U:U,B758)</f>
        <v>0</v>
      </c>
      <c r="Z758" t="s">
        <v>434</v>
      </c>
    </row>
    <row r="759" spans="1:26" ht="24.95" hidden="1" customHeight="1" x14ac:dyDescent="0.4">
      <c r="A759" s="17" t="s">
        <v>214</v>
      </c>
      <c r="B759" s="15" t="s">
        <v>115</v>
      </c>
      <c r="C759" s="16" t="s">
        <v>31</v>
      </c>
      <c r="D759" s="16" t="s">
        <v>31</v>
      </c>
      <c r="E759" s="15" t="s">
        <v>32</v>
      </c>
      <c r="F759" s="15" t="s">
        <v>212</v>
      </c>
      <c r="N759" s="21" t="s">
        <v>96</v>
      </c>
      <c r="O759" s="21" t="s">
        <v>337</v>
      </c>
      <c r="Q759" s="21" t="s">
        <v>344</v>
      </c>
      <c r="R759" s="22">
        <v>45814</v>
      </c>
      <c r="W759">
        <f>COUNTIF(リテラ・クレア証券対面ネット!U:U,B759)</f>
        <v>0</v>
      </c>
    </row>
    <row r="760" spans="1:26" ht="24.95" hidden="1" customHeight="1" x14ac:dyDescent="0.4">
      <c r="A760" s="17" t="s">
        <v>214</v>
      </c>
      <c r="B760" s="15" t="s">
        <v>313</v>
      </c>
      <c r="C760" s="16" t="s">
        <v>24</v>
      </c>
      <c r="D760" s="16" t="s">
        <v>31</v>
      </c>
      <c r="E760" s="15" t="s">
        <v>35</v>
      </c>
      <c r="F760" s="15" t="s">
        <v>314</v>
      </c>
      <c r="N760" s="21" t="s">
        <v>96</v>
      </c>
      <c r="O760" s="21" t="s">
        <v>337</v>
      </c>
      <c r="Q760" s="21" t="s">
        <v>344</v>
      </c>
      <c r="R760" s="22">
        <v>45756</v>
      </c>
      <c r="W760">
        <f>COUNTIF(リテラ・クレア証券対面ネット!U:U,B760)</f>
        <v>0</v>
      </c>
    </row>
    <row r="761" spans="1:26" ht="24.95" hidden="1" customHeight="1" x14ac:dyDescent="0.4">
      <c r="A761" s="17" t="s">
        <v>214</v>
      </c>
      <c r="B761" s="15" t="s">
        <v>315</v>
      </c>
      <c r="C761" s="16" t="s">
        <v>24</v>
      </c>
      <c r="D761" s="16" t="s">
        <v>31</v>
      </c>
      <c r="E761" s="15" t="s">
        <v>35</v>
      </c>
      <c r="F761" s="15" t="s">
        <v>314</v>
      </c>
      <c r="N761" s="21" t="s">
        <v>96</v>
      </c>
      <c r="O761" s="21" t="s">
        <v>337</v>
      </c>
      <c r="Q761" s="21" t="s">
        <v>344</v>
      </c>
      <c r="R761" s="22">
        <v>45756</v>
      </c>
      <c r="W761">
        <f>COUNTIF(リテラ・クレア証券対面ネット!U:U,B761)</f>
        <v>0</v>
      </c>
    </row>
    <row r="762" spans="1:26" ht="24.95" hidden="1" customHeight="1" x14ac:dyDescent="0.4">
      <c r="A762" s="17" t="s">
        <v>214</v>
      </c>
      <c r="B762" s="15" t="s">
        <v>316</v>
      </c>
      <c r="C762" s="16" t="s">
        <v>24</v>
      </c>
      <c r="D762" s="16" t="s">
        <v>31</v>
      </c>
      <c r="E762" s="15" t="s">
        <v>35</v>
      </c>
      <c r="F762" s="15" t="s">
        <v>314</v>
      </c>
      <c r="N762" s="21" t="s">
        <v>96</v>
      </c>
      <c r="O762" s="21" t="s">
        <v>337</v>
      </c>
      <c r="Q762" s="21" t="s">
        <v>344</v>
      </c>
      <c r="R762" s="22">
        <v>45756</v>
      </c>
      <c r="W762">
        <f>COUNTIF(リテラ・クレア証券対面ネット!U:U,B762)</f>
        <v>0</v>
      </c>
    </row>
    <row r="763" spans="1:26" ht="24.95" hidden="1" customHeight="1" x14ac:dyDescent="0.4">
      <c r="A763" s="17" t="s">
        <v>214</v>
      </c>
      <c r="B763" s="15" t="s">
        <v>317</v>
      </c>
      <c r="C763" s="16" t="s">
        <v>24</v>
      </c>
      <c r="D763" s="16" t="s">
        <v>31</v>
      </c>
      <c r="E763" s="15" t="s">
        <v>35</v>
      </c>
      <c r="F763" s="15" t="s">
        <v>314</v>
      </c>
      <c r="N763" s="21" t="s">
        <v>96</v>
      </c>
      <c r="O763" s="21" t="s">
        <v>337</v>
      </c>
      <c r="Q763" s="21" t="s">
        <v>344</v>
      </c>
      <c r="R763" s="22">
        <v>45756</v>
      </c>
      <c r="W763">
        <f>COUNTIF(リテラ・クレア証券対面ネット!U:U,B763)</f>
        <v>0</v>
      </c>
    </row>
    <row r="764" spans="1:26" ht="24.95" hidden="1" customHeight="1" x14ac:dyDescent="0.4">
      <c r="A764" s="17" t="s">
        <v>214</v>
      </c>
      <c r="B764" s="50" t="s">
        <v>364</v>
      </c>
      <c r="C764" s="16" t="s">
        <v>24</v>
      </c>
      <c r="D764" s="16" t="s">
        <v>31</v>
      </c>
      <c r="E764" s="15" t="s">
        <v>35</v>
      </c>
      <c r="F764" s="15" t="s">
        <v>365</v>
      </c>
      <c r="N764" s="21" t="s">
        <v>96</v>
      </c>
      <c r="O764" s="21" t="s">
        <v>372</v>
      </c>
      <c r="Q764" s="21" t="s">
        <v>344</v>
      </c>
      <c r="R764" s="22">
        <v>45883</v>
      </c>
      <c r="W764">
        <f>COUNTIF(リテラ・クレア証券対面ネット!U:U,B764)</f>
        <v>0</v>
      </c>
    </row>
    <row r="765" spans="1:26" ht="24.95" hidden="1" customHeight="1" x14ac:dyDescent="0.4">
      <c r="A765" s="17" t="s">
        <v>214</v>
      </c>
      <c r="B765" s="15" t="s">
        <v>355</v>
      </c>
      <c r="C765" s="16" t="s">
        <v>31</v>
      </c>
      <c r="D765" s="16" t="s">
        <v>31</v>
      </c>
      <c r="E765" s="15" t="s">
        <v>32</v>
      </c>
      <c r="F765" s="15" t="s">
        <v>356</v>
      </c>
      <c r="N765" s="21" t="s">
        <v>96</v>
      </c>
      <c r="O765" s="21" t="s">
        <v>360</v>
      </c>
      <c r="Q765" s="21" t="s">
        <v>344</v>
      </c>
      <c r="R765" s="22">
        <v>45847</v>
      </c>
      <c r="W765">
        <f>COUNTIF(リテラ・クレア証券対面ネット!U:U,B765)</f>
        <v>1</v>
      </c>
    </row>
    <row r="766" spans="1:26" ht="24.95" hidden="1" customHeight="1" x14ac:dyDescent="0.4">
      <c r="A766" s="17" t="s">
        <v>214</v>
      </c>
      <c r="B766" s="15" t="s">
        <v>171</v>
      </c>
      <c r="C766" s="16" t="s">
        <v>31</v>
      </c>
      <c r="D766" s="16" t="s">
        <v>31</v>
      </c>
      <c r="E766" s="15" t="s">
        <v>32</v>
      </c>
      <c r="F766" s="15" t="s">
        <v>314</v>
      </c>
      <c r="N766" s="21" t="s">
        <v>96</v>
      </c>
      <c r="O766" s="21" t="s">
        <v>336</v>
      </c>
      <c r="Q766" s="21" t="s">
        <v>344</v>
      </c>
      <c r="R766" s="22">
        <v>45756</v>
      </c>
      <c r="W766">
        <f>COUNTIF(リテラ・クレア証券対面ネット!U:U,B766)</f>
        <v>0</v>
      </c>
    </row>
    <row r="767" spans="1:26" ht="24.95" hidden="1" customHeight="1" x14ac:dyDescent="0.4">
      <c r="A767" s="17" t="s">
        <v>214</v>
      </c>
      <c r="B767" s="15" t="s">
        <v>123</v>
      </c>
      <c r="C767" s="16" t="s">
        <v>31</v>
      </c>
      <c r="D767" s="16" t="s">
        <v>31</v>
      </c>
      <c r="E767" s="15" t="s">
        <v>32</v>
      </c>
      <c r="F767" s="15" t="s">
        <v>212</v>
      </c>
      <c r="N767" s="21" t="s">
        <v>96</v>
      </c>
      <c r="O767" s="21" t="s">
        <v>337</v>
      </c>
      <c r="Q767" s="21" t="s">
        <v>344</v>
      </c>
      <c r="R767" s="22">
        <v>45814</v>
      </c>
      <c r="W767">
        <f>COUNTIF(リテラ・クレア証券対面ネット!U:U,B767)</f>
        <v>0</v>
      </c>
    </row>
    <row r="768" spans="1:26" ht="24.95" hidden="1" customHeight="1" x14ac:dyDescent="0.4">
      <c r="A768" s="17" t="s">
        <v>214</v>
      </c>
      <c r="B768" s="15" t="s">
        <v>37</v>
      </c>
      <c r="C768" s="16" t="s">
        <v>31</v>
      </c>
      <c r="D768" s="16" t="s">
        <v>31</v>
      </c>
      <c r="E768" s="15" t="s">
        <v>32</v>
      </c>
      <c r="F768" s="15" t="s">
        <v>314</v>
      </c>
      <c r="N768" s="21" t="s">
        <v>96</v>
      </c>
      <c r="O768" s="13" t="s">
        <v>349</v>
      </c>
      <c r="Q768" s="21" t="s">
        <v>344</v>
      </c>
      <c r="R768" s="22">
        <v>45814</v>
      </c>
      <c r="W768">
        <f>COUNTIF(リテラ・クレア証券対面ネット!U:U,B768)</f>
        <v>1</v>
      </c>
      <c r="Z768" t="s">
        <v>432</v>
      </c>
    </row>
    <row r="769" spans="1:23" ht="24.95" hidden="1" customHeight="1" x14ac:dyDescent="0.4">
      <c r="A769" s="17" t="s">
        <v>214</v>
      </c>
      <c r="B769" s="15" t="s">
        <v>225</v>
      </c>
      <c r="C769" s="16" t="s">
        <v>31</v>
      </c>
      <c r="D769" s="16" t="s">
        <v>31</v>
      </c>
      <c r="E769" s="15" t="s">
        <v>32</v>
      </c>
      <c r="F769" s="15" t="s">
        <v>314</v>
      </c>
      <c r="N769" s="21" t="s">
        <v>96</v>
      </c>
      <c r="O769" s="21" t="s">
        <v>336</v>
      </c>
      <c r="Q769" s="21" t="s">
        <v>344</v>
      </c>
      <c r="R769" s="22">
        <v>45756</v>
      </c>
      <c r="W769">
        <f>COUNTIF(リテラ・クレア証券対面ネット!U:U,B769)</f>
        <v>0</v>
      </c>
    </row>
    <row r="770" spans="1:23" ht="24.95" hidden="1" customHeight="1" x14ac:dyDescent="0.4">
      <c r="A770" s="17" t="s">
        <v>214</v>
      </c>
      <c r="B770" s="15" t="s">
        <v>117</v>
      </c>
      <c r="C770" s="16" t="s">
        <v>31</v>
      </c>
      <c r="D770" s="16" t="s">
        <v>31</v>
      </c>
      <c r="E770" s="15" t="s">
        <v>32</v>
      </c>
      <c r="F770" s="15" t="s">
        <v>356</v>
      </c>
      <c r="N770" s="21" t="s">
        <v>96</v>
      </c>
      <c r="O770" s="21" t="s">
        <v>360</v>
      </c>
      <c r="Q770" s="21" t="s">
        <v>344</v>
      </c>
      <c r="R770" s="22">
        <v>45847</v>
      </c>
      <c r="W770">
        <f>COUNTIF(リテラ・クレア証券対面ネット!U:U,B770)</f>
        <v>0</v>
      </c>
    </row>
    <row r="771" spans="1:23" ht="24.95" hidden="1" customHeight="1" x14ac:dyDescent="0.4">
      <c r="A771" s="17" t="s">
        <v>214</v>
      </c>
      <c r="B771" s="15" t="s">
        <v>126</v>
      </c>
      <c r="C771" s="16" t="s">
        <v>31</v>
      </c>
      <c r="D771" s="16" t="s">
        <v>31</v>
      </c>
      <c r="E771" s="15" t="s">
        <v>32</v>
      </c>
      <c r="F771" s="15" t="s">
        <v>365</v>
      </c>
      <c r="N771" s="21" t="s">
        <v>374</v>
      </c>
      <c r="O771" s="21" t="s">
        <v>373</v>
      </c>
      <c r="Q771" s="21" t="s">
        <v>344</v>
      </c>
      <c r="R771" s="22">
        <v>45883</v>
      </c>
      <c r="W771">
        <f>COUNTIF(リテラ・クレア証券対面ネット!U:U,B771)</f>
        <v>0</v>
      </c>
    </row>
    <row r="772" spans="1:23" ht="24.95" hidden="1" customHeight="1" x14ac:dyDescent="0.4">
      <c r="A772" s="17" t="s">
        <v>214</v>
      </c>
      <c r="B772" s="15" t="s">
        <v>226</v>
      </c>
      <c r="C772" s="16" t="s">
        <v>31</v>
      </c>
      <c r="D772" s="16" t="s">
        <v>31</v>
      </c>
      <c r="E772" s="15" t="s">
        <v>32</v>
      </c>
      <c r="F772" s="15" t="s">
        <v>314</v>
      </c>
      <c r="N772" s="21" t="s">
        <v>96</v>
      </c>
      <c r="O772" s="21" t="s">
        <v>336</v>
      </c>
      <c r="Q772" s="21" t="s">
        <v>344</v>
      </c>
      <c r="R772" s="22">
        <v>45756</v>
      </c>
      <c r="W772">
        <f>COUNTIF(リテラ・クレア証券対面ネット!U:U,B772)</f>
        <v>0</v>
      </c>
    </row>
    <row r="773" spans="1:23" ht="24.95" hidden="1" customHeight="1" x14ac:dyDescent="0.4">
      <c r="A773" s="17" t="s">
        <v>214</v>
      </c>
      <c r="B773" s="15" t="s">
        <v>318</v>
      </c>
      <c r="C773" s="16" t="s">
        <v>31</v>
      </c>
      <c r="D773" s="16" t="s">
        <v>31</v>
      </c>
      <c r="E773" s="15" t="s">
        <v>32</v>
      </c>
      <c r="F773" s="15" t="s">
        <v>314</v>
      </c>
      <c r="N773" s="21" t="s">
        <v>96</v>
      </c>
      <c r="O773" s="21" t="s">
        <v>337</v>
      </c>
      <c r="Q773" s="21" t="s">
        <v>344</v>
      </c>
      <c r="R773" s="22">
        <v>45756</v>
      </c>
      <c r="W773">
        <f>COUNTIF(リテラ・クレア証券対面ネット!U:U,B773)</f>
        <v>0</v>
      </c>
    </row>
    <row r="774" spans="1:23" ht="24.95" hidden="1" customHeight="1" x14ac:dyDescent="0.4">
      <c r="A774" s="17" t="s">
        <v>214</v>
      </c>
      <c r="B774" s="15" t="s">
        <v>118</v>
      </c>
      <c r="C774" s="16" t="s">
        <v>31</v>
      </c>
      <c r="D774" s="16" t="s">
        <v>31</v>
      </c>
      <c r="E774" s="15" t="s">
        <v>32</v>
      </c>
      <c r="F774" s="15" t="s">
        <v>314</v>
      </c>
      <c r="N774" s="21" t="s">
        <v>96</v>
      </c>
      <c r="O774" s="21" t="s">
        <v>337</v>
      </c>
      <c r="Q774" s="21" t="s">
        <v>344</v>
      </c>
      <c r="R774" s="22">
        <v>45756</v>
      </c>
      <c r="W774">
        <f>COUNTIF(リテラ・クレア証券対面ネット!U:U,B774)</f>
        <v>0</v>
      </c>
    </row>
    <row r="775" spans="1:23" ht="24.95" hidden="1" customHeight="1" x14ac:dyDescent="0.4">
      <c r="A775" s="17" t="s">
        <v>214</v>
      </c>
      <c r="B775" s="15" t="s">
        <v>319</v>
      </c>
      <c r="C775" s="16" t="s">
        <v>31</v>
      </c>
      <c r="D775" s="16" t="s">
        <v>31</v>
      </c>
      <c r="E775" s="15" t="s">
        <v>32</v>
      </c>
      <c r="F775" s="15" t="s">
        <v>314</v>
      </c>
      <c r="N775" s="21" t="s">
        <v>96</v>
      </c>
      <c r="O775" s="21" t="s">
        <v>337</v>
      </c>
      <c r="Q775" s="21" t="s">
        <v>344</v>
      </c>
      <c r="R775" s="22">
        <v>45756</v>
      </c>
      <c r="W775">
        <f>COUNTIF(リテラ・クレア証券対面ネット!U:U,B775)</f>
        <v>0</v>
      </c>
    </row>
    <row r="776" spans="1:23" ht="24.95" hidden="1" customHeight="1" x14ac:dyDescent="0.4">
      <c r="A776" s="17" t="s">
        <v>214</v>
      </c>
      <c r="B776" s="15" t="s">
        <v>227</v>
      </c>
      <c r="C776" s="16" t="s">
        <v>31</v>
      </c>
      <c r="D776" s="16" t="s">
        <v>31</v>
      </c>
      <c r="E776" s="15" t="s">
        <v>32</v>
      </c>
      <c r="F776" s="15" t="s">
        <v>314</v>
      </c>
      <c r="N776" s="21" t="s">
        <v>96</v>
      </c>
      <c r="O776" s="21" t="s">
        <v>336</v>
      </c>
      <c r="Q776" s="21" t="s">
        <v>344</v>
      </c>
      <c r="R776" s="22">
        <v>45756</v>
      </c>
      <c r="W776">
        <f>COUNTIF(リテラ・クレア証券対面ネット!U:U,B776)</f>
        <v>0</v>
      </c>
    </row>
    <row r="777" spans="1:23" ht="24.95" hidden="1" customHeight="1" x14ac:dyDescent="0.4">
      <c r="A777" s="17" t="s">
        <v>214</v>
      </c>
      <c r="B777" s="15" t="s">
        <v>228</v>
      </c>
      <c r="C777" s="16" t="s">
        <v>31</v>
      </c>
      <c r="D777" s="16" t="s">
        <v>31</v>
      </c>
      <c r="E777" s="15" t="s">
        <v>32</v>
      </c>
      <c r="F777" s="15" t="s">
        <v>314</v>
      </c>
      <c r="N777" s="21" t="s">
        <v>96</v>
      </c>
      <c r="O777" s="21" t="s">
        <v>336</v>
      </c>
      <c r="Q777" s="21" t="s">
        <v>344</v>
      </c>
      <c r="R777" s="22">
        <v>45756</v>
      </c>
      <c r="W777">
        <f>COUNTIF(リテラ・クレア証券対面ネット!U:U,B777)</f>
        <v>0</v>
      </c>
    </row>
    <row r="778" spans="1:23" ht="24.95" hidden="1" customHeight="1" x14ac:dyDescent="0.4">
      <c r="A778" s="17" t="s">
        <v>214</v>
      </c>
      <c r="B778" s="15" t="s">
        <v>229</v>
      </c>
      <c r="C778" s="16" t="s">
        <v>31</v>
      </c>
      <c r="D778" s="16" t="s">
        <v>31</v>
      </c>
      <c r="E778" s="15" t="s">
        <v>32</v>
      </c>
      <c r="F778" s="15" t="s">
        <v>314</v>
      </c>
      <c r="N778" s="21" t="s">
        <v>96</v>
      </c>
      <c r="O778" s="21" t="s">
        <v>336</v>
      </c>
      <c r="Q778" s="21" t="s">
        <v>344</v>
      </c>
      <c r="R778" s="22">
        <v>45756</v>
      </c>
      <c r="W778">
        <f>COUNTIF(リテラ・クレア証券対面ネット!U:U,B778)</f>
        <v>0</v>
      </c>
    </row>
    <row r="779" spans="1:23" ht="24.95" hidden="1" customHeight="1" x14ac:dyDescent="0.4">
      <c r="A779" s="17" t="s">
        <v>214</v>
      </c>
      <c r="B779" s="15" t="s">
        <v>230</v>
      </c>
      <c r="C779" s="16" t="s">
        <v>31</v>
      </c>
      <c r="D779" s="16" t="s">
        <v>31</v>
      </c>
      <c r="E779" s="15" t="s">
        <v>32</v>
      </c>
      <c r="F779" s="15" t="s">
        <v>314</v>
      </c>
      <c r="N779" s="21" t="s">
        <v>96</v>
      </c>
      <c r="O779" s="21" t="s">
        <v>336</v>
      </c>
      <c r="Q779" s="21" t="s">
        <v>344</v>
      </c>
      <c r="R779" s="22">
        <v>45756</v>
      </c>
      <c r="W779">
        <f>COUNTIF(リテラ・クレア証券対面ネット!U:U,B779)</f>
        <v>0</v>
      </c>
    </row>
    <row r="780" spans="1:23" ht="24.95" hidden="1" customHeight="1" x14ac:dyDescent="0.4">
      <c r="A780" s="17" t="s">
        <v>214</v>
      </c>
      <c r="B780" s="15" t="s">
        <v>231</v>
      </c>
      <c r="C780" s="16" t="s">
        <v>31</v>
      </c>
      <c r="D780" s="16" t="s">
        <v>31</v>
      </c>
      <c r="E780" s="15" t="s">
        <v>32</v>
      </c>
      <c r="F780" s="15" t="s">
        <v>314</v>
      </c>
      <c r="N780" s="21" t="s">
        <v>96</v>
      </c>
      <c r="O780" s="21" t="s">
        <v>336</v>
      </c>
      <c r="Q780" s="21" t="s">
        <v>344</v>
      </c>
      <c r="R780" s="22">
        <v>45756</v>
      </c>
      <c r="W780">
        <f>COUNTIF(リテラ・クレア証券対面ネット!U:U,B780)</f>
        <v>0</v>
      </c>
    </row>
    <row r="781" spans="1:23" ht="24.95" hidden="1" customHeight="1" x14ac:dyDescent="0.4">
      <c r="A781" s="17" t="s">
        <v>214</v>
      </c>
      <c r="B781" s="15" t="s">
        <v>232</v>
      </c>
      <c r="C781" s="16" t="s">
        <v>31</v>
      </c>
      <c r="D781" s="16" t="s">
        <v>31</v>
      </c>
      <c r="E781" s="15" t="s">
        <v>32</v>
      </c>
      <c r="F781" s="15" t="s">
        <v>314</v>
      </c>
      <c r="N781" s="21" t="s">
        <v>96</v>
      </c>
      <c r="O781" s="21" t="s">
        <v>336</v>
      </c>
      <c r="Q781" s="21" t="s">
        <v>344</v>
      </c>
      <c r="R781" s="22">
        <v>45756</v>
      </c>
      <c r="W781">
        <f>COUNTIF(リテラ・クレア証券対面ネット!U:U,B781)</f>
        <v>0</v>
      </c>
    </row>
    <row r="782" spans="1:23" ht="24.95" hidden="1" customHeight="1" x14ac:dyDescent="0.4">
      <c r="A782" s="17" t="s">
        <v>214</v>
      </c>
      <c r="B782" s="15" t="s">
        <v>233</v>
      </c>
      <c r="C782" s="16" t="s">
        <v>31</v>
      </c>
      <c r="D782" s="16" t="s">
        <v>31</v>
      </c>
      <c r="E782" s="15" t="s">
        <v>32</v>
      </c>
      <c r="F782" s="15" t="s">
        <v>314</v>
      </c>
      <c r="N782" s="21" t="s">
        <v>96</v>
      </c>
      <c r="O782" s="21" t="s">
        <v>336</v>
      </c>
      <c r="Q782" s="21" t="s">
        <v>344</v>
      </c>
      <c r="R782" s="22">
        <v>45756</v>
      </c>
      <c r="W782">
        <f>COUNTIF(リテラ・クレア証券対面ネット!U:U,B782)</f>
        <v>0</v>
      </c>
    </row>
    <row r="783" spans="1:23" ht="24.95" hidden="1" customHeight="1" x14ac:dyDescent="0.4">
      <c r="A783" s="17" t="s">
        <v>214</v>
      </c>
      <c r="B783" s="15" t="s">
        <v>234</v>
      </c>
      <c r="C783" s="16" t="s">
        <v>31</v>
      </c>
      <c r="D783" s="16" t="s">
        <v>31</v>
      </c>
      <c r="E783" s="15" t="s">
        <v>32</v>
      </c>
      <c r="F783" s="15" t="s">
        <v>314</v>
      </c>
      <c r="N783" s="21" t="s">
        <v>96</v>
      </c>
      <c r="O783" s="21" t="s">
        <v>336</v>
      </c>
      <c r="Q783" s="21" t="s">
        <v>344</v>
      </c>
      <c r="R783" s="22">
        <v>45756</v>
      </c>
      <c r="W783">
        <f>COUNTIF(リテラ・クレア証券対面ネット!U:U,B783)</f>
        <v>0</v>
      </c>
    </row>
    <row r="784" spans="1:23" ht="24.95" hidden="1" customHeight="1" x14ac:dyDescent="0.4">
      <c r="A784" s="17" t="s">
        <v>214</v>
      </c>
      <c r="B784" s="15" t="s">
        <v>235</v>
      </c>
      <c r="C784" s="16" t="s">
        <v>31</v>
      </c>
      <c r="D784" s="16" t="s">
        <v>31</v>
      </c>
      <c r="E784" s="15" t="s">
        <v>32</v>
      </c>
      <c r="F784" s="15" t="s">
        <v>314</v>
      </c>
      <c r="N784" s="21" t="s">
        <v>96</v>
      </c>
      <c r="O784" s="21" t="s">
        <v>336</v>
      </c>
      <c r="Q784" s="21" t="s">
        <v>344</v>
      </c>
      <c r="R784" s="22">
        <v>45756</v>
      </c>
      <c r="W784">
        <f>COUNTIF(リテラ・クレア証券対面ネット!U:U,B784)</f>
        <v>0</v>
      </c>
    </row>
    <row r="785" spans="1:23" ht="24.95" hidden="1" customHeight="1" x14ac:dyDescent="0.4">
      <c r="A785" s="17" t="s">
        <v>214</v>
      </c>
      <c r="B785" s="15" t="s">
        <v>236</v>
      </c>
      <c r="C785" s="16" t="s">
        <v>31</v>
      </c>
      <c r="D785" s="16" t="s">
        <v>31</v>
      </c>
      <c r="E785" s="15" t="s">
        <v>32</v>
      </c>
      <c r="F785" s="15" t="s">
        <v>314</v>
      </c>
      <c r="N785" s="21" t="s">
        <v>96</v>
      </c>
      <c r="O785" s="21" t="s">
        <v>336</v>
      </c>
      <c r="Q785" s="21" t="s">
        <v>344</v>
      </c>
      <c r="R785" s="22">
        <v>45756</v>
      </c>
      <c r="W785">
        <f>COUNTIF(リテラ・クレア証券対面ネット!U:U,B785)</f>
        <v>0</v>
      </c>
    </row>
    <row r="786" spans="1:23" ht="24.95" hidden="1" customHeight="1" x14ac:dyDescent="0.4">
      <c r="A786" s="17" t="s">
        <v>214</v>
      </c>
      <c r="B786" s="15" t="s">
        <v>237</v>
      </c>
      <c r="C786" s="16" t="s">
        <v>31</v>
      </c>
      <c r="D786" s="16" t="s">
        <v>31</v>
      </c>
      <c r="E786" s="15" t="s">
        <v>32</v>
      </c>
      <c r="F786" s="15" t="s">
        <v>314</v>
      </c>
      <c r="N786" s="21" t="s">
        <v>96</v>
      </c>
      <c r="O786" s="21" t="s">
        <v>336</v>
      </c>
      <c r="Q786" s="21" t="s">
        <v>344</v>
      </c>
      <c r="R786" s="22">
        <v>45756</v>
      </c>
      <c r="W786">
        <f>COUNTIF(リテラ・クレア証券対面ネット!U:U,B786)</f>
        <v>0</v>
      </c>
    </row>
    <row r="787" spans="1:23" ht="24.95" hidden="1" customHeight="1" x14ac:dyDescent="0.4">
      <c r="A787" s="17" t="s">
        <v>214</v>
      </c>
      <c r="B787" s="15" t="s">
        <v>346</v>
      </c>
      <c r="C787" s="16" t="s">
        <v>31</v>
      </c>
      <c r="D787" s="16" t="s">
        <v>31</v>
      </c>
      <c r="E787" s="15" t="s">
        <v>32</v>
      </c>
      <c r="F787" s="15" t="s">
        <v>356</v>
      </c>
      <c r="N787" s="21" t="s">
        <v>96</v>
      </c>
      <c r="O787" s="21" t="s">
        <v>360</v>
      </c>
      <c r="Q787" s="21" t="s">
        <v>344</v>
      </c>
      <c r="R787" s="22">
        <v>45847</v>
      </c>
      <c r="W787">
        <f>COUNTIF(リテラ・クレア証券対面ネット!U:U,B787)</f>
        <v>0</v>
      </c>
    </row>
    <row r="788" spans="1:23" ht="24.95" hidden="1" customHeight="1" x14ac:dyDescent="0.4">
      <c r="A788" s="17" t="s">
        <v>214</v>
      </c>
      <c r="B788" s="15" t="s">
        <v>357</v>
      </c>
      <c r="C788" s="16" t="s">
        <v>31</v>
      </c>
      <c r="D788" s="16" t="s">
        <v>31</v>
      </c>
      <c r="E788" s="15" t="s">
        <v>32</v>
      </c>
      <c r="F788" s="15" t="s">
        <v>356</v>
      </c>
      <c r="N788" s="21" t="s">
        <v>96</v>
      </c>
      <c r="O788" s="21" t="s">
        <v>360</v>
      </c>
      <c r="Q788" s="21" t="s">
        <v>344</v>
      </c>
      <c r="R788" s="22">
        <v>45847</v>
      </c>
      <c r="W788">
        <f>COUNTIF(リテラ・クレア証券対面ネット!U:U,B788)</f>
        <v>0</v>
      </c>
    </row>
    <row r="789" spans="1:23" ht="24.95" hidden="1" customHeight="1" x14ac:dyDescent="0.4">
      <c r="A789" s="17" t="s">
        <v>214</v>
      </c>
      <c r="B789" s="15" t="s">
        <v>347</v>
      </c>
      <c r="C789" s="16" t="s">
        <v>31</v>
      </c>
      <c r="D789" s="16" t="s">
        <v>31</v>
      </c>
      <c r="E789" s="15" t="s">
        <v>32</v>
      </c>
      <c r="F789" s="15" t="s">
        <v>356</v>
      </c>
      <c r="N789" s="21" t="s">
        <v>96</v>
      </c>
      <c r="O789" s="21" t="s">
        <v>360</v>
      </c>
      <c r="Q789" s="21" t="s">
        <v>344</v>
      </c>
      <c r="R789" s="22">
        <v>45847</v>
      </c>
      <c r="W789">
        <f>COUNTIF(リテラ・クレア証券対面ネット!U:U,B789)</f>
        <v>0</v>
      </c>
    </row>
    <row r="790" spans="1:23" ht="24.95" hidden="1" customHeight="1" x14ac:dyDescent="0.4">
      <c r="A790" s="17" t="s">
        <v>214</v>
      </c>
      <c r="B790" s="15" t="s">
        <v>320</v>
      </c>
      <c r="C790" s="16" t="s">
        <v>31</v>
      </c>
      <c r="D790" s="16" t="s">
        <v>31</v>
      </c>
      <c r="E790" s="15" t="s">
        <v>32</v>
      </c>
      <c r="F790" s="15" t="s">
        <v>314</v>
      </c>
      <c r="N790" s="21" t="s">
        <v>96</v>
      </c>
      <c r="O790" s="21" t="s">
        <v>337</v>
      </c>
      <c r="Q790" s="21" t="s">
        <v>344</v>
      </c>
      <c r="R790" s="22">
        <v>45756</v>
      </c>
      <c r="W790">
        <f>COUNTIF(リテラ・クレア証券対面ネット!U:U,B790)</f>
        <v>0</v>
      </c>
    </row>
    <row r="791" spans="1:23" ht="24.95" hidden="1" customHeight="1" x14ac:dyDescent="0.4">
      <c r="A791" s="17" t="s">
        <v>214</v>
      </c>
      <c r="B791" s="15" t="s">
        <v>132</v>
      </c>
      <c r="C791" s="16" t="s">
        <v>31</v>
      </c>
      <c r="D791" s="16" t="s">
        <v>31</v>
      </c>
      <c r="E791" s="15" t="s">
        <v>32</v>
      </c>
      <c r="F791" s="15" t="s">
        <v>314</v>
      </c>
      <c r="N791" s="21" t="s">
        <v>96</v>
      </c>
      <c r="O791" s="21" t="s">
        <v>337</v>
      </c>
      <c r="Q791" s="21" t="s">
        <v>344</v>
      </c>
      <c r="R791" s="22">
        <v>45756</v>
      </c>
      <c r="W791">
        <f>COUNTIF(リテラ・クレア証券対面ネット!U:U,B791)</f>
        <v>0</v>
      </c>
    </row>
    <row r="792" spans="1:23" ht="24.95" hidden="1" customHeight="1" x14ac:dyDescent="0.4">
      <c r="A792" s="17" t="s">
        <v>214</v>
      </c>
      <c r="B792" s="15" t="s">
        <v>321</v>
      </c>
      <c r="C792" s="16" t="s">
        <v>24</v>
      </c>
      <c r="D792" s="16" t="s">
        <v>31</v>
      </c>
      <c r="E792" s="15" t="s">
        <v>35</v>
      </c>
      <c r="F792" s="15" t="s">
        <v>314</v>
      </c>
      <c r="N792" s="21" t="s">
        <v>96</v>
      </c>
      <c r="O792" s="21" t="s">
        <v>337</v>
      </c>
      <c r="Q792" s="21" t="s">
        <v>344</v>
      </c>
      <c r="R792" s="22">
        <v>45756</v>
      </c>
      <c r="W792">
        <f>COUNTIF(リテラ・クレア証券対面ネット!U:U,B792)</f>
        <v>0</v>
      </c>
    </row>
    <row r="793" spans="1:23" ht="24.95" hidden="1" customHeight="1" x14ac:dyDescent="0.4">
      <c r="A793" s="17" t="s">
        <v>214</v>
      </c>
      <c r="B793" s="15" t="s">
        <v>322</v>
      </c>
      <c r="C793" s="16" t="s">
        <v>24</v>
      </c>
      <c r="D793" s="16" t="s">
        <v>31</v>
      </c>
      <c r="E793" s="15" t="s">
        <v>35</v>
      </c>
      <c r="F793" s="15" t="s">
        <v>314</v>
      </c>
      <c r="N793" s="21" t="s">
        <v>96</v>
      </c>
      <c r="O793" s="21" t="s">
        <v>337</v>
      </c>
      <c r="Q793" s="21" t="s">
        <v>344</v>
      </c>
      <c r="R793" s="22">
        <v>45756</v>
      </c>
      <c r="W793">
        <f>COUNTIF(リテラ・クレア証券対面ネット!U:U,B793)</f>
        <v>0</v>
      </c>
    </row>
    <row r="794" spans="1:23" ht="24.95" hidden="1" customHeight="1" x14ac:dyDescent="0.4">
      <c r="A794" s="17" t="s">
        <v>214</v>
      </c>
      <c r="B794" s="15" t="s">
        <v>323</v>
      </c>
      <c r="C794" s="16" t="s">
        <v>24</v>
      </c>
      <c r="D794" s="16" t="s">
        <v>31</v>
      </c>
      <c r="E794" s="15" t="s">
        <v>35</v>
      </c>
      <c r="F794" s="15" t="s">
        <v>314</v>
      </c>
      <c r="N794" s="21" t="s">
        <v>96</v>
      </c>
      <c r="O794" s="21" t="s">
        <v>337</v>
      </c>
      <c r="Q794" s="21" t="s">
        <v>344</v>
      </c>
      <c r="R794" s="22">
        <v>45756</v>
      </c>
      <c r="W794">
        <f>COUNTIF(リテラ・クレア証券対面ネット!U:U,B794)</f>
        <v>0</v>
      </c>
    </row>
    <row r="795" spans="1:23" ht="24.95" hidden="1" customHeight="1" x14ac:dyDescent="0.4">
      <c r="A795" s="17" t="s">
        <v>214</v>
      </c>
      <c r="B795" s="15" t="s">
        <v>238</v>
      </c>
      <c r="C795" s="16" t="s">
        <v>31</v>
      </c>
      <c r="D795" s="16" t="s">
        <v>31</v>
      </c>
      <c r="E795" s="15" t="s">
        <v>32</v>
      </c>
      <c r="F795" s="15" t="s">
        <v>314</v>
      </c>
      <c r="N795" s="21" t="s">
        <v>96</v>
      </c>
      <c r="O795" s="21" t="s">
        <v>336</v>
      </c>
      <c r="Q795" s="21" t="s">
        <v>344</v>
      </c>
      <c r="R795" s="22">
        <v>45756</v>
      </c>
      <c r="W795">
        <f>COUNTIF(リテラ・クレア証券対面ネット!U:U,B795)</f>
        <v>0</v>
      </c>
    </row>
    <row r="796" spans="1:23" ht="24.95" hidden="1" customHeight="1" x14ac:dyDescent="0.4">
      <c r="A796" s="17" t="s">
        <v>214</v>
      </c>
      <c r="B796" s="15" t="s">
        <v>239</v>
      </c>
      <c r="C796" s="16" t="s">
        <v>31</v>
      </c>
      <c r="D796" s="16" t="s">
        <v>31</v>
      </c>
      <c r="E796" s="15" t="s">
        <v>32</v>
      </c>
      <c r="F796" s="15" t="s">
        <v>314</v>
      </c>
      <c r="N796" s="21" t="s">
        <v>96</v>
      </c>
      <c r="O796" s="21" t="s">
        <v>336</v>
      </c>
      <c r="Q796" s="21" t="s">
        <v>344</v>
      </c>
      <c r="R796" s="22">
        <v>45756</v>
      </c>
      <c r="W796">
        <f>COUNTIF(リテラ・クレア証券対面ネット!U:U,B796)</f>
        <v>0</v>
      </c>
    </row>
    <row r="797" spans="1:23" ht="24.95" hidden="1" customHeight="1" x14ac:dyDescent="0.4">
      <c r="A797" s="17" t="s">
        <v>214</v>
      </c>
      <c r="B797" s="15" t="s">
        <v>240</v>
      </c>
      <c r="C797" s="16" t="s">
        <v>31</v>
      </c>
      <c r="D797" s="16" t="s">
        <v>31</v>
      </c>
      <c r="E797" s="15" t="s">
        <v>32</v>
      </c>
      <c r="F797" s="15" t="s">
        <v>314</v>
      </c>
      <c r="N797" s="21" t="s">
        <v>96</v>
      </c>
      <c r="O797" s="21" t="s">
        <v>336</v>
      </c>
      <c r="Q797" s="21" t="s">
        <v>344</v>
      </c>
      <c r="R797" s="22">
        <v>45756</v>
      </c>
      <c r="W797">
        <f>COUNTIF(リテラ・クレア証券対面ネット!U:U,B797)</f>
        <v>0</v>
      </c>
    </row>
    <row r="798" spans="1:23" ht="24.95" hidden="1" customHeight="1" x14ac:dyDescent="0.4">
      <c r="A798" s="17" t="s">
        <v>214</v>
      </c>
      <c r="B798" s="15" t="s">
        <v>241</v>
      </c>
      <c r="C798" s="16" t="s">
        <v>31</v>
      </c>
      <c r="D798" s="16" t="s">
        <v>31</v>
      </c>
      <c r="E798" s="15" t="s">
        <v>32</v>
      </c>
      <c r="F798" s="15" t="s">
        <v>314</v>
      </c>
      <c r="N798" s="21" t="s">
        <v>96</v>
      </c>
      <c r="O798" s="21" t="s">
        <v>336</v>
      </c>
      <c r="Q798" s="21" t="s">
        <v>344</v>
      </c>
      <c r="R798" s="22">
        <v>45756</v>
      </c>
      <c r="W798">
        <f>COUNTIF(リテラ・クレア証券対面ネット!U:U,B798)</f>
        <v>0</v>
      </c>
    </row>
    <row r="799" spans="1:23" ht="24.95" hidden="1" customHeight="1" x14ac:dyDescent="0.4">
      <c r="A799" s="17" t="s">
        <v>214</v>
      </c>
      <c r="B799" s="15" t="s">
        <v>242</v>
      </c>
      <c r="C799" s="16" t="s">
        <v>31</v>
      </c>
      <c r="D799" s="16" t="s">
        <v>31</v>
      </c>
      <c r="E799" s="15" t="s">
        <v>32</v>
      </c>
      <c r="F799" s="15" t="s">
        <v>314</v>
      </c>
      <c r="N799" s="21" t="s">
        <v>96</v>
      </c>
      <c r="O799" s="21" t="s">
        <v>336</v>
      </c>
      <c r="Q799" s="21" t="s">
        <v>344</v>
      </c>
      <c r="R799" s="22">
        <v>45756</v>
      </c>
      <c r="W799">
        <f>COUNTIF(リテラ・クレア証券対面ネット!U:U,B799)</f>
        <v>0</v>
      </c>
    </row>
    <row r="800" spans="1:23" ht="24.95" hidden="1" customHeight="1" x14ac:dyDescent="0.4">
      <c r="A800" s="17" t="s">
        <v>214</v>
      </c>
      <c r="B800" s="15" t="s">
        <v>243</v>
      </c>
      <c r="C800" s="16" t="s">
        <v>31</v>
      </c>
      <c r="D800" s="16" t="s">
        <v>31</v>
      </c>
      <c r="E800" s="15" t="s">
        <v>32</v>
      </c>
      <c r="F800" s="15" t="s">
        <v>314</v>
      </c>
      <c r="N800" s="21" t="s">
        <v>96</v>
      </c>
      <c r="O800" s="21" t="s">
        <v>336</v>
      </c>
      <c r="Q800" s="21" t="s">
        <v>344</v>
      </c>
      <c r="R800" s="22">
        <v>45756</v>
      </c>
      <c r="W800">
        <f>COUNTIF(リテラ・クレア証券対面ネット!U:U,B800)</f>
        <v>0</v>
      </c>
    </row>
    <row r="801" spans="1:23" ht="24.95" hidden="1" customHeight="1" x14ac:dyDescent="0.4">
      <c r="A801" s="17" t="s">
        <v>214</v>
      </c>
      <c r="B801" s="15" t="s">
        <v>244</v>
      </c>
      <c r="C801" s="16" t="s">
        <v>31</v>
      </c>
      <c r="D801" s="16" t="s">
        <v>31</v>
      </c>
      <c r="E801" s="15" t="s">
        <v>32</v>
      </c>
      <c r="F801" s="15" t="s">
        <v>314</v>
      </c>
      <c r="N801" s="21" t="s">
        <v>96</v>
      </c>
      <c r="O801" s="21" t="s">
        <v>336</v>
      </c>
      <c r="Q801" s="21" t="s">
        <v>344</v>
      </c>
      <c r="R801" s="22">
        <v>45756</v>
      </c>
      <c r="W801">
        <f>COUNTIF(リテラ・クレア証券対面ネット!U:U,B801)</f>
        <v>0</v>
      </c>
    </row>
    <row r="802" spans="1:23" ht="24.95" hidden="1" customHeight="1" x14ac:dyDescent="0.4">
      <c r="A802" s="17" t="s">
        <v>214</v>
      </c>
      <c r="B802" s="15" t="s">
        <v>245</v>
      </c>
      <c r="C802" s="16" t="s">
        <v>31</v>
      </c>
      <c r="D802" s="16" t="s">
        <v>31</v>
      </c>
      <c r="E802" s="15" t="s">
        <v>32</v>
      </c>
      <c r="F802" s="15" t="s">
        <v>314</v>
      </c>
      <c r="N802" s="21" t="s">
        <v>96</v>
      </c>
      <c r="O802" s="21" t="s">
        <v>336</v>
      </c>
      <c r="Q802" s="21" t="s">
        <v>344</v>
      </c>
      <c r="R802" s="22">
        <v>45756</v>
      </c>
      <c r="W802">
        <f>COUNTIF(リテラ・クレア証券対面ネット!U:U,B802)</f>
        <v>0</v>
      </c>
    </row>
    <row r="803" spans="1:23" ht="24.95" hidden="1" customHeight="1" x14ac:dyDescent="0.4">
      <c r="A803" s="17" t="s">
        <v>214</v>
      </c>
      <c r="B803" s="15" t="s">
        <v>246</v>
      </c>
      <c r="C803" s="16" t="s">
        <v>31</v>
      </c>
      <c r="D803" s="16" t="s">
        <v>31</v>
      </c>
      <c r="E803" s="15" t="s">
        <v>32</v>
      </c>
      <c r="F803" s="15" t="s">
        <v>314</v>
      </c>
      <c r="N803" s="21" t="s">
        <v>96</v>
      </c>
      <c r="O803" s="21" t="s">
        <v>336</v>
      </c>
      <c r="Q803" s="21" t="s">
        <v>344</v>
      </c>
      <c r="R803" s="22">
        <v>45756</v>
      </c>
      <c r="W803">
        <f>COUNTIF(リテラ・クレア証券対面ネット!U:U,B803)</f>
        <v>0</v>
      </c>
    </row>
    <row r="804" spans="1:23" ht="24.95" hidden="1" customHeight="1" x14ac:dyDescent="0.4">
      <c r="A804" s="17" t="s">
        <v>214</v>
      </c>
      <c r="B804" s="15" t="s">
        <v>247</v>
      </c>
      <c r="C804" s="16" t="s">
        <v>31</v>
      </c>
      <c r="D804" s="16" t="s">
        <v>31</v>
      </c>
      <c r="E804" s="15" t="s">
        <v>32</v>
      </c>
      <c r="F804" s="15" t="s">
        <v>314</v>
      </c>
      <c r="N804" s="21" t="s">
        <v>96</v>
      </c>
      <c r="O804" s="21" t="s">
        <v>336</v>
      </c>
      <c r="Q804" s="21" t="s">
        <v>344</v>
      </c>
      <c r="R804" s="22">
        <v>45756</v>
      </c>
      <c r="W804">
        <f>COUNTIF(リテラ・クレア証券対面ネット!U:U,B804)</f>
        <v>0</v>
      </c>
    </row>
    <row r="805" spans="1:23" ht="24.95" hidden="1" customHeight="1" x14ac:dyDescent="0.4">
      <c r="A805" s="17" t="s">
        <v>214</v>
      </c>
      <c r="B805" s="15" t="s">
        <v>248</v>
      </c>
      <c r="C805" s="16" t="s">
        <v>31</v>
      </c>
      <c r="D805" s="16" t="s">
        <v>31</v>
      </c>
      <c r="E805" s="15" t="s">
        <v>32</v>
      </c>
      <c r="F805" s="15" t="s">
        <v>314</v>
      </c>
      <c r="N805" s="21" t="s">
        <v>96</v>
      </c>
      <c r="O805" s="21" t="s">
        <v>336</v>
      </c>
      <c r="Q805" s="21" t="s">
        <v>344</v>
      </c>
      <c r="R805" s="22">
        <v>45756</v>
      </c>
      <c r="W805">
        <f>COUNTIF(リテラ・クレア証券対面ネット!U:U,B805)</f>
        <v>0</v>
      </c>
    </row>
    <row r="806" spans="1:23" ht="24.95" hidden="1" customHeight="1" x14ac:dyDescent="0.4">
      <c r="A806" s="17" t="s">
        <v>214</v>
      </c>
      <c r="B806" s="15" t="s">
        <v>249</v>
      </c>
      <c r="C806" s="16" t="s">
        <v>31</v>
      </c>
      <c r="D806" s="16" t="s">
        <v>31</v>
      </c>
      <c r="E806" s="15" t="s">
        <v>32</v>
      </c>
      <c r="F806" s="15" t="s">
        <v>314</v>
      </c>
      <c r="N806" s="21" t="s">
        <v>96</v>
      </c>
      <c r="O806" s="21" t="s">
        <v>336</v>
      </c>
      <c r="Q806" s="21" t="s">
        <v>344</v>
      </c>
      <c r="R806" s="22">
        <v>45756</v>
      </c>
      <c r="W806">
        <f>COUNTIF(リテラ・クレア証券対面ネット!U:U,B806)</f>
        <v>0</v>
      </c>
    </row>
    <row r="807" spans="1:23" ht="24.95" hidden="1" customHeight="1" x14ac:dyDescent="0.4">
      <c r="A807" s="17" t="s">
        <v>214</v>
      </c>
      <c r="B807" s="15" t="s">
        <v>250</v>
      </c>
      <c r="C807" s="16" t="s">
        <v>31</v>
      </c>
      <c r="D807" s="16" t="s">
        <v>31</v>
      </c>
      <c r="E807" s="15" t="s">
        <v>32</v>
      </c>
      <c r="F807" s="15" t="s">
        <v>314</v>
      </c>
      <c r="N807" s="21" t="s">
        <v>96</v>
      </c>
      <c r="O807" s="21" t="s">
        <v>336</v>
      </c>
      <c r="Q807" s="21" t="s">
        <v>344</v>
      </c>
      <c r="R807" s="22">
        <v>45756</v>
      </c>
      <c r="W807">
        <f>COUNTIF(リテラ・クレア証券対面ネット!U:U,B807)</f>
        <v>0</v>
      </c>
    </row>
    <row r="808" spans="1:23" ht="24.95" hidden="1" customHeight="1" x14ac:dyDescent="0.4">
      <c r="A808" s="17" t="s">
        <v>214</v>
      </c>
      <c r="B808" s="15" t="s">
        <v>251</v>
      </c>
      <c r="C808" s="16" t="s">
        <v>31</v>
      </c>
      <c r="D808" s="16" t="s">
        <v>31</v>
      </c>
      <c r="E808" s="15" t="s">
        <v>32</v>
      </c>
      <c r="F808" s="15" t="s">
        <v>314</v>
      </c>
      <c r="N808" s="21" t="s">
        <v>96</v>
      </c>
      <c r="O808" s="21" t="s">
        <v>336</v>
      </c>
      <c r="Q808" s="21" t="s">
        <v>344</v>
      </c>
      <c r="R808" s="22">
        <v>45756</v>
      </c>
      <c r="W808">
        <f>COUNTIF(リテラ・クレア証券対面ネット!U:U,B808)</f>
        <v>0</v>
      </c>
    </row>
    <row r="809" spans="1:23" ht="24.95" hidden="1" customHeight="1" x14ac:dyDescent="0.4">
      <c r="A809" s="17" t="s">
        <v>214</v>
      </c>
      <c r="B809" s="15" t="s">
        <v>341</v>
      </c>
      <c r="C809" s="16" t="s">
        <v>31</v>
      </c>
      <c r="D809" s="16" t="s">
        <v>31</v>
      </c>
      <c r="E809" s="15" t="s">
        <v>32</v>
      </c>
      <c r="F809" s="15" t="s">
        <v>340</v>
      </c>
      <c r="N809" s="21" t="s">
        <v>96</v>
      </c>
      <c r="O809" s="21" t="s">
        <v>345</v>
      </c>
      <c r="Q809" s="21" t="s">
        <v>344</v>
      </c>
      <c r="R809" s="22">
        <v>45784</v>
      </c>
      <c r="W809">
        <f>COUNTIF(リテラ・クレア証券対面ネット!U:U,B809)</f>
        <v>0</v>
      </c>
    </row>
    <row r="810" spans="1:23" ht="24.95" hidden="1" customHeight="1" x14ac:dyDescent="0.4">
      <c r="A810" s="17" t="s">
        <v>214</v>
      </c>
      <c r="B810" s="15" t="s">
        <v>252</v>
      </c>
      <c r="C810" s="16" t="s">
        <v>31</v>
      </c>
      <c r="D810" s="16" t="s">
        <v>31</v>
      </c>
      <c r="E810" s="15" t="s">
        <v>32</v>
      </c>
      <c r="F810" s="15" t="s">
        <v>314</v>
      </c>
      <c r="N810" s="21" t="s">
        <v>96</v>
      </c>
      <c r="O810" s="21" t="s">
        <v>336</v>
      </c>
      <c r="Q810" s="21" t="s">
        <v>344</v>
      </c>
      <c r="R810" s="22">
        <v>45756</v>
      </c>
      <c r="W810">
        <f>COUNTIF(リテラ・クレア証券対面ネット!U:U,B810)</f>
        <v>0</v>
      </c>
    </row>
    <row r="811" spans="1:23" ht="24.95" hidden="1" customHeight="1" x14ac:dyDescent="0.4">
      <c r="A811" s="17" t="s">
        <v>214</v>
      </c>
      <c r="B811" s="15" t="s">
        <v>253</v>
      </c>
      <c r="C811" s="16" t="s">
        <v>31</v>
      </c>
      <c r="D811" s="16" t="s">
        <v>31</v>
      </c>
      <c r="E811" s="15" t="s">
        <v>32</v>
      </c>
      <c r="F811" s="15" t="s">
        <v>314</v>
      </c>
      <c r="N811" s="21" t="s">
        <v>96</v>
      </c>
      <c r="O811" s="21" t="s">
        <v>336</v>
      </c>
      <c r="Q811" s="21" t="s">
        <v>344</v>
      </c>
      <c r="R811" s="22">
        <v>45756</v>
      </c>
      <c r="W811">
        <f>COUNTIF(リテラ・クレア証券対面ネット!U:U,B811)</f>
        <v>0</v>
      </c>
    </row>
    <row r="812" spans="1:23" ht="24.95" hidden="1" customHeight="1" x14ac:dyDescent="0.4">
      <c r="A812" s="17" t="s">
        <v>214</v>
      </c>
      <c r="B812" s="15" t="s">
        <v>254</v>
      </c>
      <c r="C812" s="16" t="s">
        <v>31</v>
      </c>
      <c r="D812" s="16" t="s">
        <v>31</v>
      </c>
      <c r="E812" s="15" t="s">
        <v>32</v>
      </c>
      <c r="F812" s="15" t="s">
        <v>314</v>
      </c>
      <c r="N812" s="21" t="s">
        <v>96</v>
      </c>
      <c r="O812" s="21" t="s">
        <v>336</v>
      </c>
      <c r="Q812" s="21" t="s">
        <v>344</v>
      </c>
      <c r="R812" s="22">
        <v>45756</v>
      </c>
      <c r="W812">
        <f>COUNTIF(リテラ・クレア証券対面ネット!U:U,B812)</f>
        <v>0</v>
      </c>
    </row>
    <row r="813" spans="1:23" ht="24.95" hidden="1" customHeight="1" x14ac:dyDescent="0.4">
      <c r="A813" s="17" t="s">
        <v>214</v>
      </c>
      <c r="B813" s="15" t="s">
        <v>255</v>
      </c>
      <c r="C813" s="16" t="s">
        <v>31</v>
      </c>
      <c r="D813" s="16" t="s">
        <v>31</v>
      </c>
      <c r="E813" s="15" t="s">
        <v>32</v>
      </c>
      <c r="F813" s="15" t="s">
        <v>314</v>
      </c>
      <c r="N813" s="21" t="s">
        <v>96</v>
      </c>
      <c r="O813" s="21" t="s">
        <v>336</v>
      </c>
      <c r="Q813" s="21" t="s">
        <v>344</v>
      </c>
      <c r="R813" s="22">
        <v>45756</v>
      </c>
      <c r="W813">
        <f>COUNTIF(リテラ・クレア証券対面ネット!U:U,B813)</f>
        <v>0</v>
      </c>
    </row>
    <row r="814" spans="1:23" ht="24.95" hidden="1" customHeight="1" x14ac:dyDescent="0.4">
      <c r="A814" s="17" t="s">
        <v>214</v>
      </c>
      <c r="B814" s="15" t="s">
        <v>256</v>
      </c>
      <c r="C814" s="16" t="s">
        <v>31</v>
      </c>
      <c r="D814" s="16" t="s">
        <v>31</v>
      </c>
      <c r="E814" s="15" t="s">
        <v>32</v>
      </c>
      <c r="F814" s="15" t="s">
        <v>314</v>
      </c>
      <c r="N814" s="21" t="s">
        <v>96</v>
      </c>
      <c r="O814" s="21" t="s">
        <v>336</v>
      </c>
      <c r="Q814" s="21" t="s">
        <v>344</v>
      </c>
      <c r="R814" s="22">
        <v>45756</v>
      </c>
      <c r="W814">
        <f>COUNTIF(リテラ・クレア証券対面ネット!U:U,B814)</f>
        <v>0</v>
      </c>
    </row>
    <row r="815" spans="1:23" ht="24.95" hidden="1" customHeight="1" x14ac:dyDescent="0.4">
      <c r="A815" s="17" t="s">
        <v>214</v>
      </c>
      <c r="B815" s="15" t="s">
        <v>257</v>
      </c>
      <c r="C815" s="16" t="s">
        <v>31</v>
      </c>
      <c r="D815" s="16" t="s">
        <v>31</v>
      </c>
      <c r="E815" s="15" t="s">
        <v>32</v>
      </c>
      <c r="F815" s="15" t="s">
        <v>314</v>
      </c>
      <c r="N815" s="21" t="s">
        <v>96</v>
      </c>
      <c r="O815" s="21" t="s">
        <v>336</v>
      </c>
      <c r="Q815" s="21" t="s">
        <v>344</v>
      </c>
      <c r="R815" s="22">
        <v>45756</v>
      </c>
      <c r="W815">
        <f>COUNTIF(リテラ・クレア証券対面ネット!U:U,B815)</f>
        <v>0</v>
      </c>
    </row>
    <row r="816" spans="1:23" ht="24.95" hidden="1" customHeight="1" x14ac:dyDescent="0.4">
      <c r="A816" s="17" t="s">
        <v>214</v>
      </c>
      <c r="B816" s="15" t="s">
        <v>258</v>
      </c>
      <c r="C816" s="16" t="s">
        <v>31</v>
      </c>
      <c r="D816" s="16" t="s">
        <v>31</v>
      </c>
      <c r="E816" s="15" t="s">
        <v>32</v>
      </c>
      <c r="F816" s="15" t="s">
        <v>314</v>
      </c>
      <c r="N816" s="21" t="s">
        <v>96</v>
      </c>
      <c r="O816" s="21" t="s">
        <v>336</v>
      </c>
      <c r="Q816" s="21" t="s">
        <v>344</v>
      </c>
      <c r="R816" s="22">
        <v>45756</v>
      </c>
      <c r="W816">
        <f>COUNTIF(リテラ・クレア証券対面ネット!U:U,B816)</f>
        <v>0</v>
      </c>
    </row>
    <row r="817" spans="1:23" ht="24.95" hidden="1" customHeight="1" x14ac:dyDescent="0.4">
      <c r="A817" s="17" t="s">
        <v>214</v>
      </c>
      <c r="B817" s="15" t="s">
        <v>259</v>
      </c>
      <c r="C817" s="16" t="s">
        <v>31</v>
      </c>
      <c r="D817" s="16" t="s">
        <v>31</v>
      </c>
      <c r="E817" s="15" t="s">
        <v>32</v>
      </c>
      <c r="F817" s="15" t="s">
        <v>314</v>
      </c>
      <c r="N817" s="21" t="s">
        <v>96</v>
      </c>
      <c r="O817" s="21" t="s">
        <v>336</v>
      </c>
      <c r="Q817" s="21" t="s">
        <v>344</v>
      </c>
      <c r="R817" s="22">
        <v>45756</v>
      </c>
      <c r="W817">
        <f>COUNTIF(リテラ・クレア証券対面ネット!U:U,B817)</f>
        <v>0</v>
      </c>
    </row>
    <row r="818" spans="1:23" ht="24.95" hidden="1" customHeight="1" x14ac:dyDescent="0.4">
      <c r="A818" s="17" t="s">
        <v>214</v>
      </c>
      <c r="B818" s="15" t="s">
        <v>260</v>
      </c>
      <c r="C818" s="16" t="s">
        <v>31</v>
      </c>
      <c r="D818" s="16" t="s">
        <v>31</v>
      </c>
      <c r="E818" s="15" t="s">
        <v>32</v>
      </c>
      <c r="F818" s="15" t="s">
        <v>314</v>
      </c>
      <c r="N818" s="21" t="s">
        <v>96</v>
      </c>
      <c r="O818" s="21" t="s">
        <v>336</v>
      </c>
      <c r="Q818" s="21" t="s">
        <v>344</v>
      </c>
      <c r="R818" s="22">
        <v>45756</v>
      </c>
      <c r="W818">
        <f>COUNTIF(リテラ・クレア証券対面ネット!U:U,B818)</f>
        <v>0</v>
      </c>
    </row>
    <row r="819" spans="1:23" ht="24.95" hidden="1" customHeight="1" x14ac:dyDescent="0.4">
      <c r="A819" s="17" t="s">
        <v>214</v>
      </c>
      <c r="B819" s="15" t="s">
        <v>261</v>
      </c>
      <c r="C819" s="16" t="s">
        <v>31</v>
      </c>
      <c r="D819" s="16" t="s">
        <v>31</v>
      </c>
      <c r="E819" s="15" t="s">
        <v>32</v>
      </c>
      <c r="F819" s="15" t="s">
        <v>314</v>
      </c>
      <c r="N819" s="21" t="s">
        <v>96</v>
      </c>
      <c r="O819" s="21" t="s">
        <v>336</v>
      </c>
      <c r="Q819" s="21" t="s">
        <v>344</v>
      </c>
      <c r="R819" s="22">
        <v>45756</v>
      </c>
      <c r="W819">
        <f>COUNTIF(リテラ・クレア証券対面ネット!U:U,B819)</f>
        <v>0</v>
      </c>
    </row>
    <row r="820" spans="1:23" ht="24.95" hidden="1" customHeight="1" x14ac:dyDescent="0.4">
      <c r="A820" s="17" t="s">
        <v>214</v>
      </c>
      <c r="B820" s="15" t="s">
        <v>262</v>
      </c>
      <c r="C820" s="16" t="s">
        <v>31</v>
      </c>
      <c r="D820" s="16" t="s">
        <v>31</v>
      </c>
      <c r="E820" s="15" t="s">
        <v>32</v>
      </c>
      <c r="F820" s="15" t="s">
        <v>314</v>
      </c>
      <c r="N820" s="21" t="s">
        <v>96</v>
      </c>
      <c r="O820" s="21" t="s">
        <v>336</v>
      </c>
      <c r="Q820" s="21" t="s">
        <v>344</v>
      </c>
      <c r="R820" s="22">
        <v>45756</v>
      </c>
      <c r="W820">
        <f>COUNTIF(リテラ・クレア証券対面ネット!U:U,B820)</f>
        <v>0</v>
      </c>
    </row>
    <row r="821" spans="1:23" ht="24.95" hidden="1" customHeight="1" x14ac:dyDescent="0.4">
      <c r="A821" s="17" t="s">
        <v>214</v>
      </c>
      <c r="B821" s="15" t="s">
        <v>263</v>
      </c>
      <c r="C821" s="16" t="s">
        <v>31</v>
      </c>
      <c r="D821" s="16" t="s">
        <v>31</v>
      </c>
      <c r="E821" s="15" t="s">
        <v>32</v>
      </c>
      <c r="F821" s="15" t="s">
        <v>314</v>
      </c>
      <c r="N821" s="21" t="s">
        <v>96</v>
      </c>
      <c r="O821" s="21" t="s">
        <v>336</v>
      </c>
      <c r="Q821" s="21" t="s">
        <v>344</v>
      </c>
      <c r="R821" s="22">
        <v>45756</v>
      </c>
      <c r="W821">
        <f>COUNTIF(リテラ・クレア証券対面ネット!U:U,B821)</f>
        <v>0</v>
      </c>
    </row>
    <row r="822" spans="1:23" ht="24.95" hidden="1" customHeight="1" x14ac:dyDescent="0.4">
      <c r="A822" s="17" t="s">
        <v>214</v>
      </c>
      <c r="B822" s="15" t="s">
        <v>264</v>
      </c>
      <c r="C822" s="16" t="s">
        <v>31</v>
      </c>
      <c r="D822" s="16" t="s">
        <v>31</v>
      </c>
      <c r="E822" s="15" t="s">
        <v>32</v>
      </c>
      <c r="F822" s="15" t="s">
        <v>314</v>
      </c>
      <c r="N822" s="21" t="s">
        <v>96</v>
      </c>
      <c r="O822" s="21" t="s">
        <v>336</v>
      </c>
      <c r="Q822" s="21" t="s">
        <v>344</v>
      </c>
      <c r="R822" s="22">
        <v>45756</v>
      </c>
      <c r="W822">
        <f>COUNTIF(リテラ・クレア証券対面ネット!U:U,B822)</f>
        <v>0</v>
      </c>
    </row>
    <row r="823" spans="1:23" ht="24.95" hidden="1" customHeight="1" x14ac:dyDescent="0.4">
      <c r="A823" s="17" t="s">
        <v>214</v>
      </c>
      <c r="B823" s="15" t="s">
        <v>265</v>
      </c>
      <c r="C823" s="16" t="s">
        <v>31</v>
      </c>
      <c r="D823" s="16" t="s">
        <v>31</v>
      </c>
      <c r="E823" s="15" t="s">
        <v>32</v>
      </c>
      <c r="F823" s="15" t="s">
        <v>314</v>
      </c>
      <c r="N823" s="21" t="s">
        <v>96</v>
      </c>
      <c r="O823" s="21" t="s">
        <v>336</v>
      </c>
      <c r="Q823" s="21" t="s">
        <v>344</v>
      </c>
      <c r="R823" s="22">
        <v>45756</v>
      </c>
      <c r="W823">
        <f>COUNTIF(リテラ・クレア証券対面ネット!U:U,B823)</f>
        <v>0</v>
      </c>
    </row>
    <row r="824" spans="1:23" ht="24.95" hidden="1" customHeight="1" x14ac:dyDescent="0.4">
      <c r="A824" s="17" t="s">
        <v>214</v>
      </c>
      <c r="B824" s="15" t="s">
        <v>266</v>
      </c>
      <c r="C824" s="16" t="s">
        <v>31</v>
      </c>
      <c r="D824" s="16" t="s">
        <v>31</v>
      </c>
      <c r="E824" s="15" t="s">
        <v>32</v>
      </c>
      <c r="F824" s="15" t="s">
        <v>314</v>
      </c>
      <c r="N824" s="21" t="s">
        <v>96</v>
      </c>
      <c r="O824" s="21" t="s">
        <v>336</v>
      </c>
      <c r="Q824" s="21" t="s">
        <v>344</v>
      </c>
      <c r="R824" s="22">
        <v>45756</v>
      </c>
      <c r="W824">
        <f>COUNTIF(リテラ・クレア証券対面ネット!U:U,B824)</f>
        <v>0</v>
      </c>
    </row>
    <row r="825" spans="1:23" ht="24.95" hidden="1" customHeight="1" x14ac:dyDescent="0.4">
      <c r="A825" s="17" t="s">
        <v>214</v>
      </c>
      <c r="B825" s="15" t="s">
        <v>267</v>
      </c>
      <c r="C825" s="16" t="s">
        <v>31</v>
      </c>
      <c r="D825" s="16" t="s">
        <v>31</v>
      </c>
      <c r="E825" s="15" t="s">
        <v>32</v>
      </c>
      <c r="F825" s="15" t="s">
        <v>314</v>
      </c>
      <c r="N825" s="21" t="s">
        <v>96</v>
      </c>
      <c r="O825" s="21" t="s">
        <v>336</v>
      </c>
      <c r="Q825" s="21" t="s">
        <v>344</v>
      </c>
      <c r="R825" s="22">
        <v>45756</v>
      </c>
      <c r="W825">
        <f>COUNTIF(リテラ・クレア証券対面ネット!U:U,B825)</f>
        <v>0</v>
      </c>
    </row>
    <row r="826" spans="1:23" ht="24.95" hidden="1" customHeight="1" x14ac:dyDescent="0.4">
      <c r="A826" s="17" t="s">
        <v>214</v>
      </c>
      <c r="B826" s="15" t="s">
        <v>268</v>
      </c>
      <c r="C826" s="16" t="s">
        <v>31</v>
      </c>
      <c r="D826" s="16" t="s">
        <v>31</v>
      </c>
      <c r="E826" s="15" t="s">
        <v>32</v>
      </c>
      <c r="F826" s="15" t="s">
        <v>314</v>
      </c>
      <c r="N826" s="21" t="s">
        <v>96</v>
      </c>
      <c r="O826" s="21" t="s">
        <v>336</v>
      </c>
      <c r="Q826" s="21" t="s">
        <v>344</v>
      </c>
      <c r="R826" s="22">
        <v>45756</v>
      </c>
      <c r="W826">
        <f>COUNTIF(リテラ・クレア証券対面ネット!U:U,B826)</f>
        <v>0</v>
      </c>
    </row>
    <row r="827" spans="1:23" ht="24.95" hidden="1" customHeight="1" x14ac:dyDescent="0.4">
      <c r="A827" s="17" t="s">
        <v>214</v>
      </c>
      <c r="B827" s="15" t="s">
        <v>269</v>
      </c>
      <c r="C827" s="16" t="s">
        <v>31</v>
      </c>
      <c r="D827" s="16" t="s">
        <v>31</v>
      </c>
      <c r="E827" s="15" t="s">
        <v>32</v>
      </c>
      <c r="F827" s="15" t="s">
        <v>314</v>
      </c>
      <c r="N827" s="21" t="s">
        <v>96</v>
      </c>
      <c r="O827" s="21" t="s">
        <v>336</v>
      </c>
      <c r="Q827" s="21" t="s">
        <v>344</v>
      </c>
      <c r="R827" s="22">
        <v>45756</v>
      </c>
      <c r="W827">
        <f>COUNTIF(リテラ・クレア証券対面ネット!U:U,B827)</f>
        <v>0</v>
      </c>
    </row>
    <row r="828" spans="1:23" ht="24.95" hidden="1" customHeight="1" x14ac:dyDescent="0.4">
      <c r="A828" s="17" t="s">
        <v>214</v>
      </c>
      <c r="B828" s="15" t="s">
        <v>270</v>
      </c>
      <c r="C828" s="16" t="s">
        <v>31</v>
      </c>
      <c r="D828" s="16" t="s">
        <v>31</v>
      </c>
      <c r="E828" s="15" t="s">
        <v>32</v>
      </c>
      <c r="F828" s="15" t="s">
        <v>314</v>
      </c>
      <c r="N828" s="21" t="s">
        <v>96</v>
      </c>
      <c r="O828" s="21" t="s">
        <v>336</v>
      </c>
      <c r="Q828" s="21" t="s">
        <v>344</v>
      </c>
      <c r="R828" s="22">
        <v>45756</v>
      </c>
      <c r="W828">
        <f>COUNTIF(リテラ・クレア証券対面ネット!U:U,B828)</f>
        <v>0</v>
      </c>
    </row>
    <row r="829" spans="1:23" ht="24.95" hidden="1" customHeight="1" x14ac:dyDescent="0.4">
      <c r="A829" s="17" t="s">
        <v>214</v>
      </c>
      <c r="B829" s="15" t="s">
        <v>271</v>
      </c>
      <c r="C829" s="16" t="s">
        <v>31</v>
      </c>
      <c r="D829" s="16" t="s">
        <v>31</v>
      </c>
      <c r="E829" s="15" t="s">
        <v>32</v>
      </c>
      <c r="F829" s="15" t="s">
        <v>314</v>
      </c>
      <c r="N829" s="21" t="s">
        <v>96</v>
      </c>
      <c r="O829" s="21" t="s">
        <v>336</v>
      </c>
      <c r="Q829" s="21" t="s">
        <v>344</v>
      </c>
      <c r="R829" s="22">
        <v>45756</v>
      </c>
      <c r="W829">
        <f>COUNTIF(リテラ・クレア証券対面ネット!U:U,B829)</f>
        <v>0</v>
      </c>
    </row>
    <row r="830" spans="1:23" ht="24.95" hidden="1" customHeight="1" x14ac:dyDescent="0.4">
      <c r="A830" s="17" t="s">
        <v>214</v>
      </c>
      <c r="B830" s="15" t="s">
        <v>366</v>
      </c>
      <c r="C830" s="16" t="s">
        <v>31</v>
      </c>
      <c r="D830" s="16" t="s">
        <v>31</v>
      </c>
      <c r="E830" s="15" t="s">
        <v>32</v>
      </c>
      <c r="F830" s="15" t="s">
        <v>365</v>
      </c>
      <c r="N830" s="21" t="s">
        <v>374</v>
      </c>
      <c r="O830" s="21" t="s">
        <v>373</v>
      </c>
      <c r="Q830" s="21" t="s">
        <v>344</v>
      </c>
      <c r="R830" s="22">
        <v>45883</v>
      </c>
      <c r="W830">
        <f>COUNTIF(リテラ・クレア証券対面ネット!U:U,B830)</f>
        <v>0</v>
      </c>
    </row>
    <row r="831" spans="1:23" ht="24.95" hidden="1" customHeight="1" x14ac:dyDescent="0.4">
      <c r="A831" s="17" t="s">
        <v>214</v>
      </c>
      <c r="B831" s="15" t="s">
        <v>367</v>
      </c>
      <c r="C831" s="16" t="s">
        <v>31</v>
      </c>
      <c r="D831" s="16" t="s">
        <v>31</v>
      </c>
      <c r="E831" s="15" t="s">
        <v>32</v>
      </c>
      <c r="F831" s="15" t="s">
        <v>365</v>
      </c>
      <c r="N831" s="21" t="s">
        <v>374</v>
      </c>
      <c r="O831" s="21" t="s">
        <v>373</v>
      </c>
      <c r="Q831" s="21" t="s">
        <v>344</v>
      </c>
      <c r="R831" s="22">
        <v>45883</v>
      </c>
      <c r="W831">
        <f>COUNTIF(リテラ・クレア証券対面ネット!U:U,B831)</f>
        <v>0</v>
      </c>
    </row>
    <row r="832" spans="1:23" ht="24.95" hidden="1" customHeight="1" x14ac:dyDescent="0.4">
      <c r="A832" s="17" t="s">
        <v>214</v>
      </c>
      <c r="B832" s="15" t="s">
        <v>324</v>
      </c>
      <c r="C832" s="16" t="s">
        <v>31</v>
      </c>
      <c r="D832" s="16" t="s">
        <v>31</v>
      </c>
      <c r="E832" s="15" t="s">
        <v>32</v>
      </c>
      <c r="F832" s="15" t="s">
        <v>314</v>
      </c>
      <c r="N832" s="21" t="s">
        <v>96</v>
      </c>
      <c r="O832" s="21" t="s">
        <v>337</v>
      </c>
      <c r="Q832" s="21" t="s">
        <v>344</v>
      </c>
      <c r="R832" s="22">
        <v>45756</v>
      </c>
      <c r="W832">
        <f>COUNTIF(リテラ・クレア証券対面ネット!U:U,B832)</f>
        <v>0</v>
      </c>
    </row>
    <row r="833" spans="1:23" ht="24.95" hidden="1" customHeight="1" x14ac:dyDescent="0.4">
      <c r="A833" s="17" t="s">
        <v>214</v>
      </c>
      <c r="B833" s="50" t="s">
        <v>368</v>
      </c>
      <c r="C833" s="16" t="s">
        <v>31</v>
      </c>
      <c r="D833" s="16" t="s">
        <v>31</v>
      </c>
      <c r="E833" s="15" t="s">
        <v>32</v>
      </c>
      <c r="F833" s="15" t="s">
        <v>365</v>
      </c>
      <c r="N833" s="21" t="s">
        <v>96</v>
      </c>
      <c r="O833" s="21" t="s">
        <v>372</v>
      </c>
      <c r="Q833" s="21" t="s">
        <v>344</v>
      </c>
      <c r="R833" s="22">
        <v>45883</v>
      </c>
      <c r="W833">
        <f>COUNTIF(リテラ・クレア証券対面ネット!U:U,B833)</f>
        <v>0</v>
      </c>
    </row>
    <row r="834" spans="1:23" ht="24.95" hidden="1" customHeight="1" x14ac:dyDescent="0.4">
      <c r="A834" s="17" t="s">
        <v>214</v>
      </c>
      <c r="B834" s="50" t="s">
        <v>369</v>
      </c>
      <c r="C834" s="16" t="s">
        <v>24</v>
      </c>
      <c r="D834" s="16" t="s">
        <v>31</v>
      </c>
      <c r="E834" s="15" t="s">
        <v>35</v>
      </c>
      <c r="F834" s="15" t="s">
        <v>365</v>
      </c>
      <c r="N834" s="21" t="s">
        <v>96</v>
      </c>
      <c r="O834" s="21" t="s">
        <v>372</v>
      </c>
      <c r="Q834" s="21" t="s">
        <v>344</v>
      </c>
      <c r="R834" s="22">
        <v>45883</v>
      </c>
      <c r="W834">
        <f>COUNTIF(リテラ・クレア証券対面ネット!U:U,B834)</f>
        <v>0</v>
      </c>
    </row>
    <row r="835" spans="1:23" ht="24.95" hidden="1" customHeight="1" x14ac:dyDescent="0.4">
      <c r="A835" s="17" t="s">
        <v>214</v>
      </c>
      <c r="B835" s="15" t="s">
        <v>325</v>
      </c>
      <c r="C835" s="16" t="s">
        <v>24</v>
      </c>
      <c r="D835" s="16" t="s">
        <v>31</v>
      </c>
      <c r="E835" s="15" t="s">
        <v>35</v>
      </c>
      <c r="F835" s="15" t="s">
        <v>314</v>
      </c>
      <c r="N835" s="21" t="s">
        <v>96</v>
      </c>
      <c r="O835" s="21" t="s">
        <v>337</v>
      </c>
      <c r="Q835" s="21" t="s">
        <v>344</v>
      </c>
      <c r="R835" s="22">
        <v>45756</v>
      </c>
      <c r="W835">
        <f>COUNTIF(リテラ・クレア証券対面ネット!U:U,B835)</f>
        <v>0</v>
      </c>
    </row>
    <row r="836" spans="1:23" ht="24.95" hidden="1" customHeight="1" x14ac:dyDescent="0.4">
      <c r="A836" s="17" t="s">
        <v>214</v>
      </c>
      <c r="B836" s="15" t="s">
        <v>272</v>
      </c>
      <c r="C836" s="16" t="s">
        <v>31</v>
      </c>
      <c r="D836" s="16" t="s">
        <v>31</v>
      </c>
      <c r="E836" s="15" t="s">
        <v>32</v>
      </c>
      <c r="F836" s="15" t="s">
        <v>314</v>
      </c>
      <c r="N836" s="21" t="s">
        <v>96</v>
      </c>
      <c r="O836" s="21" t="s">
        <v>336</v>
      </c>
      <c r="Q836" s="21" t="s">
        <v>344</v>
      </c>
      <c r="R836" s="22">
        <v>45756</v>
      </c>
      <c r="W836">
        <f>COUNTIF(リテラ・クレア証券対面ネット!U:U,B836)</f>
        <v>0</v>
      </c>
    </row>
    <row r="837" spans="1:23" ht="24.95" hidden="1" customHeight="1" x14ac:dyDescent="0.4">
      <c r="A837" s="17" t="s">
        <v>214</v>
      </c>
      <c r="B837" s="15" t="s">
        <v>273</v>
      </c>
      <c r="C837" s="16" t="s">
        <v>31</v>
      </c>
      <c r="D837" s="16" t="s">
        <v>31</v>
      </c>
      <c r="E837" s="15" t="s">
        <v>32</v>
      </c>
      <c r="F837" s="15" t="s">
        <v>314</v>
      </c>
      <c r="N837" s="21" t="s">
        <v>96</v>
      </c>
      <c r="O837" s="21" t="s">
        <v>336</v>
      </c>
      <c r="Q837" s="21" t="s">
        <v>344</v>
      </c>
      <c r="R837" s="22">
        <v>45756</v>
      </c>
      <c r="W837">
        <f>COUNTIF(リテラ・クレア証券対面ネット!U:U,B837)</f>
        <v>0</v>
      </c>
    </row>
    <row r="838" spans="1:23" ht="24.95" hidden="1" customHeight="1" x14ac:dyDescent="0.4">
      <c r="A838" s="17" t="s">
        <v>214</v>
      </c>
      <c r="B838" s="15" t="s">
        <v>274</v>
      </c>
      <c r="C838" s="16" t="s">
        <v>31</v>
      </c>
      <c r="D838" s="16" t="s">
        <v>31</v>
      </c>
      <c r="E838" s="15" t="s">
        <v>32</v>
      </c>
      <c r="F838" s="15" t="s">
        <v>314</v>
      </c>
      <c r="N838" s="21" t="s">
        <v>96</v>
      </c>
      <c r="O838" s="21" t="s">
        <v>336</v>
      </c>
      <c r="Q838" s="21" t="s">
        <v>344</v>
      </c>
      <c r="R838" s="22">
        <v>45756</v>
      </c>
      <c r="W838">
        <f>COUNTIF(リテラ・クレア証券対面ネット!U:U,B838)</f>
        <v>0</v>
      </c>
    </row>
    <row r="839" spans="1:23" ht="24.95" hidden="1" customHeight="1" x14ac:dyDescent="0.4">
      <c r="A839" s="17" t="s">
        <v>214</v>
      </c>
      <c r="B839" s="15" t="s">
        <v>275</v>
      </c>
      <c r="C839" s="16" t="s">
        <v>31</v>
      </c>
      <c r="D839" s="16" t="s">
        <v>31</v>
      </c>
      <c r="E839" s="15" t="s">
        <v>32</v>
      </c>
      <c r="F839" s="15" t="s">
        <v>314</v>
      </c>
      <c r="N839" s="21" t="s">
        <v>96</v>
      </c>
      <c r="O839" s="21" t="s">
        <v>336</v>
      </c>
      <c r="Q839" s="21" t="s">
        <v>344</v>
      </c>
      <c r="R839" s="22">
        <v>45756</v>
      </c>
      <c r="W839">
        <f>COUNTIF(リテラ・クレア証券対面ネット!U:U,B839)</f>
        <v>0</v>
      </c>
    </row>
    <row r="840" spans="1:23" ht="24.95" hidden="1" customHeight="1" x14ac:dyDescent="0.4">
      <c r="A840" s="17" t="s">
        <v>214</v>
      </c>
      <c r="B840" s="15" t="s">
        <v>326</v>
      </c>
      <c r="C840" s="16" t="s">
        <v>31</v>
      </c>
      <c r="D840" s="16" t="s">
        <v>31</v>
      </c>
      <c r="E840" s="15" t="s">
        <v>32</v>
      </c>
      <c r="F840" s="15" t="s">
        <v>314</v>
      </c>
      <c r="N840" s="21" t="s">
        <v>96</v>
      </c>
      <c r="O840" s="21" t="s">
        <v>337</v>
      </c>
      <c r="Q840" s="21" t="s">
        <v>344</v>
      </c>
      <c r="R840" s="22">
        <v>45756</v>
      </c>
      <c r="W840">
        <f>COUNTIF(リテラ・クレア証券対面ネット!U:U,B840)</f>
        <v>0</v>
      </c>
    </row>
    <row r="841" spans="1:23" ht="24.95" hidden="1" customHeight="1" x14ac:dyDescent="0.4">
      <c r="A841" s="17" t="s">
        <v>214</v>
      </c>
      <c r="B841" s="15" t="s">
        <v>327</v>
      </c>
      <c r="C841" s="16" t="s">
        <v>24</v>
      </c>
      <c r="D841" s="16" t="s">
        <v>31</v>
      </c>
      <c r="E841" s="15" t="s">
        <v>35</v>
      </c>
      <c r="F841" s="15" t="s">
        <v>314</v>
      </c>
      <c r="N841" s="21" t="s">
        <v>96</v>
      </c>
      <c r="O841" s="21" t="s">
        <v>337</v>
      </c>
      <c r="Q841" s="21" t="s">
        <v>344</v>
      </c>
      <c r="R841" s="22">
        <v>45756</v>
      </c>
      <c r="W841">
        <f>COUNTIF(リテラ・クレア証券対面ネット!U:U,B841)</f>
        <v>0</v>
      </c>
    </row>
    <row r="842" spans="1:23" ht="24.95" hidden="1" customHeight="1" x14ac:dyDescent="0.4">
      <c r="A842" s="17" t="s">
        <v>214</v>
      </c>
      <c r="B842" s="15" t="s">
        <v>328</v>
      </c>
      <c r="C842" s="16" t="s">
        <v>24</v>
      </c>
      <c r="D842" s="16" t="s">
        <v>31</v>
      </c>
      <c r="E842" s="15" t="s">
        <v>35</v>
      </c>
      <c r="F842" s="15" t="s">
        <v>314</v>
      </c>
      <c r="N842" s="21" t="s">
        <v>96</v>
      </c>
      <c r="O842" s="21" t="s">
        <v>337</v>
      </c>
      <c r="Q842" s="21" t="s">
        <v>344</v>
      </c>
      <c r="R842" s="22">
        <v>45756</v>
      </c>
      <c r="W842">
        <f>COUNTIF(リテラ・クレア証券対面ネット!U:U,B842)</f>
        <v>0</v>
      </c>
    </row>
    <row r="843" spans="1:23" ht="24.95" hidden="1" customHeight="1" x14ac:dyDescent="0.4">
      <c r="A843" s="17" t="s">
        <v>214</v>
      </c>
      <c r="B843" s="15" t="s">
        <v>329</v>
      </c>
      <c r="C843" s="16" t="s">
        <v>24</v>
      </c>
      <c r="D843" s="16" t="s">
        <v>31</v>
      </c>
      <c r="E843" s="15" t="s">
        <v>35</v>
      </c>
      <c r="F843" s="15" t="s">
        <v>314</v>
      </c>
      <c r="N843" s="21" t="s">
        <v>96</v>
      </c>
      <c r="O843" s="21" t="s">
        <v>337</v>
      </c>
      <c r="Q843" s="21" t="s">
        <v>344</v>
      </c>
      <c r="R843" s="22">
        <v>45756</v>
      </c>
      <c r="W843">
        <f>COUNTIF(リテラ・クレア証券対面ネット!U:U,B843)</f>
        <v>0</v>
      </c>
    </row>
    <row r="844" spans="1:23" ht="24.95" hidden="1" customHeight="1" x14ac:dyDescent="0.4">
      <c r="A844" s="17" t="s">
        <v>214</v>
      </c>
      <c r="B844" s="15" t="s">
        <v>276</v>
      </c>
      <c r="C844" s="16" t="s">
        <v>31</v>
      </c>
      <c r="D844" s="16" t="s">
        <v>31</v>
      </c>
      <c r="E844" s="15" t="s">
        <v>32</v>
      </c>
      <c r="F844" s="15" t="s">
        <v>314</v>
      </c>
      <c r="N844" s="21" t="s">
        <v>96</v>
      </c>
      <c r="O844" s="21" t="s">
        <v>336</v>
      </c>
      <c r="Q844" s="21" t="s">
        <v>344</v>
      </c>
      <c r="R844" s="22">
        <v>45756</v>
      </c>
      <c r="W844">
        <f>COUNTIF(リテラ・クレア証券対面ネット!U:U,B844)</f>
        <v>0</v>
      </c>
    </row>
    <row r="845" spans="1:23" ht="24.95" hidden="1" customHeight="1" x14ac:dyDescent="0.4">
      <c r="A845" s="17" t="s">
        <v>214</v>
      </c>
      <c r="B845" s="15" t="s">
        <v>277</v>
      </c>
      <c r="C845" s="16" t="s">
        <v>31</v>
      </c>
      <c r="D845" s="16" t="s">
        <v>31</v>
      </c>
      <c r="E845" s="15" t="s">
        <v>32</v>
      </c>
      <c r="F845" s="15" t="s">
        <v>314</v>
      </c>
      <c r="N845" s="21" t="s">
        <v>96</v>
      </c>
      <c r="O845" s="21" t="s">
        <v>336</v>
      </c>
      <c r="Q845" s="21" t="s">
        <v>344</v>
      </c>
      <c r="R845" s="22">
        <v>45756</v>
      </c>
      <c r="W845">
        <f>COUNTIF(リテラ・クレア証券対面ネット!U:U,B845)</f>
        <v>0</v>
      </c>
    </row>
    <row r="846" spans="1:23" ht="24.95" hidden="1" customHeight="1" x14ac:dyDescent="0.4">
      <c r="A846" s="17" t="s">
        <v>214</v>
      </c>
      <c r="B846" s="15" t="s">
        <v>278</v>
      </c>
      <c r="C846" s="16" t="s">
        <v>31</v>
      </c>
      <c r="D846" s="16" t="s">
        <v>31</v>
      </c>
      <c r="E846" s="15" t="s">
        <v>32</v>
      </c>
      <c r="F846" s="15" t="s">
        <v>314</v>
      </c>
      <c r="N846" s="21" t="s">
        <v>96</v>
      </c>
      <c r="O846" s="21" t="s">
        <v>336</v>
      </c>
      <c r="Q846" s="21" t="s">
        <v>344</v>
      </c>
      <c r="R846" s="22">
        <v>45756</v>
      </c>
      <c r="W846">
        <f>COUNTIF(リテラ・クレア証券対面ネット!U:U,B846)</f>
        <v>0</v>
      </c>
    </row>
    <row r="847" spans="1:23" ht="24.95" hidden="1" customHeight="1" x14ac:dyDescent="0.4">
      <c r="A847" s="17" t="s">
        <v>214</v>
      </c>
      <c r="B847" s="15" t="s">
        <v>279</v>
      </c>
      <c r="C847" s="16" t="s">
        <v>31</v>
      </c>
      <c r="D847" s="16" t="s">
        <v>31</v>
      </c>
      <c r="E847" s="15" t="s">
        <v>32</v>
      </c>
      <c r="F847" s="15" t="s">
        <v>314</v>
      </c>
      <c r="N847" s="21" t="s">
        <v>96</v>
      </c>
      <c r="O847" s="21" t="s">
        <v>336</v>
      </c>
      <c r="Q847" s="21" t="s">
        <v>344</v>
      </c>
      <c r="R847" s="22">
        <v>45756</v>
      </c>
      <c r="W847">
        <f>COUNTIF(リテラ・クレア証券対面ネット!U:U,B847)</f>
        <v>0</v>
      </c>
    </row>
    <row r="848" spans="1:23" ht="24.95" hidden="1" customHeight="1" x14ac:dyDescent="0.4">
      <c r="A848" s="17" t="s">
        <v>214</v>
      </c>
      <c r="B848" s="15" t="s">
        <v>280</v>
      </c>
      <c r="C848" s="16" t="s">
        <v>31</v>
      </c>
      <c r="D848" s="16" t="s">
        <v>31</v>
      </c>
      <c r="E848" s="15" t="s">
        <v>32</v>
      </c>
      <c r="F848" s="15" t="s">
        <v>314</v>
      </c>
      <c r="N848" s="21" t="s">
        <v>96</v>
      </c>
      <c r="O848" s="21" t="s">
        <v>336</v>
      </c>
      <c r="Q848" s="21" t="s">
        <v>344</v>
      </c>
      <c r="R848" s="22">
        <v>45756</v>
      </c>
      <c r="W848">
        <f>COUNTIF(リテラ・クレア証券対面ネット!U:U,B848)</f>
        <v>0</v>
      </c>
    </row>
    <row r="849" spans="1:23" ht="24.95" hidden="1" customHeight="1" x14ac:dyDescent="0.4">
      <c r="A849" s="17" t="s">
        <v>214</v>
      </c>
      <c r="B849" s="15" t="s">
        <v>281</v>
      </c>
      <c r="C849" s="16" t="s">
        <v>31</v>
      </c>
      <c r="D849" s="16" t="s">
        <v>31</v>
      </c>
      <c r="E849" s="15" t="s">
        <v>32</v>
      </c>
      <c r="F849" s="15" t="s">
        <v>314</v>
      </c>
      <c r="N849" s="21" t="s">
        <v>96</v>
      </c>
      <c r="O849" s="21" t="s">
        <v>336</v>
      </c>
      <c r="Q849" s="21" t="s">
        <v>344</v>
      </c>
      <c r="R849" s="22">
        <v>45756</v>
      </c>
      <c r="W849">
        <f>COUNTIF(リテラ・クレア証券対面ネット!U:U,B849)</f>
        <v>0</v>
      </c>
    </row>
    <row r="850" spans="1:23" ht="24.95" hidden="1" customHeight="1" x14ac:dyDescent="0.4">
      <c r="A850" s="17" t="s">
        <v>214</v>
      </c>
      <c r="B850" s="15" t="s">
        <v>282</v>
      </c>
      <c r="C850" s="16" t="s">
        <v>31</v>
      </c>
      <c r="D850" s="16" t="s">
        <v>31</v>
      </c>
      <c r="E850" s="15" t="s">
        <v>32</v>
      </c>
      <c r="F850" s="15" t="s">
        <v>314</v>
      </c>
      <c r="N850" s="21" t="s">
        <v>96</v>
      </c>
      <c r="O850" s="21" t="s">
        <v>336</v>
      </c>
      <c r="Q850" s="21" t="s">
        <v>344</v>
      </c>
      <c r="R850" s="22">
        <v>45756</v>
      </c>
      <c r="W850">
        <f>COUNTIF(リテラ・クレア証券対面ネット!U:U,B850)</f>
        <v>0</v>
      </c>
    </row>
    <row r="851" spans="1:23" ht="24.95" hidden="1" customHeight="1" x14ac:dyDescent="0.4">
      <c r="A851" s="17" t="s">
        <v>214</v>
      </c>
      <c r="B851" s="15" t="s">
        <v>283</v>
      </c>
      <c r="C851" s="16" t="s">
        <v>31</v>
      </c>
      <c r="D851" s="16" t="s">
        <v>31</v>
      </c>
      <c r="E851" s="15" t="s">
        <v>32</v>
      </c>
      <c r="F851" s="15" t="s">
        <v>314</v>
      </c>
      <c r="N851" s="21" t="s">
        <v>96</v>
      </c>
      <c r="O851" s="21" t="s">
        <v>336</v>
      </c>
      <c r="Q851" s="21" t="s">
        <v>344</v>
      </c>
      <c r="R851" s="22">
        <v>45756</v>
      </c>
      <c r="W851">
        <f>COUNTIF(リテラ・クレア証券対面ネット!U:U,B851)</f>
        <v>0</v>
      </c>
    </row>
    <row r="852" spans="1:23" ht="24.95" hidden="1" customHeight="1" x14ac:dyDescent="0.4">
      <c r="A852" s="17" t="s">
        <v>214</v>
      </c>
      <c r="B852" s="15" t="s">
        <v>284</v>
      </c>
      <c r="C852" s="16" t="s">
        <v>31</v>
      </c>
      <c r="D852" s="16" t="s">
        <v>31</v>
      </c>
      <c r="E852" s="15" t="s">
        <v>32</v>
      </c>
      <c r="F852" s="15" t="s">
        <v>314</v>
      </c>
      <c r="N852" s="21" t="s">
        <v>96</v>
      </c>
      <c r="O852" s="21" t="s">
        <v>336</v>
      </c>
      <c r="Q852" s="21" t="s">
        <v>344</v>
      </c>
      <c r="R852" s="22">
        <v>45756</v>
      </c>
      <c r="W852">
        <f>COUNTIF(リテラ・クレア証券対面ネット!U:U,B852)</f>
        <v>0</v>
      </c>
    </row>
    <row r="853" spans="1:23" ht="24.95" hidden="1" customHeight="1" x14ac:dyDescent="0.4">
      <c r="A853" s="17" t="s">
        <v>214</v>
      </c>
      <c r="B853" s="15" t="s">
        <v>285</v>
      </c>
      <c r="C853" s="16" t="s">
        <v>31</v>
      </c>
      <c r="D853" s="16" t="s">
        <v>31</v>
      </c>
      <c r="E853" s="15" t="s">
        <v>32</v>
      </c>
      <c r="F853" s="15" t="s">
        <v>314</v>
      </c>
      <c r="N853" s="21" t="s">
        <v>96</v>
      </c>
      <c r="O853" s="21" t="s">
        <v>336</v>
      </c>
      <c r="Q853" s="21" t="s">
        <v>344</v>
      </c>
      <c r="R853" s="22">
        <v>45756</v>
      </c>
      <c r="W853">
        <f>COUNTIF(リテラ・クレア証券対面ネット!U:U,B853)</f>
        <v>0</v>
      </c>
    </row>
    <row r="854" spans="1:23" ht="24.95" hidden="1" customHeight="1" x14ac:dyDescent="0.4">
      <c r="A854" s="17" t="s">
        <v>214</v>
      </c>
      <c r="B854" s="15" t="s">
        <v>286</v>
      </c>
      <c r="C854" s="16" t="s">
        <v>31</v>
      </c>
      <c r="D854" s="16" t="s">
        <v>31</v>
      </c>
      <c r="E854" s="15" t="s">
        <v>32</v>
      </c>
      <c r="F854" s="15" t="s">
        <v>314</v>
      </c>
      <c r="N854" s="21" t="s">
        <v>96</v>
      </c>
      <c r="O854" s="21" t="s">
        <v>336</v>
      </c>
      <c r="Q854" s="21" t="s">
        <v>344</v>
      </c>
      <c r="R854" s="22">
        <v>45756</v>
      </c>
      <c r="W854">
        <f>COUNTIF(リテラ・クレア証券対面ネット!U:U,B854)</f>
        <v>0</v>
      </c>
    </row>
    <row r="855" spans="1:23" ht="24.95" hidden="1" customHeight="1" x14ac:dyDescent="0.4">
      <c r="A855" s="17" t="s">
        <v>214</v>
      </c>
      <c r="B855" s="15" t="s">
        <v>287</v>
      </c>
      <c r="C855" s="16" t="s">
        <v>31</v>
      </c>
      <c r="D855" s="16" t="s">
        <v>31</v>
      </c>
      <c r="E855" s="15" t="s">
        <v>32</v>
      </c>
      <c r="F855" s="15" t="s">
        <v>314</v>
      </c>
      <c r="N855" s="21" t="s">
        <v>96</v>
      </c>
      <c r="O855" s="21" t="s">
        <v>336</v>
      </c>
      <c r="Q855" s="21" t="s">
        <v>344</v>
      </c>
      <c r="R855" s="22">
        <v>45756</v>
      </c>
      <c r="W855">
        <f>COUNTIF(リテラ・クレア証券対面ネット!U:U,B855)</f>
        <v>0</v>
      </c>
    </row>
    <row r="856" spans="1:23" ht="24.95" hidden="1" customHeight="1" x14ac:dyDescent="0.4">
      <c r="A856" s="17" t="s">
        <v>214</v>
      </c>
      <c r="B856" s="15" t="s">
        <v>342</v>
      </c>
      <c r="C856" s="16" t="s">
        <v>31</v>
      </c>
      <c r="D856" s="16" t="s">
        <v>31</v>
      </c>
      <c r="E856" s="15" t="s">
        <v>32</v>
      </c>
      <c r="F856" s="15" t="s">
        <v>340</v>
      </c>
      <c r="N856" s="21" t="s">
        <v>96</v>
      </c>
      <c r="O856" s="21" t="s">
        <v>345</v>
      </c>
      <c r="Q856" s="21" t="s">
        <v>344</v>
      </c>
      <c r="R856" s="22">
        <v>45784</v>
      </c>
      <c r="W856">
        <f>COUNTIF(リテラ・クレア証券対面ネット!U:U,B856)</f>
        <v>0</v>
      </c>
    </row>
    <row r="857" spans="1:23" ht="24.95" hidden="1" customHeight="1" x14ac:dyDescent="0.4">
      <c r="A857" s="17" t="s">
        <v>214</v>
      </c>
      <c r="B857" s="15" t="s">
        <v>288</v>
      </c>
      <c r="C857" s="16" t="s">
        <v>31</v>
      </c>
      <c r="D857" s="16" t="s">
        <v>31</v>
      </c>
      <c r="E857" s="15" t="s">
        <v>32</v>
      </c>
      <c r="F857" s="15" t="s">
        <v>314</v>
      </c>
      <c r="N857" s="21" t="s">
        <v>96</v>
      </c>
      <c r="O857" s="21" t="s">
        <v>336</v>
      </c>
      <c r="Q857" s="21" t="s">
        <v>344</v>
      </c>
      <c r="R857" s="22">
        <v>45756</v>
      </c>
      <c r="W857">
        <f>COUNTIF(リテラ・クレア証券対面ネット!U:U,B857)</f>
        <v>0</v>
      </c>
    </row>
    <row r="858" spans="1:23" ht="24.95" hidden="1" customHeight="1" x14ac:dyDescent="0.4">
      <c r="A858" s="17" t="s">
        <v>214</v>
      </c>
      <c r="B858" s="15" t="s">
        <v>289</v>
      </c>
      <c r="C858" s="16" t="s">
        <v>31</v>
      </c>
      <c r="D858" s="16" t="s">
        <v>31</v>
      </c>
      <c r="E858" s="15" t="s">
        <v>32</v>
      </c>
      <c r="F858" s="15" t="s">
        <v>314</v>
      </c>
      <c r="N858" s="21" t="s">
        <v>96</v>
      </c>
      <c r="O858" s="21" t="s">
        <v>336</v>
      </c>
      <c r="Q858" s="21" t="s">
        <v>344</v>
      </c>
      <c r="R858" s="22">
        <v>45756</v>
      </c>
      <c r="W858">
        <f>COUNTIF(リテラ・クレア証券対面ネット!U:U,B858)</f>
        <v>0</v>
      </c>
    </row>
    <row r="859" spans="1:23" ht="24.95" hidden="1" customHeight="1" x14ac:dyDescent="0.4">
      <c r="A859" s="17" t="s">
        <v>214</v>
      </c>
      <c r="B859" s="15" t="s">
        <v>290</v>
      </c>
      <c r="C859" s="16" t="s">
        <v>31</v>
      </c>
      <c r="D859" s="16" t="s">
        <v>31</v>
      </c>
      <c r="E859" s="15" t="s">
        <v>32</v>
      </c>
      <c r="F859" s="15" t="s">
        <v>314</v>
      </c>
      <c r="N859" s="21" t="s">
        <v>96</v>
      </c>
      <c r="O859" s="21" t="s">
        <v>336</v>
      </c>
      <c r="Q859" s="21" t="s">
        <v>344</v>
      </c>
      <c r="R859" s="22">
        <v>45756</v>
      </c>
      <c r="W859">
        <f>COUNTIF(リテラ・クレア証券対面ネット!U:U,B859)</f>
        <v>0</v>
      </c>
    </row>
    <row r="860" spans="1:23" ht="24.95" hidden="1" customHeight="1" x14ac:dyDescent="0.4">
      <c r="A860" s="17" t="s">
        <v>214</v>
      </c>
      <c r="B860" s="15" t="s">
        <v>291</v>
      </c>
      <c r="C860" s="16" t="s">
        <v>31</v>
      </c>
      <c r="D860" s="16" t="s">
        <v>31</v>
      </c>
      <c r="E860" s="15" t="s">
        <v>32</v>
      </c>
      <c r="F860" s="15" t="s">
        <v>314</v>
      </c>
      <c r="N860" s="21" t="s">
        <v>96</v>
      </c>
      <c r="O860" s="21" t="s">
        <v>336</v>
      </c>
      <c r="Q860" s="21" t="s">
        <v>344</v>
      </c>
      <c r="R860" s="22">
        <v>45756</v>
      </c>
      <c r="W860">
        <f>COUNTIF(リテラ・クレア証券対面ネット!U:U,B860)</f>
        <v>0</v>
      </c>
    </row>
    <row r="861" spans="1:23" ht="24.95" hidden="1" customHeight="1" x14ac:dyDescent="0.4">
      <c r="A861" s="17" t="s">
        <v>214</v>
      </c>
      <c r="B861" s="15" t="s">
        <v>292</v>
      </c>
      <c r="C861" s="16" t="s">
        <v>31</v>
      </c>
      <c r="D861" s="16" t="s">
        <v>31</v>
      </c>
      <c r="E861" s="15" t="s">
        <v>32</v>
      </c>
      <c r="F861" s="15" t="s">
        <v>314</v>
      </c>
      <c r="N861" s="21" t="s">
        <v>96</v>
      </c>
      <c r="O861" s="21" t="s">
        <v>336</v>
      </c>
      <c r="Q861" s="21" t="s">
        <v>344</v>
      </c>
      <c r="R861" s="22">
        <v>45756</v>
      </c>
      <c r="W861">
        <f>COUNTIF(リテラ・クレア証券対面ネット!U:U,B861)</f>
        <v>0</v>
      </c>
    </row>
    <row r="862" spans="1:23" ht="24.95" hidden="1" customHeight="1" x14ac:dyDescent="0.4">
      <c r="A862" s="17" t="s">
        <v>214</v>
      </c>
      <c r="B862" s="15" t="s">
        <v>293</v>
      </c>
      <c r="C862" s="16" t="s">
        <v>31</v>
      </c>
      <c r="D862" s="16" t="s">
        <v>31</v>
      </c>
      <c r="E862" s="15" t="s">
        <v>32</v>
      </c>
      <c r="F862" s="15" t="s">
        <v>314</v>
      </c>
      <c r="N862" s="21" t="s">
        <v>96</v>
      </c>
      <c r="O862" s="21" t="s">
        <v>336</v>
      </c>
      <c r="Q862" s="21" t="s">
        <v>344</v>
      </c>
      <c r="R862" s="22">
        <v>45756</v>
      </c>
      <c r="W862">
        <f>COUNTIF(リテラ・クレア証券対面ネット!U:U,B862)</f>
        <v>0</v>
      </c>
    </row>
    <row r="863" spans="1:23" ht="24.95" hidden="1" customHeight="1" x14ac:dyDescent="0.4">
      <c r="A863" s="17" t="s">
        <v>214</v>
      </c>
      <c r="B863" s="15" t="s">
        <v>294</v>
      </c>
      <c r="C863" s="16" t="s">
        <v>31</v>
      </c>
      <c r="D863" s="16" t="s">
        <v>31</v>
      </c>
      <c r="E863" s="15" t="s">
        <v>32</v>
      </c>
      <c r="F863" s="15" t="s">
        <v>314</v>
      </c>
      <c r="N863" s="21" t="s">
        <v>96</v>
      </c>
      <c r="O863" s="21" t="s">
        <v>336</v>
      </c>
      <c r="Q863" s="21" t="s">
        <v>344</v>
      </c>
      <c r="R863" s="22">
        <v>45756</v>
      </c>
      <c r="W863">
        <f>COUNTIF(リテラ・クレア証券対面ネット!U:U,B863)</f>
        <v>0</v>
      </c>
    </row>
    <row r="864" spans="1:23" ht="24.95" hidden="1" customHeight="1" x14ac:dyDescent="0.4">
      <c r="A864" s="17" t="s">
        <v>214</v>
      </c>
      <c r="B864" s="15" t="s">
        <v>295</v>
      </c>
      <c r="C864" s="16" t="s">
        <v>31</v>
      </c>
      <c r="D864" s="16" t="s">
        <v>31</v>
      </c>
      <c r="E864" s="15" t="s">
        <v>32</v>
      </c>
      <c r="F864" s="15" t="s">
        <v>314</v>
      </c>
      <c r="N864" s="21" t="s">
        <v>96</v>
      </c>
      <c r="O864" s="21" t="s">
        <v>336</v>
      </c>
      <c r="Q864" s="21" t="s">
        <v>344</v>
      </c>
      <c r="R864" s="22">
        <v>45756</v>
      </c>
      <c r="W864">
        <f>COUNTIF(リテラ・クレア証券対面ネット!U:U,B864)</f>
        <v>0</v>
      </c>
    </row>
    <row r="865" spans="1:23" ht="24.95" hidden="1" customHeight="1" x14ac:dyDescent="0.4">
      <c r="A865" s="17" t="s">
        <v>214</v>
      </c>
      <c r="B865" s="15" t="s">
        <v>296</v>
      </c>
      <c r="C865" s="16" t="s">
        <v>31</v>
      </c>
      <c r="D865" s="16" t="s">
        <v>31</v>
      </c>
      <c r="E865" s="15" t="s">
        <v>32</v>
      </c>
      <c r="F865" s="15" t="s">
        <v>314</v>
      </c>
      <c r="N865" s="21" t="s">
        <v>96</v>
      </c>
      <c r="O865" s="21" t="s">
        <v>336</v>
      </c>
      <c r="Q865" s="21" t="s">
        <v>344</v>
      </c>
      <c r="R865" s="22">
        <v>45756</v>
      </c>
      <c r="W865">
        <f>COUNTIF(リテラ・クレア証券対面ネット!U:U,B865)</f>
        <v>0</v>
      </c>
    </row>
    <row r="866" spans="1:23" ht="24.95" hidden="1" customHeight="1" x14ac:dyDescent="0.4">
      <c r="A866" s="17" t="s">
        <v>214</v>
      </c>
      <c r="B866" s="15" t="s">
        <v>297</v>
      </c>
      <c r="C866" s="16" t="s">
        <v>31</v>
      </c>
      <c r="D866" s="16" t="s">
        <v>31</v>
      </c>
      <c r="E866" s="15" t="s">
        <v>32</v>
      </c>
      <c r="F866" s="15" t="s">
        <v>314</v>
      </c>
      <c r="N866" s="21" t="s">
        <v>96</v>
      </c>
      <c r="O866" s="21" t="s">
        <v>336</v>
      </c>
      <c r="Q866" s="21" t="s">
        <v>344</v>
      </c>
      <c r="R866" s="22">
        <v>45756</v>
      </c>
      <c r="W866">
        <f>COUNTIF(リテラ・クレア証券対面ネット!U:U,B866)</f>
        <v>0</v>
      </c>
    </row>
    <row r="867" spans="1:23" ht="24.95" hidden="1" customHeight="1" x14ac:dyDescent="0.4">
      <c r="A867" s="17" t="s">
        <v>214</v>
      </c>
      <c r="B867" s="15" t="s">
        <v>298</v>
      </c>
      <c r="C867" s="16" t="s">
        <v>31</v>
      </c>
      <c r="D867" s="16" t="s">
        <v>31</v>
      </c>
      <c r="E867" s="15" t="s">
        <v>32</v>
      </c>
      <c r="F867" s="15" t="s">
        <v>314</v>
      </c>
      <c r="N867" s="21" t="s">
        <v>96</v>
      </c>
      <c r="O867" s="21" t="s">
        <v>336</v>
      </c>
      <c r="Q867" s="21" t="s">
        <v>344</v>
      </c>
      <c r="R867" s="22">
        <v>45756</v>
      </c>
      <c r="W867">
        <f>COUNTIF(リテラ・クレア証券対面ネット!U:U,B867)</f>
        <v>0</v>
      </c>
    </row>
    <row r="868" spans="1:23" ht="24.95" hidden="1" customHeight="1" x14ac:dyDescent="0.4">
      <c r="A868" s="17" t="s">
        <v>214</v>
      </c>
      <c r="B868" s="15" t="s">
        <v>299</v>
      </c>
      <c r="C868" s="16" t="s">
        <v>31</v>
      </c>
      <c r="D868" s="16" t="s">
        <v>31</v>
      </c>
      <c r="E868" s="15" t="s">
        <v>32</v>
      </c>
      <c r="F868" s="15" t="s">
        <v>314</v>
      </c>
      <c r="N868" s="21" t="s">
        <v>96</v>
      </c>
      <c r="O868" s="21" t="s">
        <v>336</v>
      </c>
      <c r="Q868" s="21" t="s">
        <v>344</v>
      </c>
      <c r="R868" s="22">
        <v>45756</v>
      </c>
      <c r="W868">
        <f>COUNTIF(リテラ・クレア証券対面ネット!U:U,B868)</f>
        <v>0</v>
      </c>
    </row>
    <row r="869" spans="1:23" ht="24.95" hidden="1" customHeight="1" x14ac:dyDescent="0.4">
      <c r="A869" s="17" t="s">
        <v>214</v>
      </c>
      <c r="B869" s="15" t="s">
        <v>300</v>
      </c>
      <c r="C869" s="16" t="s">
        <v>31</v>
      </c>
      <c r="D869" s="16" t="s">
        <v>31</v>
      </c>
      <c r="E869" s="15" t="s">
        <v>32</v>
      </c>
      <c r="F869" s="15" t="s">
        <v>314</v>
      </c>
      <c r="N869" s="21" t="s">
        <v>96</v>
      </c>
      <c r="O869" s="21" t="s">
        <v>336</v>
      </c>
      <c r="Q869" s="21" t="s">
        <v>344</v>
      </c>
      <c r="R869" s="22">
        <v>45756</v>
      </c>
      <c r="W869">
        <f>COUNTIF(リテラ・クレア証券対面ネット!U:U,B869)</f>
        <v>0</v>
      </c>
    </row>
    <row r="870" spans="1:23" ht="24.95" hidden="1" customHeight="1" x14ac:dyDescent="0.4">
      <c r="A870" s="17" t="s">
        <v>214</v>
      </c>
      <c r="B870" s="15" t="s">
        <v>301</v>
      </c>
      <c r="C870" s="16" t="s">
        <v>31</v>
      </c>
      <c r="D870" s="16" t="s">
        <v>31</v>
      </c>
      <c r="E870" s="15" t="s">
        <v>32</v>
      </c>
      <c r="F870" s="15" t="s">
        <v>314</v>
      </c>
      <c r="N870" s="21" t="s">
        <v>96</v>
      </c>
      <c r="O870" s="21" t="s">
        <v>336</v>
      </c>
      <c r="Q870" s="21" t="s">
        <v>344</v>
      </c>
      <c r="R870" s="22">
        <v>45756</v>
      </c>
      <c r="W870">
        <f>COUNTIF(リテラ・クレア証券対面ネット!U:U,B870)</f>
        <v>0</v>
      </c>
    </row>
    <row r="871" spans="1:23" ht="24.95" hidden="1" customHeight="1" x14ac:dyDescent="0.4">
      <c r="A871" s="17" t="s">
        <v>214</v>
      </c>
      <c r="B871" s="15" t="s">
        <v>302</v>
      </c>
      <c r="C871" s="16" t="s">
        <v>31</v>
      </c>
      <c r="D871" s="16" t="s">
        <v>31</v>
      </c>
      <c r="E871" s="15" t="s">
        <v>32</v>
      </c>
      <c r="F871" s="15" t="s">
        <v>314</v>
      </c>
      <c r="N871" s="21" t="s">
        <v>96</v>
      </c>
      <c r="O871" s="21" t="s">
        <v>336</v>
      </c>
      <c r="Q871" s="21" t="s">
        <v>344</v>
      </c>
      <c r="R871" s="22">
        <v>45756</v>
      </c>
      <c r="W871">
        <f>COUNTIF(リテラ・クレア証券対面ネット!U:U,B871)</f>
        <v>0</v>
      </c>
    </row>
    <row r="872" spans="1:23" ht="24.95" hidden="1" customHeight="1" x14ac:dyDescent="0.4">
      <c r="A872" s="17" t="s">
        <v>214</v>
      </c>
      <c r="B872" s="15" t="s">
        <v>303</v>
      </c>
      <c r="C872" s="16" t="s">
        <v>31</v>
      </c>
      <c r="D872" s="16" t="s">
        <v>31</v>
      </c>
      <c r="E872" s="15" t="s">
        <v>32</v>
      </c>
      <c r="F872" s="15" t="s">
        <v>314</v>
      </c>
      <c r="N872" s="21" t="s">
        <v>96</v>
      </c>
      <c r="O872" s="21" t="s">
        <v>336</v>
      </c>
      <c r="Q872" s="21" t="s">
        <v>344</v>
      </c>
      <c r="R872" s="22">
        <v>45756</v>
      </c>
      <c r="W872">
        <f>COUNTIF(リテラ・クレア証券対面ネット!U:U,B872)</f>
        <v>0</v>
      </c>
    </row>
    <row r="873" spans="1:23" ht="24.95" hidden="1" customHeight="1" x14ac:dyDescent="0.4">
      <c r="A873" s="17" t="s">
        <v>214</v>
      </c>
      <c r="B873" s="15" t="s">
        <v>304</v>
      </c>
      <c r="C873" s="16" t="s">
        <v>31</v>
      </c>
      <c r="D873" s="16" t="s">
        <v>31</v>
      </c>
      <c r="E873" s="15" t="s">
        <v>32</v>
      </c>
      <c r="F873" s="15" t="s">
        <v>314</v>
      </c>
      <c r="N873" s="21" t="s">
        <v>96</v>
      </c>
      <c r="O873" s="21" t="s">
        <v>336</v>
      </c>
      <c r="Q873" s="21" t="s">
        <v>344</v>
      </c>
      <c r="R873" s="22">
        <v>45756</v>
      </c>
      <c r="W873">
        <f>COUNTIF(リテラ・クレア証券対面ネット!U:U,B873)</f>
        <v>0</v>
      </c>
    </row>
    <row r="874" spans="1:23" ht="24.95" hidden="1" customHeight="1" x14ac:dyDescent="0.4">
      <c r="A874" s="17" t="s">
        <v>214</v>
      </c>
      <c r="B874" s="15" t="s">
        <v>305</v>
      </c>
      <c r="C874" s="16" t="s">
        <v>31</v>
      </c>
      <c r="D874" s="16" t="s">
        <v>31</v>
      </c>
      <c r="E874" s="15" t="s">
        <v>32</v>
      </c>
      <c r="F874" s="15" t="s">
        <v>314</v>
      </c>
      <c r="N874" s="21" t="s">
        <v>96</v>
      </c>
      <c r="O874" s="21" t="s">
        <v>336</v>
      </c>
      <c r="Q874" s="21" t="s">
        <v>344</v>
      </c>
      <c r="R874" s="22">
        <v>45756</v>
      </c>
      <c r="W874">
        <f>COUNTIF(リテラ・クレア証券対面ネット!U:U,B874)</f>
        <v>0</v>
      </c>
    </row>
    <row r="875" spans="1:23" ht="24.95" hidden="1" customHeight="1" x14ac:dyDescent="0.4">
      <c r="A875" s="17" t="s">
        <v>214</v>
      </c>
      <c r="B875" s="15" t="s">
        <v>370</v>
      </c>
      <c r="C875" s="16" t="s">
        <v>31</v>
      </c>
      <c r="D875" s="16" t="s">
        <v>31</v>
      </c>
      <c r="E875" s="15" t="s">
        <v>32</v>
      </c>
      <c r="F875" s="15" t="s">
        <v>365</v>
      </c>
      <c r="N875" s="21" t="s">
        <v>374</v>
      </c>
      <c r="O875" s="21" t="s">
        <v>373</v>
      </c>
      <c r="Q875" s="21" t="s">
        <v>344</v>
      </c>
      <c r="R875" s="22">
        <v>45883</v>
      </c>
      <c r="W875">
        <f>COUNTIF(リテラ・クレア証券対面ネット!U:U,B875)</f>
        <v>0</v>
      </c>
    </row>
    <row r="876" spans="1:23" ht="24.95" hidden="1" customHeight="1" x14ac:dyDescent="0.4">
      <c r="A876" s="17" t="s">
        <v>214</v>
      </c>
      <c r="B876" s="15" t="s">
        <v>371</v>
      </c>
      <c r="C876" s="16" t="s">
        <v>31</v>
      </c>
      <c r="D876" s="16" t="s">
        <v>31</v>
      </c>
      <c r="E876" s="15" t="s">
        <v>32</v>
      </c>
      <c r="F876" s="15" t="s">
        <v>365</v>
      </c>
      <c r="N876" s="21" t="s">
        <v>374</v>
      </c>
      <c r="O876" s="21" t="s">
        <v>373</v>
      </c>
      <c r="Q876" s="21" t="s">
        <v>344</v>
      </c>
      <c r="R876" s="22">
        <v>45883</v>
      </c>
      <c r="W876">
        <f>COUNTIF(リテラ・クレア証券対面ネット!U:U,B876)</f>
        <v>0</v>
      </c>
    </row>
    <row r="877" spans="1:23" ht="24.95" hidden="1" customHeight="1" x14ac:dyDescent="0.4">
      <c r="A877" s="17" t="s">
        <v>214</v>
      </c>
      <c r="B877" s="15" t="s">
        <v>306</v>
      </c>
      <c r="C877" s="16" t="s">
        <v>24</v>
      </c>
      <c r="D877" s="16" t="s">
        <v>31</v>
      </c>
      <c r="E877" s="15" t="s">
        <v>35</v>
      </c>
      <c r="F877" s="15" t="s">
        <v>314</v>
      </c>
      <c r="N877" s="21" t="s">
        <v>96</v>
      </c>
      <c r="O877" s="21" t="s">
        <v>336</v>
      </c>
      <c r="Q877" s="21" t="s">
        <v>344</v>
      </c>
      <c r="R877" s="22">
        <v>45756</v>
      </c>
      <c r="W877">
        <f>COUNTIF(リテラ・クレア証券対面ネット!U:U,B877)</f>
        <v>0</v>
      </c>
    </row>
    <row r="878" spans="1:23" ht="24.95" hidden="1" customHeight="1" x14ac:dyDescent="0.4">
      <c r="A878" s="17" t="s">
        <v>214</v>
      </c>
      <c r="B878" s="15" t="s">
        <v>307</v>
      </c>
      <c r="C878" s="16" t="s">
        <v>31</v>
      </c>
      <c r="D878" s="16" t="s">
        <v>31</v>
      </c>
      <c r="E878" s="15" t="s">
        <v>32</v>
      </c>
      <c r="F878" s="15" t="s">
        <v>314</v>
      </c>
      <c r="N878" s="21" t="s">
        <v>96</v>
      </c>
      <c r="O878" s="21" t="s">
        <v>336</v>
      </c>
      <c r="Q878" s="21" t="s">
        <v>344</v>
      </c>
      <c r="R878" s="22">
        <v>45756</v>
      </c>
      <c r="W878">
        <f>COUNTIF(リテラ・クレア証券対面ネット!U:U,B878)</f>
        <v>0</v>
      </c>
    </row>
    <row r="879" spans="1:23" ht="24.95" hidden="1" customHeight="1" x14ac:dyDescent="0.4">
      <c r="A879" s="17" t="s">
        <v>214</v>
      </c>
      <c r="B879" s="15" t="s">
        <v>38</v>
      </c>
      <c r="C879" s="16" t="s">
        <v>31</v>
      </c>
      <c r="D879" s="16" t="s">
        <v>31</v>
      </c>
      <c r="E879" s="15" t="s">
        <v>32</v>
      </c>
      <c r="F879" s="15" t="s">
        <v>212</v>
      </c>
      <c r="N879" s="21" t="s">
        <v>96</v>
      </c>
      <c r="O879" s="13" t="s">
        <v>353</v>
      </c>
      <c r="Q879" s="21" t="s">
        <v>344</v>
      </c>
      <c r="R879" s="22">
        <v>45814</v>
      </c>
      <c r="W879">
        <f>COUNTIF(リテラ・クレア証券対面ネット!U:U,B879)</f>
        <v>0</v>
      </c>
    </row>
    <row r="880" spans="1:23" ht="24.95" hidden="1" customHeight="1" x14ac:dyDescent="0.4">
      <c r="A880" s="17" t="s">
        <v>214</v>
      </c>
      <c r="B880" s="15" t="s">
        <v>119</v>
      </c>
      <c r="C880" s="16" t="s">
        <v>31</v>
      </c>
      <c r="D880" s="16" t="s">
        <v>31</v>
      </c>
      <c r="E880" s="15" t="s">
        <v>32</v>
      </c>
      <c r="F880" s="15" t="s">
        <v>365</v>
      </c>
      <c r="N880" s="21" t="s">
        <v>374</v>
      </c>
      <c r="O880" s="21" t="s">
        <v>375</v>
      </c>
      <c r="Q880" s="21" t="s">
        <v>344</v>
      </c>
      <c r="R880" s="22">
        <v>45883</v>
      </c>
      <c r="W880">
        <f>COUNTIF(リテラ・クレア証券対面ネット!U:U,B880)</f>
        <v>0</v>
      </c>
    </row>
    <row r="881" spans="1:26" ht="24.95" hidden="1" customHeight="1" x14ac:dyDescent="0.4">
      <c r="A881" s="17" t="s">
        <v>214</v>
      </c>
      <c r="B881" s="15" t="s">
        <v>120</v>
      </c>
      <c r="C881" s="16" t="s">
        <v>31</v>
      </c>
      <c r="D881" s="16" t="s">
        <v>31</v>
      </c>
      <c r="E881" s="15" t="s">
        <v>32</v>
      </c>
      <c r="F881" s="15" t="s">
        <v>314</v>
      </c>
      <c r="N881" s="21" t="s">
        <v>96</v>
      </c>
      <c r="O881" s="13" t="s">
        <v>339</v>
      </c>
      <c r="Q881" s="21" t="s">
        <v>344</v>
      </c>
      <c r="R881" s="22">
        <v>45756</v>
      </c>
      <c r="W881">
        <f>COUNTIF(リテラ・クレア証券対面ネット!U:U,B881)</f>
        <v>0</v>
      </c>
    </row>
    <row r="882" spans="1:26" ht="24.95" hidden="1" customHeight="1" x14ac:dyDescent="0.4">
      <c r="A882" s="17" t="s">
        <v>214</v>
      </c>
      <c r="B882" s="15" t="s">
        <v>39</v>
      </c>
      <c r="C882" s="16" t="s">
        <v>31</v>
      </c>
      <c r="D882" s="16" t="s">
        <v>31</v>
      </c>
      <c r="E882" s="15" t="s">
        <v>32</v>
      </c>
      <c r="F882" s="15" t="s">
        <v>212</v>
      </c>
      <c r="N882" s="21" t="s">
        <v>96</v>
      </c>
      <c r="O882" s="13" t="s">
        <v>350</v>
      </c>
      <c r="Q882" s="21" t="s">
        <v>344</v>
      </c>
      <c r="R882" s="22">
        <v>45814</v>
      </c>
      <c r="W882">
        <f>COUNTIF(リテラ・クレア証券対面ネット!U:U,B882)</f>
        <v>0</v>
      </c>
    </row>
    <row r="883" spans="1:26" ht="24.95" hidden="1" customHeight="1" x14ac:dyDescent="0.4">
      <c r="A883" s="17" t="s">
        <v>214</v>
      </c>
      <c r="B883" s="15" t="s">
        <v>220</v>
      </c>
      <c r="C883" s="16" t="s">
        <v>31</v>
      </c>
      <c r="D883" s="16" t="s">
        <v>31</v>
      </c>
      <c r="E883" s="15" t="s">
        <v>32</v>
      </c>
      <c r="F883" s="15" t="s">
        <v>314</v>
      </c>
      <c r="N883" s="21" t="s">
        <v>96</v>
      </c>
      <c r="O883" s="21" t="s">
        <v>338</v>
      </c>
      <c r="Q883" s="21" t="s">
        <v>344</v>
      </c>
      <c r="R883" s="22">
        <v>45756</v>
      </c>
      <c r="W883">
        <f>COUNTIF(リテラ・クレア証券対面ネット!U:U,B883)</f>
        <v>0</v>
      </c>
    </row>
    <row r="884" spans="1:26" ht="24.95" hidden="1" customHeight="1" x14ac:dyDescent="0.4">
      <c r="A884" s="17" t="s">
        <v>214</v>
      </c>
      <c r="B884" s="15" t="s">
        <v>172</v>
      </c>
      <c r="C884" s="16" t="s">
        <v>31</v>
      </c>
      <c r="D884" s="16" t="s">
        <v>31</v>
      </c>
      <c r="E884" s="15" t="s">
        <v>32</v>
      </c>
      <c r="F884" s="15" t="s">
        <v>212</v>
      </c>
      <c r="N884" s="21" t="s">
        <v>96</v>
      </c>
      <c r="O884" s="21" t="s">
        <v>336</v>
      </c>
      <c r="Q884" s="21" t="s">
        <v>344</v>
      </c>
      <c r="R884" s="22">
        <v>45814</v>
      </c>
      <c r="W884">
        <f>COUNTIF(リテラ・クレア証券対面ネット!U:U,B884)</f>
        <v>0</v>
      </c>
    </row>
    <row r="885" spans="1:26" ht="24.95" hidden="1" customHeight="1" x14ac:dyDescent="0.4">
      <c r="A885" s="17" t="s">
        <v>214</v>
      </c>
      <c r="B885" s="15" t="s">
        <v>111</v>
      </c>
      <c r="C885" s="16" t="s">
        <v>31</v>
      </c>
      <c r="D885" s="16" t="s">
        <v>31</v>
      </c>
      <c r="E885" s="15" t="s">
        <v>32</v>
      </c>
      <c r="F885" s="15" t="s">
        <v>314</v>
      </c>
      <c r="N885" s="21" t="s">
        <v>96</v>
      </c>
      <c r="O885" s="13" t="s">
        <v>339</v>
      </c>
      <c r="Q885" s="21" t="s">
        <v>344</v>
      </c>
      <c r="R885" s="22">
        <v>45756</v>
      </c>
      <c r="W885">
        <f>COUNTIF(リテラ・クレア証券対面ネット!U:U,B885)</f>
        <v>0</v>
      </c>
    </row>
    <row r="886" spans="1:26" ht="24.95" hidden="1" customHeight="1" x14ac:dyDescent="0.4">
      <c r="A886" s="17" t="s">
        <v>214</v>
      </c>
      <c r="B886" s="15" t="s">
        <v>42</v>
      </c>
      <c r="C886" s="16" t="s">
        <v>31</v>
      </c>
      <c r="D886" s="16" t="s">
        <v>31</v>
      </c>
      <c r="E886" s="15" t="s">
        <v>32</v>
      </c>
      <c r="F886" s="15" t="s">
        <v>212</v>
      </c>
      <c r="N886" s="21" t="s">
        <v>96</v>
      </c>
      <c r="O886" s="13" t="s">
        <v>351</v>
      </c>
      <c r="Q886" s="21" t="s">
        <v>344</v>
      </c>
      <c r="R886" s="22">
        <v>45814</v>
      </c>
      <c r="W886">
        <f>COUNTIF(リテラ・クレア証券対面ネット!U:U,B886)</f>
        <v>0</v>
      </c>
    </row>
    <row r="887" spans="1:26" ht="24.95" hidden="1" customHeight="1" x14ac:dyDescent="0.4">
      <c r="A887" s="17" t="s">
        <v>214</v>
      </c>
      <c r="B887" s="15" t="s">
        <v>330</v>
      </c>
      <c r="C887" s="16" t="s">
        <v>31</v>
      </c>
      <c r="D887" s="16" t="s">
        <v>31</v>
      </c>
      <c r="E887" s="15" t="s">
        <v>32</v>
      </c>
      <c r="F887" s="15" t="s">
        <v>314</v>
      </c>
      <c r="N887" s="21" t="s">
        <v>96</v>
      </c>
      <c r="O887" s="21" t="s">
        <v>338</v>
      </c>
      <c r="Q887" s="21" t="s">
        <v>344</v>
      </c>
      <c r="R887" s="22">
        <v>45756</v>
      </c>
      <c r="W887">
        <f>COUNTIF(リテラ・クレア証券対面ネット!U:U,B887)</f>
        <v>0</v>
      </c>
    </row>
    <row r="888" spans="1:26" ht="24.95" hidden="1" customHeight="1" x14ac:dyDescent="0.4">
      <c r="A888" s="17" t="s">
        <v>214</v>
      </c>
      <c r="B888" s="15" t="s">
        <v>43</v>
      </c>
      <c r="C888" s="16" t="s">
        <v>31</v>
      </c>
      <c r="D888" s="16" t="s">
        <v>31</v>
      </c>
      <c r="E888" s="15" t="s">
        <v>32</v>
      </c>
      <c r="F888" s="15" t="s">
        <v>356</v>
      </c>
      <c r="N888" s="21" t="s">
        <v>96</v>
      </c>
      <c r="O888" s="21" t="s">
        <v>360</v>
      </c>
      <c r="Q888" s="21" t="s">
        <v>344</v>
      </c>
      <c r="R888" s="22">
        <v>45847</v>
      </c>
      <c r="W888">
        <f>COUNTIF(リテラ・クレア証券対面ネット!U:U,B888)</f>
        <v>0</v>
      </c>
    </row>
    <row r="889" spans="1:26" ht="24.95" hidden="1" customHeight="1" x14ac:dyDescent="0.4">
      <c r="A889" s="17" t="s">
        <v>214</v>
      </c>
      <c r="B889" s="15" t="s">
        <v>343</v>
      </c>
      <c r="C889" s="16" t="s">
        <v>31</v>
      </c>
      <c r="D889" s="16" t="s">
        <v>31</v>
      </c>
      <c r="E889" s="15" t="s">
        <v>32</v>
      </c>
      <c r="F889" s="15" t="s">
        <v>340</v>
      </c>
      <c r="N889" s="21" t="s">
        <v>96</v>
      </c>
      <c r="O889" s="21" t="s">
        <v>345</v>
      </c>
      <c r="Q889" s="21" t="s">
        <v>344</v>
      </c>
      <c r="R889" s="22">
        <v>45784</v>
      </c>
      <c r="W889">
        <f>COUNTIF(リテラ・クレア証券対面ネット!U:U,B889)</f>
        <v>0</v>
      </c>
    </row>
    <row r="890" spans="1:26" ht="24.95" hidden="1" customHeight="1" x14ac:dyDescent="0.4">
      <c r="A890" s="17" t="s">
        <v>214</v>
      </c>
      <c r="B890" s="15" t="s">
        <v>121</v>
      </c>
      <c r="C890" s="16" t="s">
        <v>31</v>
      </c>
      <c r="D890" s="16" t="s">
        <v>31</v>
      </c>
      <c r="E890" s="15" t="s">
        <v>32</v>
      </c>
      <c r="F890" s="15" t="s">
        <v>314</v>
      </c>
      <c r="N890" s="21" t="s">
        <v>96</v>
      </c>
      <c r="O890" s="21" t="s">
        <v>336</v>
      </c>
      <c r="Q890" s="21" t="s">
        <v>344</v>
      </c>
      <c r="R890" s="22">
        <v>45756</v>
      </c>
      <c r="W890">
        <f>COUNTIF(リテラ・クレア証券対面ネット!U:U,B890)</f>
        <v>0</v>
      </c>
    </row>
    <row r="891" spans="1:26" ht="24.95" hidden="1" customHeight="1" x14ac:dyDescent="0.4">
      <c r="A891" s="17" t="s">
        <v>214</v>
      </c>
      <c r="B891" s="15" t="s">
        <v>44</v>
      </c>
      <c r="C891" s="16" t="s">
        <v>31</v>
      </c>
      <c r="D891" s="16" t="s">
        <v>31</v>
      </c>
      <c r="E891" s="15" t="s">
        <v>32</v>
      </c>
      <c r="F891" s="15" t="s">
        <v>221</v>
      </c>
      <c r="N891" s="21" t="s">
        <v>96</v>
      </c>
      <c r="O891" s="13" t="s">
        <v>359</v>
      </c>
      <c r="Q891" s="21" t="s">
        <v>344</v>
      </c>
      <c r="R891" s="22">
        <v>45814</v>
      </c>
      <c r="W891">
        <f>COUNTIF(リテラ・クレア証券対面ネット!U:U,B891)</f>
        <v>0</v>
      </c>
    </row>
    <row r="892" spans="1:26" ht="24.95" hidden="1" customHeight="1" x14ac:dyDescent="0.4">
      <c r="A892" s="17" t="s">
        <v>214</v>
      </c>
      <c r="B892" s="15" t="s">
        <v>45</v>
      </c>
      <c r="C892" s="16" t="s">
        <v>31</v>
      </c>
      <c r="D892" s="16" t="s">
        <v>31</v>
      </c>
      <c r="E892" s="15" t="s">
        <v>32</v>
      </c>
      <c r="F892" s="15" t="s">
        <v>314</v>
      </c>
      <c r="N892" s="21" t="s">
        <v>96</v>
      </c>
      <c r="O892" s="21" t="s">
        <v>338</v>
      </c>
      <c r="Q892" s="21" t="s">
        <v>344</v>
      </c>
      <c r="R892" s="22">
        <v>45756</v>
      </c>
      <c r="W892">
        <f>COUNTIF(リテラ・クレア証券対面ネット!U:U,B892)</f>
        <v>0</v>
      </c>
    </row>
    <row r="893" spans="1:26" ht="24.95" customHeight="1" x14ac:dyDescent="0.4">
      <c r="A893" s="17" t="s">
        <v>214</v>
      </c>
      <c r="B893" s="50" t="s">
        <v>469</v>
      </c>
      <c r="C893" s="16" t="s">
        <v>31</v>
      </c>
      <c r="D893" s="16" t="s">
        <v>31</v>
      </c>
      <c r="E893" s="15" t="s">
        <v>32</v>
      </c>
      <c r="F893" s="15" t="s">
        <v>365</v>
      </c>
      <c r="N893" s="21" t="s">
        <v>374</v>
      </c>
      <c r="O893" s="13" t="s">
        <v>468</v>
      </c>
      <c r="Q893" s="21" t="s">
        <v>344</v>
      </c>
      <c r="R893" s="22">
        <v>45883</v>
      </c>
      <c r="W893">
        <f>COUNTIF(リテラ・クレア証券対面ネット!U:U,B893)</f>
        <v>0</v>
      </c>
    </row>
    <row r="894" spans="1:26" ht="24.95" hidden="1" customHeight="1" x14ac:dyDescent="0.4">
      <c r="A894" s="17" t="s">
        <v>214</v>
      </c>
      <c r="B894" s="50" t="s">
        <v>91</v>
      </c>
      <c r="C894" s="16" t="s">
        <v>31</v>
      </c>
      <c r="D894" s="16" t="s">
        <v>31</v>
      </c>
      <c r="E894" s="15" t="s">
        <v>32</v>
      </c>
      <c r="F894" s="15" t="s">
        <v>356</v>
      </c>
      <c r="N894" s="21" t="s">
        <v>96</v>
      </c>
      <c r="O894" s="21" t="s">
        <v>360</v>
      </c>
      <c r="Q894" s="21" t="s">
        <v>344</v>
      </c>
      <c r="R894" s="22">
        <v>45847</v>
      </c>
      <c r="W894">
        <f>COUNTIF(リテラ・クレア証券対面ネット!U:U,B894)</f>
        <v>0</v>
      </c>
    </row>
    <row r="895" spans="1:26" ht="24.95" hidden="1" customHeight="1" x14ac:dyDescent="0.4">
      <c r="A895" s="17" t="s">
        <v>214</v>
      </c>
      <c r="B895" s="50" t="s">
        <v>216</v>
      </c>
      <c r="C895" s="16" t="s">
        <v>24</v>
      </c>
      <c r="D895" s="16" t="s">
        <v>31</v>
      </c>
      <c r="E895" s="15" t="s">
        <v>35</v>
      </c>
      <c r="F895" s="15" t="s">
        <v>212</v>
      </c>
      <c r="G895" s="25" t="s">
        <v>23</v>
      </c>
      <c r="H895" s="24" t="s">
        <v>224</v>
      </c>
      <c r="J895" s="24" t="s">
        <v>213</v>
      </c>
      <c r="M895" s="21" t="s">
        <v>81</v>
      </c>
      <c r="N895" s="21" t="s">
        <v>137</v>
      </c>
      <c r="O895" s="21" t="s">
        <v>209</v>
      </c>
      <c r="P895" s="21" t="s">
        <v>213</v>
      </c>
      <c r="Q895" s="21" t="s">
        <v>169</v>
      </c>
      <c r="R895" s="22">
        <v>45756</v>
      </c>
      <c r="W895">
        <f>COUNTIF(リテラ・クレア証券対面ネット!U:U,B895)</f>
        <v>0</v>
      </c>
      <c r="Z895" t="str">
        <f>A895&amp;" "&amp;B895</f>
        <v>09 wb cgi-bin</v>
      </c>
    </row>
    <row r="896" spans="1:26" ht="24.95" hidden="1" customHeight="1" x14ac:dyDescent="0.4">
      <c r="A896" s="17" t="s">
        <v>214</v>
      </c>
      <c r="B896" s="50" t="s">
        <v>222</v>
      </c>
      <c r="C896" s="16" t="s">
        <v>31</v>
      </c>
      <c r="D896" s="16" t="s">
        <v>24</v>
      </c>
      <c r="E896" s="15" t="s">
        <v>50</v>
      </c>
      <c r="F896" s="15" t="s">
        <v>221</v>
      </c>
      <c r="G896" s="25" t="s">
        <v>23</v>
      </c>
      <c r="H896" s="24" t="s">
        <v>331</v>
      </c>
      <c r="I896" s="24" t="s">
        <v>332</v>
      </c>
      <c r="J896" s="24" t="s">
        <v>333</v>
      </c>
      <c r="K896" s="23" t="s">
        <v>334</v>
      </c>
      <c r="M896" s="21" t="s">
        <v>81</v>
      </c>
      <c r="N896" s="21" t="s">
        <v>92</v>
      </c>
      <c r="O896" s="21" t="s">
        <v>209</v>
      </c>
      <c r="P896" s="21" t="s">
        <v>213</v>
      </c>
      <c r="Q896" s="21" t="s">
        <v>169</v>
      </c>
      <c r="R896" s="22">
        <v>45756</v>
      </c>
      <c r="W896">
        <f>COUNTIF(リテラ・クレア証券対面ネット!U:U,B896)</f>
        <v>0</v>
      </c>
      <c r="Z896" t="str">
        <f>A896&amp;" "&amp;B896</f>
        <v>09 wb info_409test.html</v>
      </c>
    </row>
    <row r="897" spans="1:26" ht="24.95" hidden="1" customHeight="1" x14ac:dyDescent="0.4">
      <c r="A897" s="17" t="s">
        <v>217</v>
      </c>
      <c r="B897" s="15" t="s">
        <v>115</v>
      </c>
      <c r="C897" s="16" t="s">
        <v>31</v>
      </c>
      <c r="D897" s="16" t="s">
        <v>31</v>
      </c>
      <c r="E897" s="15" t="s">
        <v>32</v>
      </c>
      <c r="F897" s="15" t="s">
        <v>212</v>
      </c>
      <c r="N897" s="21" t="s">
        <v>96</v>
      </c>
      <c r="O897" s="21" t="s">
        <v>337</v>
      </c>
      <c r="Q897" s="21" t="s">
        <v>344</v>
      </c>
      <c r="R897" s="22">
        <v>45814</v>
      </c>
      <c r="W897">
        <f>COUNTIF(リテラ・クレア証券対面ネット!U:U,B897)</f>
        <v>0</v>
      </c>
    </row>
    <row r="898" spans="1:26" ht="24.95" hidden="1" customHeight="1" x14ac:dyDescent="0.4">
      <c r="A898" s="17" t="s">
        <v>217</v>
      </c>
      <c r="B898" s="15" t="s">
        <v>313</v>
      </c>
      <c r="C898" s="16" t="s">
        <v>24</v>
      </c>
      <c r="D898" s="16" t="s">
        <v>31</v>
      </c>
      <c r="E898" s="15" t="s">
        <v>35</v>
      </c>
      <c r="F898" s="15" t="s">
        <v>314</v>
      </c>
      <c r="N898" s="21" t="s">
        <v>96</v>
      </c>
      <c r="O898" s="21" t="s">
        <v>337</v>
      </c>
      <c r="Q898" s="21" t="s">
        <v>344</v>
      </c>
      <c r="R898" s="22">
        <v>45756</v>
      </c>
      <c r="W898">
        <f>COUNTIF(リテラ・クレア証券対面ネット!U:U,B898)</f>
        <v>0</v>
      </c>
    </row>
    <row r="899" spans="1:26" ht="24.95" hidden="1" customHeight="1" x14ac:dyDescent="0.4">
      <c r="A899" s="17" t="s">
        <v>217</v>
      </c>
      <c r="B899" s="15" t="s">
        <v>315</v>
      </c>
      <c r="C899" s="16" t="s">
        <v>24</v>
      </c>
      <c r="D899" s="16" t="s">
        <v>31</v>
      </c>
      <c r="E899" s="15" t="s">
        <v>35</v>
      </c>
      <c r="F899" s="15" t="s">
        <v>314</v>
      </c>
      <c r="N899" s="21" t="s">
        <v>96</v>
      </c>
      <c r="O899" s="21" t="s">
        <v>337</v>
      </c>
      <c r="Q899" s="21" t="s">
        <v>344</v>
      </c>
      <c r="R899" s="22">
        <v>45756</v>
      </c>
      <c r="W899">
        <f>COUNTIF(リテラ・クレア証券対面ネット!U:U,B899)</f>
        <v>0</v>
      </c>
    </row>
    <row r="900" spans="1:26" ht="24.95" hidden="1" customHeight="1" x14ac:dyDescent="0.4">
      <c r="A900" s="17" t="s">
        <v>217</v>
      </c>
      <c r="B900" s="15" t="s">
        <v>316</v>
      </c>
      <c r="C900" s="16" t="s">
        <v>24</v>
      </c>
      <c r="D900" s="16" t="s">
        <v>31</v>
      </c>
      <c r="E900" s="15" t="s">
        <v>35</v>
      </c>
      <c r="F900" s="15" t="s">
        <v>314</v>
      </c>
      <c r="N900" s="21" t="s">
        <v>96</v>
      </c>
      <c r="O900" s="21" t="s">
        <v>337</v>
      </c>
      <c r="Q900" s="21" t="s">
        <v>344</v>
      </c>
      <c r="R900" s="22">
        <v>45756</v>
      </c>
      <c r="W900">
        <f>COUNTIF(リテラ・クレア証券対面ネット!U:U,B900)</f>
        <v>0</v>
      </c>
    </row>
    <row r="901" spans="1:26" ht="24.95" hidden="1" customHeight="1" x14ac:dyDescent="0.4">
      <c r="A901" s="17" t="s">
        <v>217</v>
      </c>
      <c r="B901" s="15" t="s">
        <v>317</v>
      </c>
      <c r="C901" s="16" t="s">
        <v>24</v>
      </c>
      <c r="D901" s="16" t="s">
        <v>31</v>
      </c>
      <c r="E901" s="15" t="s">
        <v>35</v>
      </c>
      <c r="F901" s="15" t="s">
        <v>314</v>
      </c>
      <c r="N901" s="21" t="s">
        <v>96</v>
      </c>
      <c r="O901" s="21" t="s">
        <v>337</v>
      </c>
      <c r="Q901" s="21" t="s">
        <v>344</v>
      </c>
      <c r="R901" s="22">
        <v>45756</v>
      </c>
      <c r="W901">
        <f>COUNTIF(リテラ・クレア証券対面ネット!U:U,B901)</f>
        <v>0</v>
      </c>
    </row>
    <row r="902" spans="1:26" ht="24.95" hidden="1" customHeight="1" x14ac:dyDescent="0.4">
      <c r="A902" s="17" t="s">
        <v>217</v>
      </c>
      <c r="B902" s="50" t="s">
        <v>364</v>
      </c>
      <c r="C902" s="16" t="s">
        <v>24</v>
      </c>
      <c r="D902" s="16" t="s">
        <v>31</v>
      </c>
      <c r="E902" s="15" t="s">
        <v>35</v>
      </c>
      <c r="F902" s="15" t="s">
        <v>365</v>
      </c>
      <c r="N902" s="21" t="s">
        <v>96</v>
      </c>
      <c r="O902" s="21" t="s">
        <v>372</v>
      </c>
      <c r="Q902" s="21" t="s">
        <v>344</v>
      </c>
      <c r="R902" s="22">
        <v>45883</v>
      </c>
      <c r="W902">
        <f>COUNTIF(リテラ・クレア証券対面ネット!U:U,B902)</f>
        <v>0</v>
      </c>
    </row>
    <row r="903" spans="1:26" ht="24.95" hidden="1" customHeight="1" x14ac:dyDescent="0.4">
      <c r="A903" s="17" t="s">
        <v>217</v>
      </c>
      <c r="B903" s="15" t="s">
        <v>355</v>
      </c>
      <c r="C903" s="16" t="s">
        <v>31</v>
      </c>
      <c r="D903" s="16" t="s">
        <v>31</v>
      </c>
      <c r="E903" s="15" t="s">
        <v>32</v>
      </c>
      <c r="F903" s="15" t="s">
        <v>356</v>
      </c>
      <c r="N903" s="21" t="s">
        <v>96</v>
      </c>
      <c r="O903" s="21" t="s">
        <v>360</v>
      </c>
      <c r="Q903" s="21" t="s">
        <v>344</v>
      </c>
      <c r="R903" s="22">
        <v>45847</v>
      </c>
      <c r="W903">
        <f>COUNTIF(リテラ・クレア証券対面ネット!U:U,B903)</f>
        <v>1</v>
      </c>
    </row>
    <row r="904" spans="1:26" ht="24.95" hidden="1" customHeight="1" x14ac:dyDescent="0.4">
      <c r="A904" s="17" t="s">
        <v>217</v>
      </c>
      <c r="B904" s="15" t="s">
        <v>171</v>
      </c>
      <c r="C904" s="16" t="s">
        <v>31</v>
      </c>
      <c r="D904" s="16" t="s">
        <v>31</v>
      </c>
      <c r="E904" s="15" t="s">
        <v>32</v>
      </c>
      <c r="F904" s="15" t="s">
        <v>314</v>
      </c>
      <c r="N904" s="21" t="s">
        <v>96</v>
      </c>
      <c r="O904" s="21" t="s">
        <v>336</v>
      </c>
      <c r="Q904" s="21" t="s">
        <v>344</v>
      </c>
      <c r="R904" s="22">
        <v>45756</v>
      </c>
      <c r="W904">
        <f>COUNTIF(リテラ・クレア証券対面ネット!U:U,B904)</f>
        <v>0</v>
      </c>
    </row>
    <row r="905" spans="1:26" ht="24.95" hidden="1" customHeight="1" x14ac:dyDescent="0.4">
      <c r="A905" s="17" t="s">
        <v>217</v>
      </c>
      <c r="B905" s="15" t="s">
        <v>123</v>
      </c>
      <c r="C905" s="16" t="s">
        <v>31</v>
      </c>
      <c r="D905" s="16" t="s">
        <v>31</v>
      </c>
      <c r="E905" s="15" t="s">
        <v>32</v>
      </c>
      <c r="F905" s="15" t="s">
        <v>212</v>
      </c>
      <c r="N905" s="21" t="s">
        <v>96</v>
      </c>
      <c r="O905" s="21" t="s">
        <v>337</v>
      </c>
      <c r="Q905" s="21" t="s">
        <v>344</v>
      </c>
      <c r="R905" s="22">
        <v>45814</v>
      </c>
      <c r="W905">
        <f>COUNTIF(リテラ・クレア証券対面ネット!U:U,B905)</f>
        <v>0</v>
      </c>
    </row>
    <row r="906" spans="1:26" ht="24.95" hidden="1" customHeight="1" x14ac:dyDescent="0.4">
      <c r="A906" s="17" t="s">
        <v>217</v>
      </c>
      <c r="B906" s="15" t="s">
        <v>37</v>
      </c>
      <c r="C906" s="16" t="s">
        <v>31</v>
      </c>
      <c r="D906" s="16" t="s">
        <v>31</v>
      </c>
      <c r="E906" s="15" t="s">
        <v>32</v>
      </c>
      <c r="F906" s="15" t="s">
        <v>314</v>
      </c>
      <c r="N906" s="21" t="s">
        <v>96</v>
      </c>
      <c r="O906" s="13" t="s">
        <v>349</v>
      </c>
      <c r="Q906" s="21" t="s">
        <v>344</v>
      </c>
      <c r="R906" s="22">
        <v>45814</v>
      </c>
      <c r="W906">
        <f>COUNTIF(リテラ・クレア証券対面ネット!U:U,B906)</f>
        <v>1</v>
      </c>
      <c r="Z906" t="s">
        <v>432</v>
      </c>
    </row>
    <row r="907" spans="1:26" ht="24.95" hidden="1" customHeight="1" x14ac:dyDescent="0.4">
      <c r="A907" s="17" t="s">
        <v>217</v>
      </c>
      <c r="B907" s="15" t="s">
        <v>225</v>
      </c>
      <c r="C907" s="16" t="s">
        <v>31</v>
      </c>
      <c r="D907" s="16" t="s">
        <v>31</v>
      </c>
      <c r="E907" s="15" t="s">
        <v>32</v>
      </c>
      <c r="F907" s="15" t="s">
        <v>314</v>
      </c>
      <c r="N907" s="21" t="s">
        <v>96</v>
      </c>
      <c r="O907" s="21" t="s">
        <v>336</v>
      </c>
      <c r="Q907" s="21" t="s">
        <v>344</v>
      </c>
      <c r="R907" s="22">
        <v>45756</v>
      </c>
      <c r="W907">
        <f>COUNTIF(リテラ・クレア証券対面ネット!U:U,B907)</f>
        <v>0</v>
      </c>
    </row>
    <row r="908" spans="1:26" ht="24.95" hidden="1" customHeight="1" x14ac:dyDescent="0.4">
      <c r="A908" s="17" t="s">
        <v>217</v>
      </c>
      <c r="B908" s="15" t="s">
        <v>117</v>
      </c>
      <c r="C908" s="16" t="s">
        <v>31</v>
      </c>
      <c r="D908" s="16" t="s">
        <v>31</v>
      </c>
      <c r="E908" s="15" t="s">
        <v>32</v>
      </c>
      <c r="F908" s="15" t="s">
        <v>356</v>
      </c>
      <c r="N908" s="21" t="s">
        <v>96</v>
      </c>
      <c r="O908" s="21" t="s">
        <v>360</v>
      </c>
      <c r="Q908" s="21" t="s">
        <v>344</v>
      </c>
      <c r="R908" s="22">
        <v>45847</v>
      </c>
      <c r="W908">
        <f>COUNTIF(リテラ・クレア証券対面ネット!U:U,B908)</f>
        <v>0</v>
      </c>
    </row>
    <row r="909" spans="1:26" ht="24.95" hidden="1" customHeight="1" x14ac:dyDescent="0.4">
      <c r="A909" s="17" t="s">
        <v>217</v>
      </c>
      <c r="B909" s="15" t="s">
        <v>126</v>
      </c>
      <c r="C909" s="16" t="s">
        <v>31</v>
      </c>
      <c r="D909" s="16" t="s">
        <v>31</v>
      </c>
      <c r="E909" s="15" t="s">
        <v>32</v>
      </c>
      <c r="F909" s="15" t="s">
        <v>365</v>
      </c>
      <c r="N909" s="21" t="s">
        <v>374</v>
      </c>
      <c r="O909" s="21" t="s">
        <v>373</v>
      </c>
      <c r="Q909" s="21" t="s">
        <v>344</v>
      </c>
      <c r="R909" s="22">
        <v>45883</v>
      </c>
      <c r="W909">
        <f>COUNTIF(リテラ・クレア証券対面ネット!U:U,B909)</f>
        <v>0</v>
      </c>
    </row>
    <row r="910" spans="1:26" ht="24.95" hidden="1" customHeight="1" x14ac:dyDescent="0.4">
      <c r="A910" s="17" t="s">
        <v>217</v>
      </c>
      <c r="B910" s="15" t="s">
        <v>226</v>
      </c>
      <c r="C910" s="16" t="s">
        <v>31</v>
      </c>
      <c r="D910" s="16" t="s">
        <v>31</v>
      </c>
      <c r="E910" s="15" t="s">
        <v>32</v>
      </c>
      <c r="F910" s="15" t="s">
        <v>314</v>
      </c>
      <c r="N910" s="21" t="s">
        <v>96</v>
      </c>
      <c r="O910" s="21" t="s">
        <v>336</v>
      </c>
      <c r="Q910" s="21" t="s">
        <v>344</v>
      </c>
      <c r="R910" s="22">
        <v>45756</v>
      </c>
      <c r="W910">
        <f>COUNTIF(リテラ・クレア証券対面ネット!U:U,B910)</f>
        <v>0</v>
      </c>
    </row>
    <row r="911" spans="1:26" ht="24.95" hidden="1" customHeight="1" x14ac:dyDescent="0.4">
      <c r="A911" s="17" t="s">
        <v>217</v>
      </c>
      <c r="B911" s="15" t="s">
        <v>318</v>
      </c>
      <c r="C911" s="16" t="s">
        <v>31</v>
      </c>
      <c r="D911" s="16" t="s">
        <v>31</v>
      </c>
      <c r="E911" s="15" t="s">
        <v>32</v>
      </c>
      <c r="F911" s="15" t="s">
        <v>314</v>
      </c>
      <c r="N911" s="21" t="s">
        <v>96</v>
      </c>
      <c r="O911" s="21" t="s">
        <v>337</v>
      </c>
      <c r="Q911" s="21" t="s">
        <v>344</v>
      </c>
      <c r="R911" s="22">
        <v>45756</v>
      </c>
      <c r="W911">
        <f>COUNTIF(リテラ・クレア証券対面ネット!U:U,B911)</f>
        <v>0</v>
      </c>
    </row>
    <row r="912" spans="1:26" ht="24.95" hidden="1" customHeight="1" x14ac:dyDescent="0.4">
      <c r="A912" s="17" t="s">
        <v>217</v>
      </c>
      <c r="B912" s="15" t="s">
        <v>118</v>
      </c>
      <c r="C912" s="16" t="s">
        <v>31</v>
      </c>
      <c r="D912" s="16" t="s">
        <v>31</v>
      </c>
      <c r="E912" s="15" t="s">
        <v>32</v>
      </c>
      <c r="F912" s="15" t="s">
        <v>314</v>
      </c>
      <c r="N912" s="21" t="s">
        <v>96</v>
      </c>
      <c r="O912" s="21" t="s">
        <v>337</v>
      </c>
      <c r="Q912" s="21" t="s">
        <v>344</v>
      </c>
      <c r="R912" s="22">
        <v>45756</v>
      </c>
      <c r="W912">
        <f>COUNTIF(リテラ・クレア証券対面ネット!U:U,B912)</f>
        <v>0</v>
      </c>
    </row>
    <row r="913" spans="1:23" ht="24.95" hidden="1" customHeight="1" x14ac:dyDescent="0.4">
      <c r="A913" s="17" t="s">
        <v>217</v>
      </c>
      <c r="B913" s="15" t="s">
        <v>319</v>
      </c>
      <c r="C913" s="16" t="s">
        <v>31</v>
      </c>
      <c r="D913" s="16" t="s">
        <v>31</v>
      </c>
      <c r="E913" s="15" t="s">
        <v>32</v>
      </c>
      <c r="F913" s="15" t="s">
        <v>314</v>
      </c>
      <c r="N913" s="21" t="s">
        <v>96</v>
      </c>
      <c r="O913" s="21" t="s">
        <v>337</v>
      </c>
      <c r="Q913" s="21" t="s">
        <v>344</v>
      </c>
      <c r="R913" s="22">
        <v>45756</v>
      </c>
      <c r="W913">
        <f>COUNTIF(リテラ・クレア証券対面ネット!U:U,B913)</f>
        <v>0</v>
      </c>
    </row>
    <row r="914" spans="1:23" ht="24.95" hidden="1" customHeight="1" x14ac:dyDescent="0.4">
      <c r="A914" s="17" t="s">
        <v>217</v>
      </c>
      <c r="B914" s="15" t="s">
        <v>227</v>
      </c>
      <c r="C914" s="16" t="s">
        <v>31</v>
      </c>
      <c r="D914" s="16" t="s">
        <v>31</v>
      </c>
      <c r="E914" s="15" t="s">
        <v>32</v>
      </c>
      <c r="F914" s="15" t="s">
        <v>314</v>
      </c>
      <c r="N914" s="21" t="s">
        <v>96</v>
      </c>
      <c r="O914" s="21" t="s">
        <v>336</v>
      </c>
      <c r="Q914" s="21" t="s">
        <v>344</v>
      </c>
      <c r="R914" s="22">
        <v>45756</v>
      </c>
      <c r="W914">
        <f>COUNTIF(リテラ・クレア証券対面ネット!U:U,B914)</f>
        <v>0</v>
      </c>
    </row>
    <row r="915" spans="1:23" ht="24.95" hidden="1" customHeight="1" x14ac:dyDescent="0.4">
      <c r="A915" s="17" t="s">
        <v>217</v>
      </c>
      <c r="B915" s="15" t="s">
        <v>228</v>
      </c>
      <c r="C915" s="16" t="s">
        <v>31</v>
      </c>
      <c r="D915" s="16" t="s">
        <v>31</v>
      </c>
      <c r="E915" s="15" t="s">
        <v>32</v>
      </c>
      <c r="F915" s="15" t="s">
        <v>314</v>
      </c>
      <c r="N915" s="21" t="s">
        <v>96</v>
      </c>
      <c r="O915" s="21" t="s">
        <v>336</v>
      </c>
      <c r="Q915" s="21" t="s">
        <v>344</v>
      </c>
      <c r="R915" s="22">
        <v>45756</v>
      </c>
      <c r="W915">
        <f>COUNTIF(リテラ・クレア証券対面ネット!U:U,B915)</f>
        <v>0</v>
      </c>
    </row>
    <row r="916" spans="1:23" ht="24.95" hidden="1" customHeight="1" x14ac:dyDescent="0.4">
      <c r="A916" s="17" t="s">
        <v>217</v>
      </c>
      <c r="B916" s="15" t="s">
        <v>229</v>
      </c>
      <c r="C916" s="16" t="s">
        <v>31</v>
      </c>
      <c r="D916" s="16" t="s">
        <v>31</v>
      </c>
      <c r="E916" s="15" t="s">
        <v>32</v>
      </c>
      <c r="F916" s="15" t="s">
        <v>314</v>
      </c>
      <c r="N916" s="21" t="s">
        <v>96</v>
      </c>
      <c r="O916" s="21" t="s">
        <v>336</v>
      </c>
      <c r="Q916" s="21" t="s">
        <v>344</v>
      </c>
      <c r="R916" s="22">
        <v>45756</v>
      </c>
      <c r="W916">
        <f>COUNTIF(リテラ・クレア証券対面ネット!U:U,B916)</f>
        <v>0</v>
      </c>
    </row>
    <row r="917" spans="1:23" ht="24.95" hidden="1" customHeight="1" x14ac:dyDescent="0.4">
      <c r="A917" s="17" t="s">
        <v>217</v>
      </c>
      <c r="B917" s="15" t="s">
        <v>230</v>
      </c>
      <c r="C917" s="16" t="s">
        <v>31</v>
      </c>
      <c r="D917" s="16" t="s">
        <v>31</v>
      </c>
      <c r="E917" s="15" t="s">
        <v>32</v>
      </c>
      <c r="F917" s="15" t="s">
        <v>314</v>
      </c>
      <c r="N917" s="21" t="s">
        <v>96</v>
      </c>
      <c r="O917" s="21" t="s">
        <v>336</v>
      </c>
      <c r="Q917" s="21" t="s">
        <v>344</v>
      </c>
      <c r="R917" s="22">
        <v>45756</v>
      </c>
      <c r="W917">
        <f>COUNTIF(リテラ・クレア証券対面ネット!U:U,B917)</f>
        <v>0</v>
      </c>
    </row>
    <row r="918" spans="1:23" ht="24.95" hidden="1" customHeight="1" x14ac:dyDescent="0.4">
      <c r="A918" s="17" t="s">
        <v>217</v>
      </c>
      <c r="B918" s="15" t="s">
        <v>231</v>
      </c>
      <c r="C918" s="16" t="s">
        <v>31</v>
      </c>
      <c r="D918" s="16" t="s">
        <v>31</v>
      </c>
      <c r="E918" s="15" t="s">
        <v>32</v>
      </c>
      <c r="F918" s="15" t="s">
        <v>314</v>
      </c>
      <c r="N918" s="21" t="s">
        <v>96</v>
      </c>
      <c r="O918" s="21" t="s">
        <v>336</v>
      </c>
      <c r="Q918" s="21" t="s">
        <v>344</v>
      </c>
      <c r="R918" s="22">
        <v>45756</v>
      </c>
      <c r="W918">
        <f>COUNTIF(リテラ・クレア証券対面ネット!U:U,B918)</f>
        <v>0</v>
      </c>
    </row>
    <row r="919" spans="1:23" ht="24.95" hidden="1" customHeight="1" x14ac:dyDescent="0.4">
      <c r="A919" s="17" t="s">
        <v>217</v>
      </c>
      <c r="B919" s="15" t="s">
        <v>232</v>
      </c>
      <c r="C919" s="16" t="s">
        <v>31</v>
      </c>
      <c r="D919" s="16" t="s">
        <v>31</v>
      </c>
      <c r="E919" s="15" t="s">
        <v>32</v>
      </c>
      <c r="F919" s="15" t="s">
        <v>314</v>
      </c>
      <c r="N919" s="21" t="s">
        <v>96</v>
      </c>
      <c r="O919" s="21" t="s">
        <v>336</v>
      </c>
      <c r="Q919" s="21" t="s">
        <v>344</v>
      </c>
      <c r="R919" s="22">
        <v>45756</v>
      </c>
      <c r="W919">
        <f>COUNTIF(リテラ・クレア証券対面ネット!U:U,B919)</f>
        <v>0</v>
      </c>
    </row>
    <row r="920" spans="1:23" ht="24.95" hidden="1" customHeight="1" x14ac:dyDescent="0.4">
      <c r="A920" s="17" t="s">
        <v>217</v>
      </c>
      <c r="B920" s="15" t="s">
        <v>233</v>
      </c>
      <c r="C920" s="16" t="s">
        <v>31</v>
      </c>
      <c r="D920" s="16" t="s">
        <v>31</v>
      </c>
      <c r="E920" s="15" t="s">
        <v>32</v>
      </c>
      <c r="F920" s="15" t="s">
        <v>314</v>
      </c>
      <c r="N920" s="21" t="s">
        <v>96</v>
      </c>
      <c r="O920" s="21" t="s">
        <v>336</v>
      </c>
      <c r="Q920" s="21" t="s">
        <v>344</v>
      </c>
      <c r="R920" s="22">
        <v>45756</v>
      </c>
      <c r="W920">
        <f>COUNTIF(リテラ・クレア証券対面ネット!U:U,B920)</f>
        <v>0</v>
      </c>
    </row>
    <row r="921" spans="1:23" ht="24.95" hidden="1" customHeight="1" x14ac:dyDescent="0.4">
      <c r="A921" s="17" t="s">
        <v>217</v>
      </c>
      <c r="B921" s="15" t="s">
        <v>234</v>
      </c>
      <c r="C921" s="16" t="s">
        <v>31</v>
      </c>
      <c r="D921" s="16" t="s">
        <v>31</v>
      </c>
      <c r="E921" s="15" t="s">
        <v>32</v>
      </c>
      <c r="F921" s="15" t="s">
        <v>314</v>
      </c>
      <c r="N921" s="21" t="s">
        <v>96</v>
      </c>
      <c r="O921" s="21" t="s">
        <v>336</v>
      </c>
      <c r="Q921" s="21" t="s">
        <v>344</v>
      </c>
      <c r="R921" s="22">
        <v>45756</v>
      </c>
      <c r="W921">
        <f>COUNTIF(リテラ・クレア証券対面ネット!U:U,B921)</f>
        <v>0</v>
      </c>
    </row>
    <row r="922" spans="1:23" ht="24.95" hidden="1" customHeight="1" x14ac:dyDescent="0.4">
      <c r="A922" s="17" t="s">
        <v>217</v>
      </c>
      <c r="B922" s="15" t="s">
        <v>235</v>
      </c>
      <c r="C922" s="16" t="s">
        <v>31</v>
      </c>
      <c r="D922" s="16" t="s">
        <v>31</v>
      </c>
      <c r="E922" s="15" t="s">
        <v>32</v>
      </c>
      <c r="F922" s="15" t="s">
        <v>314</v>
      </c>
      <c r="N922" s="21" t="s">
        <v>96</v>
      </c>
      <c r="O922" s="21" t="s">
        <v>336</v>
      </c>
      <c r="Q922" s="21" t="s">
        <v>344</v>
      </c>
      <c r="R922" s="22">
        <v>45756</v>
      </c>
      <c r="W922">
        <f>COUNTIF(リテラ・クレア証券対面ネット!U:U,B922)</f>
        <v>0</v>
      </c>
    </row>
    <row r="923" spans="1:23" ht="24.95" hidden="1" customHeight="1" x14ac:dyDescent="0.4">
      <c r="A923" s="17" t="s">
        <v>217</v>
      </c>
      <c r="B923" s="15" t="s">
        <v>236</v>
      </c>
      <c r="C923" s="16" t="s">
        <v>31</v>
      </c>
      <c r="D923" s="16" t="s">
        <v>31</v>
      </c>
      <c r="E923" s="15" t="s">
        <v>32</v>
      </c>
      <c r="F923" s="15" t="s">
        <v>314</v>
      </c>
      <c r="N923" s="21" t="s">
        <v>96</v>
      </c>
      <c r="O923" s="21" t="s">
        <v>336</v>
      </c>
      <c r="Q923" s="21" t="s">
        <v>344</v>
      </c>
      <c r="R923" s="22">
        <v>45756</v>
      </c>
      <c r="W923">
        <f>COUNTIF(リテラ・クレア証券対面ネット!U:U,B923)</f>
        <v>0</v>
      </c>
    </row>
    <row r="924" spans="1:23" ht="24.95" hidden="1" customHeight="1" x14ac:dyDescent="0.4">
      <c r="A924" s="17" t="s">
        <v>217</v>
      </c>
      <c r="B924" s="15" t="s">
        <v>237</v>
      </c>
      <c r="C924" s="16" t="s">
        <v>31</v>
      </c>
      <c r="D924" s="16" t="s">
        <v>31</v>
      </c>
      <c r="E924" s="15" t="s">
        <v>32</v>
      </c>
      <c r="F924" s="15" t="s">
        <v>314</v>
      </c>
      <c r="N924" s="21" t="s">
        <v>96</v>
      </c>
      <c r="O924" s="21" t="s">
        <v>336</v>
      </c>
      <c r="Q924" s="21" t="s">
        <v>344</v>
      </c>
      <c r="R924" s="22">
        <v>45756</v>
      </c>
      <c r="W924">
        <f>COUNTIF(リテラ・クレア証券対面ネット!U:U,B924)</f>
        <v>0</v>
      </c>
    </row>
    <row r="925" spans="1:23" ht="24.95" hidden="1" customHeight="1" x14ac:dyDescent="0.4">
      <c r="A925" s="17" t="s">
        <v>217</v>
      </c>
      <c r="B925" s="15" t="s">
        <v>346</v>
      </c>
      <c r="C925" s="16" t="s">
        <v>31</v>
      </c>
      <c r="D925" s="16" t="s">
        <v>31</v>
      </c>
      <c r="E925" s="15" t="s">
        <v>32</v>
      </c>
      <c r="F925" s="15" t="s">
        <v>356</v>
      </c>
      <c r="N925" s="21" t="s">
        <v>96</v>
      </c>
      <c r="O925" s="21" t="s">
        <v>360</v>
      </c>
      <c r="Q925" s="21" t="s">
        <v>344</v>
      </c>
      <c r="R925" s="22">
        <v>45847</v>
      </c>
      <c r="W925">
        <f>COUNTIF(リテラ・クレア証券対面ネット!U:U,B925)</f>
        <v>0</v>
      </c>
    </row>
    <row r="926" spans="1:23" ht="24.95" hidden="1" customHeight="1" x14ac:dyDescent="0.4">
      <c r="A926" s="17" t="s">
        <v>217</v>
      </c>
      <c r="B926" s="15" t="s">
        <v>357</v>
      </c>
      <c r="C926" s="16" t="s">
        <v>31</v>
      </c>
      <c r="D926" s="16" t="s">
        <v>31</v>
      </c>
      <c r="E926" s="15" t="s">
        <v>32</v>
      </c>
      <c r="F926" s="15" t="s">
        <v>356</v>
      </c>
      <c r="N926" s="21" t="s">
        <v>96</v>
      </c>
      <c r="O926" s="21" t="s">
        <v>360</v>
      </c>
      <c r="Q926" s="21" t="s">
        <v>344</v>
      </c>
      <c r="R926" s="22">
        <v>45847</v>
      </c>
      <c r="W926">
        <f>COUNTIF(リテラ・クレア証券対面ネット!U:U,B926)</f>
        <v>0</v>
      </c>
    </row>
    <row r="927" spans="1:23" ht="24.95" hidden="1" customHeight="1" x14ac:dyDescent="0.4">
      <c r="A927" s="17" t="s">
        <v>217</v>
      </c>
      <c r="B927" s="15" t="s">
        <v>347</v>
      </c>
      <c r="C927" s="16" t="s">
        <v>31</v>
      </c>
      <c r="D927" s="16" t="s">
        <v>31</v>
      </c>
      <c r="E927" s="15" t="s">
        <v>32</v>
      </c>
      <c r="F927" s="15" t="s">
        <v>356</v>
      </c>
      <c r="N927" s="21" t="s">
        <v>96</v>
      </c>
      <c r="O927" s="21" t="s">
        <v>360</v>
      </c>
      <c r="Q927" s="21" t="s">
        <v>344</v>
      </c>
      <c r="R927" s="22">
        <v>45847</v>
      </c>
      <c r="W927">
        <f>COUNTIF(リテラ・クレア証券対面ネット!U:U,B927)</f>
        <v>0</v>
      </c>
    </row>
    <row r="928" spans="1:23" ht="24.95" hidden="1" customHeight="1" x14ac:dyDescent="0.4">
      <c r="A928" s="17" t="s">
        <v>217</v>
      </c>
      <c r="B928" s="15" t="s">
        <v>320</v>
      </c>
      <c r="C928" s="16" t="s">
        <v>31</v>
      </c>
      <c r="D928" s="16" t="s">
        <v>31</v>
      </c>
      <c r="E928" s="15" t="s">
        <v>32</v>
      </c>
      <c r="F928" s="15" t="s">
        <v>314</v>
      </c>
      <c r="N928" s="21" t="s">
        <v>96</v>
      </c>
      <c r="O928" s="21" t="s">
        <v>337</v>
      </c>
      <c r="Q928" s="21" t="s">
        <v>344</v>
      </c>
      <c r="R928" s="22">
        <v>45756</v>
      </c>
      <c r="W928">
        <f>COUNTIF(リテラ・クレア証券対面ネット!U:U,B928)</f>
        <v>0</v>
      </c>
    </row>
    <row r="929" spans="1:23" ht="24.95" hidden="1" customHeight="1" x14ac:dyDescent="0.4">
      <c r="A929" s="17" t="s">
        <v>217</v>
      </c>
      <c r="B929" s="15" t="s">
        <v>132</v>
      </c>
      <c r="C929" s="16" t="s">
        <v>31</v>
      </c>
      <c r="D929" s="16" t="s">
        <v>31</v>
      </c>
      <c r="E929" s="15" t="s">
        <v>32</v>
      </c>
      <c r="F929" s="15" t="s">
        <v>314</v>
      </c>
      <c r="N929" s="21" t="s">
        <v>96</v>
      </c>
      <c r="O929" s="21" t="s">
        <v>337</v>
      </c>
      <c r="Q929" s="21" t="s">
        <v>344</v>
      </c>
      <c r="R929" s="22">
        <v>45756</v>
      </c>
      <c r="W929">
        <f>COUNTIF(リテラ・クレア証券対面ネット!U:U,B929)</f>
        <v>0</v>
      </c>
    </row>
    <row r="930" spans="1:23" ht="24.95" hidden="1" customHeight="1" x14ac:dyDescent="0.4">
      <c r="A930" s="17" t="s">
        <v>217</v>
      </c>
      <c r="B930" s="15" t="s">
        <v>321</v>
      </c>
      <c r="C930" s="16" t="s">
        <v>24</v>
      </c>
      <c r="D930" s="16" t="s">
        <v>31</v>
      </c>
      <c r="E930" s="15" t="s">
        <v>35</v>
      </c>
      <c r="F930" s="15" t="s">
        <v>314</v>
      </c>
      <c r="N930" s="21" t="s">
        <v>96</v>
      </c>
      <c r="O930" s="21" t="s">
        <v>337</v>
      </c>
      <c r="Q930" s="21" t="s">
        <v>344</v>
      </c>
      <c r="R930" s="22">
        <v>45756</v>
      </c>
      <c r="W930">
        <f>COUNTIF(リテラ・クレア証券対面ネット!U:U,B930)</f>
        <v>0</v>
      </c>
    </row>
    <row r="931" spans="1:23" ht="24.95" hidden="1" customHeight="1" x14ac:dyDescent="0.4">
      <c r="A931" s="17" t="s">
        <v>217</v>
      </c>
      <c r="B931" s="15" t="s">
        <v>322</v>
      </c>
      <c r="C931" s="16" t="s">
        <v>24</v>
      </c>
      <c r="D931" s="16" t="s">
        <v>31</v>
      </c>
      <c r="E931" s="15" t="s">
        <v>35</v>
      </c>
      <c r="F931" s="15" t="s">
        <v>314</v>
      </c>
      <c r="N931" s="21" t="s">
        <v>96</v>
      </c>
      <c r="O931" s="21" t="s">
        <v>337</v>
      </c>
      <c r="Q931" s="21" t="s">
        <v>344</v>
      </c>
      <c r="R931" s="22">
        <v>45756</v>
      </c>
      <c r="W931">
        <f>COUNTIF(リテラ・クレア証券対面ネット!U:U,B931)</f>
        <v>0</v>
      </c>
    </row>
    <row r="932" spans="1:23" ht="24.95" hidden="1" customHeight="1" x14ac:dyDescent="0.4">
      <c r="A932" s="17" t="s">
        <v>217</v>
      </c>
      <c r="B932" s="15" t="s">
        <v>323</v>
      </c>
      <c r="C932" s="16" t="s">
        <v>24</v>
      </c>
      <c r="D932" s="16" t="s">
        <v>31</v>
      </c>
      <c r="E932" s="15" t="s">
        <v>35</v>
      </c>
      <c r="F932" s="15" t="s">
        <v>314</v>
      </c>
      <c r="N932" s="21" t="s">
        <v>96</v>
      </c>
      <c r="O932" s="21" t="s">
        <v>337</v>
      </c>
      <c r="Q932" s="21" t="s">
        <v>344</v>
      </c>
      <c r="R932" s="22">
        <v>45756</v>
      </c>
      <c r="W932">
        <f>COUNTIF(リテラ・クレア証券対面ネット!U:U,B932)</f>
        <v>0</v>
      </c>
    </row>
    <row r="933" spans="1:23" ht="24.95" hidden="1" customHeight="1" x14ac:dyDescent="0.4">
      <c r="A933" s="17" t="s">
        <v>217</v>
      </c>
      <c r="B933" s="15" t="s">
        <v>238</v>
      </c>
      <c r="C933" s="16" t="s">
        <v>31</v>
      </c>
      <c r="D933" s="16" t="s">
        <v>31</v>
      </c>
      <c r="E933" s="15" t="s">
        <v>32</v>
      </c>
      <c r="F933" s="15" t="s">
        <v>314</v>
      </c>
      <c r="N933" s="21" t="s">
        <v>96</v>
      </c>
      <c r="O933" s="21" t="s">
        <v>336</v>
      </c>
      <c r="Q933" s="21" t="s">
        <v>344</v>
      </c>
      <c r="R933" s="22">
        <v>45756</v>
      </c>
      <c r="W933">
        <f>COUNTIF(リテラ・クレア証券対面ネット!U:U,B933)</f>
        <v>0</v>
      </c>
    </row>
    <row r="934" spans="1:23" ht="24.95" hidden="1" customHeight="1" x14ac:dyDescent="0.4">
      <c r="A934" s="17" t="s">
        <v>217</v>
      </c>
      <c r="B934" s="15" t="s">
        <v>239</v>
      </c>
      <c r="C934" s="16" t="s">
        <v>31</v>
      </c>
      <c r="D934" s="16" t="s">
        <v>31</v>
      </c>
      <c r="E934" s="15" t="s">
        <v>32</v>
      </c>
      <c r="F934" s="15" t="s">
        <v>314</v>
      </c>
      <c r="N934" s="21" t="s">
        <v>96</v>
      </c>
      <c r="O934" s="21" t="s">
        <v>336</v>
      </c>
      <c r="Q934" s="21" t="s">
        <v>344</v>
      </c>
      <c r="R934" s="22">
        <v>45756</v>
      </c>
      <c r="W934">
        <f>COUNTIF(リテラ・クレア証券対面ネット!U:U,B934)</f>
        <v>0</v>
      </c>
    </row>
    <row r="935" spans="1:23" ht="24.95" hidden="1" customHeight="1" x14ac:dyDescent="0.4">
      <c r="A935" s="17" t="s">
        <v>217</v>
      </c>
      <c r="B935" s="15" t="s">
        <v>240</v>
      </c>
      <c r="C935" s="16" t="s">
        <v>31</v>
      </c>
      <c r="D935" s="16" t="s">
        <v>31</v>
      </c>
      <c r="E935" s="15" t="s">
        <v>32</v>
      </c>
      <c r="F935" s="15" t="s">
        <v>314</v>
      </c>
      <c r="N935" s="21" t="s">
        <v>96</v>
      </c>
      <c r="O935" s="21" t="s">
        <v>336</v>
      </c>
      <c r="Q935" s="21" t="s">
        <v>344</v>
      </c>
      <c r="R935" s="22">
        <v>45756</v>
      </c>
      <c r="W935">
        <f>COUNTIF(リテラ・クレア証券対面ネット!U:U,B935)</f>
        <v>0</v>
      </c>
    </row>
    <row r="936" spans="1:23" ht="24.95" hidden="1" customHeight="1" x14ac:dyDescent="0.4">
      <c r="A936" s="17" t="s">
        <v>217</v>
      </c>
      <c r="B936" s="15" t="s">
        <v>241</v>
      </c>
      <c r="C936" s="16" t="s">
        <v>31</v>
      </c>
      <c r="D936" s="16" t="s">
        <v>31</v>
      </c>
      <c r="E936" s="15" t="s">
        <v>32</v>
      </c>
      <c r="F936" s="15" t="s">
        <v>314</v>
      </c>
      <c r="N936" s="21" t="s">
        <v>96</v>
      </c>
      <c r="O936" s="21" t="s">
        <v>336</v>
      </c>
      <c r="Q936" s="21" t="s">
        <v>344</v>
      </c>
      <c r="R936" s="22">
        <v>45756</v>
      </c>
      <c r="W936">
        <f>COUNTIF(リテラ・クレア証券対面ネット!U:U,B936)</f>
        <v>0</v>
      </c>
    </row>
    <row r="937" spans="1:23" ht="24.95" hidden="1" customHeight="1" x14ac:dyDescent="0.4">
      <c r="A937" s="17" t="s">
        <v>217</v>
      </c>
      <c r="B937" s="15" t="s">
        <v>242</v>
      </c>
      <c r="C937" s="16" t="s">
        <v>31</v>
      </c>
      <c r="D937" s="16" t="s">
        <v>31</v>
      </c>
      <c r="E937" s="15" t="s">
        <v>32</v>
      </c>
      <c r="F937" s="15" t="s">
        <v>314</v>
      </c>
      <c r="N937" s="21" t="s">
        <v>96</v>
      </c>
      <c r="O937" s="21" t="s">
        <v>336</v>
      </c>
      <c r="Q937" s="21" t="s">
        <v>344</v>
      </c>
      <c r="R937" s="22">
        <v>45756</v>
      </c>
      <c r="W937">
        <f>COUNTIF(リテラ・クレア証券対面ネット!U:U,B937)</f>
        <v>0</v>
      </c>
    </row>
    <row r="938" spans="1:23" ht="24.95" hidden="1" customHeight="1" x14ac:dyDescent="0.4">
      <c r="A938" s="17" t="s">
        <v>217</v>
      </c>
      <c r="B938" s="15" t="s">
        <v>243</v>
      </c>
      <c r="C938" s="16" t="s">
        <v>31</v>
      </c>
      <c r="D938" s="16" t="s">
        <v>31</v>
      </c>
      <c r="E938" s="15" t="s">
        <v>32</v>
      </c>
      <c r="F938" s="15" t="s">
        <v>314</v>
      </c>
      <c r="N938" s="21" t="s">
        <v>96</v>
      </c>
      <c r="O938" s="21" t="s">
        <v>336</v>
      </c>
      <c r="Q938" s="21" t="s">
        <v>344</v>
      </c>
      <c r="R938" s="22">
        <v>45756</v>
      </c>
      <c r="W938">
        <f>COUNTIF(リテラ・クレア証券対面ネット!U:U,B938)</f>
        <v>0</v>
      </c>
    </row>
    <row r="939" spans="1:23" ht="24.95" hidden="1" customHeight="1" x14ac:dyDescent="0.4">
      <c r="A939" s="17" t="s">
        <v>217</v>
      </c>
      <c r="B939" s="15" t="s">
        <v>244</v>
      </c>
      <c r="C939" s="16" t="s">
        <v>31</v>
      </c>
      <c r="D939" s="16" t="s">
        <v>31</v>
      </c>
      <c r="E939" s="15" t="s">
        <v>32</v>
      </c>
      <c r="F939" s="15" t="s">
        <v>314</v>
      </c>
      <c r="N939" s="21" t="s">
        <v>96</v>
      </c>
      <c r="O939" s="21" t="s">
        <v>336</v>
      </c>
      <c r="Q939" s="21" t="s">
        <v>344</v>
      </c>
      <c r="R939" s="22">
        <v>45756</v>
      </c>
      <c r="W939">
        <f>COUNTIF(リテラ・クレア証券対面ネット!U:U,B939)</f>
        <v>0</v>
      </c>
    </row>
    <row r="940" spans="1:23" ht="24.95" hidden="1" customHeight="1" x14ac:dyDescent="0.4">
      <c r="A940" s="17" t="s">
        <v>217</v>
      </c>
      <c r="B940" s="15" t="s">
        <v>245</v>
      </c>
      <c r="C940" s="16" t="s">
        <v>31</v>
      </c>
      <c r="D940" s="16" t="s">
        <v>31</v>
      </c>
      <c r="E940" s="15" t="s">
        <v>32</v>
      </c>
      <c r="F940" s="15" t="s">
        <v>314</v>
      </c>
      <c r="N940" s="21" t="s">
        <v>96</v>
      </c>
      <c r="O940" s="21" t="s">
        <v>336</v>
      </c>
      <c r="Q940" s="21" t="s">
        <v>344</v>
      </c>
      <c r="R940" s="22">
        <v>45756</v>
      </c>
      <c r="W940">
        <f>COUNTIF(リテラ・クレア証券対面ネット!U:U,B940)</f>
        <v>0</v>
      </c>
    </row>
    <row r="941" spans="1:23" ht="24.95" hidden="1" customHeight="1" x14ac:dyDescent="0.4">
      <c r="A941" s="17" t="s">
        <v>217</v>
      </c>
      <c r="B941" s="15" t="s">
        <v>246</v>
      </c>
      <c r="C941" s="16" t="s">
        <v>31</v>
      </c>
      <c r="D941" s="16" t="s">
        <v>31</v>
      </c>
      <c r="E941" s="15" t="s">
        <v>32</v>
      </c>
      <c r="F941" s="15" t="s">
        <v>314</v>
      </c>
      <c r="N941" s="21" t="s">
        <v>96</v>
      </c>
      <c r="O941" s="21" t="s">
        <v>336</v>
      </c>
      <c r="Q941" s="21" t="s">
        <v>344</v>
      </c>
      <c r="R941" s="22">
        <v>45756</v>
      </c>
      <c r="W941">
        <f>COUNTIF(リテラ・クレア証券対面ネット!U:U,B941)</f>
        <v>0</v>
      </c>
    </row>
    <row r="942" spans="1:23" ht="24.95" hidden="1" customHeight="1" x14ac:dyDescent="0.4">
      <c r="A942" s="17" t="s">
        <v>217</v>
      </c>
      <c r="B942" s="15" t="s">
        <v>247</v>
      </c>
      <c r="C942" s="16" t="s">
        <v>31</v>
      </c>
      <c r="D942" s="16" t="s">
        <v>31</v>
      </c>
      <c r="E942" s="15" t="s">
        <v>32</v>
      </c>
      <c r="F942" s="15" t="s">
        <v>314</v>
      </c>
      <c r="N942" s="21" t="s">
        <v>96</v>
      </c>
      <c r="O942" s="21" t="s">
        <v>336</v>
      </c>
      <c r="Q942" s="21" t="s">
        <v>344</v>
      </c>
      <c r="R942" s="22">
        <v>45756</v>
      </c>
      <c r="W942">
        <f>COUNTIF(リテラ・クレア証券対面ネット!U:U,B942)</f>
        <v>0</v>
      </c>
    </row>
    <row r="943" spans="1:23" ht="24.95" hidden="1" customHeight="1" x14ac:dyDescent="0.4">
      <c r="A943" s="17" t="s">
        <v>217</v>
      </c>
      <c r="B943" s="15" t="s">
        <v>248</v>
      </c>
      <c r="C943" s="16" t="s">
        <v>31</v>
      </c>
      <c r="D943" s="16" t="s">
        <v>31</v>
      </c>
      <c r="E943" s="15" t="s">
        <v>32</v>
      </c>
      <c r="F943" s="15" t="s">
        <v>314</v>
      </c>
      <c r="N943" s="21" t="s">
        <v>96</v>
      </c>
      <c r="O943" s="21" t="s">
        <v>336</v>
      </c>
      <c r="Q943" s="21" t="s">
        <v>344</v>
      </c>
      <c r="R943" s="22">
        <v>45756</v>
      </c>
      <c r="W943">
        <f>COUNTIF(リテラ・クレア証券対面ネット!U:U,B943)</f>
        <v>0</v>
      </c>
    </row>
    <row r="944" spans="1:23" ht="24.95" hidden="1" customHeight="1" x14ac:dyDescent="0.4">
      <c r="A944" s="17" t="s">
        <v>217</v>
      </c>
      <c r="B944" s="15" t="s">
        <v>249</v>
      </c>
      <c r="C944" s="16" t="s">
        <v>31</v>
      </c>
      <c r="D944" s="16" t="s">
        <v>31</v>
      </c>
      <c r="E944" s="15" t="s">
        <v>32</v>
      </c>
      <c r="F944" s="15" t="s">
        <v>314</v>
      </c>
      <c r="N944" s="21" t="s">
        <v>96</v>
      </c>
      <c r="O944" s="21" t="s">
        <v>336</v>
      </c>
      <c r="Q944" s="21" t="s">
        <v>344</v>
      </c>
      <c r="R944" s="22">
        <v>45756</v>
      </c>
      <c r="W944">
        <f>COUNTIF(リテラ・クレア証券対面ネット!U:U,B944)</f>
        <v>0</v>
      </c>
    </row>
    <row r="945" spans="1:23" ht="24.95" hidden="1" customHeight="1" x14ac:dyDescent="0.4">
      <c r="A945" s="17" t="s">
        <v>217</v>
      </c>
      <c r="B945" s="15" t="s">
        <v>250</v>
      </c>
      <c r="C945" s="16" t="s">
        <v>31</v>
      </c>
      <c r="D945" s="16" t="s">
        <v>31</v>
      </c>
      <c r="E945" s="15" t="s">
        <v>32</v>
      </c>
      <c r="F945" s="15" t="s">
        <v>314</v>
      </c>
      <c r="N945" s="21" t="s">
        <v>96</v>
      </c>
      <c r="O945" s="21" t="s">
        <v>336</v>
      </c>
      <c r="Q945" s="21" t="s">
        <v>344</v>
      </c>
      <c r="R945" s="22">
        <v>45756</v>
      </c>
      <c r="W945">
        <f>COUNTIF(リテラ・クレア証券対面ネット!U:U,B945)</f>
        <v>0</v>
      </c>
    </row>
    <row r="946" spans="1:23" ht="24.95" hidden="1" customHeight="1" x14ac:dyDescent="0.4">
      <c r="A946" s="17" t="s">
        <v>217</v>
      </c>
      <c r="B946" s="15" t="s">
        <v>251</v>
      </c>
      <c r="C946" s="16" t="s">
        <v>31</v>
      </c>
      <c r="D946" s="16" t="s">
        <v>31</v>
      </c>
      <c r="E946" s="15" t="s">
        <v>32</v>
      </c>
      <c r="F946" s="15" t="s">
        <v>314</v>
      </c>
      <c r="N946" s="21" t="s">
        <v>96</v>
      </c>
      <c r="O946" s="21" t="s">
        <v>336</v>
      </c>
      <c r="Q946" s="21" t="s">
        <v>344</v>
      </c>
      <c r="R946" s="22">
        <v>45756</v>
      </c>
      <c r="W946">
        <f>COUNTIF(リテラ・クレア証券対面ネット!U:U,B946)</f>
        <v>0</v>
      </c>
    </row>
    <row r="947" spans="1:23" ht="24.95" hidden="1" customHeight="1" x14ac:dyDescent="0.4">
      <c r="A947" s="17" t="s">
        <v>217</v>
      </c>
      <c r="B947" s="15" t="s">
        <v>341</v>
      </c>
      <c r="C947" s="16" t="s">
        <v>31</v>
      </c>
      <c r="D947" s="16" t="s">
        <v>31</v>
      </c>
      <c r="E947" s="15" t="s">
        <v>32</v>
      </c>
      <c r="F947" s="15" t="s">
        <v>340</v>
      </c>
      <c r="N947" s="21" t="s">
        <v>96</v>
      </c>
      <c r="O947" s="21" t="s">
        <v>345</v>
      </c>
      <c r="Q947" s="21" t="s">
        <v>344</v>
      </c>
      <c r="R947" s="22">
        <v>45784</v>
      </c>
      <c r="W947">
        <f>COUNTIF(リテラ・クレア証券対面ネット!U:U,B947)</f>
        <v>0</v>
      </c>
    </row>
    <row r="948" spans="1:23" ht="24.95" hidden="1" customHeight="1" x14ac:dyDescent="0.4">
      <c r="A948" s="17" t="s">
        <v>217</v>
      </c>
      <c r="B948" s="15" t="s">
        <v>252</v>
      </c>
      <c r="C948" s="16" t="s">
        <v>31</v>
      </c>
      <c r="D948" s="16" t="s">
        <v>31</v>
      </c>
      <c r="E948" s="15" t="s">
        <v>32</v>
      </c>
      <c r="F948" s="15" t="s">
        <v>314</v>
      </c>
      <c r="N948" s="21" t="s">
        <v>96</v>
      </c>
      <c r="O948" s="21" t="s">
        <v>336</v>
      </c>
      <c r="Q948" s="21" t="s">
        <v>344</v>
      </c>
      <c r="R948" s="22">
        <v>45756</v>
      </c>
      <c r="W948">
        <f>COUNTIF(リテラ・クレア証券対面ネット!U:U,B948)</f>
        <v>0</v>
      </c>
    </row>
    <row r="949" spans="1:23" ht="24.95" hidden="1" customHeight="1" x14ac:dyDescent="0.4">
      <c r="A949" s="17" t="s">
        <v>217</v>
      </c>
      <c r="B949" s="15" t="s">
        <v>253</v>
      </c>
      <c r="C949" s="16" t="s">
        <v>31</v>
      </c>
      <c r="D949" s="16" t="s">
        <v>31</v>
      </c>
      <c r="E949" s="15" t="s">
        <v>32</v>
      </c>
      <c r="F949" s="15" t="s">
        <v>314</v>
      </c>
      <c r="N949" s="21" t="s">
        <v>96</v>
      </c>
      <c r="O949" s="21" t="s">
        <v>336</v>
      </c>
      <c r="Q949" s="21" t="s">
        <v>344</v>
      </c>
      <c r="R949" s="22">
        <v>45756</v>
      </c>
      <c r="W949">
        <f>COUNTIF(リテラ・クレア証券対面ネット!U:U,B949)</f>
        <v>0</v>
      </c>
    </row>
    <row r="950" spans="1:23" ht="24.95" hidden="1" customHeight="1" x14ac:dyDescent="0.4">
      <c r="A950" s="17" t="s">
        <v>217</v>
      </c>
      <c r="B950" s="15" t="s">
        <v>254</v>
      </c>
      <c r="C950" s="16" t="s">
        <v>31</v>
      </c>
      <c r="D950" s="16" t="s">
        <v>31</v>
      </c>
      <c r="E950" s="15" t="s">
        <v>32</v>
      </c>
      <c r="F950" s="15" t="s">
        <v>314</v>
      </c>
      <c r="N950" s="21" t="s">
        <v>96</v>
      </c>
      <c r="O950" s="21" t="s">
        <v>336</v>
      </c>
      <c r="Q950" s="21" t="s">
        <v>344</v>
      </c>
      <c r="R950" s="22">
        <v>45756</v>
      </c>
      <c r="W950">
        <f>COUNTIF(リテラ・クレア証券対面ネット!U:U,B950)</f>
        <v>0</v>
      </c>
    </row>
    <row r="951" spans="1:23" ht="24.95" hidden="1" customHeight="1" x14ac:dyDescent="0.4">
      <c r="A951" s="17" t="s">
        <v>217</v>
      </c>
      <c r="B951" s="15" t="s">
        <v>255</v>
      </c>
      <c r="C951" s="16" t="s">
        <v>31</v>
      </c>
      <c r="D951" s="16" t="s">
        <v>31</v>
      </c>
      <c r="E951" s="15" t="s">
        <v>32</v>
      </c>
      <c r="F951" s="15" t="s">
        <v>314</v>
      </c>
      <c r="N951" s="21" t="s">
        <v>96</v>
      </c>
      <c r="O951" s="21" t="s">
        <v>336</v>
      </c>
      <c r="Q951" s="21" t="s">
        <v>344</v>
      </c>
      <c r="R951" s="22">
        <v>45756</v>
      </c>
      <c r="W951">
        <f>COUNTIF(リテラ・クレア証券対面ネット!U:U,B951)</f>
        <v>0</v>
      </c>
    </row>
    <row r="952" spans="1:23" ht="24.95" hidden="1" customHeight="1" x14ac:dyDescent="0.4">
      <c r="A952" s="17" t="s">
        <v>217</v>
      </c>
      <c r="B952" s="15" t="s">
        <v>256</v>
      </c>
      <c r="C952" s="16" t="s">
        <v>31</v>
      </c>
      <c r="D952" s="16" t="s">
        <v>31</v>
      </c>
      <c r="E952" s="15" t="s">
        <v>32</v>
      </c>
      <c r="F952" s="15" t="s">
        <v>314</v>
      </c>
      <c r="N952" s="21" t="s">
        <v>96</v>
      </c>
      <c r="O952" s="21" t="s">
        <v>336</v>
      </c>
      <c r="Q952" s="21" t="s">
        <v>344</v>
      </c>
      <c r="R952" s="22">
        <v>45756</v>
      </c>
      <c r="W952">
        <f>COUNTIF(リテラ・クレア証券対面ネット!U:U,B952)</f>
        <v>0</v>
      </c>
    </row>
    <row r="953" spans="1:23" ht="24.95" hidden="1" customHeight="1" x14ac:dyDescent="0.4">
      <c r="A953" s="17" t="s">
        <v>217</v>
      </c>
      <c r="B953" s="15" t="s">
        <v>257</v>
      </c>
      <c r="C953" s="16" t="s">
        <v>31</v>
      </c>
      <c r="D953" s="16" t="s">
        <v>31</v>
      </c>
      <c r="E953" s="15" t="s">
        <v>32</v>
      </c>
      <c r="F953" s="15" t="s">
        <v>314</v>
      </c>
      <c r="N953" s="21" t="s">
        <v>96</v>
      </c>
      <c r="O953" s="21" t="s">
        <v>336</v>
      </c>
      <c r="Q953" s="21" t="s">
        <v>344</v>
      </c>
      <c r="R953" s="22">
        <v>45756</v>
      </c>
      <c r="W953">
        <f>COUNTIF(リテラ・クレア証券対面ネット!U:U,B953)</f>
        <v>0</v>
      </c>
    </row>
    <row r="954" spans="1:23" ht="24.95" hidden="1" customHeight="1" x14ac:dyDescent="0.4">
      <c r="A954" s="17" t="s">
        <v>217</v>
      </c>
      <c r="B954" s="15" t="s">
        <v>258</v>
      </c>
      <c r="C954" s="16" t="s">
        <v>31</v>
      </c>
      <c r="D954" s="16" t="s">
        <v>31</v>
      </c>
      <c r="E954" s="15" t="s">
        <v>32</v>
      </c>
      <c r="F954" s="15" t="s">
        <v>314</v>
      </c>
      <c r="N954" s="21" t="s">
        <v>96</v>
      </c>
      <c r="O954" s="21" t="s">
        <v>336</v>
      </c>
      <c r="Q954" s="21" t="s">
        <v>344</v>
      </c>
      <c r="R954" s="22">
        <v>45756</v>
      </c>
      <c r="W954">
        <f>COUNTIF(リテラ・クレア証券対面ネット!U:U,B954)</f>
        <v>0</v>
      </c>
    </row>
    <row r="955" spans="1:23" ht="24.95" hidden="1" customHeight="1" x14ac:dyDescent="0.4">
      <c r="A955" s="17" t="s">
        <v>217</v>
      </c>
      <c r="B955" s="15" t="s">
        <v>259</v>
      </c>
      <c r="C955" s="16" t="s">
        <v>31</v>
      </c>
      <c r="D955" s="16" t="s">
        <v>31</v>
      </c>
      <c r="E955" s="15" t="s">
        <v>32</v>
      </c>
      <c r="F955" s="15" t="s">
        <v>314</v>
      </c>
      <c r="N955" s="21" t="s">
        <v>96</v>
      </c>
      <c r="O955" s="21" t="s">
        <v>336</v>
      </c>
      <c r="Q955" s="21" t="s">
        <v>344</v>
      </c>
      <c r="R955" s="22">
        <v>45756</v>
      </c>
      <c r="W955">
        <f>COUNTIF(リテラ・クレア証券対面ネット!U:U,B955)</f>
        <v>0</v>
      </c>
    </row>
    <row r="956" spans="1:23" ht="24.95" hidden="1" customHeight="1" x14ac:dyDescent="0.4">
      <c r="A956" s="17" t="s">
        <v>217</v>
      </c>
      <c r="B956" s="15" t="s">
        <v>260</v>
      </c>
      <c r="C956" s="16" t="s">
        <v>31</v>
      </c>
      <c r="D956" s="16" t="s">
        <v>31</v>
      </c>
      <c r="E956" s="15" t="s">
        <v>32</v>
      </c>
      <c r="F956" s="15" t="s">
        <v>314</v>
      </c>
      <c r="N956" s="21" t="s">
        <v>96</v>
      </c>
      <c r="O956" s="21" t="s">
        <v>336</v>
      </c>
      <c r="Q956" s="21" t="s">
        <v>344</v>
      </c>
      <c r="R956" s="22">
        <v>45756</v>
      </c>
      <c r="W956">
        <f>COUNTIF(リテラ・クレア証券対面ネット!U:U,B956)</f>
        <v>0</v>
      </c>
    </row>
    <row r="957" spans="1:23" ht="24.95" hidden="1" customHeight="1" x14ac:dyDescent="0.4">
      <c r="A957" s="17" t="s">
        <v>217</v>
      </c>
      <c r="B957" s="15" t="s">
        <v>261</v>
      </c>
      <c r="C957" s="16" t="s">
        <v>31</v>
      </c>
      <c r="D957" s="16" t="s">
        <v>31</v>
      </c>
      <c r="E957" s="15" t="s">
        <v>32</v>
      </c>
      <c r="F957" s="15" t="s">
        <v>314</v>
      </c>
      <c r="N957" s="21" t="s">
        <v>96</v>
      </c>
      <c r="O957" s="21" t="s">
        <v>336</v>
      </c>
      <c r="Q957" s="21" t="s">
        <v>344</v>
      </c>
      <c r="R957" s="22">
        <v>45756</v>
      </c>
      <c r="W957">
        <f>COUNTIF(リテラ・クレア証券対面ネット!U:U,B957)</f>
        <v>0</v>
      </c>
    </row>
    <row r="958" spans="1:23" ht="24.95" hidden="1" customHeight="1" x14ac:dyDescent="0.4">
      <c r="A958" s="17" t="s">
        <v>217</v>
      </c>
      <c r="B958" s="15" t="s">
        <v>262</v>
      </c>
      <c r="C958" s="16" t="s">
        <v>31</v>
      </c>
      <c r="D958" s="16" t="s">
        <v>31</v>
      </c>
      <c r="E958" s="15" t="s">
        <v>32</v>
      </c>
      <c r="F958" s="15" t="s">
        <v>314</v>
      </c>
      <c r="N958" s="21" t="s">
        <v>96</v>
      </c>
      <c r="O958" s="21" t="s">
        <v>336</v>
      </c>
      <c r="Q958" s="21" t="s">
        <v>344</v>
      </c>
      <c r="R958" s="22">
        <v>45756</v>
      </c>
      <c r="W958">
        <f>COUNTIF(リテラ・クレア証券対面ネット!U:U,B958)</f>
        <v>0</v>
      </c>
    </row>
    <row r="959" spans="1:23" ht="24.95" hidden="1" customHeight="1" x14ac:dyDescent="0.4">
      <c r="A959" s="17" t="s">
        <v>217</v>
      </c>
      <c r="B959" s="15" t="s">
        <v>263</v>
      </c>
      <c r="C959" s="16" t="s">
        <v>31</v>
      </c>
      <c r="D959" s="16" t="s">
        <v>31</v>
      </c>
      <c r="E959" s="15" t="s">
        <v>32</v>
      </c>
      <c r="F959" s="15" t="s">
        <v>314</v>
      </c>
      <c r="N959" s="21" t="s">
        <v>96</v>
      </c>
      <c r="O959" s="21" t="s">
        <v>336</v>
      </c>
      <c r="Q959" s="21" t="s">
        <v>344</v>
      </c>
      <c r="R959" s="22">
        <v>45756</v>
      </c>
      <c r="W959">
        <f>COUNTIF(リテラ・クレア証券対面ネット!U:U,B959)</f>
        <v>0</v>
      </c>
    </row>
    <row r="960" spans="1:23" ht="24.95" hidden="1" customHeight="1" x14ac:dyDescent="0.4">
      <c r="A960" s="17" t="s">
        <v>217</v>
      </c>
      <c r="B960" s="15" t="s">
        <v>264</v>
      </c>
      <c r="C960" s="16" t="s">
        <v>31</v>
      </c>
      <c r="D960" s="16" t="s">
        <v>31</v>
      </c>
      <c r="E960" s="15" t="s">
        <v>32</v>
      </c>
      <c r="F960" s="15" t="s">
        <v>314</v>
      </c>
      <c r="N960" s="21" t="s">
        <v>96</v>
      </c>
      <c r="O960" s="21" t="s">
        <v>336</v>
      </c>
      <c r="Q960" s="21" t="s">
        <v>344</v>
      </c>
      <c r="R960" s="22">
        <v>45756</v>
      </c>
      <c r="W960">
        <f>COUNTIF(リテラ・クレア証券対面ネット!U:U,B960)</f>
        <v>0</v>
      </c>
    </row>
    <row r="961" spans="1:23" ht="24.95" hidden="1" customHeight="1" x14ac:dyDescent="0.4">
      <c r="A961" s="17" t="s">
        <v>217</v>
      </c>
      <c r="B961" s="15" t="s">
        <v>265</v>
      </c>
      <c r="C961" s="16" t="s">
        <v>31</v>
      </c>
      <c r="D961" s="16" t="s">
        <v>31</v>
      </c>
      <c r="E961" s="15" t="s">
        <v>32</v>
      </c>
      <c r="F961" s="15" t="s">
        <v>314</v>
      </c>
      <c r="N961" s="21" t="s">
        <v>96</v>
      </c>
      <c r="O961" s="21" t="s">
        <v>336</v>
      </c>
      <c r="Q961" s="21" t="s">
        <v>344</v>
      </c>
      <c r="R961" s="22">
        <v>45756</v>
      </c>
      <c r="W961">
        <f>COUNTIF(リテラ・クレア証券対面ネット!U:U,B961)</f>
        <v>0</v>
      </c>
    </row>
    <row r="962" spans="1:23" ht="24.95" hidden="1" customHeight="1" x14ac:dyDescent="0.4">
      <c r="A962" s="17" t="s">
        <v>217</v>
      </c>
      <c r="B962" s="15" t="s">
        <v>266</v>
      </c>
      <c r="C962" s="16" t="s">
        <v>31</v>
      </c>
      <c r="D962" s="16" t="s">
        <v>31</v>
      </c>
      <c r="E962" s="15" t="s">
        <v>32</v>
      </c>
      <c r="F962" s="15" t="s">
        <v>314</v>
      </c>
      <c r="N962" s="21" t="s">
        <v>96</v>
      </c>
      <c r="O962" s="21" t="s">
        <v>336</v>
      </c>
      <c r="Q962" s="21" t="s">
        <v>344</v>
      </c>
      <c r="R962" s="22">
        <v>45756</v>
      </c>
      <c r="W962">
        <f>COUNTIF(リテラ・クレア証券対面ネット!U:U,B962)</f>
        <v>0</v>
      </c>
    </row>
    <row r="963" spans="1:23" ht="24.95" hidden="1" customHeight="1" x14ac:dyDescent="0.4">
      <c r="A963" s="17" t="s">
        <v>217</v>
      </c>
      <c r="B963" s="15" t="s">
        <v>267</v>
      </c>
      <c r="C963" s="16" t="s">
        <v>31</v>
      </c>
      <c r="D963" s="16" t="s">
        <v>31</v>
      </c>
      <c r="E963" s="15" t="s">
        <v>32</v>
      </c>
      <c r="F963" s="15" t="s">
        <v>314</v>
      </c>
      <c r="N963" s="21" t="s">
        <v>96</v>
      </c>
      <c r="O963" s="21" t="s">
        <v>336</v>
      </c>
      <c r="Q963" s="21" t="s">
        <v>344</v>
      </c>
      <c r="R963" s="22">
        <v>45756</v>
      </c>
      <c r="W963">
        <f>COUNTIF(リテラ・クレア証券対面ネット!U:U,B963)</f>
        <v>0</v>
      </c>
    </row>
    <row r="964" spans="1:23" ht="24.95" hidden="1" customHeight="1" x14ac:dyDescent="0.4">
      <c r="A964" s="17" t="s">
        <v>217</v>
      </c>
      <c r="B964" s="15" t="s">
        <v>268</v>
      </c>
      <c r="C964" s="16" t="s">
        <v>31</v>
      </c>
      <c r="D964" s="16" t="s">
        <v>31</v>
      </c>
      <c r="E964" s="15" t="s">
        <v>32</v>
      </c>
      <c r="F964" s="15" t="s">
        <v>314</v>
      </c>
      <c r="N964" s="21" t="s">
        <v>96</v>
      </c>
      <c r="O964" s="21" t="s">
        <v>336</v>
      </c>
      <c r="Q964" s="21" t="s">
        <v>344</v>
      </c>
      <c r="R964" s="22">
        <v>45756</v>
      </c>
      <c r="W964">
        <f>COUNTIF(リテラ・クレア証券対面ネット!U:U,B964)</f>
        <v>0</v>
      </c>
    </row>
    <row r="965" spans="1:23" ht="24.95" hidden="1" customHeight="1" x14ac:dyDescent="0.4">
      <c r="A965" s="17" t="s">
        <v>217</v>
      </c>
      <c r="B965" s="15" t="s">
        <v>269</v>
      </c>
      <c r="C965" s="16" t="s">
        <v>31</v>
      </c>
      <c r="D965" s="16" t="s">
        <v>31</v>
      </c>
      <c r="E965" s="15" t="s">
        <v>32</v>
      </c>
      <c r="F965" s="15" t="s">
        <v>314</v>
      </c>
      <c r="N965" s="21" t="s">
        <v>96</v>
      </c>
      <c r="O965" s="21" t="s">
        <v>336</v>
      </c>
      <c r="Q965" s="21" t="s">
        <v>344</v>
      </c>
      <c r="R965" s="22">
        <v>45756</v>
      </c>
      <c r="W965">
        <f>COUNTIF(リテラ・クレア証券対面ネット!U:U,B965)</f>
        <v>0</v>
      </c>
    </row>
    <row r="966" spans="1:23" ht="24.95" hidden="1" customHeight="1" x14ac:dyDescent="0.4">
      <c r="A966" s="17" t="s">
        <v>217</v>
      </c>
      <c r="B966" s="15" t="s">
        <v>270</v>
      </c>
      <c r="C966" s="16" t="s">
        <v>31</v>
      </c>
      <c r="D966" s="16" t="s">
        <v>31</v>
      </c>
      <c r="E966" s="15" t="s">
        <v>32</v>
      </c>
      <c r="F966" s="15" t="s">
        <v>314</v>
      </c>
      <c r="N966" s="21" t="s">
        <v>96</v>
      </c>
      <c r="O966" s="21" t="s">
        <v>336</v>
      </c>
      <c r="Q966" s="21" t="s">
        <v>344</v>
      </c>
      <c r="R966" s="22">
        <v>45756</v>
      </c>
      <c r="W966">
        <f>COUNTIF(リテラ・クレア証券対面ネット!U:U,B966)</f>
        <v>0</v>
      </c>
    </row>
    <row r="967" spans="1:23" ht="24.95" hidden="1" customHeight="1" x14ac:dyDescent="0.4">
      <c r="A967" s="17" t="s">
        <v>217</v>
      </c>
      <c r="B967" s="15" t="s">
        <v>271</v>
      </c>
      <c r="C967" s="16" t="s">
        <v>31</v>
      </c>
      <c r="D967" s="16" t="s">
        <v>31</v>
      </c>
      <c r="E967" s="15" t="s">
        <v>32</v>
      </c>
      <c r="F967" s="15" t="s">
        <v>314</v>
      </c>
      <c r="N967" s="21" t="s">
        <v>96</v>
      </c>
      <c r="O967" s="21" t="s">
        <v>336</v>
      </c>
      <c r="Q967" s="21" t="s">
        <v>344</v>
      </c>
      <c r="R967" s="22">
        <v>45756</v>
      </c>
      <c r="W967">
        <f>COUNTIF(リテラ・クレア証券対面ネット!U:U,B967)</f>
        <v>0</v>
      </c>
    </row>
    <row r="968" spans="1:23" ht="24.95" hidden="1" customHeight="1" x14ac:dyDescent="0.4">
      <c r="A968" s="17" t="s">
        <v>217</v>
      </c>
      <c r="B968" s="15" t="s">
        <v>366</v>
      </c>
      <c r="C968" s="16" t="s">
        <v>31</v>
      </c>
      <c r="D968" s="16" t="s">
        <v>31</v>
      </c>
      <c r="E968" s="15" t="s">
        <v>32</v>
      </c>
      <c r="F968" s="15" t="s">
        <v>365</v>
      </c>
      <c r="N968" s="21" t="s">
        <v>374</v>
      </c>
      <c r="O968" s="21" t="s">
        <v>373</v>
      </c>
      <c r="Q968" s="21" t="s">
        <v>344</v>
      </c>
      <c r="R968" s="22">
        <v>45883</v>
      </c>
      <c r="W968">
        <f>COUNTIF(リテラ・クレア証券対面ネット!U:U,B968)</f>
        <v>0</v>
      </c>
    </row>
    <row r="969" spans="1:23" ht="24.95" hidden="1" customHeight="1" x14ac:dyDescent="0.4">
      <c r="A969" s="17" t="s">
        <v>217</v>
      </c>
      <c r="B969" s="15" t="s">
        <v>367</v>
      </c>
      <c r="C969" s="16" t="s">
        <v>31</v>
      </c>
      <c r="D969" s="16" t="s">
        <v>31</v>
      </c>
      <c r="E969" s="15" t="s">
        <v>32</v>
      </c>
      <c r="F969" s="15" t="s">
        <v>365</v>
      </c>
      <c r="N969" s="21" t="s">
        <v>374</v>
      </c>
      <c r="O969" s="21" t="s">
        <v>373</v>
      </c>
      <c r="Q969" s="21" t="s">
        <v>344</v>
      </c>
      <c r="R969" s="22">
        <v>45883</v>
      </c>
      <c r="W969">
        <f>COUNTIF(リテラ・クレア証券対面ネット!U:U,B969)</f>
        <v>0</v>
      </c>
    </row>
    <row r="970" spans="1:23" ht="24.95" hidden="1" customHeight="1" x14ac:dyDescent="0.4">
      <c r="A970" s="17" t="s">
        <v>217</v>
      </c>
      <c r="B970" s="15" t="s">
        <v>324</v>
      </c>
      <c r="C970" s="16" t="s">
        <v>31</v>
      </c>
      <c r="D970" s="16" t="s">
        <v>31</v>
      </c>
      <c r="E970" s="15" t="s">
        <v>32</v>
      </c>
      <c r="F970" s="15" t="s">
        <v>314</v>
      </c>
      <c r="N970" s="21" t="s">
        <v>96</v>
      </c>
      <c r="O970" s="21" t="s">
        <v>337</v>
      </c>
      <c r="Q970" s="21" t="s">
        <v>344</v>
      </c>
      <c r="R970" s="22">
        <v>45756</v>
      </c>
      <c r="W970">
        <f>COUNTIF(リテラ・クレア証券対面ネット!U:U,B970)</f>
        <v>0</v>
      </c>
    </row>
    <row r="971" spans="1:23" ht="24.95" hidden="1" customHeight="1" x14ac:dyDescent="0.4">
      <c r="A971" s="17" t="s">
        <v>217</v>
      </c>
      <c r="B971" s="50" t="s">
        <v>368</v>
      </c>
      <c r="C971" s="16" t="s">
        <v>31</v>
      </c>
      <c r="D971" s="16" t="s">
        <v>31</v>
      </c>
      <c r="E971" s="15" t="s">
        <v>32</v>
      </c>
      <c r="F971" s="15" t="s">
        <v>365</v>
      </c>
      <c r="N971" s="21" t="s">
        <v>96</v>
      </c>
      <c r="O971" s="21" t="s">
        <v>372</v>
      </c>
      <c r="Q971" s="21" t="s">
        <v>344</v>
      </c>
      <c r="R971" s="22">
        <v>45883</v>
      </c>
      <c r="W971">
        <f>COUNTIF(リテラ・クレア証券対面ネット!U:U,B971)</f>
        <v>0</v>
      </c>
    </row>
    <row r="972" spans="1:23" ht="24.95" hidden="1" customHeight="1" x14ac:dyDescent="0.4">
      <c r="A972" s="17" t="s">
        <v>217</v>
      </c>
      <c r="B972" s="50" t="s">
        <v>369</v>
      </c>
      <c r="C972" s="16" t="s">
        <v>24</v>
      </c>
      <c r="D972" s="16" t="s">
        <v>31</v>
      </c>
      <c r="E972" s="15" t="s">
        <v>35</v>
      </c>
      <c r="F972" s="15" t="s">
        <v>365</v>
      </c>
      <c r="N972" s="21" t="s">
        <v>96</v>
      </c>
      <c r="O972" s="21" t="s">
        <v>372</v>
      </c>
      <c r="Q972" s="21" t="s">
        <v>344</v>
      </c>
      <c r="R972" s="22">
        <v>45883</v>
      </c>
      <c r="W972">
        <f>COUNTIF(リテラ・クレア証券対面ネット!U:U,B972)</f>
        <v>0</v>
      </c>
    </row>
    <row r="973" spans="1:23" ht="24.95" hidden="1" customHeight="1" x14ac:dyDescent="0.4">
      <c r="A973" s="17" t="s">
        <v>217</v>
      </c>
      <c r="B973" s="15" t="s">
        <v>325</v>
      </c>
      <c r="C973" s="16" t="s">
        <v>24</v>
      </c>
      <c r="D973" s="16" t="s">
        <v>31</v>
      </c>
      <c r="E973" s="15" t="s">
        <v>35</v>
      </c>
      <c r="F973" s="15" t="s">
        <v>314</v>
      </c>
      <c r="N973" s="21" t="s">
        <v>96</v>
      </c>
      <c r="O973" s="21" t="s">
        <v>337</v>
      </c>
      <c r="Q973" s="21" t="s">
        <v>344</v>
      </c>
      <c r="R973" s="22">
        <v>45756</v>
      </c>
      <c r="W973">
        <f>COUNTIF(リテラ・クレア証券対面ネット!U:U,B973)</f>
        <v>0</v>
      </c>
    </row>
    <row r="974" spans="1:23" ht="24.95" hidden="1" customHeight="1" x14ac:dyDescent="0.4">
      <c r="A974" s="17" t="s">
        <v>217</v>
      </c>
      <c r="B974" s="15" t="s">
        <v>272</v>
      </c>
      <c r="C974" s="16" t="s">
        <v>31</v>
      </c>
      <c r="D974" s="16" t="s">
        <v>31</v>
      </c>
      <c r="E974" s="15" t="s">
        <v>32</v>
      </c>
      <c r="F974" s="15" t="s">
        <v>314</v>
      </c>
      <c r="N974" s="21" t="s">
        <v>96</v>
      </c>
      <c r="O974" s="21" t="s">
        <v>336</v>
      </c>
      <c r="Q974" s="21" t="s">
        <v>344</v>
      </c>
      <c r="R974" s="22">
        <v>45756</v>
      </c>
      <c r="W974">
        <f>COUNTIF(リテラ・クレア証券対面ネット!U:U,B974)</f>
        <v>0</v>
      </c>
    </row>
    <row r="975" spans="1:23" ht="24.95" hidden="1" customHeight="1" x14ac:dyDescent="0.4">
      <c r="A975" s="17" t="s">
        <v>217</v>
      </c>
      <c r="B975" s="15" t="s">
        <v>273</v>
      </c>
      <c r="C975" s="16" t="s">
        <v>31</v>
      </c>
      <c r="D975" s="16" t="s">
        <v>31</v>
      </c>
      <c r="E975" s="15" t="s">
        <v>32</v>
      </c>
      <c r="F975" s="15" t="s">
        <v>314</v>
      </c>
      <c r="N975" s="21" t="s">
        <v>96</v>
      </c>
      <c r="O975" s="21" t="s">
        <v>336</v>
      </c>
      <c r="Q975" s="21" t="s">
        <v>344</v>
      </c>
      <c r="R975" s="22">
        <v>45756</v>
      </c>
      <c r="W975">
        <f>COUNTIF(リテラ・クレア証券対面ネット!U:U,B975)</f>
        <v>0</v>
      </c>
    </row>
    <row r="976" spans="1:23" ht="24.95" hidden="1" customHeight="1" x14ac:dyDescent="0.4">
      <c r="A976" s="17" t="s">
        <v>217</v>
      </c>
      <c r="B976" s="15" t="s">
        <v>274</v>
      </c>
      <c r="C976" s="16" t="s">
        <v>31</v>
      </c>
      <c r="D976" s="16" t="s">
        <v>31</v>
      </c>
      <c r="E976" s="15" t="s">
        <v>32</v>
      </c>
      <c r="F976" s="15" t="s">
        <v>314</v>
      </c>
      <c r="N976" s="21" t="s">
        <v>96</v>
      </c>
      <c r="O976" s="21" t="s">
        <v>336</v>
      </c>
      <c r="Q976" s="21" t="s">
        <v>344</v>
      </c>
      <c r="R976" s="22">
        <v>45756</v>
      </c>
      <c r="W976">
        <f>COUNTIF(リテラ・クレア証券対面ネット!U:U,B976)</f>
        <v>0</v>
      </c>
    </row>
    <row r="977" spans="1:23" ht="24.95" hidden="1" customHeight="1" x14ac:dyDescent="0.4">
      <c r="A977" s="17" t="s">
        <v>217</v>
      </c>
      <c r="B977" s="15" t="s">
        <v>275</v>
      </c>
      <c r="C977" s="16" t="s">
        <v>31</v>
      </c>
      <c r="D977" s="16" t="s">
        <v>31</v>
      </c>
      <c r="E977" s="15" t="s">
        <v>32</v>
      </c>
      <c r="F977" s="15" t="s">
        <v>314</v>
      </c>
      <c r="N977" s="21" t="s">
        <v>96</v>
      </c>
      <c r="O977" s="21" t="s">
        <v>336</v>
      </c>
      <c r="Q977" s="21" t="s">
        <v>344</v>
      </c>
      <c r="R977" s="22">
        <v>45756</v>
      </c>
      <c r="W977">
        <f>COUNTIF(リテラ・クレア証券対面ネット!U:U,B977)</f>
        <v>0</v>
      </c>
    </row>
    <row r="978" spans="1:23" ht="24.95" hidden="1" customHeight="1" x14ac:dyDescent="0.4">
      <c r="A978" s="17" t="s">
        <v>217</v>
      </c>
      <c r="B978" s="15" t="s">
        <v>326</v>
      </c>
      <c r="C978" s="16" t="s">
        <v>31</v>
      </c>
      <c r="D978" s="16" t="s">
        <v>31</v>
      </c>
      <c r="E978" s="15" t="s">
        <v>32</v>
      </c>
      <c r="F978" s="15" t="s">
        <v>314</v>
      </c>
      <c r="N978" s="21" t="s">
        <v>96</v>
      </c>
      <c r="O978" s="21" t="s">
        <v>337</v>
      </c>
      <c r="Q978" s="21" t="s">
        <v>344</v>
      </c>
      <c r="R978" s="22">
        <v>45756</v>
      </c>
      <c r="W978">
        <f>COUNTIF(リテラ・クレア証券対面ネット!U:U,B978)</f>
        <v>0</v>
      </c>
    </row>
    <row r="979" spans="1:23" ht="24.95" hidden="1" customHeight="1" x14ac:dyDescent="0.4">
      <c r="A979" s="17" t="s">
        <v>217</v>
      </c>
      <c r="B979" s="15" t="s">
        <v>327</v>
      </c>
      <c r="C979" s="16" t="s">
        <v>24</v>
      </c>
      <c r="D979" s="16" t="s">
        <v>31</v>
      </c>
      <c r="E979" s="15" t="s">
        <v>35</v>
      </c>
      <c r="F979" s="15" t="s">
        <v>314</v>
      </c>
      <c r="N979" s="21" t="s">
        <v>96</v>
      </c>
      <c r="O979" s="21" t="s">
        <v>337</v>
      </c>
      <c r="Q979" s="21" t="s">
        <v>344</v>
      </c>
      <c r="R979" s="22">
        <v>45756</v>
      </c>
      <c r="W979">
        <f>COUNTIF(リテラ・クレア証券対面ネット!U:U,B979)</f>
        <v>0</v>
      </c>
    </row>
    <row r="980" spans="1:23" ht="24.95" hidden="1" customHeight="1" x14ac:dyDescent="0.4">
      <c r="A980" s="17" t="s">
        <v>217</v>
      </c>
      <c r="B980" s="15" t="s">
        <v>328</v>
      </c>
      <c r="C980" s="16" t="s">
        <v>24</v>
      </c>
      <c r="D980" s="16" t="s">
        <v>31</v>
      </c>
      <c r="E980" s="15" t="s">
        <v>35</v>
      </c>
      <c r="F980" s="15" t="s">
        <v>314</v>
      </c>
      <c r="N980" s="21" t="s">
        <v>96</v>
      </c>
      <c r="O980" s="21" t="s">
        <v>337</v>
      </c>
      <c r="Q980" s="21" t="s">
        <v>344</v>
      </c>
      <c r="R980" s="22">
        <v>45756</v>
      </c>
      <c r="W980">
        <f>COUNTIF(リテラ・クレア証券対面ネット!U:U,B980)</f>
        <v>0</v>
      </c>
    </row>
    <row r="981" spans="1:23" ht="24.95" hidden="1" customHeight="1" x14ac:dyDescent="0.4">
      <c r="A981" s="17" t="s">
        <v>217</v>
      </c>
      <c r="B981" s="15" t="s">
        <v>329</v>
      </c>
      <c r="C981" s="16" t="s">
        <v>24</v>
      </c>
      <c r="D981" s="16" t="s">
        <v>31</v>
      </c>
      <c r="E981" s="15" t="s">
        <v>35</v>
      </c>
      <c r="F981" s="15" t="s">
        <v>314</v>
      </c>
      <c r="N981" s="21" t="s">
        <v>96</v>
      </c>
      <c r="O981" s="21" t="s">
        <v>337</v>
      </c>
      <c r="Q981" s="21" t="s">
        <v>344</v>
      </c>
      <c r="R981" s="22">
        <v>45756</v>
      </c>
      <c r="W981">
        <f>COUNTIF(リテラ・クレア証券対面ネット!U:U,B981)</f>
        <v>0</v>
      </c>
    </row>
    <row r="982" spans="1:23" ht="24.95" hidden="1" customHeight="1" x14ac:dyDescent="0.4">
      <c r="A982" s="17" t="s">
        <v>217</v>
      </c>
      <c r="B982" s="15" t="s">
        <v>276</v>
      </c>
      <c r="C982" s="16" t="s">
        <v>31</v>
      </c>
      <c r="D982" s="16" t="s">
        <v>31</v>
      </c>
      <c r="E982" s="15" t="s">
        <v>32</v>
      </c>
      <c r="F982" s="15" t="s">
        <v>314</v>
      </c>
      <c r="N982" s="21" t="s">
        <v>96</v>
      </c>
      <c r="O982" s="21" t="s">
        <v>336</v>
      </c>
      <c r="Q982" s="21" t="s">
        <v>344</v>
      </c>
      <c r="R982" s="22">
        <v>45756</v>
      </c>
      <c r="W982">
        <f>COUNTIF(リテラ・クレア証券対面ネット!U:U,B982)</f>
        <v>0</v>
      </c>
    </row>
    <row r="983" spans="1:23" ht="24.95" hidden="1" customHeight="1" x14ac:dyDescent="0.4">
      <c r="A983" s="17" t="s">
        <v>217</v>
      </c>
      <c r="B983" s="15" t="s">
        <v>277</v>
      </c>
      <c r="C983" s="16" t="s">
        <v>31</v>
      </c>
      <c r="D983" s="16" t="s">
        <v>31</v>
      </c>
      <c r="E983" s="15" t="s">
        <v>32</v>
      </c>
      <c r="F983" s="15" t="s">
        <v>314</v>
      </c>
      <c r="N983" s="21" t="s">
        <v>96</v>
      </c>
      <c r="O983" s="21" t="s">
        <v>336</v>
      </c>
      <c r="Q983" s="21" t="s">
        <v>344</v>
      </c>
      <c r="R983" s="22">
        <v>45756</v>
      </c>
      <c r="W983">
        <f>COUNTIF(リテラ・クレア証券対面ネット!U:U,B983)</f>
        <v>0</v>
      </c>
    </row>
    <row r="984" spans="1:23" ht="24.95" hidden="1" customHeight="1" x14ac:dyDescent="0.4">
      <c r="A984" s="17" t="s">
        <v>217</v>
      </c>
      <c r="B984" s="15" t="s">
        <v>278</v>
      </c>
      <c r="C984" s="16" t="s">
        <v>31</v>
      </c>
      <c r="D984" s="16" t="s">
        <v>31</v>
      </c>
      <c r="E984" s="15" t="s">
        <v>32</v>
      </c>
      <c r="F984" s="15" t="s">
        <v>314</v>
      </c>
      <c r="N984" s="21" t="s">
        <v>96</v>
      </c>
      <c r="O984" s="21" t="s">
        <v>336</v>
      </c>
      <c r="Q984" s="21" t="s">
        <v>344</v>
      </c>
      <c r="R984" s="22">
        <v>45756</v>
      </c>
      <c r="W984">
        <f>COUNTIF(リテラ・クレア証券対面ネット!U:U,B984)</f>
        <v>0</v>
      </c>
    </row>
    <row r="985" spans="1:23" ht="24.95" hidden="1" customHeight="1" x14ac:dyDescent="0.4">
      <c r="A985" s="17" t="s">
        <v>217</v>
      </c>
      <c r="B985" s="15" t="s">
        <v>279</v>
      </c>
      <c r="C985" s="16" t="s">
        <v>31</v>
      </c>
      <c r="D985" s="16" t="s">
        <v>31</v>
      </c>
      <c r="E985" s="15" t="s">
        <v>32</v>
      </c>
      <c r="F985" s="15" t="s">
        <v>314</v>
      </c>
      <c r="N985" s="21" t="s">
        <v>96</v>
      </c>
      <c r="O985" s="21" t="s">
        <v>336</v>
      </c>
      <c r="Q985" s="21" t="s">
        <v>344</v>
      </c>
      <c r="R985" s="22">
        <v>45756</v>
      </c>
      <c r="W985">
        <f>COUNTIF(リテラ・クレア証券対面ネット!U:U,B985)</f>
        <v>0</v>
      </c>
    </row>
    <row r="986" spans="1:23" ht="24.95" hidden="1" customHeight="1" x14ac:dyDescent="0.4">
      <c r="A986" s="17" t="s">
        <v>217</v>
      </c>
      <c r="B986" s="15" t="s">
        <v>280</v>
      </c>
      <c r="C986" s="16" t="s">
        <v>31</v>
      </c>
      <c r="D986" s="16" t="s">
        <v>31</v>
      </c>
      <c r="E986" s="15" t="s">
        <v>32</v>
      </c>
      <c r="F986" s="15" t="s">
        <v>314</v>
      </c>
      <c r="N986" s="21" t="s">
        <v>96</v>
      </c>
      <c r="O986" s="21" t="s">
        <v>336</v>
      </c>
      <c r="Q986" s="21" t="s">
        <v>344</v>
      </c>
      <c r="R986" s="22">
        <v>45756</v>
      </c>
      <c r="W986">
        <f>COUNTIF(リテラ・クレア証券対面ネット!U:U,B986)</f>
        <v>0</v>
      </c>
    </row>
    <row r="987" spans="1:23" ht="24.95" hidden="1" customHeight="1" x14ac:dyDescent="0.4">
      <c r="A987" s="17" t="s">
        <v>217</v>
      </c>
      <c r="B987" s="15" t="s">
        <v>281</v>
      </c>
      <c r="C987" s="16" t="s">
        <v>31</v>
      </c>
      <c r="D987" s="16" t="s">
        <v>31</v>
      </c>
      <c r="E987" s="15" t="s">
        <v>32</v>
      </c>
      <c r="F987" s="15" t="s">
        <v>314</v>
      </c>
      <c r="N987" s="21" t="s">
        <v>96</v>
      </c>
      <c r="O987" s="21" t="s">
        <v>336</v>
      </c>
      <c r="Q987" s="21" t="s">
        <v>344</v>
      </c>
      <c r="R987" s="22">
        <v>45756</v>
      </c>
      <c r="W987">
        <f>COUNTIF(リテラ・クレア証券対面ネット!U:U,B987)</f>
        <v>0</v>
      </c>
    </row>
    <row r="988" spans="1:23" ht="24.95" hidden="1" customHeight="1" x14ac:dyDescent="0.4">
      <c r="A988" s="17" t="s">
        <v>217</v>
      </c>
      <c r="B988" s="15" t="s">
        <v>282</v>
      </c>
      <c r="C988" s="16" t="s">
        <v>31</v>
      </c>
      <c r="D988" s="16" t="s">
        <v>31</v>
      </c>
      <c r="E988" s="15" t="s">
        <v>32</v>
      </c>
      <c r="F988" s="15" t="s">
        <v>314</v>
      </c>
      <c r="N988" s="21" t="s">
        <v>96</v>
      </c>
      <c r="O988" s="21" t="s">
        <v>336</v>
      </c>
      <c r="Q988" s="21" t="s">
        <v>344</v>
      </c>
      <c r="R988" s="22">
        <v>45756</v>
      </c>
      <c r="W988">
        <f>COUNTIF(リテラ・クレア証券対面ネット!U:U,B988)</f>
        <v>0</v>
      </c>
    </row>
    <row r="989" spans="1:23" ht="24.95" hidden="1" customHeight="1" x14ac:dyDescent="0.4">
      <c r="A989" s="17" t="s">
        <v>217</v>
      </c>
      <c r="B989" s="15" t="s">
        <v>283</v>
      </c>
      <c r="C989" s="16" t="s">
        <v>31</v>
      </c>
      <c r="D989" s="16" t="s">
        <v>31</v>
      </c>
      <c r="E989" s="15" t="s">
        <v>32</v>
      </c>
      <c r="F989" s="15" t="s">
        <v>314</v>
      </c>
      <c r="N989" s="21" t="s">
        <v>96</v>
      </c>
      <c r="O989" s="21" t="s">
        <v>336</v>
      </c>
      <c r="Q989" s="21" t="s">
        <v>344</v>
      </c>
      <c r="R989" s="22">
        <v>45756</v>
      </c>
      <c r="W989">
        <f>COUNTIF(リテラ・クレア証券対面ネット!U:U,B989)</f>
        <v>0</v>
      </c>
    </row>
    <row r="990" spans="1:23" ht="24.95" hidden="1" customHeight="1" x14ac:dyDescent="0.4">
      <c r="A990" s="17" t="s">
        <v>217</v>
      </c>
      <c r="B990" s="15" t="s">
        <v>284</v>
      </c>
      <c r="C990" s="16" t="s">
        <v>31</v>
      </c>
      <c r="D990" s="16" t="s">
        <v>31</v>
      </c>
      <c r="E990" s="15" t="s">
        <v>32</v>
      </c>
      <c r="F990" s="15" t="s">
        <v>314</v>
      </c>
      <c r="N990" s="21" t="s">
        <v>96</v>
      </c>
      <c r="O990" s="21" t="s">
        <v>336</v>
      </c>
      <c r="Q990" s="21" t="s">
        <v>344</v>
      </c>
      <c r="R990" s="22">
        <v>45756</v>
      </c>
      <c r="W990">
        <f>COUNTIF(リテラ・クレア証券対面ネット!U:U,B990)</f>
        <v>0</v>
      </c>
    </row>
    <row r="991" spans="1:23" ht="24.95" hidden="1" customHeight="1" x14ac:dyDescent="0.4">
      <c r="A991" s="17" t="s">
        <v>217</v>
      </c>
      <c r="B991" s="15" t="s">
        <v>285</v>
      </c>
      <c r="C991" s="16" t="s">
        <v>31</v>
      </c>
      <c r="D991" s="16" t="s">
        <v>31</v>
      </c>
      <c r="E991" s="15" t="s">
        <v>32</v>
      </c>
      <c r="F991" s="15" t="s">
        <v>314</v>
      </c>
      <c r="N991" s="21" t="s">
        <v>96</v>
      </c>
      <c r="O991" s="21" t="s">
        <v>336</v>
      </c>
      <c r="Q991" s="21" t="s">
        <v>344</v>
      </c>
      <c r="R991" s="22">
        <v>45756</v>
      </c>
      <c r="W991">
        <f>COUNTIF(リテラ・クレア証券対面ネット!U:U,B991)</f>
        <v>0</v>
      </c>
    </row>
    <row r="992" spans="1:23" ht="24.95" hidden="1" customHeight="1" x14ac:dyDescent="0.4">
      <c r="A992" s="17" t="s">
        <v>217</v>
      </c>
      <c r="B992" s="15" t="s">
        <v>286</v>
      </c>
      <c r="C992" s="16" t="s">
        <v>31</v>
      </c>
      <c r="D992" s="16" t="s">
        <v>31</v>
      </c>
      <c r="E992" s="15" t="s">
        <v>32</v>
      </c>
      <c r="F992" s="15" t="s">
        <v>314</v>
      </c>
      <c r="N992" s="21" t="s">
        <v>96</v>
      </c>
      <c r="O992" s="21" t="s">
        <v>336</v>
      </c>
      <c r="Q992" s="21" t="s">
        <v>344</v>
      </c>
      <c r="R992" s="22">
        <v>45756</v>
      </c>
      <c r="W992">
        <f>COUNTIF(リテラ・クレア証券対面ネット!U:U,B992)</f>
        <v>0</v>
      </c>
    </row>
    <row r="993" spans="1:23" ht="24.95" hidden="1" customHeight="1" x14ac:dyDescent="0.4">
      <c r="A993" s="17" t="s">
        <v>217</v>
      </c>
      <c r="B993" s="15" t="s">
        <v>287</v>
      </c>
      <c r="C993" s="16" t="s">
        <v>31</v>
      </c>
      <c r="D993" s="16" t="s">
        <v>31</v>
      </c>
      <c r="E993" s="15" t="s">
        <v>32</v>
      </c>
      <c r="F993" s="15" t="s">
        <v>314</v>
      </c>
      <c r="N993" s="21" t="s">
        <v>96</v>
      </c>
      <c r="O993" s="21" t="s">
        <v>336</v>
      </c>
      <c r="Q993" s="21" t="s">
        <v>344</v>
      </c>
      <c r="R993" s="22">
        <v>45756</v>
      </c>
      <c r="W993">
        <f>COUNTIF(リテラ・クレア証券対面ネット!U:U,B993)</f>
        <v>0</v>
      </c>
    </row>
    <row r="994" spans="1:23" ht="24.95" hidden="1" customHeight="1" x14ac:dyDescent="0.4">
      <c r="A994" s="17" t="s">
        <v>217</v>
      </c>
      <c r="B994" s="15" t="s">
        <v>342</v>
      </c>
      <c r="C994" s="16" t="s">
        <v>31</v>
      </c>
      <c r="D994" s="16" t="s">
        <v>31</v>
      </c>
      <c r="E994" s="15" t="s">
        <v>32</v>
      </c>
      <c r="F994" s="15" t="s">
        <v>340</v>
      </c>
      <c r="N994" s="21" t="s">
        <v>96</v>
      </c>
      <c r="O994" s="21" t="s">
        <v>345</v>
      </c>
      <c r="Q994" s="21" t="s">
        <v>344</v>
      </c>
      <c r="R994" s="22">
        <v>45784</v>
      </c>
      <c r="W994">
        <f>COUNTIF(リテラ・クレア証券対面ネット!U:U,B994)</f>
        <v>0</v>
      </c>
    </row>
    <row r="995" spans="1:23" ht="24.95" hidden="1" customHeight="1" x14ac:dyDescent="0.4">
      <c r="A995" s="17" t="s">
        <v>217</v>
      </c>
      <c r="B995" s="15" t="s">
        <v>288</v>
      </c>
      <c r="C995" s="16" t="s">
        <v>31</v>
      </c>
      <c r="D995" s="16" t="s">
        <v>31</v>
      </c>
      <c r="E995" s="15" t="s">
        <v>32</v>
      </c>
      <c r="F995" s="15" t="s">
        <v>314</v>
      </c>
      <c r="N995" s="21" t="s">
        <v>96</v>
      </c>
      <c r="O995" s="21" t="s">
        <v>336</v>
      </c>
      <c r="Q995" s="21" t="s">
        <v>344</v>
      </c>
      <c r="R995" s="22">
        <v>45756</v>
      </c>
      <c r="W995">
        <f>COUNTIF(リテラ・クレア証券対面ネット!U:U,B995)</f>
        <v>0</v>
      </c>
    </row>
    <row r="996" spans="1:23" ht="24.95" hidden="1" customHeight="1" x14ac:dyDescent="0.4">
      <c r="A996" s="17" t="s">
        <v>217</v>
      </c>
      <c r="B996" s="15" t="s">
        <v>289</v>
      </c>
      <c r="C996" s="16" t="s">
        <v>31</v>
      </c>
      <c r="D996" s="16" t="s">
        <v>31</v>
      </c>
      <c r="E996" s="15" t="s">
        <v>32</v>
      </c>
      <c r="F996" s="15" t="s">
        <v>314</v>
      </c>
      <c r="N996" s="21" t="s">
        <v>96</v>
      </c>
      <c r="O996" s="21" t="s">
        <v>336</v>
      </c>
      <c r="Q996" s="21" t="s">
        <v>344</v>
      </c>
      <c r="R996" s="22">
        <v>45756</v>
      </c>
      <c r="W996">
        <f>COUNTIF(リテラ・クレア証券対面ネット!U:U,B996)</f>
        <v>0</v>
      </c>
    </row>
    <row r="997" spans="1:23" ht="24.95" hidden="1" customHeight="1" x14ac:dyDescent="0.4">
      <c r="A997" s="17" t="s">
        <v>217</v>
      </c>
      <c r="B997" s="15" t="s">
        <v>290</v>
      </c>
      <c r="C997" s="16" t="s">
        <v>31</v>
      </c>
      <c r="D997" s="16" t="s">
        <v>31</v>
      </c>
      <c r="E997" s="15" t="s">
        <v>32</v>
      </c>
      <c r="F997" s="15" t="s">
        <v>314</v>
      </c>
      <c r="N997" s="21" t="s">
        <v>96</v>
      </c>
      <c r="O997" s="21" t="s">
        <v>336</v>
      </c>
      <c r="Q997" s="21" t="s">
        <v>344</v>
      </c>
      <c r="R997" s="22">
        <v>45756</v>
      </c>
      <c r="W997">
        <f>COUNTIF(リテラ・クレア証券対面ネット!U:U,B997)</f>
        <v>0</v>
      </c>
    </row>
    <row r="998" spans="1:23" ht="24.95" hidden="1" customHeight="1" x14ac:dyDescent="0.4">
      <c r="A998" s="17" t="s">
        <v>217</v>
      </c>
      <c r="B998" s="15" t="s">
        <v>291</v>
      </c>
      <c r="C998" s="16" t="s">
        <v>31</v>
      </c>
      <c r="D998" s="16" t="s">
        <v>31</v>
      </c>
      <c r="E998" s="15" t="s">
        <v>32</v>
      </c>
      <c r="F998" s="15" t="s">
        <v>314</v>
      </c>
      <c r="N998" s="21" t="s">
        <v>96</v>
      </c>
      <c r="O998" s="21" t="s">
        <v>336</v>
      </c>
      <c r="Q998" s="21" t="s">
        <v>344</v>
      </c>
      <c r="R998" s="22">
        <v>45756</v>
      </c>
      <c r="W998">
        <f>COUNTIF(リテラ・クレア証券対面ネット!U:U,B998)</f>
        <v>0</v>
      </c>
    </row>
    <row r="999" spans="1:23" ht="24.95" hidden="1" customHeight="1" x14ac:dyDescent="0.4">
      <c r="A999" s="17" t="s">
        <v>217</v>
      </c>
      <c r="B999" s="15" t="s">
        <v>292</v>
      </c>
      <c r="C999" s="16" t="s">
        <v>31</v>
      </c>
      <c r="D999" s="16" t="s">
        <v>31</v>
      </c>
      <c r="E999" s="15" t="s">
        <v>32</v>
      </c>
      <c r="F999" s="15" t="s">
        <v>314</v>
      </c>
      <c r="N999" s="21" t="s">
        <v>96</v>
      </c>
      <c r="O999" s="21" t="s">
        <v>336</v>
      </c>
      <c r="Q999" s="21" t="s">
        <v>344</v>
      </c>
      <c r="R999" s="22">
        <v>45756</v>
      </c>
      <c r="W999">
        <f>COUNTIF(リテラ・クレア証券対面ネット!U:U,B999)</f>
        <v>0</v>
      </c>
    </row>
    <row r="1000" spans="1:23" ht="24.95" hidden="1" customHeight="1" x14ac:dyDescent="0.4">
      <c r="A1000" s="17" t="s">
        <v>217</v>
      </c>
      <c r="B1000" s="15" t="s">
        <v>293</v>
      </c>
      <c r="C1000" s="16" t="s">
        <v>31</v>
      </c>
      <c r="D1000" s="16" t="s">
        <v>31</v>
      </c>
      <c r="E1000" s="15" t="s">
        <v>32</v>
      </c>
      <c r="F1000" s="15" t="s">
        <v>314</v>
      </c>
      <c r="N1000" s="21" t="s">
        <v>96</v>
      </c>
      <c r="O1000" s="21" t="s">
        <v>336</v>
      </c>
      <c r="Q1000" s="21" t="s">
        <v>344</v>
      </c>
      <c r="R1000" s="22">
        <v>45756</v>
      </c>
      <c r="W1000">
        <f>COUNTIF(リテラ・クレア証券対面ネット!U:U,B1000)</f>
        <v>0</v>
      </c>
    </row>
    <row r="1001" spans="1:23" ht="24.95" hidden="1" customHeight="1" x14ac:dyDescent="0.4">
      <c r="A1001" s="17" t="s">
        <v>217</v>
      </c>
      <c r="B1001" s="15" t="s">
        <v>294</v>
      </c>
      <c r="C1001" s="16" t="s">
        <v>31</v>
      </c>
      <c r="D1001" s="16" t="s">
        <v>31</v>
      </c>
      <c r="E1001" s="15" t="s">
        <v>32</v>
      </c>
      <c r="F1001" s="15" t="s">
        <v>314</v>
      </c>
      <c r="N1001" s="21" t="s">
        <v>96</v>
      </c>
      <c r="O1001" s="21" t="s">
        <v>336</v>
      </c>
      <c r="Q1001" s="21" t="s">
        <v>344</v>
      </c>
      <c r="R1001" s="22">
        <v>45756</v>
      </c>
      <c r="W1001">
        <f>COUNTIF(リテラ・クレア証券対面ネット!U:U,B1001)</f>
        <v>0</v>
      </c>
    </row>
    <row r="1002" spans="1:23" ht="24.95" hidden="1" customHeight="1" x14ac:dyDescent="0.4">
      <c r="A1002" s="17" t="s">
        <v>217</v>
      </c>
      <c r="B1002" s="15" t="s">
        <v>295</v>
      </c>
      <c r="C1002" s="16" t="s">
        <v>31</v>
      </c>
      <c r="D1002" s="16" t="s">
        <v>31</v>
      </c>
      <c r="E1002" s="15" t="s">
        <v>32</v>
      </c>
      <c r="F1002" s="15" t="s">
        <v>314</v>
      </c>
      <c r="N1002" s="21" t="s">
        <v>96</v>
      </c>
      <c r="O1002" s="21" t="s">
        <v>336</v>
      </c>
      <c r="Q1002" s="21" t="s">
        <v>344</v>
      </c>
      <c r="R1002" s="22">
        <v>45756</v>
      </c>
      <c r="W1002">
        <f>COUNTIF(リテラ・クレア証券対面ネット!U:U,B1002)</f>
        <v>0</v>
      </c>
    </row>
    <row r="1003" spans="1:23" ht="24.95" hidden="1" customHeight="1" x14ac:dyDescent="0.4">
      <c r="A1003" s="17" t="s">
        <v>217</v>
      </c>
      <c r="B1003" s="15" t="s">
        <v>296</v>
      </c>
      <c r="C1003" s="16" t="s">
        <v>31</v>
      </c>
      <c r="D1003" s="16" t="s">
        <v>31</v>
      </c>
      <c r="E1003" s="15" t="s">
        <v>32</v>
      </c>
      <c r="F1003" s="15" t="s">
        <v>314</v>
      </c>
      <c r="N1003" s="21" t="s">
        <v>96</v>
      </c>
      <c r="O1003" s="21" t="s">
        <v>336</v>
      </c>
      <c r="Q1003" s="21" t="s">
        <v>344</v>
      </c>
      <c r="R1003" s="22">
        <v>45756</v>
      </c>
      <c r="W1003">
        <f>COUNTIF(リテラ・クレア証券対面ネット!U:U,B1003)</f>
        <v>0</v>
      </c>
    </row>
    <row r="1004" spans="1:23" ht="24.95" hidden="1" customHeight="1" x14ac:dyDescent="0.4">
      <c r="A1004" s="17" t="s">
        <v>217</v>
      </c>
      <c r="B1004" s="15" t="s">
        <v>297</v>
      </c>
      <c r="C1004" s="16" t="s">
        <v>31</v>
      </c>
      <c r="D1004" s="16" t="s">
        <v>31</v>
      </c>
      <c r="E1004" s="15" t="s">
        <v>32</v>
      </c>
      <c r="F1004" s="15" t="s">
        <v>314</v>
      </c>
      <c r="N1004" s="21" t="s">
        <v>96</v>
      </c>
      <c r="O1004" s="21" t="s">
        <v>336</v>
      </c>
      <c r="Q1004" s="21" t="s">
        <v>344</v>
      </c>
      <c r="R1004" s="22">
        <v>45756</v>
      </c>
      <c r="W1004">
        <f>COUNTIF(リテラ・クレア証券対面ネット!U:U,B1004)</f>
        <v>0</v>
      </c>
    </row>
    <row r="1005" spans="1:23" ht="24.95" hidden="1" customHeight="1" x14ac:dyDescent="0.4">
      <c r="A1005" s="17" t="s">
        <v>217</v>
      </c>
      <c r="B1005" s="15" t="s">
        <v>298</v>
      </c>
      <c r="C1005" s="16" t="s">
        <v>31</v>
      </c>
      <c r="D1005" s="16" t="s">
        <v>31</v>
      </c>
      <c r="E1005" s="15" t="s">
        <v>32</v>
      </c>
      <c r="F1005" s="15" t="s">
        <v>314</v>
      </c>
      <c r="N1005" s="21" t="s">
        <v>96</v>
      </c>
      <c r="O1005" s="21" t="s">
        <v>336</v>
      </c>
      <c r="Q1005" s="21" t="s">
        <v>344</v>
      </c>
      <c r="R1005" s="22">
        <v>45756</v>
      </c>
      <c r="W1005">
        <f>COUNTIF(リテラ・クレア証券対面ネット!U:U,B1005)</f>
        <v>0</v>
      </c>
    </row>
    <row r="1006" spans="1:23" ht="24.95" hidden="1" customHeight="1" x14ac:dyDescent="0.4">
      <c r="A1006" s="17" t="s">
        <v>217</v>
      </c>
      <c r="B1006" s="15" t="s">
        <v>299</v>
      </c>
      <c r="C1006" s="16" t="s">
        <v>31</v>
      </c>
      <c r="D1006" s="16" t="s">
        <v>31</v>
      </c>
      <c r="E1006" s="15" t="s">
        <v>32</v>
      </c>
      <c r="F1006" s="15" t="s">
        <v>314</v>
      </c>
      <c r="N1006" s="21" t="s">
        <v>96</v>
      </c>
      <c r="O1006" s="21" t="s">
        <v>336</v>
      </c>
      <c r="Q1006" s="21" t="s">
        <v>344</v>
      </c>
      <c r="R1006" s="22">
        <v>45756</v>
      </c>
      <c r="W1006">
        <f>COUNTIF(リテラ・クレア証券対面ネット!U:U,B1006)</f>
        <v>0</v>
      </c>
    </row>
    <row r="1007" spans="1:23" ht="24.95" hidden="1" customHeight="1" x14ac:dyDescent="0.4">
      <c r="A1007" s="17" t="s">
        <v>217</v>
      </c>
      <c r="B1007" s="15" t="s">
        <v>300</v>
      </c>
      <c r="C1007" s="16" t="s">
        <v>31</v>
      </c>
      <c r="D1007" s="16" t="s">
        <v>31</v>
      </c>
      <c r="E1007" s="15" t="s">
        <v>32</v>
      </c>
      <c r="F1007" s="15" t="s">
        <v>314</v>
      </c>
      <c r="N1007" s="21" t="s">
        <v>96</v>
      </c>
      <c r="O1007" s="21" t="s">
        <v>336</v>
      </c>
      <c r="Q1007" s="21" t="s">
        <v>344</v>
      </c>
      <c r="R1007" s="22">
        <v>45756</v>
      </c>
      <c r="W1007">
        <f>COUNTIF(リテラ・クレア証券対面ネット!U:U,B1007)</f>
        <v>0</v>
      </c>
    </row>
    <row r="1008" spans="1:23" ht="24.95" hidden="1" customHeight="1" x14ac:dyDescent="0.4">
      <c r="A1008" s="17" t="s">
        <v>217</v>
      </c>
      <c r="B1008" s="15" t="s">
        <v>301</v>
      </c>
      <c r="C1008" s="16" t="s">
        <v>31</v>
      </c>
      <c r="D1008" s="16" t="s">
        <v>31</v>
      </c>
      <c r="E1008" s="15" t="s">
        <v>32</v>
      </c>
      <c r="F1008" s="15" t="s">
        <v>314</v>
      </c>
      <c r="N1008" s="21" t="s">
        <v>96</v>
      </c>
      <c r="O1008" s="21" t="s">
        <v>336</v>
      </c>
      <c r="Q1008" s="21" t="s">
        <v>344</v>
      </c>
      <c r="R1008" s="22">
        <v>45756</v>
      </c>
      <c r="W1008">
        <f>COUNTIF(リテラ・クレア証券対面ネット!U:U,B1008)</f>
        <v>0</v>
      </c>
    </row>
    <row r="1009" spans="1:23" ht="24.95" hidden="1" customHeight="1" x14ac:dyDescent="0.4">
      <c r="A1009" s="17" t="s">
        <v>217</v>
      </c>
      <c r="B1009" s="15" t="s">
        <v>302</v>
      </c>
      <c r="C1009" s="16" t="s">
        <v>31</v>
      </c>
      <c r="D1009" s="16" t="s">
        <v>31</v>
      </c>
      <c r="E1009" s="15" t="s">
        <v>32</v>
      </c>
      <c r="F1009" s="15" t="s">
        <v>314</v>
      </c>
      <c r="N1009" s="21" t="s">
        <v>96</v>
      </c>
      <c r="O1009" s="21" t="s">
        <v>336</v>
      </c>
      <c r="Q1009" s="21" t="s">
        <v>344</v>
      </c>
      <c r="R1009" s="22">
        <v>45756</v>
      </c>
      <c r="W1009">
        <f>COUNTIF(リテラ・クレア証券対面ネット!U:U,B1009)</f>
        <v>0</v>
      </c>
    </row>
    <row r="1010" spans="1:23" ht="24.95" hidden="1" customHeight="1" x14ac:dyDescent="0.4">
      <c r="A1010" s="17" t="s">
        <v>217</v>
      </c>
      <c r="B1010" s="15" t="s">
        <v>303</v>
      </c>
      <c r="C1010" s="16" t="s">
        <v>31</v>
      </c>
      <c r="D1010" s="16" t="s">
        <v>31</v>
      </c>
      <c r="E1010" s="15" t="s">
        <v>32</v>
      </c>
      <c r="F1010" s="15" t="s">
        <v>314</v>
      </c>
      <c r="N1010" s="21" t="s">
        <v>96</v>
      </c>
      <c r="O1010" s="21" t="s">
        <v>336</v>
      </c>
      <c r="Q1010" s="21" t="s">
        <v>344</v>
      </c>
      <c r="R1010" s="22">
        <v>45756</v>
      </c>
      <c r="W1010">
        <f>COUNTIF(リテラ・クレア証券対面ネット!U:U,B1010)</f>
        <v>0</v>
      </c>
    </row>
    <row r="1011" spans="1:23" ht="24.95" hidden="1" customHeight="1" x14ac:dyDescent="0.4">
      <c r="A1011" s="17" t="s">
        <v>217</v>
      </c>
      <c r="B1011" s="15" t="s">
        <v>304</v>
      </c>
      <c r="C1011" s="16" t="s">
        <v>31</v>
      </c>
      <c r="D1011" s="16" t="s">
        <v>31</v>
      </c>
      <c r="E1011" s="15" t="s">
        <v>32</v>
      </c>
      <c r="F1011" s="15" t="s">
        <v>314</v>
      </c>
      <c r="N1011" s="21" t="s">
        <v>96</v>
      </c>
      <c r="O1011" s="21" t="s">
        <v>336</v>
      </c>
      <c r="Q1011" s="21" t="s">
        <v>344</v>
      </c>
      <c r="R1011" s="22">
        <v>45756</v>
      </c>
      <c r="W1011">
        <f>COUNTIF(リテラ・クレア証券対面ネット!U:U,B1011)</f>
        <v>0</v>
      </c>
    </row>
    <row r="1012" spans="1:23" ht="24.95" hidden="1" customHeight="1" x14ac:dyDescent="0.4">
      <c r="A1012" s="17" t="s">
        <v>217</v>
      </c>
      <c r="B1012" s="15" t="s">
        <v>305</v>
      </c>
      <c r="C1012" s="16" t="s">
        <v>31</v>
      </c>
      <c r="D1012" s="16" t="s">
        <v>31</v>
      </c>
      <c r="E1012" s="15" t="s">
        <v>32</v>
      </c>
      <c r="F1012" s="15" t="s">
        <v>314</v>
      </c>
      <c r="N1012" s="21" t="s">
        <v>96</v>
      </c>
      <c r="O1012" s="21" t="s">
        <v>336</v>
      </c>
      <c r="Q1012" s="21" t="s">
        <v>344</v>
      </c>
      <c r="R1012" s="22">
        <v>45756</v>
      </c>
      <c r="W1012">
        <f>COUNTIF(リテラ・クレア証券対面ネット!U:U,B1012)</f>
        <v>0</v>
      </c>
    </row>
    <row r="1013" spans="1:23" ht="24.95" hidden="1" customHeight="1" x14ac:dyDescent="0.4">
      <c r="A1013" s="17" t="s">
        <v>217</v>
      </c>
      <c r="B1013" s="15" t="s">
        <v>370</v>
      </c>
      <c r="C1013" s="16" t="s">
        <v>31</v>
      </c>
      <c r="D1013" s="16" t="s">
        <v>31</v>
      </c>
      <c r="E1013" s="15" t="s">
        <v>32</v>
      </c>
      <c r="F1013" s="15" t="s">
        <v>365</v>
      </c>
      <c r="N1013" s="21" t="s">
        <v>374</v>
      </c>
      <c r="O1013" s="21" t="s">
        <v>373</v>
      </c>
      <c r="Q1013" s="21" t="s">
        <v>344</v>
      </c>
      <c r="R1013" s="22">
        <v>45883</v>
      </c>
      <c r="W1013">
        <f>COUNTIF(リテラ・クレア証券対面ネット!U:U,B1013)</f>
        <v>0</v>
      </c>
    </row>
    <row r="1014" spans="1:23" ht="24.95" hidden="1" customHeight="1" x14ac:dyDescent="0.4">
      <c r="A1014" s="17" t="s">
        <v>217</v>
      </c>
      <c r="B1014" s="15" t="s">
        <v>371</v>
      </c>
      <c r="C1014" s="16" t="s">
        <v>31</v>
      </c>
      <c r="D1014" s="16" t="s">
        <v>31</v>
      </c>
      <c r="E1014" s="15" t="s">
        <v>32</v>
      </c>
      <c r="F1014" s="15" t="s">
        <v>365</v>
      </c>
      <c r="N1014" s="21" t="s">
        <v>374</v>
      </c>
      <c r="O1014" s="21" t="s">
        <v>373</v>
      </c>
      <c r="Q1014" s="21" t="s">
        <v>344</v>
      </c>
      <c r="R1014" s="22">
        <v>45883</v>
      </c>
      <c r="W1014">
        <f>COUNTIF(リテラ・クレア証券対面ネット!U:U,B1014)</f>
        <v>0</v>
      </c>
    </row>
    <row r="1015" spans="1:23" ht="24.95" hidden="1" customHeight="1" x14ac:dyDescent="0.4">
      <c r="A1015" s="17" t="s">
        <v>217</v>
      </c>
      <c r="B1015" s="15" t="s">
        <v>306</v>
      </c>
      <c r="C1015" s="16" t="s">
        <v>24</v>
      </c>
      <c r="D1015" s="16" t="s">
        <v>31</v>
      </c>
      <c r="E1015" s="15" t="s">
        <v>35</v>
      </c>
      <c r="F1015" s="15" t="s">
        <v>314</v>
      </c>
      <c r="N1015" s="21" t="s">
        <v>96</v>
      </c>
      <c r="O1015" s="21" t="s">
        <v>336</v>
      </c>
      <c r="Q1015" s="21" t="s">
        <v>344</v>
      </c>
      <c r="R1015" s="22">
        <v>45756</v>
      </c>
      <c r="W1015">
        <f>COUNTIF(リテラ・クレア証券対面ネット!U:U,B1015)</f>
        <v>0</v>
      </c>
    </row>
    <row r="1016" spans="1:23" ht="24.95" hidden="1" customHeight="1" x14ac:dyDescent="0.4">
      <c r="A1016" s="17" t="s">
        <v>217</v>
      </c>
      <c r="B1016" s="15" t="s">
        <v>307</v>
      </c>
      <c r="C1016" s="16" t="s">
        <v>31</v>
      </c>
      <c r="D1016" s="16" t="s">
        <v>31</v>
      </c>
      <c r="E1016" s="15" t="s">
        <v>32</v>
      </c>
      <c r="F1016" s="15" t="s">
        <v>314</v>
      </c>
      <c r="N1016" s="21" t="s">
        <v>96</v>
      </c>
      <c r="O1016" s="21" t="s">
        <v>336</v>
      </c>
      <c r="Q1016" s="21" t="s">
        <v>344</v>
      </c>
      <c r="R1016" s="22">
        <v>45756</v>
      </c>
      <c r="W1016">
        <f>COUNTIF(リテラ・クレア証券対面ネット!U:U,B1016)</f>
        <v>0</v>
      </c>
    </row>
    <row r="1017" spans="1:23" ht="24.95" hidden="1" customHeight="1" x14ac:dyDescent="0.4">
      <c r="A1017" s="17" t="s">
        <v>217</v>
      </c>
      <c r="B1017" s="15" t="s">
        <v>38</v>
      </c>
      <c r="C1017" s="16" t="s">
        <v>31</v>
      </c>
      <c r="D1017" s="16" t="s">
        <v>31</v>
      </c>
      <c r="E1017" s="15" t="s">
        <v>32</v>
      </c>
      <c r="F1017" s="15" t="s">
        <v>212</v>
      </c>
      <c r="N1017" s="21" t="s">
        <v>96</v>
      </c>
      <c r="O1017" s="13" t="s">
        <v>353</v>
      </c>
      <c r="Q1017" s="21" t="s">
        <v>344</v>
      </c>
      <c r="R1017" s="22">
        <v>45814</v>
      </c>
      <c r="W1017">
        <f>COUNTIF(リテラ・クレア証券対面ネット!U:U,B1017)</f>
        <v>0</v>
      </c>
    </row>
    <row r="1018" spans="1:23" ht="24.95" hidden="1" customHeight="1" x14ac:dyDescent="0.4">
      <c r="A1018" s="17" t="s">
        <v>217</v>
      </c>
      <c r="B1018" s="15" t="s">
        <v>119</v>
      </c>
      <c r="C1018" s="16" t="s">
        <v>31</v>
      </c>
      <c r="D1018" s="16" t="s">
        <v>31</v>
      </c>
      <c r="E1018" s="15" t="s">
        <v>32</v>
      </c>
      <c r="F1018" s="15" t="s">
        <v>365</v>
      </c>
      <c r="N1018" s="21" t="s">
        <v>374</v>
      </c>
      <c r="O1018" s="21" t="s">
        <v>375</v>
      </c>
      <c r="Q1018" s="21" t="s">
        <v>344</v>
      </c>
      <c r="R1018" s="22">
        <v>45883</v>
      </c>
      <c r="W1018">
        <f>COUNTIF(リテラ・クレア証券対面ネット!U:U,B1018)</f>
        <v>0</v>
      </c>
    </row>
    <row r="1019" spans="1:23" ht="24.95" hidden="1" customHeight="1" x14ac:dyDescent="0.4">
      <c r="A1019" s="17" t="s">
        <v>217</v>
      </c>
      <c r="B1019" s="15" t="s">
        <v>120</v>
      </c>
      <c r="C1019" s="16" t="s">
        <v>31</v>
      </c>
      <c r="D1019" s="16" t="s">
        <v>31</v>
      </c>
      <c r="E1019" s="15" t="s">
        <v>32</v>
      </c>
      <c r="F1019" s="15" t="s">
        <v>314</v>
      </c>
      <c r="N1019" s="21" t="s">
        <v>96</v>
      </c>
      <c r="O1019" s="13" t="s">
        <v>339</v>
      </c>
      <c r="Q1019" s="21" t="s">
        <v>344</v>
      </c>
      <c r="R1019" s="22">
        <v>45756</v>
      </c>
      <c r="W1019">
        <f>COUNTIF(リテラ・クレア証券対面ネット!U:U,B1019)</f>
        <v>0</v>
      </c>
    </row>
    <row r="1020" spans="1:23" ht="24.95" hidden="1" customHeight="1" x14ac:dyDescent="0.4">
      <c r="A1020" s="17" t="s">
        <v>217</v>
      </c>
      <c r="B1020" s="15" t="s">
        <v>39</v>
      </c>
      <c r="C1020" s="16" t="s">
        <v>31</v>
      </c>
      <c r="D1020" s="16" t="s">
        <v>31</v>
      </c>
      <c r="E1020" s="15" t="s">
        <v>32</v>
      </c>
      <c r="F1020" s="15" t="s">
        <v>212</v>
      </c>
      <c r="N1020" s="21" t="s">
        <v>96</v>
      </c>
      <c r="O1020" s="13" t="s">
        <v>350</v>
      </c>
      <c r="Q1020" s="21" t="s">
        <v>344</v>
      </c>
      <c r="R1020" s="22">
        <v>45814</v>
      </c>
      <c r="W1020">
        <f>COUNTIF(リテラ・クレア証券対面ネット!U:U,B1020)</f>
        <v>0</v>
      </c>
    </row>
    <row r="1021" spans="1:23" ht="24.95" hidden="1" customHeight="1" x14ac:dyDescent="0.4">
      <c r="A1021" s="17" t="s">
        <v>217</v>
      </c>
      <c r="B1021" s="15" t="s">
        <v>220</v>
      </c>
      <c r="C1021" s="16" t="s">
        <v>31</v>
      </c>
      <c r="D1021" s="16" t="s">
        <v>31</v>
      </c>
      <c r="E1021" s="15" t="s">
        <v>32</v>
      </c>
      <c r="F1021" s="15" t="s">
        <v>314</v>
      </c>
      <c r="N1021" s="21" t="s">
        <v>96</v>
      </c>
      <c r="O1021" s="21" t="s">
        <v>338</v>
      </c>
      <c r="Q1021" s="21" t="s">
        <v>344</v>
      </c>
      <c r="R1021" s="22">
        <v>45756</v>
      </c>
      <c r="W1021">
        <f>COUNTIF(リテラ・クレア証券対面ネット!U:U,B1021)</f>
        <v>0</v>
      </c>
    </row>
    <row r="1022" spans="1:23" ht="24.95" hidden="1" customHeight="1" x14ac:dyDescent="0.4">
      <c r="A1022" s="17" t="s">
        <v>217</v>
      </c>
      <c r="B1022" s="15" t="s">
        <v>172</v>
      </c>
      <c r="C1022" s="16" t="s">
        <v>31</v>
      </c>
      <c r="D1022" s="16" t="s">
        <v>31</v>
      </c>
      <c r="E1022" s="15" t="s">
        <v>32</v>
      </c>
      <c r="F1022" s="15" t="s">
        <v>212</v>
      </c>
      <c r="N1022" s="21" t="s">
        <v>96</v>
      </c>
      <c r="O1022" s="21" t="s">
        <v>336</v>
      </c>
      <c r="Q1022" s="21" t="s">
        <v>344</v>
      </c>
      <c r="R1022" s="22">
        <v>45814</v>
      </c>
      <c r="W1022">
        <f>COUNTIF(リテラ・クレア証券対面ネット!U:U,B1022)</f>
        <v>0</v>
      </c>
    </row>
    <row r="1023" spans="1:23" ht="24.95" hidden="1" customHeight="1" x14ac:dyDescent="0.4">
      <c r="A1023" s="17" t="s">
        <v>217</v>
      </c>
      <c r="B1023" s="15" t="s">
        <v>111</v>
      </c>
      <c r="C1023" s="16" t="s">
        <v>31</v>
      </c>
      <c r="D1023" s="16" t="s">
        <v>31</v>
      </c>
      <c r="E1023" s="15" t="s">
        <v>32</v>
      </c>
      <c r="F1023" s="15" t="s">
        <v>314</v>
      </c>
      <c r="N1023" s="21" t="s">
        <v>96</v>
      </c>
      <c r="O1023" s="13" t="s">
        <v>339</v>
      </c>
      <c r="Q1023" s="21" t="s">
        <v>344</v>
      </c>
      <c r="R1023" s="22">
        <v>45756</v>
      </c>
      <c r="W1023">
        <f>COUNTIF(リテラ・クレア証券対面ネット!U:U,B1023)</f>
        <v>0</v>
      </c>
    </row>
    <row r="1024" spans="1:23" ht="24.95" hidden="1" customHeight="1" x14ac:dyDescent="0.4">
      <c r="A1024" s="17" t="s">
        <v>217</v>
      </c>
      <c r="B1024" s="15" t="s">
        <v>42</v>
      </c>
      <c r="C1024" s="16" t="s">
        <v>31</v>
      </c>
      <c r="D1024" s="16" t="s">
        <v>31</v>
      </c>
      <c r="E1024" s="15" t="s">
        <v>32</v>
      </c>
      <c r="F1024" s="15" t="s">
        <v>212</v>
      </c>
      <c r="N1024" s="21" t="s">
        <v>96</v>
      </c>
      <c r="O1024" s="13" t="s">
        <v>351</v>
      </c>
      <c r="Q1024" s="21" t="s">
        <v>344</v>
      </c>
      <c r="R1024" s="22">
        <v>45814</v>
      </c>
      <c r="W1024">
        <f>COUNTIF(リテラ・クレア証券対面ネット!U:U,B1024)</f>
        <v>0</v>
      </c>
    </row>
    <row r="1025" spans="1:26" ht="24.95" hidden="1" customHeight="1" x14ac:dyDescent="0.4">
      <c r="A1025" s="17" t="s">
        <v>217</v>
      </c>
      <c r="B1025" s="15" t="s">
        <v>330</v>
      </c>
      <c r="C1025" s="16" t="s">
        <v>31</v>
      </c>
      <c r="D1025" s="16" t="s">
        <v>31</v>
      </c>
      <c r="E1025" s="15" t="s">
        <v>32</v>
      </c>
      <c r="F1025" s="15" t="s">
        <v>314</v>
      </c>
      <c r="N1025" s="21" t="s">
        <v>96</v>
      </c>
      <c r="O1025" s="21" t="s">
        <v>338</v>
      </c>
      <c r="Q1025" s="21" t="s">
        <v>344</v>
      </c>
      <c r="R1025" s="22">
        <v>45756</v>
      </c>
      <c r="W1025">
        <f>COUNTIF(リテラ・クレア証券対面ネット!U:U,B1025)</f>
        <v>0</v>
      </c>
    </row>
    <row r="1026" spans="1:26" ht="24.95" hidden="1" customHeight="1" x14ac:dyDescent="0.4">
      <c r="A1026" s="17" t="s">
        <v>217</v>
      </c>
      <c r="B1026" s="15" t="s">
        <v>43</v>
      </c>
      <c r="C1026" s="16" t="s">
        <v>31</v>
      </c>
      <c r="D1026" s="16" t="s">
        <v>31</v>
      </c>
      <c r="E1026" s="15" t="s">
        <v>32</v>
      </c>
      <c r="F1026" s="15" t="s">
        <v>356</v>
      </c>
      <c r="N1026" s="21" t="s">
        <v>96</v>
      </c>
      <c r="O1026" s="21" t="s">
        <v>360</v>
      </c>
      <c r="Q1026" s="21" t="s">
        <v>344</v>
      </c>
      <c r="R1026" s="22">
        <v>45847</v>
      </c>
      <c r="W1026">
        <f>COUNTIF(リテラ・クレア証券対面ネット!U:U,B1026)</f>
        <v>0</v>
      </c>
    </row>
    <row r="1027" spans="1:26" ht="24.95" hidden="1" customHeight="1" x14ac:dyDescent="0.4">
      <c r="A1027" s="17" t="s">
        <v>217</v>
      </c>
      <c r="B1027" s="15" t="s">
        <v>343</v>
      </c>
      <c r="C1027" s="16" t="s">
        <v>31</v>
      </c>
      <c r="D1027" s="16" t="s">
        <v>31</v>
      </c>
      <c r="E1027" s="15" t="s">
        <v>32</v>
      </c>
      <c r="F1027" s="15" t="s">
        <v>340</v>
      </c>
      <c r="N1027" s="21" t="s">
        <v>96</v>
      </c>
      <c r="O1027" s="21" t="s">
        <v>345</v>
      </c>
      <c r="Q1027" s="21" t="s">
        <v>344</v>
      </c>
      <c r="R1027" s="22">
        <v>45784</v>
      </c>
      <c r="W1027">
        <f>COUNTIF(リテラ・クレア証券対面ネット!U:U,B1027)</f>
        <v>0</v>
      </c>
    </row>
    <row r="1028" spans="1:26" ht="24.95" hidden="1" customHeight="1" x14ac:dyDescent="0.4">
      <c r="A1028" s="17" t="s">
        <v>217</v>
      </c>
      <c r="B1028" s="15" t="s">
        <v>121</v>
      </c>
      <c r="C1028" s="16" t="s">
        <v>31</v>
      </c>
      <c r="D1028" s="16" t="s">
        <v>31</v>
      </c>
      <c r="E1028" s="15" t="s">
        <v>32</v>
      </c>
      <c r="F1028" s="15" t="s">
        <v>314</v>
      </c>
      <c r="N1028" s="21" t="s">
        <v>96</v>
      </c>
      <c r="O1028" s="21" t="s">
        <v>336</v>
      </c>
      <c r="Q1028" s="21" t="s">
        <v>344</v>
      </c>
      <c r="R1028" s="22">
        <v>45756</v>
      </c>
      <c r="W1028">
        <f>COUNTIF(リテラ・クレア証券対面ネット!U:U,B1028)</f>
        <v>0</v>
      </c>
    </row>
    <row r="1029" spans="1:26" ht="24.95" hidden="1" customHeight="1" x14ac:dyDescent="0.4">
      <c r="A1029" s="17" t="s">
        <v>217</v>
      </c>
      <c r="B1029" s="15" t="s">
        <v>44</v>
      </c>
      <c r="C1029" s="16" t="s">
        <v>31</v>
      </c>
      <c r="D1029" s="16" t="s">
        <v>31</v>
      </c>
      <c r="E1029" s="15" t="s">
        <v>32</v>
      </c>
      <c r="F1029" s="15" t="s">
        <v>221</v>
      </c>
      <c r="N1029" s="21" t="s">
        <v>96</v>
      </c>
      <c r="O1029" s="13" t="s">
        <v>359</v>
      </c>
      <c r="Q1029" s="21" t="s">
        <v>344</v>
      </c>
      <c r="R1029" s="22">
        <v>45814</v>
      </c>
      <c r="W1029">
        <f>COUNTIF(リテラ・クレア証券対面ネット!U:U,B1029)</f>
        <v>0</v>
      </c>
    </row>
    <row r="1030" spans="1:26" ht="24.95" hidden="1" customHeight="1" x14ac:dyDescent="0.4">
      <c r="A1030" s="17" t="s">
        <v>217</v>
      </c>
      <c r="B1030" s="15" t="s">
        <v>45</v>
      </c>
      <c r="C1030" s="16" t="s">
        <v>31</v>
      </c>
      <c r="D1030" s="16" t="s">
        <v>31</v>
      </c>
      <c r="E1030" s="15" t="s">
        <v>32</v>
      </c>
      <c r="F1030" s="15" t="s">
        <v>314</v>
      </c>
      <c r="N1030" s="21" t="s">
        <v>96</v>
      </c>
      <c r="O1030" s="21" t="s">
        <v>338</v>
      </c>
      <c r="Q1030" s="21" t="s">
        <v>344</v>
      </c>
      <c r="R1030" s="22">
        <v>45756</v>
      </c>
      <c r="W1030">
        <f>COUNTIF(リテラ・クレア証券対面ネット!U:U,B1030)</f>
        <v>0</v>
      </c>
    </row>
    <row r="1031" spans="1:26" ht="24.95" customHeight="1" x14ac:dyDescent="0.4">
      <c r="A1031" s="17" t="s">
        <v>217</v>
      </c>
      <c r="B1031" s="50" t="s">
        <v>469</v>
      </c>
      <c r="C1031" s="16" t="s">
        <v>31</v>
      </c>
      <c r="D1031" s="16" t="s">
        <v>31</v>
      </c>
      <c r="E1031" s="15" t="s">
        <v>32</v>
      </c>
      <c r="F1031" s="15" t="s">
        <v>365</v>
      </c>
      <c r="N1031" s="21" t="s">
        <v>374</v>
      </c>
      <c r="O1031" s="13" t="s">
        <v>468</v>
      </c>
      <c r="Q1031" s="21" t="s">
        <v>344</v>
      </c>
      <c r="R1031" s="22">
        <v>45883</v>
      </c>
      <c r="W1031">
        <f>COUNTIF(リテラ・クレア証券対面ネット!U:U,B1031)</f>
        <v>0</v>
      </c>
    </row>
    <row r="1032" spans="1:26" ht="24.95" hidden="1" customHeight="1" x14ac:dyDescent="0.4">
      <c r="A1032" s="17" t="s">
        <v>217</v>
      </c>
      <c r="B1032" s="50" t="s">
        <v>91</v>
      </c>
      <c r="C1032" s="16" t="s">
        <v>31</v>
      </c>
      <c r="D1032" s="16" t="s">
        <v>31</v>
      </c>
      <c r="E1032" s="15" t="s">
        <v>32</v>
      </c>
      <c r="F1032" s="15" t="s">
        <v>356</v>
      </c>
      <c r="N1032" s="21" t="s">
        <v>96</v>
      </c>
      <c r="O1032" s="21" t="s">
        <v>360</v>
      </c>
      <c r="Q1032" s="21" t="s">
        <v>344</v>
      </c>
      <c r="R1032" s="22">
        <v>45847</v>
      </c>
      <c r="W1032">
        <f>COUNTIF(リテラ・クレア証券対面ネット!U:U,B1032)</f>
        <v>0</v>
      </c>
    </row>
    <row r="1033" spans="1:26" ht="24.95" hidden="1" customHeight="1" x14ac:dyDescent="0.4">
      <c r="A1033" s="17" t="s">
        <v>217</v>
      </c>
      <c r="B1033" s="50" t="s">
        <v>222</v>
      </c>
      <c r="C1033" s="16" t="s">
        <v>31</v>
      </c>
      <c r="D1033" s="16" t="s">
        <v>24</v>
      </c>
      <c r="E1033" s="15" t="s">
        <v>50</v>
      </c>
      <c r="F1033" s="15" t="s">
        <v>221</v>
      </c>
      <c r="G1033" s="25" t="s">
        <v>23</v>
      </c>
      <c r="H1033" s="24" t="s">
        <v>331</v>
      </c>
      <c r="I1033" s="24" t="s">
        <v>332</v>
      </c>
      <c r="J1033" s="24" t="s">
        <v>333</v>
      </c>
      <c r="K1033" s="23" t="s">
        <v>334</v>
      </c>
      <c r="M1033" s="21" t="s">
        <v>81</v>
      </c>
      <c r="N1033" s="21" t="s">
        <v>92</v>
      </c>
      <c r="O1033" s="21" t="s">
        <v>209</v>
      </c>
      <c r="P1033" s="21" t="s">
        <v>213</v>
      </c>
      <c r="Q1033" s="21" t="s">
        <v>169</v>
      </c>
      <c r="R1033" s="22">
        <v>45756</v>
      </c>
      <c r="W1033">
        <f>COUNTIF(リテラ・クレア証券対面ネット!U:U,B1033)</f>
        <v>0</v>
      </c>
      <c r="Z1033" t="str">
        <f>A1033&amp;" "&amp;B1033</f>
        <v>09 cw info_409test.html</v>
      </c>
    </row>
    <row r="1034" spans="1:26" ht="24.95" hidden="1" customHeight="1" x14ac:dyDescent="0.4">
      <c r="A1034" s="17" t="s">
        <v>59</v>
      </c>
      <c r="B1034" s="15" t="s">
        <v>60</v>
      </c>
      <c r="C1034" s="16" t="s">
        <v>31</v>
      </c>
      <c r="D1034" s="16" t="s">
        <v>24</v>
      </c>
      <c r="E1034" s="15" t="s">
        <v>50</v>
      </c>
      <c r="F1034" s="15" t="s">
        <v>33</v>
      </c>
      <c r="M1034" s="21" t="s">
        <v>81</v>
      </c>
      <c r="N1034" s="21" t="s">
        <v>92</v>
      </c>
      <c r="O1034" s="21" t="s">
        <v>90</v>
      </c>
      <c r="P1034" s="21" t="s">
        <v>98</v>
      </c>
      <c r="W1034">
        <f>COUNTIF(SBIネオトレード証券!U:U,B1034)</f>
        <v>0</v>
      </c>
      <c r="Z1034" t="s">
        <v>434</v>
      </c>
    </row>
    <row r="1035" spans="1:26" ht="24.95" hidden="1" customHeight="1" x14ac:dyDescent="0.4">
      <c r="A1035" s="17" t="s">
        <v>59</v>
      </c>
      <c r="B1035" s="15" t="s">
        <v>115</v>
      </c>
      <c r="C1035" s="16" t="s">
        <v>31</v>
      </c>
      <c r="D1035" s="16" t="s">
        <v>31</v>
      </c>
      <c r="E1035" s="15" t="s">
        <v>32</v>
      </c>
      <c r="F1035" s="15" t="s">
        <v>184</v>
      </c>
      <c r="N1035" s="21" t="s">
        <v>96</v>
      </c>
      <c r="O1035" s="21" t="s">
        <v>337</v>
      </c>
      <c r="Q1035" s="21" t="s">
        <v>344</v>
      </c>
      <c r="R1035" s="22">
        <v>45814</v>
      </c>
      <c r="W1035">
        <f>COUNTIF(SBIネオトレード証券!U:U,B1035)</f>
        <v>0</v>
      </c>
    </row>
    <row r="1036" spans="1:26" ht="24.95" hidden="1" customHeight="1" x14ac:dyDescent="0.4">
      <c r="A1036" s="17" t="s">
        <v>59</v>
      </c>
      <c r="B1036" s="15" t="s">
        <v>313</v>
      </c>
      <c r="C1036" s="16" t="s">
        <v>24</v>
      </c>
      <c r="D1036" s="16" t="s">
        <v>31</v>
      </c>
      <c r="E1036" s="15" t="s">
        <v>35</v>
      </c>
      <c r="F1036" s="15" t="s">
        <v>314</v>
      </c>
      <c r="N1036" s="21" t="s">
        <v>96</v>
      </c>
      <c r="O1036" s="21" t="s">
        <v>337</v>
      </c>
      <c r="Q1036" s="21" t="s">
        <v>344</v>
      </c>
      <c r="R1036" s="22">
        <v>45756</v>
      </c>
      <c r="W1036">
        <f>COUNTIF(SBIネオトレード証券!U:U,B1036)</f>
        <v>0</v>
      </c>
    </row>
    <row r="1037" spans="1:26" ht="24.95" hidden="1" customHeight="1" x14ac:dyDescent="0.4">
      <c r="A1037" s="17" t="s">
        <v>59</v>
      </c>
      <c r="B1037" s="15" t="s">
        <v>315</v>
      </c>
      <c r="C1037" s="16" t="s">
        <v>24</v>
      </c>
      <c r="D1037" s="16" t="s">
        <v>31</v>
      </c>
      <c r="E1037" s="15" t="s">
        <v>35</v>
      </c>
      <c r="F1037" s="15" t="s">
        <v>314</v>
      </c>
      <c r="N1037" s="21" t="s">
        <v>96</v>
      </c>
      <c r="O1037" s="21" t="s">
        <v>337</v>
      </c>
      <c r="Q1037" s="21" t="s">
        <v>344</v>
      </c>
      <c r="R1037" s="22">
        <v>45756</v>
      </c>
      <c r="W1037">
        <f>COUNTIF(SBIネオトレード証券!U:U,B1037)</f>
        <v>0</v>
      </c>
    </row>
    <row r="1038" spans="1:26" ht="24.95" hidden="1" customHeight="1" x14ac:dyDescent="0.4">
      <c r="A1038" s="17" t="s">
        <v>59</v>
      </c>
      <c r="B1038" s="15" t="s">
        <v>316</v>
      </c>
      <c r="C1038" s="16" t="s">
        <v>24</v>
      </c>
      <c r="D1038" s="16" t="s">
        <v>31</v>
      </c>
      <c r="E1038" s="15" t="s">
        <v>35</v>
      </c>
      <c r="F1038" s="15" t="s">
        <v>314</v>
      </c>
      <c r="N1038" s="21" t="s">
        <v>96</v>
      </c>
      <c r="O1038" s="21" t="s">
        <v>337</v>
      </c>
      <c r="Q1038" s="21" t="s">
        <v>344</v>
      </c>
      <c r="R1038" s="22">
        <v>45756</v>
      </c>
      <c r="W1038">
        <f>COUNTIF(SBIネオトレード証券!U:U,B1038)</f>
        <v>0</v>
      </c>
    </row>
    <row r="1039" spans="1:26" ht="24.95" hidden="1" customHeight="1" x14ac:dyDescent="0.4">
      <c r="A1039" s="17" t="s">
        <v>59</v>
      </c>
      <c r="B1039" s="15" t="s">
        <v>317</v>
      </c>
      <c r="C1039" s="16" t="s">
        <v>24</v>
      </c>
      <c r="D1039" s="16" t="s">
        <v>31</v>
      </c>
      <c r="E1039" s="15" t="s">
        <v>35</v>
      </c>
      <c r="F1039" s="15" t="s">
        <v>314</v>
      </c>
      <c r="N1039" s="21" t="s">
        <v>96</v>
      </c>
      <c r="O1039" s="21" t="s">
        <v>337</v>
      </c>
      <c r="Q1039" s="21" t="s">
        <v>344</v>
      </c>
      <c r="R1039" s="22">
        <v>45756</v>
      </c>
      <c r="W1039">
        <f>COUNTIF(SBIネオトレード証券!U:U,B1039)</f>
        <v>0</v>
      </c>
    </row>
    <row r="1040" spans="1:26" ht="24.95" hidden="1" customHeight="1" x14ac:dyDescent="0.4">
      <c r="A1040" s="17" t="s">
        <v>59</v>
      </c>
      <c r="B1040" s="50" t="s">
        <v>364</v>
      </c>
      <c r="C1040" s="16" t="s">
        <v>24</v>
      </c>
      <c r="D1040" s="16" t="s">
        <v>31</v>
      </c>
      <c r="E1040" s="15" t="s">
        <v>35</v>
      </c>
      <c r="F1040" s="15" t="s">
        <v>365</v>
      </c>
      <c r="N1040" s="21" t="s">
        <v>96</v>
      </c>
      <c r="O1040" s="21" t="s">
        <v>372</v>
      </c>
      <c r="Q1040" s="21" t="s">
        <v>344</v>
      </c>
      <c r="R1040" s="22">
        <v>45883</v>
      </c>
      <c r="W1040">
        <f>COUNTIF(SBIネオトレード証券!U:U,B1040)</f>
        <v>0</v>
      </c>
    </row>
    <row r="1041" spans="1:23" ht="24.95" hidden="1" customHeight="1" x14ac:dyDescent="0.4">
      <c r="A1041" s="17" t="s">
        <v>59</v>
      </c>
      <c r="B1041" s="15" t="s">
        <v>123</v>
      </c>
      <c r="C1041" s="16" t="s">
        <v>31</v>
      </c>
      <c r="D1041" s="16" t="s">
        <v>31</v>
      </c>
      <c r="E1041" s="15" t="s">
        <v>32</v>
      </c>
      <c r="F1041" s="15" t="s">
        <v>184</v>
      </c>
      <c r="N1041" s="21" t="s">
        <v>96</v>
      </c>
      <c r="O1041" s="21" t="s">
        <v>337</v>
      </c>
      <c r="Q1041" s="21" t="s">
        <v>344</v>
      </c>
      <c r="R1041" s="22">
        <v>45814</v>
      </c>
      <c r="W1041">
        <f>COUNTIF(SBIネオトレード証券!U:U,B1041)</f>
        <v>0</v>
      </c>
    </row>
    <row r="1042" spans="1:23" ht="24.95" hidden="1" customHeight="1" x14ac:dyDescent="0.4">
      <c r="A1042" s="17" t="s">
        <v>59</v>
      </c>
      <c r="B1042" s="15" t="s">
        <v>37</v>
      </c>
      <c r="C1042" s="16" t="s">
        <v>31</v>
      </c>
      <c r="D1042" s="16" t="s">
        <v>31</v>
      </c>
      <c r="E1042" s="15" t="s">
        <v>32</v>
      </c>
      <c r="F1042" s="15" t="s">
        <v>212</v>
      </c>
      <c r="N1042" s="21" t="s">
        <v>96</v>
      </c>
      <c r="O1042" s="21" t="s">
        <v>337</v>
      </c>
      <c r="Q1042" s="21" t="s">
        <v>344</v>
      </c>
      <c r="R1042" s="22">
        <v>45814</v>
      </c>
      <c r="W1042">
        <f>COUNTIF(SBIネオトレード証券!U:U,B1042)</f>
        <v>0</v>
      </c>
    </row>
    <row r="1043" spans="1:23" ht="24.95" hidden="1" customHeight="1" x14ac:dyDescent="0.4">
      <c r="A1043" s="17" t="s">
        <v>59</v>
      </c>
      <c r="B1043" s="15" t="s">
        <v>126</v>
      </c>
      <c r="C1043" s="16" t="s">
        <v>31</v>
      </c>
      <c r="D1043" s="16" t="s">
        <v>31</v>
      </c>
      <c r="E1043" s="15" t="s">
        <v>32</v>
      </c>
      <c r="F1043" s="15" t="s">
        <v>365</v>
      </c>
      <c r="N1043" s="21" t="s">
        <v>374</v>
      </c>
      <c r="O1043" s="21" t="s">
        <v>373</v>
      </c>
      <c r="Q1043" s="21" t="s">
        <v>344</v>
      </c>
      <c r="R1043" s="22">
        <v>45883</v>
      </c>
      <c r="W1043">
        <f>COUNTIF(SBIネオトレード証券!U:U,B1043)</f>
        <v>0</v>
      </c>
    </row>
    <row r="1044" spans="1:23" ht="24.95" hidden="1" customHeight="1" x14ac:dyDescent="0.4">
      <c r="A1044" s="17" t="s">
        <v>59</v>
      </c>
      <c r="B1044" s="15" t="s">
        <v>318</v>
      </c>
      <c r="C1044" s="16" t="s">
        <v>31</v>
      </c>
      <c r="D1044" s="16" t="s">
        <v>31</v>
      </c>
      <c r="E1044" s="15" t="s">
        <v>32</v>
      </c>
      <c r="F1044" s="15" t="s">
        <v>314</v>
      </c>
      <c r="N1044" s="21" t="s">
        <v>96</v>
      </c>
      <c r="O1044" s="21" t="s">
        <v>337</v>
      </c>
      <c r="Q1044" s="21" t="s">
        <v>344</v>
      </c>
      <c r="R1044" s="22">
        <v>45756</v>
      </c>
      <c r="W1044">
        <f>COUNTIF(SBIネオトレード証券!U:U,B1044)</f>
        <v>0</v>
      </c>
    </row>
    <row r="1045" spans="1:23" ht="24.95" hidden="1" customHeight="1" x14ac:dyDescent="0.4">
      <c r="A1045" s="17" t="s">
        <v>59</v>
      </c>
      <c r="B1045" s="15" t="s">
        <v>118</v>
      </c>
      <c r="C1045" s="16" t="s">
        <v>31</v>
      </c>
      <c r="D1045" s="16" t="s">
        <v>31</v>
      </c>
      <c r="E1045" s="15" t="s">
        <v>32</v>
      </c>
      <c r="F1045" s="15" t="s">
        <v>314</v>
      </c>
      <c r="N1045" s="21" t="s">
        <v>96</v>
      </c>
      <c r="O1045" s="21" t="s">
        <v>337</v>
      </c>
      <c r="Q1045" s="21" t="s">
        <v>344</v>
      </c>
      <c r="R1045" s="22">
        <v>45756</v>
      </c>
      <c r="W1045">
        <f>COUNTIF(SBIネオトレード証券!U:U,B1045)</f>
        <v>0</v>
      </c>
    </row>
    <row r="1046" spans="1:23" ht="24.95" hidden="1" customHeight="1" x14ac:dyDescent="0.4">
      <c r="A1046" s="17" t="s">
        <v>59</v>
      </c>
      <c r="B1046" s="15" t="s">
        <v>319</v>
      </c>
      <c r="C1046" s="16" t="s">
        <v>31</v>
      </c>
      <c r="D1046" s="16" t="s">
        <v>31</v>
      </c>
      <c r="E1046" s="15" t="s">
        <v>32</v>
      </c>
      <c r="F1046" s="15" t="s">
        <v>314</v>
      </c>
      <c r="N1046" s="21" t="s">
        <v>96</v>
      </c>
      <c r="O1046" s="21" t="s">
        <v>337</v>
      </c>
      <c r="Q1046" s="21" t="s">
        <v>344</v>
      </c>
      <c r="R1046" s="22">
        <v>45756</v>
      </c>
      <c r="W1046">
        <f>COUNTIF(SBIネオトレード証券!U:U,B1046)</f>
        <v>0</v>
      </c>
    </row>
    <row r="1047" spans="1:23" ht="24.95" hidden="1" customHeight="1" x14ac:dyDescent="0.4">
      <c r="A1047" s="17" t="s">
        <v>59</v>
      </c>
      <c r="B1047" s="15" t="s">
        <v>320</v>
      </c>
      <c r="C1047" s="16" t="s">
        <v>31</v>
      </c>
      <c r="D1047" s="16" t="s">
        <v>31</v>
      </c>
      <c r="E1047" s="15" t="s">
        <v>32</v>
      </c>
      <c r="F1047" s="15" t="s">
        <v>314</v>
      </c>
      <c r="N1047" s="21" t="s">
        <v>96</v>
      </c>
      <c r="O1047" s="21" t="s">
        <v>337</v>
      </c>
      <c r="Q1047" s="21" t="s">
        <v>344</v>
      </c>
      <c r="R1047" s="22">
        <v>45756</v>
      </c>
      <c r="W1047">
        <f>COUNTIF(SBIネオトレード証券!U:U,B1047)</f>
        <v>0</v>
      </c>
    </row>
    <row r="1048" spans="1:23" ht="24.95" hidden="1" customHeight="1" x14ac:dyDescent="0.4">
      <c r="A1048" s="17" t="s">
        <v>59</v>
      </c>
      <c r="B1048" s="15" t="s">
        <v>132</v>
      </c>
      <c r="C1048" s="16" t="s">
        <v>31</v>
      </c>
      <c r="D1048" s="16" t="s">
        <v>31</v>
      </c>
      <c r="E1048" s="15" t="s">
        <v>32</v>
      </c>
      <c r="F1048" s="15" t="s">
        <v>314</v>
      </c>
      <c r="N1048" s="21" t="s">
        <v>96</v>
      </c>
      <c r="O1048" s="21" t="s">
        <v>337</v>
      </c>
      <c r="Q1048" s="21" t="s">
        <v>344</v>
      </c>
      <c r="R1048" s="22">
        <v>45756</v>
      </c>
      <c r="W1048">
        <f>COUNTIF(SBIネオトレード証券!U:U,B1048)</f>
        <v>0</v>
      </c>
    </row>
    <row r="1049" spans="1:23" ht="24.95" hidden="1" customHeight="1" x14ac:dyDescent="0.4">
      <c r="A1049" s="17" t="s">
        <v>59</v>
      </c>
      <c r="B1049" s="15" t="s">
        <v>321</v>
      </c>
      <c r="C1049" s="16" t="s">
        <v>24</v>
      </c>
      <c r="D1049" s="16" t="s">
        <v>31</v>
      </c>
      <c r="E1049" s="15" t="s">
        <v>35</v>
      </c>
      <c r="F1049" s="15" t="s">
        <v>314</v>
      </c>
      <c r="N1049" s="21" t="s">
        <v>96</v>
      </c>
      <c r="O1049" s="21" t="s">
        <v>337</v>
      </c>
      <c r="Q1049" s="21" t="s">
        <v>344</v>
      </c>
      <c r="R1049" s="22">
        <v>45756</v>
      </c>
      <c r="W1049">
        <f>COUNTIF(SBIネオトレード証券!U:U,B1049)</f>
        <v>0</v>
      </c>
    </row>
    <row r="1050" spans="1:23" ht="24.95" hidden="1" customHeight="1" x14ac:dyDescent="0.4">
      <c r="A1050" s="17" t="s">
        <v>59</v>
      </c>
      <c r="B1050" s="15" t="s">
        <v>322</v>
      </c>
      <c r="C1050" s="16" t="s">
        <v>24</v>
      </c>
      <c r="D1050" s="16" t="s">
        <v>31</v>
      </c>
      <c r="E1050" s="15" t="s">
        <v>35</v>
      </c>
      <c r="F1050" s="15" t="s">
        <v>314</v>
      </c>
      <c r="N1050" s="21" t="s">
        <v>96</v>
      </c>
      <c r="O1050" s="21" t="s">
        <v>337</v>
      </c>
      <c r="Q1050" s="21" t="s">
        <v>344</v>
      </c>
      <c r="R1050" s="22">
        <v>45756</v>
      </c>
      <c r="W1050">
        <f>COUNTIF(SBIネオトレード証券!U:U,B1050)</f>
        <v>0</v>
      </c>
    </row>
    <row r="1051" spans="1:23" ht="24.95" hidden="1" customHeight="1" x14ac:dyDescent="0.4">
      <c r="A1051" s="17" t="s">
        <v>59</v>
      </c>
      <c r="B1051" s="15" t="s">
        <v>323</v>
      </c>
      <c r="C1051" s="16" t="s">
        <v>24</v>
      </c>
      <c r="D1051" s="16" t="s">
        <v>31</v>
      </c>
      <c r="E1051" s="15" t="s">
        <v>35</v>
      </c>
      <c r="F1051" s="15" t="s">
        <v>314</v>
      </c>
      <c r="N1051" s="21" t="s">
        <v>96</v>
      </c>
      <c r="O1051" s="21" t="s">
        <v>337</v>
      </c>
      <c r="Q1051" s="21" t="s">
        <v>344</v>
      </c>
      <c r="R1051" s="22">
        <v>45756</v>
      </c>
      <c r="W1051">
        <f>COUNTIF(SBIネオトレード証券!U:U,B1051)</f>
        <v>0</v>
      </c>
    </row>
    <row r="1052" spans="1:23" ht="24.95" hidden="1" customHeight="1" x14ac:dyDescent="0.4">
      <c r="A1052" s="17" t="s">
        <v>59</v>
      </c>
      <c r="B1052" s="15" t="s">
        <v>341</v>
      </c>
      <c r="C1052" s="16" t="s">
        <v>31</v>
      </c>
      <c r="D1052" s="16" t="s">
        <v>31</v>
      </c>
      <c r="E1052" s="15" t="s">
        <v>32</v>
      </c>
      <c r="F1052" s="15" t="s">
        <v>340</v>
      </c>
      <c r="N1052" s="21" t="s">
        <v>96</v>
      </c>
      <c r="O1052" s="21" t="s">
        <v>345</v>
      </c>
      <c r="Q1052" s="21" t="s">
        <v>344</v>
      </c>
      <c r="R1052" s="22">
        <v>45784</v>
      </c>
      <c r="W1052">
        <f>COUNTIF(SBIネオトレード証券!U:U,B1052)</f>
        <v>0</v>
      </c>
    </row>
    <row r="1053" spans="1:23" ht="24.95" hidden="1" customHeight="1" x14ac:dyDescent="0.4">
      <c r="A1053" s="17" t="s">
        <v>59</v>
      </c>
      <c r="B1053" s="15" t="s">
        <v>366</v>
      </c>
      <c r="C1053" s="16" t="s">
        <v>31</v>
      </c>
      <c r="D1053" s="16" t="s">
        <v>31</v>
      </c>
      <c r="E1053" s="15" t="s">
        <v>32</v>
      </c>
      <c r="F1053" s="15" t="s">
        <v>365</v>
      </c>
      <c r="N1053" s="21" t="s">
        <v>374</v>
      </c>
      <c r="O1053" s="21" t="s">
        <v>373</v>
      </c>
      <c r="Q1053" s="21" t="s">
        <v>344</v>
      </c>
      <c r="R1053" s="22">
        <v>45883</v>
      </c>
      <c r="W1053">
        <f>COUNTIF(SBIネオトレード証券!U:U,B1053)</f>
        <v>0</v>
      </c>
    </row>
    <row r="1054" spans="1:23" ht="24.95" hidden="1" customHeight="1" x14ac:dyDescent="0.4">
      <c r="A1054" s="17" t="s">
        <v>59</v>
      </c>
      <c r="B1054" s="15" t="s">
        <v>367</v>
      </c>
      <c r="C1054" s="16" t="s">
        <v>31</v>
      </c>
      <c r="D1054" s="16" t="s">
        <v>31</v>
      </c>
      <c r="E1054" s="15" t="s">
        <v>32</v>
      </c>
      <c r="F1054" s="15" t="s">
        <v>365</v>
      </c>
      <c r="N1054" s="21" t="s">
        <v>374</v>
      </c>
      <c r="O1054" s="21" t="s">
        <v>373</v>
      </c>
      <c r="Q1054" s="21" t="s">
        <v>344</v>
      </c>
      <c r="R1054" s="22">
        <v>45883</v>
      </c>
      <c r="W1054">
        <f>COUNTIF(SBIネオトレード証券!U:U,B1054)</f>
        <v>0</v>
      </c>
    </row>
    <row r="1055" spans="1:23" ht="24.95" hidden="1" customHeight="1" x14ac:dyDescent="0.4">
      <c r="A1055" s="17" t="s">
        <v>59</v>
      </c>
      <c r="B1055" s="15" t="s">
        <v>324</v>
      </c>
      <c r="C1055" s="16" t="s">
        <v>31</v>
      </c>
      <c r="D1055" s="16" t="s">
        <v>31</v>
      </c>
      <c r="E1055" s="15" t="s">
        <v>32</v>
      </c>
      <c r="F1055" s="15" t="s">
        <v>314</v>
      </c>
      <c r="N1055" s="21" t="s">
        <v>96</v>
      </c>
      <c r="O1055" s="21" t="s">
        <v>337</v>
      </c>
      <c r="Q1055" s="21" t="s">
        <v>344</v>
      </c>
      <c r="R1055" s="22">
        <v>45756</v>
      </c>
      <c r="W1055">
        <f>COUNTIF(SBIネオトレード証券!U:U,B1055)</f>
        <v>0</v>
      </c>
    </row>
    <row r="1056" spans="1:23" ht="24.95" hidden="1" customHeight="1" x14ac:dyDescent="0.4">
      <c r="A1056" s="17" t="s">
        <v>59</v>
      </c>
      <c r="B1056" s="50" t="s">
        <v>368</v>
      </c>
      <c r="C1056" s="16" t="s">
        <v>31</v>
      </c>
      <c r="D1056" s="16" t="s">
        <v>31</v>
      </c>
      <c r="E1056" s="15" t="s">
        <v>32</v>
      </c>
      <c r="F1056" s="15" t="s">
        <v>365</v>
      </c>
      <c r="N1056" s="21" t="s">
        <v>96</v>
      </c>
      <c r="O1056" s="21" t="s">
        <v>372</v>
      </c>
      <c r="Q1056" s="21" t="s">
        <v>344</v>
      </c>
      <c r="R1056" s="22">
        <v>45883</v>
      </c>
      <c r="W1056">
        <f>COUNTIF(SBIネオトレード証券!U:U,B1056)</f>
        <v>0</v>
      </c>
    </row>
    <row r="1057" spans="1:23" ht="24.95" hidden="1" customHeight="1" x14ac:dyDescent="0.4">
      <c r="A1057" s="17" t="s">
        <v>59</v>
      </c>
      <c r="B1057" s="50" t="s">
        <v>369</v>
      </c>
      <c r="C1057" s="16" t="s">
        <v>24</v>
      </c>
      <c r="D1057" s="16" t="s">
        <v>31</v>
      </c>
      <c r="E1057" s="15" t="s">
        <v>35</v>
      </c>
      <c r="F1057" s="15" t="s">
        <v>365</v>
      </c>
      <c r="N1057" s="21" t="s">
        <v>96</v>
      </c>
      <c r="O1057" s="21" t="s">
        <v>372</v>
      </c>
      <c r="Q1057" s="21" t="s">
        <v>344</v>
      </c>
      <c r="R1057" s="22">
        <v>45883</v>
      </c>
      <c r="W1057">
        <f>COUNTIF(SBIネオトレード証券!U:U,B1057)</f>
        <v>0</v>
      </c>
    </row>
    <row r="1058" spans="1:23" ht="24.95" hidden="1" customHeight="1" x14ac:dyDescent="0.4">
      <c r="A1058" s="17" t="s">
        <v>59</v>
      </c>
      <c r="B1058" s="15" t="s">
        <v>325</v>
      </c>
      <c r="C1058" s="16" t="s">
        <v>24</v>
      </c>
      <c r="D1058" s="16" t="s">
        <v>31</v>
      </c>
      <c r="E1058" s="15" t="s">
        <v>35</v>
      </c>
      <c r="F1058" s="15" t="s">
        <v>314</v>
      </c>
      <c r="N1058" s="21" t="s">
        <v>96</v>
      </c>
      <c r="O1058" s="21" t="s">
        <v>337</v>
      </c>
      <c r="Q1058" s="21" t="s">
        <v>344</v>
      </c>
      <c r="R1058" s="22">
        <v>45756</v>
      </c>
      <c r="W1058">
        <f>COUNTIF(SBIネオトレード証券!U:U,B1058)</f>
        <v>0</v>
      </c>
    </row>
    <row r="1059" spans="1:23" ht="24.95" hidden="1" customHeight="1" x14ac:dyDescent="0.4">
      <c r="A1059" s="17" t="s">
        <v>59</v>
      </c>
      <c r="B1059" s="15" t="s">
        <v>326</v>
      </c>
      <c r="C1059" s="16" t="s">
        <v>31</v>
      </c>
      <c r="D1059" s="16" t="s">
        <v>31</v>
      </c>
      <c r="E1059" s="15" t="s">
        <v>32</v>
      </c>
      <c r="F1059" s="15" t="s">
        <v>314</v>
      </c>
      <c r="N1059" s="21" t="s">
        <v>96</v>
      </c>
      <c r="O1059" s="21" t="s">
        <v>337</v>
      </c>
      <c r="Q1059" s="21" t="s">
        <v>344</v>
      </c>
      <c r="R1059" s="22">
        <v>45756</v>
      </c>
      <c r="W1059">
        <f>COUNTIF(SBIネオトレード証券!U:U,B1059)</f>
        <v>0</v>
      </c>
    </row>
    <row r="1060" spans="1:23" ht="24.95" hidden="1" customHeight="1" x14ac:dyDescent="0.4">
      <c r="A1060" s="17" t="s">
        <v>59</v>
      </c>
      <c r="B1060" s="15" t="s">
        <v>327</v>
      </c>
      <c r="C1060" s="16" t="s">
        <v>24</v>
      </c>
      <c r="D1060" s="16" t="s">
        <v>31</v>
      </c>
      <c r="E1060" s="15" t="s">
        <v>35</v>
      </c>
      <c r="F1060" s="15" t="s">
        <v>314</v>
      </c>
      <c r="N1060" s="21" t="s">
        <v>96</v>
      </c>
      <c r="O1060" s="21" t="s">
        <v>337</v>
      </c>
      <c r="Q1060" s="21" t="s">
        <v>344</v>
      </c>
      <c r="R1060" s="22">
        <v>45756</v>
      </c>
      <c r="W1060">
        <f>COUNTIF(SBIネオトレード証券!U:U,B1060)</f>
        <v>0</v>
      </c>
    </row>
    <row r="1061" spans="1:23" ht="24.95" hidden="1" customHeight="1" x14ac:dyDescent="0.4">
      <c r="A1061" s="17" t="s">
        <v>59</v>
      </c>
      <c r="B1061" s="15" t="s">
        <v>328</v>
      </c>
      <c r="C1061" s="16" t="s">
        <v>24</v>
      </c>
      <c r="D1061" s="16" t="s">
        <v>31</v>
      </c>
      <c r="E1061" s="15" t="s">
        <v>35</v>
      </c>
      <c r="F1061" s="15" t="s">
        <v>314</v>
      </c>
      <c r="N1061" s="21" t="s">
        <v>96</v>
      </c>
      <c r="O1061" s="21" t="s">
        <v>337</v>
      </c>
      <c r="Q1061" s="21" t="s">
        <v>344</v>
      </c>
      <c r="R1061" s="22">
        <v>45756</v>
      </c>
      <c r="W1061">
        <f>COUNTIF(SBIネオトレード証券!U:U,B1061)</f>
        <v>0</v>
      </c>
    </row>
    <row r="1062" spans="1:23" ht="24.95" hidden="1" customHeight="1" x14ac:dyDescent="0.4">
      <c r="A1062" s="17" t="s">
        <v>59</v>
      </c>
      <c r="B1062" s="15" t="s">
        <v>329</v>
      </c>
      <c r="C1062" s="16" t="s">
        <v>24</v>
      </c>
      <c r="D1062" s="16" t="s">
        <v>31</v>
      </c>
      <c r="E1062" s="15" t="s">
        <v>35</v>
      </c>
      <c r="F1062" s="15" t="s">
        <v>314</v>
      </c>
      <c r="N1062" s="21" t="s">
        <v>96</v>
      </c>
      <c r="O1062" s="21" t="s">
        <v>337</v>
      </c>
      <c r="Q1062" s="21" t="s">
        <v>344</v>
      </c>
      <c r="R1062" s="22">
        <v>45756</v>
      </c>
      <c r="W1062">
        <f>COUNTIF(SBIネオトレード証券!U:U,B1062)</f>
        <v>0</v>
      </c>
    </row>
    <row r="1063" spans="1:23" ht="24.95" hidden="1" customHeight="1" x14ac:dyDescent="0.4">
      <c r="A1063" s="17" t="s">
        <v>59</v>
      </c>
      <c r="B1063" s="15" t="s">
        <v>342</v>
      </c>
      <c r="C1063" s="16" t="s">
        <v>31</v>
      </c>
      <c r="D1063" s="16" t="s">
        <v>31</v>
      </c>
      <c r="E1063" s="15" t="s">
        <v>32</v>
      </c>
      <c r="F1063" s="15" t="s">
        <v>340</v>
      </c>
      <c r="N1063" s="21" t="s">
        <v>96</v>
      </c>
      <c r="O1063" s="21" t="s">
        <v>345</v>
      </c>
      <c r="Q1063" s="21" t="s">
        <v>344</v>
      </c>
      <c r="R1063" s="22">
        <v>45784</v>
      </c>
      <c r="W1063">
        <f>COUNTIF(SBIネオトレード証券!U:U,B1063)</f>
        <v>0</v>
      </c>
    </row>
    <row r="1064" spans="1:23" ht="24.95" hidden="1" customHeight="1" x14ac:dyDescent="0.4">
      <c r="A1064" s="17" t="s">
        <v>59</v>
      </c>
      <c r="B1064" s="15" t="s">
        <v>370</v>
      </c>
      <c r="C1064" s="16" t="s">
        <v>31</v>
      </c>
      <c r="D1064" s="16" t="s">
        <v>31</v>
      </c>
      <c r="E1064" s="15" t="s">
        <v>32</v>
      </c>
      <c r="F1064" s="15" t="s">
        <v>365</v>
      </c>
      <c r="N1064" s="21" t="s">
        <v>374</v>
      </c>
      <c r="O1064" s="21" t="s">
        <v>373</v>
      </c>
      <c r="Q1064" s="21" t="s">
        <v>344</v>
      </c>
      <c r="R1064" s="22">
        <v>45883</v>
      </c>
      <c r="W1064">
        <f>COUNTIF(SBIネオトレード証券!U:U,B1064)</f>
        <v>0</v>
      </c>
    </row>
    <row r="1065" spans="1:23" ht="24.95" hidden="1" customHeight="1" x14ac:dyDescent="0.4">
      <c r="A1065" s="17" t="s">
        <v>59</v>
      </c>
      <c r="B1065" s="15" t="s">
        <v>371</v>
      </c>
      <c r="C1065" s="16" t="s">
        <v>31</v>
      </c>
      <c r="D1065" s="16" t="s">
        <v>31</v>
      </c>
      <c r="E1065" s="15" t="s">
        <v>32</v>
      </c>
      <c r="F1065" s="15" t="s">
        <v>365</v>
      </c>
      <c r="N1065" s="21" t="s">
        <v>374</v>
      </c>
      <c r="O1065" s="21" t="s">
        <v>373</v>
      </c>
      <c r="Q1065" s="21" t="s">
        <v>344</v>
      </c>
      <c r="R1065" s="22">
        <v>45883</v>
      </c>
      <c r="W1065">
        <f>COUNTIF(SBIネオトレード証券!U:U,B1065)</f>
        <v>0</v>
      </c>
    </row>
    <row r="1066" spans="1:23" ht="24.95" hidden="1" customHeight="1" x14ac:dyDescent="0.4">
      <c r="A1066" s="17" t="s">
        <v>59</v>
      </c>
      <c r="B1066" s="15" t="s">
        <v>38</v>
      </c>
      <c r="C1066" s="16" t="s">
        <v>31</v>
      </c>
      <c r="D1066" s="16" t="s">
        <v>31</v>
      </c>
      <c r="E1066" s="15" t="s">
        <v>32</v>
      </c>
      <c r="F1066" s="15" t="s">
        <v>139</v>
      </c>
      <c r="G1066" s="25" t="s">
        <v>147</v>
      </c>
      <c r="N1066" s="21" t="s">
        <v>96</v>
      </c>
      <c r="O1066" s="13" t="s">
        <v>353</v>
      </c>
      <c r="Q1066" s="21" t="s">
        <v>344</v>
      </c>
      <c r="R1066" s="22">
        <v>45814</v>
      </c>
      <c r="W1066">
        <f>COUNTIF(SBIネオトレード証券!U:U,B1066)</f>
        <v>0</v>
      </c>
    </row>
    <row r="1067" spans="1:23" ht="24.95" hidden="1" customHeight="1" x14ac:dyDescent="0.4">
      <c r="A1067" s="17" t="s">
        <v>59</v>
      </c>
      <c r="B1067" s="15" t="s">
        <v>119</v>
      </c>
      <c r="C1067" s="16" t="s">
        <v>31</v>
      </c>
      <c r="D1067" s="16" t="s">
        <v>31</v>
      </c>
      <c r="E1067" s="15" t="s">
        <v>32</v>
      </c>
      <c r="F1067" s="15" t="s">
        <v>365</v>
      </c>
      <c r="N1067" s="21" t="s">
        <v>374</v>
      </c>
      <c r="O1067" s="21" t="s">
        <v>375</v>
      </c>
      <c r="Q1067" s="21" t="s">
        <v>344</v>
      </c>
      <c r="R1067" s="22">
        <v>45883</v>
      </c>
      <c r="W1067">
        <f>COUNTIF(SBIネオトレード証券!U:U,B1067)</f>
        <v>0</v>
      </c>
    </row>
    <row r="1068" spans="1:23" ht="24.95" hidden="1" customHeight="1" x14ac:dyDescent="0.4">
      <c r="A1068" s="17" t="s">
        <v>59</v>
      </c>
      <c r="B1068" s="15" t="s">
        <v>120</v>
      </c>
      <c r="C1068" s="16" t="s">
        <v>31</v>
      </c>
      <c r="D1068" s="16" t="s">
        <v>31</v>
      </c>
      <c r="E1068" s="15" t="s">
        <v>32</v>
      </c>
      <c r="F1068" s="15" t="s">
        <v>221</v>
      </c>
      <c r="N1068" s="21" t="s">
        <v>96</v>
      </c>
      <c r="O1068" s="21" t="s">
        <v>338</v>
      </c>
      <c r="Q1068" s="21" t="s">
        <v>344</v>
      </c>
      <c r="R1068" s="22">
        <v>45756</v>
      </c>
      <c r="W1068">
        <f>COUNTIF(SBIネオトレード証券!U:U,B1068)</f>
        <v>0</v>
      </c>
    </row>
    <row r="1069" spans="1:23" ht="24.95" hidden="1" customHeight="1" x14ac:dyDescent="0.4">
      <c r="A1069" s="17" t="s">
        <v>59</v>
      </c>
      <c r="B1069" s="15" t="s">
        <v>39</v>
      </c>
      <c r="C1069" s="16" t="s">
        <v>31</v>
      </c>
      <c r="D1069" s="16" t="s">
        <v>31</v>
      </c>
      <c r="E1069" s="15" t="s">
        <v>32</v>
      </c>
      <c r="F1069" s="15" t="s">
        <v>139</v>
      </c>
      <c r="G1069" s="25" t="s">
        <v>147</v>
      </c>
      <c r="H1069" s="24" t="s">
        <v>146</v>
      </c>
      <c r="I1069" s="24" t="s">
        <v>153</v>
      </c>
      <c r="J1069" s="24" t="s">
        <v>152</v>
      </c>
      <c r="N1069" s="21" t="s">
        <v>96</v>
      </c>
      <c r="O1069" s="21" t="s">
        <v>348</v>
      </c>
      <c r="Q1069" s="21" t="s">
        <v>344</v>
      </c>
      <c r="R1069" s="22">
        <v>45814</v>
      </c>
      <c r="W1069">
        <f>COUNTIF(SBIネオトレード証券!U:U,B1069)</f>
        <v>0</v>
      </c>
    </row>
    <row r="1070" spans="1:23" ht="24.95" hidden="1" customHeight="1" x14ac:dyDescent="0.4">
      <c r="A1070" s="17" t="s">
        <v>59</v>
      </c>
      <c r="B1070" s="15" t="s">
        <v>220</v>
      </c>
      <c r="C1070" s="16" t="s">
        <v>31</v>
      </c>
      <c r="D1070" s="16" t="s">
        <v>31</v>
      </c>
      <c r="E1070" s="15" t="s">
        <v>32</v>
      </c>
      <c r="F1070" s="15" t="s">
        <v>221</v>
      </c>
      <c r="N1070" s="21" t="s">
        <v>96</v>
      </c>
      <c r="O1070" s="21" t="s">
        <v>338</v>
      </c>
      <c r="Q1070" s="21" t="s">
        <v>344</v>
      </c>
      <c r="R1070" s="22">
        <v>45814</v>
      </c>
      <c r="W1070">
        <f>COUNTIF(SBIネオトレード証券!U:U,B1070)</f>
        <v>0</v>
      </c>
    </row>
    <row r="1071" spans="1:23" ht="24.95" hidden="1" customHeight="1" x14ac:dyDescent="0.4">
      <c r="A1071" s="17" t="s">
        <v>59</v>
      </c>
      <c r="B1071" s="15" t="s">
        <v>111</v>
      </c>
      <c r="C1071" s="16" t="s">
        <v>31</v>
      </c>
      <c r="D1071" s="16" t="s">
        <v>31</v>
      </c>
      <c r="E1071" s="15" t="s">
        <v>32</v>
      </c>
      <c r="F1071" s="15" t="s">
        <v>221</v>
      </c>
      <c r="N1071" s="21" t="s">
        <v>96</v>
      </c>
      <c r="O1071" s="21" t="s">
        <v>338</v>
      </c>
      <c r="Q1071" s="21" t="s">
        <v>344</v>
      </c>
      <c r="R1071" s="22">
        <v>45756</v>
      </c>
      <c r="W1071">
        <f>COUNTIF(SBIネオトレード証券!U:U,B1071)</f>
        <v>0</v>
      </c>
    </row>
    <row r="1072" spans="1:23" ht="24.95" hidden="1" customHeight="1" x14ac:dyDescent="0.4">
      <c r="A1072" s="17" t="s">
        <v>59</v>
      </c>
      <c r="B1072" s="15" t="s">
        <v>42</v>
      </c>
      <c r="C1072" s="16" t="s">
        <v>31</v>
      </c>
      <c r="D1072" s="16" t="s">
        <v>31</v>
      </c>
      <c r="E1072" s="15" t="s">
        <v>32</v>
      </c>
      <c r="F1072" s="15" t="s">
        <v>129</v>
      </c>
      <c r="G1072" s="25" t="s">
        <v>147</v>
      </c>
      <c r="H1072" s="24" t="s">
        <v>148</v>
      </c>
      <c r="I1072" s="24" t="s">
        <v>153</v>
      </c>
      <c r="J1072" s="24" t="s">
        <v>152</v>
      </c>
      <c r="N1072" s="21" t="s">
        <v>96</v>
      </c>
      <c r="O1072" s="13" t="s">
        <v>352</v>
      </c>
      <c r="Q1072" s="21" t="s">
        <v>344</v>
      </c>
      <c r="R1072" s="22">
        <v>45814</v>
      </c>
      <c r="W1072">
        <f>COUNTIF(SBIネオトレード証券!U:U,B1072)</f>
        <v>0</v>
      </c>
    </row>
    <row r="1073" spans="1:23" ht="24.95" hidden="1" customHeight="1" x14ac:dyDescent="0.4">
      <c r="A1073" s="17" t="s">
        <v>59</v>
      </c>
      <c r="B1073" s="15" t="s">
        <v>330</v>
      </c>
      <c r="C1073" s="16" t="s">
        <v>31</v>
      </c>
      <c r="D1073" s="16" t="s">
        <v>31</v>
      </c>
      <c r="E1073" s="15" t="s">
        <v>32</v>
      </c>
      <c r="F1073" s="15" t="s">
        <v>314</v>
      </c>
      <c r="N1073" s="21" t="s">
        <v>96</v>
      </c>
      <c r="O1073" s="21" t="s">
        <v>338</v>
      </c>
      <c r="Q1073" s="21" t="s">
        <v>344</v>
      </c>
      <c r="R1073" s="22">
        <v>45756</v>
      </c>
      <c r="W1073">
        <f>COUNTIF(SBIネオトレード証券!U:U,B1073)</f>
        <v>0</v>
      </c>
    </row>
    <row r="1074" spans="1:23" ht="24.95" hidden="1" customHeight="1" x14ac:dyDescent="0.4">
      <c r="A1074" s="17" t="s">
        <v>59</v>
      </c>
      <c r="B1074" s="15" t="s">
        <v>343</v>
      </c>
      <c r="C1074" s="16" t="s">
        <v>31</v>
      </c>
      <c r="D1074" s="16" t="s">
        <v>31</v>
      </c>
      <c r="E1074" s="15" t="s">
        <v>32</v>
      </c>
      <c r="F1074" s="15" t="s">
        <v>340</v>
      </c>
      <c r="N1074" s="21" t="s">
        <v>96</v>
      </c>
      <c r="O1074" s="21" t="s">
        <v>345</v>
      </c>
      <c r="Q1074" s="21" t="s">
        <v>344</v>
      </c>
      <c r="R1074" s="22">
        <v>45784</v>
      </c>
      <c r="W1074">
        <f>COUNTIF(SBIネオトレード証券!U:U,B1074)</f>
        <v>0</v>
      </c>
    </row>
    <row r="1075" spans="1:23" ht="24.95" hidden="1" customHeight="1" x14ac:dyDescent="0.4">
      <c r="A1075" s="17" t="s">
        <v>59</v>
      </c>
      <c r="B1075" s="15" t="s">
        <v>44</v>
      </c>
      <c r="C1075" s="16" t="s">
        <v>31</v>
      </c>
      <c r="D1075" s="16" t="s">
        <v>31</v>
      </c>
      <c r="E1075" s="15" t="s">
        <v>32</v>
      </c>
      <c r="F1075" s="15" t="s">
        <v>221</v>
      </c>
      <c r="N1075" s="21" t="s">
        <v>96</v>
      </c>
      <c r="O1075" s="13" t="s">
        <v>359</v>
      </c>
      <c r="Q1075" s="21" t="s">
        <v>344</v>
      </c>
      <c r="R1075" s="22">
        <v>45814</v>
      </c>
      <c r="W1075">
        <f>COUNTIF(SBIネオトレード証券!U:U,B1075)</f>
        <v>0</v>
      </c>
    </row>
    <row r="1076" spans="1:23" ht="24.95" hidden="1" customHeight="1" x14ac:dyDescent="0.4">
      <c r="A1076" s="17" t="s">
        <v>59</v>
      </c>
      <c r="B1076" s="15" t="s">
        <v>45</v>
      </c>
      <c r="C1076" s="16" t="s">
        <v>31</v>
      </c>
      <c r="D1076" s="16" t="s">
        <v>31</v>
      </c>
      <c r="E1076" s="15" t="s">
        <v>32</v>
      </c>
      <c r="F1076" s="15" t="s">
        <v>314</v>
      </c>
      <c r="N1076" s="21" t="s">
        <v>96</v>
      </c>
      <c r="O1076" s="21" t="s">
        <v>338</v>
      </c>
      <c r="Q1076" s="21" t="s">
        <v>344</v>
      </c>
      <c r="R1076" s="22">
        <v>45756</v>
      </c>
      <c r="W1076">
        <f>COUNTIF(SBIネオトレード証券!U:U,B1076)</f>
        <v>0</v>
      </c>
    </row>
    <row r="1077" spans="1:23" ht="24.95" customHeight="1" x14ac:dyDescent="0.4">
      <c r="A1077" s="17" t="s">
        <v>59</v>
      </c>
      <c r="B1077" s="50" t="s">
        <v>469</v>
      </c>
      <c r="C1077" s="16" t="s">
        <v>31</v>
      </c>
      <c r="D1077" s="16" t="s">
        <v>31</v>
      </c>
      <c r="E1077" s="15" t="s">
        <v>32</v>
      </c>
      <c r="F1077" s="15" t="s">
        <v>365</v>
      </c>
      <c r="N1077" s="21" t="s">
        <v>374</v>
      </c>
      <c r="O1077" s="13" t="s">
        <v>468</v>
      </c>
      <c r="Q1077" s="21" t="s">
        <v>344</v>
      </c>
      <c r="R1077" s="22">
        <v>45883</v>
      </c>
      <c r="W1077">
        <f>COUNTIF(SBIネオトレード証券!U:U,B1077)</f>
        <v>0</v>
      </c>
    </row>
    <row r="1078" spans="1:23" ht="24.95" hidden="1" customHeight="1" x14ac:dyDescent="0.4">
      <c r="A1078" s="17" t="s">
        <v>61</v>
      </c>
      <c r="B1078" s="15" t="s">
        <v>115</v>
      </c>
      <c r="C1078" s="16" t="s">
        <v>31</v>
      </c>
      <c r="D1078" s="16" t="s">
        <v>31</v>
      </c>
      <c r="E1078" s="15" t="s">
        <v>32</v>
      </c>
      <c r="F1078" s="15" t="s">
        <v>184</v>
      </c>
      <c r="N1078" s="21" t="s">
        <v>96</v>
      </c>
      <c r="O1078" s="21" t="s">
        <v>337</v>
      </c>
      <c r="Q1078" s="21" t="s">
        <v>344</v>
      </c>
      <c r="R1078" s="22">
        <v>45814</v>
      </c>
      <c r="W1078">
        <f>COUNTIF(SBIネオトレード証券!U:U,B1078)</f>
        <v>0</v>
      </c>
    </row>
    <row r="1079" spans="1:23" ht="24.95" hidden="1" customHeight="1" x14ac:dyDescent="0.4">
      <c r="A1079" s="17" t="s">
        <v>61</v>
      </c>
      <c r="B1079" s="15" t="s">
        <v>313</v>
      </c>
      <c r="C1079" s="16" t="s">
        <v>24</v>
      </c>
      <c r="D1079" s="16" t="s">
        <v>31</v>
      </c>
      <c r="E1079" s="15" t="s">
        <v>35</v>
      </c>
      <c r="F1079" s="15" t="s">
        <v>314</v>
      </c>
      <c r="N1079" s="21" t="s">
        <v>96</v>
      </c>
      <c r="O1079" s="21" t="s">
        <v>337</v>
      </c>
      <c r="Q1079" s="21" t="s">
        <v>344</v>
      </c>
      <c r="R1079" s="22">
        <v>45756</v>
      </c>
      <c r="W1079">
        <f>COUNTIF(SBIネオトレード証券!U:U,B1079)</f>
        <v>0</v>
      </c>
    </row>
    <row r="1080" spans="1:23" ht="24.95" hidden="1" customHeight="1" x14ac:dyDescent="0.4">
      <c r="A1080" s="17" t="s">
        <v>61</v>
      </c>
      <c r="B1080" s="15" t="s">
        <v>315</v>
      </c>
      <c r="C1080" s="16" t="s">
        <v>24</v>
      </c>
      <c r="D1080" s="16" t="s">
        <v>31</v>
      </c>
      <c r="E1080" s="15" t="s">
        <v>35</v>
      </c>
      <c r="F1080" s="15" t="s">
        <v>314</v>
      </c>
      <c r="N1080" s="21" t="s">
        <v>96</v>
      </c>
      <c r="O1080" s="21" t="s">
        <v>337</v>
      </c>
      <c r="Q1080" s="21" t="s">
        <v>344</v>
      </c>
      <c r="R1080" s="22">
        <v>45756</v>
      </c>
      <c r="W1080">
        <f>COUNTIF(SBIネオトレード証券!U:U,B1080)</f>
        <v>0</v>
      </c>
    </row>
    <row r="1081" spans="1:23" ht="24.95" hidden="1" customHeight="1" x14ac:dyDescent="0.4">
      <c r="A1081" s="17" t="s">
        <v>61</v>
      </c>
      <c r="B1081" s="15" t="s">
        <v>316</v>
      </c>
      <c r="C1081" s="16" t="s">
        <v>24</v>
      </c>
      <c r="D1081" s="16" t="s">
        <v>31</v>
      </c>
      <c r="E1081" s="15" t="s">
        <v>35</v>
      </c>
      <c r="F1081" s="15" t="s">
        <v>314</v>
      </c>
      <c r="N1081" s="21" t="s">
        <v>96</v>
      </c>
      <c r="O1081" s="21" t="s">
        <v>337</v>
      </c>
      <c r="Q1081" s="21" t="s">
        <v>344</v>
      </c>
      <c r="R1081" s="22">
        <v>45756</v>
      </c>
      <c r="W1081">
        <f>COUNTIF(SBIネオトレード証券!U:U,B1081)</f>
        <v>0</v>
      </c>
    </row>
    <row r="1082" spans="1:23" ht="24.95" hidden="1" customHeight="1" x14ac:dyDescent="0.4">
      <c r="A1082" s="17" t="s">
        <v>61</v>
      </c>
      <c r="B1082" s="15" t="s">
        <v>317</v>
      </c>
      <c r="C1082" s="16" t="s">
        <v>24</v>
      </c>
      <c r="D1082" s="16" t="s">
        <v>31</v>
      </c>
      <c r="E1082" s="15" t="s">
        <v>35</v>
      </c>
      <c r="F1082" s="15" t="s">
        <v>314</v>
      </c>
      <c r="N1082" s="21" t="s">
        <v>96</v>
      </c>
      <c r="O1082" s="21" t="s">
        <v>337</v>
      </c>
      <c r="Q1082" s="21" t="s">
        <v>344</v>
      </c>
      <c r="R1082" s="22">
        <v>45756</v>
      </c>
      <c r="W1082">
        <f>COUNTIF(SBIネオトレード証券!U:U,B1082)</f>
        <v>0</v>
      </c>
    </row>
    <row r="1083" spans="1:23" ht="24.95" hidden="1" customHeight="1" x14ac:dyDescent="0.4">
      <c r="A1083" s="17" t="s">
        <v>61</v>
      </c>
      <c r="B1083" s="50" t="s">
        <v>364</v>
      </c>
      <c r="C1083" s="16" t="s">
        <v>24</v>
      </c>
      <c r="D1083" s="16" t="s">
        <v>31</v>
      </c>
      <c r="E1083" s="15" t="s">
        <v>35</v>
      </c>
      <c r="F1083" s="15" t="s">
        <v>365</v>
      </c>
      <c r="N1083" s="21" t="s">
        <v>96</v>
      </c>
      <c r="O1083" s="21" t="s">
        <v>372</v>
      </c>
      <c r="Q1083" s="21" t="s">
        <v>344</v>
      </c>
      <c r="R1083" s="22">
        <v>45883</v>
      </c>
      <c r="W1083">
        <f>COUNTIF(SBIネオトレード証券!U:U,B1083)</f>
        <v>0</v>
      </c>
    </row>
    <row r="1084" spans="1:23" ht="24.95" hidden="1" customHeight="1" x14ac:dyDescent="0.4">
      <c r="A1084" s="17" t="s">
        <v>61</v>
      </c>
      <c r="B1084" s="15" t="s">
        <v>123</v>
      </c>
      <c r="C1084" s="16" t="s">
        <v>31</v>
      </c>
      <c r="D1084" s="16" t="s">
        <v>31</v>
      </c>
      <c r="E1084" s="15" t="s">
        <v>32</v>
      </c>
      <c r="F1084" s="15" t="s">
        <v>184</v>
      </c>
      <c r="N1084" s="21" t="s">
        <v>96</v>
      </c>
      <c r="O1084" s="21" t="s">
        <v>337</v>
      </c>
      <c r="Q1084" s="21" t="s">
        <v>344</v>
      </c>
      <c r="R1084" s="22">
        <v>45814</v>
      </c>
      <c r="W1084">
        <f>COUNTIF(SBIネオトレード証券!U:U,B1084)</f>
        <v>0</v>
      </c>
    </row>
    <row r="1085" spans="1:23" ht="24.95" hidden="1" customHeight="1" x14ac:dyDescent="0.4">
      <c r="A1085" s="17" t="s">
        <v>61</v>
      </c>
      <c r="B1085" s="15" t="s">
        <v>37</v>
      </c>
      <c r="C1085" s="16" t="s">
        <v>31</v>
      </c>
      <c r="D1085" s="16" t="s">
        <v>31</v>
      </c>
      <c r="E1085" s="15" t="s">
        <v>32</v>
      </c>
      <c r="F1085" s="15" t="s">
        <v>212</v>
      </c>
      <c r="N1085" s="21" t="s">
        <v>96</v>
      </c>
      <c r="O1085" s="21" t="s">
        <v>337</v>
      </c>
      <c r="Q1085" s="21" t="s">
        <v>344</v>
      </c>
      <c r="R1085" s="22">
        <v>45814</v>
      </c>
      <c r="W1085">
        <f>COUNTIF(SBIネオトレード証券!U:U,B1085)</f>
        <v>0</v>
      </c>
    </row>
    <row r="1086" spans="1:23" ht="24.95" hidden="1" customHeight="1" x14ac:dyDescent="0.4">
      <c r="A1086" s="17" t="s">
        <v>61</v>
      </c>
      <c r="B1086" s="15" t="s">
        <v>126</v>
      </c>
      <c r="C1086" s="16" t="s">
        <v>31</v>
      </c>
      <c r="D1086" s="16" t="s">
        <v>31</v>
      </c>
      <c r="E1086" s="15" t="s">
        <v>32</v>
      </c>
      <c r="F1086" s="15" t="s">
        <v>365</v>
      </c>
      <c r="N1086" s="21" t="s">
        <v>374</v>
      </c>
      <c r="O1086" s="21" t="s">
        <v>373</v>
      </c>
      <c r="Q1086" s="21" t="s">
        <v>344</v>
      </c>
      <c r="R1086" s="22">
        <v>45883</v>
      </c>
      <c r="W1086">
        <f>COUNTIF(SBIネオトレード証券!U:U,B1086)</f>
        <v>0</v>
      </c>
    </row>
    <row r="1087" spans="1:23" ht="24.95" hidden="1" customHeight="1" x14ac:dyDescent="0.4">
      <c r="A1087" s="17" t="s">
        <v>61</v>
      </c>
      <c r="B1087" s="15" t="s">
        <v>318</v>
      </c>
      <c r="C1087" s="16" t="s">
        <v>31</v>
      </c>
      <c r="D1087" s="16" t="s">
        <v>31</v>
      </c>
      <c r="E1087" s="15" t="s">
        <v>32</v>
      </c>
      <c r="F1087" s="15" t="s">
        <v>314</v>
      </c>
      <c r="N1087" s="21" t="s">
        <v>96</v>
      </c>
      <c r="O1087" s="21" t="s">
        <v>337</v>
      </c>
      <c r="Q1087" s="21" t="s">
        <v>344</v>
      </c>
      <c r="R1087" s="22">
        <v>45756</v>
      </c>
      <c r="W1087">
        <f>COUNTIF(SBIネオトレード証券!U:U,B1087)</f>
        <v>0</v>
      </c>
    </row>
    <row r="1088" spans="1:23" ht="24.95" hidden="1" customHeight="1" x14ac:dyDescent="0.4">
      <c r="A1088" s="17" t="s">
        <v>61</v>
      </c>
      <c r="B1088" s="15" t="s">
        <v>118</v>
      </c>
      <c r="C1088" s="16" t="s">
        <v>31</v>
      </c>
      <c r="D1088" s="16" t="s">
        <v>31</v>
      </c>
      <c r="E1088" s="15" t="s">
        <v>32</v>
      </c>
      <c r="F1088" s="15" t="s">
        <v>314</v>
      </c>
      <c r="N1088" s="21" t="s">
        <v>96</v>
      </c>
      <c r="O1088" s="21" t="s">
        <v>337</v>
      </c>
      <c r="Q1088" s="21" t="s">
        <v>344</v>
      </c>
      <c r="R1088" s="22">
        <v>45756</v>
      </c>
      <c r="W1088">
        <f>COUNTIF(SBIネオトレード証券!U:U,B1088)</f>
        <v>0</v>
      </c>
    </row>
    <row r="1089" spans="1:23" ht="24.95" hidden="1" customHeight="1" x14ac:dyDescent="0.4">
      <c r="A1089" s="17" t="s">
        <v>61</v>
      </c>
      <c r="B1089" s="15" t="s">
        <v>319</v>
      </c>
      <c r="C1089" s="16" t="s">
        <v>31</v>
      </c>
      <c r="D1089" s="16" t="s">
        <v>31</v>
      </c>
      <c r="E1089" s="15" t="s">
        <v>32</v>
      </c>
      <c r="F1089" s="15" t="s">
        <v>314</v>
      </c>
      <c r="N1089" s="21" t="s">
        <v>96</v>
      </c>
      <c r="O1089" s="21" t="s">
        <v>337</v>
      </c>
      <c r="Q1089" s="21" t="s">
        <v>344</v>
      </c>
      <c r="R1089" s="22">
        <v>45756</v>
      </c>
      <c r="W1089">
        <f>COUNTIF(SBIネオトレード証券!U:U,B1089)</f>
        <v>0</v>
      </c>
    </row>
    <row r="1090" spans="1:23" ht="24.95" hidden="1" customHeight="1" x14ac:dyDescent="0.4">
      <c r="A1090" s="17" t="s">
        <v>61</v>
      </c>
      <c r="B1090" s="15" t="s">
        <v>320</v>
      </c>
      <c r="C1090" s="16" t="s">
        <v>31</v>
      </c>
      <c r="D1090" s="16" t="s">
        <v>31</v>
      </c>
      <c r="E1090" s="15" t="s">
        <v>32</v>
      </c>
      <c r="F1090" s="15" t="s">
        <v>314</v>
      </c>
      <c r="N1090" s="21" t="s">
        <v>96</v>
      </c>
      <c r="O1090" s="21" t="s">
        <v>337</v>
      </c>
      <c r="Q1090" s="21" t="s">
        <v>344</v>
      </c>
      <c r="R1090" s="22">
        <v>45756</v>
      </c>
      <c r="W1090">
        <f>COUNTIF(SBIネオトレード証券!U:U,B1090)</f>
        <v>0</v>
      </c>
    </row>
    <row r="1091" spans="1:23" ht="24.95" hidden="1" customHeight="1" x14ac:dyDescent="0.4">
      <c r="A1091" s="17" t="s">
        <v>61</v>
      </c>
      <c r="B1091" s="15" t="s">
        <v>132</v>
      </c>
      <c r="C1091" s="16" t="s">
        <v>31</v>
      </c>
      <c r="D1091" s="16" t="s">
        <v>31</v>
      </c>
      <c r="E1091" s="15" t="s">
        <v>32</v>
      </c>
      <c r="F1091" s="15" t="s">
        <v>314</v>
      </c>
      <c r="N1091" s="21" t="s">
        <v>96</v>
      </c>
      <c r="O1091" s="21" t="s">
        <v>337</v>
      </c>
      <c r="Q1091" s="21" t="s">
        <v>344</v>
      </c>
      <c r="R1091" s="22">
        <v>45756</v>
      </c>
      <c r="W1091">
        <f>COUNTIF(SBIネオトレード証券!U:U,B1091)</f>
        <v>0</v>
      </c>
    </row>
    <row r="1092" spans="1:23" ht="24.95" hidden="1" customHeight="1" x14ac:dyDescent="0.4">
      <c r="A1092" s="17" t="s">
        <v>61</v>
      </c>
      <c r="B1092" s="15" t="s">
        <v>321</v>
      </c>
      <c r="C1092" s="16" t="s">
        <v>24</v>
      </c>
      <c r="D1092" s="16" t="s">
        <v>31</v>
      </c>
      <c r="E1092" s="15" t="s">
        <v>35</v>
      </c>
      <c r="F1092" s="15" t="s">
        <v>314</v>
      </c>
      <c r="N1092" s="21" t="s">
        <v>96</v>
      </c>
      <c r="O1092" s="21" t="s">
        <v>337</v>
      </c>
      <c r="Q1092" s="21" t="s">
        <v>344</v>
      </c>
      <c r="R1092" s="22">
        <v>45756</v>
      </c>
      <c r="W1092">
        <f>COUNTIF(SBIネオトレード証券!U:U,B1092)</f>
        <v>0</v>
      </c>
    </row>
    <row r="1093" spans="1:23" ht="24.95" hidden="1" customHeight="1" x14ac:dyDescent="0.4">
      <c r="A1093" s="17" t="s">
        <v>61</v>
      </c>
      <c r="B1093" s="15" t="s">
        <v>322</v>
      </c>
      <c r="C1093" s="16" t="s">
        <v>24</v>
      </c>
      <c r="D1093" s="16" t="s">
        <v>31</v>
      </c>
      <c r="E1093" s="15" t="s">
        <v>35</v>
      </c>
      <c r="F1093" s="15" t="s">
        <v>314</v>
      </c>
      <c r="N1093" s="21" t="s">
        <v>96</v>
      </c>
      <c r="O1093" s="21" t="s">
        <v>337</v>
      </c>
      <c r="Q1093" s="21" t="s">
        <v>344</v>
      </c>
      <c r="R1093" s="22">
        <v>45756</v>
      </c>
      <c r="W1093">
        <f>COUNTIF(SBIネオトレード証券!U:U,B1093)</f>
        <v>0</v>
      </c>
    </row>
    <row r="1094" spans="1:23" ht="24.95" hidden="1" customHeight="1" x14ac:dyDescent="0.4">
      <c r="A1094" s="17" t="s">
        <v>61</v>
      </c>
      <c r="B1094" s="15" t="s">
        <v>323</v>
      </c>
      <c r="C1094" s="16" t="s">
        <v>24</v>
      </c>
      <c r="D1094" s="16" t="s">
        <v>31</v>
      </c>
      <c r="E1094" s="15" t="s">
        <v>35</v>
      </c>
      <c r="F1094" s="15" t="s">
        <v>314</v>
      </c>
      <c r="N1094" s="21" t="s">
        <v>96</v>
      </c>
      <c r="O1094" s="21" t="s">
        <v>337</v>
      </c>
      <c r="Q1094" s="21" t="s">
        <v>344</v>
      </c>
      <c r="R1094" s="22">
        <v>45756</v>
      </c>
      <c r="W1094">
        <f>COUNTIF(SBIネオトレード証券!U:U,B1094)</f>
        <v>0</v>
      </c>
    </row>
    <row r="1095" spans="1:23" ht="24.95" hidden="1" customHeight="1" x14ac:dyDescent="0.4">
      <c r="A1095" s="17" t="s">
        <v>61</v>
      </c>
      <c r="B1095" s="15" t="s">
        <v>341</v>
      </c>
      <c r="C1095" s="16" t="s">
        <v>31</v>
      </c>
      <c r="D1095" s="16" t="s">
        <v>31</v>
      </c>
      <c r="E1095" s="15" t="s">
        <v>32</v>
      </c>
      <c r="F1095" s="15" t="s">
        <v>340</v>
      </c>
      <c r="N1095" s="21" t="s">
        <v>96</v>
      </c>
      <c r="O1095" s="21" t="s">
        <v>345</v>
      </c>
      <c r="Q1095" s="21" t="s">
        <v>344</v>
      </c>
      <c r="R1095" s="22">
        <v>45784</v>
      </c>
      <c r="W1095">
        <f>COUNTIF(SBIネオトレード証券!U:U,B1095)</f>
        <v>0</v>
      </c>
    </row>
    <row r="1096" spans="1:23" ht="24.95" hidden="1" customHeight="1" x14ac:dyDescent="0.4">
      <c r="A1096" s="17" t="s">
        <v>61</v>
      </c>
      <c r="B1096" s="15" t="s">
        <v>366</v>
      </c>
      <c r="C1096" s="16" t="s">
        <v>31</v>
      </c>
      <c r="D1096" s="16" t="s">
        <v>31</v>
      </c>
      <c r="E1096" s="15" t="s">
        <v>32</v>
      </c>
      <c r="F1096" s="15" t="s">
        <v>365</v>
      </c>
      <c r="N1096" s="21" t="s">
        <v>374</v>
      </c>
      <c r="O1096" s="21" t="s">
        <v>373</v>
      </c>
      <c r="Q1096" s="21" t="s">
        <v>344</v>
      </c>
      <c r="R1096" s="22">
        <v>45883</v>
      </c>
      <c r="W1096">
        <f>COUNTIF(SBIネオトレード証券!U:U,B1096)</f>
        <v>0</v>
      </c>
    </row>
    <row r="1097" spans="1:23" ht="24.95" hidden="1" customHeight="1" x14ac:dyDescent="0.4">
      <c r="A1097" s="17" t="s">
        <v>61</v>
      </c>
      <c r="B1097" s="15" t="s">
        <v>367</v>
      </c>
      <c r="C1097" s="16" t="s">
        <v>31</v>
      </c>
      <c r="D1097" s="16" t="s">
        <v>31</v>
      </c>
      <c r="E1097" s="15" t="s">
        <v>32</v>
      </c>
      <c r="F1097" s="15" t="s">
        <v>365</v>
      </c>
      <c r="N1097" s="21" t="s">
        <v>374</v>
      </c>
      <c r="O1097" s="21" t="s">
        <v>373</v>
      </c>
      <c r="Q1097" s="21" t="s">
        <v>344</v>
      </c>
      <c r="R1097" s="22">
        <v>45883</v>
      </c>
      <c r="W1097">
        <f>COUNTIF(SBIネオトレード証券!U:U,B1097)</f>
        <v>0</v>
      </c>
    </row>
    <row r="1098" spans="1:23" ht="24.95" hidden="1" customHeight="1" x14ac:dyDescent="0.4">
      <c r="A1098" s="17" t="s">
        <v>61</v>
      </c>
      <c r="B1098" s="15" t="s">
        <v>324</v>
      </c>
      <c r="C1098" s="16" t="s">
        <v>31</v>
      </c>
      <c r="D1098" s="16" t="s">
        <v>31</v>
      </c>
      <c r="E1098" s="15" t="s">
        <v>32</v>
      </c>
      <c r="F1098" s="15" t="s">
        <v>314</v>
      </c>
      <c r="N1098" s="21" t="s">
        <v>96</v>
      </c>
      <c r="O1098" s="21" t="s">
        <v>337</v>
      </c>
      <c r="Q1098" s="21" t="s">
        <v>344</v>
      </c>
      <c r="R1098" s="22">
        <v>45756</v>
      </c>
      <c r="W1098">
        <f>COUNTIF(SBIネオトレード証券!U:U,B1098)</f>
        <v>0</v>
      </c>
    </row>
    <row r="1099" spans="1:23" ht="24.95" hidden="1" customHeight="1" x14ac:dyDescent="0.4">
      <c r="A1099" s="17" t="s">
        <v>61</v>
      </c>
      <c r="B1099" s="50" t="s">
        <v>368</v>
      </c>
      <c r="C1099" s="16" t="s">
        <v>31</v>
      </c>
      <c r="D1099" s="16" t="s">
        <v>31</v>
      </c>
      <c r="E1099" s="15" t="s">
        <v>32</v>
      </c>
      <c r="F1099" s="15" t="s">
        <v>365</v>
      </c>
      <c r="N1099" s="21" t="s">
        <v>96</v>
      </c>
      <c r="O1099" s="21" t="s">
        <v>372</v>
      </c>
      <c r="Q1099" s="21" t="s">
        <v>344</v>
      </c>
      <c r="R1099" s="22">
        <v>45883</v>
      </c>
      <c r="W1099">
        <f>COUNTIF(SBIネオトレード証券!U:U,B1099)</f>
        <v>0</v>
      </c>
    </row>
    <row r="1100" spans="1:23" ht="24.95" hidden="1" customHeight="1" x14ac:dyDescent="0.4">
      <c r="A1100" s="17" t="s">
        <v>61</v>
      </c>
      <c r="B1100" s="50" t="s">
        <v>369</v>
      </c>
      <c r="C1100" s="16" t="s">
        <v>24</v>
      </c>
      <c r="D1100" s="16" t="s">
        <v>31</v>
      </c>
      <c r="E1100" s="15" t="s">
        <v>35</v>
      </c>
      <c r="F1100" s="15" t="s">
        <v>365</v>
      </c>
      <c r="N1100" s="21" t="s">
        <v>96</v>
      </c>
      <c r="O1100" s="21" t="s">
        <v>372</v>
      </c>
      <c r="Q1100" s="21" t="s">
        <v>344</v>
      </c>
      <c r="R1100" s="22">
        <v>45883</v>
      </c>
      <c r="W1100">
        <f>COUNTIF(SBIネオトレード証券!U:U,B1100)</f>
        <v>0</v>
      </c>
    </row>
    <row r="1101" spans="1:23" ht="24.95" hidden="1" customHeight="1" x14ac:dyDescent="0.4">
      <c r="A1101" s="17" t="s">
        <v>61</v>
      </c>
      <c r="B1101" s="15" t="s">
        <v>325</v>
      </c>
      <c r="C1101" s="16" t="s">
        <v>24</v>
      </c>
      <c r="D1101" s="16" t="s">
        <v>31</v>
      </c>
      <c r="E1101" s="15" t="s">
        <v>35</v>
      </c>
      <c r="F1101" s="15" t="s">
        <v>314</v>
      </c>
      <c r="N1101" s="21" t="s">
        <v>96</v>
      </c>
      <c r="O1101" s="21" t="s">
        <v>337</v>
      </c>
      <c r="Q1101" s="21" t="s">
        <v>344</v>
      </c>
      <c r="R1101" s="22">
        <v>45756</v>
      </c>
      <c r="W1101">
        <f>COUNTIF(SBIネオトレード証券!U:U,B1101)</f>
        <v>0</v>
      </c>
    </row>
    <row r="1102" spans="1:23" ht="24.95" hidden="1" customHeight="1" x14ac:dyDescent="0.4">
      <c r="A1102" s="17" t="s">
        <v>61</v>
      </c>
      <c r="B1102" s="15" t="s">
        <v>326</v>
      </c>
      <c r="C1102" s="16" t="s">
        <v>31</v>
      </c>
      <c r="D1102" s="16" t="s">
        <v>31</v>
      </c>
      <c r="E1102" s="15" t="s">
        <v>32</v>
      </c>
      <c r="F1102" s="15" t="s">
        <v>314</v>
      </c>
      <c r="N1102" s="21" t="s">
        <v>96</v>
      </c>
      <c r="O1102" s="21" t="s">
        <v>337</v>
      </c>
      <c r="Q1102" s="21" t="s">
        <v>344</v>
      </c>
      <c r="R1102" s="22">
        <v>45756</v>
      </c>
      <c r="W1102">
        <f>COUNTIF(SBIネオトレード証券!U:U,B1102)</f>
        <v>0</v>
      </c>
    </row>
    <row r="1103" spans="1:23" ht="24.95" hidden="1" customHeight="1" x14ac:dyDescent="0.4">
      <c r="A1103" s="17" t="s">
        <v>61</v>
      </c>
      <c r="B1103" s="15" t="s">
        <v>327</v>
      </c>
      <c r="C1103" s="16" t="s">
        <v>24</v>
      </c>
      <c r="D1103" s="16" t="s">
        <v>31</v>
      </c>
      <c r="E1103" s="15" t="s">
        <v>35</v>
      </c>
      <c r="F1103" s="15" t="s">
        <v>314</v>
      </c>
      <c r="N1103" s="21" t="s">
        <v>96</v>
      </c>
      <c r="O1103" s="21" t="s">
        <v>337</v>
      </c>
      <c r="Q1103" s="21" t="s">
        <v>344</v>
      </c>
      <c r="R1103" s="22">
        <v>45756</v>
      </c>
      <c r="W1103">
        <f>COUNTIF(SBIネオトレード証券!U:U,B1103)</f>
        <v>0</v>
      </c>
    </row>
    <row r="1104" spans="1:23" ht="24.95" hidden="1" customHeight="1" x14ac:dyDescent="0.4">
      <c r="A1104" s="17" t="s">
        <v>61</v>
      </c>
      <c r="B1104" s="15" t="s">
        <v>328</v>
      </c>
      <c r="C1104" s="16" t="s">
        <v>24</v>
      </c>
      <c r="D1104" s="16" t="s">
        <v>31</v>
      </c>
      <c r="E1104" s="15" t="s">
        <v>35</v>
      </c>
      <c r="F1104" s="15" t="s">
        <v>314</v>
      </c>
      <c r="N1104" s="21" t="s">
        <v>96</v>
      </c>
      <c r="O1104" s="21" t="s">
        <v>337</v>
      </c>
      <c r="Q1104" s="21" t="s">
        <v>344</v>
      </c>
      <c r="R1104" s="22">
        <v>45756</v>
      </c>
      <c r="W1104">
        <f>COUNTIF(SBIネオトレード証券!U:U,B1104)</f>
        <v>0</v>
      </c>
    </row>
    <row r="1105" spans="1:26" ht="24.95" hidden="1" customHeight="1" x14ac:dyDescent="0.4">
      <c r="A1105" s="17" t="s">
        <v>61</v>
      </c>
      <c r="B1105" s="15" t="s">
        <v>329</v>
      </c>
      <c r="C1105" s="16" t="s">
        <v>24</v>
      </c>
      <c r="D1105" s="16" t="s">
        <v>31</v>
      </c>
      <c r="E1105" s="15" t="s">
        <v>35</v>
      </c>
      <c r="F1105" s="15" t="s">
        <v>314</v>
      </c>
      <c r="N1105" s="21" t="s">
        <v>96</v>
      </c>
      <c r="O1105" s="21" t="s">
        <v>337</v>
      </c>
      <c r="Q1105" s="21" t="s">
        <v>344</v>
      </c>
      <c r="R1105" s="22">
        <v>45756</v>
      </c>
      <c r="W1105">
        <f>COUNTIF(SBIネオトレード証券!U:U,B1105)</f>
        <v>0</v>
      </c>
    </row>
    <row r="1106" spans="1:26" ht="24.95" hidden="1" customHeight="1" x14ac:dyDescent="0.4">
      <c r="A1106" s="17" t="s">
        <v>61</v>
      </c>
      <c r="B1106" s="15" t="s">
        <v>342</v>
      </c>
      <c r="C1106" s="16" t="s">
        <v>31</v>
      </c>
      <c r="D1106" s="16" t="s">
        <v>31</v>
      </c>
      <c r="E1106" s="15" t="s">
        <v>32</v>
      </c>
      <c r="F1106" s="15" t="s">
        <v>340</v>
      </c>
      <c r="N1106" s="21" t="s">
        <v>96</v>
      </c>
      <c r="O1106" s="21" t="s">
        <v>345</v>
      </c>
      <c r="Q1106" s="21" t="s">
        <v>344</v>
      </c>
      <c r="R1106" s="22">
        <v>45784</v>
      </c>
      <c r="W1106">
        <f>COUNTIF(SBIネオトレード証券!U:U,B1106)</f>
        <v>0</v>
      </c>
    </row>
    <row r="1107" spans="1:26" ht="24.95" hidden="1" customHeight="1" x14ac:dyDescent="0.4">
      <c r="A1107" s="17" t="s">
        <v>61</v>
      </c>
      <c r="B1107" s="15" t="s">
        <v>370</v>
      </c>
      <c r="C1107" s="16" t="s">
        <v>31</v>
      </c>
      <c r="D1107" s="16" t="s">
        <v>31</v>
      </c>
      <c r="E1107" s="15" t="s">
        <v>32</v>
      </c>
      <c r="F1107" s="15" t="s">
        <v>365</v>
      </c>
      <c r="N1107" s="21" t="s">
        <v>374</v>
      </c>
      <c r="O1107" s="21" t="s">
        <v>373</v>
      </c>
      <c r="Q1107" s="21" t="s">
        <v>344</v>
      </c>
      <c r="R1107" s="22">
        <v>45883</v>
      </c>
      <c r="W1107">
        <f>COUNTIF(SBIネオトレード証券!U:U,B1107)</f>
        <v>0</v>
      </c>
    </row>
    <row r="1108" spans="1:26" ht="24.95" hidden="1" customHeight="1" x14ac:dyDescent="0.4">
      <c r="A1108" s="17" t="s">
        <v>61</v>
      </c>
      <c r="B1108" s="15" t="s">
        <v>371</v>
      </c>
      <c r="C1108" s="16" t="s">
        <v>31</v>
      </c>
      <c r="D1108" s="16" t="s">
        <v>31</v>
      </c>
      <c r="E1108" s="15" t="s">
        <v>32</v>
      </c>
      <c r="F1108" s="15" t="s">
        <v>365</v>
      </c>
      <c r="N1108" s="21" t="s">
        <v>374</v>
      </c>
      <c r="O1108" s="21" t="s">
        <v>373</v>
      </c>
      <c r="Q1108" s="21" t="s">
        <v>344</v>
      </c>
      <c r="R1108" s="22">
        <v>45883</v>
      </c>
      <c r="W1108">
        <f>COUNTIF(SBIネオトレード証券!U:U,B1108)</f>
        <v>0</v>
      </c>
    </row>
    <row r="1109" spans="1:26" ht="24.95" hidden="1" customHeight="1" x14ac:dyDescent="0.4">
      <c r="A1109" s="17" t="s">
        <v>61</v>
      </c>
      <c r="B1109" s="15" t="s">
        <v>38</v>
      </c>
      <c r="C1109" s="16" t="s">
        <v>31</v>
      </c>
      <c r="D1109" s="16" t="s">
        <v>31</v>
      </c>
      <c r="E1109" s="15" t="s">
        <v>32</v>
      </c>
      <c r="F1109" s="15" t="s">
        <v>139</v>
      </c>
      <c r="G1109" s="25" t="s">
        <v>147</v>
      </c>
      <c r="N1109" s="21" t="s">
        <v>96</v>
      </c>
      <c r="O1109" s="13" t="s">
        <v>353</v>
      </c>
      <c r="Q1109" s="21" t="s">
        <v>344</v>
      </c>
      <c r="R1109" s="22">
        <v>45814</v>
      </c>
      <c r="W1109">
        <f>COUNTIF(SBIネオトレード証券!U:U,B1109)</f>
        <v>0</v>
      </c>
    </row>
    <row r="1110" spans="1:26" ht="24.95" hidden="1" customHeight="1" x14ac:dyDescent="0.4">
      <c r="A1110" s="17" t="s">
        <v>61</v>
      </c>
      <c r="B1110" s="15" t="s">
        <v>119</v>
      </c>
      <c r="C1110" s="16" t="s">
        <v>31</v>
      </c>
      <c r="D1110" s="16" t="s">
        <v>31</v>
      </c>
      <c r="E1110" s="15" t="s">
        <v>32</v>
      </c>
      <c r="F1110" s="15" t="s">
        <v>365</v>
      </c>
      <c r="N1110" s="21" t="s">
        <v>374</v>
      </c>
      <c r="O1110" s="21" t="s">
        <v>375</v>
      </c>
      <c r="Q1110" s="21" t="s">
        <v>344</v>
      </c>
      <c r="R1110" s="22">
        <v>45883</v>
      </c>
      <c r="W1110">
        <f>COUNTIF(SBIネオトレード証券!U:U,B1110)</f>
        <v>0</v>
      </c>
    </row>
    <row r="1111" spans="1:26" ht="24.95" hidden="1" customHeight="1" x14ac:dyDescent="0.4">
      <c r="A1111" s="17" t="s">
        <v>61</v>
      </c>
      <c r="B1111" s="15" t="s">
        <v>62</v>
      </c>
      <c r="C1111" s="16" t="s">
        <v>31</v>
      </c>
      <c r="D1111" s="16" t="s">
        <v>24</v>
      </c>
      <c r="E1111" s="15" t="s">
        <v>50</v>
      </c>
      <c r="F1111" s="15" t="s">
        <v>80</v>
      </c>
      <c r="G1111" s="25" t="s">
        <v>23</v>
      </c>
      <c r="H1111" s="26" t="s">
        <v>51</v>
      </c>
      <c r="I1111" s="24" t="s">
        <v>52</v>
      </c>
      <c r="J1111" s="24" t="s">
        <v>53</v>
      </c>
      <c r="R1111" s="22" t="s">
        <v>24</v>
      </c>
      <c r="W1111">
        <f>COUNTIF(SBIネオトレード証券!U:U,B1111)</f>
        <v>0</v>
      </c>
      <c r="Z1111" t="s">
        <v>435</v>
      </c>
    </row>
    <row r="1112" spans="1:26" ht="24.95" hidden="1" customHeight="1" x14ac:dyDescent="0.4">
      <c r="A1112" s="17" t="s">
        <v>61</v>
      </c>
      <c r="B1112" s="15" t="s">
        <v>120</v>
      </c>
      <c r="C1112" s="16" t="s">
        <v>31</v>
      </c>
      <c r="D1112" s="16" t="s">
        <v>31</v>
      </c>
      <c r="E1112" s="15" t="s">
        <v>32</v>
      </c>
      <c r="F1112" s="15" t="s">
        <v>221</v>
      </c>
      <c r="N1112" s="21" t="s">
        <v>96</v>
      </c>
      <c r="O1112" s="21" t="s">
        <v>338</v>
      </c>
      <c r="Q1112" s="21" t="s">
        <v>344</v>
      </c>
      <c r="R1112" s="22">
        <v>45756</v>
      </c>
      <c r="W1112">
        <f>COUNTIF(SBIネオトレード証券!U:U,B1112)</f>
        <v>0</v>
      </c>
    </row>
    <row r="1113" spans="1:26" ht="24.95" hidden="1" customHeight="1" x14ac:dyDescent="0.4">
      <c r="A1113" s="17" t="s">
        <v>61</v>
      </c>
      <c r="B1113" s="15" t="s">
        <v>39</v>
      </c>
      <c r="C1113" s="16" t="s">
        <v>31</v>
      </c>
      <c r="D1113" s="16" t="s">
        <v>31</v>
      </c>
      <c r="E1113" s="15" t="s">
        <v>32</v>
      </c>
      <c r="F1113" s="15" t="s">
        <v>139</v>
      </c>
      <c r="G1113" s="25" t="s">
        <v>147</v>
      </c>
      <c r="H1113" s="24" t="s">
        <v>146</v>
      </c>
      <c r="I1113" s="24" t="s">
        <v>153</v>
      </c>
      <c r="J1113" s="24" t="s">
        <v>152</v>
      </c>
      <c r="N1113" s="21" t="s">
        <v>96</v>
      </c>
      <c r="O1113" s="21" t="s">
        <v>348</v>
      </c>
      <c r="Q1113" s="21" t="s">
        <v>344</v>
      </c>
      <c r="R1113" s="22">
        <v>45814</v>
      </c>
      <c r="W1113">
        <f>COUNTIF(SBIネオトレード証券!U:U,B1113)</f>
        <v>0</v>
      </c>
    </row>
    <row r="1114" spans="1:26" ht="24.95" hidden="1" customHeight="1" x14ac:dyDescent="0.4">
      <c r="A1114" s="17" t="s">
        <v>61</v>
      </c>
      <c r="B1114" s="15" t="s">
        <v>220</v>
      </c>
      <c r="C1114" s="16" t="s">
        <v>31</v>
      </c>
      <c r="D1114" s="16" t="s">
        <v>31</v>
      </c>
      <c r="E1114" s="15" t="s">
        <v>32</v>
      </c>
      <c r="F1114" s="15" t="s">
        <v>221</v>
      </c>
      <c r="N1114" s="21" t="s">
        <v>96</v>
      </c>
      <c r="O1114" s="21" t="s">
        <v>338</v>
      </c>
      <c r="Q1114" s="21" t="s">
        <v>344</v>
      </c>
      <c r="R1114" s="22">
        <v>45814</v>
      </c>
      <c r="W1114">
        <f>COUNTIF(SBIネオトレード証券!U:U,B1114)</f>
        <v>0</v>
      </c>
    </row>
    <row r="1115" spans="1:26" ht="24.95" hidden="1" customHeight="1" x14ac:dyDescent="0.4">
      <c r="A1115" s="17" t="s">
        <v>61</v>
      </c>
      <c r="B1115" s="15" t="s">
        <v>111</v>
      </c>
      <c r="C1115" s="16" t="s">
        <v>31</v>
      </c>
      <c r="D1115" s="16" t="s">
        <v>31</v>
      </c>
      <c r="E1115" s="15" t="s">
        <v>32</v>
      </c>
      <c r="F1115" s="15" t="s">
        <v>221</v>
      </c>
      <c r="N1115" s="21" t="s">
        <v>96</v>
      </c>
      <c r="O1115" s="21" t="s">
        <v>338</v>
      </c>
      <c r="Q1115" s="21" t="s">
        <v>344</v>
      </c>
      <c r="R1115" s="22">
        <v>45756</v>
      </c>
      <c r="W1115">
        <f>COUNTIF(SBIネオトレード証券!U:U,B1115)</f>
        <v>0</v>
      </c>
    </row>
    <row r="1116" spans="1:26" ht="24.95" hidden="1" customHeight="1" x14ac:dyDescent="0.4">
      <c r="A1116" s="17" t="s">
        <v>61</v>
      </c>
      <c r="B1116" s="15" t="s">
        <v>42</v>
      </c>
      <c r="C1116" s="16" t="s">
        <v>31</v>
      </c>
      <c r="D1116" s="16" t="s">
        <v>31</v>
      </c>
      <c r="E1116" s="15" t="s">
        <v>32</v>
      </c>
      <c r="F1116" s="15" t="s">
        <v>129</v>
      </c>
      <c r="G1116" s="25" t="s">
        <v>147</v>
      </c>
      <c r="H1116" s="24" t="s">
        <v>148</v>
      </c>
      <c r="I1116" s="24" t="s">
        <v>153</v>
      </c>
      <c r="J1116" s="24" t="s">
        <v>152</v>
      </c>
      <c r="N1116" s="21" t="s">
        <v>96</v>
      </c>
      <c r="O1116" s="13" t="s">
        <v>352</v>
      </c>
      <c r="Q1116" s="21" t="s">
        <v>344</v>
      </c>
      <c r="R1116" s="22">
        <v>45814</v>
      </c>
      <c r="W1116">
        <f>COUNTIF(SBIネオトレード証券!U:U,B1116)</f>
        <v>0</v>
      </c>
    </row>
    <row r="1117" spans="1:26" ht="24.95" hidden="1" customHeight="1" x14ac:dyDescent="0.4">
      <c r="A1117" s="17" t="s">
        <v>61</v>
      </c>
      <c r="B1117" s="15" t="s">
        <v>330</v>
      </c>
      <c r="C1117" s="16" t="s">
        <v>31</v>
      </c>
      <c r="D1117" s="16" t="s">
        <v>31</v>
      </c>
      <c r="E1117" s="15" t="s">
        <v>32</v>
      </c>
      <c r="F1117" s="15" t="s">
        <v>314</v>
      </c>
      <c r="N1117" s="21" t="s">
        <v>96</v>
      </c>
      <c r="O1117" s="21" t="s">
        <v>338</v>
      </c>
      <c r="Q1117" s="21" t="s">
        <v>344</v>
      </c>
      <c r="R1117" s="22">
        <v>45756</v>
      </c>
      <c r="W1117">
        <f>COUNTIF(SBIネオトレード証券!U:U,B1117)</f>
        <v>0</v>
      </c>
    </row>
    <row r="1118" spans="1:26" ht="24.95" hidden="1" customHeight="1" x14ac:dyDescent="0.4">
      <c r="A1118" s="17" t="s">
        <v>61</v>
      </c>
      <c r="B1118" s="15" t="s">
        <v>343</v>
      </c>
      <c r="C1118" s="16" t="s">
        <v>31</v>
      </c>
      <c r="D1118" s="16" t="s">
        <v>31</v>
      </c>
      <c r="E1118" s="15" t="s">
        <v>32</v>
      </c>
      <c r="F1118" s="15" t="s">
        <v>340</v>
      </c>
      <c r="N1118" s="21" t="s">
        <v>96</v>
      </c>
      <c r="O1118" s="21" t="s">
        <v>345</v>
      </c>
      <c r="Q1118" s="21" t="s">
        <v>344</v>
      </c>
      <c r="R1118" s="22">
        <v>45784</v>
      </c>
      <c r="W1118">
        <f>COUNTIF(SBIネオトレード証券!U:U,B1118)</f>
        <v>0</v>
      </c>
    </row>
    <row r="1119" spans="1:26" ht="24.95" hidden="1" customHeight="1" x14ac:dyDescent="0.4">
      <c r="A1119" s="17" t="s">
        <v>61</v>
      </c>
      <c r="B1119" s="15" t="s">
        <v>44</v>
      </c>
      <c r="C1119" s="16" t="s">
        <v>31</v>
      </c>
      <c r="D1119" s="16" t="s">
        <v>31</v>
      </c>
      <c r="E1119" s="15" t="s">
        <v>32</v>
      </c>
      <c r="F1119" s="15" t="s">
        <v>221</v>
      </c>
      <c r="N1119" s="21" t="s">
        <v>96</v>
      </c>
      <c r="O1119" s="13" t="s">
        <v>359</v>
      </c>
      <c r="Q1119" s="21" t="s">
        <v>344</v>
      </c>
      <c r="R1119" s="22">
        <v>45814</v>
      </c>
      <c r="W1119">
        <f>COUNTIF(SBIネオトレード証券!U:U,B1119)</f>
        <v>0</v>
      </c>
    </row>
    <row r="1120" spans="1:26" ht="24.95" hidden="1" customHeight="1" x14ac:dyDescent="0.4">
      <c r="A1120" s="17" t="s">
        <v>61</v>
      </c>
      <c r="B1120" s="15" t="s">
        <v>45</v>
      </c>
      <c r="C1120" s="16" t="s">
        <v>31</v>
      </c>
      <c r="D1120" s="16" t="s">
        <v>31</v>
      </c>
      <c r="E1120" s="15" t="s">
        <v>32</v>
      </c>
      <c r="F1120" s="15" t="s">
        <v>314</v>
      </c>
      <c r="N1120" s="21" t="s">
        <v>96</v>
      </c>
      <c r="O1120" s="21" t="s">
        <v>338</v>
      </c>
      <c r="Q1120" s="21" t="s">
        <v>344</v>
      </c>
      <c r="R1120" s="22">
        <v>45756</v>
      </c>
      <c r="W1120">
        <f>COUNTIF(SBIネオトレード証券!U:U,B1120)</f>
        <v>0</v>
      </c>
    </row>
    <row r="1121" spans="1:26" ht="24.95" customHeight="1" x14ac:dyDescent="0.4">
      <c r="A1121" s="17" t="s">
        <v>61</v>
      </c>
      <c r="B1121" s="50" t="s">
        <v>469</v>
      </c>
      <c r="C1121" s="16" t="s">
        <v>31</v>
      </c>
      <c r="D1121" s="16" t="s">
        <v>31</v>
      </c>
      <c r="E1121" s="15" t="s">
        <v>32</v>
      </c>
      <c r="F1121" s="15" t="s">
        <v>365</v>
      </c>
      <c r="N1121" s="21" t="s">
        <v>374</v>
      </c>
      <c r="O1121" s="13" t="s">
        <v>468</v>
      </c>
      <c r="Q1121" s="21" t="s">
        <v>344</v>
      </c>
      <c r="R1121" s="22">
        <v>45883</v>
      </c>
      <c r="W1121">
        <f>COUNTIF(SBIネオトレード証券!U:U,B1121)</f>
        <v>0</v>
      </c>
    </row>
    <row r="1122" spans="1:26" ht="24.95" hidden="1" customHeight="1" x14ac:dyDescent="0.4">
      <c r="A1122" s="17" t="s">
        <v>63</v>
      </c>
      <c r="B1122" s="15" t="s">
        <v>115</v>
      </c>
      <c r="C1122" s="16" t="s">
        <v>31</v>
      </c>
      <c r="D1122" s="16" t="s">
        <v>31</v>
      </c>
      <c r="E1122" s="15" t="s">
        <v>32</v>
      </c>
      <c r="F1122" s="15" t="s">
        <v>166</v>
      </c>
      <c r="N1122" s="21" t="s">
        <v>96</v>
      </c>
      <c r="O1122" s="21" t="s">
        <v>337</v>
      </c>
      <c r="Q1122" s="21" t="s">
        <v>344</v>
      </c>
      <c r="R1122" s="22">
        <v>45814</v>
      </c>
      <c r="W1122">
        <f>COUNTIF(スマートプラス!U:U,B1122)</f>
        <v>0</v>
      </c>
    </row>
    <row r="1123" spans="1:26" ht="24.95" hidden="1" customHeight="1" x14ac:dyDescent="0.4">
      <c r="A1123" s="17" t="s">
        <v>63</v>
      </c>
      <c r="B1123" s="15" t="s">
        <v>313</v>
      </c>
      <c r="C1123" s="16" t="s">
        <v>24</v>
      </c>
      <c r="D1123" s="16" t="s">
        <v>31</v>
      </c>
      <c r="E1123" s="15" t="s">
        <v>35</v>
      </c>
      <c r="F1123" s="15" t="s">
        <v>314</v>
      </c>
      <c r="N1123" s="21" t="s">
        <v>96</v>
      </c>
      <c r="O1123" s="21" t="s">
        <v>337</v>
      </c>
      <c r="Q1123" s="21" t="s">
        <v>344</v>
      </c>
      <c r="R1123" s="22">
        <v>45756</v>
      </c>
      <c r="W1123">
        <f>COUNTIF(スマートプラス!U:U,B1123)</f>
        <v>0</v>
      </c>
    </row>
    <row r="1124" spans="1:26" ht="24.95" hidden="1" customHeight="1" x14ac:dyDescent="0.4">
      <c r="A1124" s="17" t="s">
        <v>63</v>
      </c>
      <c r="B1124" s="15" t="s">
        <v>315</v>
      </c>
      <c r="C1124" s="16" t="s">
        <v>24</v>
      </c>
      <c r="D1124" s="16" t="s">
        <v>31</v>
      </c>
      <c r="E1124" s="15" t="s">
        <v>35</v>
      </c>
      <c r="F1124" s="15" t="s">
        <v>314</v>
      </c>
      <c r="N1124" s="21" t="s">
        <v>96</v>
      </c>
      <c r="O1124" s="21" t="s">
        <v>337</v>
      </c>
      <c r="Q1124" s="21" t="s">
        <v>344</v>
      </c>
      <c r="R1124" s="22">
        <v>45756</v>
      </c>
      <c r="W1124">
        <f>COUNTIF(スマートプラス!U:U,B1124)</f>
        <v>0</v>
      </c>
    </row>
    <row r="1125" spans="1:26" ht="24.95" hidden="1" customHeight="1" x14ac:dyDescent="0.4">
      <c r="A1125" s="17" t="s">
        <v>63</v>
      </c>
      <c r="B1125" s="15" t="s">
        <v>316</v>
      </c>
      <c r="C1125" s="16" t="s">
        <v>24</v>
      </c>
      <c r="D1125" s="16" t="s">
        <v>31</v>
      </c>
      <c r="E1125" s="15" t="s">
        <v>35</v>
      </c>
      <c r="F1125" s="15" t="s">
        <v>314</v>
      </c>
      <c r="N1125" s="21" t="s">
        <v>96</v>
      </c>
      <c r="O1125" s="21" t="s">
        <v>337</v>
      </c>
      <c r="Q1125" s="21" t="s">
        <v>344</v>
      </c>
      <c r="R1125" s="22">
        <v>45756</v>
      </c>
      <c r="W1125">
        <f>COUNTIF(スマートプラス!U:U,B1125)</f>
        <v>0</v>
      </c>
    </row>
    <row r="1126" spans="1:26" ht="24.95" hidden="1" customHeight="1" x14ac:dyDescent="0.4">
      <c r="A1126" s="17" t="s">
        <v>63</v>
      </c>
      <c r="B1126" s="15" t="s">
        <v>317</v>
      </c>
      <c r="C1126" s="16" t="s">
        <v>24</v>
      </c>
      <c r="D1126" s="16" t="s">
        <v>31</v>
      </c>
      <c r="E1126" s="15" t="s">
        <v>35</v>
      </c>
      <c r="F1126" s="15" t="s">
        <v>314</v>
      </c>
      <c r="N1126" s="21" t="s">
        <v>96</v>
      </c>
      <c r="O1126" s="21" t="s">
        <v>337</v>
      </c>
      <c r="Q1126" s="21" t="s">
        <v>344</v>
      </c>
      <c r="R1126" s="22">
        <v>45756</v>
      </c>
      <c r="W1126">
        <f>COUNTIF(スマートプラス!U:U,B1126)</f>
        <v>0</v>
      </c>
    </row>
    <row r="1127" spans="1:26" ht="24.95" hidden="1" customHeight="1" x14ac:dyDescent="0.4">
      <c r="A1127" s="17" t="s">
        <v>63</v>
      </c>
      <c r="B1127" s="50" t="s">
        <v>364</v>
      </c>
      <c r="C1127" s="16" t="s">
        <v>24</v>
      </c>
      <c r="D1127" s="16" t="s">
        <v>31</v>
      </c>
      <c r="E1127" s="15" t="s">
        <v>35</v>
      </c>
      <c r="F1127" s="15" t="s">
        <v>365</v>
      </c>
      <c r="N1127" s="21" t="s">
        <v>96</v>
      </c>
      <c r="O1127" s="21" t="s">
        <v>372</v>
      </c>
      <c r="Q1127" s="21" t="s">
        <v>344</v>
      </c>
      <c r="R1127" s="22">
        <v>45883</v>
      </c>
      <c r="W1127">
        <f>COUNTIF(スマートプラス!U:U,B1127)</f>
        <v>0</v>
      </c>
    </row>
    <row r="1128" spans="1:26" ht="24.95" hidden="1" customHeight="1" x14ac:dyDescent="0.4">
      <c r="A1128" s="17" t="s">
        <v>63</v>
      </c>
      <c r="B1128" s="15" t="s">
        <v>355</v>
      </c>
      <c r="C1128" s="16" t="s">
        <v>31</v>
      </c>
      <c r="D1128" s="16" t="s">
        <v>31</v>
      </c>
      <c r="E1128" s="15" t="s">
        <v>32</v>
      </c>
      <c r="F1128" s="15" t="s">
        <v>356</v>
      </c>
      <c r="N1128" s="21" t="s">
        <v>96</v>
      </c>
      <c r="O1128" s="21" t="s">
        <v>360</v>
      </c>
      <c r="Q1128" s="21" t="s">
        <v>344</v>
      </c>
      <c r="R1128" s="22">
        <v>45847</v>
      </c>
      <c r="W1128">
        <f>COUNTIF(スマートプラス!U:U,B1128)</f>
        <v>1</v>
      </c>
    </row>
    <row r="1129" spans="1:26" ht="24.95" hidden="1" customHeight="1" x14ac:dyDescent="0.4">
      <c r="A1129" s="17" t="s">
        <v>63</v>
      </c>
      <c r="B1129" s="15" t="s">
        <v>171</v>
      </c>
      <c r="C1129" s="16" t="s">
        <v>31</v>
      </c>
      <c r="D1129" s="16" t="s">
        <v>31</v>
      </c>
      <c r="E1129" s="15" t="s">
        <v>32</v>
      </c>
      <c r="F1129" s="15" t="s">
        <v>314</v>
      </c>
      <c r="N1129" s="21" t="s">
        <v>96</v>
      </c>
      <c r="O1129" s="21" t="s">
        <v>336</v>
      </c>
      <c r="Q1129" s="21" t="s">
        <v>344</v>
      </c>
      <c r="R1129" s="22">
        <v>45756</v>
      </c>
      <c r="W1129">
        <f>COUNTIF(スマートプラス!U:U,B1129)</f>
        <v>0</v>
      </c>
    </row>
    <row r="1130" spans="1:26" ht="24.95" hidden="1" customHeight="1" x14ac:dyDescent="0.4">
      <c r="A1130" s="17" t="s">
        <v>63</v>
      </c>
      <c r="B1130" s="15" t="s">
        <v>123</v>
      </c>
      <c r="C1130" s="16" t="s">
        <v>31</v>
      </c>
      <c r="D1130" s="16" t="s">
        <v>31</v>
      </c>
      <c r="E1130" s="15" t="s">
        <v>32</v>
      </c>
      <c r="F1130" s="15" t="s">
        <v>184</v>
      </c>
      <c r="N1130" s="21" t="s">
        <v>96</v>
      </c>
      <c r="O1130" s="21" t="s">
        <v>337</v>
      </c>
      <c r="Q1130" s="21" t="s">
        <v>344</v>
      </c>
      <c r="R1130" s="22">
        <v>45814</v>
      </c>
      <c r="W1130">
        <f>COUNTIF(スマートプラス!U:U,B1130)</f>
        <v>0</v>
      </c>
    </row>
    <row r="1131" spans="1:26" ht="24.95" hidden="1" customHeight="1" x14ac:dyDescent="0.4">
      <c r="A1131" s="17" t="s">
        <v>63</v>
      </c>
      <c r="B1131" s="15" t="s">
        <v>37</v>
      </c>
      <c r="C1131" s="16" t="s">
        <v>31</v>
      </c>
      <c r="D1131" s="16" t="s">
        <v>31</v>
      </c>
      <c r="E1131" s="15" t="s">
        <v>32</v>
      </c>
      <c r="F1131" s="15" t="s">
        <v>212</v>
      </c>
      <c r="N1131" s="21" t="s">
        <v>96</v>
      </c>
      <c r="O1131" s="13" t="s">
        <v>349</v>
      </c>
      <c r="Q1131" s="21" t="s">
        <v>344</v>
      </c>
      <c r="R1131" s="22">
        <v>45814</v>
      </c>
      <c r="W1131">
        <f>COUNTIF(スマートプラス!U:U,B1131)</f>
        <v>1</v>
      </c>
      <c r="Z1131" t="s">
        <v>432</v>
      </c>
    </row>
    <row r="1132" spans="1:26" ht="24.95" hidden="1" customHeight="1" x14ac:dyDescent="0.4">
      <c r="A1132" s="17" t="s">
        <v>63</v>
      </c>
      <c r="B1132" s="15" t="s">
        <v>225</v>
      </c>
      <c r="C1132" s="16" t="s">
        <v>31</v>
      </c>
      <c r="D1132" s="16" t="s">
        <v>31</v>
      </c>
      <c r="E1132" s="15" t="s">
        <v>32</v>
      </c>
      <c r="F1132" s="15" t="s">
        <v>314</v>
      </c>
      <c r="N1132" s="21" t="s">
        <v>96</v>
      </c>
      <c r="O1132" s="21" t="s">
        <v>336</v>
      </c>
      <c r="Q1132" s="21" t="s">
        <v>344</v>
      </c>
      <c r="R1132" s="22">
        <v>45756</v>
      </c>
      <c r="W1132">
        <f>COUNTIF(スマートプラス!U:U,B1132)</f>
        <v>0</v>
      </c>
    </row>
    <row r="1133" spans="1:26" ht="24.95" hidden="1" customHeight="1" x14ac:dyDescent="0.4">
      <c r="A1133" s="17" t="s">
        <v>63</v>
      </c>
      <c r="B1133" s="15" t="s">
        <v>117</v>
      </c>
      <c r="C1133" s="16" t="s">
        <v>31</v>
      </c>
      <c r="D1133" s="16" t="s">
        <v>31</v>
      </c>
      <c r="E1133" s="15" t="s">
        <v>32</v>
      </c>
      <c r="F1133" s="15" t="s">
        <v>356</v>
      </c>
      <c r="N1133" s="21" t="s">
        <v>96</v>
      </c>
      <c r="O1133" s="21" t="s">
        <v>360</v>
      </c>
      <c r="Q1133" s="21" t="s">
        <v>344</v>
      </c>
      <c r="R1133" s="22">
        <v>45847</v>
      </c>
      <c r="W1133">
        <f>COUNTIF(スマートプラス!U:U,B1133)</f>
        <v>0</v>
      </c>
    </row>
    <row r="1134" spans="1:26" ht="24.95" hidden="1" customHeight="1" x14ac:dyDescent="0.4">
      <c r="A1134" s="17" t="s">
        <v>63</v>
      </c>
      <c r="B1134" s="15" t="s">
        <v>126</v>
      </c>
      <c r="C1134" s="16" t="s">
        <v>31</v>
      </c>
      <c r="D1134" s="16" t="s">
        <v>31</v>
      </c>
      <c r="E1134" s="15" t="s">
        <v>32</v>
      </c>
      <c r="F1134" s="15" t="s">
        <v>365</v>
      </c>
      <c r="N1134" s="21" t="s">
        <v>374</v>
      </c>
      <c r="O1134" s="21" t="s">
        <v>373</v>
      </c>
      <c r="Q1134" s="21" t="s">
        <v>344</v>
      </c>
      <c r="R1134" s="22">
        <v>45883</v>
      </c>
      <c r="W1134">
        <f>COUNTIF(スマートプラス!U:U,B1134)</f>
        <v>0</v>
      </c>
    </row>
    <row r="1135" spans="1:26" ht="24.95" hidden="1" customHeight="1" x14ac:dyDescent="0.4">
      <c r="A1135" s="17" t="s">
        <v>63</v>
      </c>
      <c r="B1135" s="15" t="s">
        <v>226</v>
      </c>
      <c r="C1135" s="16" t="s">
        <v>31</v>
      </c>
      <c r="D1135" s="16" t="s">
        <v>31</v>
      </c>
      <c r="E1135" s="15" t="s">
        <v>32</v>
      </c>
      <c r="F1135" s="15" t="s">
        <v>314</v>
      </c>
      <c r="N1135" s="21" t="s">
        <v>96</v>
      </c>
      <c r="O1135" s="21" t="s">
        <v>336</v>
      </c>
      <c r="Q1135" s="21" t="s">
        <v>344</v>
      </c>
      <c r="R1135" s="22">
        <v>45756</v>
      </c>
      <c r="W1135">
        <f>COUNTIF(スマートプラス!U:U,B1135)</f>
        <v>0</v>
      </c>
    </row>
    <row r="1136" spans="1:26" ht="24.95" hidden="1" customHeight="1" x14ac:dyDescent="0.4">
      <c r="A1136" s="17" t="s">
        <v>63</v>
      </c>
      <c r="B1136" s="15" t="s">
        <v>318</v>
      </c>
      <c r="C1136" s="16" t="s">
        <v>31</v>
      </c>
      <c r="D1136" s="16" t="s">
        <v>31</v>
      </c>
      <c r="E1136" s="15" t="s">
        <v>32</v>
      </c>
      <c r="F1136" s="15" t="s">
        <v>314</v>
      </c>
      <c r="N1136" s="21" t="s">
        <v>96</v>
      </c>
      <c r="O1136" s="21" t="s">
        <v>337</v>
      </c>
      <c r="Q1136" s="21" t="s">
        <v>344</v>
      </c>
      <c r="R1136" s="22">
        <v>45756</v>
      </c>
      <c r="W1136">
        <f>COUNTIF(スマートプラス!U:U,B1136)</f>
        <v>0</v>
      </c>
    </row>
    <row r="1137" spans="1:23" ht="24.95" hidden="1" customHeight="1" x14ac:dyDescent="0.4">
      <c r="A1137" s="17" t="s">
        <v>63</v>
      </c>
      <c r="B1137" s="15" t="s">
        <v>118</v>
      </c>
      <c r="C1137" s="16" t="s">
        <v>31</v>
      </c>
      <c r="D1137" s="16" t="s">
        <v>31</v>
      </c>
      <c r="E1137" s="15" t="s">
        <v>32</v>
      </c>
      <c r="F1137" s="15" t="s">
        <v>314</v>
      </c>
      <c r="N1137" s="21" t="s">
        <v>96</v>
      </c>
      <c r="O1137" s="21" t="s">
        <v>337</v>
      </c>
      <c r="Q1137" s="21" t="s">
        <v>344</v>
      </c>
      <c r="R1137" s="22">
        <v>45756</v>
      </c>
      <c r="W1137">
        <f>COUNTIF(スマートプラス!U:U,B1137)</f>
        <v>0</v>
      </c>
    </row>
    <row r="1138" spans="1:23" ht="24.95" hidden="1" customHeight="1" x14ac:dyDescent="0.4">
      <c r="A1138" s="17" t="s">
        <v>63</v>
      </c>
      <c r="B1138" s="15" t="s">
        <v>319</v>
      </c>
      <c r="C1138" s="16" t="s">
        <v>31</v>
      </c>
      <c r="D1138" s="16" t="s">
        <v>31</v>
      </c>
      <c r="E1138" s="15" t="s">
        <v>32</v>
      </c>
      <c r="F1138" s="15" t="s">
        <v>314</v>
      </c>
      <c r="N1138" s="21" t="s">
        <v>96</v>
      </c>
      <c r="O1138" s="21" t="s">
        <v>337</v>
      </c>
      <c r="Q1138" s="21" t="s">
        <v>344</v>
      </c>
      <c r="R1138" s="22">
        <v>45756</v>
      </c>
      <c r="W1138">
        <f>COUNTIF(スマートプラス!U:U,B1138)</f>
        <v>0</v>
      </c>
    </row>
    <row r="1139" spans="1:23" ht="24.95" hidden="1" customHeight="1" x14ac:dyDescent="0.4">
      <c r="A1139" s="17" t="s">
        <v>63</v>
      </c>
      <c r="B1139" s="15" t="s">
        <v>227</v>
      </c>
      <c r="C1139" s="16" t="s">
        <v>31</v>
      </c>
      <c r="D1139" s="16" t="s">
        <v>31</v>
      </c>
      <c r="E1139" s="15" t="s">
        <v>32</v>
      </c>
      <c r="F1139" s="15" t="s">
        <v>314</v>
      </c>
      <c r="N1139" s="21" t="s">
        <v>96</v>
      </c>
      <c r="O1139" s="21" t="s">
        <v>336</v>
      </c>
      <c r="Q1139" s="21" t="s">
        <v>344</v>
      </c>
      <c r="R1139" s="22">
        <v>45756</v>
      </c>
      <c r="W1139">
        <f>COUNTIF(スマートプラス!U:U,B1139)</f>
        <v>0</v>
      </c>
    </row>
    <row r="1140" spans="1:23" ht="24.95" hidden="1" customHeight="1" x14ac:dyDescent="0.4">
      <c r="A1140" s="17" t="s">
        <v>63</v>
      </c>
      <c r="B1140" s="15" t="s">
        <v>228</v>
      </c>
      <c r="C1140" s="16" t="s">
        <v>31</v>
      </c>
      <c r="D1140" s="16" t="s">
        <v>31</v>
      </c>
      <c r="E1140" s="15" t="s">
        <v>32</v>
      </c>
      <c r="F1140" s="15" t="s">
        <v>314</v>
      </c>
      <c r="N1140" s="21" t="s">
        <v>96</v>
      </c>
      <c r="O1140" s="21" t="s">
        <v>336</v>
      </c>
      <c r="Q1140" s="21" t="s">
        <v>344</v>
      </c>
      <c r="R1140" s="22">
        <v>45756</v>
      </c>
      <c r="W1140">
        <f>COUNTIF(スマートプラス!U:U,B1140)</f>
        <v>0</v>
      </c>
    </row>
    <row r="1141" spans="1:23" ht="24.95" hidden="1" customHeight="1" x14ac:dyDescent="0.4">
      <c r="A1141" s="17" t="s">
        <v>63</v>
      </c>
      <c r="B1141" s="15" t="s">
        <v>229</v>
      </c>
      <c r="C1141" s="16" t="s">
        <v>31</v>
      </c>
      <c r="D1141" s="16" t="s">
        <v>31</v>
      </c>
      <c r="E1141" s="15" t="s">
        <v>32</v>
      </c>
      <c r="F1141" s="15" t="s">
        <v>314</v>
      </c>
      <c r="N1141" s="21" t="s">
        <v>96</v>
      </c>
      <c r="O1141" s="21" t="s">
        <v>336</v>
      </c>
      <c r="Q1141" s="21" t="s">
        <v>344</v>
      </c>
      <c r="R1141" s="22">
        <v>45756</v>
      </c>
      <c r="W1141">
        <f>COUNTIF(スマートプラス!U:U,B1141)</f>
        <v>0</v>
      </c>
    </row>
    <row r="1142" spans="1:23" ht="24.95" hidden="1" customHeight="1" x14ac:dyDescent="0.4">
      <c r="A1142" s="17" t="s">
        <v>63</v>
      </c>
      <c r="B1142" s="15" t="s">
        <v>230</v>
      </c>
      <c r="C1142" s="16" t="s">
        <v>31</v>
      </c>
      <c r="D1142" s="16" t="s">
        <v>31</v>
      </c>
      <c r="E1142" s="15" t="s">
        <v>32</v>
      </c>
      <c r="F1142" s="15" t="s">
        <v>314</v>
      </c>
      <c r="N1142" s="21" t="s">
        <v>96</v>
      </c>
      <c r="O1142" s="21" t="s">
        <v>336</v>
      </c>
      <c r="Q1142" s="21" t="s">
        <v>344</v>
      </c>
      <c r="R1142" s="22">
        <v>45756</v>
      </c>
      <c r="W1142">
        <f>COUNTIF(スマートプラス!U:U,B1142)</f>
        <v>0</v>
      </c>
    </row>
    <row r="1143" spans="1:23" ht="24.95" hidden="1" customHeight="1" x14ac:dyDescent="0.4">
      <c r="A1143" s="17" t="s">
        <v>63</v>
      </c>
      <c r="B1143" s="15" t="s">
        <v>231</v>
      </c>
      <c r="C1143" s="16" t="s">
        <v>31</v>
      </c>
      <c r="D1143" s="16" t="s">
        <v>31</v>
      </c>
      <c r="E1143" s="15" t="s">
        <v>32</v>
      </c>
      <c r="F1143" s="15" t="s">
        <v>314</v>
      </c>
      <c r="N1143" s="21" t="s">
        <v>96</v>
      </c>
      <c r="O1143" s="21" t="s">
        <v>336</v>
      </c>
      <c r="Q1143" s="21" t="s">
        <v>344</v>
      </c>
      <c r="R1143" s="22">
        <v>45756</v>
      </c>
      <c r="W1143">
        <f>COUNTIF(スマートプラス!U:U,B1143)</f>
        <v>0</v>
      </c>
    </row>
    <row r="1144" spans="1:23" ht="24.95" hidden="1" customHeight="1" x14ac:dyDescent="0.4">
      <c r="A1144" s="17" t="s">
        <v>63</v>
      </c>
      <c r="B1144" s="15" t="s">
        <v>232</v>
      </c>
      <c r="C1144" s="16" t="s">
        <v>31</v>
      </c>
      <c r="D1144" s="16" t="s">
        <v>31</v>
      </c>
      <c r="E1144" s="15" t="s">
        <v>32</v>
      </c>
      <c r="F1144" s="15" t="s">
        <v>314</v>
      </c>
      <c r="N1144" s="21" t="s">
        <v>96</v>
      </c>
      <c r="O1144" s="21" t="s">
        <v>336</v>
      </c>
      <c r="Q1144" s="21" t="s">
        <v>344</v>
      </c>
      <c r="R1144" s="22">
        <v>45756</v>
      </c>
      <c r="W1144">
        <f>COUNTIF(スマートプラス!U:U,B1144)</f>
        <v>0</v>
      </c>
    </row>
    <row r="1145" spans="1:23" ht="24.95" hidden="1" customHeight="1" x14ac:dyDescent="0.4">
      <c r="A1145" s="17" t="s">
        <v>63</v>
      </c>
      <c r="B1145" s="15" t="s">
        <v>233</v>
      </c>
      <c r="C1145" s="16" t="s">
        <v>31</v>
      </c>
      <c r="D1145" s="16" t="s">
        <v>31</v>
      </c>
      <c r="E1145" s="15" t="s">
        <v>32</v>
      </c>
      <c r="F1145" s="15" t="s">
        <v>314</v>
      </c>
      <c r="N1145" s="21" t="s">
        <v>96</v>
      </c>
      <c r="O1145" s="21" t="s">
        <v>336</v>
      </c>
      <c r="Q1145" s="21" t="s">
        <v>344</v>
      </c>
      <c r="R1145" s="22">
        <v>45756</v>
      </c>
      <c r="W1145">
        <f>COUNTIF(スマートプラス!U:U,B1145)</f>
        <v>0</v>
      </c>
    </row>
    <row r="1146" spans="1:23" ht="24.95" hidden="1" customHeight="1" x14ac:dyDescent="0.4">
      <c r="A1146" s="17" t="s">
        <v>63</v>
      </c>
      <c r="B1146" s="15" t="s">
        <v>234</v>
      </c>
      <c r="C1146" s="16" t="s">
        <v>31</v>
      </c>
      <c r="D1146" s="16" t="s">
        <v>31</v>
      </c>
      <c r="E1146" s="15" t="s">
        <v>32</v>
      </c>
      <c r="F1146" s="15" t="s">
        <v>314</v>
      </c>
      <c r="N1146" s="21" t="s">
        <v>96</v>
      </c>
      <c r="O1146" s="21" t="s">
        <v>336</v>
      </c>
      <c r="Q1146" s="21" t="s">
        <v>344</v>
      </c>
      <c r="R1146" s="22">
        <v>45756</v>
      </c>
      <c r="W1146">
        <f>COUNTIF(スマートプラス!U:U,B1146)</f>
        <v>0</v>
      </c>
    </row>
    <row r="1147" spans="1:23" ht="24.95" hidden="1" customHeight="1" x14ac:dyDescent="0.4">
      <c r="A1147" s="17" t="s">
        <v>63</v>
      </c>
      <c r="B1147" s="15" t="s">
        <v>235</v>
      </c>
      <c r="C1147" s="16" t="s">
        <v>31</v>
      </c>
      <c r="D1147" s="16" t="s">
        <v>31</v>
      </c>
      <c r="E1147" s="15" t="s">
        <v>32</v>
      </c>
      <c r="F1147" s="15" t="s">
        <v>314</v>
      </c>
      <c r="N1147" s="21" t="s">
        <v>96</v>
      </c>
      <c r="O1147" s="21" t="s">
        <v>336</v>
      </c>
      <c r="Q1147" s="21" t="s">
        <v>344</v>
      </c>
      <c r="R1147" s="22">
        <v>45756</v>
      </c>
      <c r="W1147">
        <f>COUNTIF(スマートプラス!U:U,B1147)</f>
        <v>0</v>
      </c>
    </row>
    <row r="1148" spans="1:23" ht="24.95" hidden="1" customHeight="1" x14ac:dyDescent="0.4">
      <c r="A1148" s="17" t="s">
        <v>63</v>
      </c>
      <c r="B1148" s="15" t="s">
        <v>236</v>
      </c>
      <c r="C1148" s="16" t="s">
        <v>31</v>
      </c>
      <c r="D1148" s="16" t="s">
        <v>31</v>
      </c>
      <c r="E1148" s="15" t="s">
        <v>32</v>
      </c>
      <c r="F1148" s="15" t="s">
        <v>314</v>
      </c>
      <c r="N1148" s="21" t="s">
        <v>96</v>
      </c>
      <c r="O1148" s="21" t="s">
        <v>336</v>
      </c>
      <c r="Q1148" s="21" t="s">
        <v>344</v>
      </c>
      <c r="R1148" s="22">
        <v>45756</v>
      </c>
      <c r="W1148">
        <f>COUNTIF(スマートプラス!U:U,B1148)</f>
        <v>0</v>
      </c>
    </row>
    <row r="1149" spans="1:23" ht="24.95" hidden="1" customHeight="1" x14ac:dyDescent="0.4">
      <c r="A1149" s="17" t="s">
        <v>63</v>
      </c>
      <c r="B1149" s="15" t="s">
        <v>237</v>
      </c>
      <c r="C1149" s="16" t="s">
        <v>31</v>
      </c>
      <c r="D1149" s="16" t="s">
        <v>31</v>
      </c>
      <c r="E1149" s="15" t="s">
        <v>32</v>
      </c>
      <c r="F1149" s="15" t="s">
        <v>314</v>
      </c>
      <c r="N1149" s="21" t="s">
        <v>96</v>
      </c>
      <c r="O1149" s="21" t="s">
        <v>336</v>
      </c>
      <c r="Q1149" s="21" t="s">
        <v>344</v>
      </c>
      <c r="R1149" s="22">
        <v>45756</v>
      </c>
      <c r="W1149">
        <f>COUNTIF(スマートプラス!U:U,B1149)</f>
        <v>0</v>
      </c>
    </row>
    <row r="1150" spans="1:23" ht="24.95" hidden="1" customHeight="1" x14ac:dyDescent="0.4">
      <c r="A1150" s="17" t="s">
        <v>63</v>
      </c>
      <c r="B1150" s="15" t="s">
        <v>346</v>
      </c>
      <c r="C1150" s="16" t="s">
        <v>31</v>
      </c>
      <c r="D1150" s="16" t="s">
        <v>31</v>
      </c>
      <c r="E1150" s="15" t="s">
        <v>32</v>
      </c>
      <c r="F1150" s="15" t="s">
        <v>356</v>
      </c>
      <c r="N1150" s="21" t="s">
        <v>96</v>
      </c>
      <c r="O1150" s="21" t="s">
        <v>360</v>
      </c>
      <c r="Q1150" s="21" t="s">
        <v>344</v>
      </c>
      <c r="R1150" s="22">
        <v>45847</v>
      </c>
      <c r="W1150">
        <f>COUNTIF(スマートプラス!U:U,B1150)</f>
        <v>0</v>
      </c>
    </row>
    <row r="1151" spans="1:23" ht="24.95" hidden="1" customHeight="1" x14ac:dyDescent="0.4">
      <c r="A1151" s="17" t="s">
        <v>63</v>
      </c>
      <c r="B1151" s="15" t="s">
        <v>357</v>
      </c>
      <c r="C1151" s="16" t="s">
        <v>31</v>
      </c>
      <c r="D1151" s="16" t="s">
        <v>31</v>
      </c>
      <c r="E1151" s="15" t="s">
        <v>32</v>
      </c>
      <c r="F1151" s="15" t="s">
        <v>356</v>
      </c>
      <c r="N1151" s="21" t="s">
        <v>96</v>
      </c>
      <c r="O1151" s="21" t="s">
        <v>360</v>
      </c>
      <c r="Q1151" s="21" t="s">
        <v>344</v>
      </c>
      <c r="R1151" s="22">
        <v>45847</v>
      </c>
      <c r="W1151">
        <f>COUNTIF(スマートプラス!U:U,B1151)</f>
        <v>0</v>
      </c>
    </row>
    <row r="1152" spans="1:23" ht="24.95" hidden="1" customHeight="1" x14ac:dyDescent="0.4">
      <c r="A1152" s="17" t="s">
        <v>63</v>
      </c>
      <c r="B1152" s="15" t="s">
        <v>347</v>
      </c>
      <c r="C1152" s="16" t="s">
        <v>31</v>
      </c>
      <c r="D1152" s="16" t="s">
        <v>31</v>
      </c>
      <c r="E1152" s="15" t="s">
        <v>32</v>
      </c>
      <c r="F1152" s="15" t="s">
        <v>356</v>
      </c>
      <c r="N1152" s="21" t="s">
        <v>96</v>
      </c>
      <c r="O1152" s="21" t="s">
        <v>360</v>
      </c>
      <c r="Q1152" s="21" t="s">
        <v>344</v>
      </c>
      <c r="R1152" s="22">
        <v>45847</v>
      </c>
      <c r="W1152">
        <f>COUNTIF(スマートプラス!U:U,B1152)</f>
        <v>0</v>
      </c>
    </row>
    <row r="1153" spans="1:23" ht="24.95" hidden="1" customHeight="1" x14ac:dyDescent="0.4">
      <c r="A1153" s="17" t="s">
        <v>63</v>
      </c>
      <c r="B1153" s="15" t="s">
        <v>320</v>
      </c>
      <c r="C1153" s="16" t="s">
        <v>31</v>
      </c>
      <c r="D1153" s="16" t="s">
        <v>31</v>
      </c>
      <c r="E1153" s="15" t="s">
        <v>32</v>
      </c>
      <c r="F1153" s="15" t="s">
        <v>314</v>
      </c>
      <c r="N1153" s="21" t="s">
        <v>96</v>
      </c>
      <c r="O1153" s="21" t="s">
        <v>337</v>
      </c>
      <c r="Q1153" s="21" t="s">
        <v>344</v>
      </c>
      <c r="R1153" s="22">
        <v>45756</v>
      </c>
      <c r="W1153">
        <f>COUNTIF(スマートプラス!U:U,B1153)</f>
        <v>0</v>
      </c>
    </row>
    <row r="1154" spans="1:23" ht="24.95" hidden="1" customHeight="1" x14ac:dyDescent="0.4">
      <c r="A1154" s="17" t="s">
        <v>63</v>
      </c>
      <c r="B1154" s="15" t="s">
        <v>132</v>
      </c>
      <c r="C1154" s="16" t="s">
        <v>31</v>
      </c>
      <c r="D1154" s="16" t="s">
        <v>31</v>
      </c>
      <c r="E1154" s="15" t="s">
        <v>32</v>
      </c>
      <c r="F1154" s="15" t="s">
        <v>314</v>
      </c>
      <c r="N1154" s="21" t="s">
        <v>96</v>
      </c>
      <c r="O1154" s="21" t="s">
        <v>337</v>
      </c>
      <c r="Q1154" s="21" t="s">
        <v>344</v>
      </c>
      <c r="R1154" s="22">
        <v>45756</v>
      </c>
      <c r="W1154">
        <f>COUNTIF(スマートプラス!U:U,B1154)</f>
        <v>0</v>
      </c>
    </row>
    <row r="1155" spans="1:23" ht="24.95" hidden="1" customHeight="1" x14ac:dyDescent="0.4">
      <c r="A1155" s="17" t="s">
        <v>63</v>
      </c>
      <c r="B1155" s="15" t="s">
        <v>321</v>
      </c>
      <c r="C1155" s="16" t="s">
        <v>24</v>
      </c>
      <c r="D1155" s="16" t="s">
        <v>31</v>
      </c>
      <c r="E1155" s="15" t="s">
        <v>35</v>
      </c>
      <c r="F1155" s="15" t="s">
        <v>314</v>
      </c>
      <c r="N1155" s="21" t="s">
        <v>96</v>
      </c>
      <c r="O1155" s="21" t="s">
        <v>337</v>
      </c>
      <c r="Q1155" s="21" t="s">
        <v>344</v>
      </c>
      <c r="R1155" s="22">
        <v>45756</v>
      </c>
      <c r="W1155">
        <f>COUNTIF(スマートプラス!U:U,B1155)</f>
        <v>0</v>
      </c>
    </row>
    <row r="1156" spans="1:23" ht="24.95" hidden="1" customHeight="1" x14ac:dyDescent="0.4">
      <c r="A1156" s="17" t="s">
        <v>63</v>
      </c>
      <c r="B1156" s="15" t="s">
        <v>322</v>
      </c>
      <c r="C1156" s="16" t="s">
        <v>24</v>
      </c>
      <c r="D1156" s="16" t="s">
        <v>31</v>
      </c>
      <c r="E1156" s="15" t="s">
        <v>35</v>
      </c>
      <c r="F1156" s="15" t="s">
        <v>314</v>
      </c>
      <c r="N1156" s="21" t="s">
        <v>96</v>
      </c>
      <c r="O1156" s="21" t="s">
        <v>337</v>
      </c>
      <c r="Q1156" s="21" t="s">
        <v>344</v>
      </c>
      <c r="R1156" s="22">
        <v>45756</v>
      </c>
      <c r="W1156">
        <f>COUNTIF(スマートプラス!U:U,B1156)</f>
        <v>0</v>
      </c>
    </row>
    <row r="1157" spans="1:23" ht="24.95" hidden="1" customHeight="1" x14ac:dyDescent="0.4">
      <c r="A1157" s="17" t="s">
        <v>63</v>
      </c>
      <c r="B1157" s="15" t="s">
        <v>323</v>
      </c>
      <c r="C1157" s="16" t="s">
        <v>24</v>
      </c>
      <c r="D1157" s="16" t="s">
        <v>31</v>
      </c>
      <c r="E1157" s="15" t="s">
        <v>35</v>
      </c>
      <c r="F1157" s="15" t="s">
        <v>314</v>
      </c>
      <c r="N1157" s="21" t="s">
        <v>96</v>
      </c>
      <c r="O1157" s="21" t="s">
        <v>337</v>
      </c>
      <c r="Q1157" s="21" t="s">
        <v>344</v>
      </c>
      <c r="R1157" s="22">
        <v>45756</v>
      </c>
      <c r="W1157">
        <f>COUNTIF(スマートプラス!U:U,B1157)</f>
        <v>0</v>
      </c>
    </row>
    <row r="1158" spans="1:23" ht="24.95" hidden="1" customHeight="1" x14ac:dyDescent="0.4">
      <c r="A1158" s="17" t="s">
        <v>63</v>
      </c>
      <c r="B1158" s="15" t="s">
        <v>238</v>
      </c>
      <c r="C1158" s="16" t="s">
        <v>31</v>
      </c>
      <c r="D1158" s="16" t="s">
        <v>31</v>
      </c>
      <c r="E1158" s="15" t="s">
        <v>32</v>
      </c>
      <c r="F1158" s="15" t="s">
        <v>314</v>
      </c>
      <c r="N1158" s="21" t="s">
        <v>96</v>
      </c>
      <c r="O1158" s="21" t="s">
        <v>336</v>
      </c>
      <c r="Q1158" s="21" t="s">
        <v>344</v>
      </c>
      <c r="R1158" s="22">
        <v>45756</v>
      </c>
      <c r="W1158">
        <f>COUNTIF(スマートプラス!U:U,B1158)</f>
        <v>0</v>
      </c>
    </row>
    <row r="1159" spans="1:23" ht="24.95" hidden="1" customHeight="1" x14ac:dyDescent="0.4">
      <c r="A1159" s="17" t="s">
        <v>63</v>
      </c>
      <c r="B1159" s="15" t="s">
        <v>239</v>
      </c>
      <c r="C1159" s="16" t="s">
        <v>31</v>
      </c>
      <c r="D1159" s="16" t="s">
        <v>31</v>
      </c>
      <c r="E1159" s="15" t="s">
        <v>32</v>
      </c>
      <c r="F1159" s="15" t="s">
        <v>314</v>
      </c>
      <c r="N1159" s="21" t="s">
        <v>96</v>
      </c>
      <c r="O1159" s="21" t="s">
        <v>336</v>
      </c>
      <c r="Q1159" s="21" t="s">
        <v>344</v>
      </c>
      <c r="R1159" s="22">
        <v>45756</v>
      </c>
      <c r="W1159">
        <f>COUNTIF(スマートプラス!U:U,B1159)</f>
        <v>0</v>
      </c>
    </row>
    <row r="1160" spans="1:23" ht="24.95" hidden="1" customHeight="1" x14ac:dyDescent="0.4">
      <c r="A1160" s="17" t="s">
        <v>63</v>
      </c>
      <c r="B1160" s="15" t="s">
        <v>240</v>
      </c>
      <c r="C1160" s="16" t="s">
        <v>31</v>
      </c>
      <c r="D1160" s="16" t="s">
        <v>31</v>
      </c>
      <c r="E1160" s="15" t="s">
        <v>32</v>
      </c>
      <c r="F1160" s="15" t="s">
        <v>314</v>
      </c>
      <c r="N1160" s="21" t="s">
        <v>96</v>
      </c>
      <c r="O1160" s="21" t="s">
        <v>336</v>
      </c>
      <c r="Q1160" s="21" t="s">
        <v>344</v>
      </c>
      <c r="R1160" s="22">
        <v>45756</v>
      </c>
      <c r="W1160">
        <f>COUNTIF(スマートプラス!U:U,B1160)</f>
        <v>0</v>
      </c>
    </row>
    <row r="1161" spans="1:23" ht="24.95" hidden="1" customHeight="1" x14ac:dyDescent="0.4">
      <c r="A1161" s="17" t="s">
        <v>63</v>
      </c>
      <c r="B1161" s="15" t="s">
        <v>241</v>
      </c>
      <c r="C1161" s="16" t="s">
        <v>31</v>
      </c>
      <c r="D1161" s="16" t="s">
        <v>31</v>
      </c>
      <c r="E1161" s="15" t="s">
        <v>32</v>
      </c>
      <c r="F1161" s="15" t="s">
        <v>314</v>
      </c>
      <c r="N1161" s="21" t="s">
        <v>96</v>
      </c>
      <c r="O1161" s="21" t="s">
        <v>336</v>
      </c>
      <c r="Q1161" s="21" t="s">
        <v>344</v>
      </c>
      <c r="R1161" s="22">
        <v>45756</v>
      </c>
      <c r="W1161">
        <f>COUNTIF(スマートプラス!U:U,B1161)</f>
        <v>0</v>
      </c>
    </row>
    <row r="1162" spans="1:23" ht="24.95" hidden="1" customHeight="1" x14ac:dyDescent="0.4">
      <c r="A1162" s="17" t="s">
        <v>63</v>
      </c>
      <c r="B1162" s="15" t="s">
        <v>242</v>
      </c>
      <c r="C1162" s="16" t="s">
        <v>31</v>
      </c>
      <c r="D1162" s="16" t="s">
        <v>31</v>
      </c>
      <c r="E1162" s="15" t="s">
        <v>32</v>
      </c>
      <c r="F1162" s="15" t="s">
        <v>314</v>
      </c>
      <c r="N1162" s="21" t="s">
        <v>96</v>
      </c>
      <c r="O1162" s="21" t="s">
        <v>336</v>
      </c>
      <c r="Q1162" s="21" t="s">
        <v>344</v>
      </c>
      <c r="R1162" s="22">
        <v>45756</v>
      </c>
      <c r="W1162">
        <f>COUNTIF(スマートプラス!U:U,B1162)</f>
        <v>0</v>
      </c>
    </row>
    <row r="1163" spans="1:23" ht="24.95" hidden="1" customHeight="1" x14ac:dyDescent="0.4">
      <c r="A1163" s="17" t="s">
        <v>63</v>
      </c>
      <c r="B1163" s="15" t="s">
        <v>243</v>
      </c>
      <c r="C1163" s="16" t="s">
        <v>31</v>
      </c>
      <c r="D1163" s="16" t="s">
        <v>31</v>
      </c>
      <c r="E1163" s="15" t="s">
        <v>32</v>
      </c>
      <c r="F1163" s="15" t="s">
        <v>314</v>
      </c>
      <c r="N1163" s="21" t="s">
        <v>96</v>
      </c>
      <c r="O1163" s="21" t="s">
        <v>336</v>
      </c>
      <c r="Q1163" s="21" t="s">
        <v>344</v>
      </c>
      <c r="R1163" s="22">
        <v>45756</v>
      </c>
      <c r="W1163">
        <f>COUNTIF(スマートプラス!U:U,B1163)</f>
        <v>0</v>
      </c>
    </row>
    <row r="1164" spans="1:23" ht="24.95" hidden="1" customHeight="1" x14ac:dyDescent="0.4">
      <c r="A1164" s="17" t="s">
        <v>63</v>
      </c>
      <c r="B1164" s="15" t="s">
        <v>244</v>
      </c>
      <c r="C1164" s="16" t="s">
        <v>31</v>
      </c>
      <c r="D1164" s="16" t="s">
        <v>31</v>
      </c>
      <c r="E1164" s="15" t="s">
        <v>32</v>
      </c>
      <c r="F1164" s="15" t="s">
        <v>314</v>
      </c>
      <c r="N1164" s="21" t="s">
        <v>96</v>
      </c>
      <c r="O1164" s="21" t="s">
        <v>336</v>
      </c>
      <c r="Q1164" s="21" t="s">
        <v>344</v>
      </c>
      <c r="R1164" s="22">
        <v>45756</v>
      </c>
      <c r="W1164">
        <f>COUNTIF(スマートプラス!U:U,B1164)</f>
        <v>0</v>
      </c>
    </row>
    <row r="1165" spans="1:23" ht="24.95" hidden="1" customHeight="1" x14ac:dyDescent="0.4">
      <c r="A1165" s="17" t="s">
        <v>63</v>
      </c>
      <c r="B1165" s="15" t="s">
        <v>245</v>
      </c>
      <c r="C1165" s="16" t="s">
        <v>31</v>
      </c>
      <c r="D1165" s="16" t="s">
        <v>31</v>
      </c>
      <c r="E1165" s="15" t="s">
        <v>32</v>
      </c>
      <c r="F1165" s="15" t="s">
        <v>314</v>
      </c>
      <c r="N1165" s="21" t="s">
        <v>96</v>
      </c>
      <c r="O1165" s="21" t="s">
        <v>336</v>
      </c>
      <c r="Q1165" s="21" t="s">
        <v>344</v>
      </c>
      <c r="R1165" s="22">
        <v>45756</v>
      </c>
      <c r="W1165">
        <f>COUNTIF(スマートプラス!U:U,B1165)</f>
        <v>0</v>
      </c>
    </row>
    <row r="1166" spans="1:23" ht="24.95" hidden="1" customHeight="1" x14ac:dyDescent="0.4">
      <c r="A1166" s="17" t="s">
        <v>63</v>
      </c>
      <c r="B1166" s="15" t="s">
        <v>246</v>
      </c>
      <c r="C1166" s="16" t="s">
        <v>31</v>
      </c>
      <c r="D1166" s="16" t="s">
        <v>31</v>
      </c>
      <c r="E1166" s="15" t="s">
        <v>32</v>
      </c>
      <c r="F1166" s="15" t="s">
        <v>314</v>
      </c>
      <c r="N1166" s="21" t="s">
        <v>96</v>
      </c>
      <c r="O1166" s="21" t="s">
        <v>336</v>
      </c>
      <c r="Q1166" s="21" t="s">
        <v>344</v>
      </c>
      <c r="R1166" s="22">
        <v>45756</v>
      </c>
      <c r="W1166">
        <f>COUNTIF(スマートプラス!U:U,B1166)</f>
        <v>0</v>
      </c>
    </row>
    <row r="1167" spans="1:23" ht="24.95" hidden="1" customHeight="1" x14ac:dyDescent="0.4">
      <c r="A1167" s="17" t="s">
        <v>63</v>
      </c>
      <c r="B1167" s="15" t="s">
        <v>247</v>
      </c>
      <c r="C1167" s="16" t="s">
        <v>31</v>
      </c>
      <c r="D1167" s="16" t="s">
        <v>31</v>
      </c>
      <c r="E1167" s="15" t="s">
        <v>32</v>
      </c>
      <c r="F1167" s="15" t="s">
        <v>314</v>
      </c>
      <c r="N1167" s="21" t="s">
        <v>96</v>
      </c>
      <c r="O1167" s="21" t="s">
        <v>336</v>
      </c>
      <c r="Q1167" s="21" t="s">
        <v>344</v>
      </c>
      <c r="R1167" s="22">
        <v>45756</v>
      </c>
      <c r="W1167">
        <f>COUNTIF(スマートプラス!U:U,B1167)</f>
        <v>0</v>
      </c>
    </row>
    <row r="1168" spans="1:23" ht="24.95" hidden="1" customHeight="1" x14ac:dyDescent="0.4">
      <c r="A1168" s="17" t="s">
        <v>63</v>
      </c>
      <c r="B1168" s="15" t="s">
        <v>248</v>
      </c>
      <c r="C1168" s="16" t="s">
        <v>31</v>
      </c>
      <c r="D1168" s="16" t="s">
        <v>31</v>
      </c>
      <c r="E1168" s="15" t="s">
        <v>32</v>
      </c>
      <c r="F1168" s="15" t="s">
        <v>314</v>
      </c>
      <c r="N1168" s="21" t="s">
        <v>96</v>
      </c>
      <c r="O1168" s="21" t="s">
        <v>336</v>
      </c>
      <c r="Q1168" s="21" t="s">
        <v>344</v>
      </c>
      <c r="R1168" s="22">
        <v>45756</v>
      </c>
      <c r="W1168">
        <f>COUNTIF(スマートプラス!U:U,B1168)</f>
        <v>0</v>
      </c>
    </row>
    <row r="1169" spans="1:23" ht="24.95" hidden="1" customHeight="1" x14ac:dyDescent="0.4">
      <c r="A1169" s="17" t="s">
        <v>63</v>
      </c>
      <c r="B1169" s="15" t="s">
        <v>249</v>
      </c>
      <c r="C1169" s="16" t="s">
        <v>31</v>
      </c>
      <c r="D1169" s="16" t="s">
        <v>31</v>
      </c>
      <c r="E1169" s="15" t="s">
        <v>32</v>
      </c>
      <c r="F1169" s="15" t="s">
        <v>314</v>
      </c>
      <c r="N1169" s="21" t="s">
        <v>96</v>
      </c>
      <c r="O1169" s="21" t="s">
        <v>336</v>
      </c>
      <c r="Q1169" s="21" t="s">
        <v>344</v>
      </c>
      <c r="R1169" s="22">
        <v>45756</v>
      </c>
      <c r="W1169">
        <f>COUNTIF(スマートプラス!U:U,B1169)</f>
        <v>0</v>
      </c>
    </row>
    <row r="1170" spans="1:23" ht="24.95" hidden="1" customHeight="1" x14ac:dyDescent="0.4">
      <c r="A1170" s="17" t="s">
        <v>63</v>
      </c>
      <c r="B1170" s="15" t="s">
        <v>250</v>
      </c>
      <c r="C1170" s="16" t="s">
        <v>31</v>
      </c>
      <c r="D1170" s="16" t="s">
        <v>31</v>
      </c>
      <c r="E1170" s="15" t="s">
        <v>32</v>
      </c>
      <c r="F1170" s="15" t="s">
        <v>314</v>
      </c>
      <c r="N1170" s="21" t="s">
        <v>96</v>
      </c>
      <c r="O1170" s="21" t="s">
        <v>336</v>
      </c>
      <c r="Q1170" s="21" t="s">
        <v>344</v>
      </c>
      <c r="R1170" s="22">
        <v>45756</v>
      </c>
      <c r="W1170">
        <f>COUNTIF(スマートプラス!U:U,B1170)</f>
        <v>0</v>
      </c>
    </row>
    <row r="1171" spans="1:23" ht="24.95" hidden="1" customHeight="1" x14ac:dyDescent="0.4">
      <c r="A1171" s="17" t="s">
        <v>63</v>
      </c>
      <c r="B1171" s="15" t="s">
        <v>251</v>
      </c>
      <c r="C1171" s="16" t="s">
        <v>31</v>
      </c>
      <c r="D1171" s="16" t="s">
        <v>31</v>
      </c>
      <c r="E1171" s="15" t="s">
        <v>32</v>
      </c>
      <c r="F1171" s="15" t="s">
        <v>314</v>
      </c>
      <c r="N1171" s="21" t="s">
        <v>96</v>
      </c>
      <c r="O1171" s="21" t="s">
        <v>336</v>
      </c>
      <c r="Q1171" s="21" t="s">
        <v>344</v>
      </c>
      <c r="R1171" s="22">
        <v>45756</v>
      </c>
      <c r="W1171">
        <f>COUNTIF(スマートプラス!U:U,B1171)</f>
        <v>0</v>
      </c>
    </row>
    <row r="1172" spans="1:23" ht="24.95" hidden="1" customHeight="1" x14ac:dyDescent="0.4">
      <c r="A1172" s="17" t="s">
        <v>63</v>
      </c>
      <c r="B1172" s="15" t="s">
        <v>341</v>
      </c>
      <c r="C1172" s="16" t="s">
        <v>31</v>
      </c>
      <c r="D1172" s="16" t="s">
        <v>31</v>
      </c>
      <c r="E1172" s="15" t="s">
        <v>32</v>
      </c>
      <c r="F1172" s="15" t="s">
        <v>340</v>
      </c>
      <c r="N1172" s="21" t="s">
        <v>96</v>
      </c>
      <c r="O1172" s="21" t="s">
        <v>345</v>
      </c>
      <c r="Q1172" s="21" t="s">
        <v>344</v>
      </c>
      <c r="R1172" s="22">
        <v>45784</v>
      </c>
      <c r="W1172">
        <f>COUNTIF(スマートプラス!U:U,B1172)</f>
        <v>0</v>
      </c>
    </row>
    <row r="1173" spans="1:23" ht="24.95" hidden="1" customHeight="1" x14ac:dyDescent="0.4">
      <c r="A1173" s="17" t="s">
        <v>63</v>
      </c>
      <c r="B1173" s="15" t="s">
        <v>252</v>
      </c>
      <c r="C1173" s="16" t="s">
        <v>31</v>
      </c>
      <c r="D1173" s="16" t="s">
        <v>31</v>
      </c>
      <c r="E1173" s="15" t="s">
        <v>32</v>
      </c>
      <c r="F1173" s="15" t="s">
        <v>314</v>
      </c>
      <c r="N1173" s="21" t="s">
        <v>96</v>
      </c>
      <c r="O1173" s="21" t="s">
        <v>336</v>
      </c>
      <c r="Q1173" s="21" t="s">
        <v>344</v>
      </c>
      <c r="R1173" s="22">
        <v>45756</v>
      </c>
      <c r="W1173">
        <f>COUNTIF(スマートプラス!U:U,B1173)</f>
        <v>0</v>
      </c>
    </row>
    <row r="1174" spans="1:23" ht="24.95" hidden="1" customHeight="1" x14ac:dyDescent="0.4">
      <c r="A1174" s="17" t="s">
        <v>63</v>
      </c>
      <c r="B1174" s="15" t="s">
        <v>253</v>
      </c>
      <c r="C1174" s="16" t="s">
        <v>31</v>
      </c>
      <c r="D1174" s="16" t="s">
        <v>31</v>
      </c>
      <c r="E1174" s="15" t="s">
        <v>32</v>
      </c>
      <c r="F1174" s="15" t="s">
        <v>314</v>
      </c>
      <c r="N1174" s="21" t="s">
        <v>96</v>
      </c>
      <c r="O1174" s="21" t="s">
        <v>336</v>
      </c>
      <c r="Q1174" s="21" t="s">
        <v>344</v>
      </c>
      <c r="R1174" s="22">
        <v>45756</v>
      </c>
      <c r="W1174">
        <f>COUNTIF(スマートプラス!U:U,B1174)</f>
        <v>0</v>
      </c>
    </row>
    <row r="1175" spans="1:23" ht="24.95" hidden="1" customHeight="1" x14ac:dyDescent="0.4">
      <c r="A1175" s="17" t="s">
        <v>63</v>
      </c>
      <c r="B1175" s="15" t="s">
        <v>254</v>
      </c>
      <c r="C1175" s="16" t="s">
        <v>31</v>
      </c>
      <c r="D1175" s="16" t="s">
        <v>31</v>
      </c>
      <c r="E1175" s="15" t="s">
        <v>32</v>
      </c>
      <c r="F1175" s="15" t="s">
        <v>314</v>
      </c>
      <c r="N1175" s="21" t="s">
        <v>96</v>
      </c>
      <c r="O1175" s="21" t="s">
        <v>336</v>
      </c>
      <c r="Q1175" s="21" t="s">
        <v>344</v>
      </c>
      <c r="R1175" s="22">
        <v>45756</v>
      </c>
      <c r="W1175">
        <f>COUNTIF(スマートプラス!U:U,B1175)</f>
        <v>0</v>
      </c>
    </row>
    <row r="1176" spans="1:23" ht="24.95" hidden="1" customHeight="1" x14ac:dyDescent="0.4">
      <c r="A1176" s="17" t="s">
        <v>63</v>
      </c>
      <c r="B1176" s="15" t="s">
        <v>255</v>
      </c>
      <c r="C1176" s="16" t="s">
        <v>31</v>
      </c>
      <c r="D1176" s="16" t="s">
        <v>31</v>
      </c>
      <c r="E1176" s="15" t="s">
        <v>32</v>
      </c>
      <c r="F1176" s="15" t="s">
        <v>314</v>
      </c>
      <c r="N1176" s="21" t="s">
        <v>96</v>
      </c>
      <c r="O1176" s="21" t="s">
        <v>336</v>
      </c>
      <c r="Q1176" s="21" t="s">
        <v>344</v>
      </c>
      <c r="R1176" s="22">
        <v>45756</v>
      </c>
      <c r="W1176">
        <f>COUNTIF(スマートプラス!U:U,B1176)</f>
        <v>0</v>
      </c>
    </row>
    <row r="1177" spans="1:23" ht="24.95" hidden="1" customHeight="1" x14ac:dyDescent="0.4">
      <c r="A1177" s="17" t="s">
        <v>63</v>
      </c>
      <c r="B1177" s="15" t="s">
        <v>256</v>
      </c>
      <c r="C1177" s="16" t="s">
        <v>31</v>
      </c>
      <c r="D1177" s="16" t="s">
        <v>31</v>
      </c>
      <c r="E1177" s="15" t="s">
        <v>32</v>
      </c>
      <c r="F1177" s="15" t="s">
        <v>314</v>
      </c>
      <c r="N1177" s="21" t="s">
        <v>96</v>
      </c>
      <c r="O1177" s="21" t="s">
        <v>336</v>
      </c>
      <c r="Q1177" s="21" t="s">
        <v>344</v>
      </c>
      <c r="R1177" s="22">
        <v>45756</v>
      </c>
      <c r="W1177">
        <f>COUNTIF(スマートプラス!U:U,B1177)</f>
        <v>0</v>
      </c>
    </row>
    <row r="1178" spans="1:23" ht="24.95" hidden="1" customHeight="1" x14ac:dyDescent="0.4">
      <c r="A1178" s="17" t="s">
        <v>63</v>
      </c>
      <c r="B1178" s="15" t="s">
        <v>257</v>
      </c>
      <c r="C1178" s="16" t="s">
        <v>31</v>
      </c>
      <c r="D1178" s="16" t="s">
        <v>31</v>
      </c>
      <c r="E1178" s="15" t="s">
        <v>32</v>
      </c>
      <c r="F1178" s="15" t="s">
        <v>314</v>
      </c>
      <c r="N1178" s="21" t="s">
        <v>96</v>
      </c>
      <c r="O1178" s="21" t="s">
        <v>336</v>
      </c>
      <c r="Q1178" s="21" t="s">
        <v>344</v>
      </c>
      <c r="R1178" s="22">
        <v>45756</v>
      </c>
      <c r="W1178">
        <f>COUNTIF(スマートプラス!U:U,B1178)</f>
        <v>0</v>
      </c>
    </row>
    <row r="1179" spans="1:23" ht="24.95" hidden="1" customHeight="1" x14ac:dyDescent="0.4">
      <c r="A1179" s="17" t="s">
        <v>63</v>
      </c>
      <c r="B1179" s="15" t="s">
        <v>258</v>
      </c>
      <c r="C1179" s="16" t="s">
        <v>31</v>
      </c>
      <c r="D1179" s="16" t="s">
        <v>31</v>
      </c>
      <c r="E1179" s="15" t="s">
        <v>32</v>
      </c>
      <c r="F1179" s="15" t="s">
        <v>314</v>
      </c>
      <c r="N1179" s="21" t="s">
        <v>96</v>
      </c>
      <c r="O1179" s="21" t="s">
        <v>336</v>
      </c>
      <c r="Q1179" s="21" t="s">
        <v>344</v>
      </c>
      <c r="R1179" s="22">
        <v>45756</v>
      </c>
      <c r="W1179">
        <f>COUNTIF(スマートプラス!U:U,B1179)</f>
        <v>0</v>
      </c>
    </row>
    <row r="1180" spans="1:23" ht="24.95" hidden="1" customHeight="1" x14ac:dyDescent="0.4">
      <c r="A1180" s="17" t="s">
        <v>63</v>
      </c>
      <c r="B1180" s="15" t="s">
        <v>259</v>
      </c>
      <c r="C1180" s="16" t="s">
        <v>31</v>
      </c>
      <c r="D1180" s="16" t="s">
        <v>31</v>
      </c>
      <c r="E1180" s="15" t="s">
        <v>32</v>
      </c>
      <c r="F1180" s="15" t="s">
        <v>314</v>
      </c>
      <c r="N1180" s="21" t="s">
        <v>96</v>
      </c>
      <c r="O1180" s="21" t="s">
        <v>336</v>
      </c>
      <c r="Q1180" s="21" t="s">
        <v>344</v>
      </c>
      <c r="R1180" s="22">
        <v>45756</v>
      </c>
      <c r="W1180">
        <f>COUNTIF(スマートプラス!U:U,B1180)</f>
        <v>0</v>
      </c>
    </row>
    <row r="1181" spans="1:23" ht="24.95" hidden="1" customHeight="1" x14ac:dyDescent="0.4">
      <c r="A1181" s="17" t="s">
        <v>63</v>
      </c>
      <c r="B1181" s="15" t="s">
        <v>260</v>
      </c>
      <c r="C1181" s="16" t="s">
        <v>31</v>
      </c>
      <c r="D1181" s="16" t="s">
        <v>31</v>
      </c>
      <c r="E1181" s="15" t="s">
        <v>32</v>
      </c>
      <c r="F1181" s="15" t="s">
        <v>314</v>
      </c>
      <c r="N1181" s="21" t="s">
        <v>96</v>
      </c>
      <c r="O1181" s="21" t="s">
        <v>336</v>
      </c>
      <c r="Q1181" s="21" t="s">
        <v>344</v>
      </c>
      <c r="R1181" s="22">
        <v>45756</v>
      </c>
      <c r="W1181">
        <f>COUNTIF(スマートプラス!U:U,B1181)</f>
        <v>0</v>
      </c>
    </row>
    <row r="1182" spans="1:23" ht="24.95" hidden="1" customHeight="1" x14ac:dyDescent="0.4">
      <c r="A1182" s="17" t="s">
        <v>63</v>
      </c>
      <c r="B1182" s="15" t="s">
        <v>261</v>
      </c>
      <c r="C1182" s="16" t="s">
        <v>31</v>
      </c>
      <c r="D1182" s="16" t="s">
        <v>31</v>
      </c>
      <c r="E1182" s="15" t="s">
        <v>32</v>
      </c>
      <c r="F1182" s="15" t="s">
        <v>314</v>
      </c>
      <c r="N1182" s="21" t="s">
        <v>96</v>
      </c>
      <c r="O1182" s="21" t="s">
        <v>336</v>
      </c>
      <c r="Q1182" s="21" t="s">
        <v>344</v>
      </c>
      <c r="R1182" s="22">
        <v>45756</v>
      </c>
      <c r="W1182">
        <f>COUNTIF(スマートプラス!U:U,B1182)</f>
        <v>0</v>
      </c>
    </row>
    <row r="1183" spans="1:23" ht="24.95" hidden="1" customHeight="1" x14ac:dyDescent="0.4">
      <c r="A1183" s="17" t="s">
        <v>63</v>
      </c>
      <c r="B1183" s="15" t="s">
        <v>262</v>
      </c>
      <c r="C1183" s="16" t="s">
        <v>31</v>
      </c>
      <c r="D1183" s="16" t="s">
        <v>31</v>
      </c>
      <c r="E1183" s="15" t="s">
        <v>32</v>
      </c>
      <c r="F1183" s="15" t="s">
        <v>314</v>
      </c>
      <c r="N1183" s="21" t="s">
        <v>96</v>
      </c>
      <c r="O1183" s="21" t="s">
        <v>336</v>
      </c>
      <c r="Q1183" s="21" t="s">
        <v>344</v>
      </c>
      <c r="R1183" s="22">
        <v>45756</v>
      </c>
      <c r="W1183">
        <f>COUNTIF(スマートプラス!U:U,B1183)</f>
        <v>0</v>
      </c>
    </row>
    <row r="1184" spans="1:23" ht="24.95" hidden="1" customHeight="1" x14ac:dyDescent="0.4">
      <c r="A1184" s="17" t="s">
        <v>63</v>
      </c>
      <c r="B1184" s="15" t="s">
        <v>263</v>
      </c>
      <c r="C1184" s="16" t="s">
        <v>31</v>
      </c>
      <c r="D1184" s="16" t="s">
        <v>31</v>
      </c>
      <c r="E1184" s="15" t="s">
        <v>32</v>
      </c>
      <c r="F1184" s="15" t="s">
        <v>314</v>
      </c>
      <c r="N1184" s="21" t="s">
        <v>96</v>
      </c>
      <c r="O1184" s="21" t="s">
        <v>336</v>
      </c>
      <c r="Q1184" s="21" t="s">
        <v>344</v>
      </c>
      <c r="R1184" s="22">
        <v>45756</v>
      </c>
      <c r="W1184">
        <f>COUNTIF(スマートプラス!U:U,B1184)</f>
        <v>0</v>
      </c>
    </row>
    <row r="1185" spans="1:23" ht="24.95" hidden="1" customHeight="1" x14ac:dyDescent="0.4">
      <c r="A1185" s="17" t="s">
        <v>63</v>
      </c>
      <c r="B1185" s="15" t="s">
        <v>264</v>
      </c>
      <c r="C1185" s="16" t="s">
        <v>31</v>
      </c>
      <c r="D1185" s="16" t="s">
        <v>31</v>
      </c>
      <c r="E1185" s="15" t="s">
        <v>32</v>
      </c>
      <c r="F1185" s="15" t="s">
        <v>314</v>
      </c>
      <c r="N1185" s="21" t="s">
        <v>96</v>
      </c>
      <c r="O1185" s="21" t="s">
        <v>336</v>
      </c>
      <c r="Q1185" s="21" t="s">
        <v>344</v>
      </c>
      <c r="R1185" s="22">
        <v>45756</v>
      </c>
      <c r="W1185">
        <f>COUNTIF(スマートプラス!U:U,B1185)</f>
        <v>0</v>
      </c>
    </row>
    <row r="1186" spans="1:23" ht="24.95" hidden="1" customHeight="1" x14ac:dyDescent="0.4">
      <c r="A1186" s="17" t="s">
        <v>63</v>
      </c>
      <c r="B1186" s="15" t="s">
        <v>265</v>
      </c>
      <c r="C1186" s="16" t="s">
        <v>31</v>
      </c>
      <c r="D1186" s="16" t="s">
        <v>31</v>
      </c>
      <c r="E1186" s="15" t="s">
        <v>32</v>
      </c>
      <c r="F1186" s="15" t="s">
        <v>314</v>
      </c>
      <c r="N1186" s="21" t="s">
        <v>96</v>
      </c>
      <c r="O1186" s="21" t="s">
        <v>336</v>
      </c>
      <c r="Q1186" s="21" t="s">
        <v>344</v>
      </c>
      <c r="R1186" s="22">
        <v>45756</v>
      </c>
      <c r="W1186">
        <f>COUNTIF(スマートプラス!U:U,B1186)</f>
        <v>0</v>
      </c>
    </row>
    <row r="1187" spans="1:23" ht="24.95" hidden="1" customHeight="1" x14ac:dyDescent="0.4">
      <c r="A1187" s="17" t="s">
        <v>63</v>
      </c>
      <c r="B1187" s="15" t="s">
        <v>266</v>
      </c>
      <c r="C1187" s="16" t="s">
        <v>31</v>
      </c>
      <c r="D1187" s="16" t="s">
        <v>31</v>
      </c>
      <c r="E1187" s="15" t="s">
        <v>32</v>
      </c>
      <c r="F1187" s="15" t="s">
        <v>314</v>
      </c>
      <c r="N1187" s="21" t="s">
        <v>96</v>
      </c>
      <c r="O1187" s="21" t="s">
        <v>336</v>
      </c>
      <c r="Q1187" s="21" t="s">
        <v>344</v>
      </c>
      <c r="R1187" s="22">
        <v>45756</v>
      </c>
      <c r="W1187">
        <f>COUNTIF(スマートプラス!U:U,B1187)</f>
        <v>0</v>
      </c>
    </row>
    <row r="1188" spans="1:23" ht="24.95" hidden="1" customHeight="1" x14ac:dyDescent="0.4">
      <c r="A1188" s="17" t="s">
        <v>63</v>
      </c>
      <c r="B1188" s="15" t="s">
        <v>267</v>
      </c>
      <c r="C1188" s="16" t="s">
        <v>31</v>
      </c>
      <c r="D1188" s="16" t="s">
        <v>31</v>
      </c>
      <c r="E1188" s="15" t="s">
        <v>32</v>
      </c>
      <c r="F1188" s="15" t="s">
        <v>314</v>
      </c>
      <c r="N1188" s="21" t="s">
        <v>96</v>
      </c>
      <c r="O1188" s="21" t="s">
        <v>336</v>
      </c>
      <c r="Q1188" s="21" t="s">
        <v>344</v>
      </c>
      <c r="R1188" s="22">
        <v>45756</v>
      </c>
      <c r="W1188">
        <f>COUNTIF(スマートプラス!U:U,B1188)</f>
        <v>0</v>
      </c>
    </row>
    <row r="1189" spans="1:23" ht="24.95" hidden="1" customHeight="1" x14ac:dyDescent="0.4">
      <c r="A1189" s="17" t="s">
        <v>63</v>
      </c>
      <c r="B1189" s="15" t="s">
        <v>268</v>
      </c>
      <c r="C1189" s="16" t="s">
        <v>31</v>
      </c>
      <c r="D1189" s="16" t="s">
        <v>31</v>
      </c>
      <c r="E1189" s="15" t="s">
        <v>32</v>
      </c>
      <c r="F1189" s="15" t="s">
        <v>314</v>
      </c>
      <c r="N1189" s="21" t="s">
        <v>96</v>
      </c>
      <c r="O1189" s="21" t="s">
        <v>336</v>
      </c>
      <c r="Q1189" s="21" t="s">
        <v>344</v>
      </c>
      <c r="R1189" s="22">
        <v>45756</v>
      </c>
      <c r="W1189">
        <f>COUNTIF(スマートプラス!U:U,B1189)</f>
        <v>0</v>
      </c>
    </row>
    <row r="1190" spans="1:23" ht="24.95" hidden="1" customHeight="1" x14ac:dyDescent="0.4">
      <c r="A1190" s="17" t="s">
        <v>63</v>
      </c>
      <c r="B1190" s="15" t="s">
        <v>269</v>
      </c>
      <c r="C1190" s="16" t="s">
        <v>31</v>
      </c>
      <c r="D1190" s="16" t="s">
        <v>31</v>
      </c>
      <c r="E1190" s="15" t="s">
        <v>32</v>
      </c>
      <c r="F1190" s="15" t="s">
        <v>314</v>
      </c>
      <c r="N1190" s="21" t="s">
        <v>96</v>
      </c>
      <c r="O1190" s="21" t="s">
        <v>336</v>
      </c>
      <c r="Q1190" s="21" t="s">
        <v>344</v>
      </c>
      <c r="R1190" s="22">
        <v>45756</v>
      </c>
      <c r="W1190">
        <f>COUNTIF(スマートプラス!U:U,B1190)</f>
        <v>0</v>
      </c>
    </row>
    <row r="1191" spans="1:23" ht="24.95" hidden="1" customHeight="1" x14ac:dyDescent="0.4">
      <c r="A1191" s="17" t="s">
        <v>63</v>
      </c>
      <c r="B1191" s="15" t="s">
        <v>270</v>
      </c>
      <c r="C1191" s="16" t="s">
        <v>31</v>
      </c>
      <c r="D1191" s="16" t="s">
        <v>31</v>
      </c>
      <c r="E1191" s="15" t="s">
        <v>32</v>
      </c>
      <c r="F1191" s="15" t="s">
        <v>314</v>
      </c>
      <c r="N1191" s="21" t="s">
        <v>96</v>
      </c>
      <c r="O1191" s="21" t="s">
        <v>336</v>
      </c>
      <c r="Q1191" s="21" t="s">
        <v>344</v>
      </c>
      <c r="R1191" s="22">
        <v>45756</v>
      </c>
      <c r="W1191">
        <f>COUNTIF(スマートプラス!U:U,B1191)</f>
        <v>0</v>
      </c>
    </row>
    <row r="1192" spans="1:23" ht="24.95" hidden="1" customHeight="1" x14ac:dyDescent="0.4">
      <c r="A1192" s="17" t="s">
        <v>63</v>
      </c>
      <c r="B1192" s="15" t="s">
        <v>271</v>
      </c>
      <c r="C1192" s="16" t="s">
        <v>31</v>
      </c>
      <c r="D1192" s="16" t="s">
        <v>31</v>
      </c>
      <c r="E1192" s="15" t="s">
        <v>32</v>
      </c>
      <c r="F1192" s="15" t="s">
        <v>314</v>
      </c>
      <c r="N1192" s="21" t="s">
        <v>96</v>
      </c>
      <c r="O1192" s="21" t="s">
        <v>336</v>
      </c>
      <c r="Q1192" s="21" t="s">
        <v>344</v>
      </c>
      <c r="R1192" s="22">
        <v>45756</v>
      </c>
      <c r="W1192">
        <f>COUNTIF(スマートプラス!U:U,B1192)</f>
        <v>0</v>
      </c>
    </row>
    <row r="1193" spans="1:23" ht="24.95" hidden="1" customHeight="1" x14ac:dyDescent="0.4">
      <c r="A1193" s="17" t="s">
        <v>63</v>
      </c>
      <c r="B1193" s="15" t="s">
        <v>366</v>
      </c>
      <c r="C1193" s="16" t="s">
        <v>31</v>
      </c>
      <c r="D1193" s="16" t="s">
        <v>31</v>
      </c>
      <c r="E1193" s="15" t="s">
        <v>32</v>
      </c>
      <c r="F1193" s="15" t="s">
        <v>365</v>
      </c>
      <c r="N1193" s="21" t="s">
        <v>374</v>
      </c>
      <c r="O1193" s="21" t="s">
        <v>373</v>
      </c>
      <c r="Q1193" s="21" t="s">
        <v>344</v>
      </c>
      <c r="R1193" s="22">
        <v>45883</v>
      </c>
      <c r="W1193">
        <f>COUNTIF(スマートプラス!U:U,B1193)</f>
        <v>0</v>
      </c>
    </row>
    <row r="1194" spans="1:23" ht="24.95" hidden="1" customHeight="1" x14ac:dyDescent="0.4">
      <c r="A1194" s="17" t="s">
        <v>63</v>
      </c>
      <c r="B1194" s="15" t="s">
        <v>367</v>
      </c>
      <c r="C1194" s="16" t="s">
        <v>31</v>
      </c>
      <c r="D1194" s="16" t="s">
        <v>31</v>
      </c>
      <c r="E1194" s="15" t="s">
        <v>32</v>
      </c>
      <c r="F1194" s="15" t="s">
        <v>365</v>
      </c>
      <c r="N1194" s="21" t="s">
        <v>374</v>
      </c>
      <c r="O1194" s="21" t="s">
        <v>373</v>
      </c>
      <c r="Q1194" s="21" t="s">
        <v>344</v>
      </c>
      <c r="R1194" s="22">
        <v>45883</v>
      </c>
      <c r="W1194">
        <f>COUNTIF(スマートプラス!U:U,B1194)</f>
        <v>0</v>
      </c>
    </row>
    <row r="1195" spans="1:23" ht="24.95" hidden="1" customHeight="1" x14ac:dyDescent="0.4">
      <c r="A1195" s="17" t="s">
        <v>63</v>
      </c>
      <c r="B1195" s="15" t="s">
        <v>324</v>
      </c>
      <c r="C1195" s="16" t="s">
        <v>31</v>
      </c>
      <c r="D1195" s="16" t="s">
        <v>31</v>
      </c>
      <c r="E1195" s="15" t="s">
        <v>32</v>
      </c>
      <c r="F1195" s="15" t="s">
        <v>314</v>
      </c>
      <c r="N1195" s="21" t="s">
        <v>96</v>
      </c>
      <c r="O1195" s="21" t="s">
        <v>337</v>
      </c>
      <c r="Q1195" s="21" t="s">
        <v>344</v>
      </c>
      <c r="R1195" s="22">
        <v>45756</v>
      </c>
      <c r="W1195">
        <f>COUNTIF(スマートプラス!U:U,B1195)</f>
        <v>0</v>
      </c>
    </row>
    <row r="1196" spans="1:23" ht="24.95" hidden="1" customHeight="1" x14ac:dyDescent="0.4">
      <c r="A1196" s="17" t="s">
        <v>63</v>
      </c>
      <c r="B1196" s="50" t="s">
        <v>368</v>
      </c>
      <c r="C1196" s="16" t="s">
        <v>31</v>
      </c>
      <c r="D1196" s="16" t="s">
        <v>31</v>
      </c>
      <c r="E1196" s="15" t="s">
        <v>32</v>
      </c>
      <c r="F1196" s="15" t="s">
        <v>365</v>
      </c>
      <c r="N1196" s="21" t="s">
        <v>96</v>
      </c>
      <c r="O1196" s="21" t="s">
        <v>372</v>
      </c>
      <c r="Q1196" s="21" t="s">
        <v>344</v>
      </c>
      <c r="R1196" s="22">
        <v>45883</v>
      </c>
      <c r="W1196">
        <f>COUNTIF(スマートプラス!U:U,B1196)</f>
        <v>0</v>
      </c>
    </row>
    <row r="1197" spans="1:23" ht="24.95" hidden="1" customHeight="1" x14ac:dyDescent="0.4">
      <c r="A1197" s="17" t="s">
        <v>63</v>
      </c>
      <c r="B1197" s="50" t="s">
        <v>369</v>
      </c>
      <c r="C1197" s="16" t="s">
        <v>24</v>
      </c>
      <c r="D1197" s="16" t="s">
        <v>31</v>
      </c>
      <c r="E1197" s="15" t="s">
        <v>35</v>
      </c>
      <c r="F1197" s="15" t="s">
        <v>365</v>
      </c>
      <c r="N1197" s="21" t="s">
        <v>96</v>
      </c>
      <c r="O1197" s="21" t="s">
        <v>372</v>
      </c>
      <c r="Q1197" s="21" t="s">
        <v>344</v>
      </c>
      <c r="R1197" s="22">
        <v>45883</v>
      </c>
      <c r="W1197">
        <f>COUNTIF(スマートプラス!U:U,B1197)</f>
        <v>0</v>
      </c>
    </row>
    <row r="1198" spans="1:23" ht="24.95" hidden="1" customHeight="1" x14ac:dyDescent="0.4">
      <c r="A1198" s="17" t="s">
        <v>63</v>
      </c>
      <c r="B1198" s="15" t="s">
        <v>325</v>
      </c>
      <c r="C1198" s="16" t="s">
        <v>24</v>
      </c>
      <c r="D1198" s="16" t="s">
        <v>31</v>
      </c>
      <c r="E1198" s="15" t="s">
        <v>35</v>
      </c>
      <c r="F1198" s="15" t="s">
        <v>314</v>
      </c>
      <c r="N1198" s="21" t="s">
        <v>96</v>
      </c>
      <c r="O1198" s="21" t="s">
        <v>337</v>
      </c>
      <c r="Q1198" s="21" t="s">
        <v>344</v>
      </c>
      <c r="R1198" s="22">
        <v>45756</v>
      </c>
      <c r="W1198">
        <f>COUNTIF(スマートプラス!U:U,B1198)</f>
        <v>0</v>
      </c>
    </row>
    <row r="1199" spans="1:23" ht="24.95" hidden="1" customHeight="1" x14ac:dyDescent="0.4">
      <c r="A1199" s="17" t="s">
        <v>63</v>
      </c>
      <c r="B1199" s="15" t="s">
        <v>272</v>
      </c>
      <c r="C1199" s="16" t="s">
        <v>31</v>
      </c>
      <c r="D1199" s="16" t="s">
        <v>31</v>
      </c>
      <c r="E1199" s="15" t="s">
        <v>32</v>
      </c>
      <c r="F1199" s="15" t="s">
        <v>314</v>
      </c>
      <c r="N1199" s="21" t="s">
        <v>96</v>
      </c>
      <c r="O1199" s="21" t="s">
        <v>336</v>
      </c>
      <c r="Q1199" s="21" t="s">
        <v>344</v>
      </c>
      <c r="R1199" s="22">
        <v>45756</v>
      </c>
      <c r="W1199">
        <f>COUNTIF(スマートプラス!U:U,B1199)</f>
        <v>0</v>
      </c>
    </row>
    <row r="1200" spans="1:23" ht="24.95" hidden="1" customHeight="1" x14ac:dyDescent="0.4">
      <c r="A1200" s="17" t="s">
        <v>63</v>
      </c>
      <c r="B1200" s="15" t="s">
        <v>273</v>
      </c>
      <c r="C1200" s="16" t="s">
        <v>31</v>
      </c>
      <c r="D1200" s="16" t="s">
        <v>31</v>
      </c>
      <c r="E1200" s="15" t="s">
        <v>32</v>
      </c>
      <c r="F1200" s="15" t="s">
        <v>314</v>
      </c>
      <c r="N1200" s="21" t="s">
        <v>96</v>
      </c>
      <c r="O1200" s="21" t="s">
        <v>336</v>
      </c>
      <c r="Q1200" s="21" t="s">
        <v>344</v>
      </c>
      <c r="R1200" s="22">
        <v>45756</v>
      </c>
      <c r="W1200">
        <f>COUNTIF(スマートプラス!U:U,B1200)</f>
        <v>0</v>
      </c>
    </row>
    <row r="1201" spans="1:23" ht="24.95" hidden="1" customHeight="1" x14ac:dyDescent="0.4">
      <c r="A1201" s="17" t="s">
        <v>63</v>
      </c>
      <c r="B1201" s="15" t="s">
        <v>274</v>
      </c>
      <c r="C1201" s="16" t="s">
        <v>31</v>
      </c>
      <c r="D1201" s="16" t="s">
        <v>31</v>
      </c>
      <c r="E1201" s="15" t="s">
        <v>32</v>
      </c>
      <c r="F1201" s="15" t="s">
        <v>314</v>
      </c>
      <c r="N1201" s="21" t="s">
        <v>96</v>
      </c>
      <c r="O1201" s="21" t="s">
        <v>336</v>
      </c>
      <c r="Q1201" s="21" t="s">
        <v>344</v>
      </c>
      <c r="R1201" s="22">
        <v>45756</v>
      </c>
      <c r="W1201">
        <f>COUNTIF(スマートプラス!U:U,B1201)</f>
        <v>0</v>
      </c>
    </row>
    <row r="1202" spans="1:23" ht="24.95" hidden="1" customHeight="1" x14ac:dyDescent="0.4">
      <c r="A1202" s="17" t="s">
        <v>63</v>
      </c>
      <c r="B1202" s="15" t="s">
        <v>275</v>
      </c>
      <c r="C1202" s="16" t="s">
        <v>31</v>
      </c>
      <c r="D1202" s="16" t="s">
        <v>31</v>
      </c>
      <c r="E1202" s="15" t="s">
        <v>32</v>
      </c>
      <c r="F1202" s="15" t="s">
        <v>314</v>
      </c>
      <c r="N1202" s="21" t="s">
        <v>96</v>
      </c>
      <c r="O1202" s="21" t="s">
        <v>336</v>
      </c>
      <c r="Q1202" s="21" t="s">
        <v>344</v>
      </c>
      <c r="R1202" s="22">
        <v>45756</v>
      </c>
      <c r="W1202">
        <f>COUNTIF(スマートプラス!U:U,B1202)</f>
        <v>0</v>
      </c>
    </row>
    <row r="1203" spans="1:23" ht="24.95" hidden="1" customHeight="1" x14ac:dyDescent="0.4">
      <c r="A1203" s="17" t="s">
        <v>63</v>
      </c>
      <c r="B1203" s="15" t="s">
        <v>326</v>
      </c>
      <c r="C1203" s="16" t="s">
        <v>31</v>
      </c>
      <c r="D1203" s="16" t="s">
        <v>31</v>
      </c>
      <c r="E1203" s="15" t="s">
        <v>32</v>
      </c>
      <c r="F1203" s="15" t="s">
        <v>314</v>
      </c>
      <c r="N1203" s="21" t="s">
        <v>96</v>
      </c>
      <c r="O1203" s="21" t="s">
        <v>337</v>
      </c>
      <c r="Q1203" s="21" t="s">
        <v>344</v>
      </c>
      <c r="R1203" s="22">
        <v>45756</v>
      </c>
      <c r="W1203">
        <f>COUNTIF(スマートプラス!U:U,B1203)</f>
        <v>0</v>
      </c>
    </row>
    <row r="1204" spans="1:23" ht="24.95" hidden="1" customHeight="1" x14ac:dyDescent="0.4">
      <c r="A1204" s="17" t="s">
        <v>63</v>
      </c>
      <c r="B1204" s="15" t="s">
        <v>327</v>
      </c>
      <c r="C1204" s="16" t="s">
        <v>24</v>
      </c>
      <c r="D1204" s="16" t="s">
        <v>31</v>
      </c>
      <c r="E1204" s="15" t="s">
        <v>35</v>
      </c>
      <c r="F1204" s="15" t="s">
        <v>314</v>
      </c>
      <c r="N1204" s="21" t="s">
        <v>96</v>
      </c>
      <c r="O1204" s="21" t="s">
        <v>337</v>
      </c>
      <c r="Q1204" s="21" t="s">
        <v>344</v>
      </c>
      <c r="R1204" s="22">
        <v>45756</v>
      </c>
      <c r="W1204">
        <f>COUNTIF(スマートプラス!U:U,B1204)</f>
        <v>0</v>
      </c>
    </row>
    <row r="1205" spans="1:23" ht="24.95" hidden="1" customHeight="1" x14ac:dyDescent="0.4">
      <c r="A1205" s="17" t="s">
        <v>63</v>
      </c>
      <c r="B1205" s="15" t="s">
        <v>328</v>
      </c>
      <c r="C1205" s="16" t="s">
        <v>24</v>
      </c>
      <c r="D1205" s="16" t="s">
        <v>31</v>
      </c>
      <c r="E1205" s="15" t="s">
        <v>35</v>
      </c>
      <c r="F1205" s="15" t="s">
        <v>314</v>
      </c>
      <c r="N1205" s="21" t="s">
        <v>96</v>
      </c>
      <c r="O1205" s="21" t="s">
        <v>337</v>
      </c>
      <c r="Q1205" s="21" t="s">
        <v>344</v>
      </c>
      <c r="R1205" s="22">
        <v>45756</v>
      </c>
      <c r="W1205">
        <f>COUNTIF(スマートプラス!U:U,B1205)</f>
        <v>0</v>
      </c>
    </row>
    <row r="1206" spans="1:23" ht="24.95" hidden="1" customHeight="1" x14ac:dyDescent="0.4">
      <c r="A1206" s="17" t="s">
        <v>63</v>
      </c>
      <c r="B1206" s="15" t="s">
        <v>329</v>
      </c>
      <c r="C1206" s="16" t="s">
        <v>24</v>
      </c>
      <c r="D1206" s="16" t="s">
        <v>31</v>
      </c>
      <c r="E1206" s="15" t="s">
        <v>35</v>
      </c>
      <c r="F1206" s="15" t="s">
        <v>314</v>
      </c>
      <c r="N1206" s="21" t="s">
        <v>96</v>
      </c>
      <c r="O1206" s="21" t="s">
        <v>337</v>
      </c>
      <c r="Q1206" s="21" t="s">
        <v>344</v>
      </c>
      <c r="R1206" s="22">
        <v>45756</v>
      </c>
      <c r="W1206">
        <f>COUNTIF(スマートプラス!U:U,B1206)</f>
        <v>0</v>
      </c>
    </row>
    <row r="1207" spans="1:23" ht="24.95" hidden="1" customHeight="1" x14ac:dyDescent="0.4">
      <c r="A1207" s="17" t="s">
        <v>63</v>
      </c>
      <c r="B1207" s="15" t="s">
        <v>276</v>
      </c>
      <c r="C1207" s="16" t="s">
        <v>31</v>
      </c>
      <c r="D1207" s="16" t="s">
        <v>31</v>
      </c>
      <c r="E1207" s="15" t="s">
        <v>32</v>
      </c>
      <c r="F1207" s="15" t="s">
        <v>314</v>
      </c>
      <c r="N1207" s="21" t="s">
        <v>96</v>
      </c>
      <c r="O1207" s="21" t="s">
        <v>336</v>
      </c>
      <c r="Q1207" s="21" t="s">
        <v>344</v>
      </c>
      <c r="R1207" s="22">
        <v>45756</v>
      </c>
      <c r="W1207">
        <f>COUNTIF(スマートプラス!U:U,B1207)</f>
        <v>0</v>
      </c>
    </row>
    <row r="1208" spans="1:23" ht="24.95" hidden="1" customHeight="1" x14ac:dyDescent="0.4">
      <c r="A1208" s="17" t="s">
        <v>63</v>
      </c>
      <c r="B1208" s="15" t="s">
        <v>277</v>
      </c>
      <c r="C1208" s="16" t="s">
        <v>31</v>
      </c>
      <c r="D1208" s="16" t="s">
        <v>31</v>
      </c>
      <c r="E1208" s="15" t="s">
        <v>32</v>
      </c>
      <c r="F1208" s="15" t="s">
        <v>314</v>
      </c>
      <c r="N1208" s="21" t="s">
        <v>96</v>
      </c>
      <c r="O1208" s="21" t="s">
        <v>336</v>
      </c>
      <c r="Q1208" s="21" t="s">
        <v>344</v>
      </c>
      <c r="R1208" s="22">
        <v>45756</v>
      </c>
      <c r="W1208">
        <f>COUNTIF(スマートプラス!U:U,B1208)</f>
        <v>0</v>
      </c>
    </row>
    <row r="1209" spans="1:23" ht="24.95" hidden="1" customHeight="1" x14ac:dyDescent="0.4">
      <c r="A1209" s="17" t="s">
        <v>63</v>
      </c>
      <c r="B1209" s="15" t="s">
        <v>278</v>
      </c>
      <c r="C1209" s="16" t="s">
        <v>31</v>
      </c>
      <c r="D1209" s="16" t="s">
        <v>31</v>
      </c>
      <c r="E1209" s="15" t="s">
        <v>32</v>
      </c>
      <c r="F1209" s="15" t="s">
        <v>314</v>
      </c>
      <c r="N1209" s="21" t="s">
        <v>96</v>
      </c>
      <c r="O1209" s="21" t="s">
        <v>336</v>
      </c>
      <c r="Q1209" s="21" t="s">
        <v>344</v>
      </c>
      <c r="R1209" s="22">
        <v>45756</v>
      </c>
      <c r="W1209">
        <f>COUNTIF(スマートプラス!U:U,B1209)</f>
        <v>0</v>
      </c>
    </row>
    <row r="1210" spans="1:23" ht="24.95" hidden="1" customHeight="1" x14ac:dyDescent="0.4">
      <c r="A1210" s="17" t="s">
        <v>63</v>
      </c>
      <c r="B1210" s="15" t="s">
        <v>279</v>
      </c>
      <c r="C1210" s="16" t="s">
        <v>31</v>
      </c>
      <c r="D1210" s="16" t="s">
        <v>31</v>
      </c>
      <c r="E1210" s="15" t="s">
        <v>32</v>
      </c>
      <c r="F1210" s="15" t="s">
        <v>314</v>
      </c>
      <c r="N1210" s="21" t="s">
        <v>96</v>
      </c>
      <c r="O1210" s="21" t="s">
        <v>336</v>
      </c>
      <c r="Q1210" s="21" t="s">
        <v>344</v>
      </c>
      <c r="R1210" s="22">
        <v>45756</v>
      </c>
      <c r="W1210">
        <f>COUNTIF(スマートプラス!U:U,B1210)</f>
        <v>0</v>
      </c>
    </row>
    <row r="1211" spans="1:23" ht="24.95" hidden="1" customHeight="1" x14ac:dyDescent="0.4">
      <c r="A1211" s="17" t="s">
        <v>63</v>
      </c>
      <c r="B1211" s="15" t="s">
        <v>280</v>
      </c>
      <c r="C1211" s="16" t="s">
        <v>31</v>
      </c>
      <c r="D1211" s="16" t="s">
        <v>31</v>
      </c>
      <c r="E1211" s="15" t="s">
        <v>32</v>
      </c>
      <c r="F1211" s="15" t="s">
        <v>314</v>
      </c>
      <c r="N1211" s="21" t="s">
        <v>96</v>
      </c>
      <c r="O1211" s="21" t="s">
        <v>336</v>
      </c>
      <c r="Q1211" s="21" t="s">
        <v>344</v>
      </c>
      <c r="R1211" s="22">
        <v>45756</v>
      </c>
      <c r="W1211">
        <f>COUNTIF(スマートプラス!U:U,B1211)</f>
        <v>0</v>
      </c>
    </row>
    <row r="1212" spans="1:23" ht="24.95" hidden="1" customHeight="1" x14ac:dyDescent="0.4">
      <c r="A1212" s="17" t="s">
        <v>63</v>
      </c>
      <c r="B1212" s="15" t="s">
        <v>281</v>
      </c>
      <c r="C1212" s="16" t="s">
        <v>31</v>
      </c>
      <c r="D1212" s="16" t="s">
        <v>31</v>
      </c>
      <c r="E1212" s="15" t="s">
        <v>32</v>
      </c>
      <c r="F1212" s="15" t="s">
        <v>314</v>
      </c>
      <c r="N1212" s="21" t="s">
        <v>96</v>
      </c>
      <c r="O1212" s="21" t="s">
        <v>336</v>
      </c>
      <c r="Q1212" s="21" t="s">
        <v>344</v>
      </c>
      <c r="R1212" s="22">
        <v>45756</v>
      </c>
      <c r="W1212">
        <f>COUNTIF(スマートプラス!U:U,B1212)</f>
        <v>0</v>
      </c>
    </row>
    <row r="1213" spans="1:23" ht="24.95" hidden="1" customHeight="1" x14ac:dyDescent="0.4">
      <c r="A1213" s="17" t="s">
        <v>63</v>
      </c>
      <c r="B1213" s="15" t="s">
        <v>282</v>
      </c>
      <c r="C1213" s="16" t="s">
        <v>31</v>
      </c>
      <c r="D1213" s="16" t="s">
        <v>31</v>
      </c>
      <c r="E1213" s="15" t="s">
        <v>32</v>
      </c>
      <c r="F1213" s="15" t="s">
        <v>314</v>
      </c>
      <c r="N1213" s="21" t="s">
        <v>96</v>
      </c>
      <c r="O1213" s="21" t="s">
        <v>336</v>
      </c>
      <c r="Q1213" s="21" t="s">
        <v>344</v>
      </c>
      <c r="R1213" s="22">
        <v>45756</v>
      </c>
      <c r="W1213">
        <f>COUNTIF(スマートプラス!U:U,B1213)</f>
        <v>0</v>
      </c>
    </row>
    <row r="1214" spans="1:23" ht="24.95" hidden="1" customHeight="1" x14ac:dyDescent="0.4">
      <c r="A1214" s="17" t="s">
        <v>63</v>
      </c>
      <c r="B1214" s="15" t="s">
        <v>283</v>
      </c>
      <c r="C1214" s="16" t="s">
        <v>31</v>
      </c>
      <c r="D1214" s="16" t="s">
        <v>31</v>
      </c>
      <c r="E1214" s="15" t="s">
        <v>32</v>
      </c>
      <c r="F1214" s="15" t="s">
        <v>314</v>
      </c>
      <c r="N1214" s="21" t="s">
        <v>96</v>
      </c>
      <c r="O1214" s="21" t="s">
        <v>336</v>
      </c>
      <c r="Q1214" s="21" t="s">
        <v>344</v>
      </c>
      <c r="R1214" s="22">
        <v>45756</v>
      </c>
      <c r="W1214">
        <f>COUNTIF(スマートプラス!U:U,B1214)</f>
        <v>0</v>
      </c>
    </row>
    <row r="1215" spans="1:23" ht="24.95" hidden="1" customHeight="1" x14ac:dyDescent="0.4">
      <c r="A1215" s="17" t="s">
        <v>63</v>
      </c>
      <c r="B1215" s="15" t="s">
        <v>284</v>
      </c>
      <c r="C1215" s="16" t="s">
        <v>31</v>
      </c>
      <c r="D1215" s="16" t="s">
        <v>31</v>
      </c>
      <c r="E1215" s="15" t="s">
        <v>32</v>
      </c>
      <c r="F1215" s="15" t="s">
        <v>314</v>
      </c>
      <c r="N1215" s="21" t="s">
        <v>96</v>
      </c>
      <c r="O1215" s="21" t="s">
        <v>336</v>
      </c>
      <c r="Q1215" s="21" t="s">
        <v>344</v>
      </c>
      <c r="R1215" s="22">
        <v>45756</v>
      </c>
      <c r="W1215">
        <f>COUNTIF(スマートプラス!U:U,B1215)</f>
        <v>0</v>
      </c>
    </row>
    <row r="1216" spans="1:23" ht="24.95" hidden="1" customHeight="1" x14ac:dyDescent="0.4">
      <c r="A1216" s="17" t="s">
        <v>63</v>
      </c>
      <c r="B1216" s="15" t="s">
        <v>285</v>
      </c>
      <c r="C1216" s="16" t="s">
        <v>31</v>
      </c>
      <c r="D1216" s="16" t="s">
        <v>31</v>
      </c>
      <c r="E1216" s="15" t="s">
        <v>32</v>
      </c>
      <c r="F1216" s="15" t="s">
        <v>314</v>
      </c>
      <c r="N1216" s="21" t="s">
        <v>96</v>
      </c>
      <c r="O1216" s="21" t="s">
        <v>336</v>
      </c>
      <c r="Q1216" s="21" t="s">
        <v>344</v>
      </c>
      <c r="R1216" s="22">
        <v>45756</v>
      </c>
      <c r="W1216">
        <f>COUNTIF(スマートプラス!U:U,B1216)</f>
        <v>0</v>
      </c>
    </row>
    <row r="1217" spans="1:23" ht="24.95" hidden="1" customHeight="1" x14ac:dyDescent="0.4">
      <c r="A1217" s="17" t="s">
        <v>63</v>
      </c>
      <c r="B1217" s="15" t="s">
        <v>286</v>
      </c>
      <c r="C1217" s="16" t="s">
        <v>31</v>
      </c>
      <c r="D1217" s="16" t="s">
        <v>31</v>
      </c>
      <c r="E1217" s="15" t="s">
        <v>32</v>
      </c>
      <c r="F1217" s="15" t="s">
        <v>314</v>
      </c>
      <c r="N1217" s="21" t="s">
        <v>96</v>
      </c>
      <c r="O1217" s="21" t="s">
        <v>336</v>
      </c>
      <c r="Q1217" s="21" t="s">
        <v>344</v>
      </c>
      <c r="R1217" s="22">
        <v>45756</v>
      </c>
      <c r="W1217">
        <f>COUNTIF(スマートプラス!U:U,B1217)</f>
        <v>0</v>
      </c>
    </row>
    <row r="1218" spans="1:23" ht="24.95" hidden="1" customHeight="1" x14ac:dyDescent="0.4">
      <c r="A1218" s="17" t="s">
        <v>63</v>
      </c>
      <c r="B1218" s="15" t="s">
        <v>287</v>
      </c>
      <c r="C1218" s="16" t="s">
        <v>31</v>
      </c>
      <c r="D1218" s="16" t="s">
        <v>31</v>
      </c>
      <c r="E1218" s="15" t="s">
        <v>32</v>
      </c>
      <c r="F1218" s="15" t="s">
        <v>314</v>
      </c>
      <c r="N1218" s="21" t="s">
        <v>96</v>
      </c>
      <c r="O1218" s="21" t="s">
        <v>336</v>
      </c>
      <c r="Q1218" s="21" t="s">
        <v>344</v>
      </c>
      <c r="R1218" s="22">
        <v>45756</v>
      </c>
      <c r="W1218">
        <f>COUNTIF(スマートプラス!U:U,B1218)</f>
        <v>0</v>
      </c>
    </row>
    <row r="1219" spans="1:23" ht="24.95" hidden="1" customHeight="1" x14ac:dyDescent="0.4">
      <c r="A1219" s="17" t="s">
        <v>63</v>
      </c>
      <c r="B1219" s="15" t="s">
        <v>342</v>
      </c>
      <c r="C1219" s="16" t="s">
        <v>31</v>
      </c>
      <c r="D1219" s="16" t="s">
        <v>31</v>
      </c>
      <c r="E1219" s="15" t="s">
        <v>32</v>
      </c>
      <c r="F1219" s="15" t="s">
        <v>340</v>
      </c>
      <c r="N1219" s="21" t="s">
        <v>96</v>
      </c>
      <c r="O1219" s="21" t="s">
        <v>345</v>
      </c>
      <c r="Q1219" s="21" t="s">
        <v>344</v>
      </c>
      <c r="R1219" s="22">
        <v>45784</v>
      </c>
      <c r="W1219">
        <f>COUNTIF(スマートプラス!U:U,B1219)</f>
        <v>0</v>
      </c>
    </row>
    <row r="1220" spans="1:23" ht="24.95" hidden="1" customHeight="1" x14ac:dyDescent="0.4">
      <c r="A1220" s="17" t="s">
        <v>63</v>
      </c>
      <c r="B1220" s="15" t="s">
        <v>288</v>
      </c>
      <c r="C1220" s="16" t="s">
        <v>31</v>
      </c>
      <c r="D1220" s="16" t="s">
        <v>31</v>
      </c>
      <c r="E1220" s="15" t="s">
        <v>32</v>
      </c>
      <c r="F1220" s="15" t="s">
        <v>314</v>
      </c>
      <c r="N1220" s="21" t="s">
        <v>96</v>
      </c>
      <c r="O1220" s="21" t="s">
        <v>336</v>
      </c>
      <c r="Q1220" s="21" t="s">
        <v>344</v>
      </c>
      <c r="R1220" s="22">
        <v>45756</v>
      </c>
      <c r="W1220">
        <f>COUNTIF(スマートプラス!U:U,B1220)</f>
        <v>0</v>
      </c>
    </row>
    <row r="1221" spans="1:23" ht="24.95" hidden="1" customHeight="1" x14ac:dyDescent="0.4">
      <c r="A1221" s="17" t="s">
        <v>63</v>
      </c>
      <c r="B1221" s="15" t="s">
        <v>289</v>
      </c>
      <c r="C1221" s="16" t="s">
        <v>31</v>
      </c>
      <c r="D1221" s="16" t="s">
        <v>31</v>
      </c>
      <c r="E1221" s="15" t="s">
        <v>32</v>
      </c>
      <c r="F1221" s="15" t="s">
        <v>314</v>
      </c>
      <c r="N1221" s="21" t="s">
        <v>96</v>
      </c>
      <c r="O1221" s="21" t="s">
        <v>336</v>
      </c>
      <c r="Q1221" s="21" t="s">
        <v>344</v>
      </c>
      <c r="R1221" s="22">
        <v>45756</v>
      </c>
      <c r="W1221">
        <f>COUNTIF(スマートプラス!U:U,B1221)</f>
        <v>0</v>
      </c>
    </row>
    <row r="1222" spans="1:23" ht="24.95" hidden="1" customHeight="1" x14ac:dyDescent="0.4">
      <c r="A1222" s="17" t="s">
        <v>63</v>
      </c>
      <c r="B1222" s="15" t="s">
        <v>290</v>
      </c>
      <c r="C1222" s="16" t="s">
        <v>31</v>
      </c>
      <c r="D1222" s="16" t="s">
        <v>31</v>
      </c>
      <c r="E1222" s="15" t="s">
        <v>32</v>
      </c>
      <c r="F1222" s="15" t="s">
        <v>314</v>
      </c>
      <c r="N1222" s="21" t="s">
        <v>96</v>
      </c>
      <c r="O1222" s="21" t="s">
        <v>336</v>
      </c>
      <c r="Q1222" s="21" t="s">
        <v>344</v>
      </c>
      <c r="R1222" s="22">
        <v>45756</v>
      </c>
      <c r="W1222">
        <f>COUNTIF(スマートプラス!U:U,B1222)</f>
        <v>0</v>
      </c>
    </row>
    <row r="1223" spans="1:23" ht="24.95" hidden="1" customHeight="1" x14ac:dyDescent="0.4">
      <c r="A1223" s="17" t="s">
        <v>63</v>
      </c>
      <c r="B1223" s="15" t="s">
        <v>291</v>
      </c>
      <c r="C1223" s="16" t="s">
        <v>31</v>
      </c>
      <c r="D1223" s="16" t="s">
        <v>31</v>
      </c>
      <c r="E1223" s="15" t="s">
        <v>32</v>
      </c>
      <c r="F1223" s="15" t="s">
        <v>314</v>
      </c>
      <c r="N1223" s="21" t="s">
        <v>96</v>
      </c>
      <c r="O1223" s="21" t="s">
        <v>336</v>
      </c>
      <c r="Q1223" s="21" t="s">
        <v>344</v>
      </c>
      <c r="R1223" s="22">
        <v>45756</v>
      </c>
      <c r="W1223">
        <f>COUNTIF(スマートプラス!U:U,B1223)</f>
        <v>0</v>
      </c>
    </row>
    <row r="1224" spans="1:23" ht="24.95" hidden="1" customHeight="1" x14ac:dyDescent="0.4">
      <c r="A1224" s="17" t="s">
        <v>63</v>
      </c>
      <c r="B1224" s="15" t="s">
        <v>292</v>
      </c>
      <c r="C1224" s="16" t="s">
        <v>31</v>
      </c>
      <c r="D1224" s="16" t="s">
        <v>31</v>
      </c>
      <c r="E1224" s="15" t="s">
        <v>32</v>
      </c>
      <c r="F1224" s="15" t="s">
        <v>314</v>
      </c>
      <c r="N1224" s="21" t="s">
        <v>96</v>
      </c>
      <c r="O1224" s="21" t="s">
        <v>336</v>
      </c>
      <c r="Q1224" s="21" t="s">
        <v>344</v>
      </c>
      <c r="R1224" s="22">
        <v>45756</v>
      </c>
      <c r="W1224">
        <f>COUNTIF(スマートプラス!U:U,B1224)</f>
        <v>0</v>
      </c>
    </row>
    <row r="1225" spans="1:23" ht="24.95" hidden="1" customHeight="1" x14ac:dyDescent="0.4">
      <c r="A1225" s="17" t="s">
        <v>63</v>
      </c>
      <c r="B1225" s="15" t="s">
        <v>293</v>
      </c>
      <c r="C1225" s="16" t="s">
        <v>31</v>
      </c>
      <c r="D1225" s="16" t="s">
        <v>31</v>
      </c>
      <c r="E1225" s="15" t="s">
        <v>32</v>
      </c>
      <c r="F1225" s="15" t="s">
        <v>314</v>
      </c>
      <c r="N1225" s="21" t="s">
        <v>96</v>
      </c>
      <c r="O1225" s="21" t="s">
        <v>336</v>
      </c>
      <c r="Q1225" s="21" t="s">
        <v>344</v>
      </c>
      <c r="R1225" s="22">
        <v>45756</v>
      </c>
      <c r="W1225">
        <f>COUNTIF(スマートプラス!U:U,B1225)</f>
        <v>0</v>
      </c>
    </row>
    <row r="1226" spans="1:23" ht="24.95" hidden="1" customHeight="1" x14ac:dyDescent="0.4">
      <c r="A1226" s="17" t="s">
        <v>63</v>
      </c>
      <c r="B1226" s="15" t="s">
        <v>294</v>
      </c>
      <c r="C1226" s="16" t="s">
        <v>31</v>
      </c>
      <c r="D1226" s="16" t="s">
        <v>31</v>
      </c>
      <c r="E1226" s="15" t="s">
        <v>32</v>
      </c>
      <c r="F1226" s="15" t="s">
        <v>314</v>
      </c>
      <c r="N1226" s="21" t="s">
        <v>96</v>
      </c>
      <c r="O1226" s="21" t="s">
        <v>336</v>
      </c>
      <c r="Q1226" s="21" t="s">
        <v>344</v>
      </c>
      <c r="R1226" s="22">
        <v>45756</v>
      </c>
      <c r="W1226">
        <f>COUNTIF(スマートプラス!U:U,B1226)</f>
        <v>0</v>
      </c>
    </row>
    <row r="1227" spans="1:23" ht="24.95" hidden="1" customHeight="1" x14ac:dyDescent="0.4">
      <c r="A1227" s="17" t="s">
        <v>63</v>
      </c>
      <c r="B1227" s="15" t="s">
        <v>295</v>
      </c>
      <c r="C1227" s="16" t="s">
        <v>31</v>
      </c>
      <c r="D1227" s="16" t="s">
        <v>31</v>
      </c>
      <c r="E1227" s="15" t="s">
        <v>32</v>
      </c>
      <c r="F1227" s="15" t="s">
        <v>314</v>
      </c>
      <c r="N1227" s="21" t="s">
        <v>96</v>
      </c>
      <c r="O1227" s="21" t="s">
        <v>336</v>
      </c>
      <c r="Q1227" s="21" t="s">
        <v>344</v>
      </c>
      <c r="R1227" s="22">
        <v>45756</v>
      </c>
      <c r="W1227">
        <f>COUNTIF(スマートプラス!U:U,B1227)</f>
        <v>0</v>
      </c>
    </row>
    <row r="1228" spans="1:23" ht="24.95" hidden="1" customHeight="1" x14ac:dyDescent="0.4">
      <c r="A1228" s="17" t="s">
        <v>63</v>
      </c>
      <c r="B1228" s="15" t="s">
        <v>296</v>
      </c>
      <c r="C1228" s="16" t="s">
        <v>31</v>
      </c>
      <c r="D1228" s="16" t="s">
        <v>31</v>
      </c>
      <c r="E1228" s="15" t="s">
        <v>32</v>
      </c>
      <c r="F1228" s="15" t="s">
        <v>314</v>
      </c>
      <c r="N1228" s="21" t="s">
        <v>96</v>
      </c>
      <c r="O1228" s="21" t="s">
        <v>336</v>
      </c>
      <c r="Q1228" s="21" t="s">
        <v>344</v>
      </c>
      <c r="R1228" s="22">
        <v>45756</v>
      </c>
      <c r="W1228">
        <f>COUNTIF(スマートプラス!U:U,B1228)</f>
        <v>0</v>
      </c>
    </row>
    <row r="1229" spans="1:23" ht="24.95" hidden="1" customHeight="1" x14ac:dyDescent="0.4">
      <c r="A1229" s="17" t="s">
        <v>63</v>
      </c>
      <c r="B1229" s="15" t="s">
        <v>297</v>
      </c>
      <c r="C1229" s="16" t="s">
        <v>31</v>
      </c>
      <c r="D1229" s="16" t="s">
        <v>31</v>
      </c>
      <c r="E1229" s="15" t="s">
        <v>32</v>
      </c>
      <c r="F1229" s="15" t="s">
        <v>314</v>
      </c>
      <c r="N1229" s="21" t="s">
        <v>96</v>
      </c>
      <c r="O1229" s="21" t="s">
        <v>336</v>
      </c>
      <c r="Q1229" s="21" t="s">
        <v>344</v>
      </c>
      <c r="R1229" s="22">
        <v>45756</v>
      </c>
      <c r="W1229">
        <f>COUNTIF(スマートプラス!U:U,B1229)</f>
        <v>0</v>
      </c>
    </row>
    <row r="1230" spans="1:23" ht="24.95" hidden="1" customHeight="1" x14ac:dyDescent="0.4">
      <c r="A1230" s="17" t="s">
        <v>63</v>
      </c>
      <c r="B1230" s="15" t="s">
        <v>298</v>
      </c>
      <c r="C1230" s="16" t="s">
        <v>31</v>
      </c>
      <c r="D1230" s="16" t="s">
        <v>31</v>
      </c>
      <c r="E1230" s="15" t="s">
        <v>32</v>
      </c>
      <c r="F1230" s="15" t="s">
        <v>314</v>
      </c>
      <c r="N1230" s="21" t="s">
        <v>96</v>
      </c>
      <c r="O1230" s="21" t="s">
        <v>336</v>
      </c>
      <c r="Q1230" s="21" t="s">
        <v>344</v>
      </c>
      <c r="R1230" s="22">
        <v>45756</v>
      </c>
      <c r="W1230">
        <f>COUNTIF(スマートプラス!U:U,B1230)</f>
        <v>0</v>
      </c>
    </row>
    <row r="1231" spans="1:23" ht="24.95" hidden="1" customHeight="1" x14ac:dyDescent="0.4">
      <c r="A1231" s="17" t="s">
        <v>63</v>
      </c>
      <c r="B1231" s="15" t="s">
        <v>299</v>
      </c>
      <c r="C1231" s="16" t="s">
        <v>31</v>
      </c>
      <c r="D1231" s="16" t="s">
        <v>31</v>
      </c>
      <c r="E1231" s="15" t="s">
        <v>32</v>
      </c>
      <c r="F1231" s="15" t="s">
        <v>314</v>
      </c>
      <c r="N1231" s="21" t="s">
        <v>96</v>
      </c>
      <c r="O1231" s="21" t="s">
        <v>336</v>
      </c>
      <c r="Q1231" s="21" t="s">
        <v>344</v>
      </c>
      <c r="R1231" s="22">
        <v>45756</v>
      </c>
      <c r="W1231">
        <f>COUNTIF(スマートプラス!U:U,B1231)</f>
        <v>0</v>
      </c>
    </row>
    <row r="1232" spans="1:23" ht="24.95" hidden="1" customHeight="1" x14ac:dyDescent="0.4">
      <c r="A1232" s="17" t="s">
        <v>63</v>
      </c>
      <c r="B1232" s="15" t="s">
        <v>300</v>
      </c>
      <c r="C1232" s="16" t="s">
        <v>31</v>
      </c>
      <c r="D1232" s="16" t="s">
        <v>31</v>
      </c>
      <c r="E1232" s="15" t="s">
        <v>32</v>
      </c>
      <c r="F1232" s="15" t="s">
        <v>314</v>
      </c>
      <c r="N1232" s="21" t="s">
        <v>96</v>
      </c>
      <c r="O1232" s="21" t="s">
        <v>336</v>
      </c>
      <c r="Q1232" s="21" t="s">
        <v>344</v>
      </c>
      <c r="R1232" s="22">
        <v>45756</v>
      </c>
      <c r="W1232">
        <f>COUNTIF(スマートプラス!U:U,B1232)</f>
        <v>0</v>
      </c>
    </row>
    <row r="1233" spans="1:23" ht="24.95" hidden="1" customHeight="1" x14ac:dyDescent="0.4">
      <c r="A1233" s="17" t="s">
        <v>63</v>
      </c>
      <c r="B1233" s="15" t="s">
        <v>301</v>
      </c>
      <c r="C1233" s="16" t="s">
        <v>31</v>
      </c>
      <c r="D1233" s="16" t="s">
        <v>31</v>
      </c>
      <c r="E1233" s="15" t="s">
        <v>32</v>
      </c>
      <c r="F1233" s="15" t="s">
        <v>314</v>
      </c>
      <c r="N1233" s="21" t="s">
        <v>96</v>
      </c>
      <c r="O1233" s="21" t="s">
        <v>336</v>
      </c>
      <c r="Q1233" s="21" t="s">
        <v>344</v>
      </c>
      <c r="R1233" s="22">
        <v>45756</v>
      </c>
      <c r="W1233">
        <f>COUNTIF(スマートプラス!U:U,B1233)</f>
        <v>0</v>
      </c>
    </row>
    <row r="1234" spans="1:23" ht="24.95" hidden="1" customHeight="1" x14ac:dyDescent="0.4">
      <c r="A1234" s="17" t="s">
        <v>63</v>
      </c>
      <c r="B1234" s="15" t="s">
        <v>302</v>
      </c>
      <c r="C1234" s="16" t="s">
        <v>31</v>
      </c>
      <c r="D1234" s="16" t="s">
        <v>31</v>
      </c>
      <c r="E1234" s="15" t="s">
        <v>32</v>
      </c>
      <c r="F1234" s="15" t="s">
        <v>314</v>
      </c>
      <c r="N1234" s="21" t="s">
        <v>96</v>
      </c>
      <c r="O1234" s="21" t="s">
        <v>336</v>
      </c>
      <c r="Q1234" s="21" t="s">
        <v>344</v>
      </c>
      <c r="R1234" s="22">
        <v>45756</v>
      </c>
      <c r="W1234">
        <f>COUNTIF(スマートプラス!U:U,B1234)</f>
        <v>0</v>
      </c>
    </row>
    <row r="1235" spans="1:23" ht="24.95" hidden="1" customHeight="1" x14ac:dyDescent="0.4">
      <c r="A1235" s="17" t="s">
        <v>63</v>
      </c>
      <c r="B1235" s="15" t="s">
        <v>303</v>
      </c>
      <c r="C1235" s="16" t="s">
        <v>31</v>
      </c>
      <c r="D1235" s="16" t="s">
        <v>31</v>
      </c>
      <c r="E1235" s="15" t="s">
        <v>32</v>
      </c>
      <c r="F1235" s="15" t="s">
        <v>314</v>
      </c>
      <c r="N1235" s="21" t="s">
        <v>96</v>
      </c>
      <c r="O1235" s="21" t="s">
        <v>336</v>
      </c>
      <c r="Q1235" s="21" t="s">
        <v>344</v>
      </c>
      <c r="R1235" s="22">
        <v>45756</v>
      </c>
      <c r="W1235">
        <f>COUNTIF(スマートプラス!U:U,B1235)</f>
        <v>0</v>
      </c>
    </row>
    <row r="1236" spans="1:23" ht="24.95" hidden="1" customHeight="1" x14ac:dyDescent="0.4">
      <c r="A1236" s="17" t="s">
        <v>63</v>
      </c>
      <c r="B1236" s="15" t="s">
        <v>304</v>
      </c>
      <c r="C1236" s="16" t="s">
        <v>31</v>
      </c>
      <c r="D1236" s="16" t="s">
        <v>31</v>
      </c>
      <c r="E1236" s="15" t="s">
        <v>32</v>
      </c>
      <c r="F1236" s="15" t="s">
        <v>314</v>
      </c>
      <c r="N1236" s="21" t="s">
        <v>96</v>
      </c>
      <c r="O1236" s="21" t="s">
        <v>336</v>
      </c>
      <c r="Q1236" s="21" t="s">
        <v>344</v>
      </c>
      <c r="R1236" s="22">
        <v>45756</v>
      </c>
      <c r="W1236">
        <f>COUNTIF(スマートプラス!U:U,B1236)</f>
        <v>0</v>
      </c>
    </row>
    <row r="1237" spans="1:23" ht="24.95" hidden="1" customHeight="1" x14ac:dyDescent="0.4">
      <c r="A1237" s="17" t="s">
        <v>63</v>
      </c>
      <c r="B1237" s="15" t="s">
        <v>305</v>
      </c>
      <c r="C1237" s="16" t="s">
        <v>31</v>
      </c>
      <c r="D1237" s="16" t="s">
        <v>31</v>
      </c>
      <c r="E1237" s="15" t="s">
        <v>32</v>
      </c>
      <c r="F1237" s="15" t="s">
        <v>314</v>
      </c>
      <c r="N1237" s="21" t="s">
        <v>96</v>
      </c>
      <c r="O1237" s="21" t="s">
        <v>336</v>
      </c>
      <c r="Q1237" s="21" t="s">
        <v>344</v>
      </c>
      <c r="R1237" s="22">
        <v>45756</v>
      </c>
      <c r="W1237">
        <f>COUNTIF(スマートプラス!U:U,B1237)</f>
        <v>0</v>
      </c>
    </row>
    <row r="1238" spans="1:23" ht="24.95" hidden="1" customHeight="1" x14ac:dyDescent="0.4">
      <c r="A1238" s="17" t="s">
        <v>63</v>
      </c>
      <c r="B1238" s="15" t="s">
        <v>370</v>
      </c>
      <c r="C1238" s="16" t="s">
        <v>31</v>
      </c>
      <c r="D1238" s="16" t="s">
        <v>31</v>
      </c>
      <c r="E1238" s="15" t="s">
        <v>32</v>
      </c>
      <c r="F1238" s="15" t="s">
        <v>365</v>
      </c>
      <c r="N1238" s="21" t="s">
        <v>374</v>
      </c>
      <c r="O1238" s="21" t="s">
        <v>373</v>
      </c>
      <c r="Q1238" s="21" t="s">
        <v>344</v>
      </c>
      <c r="R1238" s="22">
        <v>45883</v>
      </c>
      <c r="W1238">
        <f>COUNTIF(スマートプラス!U:U,B1238)</f>
        <v>0</v>
      </c>
    </row>
    <row r="1239" spans="1:23" ht="24.95" hidden="1" customHeight="1" x14ac:dyDescent="0.4">
      <c r="A1239" s="17" t="s">
        <v>63</v>
      </c>
      <c r="B1239" s="15" t="s">
        <v>371</v>
      </c>
      <c r="C1239" s="16" t="s">
        <v>31</v>
      </c>
      <c r="D1239" s="16" t="s">
        <v>31</v>
      </c>
      <c r="E1239" s="15" t="s">
        <v>32</v>
      </c>
      <c r="F1239" s="15" t="s">
        <v>365</v>
      </c>
      <c r="N1239" s="21" t="s">
        <v>374</v>
      </c>
      <c r="O1239" s="21" t="s">
        <v>373</v>
      </c>
      <c r="Q1239" s="21" t="s">
        <v>344</v>
      </c>
      <c r="R1239" s="22">
        <v>45883</v>
      </c>
      <c r="W1239">
        <f>COUNTIF(スマートプラス!U:U,B1239)</f>
        <v>0</v>
      </c>
    </row>
    <row r="1240" spans="1:23" ht="24.95" hidden="1" customHeight="1" x14ac:dyDescent="0.4">
      <c r="A1240" s="17" t="s">
        <v>63</v>
      </c>
      <c r="B1240" s="15" t="s">
        <v>306</v>
      </c>
      <c r="C1240" s="16" t="s">
        <v>24</v>
      </c>
      <c r="D1240" s="16" t="s">
        <v>31</v>
      </c>
      <c r="E1240" s="15" t="s">
        <v>35</v>
      </c>
      <c r="F1240" s="15" t="s">
        <v>314</v>
      </c>
      <c r="N1240" s="21" t="s">
        <v>96</v>
      </c>
      <c r="O1240" s="21" t="s">
        <v>336</v>
      </c>
      <c r="Q1240" s="21" t="s">
        <v>344</v>
      </c>
      <c r="R1240" s="22">
        <v>45756</v>
      </c>
      <c r="W1240">
        <f>COUNTIF(スマートプラス!U:U,B1240)</f>
        <v>0</v>
      </c>
    </row>
    <row r="1241" spans="1:23" ht="24.95" hidden="1" customHeight="1" x14ac:dyDescent="0.4">
      <c r="A1241" s="17" t="s">
        <v>63</v>
      </c>
      <c r="B1241" s="15" t="s">
        <v>307</v>
      </c>
      <c r="C1241" s="16" t="s">
        <v>31</v>
      </c>
      <c r="D1241" s="16" t="s">
        <v>31</v>
      </c>
      <c r="E1241" s="15" t="s">
        <v>32</v>
      </c>
      <c r="F1241" s="15" t="s">
        <v>314</v>
      </c>
      <c r="N1241" s="21" t="s">
        <v>96</v>
      </c>
      <c r="O1241" s="21" t="s">
        <v>336</v>
      </c>
      <c r="Q1241" s="21" t="s">
        <v>344</v>
      </c>
      <c r="R1241" s="22">
        <v>45756</v>
      </c>
      <c r="W1241">
        <f>COUNTIF(スマートプラス!U:U,B1241)</f>
        <v>0</v>
      </c>
    </row>
    <row r="1242" spans="1:23" ht="24.95" hidden="1" customHeight="1" x14ac:dyDescent="0.4">
      <c r="A1242" s="17" t="s">
        <v>63</v>
      </c>
      <c r="B1242" s="15" t="s">
        <v>38</v>
      </c>
      <c r="C1242" s="16" t="s">
        <v>31</v>
      </c>
      <c r="D1242" s="16" t="s">
        <v>31</v>
      </c>
      <c r="E1242" s="15" t="s">
        <v>32</v>
      </c>
      <c r="F1242" s="15" t="s">
        <v>80</v>
      </c>
      <c r="N1242" s="21" t="s">
        <v>96</v>
      </c>
      <c r="O1242" s="13" t="s">
        <v>353</v>
      </c>
      <c r="Q1242" s="21" t="s">
        <v>344</v>
      </c>
      <c r="R1242" s="22">
        <v>45814</v>
      </c>
      <c r="W1242">
        <f>COUNTIF(スマートプラス!U:U,B1242)</f>
        <v>0</v>
      </c>
    </row>
    <row r="1243" spans="1:23" ht="24.95" hidden="1" customHeight="1" x14ac:dyDescent="0.4">
      <c r="A1243" s="17" t="s">
        <v>63</v>
      </c>
      <c r="B1243" s="15" t="s">
        <v>119</v>
      </c>
      <c r="C1243" s="16" t="s">
        <v>31</v>
      </c>
      <c r="D1243" s="16" t="s">
        <v>31</v>
      </c>
      <c r="E1243" s="15" t="s">
        <v>32</v>
      </c>
      <c r="F1243" s="15" t="s">
        <v>365</v>
      </c>
      <c r="N1243" s="21" t="s">
        <v>374</v>
      </c>
      <c r="O1243" s="21" t="s">
        <v>375</v>
      </c>
      <c r="Q1243" s="21" t="s">
        <v>344</v>
      </c>
      <c r="R1243" s="22">
        <v>45883</v>
      </c>
      <c r="W1243">
        <f>COUNTIF(スマートプラス!U:U,B1243)</f>
        <v>0</v>
      </c>
    </row>
    <row r="1244" spans="1:23" ht="24.95" hidden="1" customHeight="1" x14ac:dyDescent="0.4">
      <c r="A1244" s="17" t="s">
        <v>63</v>
      </c>
      <c r="B1244" s="15" t="s">
        <v>120</v>
      </c>
      <c r="C1244" s="16" t="s">
        <v>31</v>
      </c>
      <c r="D1244" s="16" t="s">
        <v>31</v>
      </c>
      <c r="E1244" s="15" t="s">
        <v>32</v>
      </c>
      <c r="F1244" s="15" t="s">
        <v>314</v>
      </c>
      <c r="N1244" s="21" t="s">
        <v>96</v>
      </c>
      <c r="O1244" s="13" t="s">
        <v>339</v>
      </c>
      <c r="Q1244" s="21" t="s">
        <v>344</v>
      </c>
      <c r="R1244" s="22">
        <v>45756</v>
      </c>
      <c r="W1244">
        <f>COUNTIF(スマートプラス!U:U,B1244)</f>
        <v>0</v>
      </c>
    </row>
    <row r="1245" spans="1:23" ht="24.95" hidden="1" customHeight="1" x14ac:dyDescent="0.4">
      <c r="A1245" s="17" t="s">
        <v>63</v>
      </c>
      <c r="B1245" s="15" t="s">
        <v>39</v>
      </c>
      <c r="C1245" s="16" t="s">
        <v>31</v>
      </c>
      <c r="D1245" s="16" t="s">
        <v>31</v>
      </c>
      <c r="E1245" s="15" t="s">
        <v>32</v>
      </c>
      <c r="F1245" s="15" t="s">
        <v>129</v>
      </c>
      <c r="N1245" s="21" t="s">
        <v>96</v>
      </c>
      <c r="O1245" s="13" t="s">
        <v>350</v>
      </c>
      <c r="Q1245" s="21" t="s">
        <v>344</v>
      </c>
      <c r="R1245" s="22">
        <v>45814</v>
      </c>
      <c r="W1245">
        <f>COUNTIF(スマートプラス!U:U,B1245)</f>
        <v>0</v>
      </c>
    </row>
    <row r="1246" spans="1:23" ht="24.95" hidden="1" customHeight="1" x14ac:dyDescent="0.4">
      <c r="A1246" s="17" t="s">
        <v>63</v>
      </c>
      <c r="B1246" s="15" t="s">
        <v>220</v>
      </c>
      <c r="C1246" s="16" t="s">
        <v>31</v>
      </c>
      <c r="D1246" s="16" t="s">
        <v>31</v>
      </c>
      <c r="E1246" s="15" t="s">
        <v>32</v>
      </c>
      <c r="F1246" s="15" t="s">
        <v>221</v>
      </c>
      <c r="N1246" s="21" t="s">
        <v>96</v>
      </c>
      <c r="O1246" s="21" t="s">
        <v>338</v>
      </c>
      <c r="Q1246" s="21" t="s">
        <v>344</v>
      </c>
      <c r="R1246" s="22">
        <v>45814</v>
      </c>
      <c r="W1246">
        <f>COUNTIF(スマートプラス!U:U,B1246)</f>
        <v>0</v>
      </c>
    </row>
    <row r="1247" spans="1:23" ht="24.95" hidden="1" customHeight="1" x14ac:dyDescent="0.4">
      <c r="A1247" s="17" t="s">
        <v>63</v>
      </c>
      <c r="B1247" s="15" t="s">
        <v>172</v>
      </c>
      <c r="C1247" s="16" t="s">
        <v>31</v>
      </c>
      <c r="D1247" s="16" t="s">
        <v>31</v>
      </c>
      <c r="E1247" s="15" t="s">
        <v>32</v>
      </c>
      <c r="F1247" s="15" t="s">
        <v>173</v>
      </c>
      <c r="N1247" s="21" t="s">
        <v>96</v>
      </c>
      <c r="O1247" s="21" t="s">
        <v>336</v>
      </c>
      <c r="Q1247" s="21" t="s">
        <v>344</v>
      </c>
      <c r="R1247" s="22">
        <v>45814</v>
      </c>
      <c r="W1247">
        <f>COUNTIF(スマートプラス!U:U,B1247)</f>
        <v>0</v>
      </c>
    </row>
    <row r="1248" spans="1:23" ht="24.95" hidden="1" customHeight="1" x14ac:dyDescent="0.4">
      <c r="A1248" s="17" t="s">
        <v>63</v>
      </c>
      <c r="B1248" s="15" t="s">
        <v>111</v>
      </c>
      <c r="C1248" s="16" t="s">
        <v>31</v>
      </c>
      <c r="D1248" s="16" t="s">
        <v>31</v>
      </c>
      <c r="E1248" s="15" t="s">
        <v>32</v>
      </c>
      <c r="F1248" s="15" t="s">
        <v>314</v>
      </c>
      <c r="N1248" s="21" t="s">
        <v>96</v>
      </c>
      <c r="O1248" s="13" t="s">
        <v>339</v>
      </c>
      <c r="Q1248" s="21" t="s">
        <v>344</v>
      </c>
      <c r="R1248" s="22">
        <v>45756</v>
      </c>
      <c r="W1248">
        <f>COUNTIF(スマートプラス!U:U,B1248)</f>
        <v>0</v>
      </c>
    </row>
    <row r="1249" spans="1:23" ht="24.95" hidden="1" customHeight="1" x14ac:dyDescent="0.4">
      <c r="A1249" s="17" t="s">
        <v>63</v>
      </c>
      <c r="B1249" s="15" t="s">
        <v>42</v>
      </c>
      <c r="C1249" s="16" t="s">
        <v>31</v>
      </c>
      <c r="D1249" s="16" t="s">
        <v>31</v>
      </c>
      <c r="E1249" s="15" t="s">
        <v>32</v>
      </c>
      <c r="F1249" s="15" t="s">
        <v>129</v>
      </c>
      <c r="N1249" s="21" t="s">
        <v>96</v>
      </c>
      <c r="O1249" s="13" t="s">
        <v>351</v>
      </c>
      <c r="Q1249" s="21" t="s">
        <v>344</v>
      </c>
      <c r="R1249" s="22">
        <v>45814</v>
      </c>
      <c r="W1249">
        <f>COUNTIF(スマートプラス!U:U,B1249)</f>
        <v>0</v>
      </c>
    </row>
    <row r="1250" spans="1:23" ht="24.95" hidden="1" customHeight="1" x14ac:dyDescent="0.4">
      <c r="A1250" s="17" t="s">
        <v>63</v>
      </c>
      <c r="B1250" s="15" t="s">
        <v>330</v>
      </c>
      <c r="C1250" s="16" t="s">
        <v>31</v>
      </c>
      <c r="D1250" s="16" t="s">
        <v>31</v>
      </c>
      <c r="E1250" s="15" t="s">
        <v>32</v>
      </c>
      <c r="F1250" s="15" t="s">
        <v>314</v>
      </c>
      <c r="N1250" s="21" t="s">
        <v>96</v>
      </c>
      <c r="O1250" s="21" t="s">
        <v>338</v>
      </c>
      <c r="Q1250" s="21" t="s">
        <v>344</v>
      </c>
      <c r="R1250" s="22">
        <v>45756</v>
      </c>
      <c r="W1250">
        <f>COUNTIF(スマートプラス!U:U,B1250)</f>
        <v>0</v>
      </c>
    </row>
    <row r="1251" spans="1:23" ht="24.95" hidden="1" customHeight="1" x14ac:dyDescent="0.4">
      <c r="A1251" s="17" t="s">
        <v>63</v>
      </c>
      <c r="B1251" s="15" t="s">
        <v>43</v>
      </c>
      <c r="C1251" s="16" t="s">
        <v>31</v>
      </c>
      <c r="D1251" s="16" t="s">
        <v>31</v>
      </c>
      <c r="E1251" s="15" t="s">
        <v>32</v>
      </c>
      <c r="F1251" s="15" t="s">
        <v>356</v>
      </c>
      <c r="N1251" s="21" t="s">
        <v>96</v>
      </c>
      <c r="O1251" s="21" t="s">
        <v>360</v>
      </c>
      <c r="Q1251" s="21" t="s">
        <v>344</v>
      </c>
      <c r="R1251" s="22">
        <v>45847</v>
      </c>
      <c r="W1251">
        <f>COUNTIF(スマートプラス!U:U,B1251)</f>
        <v>0</v>
      </c>
    </row>
    <row r="1252" spans="1:23" ht="24.95" hidden="1" customHeight="1" x14ac:dyDescent="0.4">
      <c r="A1252" s="17" t="s">
        <v>63</v>
      </c>
      <c r="B1252" s="15" t="s">
        <v>343</v>
      </c>
      <c r="C1252" s="16" t="s">
        <v>31</v>
      </c>
      <c r="D1252" s="16" t="s">
        <v>31</v>
      </c>
      <c r="E1252" s="15" t="s">
        <v>32</v>
      </c>
      <c r="F1252" s="15" t="s">
        <v>340</v>
      </c>
      <c r="N1252" s="21" t="s">
        <v>96</v>
      </c>
      <c r="O1252" s="21" t="s">
        <v>345</v>
      </c>
      <c r="Q1252" s="21" t="s">
        <v>344</v>
      </c>
      <c r="R1252" s="22">
        <v>45784</v>
      </c>
      <c r="W1252">
        <f>COUNTIF(スマートプラス!U:U,B1252)</f>
        <v>0</v>
      </c>
    </row>
    <row r="1253" spans="1:23" ht="24.95" hidden="1" customHeight="1" x14ac:dyDescent="0.4">
      <c r="A1253" s="17" t="s">
        <v>63</v>
      </c>
      <c r="B1253" s="15" t="s">
        <v>121</v>
      </c>
      <c r="C1253" s="16" t="s">
        <v>31</v>
      </c>
      <c r="D1253" s="16" t="s">
        <v>31</v>
      </c>
      <c r="E1253" s="15" t="s">
        <v>32</v>
      </c>
      <c r="F1253" s="15" t="s">
        <v>314</v>
      </c>
      <c r="N1253" s="21" t="s">
        <v>96</v>
      </c>
      <c r="O1253" s="21" t="s">
        <v>336</v>
      </c>
      <c r="Q1253" s="21" t="s">
        <v>344</v>
      </c>
      <c r="R1253" s="22">
        <v>45756</v>
      </c>
      <c r="W1253">
        <f>COUNTIF(スマートプラス!U:U,B1253)</f>
        <v>0</v>
      </c>
    </row>
    <row r="1254" spans="1:23" ht="24.95" hidden="1" customHeight="1" x14ac:dyDescent="0.4">
      <c r="A1254" s="17" t="s">
        <v>63</v>
      </c>
      <c r="B1254" s="15" t="s">
        <v>44</v>
      </c>
      <c r="C1254" s="16" t="s">
        <v>31</v>
      </c>
      <c r="D1254" s="16" t="s">
        <v>31</v>
      </c>
      <c r="E1254" s="15" t="s">
        <v>32</v>
      </c>
      <c r="F1254" s="15" t="s">
        <v>314</v>
      </c>
      <c r="N1254" s="21" t="s">
        <v>96</v>
      </c>
      <c r="O1254" s="13" t="s">
        <v>359</v>
      </c>
      <c r="Q1254" s="21" t="s">
        <v>344</v>
      </c>
      <c r="R1254" s="22">
        <v>45814</v>
      </c>
      <c r="W1254">
        <f>COUNTIF(スマートプラス!U:U,B1254)</f>
        <v>0</v>
      </c>
    </row>
    <row r="1255" spans="1:23" ht="24.95" hidden="1" customHeight="1" x14ac:dyDescent="0.4">
      <c r="A1255" s="17" t="s">
        <v>63</v>
      </c>
      <c r="B1255" s="15" t="s">
        <v>45</v>
      </c>
      <c r="C1255" s="16" t="s">
        <v>31</v>
      </c>
      <c r="D1255" s="16" t="s">
        <v>31</v>
      </c>
      <c r="E1255" s="15" t="s">
        <v>32</v>
      </c>
      <c r="F1255" s="15" t="s">
        <v>314</v>
      </c>
      <c r="N1255" s="21" t="s">
        <v>96</v>
      </c>
      <c r="O1255" s="21" t="s">
        <v>338</v>
      </c>
      <c r="Q1255" s="21" t="s">
        <v>344</v>
      </c>
      <c r="R1255" s="22">
        <v>45756</v>
      </c>
      <c r="W1255">
        <f>COUNTIF(スマートプラス!U:U,B1255)</f>
        <v>0</v>
      </c>
    </row>
    <row r="1256" spans="1:23" ht="24.95" customHeight="1" x14ac:dyDescent="0.4">
      <c r="A1256" s="17" t="s">
        <v>63</v>
      </c>
      <c r="B1256" s="50" t="s">
        <v>469</v>
      </c>
      <c r="C1256" s="16" t="s">
        <v>31</v>
      </c>
      <c r="D1256" s="16" t="s">
        <v>31</v>
      </c>
      <c r="E1256" s="15" t="s">
        <v>32</v>
      </c>
      <c r="F1256" s="15" t="s">
        <v>365</v>
      </c>
      <c r="N1256" s="21" t="s">
        <v>374</v>
      </c>
      <c r="O1256" s="13" t="s">
        <v>468</v>
      </c>
      <c r="Q1256" s="21" t="s">
        <v>344</v>
      </c>
      <c r="R1256" s="22">
        <v>45883</v>
      </c>
      <c r="W1256">
        <f>COUNTIF(スマートプラス!U:U,B1256)</f>
        <v>0</v>
      </c>
    </row>
    <row r="1257" spans="1:23" ht="24.95" hidden="1" customHeight="1" x14ac:dyDescent="0.4">
      <c r="A1257" s="17" t="s">
        <v>63</v>
      </c>
      <c r="B1257" s="50" t="s">
        <v>91</v>
      </c>
      <c r="C1257" s="16" t="s">
        <v>31</v>
      </c>
      <c r="D1257" s="16" t="s">
        <v>31</v>
      </c>
      <c r="E1257" s="15" t="s">
        <v>32</v>
      </c>
      <c r="F1257" s="15" t="s">
        <v>356</v>
      </c>
      <c r="N1257" s="21" t="s">
        <v>96</v>
      </c>
      <c r="O1257" s="21" t="s">
        <v>360</v>
      </c>
      <c r="Q1257" s="21" t="s">
        <v>344</v>
      </c>
      <c r="R1257" s="22">
        <v>45847</v>
      </c>
      <c r="W1257">
        <f>COUNTIF(スマートプラス!U:U,B1257)</f>
        <v>0</v>
      </c>
    </row>
    <row r="1258" spans="1:23" ht="24.95" hidden="1" customHeight="1" x14ac:dyDescent="0.4">
      <c r="A1258" s="17" t="s">
        <v>64</v>
      </c>
      <c r="B1258" s="15" t="s">
        <v>115</v>
      </c>
      <c r="C1258" s="16" t="s">
        <v>31</v>
      </c>
      <c r="D1258" s="16" t="s">
        <v>31</v>
      </c>
      <c r="E1258" s="15" t="s">
        <v>32</v>
      </c>
      <c r="F1258" s="15" t="s">
        <v>166</v>
      </c>
      <c r="N1258" s="21" t="s">
        <v>96</v>
      </c>
      <c r="O1258" s="21" t="s">
        <v>337</v>
      </c>
      <c r="Q1258" s="21" t="s">
        <v>344</v>
      </c>
      <c r="R1258" s="22">
        <v>45814</v>
      </c>
      <c r="W1258">
        <f>COUNTIF(スマートプラス!U:U,B1258)</f>
        <v>0</v>
      </c>
    </row>
    <row r="1259" spans="1:23" ht="24.95" hidden="1" customHeight="1" x14ac:dyDescent="0.4">
      <c r="A1259" s="17" t="s">
        <v>64</v>
      </c>
      <c r="B1259" s="15" t="s">
        <v>313</v>
      </c>
      <c r="C1259" s="16" t="s">
        <v>24</v>
      </c>
      <c r="D1259" s="16" t="s">
        <v>31</v>
      </c>
      <c r="E1259" s="15" t="s">
        <v>35</v>
      </c>
      <c r="F1259" s="15" t="s">
        <v>314</v>
      </c>
      <c r="N1259" s="21" t="s">
        <v>96</v>
      </c>
      <c r="O1259" s="21" t="s">
        <v>337</v>
      </c>
      <c r="Q1259" s="21" t="s">
        <v>344</v>
      </c>
      <c r="R1259" s="22">
        <v>45756</v>
      </c>
      <c r="W1259">
        <f>COUNTIF(スマートプラス!U:U,B1259)</f>
        <v>0</v>
      </c>
    </row>
    <row r="1260" spans="1:23" ht="24.95" hidden="1" customHeight="1" x14ac:dyDescent="0.4">
      <c r="A1260" s="17" t="s">
        <v>64</v>
      </c>
      <c r="B1260" s="15" t="s">
        <v>315</v>
      </c>
      <c r="C1260" s="16" t="s">
        <v>24</v>
      </c>
      <c r="D1260" s="16" t="s">
        <v>31</v>
      </c>
      <c r="E1260" s="15" t="s">
        <v>35</v>
      </c>
      <c r="F1260" s="15" t="s">
        <v>314</v>
      </c>
      <c r="N1260" s="21" t="s">
        <v>96</v>
      </c>
      <c r="O1260" s="21" t="s">
        <v>337</v>
      </c>
      <c r="Q1260" s="21" t="s">
        <v>344</v>
      </c>
      <c r="R1260" s="22">
        <v>45756</v>
      </c>
      <c r="W1260">
        <f>COUNTIF(スマートプラス!U:U,B1260)</f>
        <v>0</v>
      </c>
    </row>
    <row r="1261" spans="1:23" ht="24.95" hidden="1" customHeight="1" x14ac:dyDescent="0.4">
      <c r="A1261" s="17" t="s">
        <v>64</v>
      </c>
      <c r="B1261" s="15" t="s">
        <v>316</v>
      </c>
      <c r="C1261" s="16" t="s">
        <v>24</v>
      </c>
      <c r="D1261" s="16" t="s">
        <v>31</v>
      </c>
      <c r="E1261" s="15" t="s">
        <v>35</v>
      </c>
      <c r="F1261" s="15" t="s">
        <v>314</v>
      </c>
      <c r="N1261" s="21" t="s">
        <v>96</v>
      </c>
      <c r="O1261" s="21" t="s">
        <v>337</v>
      </c>
      <c r="Q1261" s="21" t="s">
        <v>344</v>
      </c>
      <c r="R1261" s="22">
        <v>45756</v>
      </c>
      <c r="W1261">
        <f>COUNTIF(スマートプラス!U:U,B1261)</f>
        <v>0</v>
      </c>
    </row>
    <row r="1262" spans="1:23" ht="24.95" hidden="1" customHeight="1" x14ac:dyDescent="0.4">
      <c r="A1262" s="17" t="s">
        <v>64</v>
      </c>
      <c r="B1262" s="15" t="s">
        <v>317</v>
      </c>
      <c r="C1262" s="16" t="s">
        <v>24</v>
      </c>
      <c r="D1262" s="16" t="s">
        <v>31</v>
      </c>
      <c r="E1262" s="15" t="s">
        <v>35</v>
      </c>
      <c r="F1262" s="15" t="s">
        <v>314</v>
      </c>
      <c r="N1262" s="21" t="s">
        <v>96</v>
      </c>
      <c r="O1262" s="21" t="s">
        <v>337</v>
      </c>
      <c r="Q1262" s="21" t="s">
        <v>344</v>
      </c>
      <c r="R1262" s="22">
        <v>45756</v>
      </c>
      <c r="W1262">
        <f>COUNTIF(スマートプラス!U:U,B1262)</f>
        <v>0</v>
      </c>
    </row>
    <row r="1263" spans="1:23" ht="24.95" hidden="1" customHeight="1" x14ac:dyDescent="0.4">
      <c r="A1263" s="17" t="s">
        <v>64</v>
      </c>
      <c r="B1263" s="50" t="s">
        <v>364</v>
      </c>
      <c r="C1263" s="16" t="s">
        <v>24</v>
      </c>
      <c r="D1263" s="16" t="s">
        <v>31</v>
      </c>
      <c r="E1263" s="15" t="s">
        <v>35</v>
      </c>
      <c r="F1263" s="15" t="s">
        <v>365</v>
      </c>
      <c r="N1263" s="21" t="s">
        <v>96</v>
      </c>
      <c r="O1263" s="21" t="s">
        <v>372</v>
      </c>
      <c r="Q1263" s="21" t="s">
        <v>344</v>
      </c>
      <c r="R1263" s="22">
        <v>45883</v>
      </c>
      <c r="W1263">
        <f>COUNTIF(スマートプラス!U:U,B1263)</f>
        <v>0</v>
      </c>
    </row>
    <row r="1264" spans="1:23" ht="24.95" hidden="1" customHeight="1" x14ac:dyDescent="0.4">
      <c r="A1264" s="17" t="s">
        <v>64</v>
      </c>
      <c r="B1264" s="15" t="s">
        <v>355</v>
      </c>
      <c r="C1264" s="16" t="s">
        <v>31</v>
      </c>
      <c r="D1264" s="16" t="s">
        <v>31</v>
      </c>
      <c r="E1264" s="15" t="s">
        <v>32</v>
      </c>
      <c r="F1264" s="15" t="s">
        <v>356</v>
      </c>
      <c r="N1264" s="21" t="s">
        <v>96</v>
      </c>
      <c r="O1264" s="21" t="s">
        <v>360</v>
      </c>
      <c r="Q1264" s="21" t="s">
        <v>344</v>
      </c>
      <c r="R1264" s="22">
        <v>45847</v>
      </c>
      <c r="W1264">
        <f>COUNTIF(スマートプラス!U:U,B1264)</f>
        <v>1</v>
      </c>
    </row>
    <row r="1265" spans="1:26" ht="24.95" hidden="1" customHeight="1" x14ac:dyDescent="0.4">
      <c r="A1265" s="17" t="s">
        <v>64</v>
      </c>
      <c r="B1265" s="15" t="s">
        <v>171</v>
      </c>
      <c r="C1265" s="16" t="s">
        <v>31</v>
      </c>
      <c r="D1265" s="16" t="s">
        <v>31</v>
      </c>
      <c r="E1265" s="15" t="s">
        <v>32</v>
      </c>
      <c r="F1265" s="15" t="s">
        <v>314</v>
      </c>
      <c r="N1265" s="21" t="s">
        <v>96</v>
      </c>
      <c r="O1265" s="21" t="s">
        <v>336</v>
      </c>
      <c r="Q1265" s="21" t="s">
        <v>344</v>
      </c>
      <c r="R1265" s="22">
        <v>45756</v>
      </c>
      <c r="W1265">
        <f>COUNTIF(スマートプラス!U:U,B1265)</f>
        <v>0</v>
      </c>
    </row>
    <row r="1266" spans="1:26" ht="24.95" hidden="1" customHeight="1" x14ac:dyDescent="0.4">
      <c r="A1266" s="17" t="s">
        <v>64</v>
      </c>
      <c r="B1266" s="15" t="s">
        <v>123</v>
      </c>
      <c r="C1266" s="16" t="s">
        <v>31</v>
      </c>
      <c r="D1266" s="16" t="s">
        <v>31</v>
      </c>
      <c r="E1266" s="15" t="s">
        <v>32</v>
      </c>
      <c r="F1266" s="15" t="s">
        <v>184</v>
      </c>
      <c r="N1266" s="21" t="s">
        <v>96</v>
      </c>
      <c r="O1266" s="21" t="s">
        <v>337</v>
      </c>
      <c r="Q1266" s="21" t="s">
        <v>344</v>
      </c>
      <c r="R1266" s="22">
        <v>45814</v>
      </c>
      <c r="W1266">
        <f>COUNTIF(スマートプラス!U:U,B1266)</f>
        <v>0</v>
      </c>
    </row>
    <row r="1267" spans="1:26" ht="24.95" hidden="1" customHeight="1" x14ac:dyDescent="0.4">
      <c r="A1267" s="17" t="s">
        <v>64</v>
      </c>
      <c r="B1267" s="15" t="s">
        <v>37</v>
      </c>
      <c r="C1267" s="16" t="s">
        <v>31</v>
      </c>
      <c r="D1267" s="16" t="s">
        <v>31</v>
      </c>
      <c r="E1267" s="15" t="s">
        <v>32</v>
      </c>
      <c r="F1267" s="15" t="s">
        <v>212</v>
      </c>
      <c r="N1267" s="21" t="s">
        <v>96</v>
      </c>
      <c r="O1267" s="13" t="s">
        <v>349</v>
      </c>
      <c r="Q1267" s="21" t="s">
        <v>344</v>
      </c>
      <c r="R1267" s="22">
        <v>45814</v>
      </c>
      <c r="W1267">
        <f>COUNTIF(スマートプラス!U:U,B1267)</f>
        <v>1</v>
      </c>
      <c r="Z1267" t="s">
        <v>432</v>
      </c>
    </row>
    <row r="1268" spans="1:26" ht="24.95" hidden="1" customHeight="1" x14ac:dyDescent="0.4">
      <c r="A1268" s="17" t="s">
        <v>64</v>
      </c>
      <c r="B1268" s="15" t="s">
        <v>225</v>
      </c>
      <c r="C1268" s="16" t="s">
        <v>31</v>
      </c>
      <c r="D1268" s="16" t="s">
        <v>31</v>
      </c>
      <c r="E1268" s="15" t="s">
        <v>32</v>
      </c>
      <c r="F1268" s="15" t="s">
        <v>314</v>
      </c>
      <c r="N1268" s="21" t="s">
        <v>96</v>
      </c>
      <c r="O1268" s="21" t="s">
        <v>336</v>
      </c>
      <c r="Q1268" s="21" t="s">
        <v>344</v>
      </c>
      <c r="R1268" s="22">
        <v>45756</v>
      </c>
      <c r="W1268">
        <f>COUNTIF(スマートプラス!U:U,B1268)</f>
        <v>0</v>
      </c>
    </row>
    <row r="1269" spans="1:26" ht="24.95" hidden="1" customHeight="1" x14ac:dyDescent="0.4">
      <c r="A1269" s="17" t="s">
        <v>64</v>
      </c>
      <c r="B1269" s="15" t="s">
        <v>117</v>
      </c>
      <c r="C1269" s="16" t="s">
        <v>31</v>
      </c>
      <c r="D1269" s="16" t="s">
        <v>31</v>
      </c>
      <c r="E1269" s="15" t="s">
        <v>32</v>
      </c>
      <c r="F1269" s="15" t="s">
        <v>356</v>
      </c>
      <c r="N1269" s="21" t="s">
        <v>96</v>
      </c>
      <c r="O1269" s="21" t="s">
        <v>360</v>
      </c>
      <c r="Q1269" s="21" t="s">
        <v>344</v>
      </c>
      <c r="R1269" s="22">
        <v>45847</v>
      </c>
      <c r="W1269">
        <f>COUNTIF(スマートプラス!U:U,B1269)</f>
        <v>0</v>
      </c>
    </row>
    <row r="1270" spans="1:26" ht="24.95" hidden="1" customHeight="1" x14ac:dyDescent="0.4">
      <c r="A1270" s="17" t="s">
        <v>64</v>
      </c>
      <c r="B1270" s="15" t="s">
        <v>126</v>
      </c>
      <c r="C1270" s="16" t="s">
        <v>31</v>
      </c>
      <c r="D1270" s="16" t="s">
        <v>31</v>
      </c>
      <c r="E1270" s="15" t="s">
        <v>32</v>
      </c>
      <c r="F1270" s="15" t="s">
        <v>365</v>
      </c>
      <c r="N1270" s="21" t="s">
        <v>374</v>
      </c>
      <c r="O1270" s="21" t="s">
        <v>373</v>
      </c>
      <c r="Q1270" s="21" t="s">
        <v>344</v>
      </c>
      <c r="R1270" s="22">
        <v>45883</v>
      </c>
      <c r="W1270">
        <f>COUNTIF(スマートプラス!U:U,B1270)</f>
        <v>0</v>
      </c>
    </row>
    <row r="1271" spans="1:26" ht="24.95" hidden="1" customHeight="1" x14ac:dyDescent="0.4">
      <c r="A1271" s="17" t="s">
        <v>64</v>
      </c>
      <c r="B1271" s="15" t="s">
        <v>226</v>
      </c>
      <c r="C1271" s="16" t="s">
        <v>31</v>
      </c>
      <c r="D1271" s="16" t="s">
        <v>31</v>
      </c>
      <c r="E1271" s="15" t="s">
        <v>32</v>
      </c>
      <c r="F1271" s="15" t="s">
        <v>314</v>
      </c>
      <c r="N1271" s="21" t="s">
        <v>96</v>
      </c>
      <c r="O1271" s="21" t="s">
        <v>336</v>
      </c>
      <c r="Q1271" s="21" t="s">
        <v>344</v>
      </c>
      <c r="R1271" s="22">
        <v>45756</v>
      </c>
      <c r="W1271">
        <f>COUNTIF(スマートプラス!U:U,B1271)</f>
        <v>0</v>
      </c>
    </row>
    <row r="1272" spans="1:26" ht="24.95" hidden="1" customHeight="1" x14ac:dyDescent="0.4">
      <c r="A1272" s="17" t="s">
        <v>64</v>
      </c>
      <c r="B1272" s="15" t="s">
        <v>318</v>
      </c>
      <c r="C1272" s="16" t="s">
        <v>31</v>
      </c>
      <c r="D1272" s="16" t="s">
        <v>31</v>
      </c>
      <c r="E1272" s="15" t="s">
        <v>32</v>
      </c>
      <c r="F1272" s="15" t="s">
        <v>314</v>
      </c>
      <c r="N1272" s="21" t="s">
        <v>96</v>
      </c>
      <c r="O1272" s="21" t="s">
        <v>337</v>
      </c>
      <c r="Q1272" s="21" t="s">
        <v>344</v>
      </c>
      <c r="R1272" s="22">
        <v>45756</v>
      </c>
      <c r="W1272">
        <f>COUNTIF(スマートプラス!U:U,B1272)</f>
        <v>0</v>
      </c>
    </row>
    <row r="1273" spans="1:26" ht="24.95" hidden="1" customHeight="1" x14ac:dyDescent="0.4">
      <c r="A1273" s="17" t="s">
        <v>64</v>
      </c>
      <c r="B1273" s="15" t="s">
        <v>118</v>
      </c>
      <c r="C1273" s="16" t="s">
        <v>31</v>
      </c>
      <c r="D1273" s="16" t="s">
        <v>31</v>
      </c>
      <c r="E1273" s="15" t="s">
        <v>32</v>
      </c>
      <c r="F1273" s="15" t="s">
        <v>314</v>
      </c>
      <c r="N1273" s="21" t="s">
        <v>96</v>
      </c>
      <c r="O1273" s="21" t="s">
        <v>337</v>
      </c>
      <c r="Q1273" s="21" t="s">
        <v>344</v>
      </c>
      <c r="R1273" s="22">
        <v>45756</v>
      </c>
      <c r="W1273">
        <f>COUNTIF(スマートプラス!U:U,B1273)</f>
        <v>0</v>
      </c>
    </row>
    <row r="1274" spans="1:26" ht="24.95" hidden="1" customHeight="1" x14ac:dyDescent="0.4">
      <c r="A1274" s="17" t="s">
        <v>64</v>
      </c>
      <c r="B1274" s="15" t="s">
        <v>319</v>
      </c>
      <c r="C1274" s="16" t="s">
        <v>31</v>
      </c>
      <c r="D1274" s="16" t="s">
        <v>31</v>
      </c>
      <c r="E1274" s="15" t="s">
        <v>32</v>
      </c>
      <c r="F1274" s="15" t="s">
        <v>314</v>
      </c>
      <c r="N1274" s="21" t="s">
        <v>96</v>
      </c>
      <c r="O1274" s="21" t="s">
        <v>337</v>
      </c>
      <c r="Q1274" s="21" t="s">
        <v>344</v>
      </c>
      <c r="R1274" s="22">
        <v>45756</v>
      </c>
      <c r="W1274">
        <f>COUNTIF(スマートプラス!U:U,B1274)</f>
        <v>0</v>
      </c>
    </row>
    <row r="1275" spans="1:26" ht="24.95" hidden="1" customHeight="1" x14ac:dyDescent="0.4">
      <c r="A1275" s="17" t="s">
        <v>64</v>
      </c>
      <c r="B1275" s="15" t="s">
        <v>227</v>
      </c>
      <c r="C1275" s="16" t="s">
        <v>31</v>
      </c>
      <c r="D1275" s="16" t="s">
        <v>31</v>
      </c>
      <c r="E1275" s="15" t="s">
        <v>32</v>
      </c>
      <c r="F1275" s="15" t="s">
        <v>314</v>
      </c>
      <c r="N1275" s="21" t="s">
        <v>96</v>
      </c>
      <c r="O1275" s="21" t="s">
        <v>336</v>
      </c>
      <c r="Q1275" s="21" t="s">
        <v>344</v>
      </c>
      <c r="R1275" s="22">
        <v>45756</v>
      </c>
      <c r="W1275">
        <f>COUNTIF(スマートプラス!U:U,B1275)</f>
        <v>0</v>
      </c>
    </row>
    <row r="1276" spans="1:26" ht="24.95" hidden="1" customHeight="1" x14ac:dyDescent="0.4">
      <c r="A1276" s="17" t="s">
        <v>64</v>
      </c>
      <c r="B1276" s="15" t="s">
        <v>228</v>
      </c>
      <c r="C1276" s="16" t="s">
        <v>31</v>
      </c>
      <c r="D1276" s="16" t="s">
        <v>31</v>
      </c>
      <c r="E1276" s="15" t="s">
        <v>32</v>
      </c>
      <c r="F1276" s="15" t="s">
        <v>314</v>
      </c>
      <c r="N1276" s="21" t="s">
        <v>96</v>
      </c>
      <c r="O1276" s="21" t="s">
        <v>336</v>
      </c>
      <c r="Q1276" s="21" t="s">
        <v>344</v>
      </c>
      <c r="R1276" s="22">
        <v>45756</v>
      </c>
      <c r="W1276">
        <f>COUNTIF(スマートプラス!U:U,B1276)</f>
        <v>0</v>
      </c>
    </row>
    <row r="1277" spans="1:26" ht="24.95" hidden="1" customHeight="1" x14ac:dyDescent="0.4">
      <c r="A1277" s="17" t="s">
        <v>64</v>
      </c>
      <c r="B1277" s="15" t="s">
        <v>229</v>
      </c>
      <c r="C1277" s="16" t="s">
        <v>31</v>
      </c>
      <c r="D1277" s="16" t="s">
        <v>31</v>
      </c>
      <c r="E1277" s="15" t="s">
        <v>32</v>
      </c>
      <c r="F1277" s="15" t="s">
        <v>314</v>
      </c>
      <c r="N1277" s="21" t="s">
        <v>96</v>
      </c>
      <c r="O1277" s="21" t="s">
        <v>336</v>
      </c>
      <c r="Q1277" s="21" t="s">
        <v>344</v>
      </c>
      <c r="R1277" s="22">
        <v>45756</v>
      </c>
      <c r="W1277">
        <f>COUNTIF(スマートプラス!U:U,B1277)</f>
        <v>0</v>
      </c>
    </row>
    <row r="1278" spans="1:26" ht="24.95" hidden="1" customHeight="1" x14ac:dyDescent="0.4">
      <c r="A1278" s="17" t="s">
        <v>64</v>
      </c>
      <c r="B1278" s="15" t="s">
        <v>230</v>
      </c>
      <c r="C1278" s="16" t="s">
        <v>31</v>
      </c>
      <c r="D1278" s="16" t="s">
        <v>31</v>
      </c>
      <c r="E1278" s="15" t="s">
        <v>32</v>
      </c>
      <c r="F1278" s="15" t="s">
        <v>314</v>
      </c>
      <c r="N1278" s="21" t="s">
        <v>96</v>
      </c>
      <c r="O1278" s="21" t="s">
        <v>336</v>
      </c>
      <c r="Q1278" s="21" t="s">
        <v>344</v>
      </c>
      <c r="R1278" s="22">
        <v>45756</v>
      </c>
      <c r="W1278">
        <f>COUNTIF(スマートプラス!U:U,B1278)</f>
        <v>0</v>
      </c>
    </row>
    <row r="1279" spans="1:26" ht="24.95" hidden="1" customHeight="1" x14ac:dyDescent="0.4">
      <c r="A1279" s="17" t="s">
        <v>64</v>
      </c>
      <c r="B1279" s="15" t="s">
        <v>231</v>
      </c>
      <c r="C1279" s="16" t="s">
        <v>31</v>
      </c>
      <c r="D1279" s="16" t="s">
        <v>31</v>
      </c>
      <c r="E1279" s="15" t="s">
        <v>32</v>
      </c>
      <c r="F1279" s="15" t="s">
        <v>314</v>
      </c>
      <c r="N1279" s="21" t="s">
        <v>96</v>
      </c>
      <c r="O1279" s="21" t="s">
        <v>336</v>
      </c>
      <c r="Q1279" s="21" t="s">
        <v>344</v>
      </c>
      <c r="R1279" s="22">
        <v>45756</v>
      </c>
      <c r="W1279">
        <f>COUNTIF(スマートプラス!U:U,B1279)</f>
        <v>0</v>
      </c>
    </row>
    <row r="1280" spans="1:26" ht="24.95" hidden="1" customHeight="1" x14ac:dyDescent="0.4">
      <c r="A1280" s="17" t="s">
        <v>64</v>
      </c>
      <c r="B1280" s="15" t="s">
        <v>232</v>
      </c>
      <c r="C1280" s="16" t="s">
        <v>31</v>
      </c>
      <c r="D1280" s="16" t="s">
        <v>31</v>
      </c>
      <c r="E1280" s="15" t="s">
        <v>32</v>
      </c>
      <c r="F1280" s="15" t="s">
        <v>314</v>
      </c>
      <c r="N1280" s="21" t="s">
        <v>96</v>
      </c>
      <c r="O1280" s="21" t="s">
        <v>336</v>
      </c>
      <c r="Q1280" s="21" t="s">
        <v>344</v>
      </c>
      <c r="R1280" s="22">
        <v>45756</v>
      </c>
      <c r="W1280">
        <f>COUNTIF(スマートプラス!U:U,B1280)</f>
        <v>0</v>
      </c>
    </row>
    <row r="1281" spans="1:23" ht="24.95" hidden="1" customHeight="1" x14ac:dyDescent="0.4">
      <c r="A1281" s="17" t="s">
        <v>64</v>
      </c>
      <c r="B1281" s="15" t="s">
        <v>233</v>
      </c>
      <c r="C1281" s="16" t="s">
        <v>31</v>
      </c>
      <c r="D1281" s="16" t="s">
        <v>31</v>
      </c>
      <c r="E1281" s="15" t="s">
        <v>32</v>
      </c>
      <c r="F1281" s="15" t="s">
        <v>314</v>
      </c>
      <c r="N1281" s="21" t="s">
        <v>96</v>
      </c>
      <c r="O1281" s="21" t="s">
        <v>336</v>
      </c>
      <c r="Q1281" s="21" t="s">
        <v>344</v>
      </c>
      <c r="R1281" s="22">
        <v>45756</v>
      </c>
      <c r="W1281">
        <f>COUNTIF(スマートプラス!U:U,B1281)</f>
        <v>0</v>
      </c>
    </row>
    <row r="1282" spans="1:23" ht="24.95" hidden="1" customHeight="1" x14ac:dyDescent="0.4">
      <c r="A1282" s="17" t="s">
        <v>64</v>
      </c>
      <c r="B1282" s="15" t="s">
        <v>234</v>
      </c>
      <c r="C1282" s="16" t="s">
        <v>31</v>
      </c>
      <c r="D1282" s="16" t="s">
        <v>31</v>
      </c>
      <c r="E1282" s="15" t="s">
        <v>32</v>
      </c>
      <c r="F1282" s="15" t="s">
        <v>314</v>
      </c>
      <c r="N1282" s="21" t="s">
        <v>96</v>
      </c>
      <c r="O1282" s="21" t="s">
        <v>336</v>
      </c>
      <c r="Q1282" s="21" t="s">
        <v>344</v>
      </c>
      <c r="R1282" s="22">
        <v>45756</v>
      </c>
      <c r="W1282">
        <f>COUNTIF(スマートプラス!U:U,B1282)</f>
        <v>0</v>
      </c>
    </row>
    <row r="1283" spans="1:23" ht="24.95" hidden="1" customHeight="1" x14ac:dyDescent="0.4">
      <c r="A1283" s="17" t="s">
        <v>64</v>
      </c>
      <c r="B1283" s="15" t="s">
        <v>235</v>
      </c>
      <c r="C1283" s="16" t="s">
        <v>31</v>
      </c>
      <c r="D1283" s="16" t="s">
        <v>31</v>
      </c>
      <c r="E1283" s="15" t="s">
        <v>32</v>
      </c>
      <c r="F1283" s="15" t="s">
        <v>314</v>
      </c>
      <c r="N1283" s="21" t="s">
        <v>96</v>
      </c>
      <c r="O1283" s="21" t="s">
        <v>336</v>
      </c>
      <c r="Q1283" s="21" t="s">
        <v>344</v>
      </c>
      <c r="R1283" s="22">
        <v>45756</v>
      </c>
      <c r="W1283">
        <f>COUNTIF(スマートプラス!U:U,B1283)</f>
        <v>0</v>
      </c>
    </row>
    <row r="1284" spans="1:23" ht="24.95" hidden="1" customHeight="1" x14ac:dyDescent="0.4">
      <c r="A1284" s="17" t="s">
        <v>64</v>
      </c>
      <c r="B1284" s="15" t="s">
        <v>236</v>
      </c>
      <c r="C1284" s="16" t="s">
        <v>31</v>
      </c>
      <c r="D1284" s="16" t="s">
        <v>31</v>
      </c>
      <c r="E1284" s="15" t="s">
        <v>32</v>
      </c>
      <c r="F1284" s="15" t="s">
        <v>314</v>
      </c>
      <c r="N1284" s="21" t="s">
        <v>96</v>
      </c>
      <c r="O1284" s="21" t="s">
        <v>336</v>
      </c>
      <c r="Q1284" s="21" t="s">
        <v>344</v>
      </c>
      <c r="R1284" s="22">
        <v>45756</v>
      </c>
      <c r="W1284">
        <f>COUNTIF(スマートプラス!U:U,B1284)</f>
        <v>0</v>
      </c>
    </row>
    <row r="1285" spans="1:23" ht="24.95" hidden="1" customHeight="1" x14ac:dyDescent="0.4">
      <c r="A1285" s="17" t="s">
        <v>64</v>
      </c>
      <c r="B1285" s="15" t="s">
        <v>237</v>
      </c>
      <c r="C1285" s="16" t="s">
        <v>31</v>
      </c>
      <c r="D1285" s="16" t="s">
        <v>31</v>
      </c>
      <c r="E1285" s="15" t="s">
        <v>32</v>
      </c>
      <c r="F1285" s="15" t="s">
        <v>314</v>
      </c>
      <c r="N1285" s="21" t="s">
        <v>96</v>
      </c>
      <c r="O1285" s="21" t="s">
        <v>336</v>
      </c>
      <c r="Q1285" s="21" t="s">
        <v>344</v>
      </c>
      <c r="R1285" s="22">
        <v>45756</v>
      </c>
      <c r="W1285">
        <f>COUNTIF(スマートプラス!U:U,B1285)</f>
        <v>0</v>
      </c>
    </row>
    <row r="1286" spans="1:23" ht="24.95" hidden="1" customHeight="1" x14ac:dyDescent="0.4">
      <c r="A1286" s="17" t="s">
        <v>64</v>
      </c>
      <c r="B1286" s="15" t="s">
        <v>346</v>
      </c>
      <c r="C1286" s="16" t="s">
        <v>31</v>
      </c>
      <c r="D1286" s="16" t="s">
        <v>31</v>
      </c>
      <c r="E1286" s="15" t="s">
        <v>32</v>
      </c>
      <c r="F1286" s="15" t="s">
        <v>356</v>
      </c>
      <c r="N1286" s="21" t="s">
        <v>96</v>
      </c>
      <c r="O1286" s="21" t="s">
        <v>360</v>
      </c>
      <c r="Q1286" s="21" t="s">
        <v>344</v>
      </c>
      <c r="R1286" s="22">
        <v>45847</v>
      </c>
      <c r="W1286">
        <f>COUNTIF(スマートプラス!U:U,B1286)</f>
        <v>0</v>
      </c>
    </row>
    <row r="1287" spans="1:23" ht="24.95" hidden="1" customHeight="1" x14ac:dyDescent="0.4">
      <c r="A1287" s="17" t="s">
        <v>64</v>
      </c>
      <c r="B1287" s="15" t="s">
        <v>357</v>
      </c>
      <c r="C1287" s="16" t="s">
        <v>31</v>
      </c>
      <c r="D1287" s="16" t="s">
        <v>31</v>
      </c>
      <c r="E1287" s="15" t="s">
        <v>32</v>
      </c>
      <c r="F1287" s="15" t="s">
        <v>356</v>
      </c>
      <c r="N1287" s="21" t="s">
        <v>96</v>
      </c>
      <c r="O1287" s="21" t="s">
        <v>360</v>
      </c>
      <c r="Q1287" s="21" t="s">
        <v>344</v>
      </c>
      <c r="R1287" s="22">
        <v>45847</v>
      </c>
      <c r="W1287">
        <f>COUNTIF(スマートプラス!U:U,B1287)</f>
        <v>0</v>
      </c>
    </row>
    <row r="1288" spans="1:23" ht="24.95" hidden="1" customHeight="1" x14ac:dyDescent="0.4">
      <c r="A1288" s="17" t="s">
        <v>64</v>
      </c>
      <c r="B1288" s="15" t="s">
        <v>347</v>
      </c>
      <c r="C1288" s="16" t="s">
        <v>31</v>
      </c>
      <c r="D1288" s="16" t="s">
        <v>31</v>
      </c>
      <c r="E1288" s="15" t="s">
        <v>32</v>
      </c>
      <c r="F1288" s="15" t="s">
        <v>356</v>
      </c>
      <c r="N1288" s="21" t="s">
        <v>96</v>
      </c>
      <c r="O1288" s="21" t="s">
        <v>360</v>
      </c>
      <c r="Q1288" s="21" t="s">
        <v>344</v>
      </c>
      <c r="R1288" s="22">
        <v>45847</v>
      </c>
      <c r="W1288">
        <f>COUNTIF(スマートプラス!U:U,B1288)</f>
        <v>0</v>
      </c>
    </row>
    <row r="1289" spans="1:23" ht="24.95" hidden="1" customHeight="1" x14ac:dyDescent="0.4">
      <c r="A1289" s="17" t="s">
        <v>64</v>
      </c>
      <c r="B1289" s="15" t="s">
        <v>320</v>
      </c>
      <c r="C1289" s="16" t="s">
        <v>31</v>
      </c>
      <c r="D1289" s="16" t="s">
        <v>31</v>
      </c>
      <c r="E1289" s="15" t="s">
        <v>32</v>
      </c>
      <c r="F1289" s="15" t="s">
        <v>314</v>
      </c>
      <c r="N1289" s="21" t="s">
        <v>96</v>
      </c>
      <c r="O1289" s="21" t="s">
        <v>337</v>
      </c>
      <c r="Q1289" s="21" t="s">
        <v>344</v>
      </c>
      <c r="R1289" s="22">
        <v>45756</v>
      </c>
      <c r="W1289">
        <f>COUNTIF(スマートプラス!U:U,B1289)</f>
        <v>0</v>
      </c>
    </row>
    <row r="1290" spans="1:23" ht="24.95" hidden="1" customHeight="1" x14ac:dyDescent="0.4">
      <c r="A1290" s="17" t="s">
        <v>64</v>
      </c>
      <c r="B1290" s="15" t="s">
        <v>132</v>
      </c>
      <c r="C1290" s="16" t="s">
        <v>31</v>
      </c>
      <c r="D1290" s="16" t="s">
        <v>31</v>
      </c>
      <c r="E1290" s="15" t="s">
        <v>32</v>
      </c>
      <c r="F1290" s="15" t="s">
        <v>314</v>
      </c>
      <c r="N1290" s="21" t="s">
        <v>96</v>
      </c>
      <c r="O1290" s="21" t="s">
        <v>337</v>
      </c>
      <c r="Q1290" s="21" t="s">
        <v>344</v>
      </c>
      <c r="R1290" s="22">
        <v>45756</v>
      </c>
      <c r="W1290">
        <f>COUNTIF(スマートプラス!U:U,B1290)</f>
        <v>0</v>
      </c>
    </row>
    <row r="1291" spans="1:23" ht="24.95" hidden="1" customHeight="1" x14ac:dyDescent="0.4">
      <c r="A1291" s="17" t="s">
        <v>64</v>
      </c>
      <c r="B1291" s="15" t="s">
        <v>321</v>
      </c>
      <c r="C1291" s="16" t="s">
        <v>24</v>
      </c>
      <c r="D1291" s="16" t="s">
        <v>31</v>
      </c>
      <c r="E1291" s="15" t="s">
        <v>35</v>
      </c>
      <c r="F1291" s="15" t="s">
        <v>314</v>
      </c>
      <c r="N1291" s="21" t="s">
        <v>96</v>
      </c>
      <c r="O1291" s="21" t="s">
        <v>337</v>
      </c>
      <c r="Q1291" s="21" t="s">
        <v>344</v>
      </c>
      <c r="R1291" s="22">
        <v>45756</v>
      </c>
      <c r="W1291">
        <f>COUNTIF(スマートプラス!U:U,B1291)</f>
        <v>0</v>
      </c>
    </row>
    <row r="1292" spans="1:23" ht="24.95" hidden="1" customHeight="1" x14ac:dyDescent="0.4">
      <c r="A1292" s="17" t="s">
        <v>64</v>
      </c>
      <c r="B1292" s="15" t="s">
        <v>322</v>
      </c>
      <c r="C1292" s="16" t="s">
        <v>24</v>
      </c>
      <c r="D1292" s="16" t="s">
        <v>31</v>
      </c>
      <c r="E1292" s="15" t="s">
        <v>35</v>
      </c>
      <c r="F1292" s="15" t="s">
        <v>314</v>
      </c>
      <c r="N1292" s="21" t="s">
        <v>96</v>
      </c>
      <c r="O1292" s="21" t="s">
        <v>337</v>
      </c>
      <c r="Q1292" s="21" t="s">
        <v>344</v>
      </c>
      <c r="R1292" s="22">
        <v>45756</v>
      </c>
      <c r="W1292">
        <f>COUNTIF(スマートプラス!U:U,B1292)</f>
        <v>0</v>
      </c>
    </row>
    <row r="1293" spans="1:23" ht="24.95" hidden="1" customHeight="1" x14ac:dyDescent="0.4">
      <c r="A1293" s="17" t="s">
        <v>64</v>
      </c>
      <c r="B1293" s="15" t="s">
        <v>323</v>
      </c>
      <c r="C1293" s="16" t="s">
        <v>24</v>
      </c>
      <c r="D1293" s="16" t="s">
        <v>31</v>
      </c>
      <c r="E1293" s="15" t="s">
        <v>35</v>
      </c>
      <c r="F1293" s="15" t="s">
        <v>314</v>
      </c>
      <c r="N1293" s="21" t="s">
        <v>96</v>
      </c>
      <c r="O1293" s="21" t="s">
        <v>337</v>
      </c>
      <c r="Q1293" s="21" t="s">
        <v>344</v>
      </c>
      <c r="R1293" s="22">
        <v>45756</v>
      </c>
      <c r="W1293">
        <f>COUNTIF(スマートプラス!U:U,B1293)</f>
        <v>0</v>
      </c>
    </row>
    <row r="1294" spans="1:23" ht="24.95" hidden="1" customHeight="1" x14ac:dyDescent="0.4">
      <c r="A1294" s="17" t="s">
        <v>64</v>
      </c>
      <c r="B1294" s="15" t="s">
        <v>238</v>
      </c>
      <c r="C1294" s="16" t="s">
        <v>31</v>
      </c>
      <c r="D1294" s="16" t="s">
        <v>31</v>
      </c>
      <c r="E1294" s="15" t="s">
        <v>32</v>
      </c>
      <c r="F1294" s="15" t="s">
        <v>314</v>
      </c>
      <c r="N1294" s="21" t="s">
        <v>96</v>
      </c>
      <c r="O1294" s="21" t="s">
        <v>336</v>
      </c>
      <c r="Q1294" s="21" t="s">
        <v>344</v>
      </c>
      <c r="R1294" s="22">
        <v>45756</v>
      </c>
      <c r="W1294">
        <f>COUNTIF(スマートプラス!U:U,B1294)</f>
        <v>0</v>
      </c>
    </row>
    <row r="1295" spans="1:23" ht="24.95" hidden="1" customHeight="1" x14ac:dyDescent="0.4">
      <c r="A1295" s="17" t="s">
        <v>64</v>
      </c>
      <c r="B1295" s="15" t="s">
        <v>239</v>
      </c>
      <c r="C1295" s="16" t="s">
        <v>31</v>
      </c>
      <c r="D1295" s="16" t="s">
        <v>31</v>
      </c>
      <c r="E1295" s="15" t="s">
        <v>32</v>
      </c>
      <c r="F1295" s="15" t="s">
        <v>314</v>
      </c>
      <c r="N1295" s="21" t="s">
        <v>96</v>
      </c>
      <c r="O1295" s="21" t="s">
        <v>336</v>
      </c>
      <c r="Q1295" s="21" t="s">
        <v>344</v>
      </c>
      <c r="R1295" s="22">
        <v>45756</v>
      </c>
      <c r="W1295">
        <f>COUNTIF(スマートプラス!U:U,B1295)</f>
        <v>0</v>
      </c>
    </row>
    <row r="1296" spans="1:23" ht="24.95" hidden="1" customHeight="1" x14ac:dyDescent="0.4">
      <c r="A1296" s="17" t="s">
        <v>64</v>
      </c>
      <c r="B1296" s="15" t="s">
        <v>240</v>
      </c>
      <c r="C1296" s="16" t="s">
        <v>31</v>
      </c>
      <c r="D1296" s="16" t="s">
        <v>31</v>
      </c>
      <c r="E1296" s="15" t="s">
        <v>32</v>
      </c>
      <c r="F1296" s="15" t="s">
        <v>314</v>
      </c>
      <c r="N1296" s="21" t="s">
        <v>96</v>
      </c>
      <c r="O1296" s="21" t="s">
        <v>336</v>
      </c>
      <c r="Q1296" s="21" t="s">
        <v>344</v>
      </c>
      <c r="R1296" s="22">
        <v>45756</v>
      </c>
      <c r="W1296">
        <f>COUNTIF(スマートプラス!U:U,B1296)</f>
        <v>0</v>
      </c>
    </row>
    <row r="1297" spans="1:23" ht="24.95" hidden="1" customHeight="1" x14ac:dyDescent="0.4">
      <c r="A1297" s="17" t="s">
        <v>64</v>
      </c>
      <c r="B1297" s="15" t="s">
        <v>241</v>
      </c>
      <c r="C1297" s="16" t="s">
        <v>31</v>
      </c>
      <c r="D1297" s="16" t="s">
        <v>31</v>
      </c>
      <c r="E1297" s="15" t="s">
        <v>32</v>
      </c>
      <c r="F1297" s="15" t="s">
        <v>314</v>
      </c>
      <c r="N1297" s="21" t="s">
        <v>96</v>
      </c>
      <c r="O1297" s="21" t="s">
        <v>336</v>
      </c>
      <c r="Q1297" s="21" t="s">
        <v>344</v>
      </c>
      <c r="R1297" s="22">
        <v>45756</v>
      </c>
      <c r="W1297">
        <f>COUNTIF(スマートプラス!U:U,B1297)</f>
        <v>0</v>
      </c>
    </row>
    <row r="1298" spans="1:23" ht="24.95" hidden="1" customHeight="1" x14ac:dyDescent="0.4">
      <c r="A1298" s="17" t="s">
        <v>64</v>
      </c>
      <c r="B1298" s="15" t="s">
        <v>242</v>
      </c>
      <c r="C1298" s="16" t="s">
        <v>31</v>
      </c>
      <c r="D1298" s="16" t="s">
        <v>31</v>
      </c>
      <c r="E1298" s="15" t="s">
        <v>32</v>
      </c>
      <c r="F1298" s="15" t="s">
        <v>314</v>
      </c>
      <c r="N1298" s="21" t="s">
        <v>96</v>
      </c>
      <c r="O1298" s="21" t="s">
        <v>336</v>
      </c>
      <c r="Q1298" s="21" t="s">
        <v>344</v>
      </c>
      <c r="R1298" s="22">
        <v>45756</v>
      </c>
      <c r="W1298">
        <f>COUNTIF(スマートプラス!U:U,B1298)</f>
        <v>0</v>
      </c>
    </row>
    <row r="1299" spans="1:23" ht="24.95" hidden="1" customHeight="1" x14ac:dyDescent="0.4">
      <c r="A1299" s="17" t="s">
        <v>64</v>
      </c>
      <c r="B1299" s="15" t="s">
        <v>243</v>
      </c>
      <c r="C1299" s="16" t="s">
        <v>31</v>
      </c>
      <c r="D1299" s="16" t="s">
        <v>31</v>
      </c>
      <c r="E1299" s="15" t="s">
        <v>32</v>
      </c>
      <c r="F1299" s="15" t="s">
        <v>314</v>
      </c>
      <c r="N1299" s="21" t="s">
        <v>96</v>
      </c>
      <c r="O1299" s="21" t="s">
        <v>336</v>
      </c>
      <c r="Q1299" s="21" t="s">
        <v>344</v>
      </c>
      <c r="R1299" s="22">
        <v>45756</v>
      </c>
      <c r="W1299">
        <f>COUNTIF(スマートプラス!U:U,B1299)</f>
        <v>0</v>
      </c>
    </row>
    <row r="1300" spans="1:23" ht="24.95" hidden="1" customHeight="1" x14ac:dyDescent="0.4">
      <c r="A1300" s="17" t="s">
        <v>64</v>
      </c>
      <c r="B1300" s="15" t="s">
        <v>244</v>
      </c>
      <c r="C1300" s="16" t="s">
        <v>31</v>
      </c>
      <c r="D1300" s="16" t="s">
        <v>31</v>
      </c>
      <c r="E1300" s="15" t="s">
        <v>32</v>
      </c>
      <c r="F1300" s="15" t="s">
        <v>314</v>
      </c>
      <c r="N1300" s="21" t="s">
        <v>96</v>
      </c>
      <c r="O1300" s="21" t="s">
        <v>336</v>
      </c>
      <c r="Q1300" s="21" t="s">
        <v>344</v>
      </c>
      <c r="R1300" s="22">
        <v>45756</v>
      </c>
      <c r="W1300">
        <f>COUNTIF(スマートプラス!U:U,B1300)</f>
        <v>0</v>
      </c>
    </row>
    <row r="1301" spans="1:23" ht="24.95" hidden="1" customHeight="1" x14ac:dyDescent="0.4">
      <c r="A1301" s="17" t="s">
        <v>64</v>
      </c>
      <c r="B1301" s="15" t="s">
        <v>245</v>
      </c>
      <c r="C1301" s="16" t="s">
        <v>31</v>
      </c>
      <c r="D1301" s="16" t="s">
        <v>31</v>
      </c>
      <c r="E1301" s="15" t="s">
        <v>32</v>
      </c>
      <c r="F1301" s="15" t="s">
        <v>314</v>
      </c>
      <c r="N1301" s="21" t="s">
        <v>96</v>
      </c>
      <c r="O1301" s="21" t="s">
        <v>336</v>
      </c>
      <c r="Q1301" s="21" t="s">
        <v>344</v>
      </c>
      <c r="R1301" s="22">
        <v>45756</v>
      </c>
      <c r="W1301">
        <f>COUNTIF(スマートプラス!U:U,B1301)</f>
        <v>0</v>
      </c>
    </row>
    <row r="1302" spans="1:23" ht="24.95" hidden="1" customHeight="1" x14ac:dyDescent="0.4">
      <c r="A1302" s="17" t="s">
        <v>64</v>
      </c>
      <c r="B1302" s="15" t="s">
        <v>246</v>
      </c>
      <c r="C1302" s="16" t="s">
        <v>31</v>
      </c>
      <c r="D1302" s="16" t="s">
        <v>31</v>
      </c>
      <c r="E1302" s="15" t="s">
        <v>32</v>
      </c>
      <c r="F1302" s="15" t="s">
        <v>314</v>
      </c>
      <c r="N1302" s="21" t="s">
        <v>96</v>
      </c>
      <c r="O1302" s="21" t="s">
        <v>336</v>
      </c>
      <c r="Q1302" s="21" t="s">
        <v>344</v>
      </c>
      <c r="R1302" s="22">
        <v>45756</v>
      </c>
      <c r="W1302">
        <f>COUNTIF(スマートプラス!U:U,B1302)</f>
        <v>0</v>
      </c>
    </row>
    <row r="1303" spans="1:23" ht="24.95" hidden="1" customHeight="1" x14ac:dyDescent="0.4">
      <c r="A1303" s="17" t="s">
        <v>64</v>
      </c>
      <c r="B1303" s="15" t="s">
        <v>247</v>
      </c>
      <c r="C1303" s="16" t="s">
        <v>31</v>
      </c>
      <c r="D1303" s="16" t="s">
        <v>31</v>
      </c>
      <c r="E1303" s="15" t="s">
        <v>32</v>
      </c>
      <c r="F1303" s="15" t="s">
        <v>314</v>
      </c>
      <c r="N1303" s="21" t="s">
        <v>96</v>
      </c>
      <c r="O1303" s="21" t="s">
        <v>336</v>
      </c>
      <c r="Q1303" s="21" t="s">
        <v>344</v>
      </c>
      <c r="R1303" s="22">
        <v>45756</v>
      </c>
      <c r="W1303">
        <f>COUNTIF(スマートプラス!U:U,B1303)</f>
        <v>0</v>
      </c>
    </row>
    <row r="1304" spans="1:23" ht="24.95" hidden="1" customHeight="1" x14ac:dyDescent="0.4">
      <c r="A1304" s="17" t="s">
        <v>64</v>
      </c>
      <c r="B1304" s="15" t="s">
        <v>248</v>
      </c>
      <c r="C1304" s="16" t="s">
        <v>31</v>
      </c>
      <c r="D1304" s="16" t="s">
        <v>31</v>
      </c>
      <c r="E1304" s="15" t="s">
        <v>32</v>
      </c>
      <c r="F1304" s="15" t="s">
        <v>314</v>
      </c>
      <c r="N1304" s="21" t="s">
        <v>96</v>
      </c>
      <c r="O1304" s="21" t="s">
        <v>336</v>
      </c>
      <c r="Q1304" s="21" t="s">
        <v>344</v>
      </c>
      <c r="R1304" s="22">
        <v>45756</v>
      </c>
      <c r="W1304">
        <f>COUNTIF(スマートプラス!U:U,B1304)</f>
        <v>0</v>
      </c>
    </row>
    <row r="1305" spans="1:23" ht="24.95" hidden="1" customHeight="1" x14ac:dyDescent="0.4">
      <c r="A1305" s="17" t="s">
        <v>64</v>
      </c>
      <c r="B1305" s="15" t="s">
        <v>249</v>
      </c>
      <c r="C1305" s="16" t="s">
        <v>31</v>
      </c>
      <c r="D1305" s="16" t="s">
        <v>31</v>
      </c>
      <c r="E1305" s="15" t="s">
        <v>32</v>
      </c>
      <c r="F1305" s="15" t="s">
        <v>314</v>
      </c>
      <c r="N1305" s="21" t="s">
        <v>96</v>
      </c>
      <c r="O1305" s="21" t="s">
        <v>336</v>
      </c>
      <c r="Q1305" s="21" t="s">
        <v>344</v>
      </c>
      <c r="R1305" s="22">
        <v>45756</v>
      </c>
      <c r="W1305">
        <f>COUNTIF(スマートプラス!U:U,B1305)</f>
        <v>0</v>
      </c>
    </row>
    <row r="1306" spans="1:23" ht="24.95" hidden="1" customHeight="1" x14ac:dyDescent="0.4">
      <c r="A1306" s="17" t="s">
        <v>64</v>
      </c>
      <c r="B1306" s="15" t="s">
        <v>250</v>
      </c>
      <c r="C1306" s="16" t="s">
        <v>31</v>
      </c>
      <c r="D1306" s="16" t="s">
        <v>31</v>
      </c>
      <c r="E1306" s="15" t="s">
        <v>32</v>
      </c>
      <c r="F1306" s="15" t="s">
        <v>314</v>
      </c>
      <c r="N1306" s="21" t="s">
        <v>96</v>
      </c>
      <c r="O1306" s="21" t="s">
        <v>336</v>
      </c>
      <c r="Q1306" s="21" t="s">
        <v>344</v>
      </c>
      <c r="R1306" s="22">
        <v>45756</v>
      </c>
      <c r="W1306">
        <f>COUNTIF(スマートプラス!U:U,B1306)</f>
        <v>0</v>
      </c>
    </row>
    <row r="1307" spans="1:23" ht="24.95" hidden="1" customHeight="1" x14ac:dyDescent="0.4">
      <c r="A1307" s="17" t="s">
        <v>64</v>
      </c>
      <c r="B1307" s="15" t="s">
        <v>251</v>
      </c>
      <c r="C1307" s="16" t="s">
        <v>31</v>
      </c>
      <c r="D1307" s="16" t="s">
        <v>31</v>
      </c>
      <c r="E1307" s="15" t="s">
        <v>32</v>
      </c>
      <c r="F1307" s="15" t="s">
        <v>314</v>
      </c>
      <c r="N1307" s="21" t="s">
        <v>96</v>
      </c>
      <c r="O1307" s="21" t="s">
        <v>336</v>
      </c>
      <c r="Q1307" s="21" t="s">
        <v>344</v>
      </c>
      <c r="R1307" s="22">
        <v>45756</v>
      </c>
      <c r="W1307">
        <f>COUNTIF(スマートプラス!U:U,B1307)</f>
        <v>0</v>
      </c>
    </row>
    <row r="1308" spans="1:23" ht="24.95" hidden="1" customHeight="1" x14ac:dyDescent="0.4">
      <c r="A1308" s="17" t="s">
        <v>64</v>
      </c>
      <c r="B1308" s="15" t="s">
        <v>341</v>
      </c>
      <c r="C1308" s="16" t="s">
        <v>31</v>
      </c>
      <c r="D1308" s="16" t="s">
        <v>31</v>
      </c>
      <c r="E1308" s="15" t="s">
        <v>32</v>
      </c>
      <c r="F1308" s="15" t="s">
        <v>340</v>
      </c>
      <c r="N1308" s="21" t="s">
        <v>96</v>
      </c>
      <c r="O1308" s="21" t="s">
        <v>345</v>
      </c>
      <c r="Q1308" s="21" t="s">
        <v>344</v>
      </c>
      <c r="R1308" s="22">
        <v>45784</v>
      </c>
      <c r="W1308">
        <f>COUNTIF(スマートプラス!U:U,B1308)</f>
        <v>0</v>
      </c>
    </row>
    <row r="1309" spans="1:23" ht="24.95" hidden="1" customHeight="1" x14ac:dyDescent="0.4">
      <c r="A1309" s="17" t="s">
        <v>64</v>
      </c>
      <c r="B1309" s="15" t="s">
        <v>252</v>
      </c>
      <c r="C1309" s="16" t="s">
        <v>31</v>
      </c>
      <c r="D1309" s="16" t="s">
        <v>31</v>
      </c>
      <c r="E1309" s="15" t="s">
        <v>32</v>
      </c>
      <c r="F1309" s="15" t="s">
        <v>314</v>
      </c>
      <c r="N1309" s="21" t="s">
        <v>96</v>
      </c>
      <c r="O1309" s="21" t="s">
        <v>336</v>
      </c>
      <c r="Q1309" s="21" t="s">
        <v>344</v>
      </c>
      <c r="R1309" s="22">
        <v>45756</v>
      </c>
      <c r="W1309">
        <f>COUNTIF(スマートプラス!U:U,B1309)</f>
        <v>0</v>
      </c>
    </row>
    <row r="1310" spans="1:23" ht="24.95" hidden="1" customHeight="1" x14ac:dyDescent="0.4">
      <c r="A1310" s="17" t="s">
        <v>64</v>
      </c>
      <c r="B1310" s="15" t="s">
        <v>253</v>
      </c>
      <c r="C1310" s="16" t="s">
        <v>31</v>
      </c>
      <c r="D1310" s="16" t="s">
        <v>31</v>
      </c>
      <c r="E1310" s="15" t="s">
        <v>32</v>
      </c>
      <c r="F1310" s="15" t="s">
        <v>314</v>
      </c>
      <c r="N1310" s="21" t="s">
        <v>96</v>
      </c>
      <c r="O1310" s="21" t="s">
        <v>336</v>
      </c>
      <c r="Q1310" s="21" t="s">
        <v>344</v>
      </c>
      <c r="R1310" s="22">
        <v>45756</v>
      </c>
      <c r="W1310">
        <f>COUNTIF(スマートプラス!U:U,B1310)</f>
        <v>0</v>
      </c>
    </row>
    <row r="1311" spans="1:23" ht="24.95" hidden="1" customHeight="1" x14ac:dyDescent="0.4">
      <c r="A1311" s="17" t="s">
        <v>64</v>
      </c>
      <c r="B1311" s="15" t="s">
        <v>254</v>
      </c>
      <c r="C1311" s="16" t="s">
        <v>31</v>
      </c>
      <c r="D1311" s="16" t="s">
        <v>31</v>
      </c>
      <c r="E1311" s="15" t="s">
        <v>32</v>
      </c>
      <c r="F1311" s="15" t="s">
        <v>314</v>
      </c>
      <c r="N1311" s="21" t="s">
        <v>96</v>
      </c>
      <c r="O1311" s="21" t="s">
        <v>336</v>
      </c>
      <c r="Q1311" s="21" t="s">
        <v>344</v>
      </c>
      <c r="R1311" s="22">
        <v>45756</v>
      </c>
      <c r="W1311">
        <f>COUNTIF(スマートプラス!U:U,B1311)</f>
        <v>0</v>
      </c>
    </row>
    <row r="1312" spans="1:23" ht="24.95" hidden="1" customHeight="1" x14ac:dyDescent="0.4">
      <c r="A1312" s="17" t="s">
        <v>64</v>
      </c>
      <c r="B1312" s="15" t="s">
        <v>255</v>
      </c>
      <c r="C1312" s="16" t="s">
        <v>31</v>
      </c>
      <c r="D1312" s="16" t="s">
        <v>31</v>
      </c>
      <c r="E1312" s="15" t="s">
        <v>32</v>
      </c>
      <c r="F1312" s="15" t="s">
        <v>314</v>
      </c>
      <c r="N1312" s="21" t="s">
        <v>96</v>
      </c>
      <c r="O1312" s="21" t="s">
        <v>336</v>
      </c>
      <c r="Q1312" s="21" t="s">
        <v>344</v>
      </c>
      <c r="R1312" s="22">
        <v>45756</v>
      </c>
      <c r="W1312">
        <f>COUNTIF(スマートプラス!U:U,B1312)</f>
        <v>0</v>
      </c>
    </row>
    <row r="1313" spans="1:23" ht="24.95" hidden="1" customHeight="1" x14ac:dyDescent="0.4">
      <c r="A1313" s="17" t="s">
        <v>64</v>
      </c>
      <c r="B1313" s="15" t="s">
        <v>256</v>
      </c>
      <c r="C1313" s="16" t="s">
        <v>31</v>
      </c>
      <c r="D1313" s="16" t="s">
        <v>31</v>
      </c>
      <c r="E1313" s="15" t="s">
        <v>32</v>
      </c>
      <c r="F1313" s="15" t="s">
        <v>314</v>
      </c>
      <c r="N1313" s="21" t="s">
        <v>96</v>
      </c>
      <c r="O1313" s="21" t="s">
        <v>336</v>
      </c>
      <c r="Q1313" s="21" t="s">
        <v>344</v>
      </c>
      <c r="R1313" s="22">
        <v>45756</v>
      </c>
      <c r="W1313">
        <f>COUNTIF(スマートプラス!U:U,B1313)</f>
        <v>0</v>
      </c>
    </row>
    <row r="1314" spans="1:23" ht="24.95" hidden="1" customHeight="1" x14ac:dyDescent="0.4">
      <c r="A1314" s="17" t="s">
        <v>64</v>
      </c>
      <c r="B1314" s="15" t="s">
        <v>257</v>
      </c>
      <c r="C1314" s="16" t="s">
        <v>31</v>
      </c>
      <c r="D1314" s="16" t="s">
        <v>31</v>
      </c>
      <c r="E1314" s="15" t="s">
        <v>32</v>
      </c>
      <c r="F1314" s="15" t="s">
        <v>314</v>
      </c>
      <c r="N1314" s="21" t="s">
        <v>96</v>
      </c>
      <c r="O1314" s="21" t="s">
        <v>336</v>
      </c>
      <c r="Q1314" s="21" t="s">
        <v>344</v>
      </c>
      <c r="R1314" s="22">
        <v>45756</v>
      </c>
      <c r="W1314">
        <f>COUNTIF(スマートプラス!U:U,B1314)</f>
        <v>0</v>
      </c>
    </row>
    <row r="1315" spans="1:23" ht="24.95" hidden="1" customHeight="1" x14ac:dyDescent="0.4">
      <c r="A1315" s="17" t="s">
        <v>64</v>
      </c>
      <c r="B1315" s="15" t="s">
        <v>258</v>
      </c>
      <c r="C1315" s="16" t="s">
        <v>31</v>
      </c>
      <c r="D1315" s="16" t="s">
        <v>31</v>
      </c>
      <c r="E1315" s="15" t="s">
        <v>32</v>
      </c>
      <c r="F1315" s="15" t="s">
        <v>314</v>
      </c>
      <c r="N1315" s="21" t="s">
        <v>96</v>
      </c>
      <c r="O1315" s="21" t="s">
        <v>336</v>
      </c>
      <c r="Q1315" s="21" t="s">
        <v>344</v>
      </c>
      <c r="R1315" s="22">
        <v>45756</v>
      </c>
      <c r="W1315">
        <f>COUNTIF(スマートプラス!U:U,B1315)</f>
        <v>0</v>
      </c>
    </row>
    <row r="1316" spans="1:23" ht="24.95" hidden="1" customHeight="1" x14ac:dyDescent="0.4">
      <c r="A1316" s="17" t="s">
        <v>64</v>
      </c>
      <c r="B1316" s="15" t="s">
        <v>259</v>
      </c>
      <c r="C1316" s="16" t="s">
        <v>31</v>
      </c>
      <c r="D1316" s="16" t="s">
        <v>31</v>
      </c>
      <c r="E1316" s="15" t="s">
        <v>32</v>
      </c>
      <c r="F1316" s="15" t="s">
        <v>314</v>
      </c>
      <c r="N1316" s="21" t="s">
        <v>96</v>
      </c>
      <c r="O1316" s="21" t="s">
        <v>336</v>
      </c>
      <c r="Q1316" s="21" t="s">
        <v>344</v>
      </c>
      <c r="R1316" s="22">
        <v>45756</v>
      </c>
      <c r="W1316">
        <f>COUNTIF(スマートプラス!U:U,B1316)</f>
        <v>0</v>
      </c>
    </row>
    <row r="1317" spans="1:23" ht="24.95" hidden="1" customHeight="1" x14ac:dyDescent="0.4">
      <c r="A1317" s="17" t="s">
        <v>64</v>
      </c>
      <c r="B1317" s="15" t="s">
        <v>260</v>
      </c>
      <c r="C1317" s="16" t="s">
        <v>31</v>
      </c>
      <c r="D1317" s="16" t="s">
        <v>31</v>
      </c>
      <c r="E1317" s="15" t="s">
        <v>32</v>
      </c>
      <c r="F1317" s="15" t="s">
        <v>314</v>
      </c>
      <c r="N1317" s="21" t="s">
        <v>96</v>
      </c>
      <c r="O1317" s="21" t="s">
        <v>336</v>
      </c>
      <c r="Q1317" s="21" t="s">
        <v>344</v>
      </c>
      <c r="R1317" s="22">
        <v>45756</v>
      </c>
      <c r="W1317">
        <f>COUNTIF(スマートプラス!U:U,B1317)</f>
        <v>0</v>
      </c>
    </row>
    <row r="1318" spans="1:23" ht="24.95" hidden="1" customHeight="1" x14ac:dyDescent="0.4">
      <c r="A1318" s="17" t="s">
        <v>64</v>
      </c>
      <c r="B1318" s="15" t="s">
        <v>261</v>
      </c>
      <c r="C1318" s="16" t="s">
        <v>31</v>
      </c>
      <c r="D1318" s="16" t="s">
        <v>31</v>
      </c>
      <c r="E1318" s="15" t="s">
        <v>32</v>
      </c>
      <c r="F1318" s="15" t="s">
        <v>314</v>
      </c>
      <c r="N1318" s="21" t="s">
        <v>96</v>
      </c>
      <c r="O1318" s="21" t="s">
        <v>336</v>
      </c>
      <c r="Q1318" s="21" t="s">
        <v>344</v>
      </c>
      <c r="R1318" s="22">
        <v>45756</v>
      </c>
      <c r="W1318">
        <f>COUNTIF(スマートプラス!U:U,B1318)</f>
        <v>0</v>
      </c>
    </row>
    <row r="1319" spans="1:23" ht="24.95" hidden="1" customHeight="1" x14ac:dyDescent="0.4">
      <c r="A1319" s="17" t="s">
        <v>64</v>
      </c>
      <c r="B1319" s="15" t="s">
        <v>262</v>
      </c>
      <c r="C1319" s="16" t="s">
        <v>31</v>
      </c>
      <c r="D1319" s="16" t="s">
        <v>31</v>
      </c>
      <c r="E1319" s="15" t="s">
        <v>32</v>
      </c>
      <c r="F1319" s="15" t="s">
        <v>314</v>
      </c>
      <c r="N1319" s="21" t="s">
        <v>96</v>
      </c>
      <c r="O1319" s="21" t="s">
        <v>336</v>
      </c>
      <c r="Q1319" s="21" t="s">
        <v>344</v>
      </c>
      <c r="R1319" s="22">
        <v>45756</v>
      </c>
      <c r="W1319">
        <f>COUNTIF(スマートプラス!U:U,B1319)</f>
        <v>0</v>
      </c>
    </row>
    <row r="1320" spans="1:23" ht="24.95" hidden="1" customHeight="1" x14ac:dyDescent="0.4">
      <c r="A1320" s="17" t="s">
        <v>64</v>
      </c>
      <c r="B1320" s="15" t="s">
        <v>263</v>
      </c>
      <c r="C1320" s="16" t="s">
        <v>31</v>
      </c>
      <c r="D1320" s="16" t="s">
        <v>31</v>
      </c>
      <c r="E1320" s="15" t="s">
        <v>32</v>
      </c>
      <c r="F1320" s="15" t="s">
        <v>314</v>
      </c>
      <c r="N1320" s="21" t="s">
        <v>96</v>
      </c>
      <c r="O1320" s="21" t="s">
        <v>336</v>
      </c>
      <c r="Q1320" s="21" t="s">
        <v>344</v>
      </c>
      <c r="R1320" s="22">
        <v>45756</v>
      </c>
      <c r="W1320">
        <f>COUNTIF(スマートプラス!U:U,B1320)</f>
        <v>0</v>
      </c>
    </row>
    <row r="1321" spans="1:23" ht="24.95" hidden="1" customHeight="1" x14ac:dyDescent="0.4">
      <c r="A1321" s="17" t="s">
        <v>64</v>
      </c>
      <c r="B1321" s="15" t="s">
        <v>264</v>
      </c>
      <c r="C1321" s="16" t="s">
        <v>31</v>
      </c>
      <c r="D1321" s="16" t="s">
        <v>31</v>
      </c>
      <c r="E1321" s="15" t="s">
        <v>32</v>
      </c>
      <c r="F1321" s="15" t="s">
        <v>314</v>
      </c>
      <c r="N1321" s="21" t="s">
        <v>96</v>
      </c>
      <c r="O1321" s="21" t="s">
        <v>336</v>
      </c>
      <c r="Q1321" s="21" t="s">
        <v>344</v>
      </c>
      <c r="R1321" s="22">
        <v>45756</v>
      </c>
      <c r="W1321">
        <f>COUNTIF(スマートプラス!U:U,B1321)</f>
        <v>0</v>
      </c>
    </row>
    <row r="1322" spans="1:23" ht="24.95" hidden="1" customHeight="1" x14ac:dyDescent="0.4">
      <c r="A1322" s="17" t="s">
        <v>64</v>
      </c>
      <c r="B1322" s="15" t="s">
        <v>265</v>
      </c>
      <c r="C1322" s="16" t="s">
        <v>31</v>
      </c>
      <c r="D1322" s="16" t="s">
        <v>31</v>
      </c>
      <c r="E1322" s="15" t="s">
        <v>32</v>
      </c>
      <c r="F1322" s="15" t="s">
        <v>314</v>
      </c>
      <c r="N1322" s="21" t="s">
        <v>96</v>
      </c>
      <c r="O1322" s="21" t="s">
        <v>336</v>
      </c>
      <c r="Q1322" s="21" t="s">
        <v>344</v>
      </c>
      <c r="R1322" s="22">
        <v>45756</v>
      </c>
      <c r="W1322">
        <f>COUNTIF(スマートプラス!U:U,B1322)</f>
        <v>0</v>
      </c>
    </row>
    <row r="1323" spans="1:23" ht="24.95" hidden="1" customHeight="1" x14ac:dyDescent="0.4">
      <c r="A1323" s="17" t="s">
        <v>64</v>
      </c>
      <c r="B1323" s="15" t="s">
        <v>266</v>
      </c>
      <c r="C1323" s="16" t="s">
        <v>31</v>
      </c>
      <c r="D1323" s="16" t="s">
        <v>31</v>
      </c>
      <c r="E1323" s="15" t="s">
        <v>32</v>
      </c>
      <c r="F1323" s="15" t="s">
        <v>314</v>
      </c>
      <c r="N1323" s="21" t="s">
        <v>96</v>
      </c>
      <c r="O1323" s="21" t="s">
        <v>336</v>
      </c>
      <c r="Q1323" s="21" t="s">
        <v>344</v>
      </c>
      <c r="R1323" s="22">
        <v>45756</v>
      </c>
      <c r="W1323">
        <f>COUNTIF(スマートプラス!U:U,B1323)</f>
        <v>0</v>
      </c>
    </row>
    <row r="1324" spans="1:23" ht="24.95" hidden="1" customHeight="1" x14ac:dyDescent="0.4">
      <c r="A1324" s="17" t="s">
        <v>64</v>
      </c>
      <c r="B1324" s="15" t="s">
        <v>267</v>
      </c>
      <c r="C1324" s="16" t="s">
        <v>31</v>
      </c>
      <c r="D1324" s="16" t="s">
        <v>31</v>
      </c>
      <c r="E1324" s="15" t="s">
        <v>32</v>
      </c>
      <c r="F1324" s="15" t="s">
        <v>314</v>
      </c>
      <c r="N1324" s="21" t="s">
        <v>96</v>
      </c>
      <c r="O1324" s="21" t="s">
        <v>336</v>
      </c>
      <c r="Q1324" s="21" t="s">
        <v>344</v>
      </c>
      <c r="R1324" s="22">
        <v>45756</v>
      </c>
      <c r="W1324">
        <f>COUNTIF(スマートプラス!U:U,B1324)</f>
        <v>0</v>
      </c>
    </row>
    <row r="1325" spans="1:23" ht="24.95" hidden="1" customHeight="1" x14ac:dyDescent="0.4">
      <c r="A1325" s="17" t="s">
        <v>64</v>
      </c>
      <c r="B1325" s="15" t="s">
        <v>268</v>
      </c>
      <c r="C1325" s="16" t="s">
        <v>31</v>
      </c>
      <c r="D1325" s="16" t="s">
        <v>31</v>
      </c>
      <c r="E1325" s="15" t="s">
        <v>32</v>
      </c>
      <c r="F1325" s="15" t="s">
        <v>314</v>
      </c>
      <c r="N1325" s="21" t="s">
        <v>96</v>
      </c>
      <c r="O1325" s="21" t="s">
        <v>336</v>
      </c>
      <c r="Q1325" s="21" t="s">
        <v>344</v>
      </c>
      <c r="R1325" s="22">
        <v>45756</v>
      </c>
      <c r="W1325">
        <f>COUNTIF(スマートプラス!U:U,B1325)</f>
        <v>0</v>
      </c>
    </row>
    <row r="1326" spans="1:23" ht="24.95" hidden="1" customHeight="1" x14ac:dyDescent="0.4">
      <c r="A1326" s="17" t="s">
        <v>64</v>
      </c>
      <c r="B1326" s="15" t="s">
        <v>269</v>
      </c>
      <c r="C1326" s="16" t="s">
        <v>31</v>
      </c>
      <c r="D1326" s="16" t="s">
        <v>31</v>
      </c>
      <c r="E1326" s="15" t="s">
        <v>32</v>
      </c>
      <c r="F1326" s="15" t="s">
        <v>314</v>
      </c>
      <c r="N1326" s="21" t="s">
        <v>96</v>
      </c>
      <c r="O1326" s="21" t="s">
        <v>336</v>
      </c>
      <c r="Q1326" s="21" t="s">
        <v>344</v>
      </c>
      <c r="R1326" s="22">
        <v>45756</v>
      </c>
      <c r="W1326">
        <f>COUNTIF(スマートプラス!U:U,B1326)</f>
        <v>0</v>
      </c>
    </row>
    <row r="1327" spans="1:23" ht="24.95" hidden="1" customHeight="1" x14ac:dyDescent="0.4">
      <c r="A1327" s="17" t="s">
        <v>64</v>
      </c>
      <c r="B1327" s="15" t="s">
        <v>270</v>
      </c>
      <c r="C1327" s="16" t="s">
        <v>31</v>
      </c>
      <c r="D1327" s="16" t="s">
        <v>31</v>
      </c>
      <c r="E1327" s="15" t="s">
        <v>32</v>
      </c>
      <c r="F1327" s="15" t="s">
        <v>314</v>
      </c>
      <c r="N1327" s="21" t="s">
        <v>96</v>
      </c>
      <c r="O1327" s="21" t="s">
        <v>336</v>
      </c>
      <c r="Q1327" s="21" t="s">
        <v>344</v>
      </c>
      <c r="R1327" s="22">
        <v>45756</v>
      </c>
      <c r="W1327">
        <f>COUNTIF(スマートプラス!U:U,B1327)</f>
        <v>0</v>
      </c>
    </row>
    <row r="1328" spans="1:23" ht="24.95" hidden="1" customHeight="1" x14ac:dyDescent="0.4">
      <c r="A1328" s="17" t="s">
        <v>64</v>
      </c>
      <c r="B1328" s="15" t="s">
        <v>271</v>
      </c>
      <c r="C1328" s="16" t="s">
        <v>31</v>
      </c>
      <c r="D1328" s="16" t="s">
        <v>31</v>
      </c>
      <c r="E1328" s="15" t="s">
        <v>32</v>
      </c>
      <c r="F1328" s="15" t="s">
        <v>314</v>
      </c>
      <c r="N1328" s="21" t="s">
        <v>96</v>
      </c>
      <c r="O1328" s="21" t="s">
        <v>336</v>
      </c>
      <c r="Q1328" s="21" t="s">
        <v>344</v>
      </c>
      <c r="R1328" s="22">
        <v>45756</v>
      </c>
      <c r="W1328">
        <f>COUNTIF(スマートプラス!U:U,B1328)</f>
        <v>0</v>
      </c>
    </row>
    <row r="1329" spans="1:23" ht="24.95" hidden="1" customHeight="1" x14ac:dyDescent="0.4">
      <c r="A1329" s="17" t="s">
        <v>64</v>
      </c>
      <c r="B1329" s="15" t="s">
        <v>366</v>
      </c>
      <c r="C1329" s="16" t="s">
        <v>31</v>
      </c>
      <c r="D1329" s="16" t="s">
        <v>31</v>
      </c>
      <c r="E1329" s="15" t="s">
        <v>32</v>
      </c>
      <c r="F1329" s="15" t="s">
        <v>365</v>
      </c>
      <c r="N1329" s="21" t="s">
        <v>374</v>
      </c>
      <c r="O1329" s="21" t="s">
        <v>373</v>
      </c>
      <c r="Q1329" s="21" t="s">
        <v>344</v>
      </c>
      <c r="R1329" s="22">
        <v>45883</v>
      </c>
      <c r="W1329">
        <f>COUNTIF(スマートプラス!U:U,B1329)</f>
        <v>0</v>
      </c>
    </row>
    <row r="1330" spans="1:23" ht="24.95" hidden="1" customHeight="1" x14ac:dyDescent="0.4">
      <c r="A1330" s="17" t="s">
        <v>64</v>
      </c>
      <c r="B1330" s="15" t="s">
        <v>367</v>
      </c>
      <c r="C1330" s="16" t="s">
        <v>31</v>
      </c>
      <c r="D1330" s="16" t="s">
        <v>31</v>
      </c>
      <c r="E1330" s="15" t="s">
        <v>32</v>
      </c>
      <c r="F1330" s="15" t="s">
        <v>365</v>
      </c>
      <c r="N1330" s="21" t="s">
        <v>374</v>
      </c>
      <c r="O1330" s="21" t="s">
        <v>373</v>
      </c>
      <c r="Q1330" s="21" t="s">
        <v>344</v>
      </c>
      <c r="R1330" s="22">
        <v>45883</v>
      </c>
      <c r="W1330">
        <f>COUNTIF(スマートプラス!U:U,B1330)</f>
        <v>0</v>
      </c>
    </row>
    <row r="1331" spans="1:23" ht="24.95" hidden="1" customHeight="1" x14ac:dyDescent="0.4">
      <c r="A1331" s="17" t="s">
        <v>64</v>
      </c>
      <c r="B1331" s="15" t="s">
        <v>324</v>
      </c>
      <c r="C1331" s="16" t="s">
        <v>31</v>
      </c>
      <c r="D1331" s="16" t="s">
        <v>31</v>
      </c>
      <c r="E1331" s="15" t="s">
        <v>32</v>
      </c>
      <c r="F1331" s="15" t="s">
        <v>314</v>
      </c>
      <c r="N1331" s="21" t="s">
        <v>96</v>
      </c>
      <c r="O1331" s="21" t="s">
        <v>337</v>
      </c>
      <c r="Q1331" s="21" t="s">
        <v>344</v>
      </c>
      <c r="R1331" s="22">
        <v>45756</v>
      </c>
      <c r="W1331">
        <f>COUNTIF(スマートプラス!U:U,B1331)</f>
        <v>0</v>
      </c>
    </row>
    <row r="1332" spans="1:23" ht="24.95" hidden="1" customHeight="1" x14ac:dyDescent="0.4">
      <c r="A1332" s="17" t="s">
        <v>64</v>
      </c>
      <c r="B1332" s="50" t="s">
        <v>368</v>
      </c>
      <c r="C1332" s="16" t="s">
        <v>31</v>
      </c>
      <c r="D1332" s="16" t="s">
        <v>31</v>
      </c>
      <c r="E1332" s="15" t="s">
        <v>32</v>
      </c>
      <c r="F1332" s="15" t="s">
        <v>365</v>
      </c>
      <c r="N1332" s="21" t="s">
        <v>96</v>
      </c>
      <c r="O1332" s="21" t="s">
        <v>372</v>
      </c>
      <c r="Q1332" s="21" t="s">
        <v>344</v>
      </c>
      <c r="R1332" s="22">
        <v>45883</v>
      </c>
      <c r="W1332">
        <f>COUNTIF(スマートプラス!U:U,B1332)</f>
        <v>0</v>
      </c>
    </row>
    <row r="1333" spans="1:23" ht="24.95" hidden="1" customHeight="1" x14ac:dyDescent="0.4">
      <c r="A1333" s="17" t="s">
        <v>64</v>
      </c>
      <c r="B1333" s="50" t="s">
        <v>369</v>
      </c>
      <c r="C1333" s="16" t="s">
        <v>24</v>
      </c>
      <c r="D1333" s="16" t="s">
        <v>31</v>
      </c>
      <c r="E1333" s="15" t="s">
        <v>35</v>
      </c>
      <c r="F1333" s="15" t="s">
        <v>365</v>
      </c>
      <c r="N1333" s="21" t="s">
        <v>96</v>
      </c>
      <c r="O1333" s="21" t="s">
        <v>372</v>
      </c>
      <c r="Q1333" s="21" t="s">
        <v>344</v>
      </c>
      <c r="R1333" s="22">
        <v>45883</v>
      </c>
      <c r="W1333">
        <f>COUNTIF(スマートプラス!U:U,B1333)</f>
        <v>0</v>
      </c>
    </row>
    <row r="1334" spans="1:23" ht="24.95" hidden="1" customHeight="1" x14ac:dyDescent="0.4">
      <c r="A1334" s="17" t="s">
        <v>64</v>
      </c>
      <c r="B1334" s="15" t="s">
        <v>325</v>
      </c>
      <c r="C1334" s="16" t="s">
        <v>24</v>
      </c>
      <c r="D1334" s="16" t="s">
        <v>31</v>
      </c>
      <c r="E1334" s="15" t="s">
        <v>35</v>
      </c>
      <c r="F1334" s="15" t="s">
        <v>314</v>
      </c>
      <c r="N1334" s="21" t="s">
        <v>96</v>
      </c>
      <c r="O1334" s="21" t="s">
        <v>337</v>
      </c>
      <c r="Q1334" s="21" t="s">
        <v>344</v>
      </c>
      <c r="R1334" s="22">
        <v>45756</v>
      </c>
      <c r="W1334">
        <f>COUNTIF(スマートプラス!U:U,B1334)</f>
        <v>0</v>
      </c>
    </row>
    <row r="1335" spans="1:23" ht="24.95" hidden="1" customHeight="1" x14ac:dyDescent="0.4">
      <c r="A1335" s="17" t="s">
        <v>64</v>
      </c>
      <c r="B1335" s="15" t="s">
        <v>272</v>
      </c>
      <c r="C1335" s="16" t="s">
        <v>31</v>
      </c>
      <c r="D1335" s="16" t="s">
        <v>31</v>
      </c>
      <c r="E1335" s="15" t="s">
        <v>32</v>
      </c>
      <c r="F1335" s="15" t="s">
        <v>314</v>
      </c>
      <c r="N1335" s="21" t="s">
        <v>96</v>
      </c>
      <c r="O1335" s="21" t="s">
        <v>336</v>
      </c>
      <c r="Q1335" s="21" t="s">
        <v>344</v>
      </c>
      <c r="R1335" s="22">
        <v>45756</v>
      </c>
      <c r="W1335">
        <f>COUNTIF(スマートプラス!U:U,B1335)</f>
        <v>0</v>
      </c>
    </row>
    <row r="1336" spans="1:23" ht="24.95" hidden="1" customHeight="1" x14ac:dyDescent="0.4">
      <c r="A1336" s="17" t="s">
        <v>64</v>
      </c>
      <c r="B1336" s="15" t="s">
        <v>273</v>
      </c>
      <c r="C1336" s="16" t="s">
        <v>31</v>
      </c>
      <c r="D1336" s="16" t="s">
        <v>31</v>
      </c>
      <c r="E1336" s="15" t="s">
        <v>32</v>
      </c>
      <c r="F1336" s="15" t="s">
        <v>314</v>
      </c>
      <c r="N1336" s="21" t="s">
        <v>96</v>
      </c>
      <c r="O1336" s="21" t="s">
        <v>336</v>
      </c>
      <c r="Q1336" s="21" t="s">
        <v>344</v>
      </c>
      <c r="R1336" s="22">
        <v>45756</v>
      </c>
      <c r="W1336">
        <f>COUNTIF(スマートプラス!U:U,B1336)</f>
        <v>0</v>
      </c>
    </row>
    <row r="1337" spans="1:23" ht="24.95" hidden="1" customHeight="1" x14ac:dyDescent="0.4">
      <c r="A1337" s="17" t="s">
        <v>64</v>
      </c>
      <c r="B1337" s="15" t="s">
        <v>274</v>
      </c>
      <c r="C1337" s="16" t="s">
        <v>31</v>
      </c>
      <c r="D1337" s="16" t="s">
        <v>31</v>
      </c>
      <c r="E1337" s="15" t="s">
        <v>32</v>
      </c>
      <c r="F1337" s="15" t="s">
        <v>314</v>
      </c>
      <c r="N1337" s="21" t="s">
        <v>96</v>
      </c>
      <c r="O1337" s="21" t="s">
        <v>336</v>
      </c>
      <c r="Q1337" s="21" t="s">
        <v>344</v>
      </c>
      <c r="R1337" s="22">
        <v>45756</v>
      </c>
      <c r="W1337">
        <f>COUNTIF(スマートプラス!U:U,B1337)</f>
        <v>0</v>
      </c>
    </row>
    <row r="1338" spans="1:23" ht="24.95" hidden="1" customHeight="1" x14ac:dyDescent="0.4">
      <c r="A1338" s="17" t="s">
        <v>64</v>
      </c>
      <c r="B1338" s="15" t="s">
        <v>275</v>
      </c>
      <c r="C1338" s="16" t="s">
        <v>31</v>
      </c>
      <c r="D1338" s="16" t="s">
        <v>31</v>
      </c>
      <c r="E1338" s="15" t="s">
        <v>32</v>
      </c>
      <c r="F1338" s="15" t="s">
        <v>314</v>
      </c>
      <c r="N1338" s="21" t="s">
        <v>96</v>
      </c>
      <c r="O1338" s="21" t="s">
        <v>336</v>
      </c>
      <c r="Q1338" s="21" t="s">
        <v>344</v>
      </c>
      <c r="R1338" s="22">
        <v>45756</v>
      </c>
      <c r="W1338">
        <f>COUNTIF(スマートプラス!U:U,B1338)</f>
        <v>0</v>
      </c>
    </row>
    <row r="1339" spans="1:23" ht="24.95" hidden="1" customHeight="1" x14ac:dyDescent="0.4">
      <c r="A1339" s="17" t="s">
        <v>64</v>
      </c>
      <c r="B1339" s="15" t="s">
        <v>326</v>
      </c>
      <c r="C1339" s="16" t="s">
        <v>31</v>
      </c>
      <c r="D1339" s="16" t="s">
        <v>31</v>
      </c>
      <c r="E1339" s="15" t="s">
        <v>32</v>
      </c>
      <c r="F1339" s="15" t="s">
        <v>314</v>
      </c>
      <c r="N1339" s="21" t="s">
        <v>96</v>
      </c>
      <c r="O1339" s="21" t="s">
        <v>337</v>
      </c>
      <c r="Q1339" s="21" t="s">
        <v>344</v>
      </c>
      <c r="R1339" s="22">
        <v>45756</v>
      </c>
      <c r="W1339">
        <f>COUNTIF(スマートプラス!U:U,B1339)</f>
        <v>0</v>
      </c>
    </row>
    <row r="1340" spans="1:23" ht="24.95" hidden="1" customHeight="1" x14ac:dyDescent="0.4">
      <c r="A1340" s="17" t="s">
        <v>64</v>
      </c>
      <c r="B1340" s="15" t="s">
        <v>327</v>
      </c>
      <c r="C1340" s="16" t="s">
        <v>24</v>
      </c>
      <c r="D1340" s="16" t="s">
        <v>31</v>
      </c>
      <c r="E1340" s="15" t="s">
        <v>35</v>
      </c>
      <c r="F1340" s="15" t="s">
        <v>314</v>
      </c>
      <c r="N1340" s="21" t="s">
        <v>96</v>
      </c>
      <c r="O1340" s="21" t="s">
        <v>337</v>
      </c>
      <c r="Q1340" s="21" t="s">
        <v>344</v>
      </c>
      <c r="R1340" s="22">
        <v>45756</v>
      </c>
      <c r="W1340">
        <f>COUNTIF(スマートプラス!U:U,B1340)</f>
        <v>0</v>
      </c>
    </row>
    <row r="1341" spans="1:23" ht="24.95" hidden="1" customHeight="1" x14ac:dyDescent="0.4">
      <c r="A1341" s="17" t="s">
        <v>64</v>
      </c>
      <c r="B1341" s="15" t="s">
        <v>328</v>
      </c>
      <c r="C1341" s="16" t="s">
        <v>24</v>
      </c>
      <c r="D1341" s="16" t="s">
        <v>31</v>
      </c>
      <c r="E1341" s="15" t="s">
        <v>35</v>
      </c>
      <c r="F1341" s="15" t="s">
        <v>314</v>
      </c>
      <c r="N1341" s="21" t="s">
        <v>96</v>
      </c>
      <c r="O1341" s="21" t="s">
        <v>337</v>
      </c>
      <c r="Q1341" s="21" t="s">
        <v>344</v>
      </c>
      <c r="R1341" s="22">
        <v>45756</v>
      </c>
      <c r="W1341">
        <f>COUNTIF(スマートプラス!U:U,B1341)</f>
        <v>0</v>
      </c>
    </row>
    <row r="1342" spans="1:23" ht="24.95" hidden="1" customHeight="1" x14ac:dyDescent="0.4">
      <c r="A1342" s="17" t="s">
        <v>64</v>
      </c>
      <c r="B1342" s="15" t="s">
        <v>329</v>
      </c>
      <c r="C1342" s="16" t="s">
        <v>24</v>
      </c>
      <c r="D1342" s="16" t="s">
        <v>31</v>
      </c>
      <c r="E1342" s="15" t="s">
        <v>35</v>
      </c>
      <c r="F1342" s="15" t="s">
        <v>314</v>
      </c>
      <c r="N1342" s="21" t="s">
        <v>96</v>
      </c>
      <c r="O1342" s="21" t="s">
        <v>337</v>
      </c>
      <c r="Q1342" s="21" t="s">
        <v>344</v>
      </c>
      <c r="R1342" s="22">
        <v>45756</v>
      </c>
      <c r="W1342">
        <f>COUNTIF(スマートプラス!U:U,B1342)</f>
        <v>0</v>
      </c>
    </row>
    <row r="1343" spans="1:23" ht="24.95" hidden="1" customHeight="1" x14ac:dyDescent="0.4">
      <c r="A1343" s="17" t="s">
        <v>64</v>
      </c>
      <c r="B1343" s="15" t="s">
        <v>276</v>
      </c>
      <c r="C1343" s="16" t="s">
        <v>31</v>
      </c>
      <c r="D1343" s="16" t="s">
        <v>31</v>
      </c>
      <c r="E1343" s="15" t="s">
        <v>32</v>
      </c>
      <c r="F1343" s="15" t="s">
        <v>314</v>
      </c>
      <c r="N1343" s="21" t="s">
        <v>96</v>
      </c>
      <c r="O1343" s="21" t="s">
        <v>336</v>
      </c>
      <c r="Q1343" s="21" t="s">
        <v>344</v>
      </c>
      <c r="R1343" s="22">
        <v>45756</v>
      </c>
      <c r="W1343">
        <f>COUNTIF(スマートプラス!U:U,B1343)</f>
        <v>0</v>
      </c>
    </row>
    <row r="1344" spans="1:23" ht="24.95" hidden="1" customHeight="1" x14ac:dyDescent="0.4">
      <c r="A1344" s="17" t="s">
        <v>64</v>
      </c>
      <c r="B1344" s="15" t="s">
        <v>277</v>
      </c>
      <c r="C1344" s="16" t="s">
        <v>31</v>
      </c>
      <c r="D1344" s="16" t="s">
        <v>31</v>
      </c>
      <c r="E1344" s="15" t="s">
        <v>32</v>
      </c>
      <c r="F1344" s="15" t="s">
        <v>314</v>
      </c>
      <c r="N1344" s="21" t="s">
        <v>96</v>
      </c>
      <c r="O1344" s="21" t="s">
        <v>336</v>
      </c>
      <c r="Q1344" s="21" t="s">
        <v>344</v>
      </c>
      <c r="R1344" s="22">
        <v>45756</v>
      </c>
      <c r="W1344">
        <f>COUNTIF(スマートプラス!U:U,B1344)</f>
        <v>0</v>
      </c>
    </row>
    <row r="1345" spans="1:23" ht="24.95" hidden="1" customHeight="1" x14ac:dyDescent="0.4">
      <c r="A1345" s="17" t="s">
        <v>64</v>
      </c>
      <c r="B1345" s="15" t="s">
        <v>278</v>
      </c>
      <c r="C1345" s="16" t="s">
        <v>31</v>
      </c>
      <c r="D1345" s="16" t="s">
        <v>31</v>
      </c>
      <c r="E1345" s="15" t="s">
        <v>32</v>
      </c>
      <c r="F1345" s="15" t="s">
        <v>314</v>
      </c>
      <c r="N1345" s="21" t="s">
        <v>96</v>
      </c>
      <c r="O1345" s="21" t="s">
        <v>336</v>
      </c>
      <c r="Q1345" s="21" t="s">
        <v>344</v>
      </c>
      <c r="R1345" s="22">
        <v>45756</v>
      </c>
      <c r="W1345">
        <f>COUNTIF(スマートプラス!U:U,B1345)</f>
        <v>0</v>
      </c>
    </row>
    <row r="1346" spans="1:23" ht="24.95" hidden="1" customHeight="1" x14ac:dyDescent="0.4">
      <c r="A1346" s="17" t="s">
        <v>64</v>
      </c>
      <c r="B1346" s="15" t="s">
        <v>279</v>
      </c>
      <c r="C1346" s="16" t="s">
        <v>31</v>
      </c>
      <c r="D1346" s="16" t="s">
        <v>31</v>
      </c>
      <c r="E1346" s="15" t="s">
        <v>32</v>
      </c>
      <c r="F1346" s="15" t="s">
        <v>314</v>
      </c>
      <c r="N1346" s="21" t="s">
        <v>96</v>
      </c>
      <c r="O1346" s="21" t="s">
        <v>336</v>
      </c>
      <c r="Q1346" s="21" t="s">
        <v>344</v>
      </c>
      <c r="R1346" s="22">
        <v>45756</v>
      </c>
      <c r="W1346">
        <f>COUNTIF(スマートプラス!U:U,B1346)</f>
        <v>0</v>
      </c>
    </row>
    <row r="1347" spans="1:23" ht="24.95" hidden="1" customHeight="1" x14ac:dyDescent="0.4">
      <c r="A1347" s="17" t="s">
        <v>64</v>
      </c>
      <c r="B1347" s="15" t="s">
        <v>280</v>
      </c>
      <c r="C1347" s="16" t="s">
        <v>31</v>
      </c>
      <c r="D1347" s="16" t="s">
        <v>31</v>
      </c>
      <c r="E1347" s="15" t="s">
        <v>32</v>
      </c>
      <c r="F1347" s="15" t="s">
        <v>314</v>
      </c>
      <c r="N1347" s="21" t="s">
        <v>96</v>
      </c>
      <c r="O1347" s="21" t="s">
        <v>336</v>
      </c>
      <c r="Q1347" s="21" t="s">
        <v>344</v>
      </c>
      <c r="R1347" s="22">
        <v>45756</v>
      </c>
      <c r="W1347">
        <f>COUNTIF(スマートプラス!U:U,B1347)</f>
        <v>0</v>
      </c>
    </row>
    <row r="1348" spans="1:23" ht="24.95" hidden="1" customHeight="1" x14ac:dyDescent="0.4">
      <c r="A1348" s="17" t="s">
        <v>64</v>
      </c>
      <c r="B1348" s="15" t="s">
        <v>281</v>
      </c>
      <c r="C1348" s="16" t="s">
        <v>31</v>
      </c>
      <c r="D1348" s="16" t="s">
        <v>31</v>
      </c>
      <c r="E1348" s="15" t="s">
        <v>32</v>
      </c>
      <c r="F1348" s="15" t="s">
        <v>314</v>
      </c>
      <c r="N1348" s="21" t="s">
        <v>96</v>
      </c>
      <c r="O1348" s="21" t="s">
        <v>336</v>
      </c>
      <c r="Q1348" s="21" t="s">
        <v>344</v>
      </c>
      <c r="R1348" s="22">
        <v>45756</v>
      </c>
      <c r="W1348">
        <f>COUNTIF(スマートプラス!U:U,B1348)</f>
        <v>0</v>
      </c>
    </row>
    <row r="1349" spans="1:23" ht="24.95" hidden="1" customHeight="1" x14ac:dyDescent="0.4">
      <c r="A1349" s="17" t="s">
        <v>64</v>
      </c>
      <c r="B1349" s="15" t="s">
        <v>282</v>
      </c>
      <c r="C1349" s="16" t="s">
        <v>31</v>
      </c>
      <c r="D1349" s="16" t="s">
        <v>31</v>
      </c>
      <c r="E1349" s="15" t="s">
        <v>32</v>
      </c>
      <c r="F1349" s="15" t="s">
        <v>314</v>
      </c>
      <c r="N1349" s="21" t="s">
        <v>96</v>
      </c>
      <c r="O1349" s="21" t="s">
        <v>336</v>
      </c>
      <c r="Q1349" s="21" t="s">
        <v>344</v>
      </c>
      <c r="R1349" s="22">
        <v>45756</v>
      </c>
      <c r="W1349">
        <f>COUNTIF(スマートプラス!U:U,B1349)</f>
        <v>0</v>
      </c>
    </row>
    <row r="1350" spans="1:23" ht="24.95" hidden="1" customHeight="1" x14ac:dyDescent="0.4">
      <c r="A1350" s="17" t="s">
        <v>64</v>
      </c>
      <c r="B1350" s="15" t="s">
        <v>283</v>
      </c>
      <c r="C1350" s="16" t="s">
        <v>31</v>
      </c>
      <c r="D1350" s="16" t="s">
        <v>31</v>
      </c>
      <c r="E1350" s="15" t="s">
        <v>32</v>
      </c>
      <c r="F1350" s="15" t="s">
        <v>314</v>
      </c>
      <c r="N1350" s="21" t="s">
        <v>96</v>
      </c>
      <c r="O1350" s="21" t="s">
        <v>336</v>
      </c>
      <c r="Q1350" s="21" t="s">
        <v>344</v>
      </c>
      <c r="R1350" s="22">
        <v>45756</v>
      </c>
      <c r="W1350">
        <f>COUNTIF(スマートプラス!U:U,B1350)</f>
        <v>0</v>
      </c>
    </row>
    <row r="1351" spans="1:23" ht="24.95" hidden="1" customHeight="1" x14ac:dyDescent="0.4">
      <c r="A1351" s="17" t="s">
        <v>64</v>
      </c>
      <c r="B1351" s="15" t="s">
        <v>284</v>
      </c>
      <c r="C1351" s="16" t="s">
        <v>31</v>
      </c>
      <c r="D1351" s="16" t="s">
        <v>31</v>
      </c>
      <c r="E1351" s="15" t="s">
        <v>32</v>
      </c>
      <c r="F1351" s="15" t="s">
        <v>314</v>
      </c>
      <c r="N1351" s="21" t="s">
        <v>96</v>
      </c>
      <c r="O1351" s="21" t="s">
        <v>336</v>
      </c>
      <c r="Q1351" s="21" t="s">
        <v>344</v>
      </c>
      <c r="R1351" s="22">
        <v>45756</v>
      </c>
      <c r="W1351">
        <f>COUNTIF(スマートプラス!U:U,B1351)</f>
        <v>0</v>
      </c>
    </row>
    <row r="1352" spans="1:23" ht="24.95" hidden="1" customHeight="1" x14ac:dyDescent="0.4">
      <c r="A1352" s="17" t="s">
        <v>64</v>
      </c>
      <c r="B1352" s="15" t="s">
        <v>285</v>
      </c>
      <c r="C1352" s="16" t="s">
        <v>31</v>
      </c>
      <c r="D1352" s="16" t="s">
        <v>31</v>
      </c>
      <c r="E1352" s="15" t="s">
        <v>32</v>
      </c>
      <c r="F1352" s="15" t="s">
        <v>314</v>
      </c>
      <c r="N1352" s="21" t="s">
        <v>96</v>
      </c>
      <c r="O1352" s="21" t="s">
        <v>336</v>
      </c>
      <c r="Q1352" s="21" t="s">
        <v>344</v>
      </c>
      <c r="R1352" s="22">
        <v>45756</v>
      </c>
      <c r="W1352">
        <f>COUNTIF(スマートプラス!U:U,B1352)</f>
        <v>0</v>
      </c>
    </row>
    <row r="1353" spans="1:23" ht="24.95" hidden="1" customHeight="1" x14ac:dyDescent="0.4">
      <c r="A1353" s="17" t="s">
        <v>64</v>
      </c>
      <c r="B1353" s="15" t="s">
        <v>286</v>
      </c>
      <c r="C1353" s="16" t="s">
        <v>31</v>
      </c>
      <c r="D1353" s="16" t="s">
        <v>31</v>
      </c>
      <c r="E1353" s="15" t="s">
        <v>32</v>
      </c>
      <c r="F1353" s="15" t="s">
        <v>314</v>
      </c>
      <c r="N1353" s="21" t="s">
        <v>96</v>
      </c>
      <c r="O1353" s="21" t="s">
        <v>336</v>
      </c>
      <c r="Q1353" s="21" t="s">
        <v>344</v>
      </c>
      <c r="R1353" s="22">
        <v>45756</v>
      </c>
      <c r="W1353">
        <f>COUNTIF(スマートプラス!U:U,B1353)</f>
        <v>0</v>
      </c>
    </row>
    <row r="1354" spans="1:23" ht="24.95" hidden="1" customHeight="1" x14ac:dyDescent="0.4">
      <c r="A1354" s="17" t="s">
        <v>64</v>
      </c>
      <c r="B1354" s="15" t="s">
        <v>287</v>
      </c>
      <c r="C1354" s="16" t="s">
        <v>31</v>
      </c>
      <c r="D1354" s="16" t="s">
        <v>31</v>
      </c>
      <c r="E1354" s="15" t="s">
        <v>32</v>
      </c>
      <c r="F1354" s="15" t="s">
        <v>314</v>
      </c>
      <c r="N1354" s="21" t="s">
        <v>96</v>
      </c>
      <c r="O1354" s="21" t="s">
        <v>336</v>
      </c>
      <c r="Q1354" s="21" t="s">
        <v>344</v>
      </c>
      <c r="R1354" s="22">
        <v>45756</v>
      </c>
      <c r="W1354">
        <f>COUNTIF(スマートプラス!U:U,B1354)</f>
        <v>0</v>
      </c>
    </row>
    <row r="1355" spans="1:23" ht="24.95" hidden="1" customHeight="1" x14ac:dyDescent="0.4">
      <c r="A1355" s="17" t="s">
        <v>64</v>
      </c>
      <c r="B1355" s="15" t="s">
        <v>342</v>
      </c>
      <c r="C1355" s="16" t="s">
        <v>31</v>
      </c>
      <c r="D1355" s="16" t="s">
        <v>31</v>
      </c>
      <c r="E1355" s="15" t="s">
        <v>32</v>
      </c>
      <c r="F1355" s="15" t="s">
        <v>340</v>
      </c>
      <c r="N1355" s="21" t="s">
        <v>96</v>
      </c>
      <c r="O1355" s="21" t="s">
        <v>345</v>
      </c>
      <c r="Q1355" s="21" t="s">
        <v>344</v>
      </c>
      <c r="R1355" s="22">
        <v>45784</v>
      </c>
      <c r="W1355">
        <f>COUNTIF(スマートプラス!U:U,B1355)</f>
        <v>0</v>
      </c>
    </row>
    <row r="1356" spans="1:23" ht="24.95" hidden="1" customHeight="1" x14ac:dyDescent="0.4">
      <c r="A1356" s="17" t="s">
        <v>64</v>
      </c>
      <c r="B1356" s="15" t="s">
        <v>288</v>
      </c>
      <c r="C1356" s="16" t="s">
        <v>31</v>
      </c>
      <c r="D1356" s="16" t="s">
        <v>31</v>
      </c>
      <c r="E1356" s="15" t="s">
        <v>32</v>
      </c>
      <c r="F1356" s="15" t="s">
        <v>314</v>
      </c>
      <c r="N1356" s="21" t="s">
        <v>96</v>
      </c>
      <c r="O1356" s="21" t="s">
        <v>336</v>
      </c>
      <c r="Q1356" s="21" t="s">
        <v>344</v>
      </c>
      <c r="R1356" s="22">
        <v>45756</v>
      </c>
      <c r="W1356">
        <f>COUNTIF(スマートプラス!U:U,B1356)</f>
        <v>0</v>
      </c>
    </row>
    <row r="1357" spans="1:23" ht="24.95" hidden="1" customHeight="1" x14ac:dyDescent="0.4">
      <c r="A1357" s="17" t="s">
        <v>64</v>
      </c>
      <c r="B1357" s="15" t="s">
        <v>289</v>
      </c>
      <c r="C1357" s="16" t="s">
        <v>31</v>
      </c>
      <c r="D1357" s="16" t="s">
        <v>31</v>
      </c>
      <c r="E1357" s="15" t="s">
        <v>32</v>
      </c>
      <c r="F1357" s="15" t="s">
        <v>314</v>
      </c>
      <c r="N1357" s="21" t="s">
        <v>96</v>
      </c>
      <c r="O1357" s="21" t="s">
        <v>336</v>
      </c>
      <c r="Q1357" s="21" t="s">
        <v>344</v>
      </c>
      <c r="R1357" s="22">
        <v>45756</v>
      </c>
      <c r="W1357">
        <f>COUNTIF(スマートプラス!U:U,B1357)</f>
        <v>0</v>
      </c>
    </row>
    <row r="1358" spans="1:23" ht="24.95" hidden="1" customHeight="1" x14ac:dyDescent="0.4">
      <c r="A1358" s="17" t="s">
        <v>64</v>
      </c>
      <c r="B1358" s="15" t="s">
        <v>290</v>
      </c>
      <c r="C1358" s="16" t="s">
        <v>31</v>
      </c>
      <c r="D1358" s="16" t="s">
        <v>31</v>
      </c>
      <c r="E1358" s="15" t="s">
        <v>32</v>
      </c>
      <c r="F1358" s="15" t="s">
        <v>314</v>
      </c>
      <c r="N1358" s="21" t="s">
        <v>96</v>
      </c>
      <c r="O1358" s="21" t="s">
        <v>336</v>
      </c>
      <c r="Q1358" s="21" t="s">
        <v>344</v>
      </c>
      <c r="R1358" s="22">
        <v>45756</v>
      </c>
      <c r="W1358">
        <f>COUNTIF(スマートプラス!U:U,B1358)</f>
        <v>0</v>
      </c>
    </row>
    <row r="1359" spans="1:23" ht="24.95" hidden="1" customHeight="1" x14ac:dyDescent="0.4">
      <c r="A1359" s="17" t="s">
        <v>64</v>
      </c>
      <c r="B1359" s="15" t="s">
        <v>291</v>
      </c>
      <c r="C1359" s="16" t="s">
        <v>31</v>
      </c>
      <c r="D1359" s="16" t="s">
        <v>31</v>
      </c>
      <c r="E1359" s="15" t="s">
        <v>32</v>
      </c>
      <c r="F1359" s="15" t="s">
        <v>314</v>
      </c>
      <c r="N1359" s="21" t="s">
        <v>96</v>
      </c>
      <c r="O1359" s="21" t="s">
        <v>336</v>
      </c>
      <c r="Q1359" s="21" t="s">
        <v>344</v>
      </c>
      <c r="R1359" s="22">
        <v>45756</v>
      </c>
      <c r="W1359">
        <f>COUNTIF(スマートプラス!U:U,B1359)</f>
        <v>0</v>
      </c>
    </row>
    <row r="1360" spans="1:23" ht="24.95" hidden="1" customHeight="1" x14ac:dyDescent="0.4">
      <c r="A1360" s="17" t="s">
        <v>64</v>
      </c>
      <c r="B1360" s="15" t="s">
        <v>292</v>
      </c>
      <c r="C1360" s="16" t="s">
        <v>31</v>
      </c>
      <c r="D1360" s="16" t="s">
        <v>31</v>
      </c>
      <c r="E1360" s="15" t="s">
        <v>32</v>
      </c>
      <c r="F1360" s="15" t="s">
        <v>314</v>
      </c>
      <c r="N1360" s="21" t="s">
        <v>96</v>
      </c>
      <c r="O1360" s="21" t="s">
        <v>336</v>
      </c>
      <c r="Q1360" s="21" t="s">
        <v>344</v>
      </c>
      <c r="R1360" s="22">
        <v>45756</v>
      </c>
      <c r="W1360">
        <f>COUNTIF(スマートプラス!U:U,B1360)</f>
        <v>0</v>
      </c>
    </row>
    <row r="1361" spans="1:23" ht="24.95" hidden="1" customHeight="1" x14ac:dyDescent="0.4">
      <c r="A1361" s="17" t="s">
        <v>64</v>
      </c>
      <c r="B1361" s="15" t="s">
        <v>293</v>
      </c>
      <c r="C1361" s="16" t="s">
        <v>31</v>
      </c>
      <c r="D1361" s="16" t="s">
        <v>31</v>
      </c>
      <c r="E1361" s="15" t="s">
        <v>32</v>
      </c>
      <c r="F1361" s="15" t="s">
        <v>314</v>
      </c>
      <c r="N1361" s="21" t="s">
        <v>96</v>
      </c>
      <c r="O1361" s="21" t="s">
        <v>336</v>
      </c>
      <c r="Q1361" s="21" t="s">
        <v>344</v>
      </c>
      <c r="R1361" s="22">
        <v>45756</v>
      </c>
      <c r="W1361">
        <f>COUNTIF(スマートプラス!U:U,B1361)</f>
        <v>0</v>
      </c>
    </row>
    <row r="1362" spans="1:23" ht="24.95" hidden="1" customHeight="1" x14ac:dyDescent="0.4">
      <c r="A1362" s="17" t="s">
        <v>64</v>
      </c>
      <c r="B1362" s="15" t="s">
        <v>294</v>
      </c>
      <c r="C1362" s="16" t="s">
        <v>31</v>
      </c>
      <c r="D1362" s="16" t="s">
        <v>31</v>
      </c>
      <c r="E1362" s="15" t="s">
        <v>32</v>
      </c>
      <c r="F1362" s="15" t="s">
        <v>314</v>
      </c>
      <c r="N1362" s="21" t="s">
        <v>96</v>
      </c>
      <c r="O1362" s="21" t="s">
        <v>336</v>
      </c>
      <c r="Q1362" s="21" t="s">
        <v>344</v>
      </c>
      <c r="R1362" s="22">
        <v>45756</v>
      </c>
      <c r="W1362">
        <f>COUNTIF(スマートプラス!U:U,B1362)</f>
        <v>0</v>
      </c>
    </row>
    <row r="1363" spans="1:23" ht="24.95" hidden="1" customHeight="1" x14ac:dyDescent="0.4">
      <c r="A1363" s="17" t="s">
        <v>64</v>
      </c>
      <c r="B1363" s="15" t="s">
        <v>295</v>
      </c>
      <c r="C1363" s="16" t="s">
        <v>31</v>
      </c>
      <c r="D1363" s="16" t="s">
        <v>31</v>
      </c>
      <c r="E1363" s="15" t="s">
        <v>32</v>
      </c>
      <c r="F1363" s="15" t="s">
        <v>314</v>
      </c>
      <c r="N1363" s="21" t="s">
        <v>96</v>
      </c>
      <c r="O1363" s="21" t="s">
        <v>336</v>
      </c>
      <c r="Q1363" s="21" t="s">
        <v>344</v>
      </c>
      <c r="R1363" s="22">
        <v>45756</v>
      </c>
      <c r="W1363">
        <f>COUNTIF(スマートプラス!U:U,B1363)</f>
        <v>0</v>
      </c>
    </row>
    <row r="1364" spans="1:23" ht="24.95" hidden="1" customHeight="1" x14ac:dyDescent="0.4">
      <c r="A1364" s="17" t="s">
        <v>64</v>
      </c>
      <c r="B1364" s="15" t="s">
        <v>296</v>
      </c>
      <c r="C1364" s="16" t="s">
        <v>31</v>
      </c>
      <c r="D1364" s="16" t="s">
        <v>31</v>
      </c>
      <c r="E1364" s="15" t="s">
        <v>32</v>
      </c>
      <c r="F1364" s="15" t="s">
        <v>314</v>
      </c>
      <c r="N1364" s="21" t="s">
        <v>96</v>
      </c>
      <c r="O1364" s="21" t="s">
        <v>336</v>
      </c>
      <c r="Q1364" s="21" t="s">
        <v>344</v>
      </c>
      <c r="R1364" s="22">
        <v>45756</v>
      </c>
      <c r="W1364">
        <f>COUNTIF(スマートプラス!U:U,B1364)</f>
        <v>0</v>
      </c>
    </row>
    <row r="1365" spans="1:23" ht="24.95" hidden="1" customHeight="1" x14ac:dyDescent="0.4">
      <c r="A1365" s="17" t="s">
        <v>64</v>
      </c>
      <c r="B1365" s="15" t="s">
        <v>297</v>
      </c>
      <c r="C1365" s="16" t="s">
        <v>31</v>
      </c>
      <c r="D1365" s="16" t="s">
        <v>31</v>
      </c>
      <c r="E1365" s="15" t="s">
        <v>32</v>
      </c>
      <c r="F1365" s="15" t="s">
        <v>314</v>
      </c>
      <c r="N1365" s="21" t="s">
        <v>96</v>
      </c>
      <c r="O1365" s="21" t="s">
        <v>336</v>
      </c>
      <c r="Q1365" s="21" t="s">
        <v>344</v>
      </c>
      <c r="R1365" s="22">
        <v>45756</v>
      </c>
      <c r="W1365">
        <f>COUNTIF(スマートプラス!U:U,B1365)</f>
        <v>0</v>
      </c>
    </row>
    <row r="1366" spans="1:23" ht="24.95" hidden="1" customHeight="1" x14ac:dyDescent="0.4">
      <c r="A1366" s="17" t="s">
        <v>64</v>
      </c>
      <c r="B1366" s="15" t="s">
        <v>298</v>
      </c>
      <c r="C1366" s="16" t="s">
        <v>31</v>
      </c>
      <c r="D1366" s="16" t="s">
        <v>31</v>
      </c>
      <c r="E1366" s="15" t="s">
        <v>32</v>
      </c>
      <c r="F1366" s="15" t="s">
        <v>314</v>
      </c>
      <c r="N1366" s="21" t="s">
        <v>96</v>
      </c>
      <c r="O1366" s="21" t="s">
        <v>336</v>
      </c>
      <c r="Q1366" s="21" t="s">
        <v>344</v>
      </c>
      <c r="R1366" s="22">
        <v>45756</v>
      </c>
      <c r="W1366">
        <f>COUNTIF(スマートプラス!U:U,B1366)</f>
        <v>0</v>
      </c>
    </row>
    <row r="1367" spans="1:23" ht="24.95" hidden="1" customHeight="1" x14ac:dyDescent="0.4">
      <c r="A1367" s="17" t="s">
        <v>64</v>
      </c>
      <c r="B1367" s="15" t="s">
        <v>299</v>
      </c>
      <c r="C1367" s="16" t="s">
        <v>31</v>
      </c>
      <c r="D1367" s="16" t="s">
        <v>31</v>
      </c>
      <c r="E1367" s="15" t="s">
        <v>32</v>
      </c>
      <c r="F1367" s="15" t="s">
        <v>314</v>
      </c>
      <c r="N1367" s="21" t="s">
        <v>96</v>
      </c>
      <c r="O1367" s="21" t="s">
        <v>336</v>
      </c>
      <c r="Q1367" s="21" t="s">
        <v>344</v>
      </c>
      <c r="R1367" s="22">
        <v>45756</v>
      </c>
      <c r="W1367">
        <f>COUNTIF(スマートプラス!U:U,B1367)</f>
        <v>0</v>
      </c>
    </row>
    <row r="1368" spans="1:23" ht="24.95" hidden="1" customHeight="1" x14ac:dyDescent="0.4">
      <c r="A1368" s="17" t="s">
        <v>64</v>
      </c>
      <c r="B1368" s="15" t="s">
        <v>300</v>
      </c>
      <c r="C1368" s="16" t="s">
        <v>31</v>
      </c>
      <c r="D1368" s="16" t="s">
        <v>31</v>
      </c>
      <c r="E1368" s="15" t="s">
        <v>32</v>
      </c>
      <c r="F1368" s="15" t="s">
        <v>314</v>
      </c>
      <c r="N1368" s="21" t="s">
        <v>96</v>
      </c>
      <c r="O1368" s="21" t="s">
        <v>336</v>
      </c>
      <c r="Q1368" s="21" t="s">
        <v>344</v>
      </c>
      <c r="R1368" s="22">
        <v>45756</v>
      </c>
      <c r="W1368">
        <f>COUNTIF(スマートプラス!U:U,B1368)</f>
        <v>0</v>
      </c>
    </row>
    <row r="1369" spans="1:23" ht="24.95" hidden="1" customHeight="1" x14ac:dyDescent="0.4">
      <c r="A1369" s="17" t="s">
        <v>64</v>
      </c>
      <c r="B1369" s="15" t="s">
        <v>301</v>
      </c>
      <c r="C1369" s="16" t="s">
        <v>31</v>
      </c>
      <c r="D1369" s="16" t="s">
        <v>31</v>
      </c>
      <c r="E1369" s="15" t="s">
        <v>32</v>
      </c>
      <c r="F1369" s="15" t="s">
        <v>314</v>
      </c>
      <c r="N1369" s="21" t="s">
        <v>96</v>
      </c>
      <c r="O1369" s="21" t="s">
        <v>336</v>
      </c>
      <c r="Q1369" s="21" t="s">
        <v>344</v>
      </c>
      <c r="R1369" s="22">
        <v>45756</v>
      </c>
      <c r="W1369">
        <f>COUNTIF(スマートプラス!U:U,B1369)</f>
        <v>0</v>
      </c>
    </row>
    <row r="1370" spans="1:23" ht="24.95" hidden="1" customHeight="1" x14ac:dyDescent="0.4">
      <c r="A1370" s="17" t="s">
        <v>64</v>
      </c>
      <c r="B1370" s="15" t="s">
        <v>302</v>
      </c>
      <c r="C1370" s="16" t="s">
        <v>31</v>
      </c>
      <c r="D1370" s="16" t="s">
        <v>31</v>
      </c>
      <c r="E1370" s="15" t="s">
        <v>32</v>
      </c>
      <c r="F1370" s="15" t="s">
        <v>314</v>
      </c>
      <c r="N1370" s="21" t="s">
        <v>96</v>
      </c>
      <c r="O1370" s="21" t="s">
        <v>336</v>
      </c>
      <c r="Q1370" s="21" t="s">
        <v>344</v>
      </c>
      <c r="R1370" s="22">
        <v>45756</v>
      </c>
      <c r="W1370">
        <f>COUNTIF(スマートプラス!U:U,B1370)</f>
        <v>0</v>
      </c>
    </row>
    <row r="1371" spans="1:23" ht="24.95" hidden="1" customHeight="1" x14ac:dyDescent="0.4">
      <c r="A1371" s="17" t="s">
        <v>64</v>
      </c>
      <c r="B1371" s="15" t="s">
        <v>303</v>
      </c>
      <c r="C1371" s="16" t="s">
        <v>31</v>
      </c>
      <c r="D1371" s="16" t="s">
        <v>31</v>
      </c>
      <c r="E1371" s="15" t="s">
        <v>32</v>
      </c>
      <c r="F1371" s="15" t="s">
        <v>314</v>
      </c>
      <c r="N1371" s="21" t="s">
        <v>96</v>
      </c>
      <c r="O1371" s="21" t="s">
        <v>336</v>
      </c>
      <c r="Q1371" s="21" t="s">
        <v>344</v>
      </c>
      <c r="R1371" s="22">
        <v>45756</v>
      </c>
      <c r="W1371">
        <f>COUNTIF(スマートプラス!U:U,B1371)</f>
        <v>0</v>
      </c>
    </row>
    <row r="1372" spans="1:23" ht="24.95" hidden="1" customHeight="1" x14ac:dyDescent="0.4">
      <c r="A1372" s="17" t="s">
        <v>64</v>
      </c>
      <c r="B1372" s="15" t="s">
        <v>304</v>
      </c>
      <c r="C1372" s="16" t="s">
        <v>31</v>
      </c>
      <c r="D1372" s="16" t="s">
        <v>31</v>
      </c>
      <c r="E1372" s="15" t="s">
        <v>32</v>
      </c>
      <c r="F1372" s="15" t="s">
        <v>314</v>
      </c>
      <c r="N1372" s="21" t="s">
        <v>96</v>
      </c>
      <c r="O1372" s="21" t="s">
        <v>336</v>
      </c>
      <c r="Q1372" s="21" t="s">
        <v>344</v>
      </c>
      <c r="R1372" s="22">
        <v>45756</v>
      </c>
      <c r="W1372">
        <f>COUNTIF(スマートプラス!U:U,B1372)</f>
        <v>0</v>
      </c>
    </row>
    <row r="1373" spans="1:23" ht="24.95" hidden="1" customHeight="1" x14ac:dyDescent="0.4">
      <c r="A1373" s="17" t="s">
        <v>64</v>
      </c>
      <c r="B1373" s="15" t="s">
        <v>305</v>
      </c>
      <c r="C1373" s="16" t="s">
        <v>31</v>
      </c>
      <c r="D1373" s="16" t="s">
        <v>31</v>
      </c>
      <c r="E1373" s="15" t="s">
        <v>32</v>
      </c>
      <c r="F1373" s="15" t="s">
        <v>314</v>
      </c>
      <c r="N1373" s="21" t="s">
        <v>96</v>
      </c>
      <c r="O1373" s="21" t="s">
        <v>336</v>
      </c>
      <c r="Q1373" s="21" t="s">
        <v>344</v>
      </c>
      <c r="R1373" s="22">
        <v>45756</v>
      </c>
      <c r="W1373">
        <f>COUNTIF(スマートプラス!U:U,B1373)</f>
        <v>0</v>
      </c>
    </row>
    <row r="1374" spans="1:23" ht="24.95" hidden="1" customHeight="1" x14ac:dyDescent="0.4">
      <c r="A1374" s="17" t="s">
        <v>64</v>
      </c>
      <c r="B1374" s="15" t="s">
        <v>370</v>
      </c>
      <c r="C1374" s="16" t="s">
        <v>31</v>
      </c>
      <c r="D1374" s="16" t="s">
        <v>31</v>
      </c>
      <c r="E1374" s="15" t="s">
        <v>32</v>
      </c>
      <c r="F1374" s="15" t="s">
        <v>365</v>
      </c>
      <c r="N1374" s="21" t="s">
        <v>374</v>
      </c>
      <c r="O1374" s="21" t="s">
        <v>373</v>
      </c>
      <c r="Q1374" s="21" t="s">
        <v>344</v>
      </c>
      <c r="R1374" s="22">
        <v>45883</v>
      </c>
      <c r="W1374">
        <f>COUNTIF(スマートプラス!U:U,B1374)</f>
        <v>0</v>
      </c>
    </row>
    <row r="1375" spans="1:23" ht="24.95" hidden="1" customHeight="1" x14ac:dyDescent="0.4">
      <c r="A1375" s="17" t="s">
        <v>64</v>
      </c>
      <c r="B1375" s="15" t="s">
        <v>371</v>
      </c>
      <c r="C1375" s="16" t="s">
        <v>31</v>
      </c>
      <c r="D1375" s="16" t="s">
        <v>31</v>
      </c>
      <c r="E1375" s="15" t="s">
        <v>32</v>
      </c>
      <c r="F1375" s="15" t="s">
        <v>365</v>
      </c>
      <c r="N1375" s="21" t="s">
        <v>374</v>
      </c>
      <c r="O1375" s="21" t="s">
        <v>373</v>
      </c>
      <c r="Q1375" s="21" t="s">
        <v>344</v>
      </c>
      <c r="R1375" s="22">
        <v>45883</v>
      </c>
      <c r="W1375">
        <f>COUNTIF(スマートプラス!U:U,B1375)</f>
        <v>0</v>
      </c>
    </row>
    <row r="1376" spans="1:23" ht="24.95" hidden="1" customHeight="1" x14ac:dyDescent="0.4">
      <c r="A1376" s="17" t="s">
        <v>64</v>
      </c>
      <c r="B1376" s="15" t="s">
        <v>306</v>
      </c>
      <c r="C1376" s="16" t="s">
        <v>24</v>
      </c>
      <c r="D1376" s="16" t="s">
        <v>31</v>
      </c>
      <c r="E1376" s="15" t="s">
        <v>35</v>
      </c>
      <c r="F1376" s="15" t="s">
        <v>314</v>
      </c>
      <c r="N1376" s="21" t="s">
        <v>96</v>
      </c>
      <c r="O1376" s="21" t="s">
        <v>336</v>
      </c>
      <c r="Q1376" s="21" t="s">
        <v>344</v>
      </c>
      <c r="R1376" s="22">
        <v>45756</v>
      </c>
      <c r="W1376">
        <f>COUNTIF(スマートプラス!U:U,B1376)</f>
        <v>0</v>
      </c>
    </row>
    <row r="1377" spans="1:23" ht="24.95" hidden="1" customHeight="1" x14ac:dyDescent="0.4">
      <c r="A1377" s="17" t="s">
        <v>64</v>
      </c>
      <c r="B1377" s="15" t="s">
        <v>307</v>
      </c>
      <c r="C1377" s="16" t="s">
        <v>31</v>
      </c>
      <c r="D1377" s="16" t="s">
        <v>31</v>
      </c>
      <c r="E1377" s="15" t="s">
        <v>32</v>
      </c>
      <c r="F1377" s="15" t="s">
        <v>314</v>
      </c>
      <c r="N1377" s="21" t="s">
        <v>96</v>
      </c>
      <c r="O1377" s="21" t="s">
        <v>336</v>
      </c>
      <c r="Q1377" s="21" t="s">
        <v>344</v>
      </c>
      <c r="R1377" s="22">
        <v>45756</v>
      </c>
      <c r="W1377">
        <f>COUNTIF(スマートプラス!U:U,B1377)</f>
        <v>0</v>
      </c>
    </row>
    <row r="1378" spans="1:23" ht="24.95" hidden="1" customHeight="1" x14ac:dyDescent="0.4">
      <c r="A1378" s="17" t="s">
        <v>64</v>
      </c>
      <c r="B1378" s="15" t="s">
        <v>38</v>
      </c>
      <c r="C1378" s="16" t="s">
        <v>31</v>
      </c>
      <c r="D1378" s="16" t="s">
        <v>31</v>
      </c>
      <c r="E1378" s="15" t="s">
        <v>32</v>
      </c>
      <c r="F1378" s="15" t="s">
        <v>80</v>
      </c>
      <c r="N1378" s="21" t="s">
        <v>96</v>
      </c>
      <c r="O1378" s="13" t="s">
        <v>353</v>
      </c>
      <c r="Q1378" s="21" t="s">
        <v>344</v>
      </c>
      <c r="R1378" s="22">
        <v>45814</v>
      </c>
      <c r="W1378">
        <f>COUNTIF(スマートプラス!U:U,B1378)</f>
        <v>0</v>
      </c>
    </row>
    <row r="1379" spans="1:23" ht="24.95" hidden="1" customHeight="1" x14ac:dyDescent="0.4">
      <c r="A1379" s="17" t="s">
        <v>64</v>
      </c>
      <c r="B1379" s="15" t="s">
        <v>119</v>
      </c>
      <c r="C1379" s="16" t="s">
        <v>31</v>
      </c>
      <c r="D1379" s="16" t="s">
        <v>31</v>
      </c>
      <c r="E1379" s="15" t="s">
        <v>32</v>
      </c>
      <c r="F1379" s="15" t="s">
        <v>365</v>
      </c>
      <c r="N1379" s="21" t="s">
        <v>374</v>
      </c>
      <c r="O1379" s="21" t="s">
        <v>375</v>
      </c>
      <c r="Q1379" s="21" t="s">
        <v>344</v>
      </c>
      <c r="R1379" s="22">
        <v>45883</v>
      </c>
      <c r="W1379">
        <f>COUNTIF(スマートプラス!U:U,B1379)</f>
        <v>0</v>
      </c>
    </row>
    <row r="1380" spans="1:23" ht="24.95" hidden="1" customHeight="1" x14ac:dyDescent="0.4">
      <c r="A1380" s="17" t="s">
        <v>64</v>
      </c>
      <c r="B1380" s="15" t="s">
        <v>120</v>
      </c>
      <c r="C1380" s="16" t="s">
        <v>31</v>
      </c>
      <c r="D1380" s="16" t="s">
        <v>31</v>
      </c>
      <c r="E1380" s="15" t="s">
        <v>32</v>
      </c>
      <c r="F1380" s="15" t="s">
        <v>314</v>
      </c>
      <c r="N1380" s="21" t="s">
        <v>96</v>
      </c>
      <c r="O1380" s="13" t="s">
        <v>339</v>
      </c>
      <c r="Q1380" s="21" t="s">
        <v>344</v>
      </c>
      <c r="R1380" s="22">
        <v>45756</v>
      </c>
      <c r="W1380">
        <f>COUNTIF(スマートプラス!U:U,B1380)</f>
        <v>0</v>
      </c>
    </row>
    <row r="1381" spans="1:23" ht="24.95" hidden="1" customHeight="1" x14ac:dyDescent="0.4">
      <c r="A1381" s="17" t="s">
        <v>64</v>
      </c>
      <c r="B1381" s="15" t="s">
        <v>39</v>
      </c>
      <c r="C1381" s="16" t="s">
        <v>31</v>
      </c>
      <c r="D1381" s="16" t="s">
        <v>31</v>
      </c>
      <c r="E1381" s="15" t="s">
        <v>32</v>
      </c>
      <c r="F1381" s="15" t="s">
        <v>129</v>
      </c>
      <c r="N1381" s="21" t="s">
        <v>96</v>
      </c>
      <c r="O1381" s="13" t="s">
        <v>350</v>
      </c>
      <c r="Q1381" s="21" t="s">
        <v>344</v>
      </c>
      <c r="R1381" s="22">
        <v>45814</v>
      </c>
      <c r="W1381">
        <f>COUNTIF(スマートプラス!U:U,B1381)</f>
        <v>0</v>
      </c>
    </row>
    <row r="1382" spans="1:23" ht="24.95" hidden="1" customHeight="1" x14ac:dyDescent="0.4">
      <c r="A1382" s="17" t="s">
        <v>64</v>
      </c>
      <c r="B1382" s="15" t="s">
        <v>220</v>
      </c>
      <c r="C1382" s="16" t="s">
        <v>31</v>
      </c>
      <c r="D1382" s="16" t="s">
        <v>31</v>
      </c>
      <c r="E1382" s="15" t="s">
        <v>32</v>
      </c>
      <c r="F1382" s="15" t="s">
        <v>221</v>
      </c>
      <c r="N1382" s="21" t="s">
        <v>96</v>
      </c>
      <c r="O1382" s="21" t="s">
        <v>338</v>
      </c>
      <c r="Q1382" s="21" t="s">
        <v>344</v>
      </c>
      <c r="R1382" s="22">
        <v>45814</v>
      </c>
      <c r="W1382">
        <f>COUNTIF(スマートプラス!U:U,B1382)</f>
        <v>0</v>
      </c>
    </row>
    <row r="1383" spans="1:23" ht="24.95" hidden="1" customHeight="1" x14ac:dyDescent="0.4">
      <c r="A1383" s="17" t="s">
        <v>64</v>
      </c>
      <c r="B1383" s="15" t="s">
        <v>172</v>
      </c>
      <c r="C1383" s="16" t="s">
        <v>31</v>
      </c>
      <c r="D1383" s="16" t="s">
        <v>31</v>
      </c>
      <c r="E1383" s="15" t="s">
        <v>32</v>
      </c>
      <c r="F1383" s="15" t="s">
        <v>173</v>
      </c>
      <c r="N1383" s="21" t="s">
        <v>96</v>
      </c>
      <c r="O1383" s="21" t="s">
        <v>336</v>
      </c>
      <c r="Q1383" s="21" t="s">
        <v>344</v>
      </c>
      <c r="R1383" s="22">
        <v>45814</v>
      </c>
      <c r="W1383">
        <f>COUNTIF(スマートプラス!U:U,B1383)</f>
        <v>0</v>
      </c>
    </row>
    <row r="1384" spans="1:23" ht="24.95" hidden="1" customHeight="1" x14ac:dyDescent="0.4">
      <c r="A1384" s="17" t="s">
        <v>64</v>
      </c>
      <c r="B1384" s="15" t="s">
        <v>111</v>
      </c>
      <c r="C1384" s="16" t="s">
        <v>31</v>
      </c>
      <c r="D1384" s="16" t="s">
        <v>31</v>
      </c>
      <c r="E1384" s="15" t="s">
        <v>32</v>
      </c>
      <c r="F1384" s="15" t="s">
        <v>314</v>
      </c>
      <c r="N1384" s="21" t="s">
        <v>96</v>
      </c>
      <c r="O1384" s="13" t="s">
        <v>339</v>
      </c>
      <c r="Q1384" s="21" t="s">
        <v>344</v>
      </c>
      <c r="R1384" s="22">
        <v>45756</v>
      </c>
      <c r="W1384">
        <f>COUNTIF(スマートプラス!U:U,B1384)</f>
        <v>0</v>
      </c>
    </row>
    <row r="1385" spans="1:23" ht="24.95" hidden="1" customHeight="1" x14ac:dyDescent="0.4">
      <c r="A1385" s="17" t="s">
        <v>64</v>
      </c>
      <c r="B1385" s="15" t="s">
        <v>42</v>
      </c>
      <c r="C1385" s="16" t="s">
        <v>31</v>
      </c>
      <c r="D1385" s="16" t="s">
        <v>31</v>
      </c>
      <c r="E1385" s="15" t="s">
        <v>32</v>
      </c>
      <c r="F1385" s="15" t="s">
        <v>129</v>
      </c>
      <c r="N1385" s="21" t="s">
        <v>96</v>
      </c>
      <c r="O1385" s="13" t="s">
        <v>351</v>
      </c>
      <c r="Q1385" s="21" t="s">
        <v>344</v>
      </c>
      <c r="R1385" s="22">
        <v>45814</v>
      </c>
      <c r="W1385">
        <f>COUNTIF(スマートプラス!U:U,B1385)</f>
        <v>0</v>
      </c>
    </row>
    <row r="1386" spans="1:23" ht="24.95" hidden="1" customHeight="1" x14ac:dyDescent="0.4">
      <c r="A1386" s="17" t="s">
        <v>64</v>
      </c>
      <c r="B1386" s="15" t="s">
        <v>330</v>
      </c>
      <c r="C1386" s="16" t="s">
        <v>31</v>
      </c>
      <c r="D1386" s="16" t="s">
        <v>31</v>
      </c>
      <c r="E1386" s="15" t="s">
        <v>32</v>
      </c>
      <c r="F1386" s="15" t="s">
        <v>314</v>
      </c>
      <c r="N1386" s="21" t="s">
        <v>96</v>
      </c>
      <c r="O1386" s="21" t="s">
        <v>338</v>
      </c>
      <c r="Q1386" s="21" t="s">
        <v>344</v>
      </c>
      <c r="R1386" s="22">
        <v>45756</v>
      </c>
      <c r="W1386">
        <f>COUNTIF(スマートプラス!U:U,B1386)</f>
        <v>0</v>
      </c>
    </row>
    <row r="1387" spans="1:23" ht="24.95" hidden="1" customHeight="1" x14ac:dyDescent="0.4">
      <c r="A1387" s="17" t="s">
        <v>64</v>
      </c>
      <c r="B1387" s="15" t="s">
        <v>43</v>
      </c>
      <c r="C1387" s="16" t="s">
        <v>31</v>
      </c>
      <c r="D1387" s="16" t="s">
        <v>31</v>
      </c>
      <c r="E1387" s="15" t="s">
        <v>32</v>
      </c>
      <c r="F1387" s="15" t="s">
        <v>356</v>
      </c>
      <c r="N1387" s="21" t="s">
        <v>96</v>
      </c>
      <c r="O1387" s="21" t="s">
        <v>360</v>
      </c>
      <c r="Q1387" s="21" t="s">
        <v>344</v>
      </c>
      <c r="R1387" s="22">
        <v>45847</v>
      </c>
      <c r="W1387">
        <f>COUNTIF(スマートプラス!U:U,B1387)</f>
        <v>0</v>
      </c>
    </row>
    <row r="1388" spans="1:23" ht="24.95" hidden="1" customHeight="1" x14ac:dyDescent="0.4">
      <c r="A1388" s="17" t="s">
        <v>64</v>
      </c>
      <c r="B1388" s="15" t="s">
        <v>343</v>
      </c>
      <c r="C1388" s="16" t="s">
        <v>31</v>
      </c>
      <c r="D1388" s="16" t="s">
        <v>31</v>
      </c>
      <c r="E1388" s="15" t="s">
        <v>32</v>
      </c>
      <c r="F1388" s="15" t="s">
        <v>340</v>
      </c>
      <c r="N1388" s="21" t="s">
        <v>96</v>
      </c>
      <c r="O1388" s="21" t="s">
        <v>345</v>
      </c>
      <c r="Q1388" s="21" t="s">
        <v>344</v>
      </c>
      <c r="R1388" s="22">
        <v>45784</v>
      </c>
      <c r="W1388">
        <f>COUNTIF(スマートプラス!U:U,B1388)</f>
        <v>0</v>
      </c>
    </row>
    <row r="1389" spans="1:23" ht="24.95" hidden="1" customHeight="1" x14ac:dyDescent="0.4">
      <c r="A1389" s="17" t="s">
        <v>64</v>
      </c>
      <c r="B1389" s="15" t="s">
        <v>121</v>
      </c>
      <c r="C1389" s="16" t="s">
        <v>31</v>
      </c>
      <c r="D1389" s="16" t="s">
        <v>31</v>
      </c>
      <c r="E1389" s="15" t="s">
        <v>32</v>
      </c>
      <c r="F1389" s="15" t="s">
        <v>314</v>
      </c>
      <c r="N1389" s="21" t="s">
        <v>96</v>
      </c>
      <c r="O1389" s="21" t="s">
        <v>336</v>
      </c>
      <c r="Q1389" s="21" t="s">
        <v>344</v>
      </c>
      <c r="R1389" s="22">
        <v>45756</v>
      </c>
      <c r="W1389">
        <f>COUNTIF(スマートプラス!U:U,B1389)</f>
        <v>0</v>
      </c>
    </row>
    <row r="1390" spans="1:23" ht="24.95" hidden="1" customHeight="1" x14ac:dyDescent="0.4">
      <c r="A1390" s="17" t="s">
        <v>64</v>
      </c>
      <c r="B1390" s="15" t="s">
        <v>44</v>
      </c>
      <c r="C1390" s="16" t="s">
        <v>31</v>
      </c>
      <c r="D1390" s="16" t="s">
        <v>31</v>
      </c>
      <c r="E1390" s="15" t="s">
        <v>32</v>
      </c>
      <c r="F1390" s="15" t="s">
        <v>314</v>
      </c>
      <c r="N1390" s="21" t="s">
        <v>96</v>
      </c>
      <c r="O1390" s="13" t="s">
        <v>359</v>
      </c>
      <c r="Q1390" s="21" t="s">
        <v>344</v>
      </c>
      <c r="R1390" s="22">
        <v>45814</v>
      </c>
      <c r="W1390">
        <f>COUNTIF(スマートプラス!U:U,B1390)</f>
        <v>0</v>
      </c>
    </row>
    <row r="1391" spans="1:23" ht="24.95" hidden="1" customHeight="1" x14ac:dyDescent="0.4">
      <c r="A1391" s="17" t="s">
        <v>64</v>
      </c>
      <c r="B1391" s="15" t="s">
        <v>45</v>
      </c>
      <c r="C1391" s="16" t="s">
        <v>31</v>
      </c>
      <c r="D1391" s="16" t="s">
        <v>31</v>
      </c>
      <c r="E1391" s="15" t="s">
        <v>32</v>
      </c>
      <c r="F1391" s="15" t="s">
        <v>314</v>
      </c>
      <c r="N1391" s="21" t="s">
        <v>96</v>
      </c>
      <c r="O1391" s="21" t="s">
        <v>338</v>
      </c>
      <c r="Q1391" s="21" t="s">
        <v>344</v>
      </c>
      <c r="R1391" s="22">
        <v>45756</v>
      </c>
      <c r="W1391">
        <f>COUNTIF(スマートプラス!U:U,B1391)</f>
        <v>0</v>
      </c>
    </row>
    <row r="1392" spans="1:23" ht="24.95" customHeight="1" x14ac:dyDescent="0.4">
      <c r="A1392" s="17" t="s">
        <v>64</v>
      </c>
      <c r="B1392" s="50" t="s">
        <v>469</v>
      </c>
      <c r="C1392" s="16" t="s">
        <v>31</v>
      </c>
      <c r="D1392" s="16" t="s">
        <v>31</v>
      </c>
      <c r="E1392" s="15" t="s">
        <v>32</v>
      </c>
      <c r="F1392" s="15" t="s">
        <v>365</v>
      </c>
      <c r="N1392" s="21" t="s">
        <v>374</v>
      </c>
      <c r="O1392" s="13" t="s">
        <v>468</v>
      </c>
      <c r="Q1392" s="21" t="s">
        <v>344</v>
      </c>
      <c r="R1392" s="22">
        <v>45883</v>
      </c>
      <c r="W1392">
        <f>COUNTIF(スマートプラス!U:U,B1392)</f>
        <v>0</v>
      </c>
    </row>
    <row r="1393" spans="1:26" ht="24.95" hidden="1" customHeight="1" x14ac:dyDescent="0.4">
      <c r="A1393" s="17" t="s">
        <v>64</v>
      </c>
      <c r="B1393" s="50" t="s">
        <v>91</v>
      </c>
      <c r="C1393" s="16" t="s">
        <v>31</v>
      </c>
      <c r="D1393" s="16" t="s">
        <v>31</v>
      </c>
      <c r="E1393" s="15" t="s">
        <v>32</v>
      </c>
      <c r="F1393" s="15" t="s">
        <v>356</v>
      </c>
      <c r="N1393" s="21" t="s">
        <v>96</v>
      </c>
      <c r="O1393" s="21" t="s">
        <v>360</v>
      </c>
      <c r="Q1393" s="21" t="s">
        <v>344</v>
      </c>
      <c r="R1393" s="22">
        <v>45847</v>
      </c>
      <c r="W1393">
        <f>COUNTIF(スマートプラス!U:U,B1393)</f>
        <v>0</v>
      </c>
    </row>
    <row r="1394" spans="1:26" ht="24.95" hidden="1" customHeight="1" x14ac:dyDescent="0.4">
      <c r="A1394" s="17" t="s">
        <v>64</v>
      </c>
      <c r="B1394" s="50" t="s">
        <v>133</v>
      </c>
      <c r="C1394" s="16" t="s">
        <v>31</v>
      </c>
      <c r="D1394" s="16" t="s">
        <v>31</v>
      </c>
      <c r="E1394" s="15" t="s">
        <v>32</v>
      </c>
      <c r="F1394" s="15" t="s">
        <v>130</v>
      </c>
      <c r="M1394" s="21" t="s">
        <v>81</v>
      </c>
      <c r="N1394" s="21" t="s">
        <v>141</v>
      </c>
      <c r="O1394" s="21" t="s">
        <v>143</v>
      </c>
      <c r="W1394">
        <f>COUNTIF(スマートプラス!U:U,B1394)</f>
        <v>0</v>
      </c>
      <c r="Z1394" t="str">
        <f>A1394&amp;" "&amp;B1394</f>
        <v>0C cw rc/DTD/WEB3RcEquityBalanceReferenceResponse.dtd</v>
      </c>
    </row>
    <row r="1395" spans="1:26" ht="24.95" hidden="1" customHeight="1" x14ac:dyDescent="0.4">
      <c r="A1395" s="17" t="s">
        <v>64</v>
      </c>
      <c r="B1395" s="50" t="s">
        <v>134</v>
      </c>
      <c r="C1395" s="16" t="s">
        <v>31</v>
      </c>
      <c r="D1395" s="16" t="s">
        <v>31</v>
      </c>
      <c r="E1395" s="15" t="s">
        <v>32</v>
      </c>
      <c r="F1395" s="15" t="s">
        <v>130</v>
      </c>
      <c r="M1395" s="21" t="s">
        <v>81</v>
      </c>
      <c r="N1395" s="21" t="s">
        <v>141</v>
      </c>
      <c r="O1395" s="21" t="s">
        <v>143</v>
      </c>
      <c r="W1395">
        <f>COUNTIF(スマートプラス!U:U,B1395)</f>
        <v>0</v>
      </c>
      <c r="Z1395" t="str">
        <f>A1395&amp;" "&amp;B1395</f>
        <v>0C cw rc/DTD/WEB3RcFeqBalanceReferenceResponse.dtd</v>
      </c>
    </row>
    <row r="1396" spans="1:26" ht="24.95" hidden="1" customHeight="1" x14ac:dyDescent="0.4">
      <c r="A1396" s="17" t="s">
        <v>65</v>
      </c>
      <c r="B1396" s="15" t="s">
        <v>49</v>
      </c>
      <c r="C1396" s="16" t="s">
        <v>31</v>
      </c>
      <c r="D1396" s="16" t="s">
        <v>24</v>
      </c>
      <c r="E1396" s="15" t="s">
        <v>50</v>
      </c>
      <c r="F1396" s="15" t="s">
        <v>80</v>
      </c>
      <c r="G1396" s="25" t="s">
        <v>23</v>
      </c>
      <c r="H1396" s="26" t="s">
        <v>51</v>
      </c>
      <c r="I1396" s="24" t="s">
        <v>52</v>
      </c>
      <c r="J1396" s="24" t="s">
        <v>53</v>
      </c>
      <c r="N1396" s="13" t="s">
        <v>85</v>
      </c>
      <c r="O1396" s="21" t="s">
        <v>83</v>
      </c>
      <c r="R1396" s="22" t="s">
        <v>24</v>
      </c>
      <c r="W1396">
        <f>COUNTIF(セゾン投信!U:U,B1396)</f>
        <v>0</v>
      </c>
      <c r="Z1396" t="s">
        <v>435</v>
      </c>
    </row>
    <row r="1397" spans="1:26" ht="24.95" hidden="1" customHeight="1" x14ac:dyDescent="0.4">
      <c r="A1397" s="17" t="s">
        <v>65</v>
      </c>
      <c r="B1397" s="15" t="s">
        <v>115</v>
      </c>
      <c r="C1397" s="16" t="s">
        <v>31</v>
      </c>
      <c r="D1397" s="16" t="s">
        <v>31</v>
      </c>
      <c r="E1397" s="15" t="s">
        <v>32</v>
      </c>
      <c r="F1397" s="15" t="s">
        <v>166</v>
      </c>
      <c r="N1397" s="21" t="s">
        <v>96</v>
      </c>
      <c r="O1397" s="21" t="s">
        <v>337</v>
      </c>
      <c r="Q1397" s="21" t="s">
        <v>344</v>
      </c>
      <c r="R1397" s="22">
        <v>45814</v>
      </c>
      <c r="W1397">
        <f>COUNTIF(セゾン投信!U:U,B1397)</f>
        <v>0</v>
      </c>
    </row>
    <row r="1398" spans="1:26" ht="24.95" hidden="1" customHeight="1" x14ac:dyDescent="0.4">
      <c r="A1398" s="17" t="s">
        <v>65</v>
      </c>
      <c r="B1398" s="15" t="s">
        <v>313</v>
      </c>
      <c r="C1398" s="16" t="s">
        <v>24</v>
      </c>
      <c r="D1398" s="16" t="s">
        <v>31</v>
      </c>
      <c r="E1398" s="15" t="s">
        <v>35</v>
      </c>
      <c r="F1398" s="15" t="s">
        <v>314</v>
      </c>
      <c r="N1398" s="21" t="s">
        <v>96</v>
      </c>
      <c r="O1398" s="21" t="s">
        <v>337</v>
      </c>
      <c r="Q1398" s="21" t="s">
        <v>344</v>
      </c>
      <c r="R1398" s="22">
        <v>45756</v>
      </c>
      <c r="W1398">
        <f>COUNTIF(セゾン投信!U:U,B1398)</f>
        <v>0</v>
      </c>
    </row>
    <row r="1399" spans="1:26" ht="24.95" hidden="1" customHeight="1" x14ac:dyDescent="0.4">
      <c r="A1399" s="17" t="s">
        <v>65</v>
      </c>
      <c r="B1399" s="15" t="s">
        <v>315</v>
      </c>
      <c r="C1399" s="16" t="s">
        <v>24</v>
      </c>
      <c r="D1399" s="16" t="s">
        <v>31</v>
      </c>
      <c r="E1399" s="15" t="s">
        <v>35</v>
      </c>
      <c r="F1399" s="15" t="s">
        <v>314</v>
      </c>
      <c r="N1399" s="21" t="s">
        <v>96</v>
      </c>
      <c r="O1399" s="21" t="s">
        <v>337</v>
      </c>
      <c r="Q1399" s="21" t="s">
        <v>344</v>
      </c>
      <c r="R1399" s="22">
        <v>45756</v>
      </c>
      <c r="W1399">
        <f>COUNTIF(セゾン投信!U:U,B1399)</f>
        <v>0</v>
      </c>
    </row>
    <row r="1400" spans="1:26" ht="24.95" hidden="1" customHeight="1" x14ac:dyDescent="0.4">
      <c r="A1400" s="17" t="s">
        <v>65</v>
      </c>
      <c r="B1400" s="15" t="s">
        <v>316</v>
      </c>
      <c r="C1400" s="16" t="s">
        <v>24</v>
      </c>
      <c r="D1400" s="16" t="s">
        <v>31</v>
      </c>
      <c r="E1400" s="15" t="s">
        <v>35</v>
      </c>
      <c r="F1400" s="15" t="s">
        <v>314</v>
      </c>
      <c r="N1400" s="21" t="s">
        <v>96</v>
      </c>
      <c r="O1400" s="21" t="s">
        <v>337</v>
      </c>
      <c r="Q1400" s="21" t="s">
        <v>344</v>
      </c>
      <c r="R1400" s="22">
        <v>45756</v>
      </c>
      <c r="W1400">
        <f>COUNTIF(セゾン投信!U:U,B1400)</f>
        <v>0</v>
      </c>
    </row>
    <row r="1401" spans="1:26" ht="24.95" hidden="1" customHeight="1" x14ac:dyDescent="0.4">
      <c r="A1401" s="17" t="s">
        <v>65</v>
      </c>
      <c r="B1401" s="15" t="s">
        <v>317</v>
      </c>
      <c r="C1401" s="16" t="s">
        <v>24</v>
      </c>
      <c r="D1401" s="16" t="s">
        <v>31</v>
      </c>
      <c r="E1401" s="15" t="s">
        <v>35</v>
      </c>
      <c r="F1401" s="15" t="s">
        <v>314</v>
      </c>
      <c r="N1401" s="21" t="s">
        <v>96</v>
      </c>
      <c r="O1401" s="21" t="s">
        <v>337</v>
      </c>
      <c r="Q1401" s="21" t="s">
        <v>344</v>
      </c>
      <c r="R1401" s="22">
        <v>45756</v>
      </c>
      <c r="W1401">
        <f>COUNTIF(セゾン投信!U:U,B1401)</f>
        <v>0</v>
      </c>
    </row>
    <row r="1402" spans="1:26" ht="24.95" hidden="1" customHeight="1" x14ac:dyDescent="0.4">
      <c r="A1402" s="17" t="s">
        <v>65</v>
      </c>
      <c r="B1402" s="50" t="s">
        <v>364</v>
      </c>
      <c r="C1402" s="16" t="s">
        <v>24</v>
      </c>
      <c r="D1402" s="16" t="s">
        <v>31</v>
      </c>
      <c r="E1402" s="15" t="s">
        <v>35</v>
      </c>
      <c r="F1402" s="15" t="s">
        <v>365</v>
      </c>
      <c r="N1402" s="21" t="s">
        <v>96</v>
      </c>
      <c r="O1402" s="21" t="s">
        <v>372</v>
      </c>
      <c r="Q1402" s="21" t="s">
        <v>344</v>
      </c>
      <c r="R1402" s="22">
        <v>45883</v>
      </c>
      <c r="W1402">
        <f>COUNTIF(セゾン投信!U:U,B1402)</f>
        <v>0</v>
      </c>
    </row>
    <row r="1403" spans="1:26" ht="24.95" hidden="1" customHeight="1" x14ac:dyDescent="0.4">
      <c r="A1403" s="17" t="s">
        <v>65</v>
      </c>
      <c r="B1403" s="15" t="s">
        <v>355</v>
      </c>
      <c r="C1403" s="16" t="s">
        <v>31</v>
      </c>
      <c r="D1403" s="16" t="s">
        <v>31</v>
      </c>
      <c r="E1403" s="15" t="s">
        <v>32</v>
      </c>
      <c r="F1403" s="15" t="s">
        <v>356</v>
      </c>
      <c r="N1403" s="21" t="s">
        <v>96</v>
      </c>
      <c r="O1403" s="21" t="s">
        <v>360</v>
      </c>
      <c r="Q1403" s="21" t="s">
        <v>344</v>
      </c>
      <c r="R1403" s="22">
        <v>45847</v>
      </c>
      <c r="W1403">
        <f>COUNTIF(セゾン投信!U:U,B1403)</f>
        <v>1</v>
      </c>
    </row>
    <row r="1404" spans="1:26" ht="24.95" hidden="1" customHeight="1" x14ac:dyDescent="0.4">
      <c r="A1404" s="17" t="s">
        <v>65</v>
      </c>
      <c r="B1404" s="15" t="s">
        <v>171</v>
      </c>
      <c r="C1404" s="16" t="s">
        <v>31</v>
      </c>
      <c r="D1404" s="16" t="s">
        <v>31</v>
      </c>
      <c r="E1404" s="15" t="s">
        <v>32</v>
      </c>
      <c r="F1404" s="15" t="s">
        <v>314</v>
      </c>
      <c r="N1404" s="21" t="s">
        <v>96</v>
      </c>
      <c r="O1404" s="21" t="s">
        <v>336</v>
      </c>
      <c r="Q1404" s="21" t="s">
        <v>344</v>
      </c>
      <c r="R1404" s="22">
        <v>45756</v>
      </c>
      <c r="W1404">
        <f>COUNTIF(セゾン投信!U:U,B1404)</f>
        <v>0</v>
      </c>
    </row>
    <row r="1405" spans="1:26" ht="24.95" hidden="1" customHeight="1" x14ac:dyDescent="0.4">
      <c r="A1405" s="17" t="s">
        <v>65</v>
      </c>
      <c r="B1405" s="15" t="s">
        <v>123</v>
      </c>
      <c r="C1405" s="16" t="s">
        <v>31</v>
      </c>
      <c r="D1405" s="16" t="s">
        <v>31</v>
      </c>
      <c r="E1405" s="15" t="s">
        <v>32</v>
      </c>
      <c r="F1405" s="15" t="s">
        <v>170</v>
      </c>
      <c r="N1405" s="21" t="s">
        <v>96</v>
      </c>
      <c r="O1405" s="21" t="s">
        <v>337</v>
      </c>
      <c r="Q1405" s="21" t="s">
        <v>344</v>
      </c>
      <c r="R1405" s="22">
        <v>45814</v>
      </c>
      <c r="W1405">
        <f>COUNTIF(セゾン投信!U:U,B1405)</f>
        <v>0</v>
      </c>
    </row>
    <row r="1406" spans="1:26" ht="24.95" hidden="1" customHeight="1" x14ac:dyDescent="0.4">
      <c r="A1406" s="17" t="s">
        <v>65</v>
      </c>
      <c r="B1406" s="15" t="s">
        <v>37</v>
      </c>
      <c r="C1406" s="16" t="s">
        <v>31</v>
      </c>
      <c r="D1406" s="16" t="s">
        <v>31</v>
      </c>
      <c r="E1406" s="15" t="s">
        <v>32</v>
      </c>
      <c r="F1406" s="15" t="s">
        <v>212</v>
      </c>
      <c r="N1406" s="21" t="s">
        <v>96</v>
      </c>
      <c r="O1406" s="13" t="s">
        <v>349</v>
      </c>
      <c r="Q1406" s="21" t="s">
        <v>344</v>
      </c>
      <c r="R1406" s="22">
        <v>45814</v>
      </c>
      <c r="W1406">
        <f>COUNTIF(セゾン投信!U:U,B1406)</f>
        <v>1</v>
      </c>
      <c r="Z1406" t="s">
        <v>432</v>
      </c>
    </row>
    <row r="1407" spans="1:26" ht="24.95" hidden="1" customHeight="1" x14ac:dyDescent="0.4">
      <c r="A1407" s="17" t="s">
        <v>65</v>
      </c>
      <c r="B1407" s="15" t="s">
        <v>225</v>
      </c>
      <c r="C1407" s="16" t="s">
        <v>31</v>
      </c>
      <c r="D1407" s="16" t="s">
        <v>31</v>
      </c>
      <c r="E1407" s="15" t="s">
        <v>32</v>
      </c>
      <c r="F1407" s="15" t="s">
        <v>314</v>
      </c>
      <c r="N1407" s="21" t="s">
        <v>96</v>
      </c>
      <c r="O1407" s="21" t="s">
        <v>336</v>
      </c>
      <c r="Q1407" s="21" t="s">
        <v>344</v>
      </c>
      <c r="R1407" s="22">
        <v>45756</v>
      </c>
      <c r="W1407">
        <f>COUNTIF(セゾン投信!U:U,B1407)</f>
        <v>0</v>
      </c>
    </row>
    <row r="1408" spans="1:26" ht="24.95" hidden="1" customHeight="1" x14ac:dyDescent="0.4">
      <c r="A1408" s="17" t="s">
        <v>65</v>
      </c>
      <c r="B1408" s="15" t="s">
        <v>117</v>
      </c>
      <c r="C1408" s="16" t="s">
        <v>31</v>
      </c>
      <c r="D1408" s="16" t="s">
        <v>31</v>
      </c>
      <c r="E1408" s="15" t="s">
        <v>32</v>
      </c>
      <c r="F1408" s="15" t="s">
        <v>356</v>
      </c>
      <c r="N1408" s="21" t="s">
        <v>96</v>
      </c>
      <c r="O1408" s="21" t="s">
        <v>360</v>
      </c>
      <c r="Q1408" s="21" t="s">
        <v>344</v>
      </c>
      <c r="R1408" s="22">
        <v>45847</v>
      </c>
      <c r="W1408">
        <f>COUNTIF(セゾン投信!U:U,B1408)</f>
        <v>0</v>
      </c>
    </row>
    <row r="1409" spans="1:23" ht="24.95" hidden="1" customHeight="1" x14ac:dyDescent="0.4">
      <c r="A1409" s="17" t="s">
        <v>65</v>
      </c>
      <c r="B1409" s="15" t="s">
        <v>126</v>
      </c>
      <c r="C1409" s="16" t="s">
        <v>31</v>
      </c>
      <c r="D1409" s="16" t="s">
        <v>31</v>
      </c>
      <c r="E1409" s="15" t="s">
        <v>32</v>
      </c>
      <c r="F1409" s="15" t="s">
        <v>365</v>
      </c>
      <c r="N1409" s="21" t="s">
        <v>374</v>
      </c>
      <c r="O1409" s="21" t="s">
        <v>373</v>
      </c>
      <c r="Q1409" s="21" t="s">
        <v>344</v>
      </c>
      <c r="R1409" s="22">
        <v>45883</v>
      </c>
      <c r="W1409">
        <f>COUNTIF(セゾン投信!U:U,B1409)</f>
        <v>0</v>
      </c>
    </row>
    <row r="1410" spans="1:23" ht="24.95" hidden="1" customHeight="1" x14ac:dyDescent="0.4">
      <c r="A1410" s="17" t="s">
        <v>65</v>
      </c>
      <c r="B1410" s="15" t="s">
        <v>226</v>
      </c>
      <c r="C1410" s="16" t="s">
        <v>31</v>
      </c>
      <c r="D1410" s="16" t="s">
        <v>31</v>
      </c>
      <c r="E1410" s="15" t="s">
        <v>32</v>
      </c>
      <c r="F1410" s="15" t="s">
        <v>314</v>
      </c>
      <c r="N1410" s="21" t="s">
        <v>96</v>
      </c>
      <c r="O1410" s="21" t="s">
        <v>336</v>
      </c>
      <c r="Q1410" s="21" t="s">
        <v>344</v>
      </c>
      <c r="R1410" s="22">
        <v>45756</v>
      </c>
      <c r="W1410">
        <f>COUNTIF(セゾン投信!U:U,B1410)</f>
        <v>0</v>
      </c>
    </row>
    <row r="1411" spans="1:23" ht="24.95" hidden="1" customHeight="1" x14ac:dyDescent="0.4">
      <c r="A1411" s="17" t="s">
        <v>65</v>
      </c>
      <c r="B1411" s="15" t="s">
        <v>318</v>
      </c>
      <c r="C1411" s="16" t="s">
        <v>31</v>
      </c>
      <c r="D1411" s="16" t="s">
        <v>31</v>
      </c>
      <c r="E1411" s="15" t="s">
        <v>32</v>
      </c>
      <c r="F1411" s="15" t="s">
        <v>314</v>
      </c>
      <c r="N1411" s="21" t="s">
        <v>96</v>
      </c>
      <c r="O1411" s="21" t="s">
        <v>337</v>
      </c>
      <c r="Q1411" s="21" t="s">
        <v>344</v>
      </c>
      <c r="R1411" s="22">
        <v>45756</v>
      </c>
      <c r="W1411">
        <f>COUNTIF(セゾン投信!U:U,B1411)</f>
        <v>0</v>
      </c>
    </row>
    <row r="1412" spans="1:23" ht="24.95" hidden="1" customHeight="1" x14ac:dyDescent="0.4">
      <c r="A1412" s="17" t="s">
        <v>65</v>
      </c>
      <c r="B1412" s="15" t="s">
        <v>118</v>
      </c>
      <c r="C1412" s="16" t="s">
        <v>31</v>
      </c>
      <c r="D1412" s="16" t="s">
        <v>31</v>
      </c>
      <c r="E1412" s="15" t="s">
        <v>32</v>
      </c>
      <c r="F1412" s="15" t="s">
        <v>314</v>
      </c>
      <c r="N1412" s="21" t="s">
        <v>96</v>
      </c>
      <c r="O1412" s="21" t="s">
        <v>337</v>
      </c>
      <c r="Q1412" s="21" t="s">
        <v>344</v>
      </c>
      <c r="R1412" s="22">
        <v>45756</v>
      </c>
      <c r="W1412">
        <f>COUNTIF(セゾン投信!U:U,B1412)</f>
        <v>0</v>
      </c>
    </row>
    <row r="1413" spans="1:23" ht="24.95" hidden="1" customHeight="1" x14ac:dyDescent="0.4">
      <c r="A1413" s="17" t="s">
        <v>65</v>
      </c>
      <c r="B1413" s="15" t="s">
        <v>319</v>
      </c>
      <c r="C1413" s="16" t="s">
        <v>31</v>
      </c>
      <c r="D1413" s="16" t="s">
        <v>31</v>
      </c>
      <c r="E1413" s="15" t="s">
        <v>32</v>
      </c>
      <c r="F1413" s="15" t="s">
        <v>314</v>
      </c>
      <c r="N1413" s="21" t="s">
        <v>96</v>
      </c>
      <c r="O1413" s="21" t="s">
        <v>337</v>
      </c>
      <c r="Q1413" s="21" t="s">
        <v>344</v>
      </c>
      <c r="R1413" s="22">
        <v>45756</v>
      </c>
      <c r="W1413">
        <f>COUNTIF(セゾン投信!U:U,B1413)</f>
        <v>0</v>
      </c>
    </row>
    <row r="1414" spans="1:23" ht="24.95" hidden="1" customHeight="1" x14ac:dyDescent="0.4">
      <c r="A1414" s="17" t="s">
        <v>65</v>
      </c>
      <c r="B1414" s="15" t="s">
        <v>227</v>
      </c>
      <c r="C1414" s="16" t="s">
        <v>31</v>
      </c>
      <c r="D1414" s="16" t="s">
        <v>31</v>
      </c>
      <c r="E1414" s="15" t="s">
        <v>32</v>
      </c>
      <c r="F1414" s="15" t="s">
        <v>314</v>
      </c>
      <c r="N1414" s="21" t="s">
        <v>96</v>
      </c>
      <c r="O1414" s="21" t="s">
        <v>336</v>
      </c>
      <c r="Q1414" s="21" t="s">
        <v>344</v>
      </c>
      <c r="R1414" s="22">
        <v>45756</v>
      </c>
      <c r="W1414">
        <f>COUNTIF(セゾン投信!U:U,B1414)</f>
        <v>0</v>
      </c>
    </row>
    <row r="1415" spans="1:23" ht="24.95" hidden="1" customHeight="1" x14ac:dyDescent="0.4">
      <c r="A1415" s="17" t="s">
        <v>65</v>
      </c>
      <c r="B1415" s="15" t="s">
        <v>228</v>
      </c>
      <c r="C1415" s="16" t="s">
        <v>31</v>
      </c>
      <c r="D1415" s="16" t="s">
        <v>31</v>
      </c>
      <c r="E1415" s="15" t="s">
        <v>32</v>
      </c>
      <c r="F1415" s="15" t="s">
        <v>314</v>
      </c>
      <c r="N1415" s="21" t="s">
        <v>96</v>
      </c>
      <c r="O1415" s="21" t="s">
        <v>336</v>
      </c>
      <c r="Q1415" s="21" t="s">
        <v>344</v>
      </c>
      <c r="R1415" s="22">
        <v>45756</v>
      </c>
      <c r="W1415">
        <f>COUNTIF(セゾン投信!U:U,B1415)</f>
        <v>0</v>
      </c>
    </row>
    <row r="1416" spans="1:23" ht="24.95" hidden="1" customHeight="1" x14ac:dyDescent="0.4">
      <c r="A1416" s="17" t="s">
        <v>65</v>
      </c>
      <c r="B1416" s="15" t="s">
        <v>229</v>
      </c>
      <c r="C1416" s="16" t="s">
        <v>31</v>
      </c>
      <c r="D1416" s="16" t="s">
        <v>31</v>
      </c>
      <c r="E1416" s="15" t="s">
        <v>32</v>
      </c>
      <c r="F1416" s="15" t="s">
        <v>314</v>
      </c>
      <c r="N1416" s="21" t="s">
        <v>96</v>
      </c>
      <c r="O1416" s="21" t="s">
        <v>336</v>
      </c>
      <c r="Q1416" s="21" t="s">
        <v>344</v>
      </c>
      <c r="R1416" s="22">
        <v>45756</v>
      </c>
      <c r="W1416">
        <f>COUNTIF(セゾン投信!U:U,B1416)</f>
        <v>0</v>
      </c>
    </row>
    <row r="1417" spans="1:23" ht="24.95" hidden="1" customHeight="1" x14ac:dyDescent="0.4">
      <c r="A1417" s="17" t="s">
        <v>65</v>
      </c>
      <c r="B1417" s="15" t="s">
        <v>230</v>
      </c>
      <c r="C1417" s="16" t="s">
        <v>31</v>
      </c>
      <c r="D1417" s="16" t="s">
        <v>31</v>
      </c>
      <c r="E1417" s="15" t="s">
        <v>32</v>
      </c>
      <c r="F1417" s="15" t="s">
        <v>314</v>
      </c>
      <c r="N1417" s="21" t="s">
        <v>96</v>
      </c>
      <c r="O1417" s="21" t="s">
        <v>336</v>
      </c>
      <c r="Q1417" s="21" t="s">
        <v>344</v>
      </c>
      <c r="R1417" s="22">
        <v>45756</v>
      </c>
      <c r="W1417">
        <f>COUNTIF(セゾン投信!U:U,B1417)</f>
        <v>0</v>
      </c>
    </row>
    <row r="1418" spans="1:23" ht="24.95" hidden="1" customHeight="1" x14ac:dyDescent="0.4">
      <c r="A1418" s="17" t="s">
        <v>65</v>
      </c>
      <c r="B1418" s="15" t="s">
        <v>231</v>
      </c>
      <c r="C1418" s="16" t="s">
        <v>31</v>
      </c>
      <c r="D1418" s="16" t="s">
        <v>31</v>
      </c>
      <c r="E1418" s="15" t="s">
        <v>32</v>
      </c>
      <c r="F1418" s="15" t="s">
        <v>314</v>
      </c>
      <c r="N1418" s="21" t="s">
        <v>96</v>
      </c>
      <c r="O1418" s="21" t="s">
        <v>336</v>
      </c>
      <c r="Q1418" s="21" t="s">
        <v>344</v>
      </c>
      <c r="R1418" s="22">
        <v>45756</v>
      </c>
      <c r="W1418">
        <f>COUNTIF(セゾン投信!U:U,B1418)</f>
        <v>0</v>
      </c>
    </row>
    <row r="1419" spans="1:23" ht="24.95" hidden="1" customHeight="1" x14ac:dyDescent="0.4">
      <c r="A1419" s="17" t="s">
        <v>65</v>
      </c>
      <c r="B1419" s="15" t="s">
        <v>232</v>
      </c>
      <c r="C1419" s="16" t="s">
        <v>31</v>
      </c>
      <c r="D1419" s="16" t="s">
        <v>31</v>
      </c>
      <c r="E1419" s="15" t="s">
        <v>32</v>
      </c>
      <c r="F1419" s="15" t="s">
        <v>314</v>
      </c>
      <c r="N1419" s="21" t="s">
        <v>96</v>
      </c>
      <c r="O1419" s="21" t="s">
        <v>336</v>
      </c>
      <c r="Q1419" s="21" t="s">
        <v>344</v>
      </c>
      <c r="R1419" s="22">
        <v>45756</v>
      </c>
      <c r="W1419">
        <f>COUNTIF(セゾン投信!U:U,B1419)</f>
        <v>0</v>
      </c>
    </row>
    <row r="1420" spans="1:23" ht="24.95" hidden="1" customHeight="1" x14ac:dyDescent="0.4">
      <c r="A1420" s="17" t="s">
        <v>65</v>
      </c>
      <c r="B1420" s="15" t="s">
        <v>233</v>
      </c>
      <c r="C1420" s="16" t="s">
        <v>31</v>
      </c>
      <c r="D1420" s="16" t="s">
        <v>31</v>
      </c>
      <c r="E1420" s="15" t="s">
        <v>32</v>
      </c>
      <c r="F1420" s="15" t="s">
        <v>314</v>
      </c>
      <c r="N1420" s="21" t="s">
        <v>96</v>
      </c>
      <c r="O1420" s="21" t="s">
        <v>336</v>
      </c>
      <c r="Q1420" s="21" t="s">
        <v>344</v>
      </c>
      <c r="R1420" s="22">
        <v>45756</v>
      </c>
      <c r="W1420">
        <f>COUNTIF(セゾン投信!U:U,B1420)</f>
        <v>0</v>
      </c>
    </row>
    <row r="1421" spans="1:23" ht="24.95" hidden="1" customHeight="1" x14ac:dyDescent="0.4">
      <c r="A1421" s="17" t="s">
        <v>65</v>
      </c>
      <c r="B1421" s="15" t="s">
        <v>234</v>
      </c>
      <c r="C1421" s="16" t="s">
        <v>31</v>
      </c>
      <c r="D1421" s="16" t="s">
        <v>31</v>
      </c>
      <c r="E1421" s="15" t="s">
        <v>32</v>
      </c>
      <c r="F1421" s="15" t="s">
        <v>314</v>
      </c>
      <c r="N1421" s="21" t="s">
        <v>96</v>
      </c>
      <c r="O1421" s="21" t="s">
        <v>336</v>
      </c>
      <c r="Q1421" s="21" t="s">
        <v>344</v>
      </c>
      <c r="R1421" s="22">
        <v>45756</v>
      </c>
      <c r="W1421">
        <f>COUNTIF(セゾン投信!U:U,B1421)</f>
        <v>0</v>
      </c>
    </row>
    <row r="1422" spans="1:23" ht="24.95" hidden="1" customHeight="1" x14ac:dyDescent="0.4">
      <c r="A1422" s="17" t="s">
        <v>65</v>
      </c>
      <c r="B1422" s="15" t="s">
        <v>235</v>
      </c>
      <c r="C1422" s="16" t="s">
        <v>31</v>
      </c>
      <c r="D1422" s="16" t="s">
        <v>31</v>
      </c>
      <c r="E1422" s="15" t="s">
        <v>32</v>
      </c>
      <c r="F1422" s="15" t="s">
        <v>314</v>
      </c>
      <c r="N1422" s="21" t="s">
        <v>96</v>
      </c>
      <c r="O1422" s="21" t="s">
        <v>336</v>
      </c>
      <c r="Q1422" s="21" t="s">
        <v>344</v>
      </c>
      <c r="R1422" s="22">
        <v>45756</v>
      </c>
      <c r="W1422">
        <f>COUNTIF(セゾン投信!U:U,B1422)</f>
        <v>0</v>
      </c>
    </row>
    <row r="1423" spans="1:23" ht="24.95" hidden="1" customHeight="1" x14ac:dyDescent="0.4">
      <c r="A1423" s="17" t="s">
        <v>65</v>
      </c>
      <c r="B1423" s="15" t="s">
        <v>236</v>
      </c>
      <c r="C1423" s="16" t="s">
        <v>31</v>
      </c>
      <c r="D1423" s="16" t="s">
        <v>31</v>
      </c>
      <c r="E1423" s="15" t="s">
        <v>32</v>
      </c>
      <c r="F1423" s="15" t="s">
        <v>314</v>
      </c>
      <c r="N1423" s="21" t="s">
        <v>96</v>
      </c>
      <c r="O1423" s="21" t="s">
        <v>336</v>
      </c>
      <c r="Q1423" s="21" t="s">
        <v>344</v>
      </c>
      <c r="R1423" s="22">
        <v>45756</v>
      </c>
      <c r="W1423">
        <f>COUNTIF(セゾン投信!U:U,B1423)</f>
        <v>0</v>
      </c>
    </row>
    <row r="1424" spans="1:23" ht="24.95" hidden="1" customHeight="1" x14ac:dyDescent="0.4">
      <c r="A1424" s="17" t="s">
        <v>65</v>
      </c>
      <c r="B1424" s="15" t="s">
        <v>237</v>
      </c>
      <c r="C1424" s="16" t="s">
        <v>31</v>
      </c>
      <c r="D1424" s="16" t="s">
        <v>31</v>
      </c>
      <c r="E1424" s="15" t="s">
        <v>32</v>
      </c>
      <c r="F1424" s="15" t="s">
        <v>314</v>
      </c>
      <c r="N1424" s="21" t="s">
        <v>96</v>
      </c>
      <c r="O1424" s="21" t="s">
        <v>336</v>
      </c>
      <c r="Q1424" s="21" t="s">
        <v>344</v>
      </c>
      <c r="R1424" s="22">
        <v>45756</v>
      </c>
      <c r="W1424">
        <f>COUNTIF(セゾン投信!U:U,B1424)</f>
        <v>0</v>
      </c>
    </row>
    <row r="1425" spans="1:23" ht="24.95" hidden="1" customHeight="1" x14ac:dyDescent="0.4">
      <c r="A1425" s="17" t="s">
        <v>65</v>
      </c>
      <c r="B1425" s="15" t="s">
        <v>346</v>
      </c>
      <c r="C1425" s="16" t="s">
        <v>31</v>
      </c>
      <c r="D1425" s="16" t="s">
        <v>31</v>
      </c>
      <c r="E1425" s="15" t="s">
        <v>32</v>
      </c>
      <c r="F1425" s="15" t="s">
        <v>356</v>
      </c>
      <c r="N1425" s="21" t="s">
        <v>96</v>
      </c>
      <c r="O1425" s="21" t="s">
        <v>360</v>
      </c>
      <c r="Q1425" s="21" t="s">
        <v>344</v>
      </c>
      <c r="R1425" s="22">
        <v>45847</v>
      </c>
      <c r="W1425">
        <f>COUNTIF(セゾン投信!U:U,B1425)</f>
        <v>0</v>
      </c>
    </row>
    <row r="1426" spans="1:23" ht="24.95" hidden="1" customHeight="1" x14ac:dyDescent="0.4">
      <c r="A1426" s="17" t="s">
        <v>65</v>
      </c>
      <c r="B1426" s="15" t="s">
        <v>357</v>
      </c>
      <c r="C1426" s="16" t="s">
        <v>31</v>
      </c>
      <c r="D1426" s="16" t="s">
        <v>31</v>
      </c>
      <c r="E1426" s="15" t="s">
        <v>32</v>
      </c>
      <c r="F1426" s="15" t="s">
        <v>356</v>
      </c>
      <c r="N1426" s="21" t="s">
        <v>96</v>
      </c>
      <c r="O1426" s="21" t="s">
        <v>360</v>
      </c>
      <c r="Q1426" s="21" t="s">
        <v>344</v>
      </c>
      <c r="R1426" s="22">
        <v>45847</v>
      </c>
      <c r="W1426">
        <f>COUNTIF(セゾン投信!U:U,B1426)</f>
        <v>0</v>
      </c>
    </row>
    <row r="1427" spans="1:23" ht="24.95" hidden="1" customHeight="1" x14ac:dyDescent="0.4">
      <c r="A1427" s="17" t="s">
        <v>65</v>
      </c>
      <c r="B1427" s="15" t="s">
        <v>347</v>
      </c>
      <c r="C1427" s="16" t="s">
        <v>31</v>
      </c>
      <c r="D1427" s="16" t="s">
        <v>31</v>
      </c>
      <c r="E1427" s="15" t="s">
        <v>32</v>
      </c>
      <c r="F1427" s="15" t="s">
        <v>356</v>
      </c>
      <c r="N1427" s="21" t="s">
        <v>96</v>
      </c>
      <c r="O1427" s="21" t="s">
        <v>360</v>
      </c>
      <c r="Q1427" s="21" t="s">
        <v>344</v>
      </c>
      <c r="R1427" s="22">
        <v>45847</v>
      </c>
      <c r="W1427">
        <f>COUNTIF(セゾン投信!U:U,B1427)</f>
        <v>0</v>
      </c>
    </row>
    <row r="1428" spans="1:23" ht="24.95" hidden="1" customHeight="1" x14ac:dyDescent="0.4">
      <c r="A1428" s="17" t="s">
        <v>65</v>
      </c>
      <c r="B1428" s="15" t="s">
        <v>320</v>
      </c>
      <c r="C1428" s="16" t="s">
        <v>31</v>
      </c>
      <c r="D1428" s="16" t="s">
        <v>31</v>
      </c>
      <c r="E1428" s="15" t="s">
        <v>32</v>
      </c>
      <c r="F1428" s="15" t="s">
        <v>314</v>
      </c>
      <c r="N1428" s="21" t="s">
        <v>96</v>
      </c>
      <c r="O1428" s="21" t="s">
        <v>337</v>
      </c>
      <c r="Q1428" s="21" t="s">
        <v>344</v>
      </c>
      <c r="R1428" s="22">
        <v>45756</v>
      </c>
      <c r="W1428">
        <f>COUNTIF(セゾン投信!U:U,B1428)</f>
        <v>0</v>
      </c>
    </row>
    <row r="1429" spans="1:23" ht="24.95" hidden="1" customHeight="1" x14ac:dyDescent="0.4">
      <c r="A1429" s="17" t="s">
        <v>65</v>
      </c>
      <c r="B1429" s="15" t="s">
        <v>132</v>
      </c>
      <c r="C1429" s="16" t="s">
        <v>31</v>
      </c>
      <c r="D1429" s="16" t="s">
        <v>31</v>
      </c>
      <c r="E1429" s="15" t="s">
        <v>32</v>
      </c>
      <c r="F1429" s="15" t="s">
        <v>314</v>
      </c>
      <c r="N1429" s="21" t="s">
        <v>96</v>
      </c>
      <c r="O1429" s="21" t="s">
        <v>337</v>
      </c>
      <c r="Q1429" s="21" t="s">
        <v>344</v>
      </c>
      <c r="R1429" s="22">
        <v>45756</v>
      </c>
      <c r="W1429">
        <f>COUNTIF(セゾン投信!U:U,B1429)</f>
        <v>0</v>
      </c>
    </row>
    <row r="1430" spans="1:23" ht="24.95" hidden="1" customHeight="1" x14ac:dyDescent="0.4">
      <c r="A1430" s="17" t="s">
        <v>65</v>
      </c>
      <c r="B1430" s="15" t="s">
        <v>321</v>
      </c>
      <c r="C1430" s="16" t="s">
        <v>24</v>
      </c>
      <c r="D1430" s="16" t="s">
        <v>31</v>
      </c>
      <c r="E1430" s="15" t="s">
        <v>35</v>
      </c>
      <c r="F1430" s="15" t="s">
        <v>314</v>
      </c>
      <c r="N1430" s="21" t="s">
        <v>96</v>
      </c>
      <c r="O1430" s="21" t="s">
        <v>337</v>
      </c>
      <c r="Q1430" s="21" t="s">
        <v>344</v>
      </c>
      <c r="R1430" s="22">
        <v>45756</v>
      </c>
      <c r="W1430">
        <f>COUNTIF(セゾン投信!U:U,B1430)</f>
        <v>0</v>
      </c>
    </row>
    <row r="1431" spans="1:23" ht="24.95" hidden="1" customHeight="1" x14ac:dyDescent="0.4">
      <c r="A1431" s="17" t="s">
        <v>65</v>
      </c>
      <c r="B1431" s="15" t="s">
        <v>322</v>
      </c>
      <c r="C1431" s="16" t="s">
        <v>24</v>
      </c>
      <c r="D1431" s="16" t="s">
        <v>31</v>
      </c>
      <c r="E1431" s="15" t="s">
        <v>35</v>
      </c>
      <c r="F1431" s="15" t="s">
        <v>314</v>
      </c>
      <c r="N1431" s="21" t="s">
        <v>96</v>
      </c>
      <c r="O1431" s="21" t="s">
        <v>337</v>
      </c>
      <c r="Q1431" s="21" t="s">
        <v>344</v>
      </c>
      <c r="R1431" s="22">
        <v>45756</v>
      </c>
      <c r="W1431">
        <f>COUNTIF(セゾン投信!U:U,B1431)</f>
        <v>0</v>
      </c>
    </row>
    <row r="1432" spans="1:23" ht="24.95" hidden="1" customHeight="1" x14ac:dyDescent="0.4">
      <c r="A1432" s="17" t="s">
        <v>65</v>
      </c>
      <c r="B1432" s="15" t="s">
        <v>323</v>
      </c>
      <c r="C1432" s="16" t="s">
        <v>24</v>
      </c>
      <c r="D1432" s="16" t="s">
        <v>31</v>
      </c>
      <c r="E1432" s="15" t="s">
        <v>35</v>
      </c>
      <c r="F1432" s="15" t="s">
        <v>314</v>
      </c>
      <c r="N1432" s="21" t="s">
        <v>96</v>
      </c>
      <c r="O1432" s="21" t="s">
        <v>337</v>
      </c>
      <c r="Q1432" s="21" t="s">
        <v>344</v>
      </c>
      <c r="R1432" s="22">
        <v>45756</v>
      </c>
      <c r="W1432">
        <f>COUNTIF(セゾン投信!U:U,B1432)</f>
        <v>0</v>
      </c>
    </row>
    <row r="1433" spans="1:23" ht="24.95" hidden="1" customHeight="1" x14ac:dyDescent="0.4">
      <c r="A1433" s="17" t="s">
        <v>65</v>
      </c>
      <c r="B1433" s="15" t="s">
        <v>238</v>
      </c>
      <c r="C1433" s="16" t="s">
        <v>31</v>
      </c>
      <c r="D1433" s="16" t="s">
        <v>31</v>
      </c>
      <c r="E1433" s="15" t="s">
        <v>32</v>
      </c>
      <c r="F1433" s="15" t="s">
        <v>314</v>
      </c>
      <c r="N1433" s="21" t="s">
        <v>96</v>
      </c>
      <c r="O1433" s="21" t="s">
        <v>336</v>
      </c>
      <c r="Q1433" s="21" t="s">
        <v>344</v>
      </c>
      <c r="R1433" s="22">
        <v>45756</v>
      </c>
      <c r="W1433">
        <f>COUNTIF(セゾン投信!U:U,B1433)</f>
        <v>0</v>
      </c>
    </row>
    <row r="1434" spans="1:23" ht="24.95" hidden="1" customHeight="1" x14ac:dyDescent="0.4">
      <c r="A1434" s="17" t="s">
        <v>65</v>
      </c>
      <c r="B1434" s="15" t="s">
        <v>239</v>
      </c>
      <c r="C1434" s="16" t="s">
        <v>31</v>
      </c>
      <c r="D1434" s="16" t="s">
        <v>31</v>
      </c>
      <c r="E1434" s="15" t="s">
        <v>32</v>
      </c>
      <c r="F1434" s="15" t="s">
        <v>314</v>
      </c>
      <c r="N1434" s="21" t="s">
        <v>96</v>
      </c>
      <c r="O1434" s="21" t="s">
        <v>336</v>
      </c>
      <c r="Q1434" s="21" t="s">
        <v>344</v>
      </c>
      <c r="R1434" s="22">
        <v>45756</v>
      </c>
      <c r="W1434">
        <f>COUNTIF(セゾン投信!U:U,B1434)</f>
        <v>0</v>
      </c>
    </row>
    <row r="1435" spans="1:23" ht="24.95" hidden="1" customHeight="1" x14ac:dyDescent="0.4">
      <c r="A1435" s="17" t="s">
        <v>65</v>
      </c>
      <c r="B1435" s="15" t="s">
        <v>240</v>
      </c>
      <c r="C1435" s="16" t="s">
        <v>31</v>
      </c>
      <c r="D1435" s="16" t="s">
        <v>31</v>
      </c>
      <c r="E1435" s="15" t="s">
        <v>32</v>
      </c>
      <c r="F1435" s="15" t="s">
        <v>314</v>
      </c>
      <c r="N1435" s="21" t="s">
        <v>96</v>
      </c>
      <c r="O1435" s="21" t="s">
        <v>336</v>
      </c>
      <c r="Q1435" s="21" t="s">
        <v>344</v>
      </c>
      <c r="R1435" s="22">
        <v>45756</v>
      </c>
      <c r="W1435">
        <f>COUNTIF(セゾン投信!U:U,B1435)</f>
        <v>0</v>
      </c>
    </row>
    <row r="1436" spans="1:23" ht="24.95" hidden="1" customHeight="1" x14ac:dyDescent="0.4">
      <c r="A1436" s="17" t="s">
        <v>65</v>
      </c>
      <c r="B1436" s="15" t="s">
        <v>241</v>
      </c>
      <c r="C1436" s="16" t="s">
        <v>31</v>
      </c>
      <c r="D1436" s="16" t="s">
        <v>31</v>
      </c>
      <c r="E1436" s="15" t="s">
        <v>32</v>
      </c>
      <c r="F1436" s="15" t="s">
        <v>314</v>
      </c>
      <c r="N1436" s="21" t="s">
        <v>96</v>
      </c>
      <c r="O1436" s="21" t="s">
        <v>336</v>
      </c>
      <c r="Q1436" s="21" t="s">
        <v>344</v>
      </c>
      <c r="R1436" s="22">
        <v>45756</v>
      </c>
      <c r="W1436">
        <f>COUNTIF(セゾン投信!U:U,B1436)</f>
        <v>0</v>
      </c>
    </row>
    <row r="1437" spans="1:23" ht="24.95" hidden="1" customHeight="1" x14ac:dyDescent="0.4">
      <c r="A1437" s="17" t="s">
        <v>65</v>
      </c>
      <c r="B1437" s="15" t="s">
        <v>242</v>
      </c>
      <c r="C1437" s="16" t="s">
        <v>31</v>
      </c>
      <c r="D1437" s="16" t="s">
        <v>31</v>
      </c>
      <c r="E1437" s="15" t="s">
        <v>32</v>
      </c>
      <c r="F1437" s="15" t="s">
        <v>314</v>
      </c>
      <c r="N1437" s="21" t="s">
        <v>96</v>
      </c>
      <c r="O1437" s="21" t="s">
        <v>336</v>
      </c>
      <c r="Q1437" s="21" t="s">
        <v>344</v>
      </c>
      <c r="R1437" s="22">
        <v>45756</v>
      </c>
      <c r="W1437">
        <f>COUNTIF(セゾン投信!U:U,B1437)</f>
        <v>0</v>
      </c>
    </row>
    <row r="1438" spans="1:23" ht="24.95" hidden="1" customHeight="1" x14ac:dyDescent="0.4">
      <c r="A1438" s="17" t="s">
        <v>65</v>
      </c>
      <c r="B1438" s="15" t="s">
        <v>243</v>
      </c>
      <c r="C1438" s="16" t="s">
        <v>31</v>
      </c>
      <c r="D1438" s="16" t="s">
        <v>31</v>
      </c>
      <c r="E1438" s="15" t="s">
        <v>32</v>
      </c>
      <c r="F1438" s="15" t="s">
        <v>314</v>
      </c>
      <c r="N1438" s="21" t="s">
        <v>96</v>
      </c>
      <c r="O1438" s="21" t="s">
        <v>336</v>
      </c>
      <c r="Q1438" s="21" t="s">
        <v>344</v>
      </c>
      <c r="R1438" s="22">
        <v>45756</v>
      </c>
      <c r="W1438">
        <f>COUNTIF(セゾン投信!U:U,B1438)</f>
        <v>0</v>
      </c>
    </row>
    <row r="1439" spans="1:23" ht="24.95" hidden="1" customHeight="1" x14ac:dyDescent="0.4">
      <c r="A1439" s="17" t="s">
        <v>65</v>
      </c>
      <c r="B1439" s="15" t="s">
        <v>244</v>
      </c>
      <c r="C1439" s="16" t="s">
        <v>31</v>
      </c>
      <c r="D1439" s="16" t="s">
        <v>31</v>
      </c>
      <c r="E1439" s="15" t="s">
        <v>32</v>
      </c>
      <c r="F1439" s="15" t="s">
        <v>314</v>
      </c>
      <c r="N1439" s="21" t="s">
        <v>96</v>
      </c>
      <c r="O1439" s="21" t="s">
        <v>336</v>
      </c>
      <c r="Q1439" s="21" t="s">
        <v>344</v>
      </c>
      <c r="R1439" s="22">
        <v>45756</v>
      </c>
      <c r="W1439">
        <f>COUNTIF(セゾン投信!U:U,B1439)</f>
        <v>0</v>
      </c>
    </row>
    <row r="1440" spans="1:23" ht="24.95" hidden="1" customHeight="1" x14ac:dyDescent="0.4">
      <c r="A1440" s="17" t="s">
        <v>65</v>
      </c>
      <c r="B1440" s="15" t="s">
        <v>245</v>
      </c>
      <c r="C1440" s="16" t="s">
        <v>31</v>
      </c>
      <c r="D1440" s="16" t="s">
        <v>31</v>
      </c>
      <c r="E1440" s="15" t="s">
        <v>32</v>
      </c>
      <c r="F1440" s="15" t="s">
        <v>314</v>
      </c>
      <c r="N1440" s="21" t="s">
        <v>96</v>
      </c>
      <c r="O1440" s="21" t="s">
        <v>336</v>
      </c>
      <c r="Q1440" s="21" t="s">
        <v>344</v>
      </c>
      <c r="R1440" s="22">
        <v>45756</v>
      </c>
      <c r="W1440">
        <f>COUNTIF(セゾン投信!U:U,B1440)</f>
        <v>0</v>
      </c>
    </row>
    <row r="1441" spans="1:23" ht="24.95" hidden="1" customHeight="1" x14ac:dyDescent="0.4">
      <c r="A1441" s="17" t="s">
        <v>65</v>
      </c>
      <c r="B1441" s="15" t="s">
        <v>246</v>
      </c>
      <c r="C1441" s="16" t="s">
        <v>31</v>
      </c>
      <c r="D1441" s="16" t="s">
        <v>31</v>
      </c>
      <c r="E1441" s="15" t="s">
        <v>32</v>
      </c>
      <c r="F1441" s="15" t="s">
        <v>314</v>
      </c>
      <c r="N1441" s="21" t="s">
        <v>96</v>
      </c>
      <c r="O1441" s="21" t="s">
        <v>336</v>
      </c>
      <c r="Q1441" s="21" t="s">
        <v>344</v>
      </c>
      <c r="R1441" s="22">
        <v>45756</v>
      </c>
      <c r="W1441">
        <f>COUNTIF(セゾン投信!U:U,B1441)</f>
        <v>0</v>
      </c>
    </row>
    <row r="1442" spans="1:23" ht="24.95" hidden="1" customHeight="1" x14ac:dyDescent="0.4">
      <c r="A1442" s="17" t="s">
        <v>65</v>
      </c>
      <c r="B1442" s="15" t="s">
        <v>247</v>
      </c>
      <c r="C1442" s="16" t="s">
        <v>31</v>
      </c>
      <c r="D1442" s="16" t="s">
        <v>31</v>
      </c>
      <c r="E1442" s="15" t="s">
        <v>32</v>
      </c>
      <c r="F1442" s="15" t="s">
        <v>314</v>
      </c>
      <c r="N1442" s="21" t="s">
        <v>96</v>
      </c>
      <c r="O1442" s="21" t="s">
        <v>336</v>
      </c>
      <c r="Q1442" s="21" t="s">
        <v>344</v>
      </c>
      <c r="R1442" s="22">
        <v>45756</v>
      </c>
      <c r="W1442">
        <f>COUNTIF(セゾン投信!U:U,B1442)</f>
        <v>0</v>
      </c>
    </row>
    <row r="1443" spans="1:23" ht="24.95" hidden="1" customHeight="1" x14ac:dyDescent="0.4">
      <c r="A1443" s="17" t="s">
        <v>65</v>
      </c>
      <c r="B1443" s="15" t="s">
        <v>248</v>
      </c>
      <c r="C1443" s="16" t="s">
        <v>31</v>
      </c>
      <c r="D1443" s="16" t="s">
        <v>31</v>
      </c>
      <c r="E1443" s="15" t="s">
        <v>32</v>
      </c>
      <c r="F1443" s="15" t="s">
        <v>314</v>
      </c>
      <c r="N1443" s="21" t="s">
        <v>96</v>
      </c>
      <c r="O1443" s="21" t="s">
        <v>336</v>
      </c>
      <c r="Q1443" s="21" t="s">
        <v>344</v>
      </c>
      <c r="R1443" s="22">
        <v>45756</v>
      </c>
      <c r="W1443">
        <f>COUNTIF(セゾン投信!U:U,B1443)</f>
        <v>0</v>
      </c>
    </row>
    <row r="1444" spans="1:23" ht="24.95" hidden="1" customHeight="1" x14ac:dyDescent="0.4">
      <c r="A1444" s="17" t="s">
        <v>65</v>
      </c>
      <c r="B1444" s="15" t="s">
        <v>249</v>
      </c>
      <c r="C1444" s="16" t="s">
        <v>31</v>
      </c>
      <c r="D1444" s="16" t="s">
        <v>31</v>
      </c>
      <c r="E1444" s="15" t="s">
        <v>32</v>
      </c>
      <c r="F1444" s="15" t="s">
        <v>314</v>
      </c>
      <c r="N1444" s="21" t="s">
        <v>96</v>
      </c>
      <c r="O1444" s="21" t="s">
        <v>336</v>
      </c>
      <c r="Q1444" s="21" t="s">
        <v>344</v>
      </c>
      <c r="R1444" s="22">
        <v>45756</v>
      </c>
      <c r="W1444">
        <f>COUNTIF(セゾン投信!U:U,B1444)</f>
        <v>0</v>
      </c>
    </row>
    <row r="1445" spans="1:23" ht="24.95" hidden="1" customHeight="1" x14ac:dyDescent="0.4">
      <c r="A1445" s="17" t="s">
        <v>65</v>
      </c>
      <c r="B1445" s="15" t="s">
        <v>250</v>
      </c>
      <c r="C1445" s="16" t="s">
        <v>31</v>
      </c>
      <c r="D1445" s="16" t="s">
        <v>31</v>
      </c>
      <c r="E1445" s="15" t="s">
        <v>32</v>
      </c>
      <c r="F1445" s="15" t="s">
        <v>314</v>
      </c>
      <c r="N1445" s="21" t="s">
        <v>96</v>
      </c>
      <c r="O1445" s="21" t="s">
        <v>336</v>
      </c>
      <c r="Q1445" s="21" t="s">
        <v>344</v>
      </c>
      <c r="R1445" s="22">
        <v>45756</v>
      </c>
      <c r="W1445">
        <f>COUNTIF(セゾン投信!U:U,B1445)</f>
        <v>0</v>
      </c>
    </row>
    <row r="1446" spans="1:23" ht="24.95" hidden="1" customHeight="1" x14ac:dyDescent="0.4">
      <c r="A1446" s="17" t="s">
        <v>65</v>
      </c>
      <c r="B1446" s="15" t="s">
        <v>251</v>
      </c>
      <c r="C1446" s="16" t="s">
        <v>31</v>
      </c>
      <c r="D1446" s="16" t="s">
        <v>31</v>
      </c>
      <c r="E1446" s="15" t="s">
        <v>32</v>
      </c>
      <c r="F1446" s="15" t="s">
        <v>314</v>
      </c>
      <c r="N1446" s="21" t="s">
        <v>96</v>
      </c>
      <c r="O1446" s="21" t="s">
        <v>336</v>
      </c>
      <c r="Q1446" s="21" t="s">
        <v>344</v>
      </c>
      <c r="R1446" s="22">
        <v>45756</v>
      </c>
      <c r="W1446">
        <f>COUNTIF(セゾン投信!U:U,B1446)</f>
        <v>0</v>
      </c>
    </row>
    <row r="1447" spans="1:23" ht="24.95" hidden="1" customHeight="1" x14ac:dyDescent="0.4">
      <c r="A1447" s="17" t="s">
        <v>65</v>
      </c>
      <c r="B1447" s="15" t="s">
        <v>341</v>
      </c>
      <c r="C1447" s="16" t="s">
        <v>31</v>
      </c>
      <c r="D1447" s="16" t="s">
        <v>31</v>
      </c>
      <c r="E1447" s="15" t="s">
        <v>32</v>
      </c>
      <c r="F1447" s="15" t="s">
        <v>340</v>
      </c>
      <c r="N1447" s="21" t="s">
        <v>96</v>
      </c>
      <c r="O1447" s="21" t="s">
        <v>345</v>
      </c>
      <c r="Q1447" s="21" t="s">
        <v>344</v>
      </c>
      <c r="R1447" s="22">
        <v>45784</v>
      </c>
      <c r="W1447">
        <f>COUNTIF(セゾン投信!U:U,B1447)</f>
        <v>0</v>
      </c>
    </row>
    <row r="1448" spans="1:23" ht="24.95" hidden="1" customHeight="1" x14ac:dyDescent="0.4">
      <c r="A1448" s="17" t="s">
        <v>65</v>
      </c>
      <c r="B1448" s="15" t="s">
        <v>252</v>
      </c>
      <c r="C1448" s="16" t="s">
        <v>31</v>
      </c>
      <c r="D1448" s="16" t="s">
        <v>31</v>
      </c>
      <c r="E1448" s="15" t="s">
        <v>32</v>
      </c>
      <c r="F1448" s="15" t="s">
        <v>314</v>
      </c>
      <c r="N1448" s="21" t="s">
        <v>96</v>
      </c>
      <c r="O1448" s="21" t="s">
        <v>336</v>
      </c>
      <c r="Q1448" s="21" t="s">
        <v>344</v>
      </c>
      <c r="R1448" s="22">
        <v>45756</v>
      </c>
      <c r="W1448">
        <f>COUNTIF(セゾン投信!U:U,B1448)</f>
        <v>0</v>
      </c>
    </row>
    <row r="1449" spans="1:23" ht="24.95" hidden="1" customHeight="1" x14ac:dyDescent="0.4">
      <c r="A1449" s="17" t="s">
        <v>65</v>
      </c>
      <c r="B1449" s="15" t="s">
        <v>253</v>
      </c>
      <c r="C1449" s="16" t="s">
        <v>31</v>
      </c>
      <c r="D1449" s="16" t="s">
        <v>31</v>
      </c>
      <c r="E1449" s="15" t="s">
        <v>32</v>
      </c>
      <c r="F1449" s="15" t="s">
        <v>314</v>
      </c>
      <c r="N1449" s="21" t="s">
        <v>96</v>
      </c>
      <c r="O1449" s="21" t="s">
        <v>336</v>
      </c>
      <c r="Q1449" s="21" t="s">
        <v>344</v>
      </c>
      <c r="R1449" s="22">
        <v>45756</v>
      </c>
      <c r="W1449">
        <f>COUNTIF(セゾン投信!U:U,B1449)</f>
        <v>0</v>
      </c>
    </row>
    <row r="1450" spans="1:23" ht="24.95" hidden="1" customHeight="1" x14ac:dyDescent="0.4">
      <c r="A1450" s="17" t="s">
        <v>65</v>
      </c>
      <c r="B1450" s="15" t="s">
        <v>254</v>
      </c>
      <c r="C1450" s="16" t="s">
        <v>31</v>
      </c>
      <c r="D1450" s="16" t="s">
        <v>31</v>
      </c>
      <c r="E1450" s="15" t="s">
        <v>32</v>
      </c>
      <c r="F1450" s="15" t="s">
        <v>314</v>
      </c>
      <c r="N1450" s="21" t="s">
        <v>96</v>
      </c>
      <c r="O1450" s="21" t="s">
        <v>336</v>
      </c>
      <c r="Q1450" s="21" t="s">
        <v>344</v>
      </c>
      <c r="R1450" s="22">
        <v>45756</v>
      </c>
      <c r="W1450">
        <f>COUNTIF(セゾン投信!U:U,B1450)</f>
        <v>0</v>
      </c>
    </row>
    <row r="1451" spans="1:23" ht="24.95" hidden="1" customHeight="1" x14ac:dyDescent="0.4">
      <c r="A1451" s="17" t="s">
        <v>65</v>
      </c>
      <c r="B1451" s="15" t="s">
        <v>255</v>
      </c>
      <c r="C1451" s="16" t="s">
        <v>31</v>
      </c>
      <c r="D1451" s="16" t="s">
        <v>31</v>
      </c>
      <c r="E1451" s="15" t="s">
        <v>32</v>
      </c>
      <c r="F1451" s="15" t="s">
        <v>314</v>
      </c>
      <c r="N1451" s="21" t="s">
        <v>96</v>
      </c>
      <c r="O1451" s="21" t="s">
        <v>336</v>
      </c>
      <c r="Q1451" s="21" t="s">
        <v>344</v>
      </c>
      <c r="R1451" s="22">
        <v>45756</v>
      </c>
      <c r="W1451">
        <f>COUNTIF(セゾン投信!U:U,B1451)</f>
        <v>0</v>
      </c>
    </row>
    <row r="1452" spans="1:23" ht="24.95" hidden="1" customHeight="1" x14ac:dyDescent="0.4">
      <c r="A1452" s="17" t="s">
        <v>65</v>
      </c>
      <c r="B1452" s="15" t="s">
        <v>256</v>
      </c>
      <c r="C1452" s="16" t="s">
        <v>31</v>
      </c>
      <c r="D1452" s="16" t="s">
        <v>31</v>
      </c>
      <c r="E1452" s="15" t="s">
        <v>32</v>
      </c>
      <c r="F1452" s="15" t="s">
        <v>314</v>
      </c>
      <c r="N1452" s="21" t="s">
        <v>96</v>
      </c>
      <c r="O1452" s="21" t="s">
        <v>336</v>
      </c>
      <c r="Q1452" s="21" t="s">
        <v>344</v>
      </c>
      <c r="R1452" s="22">
        <v>45756</v>
      </c>
      <c r="W1452">
        <f>COUNTIF(セゾン投信!U:U,B1452)</f>
        <v>0</v>
      </c>
    </row>
    <row r="1453" spans="1:23" ht="24.95" hidden="1" customHeight="1" x14ac:dyDescent="0.4">
      <c r="A1453" s="17" t="s">
        <v>65</v>
      </c>
      <c r="B1453" s="15" t="s">
        <v>257</v>
      </c>
      <c r="C1453" s="16" t="s">
        <v>31</v>
      </c>
      <c r="D1453" s="16" t="s">
        <v>31</v>
      </c>
      <c r="E1453" s="15" t="s">
        <v>32</v>
      </c>
      <c r="F1453" s="15" t="s">
        <v>314</v>
      </c>
      <c r="N1453" s="21" t="s">
        <v>96</v>
      </c>
      <c r="O1453" s="21" t="s">
        <v>336</v>
      </c>
      <c r="Q1453" s="21" t="s">
        <v>344</v>
      </c>
      <c r="R1453" s="22">
        <v>45756</v>
      </c>
      <c r="W1453">
        <f>COUNTIF(セゾン投信!U:U,B1453)</f>
        <v>0</v>
      </c>
    </row>
    <row r="1454" spans="1:23" ht="24.95" hidden="1" customHeight="1" x14ac:dyDescent="0.4">
      <c r="A1454" s="17" t="s">
        <v>65</v>
      </c>
      <c r="B1454" s="15" t="s">
        <v>258</v>
      </c>
      <c r="C1454" s="16" t="s">
        <v>31</v>
      </c>
      <c r="D1454" s="16" t="s">
        <v>31</v>
      </c>
      <c r="E1454" s="15" t="s">
        <v>32</v>
      </c>
      <c r="F1454" s="15" t="s">
        <v>314</v>
      </c>
      <c r="N1454" s="21" t="s">
        <v>96</v>
      </c>
      <c r="O1454" s="21" t="s">
        <v>336</v>
      </c>
      <c r="Q1454" s="21" t="s">
        <v>344</v>
      </c>
      <c r="R1454" s="22">
        <v>45756</v>
      </c>
      <c r="W1454">
        <f>COUNTIF(セゾン投信!U:U,B1454)</f>
        <v>0</v>
      </c>
    </row>
    <row r="1455" spans="1:23" ht="24.95" hidden="1" customHeight="1" x14ac:dyDescent="0.4">
      <c r="A1455" s="17" t="s">
        <v>65</v>
      </c>
      <c r="B1455" s="15" t="s">
        <v>259</v>
      </c>
      <c r="C1455" s="16" t="s">
        <v>31</v>
      </c>
      <c r="D1455" s="16" t="s">
        <v>31</v>
      </c>
      <c r="E1455" s="15" t="s">
        <v>32</v>
      </c>
      <c r="F1455" s="15" t="s">
        <v>314</v>
      </c>
      <c r="N1455" s="21" t="s">
        <v>96</v>
      </c>
      <c r="O1455" s="21" t="s">
        <v>336</v>
      </c>
      <c r="Q1455" s="21" t="s">
        <v>344</v>
      </c>
      <c r="R1455" s="22">
        <v>45756</v>
      </c>
      <c r="W1455">
        <f>COUNTIF(セゾン投信!U:U,B1455)</f>
        <v>0</v>
      </c>
    </row>
    <row r="1456" spans="1:23" ht="24.95" hidden="1" customHeight="1" x14ac:dyDescent="0.4">
      <c r="A1456" s="17" t="s">
        <v>65</v>
      </c>
      <c r="B1456" s="15" t="s">
        <v>260</v>
      </c>
      <c r="C1456" s="16" t="s">
        <v>31</v>
      </c>
      <c r="D1456" s="16" t="s">
        <v>31</v>
      </c>
      <c r="E1456" s="15" t="s">
        <v>32</v>
      </c>
      <c r="F1456" s="15" t="s">
        <v>314</v>
      </c>
      <c r="N1456" s="21" t="s">
        <v>96</v>
      </c>
      <c r="O1456" s="21" t="s">
        <v>336</v>
      </c>
      <c r="Q1456" s="21" t="s">
        <v>344</v>
      </c>
      <c r="R1456" s="22">
        <v>45756</v>
      </c>
      <c r="W1456">
        <f>COUNTIF(セゾン投信!U:U,B1456)</f>
        <v>0</v>
      </c>
    </row>
    <row r="1457" spans="1:23" ht="24.95" hidden="1" customHeight="1" x14ac:dyDescent="0.4">
      <c r="A1457" s="17" t="s">
        <v>65</v>
      </c>
      <c r="B1457" s="15" t="s">
        <v>261</v>
      </c>
      <c r="C1457" s="16" t="s">
        <v>31</v>
      </c>
      <c r="D1457" s="16" t="s">
        <v>31</v>
      </c>
      <c r="E1457" s="15" t="s">
        <v>32</v>
      </c>
      <c r="F1457" s="15" t="s">
        <v>314</v>
      </c>
      <c r="N1457" s="21" t="s">
        <v>96</v>
      </c>
      <c r="O1457" s="21" t="s">
        <v>336</v>
      </c>
      <c r="Q1457" s="21" t="s">
        <v>344</v>
      </c>
      <c r="R1457" s="22">
        <v>45756</v>
      </c>
      <c r="W1457">
        <f>COUNTIF(セゾン投信!U:U,B1457)</f>
        <v>0</v>
      </c>
    </row>
    <row r="1458" spans="1:23" ht="24.95" hidden="1" customHeight="1" x14ac:dyDescent="0.4">
      <c r="A1458" s="17" t="s">
        <v>65</v>
      </c>
      <c r="B1458" s="15" t="s">
        <v>262</v>
      </c>
      <c r="C1458" s="16" t="s">
        <v>31</v>
      </c>
      <c r="D1458" s="16" t="s">
        <v>31</v>
      </c>
      <c r="E1458" s="15" t="s">
        <v>32</v>
      </c>
      <c r="F1458" s="15" t="s">
        <v>314</v>
      </c>
      <c r="N1458" s="21" t="s">
        <v>96</v>
      </c>
      <c r="O1458" s="21" t="s">
        <v>336</v>
      </c>
      <c r="Q1458" s="21" t="s">
        <v>344</v>
      </c>
      <c r="R1458" s="22">
        <v>45756</v>
      </c>
      <c r="W1458">
        <f>COUNTIF(セゾン投信!U:U,B1458)</f>
        <v>0</v>
      </c>
    </row>
    <row r="1459" spans="1:23" ht="24.95" hidden="1" customHeight="1" x14ac:dyDescent="0.4">
      <c r="A1459" s="17" t="s">
        <v>65</v>
      </c>
      <c r="B1459" s="15" t="s">
        <v>263</v>
      </c>
      <c r="C1459" s="16" t="s">
        <v>31</v>
      </c>
      <c r="D1459" s="16" t="s">
        <v>31</v>
      </c>
      <c r="E1459" s="15" t="s">
        <v>32</v>
      </c>
      <c r="F1459" s="15" t="s">
        <v>314</v>
      </c>
      <c r="N1459" s="21" t="s">
        <v>96</v>
      </c>
      <c r="O1459" s="21" t="s">
        <v>336</v>
      </c>
      <c r="Q1459" s="21" t="s">
        <v>344</v>
      </c>
      <c r="R1459" s="22">
        <v>45756</v>
      </c>
      <c r="W1459">
        <f>COUNTIF(セゾン投信!U:U,B1459)</f>
        <v>0</v>
      </c>
    </row>
    <row r="1460" spans="1:23" ht="24.95" hidden="1" customHeight="1" x14ac:dyDescent="0.4">
      <c r="A1460" s="17" t="s">
        <v>65</v>
      </c>
      <c r="B1460" s="15" t="s">
        <v>264</v>
      </c>
      <c r="C1460" s="16" t="s">
        <v>31</v>
      </c>
      <c r="D1460" s="16" t="s">
        <v>31</v>
      </c>
      <c r="E1460" s="15" t="s">
        <v>32</v>
      </c>
      <c r="F1460" s="15" t="s">
        <v>314</v>
      </c>
      <c r="N1460" s="21" t="s">
        <v>96</v>
      </c>
      <c r="O1460" s="21" t="s">
        <v>336</v>
      </c>
      <c r="Q1460" s="21" t="s">
        <v>344</v>
      </c>
      <c r="R1460" s="22">
        <v>45756</v>
      </c>
      <c r="W1460">
        <f>COUNTIF(セゾン投信!U:U,B1460)</f>
        <v>0</v>
      </c>
    </row>
    <row r="1461" spans="1:23" ht="24.95" hidden="1" customHeight="1" x14ac:dyDescent="0.4">
      <c r="A1461" s="17" t="s">
        <v>65</v>
      </c>
      <c r="B1461" s="15" t="s">
        <v>265</v>
      </c>
      <c r="C1461" s="16" t="s">
        <v>31</v>
      </c>
      <c r="D1461" s="16" t="s">
        <v>31</v>
      </c>
      <c r="E1461" s="15" t="s">
        <v>32</v>
      </c>
      <c r="F1461" s="15" t="s">
        <v>314</v>
      </c>
      <c r="N1461" s="21" t="s">
        <v>96</v>
      </c>
      <c r="O1461" s="21" t="s">
        <v>336</v>
      </c>
      <c r="Q1461" s="21" t="s">
        <v>344</v>
      </c>
      <c r="R1461" s="22">
        <v>45756</v>
      </c>
      <c r="W1461">
        <f>COUNTIF(セゾン投信!U:U,B1461)</f>
        <v>0</v>
      </c>
    </row>
    <row r="1462" spans="1:23" ht="24.95" hidden="1" customHeight="1" x14ac:dyDescent="0.4">
      <c r="A1462" s="17" t="s">
        <v>65</v>
      </c>
      <c r="B1462" s="15" t="s">
        <v>266</v>
      </c>
      <c r="C1462" s="16" t="s">
        <v>31</v>
      </c>
      <c r="D1462" s="16" t="s">
        <v>31</v>
      </c>
      <c r="E1462" s="15" t="s">
        <v>32</v>
      </c>
      <c r="F1462" s="15" t="s">
        <v>314</v>
      </c>
      <c r="N1462" s="21" t="s">
        <v>96</v>
      </c>
      <c r="O1462" s="21" t="s">
        <v>336</v>
      </c>
      <c r="Q1462" s="21" t="s">
        <v>344</v>
      </c>
      <c r="R1462" s="22">
        <v>45756</v>
      </c>
      <c r="W1462">
        <f>COUNTIF(セゾン投信!U:U,B1462)</f>
        <v>0</v>
      </c>
    </row>
    <row r="1463" spans="1:23" ht="24.95" hidden="1" customHeight="1" x14ac:dyDescent="0.4">
      <c r="A1463" s="17" t="s">
        <v>65</v>
      </c>
      <c r="B1463" s="15" t="s">
        <v>267</v>
      </c>
      <c r="C1463" s="16" t="s">
        <v>31</v>
      </c>
      <c r="D1463" s="16" t="s">
        <v>31</v>
      </c>
      <c r="E1463" s="15" t="s">
        <v>32</v>
      </c>
      <c r="F1463" s="15" t="s">
        <v>314</v>
      </c>
      <c r="N1463" s="21" t="s">
        <v>96</v>
      </c>
      <c r="O1463" s="21" t="s">
        <v>336</v>
      </c>
      <c r="Q1463" s="21" t="s">
        <v>344</v>
      </c>
      <c r="R1463" s="22">
        <v>45756</v>
      </c>
      <c r="W1463">
        <f>COUNTIF(セゾン投信!U:U,B1463)</f>
        <v>0</v>
      </c>
    </row>
    <row r="1464" spans="1:23" ht="24.95" hidden="1" customHeight="1" x14ac:dyDescent="0.4">
      <c r="A1464" s="17" t="s">
        <v>65</v>
      </c>
      <c r="B1464" s="15" t="s">
        <v>268</v>
      </c>
      <c r="C1464" s="16" t="s">
        <v>31</v>
      </c>
      <c r="D1464" s="16" t="s">
        <v>31</v>
      </c>
      <c r="E1464" s="15" t="s">
        <v>32</v>
      </c>
      <c r="F1464" s="15" t="s">
        <v>314</v>
      </c>
      <c r="N1464" s="21" t="s">
        <v>96</v>
      </c>
      <c r="O1464" s="21" t="s">
        <v>336</v>
      </c>
      <c r="Q1464" s="21" t="s">
        <v>344</v>
      </c>
      <c r="R1464" s="22">
        <v>45756</v>
      </c>
      <c r="W1464">
        <f>COUNTIF(セゾン投信!U:U,B1464)</f>
        <v>0</v>
      </c>
    </row>
    <row r="1465" spans="1:23" ht="24.95" hidden="1" customHeight="1" x14ac:dyDescent="0.4">
      <c r="A1465" s="17" t="s">
        <v>65</v>
      </c>
      <c r="B1465" s="15" t="s">
        <v>269</v>
      </c>
      <c r="C1465" s="16" t="s">
        <v>31</v>
      </c>
      <c r="D1465" s="16" t="s">
        <v>31</v>
      </c>
      <c r="E1465" s="15" t="s">
        <v>32</v>
      </c>
      <c r="F1465" s="15" t="s">
        <v>314</v>
      </c>
      <c r="N1465" s="21" t="s">
        <v>96</v>
      </c>
      <c r="O1465" s="21" t="s">
        <v>336</v>
      </c>
      <c r="Q1465" s="21" t="s">
        <v>344</v>
      </c>
      <c r="R1465" s="22">
        <v>45756</v>
      </c>
      <c r="W1465">
        <f>COUNTIF(セゾン投信!U:U,B1465)</f>
        <v>0</v>
      </c>
    </row>
    <row r="1466" spans="1:23" ht="24.95" hidden="1" customHeight="1" x14ac:dyDescent="0.4">
      <c r="A1466" s="17" t="s">
        <v>65</v>
      </c>
      <c r="B1466" s="15" t="s">
        <v>270</v>
      </c>
      <c r="C1466" s="16" t="s">
        <v>31</v>
      </c>
      <c r="D1466" s="16" t="s">
        <v>31</v>
      </c>
      <c r="E1466" s="15" t="s">
        <v>32</v>
      </c>
      <c r="F1466" s="15" t="s">
        <v>314</v>
      </c>
      <c r="N1466" s="21" t="s">
        <v>96</v>
      </c>
      <c r="O1466" s="21" t="s">
        <v>336</v>
      </c>
      <c r="Q1466" s="21" t="s">
        <v>344</v>
      </c>
      <c r="R1466" s="22">
        <v>45756</v>
      </c>
      <c r="W1466">
        <f>COUNTIF(セゾン投信!U:U,B1466)</f>
        <v>0</v>
      </c>
    </row>
    <row r="1467" spans="1:23" ht="24.95" hidden="1" customHeight="1" x14ac:dyDescent="0.4">
      <c r="A1467" s="17" t="s">
        <v>65</v>
      </c>
      <c r="B1467" s="15" t="s">
        <v>271</v>
      </c>
      <c r="C1467" s="16" t="s">
        <v>31</v>
      </c>
      <c r="D1467" s="16" t="s">
        <v>31</v>
      </c>
      <c r="E1467" s="15" t="s">
        <v>32</v>
      </c>
      <c r="F1467" s="15" t="s">
        <v>314</v>
      </c>
      <c r="N1467" s="21" t="s">
        <v>96</v>
      </c>
      <c r="O1467" s="21" t="s">
        <v>336</v>
      </c>
      <c r="Q1467" s="21" t="s">
        <v>344</v>
      </c>
      <c r="R1467" s="22">
        <v>45756</v>
      </c>
      <c r="W1467">
        <f>COUNTIF(セゾン投信!U:U,B1467)</f>
        <v>0</v>
      </c>
    </row>
    <row r="1468" spans="1:23" ht="24.95" hidden="1" customHeight="1" x14ac:dyDescent="0.4">
      <c r="A1468" s="17" t="s">
        <v>65</v>
      </c>
      <c r="B1468" s="15" t="s">
        <v>366</v>
      </c>
      <c r="C1468" s="16" t="s">
        <v>31</v>
      </c>
      <c r="D1468" s="16" t="s">
        <v>31</v>
      </c>
      <c r="E1468" s="15" t="s">
        <v>32</v>
      </c>
      <c r="F1468" s="15" t="s">
        <v>365</v>
      </c>
      <c r="N1468" s="21" t="s">
        <v>374</v>
      </c>
      <c r="O1468" s="21" t="s">
        <v>373</v>
      </c>
      <c r="Q1468" s="21" t="s">
        <v>344</v>
      </c>
      <c r="R1468" s="22">
        <v>45883</v>
      </c>
      <c r="W1468">
        <f>COUNTIF(セゾン投信!U:U,B1468)</f>
        <v>0</v>
      </c>
    </row>
    <row r="1469" spans="1:23" ht="24.95" hidden="1" customHeight="1" x14ac:dyDescent="0.4">
      <c r="A1469" s="17" t="s">
        <v>65</v>
      </c>
      <c r="B1469" s="15" t="s">
        <v>367</v>
      </c>
      <c r="C1469" s="16" t="s">
        <v>31</v>
      </c>
      <c r="D1469" s="16" t="s">
        <v>31</v>
      </c>
      <c r="E1469" s="15" t="s">
        <v>32</v>
      </c>
      <c r="F1469" s="15" t="s">
        <v>365</v>
      </c>
      <c r="N1469" s="21" t="s">
        <v>374</v>
      </c>
      <c r="O1469" s="21" t="s">
        <v>373</v>
      </c>
      <c r="Q1469" s="21" t="s">
        <v>344</v>
      </c>
      <c r="R1469" s="22">
        <v>45883</v>
      </c>
      <c r="W1469">
        <f>COUNTIF(セゾン投信!U:U,B1469)</f>
        <v>0</v>
      </c>
    </row>
    <row r="1470" spans="1:23" ht="24.95" hidden="1" customHeight="1" x14ac:dyDescent="0.4">
      <c r="A1470" s="17" t="s">
        <v>65</v>
      </c>
      <c r="B1470" s="15" t="s">
        <v>324</v>
      </c>
      <c r="C1470" s="16" t="s">
        <v>31</v>
      </c>
      <c r="D1470" s="16" t="s">
        <v>31</v>
      </c>
      <c r="E1470" s="15" t="s">
        <v>32</v>
      </c>
      <c r="F1470" s="15" t="s">
        <v>314</v>
      </c>
      <c r="N1470" s="21" t="s">
        <v>96</v>
      </c>
      <c r="O1470" s="21" t="s">
        <v>337</v>
      </c>
      <c r="Q1470" s="21" t="s">
        <v>344</v>
      </c>
      <c r="R1470" s="22">
        <v>45756</v>
      </c>
      <c r="W1470">
        <f>COUNTIF(セゾン投信!U:U,B1470)</f>
        <v>0</v>
      </c>
    </row>
    <row r="1471" spans="1:23" ht="24.95" hidden="1" customHeight="1" x14ac:dyDescent="0.4">
      <c r="A1471" s="17" t="s">
        <v>65</v>
      </c>
      <c r="B1471" s="50" t="s">
        <v>368</v>
      </c>
      <c r="C1471" s="16" t="s">
        <v>31</v>
      </c>
      <c r="D1471" s="16" t="s">
        <v>31</v>
      </c>
      <c r="E1471" s="15" t="s">
        <v>32</v>
      </c>
      <c r="F1471" s="15" t="s">
        <v>365</v>
      </c>
      <c r="N1471" s="21" t="s">
        <v>96</v>
      </c>
      <c r="O1471" s="21" t="s">
        <v>372</v>
      </c>
      <c r="Q1471" s="21" t="s">
        <v>344</v>
      </c>
      <c r="R1471" s="22">
        <v>45883</v>
      </c>
      <c r="W1471">
        <f>COUNTIF(セゾン投信!U:U,B1471)</f>
        <v>0</v>
      </c>
    </row>
    <row r="1472" spans="1:23" ht="24.95" hidden="1" customHeight="1" x14ac:dyDescent="0.4">
      <c r="A1472" s="17" t="s">
        <v>65</v>
      </c>
      <c r="B1472" s="50" t="s">
        <v>369</v>
      </c>
      <c r="C1472" s="16" t="s">
        <v>24</v>
      </c>
      <c r="D1472" s="16" t="s">
        <v>31</v>
      </c>
      <c r="E1472" s="15" t="s">
        <v>35</v>
      </c>
      <c r="F1472" s="15" t="s">
        <v>365</v>
      </c>
      <c r="N1472" s="21" t="s">
        <v>96</v>
      </c>
      <c r="O1472" s="21" t="s">
        <v>372</v>
      </c>
      <c r="Q1472" s="21" t="s">
        <v>344</v>
      </c>
      <c r="R1472" s="22">
        <v>45883</v>
      </c>
      <c r="W1472">
        <f>COUNTIF(セゾン投信!U:U,B1472)</f>
        <v>0</v>
      </c>
    </row>
    <row r="1473" spans="1:23" ht="24.95" hidden="1" customHeight="1" x14ac:dyDescent="0.4">
      <c r="A1473" s="17" t="s">
        <v>65</v>
      </c>
      <c r="B1473" s="15" t="s">
        <v>325</v>
      </c>
      <c r="C1473" s="16" t="s">
        <v>24</v>
      </c>
      <c r="D1473" s="16" t="s">
        <v>31</v>
      </c>
      <c r="E1473" s="15" t="s">
        <v>35</v>
      </c>
      <c r="F1473" s="15" t="s">
        <v>314</v>
      </c>
      <c r="N1473" s="21" t="s">
        <v>96</v>
      </c>
      <c r="O1473" s="21" t="s">
        <v>337</v>
      </c>
      <c r="Q1473" s="21" t="s">
        <v>344</v>
      </c>
      <c r="R1473" s="22">
        <v>45756</v>
      </c>
      <c r="W1473">
        <f>COUNTIF(セゾン投信!U:U,B1473)</f>
        <v>0</v>
      </c>
    </row>
    <row r="1474" spans="1:23" ht="24.95" hidden="1" customHeight="1" x14ac:dyDescent="0.4">
      <c r="A1474" s="17" t="s">
        <v>65</v>
      </c>
      <c r="B1474" s="15" t="s">
        <v>272</v>
      </c>
      <c r="C1474" s="16" t="s">
        <v>31</v>
      </c>
      <c r="D1474" s="16" t="s">
        <v>31</v>
      </c>
      <c r="E1474" s="15" t="s">
        <v>32</v>
      </c>
      <c r="F1474" s="15" t="s">
        <v>314</v>
      </c>
      <c r="N1474" s="21" t="s">
        <v>96</v>
      </c>
      <c r="O1474" s="21" t="s">
        <v>336</v>
      </c>
      <c r="Q1474" s="21" t="s">
        <v>344</v>
      </c>
      <c r="R1474" s="22">
        <v>45756</v>
      </c>
      <c r="W1474">
        <f>COUNTIF(セゾン投信!U:U,B1474)</f>
        <v>0</v>
      </c>
    </row>
    <row r="1475" spans="1:23" ht="24.95" hidden="1" customHeight="1" x14ac:dyDescent="0.4">
      <c r="A1475" s="17" t="s">
        <v>65</v>
      </c>
      <c r="B1475" s="15" t="s">
        <v>273</v>
      </c>
      <c r="C1475" s="16" t="s">
        <v>31</v>
      </c>
      <c r="D1475" s="16" t="s">
        <v>31</v>
      </c>
      <c r="E1475" s="15" t="s">
        <v>32</v>
      </c>
      <c r="F1475" s="15" t="s">
        <v>314</v>
      </c>
      <c r="N1475" s="21" t="s">
        <v>96</v>
      </c>
      <c r="O1475" s="21" t="s">
        <v>336</v>
      </c>
      <c r="Q1475" s="21" t="s">
        <v>344</v>
      </c>
      <c r="R1475" s="22">
        <v>45756</v>
      </c>
      <c r="W1475">
        <f>COUNTIF(セゾン投信!U:U,B1475)</f>
        <v>0</v>
      </c>
    </row>
    <row r="1476" spans="1:23" ht="24.95" hidden="1" customHeight="1" x14ac:dyDescent="0.4">
      <c r="A1476" s="17" t="s">
        <v>65</v>
      </c>
      <c r="B1476" s="15" t="s">
        <v>274</v>
      </c>
      <c r="C1476" s="16" t="s">
        <v>31</v>
      </c>
      <c r="D1476" s="16" t="s">
        <v>31</v>
      </c>
      <c r="E1476" s="15" t="s">
        <v>32</v>
      </c>
      <c r="F1476" s="15" t="s">
        <v>314</v>
      </c>
      <c r="N1476" s="21" t="s">
        <v>96</v>
      </c>
      <c r="O1476" s="21" t="s">
        <v>336</v>
      </c>
      <c r="Q1476" s="21" t="s">
        <v>344</v>
      </c>
      <c r="R1476" s="22">
        <v>45756</v>
      </c>
      <c r="W1476">
        <f>COUNTIF(セゾン投信!U:U,B1476)</f>
        <v>0</v>
      </c>
    </row>
    <row r="1477" spans="1:23" ht="24.95" hidden="1" customHeight="1" x14ac:dyDescent="0.4">
      <c r="A1477" s="17" t="s">
        <v>65</v>
      </c>
      <c r="B1477" s="15" t="s">
        <v>275</v>
      </c>
      <c r="C1477" s="16" t="s">
        <v>31</v>
      </c>
      <c r="D1477" s="16" t="s">
        <v>31</v>
      </c>
      <c r="E1477" s="15" t="s">
        <v>32</v>
      </c>
      <c r="F1477" s="15" t="s">
        <v>314</v>
      </c>
      <c r="N1477" s="21" t="s">
        <v>96</v>
      </c>
      <c r="O1477" s="21" t="s">
        <v>336</v>
      </c>
      <c r="Q1477" s="21" t="s">
        <v>344</v>
      </c>
      <c r="R1477" s="22">
        <v>45756</v>
      </c>
      <c r="W1477">
        <f>COUNTIF(セゾン投信!U:U,B1477)</f>
        <v>0</v>
      </c>
    </row>
    <row r="1478" spans="1:23" ht="24.95" hidden="1" customHeight="1" x14ac:dyDescent="0.4">
      <c r="A1478" s="17" t="s">
        <v>65</v>
      </c>
      <c r="B1478" s="15" t="s">
        <v>326</v>
      </c>
      <c r="C1478" s="16" t="s">
        <v>31</v>
      </c>
      <c r="D1478" s="16" t="s">
        <v>31</v>
      </c>
      <c r="E1478" s="15" t="s">
        <v>32</v>
      </c>
      <c r="F1478" s="15" t="s">
        <v>314</v>
      </c>
      <c r="N1478" s="21" t="s">
        <v>96</v>
      </c>
      <c r="O1478" s="21" t="s">
        <v>337</v>
      </c>
      <c r="Q1478" s="21" t="s">
        <v>344</v>
      </c>
      <c r="R1478" s="22">
        <v>45756</v>
      </c>
      <c r="W1478">
        <f>COUNTIF(セゾン投信!U:U,B1478)</f>
        <v>0</v>
      </c>
    </row>
    <row r="1479" spans="1:23" ht="24.95" hidden="1" customHeight="1" x14ac:dyDescent="0.4">
      <c r="A1479" s="17" t="s">
        <v>65</v>
      </c>
      <c r="B1479" s="15" t="s">
        <v>327</v>
      </c>
      <c r="C1479" s="16" t="s">
        <v>24</v>
      </c>
      <c r="D1479" s="16" t="s">
        <v>31</v>
      </c>
      <c r="E1479" s="15" t="s">
        <v>35</v>
      </c>
      <c r="F1479" s="15" t="s">
        <v>314</v>
      </c>
      <c r="N1479" s="21" t="s">
        <v>96</v>
      </c>
      <c r="O1479" s="21" t="s">
        <v>337</v>
      </c>
      <c r="Q1479" s="21" t="s">
        <v>344</v>
      </c>
      <c r="R1479" s="22">
        <v>45756</v>
      </c>
      <c r="W1479">
        <f>COUNTIF(セゾン投信!U:U,B1479)</f>
        <v>0</v>
      </c>
    </row>
    <row r="1480" spans="1:23" ht="24.95" hidden="1" customHeight="1" x14ac:dyDescent="0.4">
      <c r="A1480" s="17" t="s">
        <v>65</v>
      </c>
      <c r="B1480" s="15" t="s">
        <v>328</v>
      </c>
      <c r="C1480" s="16" t="s">
        <v>24</v>
      </c>
      <c r="D1480" s="16" t="s">
        <v>31</v>
      </c>
      <c r="E1480" s="15" t="s">
        <v>35</v>
      </c>
      <c r="F1480" s="15" t="s">
        <v>314</v>
      </c>
      <c r="N1480" s="21" t="s">
        <v>96</v>
      </c>
      <c r="O1480" s="21" t="s">
        <v>337</v>
      </c>
      <c r="Q1480" s="21" t="s">
        <v>344</v>
      </c>
      <c r="R1480" s="22">
        <v>45756</v>
      </c>
      <c r="W1480">
        <f>COUNTIF(セゾン投信!U:U,B1480)</f>
        <v>0</v>
      </c>
    </row>
    <row r="1481" spans="1:23" ht="24.95" hidden="1" customHeight="1" x14ac:dyDescent="0.4">
      <c r="A1481" s="17" t="s">
        <v>65</v>
      </c>
      <c r="B1481" s="15" t="s">
        <v>329</v>
      </c>
      <c r="C1481" s="16" t="s">
        <v>24</v>
      </c>
      <c r="D1481" s="16" t="s">
        <v>31</v>
      </c>
      <c r="E1481" s="15" t="s">
        <v>35</v>
      </c>
      <c r="F1481" s="15" t="s">
        <v>314</v>
      </c>
      <c r="N1481" s="21" t="s">
        <v>96</v>
      </c>
      <c r="O1481" s="21" t="s">
        <v>337</v>
      </c>
      <c r="Q1481" s="21" t="s">
        <v>344</v>
      </c>
      <c r="R1481" s="22">
        <v>45756</v>
      </c>
      <c r="W1481">
        <f>COUNTIF(セゾン投信!U:U,B1481)</f>
        <v>0</v>
      </c>
    </row>
    <row r="1482" spans="1:23" ht="24.95" hidden="1" customHeight="1" x14ac:dyDescent="0.4">
      <c r="A1482" s="17" t="s">
        <v>65</v>
      </c>
      <c r="B1482" s="15" t="s">
        <v>276</v>
      </c>
      <c r="C1482" s="16" t="s">
        <v>31</v>
      </c>
      <c r="D1482" s="16" t="s">
        <v>31</v>
      </c>
      <c r="E1482" s="15" t="s">
        <v>32</v>
      </c>
      <c r="F1482" s="15" t="s">
        <v>314</v>
      </c>
      <c r="N1482" s="21" t="s">
        <v>96</v>
      </c>
      <c r="O1482" s="21" t="s">
        <v>336</v>
      </c>
      <c r="Q1482" s="21" t="s">
        <v>344</v>
      </c>
      <c r="R1482" s="22">
        <v>45756</v>
      </c>
      <c r="W1482">
        <f>COUNTIF(セゾン投信!U:U,B1482)</f>
        <v>0</v>
      </c>
    </row>
    <row r="1483" spans="1:23" ht="24.95" hidden="1" customHeight="1" x14ac:dyDescent="0.4">
      <c r="A1483" s="17" t="s">
        <v>65</v>
      </c>
      <c r="B1483" s="15" t="s">
        <v>277</v>
      </c>
      <c r="C1483" s="16" t="s">
        <v>31</v>
      </c>
      <c r="D1483" s="16" t="s">
        <v>31</v>
      </c>
      <c r="E1483" s="15" t="s">
        <v>32</v>
      </c>
      <c r="F1483" s="15" t="s">
        <v>314</v>
      </c>
      <c r="N1483" s="21" t="s">
        <v>96</v>
      </c>
      <c r="O1483" s="21" t="s">
        <v>336</v>
      </c>
      <c r="Q1483" s="21" t="s">
        <v>344</v>
      </c>
      <c r="R1483" s="22">
        <v>45756</v>
      </c>
      <c r="W1483">
        <f>COUNTIF(セゾン投信!U:U,B1483)</f>
        <v>0</v>
      </c>
    </row>
    <row r="1484" spans="1:23" ht="24.95" hidden="1" customHeight="1" x14ac:dyDescent="0.4">
      <c r="A1484" s="17" t="s">
        <v>65</v>
      </c>
      <c r="B1484" s="15" t="s">
        <v>278</v>
      </c>
      <c r="C1484" s="16" t="s">
        <v>31</v>
      </c>
      <c r="D1484" s="16" t="s">
        <v>31</v>
      </c>
      <c r="E1484" s="15" t="s">
        <v>32</v>
      </c>
      <c r="F1484" s="15" t="s">
        <v>314</v>
      </c>
      <c r="N1484" s="21" t="s">
        <v>96</v>
      </c>
      <c r="O1484" s="21" t="s">
        <v>336</v>
      </c>
      <c r="Q1484" s="21" t="s">
        <v>344</v>
      </c>
      <c r="R1484" s="22">
        <v>45756</v>
      </c>
      <c r="W1484">
        <f>COUNTIF(セゾン投信!U:U,B1484)</f>
        <v>0</v>
      </c>
    </row>
    <row r="1485" spans="1:23" ht="24.95" hidden="1" customHeight="1" x14ac:dyDescent="0.4">
      <c r="A1485" s="17" t="s">
        <v>65</v>
      </c>
      <c r="B1485" s="15" t="s">
        <v>279</v>
      </c>
      <c r="C1485" s="16" t="s">
        <v>31</v>
      </c>
      <c r="D1485" s="16" t="s">
        <v>31</v>
      </c>
      <c r="E1485" s="15" t="s">
        <v>32</v>
      </c>
      <c r="F1485" s="15" t="s">
        <v>314</v>
      </c>
      <c r="N1485" s="21" t="s">
        <v>96</v>
      </c>
      <c r="O1485" s="21" t="s">
        <v>336</v>
      </c>
      <c r="Q1485" s="21" t="s">
        <v>344</v>
      </c>
      <c r="R1485" s="22">
        <v>45756</v>
      </c>
      <c r="W1485">
        <f>COUNTIF(セゾン投信!U:U,B1485)</f>
        <v>0</v>
      </c>
    </row>
    <row r="1486" spans="1:23" ht="24.95" hidden="1" customHeight="1" x14ac:dyDescent="0.4">
      <c r="A1486" s="17" t="s">
        <v>65</v>
      </c>
      <c r="B1486" s="15" t="s">
        <v>280</v>
      </c>
      <c r="C1486" s="16" t="s">
        <v>31</v>
      </c>
      <c r="D1486" s="16" t="s">
        <v>31</v>
      </c>
      <c r="E1486" s="15" t="s">
        <v>32</v>
      </c>
      <c r="F1486" s="15" t="s">
        <v>314</v>
      </c>
      <c r="N1486" s="21" t="s">
        <v>96</v>
      </c>
      <c r="O1486" s="21" t="s">
        <v>336</v>
      </c>
      <c r="Q1486" s="21" t="s">
        <v>344</v>
      </c>
      <c r="R1486" s="22">
        <v>45756</v>
      </c>
      <c r="W1486">
        <f>COUNTIF(セゾン投信!U:U,B1486)</f>
        <v>0</v>
      </c>
    </row>
    <row r="1487" spans="1:23" ht="24.95" hidden="1" customHeight="1" x14ac:dyDescent="0.4">
      <c r="A1487" s="17" t="s">
        <v>65</v>
      </c>
      <c r="B1487" s="15" t="s">
        <v>281</v>
      </c>
      <c r="C1487" s="16" t="s">
        <v>31</v>
      </c>
      <c r="D1487" s="16" t="s">
        <v>31</v>
      </c>
      <c r="E1487" s="15" t="s">
        <v>32</v>
      </c>
      <c r="F1487" s="15" t="s">
        <v>314</v>
      </c>
      <c r="N1487" s="21" t="s">
        <v>96</v>
      </c>
      <c r="O1487" s="21" t="s">
        <v>336</v>
      </c>
      <c r="Q1487" s="21" t="s">
        <v>344</v>
      </c>
      <c r="R1487" s="22">
        <v>45756</v>
      </c>
      <c r="W1487">
        <f>COUNTIF(セゾン投信!U:U,B1487)</f>
        <v>0</v>
      </c>
    </row>
    <row r="1488" spans="1:23" ht="24.95" hidden="1" customHeight="1" x14ac:dyDescent="0.4">
      <c r="A1488" s="17" t="s">
        <v>65</v>
      </c>
      <c r="B1488" s="15" t="s">
        <v>282</v>
      </c>
      <c r="C1488" s="16" t="s">
        <v>31</v>
      </c>
      <c r="D1488" s="16" t="s">
        <v>31</v>
      </c>
      <c r="E1488" s="15" t="s">
        <v>32</v>
      </c>
      <c r="F1488" s="15" t="s">
        <v>314</v>
      </c>
      <c r="N1488" s="21" t="s">
        <v>96</v>
      </c>
      <c r="O1488" s="21" t="s">
        <v>336</v>
      </c>
      <c r="Q1488" s="21" t="s">
        <v>344</v>
      </c>
      <c r="R1488" s="22">
        <v>45756</v>
      </c>
      <c r="W1488">
        <f>COUNTIF(セゾン投信!U:U,B1488)</f>
        <v>0</v>
      </c>
    </row>
    <row r="1489" spans="1:23" ht="24.95" hidden="1" customHeight="1" x14ac:dyDescent="0.4">
      <c r="A1489" s="17" t="s">
        <v>65</v>
      </c>
      <c r="B1489" s="15" t="s">
        <v>283</v>
      </c>
      <c r="C1489" s="16" t="s">
        <v>31</v>
      </c>
      <c r="D1489" s="16" t="s">
        <v>31</v>
      </c>
      <c r="E1489" s="15" t="s">
        <v>32</v>
      </c>
      <c r="F1489" s="15" t="s">
        <v>314</v>
      </c>
      <c r="N1489" s="21" t="s">
        <v>96</v>
      </c>
      <c r="O1489" s="21" t="s">
        <v>336</v>
      </c>
      <c r="Q1489" s="21" t="s">
        <v>344</v>
      </c>
      <c r="R1489" s="22">
        <v>45756</v>
      </c>
      <c r="W1489">
        <f>COUNTIF(セゾン投信!U:U,B1489)</f>
        <v>0</v>
      </c>
    </row>
    <row r="1490" spans="1:23" ht="24.95" hidden="1" customHeight="1" x14ac:dyDescent="0.4">
      <c r="A1490" s="17" t="s">
        <v>65</v>
      </c>
      <c r="B1490" s="15" t="s">
        <v>284</v>
      </c>
      <c r="C1490" s="16" t="s">
        <v>31</v>
      </c>
      <c r="D1490" s="16" t="s">
        <v>31</v>
      </c>
      <c r="E1490" s="15" t="s">
        <v>32</v>
      </c>
      <c r="F1490" s="15" t="s">
        <v>314</v>
      </c>
      <c r="N1490" s="21" t="s">
        <v>96</v>
      </c>
      <c r="O1490" s="21" t="s">
        <v>336</v>
      </c>
      <c r="Q1490" s="21" t="s">
        <v>344</v>
      </c>
      <c r="R1490" s="22">
        <v>45756</v>
      </c>
      <c r="W1490">
        <f>COUNTIF(セゾン投信!U:U,B1490)</f>
        <v>0</v>
      </c>
    </row>
    <row r="1491" spans="1:23" ht="24.95" hidden="1" customHeight="1" x14ac:dyDescent="0.4">
      <c r="A1491" s="17" t="s">
        <v>65</v>
      </c>
      <c r="B1491" s="15" t="s">
        <v>285</v>
      </c>
      <c r="C1491" s="16" t="s">
        <v>31</v>
      </c>
      <c r="D1491" s="16" t="s">
        <v>31</v>
      </c>
      <c r="E1491" s="15" t="s">
        <v>32</v>
      </c>
      <c r="F1491" s="15" t="s">
        <v>314</v>
      </c>
      <c r="N1491" s="21" t="s">
        <v>96</v>
      </c>
      <c r="O1491" s="21" t="s">
        <v>336</v>
      </c>
      <c r="Q1491" s="21" t="s">
        <v>344</v>
      </c>
      <c r="R1491" s="22">
        <v>45756</v>
      </c>
      <c r="W1491">
        <f>COUNTIF(セゾン投信!U:U,B1491)</f>
        <v>0</v>
      </c>
    </row>
    <row r="1492" spans="1:23" ht="24.95" hidden="1" customHeight="1" x14ac:dyDescent="0.4">
      <c r="A1492" s="17" t="s">
        <v>65</v>
      </c>
      <c r="B1492" s="15" t="s">
        <v>286</v>
      </c>
      <c r="C1492" s="16" t="s">
        <v>31</v>
      </c>
      <c r="D1492" s="16" t="s">
        <v>31</v>
      </c>
      <c r="E1492" s="15" t="s">
        <v>32</v>
      </c>
      <c r="F1492" s="15" t="s">
        <v>314</v>
      </c>
      <c r="N1492" s="21" t="s">
        <v>96</v>
      </c>
      <c r="O1492" s="21" t="s">
        <v>336</v>
      </c>
      <c r="Q1492" s="21" t="s">
        <v>344</v>
      </c>
      <c r="R1492" s="22">
        <v>45756</v>
      </c>
      <c r="W1492">
        <f>COUNTIF(セゾン投信!U:U,B1492)</f>
        <v>0</v>
      </c>
    </row>
    <row r="1493" spans="1:23" ht="24.95" hidden="1" customHeight="1" x14ac:dyDescent="0.4">
      <c r="A1493" s="17" t="s">
        <v>65</v>
      </c>
      <c r="B1493" s="15" t="s">
        <v>287</v>
      </c>
      <c r="C1493" s="16" t="s">
        <v>31</v>
      </c>
      <c r="D1493" s="16" t="s">
        <v>31</v>
      </c>
      <c r="E1493" s="15" t="s">
        <v>32</v>
      </c>
      <c r="F1493" s="15" t="s">
        <v>314</v>
      </c>
      <c r="N1493" s="21" t="s">
        <v>96</v>
      </c>
      <c r="O1493" s="21" t="s">
        <v>336</v>
      </c>
      <c r="Q1493" s="21" t="s">
        <v>344</v>
      </c>
      <c r="R1493" s="22">
        <v>45756</v>
      </c>
      <c r="W1493">
        <f>COUNTIF(セゾン投信!U:U,B1493)</f>
        <v>0</v>
      </c>
    </row>
    <row r="1494" spans="1:23" ht="24.95" hidden="1" customHeight="1" x14ac:dyDescent="0.4">
      <c r="A1494" s="17" t="s">
        <v>65</v>
      </c>
      <c r="B1494" s="15" t="s">
        <v>342</v>
      </c>
      <c r="C1494" s="16" t="s">
        <v>31</v>
      </c>
      <c r="D1494" s="16" t="s">
        <v>31</v>
      </c>
      <c r="E1494" s="15" t="s">
        <v>32</v>
      </c>
      <c r="F1494" s="15" t="s">
        <v>340</v>
      </c>
      <c r="N1494" s="21" t="s">
        <v>96</v>
      </c>
      <c r="O1494" s="21" t="s">
        <v>345</v>
      </c>
      <c r="Q1494" s="21" t="s">
        <v>344</v>
      </c>
      <c r="R1494" s="22">
        <v>45784</v>
      </c>
      <c r="W1494">
        <f>COUNTIF(セゾン投信!U:U,B1494)</f>
        <v>0</v>
      </c>
    </row>
    <row r="1495" spans="1:23" ht="24.95" hidden="1" customHeight="1" x14ac:dyDescent="0.4">
      <c r="A1495" s="17" t="s">
        <v>65</v>
      </c>
      <c r="B1495" s="15" t="s">
        <v>288</v>
      </c>
      <c r="C1495" s="16" t="s">
        <v>31</v>
      </c>
      <c r="D1495" s="16" t="s">
        <v>31</v>
      </c>
      <c r="E1495" s="15" t="s">
        <v>32</v>
      </c>
      <c r="F1495" s="15" t="s">
        <v>314</v>
      </c>
      <c r="N1495" s="21" t="s">
        <v>96</v>
      </c>
      <c r="O1495" s="21" t="s">
        <v>336</v>
      </c>
      <c r="Q1495" s="21" t="s">
        <v>344</v>
      </c>
      <c r="R1495" s="22">
        <v>45756</v>
      </c>
      <c r="W1495">
        <f>COUNTIF(セゾン投信!U:U,B1495)</f>
        <v>0</v>
      </c>
    </row>
    <row r="1496" spans="1:23" ht="24.95" hidden="1" customHeight="1" x14ac:dyDescent="0.4">
      <c r="A1496" s="17" t="s">
        <v>65</v>
      </c>
      <c r="B1496" s="15" t="s">
        <v>289</v>
      </c>
      <c r="C1496" s="16" t="s">
        <v>31</v>
      </c>
      <c r="D1496" s="16" t="s">
        <v>31</v>
      </c>
      <c r="E1496" s="15" t="s">
        <v>32</v>
      </c>
      <c r="F1496" s="15" t="s">
        <v>314</v>
      </c>
      <c r="N1496" s="21" t="s">
        <v>96</v>
      </c>
      <c r="O1496" s="21" t="s">
        <v>336</v>
      </c>
      <c r="Q1496" s="21" t="s">
        <v>344</v>
      </c>
      <c r="R1496" s="22">
        <v>45756</v>
      </c>
      <c r="W1496">
        <f>COUNTIF(セゾン投信!U:U,B1496)</f>
        <v>0</v>
      </c>
    </row>
    <row r="1497" spans="1:23" ht="24.95" hidden="1" customHeight="1" x14ac:dyDescent="0.4">
      <c r="A1497" s="17" t="s">
        <v>65</v>
      </c>
      <c r="B1497" s="15" t="s">
        <v>290</v>
      </c>
      <c r="C1497" s="16" t="s">
        <v>31</v>
      </c>
      <c r="D1497" s="16" t="s">
        <v>31</v>
      </c>
      <c r="E1497" s="15" t="s">
        <v>32</v>
      </c>
      <c r="F1497" s="15" t="s">
        <v>314</v>
      </c>
      <c r="N1497" s="21" t="s">
        <v>96</v>
      </c>
      <c r="O1497" s="21" t="s">
        <v>336</v>
      </c>
      <c r="Q1497" s="21" t="s">
        <v>344</v>
      </c>
      <c r="R1497" s="22">
        <v>45756</v>
      </c>
      <c r="W1497">
        <f>COUNTIF(セゾン投信!U:U,B1497)</f>
        <v>0</v>
      </c>
    </row>
    <row r="1498" spans="1:23" ht="24.95" hidden="1" customHeight="1" x14ac:dyDescent="0.4">
      <c r="A1498" s="17" t="s">
        <v>65</v>
      </c>
      <c r="B1498" s="15" t="s">
        <v>291</v>
      </c>
      <c r="C1498" s="16" t="s">
        <v>31</v>
      </c>
      <c r="D1498" s="16" t="s">
        <v>31</v>
      </c>
      <c r="E1498" s="15" t="s">
        <v>32</v>
      </c>
      <c r="F1498" s="15" t="s">
        <v>314</v>
      </c>
      <c r="N1498" s="21" t="s">
        <v>96</v>
      </c>
      <c r="O1498" s="21" t="s">
        <v>336</v>
      </c>
      <c r="Q1498" s="21" t="s">
        <v>344</v>
      </c>
      <c r="R1498" s="22">
        <v>45756</v>
      </c>
      <c r="W1498">
        <f>COUNTIF(セゾン投信!U:U,B1498)</f>
        <v>0</v>
      </c>
    </row>
    <row r="1499" spans="1:23" ht="24.95" hidden="1" customHeight="1" x14ac:dyDescent="0.4">
      <c r="A1499" s="17" t="s">
        <v>65</v>
      </c>
      <c r="B1499" s="15" t="s">
        <v>292</v>
      </c>
      <c r="C1499" s="16" t="s">
        <v>31</v>
      </c>
      <c r="D1499" s="16" t="s">
        <v>31</v>
      </c>
      <c r="E1499" s="15" t="s">
        <v>32</v>
      </c>
      <c r="F1499" s="15" t="s">
        <v>314</v>
      </c>
      <c r="N1499" s="21" t="s">
        <v>96</v>
      </c>
      <c r="O1499" s="21" t="s">
        <v>336</v>
      </c>
      <c r="Q1499" s="21" t="s">
        <v>344</v>
      </c>
      <c r="R1499" s="22">
        <v>45756</v>
      </c>
      <c r="W1499">
        <f>COUNTIF(セゾン投信!U:U,B1499)</f>
        <v>0</v>
      </c>
    </row>
    <row r="1500" spans="1:23" ht="24.95" hidden="1" customHeight="1" x14ac:dyDescent="0.4">
      <c r="A1500" s="17" t="s">
        <v>65</v>
      </c>
      <c r="B1500" s="15" t="s">
        <v>293</v>
      </c>
      <c r="C1500" s="16" t="s">
        <v>31</v>
      </c>
      <c r="D1500" s="16" t="s">
        <v>31</v>
      </c>
      <c r="E1500" s="15" t="s">
        <v>32</v>
      </c>
      <c r="F1500" s="15" t="s">
        <v>314</v>
      </c>
      <c r="N1500" s="21" t="s">
        <v>96</v>
      </c>
      <c r="O1500" s="21" t="s">
        <v>336</v>
      </c>
      <c r="Q1500" s="21" t="s">
        <v>344</v>
      </c>
      <c r="R1500" s="22">
        <v>45756</v>
      </c>
      <c r="W1500">
        <f>COUNTIF(セゾン投信!U:U,B1500)</f>
        <v>0</v>
      </c>
    </row>
    <row r="1501" spans="1:23" ht="24.95" hidden="1" customHeight="1" x14ac:dyDescent="0.4">
      <c r="A1501" s="17" t="s">
        <v>65</v>
      </c>
      <c r="B1501" s="15" t="s">
        <v>294</v>
      </c>
      <c r="C1501" s="16" t="s">
        <v>31</v>
      </c>
      <c r="D1501" s="16" t="s">
        <v>31</v>
      </c>
      <c r="E1501" s="15" t="s">
        <v>32</v>
      </c>
      <c r="F1501" s="15" t="s">
        <v>314</v>
      </c>
      <c r="N1501" s="21" t="s">
        <v>96</v>
      </c>
      <c r="O1501" s="21" t="s">
        <v>336</v>
      </c>
      <c r="Q1501" s="21" t="s">
        <v>344</v>
      </c>
      <c r="R1501" s="22">
        <v>45756</v>
      </c>
      <c r="W1501">
        <f>COUNTIF(セゾン投信!U:U,B1501)</f>
        <v>0</v>
      </c>
    </row>
    <row r="1502" spans="1:23" ht="24.95" hidden="1" customHeight="1" x14ac:dyDescent="0.4">
      <c r="A1502" s="17" t="s">
        <v>65</v>
      </c>
      <c r="B1502" s="15" t="s">
        <v>295</v>
      </c>
      <c r="C1502" s="16" t="s">
        <v>31</v>
      </c>
      <c r="D1502" s="16" t="s">
        <v>31</v>
      </c>
      <c r="E1502" s="15" t="s">
        <v>32</v>
      </c>
      <c r="F1502" s="15" t="s">
        <v>314</v>
      </c>
      <c r="N1502" s="21" t="s">
        <v>96</v>
      </c>
      <c r="O1502" s="21" t="s">
        <v>336</v>
      </c>
      <c r="Q1502" s="21" t="s">
        <v>344</v>
      </c>
      <c r="R1502" s="22">
        <v>45756</v>
      </c>
      <c r="W1502">
        <f>COUNTIF(セゾン投信!U:U,B1502)</f>
        <v>0</v>
      </c>
    </row>
    <row r="1503" spans="1:23" ht="24.95" hidden="1" customHeight="1" x14ac:dyDescent="0.4">
      <c r="A1503" s="17" t="s">
        <v>65</v>
      </c>
      <c r="B1503" s="15" t="s">
        <v>296</v>
      </c>
      <c r="C1503" s="16" t="s">
        <v>31</v>
      </c>
      <c r="D1503" s="16" t="s">
        <v>31</v>
      </c>
      <c r="E1503" s="15" t="s">
        <v>32</v>
      </c>
      <c r="F1503" s="15" t="s">
        <v>314</v>
      </c>
      <c r="N1503" s="21" t="s">
        <v>96</v>
      </c>
      <c r="O1503" s="21" t="s">
        <v>336</v>
      </c>
      <c r="Q1503" s="21" t="s">
        <v>344</v>
      </c>
      <c r="R1503" s="22">
        <v>45756</v>
      </c>
      <c r="W1503">
        <f>COUNTIF(セゾン投信!U:U,B1503)</f>
        <v>0</v>
      </c>
    </row>
    <row r="1504" spans="1:23" ht="24.95" hidden="1" customHeight="1" x14ac:dyDescent="0.4">
      <c r="A1504" s="17" t="s">
        <v>65</v>
      </c>
      <c r="B1504" s="15" t="s">
        <v>297</v>
      </c>
      <c r="C1504" s="16" t="s">
        <v>31</v>
      </c>
      <c r="D1504" s="16" t="s">
        <v>31</v>
      </c>
      <c r="E1504" s="15" t="s">
        <v>32</v>
      </c>
      <c r="F1504" s="15" t="s">
        <v>314</v>
      </c>
      <c r="N1504" s="21" t="s">
        <v>96</v>
      </c>
      <c r="O1504" s="21" t="s">
        <v>336</v>
      </c>
      <c r="Q1504" s="21" t="s">
        <v>344</v>
      </c>
      <c r="R1504" s="22">
        <v>45756</v>
      </c>
      <c r="W1504">
        <f>COUNTIF(セゾン投信!U:U,B1504)</f>
        <v>0</v>
      </c>
    </row>
    <row r="1505" spans="1:26" ht="24.95" hidden="1" customHeight="1" x14ac:dyDescent="0.4">
      <c r="A1505" s="17" t="s">
        <v>65</v>
      </c>
      <c r="B1505" s="15" t="s">
        <v>298</v>
      </c>
      <c r="C1505" s="16" t="s">
        <v>31</v>
      </c>
      <c r="D1505" s="16" t="s">
        <v>31</v>
      </c>
      <c r="E1505" s="15" t="s">
        <v>32</v>
      </c>
      <c r="F1505" s="15" t="s">
        <v>314</v>
      </c>
      <c r="N1505" s="21" t="s">
        <v>96</v>
      </c>
      <c r="O1505" s="21" t="s">
        <v>336</v>
      </c>
      <c r="Q1505" s="21" t="s">
        <v>344</v>
      </c>
      <c r="R1505" s="22">
        <v>45756</v>
      </c>
      <c r="W1505">
        <f>COUNTIF(セゾン投信!U:U,B1505)</f>
        <v>0</v>
      </c>
    </row>
    <row r="1506" spans="1:26" ht="24.95" hidden="1" customHeight="1" x14ac:dyDescent="0.4">
      <c r="A1506" s="17" t="s">
        <v>65</v>
      </c>
      <c r="B1506" s="15" t="s">
        <v>299</v>
      </c>
      <c r="C1506" s="16" t="s">
        <v>31</v>
      </c>
      <c r="D1506" s="16" t="s">
        <v>31</v>
      </c>
      <c r="E1506" s="15" t="s">
        <v>32</v>
      </c>
      <c r="F1506" s="15" t="s">
        <v>314</v>
      </c>
      <c r="N1506" s="21" t="s">
        <v>96</v>
      </c>
      <c r="O1506" s="21" t="s">
        <v>336</v>
      </c>
      <c r="Q1506" s="21" t="s">
        <v>344</v>
      </c>
      <c r="R1506" s="22">
        <v>45756</v>
      </c>
      <c r="W1506">
        <f>COUNTIF(セゾン投信!U:U,B1506)</f>
        <v>0</v>
      </c>
    </row>
    <row r="1507" spans="1:26" ht="24.95" hidden="1" customHeight="1" x14ac:dyDescent="0.4">
      <c r="A1507" s="17" t="s">
        <v>65</v>
      </c>
      <c r="B1507" s="15" t="s">
        <v>300</v>
      </c>
      <c r="C1507" s="16" t="s">
        <v>31</v>
      </c>
      <c r="D1507" s="16" t="s">
        <v>31</v>
      </c>
      <c r="E1507" s="15" t="s">
        <v>32</v>
      </c>
      <c r="F1507" s="15" t="s">
        <v>314</v>
      </c>
      <c r="N1507" s="21" t="s">
        <v>96</v>
      </c>
      <c r="O1507" s="21" t="s">
        <v>336</v>
      </c>
      <c r="Q1507" s="21" t="s">
        <v>344</v>
      </c>
      <c r="R1507" s="22">
        <v>45756</v>
      </c>
      <c r="W1507">
        <f>COUNTIF(セゾン投信!U:U,B1507)</f>
        <v>0</v>
      </c>
    </row>
    <row r="1508" spans="1:26" ht="24.95" hidden="1" customHeight="1" x14ac:dyDescent="0.4">
      <c r="A1508" s="17" t="s">
        <v>65</v>
      </c>
      <c r="B1508" s="15" t="s">
        <v>301</v>
      </c>
      <c r="C1508" s="16" t="s">
        <v>31</v>
      </c>
      <c r="D1508" s="16" t="s">
        <v>31</v>
      </c>
      <c r="E1508" s="15" t="s">
        <v>32</v>
      </c>
      <c r="F1508" s="15" t="s">
        <v>314</v>
      </c>
      <c r="N1508" s="21" t="s">
        <v>96</v>
      </c>
      <c r="O1508" s="21" t="s">
        <v>336</v>
      </c>
      <c r="Q1508" s="21" t="s">
        <v>344</v>
      </c>
      <c r="R1508" s="22">
        <v>45756</v>
      </c>
      <c r="W1508">
        <f>COUNTIF(セゾン投信!U:U,B1508)</f>
        <v>0</v>
      </c>
    </row>
    <row r="1509" spans="1:26" ht="24.95" hidden="1" customHeight="1" x14ac:dyDescent="0.4">
      <c r="A1509" s="17" t="s">
        <v>65</v>
      </c>
      <c r="B1509" s="15" t="s">
        <v>302</v>
      </c>
      <c r="C1509" s="16" t="s">
        <v>31</v>
      </c>
      <c r="D1509" s="16" t="s">
        <v>31</v>
      </c>
      <c r="E1509" s="15" t="s">
        <v>32</v>
      </c>
      <c r="F1509" s="15" t="s">
        <v>314</v>
      </c>
      <c r="N1509" s="21" t="s">
        <v>96</v>
      </c>
      <c r="O1509" s="21" t="s">
        <v>336</v>
      </c>
      <c r="Q1509" s="21" t="s">
        <v>344</v>
      </c>
      <c r="R1509" s="22">
        <v>45756</v>
      </c>
      <c r="W1509">
        <f>COUNTIF(セゾン投信!U:U,B1509)</f>
        <v>0</v>
      </c>
    </row>
    <row r="1510" spans="1:26" ht="24.95" hidden="1" customHeight="1" x14ac:dyDescent="0.4">
      <c r="A1510" s="17" t="s">
        <v>65</v>
      </c>
      <c r="B1510" s="15" t="s">
        <v>303</v>
      </c>
      <c r="C1510" s="16" t="s">
        <v>31</v>
      </c>
      <c r="D1510" s="16" t="s">
        <v>31</v>
      </c>
      <c r="E1510" s="15" t="s">
        <v>32</v>
      </c>
      <c r="F1510" s="15" t="s">
        <v>314</v>
      </c>
      <c r="N1510" s="21" t="s">
        <v>96</v>
      </c>
      <c r="O1510" s="21" t="s">
        <v>336</v>
      </c>
      <c r="Q1510" s="21" t="s">
        <v>344</v>
      </c>
      <c r="R1510" s="22">
        <v>45756</v>
      </c>
      <c r="W1510">
        <f>COUNTIF(セゾン投信!U:U,B1510)</f>
        <v>0</v>
      </c>
    </row>
    <row r="1511" spans="1:26" ht="24.95" hidden="1" customHeight="1" x14ac:dyDescent="0.4">
      <c r="A1511" s="17" t="s">
        <v>65</v>
      </c>
      <c r="B1511" s="15" t="s">
        <v>304</v>
      </c>
      <c r="C1511" s="16" t="s">
        <v>31</v>
      </c>
      <c r="D1511" s="16" t="s">
        <v>31</v>
      </c>
      <c r="E1511" s="15" t="s">
        <v>32</v>
      </c>
      <c r="F1511" s="15" t="s">
        <v>314</v>
      </c>
      <c r="N1511" s="21" t="s">
        <v>96</v>
      </c>
      <c r="O1511" s="21" t="s">
        <v>336</v>
      </c>
      <c r="Q1511" s="21" t="s">
        <v>344</v>
      </c>
      <c r="R1511" s="22">
        <v>45756</v>
      </c>
      <c r="W1511">
        <f>COUNTIF(セゾン投信!U:U,B1511)</f>
        <v>0</v>
      </c>
    </row>
    <row r="1512" spans="1:26" ht="24.95" hidden="1" customHeight="1" x14ac:dyDescent="0.4">
      <c r="A1512" s="17" t="s">
        <v>65</v>
      </c>
      <c r="B1512" s="15" t="s">
        <v>305</v>
      </c>
      <c r="C1512" s="16" t="s">
        <v>31</v>
      </c>
      <c r="D1512" s="16" t="s">
        <v>31</v>
      </c>
      <c r="E1512" s="15" t="s">
        <v>32</v>
      </c>
      <c r="F1512" s="15" t="s">
        <v>314</v>
      </c>
      <c r="N1512" s="21" t="s">
        <v>96</v>
      </c>
      <c r="O1512" s="21" t="s">
        <v>336</v>
      </c>
      <c r="Q1512" s="21" t="s">
        <v>344</v>
      </c>
      <c r="R1512" s="22">
        <v>45756</v>
      </c>
      <c r="W1512">
        <f>COUNTIF(セゾン投信!U:U,B1512)</f>
        <v>0</v>
      </c>
    </row>
    <row r="1513" spans="1:26" ht="24.95" hidden="1" customHeight="1" x14ac:dyDescent="0.4">
      <c r="A1513" s="17" t="s">
        <v>65</v>
      </c>
      <c r="B1513" s="15" t="s">
        <v>370</v>
      </c>
      <c r="C1513" s="16" t="s">
        <v>31</v>
      </c>
      <c r="D1513" s="16" t="s">
        <v>31</v>
      </c>
      <c r="E1513" s="15" t="s">
        <v>32</v>
      </c>
      <c r="F1513" s="15" t="s">
        <v>365</v>
      </c>
      <c r="N1513" s="21" t="s">
        <v>374</v>
      </c>
      <c r="O1513" s="21" t="s">
        <v>373</v>
      </c>
      <c r="Q1513" s="21" t="s">
        <v>344</v>
      </c>
      <c r="R1513" s="22">
        <v>45883</v>
      </c>
      <c r="W1513">
        <f>COUNTIF(セゾン投信!U:U,B1513)</f>
        <v>0</v>
      </c>
    </row>
    <row r="1514" spans="1:26" ht="24.95" hidden="1" customHeight="1" x14ac:dyDescent="0.4">
      <c r="A1514" s="17" t="s">
        <v>65</v>
      </c>
      <c r="B1514" s="15" t="s">
        <v>371</v>
      </c>
      <c r="C1514" s="16" t="s">
        <v>31</v>
      </c>
      <c r="D1514" s="16" t="s">
        <v>31</v>
      </c>
      <c r="E1514" s="15" t="s">
        <v>32</v>
      </c>
      <c r="F1514" s="15" t="s">
        <v>365</v>
      </c>
      <c r="N1514" s="21" t="s">
        <v>374</v>
      </c>
      <c r="O1514" s="21" t="s">
        <v>373</v>
      </c>
      <c r="Q1514" s="21" t="s">
        <v>344</v>
      </c>
      <c r="R1514" s="22">
        <v>45883</v>
      </c>
      <c r="W1514">
        <f>COUNTIF(セゾン投信!U:U,B1514)</f>
        <v>0</v>
      </c>
    </row>
    <row r="1515" spans="1:26" ht="24.95" hidden="1" customHeight="1" x14ac:dyDescent="0.4">
      <c r="A1515" s="17" t="s">
        <v>65</v>
      </c>
      <c r="B1515" s="15" t="s">
        <v>306</v>
      </c>
      <c r="C1515" s="16" t="s">
        <v>24</v>
      </c>
      <c r="D1515" s="16" t="s">
        <v>31</v>
      </c>
      <c r="E1515" s="15" t="s">
        <v>35</v>
      </c>
      <c r="F1515" s="15" t="s">
        <v>314</v>
      </c>
      <c r="N1515" s="21" t="s">
        <v>96</v>
      </c>
      <c r="O1515" s="21" t="s">
        <v>336</v>
      </c>
      <c r="Q1515" s="21" t="s">
        <v>344</v>
      </c>
      <c r="R1515" s="22">
        <v>45756</v>
      </c>
      <c r="W1515">
        <f>COUNTIF(セゾン投信!U:U,B1515)</f>
        <v>0</v>
      </c>
    </row>
    <row r="1516" spans="1:26" ht="24.95" hidden="1" customHeight="1" x14ac:dyDescent="0.4">
      <c r="A1516" s="17" t="s">
        <v>65</v>
      </c>
      <c r="B1516" s="15" t="s">
        <v>307</v>
      </c>
      <c r="C1516" s="16" t="s">
        <v>31</v>
      </c>
      <c r="D1516" s="16" t="s">
        <v>31</v>
      </c>
      <c r="E1516" s="15" t="s">
        <v>32</v>
      </c>
      <c r="F1516" s="15" t="s">
        <v>314</v>
      </c>
      <c r="N1516" s="21" t="s">
        <v>96</v>
      </c>
      <c r="O1516" s="21" t="s">
        <v>336</v>
      </c>
      <c r="Q1516" s="21" t="s">
        <v>344</v>
      </c>
      <c r="R1516" s="22">
        <v>45756</v>
      </c>
      <c r="W1516">
        <f>COUNTIF(セゾン投信!U:U,B1516)</f>
        <v>0</v>
      </c>
    </row>
    <row r="1517" spans="1:26" ht="24.95" hidden="1" customHeight="1" x14ac:dyDescent="0.4">
      <c r="A1517" s="17" t="s">
        <v>65</v>
      </c>
      <c r="B1517" s="15" t="s">
        <v>38</v>
      </c>
      <c r="C1517" s="16" t="s">
        <v>31</v>
      </c>
      <c r="D1517" s="16" t="s">
        <v>31</v>
      </c>
      <c r="E1517" s="15" t="s">
        <v>32</v>
      </c>
      <c r="F1517" s="15" t="s">
        <v>80</v>
      </c>
      <c r="N1517" s="21" t="s">
        <v>96</v>
      </c>
      <c r="O1517" s="13" t="s">
        <v>353</v>
      </c>
      <c r="Q1517" s="21" t="s">
        <v>344</v>
      </c>
      <c r="R1517" s="22">
        <v>45814</v>
      </c>
      <c r="W1517">
        <f>COUNTIF(セゾン投信!U:U,B1517)</f>
        <v>0</v>
      </c>
    </row>
    <row r="1518" spans="1:26" ht="24.95" hidden="1" customHeight="1" x14ac:dyDescent="0.4">
      <c r="A1518" s="17" t="s">
        <v>65</v>
      </c>
      <c r="B1518" s="15" t="s">
        <v>119</v>
      </c>
      <c r="C1518" s="16" t="s">
        <v>31</v>
      </c>
      <c r="D1518" s="16" t="s">
        <v>31</v>
      </c>
      <c r="E1518" s="15" t="s">
        <v>32</v>
      </c>
      <c r="F1518" s="15" t="s">
        <v>365</v>
      </c>
      <c r="N1518" s="21" t="s">
        <v>374</v>
      </c>
      <c r="O1518" s="21" t="s">
        <v>375</v>
      </c>
      <c r="Q1518" s="21" t="s">
        <v>344</v>
      </c>
      <c r="R1518" s="22">
        <v>45883</v>
      </c>
      <c r="W1518">
        <f>COUNTIF(セゾン投信!U:U,B1518)</f>
        <v>0</v>
      </c>
    </row>
    <row r="1519" spans="1:26" ht="24.95" hidden="1" customHeight="1" x14ac:dyDescent="0.4">
      <c r="A1519" s="17" t="s">
        <v>65</v>
      </c>
      <c r="B1519" s="15" t="s">
        <v>120</v>
      </c>
      <c r="C1519" s="16" t="s">
        <v>31</v>
      </c>
      <c r="D1519" s="16" t="s">
        <v>31</v>
      </c>
      <c r="E1519" s="15" t="s">
        <v>32</v>
      </c>
      <c r="F1519" s="15" t="s">
        <v>314</v>
      </c>
      <c r="N1519" s="21" t="s">
        <v>96</v>
      </c>
      <c r="O1519" s="13" t="s">
        <v>339</v>
      </c>
      <c r="Q1519" s="21" t="s">
        <v>344</v>
      </c>
      <c r="R1519" s="22">
        <v>45756</v>
      </c>
      <c r="W1519">
        <f>COUNTIF(セゾン投信!U:U,B1519)</f>
        <v>0</v>
      </c>
    </row>
    <row r="1520" spans="1:26" ht="24.95" hidden="1" customHeight="1" x14ac:dyDescent="0.4">
      <c r="A1520" s="17" t="s">
        <v>65</v>
      </c>
      <c r="B1520" s="15" t="s">
        <v>39</v>
      </c>
      <c r="C1520" s="16" t="s">
        <v>31</v>
      </c>
      <c r="D1520" s="16" t="s">
        <v>31</v>
      </c>
      <c r="E1520" s="15" t="s">
        <v>32</v>
      </c>
      <c r="F1520" s="15" t="s">
        <v>221</v>
      </c>
      <c r="N1520" s="21" t="s">
        <v>96</v>
      </c>
      <c r="O1520" s="13" t="s">
        <v>350</v>
      </c>
      <c r="Q1520" s="21" t="s">
        <v>344</v>
      </c>
      <c r="R1520" s="22">
        <v>45814</v>
      </c>
      <c r="W1520">
        <f>COUNTIF(セゾン投信!U:U,B1520)</f>
        <v>0</v>
      </c>
      <c r="Z1520" t="s">
        <v>431</v>
      </c>
    </row>
    <row r="1521" spans="1:26" ht="24.95" hidden="1" customHeight="1" x14ac:dyDescent="0.4">
      <c r="A1521" s="17" t="s">
        <v>65</v>
      </c>
      <c r="B1521" s="15" t="s">
        <v>220</v>
      </c>
      <c r="C1521" s="16" t="s">
        <v>31</v>
      </c>
      <c r="D1521" s="16" t="s">
        <v>31</v>
      </c>
      <c r="E1521" s="15" t="s">
        <v>32</v>
      </c>
      <c r="F1521" s="15" t="s">
        <v>221</v>
      </c>
      <c r="N1521" s="21" t="s">
        <v>96</v>
      </c>
      <c r="O1521" s="21" t="s">
        <v>338</v>
      </c>
      <c r="Q1521" s="21" t="s">
        <v>344</v>
      </c>
      <c r="R1521" s="22">
        <v>45814</v>
      </c>
      <c r="W1521">
        <f>COUNTIF(セゾン投信!U:U,B1521)</f>
        <v>0</v>
      </c>
    </row>
    <row r="1522" spans="1:26" ht="24.95" hidden="1" customHeight="1" x14ac:dyDescent="0.4">
      <c r="A1522" s="17" t="s">
        <v>65</v>
      </c>
      <c r="B1522" s="15" t="s">
        <v>172</v>
      </c>
      <c r="C1522" s="16" t="s">
        <v>31</v>
      </c>
      <c r="D1522" s="16" t="s">
        <v>31</v>
      </c>
      <c r="E1522" s="15" t="s">
        <v>32</v>
      </c>
      <c r="F1522" s="15" t="s">
        <v>173</v>
      </c>
      <c r="N1522" s="21" t="s">
        <v>96</v>
      </c>
      <c r="O1522" s="21" t="s">
        <v>336</v>
      </c>
      <c r="Q1522" s="21" t="s">
        <v>344</v>
      </c>
      <c r="R1522" s="22">
        <v>45814</v>
      </c>
      <c r="W1522">
        <f>COUNTIF(セゾン投信!U:U,B1522)</f>
        <v>0</v>
      </c>
    </row>
    <row r="1523" spans="1:26" ht="24.95" hidden="1" customHeight="1" x14ac:dyDescent="0.4">
      <c r="A1523" s="17" t="s">
        <v>65</v>
      </c>
      <c r="B1523" s="15" t="s">
        <v>111</v>
      </c>
      <c r="C1523" s="16" t="s">
        <v>31</v>
      </c>
      <c r="D1523" s="16" t="s">
        <v>31</v>
      </c>
      <c r="E1523" s="15" t="s">
        <v>32</v>
      </c>
      <c r="F1523" s="15" t="s">
        <v>314</v>
      </c>
      <c r="N1523" s="21" t="s">
        <v>96</v>
      </c>
      <c r="O1523" s="13" t="s">
        <v>339</v>
      </c>
      <c r="Q1523" s="21" t="s">
        <v>344</v>
      </c>
      <c r="R1523" s="22">
        <v>45756</v>
      </c>
      <c r="W1523">
        <f>COUNTIF(セゾン投信!U:U,B1523)</f>
        <v>0</v>
      </c>
    </row>
    <row r="1524" spans="1:26" ht="24.95" hidden="1" customHeight="1" x14ac:dyDescent="0.4">
      <c r="A1524" s="17" t="s">
        <v>65</v>
      </c>
      <c r="B1524" s="15" t="s">
        <v>42</v>
      </c>
      <c r="C1524" s="16" t="s">
        <v>31</v>
      </c>
      <c r="D1524" s="16" t="s">
        <v>31</v>
      </c>
      <c r="E1524" s="15" t="s">
        <v>32</v>
      </c>
      <c r="F1524" s="15" t="s">
        <v>221</v>
      </c>
      <c r="N1524" s="21" t="s">
        <v>96</v>
      </c>
      <c r="O1524" s="13" t="s">
        <v>351</v>
      </c>
      <c r="Q1524" s="21" t="s">
        <v>344</v>
      </c>
      <c r="R1524" s="22">
        <v>45814</v>
      </c>
      <c r="W1524">
        <f>COUNTIF(セゾン投信!U:U,B1524)</f>
        <v>0</v>
      </c>
    </row>
    <row r="1525" spans="1:26" ht="24.95" hidden="1" customHeight="1" x14ac:dyDescent="0.4">
      <c r="A1525" s="17" t="s">
        <v>65</v>
      </c>
      <c r="B1525" s="15" t="s">
        <v>330</v>
      </c>
      <c r="C1525" s="16" t="s">
        <v>31</v>
      </c>
      <c r="D1525" s="16" t="s">
        <v>31</v>
      </c>
      <c r="E1525" s="15" t="s">
        <v>32</v>
      </c>
      <c r="F1525" s="15" t="s">
        <v>314</v>
      </c>
      <c r="N1525" s="21" t="s">
        <v>96</v>
      </c>
      <c r="O1525" s="21" t="s">
        <v>338</v>
      </c>
      <c r="Q1525" s="21" t="s">
        <v>344</v>
      </c>
      <c r="R1525" s="22">
        <v>45756</v>
      </c>
      <c r="W1525">
        <f>COUNTIF(セゾン投信!U:U,B1525)</f>
        <v>0</v>
      </c>
    </row>
    <row r="1526" spans="1:26" ht="24.95" hidden="1" customHeight="1" x14ac:dyDescent="0.4">
      <c r="A1526" s="17" t="s">
        <v>65</v>
      </c>
      <c r="B1526" s="15" t="s">
        <v>43</v>
      </c>
      <c r="C1526" s="16" t="s">
        <v>31</v>
      </c>
      <c r="D1526" s="16" t="s">
        <v>31</v>
      </c>
      <c r="E1526" s="15" t="s">
        <v>32</v>
      </c>
      <c r="F1526" s="15" t="s">
        <v>356</v>
      </c>
      <c r="N1526" s="21" t="s">
        <v>96</v>
      </c>
      <c r="O1526" s="21" t="s">
        <v>360</v>
      </c>
      <c r="Q1526" s="21" t="s">
        <v>344</v>
      </c>
      <c r="R1526" s="22">
        <v>45847</v>
      </c>
      <c r="W1526">
        <f>COUNTIF(セゾン投信!U:U,B1526)</f>
        <v>0</v>
      </c>
    </row>
    <row r="1527" spans="1:26" ht="24.95" hidden="1" customHeight="1" x14ac:dyDescent="0.4">
      <c r="A1527" s="17" t="s">
        <v>65</v>
      </c>
      <c r="B1527" s="15" t="s">
        <v>95</v>
      </c>
      <c r="C1527" s="16" t="s">
        <v>31</v>
      </c>
      <c r="D1527" s="16" t="s">
        <v>31</v>
      </c>
      <c r="E1527" s="15" t="s">
        <v>32</v>
      </c>
      <c r="F1527" s="15" t="s">
        <v>94</v>
      </c>
      <c r="G1527" s="25" t="s">
        <v>40</v>
      </c>
      <c r="H1527" s="24" t="s">
        <v>96</v>
      </c>
      <c r="I1527" s="24" t="s">
        <v>109</v>
      </c>
      <c r="J1527" s="24" t="s">
        <v>110</v>
      </c>
      <c r="K1527" s="23">
        <v>44725</v>
      </c>
      <c r="L1527" s="23">
        <v>44723</v>
      </c>
      <c r="N1527" s="21" t="s">
        <v>96</v>
      </c>
      <c r="O1527" s="13" t="s">
        <v>105</v>
      </c>
      <c r="R1527" s="22" t="s">
        <v>24</v>
      </c>
      <c r="W1527">
        <f>COUNTIF(セゾン投信!U:U,B1527)</f>
        <v>0</v>
      </c>
      <c r="Z1527" t="s">
        <v>435</v>
      </c>
    </row>
    <row r="1528" spans="1:26" ht="24.95" hidden="1" customHeight="1" x14ac:dyDescent="0.4">
      <c r="A1528" s="17" t="s">
        <v>65</v>
      </c>
      <c r="B1528" s="15" t="s">
        <v>103</v>
      </c>
      <c r="C1528" s="16" t="s">
        <v>31</v>
      </c>
      <c r="D1528" s="16" t="s">
        <v>31</v>
      </c>
      <c r="E1528" s="15" t="s">
        <v>32</v>
      </c>
      <c r="F1528" s="15" t="s">
        <v>102</v>
      </c>
      <c r="N1528" s="21" t="s">
        <v>96</v>
      </c>
      <c r="O1528" s="13" t="s">
        <v>106</v>
      </c>
      <c r="R1528" s="22" t="s">
        <v>24</v>
      </c>
      <c r="W1528">
        <f>COUNTIF(セゾン投信!U:U,B1528)</f>
        <v>0</v>
      </c>
      <c r="Z1528" t="s">
        <v>435</v>
      </c>
    </row>
    <row r="1529" spans="1:26" ht="24.95" hidden="1" customHeight="1" x14ac:dyDescent="0.4">
      <c r="A1529" s="17" t="s">
        <v>65</v>
      </c>
      <c r="B1529" s="15" t="s">
        <v>343</v>
      </c>
      <c r="C1529" s="16" t="s">
        <v>31</v>
      </c>
      <c r="D1529" s="16" t="s">
        <v>31</v>
      </c>
      <c r="E1529" s="15" t="s">
        <v>32</v>
      </c>
      <c r="F1529" s="15" t="s">
        <v>340</v>
      </c>
      <c r="N1529" s="21" t="s">
        <v>96</v>
      </c>
      <c r="O1529" s="21" t="s">
        <v>345</v>
      </c>
      <c r="Q1529" s="21" t="s">
        <v>344</v>
      </c>
      <c r="R1529" s="22">
        <v>45784</v>
      </c>
      <c r="W1529">
        <f>COUNTIF(セゾン投信!U:U,B1529)</f>
        <v>0</v>
      </c>
    </row>
    <row r="1530" spans="1:26" ht="24.95" hidden="1" customHeight="1" x14ac:dyDescent="0.4">
      <c r="A1530" s="17" t="s">
        <v>65</v>
      </c>
      <c r="B1530" s="15" t="s">
        <v>121</v>
      </c>
      <c r="C1530" s="16" t="s">
        <v>31</v>
      </c>
      <c r="D1530" s="16" t="s">
        <v>31</v>
      </c>
      <c r="E1530" s="15" t="s">
        <v>32</v>
      </c>
      <c r="F1530" s="15" t="s">
        <v>314</v>
      </c>
      <c r="N1530" s="21" t="s">
        <v>96</v>
      </c>
      <c r="O1530" s="21" t="s">
        <v>336</v>
      </c>
      <c r="Q1530" s="21" t="s">
        <v>344</v>
      </c>
      <c r="R1530" s="22">
        <v>45756</v>
      </c>
      <c r="W1530">
        <f>COUNTIF(セゾン投信!U:U,B1530)</f>
        <v>0</v>
      </c>
    </row>
    <row r="1531" spans="1:26" ht="24.95" hidden="1" customHeight="1" x14ac:dyDescent="0.4">
      <c r="A1531" s="17" t="s">
        <v>65</v>
      </c>
      <c r="B1531" s="15" t="s">
        <v>44</v>
      </c>
      <c r="C1531" s="16" t="s">
        <v>31</v>
      </c>
      <c r="D1531" s="16" t="s">
        <v>31</v>
      </c>
      <c r="E1531" s="15" t="s">
        <v>32</v>
      </c>
      <c r="F1531" s="15" t="s">
        <v>221</v>
      </c>
      <c r="N1531" s="21" t="s">
        <v>96</v>
      </c>
      <c r="O1531" s="13" t="s">
        <v>359</v>
      </c>
      <c r="Q1531" s="21" t="s">
        <v>344</v>
      </c>
      <c r="R1531" s="22">
        <v>45814</v>
      </c>
      <c r="W1531">
        <f>COUNTIF(セゾン投信!U:U,B1531)</f>
        <v>0</v>
      </c>
    </row>
    <row r="1532" spans="1:26" ht="24.95" hidden="1" customHeight="1" x14ac:dyDescent="0.4">
      <c r="A1532" s="17" t="s">
        <v>65</v>
      </c>
      <c r="B1532" s="15" t="s">
        <v>45</v>
      </c>
      <c r="C1532" s="16" t="s">
        <v>31</v>
      </c>
      <c r="D1532" s="16" t="s">
        <v>31</v>
      </c>
      <c r="E1532" s="15" t="s">
        <v>32</v>
      </c>
      <c r="F1532" s="15" t="s">
        <v>314</v>
      </c>
      <c r="N1532" s="21" t="s">
        <v>96</v>
      </c>
      <c r="O1532" s="21" t="s">
        <v>338</v>
      </c>
      <c r="Q1532" s="21" t="s">
        <v>344</v>
      </c>
      <c r="R1532" s="22">
        <v>45756</v>
      </c>
      <c r="W1532">
        <f>COUNTIF(セゾン投信!U:U,B1532)</f>
        <v>0</v>
      </c>
      <c r="Z1532" t="s">
        <v>431</v>
      </c>
    </row>
    <row r="1533" spans="1:26" ht="24.95" customHeight="1" x14ac:dyDescent="0.4">
      <c r="A1533" s="17" t="s">
        <v>65</v>
      </c>
      <c r="B1533" s="50" t="s">
        <v>469</v>
      </c>
      <c r="C1533" s="16" t="s">
        <v>31</v>
      </c>
      <c r="D1533" s="16" t="s">
        <v>31</v>
      </c>
      <c r="E1533" s="15" t="s">
        <v>32</v>
      </c>
      <c r="F1533" s="15" t="s">
        <v>365</v>
      </c>
      <c r="N1533" s="21" t="s">
        <v>374</v>
      </c>
      <c r="O1533" s="13" t="s">
        <v>468</v>
      </c>
      <c r="Q1533" s="21" t="s">
        <v>344</v>
      </c>
      <c r="R1533" s="22">
        <v>45883</v>
      </c>
      <c r="W1533">
        <f>COUNTIF(セゾン投信!U:U,B1533)</f>
        <v>0</v>
      </c>
    </row>
    <row r="1534" spans="1:26" ht="24.95" hidden="1" customHeight="1" x14ac:dyDescent="0.4">
      <c r="A1534" s="17" t="s">
        <v>65</v>
      </c>
      <c r="B1534" s="50" t="s">
        <v>91</v>
      </c>
      <c r="C1534" s="16" t="s">
        <v>31</v>
      </c>
      <c r="D1534" s="16" t="s">
        <v>31</v>
      </c>
      <c r="E1534" s="15" t="s">
        <v>32</v>
      </c>
      <c r="F1534" s="15" t="s">
        <v>356</v>
      </c>
      <c r="N1534" s="21" t="s">
        <v>96</v>
      </c>
      <c r="O1534" s="21" t="s">
        <v>360</v>
      </c>
      <c r="Q1534" s="21" t="s">
        <v>344</v>
      </c>
      <c r="R1534" s="22">
        <v>45847</v>
      </c>
      <c r="W1534">
        <f>COUNTIF(セゾン投信!U:U,B1534)</f>
        <v>0</v>
      </c>
    </row>
    <row r="1535" spans="1:26" ht="24.95" hidden="1" customHeight="1" x14ac:dyDescent="0.4">
      <c r="A1535" s="17" t="s">
        <v>65</v>
      </c>
      <c r="B1535" s="50" t="s">
        <v>135</v>
      </c>
      <c r="C1535" s="16" t="s">
        <v>24</v>
      </c>
      <c r="D1535" s="16" t="s">
        <v>31</v>
      </c>
      <c r="E1535" s="15" t="s">
        <v>35</v>
      </c>
      <c r="F1535" s="15" t="s">
        <v>130</v>
      </c>
      <c r="G1535" s="25" t="s">
        <v>58</v>
      </c>
      <c r="H1535" s="24" t="s">
        <v>140</v>
      </c>
      <c r="M1535" s="21" t="s">
        <v>81</v>
      </c>
      <c r="N1535" s="21" t="s">
        <v>137</v>
      </c>
      <c r="O1535" s="21" t="s">
        <v>138</v>
      </c>
      <c r="W1535">
        <f>COUNTIF(セゾン投信!U:U,B1535)</f>
        <v>0</v>
      </c>
      <c r="Z1535" t="str">
        <f>A1535&amp;" "&amp;B1535</f>
        <v>0H wb rc/DTD</v>
      </c>
    </row>
    <row r="1536" spans="1:26" ht="24.95" hidden="1" customHeight="1" x14ac:dyDescent="0.4">
      <c r="A1536" s="17" t="s">
        <v>65</v>
      </c>
      <c r="B1536" s="50" t="s">
        <v>136</v>
      </c>
      <c r="C1536" s="16" t="s">
        <v>24</v>
      </c>
      <c r="D1536" s="16" t="s">
        <v>31</v>
      </c>
      <c r="E1536" s="15" t="s">
        <v>35</v>
      </c>
      <c r="F1536" s="15" t="s">
        <v>130</v>
      </c>
      <c r="G1536" s="25" t="s">
        <v>58</v>
      </c>
      <c r="H1536" s="24" t="s">
        <v>140</v>
      </c>
      <c r="M1536" s="21" t="s">
        <v>81</v>
      </c>
      <c r="N1536" s="21" t="s">
        <v>144</v>
      </c>
      <c r="O1536" s="21" t="s">
        <v>138</v>
      </c>
      <c r="W1536">
        <f>COUNTIF(セゾン投信!U:U,B1536)</f>
        <v>0</v>
      </c>
      <c r="Z1536" t="str">
        <f>A1536&amp;" "&amp;B1536</f>
        <v>0H wb rc/test_client</v>
      </c>
    </row>
    <row r="1537" spans="1:26" ht="24.95" hidden="1" customHeight="1" x14ac:dyDescent="0.4">
      <c r="A1537" s="17" t="s">
        <v>66</v>
      </c>
      <c r="B1537" s="15" t="s">
        <v>49</v>
      </c>
      <c r="C1537" s="16" t="s">
        <v>31</v>
      </c>
      <c r="D1537" s="16" t="s">
        <v>24</v>
      </c>
      <c r="E1537" s="15" t="s">
        <v>50</v>
      </c>
      <c r="F1537" s="15" t="s">
        <v>80</v>
      </c>
      <c r="G1537" s="25" t="s">
        <v>23</v>
      </c>
      <c r="H1537" s="26" t="s">
        <v>51</v>
      </c>
      <c r="I1537" s="24" t="s">
        <v>52</v>
      </c>
      <c r="J1537" s="24" t="s">
        <v>53</v>
      </c>
      <c r="N1537" s="13" t="s">
        <v>85</v>
      </c>
      <c r="O1537" s="21" t="s">
        <v>83</v>
      </c>
      <c r="R1537" s="22" t="s">
        <v>24</v>
      </c>
      <c r="W1537">
        <f>COUNTIF(セゾン投信!U:U,B1537)</f>
        <v>0</v>
      </c>
      <c r="Z1537" t="s">
        <v>435</v>
      </c>
    </row>
    <row r="1538" spans="1:26" ht="24.95" hidden="1" customHeight="1" x14ac:dyDescent="0.4">
      <c r="A1538" s="17" t="s">
        <v>66</v>
      </c>
      <c r="B1538" s="15" t="s">
        <v>115</v>
      </c>
      <c r="C1538" s="16" t="s">
        <v>31</v>
      </c>
      <c r="D1538" s="16" t="s">
        <v>31</v>
      </c>
      <c r="E1538" s="15" t="s">
        <v>32</v>
      </c>
      <c r="F1538" s="15" t="s">
        <v>166</v>
      </c>
      <c r="N1538" s="21" t="s">
        <v>96</v>
      </c>
      <c r="O1538" s="21" t="s">
        <v>337</v>
      </c>
      <c r="Q1538" s="21" t="s">
        <v>344</v>
      </c>
      <c r="R1538" s="22">
        <v>45814</v>
      </c>
      <c r="W1538">
        <f>COUNTIF(セゾン投信!U:U,B1538)</f>
        <v>0</v>
      </c>
    </row>
    <row r="1539" spans="1:26" ht="24.95" hidden="1" customHeight="1" x14ac:dyDescent="0.4">
      <c r="A1539" s="17" t="s">
        <v>66</v>
      </c>
      <c r="B1539" s="15" t="s">
        <v>313</v>
      </c>
      <c r="C1539" s="16" t="s">
        <v>24</v>
      </c>
      <c r="D1539" s="16" t="s">
        <v>31</v>
      </c>
      <c r="E1539" s="15" t="s">
        <v>35</v>
      </c>
      <c r="F1539" s="15" t="s">
        <v>314</v>
      </c>
      <c r="N1539" s="21" t="s">
        <v>96</v>
      </c>
      <c r="O1539" s="21" t="s">
        <v>337</v>
      </c>
      <c r="Q1539" s="21" t="s">
        <v>344</v>
      </c>
      <c r="R1539" s="22">
        <v>45756</v>
      </c>
      <c r="W1539">
        <f>COUNTIF(セゾン投信!U:U,B1539)</f>
        <v>0</v>
      </c>
    </row>
    <row r="1540" spans="1:26" ht="24.95" hidden="1" customHeight="1" x14ac:dyDescent="0.4">
      <c r="A1540" s="17" t="s">
        <v>66</v>
      </c>
      <c r="B1540" s="15" t="s">
        <v>315</v>
      </c>
      <c r="C1540" s="16" t="s">
        <v>24</v>
      </c>
      <c r="D1540" s="16" t="s">
        <v>31</v>
      </c>
      <c r="E1540" s="15" t="s">
        <v>35</v>
      </c>
      <c r="F1540" s="15" t="s">
        <v>314</v>
      </c>
      <c r="N1540" s="21" t="s">
        <v>96</v>
      </c>
      <c r="O1540" s="21" t="s">
        <v>337</v>
      </c>
      <c r="Q1540" s="21" t="s">
        <v>344</v>
      </c>
      <c r="R1540" s="22">
        <v>45756</v>
      </c>
      <c r="W1540">
        <f>COUNTIF(セゾン投信!U:U,B1540)</f>
        <v>0</v>
      </c>
    </row>
    <row r="1541" spans="1:26" ht="24.95" hidden="1" customHeight="1" x14ac:dyDescent="0.4">
      <c r="A1541" s="17" t="s">
        <v>66</v>
      </c>
      <c r="B1541" s="15" t="s">
        <v>316</v>
      </c>
      <c r="C1541" s="16" t="s">
        <v>24</v>
      </c>
      <c r="D1541" s="16" t="s">
        <v>31</v>
      </c>
      <c r="E1541" s="15" t="s">
        <v>35</v>
      </c>
      <c r="F1541" s="15" t="s">
        <v>314</v>
      </c>
      <c r="N1541" s="21" t="s">
        <v>96</v>
      </c>
      <c r="O1541" s="21" t="s">
        <v>337</v>
      </c>
      <c r="Q1541" s="21" t="s">
        <v>344</v>
      </c>
      <c r="R1541" s="22">
        <v>45756</v>
      </c>
      <c r="W1541">
        <f>COUNTIF(セゾン投信!U:U,B1541)</f>
        <v>0</v>
      </c>
    </row>
    <row r="1542" spans="1:26" ht="24.95" hidden="1" customHeight="1" x14ac:dyDescent="0.4">
      <c r="A1542" s="17" t="s">
        <v>66</v>
      </c>
      <c r="B1542" s="15" t="s">
        <v>317</v>
      </c>
      <c r="C1542" s="16" t="s">
        <v>24</v>
      </c>
      <c r="D1542" s="16" t="s">
        <v>31</v>
      </c>
      <c r="E1542" s="15" t="s">
        <v>35</v>
      </c>
      <c r="F1542" s="15" t="s">
        <v>314</v>
      </c>
      <c r="N1542" s="21" t="s">
        <v>96</v>
      </c>
      <c r="O1542" s="21" t="s">
        <v>337</v>
      </c>
      <c r="Q1542" s="21" t="s">
        <v>344</v>
      </c>
      <c r="R1542" s="22">
        <v>45756</v>
      </c>
      <c r="W1542">
        <f>COUNTIF(セゾン投信!U:U,B1542)</f>
        <v>0</v>
      </c>
    </row>
    <row r="1543" spans="1:26" ht="24.95" hidden="1" customHeight="1" x14ac:dyDescent="0.4">
      <c r="A1543" s="17" t="s">
        <v>66</v>
      </c>
      <c r="B1543" s="50" t="s">
        <v>364</v>
      </c>
      <c r="C1543" s="16" t="s">
        <v>24</v>
      </c>
      <c r="D1543" s="16" t="s">
        <v>31</v>
      </c>
      <c r="E1543" s="15" t="s">
        <v>35</v>
      </c>
      <c r="F1543" s="15" t="s">
        <v>365</v>
      </c>
      <c r="N1543" s="21" t="s">
        <v>96</v>
      </c>
      <c r="O1543" s="21" t="s">
        <v>372</v>
      </c>
      <c r="Q1543" s="21" t="s">
        <v>344</v>
      </c>
      <c r="R1543" s="22">
        <v>45883</v>
      </c>
      <c r="W1543">
        <f>COUNTIF(セゾン投信!U:U,B1543)</f>
        <v>0</v>
      </c>
    </row>
    <row r="1544" spans="1:26" ht="24.95" hidden="1" customHeight="1" x14ac:dyDescent="0.4">
      <c r="A1544" s="17" t="s">
        <v>66</v>
      </c>
      <c r="B1544" s="15" t="s">
        <v>355</v>
      </c>
      <c r="C1544" s="16" t="s">
        <v>31</v>
      </c>
      <c r="D1544" s="16" t="s">
        <v>31</v>
      </c>
      <c r="E1544" s="15" t="s">
        <v>32</v>
      </c>
      <c r="F1544" s="15" t="s">
        <v>356</v>
      </c>
      <c r="N1544" s="21" t="s">
        <v>96</v>
      </c>
      <c r="O1544" s="21" t="s">
        <v>360</v>
      </c>
      <c r="Q1544" s="21" t="s">
        <v>344</v>
      </c>
      <c r="R1544" s="22">
        <v>45847</v>
      </c>
      <c r="W1544">
        <f>COUNTIF(セゾン投信!U:U,B1544)</f>
        <v>1</v>
      </c>
    </row>
    <row r="1545" spans="1:26" ht="24.95" hidden="1" customHeight="1" x14ac:dyDescent="0.4">
      <c r="A1545" s="17" t="s">
        <v>66</v>
      </c>
      <c r="B1545" s="15" t="s">
        <v>171</v>
      </c>
      <c r="C1545" s="16" t="s">
        <v>31</v>
      </c>
      <c r="D1545" s="16" t="s">
        <v>31</v>
      </c>
      <c r="E1545" s="15" t="s">
        <v>32</v>
      </c>
      <c r="F1545" s="15" t="s">
        <v>314</v>
      </c>
      <c r="N1545" s="21" t="s">
        <v>96</v>
      </c>
      <c r="O1545" s="21" t="s">
        <v>336</v>
      </c>
      <c r="Q1545" s="21" t="s">
        <v>344</v>
      </c>
      <c r="R1545" s="22">
        <v>45756</v>
      </c>
      <c r="W1545">
        <f>COUNTIF(セゾン投信!U:U,B1545)</f>
        <v>0</v>
      </c>
    </row>
    <row r="1546" spans="1:26" ht="24.95" hidden="1" customHeight="1" x14ac:dyDescent="0.4">
      <c r="A1546" s="17" t="s">
        <v>66</v>
      </c>
      <c r="B1546" s="15" t="s">
        <v>123</v>
      </c>
      <c r="C1546" s="16" t="s">
        <v>31</v>
      </c>
      <c r="D1546" s="16" t="s">
        <v>31</v>
      </c>
      <c r="E1546" s="15" t="s">
        <v>32</v>
      </c>
      <c r="F1546" s="15" t="s">
        <v>170</v>
      </c>
      <c r="N1546" s="21" t="s">
        <v>96</v>
      </c>
      <c r="O1546" s="21" t="s">
        <v>337</v>
      </c>
      <c r="Q1546" s="21" t="s">
        <v>344</v>
      </c>
      <c r="R1546" s="22">
        <v>45814</v>
      </c>
      <c r="W1546">
        <f>COUNTIF(セゾン投信!U:U,B1546)</f>
        <v>0</v>
      </c>
    </row>
    <row r="1547" spans="1:26" ht="24.95" hidden="1" customHeight="1" x14ac:dyDescent="0.4">
      <c r="A1547" s="17" t="s">
        <v>66</v>
      </c>
      <c r="B1547" s="15" t="s">
        <v>37</v>
      </c>
      <c r="C1547" s="16" t="s">
        <v>31</v>
      </c>
      <c r="D1547" s="16" t="s">
        <v>31</v>
      </c>
      <c r="E1547" s="15" t="s">
        <v>32</v>
      </c>
      <c r="F1547" s="15" t="s">
        <v>212</v>
      </c>
      <c r="N1547" s="21" t="s">
        <v>96</v>
      </c>
      <c r="O1547" s="13" t="s">
        <v>349</v>
      </c>
      <c r="Q1547" s="21" t="s">
        <v>344</v>
      </c>
      <c r="R1547" s="22">
        <v>45814</v>
      </c>
      <c r="W1547">
        <f>COUNTIF(セゾン投信!U:U,B1547)</f>
        <v>1</v>
      </c>
      <c r="Z1547" t="s">
        <v>432</v>
      </c>
    </row>
    <row r="1548" spans="1:26" ht="24.95" hidden="1" customHeight="1" x14ac:dyDescent="0.4">
      <c r="A1548" s="17" t="s">
        <v>66</v>
      </c>
      <c r="B1548" s="15" t="s">
        <v>225</v>
      </c>
      <c r="C1548" s="16" t="s">
        <v>31</v>
      </c>
      <c r="D1548" s="16" t="s">
        <v>31</v>
      </c>
      <c r="E1548" s="15" t="s">
        <v>32</v>
      </c>
      <c r="F1548" s="15" t="s">
        <v>314</v>
      </c>
      <c r="N1548" s="21" t="s">
        <v>96</v>
      </c>
      <c r="O1548" s="21" t="s">
        <v>336</v>
      </c>
      <c r="Q1548" s="21" t="s">
        <v>344</v>
      </c>
      <c r="R1548" s="22">
        <v>45756</v>
      </c>
      <c r="W1548">
        <f>COUNTIF(セゾン投信!U:U,B1548)</f>
        <v>0</v>
      </c>
    </row>
    <row r="1549" spans="1:26" ht="24.95" hidden="1" customHeight="1" x14ac:dyDescent="0.4">
      <c r="A1549" s="17" t="s">
        <v>66</v>
      </c>
      <c r="B1549" s="15" t="s">
        <v>117</v>
      </c>
      <c r="C1549" s="16" t="s">
        <v>31</v>
      </c>
      <c r="D1549" s="16" t="s">
        <v>31</v>
      </c>
      <c r="E1549" s="15" t="s">
        <v>32</v>
      </c>
      <c r="F1549" s="15" t="s">
        <v>356</v>
      </c>
      <c r="N1549" s="21" t="s">
        <v>96</v>
      </c>
      <c r="O1549" s="21" t="s">
        <v>360</v>
      </c>
      <c r="Q1549" s="21" t="s">
        <v>344</v>
      </c>
      <c r="R1549" s="22">
        <v>45847</v>
      </c>
      <c r="W1549">
        <f>COUNTIF(セゾン投信!U:U,B1549)</f>
        <v>0</v>
      </c>
    </row>
    <row r="1550" spans="1:26" ht="24.95" hidden="1" customHeight="1" x14ac:dyDescent="0.4">
      <c r="A1550" s="17" t="s">
        <v>66</v>
      </c>
      <c r="B1550" s="15" t="s">
        <v>126</v>
      </c>
      <c r="C1550" s="16" t="s">
        <v>31</v>
      </c>
      <c r="D1550" s="16" t="s">
        <v>31</v>
      </c>
      <c r="E1550" s="15" t="s">
        <v>32</v>
      </c>
      <c r="F1550" s="15" t="s">
        <v>365</v>
      </c>
      <c r="N1550" s="21" t="s">
        <v>374</v>
      </c>
      <c r="O1550" s="21" t="s">
        <v>373</v>
      </c>
      <c r="Q1550" s="21" t="s">
        <v>344</v>
      </c>
      <c r="R1550" s="22">
        <v>45883</v>
      </c>
      <c r="W1550">
        <f>COUNTIF(セゾン投信!U:U,B1550)</f>
        <v>0</v>
      </c>
    </row>
    <row r="1551" spans="1:26" ht="24.95" hidden="1" customHeight="1" x14ac:dyDescent="0.4">
      <c r="A1551" s="17" t="s">
        <v>66</v>
      </c>
      <c r="B1551" s="15" t="s">
        <v>226</v>
      </c>
      <c r="C1551" s="16" t="s">
        <v>31</v>
      </c>
      <c r="D1551" s="16" t="s">
        <v>31</v>
      </c>
      <c r="E1551" s="15" t="s">
        <v>32</v>
      </c>
      <c r="F1551" s="15" t="s">
        <v>314</v>
      </c>
      <c r="N1551" s="21" t="s">
        <v>96</v>
      </c>
      <c r="O1551" s="21" t="s">
        <v>336</v>
      </c>
      <c r="Q1551" s="21" t="s">
        <v>344</v>
      </c>
      <c r="R1551" s="22">
        <v>45756</v>
      </c>
      <c r="W1551">
        <f>COUNTIF(セゾン投信!U:U,B1551)</f>
        <v>0</v>
      </c>
    </row>
    <row r="1552" spans="1:26" ht="24.95" hidden="1" customHeight="1" x14ac:dyDescent="0.4">
      <c r="A1552" s="17" t="s">
        <v>66</v>
      </c>
      <c r="B1552" s="15" t="s">
        <v>318</v>
      </c>
      <c r="C1552" s="16" t="s">
        <v>31</v>
      </c>
      <c r="D1552" s="16" t="s">
        <v>31</v>
      </c>
      <c r="E1552" s="15" t="s">
        <v>32</v>
      </c>
      <c r="F1552" s="15" t="s">
        <v>314</v>
      </c>
      <c r="N1552" s="21" t="s">
        <v>96</v>
      </c>
      <c r="O1552" s="21" t="s">
        <v>337</v>
      </c>
      <c r="Q1552" s="21" t="s">
        <v>344</v>
      </c>
      <c r="R1552" s="22">
        <v>45756</v>
      </c>
      <c r="W1552">
        <f>COUNTIF(セゾン投信!U:U,B1552)</f>
        <v>0</v>
      </c>
    </row>
    <row r="1553" spans="1:23" ht="24.95" hidden="1" customHeight="1" x14ac:dyDescent="0.4">
      <c r="A1553" s="17" t="s">
        <v>66</v>
      </c>
      <c r="B1553" s="15" t="s">
        <v>118</v>
      </c>
      <c r="C1553" s="16" t="s">
        <v>31</v>
      </c>
      <c r="D1553" s="16" t="s">
        <v>31</v>
      </c>
      <c r="E1553" s="15" t="s">
        <v>32</v>
      </c>
      <c r="F1553" s="15" t="s">
        <v>314</v>
      </c>
      <c r="N1553" s="21" t="s">
        <v>96</v>
      </c>
      <c r="O1553" s="21" t="s">
        <v>337</v>
      </c>
      <c r="Q1553" s="21" t="s">
        <v>344</v>
      </c>
      <c r="R1553" s="22">
        <v>45756</v>
      </c>
      <c r="W1553">
        <f>COUNTIF(セゾン投信!U:U,B1553)</f>
        <v>0</v>
      </c>
    </row>
    <row r="1554" spans="1:23" ht="24.95" hidden="1" customHeight="1" x14ac:dyDescent="0.4">
      <c r="A1554" s="17" t="s">
        <v>66</v>
      </c>
      <c r="B1554" s="15" t="s">
        <v>319</v>
      </c>
      <c r="C1554" s="16" t="s">
        <v>31</v>
      </c>
      <c r="D1554" s="16" t="s">
        <v>31</v>
      </c>
      <c r="E1554" s="15" t="s">
        <v>32</v>
      </c>
      <c r="F1554" s="15" t="s">
        <v>314</v>
      </c>
      <c r="N1554" s="21" t="s">
        <v>96</v>
      </c>
      <c r="O1554" s="21" t="s">
        <v>337</v>
      </c>
      <c r="Q1554" s="21" t="s">
        <v>344</v>
      </c>
      <c r="R1554" s="22">
        <v>45756</v>
      </c>
      <c r="W1554">
        <f>COUNTIF(セゾン投信!U:U,B1554)</f>
        <v>0</v>
      </c>
    </row>
    <row r="1555" spans="1:23" ht="24.95" hidden="1" customHeight="1" x14ac:dyDescent="0.4">
      <c r="A1555" s="17" t="s">
        <v>66</v>
      </c>
      <c r="B1555" s="15" t="s">
        <v>227</v>
      </c>
      <c r="C1555" s="16" t="s">
        <v>31</v>
      </c>
      <c r="D1555" s="16" t="s">
        <v>31</v>
      </c>
      <c r="E1555" s="15" t="s">
        <v>32</v>
      </c>
      <c r="F1555" s="15" t="s">
        <v>314</v>
      </c>
      <c r="N1555" s="21" t="s">
        <v>96</v>
      </c>
      <c r="O1555" s="21" t="s">
        <v>336</v>
      </c>
      <c r="Q1555" s="21" t="s">
        <v>344</v>
      </c>
      <c r="R1555" s="22">
        <v>45756</v>
      </c>
      <c r="W1555">
        <f>COUNTIF(セゾン投信!U:U,B1555)</f>
        <v>0</v>
      </c>
    </row>
    <row r="1556" spans="1:23" ht="24.95" hidden="1" customHeight="1" x14ac:dyDescent="0.4">
      <c r="A1556" s="17" t="s">
        <v>66</v>
      </c>
      <c r="B1556" s="15" t="s">
        <v>228</v>
      </c>
      <c r="C1556" s="16" t="s">
        <v>31</v>
      </c>
      <c r="D1556" s="16" t="s">
        <v>31</v>
      </c>
      <c r="E1556" s="15" t="s">
        <v>32</v>
      </c>
      <c r="F1556" s="15" t="s">
        <v>314</v>
      </c>
      <c r="N1556" s="21" t="s">
        <v>96</v>
      </c>
      <c r="O1556" s="21" t="s">
        <v>336</v>
      </c>
      <c r="Q1556" s="21" t="s">
        <v>344</v>
      </c>
      <c r="R1556" s="22">
        <v>45756</v>
      </c>
      <c r="W1556">
        <f>COUNTIF(セゾン投信!U:U,B1556)</f>
        <v>0</v>
      </c>
    </row>
    <row r="1557" spans="1:23" ht="24.95" hidden="1" customHeight="1" x14ac:dyDescent="0.4">
      <c r="A1557" s="17" t="s">
        <v>66</v>
      </c>
      <c r="B1557" s="15" t="s">
        <v>229</v>
      </c>
      <c r="C1557" s="16" t="s">
        <v>31</v>
      </c>
      <c r="D1557" s="16" t="s">
        <v>31</v>
      </c>
      <c r="E1557" s="15" t="s">
        <v>32</v>
      </c>
      <c r="F1557" s="15" t="s">
        <v>314</v>
      </c>
      <c r="N1557" s="21" t="s">
        <v>96</v>
      </c>
      <c r="O1557" s="21" t="s">
        <v>336</v>
      </c>
      <c r="Q1557" s="21" t="s">
        <v>344</v>
      </c>
      <c r="R1557" s="22">
        <v>45756</v>
      </c>
      <c r="W1557">
        <f>COUNTIF(セゾン投信!U:U,B1557)</f>
        <v>0</v>
      </c>
    </row>
    <row r="1558" spans="1:23" ht="24.95" hidden="1" customHeight="1" x14ac:dyDescent="0.4">
      <c r="A1558" s="17" t="s">
        <v>66</v>
      </c>
      <c r="B1558" s="15" t="s">
        <v>230</v>
      </c>
      <c r="C1558" s="16" t="s">
        <v>31</v>
      </c>
      <c r="D1558" s="16" t="s">
        <v>31</v>
      </c>
      <c r="E1558" s="15" t="s">
        <v>32</v>
      </c>
      <c r="F1558" s="15" t="s">
        <v>314</v>
      </c>
      <c r="N1558" s="21" t="s">
        <v>96</v>
      </c>
      <c r="O1558" s="21" t="s">
        <v>336</v>
      </c>
      <c r="Q1558" s="21" t="s">
        <v>344</v>
      </c>
      <c r="R1558" s="22">
        <v>45756</v>
      </c>
      <c r="W1558">
        <f>COUNTIF(セゾン投信!U:U,B1558)</f>
        <v>0</v>
      </c>
    </row>
    <row r="1559" spans="1:23" ht="24.95" hidden="1" customHeight="1" x14ac:dyDescent="0.4">
      <c r="A1559" s="17" t="s">
        <v>66</v>
      </c>
      <c r="B1559" s="15" t="s">
        <v>231</v>
      </c>
      <c r="C1559" s="16" t="s">
        <v>31</v>
      </c>
      <c r="D1559" s="16" t="s">
        <v>31</v>
      </c>
      <c r="E1559" s="15" t="s">
        <v>32</v>
      </c>
      <c r="F1559" s="15" t="s">
        <v>314</v>
      </c>
      <c r="N1559" s="21" t="s">
        <v>96</v>
      </c>
      <c r="O1559" s="21" t="s">
        <v>336</v>
      </c>
      <c r="Q1559" s="21" t="s">
        <v>344</v>
      </c>
      <c r="R1559" s="22">
        <v>45756</v>
      </c>
      <c r="W1559">
        <f>COUNTIF(セゾン投信!U:U,B1559)</f>
        <v>0</v>
      </c>
    </row>
    <row r="1560" spans="1:23" ht="24.95" hidden="1" customHeight="1" x14ac:dyDescent="0.4">
      <c r="A1560" s="17" t="s">
        <v>66</v>
      </c>
      <c r="B1560" s="15" t="s">
        <v>232</v>
      </c>
      <c r="C1560" s="16" t="s">
        <v>31</v>
      </c>
      <c r="D1560" s="16" t="s">
        <v>31</v>
      </c>
      <c r="E1560" s="15" t="s">
        <v>32</v>
      </c>
      <c r="F1560" s="15" t="s">
        <v>314</v>
      </c>
      <c r="N1560" s="21" t="s">
        <v>96</v>
      </c>
      <c r="O1560" s="21" t="s">
        <v>336</v>
      </c>
      <c r="Q1560" s="21" t="s">
        <v>344</v>
      </c>
      <c r="R1560" s="22">
        <v>45756</v>
      </c>
      <c r="W1560">
        <f>COUNTIF(セゾン投信!U:U,B1560)</f>
        <v>0</v>
      </c>
    </row>
    <row r="1561" spans="1:23" ht="24.95" hidden="1" customHeight="1" x14ac:dyDescent="0.4">
      <c r="A1561" s="17" t="s">
        <v>66</v>
      </c>
      <c r="B1561" s="15" t="s">
        <v>233</v>
      </c>
      <c r="C1561" s="16" t="s">
        <v>31</v>
      </c>
      <c r="D1561" s="16" t="s">
        <v>31</v>
      </c>
      <c r="E1561" s="15" t="s">
        <v>32</v>
      </c>
      <c r="F1561" s="15" t="s">
        <v>314</v>
      </c>
      <c r="N1561" s="21" t="s">
        <v>96</v>
      </c>
      <c r="O1561" s="21" t="s">
        <v>336</v>
      </c>
      <c r="Q1561" s="21" t="s">
        <v>344</v>
      </c>
      <c r="R1561" s="22">
        <v>45756</v>
      </c>
      <c r="W1561">
        <f>COUNTIF(セゾン投信!U:U,B1561)</f>
        <v>0</v>
      </c>
    </row>
    <row r="1562" spans="1:23" ht="24.95" hidden="1" customHeight="1" x14ac:dyDescent="0.4">
      <c r="A1562" s="17" t="s">
        <v>66</v>
      </c>
      <c r="B1562" s="15" t="s">
        <v>234</v>
      </c>
      <c r="C1562" s="16" t="s">
        <v>31</v>
      </c>
      <c r="D1562" s="16" t="s">
        <v>31</v>
      </c>
      <c r="E1562" s="15" t="s">
        <v>32</v>
      </c>
      <c r="F1562" s="15" t="s">
        <v>314</v>
      </c>
      <c r="N1562" s="21" t="s">
        <v>96</v>
      </c>
      <c r="O1562" s="21" t="s">
        <v>336</v>
      </c>
      <c r="Q1562" s="21" t="s">
        <v>344</v>
      </c>
      <c r="R1562" s="22">
        <v>45756</v>
      </c>
      <c r="W1562">
        <f>COUNTIF(セゾン投信!U:U,B1562)</f>
        <v>0</v>
      </c>
    </row>
    <row r="1563" spans="1:23" ht="24.95" hidden="1" customHeight="1" x14ac:dyDescent="0.4">
      <c r="A1563" s="17" t="s">
        <v>66</v>
      </c>
      <c r="B1563" s="15" t="s">
        <v>235</v>
      </c>
      <c r="C1563" s="16" t="s">
        <v>31</v>
      </c>
      <c r="D1563" s="16" t="s">
        <v>31</v>
      </c>
      <c r="E1563" s="15" t="s">
        <v>32</v>
      </c>
      <c r="F1563" s="15" t="s">
        <v>314</v>
      </c>
      <c r="N1563" s="21" t="s">
        <v>96</v>
      </c>
      <c r="O1563" s="21" t="s">
        <v>336</v>
      </c>
      <c r="Q1563" s="21" t="s">
        <v>344</v>
      </c>
      <c r="R1563" s="22">
        <v>45756</v>
      </c>
      <c r="W1563">
        <f>COUNTIF(セゾン投信!U:U,B1563)</f>
        <v>0</v>
      </c>
    </row>
    <row r="1564" spans="1:23" ht="24.95" hidden="1" customHeight="1" x14ac:dyDescent="0.4">
      <c r="A1564" s="17" t="s">
        <v>66</v>
      </c>
      <c r="B1564" s="15" t="s">
        <v>236</v>
      </c>
      <c r="C1564" s="16" t="s">
        <v>31</v>
      </c>
      <c r="D1564" s="16" t="s">
        <v>31</v>
      </c>
      <c r="E1564" s="15" t="s">
        <v>32</v>
      </c>
      <c r="F1564" s="15" t="s">
        <v>314</v>
      </c>
      <c r="N1564" s="21" t="s">
        <v>96</v>
      </c>
      <c r="O1564" s="21" t="s">
        <v>336</v>
      </c>
      <c r="Q1564" s="21" t="s">
        <v>344</v>
      </c>
      <c r="R1564" s="22">
        <v>45756</v>
      </c>
      <c r="W1564">
        <f>COUNTIF(セゾン投信!U:U,B1564)</f>
        <v>0</v>
      </c>
    </row>
    <row r="1565" spans="1:23" ht="24.95" hidden="1" customHeight="1" x14ac:dyDescent="0.4">
      <c r="A1565" s="17" t="s">
        <v>66</v>
      </c>
      <c r="B1565" s="15" t="s">
        <v>237</v>
      </c>
      <c r="C1565" s="16" t="s">
        <v>31</v>
      </c>
      <c r="D1565" s="16" t="s">
        <v>31</v>
      </c>
      <c r="E1565" s="15" t="s">
        <v>32</v>
      </c>
      <c r="F1565" s="15" t="s">
        <v>314</v>
      </c>
      <c r="N1565" s="21" t="s">
        <v>96</v>
      </c>
      <c r="O1565" s="21" t="s">
        <v>336</v>
      </c>
      <c r="Q1565" s="21" t="s">
        <v>344</v>
      </c>
      <c r="R1565" s="22">
        <v>45756</v>
      </c>
      <c r="W1565">
        <f>COUNTIF(セゾン投信!U:U,B1565)</f>
        <v>0</v>
      </c>
    </row>
    <row r="1566" spans="1:23" ht="24.95" hidden="1" customHeight="1" x14ac:dyDescent="0.4">
      <c r="A1566" s="17" t="s">
        <v>66</v>
      </c>
      <c r="B1566" s="15" t="s">
        <v>346</v>
      </c>
      <c r="C1566" s="16" t="s">
        <v>31</v>
      </c>
      <c r="D1566" s="16" t="s">
        <v>31</v>
      </c>
      <c r="E1566" s="15" t="s">
        <v>32</v>
      </c>
      <c r="F1566" s="15" t="s">
        <v>356</v>
      </c>
      <c r="N1566" s="21" t="s">
        <v>96</v>
      </c>
      <c r="O1566" s="21" t="s">
        <v>360</v>
      </c>
      <c r="Q1566" s="21" t="s">
        <v>344</v>
      </c>
      <c r="R1566" s="22">
        <v>45847</v>
      </c>
      <c r="W1566">
        <f>COUNTIF(セゾン投信!U:U,B1566)</f>
        <v>0</v>
      </c>
    </row>
    <row r="1567" spans="1:23" ht="24.95" hidden="1" customHeight="1" x14ac:dyDescent="0.4">
      <c r="A1567" s="17" t="s">
        <v>66</v>
      </c>
      <c r="B1567" s="15" t="s">
        <v>357</v>
      </c>
      <c r="C1567" s="16" t="s">
        <v>31</v>
      </c>
      <c r="D1567" s="16" t="s">
        <v>31</v>
      </c>
      <c r="E1567" s="15" t="s">
        <v>32</v>
      </c>
      <c r="F1567" s="15" t="s">
        <v>356</v>
      </c>
      <c r="N1567" s="21" t="s">
        <v>96</v>
      </c>
      <c r="O1567" s="21" t="s">
        <v>360</v>
      </c>
      <c r="Q1567" s="21" t="s">
        <v>344</v>
      </c>
      <c r="R1567" s="22">
        <v>45847</v>
      </c>
      <c r="W1567">
        <f>COUNTIF(セゾン投信!U:U,B1567)</f>
        <v>0</v>
      </c>
    </row>
    <row r="1568" spans="1:23" ht="24.95" hidden="1" customHeight="1" x14ac:dyDescent="0.4">
      <c r="A1568" s="17" t="s">
        <v>66</v>
      </c>
      <c r="B1568" s="15" t="s">
        <v>347</v>
      </c>
      <c r="C1568" s="16" t="s">
        <v>31</v>
      </c>
      <c r="D1568" s="16" t="s">
        <v>31</v>
      </c>
      <c r="E1568" s="15" t="s">
        <v>32</v>
      </c>
      <c r="F1568" s="15" t="s">
        <v>356</v>
      </c>
      <c r="N1568" s="21" t="s">
        <v>96</v>
      </c>
      <c r="O1568" s="21" t="s">
        <v>360</v>
      </c>
      <c r="Q1568" s="21" t="s">
        <v>344</v>
      </c>
      <c r="R1568" s="22">
        <v>45847</v>
      </c>
      <c r="W1568">
        <f>COUNTIF(セゾン投信!U:U,B1568)</f>
        <v>0</v>
      </c>
    </row>
    <row r="1569" spans="1:23" ht="24.95" hidden="1" customHeight="1" x14ac:dyDescent="0.4">
      <c r="A1569" s="17" t="s">
        <v>66</v>
      </c>
      <c r="B1569" s="15" t="s">
        <v>320</v>
      </c>
      <c r="C1569" s="16" t="s">
        <v>31</v>
      </c>
      <c r="D1569" s="16" t="s">
        <v>31</v>
      </c>
      <c r="E1569" s="15" t="s">
        <v>32</v>
      </c>
      <c r="F1569" s="15" t="s">
        <v>314</v>
      </c>
      <c r="N1569" s="21" t="s">
        <v>96</v>
      </c>
      <c r="O1569" s="21" t="s">
        <v>337</v>
      </c>
      <c r="Q1569" s="21" t="s">
        <v>344</v>
      </c>
      <c r="R1569" s="22">
        <v>45756</v>
      </c>
      <c r="W1569">
        <f>COUNTIF(セゾン投信!U:U,B1569)</f>
        <v>0</v>
      </c>
    </row>
    <row r="1570" spans="1:23" ht="24.95" hidden="1" customHeight="1" x14ac:dyDescent="0.4">
      <c r="A1570" s="17" t="s">
        <v>66</v>
      </c>
      <c r="B1570" s="15" t="s">
        <v>132</v>
      </c>
      <c r="C1570" s="16" t="s">
        <v>31</v>
      </c>
      <c r="D1570" s="16" t="s">
        <v>31</v>
      </c>
      <c r="E1570" s="15" t="s">
        <v>32</v>
      </c>
      <c r="F1570" s="15" t="s">
        <v>314</v>
      </c>
      <c r="N1570" s="21" t="s">
        <v>96</v>
      </c>
      <c r="O1570" s="21" t="s">
        <v>337</v>
      </c>
      <c r="Q1570" s="21" t="s">
        <v>344</v>
      </c>
      <c r="R1570" s="22">
        <v>45756</v>
      </c>
      <c r="W1570">
        <f>COUNTIF(セゾン投信!U:U,B1570)</f>
        <v>0</v>
      </c>
    </row>
    <row r="1571" spans="1:23" ht="24.95" hidden="1" customHeight="1" x14ac:dyDescent="0.4">
      <c r="A1571" s="17" t="s">
        <v>66</v>
      </c>
      <c r="B1571" s="15" t="s">
        <v>321</v>
      </c>
      <c r="C1571" s="16" t="s">
        <v>24</v>
      </c>
      <c r="D1571" s="16" t="s">
        <v>31</v>
      </c>
      <c r="E1571" s="15" t="s">
        <v>35</v>
      </c>
      <c r="F1571" s="15" t="s">
        <v>314</v>
      </c>
      <c r="N1571" s="21" t="s">
        <v>96</v>
      </c>
      <c r="O1571" s="21" t="s">
        <v>337</v>
      </c>
      <c r="Q1571" s="21" t="s">
        <v>344</v>
      </c>
      <c r="R1571" s="22">
        <v>45756</v>
      </c>
      <c r="W1571">
        <f>COUNTIF(セゾン投信!U:U,B1571)</f>
        <v>0</v>
      </c>
    </row>
    <row r="1572" spans="1:23" ht="24.95" hidden="1" customHeight="1" x14ac:dyDescent="0.4">
      <c r="A1572" s="17" t="s">
        <v>66</v>
      </c>
      <c r="B1572" s="15" t="s">
        <v>322</v>
      </c>
      <c r="C1572" s="16" t="s">
        <v>24</v>
      </c>
      <c r="D1572" s="16" t="s">
        <v>31</v>
      </c>
      <c r="E1572" s="15" t="s">
        <v>35</v>
      </c>
      <c r="F1572" s="15" t="s">
        <v>314</v>
      </c>
      <c r="N1572" s="21" t="s">
        <v>96</v>
      </c>
      <c r="O1572" s="21" t="s">
        <v>337</v>
      </c>
      <c r="Q1572" s="21" t="s">
        <v>344</v>
      </c>
      <c r="R1572" s="22">
        <v>45756</v>
      </c>
      <c r="W1572">
        <f>COUNTIF(セゾン投信!U:U,B1572)</f>
        <v>0</v>
      </c>
    </row>
    <row r="1573" spans="1:23" ht="24.95" hidden="1" customHeight="1" x14ac:dyDescent="0.4">
      <c r="A1573" s="17" t="s">
        <v>66</v>
      </c>
      <c r="B1573" s="15" t="s">
        <v>323</v>
      </c>
      <c r="C1573" s="16" t="s">
        <v>24</v>
      </c>
      <c r="D1573" s="16" t="s">
        <v>31</v>
      </c>
      <c r="E1573" s="15" t="s">
        <v>35</v>
      </c>
      <c r="F1573" s="15" t="s">
        <v>314</v>
      </c>
      <c r="N1573" s="21" t="s">
        <v>96</v>
      </c>
      <c r="O1573" s="21" t="s">
        <v>337</v>
      </c>
      <c r="Q1573" s="21" t="s">
        <v>344</v>
      </c>
      <c r="R1573" s="22">
        <v>45756</v>
      </c>
      <c r="W1573">
        <f>COUNTIF(セゾン投信!U:U,B1573)</f>
        <v>0</v>
      </c>
    </row>
    <row r="1574" spans="1:23" ht="24.95" hidden="1" customHeight="1" x14ac:dyDescent="0.4">
      <c r="A1574" s="17" t="s">
        <v>66</v>
      </c>
      <c r="B1574" s="15" t="s">
        <v>238</v>
      </c>
      <c r="C1574" s="16" t="s">
        <v>31</v>
      </c>
      <c r="D1574" s="16" t="s">
        <v>31</v>
      </c>
      <c r="E1574" s="15" t="s">
        <v>32</v>
      </c>
      <c r="F1574" s="15" t="s">
        <v>314</v>
      </c>
      <c r="N1574" s="21" t="s">
        <v>96</v>
      </c>
      <c r="O1574" s="21" t="s">
        <v>336</v>
      </c>
      <c r="Q1574" s="21" t="s">
        <v>344</v>
      </c>
      <c r="R1574" s="22">
        <v>45756</v>
      </c>
      <c r="W1574">
        <f>COUNTIF(セゾン投信!U:U,B1574)</f>
        <v>0</v>
      </c>
    </row>
    <row r="1575" spans="1:23" ht="24.95" hidden="1" customHeight="1" x14ac:dyDescent="0.4">
      <c r="A1575" s="17" t="s">
        <v>66</v>
      </c>
      <c r="B1575" s="15" t="s">
        <v>239</v>
      </c>
      <c r="C1575" s="16" t="s">
        <v>31</v>
      </c>
      <c r="D1575" s="16" t="s">
        <v>31</v>
      </c>
      <c r="E1575" s="15" t="s">
        <v>32</v>
      </c>
      <c r="F1575" s="15" t="s">
        <v>314</v>
      </c>
      <c r="N1575" s="21" t="s">
        <v>96</v>
      </c>
      <c r="O1575" s="21" t="s">
        <v>336</v>
      </c>
      <c r="Q1575" s="21" t="s">
        <v>344</v>
      </c>
      <c r="R1575" s="22">
        <v>45756</v>
      </c>
      <c r="W1575">
        <f>COUNTIF(セゾン投信!U:U,B1575)</f>
        <v>0</v>
      </c>
    </row>
    <row r="1576" spans="1:23" ht="24.95" hidden="1" customHeight="1" x14ac:dyDescent="0.4">
      <c r="A1576" s="17" t="s">
        <v>66</v>
      </c>
      <c r="B1576" s="15" t="s">
        <v>240</v>
      </c>
      <c r="C1576" s="16" t="s">
        <v>31</v>
      </c>
      <c r="D1576" s="16" t="s">
        <v>31</v>
      </c>
      <c r="E1576" s="15" t="s">
        <v>32</v>
      </c>
      <c r="F1576" s="15" t="s">
        <v>314</v>
      </c>
      <c r="N1576" s="21" t="s">
        <v>96</v>
      </c>
      <c r="O1576" s="21" t="s">
        <v>336</v>
      </c>
      <c r="Q1576" s="21" t="s">
        <v>344</v>
      </c>
      <c r="R1576" s="22">
        <v>45756</v>
      </c>
      <c r="W1576">
        <f>COUNTIF(セゾン投信!U:U,B1576)</f>
        <v>0</v>
      </c>
    </row>
    <row r="1577" spans="1:23" ht="24.95" hidden="1" customHeight="1" x14ac:dyDescent="0.4">
      <c r="A1577" s="17" t="s">
        <v>66</v>
      </c>
      <c r="B1577" s="15" t="s">
        <v>241</v>
      </c>
      <c r="C1577" s="16" t="s">
        <v>31</v>
      </c>
      <c r="D1577" s="16" t="s">
        <v>31</v>
      </c>
      <c r="E1577" s="15" t="s">
        <v>32</v>
      </c>
      <c r="F1577" s="15" t="s">
        <v>314</v>
      </c>
      <c r="N1577" s="21" t="s">
        <v>96</v>
      </c>
      <c r="O1577" s="21" t="s">
        <v>336</v>
      </c>
      <c r="Q1577" s="21" t="s">
        <v>344</v>
      </c>
      <c r="R1577" s="22">
        <v>45756</v>
      </c>
      <c r="W1577">
        <f>COUNTIF(セゾン投信!U:U,B1577)</f>
        <v>0</v>
      </c>
    </row>
    <row r="1578" spans="1:23" ht="24.95" hidden="1" customHeight="1" x14ac:dyDescent="0.4">
      <c r="A1578" s="17" t="s">
        <v>66</v>
      </c>
      <c r="B1578" s="15" t="s">
        <v>242</v>
      </c>
      <c r="C1578" s="16" t="s">
        <v>31</v>
      </c>
      <c r="D1578" s="16" t="s">
        <v>31</v>
      </c>
      <c r="E1578" s="15" t="s">
        <v>32</v>
      </c>
      <c r="F1578" s="15" t="s">
        <v>314</v>
      </c>
      <c r="N1578" s="21" t="s">
        <v>96</v>
      </c>
      <c r="O1578" s="21" t="s">
        <v>336</v>
      </c>
      <c r="Q1578" s="21" t="s">
        <v>344</v>
      </c>
      <c r="R1578" s="22">
        <v>45756</v>
      </c>
      <c r="W1578">
        <f>COUNTIF(セゾン投信!U:U,B1578)</f>
        <v>0</v>
      </c>
    </row>
    <row r="1579" spans="1:23" ht="24.95" hidden="1" customHeight="1" x14ac:dyDescent="0.4">
      <c r="A1579" s="17" t="s">
        <v>66</v>
      </c>
      <c r="B1579" s="15" t="s">
        <v>243</v>
      </c>
      <c r="C1579" s="16" t="s">
        <v>31</v>
      </c>
      <c r="D1579" s="16" t="s">
        <v>31</v>
      </c>
      <c r="E1579" s="15" t="s">
        <v>32</v>
      </c>
      <c r="F1579" s="15" t="s">
        <v>314</v>
      </c>
      <c r="N1579" s="21" t="s">
        <v>96</v>
      </c>
      <c r="O1579" s="21" t="s">
        <v>336</v>
      </c>
      <c r="Q1579" s="21" t="s">
        <v>344</v>
      </c>
      <c r="R1579" s="22">
        <v>45756</v>
      </c>
      <c r="W1579">
        <f>COUNTIF(セゾン投信!U:U,B1579)</f>
        <v>0</v>
      </c>
    </row>
    <row r="1580" spans="1:23" ht="24.95" hidden="1" customHeight="1" x14ac:dyDescent="0.4">
      <c r="A1580" s="17" t="s">
        <v>66</v>
      </c>
      <c r="B1580" s="15" t="s">
        <v>244</v>
      </c>
      <c r="C1580" s="16" t="s">
        <v>31</v>
      </c>
      <c r="D1580" s="16" t="s">
        <v>31</v>
      </c>
      <c r="E1580" s="15" t="s">
        <v>32</v>
      </c>
      <c r="F1580" s="15" t="s">
        <v>314</v>
      </c>
      <c r="N1580" s="21" t="s">
        <v>96</v>
      </c>
      <c r="O1580" s="21" t="s">
        <v>336</v>
      </c>
      <c r="Q1580" s="21" t="s">
        <v>344</v>
      </c>
      <c r="R1580" s="22">
        <v>45756</v>
      </c>
      <c r="W1580">
        <f>COUNTIF(セゾン投信!U:U,B1580)</f>
        <v>0</v>
      </c>
    </row>
    <row r="1581" spans="1:23" ht="24.95" hidden="1" customHeight="1" x14ac:dyDescent="0.4">
      <c r="A1581" s="17" t="s">
        <v>66</v>
      </c>
      <c r="B1581" s="15" t="s">
        <v>245</v>
      </c>
      <c r="C1581" s="16" t="s">
        <v>31</v>
      </c>
      <c r="D1581" s="16" t="s">
        <v>31</v>
      </c>
      <c r="E1581" s="15" t="s">
        <v>32</v>
      </c>
      <c r="F1581" s="15" t="s">
        <v>314</v>
      </c>
      <c r="N1581" s="21" t="s">
        <v>96</v>
      </c>
      <c r="O1581" s="21" t="s">
        <v>336</v>
      </c>
      <c r="Q1581" s="21" t="s">
        <v>344</v>
      </c>
      <c r="R1581" s="22">
        <v>45756</v>
      </c>
      <c r="W1581">
        <f>COUNTIF(セゾン投信!U:U,B1581)</f>
        <v>0</v>
      </c>
    </row>
    <row r="1582" spans="1:23" ht="24.95" hidden="1" customHeight="1" x14ac:dyDescent="0.4">
      <c r="A1582" s="17" t="s">
        <v>66</v>
      </c>
      <c r="B1582" s="15" t="s">
        <v>246</v>
      </c>
      <c r="C1582" s="16" t="s">
        <v>31</v>
      </c>
      <c r="D1582" s="16" t="s">
        <v>31</v>
      </c>
      <c r="E1582" s="15" t="s">
        <v>32</v>
      </c>
      <c r="F1582" s="15" t="s">
        <v>314</v>
      </c>
      <c r="N1582" s="21" t="s">
        <v>96</v>
      </c>
      <c r="O1582" s="21" t="s">
        <v>336</v>
      </c>
      <c r="Q1582" s="21" t="s">
        <v>344</v>
      </c>
      <c r="R1582" s="22">
        <v>45756</v>
      </c>
      <c r="W1582">
        <f>COUNTIF(セゾン投信!U:U,B1582)</f>
        <v>0</v>
      </c>
    </row>
    <row r="1583" spans="1:23" ht="24.95" hidden="1" customHeight="1" x14ac:dyDescent="0.4">
      <c r="A1583" s="17" t="s">
        <v>66</v>
      </c>
      <c r="B1583" s="15" t="s">
        <v>247</v>
      </c>
      <c r="C1583" s="16" t="s">
        <v>31</v>
      </c>
      <c r="D1583" s="16" t="s">
        <v>31</v>
      </c>
      <c r="E1583" s="15" t="s">
        <v>32</v>
      </c>
      <c r="F1583" s="15" t="s">
        <v>314</v>
      </c>
      <c r="N1583" s="21" t="s">
        <v>96</v>
      </c>
      <c r="O1583" s="21" t="s">
        <v>336</v>
      </c>
      <c r="Q1583" s="21" t="s">
        <v>344</v>
      </c>
      <c r="R1583" s="22">
        <v>45756</v>
      </c>
      <c r="W1583">
        <f>COUNTIF(セゾン投信!U:U,B1583)</f>
        <v>0</v>
      </c>
    </row>
    <row r="1584" spans="1:23" ht="24.95" hidden="1" customHeight="1" x14ac:dyDescent="0.4">
      <c r="A1584" s="17" t="s">
        <v>66</v>
      </c>
      <c r="B1584" s="15" t="s">
        <v>248</v>
      </c>
      <c r="C1584" s="16" t="s">
        <v>31</v>
      </c>
      <c r="D1584" s="16" t="s">
        <v>31</v>
      </c>
      <c r="E1584" s="15" t="s">
        <v>32</v>
      </c>
      <c r="F1584" s="15" t="s">
        <v>314</v>
      </c>
      <c r="N1584" s="21" t="s">
        <v>96</v>
      </c>
      <c r="O1584" s="21" t="s">
        <v>336</v>
      </c>
      <c r="Q1584" s="21" t="s">
        <v>344</v>
      </c>
      <c r="R1584" s="22">
        <v>45756</v>
      </c>
      <c r="W1584">
        <f>COUNTIF(セゾン投信!U:U,B1584)</f>
        <v>0</v>
      </c>
    </row>
    <row r="1585" spans="1:23" ht="24.95" hidden="1" customHeight="1" x14ac:dyDescent="0.4">
      <c r="A1585" s="17" t="s">
        <v>66</v>
      </c>
      <c r="B1585" s="15" t="s">
        <v>249</v>
      </c>
      <c r="C1585" s="16" t="s">
        <v>31</v>
      </c>
      <c r="D1585" s="16" t="s">
        <v>31</v>
      </c>
      <c r="E1585" s="15" t="s">
        <v>32</v>
      </c>
      <c r="F1585" s="15" t="s">
        <v>314</v>
      </c>
      <c r="N1585" s="21" t="s">
        <v>96</v>
      </c>
      <c r="O1585" s="21" t="s">
        <v>336</v>
      </c>
      <c r="Q1585" s="21" t="s">
        <v>344</v>
      </c>
      <c r="R1585" s="22">
        <v>45756</v>
      </c>
      <c r="W1585">
        <f>COUNTIF(セゾン投信!U:U,B1585)</f>
        <v>0</v>
      </c>
    </row>
    <row r="1586" spans="1:23" ht="24.95" hidden="1" customHeight="1" x14ac:dyDescent="0.4">
      <c r="A1586" s="17" t="s">
        <v>66</v>
      </c>
      <c r="B1586" s="15" t="s">
        <v>250</v>
      </c>
      <c r="C1586" s="16" t="s">
        <v>31</v>
      </c>
      <c r="D1586" s="16" t="s">
        <v>31</v>
      </c>
      <c r="E1586" s="15" t="s">
        <v>32</v>
      </c>
      <c r="F1586" s="15" t="s">
        <v>314</v>
      </c>
      <c r="N1586" s="21" t="s">
        <v>96</v>
      </c>
      <c r="O1586" s="21" t="s">
        <v>336</v>
      </c>
      <c r="Q1586" s="21" t="s">
        <v>344</v>
      </c>
      <c r="R1586" s="22">
        <v>45756</v>
      </c>
      <c r="W1586">
        <f>COUNTIF(セゾン投信!U:U,B1586)</f>
        <v>0</v>
      </c>
    </row>
    <row r="1587" spans="1:23" ht="24.95" hidden="1" customHeight="1" x14ac:dyDescent="0.4">
      <c r="A1587" s="17" t="s">
        <v>66</v>
      </c>
      <c r="B1587" s="15" t="s">
        <v>251</v>
      </c>
      <c r="C1587" s="16" t="s">
        <v>31</v>
      </c>
      <c r="D1587" s="16" t="s">
        <v>31</v>
      </c>
      <c r="E1587" s="15" t="s">
        <v>32</v>
      </c>
      <c r="F1587" s="15" t="s">
        <v>314</v>
      </c>
      <c r="N1587" s="21" t="s">
        <v>96</v>
      </c>
      <c r="O1587" s="21" t="s">
        <v>336</v>
      </c>
      <c r="Q1587" s="21" t="s">
        <v>344</v>
      </c>
      <c r="R1587" s="22">
        <v>45756</v>
      </c>
      <c r="W1587">
        <f>COUNTIF(セゾン投信!U:U,B1587)</f>
        <v>0</v>
      </c>
    </row>
    <row r="1588" spans="1:23" ht="24.95" hidden="1" customHeight="1" x14ac:dyDescent="0.4">
      <c r="A1588" s="17" t="s">
        <v>66</v>
      </c>
      <c r="B1588" s="15" t="s">
        <v>341</v>
      </c>
      <c r="C1588" s="16" t="s">
        <v>31</v>
      </c>
      <c r="D1588" s="16" t="s">
        <v>31</v>
      </c>
      <c r="E1588" s="15" t="s">
        <v>32</v>
      </c>
      <c r="F1588" s="15" t="s">
        <v>340</v>
      </c>
      <c r="N1588" s="21" t="s">
        <v>96</v>
      </c>
      <c r="O1588" s="21" t="s">
        <v>345</v>
      </c>
      <c r="Q1588" s="21" t="s">
        <v>344</v>
      </c>
      <c r="R1588" s="22">
        <v>45784</v>
      </c>
      <c r="W1588">
        <f>COUNTIF(セゾン投信!U:U,B1588)</f>
        <v>0</v>
      </c>
    </row>
    <row r="1589" spans="1:23" ht="24.95" hidden="1" customHeight="1" x14ac:dyDescent="0.4">
      <c r="A1589" s="17" t="s">
        <v>66</v>
      </c>
      <c r="B1589" s="15" t="s">
        <v>252</v>
      </c>
      <c r="C1589" s="16" t="s">
        <v>31</v>
      </c>
      <c r="D1589" s="16" t="s">
        <v>31</v>
      </c>
      <c r="E1589" s="15" t="s">
        <v>32</v>
      </c>
      <c r="F1589" s="15" t="s">
        <v>314</v>
      </c>
      <c r="N1589" s="21" t="s">
        <v>96</v>
      </c>
      <c r="O1589" s="21" t="s">
        <v>336</v>
      </c>
      <c r="Q1589" s="21" t="s">
        <v>344</v>
      </c>
      <c r="R1589" s="22">
        <v>45756</v>
      </c>
      <c r="W1589">
        <f>COUNTIF(セゾン投信!U:U,B1589)</f>
        <v>0</v>
      </c>
    </row>
    <row r="1590" spans="1:23" ht="24.95" hidden="1" customHeight="1" x14ac:dyDescent="0.4">
      <c r="A1590" s="17" t="s">
        <v>66</v>
      </c>
      <c r="B1590" s="15" t="s">
        <v>253</v>
      </c>
      <c r="C1590" s="16" t="s">
        <v>31</v>
      </c>
      <c r="D1590" s="16" t="s">
        <v>31</v>
      </c>
      <c r="E1590" s="15" t="s">
        <v>32</v>
      </c>
      <c r="F1590" s="15" t="s">
        <v>314</v>
      </c>
      <c r="N1590" s="21" t="s">
        <v>96</v>
      </c>
      <c r="O1590" s="21" t="s">
        <v>336</v>
      </c>
      <c r="Q1590" s="21" t="s">
        <v>344</v>
      </c>
      <c r="R1590" s="22">
        <v>45756</v>
      </c>
      <c r="W1590">
        <f>COUNTIF(セゾン投信!U:U,B1590)</f>
        <v>0</v>
      </c>
    </row>
    <row r="1591" spans="1:23" ht="24.95" hidden="1" customHeight="1" x14ac:dyDescent="0.4">
      <c r="A1591" s="17" t="s">
        <v>66</v>
      </c>
      <c r="B1591" s="15" t="s">
        <v>254</v>
      </c>
      <c r="C1591" s="16" t="s">
        <v>31</v>
      </c>
      <c r="D1591" s="16" t="s">
        <v>31</v>
      </c>
      <c r="E1591" s="15" t="s">
        <v>32</v>
      </c>
      <c r="F1591" s="15" t="s">
        <v>314</v>
      </c>
      <c r="N1591" s="21" t="s">
        <v>96</v>
      </c>
      <c r="O1591" s="21" t="s">
        <v>336</v>
      </c>
      <c r="Q1591" s="21" t="s">
        <v>344</v>
      </c>
      <c r="R1591" s="22">
        <v>45756</v>
      </c>
      <c r="W1591">
        <f>COUNTIF(セゾン投信!U:U,B1591)</f>
        <v>0</v>
      </c>
    </row>
    <row r="1592" spans="1:23" ht="24.95" hidden="1" customHeight="1" x14ac:dyDescent="0.4">
      <c r="A1592" s="17" t="s">
        <v>66</v>
      </c>
      <c r="B1592" s="15" t="s">
        <v>255</v>
      </c>
      <c r="C1592" s="16" t="s">
        <v>31</v>
      </c>
      <c r="D1592" s="16" t="s">
        <v>31</v>
      </c>
      <c r="E1592" s="15" t="s">
        <v>32</v>
      </c>
      <c r="F1592" s="15" t="s">
        <v>314</v>
      </c>
      <c r="N1592" s="21" t="s">
        <v>96</v>
      </c>
      <c r="O1592" s="21" t="s">
        <v>336</v>
      </c>
      <c r="Q1592" s="21" t="s">
        <v>344</v>
      </c>
      <c r="R1592" s="22">
        <v>45756</v>
      </c>
      <c r="W1592">
        <f>COUNTIF(セゾン投信!U:U,B1592)</f>
        <v>0</v>
      </c>
    </row>
    <row r="1593" spans="1:23" ht="24.95" hidden="1" customHeight="1" x14ac:dyDescent="0.4">
      <c r="A1593" s="17" t="s">
        <v>66</v>
      </c>
      <c r="B1593" s="15" t="s">
        <v>256</v>
      </c>
      <c r="C1593" s="16" t="s">
        <v>31</v>
      </c>
      <c r="D1593" s="16" t="s">
        <v>31</v>
      </c>
      <c r="E1593" s="15" t="s">
        <v>32</v>
      </c>
      <c r="F1593" s="15" t="s">
        <v>314</v>
      </c>
      <c r="N1593" s="21" t="s">
        <v>96</v>
      </c>
      <c r="O1593" s="21" t="s">
        <v>336</v>
      </c>
      <c r="Q1593" s="21" t="s">
        <v>344</v>
      </c>
      <c r="R1593" s="22">
        <v>45756</v>
      </c>
      <c r="W1593">
        <f>COUNTIF(セゾン投信!U:U,B1593)</f>
        <v>0</v>
      </c>
    </row>
    <row r="1594" spans="1:23" ht="24.95" hidden="1" customHeight="1" x14ac:dyDescent="0.4">
      <c r="A1594" s="17" t="s">
        <v>66</v>
      </c>
      <c r="B1594" s="15" t="s">
        <v>257</v>
      </c>
      <c r="C1594" s="16" t="s">
        <v>31</v>
      </c>
      <c r="D1594" s="16" t="s">
        <v>31</v>
      </c>
      <c r="E1594" s="15" t="s">
        <v>32</v>
      </c>
      <c r="F1594" s="15" t="s">
        <v>314</v>
      </c>
      <c r="N1594" s="21" t="s">
        <v>96</v>
      </c>
      <c r="O1594" s="21" t="s">
        <v>336</v>
      </c>
      <c r="Q1594" s="21" t="s">
        <v>344</v>
      </c>
      <c r="R1594" s="22">
        <v>45756</v>
      </c>
      <c r="W1594">
        <f>COUNTIF(セゾン投信!U:U,B1594)</f>
        <v>0</v>
      </c>
    </row>
    <row r="1595" spans="1:23" ht="24.95" hidden="1" customHeight="1" x14ac:dyDescent="0.4">
      <c r="A1595" s="17" t="s">
        <v>66</v>
      </c>
      <c r="B1595" s="15" t="s">
        <v>258</v>
      </c>
      <c r="C1595" s="16" t="s">
        <v>31</v>
      </c>
      <c r="D1595" s="16" t="s">
        <v>31</v>
      </c>
      <c r="E1595" s="15" t="s">
        <v>32</v>
      </c>
      <c r="F1595" s="15" t="s">
        <v>314</v>
      </c>
      <c r="N1595" s="21" t="s">
        <v>96</v>
      </c>
      <c r="O1595" s="21" t="s">
        <v>336</v>
      </c>
      <c r="Q1595" s="21" t="s">
        <v>344</v>
      </c>
      <c r="R1595" s="22">
        <v>45756</v>
      </c>
      <c r="W1595">
        <f>COUNTIF(セゾン投信!U:U,B1595)</f>
        <v>0</v>
      </c>
    </row>
    <row r="1596" spans="1:23" ht="24.95" hidden="1" customHeight="1" x14ac:dyDescent="0.4">
      <c r="A1596" s="17" t="s">
        <v>66</v>
      </c>
      <c r="B1596" s="15" t="s">
        <v>259</v>
      </c>
      <c r="C1596" s="16" t="s">
        <v>31</v>
      </c>
      <c r="D1596" s="16" t="s">
        <v>31</v>
      </c>
      <c r="E1596" s="15" t="s">
        <v>32</v>
      </c>
      <c r="F1596" s="15" t="s">
        <v>314</v>
      </c>
      <c r="N1596" s="21" t="s">
        <v>96</v>
      </c>
      <c r="O1596" s="21" t="s">
        <v>336</v>
      </c>
      <c r="Q1596" s="21" t="s">
        <v>344</v>
      </c>
      <c r="R1596" s="22">
        <v>45756</v>
      </c>
      <c r="W1596">
        <f>COUNTIF(セゾン投信!U:U,B1596)</f>
        <v>0</v>
      </c>
    </row>
    <row r="1597" spans="1:23" ht="24.95" hidden="1" customHeight="1" x14ac:dyDescent="0.4">
      <c r="A1597" s="17" t="s">
        <v>66</v>
      </c>
      <c r="B1597" s="15" t="s">
        <v>260</v>
      </c>
      <c r="C1597" s="16" t="s">
        <v>31</v>
      </c>
      <c r="D1597" s="16" t="s">
        <v>31</v>
      </c>
      <c r="E1597" s="15" t="s">
        <v>32</v>
      </c>
      <c r="F1597" s="15" t="s">
        <v>314</v>
      </c>
      <c r="N1597" s="21" t="s">
        <v>96</v>
      </c>
      <c r="O1597" s="21" t="s">
        <v>336</v>
      </c>
      <c r="Q1597" s="21" t="s">
        <v>344</v>
      </c>
      <c r="R1597" s="22">
        <v>45756</v>
      </c>
      <c r="W1597">
        <f>COUNTIF(セゾン投信!U:U,B1597)</f>
        <v>0</v>
      </c>
    </row>
    <row r="1598" spans="1:23" ht="24.95" hidden="1" customHeight="1" x14ac:dyDescent="0.4">
      <c r="A1598" s="17" t="s">
        <v>66</v>
      </c>
      <c r="B1598" s="15" t="s">
        <v>261</v>
      </c>
      <c r="C1598" s="16" t="s">
        <v>31</v>
      </c>
      <c r="D1598" s="16" t="s">
        <v>31</v>
      </c>
      <c r="E1598" s="15" t="s">
        <v>32</v>
      </c>
      <c r="F1598" s="15" t="s">
        <v>314</v>
      </c>
      <c r="N1598" s="21" t="s">
        <v>96</v>
      </c>
      <c r="O1598" s="21" t="s">
        <v>336</v>
      </c>
      <c r="Q1598" s="21" t="s">
        <v>344</v>
      </c>
      <c r="R1598" s="22">
        <v>45756</v>
      </c>
      <c r="W1598">
        <f>COUNTIF(セゾン投信!U:U,B1598)</f>
        <v>0</v>
      </c>
    </row>
    <row r="1599" spans="1:23" ht="24.95" hidden="1" customHeight="1" x14ac:dyDescent="0.4">
      <c r="A1599" s="17" t="s">
        <v>66</v>
      </c>
      <c r="B1599" s="15" t="s">
        <v>262</v>
      </c>
      <c r="C1599" s="16" t="s">
        <v>31</v>
      </c>
      <c r="D1599" s="16" t="s">
        <v>31</v>
      </c>
      <c r="E1599" s="15" t="s">
        <v>32</v>
      </c>
      <c r="F1599" s="15" t="s">
        <v>314</v>
      </c>
      <c r="N1599" s="21" t="s">
        <v>96</v>
      </c>
      <c r="O1599" s="21" t="s">
        <v>336</v>
      </c>
      <c r="Q1599" s="21" t="s">
        <v>344</v>
      </c>
      <c r="R1599" s="22">
        <v>45756</v>
      </c>
      <c r="W1599">
        <f>COUNTIF(セゾン投信!U:U,B1599)</f>
        <v>0</v>
      </c>
    </row>
    <row r="1600" spans="1:23" ht="24.95" hidden="1" customHeight="1" x14ac:dyDescent="0.4">
      <c r="A1600" s="17" t="s">
        <v>66</v>
      </c>
      <c r="B1600" s="15" t="s">
        <v>263</v>
      </c>
      <c r="C1600" s="16" t="s">
        <v>31</v>
      </c>
      <c r="D1600" s="16" t="s">
        <v>31</v>
      </c>
      <c r="E1600" s="15" t="s">
        <v>32</v>
      </c>
      <c r="F1600" s="15" t="s">
        <v>314</v>
      </c>
      <c r="N1600" s="21" t="s">
        <v>96</v>
      </c>
      <c r="O1600" s="21" t="s">
        <v>336</v>
      </c>
      <c r="Q1600" s="21" t="s">
        <v>344</v>
      </c>
      <c r="R1600" s="22">
        <v>45756</v>
      </c>
      <c r="W1600">
        <f>COUNTIF(セゾン投信!U:U,B1600)</f>
        <v>0</v>
      </c>
    </row>
    <row r="1601" spans="1:23" ht="24.95" hidden="1" customHeight="1" x14ac:dyDescent="0.4">
      <c r="A1601" s="17" t="s">
        <v>66</v>
      </c>
      <c r="B1601" s="15" t="s">
        <v>264</v>
      </c>
      <c r="C1601" s="16" t="s">
        <v>31</v>
      </c>
      <c r="D1601" s="16" t="s">
        <v>31</v>
      </c>
      <c r="E1601" s="15" t="s">
        <v>32</v>
      </c>
      <c r="F1601" s="15" t="s">
        <v>314</v>
      </c>
      <c r="N1601" s="21" t="s">
        <v>96</v>
      </c>
      <c r="O1601" s="21" t="s">
        <v>336</v>
      </c>
      <c r="Q1601" s="21" t="s">
        <v>344</v>
      </c>
      <c r="R1601" s="22">
        <v>45756</v>
      </c>
      <c r="W1601">
        <f>COUNTIF(セゾン投信!U:U,B1601)</f>
        <v>0</v>
      </c>
    </row>
    <row r="1602" spans="1:23" ht="24.95" hidden="1" customHeight="1" x14ac:dyDescent="0.4">
      <c r="A1602" s="17" t="s">
        <v>66</v>
      </c>
      <c r="B1602" s="15" t="s">
        <v>265</v>
      </c>
      <c r="C1602" s="16" t="s">
        <v>31</v>
      </c>
      <c r="D1602" s="16" t="s">
        <v>31</v>
      </c>
      <c r="E1602" s="15" t="s">
        <v>32</v>
      </c>
      <c r="F1602" s="15" t="s">
        <v>314</v>
      </c>
      <c r="N1602" s="21" t="s">
        <v>96</v>
      </c>
      <c r="O1602" s="21" t="s">
        <v>336</v>
      </c>
      <c r="Q1602" s="21" t="s">
        <v>344</v>
      </c>
      <c r="R1602" s="22">
        <v>45756</v>
      </c>
      <c r="W1602">
        <f>COUNTIF(セゾン投信!U:U,B1602)</f>
        <v>0</v>
      </c>
    </row>
    <row r="1603" spans="1:23" ht="24.95" hidden="1" customHeight="1" x14ac:dyDescent="0.4">
      <c r="A1603" s="17" t="s">
        <v>66</v>
      </c>
      <c r="B1603" s="15" t="s">
        <v>266</v>
      </c>
      <c r="C1603" s="16" t="s">
        <v>31</v>
      </c>
      <c r="D1603" s="16" t="s">
        <v>31</v>
      </c>
      <c r="E1603" s="15" t="s">
        <v>32</v>
      </c>
      <c r="F1603" s="15" t="s">
        <v>314</v>
      </c>
      <c r="N1603" s="21" t="s">
        <v>96</v>
      </c>
      <c r="O1603" s="21" t="s">
        <v>336</v>
      </c>
      <c r="Q1603" s="21" t="s">
        <v>344</v>
      </c>
      <c r="R1603" s="22">
        <v>45756</v>
      </c>
      <c r="W1603">
        <f>COUNTIF(セゾン投信!U:U,B1603)</f>
        <v>0</v>
      </c>
    </row>
    <row r="1604" spans="1:23" ht="24.95" hidden="1" customHeight="1" x14ac:dyDescent="0.4">
      <c r="A1604" s="17" t="s">
        <v>66</v>
      </c>
      <c r="B1604" s="15" t="s">
        <v>267</v>
      </c>
      <c r="C1604" s="16" t="s">
        <v>31</v>
      </c>
      <c r="D1604" s="16" t="s">
        <v>31</v>
      </c>
      <c r="E1604" s="15" t="s">
        <v>32</v>
      </c>
      <c r="F1604" s="15" t="s">
        <v>314</v>
      </c>
      <c r="N1604" s="21" t="s">
        <v>96</v>
      </c>
      <c r="O1604" s="21" t="s">
        <v>336</v>
      </c>
      <c r="Q1604" s="21" t="s">
        <v>344</v>
      </c>
      <c r="R1604" s="22">
        <v>45756</v>
      </c>
      <c r="W1604">
        <f>COUNTIF(セゾン投信!U:U,B1604)</f>
        <v>0</v>
      </c>
    </row>
    <row r="1605" spans="1:23" ht="24.95" hidden="1" customHeight="1" x14ac:dyDescent="0.4">
      <c r="A1605" s="17" t="s">
        <v>66</v>
      </c>
      <c r="B1605" s="15" t="s">
        <v>268</v>
      </c>
      <c r="C1605" s="16" t="s">
        <v>31</v>
      </c>
      <c r="D1605" s="16" t="s">
        <v>31</v>
      </c>
      <c r="E1605" s="15" t="s">
        <v>32</v>
      </c>
      <c r="F1605" s="15" t="s">
        <v>314</v>
      </c>
      <c r="N1605" s="21" t="s">
        <v>96</v>
      </c>
      <c r="O1605" s="21" t="s">
        <v>336</v>
      </c>
      <c r="Q1605" s="21" t="s">
        <v>344</v>
      </c>
      <c r="R1605" s="22">
        <v>45756</v>
      </c>
      <c r="W1605">
        <f>COUNTIF(セゾン投信!U:U,B1605)</f>
        <v>0</v>
      </c>
    </row>
    <row r="1606" spans="1:23" ht="24.95" hidden="1" customHeight="1" x14ac:dyDescent="0.4">
      <c r="A1606" s="17" t="s">
        <v>66</v>
      </c>
      <c r="B1606" s="15" t="s">
        <v>269</v>
      </c>
      <c r="C1606" s="16" t="s">
        <v>31</v>
      </c>
      <c r="D1606" s="16" t="s">
        <v>31</v>
      </c>
      <c r="E1606" s="15" t="s">
        <v>32</v>
      </c>
      <c r="F1606" s="15" t="s">
        <v>314</v>
      </c>
      <c r="N1606" s="21" t="s">
        <v>96</v>
      </c>
      <c r="O1606" s="21" t="s">
        <v>336</v>
      </c>
      <c r="Q1606" s="21" t="s">
        <v>344</v>
      </c>
      <c r="R1606" s="22">
        <v>45756</v>
      </c>
      <c r="W1606">
        <f>COUNTIF(セゾン投信!U:U,B1606)</f>
        <v>0</v>
      </c>
    </row>
    <row r="1607" spans="1:23" ht="24.95" hidden="1" customHeight="1" x14ac:dyDescent="0.4">
      <c r="A1607" s="17" t="s">
        <v>66</v>
      </c>
      <c r="B1607" s="15" t="s">
        <v>270</v>
      </c>
      <c r="C1607" s="16" t="s">
        <v>31</v>
      </c>
      <c r="D1607" s="16" t="s">
        <v>31</v>
      </c>
      <c r="E1607" s="15" t="s">
        <v>32</v>
      </c>
      <c r="F1607" s="15" t="s">
        <v>314</v>
      </c>
      <c r="N1607" s="21" t="s">
        <v>96</v>
      </c>
      <c r="O1607" s="21" t="s">
        <v>336</v>
      </c>
      <c r="Q1607" s="21" t="s">
        <v>344</v>
      </c>
      <c r="R1607" s="22">
        <v>45756</v>
      </c>
      <c r="W1607">
        <f>COUNTIF(セゾン投信!U:U,B1607)</f>
        <v>0</v>
      </c>
    </row>
    <row r="1608" spans="1:23" ht="24.95" hidden="1" customHeight="1" x14ac:dyDescent="0.4">
      <c r="A1608" s="17" t="s">
        <v>66</v>
      </c>
      <c r="B1608" s="15" t="s">
        <v>271</v>
      </c>
      <c r="C1608" s="16" t="s">
        <v>31</v>
      </c>
      <c r="D1608" s="16" t="s">
        <v>31</v>
      </c>
      <c r="E1608" s="15" t="s">
        <v>32</v>
      </c>
      <c r="F1608" s="15" t="s">
        <v>314</v>
      </c>
      <c r="N1608" s="21" t="s">
        <v>96</v>
      </c>
      <c r="O1608" s="21" t="s">
        <v>336</v>
      </c>
      <c r="Q1608" s="21" t="s">
        <v>344</v>
      </c>
      <c r="R1608" s="22">
        <v>45756</v>
      </c>
      <c r="W1608">
        <f>COUNTIF(セゾン投信!U:U,B1608)</f>
        <v>0</v>
      </c>
    </row>
    <row r="1609" spans="1:23" ht="24.95" hidden="1" customHeight="1" x14ac:dyDescent="0.4">
      <c r="A1609" s="17" t="s">
        <v>66</v>
      </c>
      <c r="B1609" s="15" t="s">
        <v>366</v>
      </c>
      <c r="C1609" s="16" t="s">
        <v>31</v>
      </c>
      <c r="D1609" s="16" t="s">
        <v>31</v>
      </c>
      <c r="E1609" s="15" t="s">
        <v>32</v>
      </c>
      <c r="F1609" s="15" t="s">
        <v>365</v>
      </c>
      <c r="N1609" s="21" t="s">
        <v>374</v>
      </c>
      <c r="O1609" s="21" t="s">
        <v>373</v>
      </c>
      <c r="Q1609" s="21" t="s">
        <v>344</v>
      </c>
      <c r="R1609" s="22">
        <v>45883</v>
      </c>
      <c r="W1609">
        <f>COUNTIF(セゾン投信!U:U,B1609)</f>
        <v>0</v>
      </c>
    </row>
    <row r="1610" spans="1:23" ht="24.95" hidden="1" customHeight="1" x14ac:dyDescent="0.4">
      <c r="A1610" s="17" t="s">
        <v>66</v>
      </c>
      <c r="B1610" s="15" t="s">
        <v>367</v>
      </c>
      <c r="C1610" s="16" t="s">
        <v>31</v>
      </c>
      <c r="D1610" s="16" t="s">
        <v>31</v>
      </c>
      <c r="E1610" s="15" t="s">
        <v>32</v>
      </c>
      <c r="F1610" s="15" t="s">
        <v>365</v>
      </c>
      <c r="N1610" s="21" t="s">
        <v>374</v>
      </c>
      <c r="O1610" s="21" t="s">
        <v>373</v>
      </c>
      <c r="Q1610" s="21" t="s">
        <v>344</v>
      </c>
      <c r="R1610" s="22">
        <v>45883</v>
      </c>
      <c r="W1610">
        <f>COUNTIF(セゾン投信!U:U,B1610)</f>
        <v>0</v>
      </c>
    </row>
    <row r="1611" spans="1:23" ht="24.95" hidden="1" customHeight="1" x14ac:dyDescent="0.4">
      <c r="A1611" s="17" t="s">
        <v>66</v>
      </c>
      <c r="B1611" s="15" t="s">
        <v>324</v>
      </c>
      <c r="C1611" s="16" t="s">
        <v>31</v>
      </c>
      <c r="D1611" s="16" t="s">
        <v>31</v>
      </c>
      <c r="E1611" s="15" t="s">
        <v>32</v>
      </c>
      <c r="F1611" s="15" t="s">
        <v>314</v>
      </c>
      <c r="N1611" s="21" t="s">
        <v>96</v>
      </c>
      <c r="O1611" s="21" t="s">
        <v>337</v>
      </c>
      <c r="Q1611" s="21" t="s">
        <v>344</v>
      </c>
      <c r="R1611" s="22">
        <v>45756</v>
      </c>
      <c r="W1611">
        <f>COUNTIF(セゾン投信!U:U,B1611)</f>
        <v>0</v>
      </c>
    </row>
    <row r="1612" spans="1:23" ht="24.95" hidden="1" customHeight="1" x14ac:dyDescent="0.4">
      <c r="A1612" s="17" t="s">
        <v>66</v>
      </c>
      <c r="B1612" s="50" t="s">
        <v>368</v>
      </c>
      <c r="C1612" s="16" t="s">
        <v>31</v>
      </c>
      <c r="D1612" s="16" t="s">
        <v>31</v>
      </c>
      <c r="E1612" s="15" t="s">
        <v>32</v>
      </c>
      <c r="F1612" s="15" t="s">
        <v>365</v>
      </c>
      <c r="N1612" s="21" t="s">
        <v>96</v>
      </c>
      <c r="O1612" s="21" t="s">
        <v>372</v>
      </c>
      <c r="Q1612" s="21" t="s">
        <v>344</v>
      </c>
      <c r="R1612" s="22">
        <v>45883</v>
      </c>
      <c r="W1612">
        <f>COUNTIF(セゾン投信!U:U,B1612)</f>
        <v>0</v>
      </c>
    </row>
    <row r="1613" spans="1:23" ht="24.95" hidden="1" customHeight="1" x14ac:dyDescent="0.4">
      <c r="A1613" s="17" t="s">
        <v>66</v>
      </c>
      <c r="B1613" s="50" t="s">
        <v>369</v>
      </c>
      <c r="C1613" s="16" t="s">
        <v>24</v>
      </c>
      <c r="D1613" s="16" t="s">
        <v>31</v>
      </c>
      <c r="E1613" s="15" t="s">
        <v>35</v>
      </c>
      <c r="F1613" s="15" t="s">
        <v>365</v>
      </c>
      <c r="N1613" s="21" t="s">
        <v>96</v>
      </c>
      <c r="O1613" s="21" t="s">
        <v>372</v>
      </c>
      <c r="Q1613" s="21" t="s">
        <v>344</v>
      </c>
      <c r="R1613" s="22">
        <v>45883</v>
      </c>
      <c r="W1613">
        <f>COUNTIF(セゾン投信!U:U,B1613)</f>
        <v>0</v>
      </c>
    </row>
    <row r="1614" spans="1:23" ht="24.95" hidden="1" customHeight="1" x14ac:dyDescent="0.4">
      <c r="A1614" s="17" t="s">
        <v>66</v>
      </c>
      <c r="B1614" s="15" t="s">
        <v>325</v>
      </c>
      <c r="C1614" s="16" t="s">
        <v>24</v>
      </c>
      <c r="D1614" s="16" t="s">
        <v>31</v>
      </c>
      <c r="E1614" s="15" t="s">
        <v>35</v>
      </c>
      <c r="F1614" s="15" t="s">
        <v>314</v>
      </c>
      <c r="N1614" s="21" t="s">
        <v>96</v>
      </c>
      <c r="O1614" s="21" t="s">
        <v>337</v>
      </c>
      <c r="Q1614" s="21" t="s">
        <v>344</v>
      </c>
      <c r="R1614" s="22">
        <v>45756</v>
      </c>
      <c r="W1614">
        <f>COUNTIF(セゾン投信!U:U,B1614)</f>
        <v>0</v>
      </c>
    </row>
    <row r="1615" spans="1:23" ht="24.95" hidden="1" customHeight="1" x14ac:dyDescent="0.4">
      <c r="A1615" s="17" t="s">
        <v>66</v>
      </c>
      <c r="B1615" s="15" t="s">
        <v>272</v>
      </c>
      <c r="C1615" s="16" t="s">
        <v>31</v>
      </c>
      <c r="D1615" s="16" t="s">
        <v>31</v>
      </c>
      <c r="E1615" s="15" t="s">
        <v>32</v>
      </c>
      <c r="F1615" s="15" t="s">
        <v>314</v>
      </c>
      <c r="N1615" s="21" t="s">
        <v>96</v>
      </c>
      <c r="O1615" s="21" t="s">
        <v>336</v>
      </c>
      <c r="Q1615" s="21" t="s">
        <v>344</v>
      </c>
      <c r="R1615" s="22">
        <v>45756</v>
      </c>
      <c r="W1615">
        <f>COUNTIF(セゾン投信!U:U,B1615)</f>
        <v>0</v>
      </c>
    </row>
    <row r="1616" spans="1:23" ht="24.95" hidden="1" customHeight="1" x14ac:dyDescent="0.4">
      <c r="A1616" s="17" t="s">
        <v>66</v>
      </c>
      <c r="B1616" s="15" t="s">
        <v>273</v>
      </c>
      <c r="C1616" s="16" t="s">
        <v>31</v>
      </c>
      <c r="D1616" s="16" t="s">
        <v>31</v>
      </c>
      <c r="E1616" s="15" t="s">
        <v>32</v>
      </c>
      <c r="F1616" s="15" t="s">
        <v>314</v>
      </c>
      <c r="N1616" s="21" t="s">
        <v>96</v>
      </c>
      <c r="O1616" s="21" t="s">
        <v>336</v>
      </c>
      <c r="Q1616" s="21" t="s">
        <v>344</v>
      </c>
      <c r="R1616" s="22">
        <v>45756</v>
      </c>
      <c r="W1616">
        <f>COUNTIF(セゾン投信!U:U,B1616)</f>
        <v>0</v>
      </c>
    </row>
    <row r="1617" spans="1:23" ht="24.95" hidden="1" customHeight="1" x14ac:dyDescent="0.4">
      <c r="A1617" s="17" t="s">
        <v>66</v>
      </c>
      <c r="B1617" s="15" t="s">
        <v>274</v>
      </c>
      <c r="C1617" s="16" t="s">
        <v>31</v>
      </c>
      <c r="D1617" s="16" t="s">
        <v>31</v>
      </c>
      <c r="E1617" s="15" t="s">
        <v>32</v>
      </c>
      <c r="F1617" s="15" t="s">
        <v>314</v>
      </c>
      <c r="N1617" s="21" t="s">
        <v>96</v>
      </c>
      <c r="O1617" s="21" t="s">
        <v>336</v>
      </c>
      <c r="Q1617" s="21" t="s">
        <v>344</v>
      </c>
      <c r="R1617" s="22">
        <v>45756</v>
      </c>
      <c r="W1617">
        <f>COUNTIF(セゾン投信!U:U,B1617)</f>
        <v>0</v>
      </c>
    </row>
    <row r="1618" spans="1:23" ht="24.95" hidden="1" customHeight="1" x14ac:dyDescent="0.4">
      <c r="A1618" s="17" t="s">
        <v>66</v>
      </c>
      <c r="B1618" s="15" t="s">
        <v>275</v>
      </c>
      <c r="C1618" s="16" t="s">
        <v>31</v>
      </c>
      <c r="D1618" s="16" t="s">
        <v>31</v>
      </c>
      <c r="E1618" s="15" t="s">
        <v>32</v>
      </c>
      <c r="F1618" s="15" t="s">
        <v>314</v>
      </c>
      <c r="N1618" s="21" t="s">
        <v>96</v>
      </c>
      <c r="O1618" s="21" t="s">
        <v>336</v>
      </c>
      <c r="Q1618" s="21" t="s">
        <v>344</v>
      </c>
      <c r="R1618" s="22">
        <v>45756</v>
      </c>
      <c r="W1618">
        <f>COUNTIF(セゾン投信!U:U,B1618)</f>
        <v>0</v>
      </c>
    </row>
    <row r="1619" spans="1:23" ht="24.95" hidden="1" customHeight="1" x14ac:dyDescent="0.4">
      <c r="A1619" s="17" t="s">
        <v>66</v>
      </c>
      <c r="B1619" s="15" t="s">
        <v>326</v>
      </c>
      <c r="C1619" s="16" t="s">
        <v>31</v>
      </c>
      <c r="D1619" s="16" t="s">
        <v>31</v>
      </c>
      <c r="E1619" s="15" t="s">
        <v>32</v>
      </c>
      <c r="F1619" s="15" t="s">
        <v>314</v>
      </c>
      <c r="N1619" s="21" t="s">
        <v>96</v>
      </c>
      <c r="O1619" s="21" t="s">
        <v>337</v>
      </c>
      <c r="Q1619" s="21" t="s">
        <v>344</v>
      </c>
      <c r="R1619" s="22">
        <v>45756</v>
      </c>
      <c r="W1619">
        <f>COUNTIF(セゾン投信!U:U,B1619)</f>
        <v>0</v>
      </c>
    </row>
    <row r="1620" spans="1:23" ht="24.95" hidden="1" customHeight="1" x14ac:dyDescent="0.4">
      <c r="A1620" s="17" t="s">
        <v>66</v>
      </c>
      <c r="B1620" s="15" t="s">
        <v>327</v>
      </c>
      <c r="C1620" s="16" t="s">
        <v>24</v>
      </c>
      <c r="D1620" s="16" t="s">
        <v>31</v>
      </c>
      <c r="E1620" s="15" t="s">
        <v>35</v>
      </c>
      <c r="F1620" s="15" t="s">
        <v>314</v>
      </c>
      <c r="N1620" s="21" t="s">
        <v>96</v>
      </c>
      <c r="O1620" s="21" t="s">
        <v>337</v>
      </c>
      <c r="Q1620" s="21" t="s">
        <v>344</v>
      </c>
      <c r="R1620" s="22">
        <v>45756</v>
      </c>
      <c r="W1620">
        <f>COUNTIF(セゾン投信!U:U,B1620)</f>
        <v>0</v>
      </c>
    </row>
    <row r="1621" spans="1:23" ht="24.95" hidden="1" customHeight="1" x14ac:dyDescent="0.4">
      <c r="A1621" s="17" t="s">
        <v>66</v>
      </c>
      <c r="B1621" s="15" t="s">
        <v>328</v>
      </c>
      <c r="C1621" s="16" t="s">
        <v>24</v>
      </c>
      <c r="D1621" s="16" t="s">
        <v>31</v>
      </c>
      <c r="E1621" s="15" t="s">
        <v>35</v>
      </c>
      <c r="F1621" s="15" t="s">
        <v>314</v>
      </c>
      <c r="N1621" s="21" t="s">
        <v>96</v>
      </c>
      <c r="O1621" s="21" t="s">
        <v>337</v>
      </c>
      <c r="Q1621" s="21" t="s">
        <v>344</v>
      </c>
      <c r="R1621" s="22">
        <v>45756</v>
      </c>
      <c r="W1621">
        <f>COUNTIF(セゾン投信!U:U,B1621)</f>
        <v>0</v>
      </c>
    </row>
    <row r="1622" spans="1:23" ht="24.95" hidden="1" customHeight="1" x14ac:dyDescent="0.4">
      <c r="A1622" s="17" t="s">
        <v>66</v>
      </c>
      <c r="B1622" s="15" t="s">
        <v>329</v>
      </c>
      <c r="C1622" s="16" t="s">
        <v>24</v>
      </c>
      <c r="D1622" s="16" t="s">
        <v>31</v>
      </c>
      <c r="E1622" s="15" t="s">
        <v>35</v>
      </c>
      <c r="F1622" s="15" t="s">
        <v>314</v>
      </c>
      <c r="N1622" s="21" t="s">
        <v>96</v>
      </c>
      <c r="O1622" s="21" t="s">
        <v>337</v>
      </c>
      <c r="Q1622" s="21" t="s">
        <v>344</v>
      </c>
      <c r="R1622" s="22">
        <v>45756</v>
      </c>
      <c r="W1622">
        <f>COUNTIF(セゾン投信!U:U,B1622)</f>
        <v>0</v>
      </c>
    </row>
    <row r="1623" spans="1:23" ht="24.95" hidden="1" customHeight="1" x14ac:dyDescent="0.4">
      <c r="A1623" s="17" t="s">
        <v>66</v>
      </c>
      <c r="B1623" s="15" t="s">
        <v>276</v>
      </c>
      <c r="C1623" s="16" t="s">
        <v>31</v>
      </c>
      <c r="D1623" s="16" t="s">
        <v>31</v>
      </c>
      <c r="E1623" s="15" t="s">
        <v>32</v>
      </c>
      <c r="F1623" s="15" t="s">
        <v>314</v>
      </c>
      <c r="N1623" s="21" t="s">
        <v>96</v>
      </c>
      <c r="O1623" s="21" t="s">
        <v>336</v>
      </c>
      <c r="Q1623" s="21" t="s">
        <v>344</v>
      </c>
      <c r="R1623" s="22">
        <v>45756</v>
      </c>
      <c r="W1623">
        <f>COUNTIF(セゾン投信!U:U,B1623)</f>
        <v>0</v>
      </c>
    </row>
    <row r="1624" spans="1:23" ht="24.95" hidden="1" customHeight="1" x14ac:dyDescent="0.4">
      <c r="A1624" s="17" t="s">
        <v>66</v>
      </c>
      <c r="B1624" s="15" t="s">
        <v>277</v>
      </c>
      <c r="C1624" s="16" t="s">
        <v>31</v>
      </c>
      <c r="D1624" s="16" t="s">
        <v>31</v>
      </c>
      <c r="E1624" s="15" t="s">
        <v>32</v>
      </c>
      <c r="F1624" s="15" t="s">
        <v>314</v>
      </c>
      <c r="N1624" s="21" t="s">
        <v>96</v>
      </c>
      <c r="O1624" s="21" t="s">
        <v>336</v>
      </c>
      <c r="Q1624" s="21" t="s">
        <v>344</v>
      </c>
      <c r="R1624" s="22">
        <v>45756</v>
      </c>
      <c r="W1624">
        <f>COUNTIF(セゾン投信!U:U,B1624)</f>
        <v>0</v>
      </c>
    </row>
    <row r="1625" spans="1:23" ht="24.95" hidden="1" customHeight="1" x14ac:dyDescent="0.4">
      <c r="A1625" s="17" t="s">
        <v>66</v>
      </c>
      <c r="B1625" s="15" t="s">
        <v>278</v>
      </c>
      <c r="C1625" s="16" t="s">
        <v>31</v>
      </c>
      <c r="D1625" s="16" t="s">
        <v>31</v>
      </c>
      <c r="E1625" s="15" t="s">
        <v>32</v>
      </c>
      <c r="F1625" s="15" t="s">
        <v>314</v>
      </c>
      <c r="N1625" s="21" t="s">
        <v>96</v>
      </c>
      <c r="O1625" s="21" t="s">
        <v>336</v>
      </c>
      <c r="Q1625" s="21" t="s">
        <v>344</v>
      </c>
      <c r="R1625" s="22">
        <v>45756</v>
      </c>
      <c r="W1625">
        <f>COUNTIF(セゾン投信!U:U,B1625)</f>
        <v>0</v>
      </c>
    </row>
    <row r="1626" spans="1:23" ht="24.95" hidden="1" customHeight="1" x14ac:dyDescent="0.4">
      <c r="A1626" s="17" t="s">
        <v>66</v>
      </c>
      <c r="B1626" s="15" t="s">
        <v>279</v>
      </c>
      <c r="C1626" s="16" t="s">
        <v>31</v>
      </c>
      <c r="D1626" s="16" t="s">
        <v>31</v>
      </c>
      <c r="E1626" s="15" t="s">
        <v>32</v>
      </c>
      <c r="F1626" s="15" t="s">
        <v>314</v>
      </c>
      <c r="N1626" s="21" t="s">
        <v>96</v>
      </c>
      <c r="O1626" s="21" t="s">
        <v>336</v>
      </c>
      <c r="Q1626" s="21" t="s">
        <v>344</v>
      </c>
      <c r="R1626" s="22">
        <v>45756</v>
      </c>
      <c r="W1626">
        <f>COUNTIF(セゾン投信!U:U,B1626)</f>
        <v>0</v>
      </c>
    </row>
    <row r="1627" spans="1:23" ht="24.95" hidden="1" customHeight="1" x14ac:dyDescent="0.4">
      <c r="A1627" s="17" t="s">
        <v>66</v>
      </c>
      <c r="B1627" s="15" t="s">
        <v>280</v>
      </c>
      <c r="C1627" s="16" t="s">
        <v>31</v>
      </c>
      <c r="D1627" s="16" t="s">
        <v>31</v>
      </c>
      <c r="E1627" s="15" t="s">
        <v>32</v>
      </c>
      <c r="F1627" s="15" t="s">
        <v>314</v>
      </c>
      <c r="N1627" s="21" t="s">
        <v>96</v>
      </c>
      <c r="O1627" s="21" t="s">
        <v>336</v>
      </c>
      <c r="Q1627" s="21" t="s">
        <v>344</v>
      </c>
      <c r="R1627" s="22">
        <v>45756</v>
      </c>
      <c r="W1627">
        <f>COUNTIF(セゾン投信!U:U,B1627)</f>
        <v>0</v>
      </c>
    </row>
    <row r="1628" spans="1:23" ht="24.95" hidden="1" customHeight="1" x14ac:dyDescent="0.4">
      <c r="A1628" s="17" t="s">
        <v>66</v>
      </c>
      <c r="B1628" s="15" t="s">
        <v>281</v>
      </c>
      <c r="C1628" s="16" t="s">
        <v>31</v>
      </c>
      <c r="D1628" s="16" t="s">
        <v>31</v>
      </c>
      <c r="E1628" s="15" t="s">
        <v>32</v>
      </c>
      <c r="F1628" s="15" t="s">
        <v>314</v>
      </c>
      <c r="N1628" s="21" t="s">
        <v>96</v>
      </c>
      <c r="O1628" s="21" t="s">
        <v>336</v>
      </c>
      <c r="Q1628" s="21" t="s">
        <v>344</v>
      </c>
      <c r="R1628" s="22">
        <v>45756</v>
      </c>
      <c r="W1628">
        <f>COUNTIF(セゾン投信!U:U,B1628)</f>
        <v>0</v>
      </c>
    </row>
    <row r="1629" spans="1:23" ht="24.95" hidden="1" customHeight="1" x14ac:dyDescent="0.4">
      <c r="A1629" s="17" t="s">
        <v>66</v>
      </c>
      <c r="B1629" s="15" t="s">
        <v>282</v>
      </c>
      <c r="C1629" s="16" t="s">
        <v>31</v>
      </c>
      <c r="D1629" s="16" t="s">
        <v>31</v>
      </c>
      <c r="E1629" s="15" t="s">
        <v>32</v>
      </c>
      <c r="F1629" s="15" t="s">
        <v>314</v>
      </c>
      <c r="N1629" s="21" t="s">
        <v>96</v>
      </c>
      <c r="O1629" s="21" t="s">
        <v>336</v>
      </c>
      <c r="Q1629" s="21" t="s">
        <v>344</v>
      </c>
      <c r="R1629" s="22">
        <v>45756</v>
      </c>
      <c r="W1629">
        <f>COUNTIF(セゾン投信!U:U,B1629)</f>
        <v>0</v>
      </c>
    </row>
    <row r="1630" spans="1:23" ht="24.95" hidden="1" customHeight="1" x14ac:dyDescent="0.4">
      <c r="A1630" s="17" t="s">
        <v>66</v>
      </c>
      <c r="B1630" s="15" t="s">
        <v>283</v>
      </c>
      <c r="C1630" s="16" t="s">
        <v>31</v>
      </c>
      <c r="D1630" s="16" t="s">
        <v>31</v>
      </c>
      <c r="E1630" s="15" t="s">
        <v>32</v>
      </c>
      <c r="F1630" s="15" t="s">
        <v>314</v>
      </c>
      <c r="N1630" s="21" t="s">
        <v>96</v>
      </c>
      <c r="O1630" s="21" t="s">
        <v>336</v>
      </c>
      <c r="Q1630" s="21" t="s">
        <v>344</v>
      </c>
      <c r="R1630" s="22">
        <v>45756</v>
      </c>
      <c r="W1630">
        <f>COUNTIF(セゾン投信!U:U,B1630)</f>
        <v>0</v>
      </c>
    </row>
    <row r="1631" spans="1:23" ht="24.95" hidden="1" customHeight="1" x14ac:dyDescent="0.4">
      <c r="A1631" s="17" t="s">
        <v>66</v>
      </c>
      <c r="B1631" s="15" t="s">
        <v>284</v>
      </c>
      <c r="C1631" s="16" t="s">
        <v>31</v>
      </c>
      <c r="D1631" s="16" t="s">
        <v>31</v>
      </c>
      <c r="E1631" s="15" t="s">
        <v>32</v>
      </c>
      <c r="F1631" s="15" t="s">
        <v>314</v>
      </c>
      <c r="N1631" s="21" t="s">
        <v>96</v>
      </c>
      <c r="O1631" s="21" t="s">
        <v>336</v>
      </c>
      <c r="Q1631" s="21" t="s">
        <v>344</v>
      </c>
      <c r="R1631" s="22">
        <v>45756</v>
      </c>
      <c r="W1631">
        <f>COUNTIF(セゾン投信!U:U,B1631)</f>
        <v>0</v>
      </c>
    </row>
    <row r="1632" spans="1:23" ht="24.95" hidden="1" customHeight="1" x14ac:dyDescent="0.4">
      <c r="A1632" s="17" t="s">
        <v>66</v>
      </c>
      <c r="B1632" s="15" t="s">
        <v>285</v>
      </c>
      <c r="C1632" s="16" t="s">
        <v>31</v>
      </c>
      <c r="D1632" s="16" t="s">
        <v>31</v>
      </c>
      <c r="E1632" s="15" t="s">
        <v>32</v>
      </c>
      <c r="F1632" s="15" t="s">
        <v>314</v>
      </c>
      <c r="N1632" s="21" t="s">
        <v>96</v>
      </c>
      <c r="O1632" s="21" t="s">
        <v>336</v>
      </c>
      <c r="Q1632" s="21" t="s">
        <v>344</v>
      </c>
      <c r="R1632" s="22">
        <v>45756</v>
      </c>
      <c r="W1632">
        <f>COUNTIF(セゾン投信!U:U,B1632)</f>
        <v>0</v>
      </c>
    </row>
    <row r="1633" spans="1:23" ht="24.95" hidden="1" customHeight="1" x14ac:dyDescent="0.4">
      <c r="A1633" s="17" t="s">
        <v>66</v>
      </c>
      <c r="B1633" s="15" t="s">
        <v>286</v>
      </c>
      <c r="C1633" s="16" t="s">
        <v>31</v>
      </c>
      <c r="D1633" s="16" t="s">
        <v>31</v>
      </c>
      <c r="E1633" s="15" t="s">
        <v>32</v>
      </c>
      <c r="F1633" s="15" t="s">
        <v>314</v>
      </c>
      <c r="N1633" s="21" t="s">
        <v>96</v>
      </c>
      <c r="O1633" s="21" t="s">
        <v>336</v>
      </c>
      <c r="Q1633" s="21" t="s">
        <v>344</v>
      </c>
      <c r="R1633" s="22">
        <v>45756</v>
      </c>
      <c r="W1633">
        <f>COUNTIF(セゾン投信!U:U,B1633)</f>
        <v>0</v>
      </c>
    </row>
    <row r="1634" spans="1:23" ht="24.95" hidden="1" customHeight="1" x14ac:dyDescent="0.4">
      <c r="A1634" s="17" t="s">
        <v>66</v>
      </c>
      <c r="B1634" s="15" t="s">
        <v>287</v>
      </c>
      <c r="C1634" s="16" t="s">
        <v>31</v>
      </c>
      <c r="D1634" s="16" t="s">
        <v>31</v>
      </c>
      <c r="E1634" s="15" t="s">
        <v>32</v>
      </c>
      <c r="F1634" s="15" t="s">
        <v>314</v>
      </c>
      <c r="N1634" s="21" t="s">
        <v>96</v>
      </c>
      <c r="O1634" s="21" t="s">
        <v>336</v>
      </c>
      <c r="Q1634" s="21" t="s">
        <v>344</v>
      </c>
      <c r="R1634" s="22">
        <v>45756</v>
      </c>
      <c r="W1634">
        <f>COUNTIF(セゾン投信!U:U,B1634)</f>
        <v>0</v>
      </c>
    </row>
    <row r="1635" spans="1:23" ht="24.95" hidden="1" customHeight="1" x14ac:dyDescent="0.4">
      <c r="A1635" s="17" t="s">
        <v>66</v>
      </c>
      <c r="B1635" s="15" t="s">
        <v>342</v>
      </c>
      <c r="C1635" s="16" t="s">
        <v>31</v>
      </c>
      <c r="D1635" s="16" t="s">
        <v>31</v>
      </c>
      <c r="E1635" s="15" t="s">
        <v>32</v>
      </c>
      <c r="F1635" s="15" t="s">
        <v>340</v>
      </c>
      <c r="N1635" s="21" t="s">
        <v>96</v>
      </c>
      <c r="O1635" s="21" t="s">
        <v>345</v>
      </c>
      <c r="Q1635" s="21" t="s">
        <v>344</v>
      </c>
      <c r="R1635" s="22">
        <v>45784</v>
      </c>
      <c r="W1635">
        <f>COUNTIF(セゾン投信!U:U,B1635)</f>
        <v>0</v>
      </c>
    </row>
    <row r="1636" spans="1:23" ht="24.95" hidden="1" customHeight="1" x14ac:dyDescent="0.4">
      <c r="A1636" s="17" t="s">
        <v>66</v>
      </c>
      <c r="B1636" s="15" t="s">
        <v>288</v>
      </c>
      <c r="C1636" s="16" t="s">
        <v>31</v>
      </c>
      <c r="D1636" s="16" t="s">
        <v>31</v>
      </c>
      <c r="E1636" s="15" t="s">
        <v>32</v>
      </c>
      <c r="F1636" s="15" t="s">
        <v>314</v>
      </c>
      <c r="N1636" s="21" t="s">
        <v>96</v>
      </c>
      <c r="O1636" s="21" t="s">
        <v>336</v>
      </c>
      <c r="Q1636" s="21" t="s">
        <v>344</v>
      </c>
      <c r="R1636" s="22">
        <v>45756</v>
      </c>
      <c r="W1636">
        <f>COUNTIF(セゾン投信!U:U,B1636)</f>
        <v>0</v>
      </c>
    </row>
    <row r="1637" spans="1:23" ht="24.95" hidden="1" customHeight="1" x14ac:dyDescent="0.4">
      <c r="A1637" s="17" t="s">
        <v>66</v>
      </c>
      <c r="B1637" s="15" t="s">
        <v>289</v>
      </c>
      <c r="C1637" s="16" t="s">
        <v>31</v>
      </c>
      <c r="D1637" s="16" t="s">
        <v>31</v>
      </c>
      <c r="E1637" s="15" t="s">
        <v>32</v>
      </c>
      <c r="F1637" s="15" t="s">
        <v>314</v>
      </c>
      <c r="N1637" s="21" t="s">
        <v>96</v>
      </c>
      <c r="O1637" s="21" t="s">
        <v>336</v>
      </c>
      <c r="Q1637" s="21" t="s">
        <v>344</v>
      </c>
      <c r="R1637" s="22">
        <v>45756</v>
      </c>
      <c r="W1637">
        <f>COUNTIF(セゾン投信!U:U,B1637)</f>
        <v>0</v>
      </c>
    </row>
    <row r="1638" spans="1:23" ht="24.95" hidden="1" customHeight="1" x14ac:dyDescent="0.4">
      <c r="A1638" s="17" t="s">
        <v>66</v>
      </c>
      <c r="B1638" s="15" t="s">
        <v>290</v>
      </c>
      <c r="C1638" s="16" t="s">
        <v>31</v>
      </c>
      <c r="D1638" s="16" t="s">
        <v>31</v>
      </c>
      <c r="E1638" s="15" t="s">
        <v>32</v>
      </c>
      <c r="F1638" s="15" t="s">
        <v>314</v>
      </c>
      <c r="N1638" s="21" t="s">
        <v>96</v>
      </c>
      <c r="O1638" s="21" t="s">
        <v>336</v>
      </c>
      <c r="Q1638" s="21" t="s">
        <v>344</v>
      </c>
      <c r="R1638" s="22">
        <v>45756</v>
      </c>
      <c r="W1638">
        <f>COUNTIF(セゾン投信!U:U,B1638)</f>
        <v>0</v>
      </c>
    </row>
    <row r="1639" spans="1:23" ht="24.95" hidden="1" customHeight="1" x14ac:dyDescent="0.4">
      <c r="A1639" s="17" t="s">
        <v>66</v>
      </c>
      <c r="B1639" s="15" t="s">
        <v>291</v>
      </c>
      <c r="C1639" s="16" t="s">
        <v>31</v>
      </c>
      <c r="D1639" s="16" t="s">
        <v>31</v>
      </c>
      <c r="E1639" s="15" t="s">
        <v>32</v>
      </c>
      <c r="F1639" s="15" t="s">
        <v>314</v>
      </c>
      <c r="N1639" s="21" t="s">
        <v>96</v>
      </c>
      <c r="O1639" s="21" t="s">
        <v>336</v>
      </c>
      <c r="Q1639" s="21" t="s">
        <v>344</v>
      </c>
      <c r="R1639" s="22">
        <v>45756</v>
      </c>
      <c r="W1639">
        <f>COUNTIF(セゾン投信!U:U,B1639)</f>
        <v>0</v>
      </c>
    </row>
    <row r="1640" spans="1:23" ht="24.95" hidden="1" customHeight="1" x14ac:dyDescent="0.4">
      <c r="A1640" s="17" t="s">
        <v>66</v>
      </c>
      <c r="B1640" s="15" t="s">
        <v>292</v>
      </c>
      <c r="C1640" s="16" t="s">
        <v>31</v>
      </c>
      <c r="D1640" s="16" t="s">
        <v>31</v>
      </c>
      <c r="E1640" s="15" t="s">
        <v>32</v>
      </c>
      <c r="F1640" s="15" t="s">
        <v>314</v>
      </c>
      <c r="N1640" s="21" t="s">
        <v>96</v>
      </c>
      <c r="O1640" s="21" t="s">
        <v>336</v>
      </c>
      <c r="Q1640" s="21" t="s">
        <v>344</v>
      </c>
      <c r="R1640" s="22">
        <v>45756</v>
      </c>
      <c r="W1640">
        <f>COUNTIF(セゾン投信!U:U,B1640)</f>
        <v>0</v>
      </c>
    </row>
    <row r="1641" spans="1:23" ht="24.95" hidden="1" customHeight="1" x14ac:dyDescent="0.4">
      <c r="A1641" s="17" t="s">
        <v>66</v>
      </c>
      <c r="B1641" s="15" t="s">
        <v>293</v>
      </c>
      <c r="C1641" s="16" t="s">
        <v>31</v>
      </c>
      <c r="D1641" s="16" t="s">
        <v>31</v>
      </c>
      <c r="E1641" s="15" t="s">
        <v>32</v>
      </c>
      <c r="F1641" s="15" t="s">
        <v>314</v>
      </c>
      <c r="N1641" s="21" t="s">
        <v>96</v>
      </c>
      <c r="O1641" s="21" t="s">
        <v>336</v>
      </c>
      <c r="Q1641" s="21" t="s">
        <v>344</v>
      </c>
      <c r="R1641" s="22">
        <v>45756</v>
      </c>
      <c r="W1641">
        <f>COUNTIF(セゾン投信!U:U,B1641)</f>
        <v>0</v>
      </c>
    </row>
    <row r="1642" spans="1:23" ht="24.95" hidden="1" customHeight="1" x14ac:dyDescent="0.4">
      <c r="A1642" s="17" t="s">
        <v>66</v>
      </c>
      <c r="B1642" s="15" t="s">
        <v>294</v>
      </c>
      <c r="C1642" s="16" t="s">
        <v>31</v>
      </c>
      <c r="D1642" s="16" t="s">
        <v>31</v>
      </c>
      <c r="E1642" s="15" t="s">
        <v>32</v>
      </c>
      <c r="F1642" s="15" t="s">
        <v>314</v>
      </c>
      <c r="N1642" s="21" t="s">
        <v>96</v>
      </c>
      <c r="O1642" s="21" t="s">
        <v>336</v>
      </c>
      <c r="Q1642" s="21" t="s">
        <v>344</v>
      </c>
      <c r="R1642" s="22">
        <v>45756</v>
      </c>
      <c r="W1642">
        <f>COUNTIF(セゾン投信!U:U,B1642)</f>
        <v>0</v>
      </c>
    </row>
    <row r="1643" spans="1:23" ht="24.95" hidden="1" customHeight="1" x14ac:dyDescent="0.4">
      <c r="A1643" s="17" t="s">
        <v>66</v>
      </c>
      <c r="B1643" s="15" t="s">
        <v>295</v>
      </c>
      <c r="C1643" s="16" t="s">
        <v>31</v>
      </c>
      <c r="D1643" s="16" t="s">
        <v>31</v>
      </c>
      <c r="E1643" s="15" t="s">
        <v>32</v>
      </c>
      <c r="F1643" s="15" t="s">
        <v>314</v>
      </c>
      <c r="N1643" s="21" t="s">
        <v>96</v>
      </c>
      <c r="O1643" s="21" t="s">
        <v>336</v>
      </c>
      <c r="Q1643" s="21" t="s">
        <v>344</v>
      </c>
      <c r="R1643" s="22">
        <v>45756</v>
      </c>
      <c r="W1643">
        <f>COUNTIF(セゾン投信!U:U,B1643)</f>
        <v>0</v>
      </c>
    </row>
    <row r="1644" spans="1:23" ht="24.95" hidden="1" customHeight="1" x14ac:dyDescent="0.4">
      <c r="A1644" s="17" t="s">
        <v>66</v>
      </c>
      <c r="B1644" s="15" t="s">
        <v>296</v>
      </c>
      <c r="C1644" s="16" t="s">
        <v>31</v>
      </c>
      <c r="D1644" s="16" t="s">
        <v>31</v>
      </c>
      <c r="E1644" s="15" t="s">
        <v>32</v>
      </c>
      <c r="F1644" s="15" t="s">
        <v>314</v>
      </c>
      <c r="N1644" s="21" t="s">
        <v>96</v>
      </c>
      <c r="O1644" s="21" t="s">
        <v>336</v>
      </c>
      <c r="Q1644" s="21" t="s">
        <v>344</v>
      </c>
      <c r="R1644" s="22">
        <v>45756</v>
      </c>
      <c r="W1644">
        <f>COUNTIF(セゾン投信!U:U,B1644)</f>
        <v>0</v>
      </c>
    </row>
    <row r="1645" spans="1:23" ht="24.95" hidden="1" customHeight="1" x14ac:dyDescent="0.4">
      <c r="A1645" s="17" t="s">
        <v>66</v>
      </c>
      <c r="B1645" s="15" t="s">
        <v>297</v>
      </c>
      <c r="C1645" s="16" t="s">
        <v>31</v>
      </c>
      <c r="D1645" s="16" t="s">
        <v>31</v>
      </c>
      <c r="E1645" s="15" t="s">
        <v>32</v>
      </c>
      <c r="F1645" s="15" t="s">
        <v>314</v>
      </c>
      <c r="N1645" s="21" t="s">
        <v>96</v>
      </c>
      <c r="O1645" s="21" t="s">
        <v>336</v>
      </c>
      <c r="Q1645" s="21" t="s">
        <v>344</v>
      </c>
      <c r="R1645" s="22">
        <v>45756</v>
      </c>
      <c r="W1645">
        <f>COUNTIF(セゾン投信!U:U,B1645)</f>
        <v>0</v>
      </c>
    </row>
    <row r="1646" spans="1:23" ht="24.95" hidden="1" customHeight="1" x14ac:dyDescent="0.4">
      <c r="A1646" s="17" t="s">
        <v>66</v>
      </c>
      <c r="B1646" s="15" t="s">
        <v>298</v>
      </c>
      <c r="C1646" s="16" t="s">
        <v>31</v>
      </c>
      <c r="D1646" s="16" t="s">
        <v>31</v>
      </c>
      <c r="E1646" s="15" t="s">
        <v>32</v>
      </c>
      <c r="F1646" s="15" t="s">
        <v>314</v>
      </c>
      <c r="N1646" s="21" t="s">
        <v>96</v>
      </c>
      <c r="O1646" s="21" t="s">
        <v>336</v>
      </c>
      <c r="Q1646" s="21" t="s">
        <v>344</v>
      </c>
      <c r="R1646" s="22">
        <v>45756</v>
      </c>
      <c r="W1646">
        <f>COUNTIF(セゾン投信!U:U,B1646)</f>
        <v>0</v>
      </c>
    </row>
    <row r="1647" spans="1:23" ht="24.95" hidden="1" customHeight="1" x14ac:dyDescent="0.4">
      <c r="A1647" s="17" t="s">
        <v>66</v>
      </c>
      <c r="B1647" s="15" t="s">
        <v>299</v>
      </c>
      <c r="C1647" s="16" t="s">
        <v>31</v>
      </c>
      <c r="D1647" s="16" t="s">
        <v>31</v>
      </c>
      <c r="E1647" s="15" t="s">
        <v>32</v>
      </c>
      <c r="F1647" s="15" t="s">
        <v>314</v>
      </c>
      <c r="N1647" s="21" t="s">
        <v>96</v>
      </c>
      <c r="O1647" s="21" t="s">
        <v>336</v>
      </c>
      <c r="Q1647" s="21" t="s">
        <v>344</v>
      </c>
      <c r="R1647" s="22">
        <v>45756</v>
      </c>
      <c r="W1647">
        <f>COUNTIF(セゾン投信!U:U,B1647)</f>
        <v>0</v>
      </c>
    </row>
    <row r="1648" spans="1:23" ht="24.95" hidden="1" customHeight="1" x14ac:dyDescent="0.4">
      <c r="A1648" s="17" t="s">
        <v>66</v>
      </c>
      <c r="B1648" s="15" t="s">
        <v>300</v>
      </c>
      <c r="C1648" s="16" t="s">
        <v>31</v>
      </c>
      <c r="D1648" s="16" t="s">
        <v>31</v>
      </c>
      <c r="E1648" s="15" t="s">
        <v>32</v>
      </c>
      <c r="F1648" s="15" t="s">
        <v>314</v>
      </c>
      <c r="N1648" s="21" t="s">
        <v>96</v>
      </c>
      <c r="O1648" s="21" t="s">
        <v>336</v>
      </c>
      <c r="Q1648" s="21" t="s">
        <v>344</v>
      </c>
      <c r="R1648" s="22">
        <v>45756</v>
      </c>
      <c r="W1648">
        <f>COUNTIF(セゾン投信!U:U,B1648)</f>
        <v>0</v>
      </c>
    </row>
    <row r="1649" spans="1:26" ht="24.95" hidden="1" customHeight="1" x14ac:dyDescent="0.4">
      <c r="A1649" s="17" t="s">
        <v>66</v>
      </c>
      <c r="B1649" s="15" t="s">
        <v>301</v>
      </c>
      <c r="C1649" s="16" t="s">
        <v>31</v>
      </c>
      <c r="D1649" s="16" t="s">
        <v>31</v>
      </c>
      <c r="E1649" s="15" t="s">
        <v>32</v>
      </c>
      <c r="F1649" s="15" t="s">
        <v>314</v>
      </c>
      <c r="N1649" s="21" t="s">
        <v>96</v>
      </c>
      <c r="O1649" s="21" t="s">
        <v>336</v>
      </c>
      <c r="Q1649" s="21" t="s">
        <v>344</v>
      </c>
      <c r="R1649" s="22">
        <v>45756</v>
      </c>
      <c r="W1649">
        <f>COUNTIF(セゾン投信!U:U,B1649)</f>
        <v>0</v>
      </c>
    </row>
    <row r="1650" spans="1:26" ht="24.95" hidden="1" customHeight="1" x14ac:dyDescent="0.4">
      <c r="A1650" s="17" t="s">
        <v>66</v>
      </c>
      <c r="B1650" s="15" t="s">
        <v>302</v>
      </c>
      <c r="C1650" s="16" t="s">
        <v>31</v>
      </c>
      <c r="D1650" s="16" t="s">
        <v>31</v>
      </c>
      <c r="E1650" s="15" t="s">
        <v>32</v>
      </c>
      <c r="F1650" s="15" t="s">
        <v>314</v>
      </c>
      <c r="N1650" s="21" t="s">
        <v>96</v>
      </c>
      <c r="O1650" s="21" t="s">
        <v>336</v>
      </c>
      <c r="Q1650" s="21" t="s">
        <v>344</v>
      </c>
      <c r="R1650" s="22">
        <v>45756</v>
      </c>
      <c r="W1650">
        <f>COUNTIF(セゾン投信!U:U,B1650)</f>
        <v>0</v>
      </c>
    </row>
    <row r="1651" spans="1:26" ht="24.95" hidden="1" customHeight="1" x14ac:dyDescent="0.4">
      <c r="A1651" s="17" t="s">
        <v>66</v>
      </c>
      <c r="B1651" s="15" t="s">
        <v>303</v>
      </c>
      <c r="C1651" s="16" t="s">
        <v>31</v>
      </c>
      <c r="D1651" s="16" t="s">
        <v>31</v>
      </c>
      <c r="E1651" s="15" t="s">
        <v>32</v>
      </c>
      <c r="F1651" s="15" t="s">
        <v>314</v>
      </c>
      <c r="N1651" s="21" t="s">
        <v>96</v>
      </c>
      <c r="O1651" s="21" t="s">
        <v>336</v>
      </c>
      <c r="Q1651" s="21" t="s">
        <v>344</v>
      </c>
      <c r="R1651" s="22">
        <v>45756</v>
      </c>
      <c r="W1651">
        <f>COUNTIF(セゾン投信!U:U,B1651)</f>
        <v>0</v>
      </c>
    </row>
    <row r="1652" spans="1:26" ht="24.95" hidden="1" customHeight="1" x14ac:dyDescent="0.4">
      <c r="A1652" s="17" t="s">
        <v>66</v>
      </c>
      <c r="B1652" s="15" t="s">
        <v>304</v>
      </c>
      <c r="C1652" s="16" t="s">
        <v>31</v>
      </c>
      <c r="D1652" s="16" t="s">
        <v>31</v>
      </c>
      <c r="E1652" s="15" t="s">
        <v>32</v>
      </c>
      <c r="F1652" s="15" t="s">
        <v>314</v>
      </c>
      <c r="N1652" s="21" t="s">
        <v>96</v>
      </c>
      <c r="O1652" s="21" t="s">
        <v>336</v>
      </c>
      <c r="Q1652" s="21" t="s">
        <v>344</v>
      </c>
      <c r="R1652" s="22">
        <v>45756</v>
      </c>
      <c r="W1652">
        <f>COUNTIF(セゾン投信!U:U,B1652)</f>
        <v>0</v>
      </c>
    </row>
    <row r="1653" spans="1:26" ht="24.95" hidden="1" customHeight="1" x14ac:dyDescent="0.4">
      <c r="A1653" s="17" t="s">
        <v>66</v>
      </c>
      <c r="B1653" s="15" t="s">
        <v>305</v>
      </c>
      <c r="C1653" s="16" t="s">
        <v>31</v>
      </c>
      <c r="D1653" s="16" t="s">
        <v>31</v>
      </c>
      <c r="E1653" s="15" t="s">
        <v>32</v>
      </c>
      <c r="F1653" s="15" t="s">
        <v>314</v>
      </c>
      <c r="N1653" s="21" t="s">
        <v>96</v>
      </c>
      <c r="O1653" s="21" t="s">
        <v>336</v>
      </c>
      <c r="Q1653" s="21" t="s">
        <v>344</v>
      </c>
      <c r="R1653" s="22">
        <v>45756</v>
      </c>
      <c r="W1653">
        <f>COUNTIF(セゾン投信!U:U,B1653)</f>
        <v>0</v>
      </c>
    </row>
    <row r="1654" spans="1:26" ht="24.95" hidden="1" customHeight="1" x14ac:dyDescent="0.4">
      <c r="A1654" s="17" t="s">
        <v>66</v>
      </c>
      <c r="B1654" s="15" t="s">
        <v>370</v>
      </c>
      <c r="C1654" s="16" t="s">
        <v>31</v>
      </c>
      <c r="D1654" s="16" t="s">
        <v>31</v>
      </c>
      <c r="E1654" s="15" t="s">
        <v>32</v>
      </c>
      <c r="F1654" s="15" t="s">
        <v>365</v>
      </c>
      <c r="N1654" s="21" t="s">
        <v>374</v>
      </c>
      <c r="O1654" s="21" t="s">
        <v>373</v>
      </c>
      <c r="Q1654" s="21" t="s">
        <v>344</v>
      </c>
      <c r="R1654" s="22">
        <v>45883</v>
      </c>
      <c r="W1654">
        <f>COUNTIF(セゾン投信!U:U,B1654)</f>
        <v>0</v>
      </c>
    </row>
    <row r="1655" spans="1:26" ht="24.95" hidden="1" customHeight="1" x14ac:dyDescent="0.4">
      <c r="A1655" s="17" t="s">
        <v>66</v>
      </c>
      <c r="B1655" s="15" t="s">
        <v>371</v>
      </c>
      <c r="C1655" s="16" t="s">
        <v>31</v>
      </c>
      <c r="D1655" s="16" t="s">
        <v>31</v>
      </c>
      <c r="E1655" s="15" t="s">
        <v>32</v>
      </c>
      <c r="F1655" s="15" t="s">
        <v>365</v>
      </c>
      <c r="N1655" s="21" t="s">
        <v>374</v>
      </c>
      <c r="O1655" s="21" t="s">
        <v>373</v>
      </c>
      <c r="Q1655" s="21" t="s">
        <v>344</v>
      </c>
      <c r="R1655" s="22">
        <v>45883</v>
      </c>
      <c r="W1655">
        <f>COUNTIF(セゾン投信!U:U,B1655)</f>
        <v>0</v>
      </c>
    </row>
    <row r="1656" spans="1:26" ht="24.95" hidden="1" customHeight="1" x14ac:dyDescent="0.4">
      <c r="A1656" s="17" t="s">
        <v>66</v>
      </c>
      <c r="B1656" s="15" t="s">
        <v>306</v>
      </c>
      <c r="C1656" s="16" t="s">
        <v>24</v>
      </c>
      <c r="D1656" s="16" t="s">
        <v>31</v>
      </c>
      <c r="E1656" s="15" t="s">
        <v>35</v>
      </c>
      <c r="F1656" s="15" t="s">
        <v>314</v>
      </c>
      <c r="N1656" s="21" t="s">
        <v>96</v>
      </c>
      <c r="O1656" s="21" t="s">
        <v>336</v>
      </c>
      <c r="Q1656" s="21" t="s">
        <v>344</v>
      </c>
      <c r="R1656" s="22">
        <v>45756</v>
      </c>
      <c r="W1656">
        <f>COUNTIF(セゾン投信!U:U,B1656)</f>
        <v>0</v>
      </c>
    </row>
    <row r="1657" spans="1:26" ht="24.95" hidden="1" customHeight="1" x14ac:dyDescent="0.4">
      <c r="A1657" s="17" t="s">
        <v>66</v>
      </c>
      <c r="B1657" s="15" t="s">
        <v>307</v>
      </c>
      <c r="C1657" s="16" t="s">
        <v>31</v>
      </c>
      <c r="D1657" s="16" t="s">
        <v>31</v>
      </c>
      <c r="E1657" s="15" t="s">
        <v>32</v>
      </c>
      <c r="F1657" s="15" t="s">
        <v>314</v>
      </c>
      <c r="N1657" s="21" t="s">
        <v>96</v>
      </c>
      <c r="O1657" s="21" t="s">
        <v>336</v>
      </c>
      <c r="Q1657" s="21" t="s">
        <v>344</v>
      </c>
      <c r="R1657" s="22">
        <v>45756</v>
      </c>
      <c r="W1657">
        <f>COUNTIF(セゾン投信!U:U,B1657)</f>
        <v>0</v>
      </c>
    </row>
    <row r="1658" spans="1:26" ht="24.95" hidden="1" customHeight="1" x14ac:dyDescent="0.4">
      <c r="A1658" s="17" t="s">
        <v>66</v>
      </c>
      <c r="B1658" s="15" t="s">
        <v>38</v>
      </c>
      <c r="C1658" s="16" t="s">
        <v>31</v>
      </c>
      <c r="D1658" s="16" t="s">
        <v>31</v>
      </c>
      <c r="E1658" s="15" t="s">
        <v>32</v>
      </c>
      <c r="F1658" s="15" t="s">
        <v>80</v>
      </c>
      <c r="N1658" s="21" t="s">
        <v>96</v>
      </c>
      <c r="O1658" s="13" t="s">
        <v>353</v>
      </c>
      <c r="Q1658" s="21" t="s">
        <v>344</v>
      </c>
      <c r="R1658" s="22">
        <v>45814</v>
      </c>
      <c r="W1658">
        <f>COUNTIF(セゾン投信!U:U,B1658)</f>
        <v>0</v>
      </c>
    </row>
    <row r="1659" spans="1:26" ht="24.95" hidden="1" customHeight="1" x14ac:dyDescent="0.4">
      <c r="A1659" s="17" t="s">
        <v>66</v>
      </c>
      <c r="B1659" s="15" t="s">
        <v>119</v>
      </c>
      <c r="C1659" s="16" t="s">
        <v>31</v>
      </c>
      <c r="D1659" s="16" t="s">
        <v>31</v>
      </c>
      <c r="E1659" s="15" t="s">
        <v>32</v>
      </c>
      <c r="F1659" s="15" t="s">
        <v>365</v>
      </c>
      <c r="N1659" s="21" t="s">
        <v>374</v>
      </c>
      <c r="O1659" s="21" t="s">
        <v>375</v>
      </c>
      <c r="Q1659" s="21" t="s">
        <v>344</v>
      </c>
      <c r="R1659" s="22">
        <v>45883</v>
      </c>
      <c r="W1659">
        <f>COUNTIF(セゾン投信!U:U,B1659)</f>
        <v>0</v>
      </c>
    </row>
    <row r="1660" spans="1:26" ht="24.95" hidden="1" customHeight="1" x14ac:dyDescent="0.4">
      <c r="A1660" s="17" t="s">
        <v>66</v>
      </c>
      <c r="B1660" s="15" t="s">
        <v>120</v>
      </c>
      <c r="C1660" s="16" t="s">
        <v>31</v>
      </c>
      <c r="D1660" s="16" t="s">
        <v>31</v>
      </c>
      <c r="E1660" s="15" t="s">
        <v>32</v>
      </c>
      <c r="F1660" s="15" t="s">
        <v>314</v>
      </c>
      <c r="N1660" s="21" t="s">
        <v>96</v>
      </c>
      <c r="O1660" s="13" t="s">
        <v>339</v>
      </c>
      <c r="Q1660" s="21" t="s">
        <v>344</v>
      </c>
      <c r="R1660" s="22">
        <v>45756</v>
      </c>
      <c r="W1660">
        <f>COUNTIF(セゾン投信!U:U,B1660)</f>
        <v>0</v>
      </c>
    </row>
    <row r="1661" spans="1:26" ht="24.95" hidden="1" customHeight="1" x14ac:dyDescent="0.4">
      <c r="A1661" s="17" t="s">
        <v>66</v>
      </c>
      <c r="B1661" s="15" t="s">
        <v>39</v>
      </c>
      <c r="C1661" s="16" t="s">
        <v>31</v>
      </c>
      <c r="D1661" s="16" t="s">
        <v>31</v>
      </c>
      <c r="E1661" s="15" t="s">
        <v>32</v>
      </c>
      <c r="F1661" s="15" t="s">
        <v>221</v>
      </c>
      <c r="N1661" s="21" t="s">
        <v>96</v>
      </c>
      <c r="O1661" s="13" t="s">
        <v>350</v>
      </c>
      <c r="Q1661" s="21" t="s">
        <v>344</v>
      </c>
      <c r="R1661" s="22">
        <v>45814</v>
      </c>
      <c r="W1661">
        <f>COUNTIF(セゾン投信!U:U,B1661)</f>
        <v>0</v>
      </c>
      <c r="Z1661" t="s">
        <v>431</v>
      </c>
    </row>
    <row r="1662" spans="1:26" ht="24.95" hidden="1" customHeight="1" x14ac:dyDescent="0.4">
      <c r="A1662" s="17" t="s">
        <v>66</v>
      </c>
      <c r="B1662" s="15" t="s">
        <v>220</v>
      </c>
      <c r="C1662" s="16" t="s">
        <v>31</v>
      </c>
      <c r="D1662" s="16" t="s">
        <v>31</v>
      </c>
      <c r="E1662" s="15" t="s">
        <v>32</v>
      </c>
      <c r="F1662" s="15" t="s">
        <v>221</v>
      </c>
      <c r="N1662" s="21" t="s">
        <v>96</v>
      </c>
      <c r="O1662" s="21" t="s">
        <v>338</v>
      </c>
      <c r="Q1662" s="21" t="s">
        <v>344</v>
      </c>
      <c r="R1662" s="22">
        <v>45814</v>
      </c>
      <c r="W1662">
        <f>COUNTIF(セゾン投信!U:U,B1662)</f>
        <v>0</v>
      </c>
    </row>
    <row r="1663" spans="1:26" ht="24.95" hidden="1" customHeight="1" x14ac:dyDescent="0.4">
      <c r="A1663" s="17" t="s">
        <v>66</v>
      </c>
      <c r="B1663" s="15" t="s">
        <v>172</v>
      </c>
      <c r="C1663" s="16" t="s">
        <v>31</v>
      </c>
      <c r="D1663" s="16" t="s">
        <v>31</v>
      </c>
      <c r="E1663" s="15" t="s">
        <v>32</v>
      </c>
      <c r="F1663" s="15" t="s">
        <v>173</v>
      </c>
      <c r="N1663" s="21" t="s">
        <v>96</v>
      </c>
      <c r="O1663" s="21" t="s">
        <v>336</v>
      </c>
      <c r="Q1663" s="21" t="s">
        <v>344</v>
      </c>
      <c r="R1663" s="22">
        <v>45814</v>
      </c>
      <c r="W1663">
        <f>COUNTIF(セゾン投信!U:U,B1663)</f>
        <v>0</v>
      </c>
    </row>
    <row r="1664" spans="1:26" ht="24.95" hidden="1" customHeight="1" x14ac:dyDescent="0.4">
      <c r="A1664" s="17" t="s">
        <v>66</v>
      </c>
      <c r="B1664" s="15" t="s">
        <v>111</v>
      </c>
      <c r="C1664" s="16" t="s">
        <v>31</v>
      </c>
      <c r="D1664" s="16" t="s">
        <v>31</v>
      </c>
      <c r="E1664" s="15" t="s">
        <v>32</v>
      </c>
      <c r="F1664" s="15" t="s">
        <v>314</v>
      </c>
      <c r="N1664" s="21" t="s">
        <v>96</v>
      </c>
      <c r="O1664" s="13" t="s">
        <v>339</v>
      </c>
      <c r="Q1664" s="21" t="s">
        <v>344</v>
      </c>
      <c r="R1664" s="22">
        <v>45756</v>
      </c>
      <c r="W1664">
        <f>COUNTIF(セゾン投信!U:U,B1664)</f>
        <v>0</v>
      </c>
    </row>
    <row r="1665" spans="1:26" ht="24.95" hidden="1" customHeight="1" x14ac:dyDescent="0.4">
      <c r="A1665" s="17" t="s">
        <v>66</v>
      </c>
      <c r="B1665" s="15" t="s">
        <v>42</v>
      </c>
      <c r="C1665" s="16" t="s">
        <v>31</v>
      </c>
      <c r="D1665" s="16" t="s">
        <v>31</v>
      </c>
      <c r="E1665" s="15" t="s">
        <v>32</v>
      </c>
      <c r="F1665" s="15" t="s">
        <v>221</v>
      </c>
      <c r="N1665" s="21" t="s">
        <v>96</v>
      </c>
      <c r="O1665" s="13" t="s">
        <v>351</v>
      </c>
      <c r="Q1665" s="21" t="s">
        <v>344</v>
      </c>
      <c r="R1665" s="22">
        <v>45814</v>
      </c>
      <c r="W1665">
        <f>COUNTIF(セゾン投信!U:U,B1665)</f>
        <v>0</v>
      </c>
    </row>
    <row r="1666" spans="1:26" ht="24.95" hidden="1" customHeight="1" x14ac:dyDescent="0.4">
      <c r="A1666" s="17" t="s">
        <v>66</v>
      </c>
      <c r="B1666" s="15" t="s">
        <v>330</v>
      </c>
      <c r="C1666" s="16" t="s">
        <v>31</v>
      </c>
      <c r="D1666" s="16" t="s">
        <v>31</v>
      </c>
      <c r="E1666" s="15" t="s">
        <v>32</v>
      </c>
      <c r="F1666" s="15" t="s">
        <v>314</v>
      </c>
      <c r="N1666" s="21" t="s">
        <v>96</v>
      </c>
      <c r="O1666" s="21" t="s">
        <v>338</v>
      </c>
      <c r="Q1666" s="21" t="s">
        <v>344</v>
      </c>
      <c r="R1666" s="22">
        <v>45756</v>
      </c>
      <c r="W1666">
        <f>COUNTIF(セゾン投信!U:U,B1666)</f>
        <v>0</v>
      </c>
    </row>
    <row r="1667" spans="1:26" ht="24.95" hidden="1" customHeight="1" x14ac:dyDescent="0.4">
      <c r="A1667" s="17" t="s">
        <v>66</v>
      </c>
      <c r="B1667" s="15" t="s">
        <v>43</v>
      </c>
      <c r="C1667" s="16" t="s">
        <v>31</v>
      </c>
      <c r="D1667" s="16" t="s">
        <v>31</v>
      </c>
      <c r="E1667" s="15" t="s">
        <v>32</v>
      </c>
      <c r="F1667" s="15" t="s">
        <v>356</v>
      </c>
      <c r="N1667" s="21" t="s">
        <v>96</v>
      </c>
      <c r="O1667" s="21" t="s">
        <v>360</v>
      </c>
      <c r="Q1667" s="21" t="s">
        <v>344</v>
      </c>
      <c r="R1667" s="22">
        <v>45847</v>
      </c>
      <c r="W1667">
        <f>COUNTIF(セゾン投信!U:U,B1667)</f>
        <v>0</v>
      </c>
    </row>
    <row r="1668" spans="1:26" ht="24.95" hidden="1" customHeight="1" x14ac:dyDescent="0.4">
      <c r="A1668" s="17" t="s">
        <v>66</v>
      </c>
      <c r="B1668" s="15" t="s">
        <v>95</v>
      </c>
      <c r="C1668" s="16" t="s">
        <v>31</v>
      </c>
      <c r="D1668" s="16" t="s">
        <v>31</v>
      </c>
      <c r="E1668" s="15" t="s">
        <v>32</v>
      </c>
      <c r="F1668" s="15" t="s">
        <v>94</v>
      </c>
      <c r="G1668" s="25" t="s">
        <v>40</v>
      </c>
      <c r="H1668" s="24" t="s">
        <v>96</v>
      </c>
      <c r="I1668" s="24" t="s">
        <v>109</v>
      </c>
      <c r="J1668" s="24" t="s">
        <v>110</v>
      </c>
      <c r="K1668" s="23">
        <v>44725</v>
      </c>
      <c r="L1668" s="23">
        <v>44723</v>
      </c>
      <c r="N1668" s="21" t="s">
        <v>96</v>
      </c>
      <c r="O1668" s="13" t="s">
        <v>105</v>
      </c>
      <c r="R1668" s="22" t="s">
        <v>24</v>
      </c>
      <c r="W1668">
        <f>COUNTIF(セゾン投信!U:U,B1668)</f>
        <v>0</v>
      </c>
      <c r="Z1668" t="s">
        <v>435</v>
      </c>
    </row>
    <row r="1669" spans="1:26" ht="24.95" hidden="1" customHeight="1" x14ac:dyDescent="0.4">
      <c r="A1669" s="17" t="s">
        <v>66</v>
      </c>
      <c r="B1669" s="15" t="s">
        <v>103</v>
      </c>
      <c r="C1669" s="16" t="s">
        <v>31</v>
      </c>
      <c r="D1669" s="16" t="s">
        <v>31</v>
      </c>
      <c r="E1669" s="15" t="s">
        <v>32</v>
      </c>
      <c r="F1669" s="15" t="s">
        <v>102</v>
      </c>
      <c r="N1669" s="21" t="s">
        <v>96</v>
      </c>
      <c r="O1669" s="13" t="s">
        <v>106</v>
      </c>
      <c r="R1669" s="22" t="s">
        <v>24</v>
      </c>
      <c r="W1669">
        <f>COUNTIF(セゾン投信!U:U,B1669)</f>
        <v>0</v>
      </c>
      <c r="Z1669" t="s">
        <v>435</v>
      </c>
    </row>
    <row r="1670" spans="1:26" ht="24.95" hidden="1" customHeight="1" x14ac:dyDescent="0.4">
      <c r="A1670" s="17" t="s">
        <v>66</v>
      </c>
      <c r="B1670" s="15" t="s">
        <v>343</v>
      </c>
      <c r="C1670" s="16" t="s">
        <v>31</v>
      </c>
      <c r="D1670" s="16" t="s">
        <v>31</v>
      </c>
      <c r="E1670" s="15" t="s">
        <v>32</v>
      </c>
      <c r="F1670" s="15" t="s">
        <v>340</v>
      </c>
      <c r="N1670" s="21" t="s">
        <v>96</v>
      </c>
      <c r="O1670" s="21" t="s">
        <v>345</v>
      </c>
      <c r="Q1670" s="21" t="s">
        <v>344</v>
      </c>
      <c r="R1670" s="22">
        <v>45784</v>
      </c>
      <c r="W1670">
        <f>COUNTIF(セゾン投信!U:U,B1670)</f>
        <v>0</v>
      </c>
    </row>
    <row r="1671" spans="1:26" ht="24.95" hidden="1" customHeight="1" x14ac:dyDescent="0.4">
      <c r="A1671" s="17" t="s">
        <v>66</v>
      </c>
      <c r="B1671" s="15" t="s">
        <v>121</v>
      </c>
      <c r="C1671" s="16" t="s">
        <v>31</v>
      </c>
      <c r="D1671" s="16" t="s">
        <v>31</v>
      </c>
      <c r="E1671" s="15" t="s">
        <v>32</v>
      </c>
      <c r="F1671" s="15" t="s">
        <v>314</v>
      </c>
      <c r="N1671" s="21" t="s">
        <v>96</v>
      </c>
      <c r="O1671" s="21" t="s">
        <v>336</v>
      </c>
      <c r="Q1671" s="21" t="s">
        <v>344</v>
      </c>
      <c r="R1671" s="22">
        <v>45756</v>
      </c>
      <c r="W1671">
        <f>COUNTIF(セゾン投信!U:U,B1671)</f>
        <v>0</v>
      </c>
    </row>
    <row r="1672" spans="1:26" ht="24.95" hidden="1" customHeight="1" x14ac:dyDescent="0.4">
      <c r="A1672" s="17" t="s">
        <v>66</v>
      </c>
      <c r="B1672" s="15" t="s">
        <v>44</v>
      </c>
      <c r="C1672" s="16" t="s">
        <v>31</v>
      </c>
      <c r="D1672" s="16" t="s">
        <v>31</v>
      </c>
      <c r="E1672" s="15" t="s">
        <v>32</v>
      </c>
      <c r="F1672" s="15" t="s">
        <v>221</v>
      </c>
      <c r="N1672" s="21" t="s">
        <v>96</v>
      </c>
      <c r="O1672" s="13" t="s">
        <v>359</v>
      </c>
      <c r="Q1672" s="21" t="s">
        <v>344</v>
      </c>
      <c r="R1672" s="22">
        <v>45814</v>
      </c>
      <c r="W1672">
        <f>COUNTIF(セゾン投信!U:U,B1672)</f>
        <v>0</v>
      </c>
    </row>
    <row r="1673" spans="1:26" ht="24.95" hidden="1" customHeight="1" x14ac:dyDescent="0.4">
      <c r="A1673" s="17" t="s">
        <v>66</v>
      </c>
      <c r="B1673" s="15" t="s">
        <v>45</v>
      </c>
      <c r="C1673" s="16" t="s">
        <v>31</v>
      </c>
      <c r="D1673" s="16" t="s">
        <v>31</v>
      </c>
      <c r="E1673" s="15" t="s">
        <v>32</v>
      </c>
      <c r="F1673" s="15" t="s">
        <v>314</v>
      </c>
      <c r="N1673" s="21" t="s">
        <v>96</v>
      </c>
      <c r="O1673" s="21" t="s">
        <v>338</v>
      </c>
      <c r="Q1673" s="21" t="s">
        <v>344</v>
      </c>
      <c r="R1673" s="22">
        <v>45756</v>
      </c>
      <c r="W1673">
        <f>COUNTIF(セゾン投信!U:U,B1673)</f>
        <v>0</v>
      </c>
      <c r="Z1673" t="s">
        <v>431</v>
      </c>
    </row>
    <row r="1674" spans="1:26" ht="24.95" customHeight="1" x14ac:dyDescent="0.4">
      <c r="A1674" s="17" t="s">
        <v>66</v>
      </c>
      <c r="B1674" s="50" t="s">
        <v>469</v>
      </c>
      <c r="C1674" s="16" t="s">
        <v>31</v>
      </c>
      <c r="D1674" s="16" t="s">
        <v>31</v>
      </c>
      <c r="E1674" s="15" t="s">
        <v>32</v>
      </c>
      <c r="F1674" s="15" t="s">
        <v>365</v>
      </c>
      <c r="N1674" s="21" t="s">
        <v>374</v>
      </c>
      <c r="O1674" s="13" t="s">
        <v>468</v>
      </c>
      <c r="Q1674" s="21" t="s">
        <v>344</v>
      </c>
      <c r="R1674" s="22">
        <v>45883</v>
      </c>
      <c r="W1674">
        <f>COUNTIF(セゾン投信!U:U,B1674)</f>
        <v>0</v>
      </c>
    </row>
    <row r="1675" spans="1:26" ht="24.95" hidden="1" customHeight="1" x14ac:dyDescent="0.4">
      <c r="A1675" s="17" t="s">
        <v>66</v>
      </c>
      <c r="B1675" s="50" t="s">
        <v>91</v>
      </c>
      <c r="C1675" s="16" t="s">
        <v>31</v>
      </c>
      <c r="D1675" s="16" t="s">
        <v>31</v>
      </c>
      <c r="E1675" s="15" t="s">
        <v>32</v>
      </c>
      <c r="F1675" s="15" t="s">
        <v>356</v>
      </c>
      <c r="N1675" s="21" t="s">
        <v>96</v>
      </c>
      <c r="O1675" s="21" t="s">
        <v>360</v>
      </c>
      <c r="Q1675" s="21" t="s">
        <v>344</v>
      </c>
      <c r="R1675" s="22">
        <v>45847</v>
      </c>
      <c r="W1675">
        <f>COUNTIF(セゾン投信!U:U,B1675)</f>
        <v>0</v>
      </c>
    </row>
    <row r="1676" spans="1:26" ht="24.95" hidden="1" customHeight="1" x14ac:dyDescent="0.4">
      <c r="A1676" s="17" t="s">
        <v>66</v>
      </c>
      <c r="B1676" s="50" t="s">
        <v>135</v>
      </c>
      <c r="C1676" s="16" t="s">
        <v>24</v>
      </c>
      <c r="D1676" s="16" t="s">
        <v>31</v>
      </c>
      <c r="E1676" s="15" t="s">
        <v>35</v>
      </c>
      <c r="F1676" s="15" t="s">
        <v>130</v>
      </c>
      <c r="G1676" s="25" t="s">
        <v>58</v>
      </c>
      <c r="H1676" s="24" t="s">
        <v>154</v>
      </c>
      <c r="M1676" s="21" t="s">
        <v>81</v>
      </c>
      <c r="N1676" s="21" t="s">
        <v>137</v>
      </c>
      <c r="O1676" s="21" t="s">
        <v>138</v>
      </c>
      <c r="W1676">
        <f>COUNTIF(セゾン投信!U:U,B1676)</f>
        <v>0</v>
      </c>
      <c r="Z1676" t="str">
        <f>A1676&amp;" "&amp;B1676</f>
        <v>0H cw rc/DTD</v>
      </c>
    </row>
    <row r="1677" spans="1:26" ht="24.95" hidden="1" customHeight="1" x14ac:dyDescent="0.4">
      <c r="A1677" s="17" t="s">
        <v>67</v>
      </c>
      <c r="B1677" s="15" t="s">
        <v>22</v>
      </c>
      <c r="C1677" s="16" t="s">
        <v>31</v>
      </c>
      <c r="D1677" s="16" t="s">
        <v>24</v>
      </c>
      <c r="E1677" s="15" t="s">
        <v>50</v>
      </c>
      <c r="F1677" s="15" t="s">
        <v>80</v>
      </c>
      <c r="G1677" s="25" t="s">
        <v>23</v>
      </c>
      <c r="H1677" s="26" t="s">
        <v>68</v>
      </c>
      <c r="I1677" s="24" t="s">
        <v>24</v>
      </c>
      <c r="J1677" s="24" t="s">
        <v>24</v>
      </c>
      <c r="N1677" s="21" t="s">
        <v>87</v>
      </c>
      <c r="O1677" s="21" t="s">
        <v>83</v>
      </c>
      <c r="R1677" s="22" t="s">
        <v>24</v>
      </c>
      <c r="W1677">
        <f>COUNTIF(マネックス証券!U:U,B1677)</f>
        <v>0</v>
      </c>
      <c r="Z1677" t="s">
        <v>434</v>
      </c>
    </row>
    <row r="1678" spans="1:26" ht="24.95" hidden="1" customHeight="1" x14ac:dyDescent="0.4">
      <c r="A1678" s="17" t="s">
        <v>67</v>
      </c>
      <c r="B1678" s="15" t="s">
        <v>69</v>
      </c>
      <c r="C1678" s="16" t="s">
        <v>24</v>
      </c>
      <c r="D1678" s="16" t="s">
        <v>31</v>
      </c>
      <c r="E1678" s="15" t="s">
        <v>35</v>
      </c>
      <c r="F1678" s="15" t="s">
        <v>80</v>
      </c>
      <c r="G1678" s="25" t="s">
        <v>58</v>
      </c>
      <c r="H1678" s="26" t="s">
        <v>70</v>
      </c>
      <c r="I1678" s="24" t="s">
        <v>24</v>
      </c>
      <c r="J1678" s="24" t="s">
        <v>24</v>
      </c>
      <c r="N1678" s="21" t="s">
        <v>100</v>
      </c>
      <c r="O1678" s="21" t="s">
        <v>83</v>
      </c>
      <c r="R1678" s="22" t="s">
        <v>24</v>
      </c>
      <c r="W1678">
        <f>COUNTIF(マネックス証券!U:U,B1678)</f>
        <v>0</v>
      </c>
      <c r="Z1678" t="s">
        <v>434</v>
      </c>
    </row>
    <row r="1679" spans="1:26" ht="24.95" hidden="1" customHeight="1" x14ac:dyDescent="0.4">
      <c r="A1679" s="17" t="s">
        <v>67</v>
      </c>
      <c r="B1679" s="15" t="s">
        <v>115</v>
      </c>
      <c r="C1679" s="16" t="s">
        <v>31</v>
      </c>
      <c r="D1679" s="16" t="s">
        <v>31</v>
      </c>
      <c r="E1679" s="15" t="s">
        <v>32</v>
      </c>
      <c r="F1679" s="15" t="s">
        <v>166</v>
      </c>
      <c r="N1679" s="21" t="s">
        <v>96</v>
      </c>
      <c r="O1679" s="21" t="s">
        <v>337</v>
      </c>
      <c r="Q1679" s="21" t="s">
        <v>344</v>
      </c>
      <c r="R1679" s="22">
        <v>45814</v>
      </c>
      <c r="W1679">
        <f>COUNTIF(マネックス証券!U:U,B1679)</f>
        <v>0</v>
      </c>
    </row>
    <row r="1680" spans="1:26" ht="24.95" hidden="1" customHeight="1" x14ac:dyDescent="0.4">
      <c r="A1680" s="17" t="s">
        <v>67</v>
      </c>
      <c r="B1680" s="15" t="s">
        <v>313</v>
      </c>
      <c r="C1680" s="16" t="s">
        <v>24</v>
      </c>
      <c r="D1680" s="16" t="s">
        <v>31</v>
      </c>
      <c r="E1680" s="15" t="s">
        <v>35</v>
      </c>
      <c r="F1680" s="15" t="s">
        <v>314</v>
      </c>
      <c r="N1680" s="21" t="s">
        <v>96</v>
      </c>
      <c r="O1680" s="21" t="s">
        <v>337</v>
      </c>
      <c r="Q1680" s="21" t="s">
        <v>344</v>
      </c>
      <c r="R1680" s="22">
        <v>45756</v>
      </c>
      <c r="W1680">
        <f>COUNTIF(マネックス証券!U:U,B1680)</f>
        <v>0</v>
      </c>
    </row>
    <row r="1681" spans="1:26" ht="24.95" hidden="1" customHeight="1" x14ac:dyDescent="0.4">
      <c r="A1681" s="17" t="s">
        <v>67</v>
      </c>
      <c r="B1681" s="15" t="s">
        <v>315</v>
      </c>
      <c r="C1681" s="16" t="s">
        <v>24</v>
      </c>
      <c r="D1681" s="16" t="s">
        <v>31</v>
      </c>
      <c r="E1681" s="15" t="s">
        <v>35</v>
      </c>
      <c r="F1681" s="15" t="s">
        <v>314</v>
      </c>
      <c r="N1681" s="21" t="s">
        <v>96</v>
      </c>
      <c r="O1681" s="21" t="s">
        <v>337</v>
      </c>
      <c r="Q1681" s="21" t="s">
        <v>344</v>
      </c>
      <c r="R1681" s="22">
        <v>45756</v>
      </c>
      <c r="W1681">
        <f>COUNTIF(マネックス証券!U:U,B1681)</f>
        <v>0</v>
      </c>
    </row>
    <row r="1682" spans="1:26" ht="24.95" hidden="1" customHeight="1" x14ac:dyDescent="0.4">
      <c r="A1682" s="17" t="s">
        <v>67</v>
      </c>
      <c r="B1682" s="15" t="s">
        <v>316</v>
      </c>
      <c r="C1682" s="16" t="s">
        <v>24</v>
      </c>
      <c r="D1682" s="16" t="s">
        <v>31</v>
      </c>
      <c r="E1682" s="15" t="s">
        <v>35</v>
      </c>
      <c r="F1682" s="15" t="s">
        <v>314</v>
      </c>
      <c r="N1682" s="21" t="s">
        <v>96</v>
      </c>
      <c r="O1682" s="21" t="s">
        <v>337</v>
      </c>
      <c r="Q1682" s="21" t="s">
        <v>344</v>
      </c>
      <c r="R1682" s="22">
        <v>45756</v>
      </c>
      <c r="W1682">
        <f>COUNTIF(マネックス証券!U:U,B1682)</f>
        <v>0</v>
      </c>
    </row>
    <row r="1683" spans="1:26" ht="24.95" hidden="1" customHeight="1" x14ac:dyDescent="0.4">
      <c r="A1683" s="17" t="s">
        <v>67</v>
      </c>
      <c r="B1683" s="15" t="s">
        <v>317</v>
      </c>
      <c r="C1683" s="16" t="s">
        <v>24</v>
      </c>
      <c r="D1683" s="16" t="s">
        <v>31</v>
      </c>
      <c r="E1683" s="15" t="s">
        <v>35</v>
      </c>
      <c r="F1683" s="15" t="s">
        <v>314</v>
      </c>
      <c r="N1683" s="21" t="s">
        <v>96</v>
      </c>
      <c r="O1683" s="21" t="s">
        <v>337</v>
      </c>
      <c r="Q1683" s="21" t="s">
        <v>344</v>
      </c>
      <c r="R1683" s="22">
        <v>45756</v>
      </c>
      <c r="W1683">
        <f>COUNTIF(マネックス証券!U:U,B1683)</f>
        <v>0</v>
      </c>
    </row>
    <row r="1684" spans="1:26" ht="24.95" hidden="1" customHeight="1" x14ac:dyDescent="0.4">
      <c r="A1684" s="17" t="s">
        <v>67</v>
      </c>
      <c r="B1684" s="50" t="s">
        <v>364</v>
      </c>
      <c r="C1684" s="16" t="s">
        <v>24</v>
      </c>
      <c r="D1684" s="16" t="s">
        <v>31</v>
      </c>
      <c r="E1684" s="15" t="s">
        <v>35</v>
      </c>
      <c r="F1684" s="15" t="s">
        <v>365</v>
      </c>
      <c r="N1684" s="21" t="s">
        <v>96</v>
      </c>
      <c r="O1684" s="21" t="s">
        <v>372</v>
      </c>
      <c r="Q1684" s="21" t="s">
        <v>344</v>
      </c>
      <c r="R1684" s="22">
        <v>45883</v>
      </c>
      <c r="W1684">
        <f>COUNTIF(マネックス証券!U:U,B1684)</f>
        <v>0</v>
      </c>
    </row>
    <row r="1685" spans="1:26" ht="24.95" hidden="1" customHeight="1" x14ac:dyDescent="0.4">
      <c r="A1685" s="17" t="s">
        <v>67</v>
      </c>
      <c r="B1685" s="15" t="s">
        <v>355</v>
      </c>
      <c r="C1685" s="16" t="s">
        <v>31</v>
      </c>
      <c r="D1685" s="16" t="s">
        <v>31</v>
      </c>
      <c r="E1685" s="15" t="s">
        <v>32</v>
      </c>
      <c r="F1685" s="15" t="s">
        <v>356</v>
      </c>
      <c r="N1685" s="21" t="s">
        <v>96</v>
      </c>
      <c r="O1685" s="21" t="s">
        <v>360</v>
      </c>
      <c r="Q1685" s="21" t="s">
        <v>344</v>
      </c>
      <c r="R1685" s="22">
        <v>45847</v>
      </c>
      <c r="W1685">
        <f>COUNTIF(マネックス証券!U:U,B1685)</f>
        <v>1</v>
      </c>
    </row>
    <row r="1686" spans="1:26" ht="24.95" hidden="1" customHeight="1" x14ac:dyDescent="0.4">
      <c r="A1686" s="17" t="s">
        <v>67</v>
      </c>
      <c r="B1686" s="15" t="s">
        <v>171</v>
      </c>
      <c r="C1686" s="16" t="s">
        <v>31</v>
      </c>
      <c r="D1686" s="16" t="s">
        <v>31</v>
      </c>
      <c r="E1686" s="15" t="s">
        <v>32</v>
      </c>
      <c r="F1686" s="15" t="s">
        <v>314</v>
      </c>
      <c r="N1686" s="21" t="s">
        <v>96</v>
      </c>
      <c r="O1686" s="21" t="s">
        <v>336</v>
      </c>
      <c r="Q1686" s="21" t="s">
        <v>344</v>
      </c>
      <c r="R1686" s="22">
        <v>45756</v>
      </c>
      <c r="W1686">
        <f>COUNTIF(マネックス証券!U:U,B1686)</f>
        <v>0</v>
      </c>
    </row>
    <row r="1687" spans="1:26" ht="24.95" hidden="1" customHeight="1" x14ac:dyDescent="0.4">
      <c r="A1687" s="17" t="s">
        <v>67</v>
      </c>
      <c r="B1687" s="15" t="s">
        <v>123</v>
      </c>
      <c r="C1687" s="16" t="s">
        <v>31</v>
      </c>
      <c r="D1687" s="16" t="s">
        <v>31</v>
      </c>
      <c r="E1687" s="15" t="s">
        <v>32</v>
      </c>
      <c r="F1687" s="15" t="s">
        <v>170</v>
      </c>
      <c r="N1687" s="21" t="s">
        <v>96</v>
      </c>
      <c r="O1687" s="21" t="s">
        <v>337</v>
      </c>
      <c r="Q1687" s="21" t="s">
        <v>344</v>
      </c>
      <c r="R1687" s="22">
        <v>45814</v>
      </c>
      <c r="W1687">
        <f>COUNTIF(マネックス証券!U:U,B1687)</f>
        <v>0</v>
      </c>
    </row>
    <row r="1688" spans="1:26" ht="24.95" hidden="1" customHeight="1" x14ac:dyDescent="0.4">
      <c r="A1688" s="17" t="s">
        <v>67</v>
      </c>
      <c r="B1688" s="15" t="s">
        <v>37</v>
      </c>
      <c r="C1688" s="16" t="s">
        <v>31</v>
      </c>
      <c r="D1688" s="16" t="s">
        <v>31</v>
      </c>
      <c r="E1688" s="15" t="s">
        <v>32</v>
      </c>
      <c r="F1688" s="15" t="s">
        <v>212</v>
      </c>
      <c r="N1688" s="21" t="s">
        <v>96</v>
      </c>
      <c r="O1688" s="13" t="s">
        <v>349</v>
      </c>
      <c r="Q1688" s="21" t="s">
        <v>344</v>
      </c>
      <c r="R1688" s="22">
        <v>45814</v>
      </c>
      <c r="W1688">
        <f>COUNTIF(マネックス証券!U:U,B1688)</f>
        <v>1</v>
      </c>
      <c r="Z1688" t="s">
        <v>432</v>
      </c>
    </row>
    <row r="1689" spans="1:26" ht="24.95" hidden="1" customHeight="1" x14ac:dyDescent="0.4">
      <c r="A1689" s="17" t="s">
        <v>67</v>
      </c>
      <c r="B1689" s="15" t="s">
        <v>225</v>
      </c>
      <c r="C1689" s="16" t="s">
        <v>31</v>
      </c>
      <c r="D1689" s="16" t="s">
        <v>31</v>
      </c>
      <c r="E1689" s="15" t="s">
        <v>32</v>
      </c>
      <c r="F1689" s="15" t="s">
        <v>314</v>
      </c>
      <c r="N1689" s="21" t="s">
        <v>96</v>
      </c>
      <c r="O1689" s="21" t="s">
        <v>336</v>
      </c>
      <c r="Q1689" s="21" t="s">
        <v>344</v>
      </c>
      <c r="R1689" s="22">
        <v>45756</v>
      </c>
      <c r="W1689">
        <f>COUNTIF(マネックス証券!U:U,B1689)</f>
        <v>0</v>
      </c>
    </row>
    <row r="1690" spans="1:26" ht="24.95" hidden="1" customHeight="1" x14ac:dyDescent="0.4">
      <c r="A1690" s="17" t="s">
        <v>67</v>
      </c>
      <c r="B1690" s="15" t="s">
        <v>117</v>
      </c>
      <c r="C1690" s="16" t="s">
        <v>31</v>
      </c>
      <c r="D1690" s="16" t="s">
        <v>31</v>
      </c>
      <c r="E1690" s="15" t="s">
        <v>32</v>
      </c>
      <c r="F1690" s="15" t="s">
        <v>356</v>
      </c>
      <c r="N1690" s="21" t="s">
        <v>96</v>
      </c>
      <c r="O1690" s="21" t="s">
        <v>360</v>
      </c>
      <c r="Q1690" s="21" t="s">
        <v>344</v>
      </c>
      <c r="R1690" s="22">
        <v>45847</v>
      </c>
      <c r="W1690">
        <f>COUNTIF(マネックス証券!U:U,B1690)</f>
        <v>0</v>
      </c>
    </row>
    <row r="1691" spans="1:26" ht="24.95" hidden="1" customHeight="1" x14ac:dyDescent="0.4">
      <c r="A1691" s="17" t="s">
        <v>67</v>
      </c>
      <c r="B1691" s="15" t="s">
        <v>126</v>
      </c>
      <c r="C1691" s="16" t="s">
        <v>31</v>
      </c>
      <c r="D1691" s="16" t="s">
        <v>31</v>
      </c>
      <c r="E1691" s="15" t="s">
        <v>32</v>
      </c>
      <c r="F1691" s="15" t="s">
        <v>365</v>
      </c>
      <c r="N1691" s="21" t="s">
        <v>374</v>
      </c>
      <c r="O1691" s="21" t="s">
        <v>373</v>
      </c>
      <c r="Q1691" s="21" t="s">
        <v>344</v>
      </c>
      <c r="R1691" s="22">
        <v>45883</v>
      </c>
      <c r="W1691">
        <f>COUNTIF(マネックス証券!U:U,B1691)</f>
        <v>0</v>
      </c>
    </row>
    <row r="1692" spans="1:26" ht="24.95" hidden="1" customHeight="1" x14ac:dyDescent="0.4">
      <c r="A1692" s="17" t="s">
        <v>67</v>
      </c>
      <c r="B1692" s="15" t="s">
        <v>226</v>
      </c>
      <c r="C1692" s="16" t="s">
        <v>31</v>
      </c>
      <c r="D1692" s="16" t="s">
        <v>31</v>
      </c>
      <c r="E1692" s="15" t="s">
        <v>32</v>
      </c>
      <c r="F1692" s="15" t="s">
        <v>314</v>
      </c>
      <c r="N1692" s="21" t="s">
        <v>96</v>
      </c>
      <c r="O1692" s="21" t="s">
        <v>336</v>
      </c>
      <c r="Q1692" s="21" t="s">
        <v>344</v>
      </c>
      <c r="R1692" s="22">
        <v>45756</v>
      </c>
      <c r="W1692">
        <f>COUNTIF(マネックス証券!U:U,B1692)</f>
        <v>0</v>
      </c>
    </row>
    <row r="1693" spans="1:26" ht="24.95" hidden="1" customHeight="1" x14ac:dyDescent="0.4">
      <c r="A1693" s="17" t="s">
        <v>67</v>
      </c>
      <c r="B1693" s="15" t="s">
        <v>318</v>
      </c>
      <c r="C1693" s="16" t="s">
        <v>31</v>
      </c>
      <c r="D1693" s="16" t="s">
        <v>31</v>
      </c>
      <c r="E1693" s="15" t="s">
        <v>32</v>
      </c>
      <c r="F1693" s="15" t="s">
        <v>314</v>
      </c>
      <c r="N1693" s="21" t="s">
        <v>96</v>
      </c>
      <c r="O1693" s="21" t="s">
        <v>337</v>
      </c>
      <c r="Q1693" s="21" t="s">
        <v>344</v>
      </c>
      <c r="R1693" s="22">
        <v>45756</v>
      </c>
      <c r="W1693">
        <f>COUNTIF(マネックス証券!U:U,B1693)</f>
        <v>0</v>
      </c>
    </row>
    <row r="1694" spans="1:26" ht="24.95" hidden="1" customHeight="1" x14ac:dyDescent="0.4">
      <c r="A1694" s="17" t="s">
        <v>67</v>
      </c>
      <c r="B1694" s="15" t="s">
        <v>118</v>
      </c>
      <c r="C1694" s="16" t="s">
        <v>31</v>
      </c>
      <c r="D1694" s="16" t="s">
        <v>31</v>
      </c>
      <c r="E1694" s="15" t="s">
        <v>32</v>
      </c>
      <c r="F1694" s="15" t="s">
        <v>314</v>
      </c>
      <c r="N1694" s="21" t="s">
        <v>96</v>
      </c>
      <c r="O1694" s="21" t="s">
        <v>337</v>
      </c>
      <c r="Q1694" s="21" t="s">
        <v>344</v>
      </c>
      <c r="R1694" s="22">
        <v>45756</v>
      </c>
      <c r="W1694">
        <f>COUNTIF(マネックス証券!U:U,B1694)</f>
        <v>0</v>
      </c>
    </row>
    <row r="1695" spans="1:26" ht="24.95" hidden="1" customHeight="1" x14ac:dyDescent="0.4">
      <c r="A1695" s="17" t="s">
        <v>67</v>
      </c>
      <c r="B1695" s="15" t="s">
        <v>319</v>
      </c>
      <c r="C1695" s="16" t="s">
        <v>31</v>
      </c>
      <c r="D1695" s="16" t="s">
        <v>31</v>
      </c>
      <c r="E1695" s="15" t="s">
        <v>32</v>
      </c>
      <c r="F1695" s="15" t="s">
        <v>314</v>
      </c>
      <c r="N1695" s="21" t="s">
        <v>96</v>
      </c>
      <c r="O1695" s="21" t="s">
        <v>337</v>
      </c>
      <c r="Q1695" s="21" t="s">
        <v>344</v>
      </c>
      <c r="R1695" s="22">
        <v>45756</v>
      </c>
      <c r="W1695">
        <f>COUNTIF(マネックス証券!U:U,B1695)</f>
        <v>0</v>
      </c>
    </row>
    <row r="1696" spans="1:26" ht="24.95" hidden="1" customHeight="1" x14ac:dyDescent="0.4">
      <c r="A1696" s="17" t="s">
        <v>67</v>
      </c>
      <c r="B1696" s="15" t="s">
        <v>227</v>
      </c>
      <c r="C1696" s="16" t="s">
        <v>31</v>
      </c>
      <c r="D1696" s="16" t="s">
        <v>31</v>
      </c>
      <c r="E1696" s="15" t="s">
        <v>32</v>
      </c>
      <c r="F1696" s="15" t="s">
        <v>314</v>
      </c>
      <c r="N1696" s="21" t="s">
        <v>96</v>
      </c>
      <c r="O1696" s="21" t="s">
        <v>336</v>
      </c>
      <c r="Q1696" s="21" t="s">
        <v>344</v>
      </c>
      <c r="R1696" s="22">
        <v>45756</v>
      </c>
      <c r="W1696">
        <f>COUNTIF(マネックス証券!U:U,B1696)</f>
        <v>0</v>
      </c>
    </row>
    <row r="1697" spans="1:23" ht="24.95" hidden="1" customHeight="1" x14ac:dyDescent="0.4">
      <c r="A1697" s="17" t="s">
        <v>67</v>
      </c>
      <c r="B1697" s="15" t="s">
        <v>228</v>
      </c>
      <c r="C1697" s="16" t="s">
        <v>31</v>
      </c>
      <c r="D1697" s="16" t="s">
        <v>31</v>
      </c>
      <c r="E1697" s="15" t="s">
        <v>32</v>
      </c>
      <c r="F1697" s="15" t="s">
        <v>314</v>
      </c>
      <c r="N1697" s="21" t="s">
        <v>96</v>
      </c>
      <c r="O1697" s="21" t="s">
        <v>336</v>
      </c>
      <c r="Q1697" s="21" t="s">
        <v>344</v>
      </c>
      <c r="R1697" s="22">
        <v>45756</v>
      </c>
      <c r="W1697">
        <f>COUNTIF(マネックス証券!U:U,B1697)</f>
        <v>0</v>
      </c>
    </row>
    <row r="1698" spans="1:23" ht="24.95" hidden="1" customHeight="1" x14ac:dyDescent="0.4">
      <c r="A1698" s="17" t="s">
        <v>67</v>
      </c>
      <c r="B1698" s="15" t="s">
        <v>229</v>
      </c>
      <c r="C1698" s="16" t="s">
        <v>31</v>
      </c>
      <c r="D1698" s="16" t="s">
        <v>31</v>
      </c>
      <c r="E1698" s="15" t="s">
        <v>32</v>
      </c>
      <c r="F1698" s="15" t="s">
        <v>314</v>
      </c>
      <c r="N1698" s="21" t="s">
        <v>96</v>
      </c>
      <c r="O1698" s="21" t="s">
        <v>336</v>
      </c>
      <c r="Q1698" s="21" t="s">
        <v>344</v>
      </c>
      <c r="R1698" s="22">
        <v>45756</v>
      </c>
      <c r="W1698">
        <f>COUNTIF(マネックス証券!U:U,B1698)</f>
        <v>0</v>
      </c>
    </row>
    <row r="1699" spans="1:23" ht="24.95" hidden="1" customHeight="1" x14ac:dyDescent="0.4">
      <c r="A1699" s="17" t="s">
        <v>67</v>
      </c>
      <c r="B1699" s="15" t="s">
        <v>230</v>
      </c>
      <c r="C1699" s="16" t="s">
        <v>31</v>
      </c>
      <c r="D1699" s="16" t="s">
        <v>31</v>
      </c>
      <c r="E1699" s="15" t="s">
        <v>32</v>
      </c>
      <c r="F1699" s="15" t="s">
        <v>314</v>
      </c>
      <c r="N1699" s="21" t="s">
        <v>96</v>
      </c>
      <c r="O1699" s="21" t="s">
        <v>336</v>
      </c>
      <c r="Q1699" s="21" t="s">
        <v>344</v>
      </c>
      <c r="R1699" s="22">
        <v>45756</v>
      </c>
      <c r="W1699">
        <f>COUNTIF(マネックス証券!U:U,B1699)</f>
        <v>0</v>
      </c>
    </row>
    <row r="1700" spans="1:23" ht="24.95" hidden="1" customHeight="1" x14ac:dyDescent="0.4">
      <c r="A1700" s="17" t="s">
        <v>67</v>
      </c>
      <c r="B1700" s="15" t="s">
        <v>231</v>
      </c>
      <c r="C1700" s="16" t="s">
        <v>31</v>
      </c>
      <c r="D1700" s="16" t="s">
        <v>31</v>
      </c>
      <c r="E1700" s="15" t="s">
        <v>32</v>
      </c>
      <c r="F1700" s="15" t="s">
        <v>314</v>
      </c>
      <c r="N1700" s="21" t="s">
        <v>96</v>
      </c>
      <c r="O1700" s="21" t="s">
        <v>336</v>
      </c>
      <c r="Q1700" s="21" t="s">
        <v>344</v>
      </c>
      <c r="R1700" s="22">
        <v>45756</v>
      </c>
      <c r="W1700">
        <f>COUNTIF(マネックス証券!U:U,B1700)</f>
        <v>0</v>
      </c>
    </row>
    <row r="1701" spans="1:23" ht="24.95" hidden="1" customHeight="1" x14ac:dyDescent="0.4">
      <c r="A1701" s="17" t="s">
        <v>67</v>
      </c>
      <c r="B1701" s="15" t="s">
        <v>232</v>
      </c>
      <c r="C1701" s="16" t="s">
        <v>31</v>
      </c>
      <c r="D1701" s="16" t="s">
        <v>31</v>
      </c>
      <c r="E1701" s="15" t="s">
        <v>32</v>
      </c>
      <c r="F1701" s="15" t="s">
        <v>314</v>
      </c>
      <c r="N1701" s="21" t="s">
        <v>96</v>
      </c>
      <c r="O1701" s="21" t="s">
        <v>336</v>
      </c>
      <c r="Q1701" s="21" t="s">
        <v>344</v>
      </c>
      <c r="R1701" s="22">
        <v>45756</v>
      </c>
      <c r="W1701">
        <f>COUNTIF(マネックス証券!U:U,B1701)</f>
        <v>0</v>
      </c>
    </row>
    <row r="1702" spans="1:23" ht="24.95" hidden="1" customHeight="1" x14ac:dyDescent="0.4">
      <c r="A1702" s="17" t="s">
        <v>67</v>
      </c>
      <c r="B1702" s="15" t="s">
        <v>233</v>
      </c>
      <c r="C1702" s="16" t="s">
        <v>31</v>
      </c>
      <c r="D1702" s="16" t="s">
        <v>31</v>
      </c>
      <c r="E1702" s="15" t="s">
        <v>32</v>
      </c>
      <c r="F1702" s="15" t="s">
        <v>314</v>
      </c>
      <c r="N1702" s="21" t="s">
        <v>96</v>
      </c>
      <c r="O1702" s="21" t="s">
        <v>336</v>
      </c>
      <c r="Q1702" s="21" t="s">
        <v>344</v>
      </c>
      <c r="R1702" s="22">
        <v>45756</v>
      </c>
      <c r="W1702">
        <f>COUNTIF(マネックス証券!U:U,B1702)</f>
        <v>0</v>
      </c>
    </row>
    <row r="1703" spans="1:23" ht="24.95" hidden="1" customHeight="1" x14ac:dyDescent="0.4">
      <c r="A1703" s="17" t="s">
        <v>67</v>
      </c>
      <c r="B1703" s="15" t="s">
        <v>234</v>
      </c>
      <c r="C1703" s="16" t="s">
        <v>31</v>
      </c>
      <c r="D1703" s="16" t="s">
        <v>31</v>
      </c>
      <c r="E1703" s="15" t="s">
        <v>32</v>
      </c>
      <c r="F1703" s="15" t="s">
        <v>314</v>
      </c>
      <c r="N1703" s="21" t="s">
        <v>96</v>
      </c>
      <c r="O1703" s="21" t="s">
        <v>336</v>
      </c>
      <c r="Q1703" s="21" t="s">
        <v>344</v>
      </c>
      <c r="R1703" s="22">
        <v>45756</v>
      </c>
      <c r="W1703">
        <f>COUNTIF(マネックス証券!U:U,B1703)</f>
        <v>0</v>
      </c>
    </row>
    <row r="1704" spans="1:23" ht="24.95" hidden="1" customHeight="1" x14ac:dyDescent="0.4">
      <c r="A1704" s="17" t="s">
        <v>67</v>
      </c>
      <c r="B1704" s="15" t="s">
        <v>235</v>
      </c>
      <c r="C1704" s="16" t="s">
        <v>31</v>
      </c>
      <c r="D1704" s="16" t="s">
        <v>31</v>
      </c>
      <c r="E1704" s="15" t="s">
        <v>32</v>
      </c>
      <c r="F1704" s="15" t="s">
        <v>314</v>
      </c>
      <c r="N1704" s="21" t="s">
        <v>96</v>
      </c>
      <c r="O1704" s="21" t="s">
        <v>336</v>
      </c>
      <c r="Q1704" s="21" t="s">
        <v>344</v>
      </c>
      <c r="R1704" s="22">
        <v>45756</v>
      </c>
      <c r="W1704">
        <f>COUNTIF(マネックス証券!U:U,B1704)</f>
        <v>0</v>
      </c>
    </row>
    <row r="1705" spans="1:23" ht="24.95" hidden="1" customHeight="1" x14ac:dyDescent="0.4">
      <c r="A1705" s="17" t="s">
        <v>67</v>
      </c>
      <c r="B1705" s="15" t="s">
        <v>236</v>
      </c>
      <c r="C1705" s="16" t="s">
        <v>31</v>
      </c>
      <c r="D1705" s="16" t="s">
        <v>31</v>
      </c>
      <c r="E1705" s="15" t="s">
        <v>32</v>
      </c>
      <c r="F1705" s="15" t="s">
        <v>314</v>
      </c>
      <c r="N1705" s="21" t="s">
        <v>96</v>
      </c>
      <c r="O1705" s="21" t="s">
        <v>336</v>
      </c>
      <c r="Q1705" s="21" t="s">
        <v>344</v>
      </c>
      <c r="R1705" s="22">
        <v>45756</v>
      </c>
      <c r="W1705">
        <f>COUNTIF(マネックス証券!U:U,B1705)</f>
        <v>0</v>
      </c>
    </row>
    <row r="1706" spans="1:23" ht="24.95" hidden="1" customHeight="1" x14ac:dyDescent="0.4">
      <c r="A1706" s="17" t="s">
        <v>67</v>
      </c>
      <c r="B1706" s="15" t="s">
        <v>237</v>
      </c>
      <c r="C1706" s="16" t="s">
        <v>31</v>
      </c>
      <c r="D1706" s="16" t="s">
        <v>31</v>
      </c>
      <c r="E1706" s="15" t="s">
        <v>32</v>
      </c>
      <c r="F1706" s="15" t="s">
        <v>314</v>
      </c>
      <c r="N1706" s="21" t="s">
        <v>96</v>
      </c>
      <c r="O1706" s="21" t="s">
        <v>336</v>
      </c>
      <c r="Q1706" s="21" t="s">
        <v>344</v>
      </c>
      <c r="R1706" s="22">
        <v>45756</v>
      </c>
      <c r="W1706">
        <f>COUNTIF(マネックス証券!U:U,B1706)</f>
        <v>0</v>
      </c>
    </row>
    <row r="1707" spans="1:23" ht="24.95" hidden="1" customHeight="1" x14ac:dyDescent="0.4">
      <c r="A1707" s="17" t="s">
        <v>67</v>
      </c>
      <c r="B1707" s="15" t="s">
        <v>346</v>
      </c>
      <c r="C1707" s="16" t="s">
        <v>31</v>
      </c>
      <c r="D1707" s="16" t="s">
        <v>31</v>
      </c>
      <c r="E1707" s="15" t="s">
        <v>32</v>
      </c>
      <c r="F1707" s="15" t="s">
        <v>356</v>
      </c>
      <c r="N1707" s="21" t="s">
        <v>96</v>
      </c>
      <c r="O1707" s="21" t="s">
        <v>360</v>
      </c>
      <c r="Q1707" s="21" t="s">
        <v>344</v>
      </c>
      <c r="R1707" s="22">
        <v>45847</v>
      </c>
      <c r="W1707">
        <f>COUNTIF(マネックス証券!U:U,B1707)</f>
        <v>0</v>
      </c>
    </row>
    <row r="1708" spans="1:23" ht="24.95" hidden="1" customHeight="1" x14ac:dyDescent="0.4">
      <c r="A1708" s="17" t="s">
        <v>67</v>
      </c>
      <c r="B1708" s="15" t="s">
        <v>357</v>
      </c>
      <c r="C1708" s="16" t="s">
        <v>31</v>
      </c>
      <c r="D1708" s="16" t="s">
        <v>31</v>
      </c>
      <c r="E1708" s="15" t="s">
        <v>32</v>
      </c>
      <c r="F1708" s="15" t="s">
        <v>356</v>
      </c>
      <c r="N1708" s="21" t="s">
        <v>96</v>
      </c>
      <c r="O1708" s="21" t="s">
        <v>360</v>
      </c>
      <c r="Q1708" s="21" t="s">
        <v>344</v>
      </c>
      <c r="R1708" s="22">
        <v>45847</v>
      </c>
      <c r="W1708">
        <f>COUNTIF(マネックス証券!U:U,B1708)</f>
        <v>0</v>
      </c>
    </row>
    <row r="1709" spans="1:23" ht="24.95" hidden="1" customHeight="1" x14ac:dyDescent="0.4">
      <c r="A1709" s="17" t="s">
        <v>67</v>
      </c>
      <c r="B1709" s="15" t="s">
        <v>347</v>
      </c>
      <c r="C1709" s="16" t="s">
        <v>31</v>
      </c>
      <c r="D1709" s="16" t="s">
        <v>31</v>
      </c>
      <c r="E1709" s="15" t="s">
        <v>32</v>
      </c>
      <c r="F1709" s="15" t="s">
        <v>356</v>
      </c>
      <c r="N1709" s="21" t="s">
        <v>96</v>
      </c>
      <c r="O1709" s="21" t="s">
        <v>360</v>
      </c>
      <c r="Q1709" s="21" t="s">
        <v>344</v>
      </c>
      <c r="R1709" s="22">
        <v>45847</v>
      </c>
      <c r="W1709">
        <f>COUNTIF(マネックス証券!U:U,B1709)</f>
        <v>0</v>
      </c>
    </row>
    <row r="1710" spans="1:23" ht="24.95" hidden="1" customHeight="1" x14ac:dyDescent="0.4">
      <c r="A1710" s="17" t="s">
        <v>67</v>
      </c>
      <c r="B1710" s="15" t="s">
        <v>320</v>
      </c>
      <c r="C1710" s="16" t="s">
        <v>31</v>
      </c>
      <c r="D1710" s="16" t="s">
        <v>31</v>
      </c>
      <c r="E1710" s="15" t="s">
        <v>32</v>
      </c>
      <c r="F1710" s="15" t="s">
        <v>314</v>
      </c>
      <c r="N1710" s="21" t="s">
        <v>96</v>
      </c>
      <c r="O1710" s="21" t="s">
        <v>337</v>
      </c>
      <c r="Q1710" s="21" t="s">
        <v>344</v>
      </c>
      <c r="R1710" s="22">
        <v>45756</v>
      </c>
      <c r="W1710">
        <f>COUNTIF(マネックス証券!U:U,B1710)</f>
        <v>0</v>
      </c>
    </row>
    <row r="1711" spans="1:23" ht="24.95" hidden="1" customHeight="1" x14ac:dyDescent="0.4">
      <c r="A1711" s="17" t="s">
        <v>67</v>
      </c>
      <c r="B1711" s="15" t="s">
        <v>132</v>
      </c>
      <c r="C1711" s="16" t="s">
        <v>31</v>
      </c>
      <c r="D1711" s="16" t="s">
        <v>31</v>
      </c>
      <c r="E1711" s="15" t="s">
        <v>32</v>
      </c>
      <c r="F1711" s="15" t="s">
        <v>314</v>
      </c>
      <c r="N1711" s="21" t="s">
        <v>96</v>
      </c>
      <c r="O1711" s="21" t="s">
        <v>337</v>
      </c>
      <c r="Q1711" s="21" t="s">
        <v>344</v>
      </c>
      <c r="R1711" s="22">
        <v>45756</v>
      </c>
      <c r="W1711">
        <f>COUNTIF(マネックス証券!U:U,B1711)</f>
        <v>0</v>
      </c>
    </row>
    <row r="1712" spans="1:23" ht="24.95" hidden="1" customHeight="1" x14ac:dyDescent="0.4">
      <c r="A1712" s="17" t="s">
        <v>67</v>
      </c>
      <c r="B1712" s="15" t="s">
        <v>321</v>
      </c>
      <c r="C1712" s="16" t="s">
        <v>24</v>
      </c>
      <c r="D1712" s="16" t="s">
        <v>31</v>
      </c>
      <c r="E1712" s="15" t="s">
        <v>35</v>
      </c>
      <c r="F1712" s="15" t="s">
        <v>314</v>
      </c>
      <c r="N1712" s="21" t="s">
        <v>96</v>
      </c>
      <c r="O1712" s="21" t="s">
        <v>337</v>
      </c>
      <c r="Q1712" s="21" t="s">
        <v>344</v>
      </c>
      <c r="R1712" s="22">
        <v>45756</v>
      </c>
      <c r="W1712">
        <f>COUNTIF(マネックス証券!U:U,B1712)</f>
        <v>0</v>
      </c>
    </row>
    <row r="1713" spans="1:23" ht="24.95" hidden="1" customHeight="1" x14ac:dyDescent="0.4">
      <c r="A1713" s="17" t="s">
        <v>67</v>
      </c>
      <c r="B1713" s="15" t="s">
        <v>322</v>
      </c>
      <c r="C1713" s="16" t="s">
        <v>24</v>
      </c>
      <c r="D1713" s="16" t="s">
        <v>31</v>
      </c>
      <c r="E1713" s="15" t="s">
        <v>35</v>
      </c>
      <c r="F1713" s="15" t="s">
        <v>314</v>
      </c>
      <c r="N1713" s="21" t="s">
        <v>96</v>
      </c>
      <c r="O1713" s="21" t="s">
        <v>337</v>
      </c>
      <c r="Q1713" s="21" t="s">
        <v>344</v>
      </c>
      <c r="R1713" s="22">
        <v>45756</v>
      </c>
      <c r="W1713">
        <f>COUNTIF(マネックス証券!U:U,B1713)</f>
        <v>0</v>
      </c>
    </row>
    <row r="1714" spans="1:23" ht="24.95" hidden="1" customHeight="1" x14ac:dyDescent="0.4">
      <c r="A1714" s="17" t="s">
        <v>67</v>
      </c>
      <c r="B1714" s="15" t="s">
        <v>323</v>
      </c>
      <c r="C1714" s="16" t="s">
        <v>24</v>
      </c>
      <c r="D1714" s="16" t="s">
        <v>31</v>
      </c>
      <c r="E1714" s="15" t="s">
        <v>35</v>
      </c>
      <c r="F1714" s="15" t="s">
        <v>314</v>
      </c>
      <c r="N1714" s="21" t="s">
        <v>96</v>
      </c>
      <c r="O1714" s="21" t="s">
        <v>337</v>
      </c>
      <c r="Q1714" s="21" t="s">
        <v>344</v>
      </c>
      <c r="R1714" s="22">
        <v>45756</v>
      </c>
      <c r="W1714">
        <f>COUNTIF(マネックス証券!U:U,B1714)</f>
        <v>0</v>
      </c>
    </row>
    <row r="1715" spans="1:23" ht="24.95" hidden="1" customHeight="1" x14ac:dyDescent="0.4">
      <c r="A1715" s="17" t="s">
        <v>67</v>
      </c>
      <c r="B1715" s="15" t="s">
        <v>238</v>
      </c>
      <c r="C1715" s="16" t="s">
        <v>31</v>
      </c>
      <c r="D1715" s="16" t="s">
        <v>31</v>
      </c>
      <c r="E1715" s="15" t="s">
        <v>32</v>
      </c>
      <c r="F1715" s="15" t="s">
        <v>314</v>
      </c>
      <c r="N1715" s="21" t="s">
        <v>96</v>
      </c>
      <c r="O1715" s="21" t="s">
        <v>336</v>
      </c>
      <c r="Q1715" s="21" t="s">
        <v>344</v>
      </c>
      <c r="R1715" s="22">
        <v>45756</v>
      </c>
      <c r="W1715">
        <f>COUNTIF(マネックス証券!U:U,B1715)</f>
        <v>0</v>
      </c>
    </row>
    <row r="1716" spans="1:23" ht="24.95" hidden="1" customHeight="1" x14ac:dyDescent="0.4">
      <c r="A1716" s="17" t="s">
        <v>67</v>
      </c>
      <c r="B1716" s="15" t="s">
        <v>239</v>
      </c>
      <c r="C1716" s="16" t="s">
        <v>31</v>
      </c>
      <c r="D1716" s="16" t="s">
        <v>31</v>
      </c>
      <c r="E1716" s="15" t="s">
        <v>32</v>
      </c>
      <c r="F1716" s="15" t="s">
        <v>314</v>
      </c>
      <c r="N1716" s="21" t="s">
        <v>96</v>
      </c>
      <c r="O1716" s="21" t="s">
        <v>336</v>
      </c>
      <c r="Q1716" s="21" t="s">
        <v>344</v>
      </c>
      <c r="R1716" s="22">
        <v>45756</v>
      </c>
      <c r="W1716">
        <f>COUNTIF(マネックス証券!U:U,B1716)</f>
        <v>0</v>
      </c>
    </row>
    <row r="1717" spans="1:23" ht="24.95" hidden="1" customHeight="1" x14ac:dyDescent="0.4">
      <c r="A1717" s="17" t="s">
        <v>67</v>
      </c>
      <c r="B1717" s="15" t="s">
        <v>240</v>
      </c>
      <c r="C1717" s="16" t="s">
        <v>31</v>
      </c>
      <c r="D1717" s="16" t="s">
        <v>31</v>
      </c>
      <c r="E1717" s="15" t="s">
        <v>32</v>
      </c>
      <c r="F1717" s="15" t="s">
        <v>314</v>
      </c>
      <c r="N1717" s="21" t="s">
        <v>96</v>
      </c>
      <c r="O1717" s="21" t="s">
        <v>336</v>
      </c>
      <c r="Q1717" s="21" t="s">
        <v>344</v>
      </c>
      <c r="R1717" s="22">
        <v>45756</v>
      </c>
      <c r="W1717">
        <f>COUNTIF(マネックス証券!U:U,B1717)</f>
        <v>0</v>
      </c>
    </row>
    <row r="1718" spans="1:23" ht="24.95" hidden="1" customHeight="1" x14ac:dyDescent="0.4">
      <c r="A1718" s="17" t="s">
        <v>67</v>
      </c>
      <c r="B1718" s="15" t="s">
        <v>241</v>
      </c>
      <c r="C1718" s="16" t="s">
        <v>31</v>
      </c>
      <c r="D1718" s="16" t="s">
        <v>31</v>
      </c>
      <c r="E1718" s="15" t="s">
        <v>32</v>
      </c>
      <c r="F1718" s="15" t="s">
        <v>314</v>
      </c>
      <c r="N1718" s="21" t="s">
        <v>96</v>
      </c>
      <c r="O1718" s="21" t="s">
        <v>336</v>
      </c>
      <c r="Q1718" s="21" t="s">
        <v>344</v>
      </c>
      <c r="R1718" s="22">
        <v>45756</v>
      </c>
      <c r="W1718">
        <f>COUNTIF(マネックス証券!U:U,B1718)</f>
        <v>0</v>
      </c>
    </row>
    <row r="1719" spans="1:23" ht="24.95" hidden="1" customHeight="1" x14ac:dyDescent="0.4">
      <c r="A1719" s="17" t="s">
        <v>67</v>
      </c>
      <c r="B1719" s="15" t="s">
        <v>242</v>
      </c>
      <c r="C1719" s="16" t="s">
        <v>31</v>
      </c>
      <c r="D1719" s="16" t="s">
        <v>31</v>
      </c>
      <c r="E1719" s="15" t="s">
        <v>32</v>
      </c>
      <c r="F1719" s="15" t="s">
        <v>314</v>
      </c>
      <c r="N1719" s="21" t="s">
        <v>96</v>
      </c>
      <c r="O1719" s="21" t="s">
        <v>336</v>
      </c>
      <c r="Q1719" s="21" t="s">
        <v>344</v>
      </c>
      <c r="R1719" s="22">
        <v>45756</v>
      </c>
      <c r="W1719">
        <f>COUNTIF(マネックス証券!U:U,B1719)</f>
        <v>0</v>
      </c>
    </row>
    <row r="1720" spans="1:23" ht="24.95" hidden="1" customHeight="1" x14ac:dyDescent="0.4">
      <c r="A1720" s="17" t="s">
        <v>67</v>
      </c>
      <c r="B1720" s="15" t="s">
        <v>243</v>
      </c>
      <c r="C1720" s="16" t="s">
        <v>31</v>
      </c>
      <c r="D1720" s="16" t="s">
        <v>31</v>
      </c>
      <c r="E1720" s="15" t="s">
        <v>32</v>
      </c>
      <c r="F1720" s="15" t="s">
        <v>314</v>
      </c>
      <c r="N1720" s="21" t="s">
        <v>96</v>
      </c>
      <c r="O1720" s="21" t="s">
        <v>336</v>
      </c>
      <c r="Q1720" s="21" t="s">
        <v>344</v>
      </c>
      <c r="R1720" s="22">
        <v>45756</v>
      </c>
      <c r="W1720">
        <f>COUNTIF(マネックス証券!U:U,B1720)</f>
        <v>0</v>
      </c>
    </row>
    <row r="1721" spans="1:23" ht="24.95" hidden="1" customHeight="1" x14ac:dyDescent="0.4">
      <c r="A1721" s="17" t="s">
        <v>67</v>
      </c>
      <c r="B1721" s="15" t="s">
        <v>244</v>
      </c>
      <c r="C1721" s="16" t="s">
        <v>31</v>
      </c>
      <c r="D1721" s="16" t="s">
        <v>31</v>
      </c>
      <c r="E1721" s="15" t="s">
        <v>32</v>
      </c>
      <c r="F1721" s="15" t="s">
        <v>314</v>
      </c>
      <c r="N1721" s="21" t="s">
        <v>96</v>
      </c>
      <c r="O1721" s="21" t="s">
        <v>336</v>
      </c>
      <c r="Q1721" s="21" t="s">
        <v>344</v>
      </c>
      <c r="R1721" s="22">
        <v>45756</v>
      </c>
      <c r="W1721">
        <f>COUNTIF(マネックス証券!U:U,B1721)</f>
        <v>0</v>
      </c>
    </row>
    <row r="1722" spans="1:23" ht="24.95" hidden="1" customHeight="1" x14ac:dyDescent="0.4">
      <c r="A1722" s="17" t="s">
        <v>67</v>
      </c>
      <c r="B1722" s="15" t="s">
        <v>245</v>
      </c>
      <c r="C1722" s="16" t="s">
        <v>31</v>
      </c>
      <c r="D1722" s="16" t="s">
        <v>31</v>
      </c>
      <c r="E1722" s="15" t="s">
        <v>32</v>
      </c>
      <c r="F1722" s="15" t="s">
        <v>314</v>
      </c>
      <c r="N1722" s="21" t="s">
        <v>96</v>
      </c>
      <c r="O1722" s="21" t="s">
        <v>336</v>
      </c>
      <c r="Q1722" s="21" t="s">
        <v>344</v>
      </c>
      <c r="R1722" s="22">
        <v>45756</v>
      </c>
      <c r="W1722">
        <f>COUNTIF(マネックス証券!U:U,B1722)</f>
        <v>0</v>
      </c>
    </row>
    <row r="1723" spans="1:23" ht="24.95" hidden="1" customHeight="1" x14ac:dyDescent="0.4">
      <c r="A1723" s="17" t="s">
        <v>67</v>
      </c>
      <c r="B1723" s="15" t="s">
        <v>246</v>
      </c>
      <c r="C1723" s="16" t="s">
        <v>31</v>
      </c>
      <c r="D1723" s="16" t="s">
        <v>31</v>
      </c>
      <c r="E1723" s="15" t="s">
        <v>32</v>
      </c>
      <c r="F1723" s="15" t="s">
        <v>314</v>
      </c>
      <c r="N1723" s="21" t="s">
        <v>96</v>
      </c>
      <c r="O1723" s="21" t="s">
        <v>336</v>
      </c>
      <c r="Q1723" s="21" t="s">
        <v>344</v>
      </c>
      <c r="R1723" s="22">
        <v>45756</v>
      </c>
      <c r="W1723">
        <f>COUNTIF(マネックス証券!U:U,B1723)</f>
        <v>0</v>
      </c>
    </row>
    <row r="1724" spans="1:23" ht="24.95" hidden="1" customHeight="1" x14ac:dyDescent="0.4">
      <c r="A1724" s="17" t="s">
        <v>67</v>
      </c>
      <c r="B1724" s="15" t="s">
        <v>247</v>
      </c>
      <c r="C1724" s="16" t="s">
        <v>31</v>
      </c>
      <c r="D1724" s="16" t="s">
        <v>31</v>
      </c>
      <c r="E1724" s="15" t="s">
        <v>32</v>
      </c>
      <c r="F1724" s="15" t="s">
        <v>314</v>
      </c>
      <c r="N1724" s="21" t="s">
        <v>96</v>
      </c>
      <c r="O1724" s="21" t="s">
        <v>336</v>
      </c>
      <c r="Q1724" s="21" t="s">
        <v>344</v>
      </c>
      <c r="R1724" s="22">
        <v>45756</v>
      </c>
      <c r="W1724">
        <f>COUNTIF(マネックス証券!U:U,B1724)</f>
        <v>0</v>
      </c>
    </row>
    <row r="1725" spans="1:23" ht="24.95" hidden="1" customHeight="1" x14ac:dyDescent="0.4">
      <c r="A1725" s="17" t="s">
        <v>67</v>
      </c>
      <c r="B1725" s="15" t="s">
        <v>248</v>
      </c>
      <c r="C1725" s="16" t="s">
        <v>31</v>
      </c>
      <c r="D1725" s="16" t="s">
        <v>31</v>
      </c>
      <c r="E1725" s="15" t="s">
        <v>32</v>
      </c>
      <c r="F1725" s="15" t="s">
        <v>314</v>
      </c>
      <c r="N1725" s="21" t="s">
        <v>96</v>
      </c>
      <c r="O1725" s="21" t="s">
        <v>336</v>
      </c>
      <c r="Q1725" s="21" t="s">
        <v>344</v>
      </c>
      <c r="R1725" s="22">
        <v>45756</v>
      </c>
      <c r="W1725">
        <f>COUNTIF(マネックス証券!U:U,B1725)</f>
        <v>0</v>
      </c>
    </row>
    <row r="1726" spans="1:23" ht="24.95" hidden="1" customHeight="1" x14ac:dyDescent="0.4">
      <c r="A1726" s="17" t="s">
        <v>67</v>
      </c>
      <c r="B1726" s="15" t="s">
        <v>249</v>
      </c>
      <c r="C1726" s="16" t="s">
        <v>31</v>
      </c>
      <c r="D1726" s="16" t="s">
        <v>31</v>
      </c>
      <c r="E1726" s="15" t="s">
        <v>32</v>
      </c>
      <c r="F1726" s="15" t="s">
        <v>314</v>
      </c>
      <c r="N1726" s="21" t="s">
        <v>96</v>
      </c>
      <c r="O1726" s="21" t="s">
        <v>336</v>
      </c>
      <c r="Q1726" s="21" t="s">
        <v>344</v>
      </c>
      <c r="R1726" s="22">
        <v>45756</v>
      </c>
      <c r="W1726">
        <f>COUNTIF(マネックス証券!U:U,B1726)</f>
        <v>0</v>
      </c>
    </row>
    <row r="1727" spans="1:23" ht="24.95" hidden="1" customHeight="1" x14ac:dyDescent="0.4">
      <c r="A1727" s="17" t="s">
        <v>67</v>
      </c>
      <c r="B1727" s="15" t="s">
        <v>250</v>
      </c>
      <c r="C1727" s="16" t="s">
        <v>31</v>
      </c>
      <c r="D1727" s="16" t="s">
        <v>31</v>
      </c>
      <c r="E1727" s="15" t="s">
        <v>32</v>
      </c>
      <c r="F1727" s="15" t="s">
        <v>314</v>
      </c>
      <c r="N1727" s="21" t="s">
        <v>96</v>
      </c>
      <c r="O1727" s="21" t="s">
        <v>336</v>
      </c>
      <c r="Q1727" s="21" t="s">
        <v>344</v>
      </c>
      <c r="R1727" s="22">
        <v>45756</v>
      </c>
      <c r="W1727">
        <f>COUNTIF(マネックス証券!U:U,B1727)</f>
        <v>0</v>
      </c>
    </row>
    <row r="1728" spans="1:23" ht="24.95" hidden="1" customHeight="1" x14ac:dyDescent="0.4">
      <c r="A1728" s="17" t="s">
        <v>67</v>
      </c>
      <c r="B1728" s="15" t="s">
        <v>251</v>
      </c>
      <c r="C1728" s="16" t="s">
        <v>31</v>
      </c>
      <c r="D1728" s="16" t="s">
        <v>31</v>
      </c>
      <c r="E1728" s="15" t="s">
        <v>32</v>
      </c>
      <c r="F1728" s="15" t="s">
        <v>314</v>
      </c>
      <c r="N1728" s="21" t="s">
        <v>96</v>
      </c>
      <c r="O1728" s="21" t="s">
        <v>336</v>
      </c>
      <c r="Q1728" s="21" t="s">
        <v>344</v>
      </c>
      <c r="R1728" s="22">
        <v>45756</v>
      </c>
      <c r="W1728">
        <f>COUNTIF(マネックス証券!U:U,B1728)</f>
        <v>0</v>
      </c>
    </row>
    <row r="1729" spans="1:23" ht="24.95" hidden="1" customHeight="1" x14ac:dyDescent="0.4">
      <c r="A1729" s="17" t="s">
        <v>67</v>
      </c>
      <c r="B1729" s="15" t="s">
        <v>341</v>
      </c>
      <c r="C1729" s="16" t="s">
        <v>31</v>
      </c>
      <c r="D1729" s="16" t="s">
        <v>31</v>
      </c>
      <c r="E1729" s="15" t="s">
        <v>32</v>
      </c>
      <c r="F1729" s="15" t="s">
        <v>340</v>
      </c>
      <c r="N1729" s="21" t="s">
        <v>96</v>
      </c>
      <c r="O1729" s="21" t="s">
        <v>345</v>
      </c>
      <c r="Q1729" s="21" t="s">
        <v>344</v>
      </c>
      <c r="R1729" s="22">
        <v>45784</v>
      </c>
      <c r="W1729">
        <f>COUNTIF(マネックス証券!U:U,B1729)</f>
        <v>0</v>
      </c>
    </row>
    <row r="1730" spans="1:23" ht="24.95" hidden="1" customHeight="1" x14ac:dyDescent="0.4">
      <c r="A1730" s="17" t="s">
        <v>67</v>
      </c>
      <c r="B1730" s="15" t="s">
        <v>252</v>
      </c>
      <c r="C1730" s="16" t="s">
        <v>31</v>
      </c>
      <c r="D1730" s="16" t="s">
        <v>31</v>
      </c>
      <c r="E1730" s="15" t="s">
        <v>32</v>
      </c>
      <c r="F1730" s="15" t="s">
        <v>314</v>
      </c>
      <c r="N1730" s="21" t="s">
        <v>96</v>
      </c>
      <c r="O1730" s="21" t="s">
        <v>336</v>
      </c>
      <c r="Q1730" s="21" t="s">
        <v>344</v>
      </c>
      <c r="R1730" s="22">
        <v>45756</v>
      </c>
      <c r="W1730">
        <f>COUNTIF(マネックス証券!U:U,B1730)</f>
        <v>0</v>
      </c>
    </row>
    <row r="1731" spans="1:23" ht="24.95" hidden="1" customHeight="1" x14ac:dyDescent="0.4">
      <c r="A1731" s="17" t="s">
        <v>67</v>
      </c>
      <c r="B1731" s="15" t="s">
        <v>253</v>
      </c>
      <c r="C1731" s="16" t="s">
        <v>31</v>
      </c>
      <c r="D1731" s="16" t="s">
        <v>31</v>
      </c>
      <c r="E1731" s="15" t="s">
        <v>32</v>
      </c>
      <c r="F1731" s="15" t="s">
        <v>314</v>
      </c>
      <c r="N1731" s="21" t="s">
        <v>96</v>
      </c>
      <c r="O1731" s="21" t="s">
        <v>336</v>
      </c>
      <c r="Q1731" s="21" t="s">
        <v>344</v>
      </c>
      <c r="R1731" s="22">
        <v>45756</v>
      </c>
      <c r="W1731">
        <f>COUNTIF(マネックス証券!U:U,B1731)</f>
        <v>0</v>
      </c>
    </row>
    <row r="1732" spans="1:23" ht="24.95" hidden="1" customHeight="1" x14ac:dyDescent="0.4">
      <c r="A1732" s="17" t="s">
        <v>67</v>
      </c>
      <c r="B1732" s="15" t="s">
        <v>254</v>
      </c>
      <c r="C1732" s="16" t="s">
        <v>31</v>
      </c>
      <c r="D1732" s="16" t="s">
        <v>31</v>
      </c>
      <c r="E1732" s="15" t="s">
        <v>32</v>
      </c>
      <c r="F1732" s="15" t="s">
        <v>314</v>
      </c>
      <c r="N1732" s="21" t="s">
        <v>96</v>
      </c>
      <c r="O1732" s="21" t="s">
        <v>336</v>
      </c>
      <c r="Q1732" s="21" t="s">
        <v>344</v>
      </c>
      <c r="R1732" s="22">
        <v>45756</v>
      </c>
      <c r="W1732">
        <f>COUNTIF(マネックス証券!U:U,B1732)</f>
        <v>0</v>
      </c>
    </row>
    <row r="1733" spans="1:23" ht="24.95" hidden="1" customHeight="1" x14ac:dyDescent="0.4">
      <c r="A1733" s="17" t="s">
        <v>67</v>
      </c>
      <c r="B1733" s="15" t="s">
        <v>255</v>
      </c>
      <c r="C1733" s="16" t="s">
        <v>31</v>
      </c>
      <c r="D1733" s="16" t="s">
        <v>31</v>
      </c>
      <c r="E1733" s="15" t="s">
        <v>32</v>
      </c>
      <c r="F1733" s="15" t="s">
        <v>314</v>
      </c>
      <c r="N1733" s="21" t="s">
        <v>96</v>
      </c>
      <c r="O1733" s="21" t="s">
        <v>336</v>
      </c>
      <c r="Q1733" s="21" t="s">
        <v>344</v>
      </c>
      <c r="R1733" s="22">
        <v>45756</v>
      </c>
      <c r="W1733">
        <f>COUNTIF(マネックス証券!U:U,B1733)</f>
        <v>0</v>
      </c>
    </row>
    <row r="1734" spans="1:23" ht="24.95" hidden="1" customHeight="1" x14ac:dyDescent="0.4">
      <c r="A1734" s="17" t="s">
        <v>67</v>
      </c>
      <c r="B1734" s="15" t="s">
        <v>256</v>
      </c>
      <c r="C1734" s="16" t="s">
        <v>31</v>
      </c>
      <c r="D1734" s="16" t="s">
        <v>31</v>
      </c>
      <c r="E1734" s="15" t="s">
        <v>32</v>
      </c>
      <c r="F1734" s="15" t="s">
        <v>314</v>
      </c>
      <c r="N1734" s="21" t="s">
        <v>96</v>
      </c>
      <c r="O1734" s="21" t="s">
        <v>336</v>
      </c>
      <c r="Q1734" s="21" t="s">
        <v>344</v>
      </c>
      <c r="R1734" s="22">
        <v>45756</v>
      </c>
      <c r="W1734">
        <f>COUNTIF(マネックス証券!U:U,B1734)</f>
        <v>0</v>
      </c>
    </row>
    <row r="1735" spans="1:23" ht="24.95" hidden="1" customHeight="1" x14ac:dyDescent="0.4">
      <c r="A1735" s="17" t="s">
        <v>67</v>
      </c>
      <c r="B1735" s="15" t="s">
        <v>257</v>
      </c>
      <c r="C1735" s="16" t="s">
        <v>31</v>
      </c>
      <c r="D1735" s="16" t="s">
        <v>31</v>
      </c>
      <c r="E1735" s="15" t="s">
        <v>32</v>
      </c>
      <c r="F1735" s="15" t="s">
        <v>314</v>
      </c>
      <c r="N1735" s="21" t="s">
        <v>96</v>
      </c>
      <c r="O1735" s="21" t="s">
        <v>336</v>
      </c>
      <c r="Q1735" s="21" t="s">
        <v>344</v>
      </c>
      <c r="R1735" s="22">
        <v>45756</v>
      </c>
      <c r="W1735">
        <f>COUNTIF(マネックス証券!U:U,B1735)</f>
        <v>0</v>
      </c>
    </row>
    <row r="1736" spans="1:23" ht="24.95" hidden="1" customHeight="1" x14ac:dyDescent="0.4">
      <c r="A1736" s="17" t="s">
        <v>67</v>
      </c>
      <c r="B1736" s="15" t="s">
        <v>258</v>
      </c>
      <c r="C1736" s="16" t="s">
        <v>31</v>
      </c>
      <c r="D1736" s="16" t="s">
        <v>31</v>
      </c>
      <c r="E1736" s="15" t="s">
        <v>32</v>
      </c>
      <c r="F1736" s="15" t="s">
        <v>314</v>
      </c>
      <c r="N1736" s="21" t="s">
        <v>96</v>
      </c>
      <c r="O1736" s="21" t="s">
        <v>336</v>
      </c>
      <c r="Q1736" s="21" t="s">
        <v>344</v>
      </c>
      <c r="R1736" s="22">
        <v>45756</v>
      </c>
      <c r="W1736">
        <f>COUNTIF(マネックス証券!U:U,B1736)</f>
        <v>0</v>
      </c>
    </row>
    <row r="1737" spans="1:23" ht="24.95" hidden="1" customHeight="1" x14ac:dyDescent="0.4">
      <c r="A1737" s="17" t="s">
        <v>67</v>
      </c>
      <c r="B1737" s="15" t="s">
        <v>259</v>
      </c>
      <c r="C1737" s="16" t="s">
        <v>31</v>
      </c>
      <c r="D1737" s="16" t="s">
        <v>31</v>
      </c>
      <c r="E1737" s="15" t="s">
        <v>32</v>
      </c>
      <c r="F1737" s="15" t="s">
        <v>314</v>
      </c>
      <c r="N1737" s="21" t="s">
        <v>96</v>
      </c>
      <c r="O1737" s="21" t="s">
        <v>336</v>
      </c>
      <c r="Q1737" s="21" t="s">
        <v>344</v>
      </c>
      <c r="R1737" s="22">
        <v>45756</v>
      </c>
      <c r="W1737">
        <f>COUNTIF(マネックス証券!U:U,B1737)</f>
        <v>0</v>
      </c>
    </row>
    <row r="1738" spans="1:23" ht="24.95" hidden="1" customHeight="1" x14ac:dyDescent="0.4">
      <c r="A1738" s="17" t="s">
        <v>67</v>
      </c>
      <c r="B1738" s="15" t="s">
        <v>260</v>
      </c>
      <c r="C1738" s="16" t="s">
        <v>31</v>
      </c>
      <c r="D1738" s="16" t="s">
        <v>31</v>
      </c>
      <c r="E1738" s="15" t="s">
        <v>32</v>
      </c>
      <c r="F1738" s="15" t="s">
        <v>314</v>
      </c>
      <c r="N1738" s="21" t="s">
        <v>96</v>
      </c>
      <c r="O1738" s="21" t="s">
        <v>336</v>
      </c>
      <c r="Q1738" s="21" t="s">
        <v>344</v>
      </c>
      <c r="R1738" s="22">
        <v>45756</v>
      </c>
      <c r="W1738">
        <f>COUNTIF(マネックス証券!U:U,B1738)</f>
        <v>0</v>
      </c>
    </row>
    <row r="1739" spans="1:23" ht="24.95" hidden="1" customHeight="1" x14ac:dyDescent="0.4">
      <c r="A1739" s="17" t="s">
        <v>67</v>
      </c>
      <c r="B1739" s="15" t="s">
        <v>261</v>
      </c>
      <c r="C1739" s="16" t="s">
        <v>31</v>
      </c>
      <c r="D1739" s="16" t="s">
        <v>31</v>
      </c>
      <c r="E1739" s="15" t="s">
        <v>32</v>
      </c>
      <c r="F1739" s="15" t="s">
        <v>314</v>
      </c>
      <c r="N1739" s="21" t="s">
        <v>96</v>
      </c>
      <c r="O1739" s="21" t="s">
        <v>336</v>
      </c>
      <c r="Q1739" s="21" t="s">
        <v>344</v>
      </c>
      <c r="R1739" s="22">
        <v>45756</v>
      </c>
      <c r="W1739">
        <f>COUNTIF(マネックス証券!U:U,B1739)</f>
        <v>0</v>
      </c>
    </row>
    <row r="1740" spans="1:23" ht="24.95" hidden="1" customHeight="1" x14ac:dyDescent="0.4">
      <c r="A1740" s="17" t="s">
        <v>67</v>
      </c>
      <c r="B1740" s="15" t="s">
        <v>262</v>
      </c>
      <c r="C1740" s="16" t="s">
        <v>31</v>
      </c>
      <c r="D1740" s="16" t="s">
        <v>31</v>
      </c>
      <c r="E1740" s="15" t="s">
        <v>32</v>
      </c>
      <c r="F1740" s="15" t="s">
        <v>314</v>
      </c>
      <c r="N1740" s="21" t="s">
        <v>96</v>
      </c>
      <c r="O1740" s="21" t="s">
        <v>336</v>
      </c>
      <c r="Q1740" s="21" t="s">
        <v>344</v>
      </c>
      <c r="R1740" s="22">
        <v>45756</v>
      </c>
      <c r="W1740">
        <f>COUNTIF(マネックス証券!U:U,B1740)</f>
        <v>0</v>
      </c>
    </row>
    <row r="1741" spans="1:23" ht="24.95" hidden="1" customHeight="1" x14ac:dyDescent="0.4">
      <c r="A1741" s="17" t="s">
        <v>67</v>
      </c>
      <c r="B1741" s="15" t="s">
        <v>263</v>
      </c>
      <c r="C1741" s="16" t="s">
        <v>31</v>
      </c>
      <c r="D1741" s="16" t="s">
        <v>31</v>
      </c>
      <c r="E1741" s="15" t="s">
        <v>32</v>
      </c>
      <c r="F1741" s="15" t="s">
        <v>314</v>
      </c>
      <c r="N1741" s="21" t="s">
        <v>96</v>
      </c>
      <c r="O1741" s="21" t="s">
        <v>336</v>
      </c>
      <c r="Q1741" s="21" t="s">
        <v>344</v>
      </c>
      <c r="R1741" s="22">
        <v>45756</v>
      </c>
      <c r="W1741">
        <f>COUNTIF(マネックス証券!U:U,B1741)</f>
        <v>0</v>
      </c>
    </row>
    <row r="1742" spans="1:23" ht="24.95" hidden="1" customHeight="1" x14ac:dyDescent="0.4">
      <c r="A1742" s="17" t="s">
        <v>67</v>
      </c>
      <c r="B1742" s="15" t="s">
        <v>264</v>
      </c>
      <c r="C1742" s="16" t="s">
        <v>31</v>
      </c>
      <c r="D1742" s="16" t="s">
        <v>31</v>
      </c>
      <c r="E1742" s="15" t="s">
        <v>32</v>
      </c>
      <c r="F1742" s="15" t="s">
        <v>314</v>
      </c>
      <c r="N1742" s="21" t="s">
        <v>96</v>
      </c>
      <c r="O1742" s="21" t="s">
        <v>336</v>
      </c>
      <c r="Q1742" s="21" t="s">
        <v>344</v>
      </c>
      <c r="R1742" s="22">
        <v>45756</v>
      </c>
      <c r="W1742">
        <f>COUNTIF(マネックス証券!U:U,B1742)</f>
        <v>0</v>
      </c>
    </row>
    <row r="1743" spans="1:23" ht="24.95" hidden="1" customHeight="1" x14ac:dyDescent="0.4">
      <c r="A1743" s="17" t="s">
        <v>67</v>
      </c>
      <c r="B1743" s="15" t="s">
        <v>265</v>
      </c>
      <c r="C1743" s="16" t="s">
        <v>31</v>
      </c>
      <c r="D1743" s="16" t="s">
        <v>31</v>
      </c>
      <c r="E1743" s="15" t="s">
        <v>32</v>
      </c>
      <c r="F1743" s="15" t="s">
        <v>314</v>
      </c>
      <c r="N1743" s="21" t="s">
        <v>96</v>
      </c>
      <c r="O1743" s="21" t="s">
        <v>336</v>
      </c>
      <c r="Q1743" s="21" t="s">
        <v>344</v>
      </c>
      <c r="R1743" s="22">
        <v>45756</v>
      </c>
      <c r="W1743">
        <f>COUNTIF(マネックス証券!U:U,B1743)</f>
        <v>0</v>
      </c>
    </row>
    <row r="1744" spans="1:23" ht="24.95" hidden="1" customHeight="1" x14ac:dyDescent="0.4">
      <c r="A1744" s="17" t="s">
        <v>67</v>
      </c>
      <c r="B1744" s="15" t="s">
        <v>266</v>
      </c>
      <c r="C1744" s="16" t="s">
        <v>31</v>
      </c>
      <c r="D1744" s="16" t="s">
        <v>31</v>
      </c>
      <c r="E1744" s="15" t="s">
        <v>32</v>
      </c>
      <c r="F1744" s="15" t="s">
        <v>314</v>
      </c>
      <c r="N1744" s="21" t="s">
        <v>96</v>
      </c>
      <c r="O1744" s="21" t="s">
        <v>336</v>
      </c>
      <c r="Q1744" s="21" t="s">
        <v>344</v>
      </c>
      <c r="R1744" s="22">
        <v>45756</v>
      </c>
      <c r="W1744">
        <f>COUNTIF(マネックス証券!U:U,B1744)</f>
        <v>0</v>
      </c>
    </row>
    <row r="1745" spans="1:23" ht="24.95" hidden="1" customHeight="1" x14ac:dyDescent="0.4">
      <c r="A1745" s="17" t="s">
        <v>67</v>
      </c>
      <c r="B1745" s="15" t="s">
        <v>267</v>
      </c>
      <c r="C1745" s="16" t="s">
        <v>31</v>
      </c>
      <c r="D1745" s="16" t="s">
        <v>31</v>
      </c>
      <c r="E1745" s="15" t="s">
        <v>32</v>
      </c>
      <c r="F1745" s="15" t="s">
        <v>314</v>
      </c>
      <c r="N1745" s="21" t="s">
        <v>96</v>
      </c>
      <c r="O1745" s="21" t="s">
        <v>336</v>
      </c>
      <c r="Q1745" s="21" t="s">
        <v>344</v>
      </c>
      <c r="R1745" s="22">
        <v>45756</v>
      </c>
      <c r="W1745">
        <f>COUNTIF(マネックス証券!U:U,B1745)</f>
        <v>0</v>
      </c>
    </row>
    <row r="1746" spans="1:23" ht="24.95" hidden="1" customHeight="1" x14ac:dyDescent="0.4">
      <c r="A1746" s="17" t="s">
        <v>67</v>
      </c>
      <c r="B1746" s="15" t="s">
        <v>268</v>
      </c>
      <c r="C1746" s="16" t="s">
        <v>31</v>
      </c>
      <c r="D1746" s="16" t="s">
        <v>31</v>
      </c>
      <c r="E1746" s="15" t="s">
        <v>32</v>
      </c>
      <c r="F1746" s="15" t="s">
        <v>314</v>
      </c>
      <c r="N1746" s="21" t="s">
        <v>96</v>
      </c>
      <c r="O1746" s="21" t="s">
        <v>336</v>
      </c>
      <c r="Q1746" s="21" t="s">
        <v>344</v>
      </c>
      <c r="R1746" s="22">
        <v>45756</v>
      </c>
      <c r="W1746">
        <f>COUNTIF(マネックス証券!U:U,B1746)</f>
        <v>0</v>
      </c>
    </row>
    <row r="1747" spans="1:23" ht="24.95" hidden="1" customHeight="1" x14ac:dyDescent="0.4">
      <c r="A1747" s="17" t="s">
        <v>67</v>
      </c>
      <c r="B1747" s="15" t="s">
        <v>269</v>
      </c>
      <c r="C1747" s="16" t="s">
        <v>31</v>
      </c>
      <c r="D1747" s="16" t="s">
        <v>31</v>
      </c>
      <c r="E1747" s="15" t="s">
        <v>32</v>
      </c>
      <c r="F1747" s="15" t="s">
        <v>314</v>
      </c>
      <c r="N1747" s="21" t="s">
        <v>96</v>
      </c>
      <c r="O1747" s="21" t="s">
        <v>336</v>
      </c>
      <c r="Q1747" s="21" t="s">
        <v>344</v>
      </c>
      <c r="R1747" s="22">
        <v>45756</v>
      </c>
      <c r="W1747">
        <f>COUNTIF(マネックス証券!U:U,B1747)</f>
        <v>0</v>
      </c>
    </row>
    <row r="1748" spans="1:23" ht="24.95" hidden="1" customHeight="1" x14ac:dyDescent="0.4">
      <c r="A1748" s="17" t="s">
        <v>67</v>
      </c>
      <c r="B1748" s="15" t="s">
        <v>270</v>
      </c>
      <c r="C1748" s="16" t="s">
        <v>31</v>
      </c>
      <c r="D1748" s="16" t="s">
        <v>31</v>
      </c>
      <c r="E1748" s="15" t="s">
        <v>32</v>
      </c>
      <c r="F1748" s="15" t="s">
        <v>314</v>
      </c>
      <c r="N1748" s="21" t="s">
        <v>96</v>
      </c>
      <c r="O1748" s="21" t="s">
        <v>336</v>
      </c>
      <c r="Q1748" s="21" t="s">
        <v>344</v>
      </c>
      <c r="R1748" s="22">
        <v>45756</v>
      </c>
      <c r="W1748">
        <f>COUNTIF(マネックス証券!U:U,B1748)</f>
        <v>0</v>
      </c>
    </row>
    <row r="1749" spans="1:23" ht="24.95" hidden="1" customHeight="1" x14ac:dyDescent="0.4">
      <c r="A1749" s="17" t="s">
        <v>67</v>
      </c>
      <c r="B1749" s="15" t="s">
        <v>271</v>
      </c>
      <c r="C1749" s="16" t="s">
        <v>31</v>
      </c>
      <c r="D1749" s="16" t="s">
        <v>31</v>
      </c>
      <c r="E1749" s="15" t="s">
        <v>32</v>
      </c>
      <c r="F1749" s="15" t="s">
        <v>314</v>
      </c>
      <c r="N1749" s="21" t="s">
        <v>96</v>
      </c>
      <c r="O1749" s="21" t="s">
        <v>336</v>
      </c>
      <c r="Q1749" s="21" t="s">
        <v>344</v>
      </c>
      <c r="R1749" s="22">
        <v>45756</v>
      </c>
      <c r="W1749">
        <f>COUNTIF(マネックス証券!U:U,B1749)</f>
        <v>0</v>
      </c>
    </row>
    <row r="1750" spans="1:23" ht="24.95" hidden="1" customHeight="1" x14ac:dyDescent="0.4">
      <c r="A1750" s="17" t="s">
        <v>67</v>
      </c>
      <c r="B1750" s="15" t="s">
        <v>366</v>
      </c>
      <c r="C1750" s="16" t="s">
        <v>31</v>
      </c>
      <c r="D1750" s="16" t="s">
        <v>31</v>
      </c>
      <c r="E1750" s="15" t="s">
        <v>32</v>
      </c>
      <c r="F1750" s="15" t="s">
        <v>365</v>
      </c>
      <c r="N1750" s="21" t="s">
        <v>374</v>
      </c>
      <c r="O1750" s="21" t="s">
        <v>373</v>
      </c>
      <c r="Q1750" s="21" t="s">
        <v>344</v>
      </c>
      <c r="R1750" s="22">
        <v>45883</v>
      </c>
      <c r="W1750">
        <f>COUNTIF(マネックス証券!U:U,B1750)</f>
        <v>0</v>
      </c>
    </row>
    <row r="1751" spans="1:23" ht="24.95" hidden="1" customHeight="1" x14ac:dyDescent="0.4">
      <c r="A1751" s="17" t="s">
        <v>67</v>
      </c>
      <c r="B1751" s="15" t="s">
        <v>367</v>
      </c>
      <c r="C1751" s="16" t="s">
        <v>31</v>
      </c>
      <c r="D1751" s="16" t="s">
        <v>31</v>
      </c>
      <c r="E1751" s="15" t="s">
        <v>32</v>
      </c>
      <c r="F1751" s="15" t="s">
        <v>365</v>
      </c>
      <c r="N1751" s="21" t="s">
        <v>374</v>
      </c>
      <c r="O1751" s="21" t="s">
        <v>373</v>
      </c>
      <c r="Q1751" s="21" t="s">
        <v>344</v>
      </c>
      <c r="R1751" s="22">
        <v>45883</v>
      </c>
      <c r="W1751">
        <f>COUNTIF(マネックス証券!U:U,B1751)</f>
        <v>0</v>
      </c>
    </row>
    <row r="1752" spans="1:23" ht="24.95" hidden="1" customHeight="1" x14ac:dyDescent="0.4">
      <c r="A1752" s="17" t="s">
        <v>67</v>
      </c>
      <c r="B1752" s="15" t="s">
        <v>324</v>
      </c>
      <c r="C1752" s="16" t="s">
        <v>31</v>
      </c>
      <c r="D1752" s="16" t="s">
        <v>31</v>
      </c>
      <c r="E1752" s="15" t="s">
        <v>32</v>
      </c>
      <c r="F1752" s="15" t="s">
        <v>314</v>
      </c>
      <c r="N1752" s="21" t="s">
        <v>96</v>
      </c>
      <c r="O1752" s="21" t="s">
        <v>337</v>
      </c>
      <c r="Q1752" s="21" t="s">
        <v>344</v>
      </c>
      <c r="R1752" s="22">
        <v>45756</v>
      </c>
      <c r="W1752">
        <f>COUNTIF(マネックス証券!U:U,B1752)</f>
        <v>0</v>
      </c>
    </row>
    <row r="1753" spans="1:23" ht="24.95" hidden="1" customHeight="1" x14ac:dyDescent="0.4">
      <c r="A1753" s="17" t="s">
        <v>67</v>
      </c>
      <c r="B1753" s="50" t="s">
        <v>368</v>
      </c>
      <c r="C1753" s="16" t="s">
        <v>31</v>
      </c>
      <c r="D1753" s="16" t="s">
        <v>31</v>
      </c>
      <c r="E1753" s="15" t="s">
        <v>32</v>
      </c>
      <c r="F1753" s="15" t="s">
        <v>365</v>
      </c>
      <c r="N1753" s="21" t="s">
        <v>96</v>
      </c>
      <c r="O1753" s="21" t="s">
        <v>372</v>
      </c>
      <c r="Q1753" s="21" t="s">
        <v>344</v>
      </c>
      <c r="R1753" s="22">
        <v>45883</v>
      </c>
      <c r="W1753">
        <f>COUNTIF(マネックス証券!U:U,B1753)</f>
        <v>0</v>
      </c>
    </row>
    <row r="1754" spans="1:23" ht="24.95" hidden="1" customHeight="1" x14ac:dyDescent="0.4">
      <c r="A1754" s="17" t="s">
        <v>67</v>
      </c>
      <c r="B1754" s="50" t="s">
        <v>369</v>
      </c>
      <c r="C1754" s="16" t="s">
        <v>24</v>
      </c>
      <c r="D1754" s="16" t="s">
        <v>31</v>
      </c>
      <c r="E1754" s="15" t="s">
        <v>35</v>
      </c>
      <c r="F1754" s="15" t="s">
        <v>365</v>
      </c>
      <c r="N1754" s="21" t="s">
        <v>96</v>
      </c>
      <c r="O1754" s="21" t="s">
        <v>372</v>
      </c>
      <c r="Q1754" s="21" t="s">
        <v>344</v>
      </c>
      <c r="R1754" s="22">
        <v>45883</v>
      </c>
      <c r="W1754">
        <f>COUNTIF(マネックス証券!U:U,B1754)</f>
        <v>0</v>
      </c>
    </row>
    <row r="1755" spans="1:23" ht="24.95" hidden="1" customHeight="1" x14ac:dyDescent="0.4">
      <c r="A1755" s="17" t="s">
        <v>67</v>
      </c>
      <c r="B1755" s="15" t="s">
        <v>325</v>
      </c>
      <c r="C1755" s="16" t="s">
        <v>24</v>
      </c>
      <c r="D1755" s="16" t="s">
        <v>31</v>
      </c>
      <c r="E1755" s="15" t="s">
        <v>35</v>
      </c>
      <c r="F1755" s="15" t="s">
        <v>314</v>
      </c>
      <c r="N1755" s="21" t="s">
        <v>96</v>
      </c>
      <c r="O1755" s="21" t="s">
        <v>337</v>
      </c>
      <c r="Q1755" s="21" t="s">
        <v>344</v>
      </c>
      <c r="R1755" s="22">
        <v>45756</v>
      </c>
      <c r="W1755">
        <f>COUNTIF(マネックス証券!U:U,B1755)</f>
        <v>0</v>
      </c>
    </row>
    <row r="1756" spans="1:23" ht="24.95" hidden="1" customHeight="1" x14ac:dyDescent="0.4">
      <c r="A1756" s="17" t="s">
        <v>67</v>
      </c>
      <c r="B1756" s="15" t="s">
        <v>272</v>
      </c>
      <c r="C1756" s="16" t="s">
        <v>31</v>
      </c>
      <c r="D1756" s="16" t="s">
        <v>31</v>
      </c>
      <c r="E1756" s="15" t="s">
        <v>32</v>
      </c>
      <c r="F1756" s="15" t="s">
        <v>314</v>
      </c>
      <c r="N1756" s="21" t="s">
        <v>96</v>
      </c>
      <c r="O1756" s="21" t="s">
        <v>336</v>
      </c>
      <c r="Q1756" s="21" t="s">
        <v>344</v>
      </c>
      <c r="R1756" s="22">
        <v>45756</v>
      </c>
      <c r="W1756">
        <f>COUNTIF(マネックス証券!U:U,B1756)</f>
        <v>0</v>
      </c>
    </row>
    <row r="1757" spans="1:23" ht="24.95" hidden="1" customHeight="1" x14ac:dyDescent="0.4">
      <c r="A1757" s="17" t="s">
        <v>67</v>
      </c>
      <c r="B1757" s="15" t="s">
        <v>273</v>
      </c>
      <c r="C1757" s="16" t="s">
        <v>31</v>
      </c>
      <c r="D1757" s="16" t="s">
        <v>31</v>
      </c>
      <c r="E1757" s="15" t="s">
        <v>32</v>
      </c>
      <c r="F1757" s="15" t="s">
        <v>314</v>
      </c>
      <c r="N1757" s="21" t="s">
        <v>96</v>
      </c>
      <c r="O1757" s="21" t="s">
        <v>336</v>
      </c>
      <c r="Q1757" s="21" t="s">
        <v>344</v>
      </c>
      <c r="R1757" s="22">
        <v>45756</v>
      </c>
      <c r="W1757">
        <f>COUNTIF(マネックス証券!U:U,B1757)</f>
        <v>0</v>
      </c>
    </row>
    <row r="1758" spans="1:23" ht="24.95" hidden="1" customHeight="1" x14ac:dyDescent="0.4">
      <c r="A1758" s="17" t="s">
        <v>67</v>
      </c>
      <c r="B1758" s="15" t="s">
        <v>274</v>
      </c>
      <c r="C1758" s="16" t="s">
        <v>31</v>
      </c>
      <c r="D1758" s="16" t="s">
        <v>31</v>
      </c>
      <c r="E1758" s="15" t="s">
        <v>32</v>
      </c>
      <c r="F1758" s="15" t="s">
        <v>314</v>
      </c>
      <c r="N1758" s="21" t="s">
        <v>96</v>
      </c>
      <c r="O1758" s="21" t="s">
        <v>336</v>
      </c>
      <c r="Q1758" s="21" t="s">
        <v>344</v>
      </c>
      <c r="R1758" s="22">
        <v>45756</v>
      </c>
      <c r="W1758">
        <f>COUNTIF(マネックス証券!U:U,B1758)</f>
        <v>0</v>
      </c>
    </row>
    <row r="1759" spans="1:23" ht="24.95" hidden="1" customHeight="1" x14ac:dyDescent="0.4">
      <c r="A1759" s="17" t="s">
        <v>67</v>
      </c>
      <c r="B1759" s="15" t="s">
        <v>275</v>
      </c>
      <c r="C1759" s="16" t="s">
        <v>31</v>
      </c>
      <c r="D1759" s="16" t="s">
        <v>31</v>
      </c>
      <c r="E1759" s="15" t="s">
        <v>32</v>
      </c>
      <c r="F1759" s="15" t="s">
        <v>314</v>
      </c>
      <c r="N1759" s="21" t="s">
        <v>96</v>
      </c>
      <c r="O1759" s="21" t="s">
        <v>336</v>
      </c>
      <c r="Q1759" s="21" t="s">
        <v>344</v>
      </c>
      <c r="R1759" s="22">
        <v>45756</v>
      </c>
      <c r="W1759">
        <f>COUNTIF(マネックス証券!U:U,B1759)</f>
        <v>0</v>
      </c>
    </row>
    <row r="1760" spans="1:23" ht="24.95" hidden="1" customHeight="1" x14ac:dyDescent="0.4">
      <c r="A1760" s="17" t="s">
        <v>67</v>
      </c>
      <c r="B1760" s="15" t="s">
        <v>326</v>
      </c>
      <c r="C1760" s="16" t="s">
        <v>31</v>
      </c>
      <c r="D1760" s="16" t="s">
        <v>31</v>
      </c>
      <c r="E1760" s="15" t="s">
        <v>32</v>
      </c>
      <c r="F1760" s="15" t="s">
        <v>314</v>
      </c>
      <c r="N1760" s="21" t="s">
        <v>96</v>
      </c>
      <c r="O1760" s="21" t="s">
        <v>337</v>
      </c>
      <c r="Q1760" s="21" t="s">
        <v>344</v>
      </c>
      <c r="R1760" s="22">
        <v>45756</v>
      </c>
      <c r="W1760">
        <f>COUNTIF(マネックス証券!U:U,B1760)</f>
        <v>0</v>
      </c>
    </row>
    <row r="1761" spans="1:23" ht="24.95" hidden="1" customHeight="1" x14ac:dyDescent="0.4">
      <c r="A1761" s="17" t="s">
        <v>67</v>
      </c>
      <c r="B1761" s="15" t="s">
        <v>327</v>
      </c>
      <c r="C1761" s="16" t="s">
        <v>24</v>
      </c>
      <c r="D1761" s="16" t="s">
        <v>31</v>
      </c>
      <c r="E1761" s="15" t="s">
        <v>35</v>
      </c>
      <c r="F1761" s="15" t="s">
        <v>314</v>
      </c>
      <c r="N1761" s="21" t="s">
        <v>96</v>
      </c>
      <c r="O1761" s="21" t="s">
        <v>337</v>
      </c>
      <c r="Q1761" s="21" t="s">
        <v>344</v>
      </c>
      <c r="R1761" s="22">
        <v>45756</v>
      </c>
      <c r="W1761">
        <f>COUNTIF(マネックス証券!U:U,B1761)</f>
        <v>0</v>
      </c>
    </row>
    <row r="1762" spans="1:23" ht="24.95" hidden="1" customHeight="1" x14ac:dyDescent="0.4">
      <c r="A1762" s="17" t="s">
        <v>67</v>
      </c>
      <c r="B1762" s="15" t="s">
        <v>328</v>
      </c>
      <c r="C1762" s="16" t="s">
        <v>24</v>
      </c>
      <c r="D1762" s="16" t="s">
        <v>31</v>
      </c>
      <c r="E1762" s="15" t="s">
        <v>35</v>
      </c>
      <c r="F1762" s="15" t="s">
        <v>314</v>
      </c>
      <c r="N1762" s="21" t="s">
        <v>96</v>
      </c>
      <c r="O1762" s="21" t="s">
        <v>337</v>
      </c>
      <c r="Q1762" s="21" t="s">
        <v>344</v>
      </c>
      <c r="R1762" s="22">
        <v>45756</v>
      </c>
      <c r="W1762">
        <f>COUNTIF(マネックス証券!U:U,B1762)</f>
        <v>0</v>
      </c>
    </row>
    <row r="1763" spans="1:23" ht="24.95" hidden="1" customHeight="1" x14ac:dyDescent="0.4">
      <c r="A1763" s="17" t="s">
        <v>67</v>
      </c>
      <c r="B1763" s="15" t="s">
        <v>329</v>
      </c>
      <c r="C1763" s="16" t="s">
        <v>24</v>
      </c>
      <c r="D1763" s="16" t="s">
        <v>31</v>
      </c>
      <c r="E1763" s="15" t="s">
        <v>35</v>
      </c>
      <c r="F1763" s="15" t="s">
        <v>314</v>
      </c>
      <c r="N1763" s="21" t="s">
        <v>96</v>
      </c>
      <c r="O1763" s="21" t="s">
        <v>337</v>
      </c>
      <c r="Q1763" s="21" t="s">
        <v>344</v>
      </c>
      <c r="R1763" s="22">
        <v>45756</v>
      </c>
      <c r="W1763">
        <f>COUNTIF(マネックス証券!U:U,B1763)</f>
        <v>0</v>
      </c>
    </row>
    <row r="1764" spans="1:23" ht="24.95" hidden="1" customHeight="1" x14ac:dyDescent="0.4">
      <c r="A1764" s="17" t="s">
        <v>67</v>
      </c>
      <c r="B1764" s="15" t="s">
        <v>276</v>
      </c>
      <c r="C1764" s="16" t="s">
        <v>31</v>
      </c>
      <c r="D1764" s="16" t="s">
        <v>31</v>
      </c>
      <c r="E1764" s="15" t="s">
        <v>32</v>
      </c>
      <c r="F1764" s="15" t="s">
        <v>314</v>
      </c>
      <c r="N1764" s="21" t="s">
        <v>96</v>
      </c>
      <c r="O1764" s="21" t="s">
        <v>336</v>
      </c>
      <c r="Q1764" s="21" t="s">
        <v>344</v>
      </c>
      <c r="R1764" s="22">
        <v>45756</v>
      </c>
      <c r="W1764">
        <f>COUNTIF(マネックス証券!U:U,B1764)</f>
        <v>0</v>
      </c>
    </row>
    <row r="1765" spans="1:23" ht="24.95" hidden="1" customHeight="1" x14ac:dyDescent="0.4">
      <c r="A1765" s="17" t="s">
        <v>67</v>
      </c>
      <c r="B1765" s="15" t="s">
        <v>277</v>
      </c>
      <c r="C1765" s="16" t="s">
        <v>31</v>
      </c>
      <c r="D1765" s="16" t="s">
        <v>31</v>
      </c>
      <c r="E1765" s="15" t="s">
        <v>32</v>
      </c>
      <c r="F1765" s="15" t="s">
        <v>314</v>
      </c>
      <c r="N1765" s="21" t="s">
        <v>96</v>
      </c>
      <c r="O1765" s="21" t="s">
        <v>336</v>
      </c>
      <c r="Q1765" s="21" t="s">
        <v>344</v>
      </c>
      <c r="R1765" s="22">
        <v>45756</v>
      </c>
      <c r="W1765">
        <f>COUNTIF(マネックス証券!U:U,B1765)</f>
        <v>0</v>
      </c>
    </row>
    <row r="1766" spans="1:23" ht="24.95" hidden="1" customHeight="1" x14ac:dyDescent="0.4">
      <c r="A1766" s="17" t="s">
        <v>67</v>
      </c>
      <c r="B1766" s="15" t="s">
        <v>278</v>
      </c>
      <c r="C1766" s="16" t="s">
        <v>31</v>
      </c>
      <c r="D1766" s="16" t="s">
        <v>31</v>
      </c>
      <c r="E1766" s="15" t="s">
        <v>32</v>
      </c>
      <c r="F1766" s="15" t="s">
        <v>314</v>
      </c>
      <c r="N1766" s="21" t="s">
        <v>96</v>
      </c>
      <c r="O1766" s="21" t="s">
        <v>336</v>
      </c>
      <c r="Q1766" s="21" t="s">
        <v>344</v>
      </c>
      <c r="R1766" s="22">
        <v>45756</v>
      </c>
      <c r="W1766">
        <f>COUNTIF(マネックス証券!U:U,B1766)</f>
        <v>0</v>
      </c>
    </row>
    <row r="1767" spans="1:23" ht="24.95" hidden="1" customHeight="1" x14ac:dyDescent="0.4">
      <c r="A1767" s="17" t="s">
        <v>67</v>
      </c>
      <c r="B1767" s="15" t="s">
        <v>279</v>
      </c>
      <c r="C1767" s="16" t="s">
        <v>31</v>
      </c>
      <c r="D1767" s="16" t="s">
        <v>31</v>
      </c>
      <c r="E1767" s="15" t="s">
        <v>32</v>
      </c>
      <c r="F1767" s="15" t="s">
        <v>314</v>
      </c>
      <c r="N1767" s="21" t="s">
        <v>96</v>
      </c>
      <c r="O1767" s="21" t="s">
        <v>336</v>
      </c>
      <c r="Q1767" s="21" t="s">
        <v>344</v>
      </c>
      <c r="R1767" s="22">
        <v>45756</v>
      </c>
      <c r="W1767">
        <f>COUNTIF(マネックス証券!U:U,B1767)</f>
        <v>0</v>
      </c>
    </row>
    <row r="1768" spans="1:23" ht="24.95" hidden="1" customHeight="1" x14ac:dyDescent="0.4">
      <c r="A1768" s="17" t="s">
        <v>67</v>
      </c>
      <c r="B1768" s="15" t="s">
        <v>280</v>
      </c>
      <c r="C1768" s="16" t="s">
        <v>31</v>
      </c>
      <c r="D1768" s="16" t="s">
        <v>31</v>
      </c>
      <c r="E1768" s="15" t="s">
        <v>32</v>
      </c>
      <c r="F1768" s="15" t="s">
        <v>314</v>
      </c>
      <c r="N1768" s="21" t="s">
        <v>96</v>
      </c>
      <c r="O1768" s="21" t="s">
        <v>336</v>
      </c>
      <c r="Q1768" s="21" t="s">
        <v>344</v>
      </c>
      <c r="R1768" s="22">
        <v>45756</v>
      </c>
      <c r="W1768">
        <f>COUNTIF(マネックス証券!U:U,B1768)</f>
        <v>0</v>
      </c>
    </row>
    <row r="1769" spans="1:23" ht="24.95" hidden="1" customHeight="1" x14ac:dyDescent="0.4">
      <c r="A1769" s="17" t="s">
        <v>67</v>
      </c>
      <c r="B1769" s="15" t="s">
        <v>281</v>
      </c>
      <c r="C1769" s="16" t="s">
        <v>31</v>
      </c>
      <c r="D1769" s="16" t="s">
        <v>31</v>
      </c>
      <c r="E1769" s="15" t="s">
        <v>32</v>
      </c>
      <c r="F1769" s="15" t="s">
        <v>314</v>
      </c>
      <c r="N1769" s="21" t="s">
        <v>96</v>
      </c>
      <c r="O1769" s="21" t="s">
        <v>336</v>
      </c>
      <c r="Q1769" s="21" t="s">
        <v>344</v>
      </c>
      <c r="R1769" s="22">
        <v>45756</v>
      </c>
      <c r="W1769">
        <f>COUNTIF(マネックス証券!U:U,B1769)</f>
        <v>0</v>
      </c>
    </row>
    <row r="1770" spans="1:23" ht="24.95" hidden="1" customHeight="1" x14ac:dyDescent="0.4">
      <c r="A1770" s="17" t="s">
        <v>67</v>
      </c>
      <c r="B1770" s="15" t="s">
        <v>282</v>
      </c>
      <c r="C1770" s="16" t="s">
        <v>31</v>
      </c>
      <c r="D1770" s="16" t="s">
        <v>31</v>
      </c>
      <c r="E1770" s="15" t="s">
        <v>32</v>
      </c>
      <c r="F1770" s="15" t="s">
        <v>314</v>
      </c>
      <c r="N1770" s="21" t="s">
        <v>96</v>
      </c>
      <c r="O1770" s="21" t="s">
        <v>336</v>
      </c>
      <c r="Q1770" s="21" t="s">
        <v>344</v>
      </c>
      <c r="R1770" s="22">
        <v>45756</v>
      </c>
      <c r="W1770">
        <f>COUNTIF(マネックス証券!U:U,B1770)</f>
        <v>0</v>
      </c>
    </row>
    <row r="1771" spans="1:23" ht="24.95" hidden="1" customHeight="1" x14ac:dyDescent="0.4">
      <c r="A1771" s="17" t="s">
        <v>67</v>
      </c>
      <c r="B1771" s="15" t="s">
        <v>283</v>
      </c>
      <c r="C1771" s="16" t="s">
        <v>31</v>
      </c>
      <c r="D1771" s="16" t="s">
        <v>31</v>
      </c>
      <c r="E1771" s="15" t="s">
        <v>32</v>
      </c>
      <c r="F1771" s="15" t="s">
        <v>314</v>
      </c>
      <c r="N1771" s="21" t="s">
        <v>96</v>
      </c>
      <c r="O1771" s="21" t="s">
        <v>336</v>
      </c>
      <c r="Q1771" s="21" t="s">
        <v>344</v>
      </c>
      <c r="R1771" s="22">
        <v>45756</v>
      </c>
      <c r="W1771">
        <f>COUNTIF(マネックス証券!U:U,B1771)</f>
        <v>0</v>
      </c>
    </row>
    <row r="1772" spans="1:23" ht="24.95" hidden="1" customHeight="1" x14ac:dyDescent="0.4">
      <c r="A1772" s="17" t="s">
        <v>67</v>
      </c>
      <c r="B1772" s="15" t="s">
        <v>284</v>
      </c>
      <c r="C1772" s="16" t="s">
        <v>31</v>
      </c>
      <c r="D1772" s="16" t="s">
        <v>31</v>
      </c>
      <c r="E1772" s="15" t="s">
        <v>32</v>
      </c>
      <c r="F1772" s="15" t="s">
        <v>314</v>
      </c>
      <c r="N1772" s="21" t="s">
        <v>96</v>
      </c>
      <c r="O1772" s="21" t="s">
        <v>336</v>
      </c>
      <c r="Q1772" s="21" t="s">
        <v>344</v>
      </c>
      <c r="R1772" s="22">
        <v>45756</v>
      </c>
      <c r="W1772">
        <f>COUNTIF(マネックス証券!U:U,B1772)</f>
        <v>0</v>
      </c>
    </row>
    <row r="1773" spans="1:23" ht="24.95" hidden="1" customHeight="1" x14ac:dyDescent="0.4">
      <c r="A1773" s="17" t="s">
        <v>67</v>
      </c>
      <c r="B1773" s="15" t="s">
        <v>285</v>
      </c>
      <c r="C1773" s="16" t="s">
        <v>31</v>
      </c>
      <c r="D1773" s="16" t="s">
        <v>31</v>
      </c>
      <c r="E1773" s="15" t="s">
        <v>32</v>
      </c>
      <c r="F1773" s="15" t="s">
        <v>314</v>
      </c>
      <c r="N1773" s="21" t="s">
        <v>96</v>
      </c>
      <c r="O1773" s="21" t="s">
        <v>336</v>
      </c>
      <c r="Q1773" s="21" t="s">
        <v>344</v>
      </c>
      <c r="R1773" s="22">
        <v>45756</v>
      </c>
      <c r="W1773">
        <f>COUNTIF(マネックス証券!U:U,B1773)</f>
        <v>0</v>
      </c>
    </row>
    <row r="1774" spans="1:23" ht="24.95" hidden="1" customHeight="1" x14ac:dyDescent="0.4">
      <c r="A1774" s="17" t="s">
        <v>67</v>
      </c>
      <c r="B1774" s="15" t="s">
        <v>286</v>
      </c>
      <c r="C1774" s="16" t="s">
        <v>31</v>
      </c>
      <c r="D1774" s="16" t="s">
        <v>31</v>
      </c>
      <c r="E1774" s="15" t="s">
        <v>32</v>
      </c>
      <c r="F1774" s="15" t="s">
        <v>314</v>
      </c>
      <c r="N1774" s="21" t="s">
        <v>96</v>
      </c>
      <c r="O1774" s="21" t="s">
        <v>336</v>
      </c>
      <c r="Q1774" s="21" t="s">
        <v>344</v>
      </c>
      <c r="R1774" s="22">
        <v>45756</v>
      </c>
      <c r="W1774">
        <f>COUNTIF(マネックス証券!U:U,B1774)</f>
        <v>0</v>
      </c>
    </row>
    <row r="1775" spans="1:23" ht="24.95" hidden="1" customHeight="1" x14ac:dyDescent="0.4">
      <c r="A1775" s="17" t="s">
        <v>67</v>
      </c>
      <c r="B1775" s="15" t="s">
        <v>287</v>
      </c>
      <c r="C1775" s="16" t="s">
        <v>31</v>
      </c>
      <c r="D1775" s="16" t="s">
        <v>31</v>
      </c>
      <c r="E1775" s="15" t="s">
        <v>32</v>
      </c>
      <c r="F1775" s="15" t="s">
        <v>314</v>
      </c>
      <c r="N1775" s="21" t="s">
        <v>96</v>
      </c>
      <c r="O1775" s="21" t="s">
        <v>336</v>
      </c>
      <c r="Q1775" s="21" t="s">
        <v>344</v>
      </c>
      <c r="R1775" s="22">
        <v>45756</v>
      </c>
      <c r="W1775">
        <f>COUNTIF(マネックス証券!U:U,B1775)</f>
        <v>0</v>
      </c>
    </row>
    <row r="1776" spans="1:23" ht="24.95" hidden="1" customHeight="1" x14ac:dyDescent="0.4">
      <c r="A1776" s="17" t="s">
        <v>67</v>
      </c>
      <c r="B1776" s="15" t="s">
        <v>342</v>
      </c>
      <c r="C1776" s="16" t="s">
        <v>31</v>
      </c>
      <c r="D1776" s="16" t="s">
        <v>31</v>
      </c>
      <c r="E1776" s="15" t="s">
        <v>32</v>
      </c>
      <c r="F1776" s="15" t="s">
        <v>340</v>
      </c>
      <c r="N1776" s="21" t="s">
        <v>96</v>
      </c>
      <c r="O1776" s="21" t="s">
        <v>345</v>
      </c>
      <c r="Q1776" s="21" t="s">
        <v>344</v>
      </c>
      <c r="R1776" s="22">
        <v>45784</v>
      </c>
      <c r="W1776">
        <f>COUNTIF(マネックス証券!U:U,B1776)</f>
        <v>0</v>
      </c>
    </row>
    <row r="1777" spans="1:23" ht="24.95" hidden="1" customHeight="1" x14ac:dyDescent="0.4">
      <c r="A1777" s="17" t="s">
        <v>67</v>
      </c>
      <c r="B1777" s="15" t="s">
        <v>288</v>
      </c>
      <c r="C1777" s="16" t="s">
        <v>31</v>
      </c>
      <c r="D1777" s="16" t="s">
        <v>31</v>
      </c>
      <c r="E1777" s="15" t="s">
        <v>32</v>
      </c>
      <c r="F1777" s="15" t="s">
        <v>314</v>
      </c>
      <c r="N1777" s="21" t="s">
        <v>96</v>
      </c>
      <c r="O1777" s="21" t="s">
        <v>336</v>
      </c>
      <c r="Q1777" s="21" t="s">
        <v>344</v>
      </c>
      <c r="R1777" s="22">
        <v>45756</v>
      </c>
      <c r="W1777">
        <f>COUNTIF(マネックス証券!U:U,B1777)</f>
        <v>0</v>
      </c>
    </row>
    <row r="1778" spans="1:23" ht="24.95" hidden="1" customHeight="1" x14ac:dyDescent="0.4">
      <c r="A1778" s="17" t="s">
        <v>67</v>
      </c>
      <c r="B1778" s="15" t="s">
        <v>289</v>
      </c>
      <c r="C1778" s="16" t="s">
        <v>31</v>
      </c>
      <c r="D1778" s="16" t="s">
        <v>31</v>
      </c>
      <c r="E1778" s="15" t="s">
        <v>32</v>
      </c>
      <c r="F1778" s="15" t="s">
        <v>314</v>
      </c>
      <c r="N1778" s="21" t="s">
        <v>96</v>
      </c>
      <c r="O1778" s="21" t="s">
        <v>336</v>
      </c>
      <c r="Q1778" s="21" t="s">
        <v>344</v>
      </c>
      <c r="R1778" s="22">
        <v>45756</v>
      </c>
      <c r="W1778">
        <f>COUNTIF(マネックス証券!U:U,B1778)</f>
        <v>0</v>
      </c>
    </row>
    <row r="1779" spans="1:23" ht="24.95" hidden="1" customHeight="1" x14ac:dyDescent="0.4">
      <c r="A1779" s="17" t="s">
        <v>67</v>
      </c>
      <c r="B1779" s="15" t="s">
        <v>290</v>
      </c>
      <c r="C1779" s="16" t="s">
        <v>31</v>
      </c>
      <c r="D1779" s="16" t="s">
        <v>31</v>
      </c>
      <c r="E1779" s="15" t="s">
        <v>32</v>
      </c>
      <c r="F1779" s="15" t="s">
        <v>314</v>
      </c>
      <c r="N1779" s="21" t="s">
        <v>96</v>
      </c>
      <c r="O1779" s="21" t="s">
        <v>336</v>
      </c>
      <c r="Q1779" s="21" t="s">
        <v>344</v>
      </c>
      <c r="R1779" s="22">
        <v>45756</v>
      </c>
      <c r="W1779">
        <f>COUNTIF(マネックス証券!U:U,B1779)</f>
        <v>0</v>
      </c>
    </row>
    <row r="1780" spans="1:23" ht="24.95" hidden="1" customHeight="1" x14ac:dyDescent="0.4">
      <c r="A1780" s="17" t="s">
        <v>67</v>
      </c>
      <c r="B1780" s="15" t="s">
        <v>291</v>
      </c>
      <c r="C1780" s="16" t="s">
        <v>31</v>
      </c>
      <c r="D1780" s="16" t="s">
        <v>31</v>
      </c>
      <c r="E1780" s="15" t="s">
        <v>32</v>
      </c>
      <c r="F1780" s="15" t="s">
        <v>314</v>
      </c>
      <c r="N1780" s="21" t="s">
        <v>96</v>
      </c>
      <c r="O1780" s="21" t="s">
        <v>336</v>
      </c>
      <c r="Q1780" s="21" t="s">
        <v>344</v>
      </c>
      <c r="R1780" s="22">
        <v>45756</v>
      </c>
      <c r="W1780">
        <f>COUNTIF(マネックス証券!U:U,B1780)</f>
        <v>0</v>
      </c>
    </row>
    <row r="1781" spans="1:23" ht="24.95" hidden="1" customHeight="1" x14ac:dyDescent="0.4">
      <c r="A1781" s="17" t="s">
        <v>67</v>
      </c>
      <c r="B1781" s="15" t="s">
        <v>292</v>
      </c>
      <c r="C1781" s="16" t="s">
        <v>31</v>
      </c>
      <c r="D1781" s="16" t="s">
        <v>31</v>
      </c>
      <c r="E1781" s="15" t="s">
        <v>32</v>
      </c>
      <c r="F1781" s="15" t="s">
        <v>314</v>
      </c>
      <c r="N1781" s="21" t="s">
        <v>96</v>
      </c>
      <c r="O1781" s="21" t="s">
        <v>336</v>
      </c>
      <c r="Q1781" s="21" t="s">
        <v>344</v>
      </c>
      <c r="R1781" s="22">
        <v>45756</v>
      </c>
      <c r="W1781">
        <f>COUNTIF(マネックス証券!U:U,B1781)</f>
        <v>0</v>
      </c>
    </row>
    <row r="1782" spans="1:23" ht="24.95" hidden="1" customHeight="1" x14ac:dyDescent="0.4">
      <c r="A1782" s="17" t="s">
        <v>67</v>
      </c>
      <c r="B1782" s="15" t="s">
        <v>293</v>
      </c>
      <c r="C1782" s="16" t="s">
        <v>31</v>
      </c>
      <c r="D1782" s="16" t="s">
        <v>31</v>
      </c>
      <c r="E1782" s="15" t="s">
        <v>32</v>
      </c>
      <c r="F1782" s="15" t="s">
        <v>314</v>
      </c>
      <c r="N1782" s="21" t="s">
        <v>96</v>
      </c>
      <c r="O1782" s="21" t="s">
        <v>336</v>
      </c>
      <c r="Q1782" s="21" t="s">
        <v>344</v>
      </c>
      <c r="R1782" s="22">
        <v>45756</v>
      </c>
      <c r="W1782">
        <f>COUNTIF(マネックス証券!U:U,B1782)</f>
        <v>0</v>
      </c>
    </row>
    <row r="1783" spans="1:23" ht="24.95" hidden="1" customHeight="1" x14ac:dyDescent="0.4">
      <c r="A1783" s="17" t="s">
        <v>67</v>
      </c>
      <c r="B1783" s="15" t="s">
        <v>294</v>
      </c>
      <c r="C1783" s="16" t="s">
        <v>31</v>
      </c>
      <c r="D1783" s="16" t="s">
        <v>31</v>
      </c>
      <c r="E1783" s="15" t="s">
        <v>32</v>
      </c>
      <c r="F1783" s="15" t="s">
        <v>314</v>
      </c>
      <c r="N1783" s="21" t="s">
        <v>96</v>
      </c>
      <c r="O1783" s="21" t="s">
        <v>336</v>
      </c>
      <c r="Q1783" s="21" t="s">
        <v>344</v>
      </c>
      <c r="R1783" s="22">
        <v>45756</v>
      </c>
      <c r="W1783">
        <f>COUNTIF(マネックス証券!U:U,B1783)</f>
        <v>0</v>
      </c>
    </row>
    <row r="1784" spans="1:23" ht="24.95" hidden="1" customHeight="1" x14ac:dyDescent="0.4">
      <c r="A1784" s="17" t="s">
        <v>67</v>
      </c>
      <c r="B1784" s="15" t="s">
        <v>295</v>
      </c>
      <c r="C1784" s="16" t="s">
        <v>31</v>
      </c>
      <c r="D1784" s="16" t="s">
        <v>31</v>
      </c>
      <c r="E1784" s="15" t="s">
        <v>32</v>
      </c>
      <c r="F1784" s="15" t="s">
        <v>314</v>
      </c>
      <c r="N1784" s="21" t="s">
        <v>96</v>
      </c>
      <c r="O1784" s="21" t="s">
        <v>336</v>
      </c>
      <c r="Q1784" s="21" t="s">
        <v>344</v>
      </c>
      <c r="R1784" s="22">
        <v>45756</v>
      </c>
      <c r="W1784">
        <f>COUNTIF(マネックス証券!U:U,B1784)</f>
        <v>0</v>
      </c>
    </row>
    <row r="1785" spans="1:23" ht="24.95" hidden="1" customHeight="1" x14ac:dyDescent="0.4">
      <c r="A1785" s="17" t="s">
        <v>67</v>
      </c>
      <c r="B1785" s="15" t="s">
        <v>296</v>
      </c>
      <c r="C1785" s="16" t="s">
        <v>31</v>
      </c>
      <c r="D1785" s="16" t="s">
        <v>31</v>
      </c>
      <c r="E1785" s="15" t="s">
        <v>32</v>
      </c>
      <c r="F1785" s="15" t="s">
        <v>314</v>
      </c>
      <c r="N1785" s="21" t="s">
        <v>96</v>
      </c>
      <c r="O1785" s="21" t="s">
        <v>336</v>
      </c>
      <c r="Q1785" s="21" t="s">
        <v>344</v>
      </c>
      <c r="R1785" s="22">
        <v>45756</v>
      </c>
      <c r="W1785">
        <f>COUNTIF(マネックス証券!U:U,B1785)</f>
        <v>0</v>
      </c>
    </row>
    <row r="1786" spans="1:23" ht="24.95" hidden="1" customHeight="1" x14ac:dyDescent="0.4">
      <c r="A1786" s="17" t="s">
        <v>67</v>
      </c>
      <c r="B1786" s="15" t="s">
        <v>297</v>
      </c>
      <c r="C1786" s="16" t="s">
        <v>31</v>
      </c>
      <c r="D1786" s="16" t="s">
        <v>31</v>
      </c>
      <c r="E1786" s="15" t="s">
        <v>32</v>
      </c>
      <c r="F1786" s="15" t="s">
        <v>314</v>
      </c>
      <c r="N1786" s="21" t="s">
        <v>96</v>
      </c>
      <c r="O1786" s="21" t="s">
        <v>336</v>
      </c>
      <c r="Q1786" s="21" t="s">
        <v>344</v>
      </c>
      <c r="R1786" s="22">
        <v>45756</v>
      </c>
      <c r="W1786">
        <f>COUNTIF(マネックス証券!U:U,B1786)</f>
        <v>0</v>
      </c>
    </row>
    <row r="1787" spans="1:23" ht="24.95" hidden="1" customHeight="1" x14ac:dyDescent="0.4">
      <c r="A1787" s="17" t="s">
        <v>67</v>
      </c>
      <c r="B1787" s="15" t="s">
        <v>298</v>
      </c>
      <c r="C1787" s="16" t="s">
        <v>31</v>
      </c>
      <c r="D1787" s="16" t="s">
        <v>31</v>
      </c>
      <c r="E1787" s="15" t="s">
        <v>32</v>
      </c>
      <c r="F1787" s="15" t="s">
        <v>314</v>
      </c>
      <c r="N1787" s="21" t="s">
        <v>96</v>
      </c>
      <c r="O1787" s="21" t="s">
        <v>336</v>
      </c>
      <c r="Q1787" s="21" t="s">
        <v>344</v>
      </c>
      <c r="R1787" s="22">
        <v>45756</v>
      </c>
      <c r="W1787">
        <f>COUNTIF(マネックス証券!U:U,B1787)</f>
        <v>0</v>
      </c>
    </row>
    <row r="1788" spans="1:23" ht="24.95" hidden="1" customHeight="1" x14ac:dyDescent="0.4">
      <c r="A1788" s="17" t="s">
        <v>67</v>
      </c>
      <c r="B1788" s="15" t="s">
        <v>299</v>
      </c>
      <c r="C1788" s="16" t="s">
        <v>31</v>
      </c>
      <c r="D1788" s="16" t="s">
        <v>31</v>
      </c>
      <c r="E1788" s="15" t="s">
        <v>32</v>
      </c>
      <c r="F1788" s="15" t="s">
        <v>314</v>
      </c>
      <c r="N1788" s="21" t="s">
        <v>96</v>
      </c>
      <c r="O1788" s="21" t="s">
        <v>336</v>
      </c>
      <c r="Q1788" s="21" t="s">
        <v>344</v>
      </c>
      <c r="R1788" s="22">
        <v>45756</v>
      </c>
      <c r="W1788">
        <f>COUNTIF(マネックス証券!U:U,B1788)</f>
        <v>0</v>
      </c>
    </row>
    <row r="1789" spans="1:23" ht="24.95" hidden="1" customHeight="1" x14ac:dyDescent="0.4">
      <c r="A1789" s="17" t="s">
        <v>67</v>
      </c>
      <c r="B1789" s="15" t="s">
        <v>300</v>
      </c>
      <c r="C1789" s="16" t="s">
        <v>31</v>
      </c>
      <c r="D1789" s="16" t="s">
        <v>31</v>
      </c>
      <c r="E1789" s="15" t="s">
        <v>32</v>
      </c>
      <c r="F1789" s="15" t="s">
        <v>314</v>
      </c>
      <c r="N1789" s="21" t="s">
        <v>96</v>
      </c>
      <c r="O1789" s="21" t="s">
        <v>336</v>
      </c>
      <c r="Q1789" s="21" t="s">
        <v>344</v>
      </c>
      <c r="R1789" s="22">
        <v>45756</v>
      </c>
      <c r="W1789">
        <f>COUNTIF(マネックス証券!U:U,B1789)</f>
        <v>0</v>
      </c>
    </row>
    <row r="1790" spans="1:23" ht="24.95" hidden="1" customHeight="1" x14ac:dyDescent="0.4">
      <c r="A1790" s="17" t="s">
        <v>67</v>
      </c>
      <c r="B1790" s="15" t="s">
        <v>301</v>
      </c>
      <c r="C1790" s="16" t="s">
        <v>31</v>
      </c>
      <c r="D1790" s="16" t="s">
        <v>31</v>
      </c>
      <c r="E1790" s="15" t="s">
        <v>32</v>
      </c>
      <c r="F1790" s="15" t="s">
        <v>314</v>
      </c>
      <c r="N1790" s="21" t="s">
        <v>96</v>
      </c>
      <c r="O1790" s="21" t="s">
        <v>336</v>
      </c>
      <c r="Q1790" s="21" t="s">
        <v>344</v>
      </c>
      <c r="R1790" s="22">
        <v>45756</v>
      </c>
      <c r="W1790">
        <f>COUNTIF(マネックス証券!U:U,B1790)</f>
        <v>0</v>
      </c>
    </row>
    <row r="1791" spans="1:23" ht="24.95" hidden="1" customHeight="1" x14ac:dyDescent="0.4">
      <c r="A1791" s="17" t="s">
        <v>67</v>
      </c>
      <c r="B1791" s="15" t="s">
        <v>302</v>
      </c>
      <c r="C1791" s="16" t="s">
        <v>31</v>
      </c>
      <c r="D1791" s="16" t="s">
        <v>31</v>
      </c>
      <c r="E1791" s="15" t="s">
        <v>32</v>
      </c>
      <c r="F1791" s="15" t="s">
        <v>314</v>
      </c>
      <c r="N1791" s="21" t="s">
        <v>96</v>
      </c>
      <c r="O1791" s="21" t="s">
        <v>336</v>
      </c>
      <c r="Q1791" s="21" t="s">
        <v>344</v>
      </c>
      <c r="R1791" s="22">
        <v>45756</v>
      </c>
      <c r="W1791">
        <f>COUNTIF(マネックス証券!U:U,B1791)</f>
        <v>0</v>
      </c>
    </row>
    <row r="1792" spans="1:23" ht="24.95" hidden="1" customHeight="1" x14ac:dyDescent="0.4">
      <c r="A1792" s="17" t="s">
        <v>67</v>
      </c>
      <c r="B1792" s="15" t="s">
        <v>303</v>
      </c>
      <c r="C1792" s="16" t="s">
        <v>31</v>
      </c>
      <c r="D1792" s="16" t="s">
        <v>31</v>
      </c>
      <c r="E1792" s="15" t="s">
        <v>32</v>
      </c>
      <c r="F1792" s="15" t="s">
        <v>314</v>
      </c>
      <c r="N1792" s="21" t="s">
        <v>96</v>
      </c>
      <c r="O1792" s="21" t="s">
        <v>336</v>
      </c>
      <c r="Q1792" s="21" t="s">
        <v>344</v>
      </c>
      <c r="R1792" s="22">
        <v>45756</v>
      </c>
      <c r="W1792">
        <f>COUNTIF(マネックス証券!U:U,B1792)</f>
        <v>0</v>
      </c>
    </row>
    <row r="1793" spans="1:26" ht="24.95" hidden="1" customHeight="1" x14ac:dyDescent="0.4">
      <c r="A1793" s="17" t="s">
        <v>67</v>
      </c>
      <c r="B1793" s="15" t="s">
        <v>304</v>
      </c>
      <c r="C1793" s="16" t="s">
        <v>31</v>
      </c>
      <c r="D1793" s="16" t="s">
        <v>31</v>
      </c>
      <c r="E1793" s="15" t="s">
        <v>32</v>
      </c>
      <c r="F1793" s="15" t="s">
        <v>314</v>
      </c>
      <c r="N1793" s="21" t="s">
        <v>96</v>
      </c>
      <c r="O1793" s="21" t="s">
        <v>336</v>
      </c>
      <c r="Q1793" s="21" t="s">
        <v>344</v>
      </c>
      <c r="R1793" s="22">
        <v>45756</v>
      </c>
      <c r="W1793">
        <f>COUNTIF(マネックス証券!U:U,B1793)</f>
        <v>0</v>
      </c>
    </row>
    <row r="1794" spans="1:26" ht="24.95" hidden="1" customHeight="1" x14ac:dyDescent="0.4">
      <c r="A1794" s="17" t="s">
        <v>67</v>
      </c>
      <c r="B1794" s="15" t="s">
        <v>305</v>
      </c>
      <c r="C1794" s="16" t="s">
        <v>31</v>
      </c>
      <c r="D1794" s="16" t="s">
        <v>31</v>
      </c>
      <c r="E1794" s="15" t="s">
        <v>32</v>
      </c>
      <c r="F1794" s="15" t="s">
        <v>314</v>
      </c>
      <c r="N1794" s="21" t="s">
        <v>96</v>
      </c>
      <c r="O1794" s="21" t="s">
        <v>336</v>
      </c>
      <c r="Q1794" s="21" t="s">
        <v>344</v>
      </c>
      <c r="R1794" s="22">
        <v>45756</v>
      </c>
      <c r="W1794">
        <f>COUNTIF(マネックス証券!U:U,B1794)</f>
        <v>0</v>
      </c>
    </row>
    <row r="1795" spans="1:26" ht="24.95" hidden="1" customHeight="1" x14ac:dyDescent="0.4">
      <c r="A1795" s="17" t="s">
        <v>67</v>
      </c>
      <c r="B1795" s="15" t="s">
        <v>370</v>
      </c>
      <c r="C1795" s="16" t="s">
        <v>31</v>
      </c>
      <c r="D1795" s="16" t="s">
        <v>31</v>
      </c>
      <c r="E1795" s="15" t="s">
        <v>32</v>
      </c>
      <c r="F1795" s="15" t="s">
        <v>365</v>
      </c>
      <c r="N1795" s="21" t="s">
        <v>374</v>
      </c>
      <c r="O1795" s="21" t="s">
        <v>373</v>
      </c>
      <c r="Q1795" s="21" t="s">
        <v>344</v>
      </c>
      <c r="R1795" s="22">
        <v>45883</v>
      </c>
      <c r="W1795">
        <f>COUNTIF(マネックス証券!U:U,B1795)</f>
        <v>0</v>
      </c>
    </row>
    <row r="1796" spans="1:26" ht="24.95" hidden="1" customHeight="1" x14ac:dyDescent="0.4">
      <c r="A1796" s="17" t="s">
        <v>67</v>
      </c>
      <c r="B1796" s="15" t="s">
        <v>371</v>
      </c>
      <c r="C1796" s="16" t="s">
        <v>31</v>
      </c>
      <c r="D1796" s="16" t="s">
        <v>31</v>
      </c>
      <c r="E1796" s="15" t="s">
        <v>32</v>
      </c>
      <c r="F1796" s="15" t="s">
        <v>365</v>
      </c>
      <c r="N1796" s="21" t="s">
        <v>374</v>
      </c>
      <c r="O1796" s="21" t="s">
        <v>373</v>
      </c>
      <c r="Q1796" s="21" t="s">
        <v>344</v>
      </c>
      <c r="R1796" s="22">
        <v>45883</v>
      </c>
      <c r="W1796">
        <f>COUNTIF(マネックス証券!U:U,B1796)</f>
        <v>0</v>
      </c>
    </row>
    <row r="1797" spans="1:26" ht="24.95" hidden="1" customHeight="1" x14ac:dyDescent="0.4">
      <c r="A1797" s="17" t="s">
        <v>67</v>
      </c>
      <c r="B1797" s="15" t="s">
        <v>306</v>
      </c>
      <c r="C1797" s="16" t="s">
        <v>24</v>
      </c>
      <c r="D1797" s="16" t="s">
        <v>31</v>
      </c>
      <c r="E1797" s="15" t="s">
        <v>35</v>
      </c>
      <c r="F1797" s="15" t="s">
        <v>314</v>
      </c>
      <c r="N1797" s="21" t="s">
        <v>96</v>
      </c>
      <c r="O1797" s="21" t="s">
        <v>336</v>
      </c>
      <c r="Q1797" s="21" t="s">
        <v>344</v>
      </c>
      <c r="R1797" s="22">
        <v>45756</v>
      </c>
      <c r="W1797">
        <f>COUNTIF(マネックス証券!U:U,B1797)</f>
        <v>0</v>
      </c>
    </row>
    <row r="1798" spans="1:26" ht="24.95" hidden="1" customHeight="1" x14ac:dyDescent="0.4">
      <c r="A1798" s="17" t="s">
        <v>67</v>
      </c>
      <c r="B1798" s="15" t="s">
        <v>307</v>
      </c>
      <c r="C1798" s="16" t="s">
        <v>31</v>
      </c>
      <c r="D1798" s="16" t="s">
        <v>31</v>
      </c>
      <c r="E1798" s="15" t="s">
        <v>32</v>
      </c>
      <c r="F1798" s="15" t="s">
        <v>314</v>
      </c>
      <c r="N1798" s="21" t="s">
        <v>96</v>
      </c>
      <c r="O1798" s="21" t="s">
        <v>336</v>
      </c>
      <c r="Q1798" s="21" t="s">
        <v>344</v>
      </c>
      <c r="R1798" s="22">
        <v>45756</v>
      </c>
      <c r="W1798">
        <f>COUNTIF(マネックス証券!U:U,B1798)</f>
        <v>0</v>
      </c>
    </row>
    <row r="1799" spans="1:26" ht="24.95" hidden="1" customHeight="1" x14ac:dyDescent="0.4">
      <c r="A1799" s="17" t="s">
        <v>67</v>
      </c>
      <c r="B1799" s="15" t="s">
        <v>38</v>
      </c>
      <c r="C1799" s="16" t="s">
        <v>31</v>
      </c>
      <c r="D1799" s="16" t="s">
        <v>31</v>
      </c>
      <c r="E1799" s="15" t="s">
        <v>32</v>
      </c>
      <c r="F1799" s="15" t="s">
        <v>80</v>
      </c>
      <c r="N1799" s="21" t="s">
        <v>96</v>
      </c>
      <c r="O1799" s="13" t="s">
        <v>353</v>
      </c>
      <c r="Q1799" s="21" t="s">
        <v>344</v>
      </c>
      <c r="R1799" s="22">
        <v>45814</v>
      </c>
      <c r="W1799">
        <f>COUNTIF(マネックス証券!U:U,B1799)</f>
        <v>0</v>
      </c>
    </row>
    <row r="1800" spans="1:26" ht="24.95" hidden="1" customHeight="1" x14ac:dyDescent="0.4">
      <c r="A1800" s="17" t="s">
        <v>67</v>
      </c>
      <c r="B1800" s="15" t="s">
        <v>119</v>
      </c>
      <c r="C1800" s="16" t="s">
        <v>31</v>
      </c>
      <c r="D1800" s="16" t="s">
        <v>31</v>
      </c>
      <c r="E1800" s="15" t="s">
        <v>32</v>
      </c>
      <c r="F1800" s="15" t="s">
        <v>365</v>
      </c>
      <c r="N1800" s="21" t="s">
        <v>374</v>
      </c>
      <c r="O1800" s="21" t="s">
        <v>375</v>
      </c>
      <c r="Q1800" s="21" t="s">
        <v>344</v>
      </c>
      <c r="R1800" s="22">
        <v>45883</v>
      </c>
      <c r="W1800">
        <f>COUNTIF(マネックス証券!U:U,B1800)</f>
        <v>0</v>
      </c>
    </row>
    <row r="1801" spans="1:26" ht="24.95" hidden="1" customHeight="1" x14ac:dyDescent="0.4">
      <c r="A1801" s="17" t="s">
        <v>67</v>
      </c>
      <c r="B1801" s="15" t="s">
        <v>120</v>
      </c>
      <c r="C1801" s="16" t="s">
        <v>31</v>
      </c>
      <c r="D1801" s="16" t="s">
        <v>31</v>
      </c>
      <c r="E1801" s="15" t="s">
        <v>32</v>
      </c>
      <c r="F1801" s="15" t="s">
        <v>314</v>
      </c>
      <c r="N1801" s="21" t="s">
        <v>96</v>
      </c>
      <c r="O1801" s="13" t="s">
        <v>339</v>
      </c>
      <c r="Q1801" s="21" t="s">
        <v>344</v>
      </c>
      <c r="R1801" s="22">
        <v>45756</v>
      </c>
      <c r="W1801">
        <f>COUNTIF(マネックス証券!U:U,B1801)</f>
        <v>0</v>
      </c>
    </row>
    <row r="1802" spans="1:26" ht="24.95" hidden="1" customHeight="1" x14ac:dyDescent="0.4">
      <c r="A1802" s="17" t="s">
        <v>67</v>
      </c>
      <c r="B1802" s="15" t="s">
        <v>39</v>
      </c>
      <c r="C1802" s="16" t="s">
        <v>31</v>
      </c>
      <c r="D1802" s="16" t="s">
        <v>31</v>
      </c>
      <c r="E1802" s="15" t="s">
        <v>32</v>
      </c>
      <c r="F1802" s="15" t="s">
        <v>221</v>
      </c>
      <c r="N1802" s="21" t="s">
        <v>96</v>
      </c>
      <c r="O1802" s="13" t="s">
        <v>350</v>
      </c>
      <c r="Q1802" s="21" t="s">
        <v>344</v>
      </c>
      <c r="R1802" s="22">
        <v>45814</v>
      </c>
      <c r="W1802">
        <f>COUNTIF(マネックス証券!U:U,B1802)</f>
        <v>0</v>
      </c>
      <c r="Z1802" t="s">
        <v>431</v>
      </c>
    </row>
    <row r="1803" spans="1:26" ht="24.95" hidden="1" customHeight="1" x14ac:dyDescent="0.4">
      <c r="A1803" s="17" t="s">
        <v>67</v>
      </c>
      <c r="B1803" s="15" t="s">
        <v>220</v>
      </c>
      <c r="C1803" s="16" t="s">
        <v>31</v>
      </c>
      <c r="D1803" s="16" t="s">
        <v>31</v>
      </c>
      <c r="E1803" s="15" t="s">
        <v>32</v>
      </c>
      <c r="F1803" s="15" t="s">
        <v>221</v>
      </c>
      <c r="N1803" s="21" t="s">
        <v>96</v>
      </c>
      <c r="O1803" s="21" t="s">
        <v>338</v>
      </c>
      <c r="Q1803" s="21" t="s">
        <v>344</v>
      </c>
      <c r="R1803" s="22">
        <v>45814</v>
      </c>
      <c r="W1803">
        <f>COUNTIF(マネックス証券!U:U,B1803)</f>
        <v>0</v>
      </c>
    </row>
    <row r="1804" spans="1:26" ht="24.95" hidden="1" customHeight="1" x14ac:dyDescent="0.4">
      <c r="A1804" s="17" t="s">
        <v>67</v>
      </c>
      <c r="B1804" s="15" t="s">
        <v>172</v>
      </c>
      <c r="C1804" s="16" t="s">
        <v>31</v>
      </c>
      <c r="D1804" s="16" t="s">
        <v>31</v>
      </c>
      <c r="E1804" s="15" t="s">
        <v>32</v>
      </c>
      <c r="F1804" s="15" t="s">
        <v>173</v>
      </c>
      <c r="N1804" s="21" t="s">
        <v>96</v>
      </c>
      <c r="O1804" s="21" t="s">
        <v>336</v>
      </c>
      <c r="Q1804" s="21" t="s">
        <v>344</v>
      </c>
      <c r="R1804" s="22">
        <v>45814</v>
      </c>
      <c r="W1804">
        <f>COUNTIF(マネックス証券!U:U,B1804)</f>
        <v>0</v>
      </c>
    </row>
    <row r="1805" spans="1:26" ht="24.95" hidden="1" customHeight="1" x14ac:dyDescent="0.4">
      <c r="A1805" s="17" t="s">
        <v>67</v>
      </c>
      <c r="B1805" s="15" t="s">
        <v>111</v>
      </c>
      <c r="C1805" s="16" t="s">
        <v>31</v>
      </c>
      <c r="D1805" s="16" t="s">
        <v>31</v>
      </c>
      <c r="E1805" s="15" t="s">
        <v>32</v>
      </c>
      <c r="F1805" s="15" t="s">
        <v>314</v>
      </c>
      <c r="N1805" s="21" t="s">
        <v>96</v>
      </c>
      <c r="O1805" s="13" t="s">
        <v>339</v>
      </c>
      <c r="Q1805" s="21" t="s">
        <v>344</v>
      </c>
      <c r="R1805" s="22">
        <v>45756</v>
      </c>
      <c r="W1805">
        <f>COUNTIF(マネックス証券!U:U,B1805)</f>
        <v>0</v>
      </c>
    </row>
    <row r="1806" spans="1:26" ht="24.95" hidden="1" customHeight="1" x14ac:dyDescent="0.4">
      <c r="A1806" s="17" t="s">
        <v>67</v>
      </c>
      <c r="B1806" s="15" t="s">
        <v>42</v>
      </c>
      <c r="C1806" s="16" t="s">
        <v>31</v>
      </c>
      <c r="D1806" s="16" t="s">
        <v>31</v>
      </c>
      <c r="E1806" s="15" t="s">
        <v>32</v>
      </c>
      <c r="F1806" s="15" t="s">
        <v>221</v>
      </c>
      <c r="N1806" s="21" t="s">
        <v>96</v>
      </c>
      <c r="O1806" s="13" t="s">
        <v>351</v>
      </c>
      <c r="Q1806" s="21" t="s">
        <v>344</v>
      </c>
      <c r="R1806" s="22">
        <v>45814</v>
      </c>
      <c r="W1806">
        <f>COUNTIF(マネックス証券!U:U,B1806)</f>
        <v>0</v>
      </c>
    </row>
    <row r="1807" spans="1:26" ht="24.95" hidden="1" customHeight="1" x14ac:dyDescent="0.4">
      <c r="A1807" s="17" t="s">
        <v>67</v>
      </c>
      <c r="B1807" s="15" t="s">
        <v>330</v>
      </c>
      <c r="C1807" s="16" t="s">
        <v>31</v>
      </c>
      <c r="D1807" s="16" t="s">
        <v>31</v>
      </c>
      <c r="E1807" s="15" t="s">
        <v>32</v>
      </c>
      <c r="F1807" s="15" t="s">
        <v>314</v>
      </c>
      <c r="N1807" s="21" t="s">
        <v>96</v>
      </c>
      <c r="O1807" s="21" t="s">
        <v>338</v>
      </c>
      <c r="Q1807" s="21" t="s">
        <v>344</v>
      </c>
      <c r="R1807" s="22">
        <v>45756</v>
      </c>
      <c r="W1807">
        <f>COUNTIF(マネックス証券!U:U,B1807)</f>
        <v>0</v>
      </c>
    </row>
    <row r="1808" spans="1:26" ht="24.95" hidden="1" customHeight="1" x14ac:dyDescent="0.4">
      <c r="A1808" s="17" t="s">
        <v>67</v>
      </c>
      <c r="B1808" s="15" t="s">
        <v>43</v>
      </c>
      <c r="C1808" s="16" t="s">
        <v>31</v>
      </c>
      <c r="D1808" s="16" t="s">
        <v>31</v>
      </c>
      <c r="E1808" s="15" t="s">
        <v>32</v>
      </c>
      <c r="F1808" s="15" t="s">
        <v>356</v>
      </c>
      <c r="N1808" s="21" t="s">
        <v>96</v>
      </c>
      <c r="O1808" s="21" t="s">
        <v>360</v>
      </c>
      <c r="Q1808" s="21" t="s">
        <v>344</v>
      </c>
      <c r="R1808" s="22">
        <v>45847</v>
      </c>
      <c r="W1808">
        <f>COUNTIF(マネックス証券!U:U,B1808)</f>
        <v>0</v>
      </c>
    </row>
    <row r="1809" spans="1:26" ht="24.95" hidden="1" customHeight="1" x14ac:dyDescent="0.4">
      <c r="A1809" s="17" t="s">
        <v>67</v>
      </c>
      <c r="B1809" s="15" t="s">
        <v>95</v>
      </c>
      <c r="C1809" s="16" t="s">
        <v>31</v>
      </c>
      <c r="D1809" s="16" t="s">
        <v>31</v>
      </c>
      <c r="E1809" s="15" t="s">
        <v>32</v>
      </c>
      <c r="F1809" s="15" t="s">
        <v>94</v>
      </c>
      <c r="G1809" s="25" t="s">
        <v>40</v>
      </c>
      <c r="H1809" s="24" t="s">
        <v>96</v>
      </c>
      <c r="I1809" s="24" t="s">
        <v>109</v>
      </c>
      <c r="J1809" s="24" t="s">
        <v>110</v>
      </c>
      <c r="K1809" s="23">
        <v>44725</v>
      </c>
      <c r="L1809" s="23">
        <v>44723</v>
      </c>
      <c r="N1809" s="21" t="s">
        <v>96</v>
      </c>
      <c r="O1809" s="13" t="s">
        <v>105</v>
      </c>
      <c r="R1809" s="22" t="s">
        <v>24</v>
      </c>
      <c r="W1809">
        <f>COUNTIF(マネックス証券!U:U,B1809)</f>
        <v>0</v>
      </c>
      <c r="Z1809" t="s">
        <v>435</v>
      </c>
    </row>
    <row r="1810" spans="1:26" ht="24.95" hidden="1" customHeight="1" x14ac:dyDescent="0.4">
      <c r="A1810" s="17" t="s">
        <v>67</v>
      </c>
      <c r="B1810" s="15" t="s">
        <v>103</v>
      </c>
      <c r="C1810" s="16" t="s">
        <v>31</v>
      </c>
      <c r="D1810" s="16" t="s">
        <v>31</v>
      </c>
      <c r="E1810" s="15" t="s">
        <v>32</v>
      </c>
      <c r="F1810" s="15" t="s">
        <v>102</v>
      </c>
      <c r="N1810" s="21" t="s">
        <v>96</v>
      </c>
      <c r="O1810" s="13" t="s">
        <v>106</v>
      </c>
      <c r="R1810" s="22" t="s">
        <v>24</v>
      </c>
      <c r="W1810">
        <f>COUNTIF(マネックス証券!U:U,B1810)</f>
        <v>0</v>
      </c>
      <c r="Z1810" t="s">
        <v>435</v>
      </c>
    </row>
    <row r="1811" spans="1:26" ht="24.95" hidden="1" customHeight="1" x14ac:dyDescent="0.4">
      <c r="A1811" s="17" t="s">
        <v>67</v>
      </c>
      <c r="B1811" s="15" t="s">
        <v>343</v>
      </c>
      <c r="C1811" s="16" t="s">
        <v>31</v>
      </c>
      <c r="D1811" s="16" t="s">
        <v>31</v>
      </c>
      <c r="E1811" s="15" t="s">
        <v>32</v>
      </c>
      <c r="F1811" s="15" t="s">
        <v>340</v>
      </c>
      <c r="N1811" s="21" t="s">
        <v>96</v>
      </c>
      <c r="O1811" s="21" t="s">
        <v>345</v>
      </c>
      <c r="Q1811" s="21" t="s">
        <v>344</v>
      </c>
      <c r="R1811" s="22">
        <v>45784</v>
      </c>
      <c r="W1811">
        <f>COUNTIF(マネックス証券!U:U,B1811)</f>
        <v>0</v>
      </c>
    </row>
    <row r="1812" spans="1:26" ht="24.95" hidden="1" customHeight="1" x14ac:dyDescent="0.4">
      <c r="A1812" s="17" t="s">
        <v>67</v>
      </c>
      <c r="B1812" s="15" t="s">
        <v>121</v>
      </c>
      <c r="C1812" s="16" t="s">
        <v>31</v>
      </c>
      <c r="D1812" s="16" t="s">
        <v>31</v>
      </c>
      <c r="E1812" s="15" t="s">
        <v>32</v>
      </c>
      <c r="F1812" s="15" t="s">
        <v>314</v>
      </c>
      <c r="N1812" s="21" t="s">
        <v>96</v>
      </c>
      <c r="O1812" s="21" t="s">
        <v>336</v>
      </c>
      <c r="Q1812" s="21" t="s">
        <v>344</v>
      </c>
      <c r="R1812" s="22">
        <v>45756</v>
      </c>
      <c r="W1812">
        <f>COUNTIF(マネックス証券!U:U,B1812)</f>
        <v>0</v>
      </c>
    </row>
    <row r="1813" spans="1:26" ht="24.95" hidden="1" customHeight="1" x14ac:dyDescent="0.4">
      <c r="A1813" s="17" t="s">
        <v>67</v>
      </c>
      <c r="B1813" s="15" t="s">
        <v>44</v>
      </c>
      <c r="C1813" s="16" t="s">
        <v>31</v>
      </c>
      <c r="D1813" s="16" t="s">
        <v>31</v>
      </c>
      <c r="E1813" s="15" t="s">
        <v>32</v>
      </c>
      <c r="F1813" s="15" t="s">
        <v>221</v>
      </c>
      <c r="N1813" s="21" t="s">
        <v>96</v>
      </c>
      <c r="O1813" s="13" t="s">
        <v>359</v>
      </c>
      <c r="Q1813" s="21" t="s">
        <v>344</v>
      </c>
      <c r="R1813" s="22">
        <v>45814</v>
      </c>
      <c r="W1813">
        <f>COUNTIF(マネックス証券!U:U,B1813)</f>
        <v>0</v>
      </c>
    </row>
    <row r="1814" spans="1:26" ht="24.95" hidden="1" customHeight="1" x14ac:dyDescent="0.4">
      <c r="A1814" s="17" t="s">
        <v>67</v>
      </c>
      <c r="B1814" s="15" t="s">
        <v>45</v>
      </c>
      <c r="C1814" s="16" t="s">
        <v>31</v>
      </c>
      <c r="D1814" s="16" t="s">
        <v>31</v>
      </c>
      <c r="E1814" s="15" t="s">
        <v>32</v>
      </c>
      <c r="F1814" s="15" t="s">
        <v>314</v>
      </c>
      <c r="N1814" s="21" t="s">
        <v>96</v>
      </c>
      <c r="O1814" s="21" t="s">
        <v>338</v>
      </c>
      <c r="Q1814" s="21" t="s">
        <v>344</v>
      </c>
      <c r="R1814" s="22">
        <v>45756</v>
      </c>
      <c r="W1814">
        <f>COUNTIF(マネックス証券!U:U,B1814)</f>
        <v>0</v>
      </c>
      <c r="Z1814" t="s">
        <v>431</v>
      </c>
    </row>
    <row r="1815" spans="1:26" ht="24.95" customHeight="1" x14ac:dyDescent="0.4">
      <c r="A1815" s="17" t="s">
        <v>67</v>
      </c>
      <c r="B1815" s="50" t="s">
        <v>469</v>
      </c>
      <c r="C1815" s="16" t="s">
        <v>31</v>
      </c>
      <c r="D1815" s="16" t="s">
        <v>31</v>
      </c>
      <c r="E1815" s="15" t="s">
        <v>32</v>
      </c>
      <c r="F1815" s="15" t="s">
        <v>365</v>
      </c>
      <c r="N1815" s="21" t="s">
        <v>374</v>
      </c>
      <c r="O1815" s="13" t="s">
        <v>468</v>
      </c>
      <c r="Q1815" s="21" t="s">
        <v>344</v>
      </c>
      <c r="R1815" s="22">
        <v>45883</v>
      </c>
      <c r="W1815">
        <f>COUNTIF(マネックス証券!U:U,B1815)</f>
        <v>0</v>
      </c>
    </row>
    <row r="1816" spans="1:26" ht="24.95" hidden="1" customHeight="1" x14ac:dyDescent="0.4">
      <c r="A1816" s="17" t="s">
        <v>67</v>
      </c>
      <c r="B1816" s="50" t="s">
        <v>91</v>
      </c>
      <c r="C1816" s="16" t="s">
        <v>31</v>
      </c>
      <c r="D1816" s="16" t="s">
        <v>31</v>
      </c>
      <c r="E1816" s="15" t="s">
        <v>32</v>
      </c>
      <c r="F1816" s="15" t="s">
        <v>356</v>
      </c>
      <c r="N1816" s="21" t="s">
        <v>96</v>
      </c>
      <c r="O1816" s="21" t="s">
        <v>360</v>
      </c>
      <c r="Q1816" s="21" t="s">
        <v>344</v>
      </c>
      <c r="R1816" s="22">
        <v>45847</v>
      </c>
      <c r="W1816">
        <f>COUNTIF(マネックス証券!U:U,B1816)</f>
        <v>0</v>
      </c>
    </row>
    <row r="1817" spans="1:26" ht="24.95" hidden="1" customHeight="1" x14ac:dyDescent="0.4">
      <c r="A1817" s="17" t="s">
        <v>67</v>
      </c>
      <c r="B1817" s="15" t="s">
        <v>71</v>
      </c>
      <c r="C1817" s="16" t="s">
        <v>24</v>
      </c>
      <c r="D1817" s="16" t="s">
        <v>31</v>
      </c>
      <c r="E1817" s="15" t="s">
        <v>35</v>
      </c>
      <c r="F1817" s="15" t="s">
        <v>80</v>
      </c>
      <c r="G1817" s="25" t="s">
        <v>26</v>
      </c>
      <c r="N1817" s="13" t="s">
        <v>88</v>
      </c>
      <c r="O1817" s="21" t="s">
        <v>24</v>
      </c>
      <c r="R1817" s="22" t="s">
        <v>24</v>
      </c>
      <c r="W1817">
        <f>COUNTIF(マネックス証券!U:U,B1817)</f>
        <v>0</v>
      </c>
      <c r="Z1817" t="s">
        <v>435</v>
      </c>
    </row>
    <row r="1818" spans="1:26" ht="24.95" hidden="1" customHeight="1" x14ac:dyDescent="0.4">
      <c r="A1818" s="17" t="s">
        <v>72</v>
      </c>
      <c r="B1818" s="15" t="s">
        <v>22</v>
      </c>
      <c r="C1818" s="16" t="s">
        <v>31</v>
      </c>
      <c r="D1818" s="16" t="s">
        <v>24</v>
      </c>
      <c r="E1818" s="15" t="s">
        <v>50</v>
      </c>
      <c r="F1818" s="15" t="s">
        <v>80</v>
      </c>
      <c r="G1818" s="25" t="s">
        <v>23</v>
      </c>
      <c r="H1818" s="26" t="s">
        <v>68</v>
      </c>
      <c r="I1818" s="24" t="s">
        <v>24</v>
      </c>
      <c r="J1818" s="24" t="s">
        <v>24</v>
      </c>
      <c r="N1818" s="21" t="s">
        <v>87</v>
      </c>
      <c r="O1818" s="21" t="s">
        <v>83</v>
      </c>
      <c r="R1818" s="22" t="s">
        <v>24</v>
      </c>
      <c r="W1818">
        <f>COUNTIF(マネックス証券!U:U,B1818)</f>
        <v>0</v>
      </c>
      <c r="Z1818" t="s">
        <v>434</v>
      </c>
    </row>
    <row r="1819" spans="1:26" ht="24.95" hidden="1" customHeight="1" x14ac:dyDescent="0.4">
      <c r="A1819" s="17" t="s">
        <v>72</v>
      </c>
      <c r="B1819" s="15" t="s">
        <v>25</v>
      </c>
      <c r="C1819" s="16" t="s">
        <v>31</v>
      </c>
      <c r="D1819" s="16" t="s">
        <v>24</v>
      </c>
      <c r="E1819" s="15" t="s">
        <v>50</v>
      </c>
      <c r="F1819" s="15" t="s">
        <v>89</v>
      </c>
      <c r="N1819" s="21" t="s">
        <v>101</v>
      </c>
      <c r="O1819" s="21" t="s">
        <v>83</v>
      </c>
      <c r="R1819" s="22" t="s">
        <v>24</v>
      </c>
      <c r="W1819">
        <f>COUNTIF(マネックス証券!U:U,B1819)</f>
        <v>0</v>
      </c>
      <c r="Z1819" t="s">
        <v>434</v>
      </c>
    </row>
    <row r="1820" spans="1:26" ht="24.95" hidden="1" customHeight="1" x14ac:dyDescent="0.4">
      <c r="A1820" s="17" t="s">
        <v>72</v>
      </c>
      <c r="B1820" s="15" t="s">
        <v>115</v>
      </c>
      <c r="C1820" s="16" t="s">
        <v>31</v>
      </c>
      <c r="D1820" s="16" t="s">
        <v>31</v>
      </c>
      <c r="E1820" s="15" t="s">
        <v>32</v>
      </c>
      <c r="F1820" s="15" t="s">
        <v>166</v>
      </c>
      <c r="N1820" s="21" t="s">
        <v>96</v>
      </c>
      <c r="O1820" s="21" t="s">
        <v>337</v>
      </c>
      <c r="Q1820" s="21" t="s">
        <v>344</v>
      </c>
      <c r="R1820" s="22">
        <v>45814</v>
      </c>
      <c r="W1820">
        <f>COUNTIF(マネックス証券!U:U,B1820)</f>
        <v>0</v>
      </c>
    </row>
    <row r="1821" spans="1:26" ht="24.95" hidden="1" customHeight="1" x14ac:dyDescent="0.4">
      <c r="A1821" s="17" t="s">
        <v>72</v>
      </c>
      <c r="B1821" s="15" t="s">
        <v>313</v>
      </c>
      <c r="C1821" s="16" t="s">
        <v>24</v>
      </c>
      <c r="D1821" s="16" t="s">
        <v>31</v>
      </c>
      <c r="E1821" s="15" t="s">
        <v>35</v>
      </c>
      <c r="F1821" s="15" t="s">
        <v>314</v>
      </c>
      <c r="N1821" s="21" t="s">
        <v>96</v>
      </c>
      <c r="O1821" s="21" t="s">
        <v>337</v>
      </c>
      <c r="Q1821" s="21" t="s">
        <v>344</v>
      </c>
      <c r="R1821" s="22">
        <v>45756</v>
      </c>
      <c r="W1821">
        <f>COUNTIF(マネックス証券!U:U,B1821)</f>
        <v>0</v>
      </c>
    </row>
    <row r="1822" spans="1:26" ht="24.95" hidden="1" customHeight="1" x14ac:dyDescent="0.4">
      <c r="A1822" s="17" t="s">
        <v>72</v>
      </c>
      <c r="B1822" s="15" t="s">
        <v>315</v>
      </c>
      <c r="C1822" s="16" t="s">
        <v>24</v>
      </c>
      <c r="D1822" s="16" t="s">
        <v>31</v>
      </c>
      <c r="E1822" s="15" t="s">
        <v>35</v>
      </c>
      <c r="F1822" s="15" t="s">
        <v>314</v>
      </c>
      <c r="N1822" s="21" t="s">
        <v>96</v>
      </c>
      <c r="O1822" s="21" t="s">
        <v>337</v>
      </c>
      <c r="Q1822" s="21" t="s">
        <v>344</v>
      </c>
      <c r="R1822" s="22">
        <v>45756</v>
      </c>
      <c r="W1822">
        <f>COUNTIF(マネックス証券!U:U,B1822)</f>
        <v>0</v>
      </c>
    </row>
    <row r="1823" spans="1:26" ht="24.95" hidden="1" customHeight="1" x14ac:dyDescent="0.4">
      <c r="A1823" s="17" t="s">
        <v>72</v>
      </c>
      <c r="B1823" s="15" t="s">
        <v>316</v>
      </c>
      <c r="C1823" s="16" t="s">
        <v>24</v>
      </c>
      <c r="D1823" s="16" t="s">
        <v>31</v>
      </c>
      <c r="E1823" s="15" t="s">
        <v>35</v>
      </c>
      <c r="F1823" s="15" t="s">
        <v>314</v>
      </c>
      <c r="N1823" s="21" t="s">
        <v>96</v>
      </c>
      <c r="O1823" s="21" t="s">
        <v>337</v>
      </c>
      <c r="Q1823" s="21" t="s">
        <v>344</v>
      </c>
      <c r="R1823" s="22">
        <v>45756</v>
      </c>
      <c r="W1823">
        <f>COUNTIF(マネックス証券!U:U,B1823)</f>
        <v>0</v>
      </c>
    </row>
    <row r="1824" spans="1:26" ht="24.95" hidden="1" customHeight="1" x14ac:dyDescent="0.4">
      <c r="A1824" s="17" t="s">
        <v>72</v>
      </c>
      <c r="B1824" s="15" t="s">
        <v>317</v>
      </c>
      <c r="C1824" s="16" t="s">
        <v>24</v>
      </c>
      <c r="D1824" s="16" t="s">
        <v>31</v>
      </c>
      <c r="E1824" s="15" t="s">
        <v>35</v>
      </c>
      <c r="F1824" s="15" t="s">
        <v>314</v>
      </c>
      <c r="N1824" s="21" t="s">
        <v>96</v>
      </c>
      <c r="O1824" s="21" t="s">
        <v>337</v>
      </c>
      <c r="Q1824" s="21" t="s">
        <v>344</v>
      </c>
      <c r="R1824" s="22">
        <v>45756</v>
      </c>
      <c r="W1824">
        <f>COUNTIF(マネックス証券!U:U,B1824)</f>
        <v>0</v>
      </c>
    </row>
    <row r="1825" spans="1:26" ht="24.95" hidden="1" customHeight="1" x14ac:dyDescent="0.4">
      <c r="A1825" s="17" t="s">
        <v>72</v>
      </c>
      <c r="B1825" s="50" t="s">
        <v>364</v>
      </c>
      <c r="C1825" s="16" t="s">
        <v>24</v>
      </c>
      <c r="D1825" s="16" t="s">
        <v>31</v>
      </c>
      <c r="E1825" s="15" t="s">
        <v>35</v>
      </c>
      <c r="F1825" s="15" t="s">
        <v>365</v>
      </c>
      <c r="N1825" s="21" t="s">
        <v>96</v>
      </c>
      <c r="O1825" s="21" t="s">
        <v>372</v>
      </c>
      <c r="Q1825" s="21" t="s">
        <v>344</v>
      </c>
      <c r="R1825" s="22">
        <v>45883</v>
      </c>
      <c r="W1825">
        <f>COUNTIF(マネックス証券!U:U,B1825)</f>
        <v>0</v>
      </c>
    </row>
    <row r="1826" spans="1:26" ht="24.95" hidden="1" customHeight="1" x14ac:dyDescent="0.4">
      <c r="A1826" s="17" t="s">
        <v>72</v>
      </c>
      <c r="B1826" s="15" t="s">
        <v>355</v>
      </c>
      <c r="C1826" s="16" t="s">
        <v>31</v>
      </c>
      <c r="D1826" s="16" t="s">
        <v>31</v>
      </c>
      <c r="E1826" s="15" t="s">
        <v>32</v>
      </c>
      <c r="F1826" s="15" t="s">
        <v>356</v>
      </c>
      <c r="N1826" s="21" t="s">
        <v>96</v>
      </c>
      <c r="O1826" s="21" t="s">
        <v>360</v>
      </c>
      <c r="Q1826" s="21" t="s">
        <v>344</v>
      </c>
      <c r="R1826" s="22">
        <v>45847</v>
      </c>
      <c r="W1826">
        <f>COUNTIF(マネックス証券!U:U,B1826)</f>
        <v>1</v>
      </c>
    </row>
    <row r="1827" spans="1:26" ht="24.95" hidden="1" customHeight="1" x14ac:dyDescent="0.4">
      <c r="A1827" s="17" t="s">
        <v>72</v>
      </c>
      <c r="B1827" s="15" t="s">
        <v>171</v>
      </c>
      <c r="C1827" s="16" t="s">
        <v>31</v>
      </c>
      <c r="D1827" s="16" t="s">
        <v>31</v>
      </c>
      <c r="E1827" s="15" t="s">
        <v>32</v>
      </c>
      <c r="F1827" s="15" t="s">
        <v>314</v>
      </c>
      <c r="N1827" s="21" t="s">
        <v>96</v>
      </c>
      <c r="O1827" s="21" t="s">
        <v>336</v>
      </c>
      <c r="Q1827" s="21" t="s">
        <v>344</v>
      </c>
      <c r="R1827" s="22">
        <v>45756</v>
      </c>
      <c r="W1827">
        <f>COUNTIF(マネックス証券!U:U,B1827)</f>
        <v>0</v>
      </c>
    </row>
    <row r="1828" spans="1:26" ht="24.95" hidden="1" customHeight="1" x14ac:dyDescent="0.4">
      <c r="A1828" s="17" t="s">
        <v>72</v>
      </c>
      <c r="B1828" s="15" t="s">
        <v>123</v>
      </c>
      <c r="C1828" s="16" t="s">
        <v>31</v>
      </c>
      <c r="D1828" s="16" t="s">
        <v>31</v>
      </c>
      <c r="E1828" s="15" t="s">
        <v>32</v>
      </c>
      <c r="F1828" s="15" t="s">
        <v>170</v>
      </c>
      <c r="N1828" s="21" t="s">
        <v>96</v>
      </c>
      <c r="O1828" s="21" t="s">
        <v>337</v>
      </c>
      <c r="Q1828" s="21" t="s">
        <v>344</v>
      </c>
      <c r="R1828" s="22">
        <v>45814</v>
      </c>
      <c r="W1828">
        <f>COUNTIF(マネックス証券!U:U,B1828)</f>
        <v>0</v>
      </c>
    </row>
    <row r="1829" spans="1:26" ht="24.95" hidden="1" customHeight="1" x14ac:dyDescent="0.4">
      <c r="A1829" s="17" t="s">
        <v>72</v>
      </c>
      <c r="B1829" s="15" t="s">
        <v>37</v>
      </c>
      <c r="C1829" s="16" t="s">
        <v>31</v>
      </c>
      <c r="D1829" s="16" t="s">
        <v>31</v>
      </c>
      <c r="E1829" s="15" t="s">
        <v>32</v>
      </c>
      <c r="F1829" s="15" t="s">
        <v>212</v>
      </c>
      <c r="N1829" s="21" t="s">
        <v>96</v>
      </c>
      <c r="O1829" s="13" t="s">
        <v>349</v>
      </c>
      <c r="Q1829" s="21" t="s">
        <v>344</v>
      </c>
      <c r="R1829" s="22">
        <v>45814</v>
      </c>
      <c r="W1829">
        <f>COUNTIF(マネックス証券!U:U,B1829)</f>
        <v>1</v>
      </c>
      <c r="Z1829" t="s">
        <v>432</v>
      </c>
    </row>
    <row r="1830" spans="1:26" ht="24.95" hidden="1" customHeight="1" x14ac:dyDescent="0.4">
      <c r="A1830" s="17" t="s">
        <v>72</v>
      </c>
      <c r="B1830" s="15" t="s">
        <v>225</v>
      </c>
      <c r="C1830" s="16" t="s">
        <v>31</v>
      </c>
      <c r="D1830" s="16" t="s">
        <v>31</v>
      </c>
      <c r="E1830" s="15" t="s">
        <v>32</v>
      </c>
      <c r="F1830" s="15" t="s">
        <v>314</v>
      </c>
      <c r="N1830" s="21" t="s">
        <v>96</v>
      </c>
      <c r="O1830" s="21" t="s">
        <v>336</v>
      </c>
      <c r="Q1830" s="21" t="s">
        <v>344</v>
      </c>
      <c r="R1830" s="22">
        <v>45756</v>
      </c>
      <c r="W1830">
        <f>COUNTIF(マネックス証券!U:U,B1830)</f>
        <v>0</v>
      </c>
    </row>
    <row r="1831" spans="1:26" ht="24.95" hidden="1" customHeight="1" x14ac:dyDescent="0.4">
      <c r="A1831" s="17" t="s">
        <v>72</v>
      </c>
      <c r="B1831" s="15" t="s">
        <v>117</v>
      </c>
      <c r="C1831" s="16" t="s">
        <v>31</v>
      </c>
      <c r="D1831" s="16" t="s">
        <v>31</v>
      </c>
      <c r="E1831" s="15" t="s">
        <v>32</v>
      </c>
      <c r="F1831" s="15" t="s">
        <v>356</v>
      </c>
      <c r="N1831" s="21" t="s">
        <v>96</v>
      </c>
      <c r="O1831" s="21" t="s">
        <v>360</v>
      </c>
      <c r="Q1831" s="21" t="s">
        <v>344</v>
      </c>
      <c r="R1831" s="22">
        <v>45847</v>
      </c>
      <c r="W1831">
        <f>COUNTIF(マネックス証券!U:U,B1831)</f>
        <v>0</v>
      </c>
    </row>
    <row r="1832" spans="1:26" ht="24.95" hidden="1" customHeight="1" x14ac:dyDescent="0.4">
      <c r="A1832" s="17" t="s">
        <v>72</v>
      </c>
      <c r="B1832" s="15" t="s">
        <v>126</v>
      </c>
      <c r="C1832" s="16" t="s">
        <v>31</v>
      </c>
      <c r="D1832" s="16" t="s">
        <v>31</v>
      </c>
      <c r="E1832" s="15" t="s">
        <v>32</v>
      </c>
      <c r="F1832" s="15" t="s">
        <v>365</v>
      </c>
      <c r="N1832" s="21" t="s">
        <v>374</v>
      </c>
      <c r="O1832" s="21" t="s">
        <v>373</v>
      </c>
      <c r="Q1832" s="21" t="s">
        <v>344</v>
      </c>
      <c r="R1832" s="22">
        <v>45883</v>
      </c>
      <c r="W1832">
        <f>COUNTIF(マネックス証券!U:U,B1832)</f>
        <v>0</v>
      </c>
    </row>
    <row r="1833" spans="1:26" ht="24.95" hidden="1" customHeight="1" x14ac:dyDescent="0.4">
      <c r="A1833" s="17" t="s">
        <v>72</v>
      </c>
      <c r="B1833" s="15" t="s">
        <v>226</v>
      </c>
      <c r="C1833" s="16" t="s">
        <v>31</v>
      </c>
      <c r="D1833" s="16" t="s">
        <v>31</v>
      </c>
      <c r="E1833" s="15" t="s">
        <v>32</v>
      </c>
      <c r="F1833" s="15" t="s">
        <v>314</v>
      </c>
      <c r="N1833" s="21" t="s">
        <v>96</v>
      </c>
      <c r="O1833" s="21" t="s">
        <v>336</v>
      </c>
      <c r="Q1833" s="21" t="s">
        <v>344</v>
      </c>
      <c r="R1833" s="22">
        <v>45756</v>
      </c>
      <c r="W1833">
        <f>COUNTIF(マネックス証券!U:U,B1833)</f>
        <v>0</v>
      </c>
    </row>
    <row r="1834" spans="1:26" ht="24.95" hidden="1" customHeight="1" x14ac:dyDescent="0.4">
      <c r="A1834" s="17" t="s">
        <v>72</v>
      </c>
      <c r="B1834" s="15" t="s">
        <v>318</v>
      </c>
      <c r="C1834" s="16" t="s">
        <v>31</v>
      </c>
      <c r="D1834" s="16" t="s">
        <v>31</v>
      </c>
      <c r="E1834" s="15" t="s">
        <v>32</v>
      </c>
      <c r="F1834" s="15" t="s">
        <v>314</v>
      </c>
      <c r="N1834" s="21" t="s">
        <v>96</v>
      </c>
      <c r="O1834" s="21" t="s">
        <v>337</v>
      </c>
      <c r="Q1834" s="21" t="s">
        <v>344</v>
      </c>
      <c r="R1834" s="22">
        <v>45756</v>
      </c>
      <c r="W1834">
        <f>COUNTIF(マネックス証券!U:U,B1834)</f>
        <v>0</v>
      </c>
    </row>
    <row r="1835" spans="1:26" ht="24.95" hidden="1" customHeight="1" x14ac:dyDescent="0.4">
      <c r="A1835" s="17" t="s">
        <v>72</v>
      </c>
      <c r="B1835" s="15" t="s">
        <v>118</v>
      </c>
      <c r="C1835" s="16" t="s">
        <v>31</v>
      </c>
      <c r="D1835" s="16" t="s">
        <v>31</v>
      </c>
      <c r="E1835" s="15" t="s">
        <v>32</v>
      </c>
      <c r="F1835" s="15" t="s">
        <v>314</v>
      </c>
      <c r="N1835" s="21" t="s">
        <v>96</v>
      </c>
      <c r="O1835" s="21" t="s">
        <v>337</v>
      </c>
      <c r="Q1835" s="21" t="s">
        <v>344</v>
      </c>
      <c r="R1835" s="22">
        <v>45756</v>
      </c>
      <c r="W1835">
        <f>COUNTIF(マネックス証券!U:U,B1835)</f>
        <v>0</v>
      </c>
    </row>
    <row r="1836" spans="1:26" ht="24.95" hidden="1" customHeight="1" x14ac:dyDescent="0.4">
      <c r="A1836" s="17" t="s">
        <v>72</v>
      </c>
      <c r="B1836" s="15" t="s">
        <v>319</v>
      </c>
      <c r="C1836" s="16" t="s">
        <v>31</v>
      </c>
      <c r="D1836" s="16" t="s">
        <v>31</v>
      </c>
      <c r="E1836" s="15" t="s">
        <v>32</v>
      </c>
      <c r="F1836" s="15" t="s">
        <v>314</v>
      </c>
      <c r="N1836" s="21" t="s">
        <v>96</v>
      </c>
      <c r="O1836" s="21" t="s">
        <v>337</v>
      </c>
      <c r="Q1836" s="21" t="s">
        <v>344</v>
      </c>
      <c r="R1836" s="22">
        <v>45756</v>
      </c>
      <c r="W1836">
        <f>COUNTIF(マネックス証券!U:U,B1836)</f>
        <v>0</v>
      </c>
    </row>
    <row r="1837" spans="1:26" ht="24.95" hidden="1" customHeight="1" x14ac:dyDescent="0.4">
      <c r="A1837" s="17" t="s">
        <v>72</v>
      </c>
      <c r="B1837" s="15" t="s">
        <v>227</v>
      </c>
      <c r="C1837" s="16" t="s">
        <v>31</v>
      </c>
      <c r="D1837" s="16" t="s">
        <v>31</v>
      </c>
      <c r="E1837" s="15" t="s">
        <v>32</v>
      </c>
      <c r="F1837" s="15" t="s">
        <v>314</v>
      </c>
      <c r="N1837" s="21" t="s">
        <v>96</v>
      </c>
      <c r="O1837" s="21" t="s">
        <v>336</v>
      </c>
      <c r="Q1837" s="21" t="s">
        <v>344</v>
      </c>
      <c r="R1837" s="22">
        <v>45756</v>
      </c>
      <c r="W1837">
        <f>COUNTIF(マネックス証券!U:U,B1837)</f>
        <v>0</v>
      </c>
    </row>
    <row r="1838" spans="1:26" ht="24.95" hidden="1" customHeight="1" x14ac:dyDescent="0.4">
      <c r="A1838" s="17" t="s">
        <v>72</v>
      </c>
      <c r="B1838" s="15" t="s">
        <v>228</v>
      </c>
      <c r="C1838" s="16" t="s">
        <v>31</v>
      </c>
      <c r="D1838" s="16" t="s">
        <v>31</v>
      </c>
      <c r="E1838" s="15" t="s">
        <v>32</v>
      </c>
      <c r="F1838" s="15" t="s">
        <v>314</v>
      </c>
      <c r="N1838" s="21" t="s">
        <v>96</v>
      </c>
      <c r="O1838" s="21" t="s">
        <v>336</v>
      </c>
      <c r="Q1838" s="21" t="s">
        <v>344</v>
      </c>
      <c r="R1838" s="22">
        <v>45756</v>
      </c>
      <c r="W1838">
        <f>COUNTIF(マネックス証券!U:U,B1838)</f>
        <v>0</v>
      </c>
    </row>
    <row r="1839" spans="1:26" ht="24.95" hidden="1" customHeight="1" x14ac:dyDescent="0.4">
      <c r="A1839" s="17" t="s">
        <v>72</v>
      </c>
      <c r="B1839" s="15" t="s">
        <v>229</v>
      </c>
      <c r="C1839" s="16" t="s">
        <v>31</v>
      </c>
      <c r="D1839" s="16" t="s">
        <v>31</v>
      </c>
      <c r="E1839" s="15" t="s">
        <v>32</v>
      </c>
      <c r="F1839" s="15" t="s">
        <v>314</v>
      </c>
      <c r="N1839" s="21" t="s">
        <v>96</v>
      </c>
      <c r="O1839" s="21" t="s">
        <v>336</v>
      </c>
      <c r="Q1839" s="21" t="s">
        <v>344</v>
      </c>
      <c r="R1839" s="22">
        <v>45756</v>
      </c>
      <c r="W1839">
        <f>COUNTIF(マネックス証券!U:U,B1839)</f>
        <v>0</v>
      </c>
    </row>
    <row r="1840" spans="1:26" ht="24.95" hidden="1" customHeight="1" x14ac:dyDescent="0.4">
      <c r="A1840" s="17" t="s">
        <v>72</v>
      </c>
      <c r="B1840" s="15" t="s">
        <v>230</v>
      </c>
      <c r="C1840" s="16" t="s">
        <v>31</v>
      </c>
      <c r="D1840" s="16" t="s">
        <v>31</v>
      </c>
      <c r="E1840" s="15" t="s">
        <v>32</v>
      </c>
      <c r="F1840" s="15" t="s">
        <v>314</v>
      </c>
      <c r="N1840" s="21" t="s">
        <v>96</v>
      </c>
      <c r="O1840" s="21" t="s">
        <v>336</v>
      </c>
      <c r="Q1840" s="21" t="s">
        <v>344</v>
      </c>
      <c r="R1840" s="22">
        <v>45756</v>
      </c>
      <c r="W1840">
        <f>COUNTIF(マネックス証券!U:U,B1840)</f>
        <v>0</v>
      </c>
    </row>
    <row r="1841" spans="1:23" ht="24.95" hidden="1" customHeight="1" x14ac:dyDescent="0.4">
      <c r="A1841" s="17" t="s">
        <v>72</v>
      </c>
      <c r="B1841" s="15" t="s">
        <v>231</v>
      </c>
      <c r="C1841" s="16" t="s">
        <v>31</v>
      </c>
      <c r="D1841" s="16" t="s">
        <v>31</v>
      </c>
      <c r="E1841" s="15" t="s">
        <v>32</v>
      </c>
      <c r="F1841" s="15" t="s">
        <v>314</v>
      </c>
      <c r="N1841" s="21" t="s">
        <v>96</v>
      </c>
      <c r="O1841" s="21" t="s">
        <v>336</v>
      </c>
      <c r="Q1841" s="21" t="s">
        <v>344</v>
      </c>
      <c r="R1841" s="22">
        <v>45756</v>
      </c>
      <c r="W1841">
        <f>COUNTIF(マネックス証券!U:U,B1841)</f>
        <v>0</v>
      </c>
    </row>
    <row r="1842" spans="1:23" ht="24.95" hidden="1" customHeight="1" x14ac:dyDescent="0.4">
      <c r="A1842" s="17" t="s">
        <v>72</v>
      </c>
      <c r="B1842" s="15" t="s">
        <v>232</v>
      </c>
      <c r="C1842" s="16" t="s">
        <v>31</v>
      </c>
      <c r="D1842" s="16" t="s">
        <v>31</v>
      </c>
      <c r="E1842" s="15" t="s">
        <v>32</v>
      </c>
      <c r="F1842" s="15" t="s">
        <v>314</v>
      </c>
      <c r="N1842" s="21" t="s">
        <v>96</v>
      </c>
      <c r="O1842" s="21" t="s">
        <v>336</v>
      </c>
      <c r="Q1842" s="21" t="s">
        <v>344</v>
      </c>
      <c r="R1842" s="22">
        <v>45756</v>
      </c>
      <c r="W1842">
        <f>COUNTIF(マネックス証券!U:U,B1842)</f>
        <v>0</v>
      </c>
    </row>
    <row r="1843" spans="1:23" ht="24.95" hidden="1" customHeight="1" x14ac:dyDescent="0.4">
      <c r="A1843" s="17" t="s">
        <v>72</v>
      </c>
      <c r="B1843" s="15" t="s">
        <v>233</v>
      </c>
      <c r="C1843" s="16" t="s">
        <v>31</v>
      </c>
      <c r="D1843" s="16" t="s">
        <v>31</v>
      </c>
      <c r="E1843" s="15" t="s">
        <v>32</v>
      </c>
      <c r="F1843" s="15" t="s">
        <v>314</v>
      </c>
      <c r="N1843" s="21" t="s">
        <v>96</v>
      </c>
      <c r="O1843" s="21" t="s">
        <v>336</v>
      </c>
      <c r="Q1843" s="21" t="s">
        <v>344</v>
      </c>
      <c r="R1843" s="22">
        <v>45756</v>
      </c>
      <c r="W1843">
        <f>COUNTIF(マネックス証券!U:U,B1843)</f>
        <v>0</v>
      </c>
    </row>
    <row r="1844" spans="1:23" ht="24.95" hidden="1" customHeight="1" x14ac:dyDescent="0.4">
      <c r="A1844" s="17" t="s">
        <v>72</v>
      </c>
      <c r="B1844" s="15" t="s">
        <v>234</v>
      </c>
      <c r="C1844" s="16" t="s">
        <v>31</v>
      </c>
      <c r="D1844" s="16" t="s">
        <v>31</v>
      </c>
      <c r="E1844" s="15" t="s">
        <v>32</v>
      </c>
      <c r="F1844" s="15" t="s">
        <v>314</v>
      </c>
      <c r="N1844" s="21" t="s">
        <v>96</v>
      </c>
      <c r="O1844" s="21" t="s">
        <v>336</v>
      </c>
      <c r="Q1844" s="21" t="s">
        <v>344</v>
      </c>
      <c r="R1844" s="22">
        <v>45756</v>
      </c>
      <c r="W1844">
        <f>COUNTIF(マネックス証券!U:U,B1844)</f>
        <v>0</v>
      </c>
    </row>
    <row r="1845" spans="1:23" ht="24.95" hidden="1" customHeight="1" x14ac:dyDescent="0.4">
      <c r="A1845" s="17" t="s">
        <v>72</v>
      </c>
      <c r="B1845" s="15" t="s">
        <v>235</v>
      </c>
      <c r="C1845" s="16" t="s">
        <v>31</v>
      </c>
      <c r="D1845" s="16" t="s">
        <v>31</v>
      </c>
      <c r="E1845" s="15" t="s">
        <v>32</v>
      </c>
      <c r="F1845" s="15" t="s">
        <v>314</v>
      </c>
      <c r="N1845" s="21" t="s">
        <v>96</v>
      </c>
      <c r="O1845" s="21" t="s">
        <v>336</v>
      </c>
      <c r="Q1845" s="21" t="s">
        <v>344</v>
      </c>
      <c r="R1845" s="22">
        <v>45756</v>
      </c>
      <c r="W1845">
        <f>COUNTIF(マネックス証券!U:U,B1845)</f>
        <v>0</v>
      </c>
    </row>
    <row r="1846" spans="1:23" ht="24.95" hidden="1" customHeight="1" x14ac:dyDescent="0.4">
      <c r="A1846" s="17" t="s">
        <v>72</v>
      </c>
      <c r="B1846" s="15" t="s">
        <v>236</v>
      </c>
      <c r="C1846" s="16" t="s">
        <v>31</v>
      </c>
      <c r="D1846" s="16" t="s">
        <v>31</v>
      </c>
      <c r="E1846" s="15" t="s">
        <v>32</v>
      </c>
      <c r="F1846" s="15" t="s">
        <v>314</v>
      </c>
      <c r="N1846" s="21" t="s">
        <v>96</v>
      </c>
      <c r="O1846" s="21" t="s">
        <v>336</v>
      </c>
      <c r="Q1846" s="21" t="s">
        <v>344</v>
      </c>
      <c r="R1846" s="22">
        <v>45756</v>
      </c>
      <c r="W1846">
        <f>COUNTIF(マネックス証券!U:U,B1846)</f>
        <v>0</v>
      </c>
    </row>
    <row r="1847" spans="1:23" ht="24.95" hidden="1" customHeight="1" x14ac:dyDescent="0.4">
      <c r="A1847" s="17" t="s">
        <v>72</v>
      </c>
      <c r="B1847" s="15" t="s">
        <v>237</v>
      </c>
      <c r="C1847" s="16" t="s">
        <v>31</v>
      </c>
      <c r="D1847" s="16" t="s">
        <v>31</v>
      </c>
      <c r="E1847" s="15" t="s">
        <v>32</v>
      </c>
      <c r="F1847" s="15" t="s">
        <v>314</v>
      </c>
      <c r="N1847" s="21" t="s">
        <v>96</v>
      </c>
      <c r="O1847" s="21" t="s">
        <v>336</v>
      </c>
      <c r="Q1847" s="21" t="s">
        <v>344</v>
      </c>
      <c r="R1847" s="22">
        <v>45756</v>
      </c>
      <c r="W1847">
        <f>COUNTIF(マネックス証券!U:U,B1847)</f>
        <v>0</v>
      </c>
    </row>
    <row r="1848" spans="1:23" ht="24.95" hidden="1" customHeight="1" x14ac:dyDescent="0.4">
      <c r="A1848" s="17" t="s">
        <v>72</v>
      </c>
      <c r="B1848" s="15" t="s">
        <v>346</v>
      </c>
      <c r="C1848" s="16" t="s">
        <v>31</v>
      </c>
      <c r="D1848" s="16" t="s">
        <v>31</v>
      </c>
      <c r="E1848" s="15" t="s">
        <v>32</v>
      </c>
      <c r="F1848" s="15" t="s">
        <v>356</v>
      </c>
      <c r="N1848" s="21" t="s">
        <v>96</v>
      </c>
      <c r="O1848" s="21" t="s">
        <v>360</v>
      </c>
      <c r="Q1848" s="21" t="s">
        <v>344</v>
      </c>
      <c r="R1848" s="22">
        <v>45847</v>
      </c>
      <c r="W1848">
        <f>COUNTIF(マネックス証券!U:U,B1848)</f>
        <v>0</v>
      </c>
    </row>
    <row r="1849" spans="1:23" ht="24.95" hidden="1" customHeight="1" x14ac:dyDescent="0.4">
      <c r="A1849" s="17" t="s">
        <v>72</v>
      </c>
      <c r="B1849" s="15" t="s">
        <v>357</v>
      </c>
      <c r="C1849" s="16" t="s">
        <v>31</v>
      </c>
      <c r="D1849" s="16" t="s">
        <v>31</v>
      </c>
      <c r="E1849" s="15" t="s">
        <v>32</v>
      </c>
      <c r="F1849" s="15" t="s">
        <v>356</v>
      </c>
      <c r="N1849" s="21" t="s">
        <v>96</v>
      </c>
      <c r="O1849" s="21" t="s">
        <v>360</v>
      </c>
      <c r="Q1849" s="21" t="s">
        <v>344</v>
      </c>
      <c r="R1849" s="22">
        <v>45847</v>
      </c>
      <c r="W1849">
        <f>COUNTIF(マネックス証券!U:U,B1849)</f>
        <v>0</v>
      </c>
    </row>
    <row r="1850" spans="1:23" ht="24.95" hidden="1" customHeight="1" x14ac:dyDescent="0.4">
      <c r="A1850" s="17" t="s">
        <v>72</v>
      </c>
      <c r="B1850" s="15" t="s">
        <v>347</v>
      </c>
      <c r="C1850" s="16" t="s">
        <v>31</v>
      </c>
      <c r="D1850" s="16" t="s">
        <v>31</v>
      </c>
      <c r="E1850" s="15" t="s">
        <v>32</v>
      </c>
      <c r="F1850" s="15" t="s">
        <v>356</v>
      </c>
      <c r="N1850" s="21" t="s">
        <v>96</v>
      </c>
      <c r="O1850" s="21" t="s">
        <v>360</v>
      </c>
      <c r="Q1850" s="21" t="s">
        <v>344</v>
      </c>
      <c r="R1850" s="22">
        <v>45847</v>
      </c>
      <c r="W1850">
        <f>COUNTIF(マネックス証券!U:U,B1850)</f>
        <v>0</v>
      </c>
    </row>
    <row r="1851" spans="1:23" ht="24.95" hidden="1" customHeight="1" x14ac:dyDescent="0.4">
      <c r="A1851" s="17" t="s">
        <v>72</v>
      </c>
      <c r="B1851" s="15" t="s">
        <v>320</v>
      </c>
      <c r="C1851" s="16" t="s">
        <v>31</v>
      </c>
      <c r="D1851" s="16" t="s">
        <v>31</v>
      </c>
      <c r="E1851" s="15" t="s">
        <v>32</v>
      </c>
      <c r="F1851" s="15" t="s">
        <v>314</v>
      </c>
      <c r="N1851" s="21" t="s">
        <v>96</v>
      </c>
      <c r="O1851" s="21" t="s">
        <v>337</v>
      </c>
      <c r="Q1851" s="21" t="s">
        <v>344</v>
      </c>
      <c r="R1851" s="22">
        <v>45756</v>
      </c>
      <c r="W1851">
        <f>COUNTIF(マネックス証券!U:U,B1851)</f>
        <v>0</v>
      </c>
    </row>
    <row r="1852" spans="1:23" ht="24.95" hidden="1" customHeight="1" x14ac:dyDescent="0.4">
      <c r="A1852" s="17" t="s">
        <v>72</v>
      </c>
      <c r="B1852" s="15" t="s">
        <v>132</v>
      </c>
      <c r="C1852" s="16" t="s">
        <v>31</v>
      </c>
      <c r="D1852" s="16" t="s">
        <v>31</v>
      </c>
      <c r="E1852" s="15" t="s">
        <v>32</v>
      </c>
      <c r="F1852" s="15" t="s">
        <v>314</v>
      </c>
      <c r="N1852" s="21" t="s">
        <v>96</v>
      </c>
      <c r="O1852" s="21" t="s">
        <v>337</v>
      </c>
      <c r="Q1852" s="21" t="s">
        <v>344</v>
      </c>
      <c r="R1852" s="22">
        <v>45756</v>
      </c>
      <c r="W1852">
        <f>COUNTIF(マネックス証券!U:U,B1852)</f>
        <v>0</v>
      </c>
    </row>
    <row r="1853" spans="1:23" ht="24.95" hidden="1" customHeight="1" x14ac:dyDescent="0.4">
      <c r="A1853" s="17" t="s">
        <v>72</v>
      </c>
      <c r="B1853" s="15" t="s">
        <v>321</v>
      </c>
      <c r="C1853" s="16" t="s">
        <v>24</v>
      </c>
      <c r="D1853" s="16" t="s">
        <v>31</v>
      </c>
      <c r="E1853" s="15" t="s">
        <v>35</v>
      </c>
      <c r="F1853" s="15" t="s">
        <v>314</v>
      </c>
      <c r="N1853" s="21" t="s">
        <v>96</v>
      </c>
      <c r="O1853" s="21" t="s">
        <v>337</v>
      </c>
      <c r="Q1853" s="21" t="s">
        <v>344</v>
      </c>
      <c r="R1853" s="22">
        <v>45756</v>
      </c>
      <c r="W1853">
        <f>COUNTIF(マネックス証券!U:U,B1853)</f>
        <v>0</v>
      </c>
    </row>
    <row r="1854" spans="1:23" ht="24.95" hidden="1" customHeight="1" x14ac:dyDescent="0.4">
      <c r="A1854" s="17" t="s">
        <v>72</v>
      </c>
      <c r="B1854" s="15" t="s">
        <v>322</v>
      </c>
      <c r="C1854" s="16" t="s">
        <v>24</v>
      </c>
      <c r="D1854" s="16" t="s">
        <v>31</v>
      </c>
      <c r="E1854" s="15" t="s">
        <v>35</v>
      </c>
      <c r="F1854" s="15" t="s">
        <v>314</v>
      </c>
      <c r="N1854" s="21" t="s">
        <v>96</v>
      </c>
      <c r="O1854" s="21" t="s">
        <v>337</v>
      </c>
      <c r="Q1854" s="21" t="s">
        <v>344</v>
      </c>
      <c r="R1854" s="22">
        <v>45756</v>
      </c>
      <c r="W1854">
        <f>COUNTIF(マネックス証券!U:U,B1854)</f>
        <v>0</v>
      </c>
    </row>
    <row r="1855" spans="1:23" ht="24.95" hidden="1" customHeight="1" x14ac:dyDescent="0.4">
      <c r="A1855" s="17" t="s">
        <v>72</v>
      </c>
      <c r="B1855" s="15" t="s">
        <v>323</v>
      </c>
      <c r="C1855" s="16" t="s">
        <v>24</v>
      </c>
      <c r="D1855" s="16" t="s">
        <v>31</v>
      </c>
      <c r="E1855" s="15" t="s">
        <v>35</v>
      </c>
      <c r="F1855" s="15" t="s">
        <v>314</v>
      </c>
      <c r="N1855" s="21" t="s">
        <v>96</v>
      </c>
      <c r="O1855" s="21" t="s">
        <v>337</v>
      </c>
      <c r="Q1855" s="21" t="s">
        <v>344</v>
      </c>
      <c r="R1855" s="22">
        <v>45756</v>
      </c>
      <c r="W1855">
        <f>COUNTIF(マネックス証券!U:U,B1855)</f>
        <v>0</v>
      </c>
    </row>
    <row r="1856" spans="1:23" ht="24.95" hidden="1" customHeight="1" x14ac:dyDescent="0.4">
      <c r="A1856" s="17" t="s">
        <v>72</v>
      </c>
      <c r="B1856" s="15" t="s">
        <v>238</v>
      </c>
      <c r="C1856" s="16" t="s">
        <v>31</v>
      </c>
      <c r="D1856" s="16" t="s">
        <v>31</v>
      </c>
      <c r="E1856" s="15" t="s">
        <v>32</v>
      </c>
      <c r="F1856" s="15" t="s">
        <v>314</v>
      </c>
      <c r="N1856" s="21" t="s">
        <v>96</v>
      </c>
      <c r="O1856" s="21" t="s">
        <v>336</v>
      </c>
      <c r="Q1856" s="21" t="s">
        <v>344</v>
      </c>
      <c r="R1856" s="22">
        <v>45756</v>
      </c>
      <c r="W1856">
        <f>COUNTIF(マネックス証券!U:U,B1856)</f>
        <v>0</v>
      </c>
    </row>
    <row r="1857" spans="1:23" ht="24.95" hidden="1" customHeight="1" x14ac:dyDescent="0.4">
      <c r="A1857" s="17" t="s">
        <v>72</v>
      </c>
      <c r="B1857" s="15" t="s">
        <v>239</v>
      </c>
      <c r="C1857" s="16" t="s">
        <v>31</v>
      </c>
      <c r="D1857" s="16" t="s">
        <v>31</v>
      </c>
      <c r="E1857" s="15" t="s">
        <v>32</v>
      </c>
      <c r="F1857" s="15" t="s">
        <v>314</v>
      </c>
      <c r="N1857" s="21" t="s">
        <v>96</v>
      </c>
      <c r="O1857" s="21" t="s">
        <v>336</v>
      </c>
      <c r="Q1857" s="21" t="s">
        <v>344</v>
      </c>
      <c r="R1857" s="22">
        <v>45756</v>
      </c>
      <c r="W1857">
        <f>COUNTIF(マネックス証券!U:U,B1857)</f>
        <v>0</v>
      </c>
    </row>
    <row r="1858" spans="1:23" ht="24.95" hidden="1" customHeight="1" x14ac:dyDescent="0.4">
      <c r="A1858" s="17" t="s">
        <v>72</v>
      </c>
      <c r="B1858" s="15" t="s">
        <v>240</v>
      </c>
      <c r="C1858" s="16" t="s">
        <v>31</v>
      </c>
      <c r="D1858" s="16" t="s">
        <v>31</v>
      </c>
      <c r="E1858" s="15" t="s">
        <v>32</v>
      </c>
      <c r="F1858" s="15" t="s">
        <v>314</v>
      </c>
      <c r="N1858" s="21" t="s">
        <v>96</v>
      </c>
      <c r="O1858" s="21" t="s">
        <v>336</v>
      </c>
      <c r="Q1858" s="21" t="s">
        <v>344</v>
      </c>
      <c r="R1858" s="22">
        <v>45756</v>
      </c>
      <c r="W1858">
        <f>COUNTIF(マネックス証券!U:U,B1858)</f>
        <v>0</v>
      </c>
    </row>
    <row r="1859" spans="1:23" ht="24.95" hidden="1" customHeight="1" x14ac:dyDescent="0.4">
      <c r="A1859" s="17" t="s">
        <v>72</v>
      </c>
      <c r="B1859" s="15" t="s">
        <v>241</v>
      </c>
      <c r="C1859" s="16" t="s">
        <v>31</v>
      </c>
      <c r="D1859" s="16" t="s">
        <v>31</v>
      </c>
      <c r="E1859" s="15" t="s">
        <v>32</v>
      </c>
      <c r="F1859" s="15" t="s">
        <v>314</v>
      </c>
      <c r="N1859" s="21" t="s">
        <v>96</v>
      </c>
      <c r="O1859" s="21" t="s">
        <v>336</v>
      </c>
      <c r="Q1859" s="21" t="s">
        <v>344</v>
      </c>
      <c r="R1859" s="22">
        <v>45756</v>
      </c>
      <c r="W1859">
        <f>COUNTIF(マネックス証券!U:U,B1859)</f>
        <v>0</v>
      </c>
    </row>
    <row r="1860" spans="1:23" ht="24.95" hidden="1" customHeight="1" x14ac:dyDescent="0.4">
      <c r="A1860" s="17" t="s">
        <v>72</v>
      </c>
      <c r="B1860" s="15" t="s">
        <v>242</v>
      </c>
      <c r="C1860" s="16" t="s">
        <v>31</v>
      </c>
      <c r="D1860" s="16" t="s">
        <v>31</v>
      </c>
      <c r="E1860" s="15" t="s">
        <v>32</v>
      </c>
      <c r="F1860" s="15" t="s">
        <v>314</v>
      </c>
      <c r="N1860" s="21" t="s">
        <v>96</v>
      </c>
      <c r="O1860" s="21" t="s">
        <v>336</v>
      </c>
      <c r="Q1860" s="21" t="s">
        <v>344</v>
      </c>
      <c r="R1860" s="22">
        <v>45756</v>
      </c>
      <c r="W1860">
        <f>COUNTIF(マネックス証券!U:U,B1860)</f>
        <v>0</v>
      </c>
    </row>
    <row r="1861" spans="1:23" ht="24.95" hidden="1" customHeight="1" x14ac:dyDescent="0.4">
      <c r="A1861" s="17" t="s">
        <v>72</v>
      </c>
      <c r="B1861" s="15" t="s">
        <v>243</v>
      </c>
      <c r="C1861" s="16" t="s">
        <v>31</v>
      </c>
      <c r="D1861" s="16" t="s">
        <v>31</v>
      </c>
      <c r="E1861" s="15" t="s">
        <v>32</v>
      </c>
      <c r="F1861" s="15" t="s">
        <v>314</v>
      </c>
      <c r="N1861" s="21" t="s">
        <v>96</v>
      </c>
      <c r="O1861" s="21" t="s">
        <v>336</v>
      </c>
      <c r="Q1861" s="21" t="s">
        <v>344</v>
      </c>
      <c r="R1861" s="22">
        <v>45756</v>
      </c>
      <c r="W1861">
        <f>COUNTIF(マネックス証券!U:U,B1861)</f>
        <v>0</v>
      </c>
    </row>
    <row r="1862" spans="1:23" ht="24.95" hidden="1" customHeight="1" x14ac:dyDescent="0.4">
      <c r="A1862" s="17" t="s">
        <v>72</v>
      </c>
      <c r="B1862" s="15" t="s">
        <v>244</v>
      </c>
      <c r="C1862" s="16" t="s">
        <v>31</v>
      </c>
      <c r="D1862" s="16" t="s">
        <v>31</v>
      </c>
      <c r="E1862" s="15" t="s">
        <v>32</v>
      </c>
      <c r="F1862" s="15" t="s">
        <v>314</v>
      </c>
      <c r="N1862" s="21" t="s">
        <v>96</v>
      </c>
      <c r="O1862" s="21" t="s">
        <v>336</v>
      </c>
      <c r="Q1862" s="21" t="s">
        <v>344</v>
      </c>
      <c r="R1862" s="22">
        <v>45756</v>
      </c>
      <c r="W1862">
        <f>COUNTIF(マネックス証券!U:U,B1862)</f>
        <v>0</v>
      </c>
    </row>
    <row r="1863" spans="1:23" ht="24.95" hidden="1" customHeight="1" x14ac:dyDescent="0.4">
      <c r="A1863" s="17" t="s">
        <v>72</v>
      </c>
      <c r="B1863" s="15" t="s">
        <v>245</v>
      </c>
      <c r="C1863" s="16" t="s">
        <v>31</v>
      </c>
      <c r="D1863" s="16" t="s">
        <v>31</v>
      </c>
      <c r="E1863" s="15" t="s">
        <v>32</v>
      </c>
      <c r="F1863" s="15" t="s">
        <v>314</v>
      </c>
      <c r="N1863" s="21" t="s">
        <v>96</v>
      </c>
      <c r="O1863" s="21" t="s">
        <v>336</v>
      </c>
      <c r="Q1863" s="21" t="s">
        <v>344</v>
      </c>
      <c r="R1863" s="22">
        <v>45756</v>
      </c>
      <c r="W1863">
        <f>COUNTIF(マネックス証券!U:U,B1863)</f>
        <v>0</v>
      </c>
    </row>
    <row r="1864" spans="1:23" ht="24.95" hidden="1" customHeight="1" x14ac:dyDescent="0.4">
      <c r="A1864" s="17" t="s">
        <v>72</v>
      </c>
      <c r="B1864" s="15" t="s">
        <v>246</v>
      </c>
      <c r="C1864" s="16" t="s">
        <v>31</v>
      </c>
      <c r="D1864" s="16" t="s">
        <v>31</v>
      </c>
      <c r="E1864" s="15" t="s">
        <v>32</v>
      </c>
      <c r="F1864" s="15" t="s">
        <v>314</v>
      </c>
      <c r="N1864" s="21" t="s">
        <v>96</v>
      </c>
      <c r="O1864" s="21" t="s">
        <v>336</v>
      </c>
      <c r="Q1864" s="21" t="s">
        <v>344</v>
      </c>
      <c r="R1864" s="22">
        <v>45756</v>
      </c>
      <c r="W1864">
        <f>COUNTIF(マネックス証券!U:U,B1864)</f>
        <v>0</v>
      </c>
    </row>
    <row r="1865" spans="1:23" ht="24.95" hidden="1" customHeight="1" x14ac:dyDescent="0.4">
      <c r="A1865" s="17" t="s">
        <v>72</v>
      </c>
      <c r="B1865" s="15" t="s">
        <v>247</v>
      </c>
      <c r="C1865" s="16" t="s">
        <v>31</v>
      </c>
      <c r="D1865" s="16" t="s">
        <v>31</v>
      </c>
      <c r="E1865" s="15" t="s">
        <v>32</v>
      </c>
      <c r="F1865" s="15" t="s">
        <v>314</v>
      </c>
      <c r="N1865" s="21" t="s">
        <v>96</v>
      </c>
      <c r="O1865" s="21" t="s">
        <v>336</v>
      </c>
      <c r="Q1865" s="21" t="s">
        <v>344</v>
      </c>
      <c r="R1865" s="22">
        <v>45756</v>
      </c>
      <c r="W1865">
        <f>COUNTIF(マネックス証券!U:U,B1865)</f>
        <v>0</v>
      </c>
    </row>
    <row r="1866" spans="1:23" ht="24.95" hidden="1" customHeight="1" x14ac:dyDescent="0.4">
      <c r="A1866" s="17" t="s">
        <v>72</v>
      </c>
      <c r="B1866" s="15" t="s">
        <v>248</v>
      </c>
      <c r="C1866" s="16" t="s">
        <v>31</v>
      </c>
      <c r="D1866" s="16" t="s">
        <v>31</v>
      </c>
      <c r="E1866" s="15" t="s">
        <v>32</v>
      </c>
      <c r="F1866" s="15" t="s">
        <v>314</v>
      </c>
      <c r="N1866" s="21" t="s">
        <v>96</v>
      </c>
      <c r="O1866" s="21" t="s">
        <v>336</v>
      </c>
      <c r="Q1866" s="21" t="s">
        <v>344</v>
      </c>
      <c r="R1866" s="22">
        <v>45756</v>
      </c>
      <c r="W1866">
        <f>COUNTIF(マネックス証券!U:U,B1866)</f>
        <v>0</v>
      </c>
    </row>
    <row r="1867" spans="1:23" ht="24.95" hidden="1" customHeight="1" x14ac:dyDescent="0.4">
      <c r="A1867" s="17" t="s">
        <v>72</v>
      </c>
      <c r="B1867" s="15" t="s">
        <v>249</v>
      </c>
      <c r="C1867" s="16" t="s">
        <v>31</v>
      </c>
      <c r="D1867" s="16" t="s">
        <v>31</v>
      </c>
      <c r="E1867" s="15" t="s">
        <v>32</v>
      </c>
      <c r="F1867" s="15" t="s">
        <v>314</v>
      </c>
      <c r="N1867" s="21" t="s">
        <v>96</v>
      </c>
      <c r="O1867" s="21" t="s">
        <v>336</v>
      </c>
      <c r="Q1867" s="21" t="s">
        <v>344</v>
      </c>
      <c r="R1867" s="22">
        <v>45756</v>
      </c>
      <c r="W1867">
        <f>COUNTIF(マネックス証券!U:U,B1867)</f>
        <v>0</v>
      </c>
    </row>
    <row r="1868" spans="1:23" ht="24.95" hidden="1" customHeight="1" x14ac:dyDescent="0.4">
      <c r="A1868" s="17" t="s">
        <v>72</v>
      </c>
      <c r="B1868" s="15" t="s">
        <v>250</v>
      </c>
      <c r="C1868" s="16" t="s">
        <v>31</v>
      </c>
      <c r="D1868" s="16" t="s">
        <v>31</v>
      </c>
      <c r="E1868" s="15" t="s">
        <v>32</v>
      </c>
      <c r="F1868" s="15" t="s">
        <v>314</v>
      </c>
      <c r="N1868" s="21" t="s">
        <v>96</v>
      </c>
      <c r="O1868" s="21" t="s">
        <v>336</v>
      </c>
      <c r="Q1868" s="21" t="s">
        <v>344</v>
      </c>
      <c r="R1868" s="22">
        <v>45756</v>
      </c>
      <c r="W1868">
        <f>COUNTIF(マネックス証券!U:U,B1868)</f>
        <v>0</v>
      </c>
    </row>
    <row r="1869" spans="1:23" ht="24.95" hidden="1" customHeight="1" x14ac:dyDescent="0.4">
      <c r="A1869" s="17" t="s">
        <v>72</v>
      </c>
      <c r="B1869" s="15" t="s">
        <v>251</v>
      </c>
      <c r="C1869" s="16" t="s">
        <v>31</v>
      </c>
      <c r="D1869" s="16" t="s">
        <v>31</v>
      </c>
      <c r="E1869" s="15" t="s">
        <v>32</v>
      </c>
      <c r="F1869" s="15" t="s">
        <v>314</v>
      </c>
      <c r="N1869" s="21" t="s">
        <v>96</v>
      </c>
      <c r="O1869" s="21" t="s">
        <v>336</v>
      </c>
      <c r="Q1869" s="21" t="s">
        <v>344</v>
      </c>
      <c r="R1869" s="22">
        <v>45756</v>
      </c>
      <c r="W1869">
        <f>COUNTIF(マネックス証券!U:U,B1869)</f>
        <v>0</v>
      </c>
    </row>
    <row r="1870" spans="1:23" ht="24.95" hidden="1" customHeight="1" x14ac:dyDescent="0.4">
      <c r="A1870" s="17" t="s">
        <v>72</v>
      </c>
      <c r="B1870" s="15" t="s">
        <v>341</v>
      </c>
      <c r="C1870" s="16" t="s">
        <v>31</v>
      </c>
      <c r="D1870" s="16" t="s">
        <v>31</v>
      </c>
      <c r="E1870" s="15" t="s">
        <v>32</v>
      </c>
      <c r="F1870" s="15" t="s">
        <v>340</v>
      </c>
      <c r="N1870" s="21" t="s">
        <v>96</v>
      </c>
      <c r="O1870" s="21" t="s">
        <v>345</v>
      </c>
      <c r="Q1870" s="21" t="s">
        <v>344</v>
      </c>
      <c r="R1870" s="22">
        <v>45784</v>
      </c>
      <c r="W1870">
        <f>COUNTIF(マネックス証券!U:U,B1870)</f>
        <v>0</v>
      </c>
    </row>
    <row r="1871" spans="1:23" ht="24.95" hidden="1" customHeight="1" x14ac:dyDescent="0.4">
      <c r="A1871" s="17" t="s">
        <v>72</v>
      </c>
      <c r="B1871" s="15" t="s">
        <v>252</v>
      </c>
      <c r="C1871" s="16" t="s">
        <v>31</v>
      </c>
      <c r="D1871" s="16" t="s">
        <v>31</v>
      </c>
      <c r="E1871" s="15" t="s">
        <v>32</v>
      </c>
      <c r="F1871" s="15" t="s">
        <v>314</v>
      </c>
      <c r="N1871" s="21" t="s">
        <v>96</v>
      </c>
      <c r="O1871" s="21" t="s">
        <v>336</v>
      </c>
      <c r="Q1871" s="21" t="s">
        <v>344</v>
      </c>
      <c r="R1871" s="22">
        <v>45756</v>
      </c>
      <c r="W1871">
        <f>COUNTIF(マネックス証券!U:U,B1871)</f>
        <v>0</v>
      </c>
    </row>
    <row r="1872" spans="1:23" ht="24.95" hidden="1" customHeight="1" x14ac:dyDescent="0.4">
      <c r="A1872" s="17" t="s">
        <v>72</v>
      </c>
      <c r="B1872" s="15" t="s">
        <v>253</v>
      </c>
      <c r="C1872" s="16" t="s">
        <v>31</v>
      </c>
      <c r="D1872" s="16" t="s">
        <v>31</v>
      </c>
      <c r="E1872" s="15" t="s">
        <v>32</v>
      </c>
      <c r="F1872" s="15" t="s">
        <v>314</v>
      </c>
      <c r="N1872" s="21" t="s">
        <v>96</v>
      </c>
      <c r="O1872" s="21" t="s">
        <v>336</v>
      </c>
      <c r="Q1872" s="21" t="s">
        <v>344</v>
      </c>
      <c r="R1872" s="22">
        <v>45756</v>
      </c>
      <c r="W1872">
        <f>COUNTIF(マネックス証券!U:U,B1872)</f>
        <v>0</v>
      </c>
    </row>
    <row r="1873" spans="1:23" ht="24.95" hidden="1" customHeight="1" x14ac:dyDescent="0.4">
      <c r="A1873" s="17" t="s">
        <v>72</v>
      </c>
      <c r="B1873" s="15" t="s">
        <v>254</v>
      </c>
      <c r="C1873" s="16" t="s">
        <v>31</v>
      </c>
      <c r="D1873" s="16" t="s">
        <v>31</v>
      </c>
      <c r="E1873" s="15" t="s">
        <v>32</v>
      </c>
      <c r="F1873" s="15" t="s">
        <v>314</v>
      </c>
      <c r="N1873" s="21" t="s">
        <v>96</v>
      </c>
      <c r="O1873" s="21" t="s">
        <v>336</v>
      </c>
      <c r="Q1873" s="21" t="s">
        <v>344</v>
      </c>
      <c r="R1873" s="22">
        <v>45756</v>
      </c>
      <c r="W1873">
        <f>COUNTIF(マネックス証券!U:U,B1873)</f>
        <v>0</v>
      </c>
    </row>
    <row r="1874" spans="1:23" ht="24.95" hidden="1" customHeight="1" x14ac:dyDescent="0.4">
      <c r="A1874" s="17" t="s">
        <v>72</v>
      </c>
      <c r="B1874" s="15" t="s">
        <v>255</v>
      </c>
      <c r="C1874" s="16" t="s">
        <v>31</v>
      </c>
      <c r="D1874" s="16" t="s">
        <v>31</v>
      </c>
      <c r="E1874" s="15" t="s">
        <v>32</v>
      </c>
      <c r="F1874" s="15" t="s">
        <v>314</v>
      </c>
      <c r="N1874" s="21" t="s">
        <v>96</v>
      </c>
      <c r="O1874" s="21" t="s">
        <v>336</v>
      </c>
      <c r="Q1874" s="21" t="s">
        <v>344</v>
      </c>
      <c r="R1874" s="22">
        <v>45756</v>
      </c>
      <c r="W1874">
        <f>COUNTIF(マネックス証券!U:U,B1874)</f>
        <v>0</v>
      </c>
    </row>
    <row r="1875" spans="1:23" ht="24.95" hidden="1" customHeight="1" x14ac:dyDescent="0.4">
      <c r="A1875" s="17" t="s">
        <v>72</v>
      </c>
      <c r="B1875" s="15" t="s">
        <v>256</v>
      </c>
      <c r="C1875" s="16" t="s">
        <v>31</v>
      </c>
      <c r="D1875" s="16" t="s">
        <v>31</v>
      </c>
      <c r="E1875" s="15" t="s">
        <v>32</v>
      </c>
      <c r="F1875" s="15" t="s">
        <v>314</v>
      </c>
      <c r="N1875" s="21" t="s">
        <v>96</v>
      </c>
      <c r="O1875" s="21" t="s">
        <v>336</v>
      </c>
      <c r="Q1875" s="21" t="s">
        <v>344</v>
      </c>
      <c r="R1875" s="22">
        <v>45756</v>
      </c>
      <c r="W1875">
        <f>COUNTIF(マネックス証券!U:U,B1875)</f>
        <v>0</v>
      </c>
    </row>
    <row r="1876" spans="1:23" ht="24.95" hidden="1" customHeight="1" x14ac:dyDescent="0.4">
      <c r="A1876" s="17" t="s">
        <v>72</v>
      </c>
      <c r="B1876" s="15" t="s">
        <v>257</v>
      </c>
      <c r="C1876" s="16" t="s">
        <v>31</v>
      </c>
      <c r="D1876" s="16" t="s">
        <v>31</v>
      </c>
      <c r="E1876" s="15" t="s">
        <v>32</v>
      </c>
      <c r="F1876" s="15" t="s">
        <v>314</v>
      </c>
      <c r="N1876" s="21" t="s">
        <v>96</v>
      </c>
      <c r="O1876" s="21" t="s">
        <v>336</v>
      </c>
      <c r="Q1876" s="21" t="s">
        <v>344</v>
      </c>
      <c r="R1876" s="22">
        <v>45756</v>
      </c>
      <c r="W1876">
        <f>COUNTIF(マネックス証券!U:U,B1876)</f>
        <v>0</v>
      </c>
    </row>
    <row r="1877" spans="1:23" ht="24.95" hidden="1" customHeight="1" x14ac:dyDescent="0.4">
      <c r="A1877" s="17" t="s">
        <v>72</v>
      </c>
      <c r="B1877" s="15" t="s">
        <v>258</v>
      </c>
      <c r="C1877" s="16" t="s">
        <v>31</v>
      </c>
      <c r="D1877" s="16" t="s">
        <v>31</v>
      </c>
      <c r="E1877" s="15" t="s">
        <v>32</v>
      </c>
      <c r="F1877" s="15" t="s">
        <v>314</v>
      </c>
      <c r="N1877" s="21" t="s">
        <v>96</v>
      </c>
      <c r="O1877" s="21" t="s">
        <v>336</v>
      </c>
      <c r="Q1877" s="21" t="s">
        <v>344</v>
      </c>
      <c r="R1877" s="22">
        <v>45756</v>
      </c>
      <c r="W1877">
        <f>COUNTIF(マネックス証券!U:U,B1877)</f>
        <v>0</v>
      </c>
    </row>
    <row r="1878" spans="1:23" ht="24.95" hidden="1" customHeight="1" x14ac:dyDescent="0.4">
      <c r="A1878" s="17" t="s">
        <v>72</v>
      </c>
      <c r="B1878" s="15" t="s">
        <v>259</v>
      </c>
      <c r="C1878" s="16" t="s">
        <v>31</v>
      </c>
      <c r="D1878" s="16" t="s">
        <v>31</v>
      </c>
      <c r="E1878" s="15" t="s">
        <v>32</v>
      </c>
      <c r="F1878" s="15" t="s">
        <v>314</v>
      </c>
      <c r="N1878" s="21" t="s">
        <v>96</v>
      </c>
      <c r="O1878" s="21" t="s">
        <v>336</v>
      </c>
      <c r="Q1878" s="21" t="s">
        <v>344</v>
      </c>
      <c r="R1878" s="22">
        <v>45756</v>
      </c>
      <c r="W1878">
        <f>COUNTIF(マネックス証券!U:U,B1878)</f>
        <v>0</v>
      </c>
    </row>
    <row r="1879" spans="1:23" ht="24.95" hidden="1" customHeight="1" x14ac:dyDescent="0.4">
      <c r="A1879" s="17" t="s">
        <v>72</v>
      </c>
      <c r="B1879" s="15" t="s">
        <v>260</v>
      </c>
      <c r="C1879" s="16" t="s">
        <v>31</v>
      </c>
      <c r="D1879" s="16" t="s">
        <v>31</v>
      </c>
      <c r="E1879" s="15" t="s">
        <v>32</v>
      </c>
      <c r="F1879" s="15" t="s">
        <v>314</v>
      </c>
      <c r="N1879" s="21" t="s">
        <v>96</v>
      </c>
      <c r="O1879" s="21" t="s">
        <v>336</v>
      </c>
      <c r="Q1879" s="21" t="s">
        <v>344</v>
      </c>
      <c r="R1879" s="22">
        <v>45756</v>
      </c>
      <c r="W1879">
        <f>COUNTIF(マネックス証券!U:U,B1879)</f>
        <v>0</v>
      </c>
    </row>
    <row r="1880" spans="1:23" ht="24.95" hidden="1" customHeight="1" x14ac:dyDescent="0.4">
      <c r="A1880" s="17" t="s">
        <v>72</v>
      </c>
      <c r="B1880" s="15" t="s">
        <v>261</v>
      </c>
      <c r="C1880" s="16" t="s">
        <v>31</v>
      </c>
      <c r="D1880" s="16" t="s">
        <v>31</v>
      </c>
      <c r="E1880" s="15" t="s">
        <v>32</v>
      </c>
      <c r="F1880" s="15" t="s">
        <v>314</v>
      </c>
      <c r="N1880" s="21" t="s">
        <v>96</v>
      </c>
      <c r="O1880" s="21" t="s">
        <v>336</v>
      </c>
      <c r="Q1880" s="21" t="s">
        <v>344</v>
      </c>
      <c r="R1880" s="22">
        <v>45756</v>
      </c>
      <c r="W1880">
        <f>COUNTIF(マネックス証券!U:U,B1880)</f>
        <v>0</v>
      </c>
    </row>
    <row r="1881" spans="1:23" ht="24.95" hidden="1" customHeight="1" x14ac:dyDescent="0.4">
      <c r="A1881" s="17" t="s">
        <v>72</v>
      </c>
      <c r="B1881" s="15" t="s">
        <v>262</v>
      </c>
      <c r="C1881" s="16" t="s">
        <v>31</v>
      </c>
      <c r="D1881" s="16" t="s">
        <v>31</v>
      </c>
      <c r="E1881" s="15" t="s">
        <v>32</v>
      </c>
      <c r="F1881" s="15" t="s">
        <v>314</v>
      </c>
      <c r="N1881" s="21" t="s">
        <v>96</v>
      </c>
      <c r="O1881" s="21" t="s">
        <v>336</v>
      </c>
      <c r="Q1881" s="21" t="s">
        <v>344</v>
      </c>
      <c r="R1881" s="22">
        <v>45756</v>
      </c>
      <c r="W1881">
        <f>COUNTIF(マネックス証券!U:U,B1881)</f>
        <v>0</v>
      </c>
    </row>
    <row r="1882" spans="1:23" ht="24.95" hidden="1" customHeight="1" x14ac:dyDescent="0.4">
      <c r="A1882" s="17" t="s">
        <v>72</v>
      </c>
      <c r="B1882" s="15" t="s">
        <v>263</v>
      </c>
      <c r="C1882" s="16" t="s">
        <v>31</v>
      </c>
      <c r="D1882" s="16" t="s">
        <v>31</v>
      </c>
      <c r="E1882" s="15" t="s">
        <v>32</v>
      </c>
      <c r="F1882" s="15" t="s">
        <v>314</v>
      </c>
      <c r="N1882" s="21" t="s">
        <v>96</v>
      </c>
      <c r="O1882" s="21" t="s">
        <v>336</v>
      </c>
      <c r="Q1882" s="21" t="s">
        <v>344</v>
      </c>
      <c r="R1882" s="22">
        <v>45756</v>
      </c>
      <c r="W1882">
        <f>COUNTIF(マネックス証券!U:U,B1882)</f>
        <v>0</v>
      </c>
    </row>
    <row r="1883" spans="1:23" ht="24.95" hidden="1" customHeight="1" x14ac:dyDescent="0.4">
      <c r="A1883" s="17" t="s">
        <v>72</v>
      </c>
      <c r="B1883" s="15" t="s">
        <v>264</v>
      </c>
      <c r="C1883" s="16" t="s">
        <v>31</v>
      </c>
      <c r="D1883" s="16" t="s">
        <v>31</v>
      </c>
      <c r="E1883" s="15" t="s">
        <v>32</v>
      </c>
      <c r="F1883" s="15" t="s">
        <v>314</v>
      </c>
      <c r="N1883" s="21" t="s">
        <v>96</v>
      </c>
      <c r="O1883" s="21" t="s">
        <v>336</v>
      </c>
      <c r="Q1883" s="21" t="s">
        <v>344</v>
      </c>
      <c r="R1883" s="22">
        <v>45756</v>
      </c>
      <c r="W1883">
        <f>COUNTIF(マネックス証券!U:U,B1883)</f>
        <v>0</v>
      </c>
    </row>
    <row r="1884" spans="1:23" ht="24.95" hidden="1" customHeight="1" x14ac:dyDescent="0.4">
      <c r="A1884" s="17" t="s">
        <v>72</v>
      </c>
      <c r="B1884" s="15" t="s">
        <v>265</v>
      </c>
      <c r="C1884" s="16" t="s">
        <v>31</v>
      </c>
      <c r="D1884" s="16" t="s">
        <v>31</v>
      </c>
      <c r="E1884" s="15" t="s">
        <v>32</v>
      </c>
      <c r="F1884" s="15" t="s">
        <v>314</v>
      </c>
      <c r="N1884" s="21" t="s">
        <v>96</v>
      </c>
      <c r="O1884" s="21" t="s">
        <v>336</v>
      </c>
      <c r="Q1884" s="21" t="s">
        <v>344</v>
      </c>
      <c r="R1884" s="22">
        <v>45756</v>
      </c>
      <c r="W1884">
        <f>COUNTIF(マネックス証券!U:U,B1884)</f>
        <v>0</v>
      </c>
    </row>
    <row r="1885" spans="1:23" ht="24.95" hidden="1" customHeight="1" x14ac:dyDescent="0.4">
      <c r="A1885" s="17" t="s">
        <v>72</v>
      </c>
      <c r="B1885" s="15" t="s">
        <v>266</v>
      </c>
      <c r="C1885" s="16" t="s">
        <v>31</v>
      </c>
      <c r="D1885" s="16" t="s">
        <v>31</v>
      </c>
      <c r="E1885" s="15" t="s">
        <v>32</v>
      </c>
      <c r="F1885" s="15" t="s">
        <v>314</v>
      </c>
      <c r="N1885" s="21" t="s">
        <v>96</v>
      </c>
      <c r="O1885" s="21" t="s">
        <v>336</v>
      </c>
      <c r="Q1885" s="21" t="s">
        <v>344</v>
      </c>
      <c r="R1885" s="22">
        <v>45756</v>
      </c>
      <c r="W1885">
        <f>COUNTIF(マネックス証券!U:U,B1885)</f>
        <v>0</v>
      </c>
    </row>
    <row r="1886" spans="1:23" ht="24.95" hidden="1" customHeight="1" x14ac:dyDescent="0.4">
      <c r="A1886" s="17" t="s">
        <v>72</v>
      </c>
      <c r="B1886" s="15" t="s">
        <v>267</v>
      </c>
      <c r="C1886" s="16" t="s">
        <v>31</v>
      </c>
      <c r="D1886" s="16" t="s">
        <v>31</v>
      </c>
      <c r="E1886" s="15" t="s">
        <v>32</v>
      </c>
      <c r="F1886" s="15" t="s">
        <v>314</v>
      </c>
      <c r="N1886" s="21" t="s">
        <v>96</v>
      </c>
      <c r="O1886" s="21" t="s">
        <v>336</v>
      </c>
      <c r="Q1886" s="21" t="s">
        <v>344</v>
      </c>
      <c r="R1886" s="22">
        <v>45756</v>
      </c>
      <c r="W1886">
        <f>COUNTIF(マネックス証券!U:U,B1886)</f>
        <v>0</v>
      </c>
    </row>
    <row r="1887" spans="1:23" ht="24.95" hidden="1" customHeight="1" x14ac:dyDescent="0.4">
      <c r="A1887" s="17" t="s">
        <v>72</v>
      </c>
      <c r="B1887" s="15" t="s">
        <v>268</v>
      </c>
      <c r="C1887" s="16" t="s">
        <v>31</v>
      </c>
      <c r="D1887" s="16" t="s">
        <v>31</v>
      </c>
      <c r="E1887" s="15" t="s">
        <v>32</v>
      </c>
      <c r="F1887" s="15" t="s">
        <v>314</v>
      </c>
      <c r="N1887" s="21" t="s">
        <v>96</v>
      </c>
      <c r="O1887" s="21" t="s">
        <v>336</v>
      </c>
      <c r="Q1887" s="21" t="s">
        <v>344</v>
      </c>
      <c r="R1887" s="22">
        <v>45756</v>
      </c>
      <c r="W1887">
        <f>COUNTIF(マネックス証券!U:U,B1887)</f>
        <v>0</v>
      </c>
    </row>
    <row r="1888" spans="1:23" ht="24.95" hidden="1" customHeight="1" x14ac:dyDescent="0.4">
      <c r="A1888" s="17" t="s">
        <v>72</v>
      </c>
      <c r="B1888" s="15" t="s">
        <v>269</v>
      </c>
      <c r="C1888" s="16" t="s">
        <v>31</v>
      </c>
      <c r="D1888" s="16" t="s">
        <v>31</v>
      </c>
      <c r="E1888" s="15" t="s">
        <v>32</v>
      </c>
      <c r="F1888" s="15" t="s">
        <v>314</v>
      </c>
      <c r="N1888" s="21" t="s">
        <v>96</v>
      </c>
      <c r="O1888" s="21" t="s">
        <v>336</v>
      </c>
      <c r="Q1888" s="21" t="s">
        <v>344</v>
      </c>
      <c r="R1888" s="22">
        <v>45756</v>
      </c>
      <c r="W1888">
        <f>COUNTIF(マネックス証券!U:U,B1888)</f>
        <v>0</v>
      </c>
    </row>
    <row r="1889" spans="1:23" ht="24.95" hidden="1" customHeight="1" x14ac:dyDescent="0.4">
      <c r="A1889" s="17" t="s">
        <v>72</v>
      </c>
      <c r="B1889" s="15" t="s">
        <v>270</v>
      </c>
      <c r="C1889" s="16" t="s">
        <v>31</v>
      </c>
      <c r="D1889" s="16" t="s">
        <v>31</v>
      </c>
      <c r="E1889" s="15" t="s">
        <v>32</v>
      </c>
      <c r="F1889" s="15" t="s">
        <v>314</v>
      </c>
      <c r="N1889" s="21" t="s">
        <v>96</v>
      </c>
      <c r="O1889" s="21" t="s">
        <v>336</v>
      </c>
      <c r="Q1889" s="21" t="s">
        <v>344</v>
      </c>
      <c r="R1889" s="22">
        <v>45756</v>
      </c>
      <c r="W1889">
        <f>COUNTIF(マネックス証券!U:U,B1889)</f>
        <v>0</v>
      </c>
    </row>
    <row r="1890" spans="1:23" ht="24.95" hidden="1" customHeight="1" x14ac:dyDescent="0.4">
      <c r="A1890" s="17" t="s">
        <v>72</v>
      </c>
      <c r="B1890" s="15" t="s">
        <v>271</v>
      </c>
      <c r="C1890" s="16" t="s">
        <v>31</v>
      </c>
      <c r="D1890" s="16" t="s">
        <v>31</v>
      </c>
      <c r="E1890" s="15" t="s">
        <v>32</v>
      </c>
      <c r="F1890" s="15" t="s">
        <v>314</v>
      </c>
      <c r="N1890" s="21" t="s">
        <v>96</v>
      </c>
      <c r="O1890" s="21" t="s">
        <v>336</v>
      </c>
      <c r="Q1890" s="21" t="s">
        <v>344</v>
      </c>
      <c r="R1890" s="22">
        <v>45756</v>
      </c>
      <c r="W1890">
        <f>COUNTIF(マネックス証券!U:U,B1890)</f>
        <v>0</v>
      </c>
    </row>
    <row r="1891" spans="1:23" ht="24.95" hidden="1" customHeight="1" x14ac:dyDescent="0.4">
      <c r="A1891" s="17" t="s">
        <v>72</v>
      </c>
      <c r="B1891" s="15" t="s">
        <v>366</v>
      </c>
      <c r="C1891" s="16" t="s">
        <v>31</v>
      </c>
      <c r="D1891" s="16" t="s">
        <v>31</v>
      </c>
      <c r="E1891" s="15" t="s">
        <v>32</v>
      </c>
      <c r="F1891" s="15" t="s">
        <v>365</v>
      </c>
      <c r="N1891" s="21" t="s">
        <v>374</v>
      </c>
      <c r="O1891" s="21" t="s">
        <v>373</v>
      </c>
      <c r="Q1891" s="21" t="s">
        <v>344</v>
      </c>
      <c r="R1891" s="22">
        <v>45883</v>
      </c>
      <c r="W1891">
        <f>COUNTIF(マネックス証券!U:U,B1891)</f>
        <v>0</v>
      </c>
    </row>
    <row r="1892" spans="1:23" ht="24.95" hidden="1" customHeight="1" x14ac:dyDescent="0.4">
      <c r="A1892" s="17" t="s">
        <v>72</v>
      </c>
      <c r="B1892" s="15" t="s">
        <v>367</v>
      </c>
      <c r="C1892" s="16" t="s">
        <v>31</v>
      </c>
      <c r="D1892" s="16" t="s">
        <v>31</v>
      </c>
      <c r="E1892" s="15" t="s">
        <v>32</v>
      </c>
      <c r="F1892" s="15" t="s">
        <v>365</v>
      </c>
      <c r="N1892" s="21" t="s">
        <v>374</v>
      </c>
      <c r="O1892" s="21" t="s">
        <v>373</v>
      </c>
      <c r="Q1892" s="21" t="s">
        <v>344</v>
      </c>
      <c r="R1892" s="22">
        <v>45883</v>
      </c>
      <c r="W1892">
        <f>COUNTIF(マネックス証券!U:U,B1892)</f>
        <v>0</v>
      </c>
    </row>
    <row r="1893" spans="1:23" ht="24.95" hidden="1" customHeight="1" x14ac:dyDescent="0.4">
      <c r="A1893" s="17" t="s">
        <v>72</v>
      </c>
      <c r="B1893" s="15" t="s">
        <v>324</v>
      </c>
      <c r="C1893" s="16" t="s">
        <v>31</v>
      </c>
      <c r="D1893" s="16" t="s">
        <v>31</v>
      </c>
      <c r="E1893" s="15" t="s">
        <v>32</v>
      </c>
      <c r="F1893" s="15" t="s">
        <v>314</v>
      </c>
      <c r="N1893" s="21" t="s">
        <v>96</v>
      </c>
      <c r="O1893" s="21" t="s">
        <v>337</v>
      </c>
      <c r="Q1893" s="21" t="s">
        <v>344</v>
      </c>
      <c r="R1893" s="22">
        <v>45756</v>
      </c>
      <c r="W1893">
        <f>COUNTIF(マネックス証券!U:U,B1893)</f>
        <v>0</v>
      </c>
    </row>
    <row r="1894" spans="1:23" ht="24.95" hidden="1" customHeight="1" x14ac:dyDescent="0.4">
      <c r="A1894" s="17" t="s">
        <v>72</v>
      </c>
      <c r="B1894" s="50" t="s">
        <v>368</v>
      </c>
      <c r="C1894" s="16" t="s">
        <v>31</v>
      </c>
      <c r="D1894" s="16" t="s">
        <v>31</v>
      </c>
      <c r="E1894" s="15" t="s">
        <v>32</v>
      </c>
      <c r="F1894" s="15" t="s">
        <v>365</v>
      </c>
      <c r="N1894" s="21" t="s">
        <v>96</v>
      </c>
      <c r="O1894" s="21" t="s">
        <v>372</v>
      </c>
      <c r="Q1894" s="21" t="s">
        <v>344</v>
      </c>
      <c r="R1894" s="22">
        <v>45883</v>
      </c>
      <c r="W1894">
        <f>COUNTIF(マネックス証券!U:U,B1894)</f>
        <v>0</v>
      </c>
    </row>
    <row r="1895" spans="1:23" ht="24.95" hidden="1" customHeight="1" x14ac:dyDescent="0.4">
      <c r="A1895" s="17" t="s">
        <v>72</v>
      </c>
      <c r="B1895" s="50" t="s">
        <v>369</v>
      </c>
      <c r="C1895" s="16" t="s">
        <v>24</v>
      </c>
      <c r="D1895" s="16" t="s">
        <v>31</v>
      </c>
      <c r="E1895" s="15" t="s">
        <v>35</v>
      </c>
      <c r="F1895" s="15" t="s">
        <v>365</v>
      </c>
      <c r="N1895" s="21" t="s">
        <v>96</v>
      </c>
      <c r="O1895" s="21" t="s">
        <v>372</v>
      </c>
      <c r="Q1895" s="21" t="s">
        <v>344</v>
      </c>
      <c r="R1895" s="22">
        <v>45883</v>
      </c>
      <c r="W1895">
        <f>COUNTIF(マネックス証券!U:U,B1895)</f>
        <v>0</v>
      </c>
    </row>
    <row r="1896" spans="1:23" ht="24.95" hidden="1" customHeight="1" x14ac:dyDescent="0.4">
      <c r="A1896" s="17" t="s">
        <v>72</v>
      </c>
      <c r="B1896" s="15" t="s">
        <v>325</v>
      </c>
      <c r="C1896" s="16" t="s">
        <v>24</v>
      </c>
      <c r="D1896" s="16" t="s">
        <v>31</v>
      </c>
      <c r="E1896" s="15" t="s">
        <v>35</v>
      </c>
      <c r="F1896" s="15" t="s">
        <v>314</v>
      </c>
      <c r="N1896" s="21" t="s">
        <v>96</v>
      </c>
      <c r="O1896" s="21" t="s">
        <v>337</v>
      </c>
      <c r="Q1896" s="21" t="s">
        <v>344</v>
      </c>
      <c r="R1896" s="22">
        <v>45756</v>
      </c>
      <c r="W1896">
        <f>COUNTIF(マネックス証券!U:U,B1896)</f>
        <v>0</v>
      </c>
    </row>
    <row r="1897" spans="1:23" ht="24.95" hidden="1" customHeight="1" x14ac:dyDescent="0.4">
      <c r="A1897" s="17" t="s">
        <v>72</v>
      </c>
      <c r="B1897" s="15" t="s">
        <v>272</v>
      </c>
      <c r="C1897" s="16" t="s">
        <v>31</v>
      </c>
      <c r="D1897" s="16" t="s">
        <v>31</v>
      </c>
      <c r="E1897" s="15" t="s">
        <v>32</v>
      </c>
      <c r="F1897" s="15" t="s">
        <v>314</v>
      </c>
      <c r="N1897" s="21" t="s">
        <v>96</v>
      </c>
      <c r="O1897" s="21" t="s">
        <v>336</v>
      </c>
      <c r="Q1897" s="21" t="s">
        <v>344</v>
      </c>
      <c r="R1897" s="22">
        <v>45756</v>
      </c>
      <c r="W1897">
        <f>COUNTIF(マネックス証券!U:U,B1897)</f>
        <v>0</v>
      </c>
    </row>
    <row r="1898" spans="1:23" ht="24.95" hidden="1" customHeight="1" x14ac:dyDescent="0.4">
      <c r="A1898" s="17" t="s">
        <v>72</v>
      </c>
      <c r="B1898" s="15" t="s">
        <v>273</v>
      </c>
      <c r="C1898" s="16" t="s">
        <v>31</v>
      </c>
      <c r="D1898" s="16" t="s">
        <v>31</v>
      </c>
      <c r="E1898" s="15" t="s">
        <v>32</v>
      </c>
      <c r="F1898" s="15" t="s">
        <v>314</v>
      </c>
      <c r="N1898" s="21" t="s">
        <v>96</v>
      </c>
      <c r="O1898" s="21" t="s">
        <v>336</v>
      </c>
      <c r="Q1898" s="21" t="s">
        <v>344</v>
      </c>
      <c r="R1898" s="22">
        <v>45756</v>
      </c>
      <c r="W1898">
        <f>COUNTIF(マネックス証券!U:U,B1898)</f>
        <v>0</v>
      </c>
    </row>
    <row r="1899" spans="1:23" ht="24.95" hidden="1" customHeight="1" x14ac:dyDescent="0.4">
      <c r="A1899" s="17" t="s">
        <v>72</v>
      </c>
      <c r="B1899" s="15" t="s">
        <v>274</v>
      </c>
      <c r="C1899" s="16" t="s">
        <v>31</v>
      </c>
      <c r="D1899" s="16" t="s">
        <v>31</v>
      </c>
      <c r="E1899" s="15" t="s">
        <v>32</v>
      </c>
      <c r="F1899" s="15" t="s">
        <v>314</v>
      </c>
      <c r="N1899" s="21" t="s">
        <v>96</v>
      </c>
      <c r="O1899" s="21" t="s">
        <v>336</v>
      </c>
      <c r="Q1899" s="21" t="s">
        <v>344</v>
      </c>
      <c r="R1899" s="22">
        <v>45756</v>
      </c>
      <c r="W1899">
        <f>COUNTIF(マネックス証券!U:U,B1899)</f>
        <v>0</v>
      </c>
    </row>
    <row r="1900" spans="1:23" ht="24.95" hidden="1" customHeight="1" x14ac:dyDescent="0.4">
      <c r="A1900" s="17" t="s">
        <v>72</v>
      </c>
      <c r="B1900" s="15" t="s">
        <v>275</v>
      </c>
      <c r="C1900" s="16" t="s">
        <v>31</v>
      </c>
      <c r="D1900" s="16" t="s">
        <v>31</v>
      </c>
      <c r="E1900" s="15" t="s">
        <v>32</v>
      </c>
      <c r="F1900" s="15" t="s">
        <v>314</v>
      </c>
      <c r="N1900" s="21" t="s">
        <v>96</v>
      </c>
      <c r="O1900" s="21" t="s">
        <v>336</v>
      </c>
      <c r="Q1900" s="21" t="s">
        <v>344</v>
      </c>
      <c r="R1900" s="22">
        <v>45756</v>
      </c>
      <c r="W1900">
        <f>COUNTIF(マネックス証券!U:U,B1900)</f>
        <v>0</v>
      </c>
    </row>
    <row r="1901" spans="1:23" ht="24.95" hidden="1" customHeight="1" x14ac:dyDescent="0.4">
      <c r="A1901" s="17" t="s">
        <v>72</v>
      </c>
      <c r="B1901" s="15" t="s">
        <v>326</v>
      </c>
      <c r="C1901" s="16" t="s">
        <v>31</v>
      </c>
      <c r="D1901" s="16" t="s">
        <v>31</v>
      </c>
      <c r="E1901" s="15" t="s">
        <v>32</v>
      </c>
      <c r="F1901" s="15" t="s">
        <v>314</v>
      </c>
      <c r="N1901" s="21" t="s">
        <v>96</v>
      </c>
      <c r="O1901" s="21" t="s">
        <v>337</v>
      </c>
      <c r="Q1901" s="21" t="s">
        <v>344</v>
      </c>
      <c r="R1901" s="22">
        <v>45756</v>
      </c>
      <c r="W1901">
        <f>COUNTIF(マネックス証券!U:U,B1901)</f>
        <v>0</v>
      </c>
    </row>
    <row r="1902" spans="1:23" ht="24.95" hidden="1" customHeight="1" x14ac:dyDescent="0.4">
      <c r="A1902" s="17" t="s">
        <v>72</v>
      </c>
      <c r="B1902" s="15" t="s">
        <v>327</v>
      </c>
      <c r="C1902" s="16" t="s">
        <v>24</v>
      </c>
      <c r="D1902" s="16" t="s">
        <v>31</v>
      </c>
      <c r="E1902" s="15" t="s">
        <v>35</v>
      </c>
      <c r="F1902" s="15" t="s">
        <v>314</v>
      </c>
      <c r="N1902" s="21" t="s">
        <v>96</v>
      </c>
      <c r="O1902" s="21" t="s">
        <v>337</v>
      </c>
      <c r="Q1902" s="21" t="s">
        <v>344</v>
      </c>
      <c r="R1902" s="22">
        <v>45756</v>
      </c>
      <c r="W1902">
        <f>COUNTIF(マネックス証券!U:U,B1902)</f>
        <v>0</v>
      </c>
    </row>
    <row r="1903" spans="1:23" ht="24.95" hidden="1" customHeight="1" x14ac:dyDescent="0.4">
      <c r="A1903" s="17" t="s">
        <v>72</v>
      </c>
      <c r="B1903" s="15" t="s">
        <v>328</v>
      </c>
      <c r="C1903" s="16" t="s">
        <v>24</v>
      </c>
      <c r="D1903" s="16" t="s">
        <v>31</v>
      </c>
      <c r="E1903" s="15" t="s">
        <v>35</v>
      </c>
      <c r="F1903" s="15" t="s">
        <v>314</v>
      </c>
      <c r="N1903" s="21" t="s">
        <v>96</v>
      </c>
      <c r="O1903" s="21" t="s">
        <v>337</v>
      </c>
      <c r="Q1903" s="21" t="s">
        <v>344</v>
      </c>
      <c r="R1903" s="22">
        <v>45756</v>
      </c>
      <c r="W1903">
        <f>COUNTIF(マネックス証券!U:U,B1903)</f>
        <v>0</v>
      </c>
    </row>
    <row r="1904" spans="1:23" ht="24.95" hidden="1" customHeight="1" x14ac:dyDescent="0.4">
      <c r="A1904" s="17" t="s">
        <v>72</v>
      </c>
      <c r="B1904" s="15" t="s">
        <v>329</v>
      </c>
      <c r="C1904" s="16" t="s">
        <v>24</v>
      </c>
      <c r="D1904" s="16" t="s">
        <v>31</v>
      </c>
      <c r="E1904" s="15" t="s">
        <v>35</v>
      </c>
      <c r="F1904" s="15" t="s">
        <v>314</v>
      </c>
      <c r="N1904" s="21" t="s">
        <v>96</v>
      </c>
      <c r="O1904" s="21" t="s">
        <v>337</v>
      </c>
      <c r="Q1904" s="21" t="s">
        <v>344</v>
      </c>
      <c r="R1904" s="22">
        <v>45756</v>
      </c>
      <c r="W1904">
        <f>COUNTIF(マネックス証券!U:U,B1904)</f>
        <v>0</v>
      </c>
    </row>
    <row r="1905" spans="1:23" ht="24.95" hidden="1" customHeight="1" x14ac:dyDescent="0.4">
      <c r="A1905" s="17" t="s">
        <v>72</v>
      </c>
      <c r="B1905" s="15" t="s">
        <v>276</v>
      </c>
      <c r="C1905" s="16" t="s">
        <v>31</v>
      </c>
      <c r="D1905" s="16" t="s">
        <v>31</v>
      </c>
      <c r="E1905" s="15" t="s">
        <v>32</v>
      </c>
      <c r="F1905" s="15" t="s">
        <v>314</v>
      </c>
      <c r="N1905" s="21" t="s">
        <v>96</v>
      </c>
      <c r="O1905" s="21" t="s">
        <v>336</v>
      </c>
      <c r="Q1905" s="21" t="s">
        <v>344</v>
      </c>
      <c r="R1905" s="22">
        <v>45756</v>
      </c>
      <c r="W1905">
        <f>COUNTIF(マネックス証券!U:U,B1905)</f>
        <v>0</v>
      </c>
    </row>
    <row r="1906" spans="1:23" ht="24.95" hidden="1" customHeight="1" x14ac:dyDescent="0.4">
      <c r="A1906" s="17" t="s">
        <v>72</v>
      </c>
      <c r="B1906" s="15" t="s">
        <v>277</v>
      </c>
      <c r="C1906" s="16" t="s">
        <v>31</v>
      </c>
      <c r="D1906" s="16" t="s">
        <v>31</v>
      </c>
      <c r="E1906" s="15" t="s">
        <v>32</v>
      </c>
      <c r="F1906" s="15" t="s">
        <v>314</v>
      </c>
      <c r="N1906" s="21" t="s">
        <v>96</v>
      </c>
      <c r="O1906" s="21" t="s">
        <v>336</v>
      </c>
      <c r="Q1906" s="21" t="s">
        <v>344</v>
      </c>
      <c r="R1906" s="22">
        <v>45756</v>
      </c>
      <c r="W1906">
        <f>COUNTIF(マネックス証券!U:U,B1906)</f>
        <v>0</v>
      </c>
    </row>
    <row r="1907" spans="1:23" ht="24.95" hidden="1" customHeight="1" x14ac:dyDescent="0.4">
      <c r="A1907" s="17" t="s">
        <v>72</v>
      </c>
      <c r="B1907" s="15" t="s">
        <v>278</v>
      </c>
      <c r="C1907" s="16" t="s">
        <v>31</v>
      </c>
      <c r="D1907" s="16" t="s">
        <v>31</v>
      </c>
      <c r="E1907" s="15" t="s">
        <v>32</v>
      </c>
      <c r="F1907" s="15" t="s">
        <v>314</v>
      </c>
      <c r="N1907" s="21" t="s">
        <v>96</v>
      </c>
      <c r="O1907" s="21" t="s">
        <v>336</v>
      </c>
      <c r="Q1907" s="21" t="s">
        <v>344</v>
      </c>
      <c r="R1907" s="22">
        <v>45756</v>
      </c>
      <c r="W1907">
        <f>COUNTIF(マネックス証券!U:U,B1907)</f>
        <v>0</v>
      </c>
    </row>
    <row r="1908" spans="1:23" ht="24.95" hidden="1" customHeight="1" x14ac:dyDescent="0.4">
      <c r="A1908" s="17" t="s">
        <v>72</v>
      </c>
      <c r="B1908" s="15" t="s">
        <v>279</v>
      </c>
      <c r="C1908" s="16" t="s">
        <v>31</v>
      </c>
      <c r="D1908" s="16" t="s">
        <v>31</v>
      </c>
      <c r="E1908" s="15" t="s">
        <v>32</v>
      </c>
      <c r="F1908" s="15" t="s">
        <v>314</v>
      </c>
      <c r="N1908" s="21" t="s">
        <v>96</v>
      </c>
      <c r="O1908" s="21" t="s">
        <v>336</v>
      </c>
      <c r="Q1908" s="21" t="s">
        <v>344</v>
      </c>
      <c r="R1908" s="22">
        <v>45756</v>
      </c>
      <c r="W1908">
        <f>COUNTIF(マネックス証券!U:U,B1908)</f>
        <v>0</v>
      </c>
    </row>
    <row r="1909" spans="1:23" ht="24.95" hidden="1" customHeight="1" x14ac:dyDescent="0.4">
      <c r="A1909" s="17" t="s">
        <v>72</v>
      </c>
      <c r="B1909" s="15" t="s">
        <v>280</v>
      </c>
      <c r="C1909" s="16" t="s">
        <v>31</v>
      </c>
      <c r="D1909" s="16" t="s">
        <v>31</v>
      </c>
      <c r="E1909" s="15" t="s">
        <v>32</v>
      </c>
      <c r="F1909" s="15" t="s">
        <v>314</v>
      </c>
      <c r="N1909" s="21" t="s">
        <v>96</v>
      </c>
      <c r="O1909" s="21" t="s">
        <v>336</v>
      </c>
      <c r="Q1909" s="21" t="s">
        <v>344</v>
      </c>
      <c r="R1909" s="22">
        <v>45756</v>
      </c>
      <c r="W1909">
        <f>COUNTIF(マネックス証券!U:U,B1909)</f>
        <v>0</v>
      </c>
    </row>
    <row r="1910" spans="1:23" ht="24.95" hidden="1" customHeight="1" x14ac:dyDescent="0.4">
      <c r="A1910" s="17" t="s">
        <v>72</v>
      </c>
      <c r="B1910" s="15" t="s">
        <v>281</v>
      </c>
      <c r="C1910" s="16" t="s">
        <v>31</v>
      </c>
      <c r="D1910" s="16" t="s">
        <v>31</v>
      </c>
      <c r="E1910" s="15" t="s">
        <v>32</v>
      </c>
      <c r="F1910" s="15" t="s">
        <v>314</v>
      </c>
      <c r="N1910" s="21" t="s">
        <v>96</v>
      </c>
      <c r="O1910" s="21" t="s">
        <v>336</v>
      </c>
      <c r="Q1910" s="21" t="s">
        <v>344</v>
      </c>
      <c r="R1910" s="22">
        <v>45756</v>
      </c>
      <c r="W1910">
        <f>COUNTIF(マネックス証券!U:U,B1910)</f>
        <v>0</v>
      </c>
    </row>
    <row r="1911" spans="1:23" ht="24.95" hidden="1" customHeight="1" x14ac:dyDescent="0.4">
      <c r="A1911" s="17" t="s">
        <v>72</v>
      </c>
      <c r="B1911" s="15" t="s">
        <v>282</v>
      </c>
      <c r="C1911" s="16" t="s">
        <v>31</v>
      </c>
      <c r="D1911" s="16" t="s">
        <v>31</v>
      </c>
      <c r="E1911" s="15" t="s">
        <v>32</v>
      </c>
      <c r="F1911" s="15" t="s">
        <v>314</v>
      </c>
      <c r="N1911" s="21" t="s">
        <v>96</v>
      </c>
      <c r="O1911" s="21" t="s">
        <v>336</v>
      </c>
      <c r="Q1911" s="21" t="s">
        <v>344</v>
      </c>
      <c r="R1911" s="22">
        <v>45756</v>
      </c>
      <c r="W1911">
        <f>COUNTIF(マネックス証券!U:U,B1911)</f>
        <v>0</v>
      </c>
    </row>
    <row r="1912" spans="1:23" ht="24.95" hidden="1" customHeight="1" x14ac:dyDescent="0.4">
      <c r="A1912" s="17" t="s">
        <v>72</v>
      </c>
      <c r="B1912" s="15" t="s">
        <v>283</v>
      </c>
      <c r="C1912" s="16" t="s">
        <v>31</v>
      </c>
      <c r="D1912" s="16" t="s">
        <v>31</v>
      </c>
      <c r="E1912" s="15" t="s">
        <v>32</v>
      </c>
      <c r="F1912" s="15" t="s">
        <v>314</v>
      </c>
      <c r="N1912" s="21" t="s">
        <v>96</v>
      </c>
      <c r="O1912" s="21" t="s">
        <v>336</v>
      </c>
      <c r="Q1912" s="21" t="s">
        <v>344</v>
      </c>
      <c r="R1912" s="22">
        <v>45756</v>
      </c>
      <c r="W1912">
        <f>COUNTIF(マネックス証券!U:U,B1912)</f>
        <v>0</v>
      </c>
    </row>
    <row r="1913" spans="1:23" ht="24.95" hidden="1" customHeight="1" x14ac:dyDescent="0.4">
      <c r="A1913" s="17" t="s">
        <v>72</v>
      </c>
      <c r="B1913" s="15" t="s">
        <v>284</v>
      </c>
      <c r="C1913" s="16" t="s">
        <v>31</v>
      </c>
      <c r="D1913" s="16" t="s">
        <v>31</v>
      </c>
      <c r="E1913" s="15" t="s">
        <v>32</v>
      </c>
      <c r="F1913" s="15" t="s">
        <v>314</v>
      </c>
      <c r="N1913" s="21" t="s">
        <v>96</v>
      </c>
      <c r="O1913" s="21" t="s">
        <v>336</v>
      </c>
      <c r="Q1913" s="21" t="s">
        <v>344</v>
      </c>
      <c r="R1913" s="22">
        <v>45756</v>
      </c>
      <c r="W1913">
        <f>COUNTIF(マネックス証券!U:U,B1913)</f>
        <v>0</v>
      </c>
    </row>
    <row r="1914" spans="1:23" ht="24.95" hidden="1" customHeight="1" x14ac:dyDescent="0.4">
      <c r="A1914" s="17" t="s">
        <v>72</v>
      </c>
      <c r="B1914" s="15" t="s">
        <v>285</v>
      </c>
      <c r="C1914" s="16" t="s">
        <v>31</v>
      </c>
      <c r="D1914" s="16" t="s">
        <v>31</v>
      </c>
      <c r="E1914" s="15" t="s">
        <v>32</v>
      </c>
      <c r="F1914" s="15" t="s">
        <v>314</v>
      </c>
      <c r="N1914" s="21" t="s">
        <v>96</v>
      </c>
      <c r="O1914" s="21" t="s">
        <v>336</v>
      </c>
      <c r="Q1914" s="21" t="s">
        <v>344</v>
      </c>
      <c r="R1914" s="22">
        <v>45756</v>
      </c>
      <c r="W1914">
        <f>COUNTIF(マネックス証券!U:U,B1914)</f>
        <v>0</v>
      </c>
    </row>
    <row r="1915" spans="1:23" ht="24.95" hidden="1" customHeight="1" x14ac:dyDescent="0.4">
      <c r="A1915" s="17" t="s">
        <v>72</v>
      </c>
      <c r="B1915" s="15" t="s">
        <v>286</v>
      </c>
      <c r="C1915" s="16" t="s">
        <v>31</v>
      </c>
      <c r="D1915" s="16" t="s">
        <v>31</v>
      </c>
      <c r="E1915" s="15" t="s">
        <v>32</v>
      </c>
      <c r="F1915" s="15" t="s">
        <v>314</v>
      </c>
      <c r="N1915" s="21" t="s">
        <v>96</v>
      </c>
      <c r="O1915" s="21" t="s">
        <v>336</v>
      </c>
      <c r="Q1915" s="21" t="s">
        <v>344</v>
      </c>
      <c r="R1915" s="22">
        <v>45756</v>
      </c>
      <c r="W1915">
        <f>COUNTIF(マネックス証券!U:U,B1915)</f>
        <v>0</v>
      </c>
    </row>
    <row r="1916" spans="1:23" ht="24.95" hidden="1" customHeight="1" x14ac:dyDescent="0.4">
      <c r="A1916" s="17" t="s">
        <v>72</v>
      </c>
      <c r="B1916" s="15" t="s">
        <v>287</v>
      </c>
      <c r="C1916" s="16" t="s">
        <v>31</v>
      </c>
      <c r="D1916" s="16" t="s">
        <v>31</v>
      </c>
      <c r="E1916" s="15" t="s">
        <v>32</v>
      </c>
      <c r="F1916" s="15" t="s">
        <v>314</v>
      </c>
      <c r="N1916" s="21" t="s">
        <v>96</v>
      </c>
      <c r="O1916" s="21" t="s">
        <v>336</v>
      </c>
      <c r="Q1916" s="21" t="s">
        <v>344</v>
      </c>
      <c r="R1916" s="22">
        <v>45756</v>
      </c>
      <c r="W1916">
        <f>COUNTIF(マネックス証券!U:U,B1916)</f>
        <v>0</v>
      </c>
    </row>
    <row r="1917" spans="1:23" ht="24.95" hidden="1" customHeight="1" x14ac:dyDescent="0.4">
      <c r="A1917" s="17" t="s">
        <v>72</v>
      </c>
      <c r="B1917" s="15" t="s">
        <v>342</v>
      </c>
      <c r="C1917" s="16" t="s">
        <v>31</v>
      </c>
      <c r="D1917" s="16" t="s">
        <v>31</v>
      </c>
      <c r="E1917" s="15" t="s">
        <v>32</v>
      </c>
      <c r="F1917" s="15" t="s">
        <v>340</v>
      </c>
      <c r="N1917" s="21" t="s">
        <v>96</v>
      </c>
      <c r="O1917" s="21" t="s">
        <v>345</v>
      </c>
      <c r="Q1917" s="21" t="s">
        <v>344</v>
      </c>
      <c r="R1917" s="22">
        <v>45784</v>
      </c>
      <c r="W1917">
        <f>COUNTIF(マネックス証券!U:U,B1917)</f>
        <v>0</v>
      </c>
    </row>
    <row r="1918" spans="1:23" ht="24.95" hidden="1" customHeight="1" x14ac:dyDescent="0.4">
      <c r="A1918" s="17" t="s">
        <v>72</v>
      </c>
      <c r="B1918" s="15" t="s">
        <v>288</v>
      </c>
      <c r="C1918" s="16" t="s">
        <v>31</v>
      </c>
      <c r="D1918" s="16" t="s">
        <v>31</v>
      </c>
      <c r="E1918" s="15" t="s">
        <v>32</v>
      </c>
      <c r="F1918" s="15" t="s">
        <v>314</v>
      </c>
      <c r="N1918" s="21" t="s">
        <v>96</v>
      </c>
      <c r="O1918" s="21" t="s">
        <v>336</v>
      </c>
      <c r="Q1918" s="21" t="s">
        <v>344</v>
      </c>
      <c r="R1918" s="22">
        <v>45756</v>
      </c>
      <c r="W1918">
        <f>COUNTIF(マネックス証券!U:U,B1918)</f>
        <v>0</v>
      </c>
    </row>
    <row r="1919" spans="1:23" ht="24.95" hidden="1" customHeight="1" x14ac:dyDescent="0.4">
      <c r="A1919" s="17" t="s">
        <v>72</v>
      </c>
      <c r="B1919" s="15" t="s">
        <v>289</v>
      </c>
      <c r="C1919" s="16" t="s">
        <v>31</v>
      </c>
      <c r="D1919" s="16" t="s">
        <v>31</v>
      </c>
      <c r="E1919" s="15" t="s">
        <v>32</v>
      </c>
      <c r="F1919" s="15" t="s">
        <v>314</v>
      </c>
      <c r="N1919" s="21" t="s">
        <v>96</v>
      </c>
      <c r="O1919" s="21" t="s">
        <v>336</v>
      </c>
      <c r="Q1919" s="21" t="s">
        <v>344</v>
      </c>
      <c r="R1919" s="22">
        <v>45756</v>
      </c>
      <c r="W1919">
        <f>COUNTIF(マネックス証券!U:U,B1919)</f>
        <v>0</v>
      </c>
    </row>
    <row r="1920" spans="1:23" ht="24.95" hidden="1" customHeight="1" x14ac:dyDescent="0.4">
      <c r="A1920" s="17" t="s">
        <v>72</v>
      </c>
      <c r="B1920" s="15" t="s">
        <v>290</v>
      </c>
      <c r="C1920" s="16" t="s">
        <v>31</v>
      </c>
      <c r="D1920" s="16" t="s">
        <v>31</v>
      </c>
      <c r="E1920" s="15" t="s">
        <v>32</v>
      </c>
      <c r="F1920" s="15" t="s">
        <v>314</v>
      </c>
      <c r="N1920" s="21" t="s">
        <v>96</v>
      </c>
      <c r="O1920" s="21" t="s">
        <v>336</v>
      </c>
      <c r="Q1920" s="21" t="s">
        <v>344</v>
      </c>
      <c r="R1920" s="22">
        <v>45756</v>
      </c>
      <c r="W1920">
        <f>COUNTIF(マネックス証券!U:U,B1920)</f>
        <v>0</v>
      </c>
    </row>
    <row r="1921" spans="1:23" ht="24.95" hidden="1" customHeight="1" x14ac:dyDescent="0.4">
      <c r="A1921" s="17" t="s">
        <v>72</v>
      </c>
      <c r="B1921" s="15" t="s">
        <v>291</v>
      </c>
      <c r="C1921" s="16" t="s">
        <v>31</v>
      </c>
      <c r="D1921" s="16" t="s">
        <v>31</v>
      </c>
      <c r="E1921" s="15" t="s">
        <v>32</v>
      </c>
      <c r="F1921" s="15" t="s">
        <v>314</v>
      </c>
      <c r="N1921" s="21" t="s">
        <v>96</v>
      </c>
      <c r="O1921" s="21" t="s">
        <v>336</v>
      </c>
      <c r="Q1921" s="21" t="s">
        <v>344</v>
      </c>
      <c r="R1921" s="22">
        <v>45756</v>
      </c>
      <c r="W1921">
        <f>COUNTIF(マネックス証券!U:U,B1921)</f>
        <v>0</v>
      </c>
    </row>
    <row r="1922" spans="1:23" ht="24.95" hidden="1" customHeight="1" x14ac:dyDescent="0.4">
      <c r="A1922" s="17" t="s">
        <v>72</v>
      </c>
      <c r="B1922" s="15" t="s">
        <v>292</v>
      </c>
      <c r="C1922" s="16" t="s">
        <v>31</v>
      </c>
      <c r="D1922" s="16" t="s">
        <v>31</v>
      </c>
      <c r="E1922" s="15" t="s">
        <v>32</v>
      </c>
      <c r="F1922" s="15" t="s">
        <v>314</v>
      </c>
      <c r="N1922" s="21" t="s">
        <v>96</v>
      </c>
      <c r="O1922" s="21" t="s">
        <v>336</v>
      </c>
      <c r="Q1922" s="21" t="s">
        <v>344</v>
      </c>
      <c r="R1922" s="22">
        <v>45756</v>
      </c>
      <c r="W1922">
        <f>COUNTIF(マネックス証券!U:U,B1922)</f>
        <v>0</v>
      </c>
    </row>
    <row r="1923" spans="1:23" ht="24.95" hidden="1" customHeight="1" x14ac:dyDescent="0.4">
      <c r="A1923" s="17" t="s">
        <v>72</v>
      </c>
      <c r="B1923" s="15" t="s">
        <v>293</v>
      </c>
      <c r="C1923" s="16" t="s">
        <v>31</v>
      </c>
      <c r="D1923" s="16" t="s">
        <v>31</v>
      </c>
      <c r="E1923" s="15" t="s">
        <v>32</v>
      </c>
      <c r="F1923" s="15" t="s">
        <v>314</v>
      </c>
      <c r="N1923" s="21" t="s">
        <v>96</v>
      </c>
      <c r="O1923" s="21" t="s">
        <v>336</v>
      </c>
      <c r="Q1923" s="21" t="s">
        <v>344</v>
      </c>
      <c r="R1923" s="22">
        <v>45756</v>
      </c>
      <c r="W1923">
        <f>COUNTIF(マネックス証券!U:U,B1923)</f>
        <v>0</v>
      </c>
    </row>
    <row r="1924" spans="1:23" ht="24.95" hidden="1" customHeight="1" x14ac:dyDescent="0.4">
      <c r="A1924" s="17" t="s">
        <v>72</v>
      </c>
      <c r="B1924" s="15" t="s">
        <v>294</v>
      </c>
      <c r="C1924" s="16" t="s">
        <v>31</v>
      </c>
      <c r="D1924" s="16" t="s">
        <v>31</v>
      </c>
      <c r="E1924" s="15" t="s">
        <v>32</v>
      </c>
      <c r="F1924" s="15" t="s">
        <v>314</v>
      </c>
      <c r="N1924" s="21" t="s">
        <v>96</v>
      </c>
      <c r="O1924" s="21" t="s">
        <v>336</v>
      </c>
      <c r="Q1924" s="21" t="s">
        <v>344</v>
      </c>
      <c r="R1924" s="22">
        <v>45756</v>
      </c>
      <c r="W1924">
        <f>COUNTIF(マネックス証券!U:U,B1924)</f>
        <v>0</v>
      </c>
    </row>
    <row r="1925" spans="1:23" ht="24.95" hidden="1" customHeight="1" x14ac:dyDescent="0.4">
      <c r="A1925" s="17" t="s">
        <v>72</v>
      </c>
      <c r="B1925" s="15" t="s">
        <v>295</v>
      </c>
      <c r="C1925" s="16" t="s">
        <v>31</v>
      </c>
      <c r="D1925" s="16" t="s">
        <v>31</v>
      </c>
      <c r="E1925" s="15" t="s">
        <v>32</v>
      </c>
      <c r="F1925" s="15" t="s">
        <v>314</v>
      </c>
      <c r="N1925" s="21" t="s">
        <v>96</v>
      </c>
      <c r="O1925" s="21" t="s">
        <v>336</v>
      </c>
      <c r="Q1925" s="21" t="s">
        <v>344</v>
      </c>
      <c r="R1925" s="22">
        <v>45756</v>
      </c>
      <c r="W1925">
        <f>COUNTIF(マネックス証券!U:U,B1925)</f>
        <v>0</v>
      </c>
    </row>
    <row r="1926" spans="1:23" ht="24.95" hidden="1" customHeight="1" x14ac:dyDescent="0.4">
      <c r="A1926" s="17" t="s">
        <v>72</v>
      </c>
      <c r="B1926" s="15" t="s">
        <v>296</v>
      </c>
      <c r="C1926" s="16" t="s">
        <v>31</v>
      </c>
      <c r="D1926" s="16" t="s">
        <v>31</v>
      </c>
      <c r="E1926" s="15" t="s">
        <v>32</v>
      </c>
      <c r="F1926" s="15" t="s">
        <v>314</v>
      </c>
      <c r="N1926" s="21" t="s">
        <v>96</v>
      </c>
      <c r="O1926" s="21" t="s">
        <v>336</v>
      </c>
      <c r="Q1926" s="21" t="s">
        <v>344</v>
      </c>
      <c r="R1926" s="22">
        <v>45756</v>
      </c>
      <c r="W1926">
        <f>COUNTIF(マネックス証券!U:U,B1926)</f>
        <v>0</v>
      </c>
    </row>
    <row r="1927" spans="1:23" ht="24.95" hidden="1" customHeight="1" x14ac:dyDescent="0.4">
      <c r="A1927" s="17" t="s">
        <v>72</v>
      </c>
      <c r="B1927" s="15" t="s">
        <v>297</v>
      </c>
      <c r="C1927" s="16" t="s">
        <v>31</v>
      </c>
      <c r="D1927" s="16" t="s">
        <v>31</v>
      </c>
      <c r="E1927" s="15" t="s">
        <v>32</v>
      </c>
      <c r="F1927" s="15" t="s">
        <v>314</v>
      </c>
      <c r="N1927" s="21" t="s">
        <v>96</v>
      </c>
      <c r="O1927" s="21" t="s">
        <v>336</v>
      </c>
      <c r="Q1927" s="21" t="s">
        <v>344</v>
      </c>
      <c r="R1927" s="22">
        <v>45756</v>
      </c>
      <c r="W1927">
        <f>COUNTIF(マネックス証券!U:U,B1927)</f>
        <v>0</v>
      </c>
    </row>
    <row r="1928" spans="1:23" ht="24.95" hidden="1" customHeight="1" x14ac:dyDescent="0.4">
      <c r="A1928" s="17" t="s">
        <v>72</v>
      </c>
      <c r="B1928" s="15" t="s">
        <v>298</v>
      </c>
      <c r="C1928" s="16" t="s">
        <v>31</v>
      </c>
      <c r="D1928" s="16" t="s">
        <v>31</v>
      </c>
      <c r="E1928" s="15" t="s">
        <v>32</v>
      </c>
      <c r="F1928" s="15" t="s">
        <v>314</v>
      </c>
      <c r="N1928" s="21" t="s">
        <v>96</v>
      </c>
      <c r="O1928" s="21" t="s">
        <v>336</v>
      </c>
      <c r="Q1928" s="21" t="s">
        <v>344</v>
      </c>
      <c r="R1928" s="22">
        <v>45756</v>
      </c>
      <c r="W1928">
        <f>COUNTIF(マネックス証券!U:U,B1928)</f>
        <v>0</v>
      </c>
    </row>
    <row r="1929" spans="1:23" ht="24.95" hidden="1" customHeight="1" x14ac:dyDescent="0.4">
      <c r="A1929" s="17" t="s">
        <v>72</v>
      </c>
      <c r="B1929" s="15" t="s">
        <v>299</v>
      </c>
      <c r="C1929" s="16" t="s">
        <v>31</v>
      </c>
      <c r="D1929" s="16" t="s">
        <v>31</v>
      </c>
      <c r="E1929" s="15" t="s">
        <v>32</v>
      </c>
      <c r="F1929" s="15" t="s">
        <v>314</v>
      </c>
      <c r="N1929" s="21" t="s">
        <v>96</v>
      </c>
      <c r="O1929" s="21" t="s">
        <v>336</v>
      </c>
      <c r="Q1929" s="21" t="s">
        <v>344</v>
      </c>
      <c r="R1929" s="22">
        <v>45756</v>
      </c>
      <c r="W1929">
        <f>COUNTIF(マネックス証券!U:U,B1929)</f>
        <v>0</v>
      </c>
    </row>
    <row r="1930" spans="1:23" ht="24.95" hidden="1" customHeight="1" x14ac:dyDescent="0.4">
      <c r="A1930" s="17" t="s">
        <v>72</v>
      </c>
      <c r="B1930" s="15" t="s">
        <v>300</v>
      </c>
      <c r="C1930" s="16" t="s">
        <v>31</v>
      </c>
      <c r="D1930" s="16" t="s">
        <v>31</v>
      </c>
      <c r="E1930" s="15" t="s">
        <v>32</v>
      </c>
      <c r="F1930" s="15" t="s">
        <v>314</v>
      </c>
      <c r="N1930" s="21" t="s">
        <v>96</v>
      </c>
      <c r="O1930" s="21" t="s">
        <v>336</v>
      </c>
      <c r="Q1930" s="21" t="s">
        <v>344</v>
      </c>
      <c r="R1930" s="22">
        <v>45756</v>
      </c>
      <c r="W1930">
        <f>COUNTIF(マネックス証券!U:U,B1930)</f>
        <v>0</v>
      </c>
    </row>
    <row r="1931" spans="1:23" ht="24.95" hidden="1" customHeight="1" x14ac:dyDescent="0.4">
      <c r="A1931" s="17" t="s">
        <v>72</v>
      </c>
      <c r="B1931" s="15" t="s">
        <v>301</v>
      </c>
      <c r="C1931" s="16" t="s">
        <v>31</v>
      </c>
      <c r="D1931" s="16" t="s">
        <v>31</v>
      </c>
      <c r="E1931" s="15" t="s">
        <v>32</v>
      </c>
      <c r="F1931" s="15" t="s">
        <v>314</v>
      </c>
      <c r="N1931" s="21" t="s">
        <v>96</v>
      </c>
      <c r="O1931" s="21" t="s">
        <v>336</v>
      </c>
      <c r="Q1931" s="21" t="s">
        <v>344</v>
      </c>
      <c r="R1931" s="22">
        <v>45756</v>
      </c>
      <c r="W1931">
        <f>COUNTIF(マネックス証券!U:U,B1931)</f>
        <v>0</v>
      </c>
    </row>
    <row r="1932" spans="1:23" ht="24.95" hidden="1" customHeight="1" x14ac:dyDescent="0.4">
      <c r="A1932" s="17" t="s">
        <v>72</v>
      </c>
      <c r="B1932" s="15" t="s">
        <v>302</v>
      </c>
      <c r="C1932" s="16" t="s">
        <v>31</v>
      </c>
      <c r="D1932" s="16" t="s">
        <v>31</v>
      </c>
      <c r="E1932" s="15" t="s">
        <v>32</v>
      </c>
      <c r="F1932" s="15" t="s">
        <v>314</v>
      </c>
      <c r="N1932" s="21" t="s">
        <v>96</v>
      </c>
      <c r="O1932" s="21" t="s">
        <v>336</v>
      </c>
      <c r="Q1932" s="21" t="s">
        <v>344</v>
      </c>
      <c r="R1932" s="22">
        <v>45756</v>
      </c>
      <c r="W1932">
        <f>COUNTIF(マネックス証券!U:U,B1932)</f>
        <v>0</v>
      </c>
    </row>
    <row r="1933" spans="1:23" ht="24.95" hidden="1" customHeight="1" x14ac:dyDescent="0.4">
      <c r="A1933" s="17" t="s">
        <v>72</v>
      </c>
      <c r="B1933" s="15" t="s">
        <v>303</v>
      </c>
      <c r="C1933" s="16" t="s">
        <v>31</v>
      </c>
      <c r="D1933" s="16" t="s">
        <v>31</v>
      </c>
      <c r="E1933" s="15" t="s">
        <v>32</v>
      </c>
      <c r="F1933" s="15" t="s">
        <v>314</v>
      </c>
      <c r="N1933" s="21" t="s">
        <v>96</v>
      </c>
      <c r="O1933" s="21" t="s">
        <v>336</v>
      </c>
      <c r="Q1933" s="21" t="s">
        <v>344</v>
      </c>
      <c r="R1933" s="22">
        <v>45756</v>
      </c>
      <c r="W1933">
        <f>COUNTIF(マネックス証券!U:U,B1933)</f>
        <v>0</v>
      </c>
    </row>
    <row r="1934" spans="1:23" ht="24.95" hidden="1" customHeight="1" x14ac:dyDescent="0.4">
      <c r="A1934" s="17" t="s">
        <v>72</v>
      </c>
      <c r="B1934" s="15" t="s">
        <v>304</v>
      </c>
      <c r="C1934" s="16" t="s">
        <v>31</v>
      </c>
      <c r="D1934" s="16" t="s">
        <v>31</v>
      </c>
      <c r="E1934" s="15" t="s">
        <v>32</v>
      </c>
      <c r="F1934" s="15" t="s">
        <v>314</v>
      </c>
      <c r="N1934" s="21" t="s">
        <v>96</v>
      </c>
      <c r="O1934" s="21" t="s">
        <v>336</v>
      </c>
      <c r="Q1934" s="21" t="s">
        <v>344</v>
      </c>
      <c r="R1934" s="22">
        <v>45756</v>
      </c>
      <c r="W1934">
        <f>COUNTIF(マネックス証券!U:U,B1934)</f>
        <v>0</v>
      </c>
    </row>
    <row r="1935" spans="1:23" ht="24.95" hidden="1" customHeight="1" x14ac:dyDescent="0.4">
      <c r="A1935" s="17" t="s">
        <v>72</v>
      </c>
      <c r="B1935" s="15" t="s">
        <v>305</v>
      </c>
      <c r="C1935" s="16" t="s">
        <v>31</v>
      </c>
      <c r="D1935" s="16" t="s">
        <v>31</v>
      </c>
      <c r="E1935" s="15" t="s">
        <v>32</v>
      </c>
      <c r="F1935" s="15" t="s">
        <v>314</v>
      </c>
      <c r="N1935" s="21" t="s">
        <v>96</v>
      </c>
      <c r="O1935" s="21" t="s">
        <v>336</v>
      </c>
      <c r="Q1935" s="21" t="s">
        <v>344</v>
      </c>
      <c r="R1935" s="22">
        <v>45756</v>
      </c>
      <c r="W1935">
        <f>COUNTIF(マネックス証券!U:U,B1935)</f>
        <v>0</v>
      </c>
    </row>
    <row r="1936" spans="1:23" ht="24.95" hidden="1" customHeight="1" x14ac:dyDescent="0.4">
      <c r="A1936" s="17" t="s">
        <v>72</v>
      </c>
      <c r="B1936" s="15" t="s">
        <v>370</v>
      </c>
      <c r="C1936" s="16" t="s">
        <v>31</v>
      </c>
      <c r="D1936" s="16" t="s">
        <v>31</v>
      </c>
      <c r="E1936" s="15" t="s">
        <v>32</v>
      </c>
      <c r="F1936" s="15" t="s">
        <v>365</v>
      </c>
      <c r="N1936" s="21" t="s">
        <v>374</v>
      </c>
      <c r="O1936" s="21" t="s">
        <v>373</v>
      </c>
      <c r="Q1936" s="21" t="s">
        <v>344</v>
      </c>
      <c r="R1936" s="22">
        <v>45883</v>
      </c>
      <c r="W1936">
        <f>COUNTIF(マネックス証券!U:U,B1936)</f>
        <v>0</v>
      </c>
    </row>
    <row r="1937" spans="1:26" ht="24.95" hidden="1" customHeight="1" x14ac:dyDescent="0.4">
      <c r="A1937" s="17" t="s">
        <v>72</v>
      </c>
      <c r="B1937" s="15" t="s">
        <v>371</v>
      </c>
      <c r="C1937" s="16" t="s">
        <v>31</v>
      </c>
      <c r="D1937" s="16" t="s">
        <v>31</v>
      </c>
      <c r="E1937" s="15" t="s">
        <v>32</v>
      </c>
      <c r="F1937" s="15" t="s">
        <v>365</v>
      </c>
      <c r="N1937" s="21" t="s">
        <v>374</v>
      </c>
      <c r="O1937" s="21" t="s">
        <v>373</v>
      </c>
      <c r="Q1937" s="21" t="s">
        <v>344</v>
      </c>
      <c r="R1937" s="22">
        <v>45883</v>
      </c>
      <c r="W1937">
        <f>COUNTIF(マネックス証券!U:U,B1937)</f>
        <v>0</v>
      </c>
    </row>
    <row r="1938" spans="1:26" ht="24.95" hidden="1" customHeight="1" x14ac:dyDescent="0.4">
      <c r="A1938" s="17" t="s">
        <v>72</v>
      </c>
      <c r="B1938" s="15" t="s">
        <v>306</v>
      </c>
      <c r="C1938" s="16" t="s">
        <v>24</v>
      </c>
      <c r="D1938" s="16" t="s">
        <v>31</v>
      </c>
      <c r="E1938" s="15" t="s">
        <v>35</v>
      </c>
      <c r="F1938" s="15" t="s">
        <v>314</v>
      </c>
      <c r="N1938" s="21" t="s">
        <v>96</v>
      </c>
      <c r="O1938" s="21" t="s">
        <v>336</v>
      </c>
      <c r="Q1938" s="21" t="s">
        <v>344</v>
      </c>
      <c r="R1938" s="22">
        <v>45756</v>
      </c>
      <c r="W1938">
        <f>COUNTIF(マネックス証券!U:U,B1938)</f>
        <v>0</v>
      </c>
    </row>
    <row r="1939" spans="1:26" ht="24.95" hidden="1" customHeight="1" x14ac:dyDescent="0.4">
      <c r="A1939" s="17" t="s">
        <v>72</v>
      </c>
      <c r="B1939" s="15" t="s">
        <v>307</v>
      </c>
      <c r="C1939" s="16" t="s">
        <v>31</v>
      </c>
      <c r="D1939" s="16" t="s">
        <v>31</v>
      </c>
      <c r="E1939" s="15" t="s">
        <v>32</v>
      </c>
      <c r="F1939" s="15" t="s">
        <v>314</v>
      </c>
      <c r="N1939" s="21" t="s">
        <v>96</v>
      </c>
      <c r="O1939" s="21" t="s">
        <v>336</v>
      </c>
      <c r="Q1939" s="21" t="s">
        <v>344</v>
      </c>
      <c r="R1939" s="22">
        <v>45756</v>
      </c>
      <c r="W1939">
        <f>COUNTIF(マネックス証券!U:U,B1939)</f>
        <v>0</v>
      </c>
    </row>
    <row r="1940" spans="1:26" ht="24.95" hidden="1" customHeight="1" x14ac:dyDescent="0.4">
      <c r="A1940" s="17" t="s">
        <v>72</v>
      </c>
      <c r="B1940" s="15" t="s">
        <v>38</v>
      </c>
      <c r="C1940" s="16" t="s">
        <v>31</v>
      </c>
      <c r="D1940" s="16" t="s">
        <v>31</v>
      </c>
      <c r="E1940" s="15" t="s">
        <v>32</v>
      </c>
      <c r="F1940" s="15" t="s">
        <v>80</v>
      </c>
      <c r="N1940" s="21" t="s">
        <v>96</v>
      </c>
      <c r="O1940" s="13" t="s">
        <v>353</v>
      </c>
      <c r="Q1940" s="21" t="s">
        <v>344</v>
      </c>
      <c r="R1940" s="22">
        <v>45814</v>
      </c>
      <c r="W1940">
        <f>COUNTIF(マネックス証券!U:U,B1940)</f>
        <v>0</v>
      </c>
    </row>
    <row r="1941" spans="1:26" ht="24.95" hidden="1" customHeight="1" x14ac:dyDescent="0.4">
      <c r="A1941" s="17" t="s">
        <v>72</v>
      </c>
      <c r="B1941" s="15" t="s">
        <v>119</v>
      </c>
      <c r="C1941" s="16" t="s">
        <v>31</v>
      </c>
      <c r="D1941" s="16" t="s">
        <v>31</v>
      </c>
      <c r="E1941" s="15" t="s">
        <v>32</v>
      </c>
      <c r="F1941" s="15" t="s">
        <v>365</v>
      </c>
      <c r="N1941" s="21" t="s">
        <v>374</v>
      </c>
      <c r="O1941" s="21" t="s">
        <v>375</v>
      </c>
      <c r="Q1941" s="21" t="s">
        <v>344</v>
      </c>
      <c r="R1941" s="22">
        <v>45883</v>
      </c>
      <c r="W1941">
        <f>COUNTIF(マネックス証券!U:U,B1941)</f>
        <v>0</v>
      </c>
    </row>
    <row r="1942" spans="1:26" ht="24.95" hidden="1" customHeight="1" x14ac:dyDescent="0.4">
      <c r="A1942" s="17" t="s">
        <v>72</v>
      </c>
      <c r="B1942" s="15" t="s">
        <v>120</v>
      </c>
      <c r="C1942" s="16" t="s">
        <v>31</v>
      </c>
      <c r="D1942" s="16" t="s">
        <v>31</v>
      </c>
      <c r="E1942" s="15" t="s">
        <v>32</v>
      </c>
      <c r="F1942" s="15" t="s">
        <v>314</v>
      </c>
      <c r="N1942" s="21" t="s">
        <v>96</v>
      </c>
      <c r="O1942" s="13" t="s">
        <v>339</v>
      </c>
      <c r="Q1942" s="21" t="s">
        <v>344</v>
      </c>
      <c r="R1942" s="22">
        <v>45756</v>
      </c>
      <c r="W1942">
        <f>COUNTIF(マネックス証券!U:U,B1942)</f>
        <v>0</v>
      </c>
    </row>
    <row r="1943" spans="1:26" ht="24.95" hidden="1" customHeight="1" x14ac:dyDescent="0.4">
      <c r="A1943" s="17" t="s">
        <v>72</v>
      </c>
      <c r="B1943" s="15" t="s">
        <v>39</v>
      </c>
      <c r="C1943" s="16" t="s">
        <v>31</v>
      </c>
      <c r="D1943" s="16" t="s">
        <v>31</v>
      </c>
      <c r="E1943" s="15" t="s">
        <v>32</v>
      </c>
      <c r="F1943" s="15" t="s">
        <v>221</v>
      </c>
      <c r="N1943" s="21" t="s">
        <v>96</v>
      </c>
      <c r="O1943" s="13" t="s">
        <v>350</v>
      </c>
      <c r="Q1943" s="21" t="s">
        <v>344</v>
      </c>
      <c r="R1943" s="22">
        <v>45814</v>
      </c>
      <c r="W1943">
        <f>COUNTIF(マネックス証券!U:U,B1943)</f>
        <v>0</v>
      </c>
      <c r="Z1943" t="s">
        <v>431</v>
      </c>
    </row>
    <row r="1944" spans="1:26" ht="24.95" hidden="1" customHeight="1" x14ac:dyDescent="0.4">
      <c r="A1944" s="17" t="s">
        <v>72</v>
      </c>
      <c r="B1944" s="15" t="s">
        <v>220</v>
      </c>
      <c r="C1944" s="16" t="s">
        <v>31</v>
      </c>
      <c r="D1944" s="16" t="s">
        <v>31</v>
      </c>
      <c r="E1944" s="15" t="s">
        <v>32</v>
      </c>
      <c r="F1944" s="15" t="s">
        <v>221</v>
      </c>
      <c r="N1944" s="21" t="s">
        <v>96</v>
      </c>
      <c r="O1944" s="21" t="s">
        <v>338</v>
      </c>
      <c r="Q1944" s="21" t="s">
        <v>344</v>
      </c>
      <c r="R1944" s="22">
        <v>45814</v>
      </c>
      <c r="W1944">
        <f>COUNTIF(マネックス証券!U:U,B1944)</f>
        <v>0</v>
      </c>
    </row>
    <row r="1945" spans="1:26" ht="24.95" hidden="1" customHeight="1" x14ac:dyDescent="0.4">
      <c r="A1945" s="17" t="s">
        <v>72</v>
      </c>
      <c r="B1945" s="15" t="s">
        <v>172</v>
      </c>
      <c r="C1945" s="16" t="s">
        <v>31</v>
      </c>
      <c r="D1945" s="16" t="s">
        <v>31</v>
      </c>
      <c r="E1945" s="15" t="s">
        <v>32</v>
      </c>
      <c r="F1945" s="15" t="s">
        <v>173</v>
      </c>
      <c r="N1945" s="21" t="s">
        <v>96</v>
      </c>
      <c r="O1945" s="21" t="s">
        <v>336</v>
      </c>
      <c r="Q1945" s="21" t="s">
        <v>344</v>
      </c>
      <c r="R1945" s="22">
        <v>45814</v>
      </c>
      <c r="W1945">
        <f>COUNTIF(マネックス証券!U:U,B1945)</f>
        <v>0</v>
      </c>
    </row>
    <row r="1946" spans="1:26" ht="24.95" hidden="1" customHeight="1" x14ac:dyDescent="0.4">
      <c r="A1946" s="17" t="s">
        <v>72</v>
      </c>
      <c r="B1946" s="15" t="s">
        <v>111</v>
      </c>
      <c r="C1946" s="16" t="s">
        <v>31</v>
      </c>
      <c r="D1946" s="16" t="s">
        <v>31</v>
      </c>
      <c r="E1946" s="15" t="s">
        <v>32</v>
      </c>
      <c r="F1946" s="15" t="s">
        <v>314</v>
      </c>
      <c r="N1946" s="21" t="s">
        <v>96</v>
      </c>
      <c r="O1946" s="13" t="s">
        <v>339</v>
      </c>
      <c r="Q1946" s="21" t="s">
        <v>344</v>
      </c>
      <c r="R1946" s="22">
        <v>45756</v>
      </c>
      <c r="W1946">
        <f>COUNTIF(マネックス証券!U:U,B1946)</f>
        <v>0</v>
      </c>
    </row>
    <row r="1947" spans="1:26" ht="24.95" hidden="1" customHeight="1" x14ac:dyDescent="0.4">
      <c r="A1947" s="17" t="s">
        <v>72</v>
      </c>
      <c r="B1947" s="15" t="s">
        <v>42</v>
      </c>
      <c r="C1947" s="16" t="s">
        <v>31</v>
      </c>
      <c r="D1947" s="16" t="s">
        <v>31</v>
      </c>
      <c r="E1947" s="15" t="s">
        <v>32</v>
      </c>
      <c r="F1947" s="15" t="s">
        <v>221</v>
      </c>
      <c r="N1947" s="21" t="s">
        <v>96</v>
      </c>
      <c r="O1947" s="13" t="s">
        <v>351</v>
      </c>
      <c r="Q1947" s="21" t="s">
        <v>344</v>
      </c>
      <c r="R1947" s="22">
        <v>45814</v>
      </c>
      <c r="W1947">
        <f>COUNTIF(マネックス証券!U:U,B1947)</f>
        <v>0</v>
      </c>
    </row>
    <row r="1948" spans="1:26" ht="24.95" hidden="1" customHeight="1" x14ac:dyDescent="0.4">
      <c r="A1948" s="17" t="s">
        <v>72</v>
      </c>
      <c r="B1948" s="15" t="s">
        <v>330</v>
      </c>
      <c r="C1948" s="16" t="s">
        <v>31</v>
      </c>
      <c r="D1948" s="16" t="s">
        <v>31</v>
      </c>
      <c r="E1948" s="15" t="s">
        <v>32</v>
      </c>
      <c r="F1948" s="15" t="s">
        <v>314</v>
      </c>
      <c r="N1948" s="21" t="s">
        <v>96</v>
      </c>
      <c r="O1948" s="21" t="s">
        <v>338</v>
      </c>
      <c r="Q1948" s="21" t="s">
        <v>344</v>
      </c>
      <c r="R1948" s="22">
        <v>45756</v>
      </c>
      <c r="W1948">
        <f>COUNTIF(マネックス証券!U:U,B1948)</f>
        <v>0</v>
      </c>
    </row>
    <row r="1949" spans="1:26" ht="24.95" hidden="1" customHeight="1" x14ac:dyDescent="0.4">
      <c r="A1949" s="17" t="s">
        <v>72</v>
      </c>
      <c r="B1949" s="15" t="s">
        <v>43</v>
      </c>
      <c r="C1949" s="16" t="s">
        <v>31</v>
      </c>
      <c r="D1949" s="16" t="s">
        <v>31</v>
      </c>
      <c r="E1949" s="15" t="s">
        <v>32</v>
      </c>
      <c r="F1949" s="15" t="s">
        <v>356</v>
      </c>
      <c r="N1949" s="21" t="s">
        <v>96</v>
      </c>
      <c r="O1949" s="21" t="s">
        <v>360</v>
      </c>
      <c r="Q1949" s="21" t="s">
        <v>344</v>
      </c>
      <c r="R1949" s="22">
        <v>45847</v>
      </c>
      <c r="W1949">
        <f>COUNTIF(マネックス証券!U:U,B1949)</f>
        <v>0</v>
      </c>
    </row>
    <row r="1950" spans="1:26" ht="24.95" hidden="1" customHeight="1" x14ac:dyDescent="0.4">
      <c r="A1950" s="17" t="s">
        <v>72</v>
      </c>
      <c r="B1950" s="15" t="s">
        <v>95</v>
      </c>
      <c r="C1950" s="16" t="s">
        <v>31</v>
      </c>
      <c r="D1950" s="16" t="s">
        <v>31</v>
      </c>
      <c r="E1950" s="15" t="s">
        <v>32</v>
      </c>
      <c r="F1950" s="15" t="s">
        <v>94</v>
      </c>
      <c r="G1950" s="25" t="s">
        <v>40</v>
      </c>
      <c r="H1950" s="24" t="s">
        <v>96</v>
      </c>
      <c r="I1950" s="24" t="s">
        <v>109</v>
      </c>
      <c r="J1950" s="24" t="s">
        <v>110</v>
      </c>
      <c r="K1950" s="23">
        <v>44725</v>
      </c>
      <c r="L1950" s="23">
        <v>44723</v>
      </c>
      <c r="N1950" s="21" t="s">
        <v>96</v>
      </c>
      <c r="O1950" s="13" t="s">
        <v>105</v>
      </c>
      <c r="R1950" s="22" t="s">
        <v>24</v>
      </c>
      <c r="W1950">
        <f>COUNTIF(マネックス証券!U:U,B1950)</f>
        <v>0</v>
      </c>
      <c r="Z1950" t="s">
        <v>435</v>
      </c>
    </row>
    <row r="1951" spans="1:26" ht="24.95" hidden="1" customHeight="1" x14ac:dyDescent="0.4">
      <c r="A1951" s="17" t="s">
        <v>72</v>
      </c>
      <c r="B1951" s="15" t="s">
        <v>103</v>
      </c>
      <c r="C1951" s="16" t="s">
        <v>31</v>
      </c>
      <c r="D1951" s="16" t="s">
        <v>31</v>
      </c>
      <c r="E1951" s="15" t="s">
        <v>32</v>
      </c>
      <c r="F1951" s="15" t="s">
        <v>102</v>
      </c>
      <c r="N1951" s="21" t="s">
        <v>96</v>
      </c>
      <c r="O1951" s="13" t="s">
        <v>106</v>
      </c>
      <c r="R1951" s="22" t="s">
        <v>24</v>
      </c>
      <c r="W1951">
        <f>COUNTIF(マネックス証券!U:U,B1951)</f>
        <v>0</v>
      </c>
      <c r="Z1951" t="s">
        <v>435</v>
      </c>
    </row>
    <row r="1952" spans="1:26" ht="24.95" hidden="1" customHeight="1" x14ac:dyDescent="0.4">
      <c r="A1952" s="17" t="s">
        <v>72</v>
      </c>
      <c r="B1952" s="15" t="s">
        <v>343</v>
      </c>
      <c r="C1952" s="16" t="s">
        <v>31</v>
      </c>
      <c r="D1952" s="16" t="s">
        <v>31</v>
      </c>
      <c r="E1952" s="15" t="s">
        <v>32</v>
      </c>
      <c r="F1952" s="15" t="s">
        <v>340</v>
      </c>
      <c r="N1952" s="21" t="s">
        <v>96</v>
      </c>
      <c r="O1952" s="21" t="s">
        <v>345</v>
      </c>
      <c r="Q1952" s="21" t="s">
        <v>344</v>
      </c>
      <c r="R1952" s="22">
        <v>45784</v>
      </c>
      <c r="W1952">
        <f>COUNTIF(マネックス証券!U:U,B1952)</f>
        <v>0</v>
      </c>
    </row>
    <row r="1953" spans="1:26" ht="24.95" hidden="1" customHeight="1" x14ac:dyDescent="0.4">
      <c r="A1953" s="17" t="s">
        <v>72</v>
      </c>
      <c r="B1953" s="15" t="s">
        <v>121</v>
      </c>
      <c r="C1953" s="16" t="s">
        <v>31</v>
      </c>
      <c r="D1953" s="16" t="s">
        <v>31</v>
      </c>
      <c r="E1953" s="15" t="s">
        <v>32</v>
      </c>
      <c r="F1953" s="15" t="s">
        <v>314</v>
      </c>
      <c r="N1953" s="21" t="s">
        <v>96</v>
      </c>
      <c r="O1953" s="21" t="s">
        <v>336</v>
      </c>
      <c r="Q1953" s="21" t="s">
        <v>344</v>
      </c>
      <c r="R1953" s="22">
        <v>45756</v>
      </c>
      <c r="W1953">
        <f>COUNTIF(マネックス証券!U:U,B1953)</f>
        <v>0</v>
      </c>
    </row>
    <row r="1954" spans="1:26" ht="24.95" hidden="1" customHeight="1" x14ac:dyDescent="0.4">
      <c r="A1954" s="17" t="s">
        <v>72</v>
      </c>
      <c r="B1954" s="15" t="s">
        <v>44</v>
      </c>
      <c r="C1954" s="16" t="s">
        <v>31</v>
      </c>
      <c r="D1954" s="16" t="s">
        <v>31</v>
      </c>
      <c r="E1954" s="15" t="s">
        <v>32</v>
      </c>
      <c r="F1954" s="15" t="s">
        <v>221</v>
      </c>
      <c r="N1954" s="21" t="s">
        <v>96</v>
      </c>
      <c r="O1954" s="13" t="s">
        <v>359</v>
      </c>
      <c r="Q1954" s="21" t="s">
        <v>344</v>
      </c>
      <c r="R1954" s="22">
        <v>45814</v>
      </c>
      <c r="W1954">
        <f>COUNTIF(マネックス証券!U:U,B1954)</f>
        <v>0</v>
      </c>
    </row>
    <row r="1955" spans="1:26" ht="24.95" hidden="1" customHeight="1" x14ac:dyDescent="0.4">
      <c r="A1955" s="17" t="s">
        <v>72</v>
      </c>
      <c r="B1955" s="15" t="s">
        <v>45</v>
      </c>
      <c r="C1955" s="16" t="s">
        <v>31</v>
      </c>
      <c r="D1955" s="16" t="s">
        <v>31</v>
      </c>
      <c r="E1955" s="15" t="s">
        <v>32</v>
      </c>
      <c r="F1955" s="15" t="s">
        <v>314</v>
      </c>
      <c r="N1955" s="21" t="s">
        <v>96</v>
      </c>
      <c r="O1955" s="21" t="s">
        <v>338</v>
      </c>
      <c r="Q1955" s="21" t="s">
        <v>344</v>
      </c>
      <c r="R1955" s="22">
        <v>45756</v>
      </c>
      <c r="W1955">
        <f>COUNTIF(マネックス証券!U:U,B1955)</f>
        <v>0</v>
      </c>
      <c r="Z1955" t="s">
        <v>431</v>
      </c>
    </row>
    <row r="1956" spans="1:26" ht="24.95" customHeight="1" x14ac:dyDescent="0.4">
      <c r="A1956" s="17" t="s">
        <v>72</v>
      </c>
      <c r="B1956" s="50" t="s">
        <v>469</v>
      </c>
      <c r="C1956" s="16" t="s">
        <v>31</v>
      </c>
      <c r="D1956" s="16" t="s">
        <v>31</v>
      </c>
      <c r="E1956" s="15" t="s">
        <v>32</v>
      </c>
      <c r="F1956" s="15" t="s">
        <v>365</v>
      </c>
      <c r="N1956" s="21" t="s">
        <v>374</v>
      </c>
      <c r="O1956" s="13" t="s">
        <v>468</v>
      </c>
      <c r="Q1956" s="21" t="s">
        <v>344</v>
      </c>
      <c r="R1956" s="22">
        <v>45883</v>
      </c>
      <c r="W1956">
        <f>COUNTIF(マネックス証券!U:U,B1956)</f>
        <v>0</v>
      </c>
    </row>
    <row r="1957" spans="1:26" ht="24.95" hidden="1" customHeight="1" x14ac:dyDescent="0.4">
      <c r="A1957" s="17" t="s">
        <v>72</v>
      </c>
      <c r="B1957" s="50" t="s">
        <v>91</v>
      </c>
      <c r="C1957" s="16" t="s">
        <v>31</v>
      </c>
      <c r="D1957" s="16" t="s">
        <v>31</v>
      </c>
      <c r="E1957" s="15" t="s">
        <v>32</v>
      </c>
      <c r="F1957" s="15" t="s">
        <v>356</v>
      </c>
      <c r="N1957" s="21" t="s">
        <v>96</v>
      </c>
      <c r="O1957" s="21" t="s">
        <v>360</v>
      </c>
      <c r="Q1957" s="21" t="s">
        <v>344</v>
      </c>
      <c r="R1957" s="22">
        <v>45847</v>
      </c>
      <c r="W1957">
        <f>COUNTIF(マネックス証券!U:U,B1957)</f>
        <v>0</v>
      </c>
    </row>
    <row r="1958" spans="1:26" ht="24.95" hidden="1" customHeight="1" x14ac:dyDescent="0.4">
      <c r="A1958" s="17" t="s">
        <v>72</v>
      </c>
      <c r="B1958" s="15" t="s">
        <v>71</v>
      </c>
      <c r="C1958" s="16" t="s">
        <v>24</v>
      </c>
      <c r="D1958" s="16" t="s">
        <v>31</v>
      </c>
      <c r="E1958" s="15" t="s">
        <v>35</v>
      </c>
      <c r="F1958" s="15" t="s">
        <v>80</v>
      </c>
      <c r="G1958" s="25" t="s">
        <v>26</v>
      </c>
      <c r="N1958" s="13" t="s">
        <v>88</v>
      </c>
      <c r="O1958" s="21" t="s">
        <v>24</v>
      </c>
      <c r="R1958" s="22" t="s">
        <v>24</v>
      </c>
      <c r="W1958">
        <f>COUNTIF(マネックス証券!U:U,B1958)</f>
        <v>0</v>
      </c>
      <c r="Z1958" t="s">
        <v>435</v>
      </c>
    </row>
    <row r="1959" spans="1:26" ht="24.95" hidden="1" customHeight="1" x14ac:dyDescent="0.4">
      <c r="A1959" s="17" t="s">
        <v>73</v>
      </c>
      <c r="B1959" s="15" t="s">
        <v>115</v>
      </c>
      <c r="C1959" s="16" t="s">
        <v>31</v>
      </c>
      <c r="D1959" s="16" t="s">
        <v>31</v>
      </c>
      <c r="E1959" s="15" t="s">
        <v>32</v>
      </c>
      <c r="F1959" s="15" t="s">
        <v>166</v>
      </c>
      <c r="N1959" s="21" t="s">
        <v>96</v>
      </c>
      <c r="O1959" s="21" t="s">
        <v>337</v>
      </c>
      <c r="Q1959" s="21" t="s">
        <v>344</v>
      </c>
      <c r="R1959" s="22">
        <v>45814</v>
      </c>
      <c r="W1959">
        <f>COUNTIF(OKB証券!U:U,B1959)</f>
        <v>0</v>
      </c>
    </row>
    <row r="1960" spans="1:26" ht="24.95" hidden="1" customHeight="1" x14ac:dyDescent="0.4">
      <c r="A1960" s="17" t="s">
        <v>73</v>
      </c>
      <c r="B1960" s="15" t="s">
        <v>313</v>
      </c>
      <c r="C1960" s="16" t="s">
        <v>24</v>
      </c>
      <c r="D1960" s="16" t="s">
        <v>31</v>
      </c>
      <c r="E1960" s="15" t="s">
        <v>35</v>
      </c>
      <c r="F1960" s="15" t="s">
        <v>314</v>
      </c>
      <c r="N1960" s="21" t="s">
        <v>96</v>
      </c>
      <c r="O1960" s="21" t="s">
        <v>337</v>
      </c>
      <c r="Q1960" s="21" t="s">
        <v>344</v>
      </c>
      <c r="R1960" s="22">
        <v>45756</v>
      </c>
      <c r="W1960">
        <f>COUNTIF(OKB証券!U:U,B1960)</f>
        <v>0</v>
      </c>
    </row>
    <row r="1961" spans="1:26" ht="24.95" hidden="1" customHeight="1" x14ac:dyDescent="0.4">
      <c r="A1961" s="17" t="s">
        <v>73</v>
      </c>
      <c r="B1961" s="15" t="s">
        <v>315</v>
      </c>
      <c r="C1961" s="16" t="s">
        <v>24</v>
      </c>
      <c r="D1961" s="16" t="s">
        <v>31</v>
      </c>
      <c r="E1961" s="15" t="s">
        <v>35</v>
      </c>
      <c r="F1961" s="15" t="s">
        <v>314</v>
      </c>
      <c r="N1961" s="21" t="s">
        <v>96</v>
      </c>
      <c r="O1961" s="21" t="s">
        <v>337</v>
      </c>
      <c r="Q1961" s="21" t="s">
        <v>344</v>
      </c>
      <c r="R1961" s="22">
        <v>45756</v>
      </c>
      <c r="W1961">
        <f>COUNTIF(OKB証券!U:U,B1961)</f>
        <v>0</v>
      </c>
    </row>
    <row r="1962" spans="1:26" ht="24.95" hidden="1" customHeight="1" x14ac:dyDescent="0.4">
      <c r="A1962" s="17" t="s">
        <v>73</v>
      </c>
      <c r="B1962" s="15" t="s">
        <v>316</v>
      </c>
      <c r="C1962" s="16" t="s">
        <v>24</v>
      </c>
      <c r="D1962" s="16" t="s">
        <v>31</v>
      </c>
      <c r="E1962" s="15" t="s">
        <v>35</v>
      </c>
      <c r="F1962" s="15" t="s">
        <v>314</v>
      </c>
      <c r="N1962" s="21" t="s">
        <v>96</v>
      </c>
      <c r="O1962" s="21" t="s">
        <v>337</v>
      </c>
      <c r="Q1962" s="21" t="s">
        <v>344</v>
      </c>
      <c r="R1962" s="22">
        <v>45756</v>
      </c>
      <c r="W1962">
        <f>COUNTIF(OKB証券!U:U,B1962)</f>
        <v>0</v>
      </c>
    </row>
    <row r="1963" spans="1:26" ht="24.95" hidden="1" customHeight="1" x14ac:dyDescent="0.4">
      <c r="A1963" s="17" t="s">
        <v>73</v>
      </c>
      <c r="B1963" s="15" t="s">
        <v>317</v>
      </c>
      <c r="C1963" s="16" t="s">
        <v>24</v>
      </c>
      <c r="D1963" s="16" t="s">
        <v>31</v>
      </c>
      <c r="E1963" s="15" t="s">
        <v>35</v>
      </c>
      <c r="F1963" s="15" t="s">
        <v>314</v>
      </c>
      <c r="N1963" s="21" t="s">
        <v>96</v>
      </c>
      <c r="O1963" s="21" t="s">
        <v>337</v>
      </c>
      <c r="Q1963" s="21" t="s">
        <v>344</v>
      </c>
      <c r="R1963" s="22">
        <v>45756</v>
      </c>
      <c r="W1963">
        <f>COUNTIF(OKB証券!U:U,B1963)</f>
        <v>0</v>
      </c>
    </row>
    <row r="1964" spans="1:26" ht="24.95" hidden="1" customHeight="1" x14ac:dyDescent="0.4">
      <c r="A1964" s="17" t="s">
        <v>73</v>
      </c>
      <c r="B1964" s="50" t="s">
        <v>364</v>
      </c>
      <c r="C1964" s="16" t="s">
        <v>24</v>
      </c>
      <c r="D1964" s="16" t="s">
        <v>31</v>
      </c>
      <c r="E1964" s="15" t="s">
        <v>35</v>
      </c>
      <c r="F1964" s="15" t="s">
        <v>365</v>
      </c>
      <c r="N1964" s="21" t="s">
        <v>96</v>
      </c>
      <c r="O1964" s="21" t="s">
        <v>372</v>
      </c>
      <c r="Q1964" s="21" t="s">
        <v>344</v>
      </c>
      <c r="R1964" s="22">
        <v>45883</v>
      </c>
      <c r="W1964">
        <f>COUNTIF(OKB証券!U:U,B1964)</f>
        <v>0</v>
      </c>
    </row>
    <row r="1965" spans="1:26" ht="24.95" hidden="1" customHeight="1" x14ac:dyDescent="0.4">
      <c r="A1965" s="17" t="s">
        <v>73</v>
      </c>
      <c r="B1965" s="15" t="s">
        <v>171</v>
      </c>
      <c r="C1965" s="16" t="s">
        <v>31</v>
      </c>
      <c r="D1965" s="16" t="s">
        <v>31</v>
      </c>
      <c r="E1965" s="15" t="s">
        <v>32</v>
      </c>
      <c r="F1965" s="15" t="s">
        <v>314</v>
      </c>
      <c r="N1965" s="21" t="s">
        <v>96</v>
      </c>
      <c r="O1965" s="21" t="s">
        <v>336</v>
      </c>
      <c r="Q1965" s="21" t="s">
        <v>344</v>
      </c>
      <c r="R1965" s="22">
        <v>45756</v>
      </c>
      <c r="W1965">
        <f>COUNTIF(OKB証券!U:U,B1965)</f>
        <v>0</v>
      </c>
    </row>
    <row r="1966" spans="1:26" ht="24.95" hidden="1" customHeight="1" x14ac:dyDescent="0.4">
      <c r="A1966" s="17" t="s">
        <v>73</v>
      </c>
      <c r="B1966" s="15" t="s">
        <v>123</v>
      </c>
      <c r="C1966" s="16" t="s">
        <v>31</v>
      </c>
      <c r="D1966" s="16" t="s">
        <v>31</v>
      </c>
      <c r="E1966" s="15" t="s">
        <v>32</v>
      </c>
      <c r="F1966" s="15" t="s">
        <v>184</v>
      </c>
      <c r="N1966" s="21" t="s">
        <v>96</v>
      </c>
      <c r="O1966" s="21" t="s">
        <v>337</v>
      </c>
      <c r="Q1966" s="21" t="s">
        <v>344</v>
      </c>
      <c r="R1966" s="22">
        <v>45814</v>
      </c>
      <c r="W1966">
        <f>COUNTIF(OKB証券!U:U,B1966)</f>
        <v>0</v>
      </c>
    </row>
    <row r="1967" spans="1:26" ht="24.95" hidden="1" customHeight="1" x14ac:dyDescent="0.4">
      <c r="A1967" s="17" t="s">
        <v>73</v>
      </c>
      <c r="B1967" s="15" t="s">
        <v>37</v>
      </c>
      <c r="C1967" s="16" t="s">
        <v>31</v>
      </c>
      <c r="D1967" s="16" t="s">
        <v>31</v>
      </c>
      <c r="E1967" s="15" t="s">
        <v>32</v>
      </c>
      <c r="F1967" s="15" t="s">
        <v>212</v>
      </c>
      <c r="N1967" s="21" t="s">
        <v>96</v>
      </c>
      <c r="O1967" s="13" t="s">
        <v>349</v>
      </c>
      <c r="Q1967" s="21" t="s">
        <v>344</v>
      </c>
      <c r="R1967" s="22">
        <v>45814</v>
      </c>
      <c r="W1967">
        <f>COUNTIF(OKB証券!U:U,B1967)</f>
        <v>1</v>
      </c>
      <c r="Z1967" t="s">
        <v>432</v>
      </c>
    </row>
    <row r="1968" spans="1:26" ht="24.95" hidden="1" customHeight="1" x14ac:dyDescent="0.4">
      <c r="A1968" s="17" t="s">
        <v>73</v>
      </c>
      <c r="B1968" s="15" t="s">
        <v>225</v>
      </c>
      <c r="C1968" s="16" t="s">
        <v>31</v>
      </c>
      <c r="D1968" s="16" t="s">
        <v>31</v>
      </c>
      <c r="E1968" s="15" t="s">
        <v>32</v>
      </c>
      <c r="F1968" s="15" t="s">
        <v>314</v>
      </c>
      <c r="N1968" s="21" t="s">
        <v>96</v>
      </c>
      <c r="O1968" s="21" t="s">
        <v>336</v>
      </c>
      <c r="Q1968" s="21" t="s">
        <v>344</v>
      </c>
      <c r="R1968" s="22">
        <v>45756</v>
      </c>
      <c r="W1968">
        <f>COUNTIF(OKB証券!U:U,B1968)</f>
        <v>0</v>
      </c>
    </row>
    <row r="1969" spans="1:23" ht="24.95" hidden="1" customHeight="1" x14ac:dyDescent="0.4">
      <c r="A1969" s="17" t="s">
        <v>73</v>
      </c>
      <c r="B1969" s="15" t="s">
        <v>226</v>
      </c>
      <c r="C1969" s="16" t="s">
        <v>31</v>
      </c>
      <c r="D1969" s="16" t="s">
        <v>31</v>
      </c>
      <c r="E1969" s="15" t="s">
        <v>32</v>
      </c>
      <c r="F1969" s="15" t="s">
        <v>314</v>
      </c>
      <c r="N1969" s="21" t="s">
        <v>96</v>
      </c>
      <c r="O1969" s="21" t="s">
        <v>336</v>
      </c>
      <c r="Q1969" s="21" t="s">
        <v>344</v>
      </c>
      <c r="R1969" s="22">
        <v>45756</v>
      </c>
      <c r="W1969">
        <f>COUNTIF(OKB証券!U:U,B1969)</f>
        <v>0</v>
      </c>
    </row>
    <row r="1970" spans="1:23" ht="24.95" hidden="1" customHeight="1" x14ac:dyDescent="0.4">
      <c r="A1970" s="17" t="s">
        <v>73</v>
      </c>
      <c r="B1970" s="15" t="s">
        <v>318</v>
      </c>
      <c r="C1970" s="16" t="s">
        <v>31</v>
      </c>
      <c r="D1970" s="16" t="s">
        <v>31</v>
      </c>
      <c r="E1970" s="15" t="s">
        <v>32</v>
      </c>
      <c r="F1970" s="15" t="s">
        <v>314</v>
      </c>
      <c r="N1970" s="21" t="s">
        <v>96</v>
      </c>
      <c r="O1970" s="21" t="s">
        <v>337</v>
      </c>
      <c r="Q1970" s="21" t="s">
        <v>344</v>
      </c>
      <c r="R1970" s="22">
        <v>45756</v>
      </c>
      <c r="W1970">
        <f>COUNTIF(OKB証券!U:U,B1970)</f>
        <v>0</v>
      </c>
    </row>
    <row r="1971" spans="1:23" ht="24.95" hidden="1" customHeight="1" x14ac:dyDescent="0.4">
      <c r="A1971" s="17" t="s">
        <v>73</v>
      </c>
      <c r="B1971" s="15" t="s">
        <v>118</v>
      </c>
      <c r="C1971" s="16" t="s">
        <v>31</v>
      </c>
      <c r="D1971" s="16" t="s">
        <v>31</v>
      </c>
      <c r="E1971" s="15" t="s">
        <v>32</v>
      </c>
      <c r="F1971" s="15" t="s">
        <v>314</v>
      </c>
      <c r="N1971" s="21" t="s">
        <v>96</v>
      </c>
      <c r="O1971" s="21" t="s">
        <v>337</v>
      </c>
      <c r="Q1971" s="21" t="s">
        <v>344</v>
      </c>
      <c r="R1971" s="22">
        <v>45756</v>
      </c>
      <c r="W1971">
        <f>COUNTIF(OKB証券!U:U,B1971)</f>
        <v>0</v>
      </c>
    </row>
    <row r="1972" spans="1:23" ht="24.95" hidden="1" customHeight="1" x14ac:dyDescent="0.4">
      <c r="A1972" s="17" t="s">
        <v>73</v>
      </c>
      <c r="B1972" s="15" t="s">
        <v>319</v>
      </c>
      <c r="C1972" s="16" t="s">
        <v>31</v>
      </c>
      <c r="D1972" s="16" t="s">
        <v>31</v>
      </c>
      <c r="E1972" s="15" t="s">
        <v>32</v>
      </c>
      <c r="F1972" s="15" t="s">
        <v>314</v>
      </c>
      <c r="N1972" s="21" t="s">
        <v>96</v>
      </c>
      <c r="O1972" s="21" t="s">
        <v>337</v>
      </c>
      <c r="Q1972" s="21" t="s">
        <v>344</v>
      </c>
      <c r="R1972" s="22">
        <v>45756</v>
      </c>
      <c r="W1972">
        <f>COUNTIF(OKB証券!U:U,B1972)</f>
        <v>0</v>
      </c>
    </row>
    <row r="1973" spans="1:23" ht="24.95" hidden="1" customHeight="1" x14ac:dyDescent="0.4">
      <c r="A1973" s="17" t="s">
        <v>73</v>
      </c>
      <c r="B1973" s="15" t="s">
        <v>227</v>
      </c>
      <c r="C1973" s="16" t="s">
        <v>31</v>
      </c>
      <c r="D1973" s="16" t="s">
        <v>31</v>
      </c>
      <c r="E1973" s="15" t="s">
        <v>32</v>
      </c>
      <c r="F1973" s="15" t="s">
        <v>314</v>
      </c>
      <c r="N1973" s="21" t="s">
        <v>96</v>
      </c>
      <c r="O1973" s="21" t="s">
        <v>336</v>
      </c>
      <c r="Q1973" s="21" t="s">
        <v>344</v>
      </c>
      <c r="R1973" s="22">
        <v>45756</v>
      </c>
      <c r="W1973">
        <f>COUNTIF(OKB証券!U:U,B1973)</f>
        <v>0</v>
      </c>
    </row>
    <row r="1974" spans="1:23" ht="24.95" hidden="1" customHeight="1" x14ac:dyDescent="0.4">
      <c r="A1974" s="17" t="s">
        <v>73</v>
      </c>
      <c r="B1974" s="15" t="s">
        <v>228</v>
      </c>
      <c r="C1974" s="16" t="s">
        <v>31</v>
      </c>
      <c r="D1974" s="16" t="s">
        <v>31</v>
      </c>
      <c r="E1974" s="15" t="s">
        <v>32</v>
      </c>
      <c r="F1974" s="15" t="s">
        <v>314</v>
      </c>
      <c r="N1974" s="21" t="s">
        <v>96</v>
      </c>
      <c r="O1974" s="21" t="s">
        <v>336</v>
      </c>
      <c r="Q1974" s="21" t="s">
        <v>344</v>
      </c>
      <c r="R1974" s="22">
        <v>45756</v>
      </c>
      <c r="W1974">
        <f>COUNTIF(OKB証券!U:U,B1974)</f>
        <v>0</v>
      </c>
    </row>
    <row r="1975" spans="1:23" ht="24.95" hidden="1" customHeight="1" x14ac:dyDescent="0.4">
      <c r="A1975" s="17" t="s">
        <v>73</v>
      </c>
      <c r="B1975" s="15" t="s">
        <v>229</v>
      </c>
      <c r="C1975" s="16" t="s">
        <v>31</v>
      </c>
      <c r="D1975" s="16" t="s">
        <v>31</v>
      </c>
      <c r="E1975" s="15" t="s">
        <v>32</v>
      </c>
      <c r="F1975" s="15" t="s">
        <v>314</v>
      </c>
      <c r="N1975" s="21" t="s">
        <v>96</v>
      </c>
      <c r="O1975" s="21" t="s">
        <v>336</v>
      </c>
      <c r="Q1975" s="21" t="s">
        <v>344</v>
      </c>
      <c r="R1975" s="22">
        <v>45756</v>
      </c>
      <c r="W1975">
        <f>COUNTIF(OKB証券!U:U,B1975)</f>
        <v>0</v>
      </c>
    </row>
    <row r="1976" spans="1:23" ht="24.95" hidden="1" customHeight="1" x14ac:dyDescent="0.4">
      <c r="A1976" s="17" t="s">
        <v>73</v>
      </c>
      <c r="B1976" s="15" t="s">
        <v>230</v>
      </c>
      <c r="C1976" s="16" t="s">
        <v>31</v>
      </c>
      <c r="D1976" s="16" t="s">
        <v>31</v>
      </c>
      <c r="E1976" s="15" t="s">
        <v>32</v>
      </c>
      <c r="F1976" s="15" t="s">
        <v>314</v>
      </c>
      <c r="N1976" s="21" t="s">
        <v>96</v>
      </c>
      <c r="O1976" s="21" t="s">
        <v>336</v>
      </c>
      <c r="Q1976" s="21" t="s">
        <v>344</v>
      </c>
      <c r="R1976" s="22">
        <v>45756</v>
      </c>
      <c r="W1976">
        <f>COUNTIF(OKB証券!U:U,B1976)</f>
        <v>0</v>
      </c>
    </row>
    <row r="1977" spans="1:23" ht="24.95" hidden="1" customHeight="1" x14ac:dyDescent="0.4">
      <c r="A1977" s="17" t="s">
        <v>73</v>
      </c>
      <c r="B1977" s="15" t="s">
        <v>231</v>
      </c>
      <c r="C1977" s="16" t="s">
        <v>31</v>
      </c>
      <c r="D1977" s="16" t="s">
        <v>31</v>
      </c>
      <c r="E1977" s="15" t="s">
        <v>32</v>
      </c>
      <c r="F1977" s="15" t="s">
        <v>314</v>
      </c>
      <c r="N1977" s="21" t="s">
        <v>96</v>
      </c>
      <c r="O1977" s="21" t="s">
        <v>336</v>
      </c>
      <c r="Q1977" s="21" t="s">
        <v>344</v>
      </c>
      <c r="R1977" s="22">
        <v>45756</v>
      </c>
      <c r="W1977">
        <f>COUNTIF(OKB証券!U:U,B1977)</f>
        <v>0</v>
      </c>
    </row>
    <row r="1978" spans="1:23" ht="24.95" hidden="1" customHeight="1" x14ac:dyDescent="0.4">
      <c r="A1978" s="17" t="s">
        <v>73</v>
      </c>
      <c r="B1978" s="15" t="s">
        <v>232</v>
      </c>
      <c r="C1978" s="16" t="s">
        <v>31</v>
      </c>
      <c r="D1978" s="16" t="s">
        <v>31</v>
      </c>
      <c r="E1978" s="15" t="s">
        <v>32</v>
      </c>
      <c r="F1978" s="15" t="s">
        <v>314</v>
      </c>
      <c r="N1978" s="21" t="s">
        <v>96</v>
      </c>
      <c r="O1978" s="21" t="s">
        <v>336</v>
      </c>
      <c r="Q1978" s="21" t="s">
        <v>344</v>
      </c>
      <c r="R1978" s="22">
        <v>45756</v>
      </c>
      <c r="W1978">
        <f>COUNTIF(OKB証券!U:U,B1978)</f>
        <v>0</v>
      </c>
    </row>
    <row r="1979" spans="1:23" ht="24.95" hidden="1" customHeight="1" x14ac:dyDescent="0.4">
      <c r="A1979" s="17" t="s">
        <v>73</v>
      </c>
      <c r="B1979" s="15" t="s">
        <v>233</v>
      </c>
      <c r="C1979" s="16" t="s">
        <v>31</v>
      </c>
      <c r="D1979" s="16" t="s">
        <v>31</v>
      </c>
      <c r="E1979" s="15" t="s">
        <v>32</v>
      </c>
      <c r="F1979" s="15" t="s">
        <v>314</v>
      </c>
      <c r="N1979" s="21" t="s">
        <v>96</v>
      </c>
      <c r="O1979" s="21" t="s">
        <v>336</v>
      </c>
      <c r="Q1979" s="21" t="s">
        <v>344</v>
      </c>
      <c r="R1979" s="22">
        <v>45756</v>
      </c>
      <c r="W1979">
        <f>COUNTIF(OKB証券!U:U,B1979)</f>
        <v>0</v>
      </c>
    </row>
    <row r="1980" spans="1:23" ht="24.95" hidden="1" customHeight="1" x14ac:dyDescent="0.4">
      <c r="A1980" s="17" t="s">
        <v>73</v>
      </c>
      <c r="B1980" s="15" t="s">
        <v>234</v>
      </c>
      <c r="C1980" s="16" t="s">
        <v>31</v>
      </c>
      <c r="D1980" s="16" t="s">
        <v>31</v>
      </c>
      <c r="E1980" s="15" t="s">
        <v>32</v>
      </c>
      <c r="F1980" s="15" t="s">
        <v>314</v>
      </c>
      <c r="N1980" s="21" t="s">
        <v>96</v>
      </c>
      <c r="O1980" s="21" t="s">
        <v>336</v>
      </c>
      <c r="Q1980" s="21" t="s">
        <v>344</v>
      </c>
      <c r="R1980" s="22">
        <v>45756</v>
      </c>
      <c r="W1980">
        <f>COUNTIF(OKB証券!U:U,B1980)</f>
        <v>0</v>
      </c>
    </row>
    <row r="1981" spans="1:23" ht="24.95" hidden="1" customHeight="1" x14ac:dyDescent="0.4">
      <c r="A1981" s="17" t="s">
        <v>73</v>
      </c>
      <c r="B1981" s="15" t="s">
        <v>235</v>
      </c>
      <c r="C1981" s="16" t="s">
        <v>31</v>
      </c>
      <c r="D1981" s="16" t="s">
        <v>31</v>
      </c>
      <c r="E1981" s="15" t="s">
        <v>32</v>
      </c>
      <c r="F1981" s="15" t="s">
        <v>314</v>
      </c>
      <c r="N1981" s="21" t="s">
        <v>96</v>
      </c>
      <c r="O1981" s="21" t="s">
        <v>336</v>
      </c>
      <c r="Q1981" s="21" t="s">
        <v>344</v>
      </c>
      <c r="R1981" s="22">
        <v>45756</v>
      </c>
      <c r="W1981">
        <f>COUNTIF(OKB証券!U:U,B1981)</f>
        <v>0</v>
      </c>
    </row>
    <row r="1982" spans="1:23" ht="24.95" hidden="1" customHeight="1" x14ac:dyDescent="0.4">
      <c r="A1982" s="17" t="s">
        <v>73</v>
      </c>
      <c r="B1982" s="15" t="s">
        <v>236</v>
      </c>
      <c r="C1982" s="16" t="s">
        <v>31</v>
      </c>
      <c r="D1982" s="16" t="s">
        <v>31</v>
      </c>
      <c r="E1982" s="15" t="s">
        <v>32</v>
      </c>
      <c r="F1982" s="15" t="s">
        <v>314</v>
      </c>
      <c r="N1982" s="21" t="s">
        <v>96</v>
      </c>
      <c r="O1982" s="21" t="s">
        <v>336</v>
      </c>
      <c r="Q1982" s="21" t="s">
        <v>344</v>
      </c>
      <c r="R1982" s="22">
        <v>45756</v>
      </c>
      <c r="W1982">
        <f>COUNTIF(OKB証券!U:U,B1982)</f>
        <v>0</v>
      </c>
    </row>
    <row r="1983" spans="1:23" ht="24.95" hidden="1" customHeight="1" x14ac:dyDescent="0.4">
      <c r="A1983" s="17" t="s">
        <v>73</v>
      </c>
      <c r="B1983" s="15" t="s">
        <v>237</v>
      </c>
      <c r="C1983" s="16" t="s">
        <v>31</v>
      </c>
      <c r="D1983" s="16" t="s">
        <v>31</v>
      </c>
      <c r="E1983" s="15" t="s">
        <v>32</v>
      </c>
      <c r="F1983" s="15" t="s">
        <v>314</v>
      </c>
      <c r="N1983" s="21" t="s">
        <v>96</v>
      </c>
      <c r="O1983" s="21" t="s">
        <v>336</v>
      </c>
      <c r="Q1983" s="21" t="s">
        <v>344</v>
      </c>
      <c r="R1983" s="22">
        <v>45756</v>
      </c>
      <c r="W1983">
        <f>COUNTIF(OKB証券!U:U,B1983)</f>
        <v>0</v>
      </c>
    </row>
    <row r="1984" spans="1:23" ht="24.95" hidden="1" customHeight="1" x14ac:dyDescent="0.4">
      <c r="A1984" s="17" t="s">
        <v>73</v>
      </c>
      <c r="B1984" s="15" t="s">
        <v>320</v>
      </c>
      <c r="C1984" s="16" t="s">
        <v>31</v>
      </c>
      <c r="D1984" s="16" t="s">
        <v>31</v>
      </c>
      <c r="E1984" s="15" t="s">
        <v>32</v>
      </c>
      <c r="F1984" s="15" t="s">
        <v>314</v>
      </c>
      <c r="N1984" s="21" t="s">
        <v>96</v>
      </c>
      <c r="O1984" s="21" t="s">
        <v>337</v>
      </c>
      <c r="Q1984" s="21" t="s">
        <v>344</v>
      </c>
      <c r="R1984" s="22">
        <v>45756</v>
      </c>
      <c r="W1984">
        <f>COUNTIF(OKB証券!U:U,B1984)</f>
        <v>0</v>
      </c>
    </row>
    <row r="1985" spans="1:23" ht="24.95" hidden="1" customHeight="1" x14ac:dyDescent="0.4">
      <c r="A1985" s="17" t="s">
        <v>73</v>
      </c>
      <c r="B1985" s="15" t="s">
        <v>132</v>
      </c>
      <c r="C1985" s="16" t="s">
        <v>31</v>
      </c>
      <c r="D1985" s="16" t="s">
        <v>31</v>
      </c>
      <c r="E1985" s="15" t="s">
        <v>32</v>
      </c>
      <c r="F1985" s="15" t="s">
        <v>314</v>
      </c>
      <c r="N1985" s="21" t="s">
        <v>96</v>
      </c>
      <c r="O1985" s="21" t="s">
        <v>337</v>
      </c>
      <c r="Q1985" s="21" t="s">
        <v>344</v>
      </c>
      <c r="R1985" s="22">
        <v>45756</v>
      </c>
      <c r="W1985">
        <f>COUNTIF(OKB証券!U:U,B1985)</f>
        <v>0</v>
      </c>
    </row>
    <row r="1986" spans="1:23" ht="24.95" hidden="1" customHeight="1" x14ac:dyDescent="0.4">
      <c r="A1986" s="17" t="s">
        <v>73</v>
      </c>
      <c r="B1986" s="15" t="s">
        <v>321</v>
      </c>
      <c r="C1986" s="16" t="s">
        <v>24</v>
      </c>
      <c r="D1986" s="16" t="s">
        <v>31</v>
      </c>
      <c r="E1986" s="15" t="s">
        <v>35</v>
      </c>
      <c r="F1986" s="15" t="s">
        <v>314</v>
      </c>
      <c r="N1986" s="21" t="s">
        <v>96</v>
      </c>
      <c r="O1986" s="21" t="s">
        <v>337</v>
      </c>
      <c r="Q1986" s="21" t="s">
        <v>344</v>
      </c>
      <c r="R1986" s="22">
        <v>45756</v>
      </c>
      <c r="W1986">
        <f>COUNTIF(OKB証券!U:U,B1986)</f>
        <v>0</v>
      </c>
    </row>
    <row r="1987" spans="1:23" ht="24.95" hidden="1" customHeight="1" x14ac:dyDescent="0.4">
      <c r="A1987" s="17" t="s">
        <v>73</v>
      </c>
      <c r="B1987" s="15" t="s">
        <v>322</v>
      </c>
      <c r="C1987" s="16" t="s">
        <v>24</v>
      </c>
      <c r="D1987" s="16" t="s">
        <v>31</v>
      </c>
      <c r="E1987" s="15" t="s">
        <v>35</v>
      </c>
      <c r="F1987" s="15" t="s">
        <v>314</v>
      </c>
      <c r="N1987" s="21" t="s">
        <v>96</v>
      </c>
      <c r="O1987" s="21" t="s">
        <v>337</v>
      </c>
      <c r="Q1987" s="21" t="s">
        <v>344</v>
      </c>
      <c r="R1987" s="22">
        <v>45756</v>
      </c>
      <c r="W1987">
        <f>COUNTIF(OKB証券!U:U,B1987)</f>
        <v>0</v>
      </c>
    </row>
    <row r="1988" spans="1:23" ht="24.95" hidden="1" customHeight="1" x14ac:dyDescent="0.4">
      <c r="A1988" s="17" t="s">
        <v>73</v>
      </c>
      <c r="B1988" s="15" t="s">
        <v>323</v>
      </c>
      <c r="C1988" s="16" t="s">
        <v>24</v>
      </c>
      <c r="D1988" s="16" t="s">
        <v>31</v>
      </c>
      <c r="E1988" s="15" t="s">
        <v>35</v>
      </c>
      <c r="F1988" s="15" t="s">
        <v>314</v>
      </c>
      <c r="N1988" s="21" t="s">
        <v>96</v>
      </c>
      <c r="O1988" s="21" t="s">
        <v>337</v>
      </c>
      <c r="Q1988" s="21" t="s">
        <v>344</v>
      </c>
      <c r="R1988" s="22">
        <v>45756</v>
      </c>
      <c r="W1988">
        <f>COUNTIF(OKB証券!U:U,B1988)</f>
        <v>0</v>
      </c>
    </row>
    <row r="1989" spans="1:23" ht="24.95" hidden="1" customHeight="1" x14ac:dyDescent="0.4">
      <c r="A1989" s="17" t="s">
        <v>73</v>
      </c>
      <c r="B1989" s="15" t="s">
        <v>238</v>
      </c>
      <c r="C1989" s="16" t="s">
        <v>31</v>
      </c>
      <c r="D1989" s="16" t="s">
        <v>31</v>
      </c>
      <c r="E1989" s="15" t="s">
        <v>32</v>
      </c>
      <c r="F1989" s="15" t="s">
        <v>314</v>
      </c>
      <c r="N1989" s="21" t="s">
        <v>96</v>
      </c>
      <c r="O1989" s="21" t="s">
        <v>336</v>
      </c>
      <c r="Q1989" s="21" t="s">
        <v>344</v>
      </c>
      <c r="R1989" s="22">
        <v>45756</v>
      </c>
      <c r="W1989">
        <f>COUNTIF(OKB証券!U:U,B1989)</f>
        <v>0</v>
      </c>
    </row>
    <row r="1990" spans="1:23" ht="24.95" hidden="1" customHeight="1" x14ac:dyDescent="0.4">
      <c r="A1990" s="17" t="s">
        <v>73</v>
      </c>
      <c r="B1990" s="15" t="s">
        <v>239</v>
      </c>
      <c r="C1990" s="16" t="s">
        <v>31</v>
      </c>
      <c r="D1990" s="16" t="s">
        <v>31</v>
      </c>
      <c r="E1990" s="15" t="s">
        <v>32</v>
      </c>
      <c r="F1990" s="15" t="s">
        <v>314</v>
      </c>
      <c r="N1990" s="21" t="s">
        <v>96</v>
      </c>
      <c r="O1990" s="21" t="s">
        <v>336</v>
      </c>
      <c r="Q1990" s="21" t="s">
        <v>344</v>
      </c>
      <c r="R1990" s="22">
        <v>45756</v>
      </c>
      <c r="W1990">
        <f>COUNTIF(OKB証券!U:U,B1990)</f>
        <v>0</v>
      </c>
    </row>
    <row r="1991" spans="1:23" ht="24.95" hidden="1" customHeight="1" x14ac:dyDescent="0.4">
      <c r="A1991" s="17" t="s">
        <v>73</v>
      </c>
      <c r="B1991" s="15" t="s">
        <v>240</v>
      </c>
      <c r="C1991" s="16" t="s">
        <v>31</v>
      </c>
      <c r="D1991" s="16" t="s">
        <v>31</v>
      </c>
      <c r="E1991" s="15" t="s">
        <v>32</v>
      </c>
      <c r="F1991" s="15" t="s">
        <v>314</v>
      </c>
      <c r="N1991" s="21" t="s">
        <v>96</v>
      </c>
      <c r="O1991" s="21" t="s">
        <v>336</v>
      </c>
      <c r="Q1991" s="21" t="s">
        <v>344</v>
      </c>
      <c r="R1991" s="22">
        <v>45756</v>
      </c>
      <c r="W1991">
        <f>COUNTIF(OKB証券!U:U,B1991)</f>
        <v>0</v>
      </c>
    </row>
    <row r="1992" spans="1:23" ht="24.95" hidden="1" customHeight="1" x14ac:dyDescent="0.4">
      <c r="A1992" s="17" t="s">
        <v>73</v>
      </c>
      <c r="B1992" s="15" t="s">
        <v>241</v>
      </c>
      <c r="C1992" s="16" t="s">
        <v>31</v>
      </c>
      <c r="D1992" s="16" t="s">
        <v>31</v>
      </c>
      <c r="E1992" s="15" t="s">
        <v>32</v>
      </c>
      <c r="F1992" s="15" t="s">
        <v>314</v>
      </c>
      <c r="N1992" s="21" t="s">
        <v>96</v>
      </c>
      <c r="O1992" s="21" t="s">
        <v>336</v>
      </c>
      <c r="Q1992" s="21" t="s">
        <v>344</v>
      </c>
      <c r="R1992" s="22">
        <v>45756</v>
      </c>
      <c r="W1992">
        <f>COUNTIF(OKB証券!U:U,B1992)</f>
        <v>0</v>
      </c>
    </row>
    <row r="1993" spans="1:23" ht="24.95" hidden="1" customHeight="1" x14ac:dyDescent="0.4">
      <c r="A1993" s="17" t="s">
        <v>73</v>
      </c>
      <c r="B1993" s="15" t="s">
        <v>242</v>
      </c>
      <c r="C1993" s="16" t="s">
        <v>31</v>
      </c>
      <c r="D1993" s="16" t="s">
        <v>31</v>
      </c>
      <c r="E1993" s="15" t="s">
        <v>32</v>
      </c>
      <c r="F1993" s="15" t="s">
        <v>314</v>
      </c>
      <c r="N1993" s="21" t="s">
        <v>96</v>
      </c>
      <c r="O1993" s="21" t="s">
        <v>336</v>
      </c>
      <c r="Q1993" s="21" t="s">
        <v>344</v>
      </c>
      <c r="R1993" s="22">
        <v>45756</v>
      </c>
      <c r="W1993">
        <f>COUNTIF(OKB証券!U:U,B1993)</f>
        <v>0</v>
      </c>
    </row>
    <row r="1994" spans="1:23" ht="24.95" hidden="1" customHeight="1" x14ac:dyDescent="0.4">
      <c r="A1994" s="17" t="s">
        <v>73</v>
      </c>
      <c r="B1994" s="15" t="s">
        <v>243</v>
      </c>
      <c r="C1994" s="16" t="s">
        <v>31</v>
      </c>
      <c r="D1994" s="16" t="s">
        <v>31</v>
      </c>
      <c r="E1994" s="15" t="s">
        <v>32</v>
      </c>
      <c r="F1994" s="15" t="s">
        <v>314</v>
      </c>
      <c r="N1994" s="21" t="s">
        <v>96</v>
      </c>
      <c r="O1994" s="21" t="s">
        <v>336</v>
      </c>
      <c r="Q1994" s="21" t="s">
        <v>344</v>
      </c>
      <c r="R1994" s="22">
        <v>45756</v>
      </c>
      <c r="W1994">
        <f>COUNTIF(OKB証券!U:U,B1994)</f>
        <v>0</v>
      </c>
    </row>
    <row r="1995" spans="1:23" ht="24.95" hidden="1" customHeight="1" x14ac:dyDescent="0.4">
      <c r="A1995" s="17" t="s">
        <v>73</v>
      </c>
      <c r="B1995" s="15" t="s">
        <v>244</v>
      </c>
      <c r="C1995" s="16" t="s">
        <v>31</v>
      </c>
      <c r="D1995" s="16" t="s">
        <v>31</v>
      </c>
      <c r="E1995" s="15" t="s">
        <v>32</v>
      </c>
      <c r="F1995" s="15" t="s">
        <v>314</v>
      </c>
      <c r="N1995" s="21" t="s">
        <v>96</v>
      </c>
      <c r="O1995" s="21" t="s">
        <v>336</v>
      </c>
      <c r="Q1995" s="21" t="s">
        <v>344</v>
      </c>
      <c r="R1995" s="22">
        <v>45756</v>
      </c>
      <c r="W1995">
        <f>COUNTIF(OKB証券!U:U,B1995)</f>
        <v>0</v>
      </c>
    </row>
    <row r="1996" spans="1:23" ht="24.95" hidden="1" customHeight="1" x14ac:dyDescent="0.4">
      <c r="A1996" s="17" t="s">
        <v>73</v>
      </c>
      <c r="B1996" s="15" t="s">
        <v>245</v>
      </c>
      <c r="C1996" s="16" t="s">
        <v>31</v>
      </c>
      <c r="D1996" s="16" t="s">
        <v>31</v>
      </c>
      <c r="E1996" s="15" t="s">
        <v>32</v>
      </c>
      <c r="F1996" s="15" t="s">
        <v>314</v>
      </c>
      <c r="N1996" s="21" t="s">
        <v>96</v>
      </c>
      <c r="O1996" s="21" t="s">
        <v>336</v>
      </c>
      <c r="Q1996" s="21" t="s">
        <v>344</v>
      </c>
      <c r="R1996" s="22">
        <v>45756</v>
      </c>
      <c r="W1996">
        <f>COUNTIF(OKB証券!U:U,B1996)</f>
        <v>0</v>
      </c>
    </row>
    <row r="1997" spans="1:23" ht="24.95" hidden="1" customHeight="1" x14ac:dyDescent="0.4">
      <c r="A1997" s="17" t="s">
        <v>73</v>
      </c>
      <c r="B1997" s="15" t="s">
        <v>246</v>
      </c>
      <c r="C1997" s="16" t="s">
        <v>31</v>
      </c>
      <c r="D1997" s="16" t="s">
        <v>31</v>
      </c>
      <c r="E1997" s="15" t="s">
        <v>32</v>
      </c>
      <c r="F1997" s="15" t="s">
        <v>314</v>
      </c>
      <c r="N1997" s="21" t="s">
        <v>96</v>
      </c>
      <c r="O1997" s="21" t="s">
        <v>336</v>
      </c>
      <c r="Q1997" s="21" t="s">
        <v>344</v>
      </c>
      <c r="R1997" s="22">
        <v>45756</v>
      </c>
      <c r="W1997">
        <f>COUNTIF(OKB証券!U:U,B1997)</f>
        <v>0</v>
      </c>
    </row>
    <row r="1998" spans="1:23" ht="24.95" hidden="1" customHeight="1" x14ac:dyDescent="0.4">
      <c r="A1998" s="17" t="s">
        <v>73</v>
      </c>
      <c r="B1998" s="15" t="s">
        <v>247</v>
      </c>
      <c r="C1998" s="16" t="s">
        <v>31</v>
      </c>
      <c r="D1998" s="16" t="s">
        <v>31</v>
      </c>
      <c r="E1998" s="15" t="s">
        <v>32</v>
      </c>
      <c r="F1998" s="15" t="s">
        <v>314</v>
      </c>
      <c r="N1998" s="21" t="s">
        <v>96</v>
      </c>
      <c r="O1998" s="21" t="s">
        <v>336</v>
      </c>
      <c r="Q1998" s="21" t="s">
        <v>344</v>
      </c>
      <c r="R1998" s="22">
        <v>45756</v>
      </c>
      <c r="W1998">
        <f>COUNTIF(OKB証券!U:U,B1998)</f>
        <v>0</v>
      </c>
    </row>
    <row r="1999" spans="1:23" ht="24.95" hidden="1" customHeight="1" x14ac:dyDescent="0.4">
      <c r="A1999" s="17" t="s">
        <v>73</v>
      </c>
      <c r="B1999" s="15" t="s">
        <v>248</v>
      </c>
      <c r="C1999" s="16" t="s">
        <v>31</v>
      </c>
      <c r="D1999" s="16" t="s">
        <v>31</v>
      </c>
      <c r="E1999" s="15" t="s">
        <v>32</v>
      </c>
      <c r="F1999" s="15" t="s">
        <v>314</v>
      </c>
      <c r="N1999" s="21" t="s">
        <v>96</v>
      </c>
      <c r="O1999" s="21" t="s">
        <v>336</v>
      </c>
      <c r="Q1999" s="21" t="s">
        <v>344</v>
      </c>
      <c r="R1999" s="22">
        <v>45756</v>
      </c>
      <c r="W1999">
        <f>COUNTIF(OKB証券!U:U,B1999)</f>
        <v>0</v>
      </c>
    </row>
    <row r="2000" spans="1:23" ht="24.95" hidden="1" customHeight="1" x14ac:dyDescent="0.4">
      <c r="A2000" s="17" t="s">
        <v>73</v>
      </c>
      <c r="B2000" s="15" t="s">
        <v>249</v>
      </c>
      <c r="C2000" s="16" t="s">
        <v>31</v>
      </c>
      <c r="D2000" s="16" t="s">
        <v>31</v>
      </c>
      <c r="E2000" s="15" t="s">
        <v>32</v>
      </c>
      <c r="F2000" s="15" t="s">
        <v>314</v>
      </c>
      <c r="N2000" s="21" t="s">
        <v>96</v>
      </c>
      <c r="O2000" s="21" t="s">
        <v>336</v>
      </c>
      <c r="Q2000" s="21" t="s">
        <v>344</v>
      </c>
      <c r="R2000" s="22">
        <v>45756</v>
      </c>
      <c r="W2000">
        <f>COUNTIF(OKB証券!U:U,B2000)</f>
        <v>0</v>
      </c>
    </row>
    <row r="2001" spans="1:23" ht="24.95" hidden="1" customHeight="1" x14ac:dyDescent="0.4">
      <c r="A2001" s="17" t="s">
        <v>73</v>
      </c>
      <c r="B2001" s="15" t="s">
        <v>250</v>
      </c>
      <c r="C2001" s="16" t="s">
        <v>31</v>
      </c>
      <c r="D2001" s="16" t="s">
        <v>31</v>
      </c>
      <c r="E2001" s="15" t="s">
        <v>32</v>
      </c>
      <c r="F2001" s="15" t="s">
        <v>314</v>
      </c>
      <c r="N2001" s="21" t="s">
        <v>96</v>
      </c>
      <c r="O2001" s="21" t="s">
        <v>336</v>
      </c>
      <c r="Q2001" s="21" t="s">
        <v>344</v>
      </c>
      <c r="R2001" s="22">
        <v>45756</v>
      </c>
      <c r="W2001">
        <f>COUNTIF(OKB証券!U:U,B2001)</f>
        <v>0</v>
      </c>
    </row>
    <row r="2002" spans="1:23" ht="24.95" hidden="1" customHeight="1" x14ac:dyDescent="0.4">
      <c r="A2002" s="17" t="s">
        <v>73</v>
      </c>
      <c r="B2002" s="15" t="s">
        <v>251</v>
      </c>
      <c r="C2002" s="16" t="s">
        <v>31</v>
      </c>
      <c r="D2002" s="16" t="s">
        <v>31</v>
      </c>
      <c r="E2002" s="15" t="s">
        <v>32</v>
      </c>
      <c r="F2002" s="15" t="s">
        <v>314</v>
      </c>
      <c r="N2002" s="21" t="s">
        <v>96</v>
      </c>
      <c r="O2002" s="21" t="s">
        <v>336</v>
      </c>
      <c r="Q2002" s="21" t="s">
        <v>344</v>
      </c>
      <c r="R2002" s="22">
        <v>45756</v>
      </c>
      <c r="W2002">
        <f>COUNTIF(OKB証券!U:U,B2002)</f>
        <v>0</v>
      </c>
    </row>
    <row r="2003" spans="1:23" ht="24.95" hidden="1" customHeight="1" x14ac:dyDescent="0.4">
      <c r="A2003" s="17" t="s">
        <v>73</v>
      </c>
      <c r="B2003" s="15" t="s">
        <v>341</v>
      </c>
      <c r="C2003" s="16" t="s">
        <v>31</v>
      </c>
      <c r="D2003" s="16" t="s">
        <v>31</v>
      </c>
      <c r="E2003" s="15" t="s">
        <v>32</v>
      </c>
      <c r="F2003" s="15" t="s">
        <v>340</v>
      </c>
      <c r="N2003" s="21" t="s">
        <v>96</v>
      </c>
      <c r="O2003" s="21" t="s">
        <v>345</v>
      </c>
      <c r="Q2003" s="21" t="s">
        <v>344</v>
      </c>
      <c r="R2003" s="22">
        <v>45784</v>
      </c>
      <c r="W2003">
        <f>COUNTIF(OKB証券!U:U,B2003)</f>
        <v>0</v>
      </c>
    </row>
    <row r="2004" spans="1:23" ht="24.95" hidden="1" customHeight="1" x14ac:dyDescent="0.4">
      <c r="A2004" s="17" t="s">
        <v>73</v>
      </c>
      <c r="B2004" s="15" t="s">
        <v>252</v>
      </c>
      <c r="C2004" s="16" t="s">
        <v>31</v>
      </c>
      <c r="D2004" s="16" t="s">
        <v>31</v>
      </c>
      <c r="E2004" s="15" t="s">
        <v>32</v>
      </c>
      <c r="F2004" s="15" t="s">
        <v>314</v>
      </c>
      <c r="N2004" s="21" t="s">
        <v>96</v>
      </c>
      <c r="O2004" s="21" t="s">
        <v>336</v>
      </c>
      <c r="Q2004" s="21" t="s">
        <v>344</v>
      </c>
      <c r="R2004" s="22">
        <v>45756</v>
      </c>
      <c r="W2004">
        <f>COUNTIF(OKB証券!U:U,B2004)</f>
        <v>0</v>
      </c>
    </row>
    <row r="2005" spans="1:23" ht="24.95" hidden="1" customHeight="1" x14ac:dyDescent="0.4">
      <c r="A2005" s="17" t="s">
        <v>73</v>
      </c>
      <c r="B2005" s="15" t="s">
        <v>253</v>
      </c>
      <c r="C2005" s="16" t="s">
        <v>31</v>
      </c>
      <c r="D2005" s="16" t="s">
        <v>31</v>
      </c>
      <c r="E2005" s="15" t="s">
        <v>32</v>
      </c>
      <c r="F2005" s="15" t="s">
        <v>314</v>
      </c>
      <c r="N2005" s="21" t="s">
        <v>96</v>
      </c>
      <c r="O2005" s="21" t="s">
        <v>336</v>
      </c>
      <c r="Q2005" s="21" t="s">
        <v>344</v>
      </c>
      <c r="R2005" s="22">
        <v>45756</v>
      </c>
      <c r="W2005">
        <f>COUNTIF(OKB証券!U:U,B2005)</f>
        <v>0</v>
      </c>
    </row>
    <row r="2006" spans="1:23" ht="24.95" hidden="1" customHeight="1" x14ac:dyDescent="0.4">
      <c r="A2006" s="17" t="s">
        <v>73</v>
      </c>
      <c r="B2006" s="15" t="s">
        <v>254</v>
      </c>
      <c r="C2006" s="16" t="s">
        <v>31</v>
      </c>
      <c r="D2006" s="16" t="s">
        <v>31</v>
      </c>
      <c r="E2006" s="15" t="s">
        <v>32</v>
      </c>
      <c r="F2006" s="15" t="s">
        <v>314</v>
      </c>
      <c r="N2006" s="21" t="s">
        <v>96</v>
      </c>
      <c r="O2006" s="21" t="s">
        <v>336</v>
      </c>
      <c r="Q2006" s="21" t="s">
        <v>344</v>
      </c>
      <c r="R2006" s="22">
        <v>45756</v>
      </c>
      <c r="W2006">
        <f>COUNTIF(OKB証券!U:U,B2006)</f>
        <v>0</v>
      </c>
    </row>
    <row r="2007" spans="1:23" ht="24.95" hidden="1" customHeight="1" x14ac:dyDescent="0.4">
      <c r="A2007" s="17" t="s">
        <v>73</v>
      </c>
      <c r="B2007" s="15" t="s">
        <v>255</v>
      </c>
      <c r="C2007" s="16" t="s">
        <v>31</v>
      </c>
      <c r="D2007" s="16" t="s">
        <v>31</v>
      </c>
      <c r="E2007" s="15" t="s">
        <v>32</v>
      </c>
      <c r="F2007" s="15" t="s">
        <v>314</v>
      </c>
      <c r="N2007" s="21" t="s">
        <v>96</v>
      </c>
      <c r="O2007" s="21" t="s">
        <v>336</v>
      </c>
      <c r="Q2007" s="21" t="s">
        <v>344</v>
      </c>
      <c r="R2007" s="22">
        <v>45756</v>
      </c>
      <c r="W2007">
        <f>COUNTIF(OKB証券!U:U,B2007)</f>
        <v>0</v>
      </c>
    </row>
    <row r="2008" spans="1:23" ht="24.95" hidden="1" customHeight="1" x14ac:dyDescent="0.4">
      <c r="A2008" s="17" t="s">
        <v>73</v>
      </c>
      <c r="B2008" s="15" t="s">
        <v>256</v>
      </c>
      <c r="C2008" s="16" t="s">
        <v>31</v>
      </c>
      <c r="D2008" s="16" t="s">
        <v>31</v>
      </c>
      <c r="E2008" s="15" t="s">
        <v>32</v>
      </c>
      <c r="F2008" s="15" t="s">
        <v>314</v>
      </c>
      <c r="N2008" s="21" t="s">
        <v>96</v>
      </c>
      <c r="O2008" s="21" t="s">
        <v>336</v>
      </c>
      <c r="Q2008" s="21" t="s">
        <v>344</v>
      </c>
      <c r="R2008" s="22">
        <v>45756</v>
      </c>
      <c r="W2008">
        <f>COUNTIF(OKB証券!U:U,B2008)</f>
        <v>0</v>
      </c>
    </row>
    <row r="2009" spans="1:23" ht="24.95" hidden="1" customHeight="1" x14ac:dyDescent="0.4">
      <c r="A2009" s="17" t="s">
        <v>73</v>
      </c>
      <c r="B2009" s="15" t="s">
        <v>257</v>
      </c>
      <c r="C2009" s="16" t="s">
        <v>31</v>
      </c>
      <c r="D2009" s="16" t="s">
        <v>31</v>
      </c>
      <c r="E2009" s="15" t="s">
        <v>32</v>
      </c>
      <c r="F2009" s="15" t="s">
        <v>314</v>
      </c>
      <c r="N2009" s="21" t="s">
        <v>96</v>
      </c>
      <c r="O2009" s="21" t="s">
        <v>336</v>
      </c>
      <c r="Q2009" s="21" t="s">
        <v>344</v>
      </c>
      <c r="R2009" s="22">
        <v>45756</v>
      </c>
      <c r="W2009">
        <f>COUNTIF(OKB証券!U:U,B2009)</f>
        <v>0</v>
      </c>
    </row>
    <row r="2010" spans="1:23" ht="24.95" hidden="1" customHeight="1" x14ac:dyDescent="0.4">
      <c r="A2010" s="17" t="s">
        <v>73</v>
      </c>
      <c r="B2010" s="15" t="s">
        <v>258</v>
      </c>
      <c r="C2010" s="16" t="s">
        <v>31</v>
      </c>
      <c r="D2010" s="16" t="s">
        <v>31</v>
      </c>
      <c r="E2010" s="15" t="s">
        <v>32</v>
      </c>
      <c r="F2010" s="15" t="s">
        <v>314</v>
      </c>
      <c r="N2010" s="21" t="s">
        <v>96</v>
      </c>
      <c r="O2010" s="21" t="s">
        <v>336</v>
      </c>
      <c r="Q2010" s="21" t="s">
        <v>344</v>
      </c>
      <c r="R2010" s="22">
        <v>45756</v>
      </c>
      <c r="W2010">
        <f>COUNTIF(OKB証券!U:U,B2010)</f>
        <v>0</v>
      </c>
    </row>
    <row r="2011" spans="1:23" ht="24.95" hidden="1" customHeight="1" x14ac:dyDescent="0.4">
      <c r="A2011" s="17" t="s">
        <v>73</v>
      </c>
      <c r="B2011" s="15" t="s">
        <v>259</v>
      </c>
      <c r="C2011" s="16" t="s">
        <v>31</v>
      </c>
      <c r="D2011" s="16" t="s">
        <v>31</v>
      </c>
      <c r="E2011" s="15" t="s">
        <v>32</v>
      </c>
      <c r="F2011" s="15" t="s">
        <v>314</v>
      </c>
      <c r="N2011" s="21" t="s">
        <v>96</v>
      </c>
      <c r="O2011" s="21" t="s">
        <v>336</v>
      </c>
      <c r="Q2011" s="21" t="s">
        <v>344</v>
      </c>
      <c r="R2011" s="22">
        <v>45756</v>
      </c>
      <c r="W2011">
        <f>COUNTIF(OKB証券!U:U,B2011)</f>
        <v>0</v>
      </c>
    </row>
    <row r="2012" spans="1:23" ht="24.95" hidden="1" customHeight="1" x14ac:dyDescent="0.4">
      <c r="A2012" s="17" t="s">
        <v>73</v>
      </c>
      <c r="B2012" s="15" t="s">
        <v>260</v>
      </c>
      <c r="C2012" s="16" t="s">
        <v>31</v>
      </c>
      <c r="D2012" s="16" t="s">
        <v>31</v>
      </c>
      <c r="E2012" s="15" t="s">
        <v>32</v>
      </c>
      <c r="F2012" s="15" t="s">
        <v>314</v>
      </c>
      <c r="N2012" s="21" t="s">
        <v>96</v>
      </c>
      <c r="O2012" s="21" t="s">
        <v>336</v>
      </c>
      <c r="Q2012" s="21" t="s">
        <v>344</v>
      </c>
      <c r="R2012" s="22">
        <v>45756</v>
      </c>
      <c r="W2012">
        <f>COUNTIF(OKB証券!U:U,B2012)</f>
        <v>0</v>
      </c>
    </row>
    <row r="2013" spans="1:23" ht="24.95" hidden="1" customHeight="1" x14ac:dyDescent="0.4">
      <c r="A2013" s="17" t="s">
        <v>73</v>
      </c>
      <c r="B2013" s="15" t="s">
        <v>261</v>
      </c>
      <c r="C2013" s="16" t="s">
        <v>31</v>
      </c>
      <c r="D2013" s="16" t="s">
        <v>31</v>
      </c>
      <c r="E2013" s="15" t="s">
        <v>32</v>
      </c>
      <c r="F2013" s="15" t="s">
        <v>314</v>
      </c>
      <c r="N2013" s="21" t="s">
        <v>96</v>
      </c>
      <c r="O2013" s="21" t="s">
        <v>336</v>
      </c>
      <c r="Q2013" s="21" t="s">
        <v>344</v>
      </c>
      <c r="R2013" s="22">
        <v>45756</v>
      </c>
      <c r="W2013">
        <f>COUNTIF(OKB証券!U:U,B2013)</f>
        <v>0</v>
      </c>
    </row>
    <row r="2014" spans="1:23" ht="24.95" hidden="1" customHeight="1" x14ac:dyDescent="0.4">
      <c r="A2014" s="17" t="s">
        <v>73</v>
      </c>
      <c r="B2014" s="15" t="s">
        <v>262</v>
      </c>
      <c r="C2014" s="16" t="s">
        <v>31</v>
      </c>
      <c r="D2014" s="16" t="s">
        <v>31</v>
      </c>
      <c r="E2014" s="15" t="s">
        <v>32</v>
      </c>
      <c r="F2014" s="15" t="s">
        <v>314</v>
      </c>
      <c r="N2014" s="21" t="s">
        <v>96</v>
      </c>
      <c r="O2014" s="21" t="s">
        <v>336</v>
      </c>
      <c r="Q2014" s="21" t="s">
        <v>344</v>
      </c>
      <c r="R2014" s="22">
        <v>45756</v>
      </c>
      <c r="W2014">
        <f>COUNTIF(OKB証券!U:U,B2014)</f>
        <v>0</v>
      </c>
    </row>
    <row r="2015" spans="1:23" ht="24.95" hidden="1" customHeight="1" x14ac:dyDescent="0.4">
      <c r="A2015" s="17" t="s">
        <v>73</v>
      </c>
      <c r="B2015" s="15" t="s">
        <v>263</v>
      </c>
      <c r="C2015" s="16" t="s">
        <v>31</v>
      </c>
      <c r="D2015" s="16" t="s">
        <v>31</v>
      </c>
      <c r="E2015" s="15" t="s">
        <v>32</v>
      </c>
      <c r="F2015" s="15" t="s">
        <v>314</v>
      </c>
      <c r="N2015" s="21" t="s">
        <v>96</v>
      </c>
      <c r="O2015" s="21" t="s">
        <v>336</v>
      </c>
      <c r="Q2015" s="21" t="s">
        <v>344</v>
      </c>
      <c r="R2015" s="22">
        <v>45756</v>
      </c>
      <c r="W2015">
        <f>COUNTIF(OKB証券!U:U,B2015)</f>
        <v>0</v>
      </c>
    </row>
    <row r="2016" spans="1:23" ht="24.95" hidden="1" customHeight="1" x14ac:dyDescent="0.4">
      <c r="A2016" s="17" t="s">
        <v>73</v>
      </c>
      <c r="B2016" s="15" t="s">
        <v>264</v>
      </c>
      <c r="C2016" s="16" t="s">
        <v>31</v>
      </c>
      <c r="D2016" s="16" t="s">
        <v>31</v>
      </c>
      <c r="E2016" s="15" t="s">
        <v>32</v>
      </c>
      <c r="F2016" s="15" t="s">
        <v>314</v>
      </c>
      <c r="N2016" s="21" t="s">
        <v>96</v>
      </c>
      <c r="O2016" s="21" t="s">
        <v>336</v>
      </c>
      <c r="Q2016" s="21" t="s">
        <v>344</v>
      </c>
      <c r="R2016" s="22">
        <v>45756</v>
      </c>
      <c r="W2016">
        <f>COUNTIF(OKB証券!U:U,B2016)</f>
        <v>0</v>
      </c>
    </row>
    <row r="2017" spans="1:23" ht="24.95" hidden="1" customHeight="1" x14ac:dyDescent="0.4">
      <c r="A2017" s="17" t="s">
        <v>73</v>
      </c>
      <c r="B2017" s="15" t="s">
        <v>265</v>
      </c>
      <c r="C2017" s="16" t="s">
        <v>31</v>
      </c>
      <c r="D2017" s="16" t="s">
        <v>31</v>
      </c>
      <c r="E2017" s="15" t="s">
        <v>32</v>
      </c>
      <c r="F2017" s="15" t="s">
        <v>314</v>
      </c>
      <c r="N2017" s="21" t="s">
        <v>96</v>
      </c>
      <c r="O2017" s="21" t="s">
        <v>336</v>
      </c>
      <c r="Q2017" s="21" t="s">
        <v>344</v>
      </c>
      <c r="R2017" s="22">
        <v>45756</v>
      </c>
      <c r="W2017">
        <f>COUNTIF(OKB証券!U:U,B2017)</f>
        <v>0</v>
      </c>
    </row>
    <row r="2018" spans="1:23" ht="24.95" hidden="1" customHeight="1" x14ac:dyDescent="0.4">
      <c r="A2018" s="17" t="s">
        <v>73</v>
      </c>
      <c r="B2018" s="15" t="s">
        <v>266</v>
      </c>
      <c r="C2018" s="16" t="s">
        <v>31</v>
      </c>
      <c r="D2018" s="16" t="s">
        <v>31</v>
      </c>
      <c r="E2018" s="15" t="s">
        <v>32</v>
      </c>
      <c r="F2018" s="15" t="s">
        <v>314</v>
      </c>
      <c r="N2018" s="21" t="s">
        <v>96</v>
      </c>
      <c r="O2018" s="21" t="s">
        <v>336</v>
      </c>
      <c r="Q2018" s="21" t="s">
        <v>344</v>
      </c>
      <c r="R2018" s="22">
        <v>45756</v>
      </c>
      <c r="W2018">
        <f>COUNTIF(OKB証券!U:U,B2018)</f>
        <v>0</v>
      </c>
    </row>
    <row r="2019" spans="1:23" ht="24.95" hidden="1" customHeight="1" x14ac:dyDescent="0.4">
      <c r="A2019" s="17" t="s">
        <v>73</v>
      </c>
      <c r="B2019" s="15" t="s">
        <v>267</v>
      </c>
      <c r="C2019" s="16" t="s">
        <v>31</v>
      </c>
      <c r="D2019" s="16" t="s">
        <v>31</v>
      </c>
      <c r="E2019" s="15" t="s">
        <v>32</v>
      </c>
      <c r="F2019" s="15" t="s">
        <v>314</v>
      </c>
      <c r="N2019" s="21" t="s">
        <v>96</v>
      </c>
      <c r="O2019" s="21" t="s">
        <v>336</v>
      </c>
      <c r="Q2019" s="21" t="s">
        <v>344</v>
      </c>
      <c r="R2019" s="22">
        <v>45756</v>
      </c>
      <c r="W2019">
        <f>COUNTIF(OKB証券!U:U,B2019)</f>
        <v>0</v>
      </c>
    </row>
    <row r="2020" spans="1:23" ht="24.95" hidden="1" customHeight="1" x14ac:dyDescent="0.4">
      <c r="A2020" s="17" t="s">
        <v>73</v>
      </c>
      <c r="B2020" s="15" t="s">
        <v>268</v>
      </c>
      <c r="C2020" s="16" t="s">
        <v>31</v>
      </c>
      <c r="D2020" s="16" t="s">
        <v>31</v>
      </c>
      <c r="E2020" s="15" t="s">
        <v>32</v>
      </c>
      <c r="F2020" s="15" t="s">
        <v>314</v>
      </c>
      <c r="N2020" s="21" t="s">
        <v>96</v>
      </c>
      <c r="O2020" s="21" t="s">
        <v>336</v>
      </c>
      <c r="Q2020" s="21" t="s">
        <v>344</v>
      </c>
      <c r="R2020" s="22">
        <v>45756</v>
      </c>
      <c r="W2020">
        <f>COUNTIF(OKB証券!U:U,B2020)</f>
        <v>0</v>
      </c>
    </row>
    <row r="2021" spans="1:23" ht="24.95" hidden="1" customHeight="1" x14ac:dyDescent="0.4">
      <c r="A2021" s="17" t="s">
        <v>73</v>
      </c>
      <c r="B2021" s="15" t="s">
        <v>269</v>
      </c>
      <c r="C2021" s="16" t="s">
        <v>31</v>
      </c>
      <c r="D2021" s="16" t="s">
        <v>31</v>
      </c>
      <c r="E2021" s="15" t="s">
        <v>32</v>
      </c>
      <c r="F2021" s="15" t="s">
        <v>314</v>
      </c>
      <c r="N2021" s="21" t="s">
        <v>96</v>
      </c>
      <c r="O2021" s="21" t="s">
        <v>336</v>
      </c>
      <c r="Q2021" s="21" t="s">
        <v>344</v>
      </c>
      <c r="R2021" s="22">
        <v>45756</v>
      </c>
      <c r="W2021">
        <f>COUNTIF(OKB証券!U:U,B2021)</f>
        <v>0</v>
      </c>
    </row>
    <row r="2022" spans="1:23" ht="24.95" hidden="1" customHeight="1" x14ac:dyDescent="0.4">
      <c r="A2022" s="17" t="s">
        <v>73</v>
      </c>
      <c r="B2022" s="15" t="s">
        <v>270</v>
      </c>
      <c r="C2022" s="16" t="s">
        <v>31</v>
      </c>
      <c r="D2022" s="16" t="s">
        <v>31</v>
      </c>
      <c r="E2022" s="15" t="s">
        <v>32</v>
      </c>
      <c r="F2022" s="15" t="s">
        <v>314</v>
      </c>
      <c r="N2022" s="21" t="s">
        <v>96</v>
      </c>
      <c r="O2022" s="21" t="s">
        <v>336</v>
      </c>
      <c r="Q2022" s="21" t="s">
        <v>344</v>
      </c>
      <c r="R2022" s="22">
        <v>45756</v>
      </c>
      <c r="W2022">
        <f>COUNTIF(OKB証券!U:U,B2022)</f>
        <v>0</v>
      </c>
    </row>
    <row r="2023" spans="1:23" ht="24.95" hidden="1" customHeight="1" x14ac:dyDescent="0.4">
      <c r="A2023" s="17" t="s">
        <v>73</v>
      </c>
      <c r="B2023" s="15" t="s">
        <v>271</v>
      </c>
      <c r="C2023" s="16" t="s">
        <v>31</v>
      </c>
      <c r="D2023" s="16" t="s">
        <v>31</v>
      </c>
      <c r="E2023" s="15" t="s">
        <v>32</v>
      </c>
      <c r="F2023" s="15" t="s">
        <v>314</v>
      </c>
      <c r="N2023" s="21" t="s">
        <v>96</v>
      </c>
      <c r="O2023" s="21" t="s">
        <v>336</v>
      </c>
      <c r="Q2023" s="21" t="s">
        <v>344</v>
      </c>
      <c r="R2023" s="22">
        <v>45756</v>
      </c>
      <c r="W2023">
        <f>COUNTIF(OKB証券!U:U,B2023)</f>
        <v>0</v>
      </c>
    </row>
    <row r="2024" spans="1:23" ht="24.95" hidden="1" customHeight="1" x14ac:dyDescent="0.4">
      <c r="A2024" s="17" t="s">
        <v>73</v>
      </c>
      <c r="B2024" s="15" t="s">
        <v>324</v>
      </c>
      <c r="C2024" s="16" t="s">
        <v>31</v>
      </c>
      <c r="D2024" s="16" t="s">
        <v>31</v>
      </c>
      <c r="E2024" s="15" t="s">
        <v>32</v>
      </c>
      <c r="F2024" s="15" t="s">
        <v>314</v>
      </c>
      <c r="N2024" s="21" t="s">
        <v>96</v>
      </c>
      <c r="O2024" s="21" t="s">
        <v>337</v>
      </c>
      <c r="Q2024" s="21" t="s">
        <v>344</v>
      </c>
      <c r="R2024" s="22">
        <v>45756</v>
      </c>
      <c r="W2024">
        <f>COUNTIF(OKB証券!U:U,B2024)</f>
        <v>0</v>
      </c>
    </row>
    <row r="2025" spans="1:23" ht="24.95" hidden="1" customHeight="1" x14ac:dyDescent="0.4">
      <c r="A2025" s="17" t="s">
        <v>73</v>
      </c>
      <c r="B2025" s="50" t="s">
        <v>368</v>
      </c>
      <c r="C2025" s="16" t="s">
        <v>31</v>
      </c>
      <c r="D2025" s="16" t="s">
        <v>31</v>
      </c>
      <c r="E2025" s="15" t="s">
        <v>32</v>
      </c>
      <c r="F2025" s="15" t="s">
        <v>365</v>
      </c>
      <c r="N2025" s="21" t="s">
        <v>96</v>
      </c>
      <c r="O2025" s="21" t="s">
        <v>372</v>
      </c>
      <c r="Q2025" s="21" t="s">
        <v>344</v>
      </c>
      <c r="R2025" s="22">
        <v>45883</v>
      </c>
      <c r="W2025">
        <f>COUNTIF(OKB証券!U:U,B2025)</f>
        <v>0</v>
      </c>
    </row>
    <row r="2026" spans="1:23" ht="24.95" hidden="1" customHeight="1" x14ac:dyDescent="0.4">
      <c r="A2026" s="17" t="s">
        <v>73</v>
      </c>
      <c r="B2026" s="50" t="s">
        <v>369</v>
      </c>
      <c r="C2026" s="16" t="s">
        <v>24</v>
      </c>
      <c r="D2026" s="16" t="s">
        <v>31</v>
      </c>
      <c r="E2026" s="15" t="s">
        <v>35</v>
      </c>
      <c r="F2026" s="15" t="s">
        <v>365</v>
      </c>
      <c r="N2026" s="21" t="s">
        <v>96</v>
      </c>
      <c r="O2026" s="21" t="s">
        <v>372</v>
      </c>
      <c r="Q2026" s="21" t="s">
        <v>344</v>
      </c>
      <c r="R2026" s="22">
        <v>45883</v>
      </c>
      <c r="W2026">
        <f>COUNTIF(OKB証券!U:U,B2026)</f>
        <v>0</v>
      </c>
    </row>
    <row r="2027" spans="1:23" ht="24.95" hidden="1" customHeight="1" x14ac:dyDescent="0.4">
      <c r="A2027" s="17" t="s">
        <v>73</v>
      </c>
      <c r="B2027" s="15" t="s">
        <v>325</v>
      </c>
      <c r="C2027" s="16" t="s">
        <v>24</v>
      </c>
      <c r="D2027" s="16" t="s">
        <v>31</v>
      </c>
      <c r="E2027" s="15" t="s">
        <v>35</v>
      </c>
      <c r="F2027" s="15" t="s">
        <v>314</v>
      </c>
      <c r="N2027" s="21" t="s">
        <v>96</v>
      </c>
      <c r="O2027" s="21" t="s">
        <v>337</v>
      </c>
      <c r="Q2027" s="21" t="s">
        <v>344</v>
      </c>
      <c r="R2027" s="22">
        <v>45756</v>
      </c>
      <c r="W2027">
        <f>COUNTIF(OKB証券!U:U,B2027)</f>
        <v>0</v>
      </c>
    </row>
    <row r="2028" spans="1:23" ht="24.95" hidden="1" customHeight="1" x14ac:dyDescent="0.4">
      <c r="A2028" s="17" t="s">
        <v>73</v>
      </c>
      <c r="B2028" s="15" t="s">
        <v>272</v>
      </c>
      <c r="C2028" s="16" t="s">
        <v>31</v>
      </c>
      <c r="D2028" s="16" t="s">
        <v>31</v>
      </c>
      <c r="E2028" s="15" t="s">
        <v>32</v>
      </c>
      <c r="F2028" s="15" t="s">
        <v>314</v>
      </c>
      <c r="N2028" s="21" t="s">
        <v>96</v>
      </c>
      <c r="O2028" s="21" t="s">
        <v>336</v>
      </c>
      <c r="Q2028" s="21" t="s">
        <v>344</v>
      </c>
      <c r="R2028" s="22">
        <v>45756</v>
      </c>
      <c r="W2028">
        <f>COUNTIF(OKB証券!U:U,B2028)</f>
        <v>0</v>
      </c>
    </row>
    <row r="2029" spans="1:23" ht="24.95" hidden="1" customHeight="1" x14ac:dyDescent="0.4">
      <c r="A2029" s="17" t="s">
        <v>73</v>
      </c>
      <c r="B2029" s="15" t="s">
        <v>273</v>
      </c>
      <c r="C2029" s="16" t="s">
        <v>31</v>
      </c>
      <c r="D2029" s="16" t="s">
        <v>31</v>
      </c>
      <c r="E2029" s="15" t="s">
        <v>32</v>
      </c>
      <c r="F2029" s="15" t="s">
        <v>314</v>
      </c>
      <c r="N2029" s="21" t="s">
        <v>96</v>
      </c>
      <c r="O2029" s="21" t="s">
        <v>336</v>
      </c>
      <c r="Q2029" s="21" t="s">
        <v>344</v>
      </c>
      <c r="R2029" s="22">
        <v>45756</v>
      </c>
      <c r="W2029">
        <f>COUNTIF(OKB証券!U:U,B2029)</f>
        <v>0</v>
      </c>
    </row>
    <row r="2030" spans="1:23" ht="24.95" hidden="1" customHeight="1" x14ac:dyDescent="0.4">
      <c r="A2030" s="17" t="s">
        <v>73</v>
      </c>
      <c r="B2030" s="15" t="s">
        <v>274</v>
      </c>
      <c r="C2030" s="16" t="s">
        <v>31</v>
      </c>
      <c r="D2030" s="16" t="s">
        <v>31</v>
      </c>
      <c r="E2030" s="15" t="s">
        <v>32</v>
      </c>
      <c r="F2030" s="15" t="s">
        <v>314</v>
      </c>
      <c r="N2030" s="21" t="s">
        <v>96</v>
      </c>
      <c r="O2030" s="21" t="s">
        <v>336</v>
      </c>
      <c r="Q2030" s="21" t="s">
        <v>344</v>
      </c>
      <c r="R2030" s="22">
        <v>45756</v>
      </c>
      <c r="W2030">
        <f>COUNTIF(OKB証券!U:U,B2030)</f>
        <v>0</v>
      </c>
    </row>
    <row r="2031" spans="1:23" ht="24.95" hidden="1" customHeight="1" x14ac:dyDescent="0.4">
      <c r="A2031" s="17" t="s">
        <v>73</v>
      </c>
      <c r="B2031" s="15" t="s">
        <v>275</v>
      </c>
      <c r="C2031" s="16" t="s">
        <v>31</v>
      </c>
      <c r="D2031" s="16" t="s">
        <v>31</v>
      </c>
      <c r="E2031" s="15" t="s">
        <v>32</v>
      </c>
      <c r="F2031" s="15" t="s">
        <v>314</v>
      </c>
      <c r="N2031" s="21" t="s">
        <v>96</v>
      </c>
      <c r="O2031" s="21" t="s">
        <v>336</v>
      </c>
      <c r="Q2031" s="21" t="s">
        <v>344</v>
      </c>
      <c r="R2031" s="22">
        <v>45756</v>
      </c>
      <c r="W2031">
        <f>COUNTIF(OKB証券!U:U,B2031)</f>
        <v>0</v>
      </c>
    </row>
    <row r="2032" spans="1:23" ht="24.95" hidden="1" customHeight="1" x14ac:dyDescent="0.4">
      <c r="A2032" s="17" t="s">
        <v>73</v>
      </c>
      <c r="B2032" s="15" t="s">
        <v>326</v>
      </c>
      <c r="C2032" s="16" t="s">
        <v>31</v>
      </c>
      <c r="D2032" s="16" t="s">
        <v>31</v>
      </c>
      <c r="E2032" s="15" t="s">
        <v>32</v>
      </c>
      <c r="F2032" s="15" t="s">
        <v>314</v>
      </c>
      <c r="N2032" s="21" t="s">
        <v>96</v>
      </c>
      <c r="O2032" s="21" t="s">
        <v>337</v>
      </c>
      <c r="Q2032" s="21" t="s">
        <v>344</v>
      </c>
      <c r="R2032" s="22">
        <v>45756</v>
      </c>
      <c r="W2032">
        <f>COUNTIF(OKB証券!U:U,B2032)</f>
        <v>0</v>
      </c>
    </row>
    <row r="2033" spans="1:23" ht="24.95" hidden="1" customHeight="1" x14ac:dyDescent="0.4">
      <c r="A2033" s="17" t="s">
        <v>73</v>
      </c>
      <c r="B2033" s="15" t="s">
        <v>327</v>
      </c>
      <c r="C2033" s="16" t="s">
        <v>24</v>
      </c>
      <c r="D2033" s="16" t="s">
        <v>31</v>
      </c>
      <c r="E2033" s="15" t="s">
        <v>35</v>
      </c>
      <c r="F2033" s="15" t="s">
        <v>314</v>
      </c>
      <c r="N2033" s="21" t="s">
        <v>96</v>
      </c>
      <c r="O2033" s="21" t="s">
        <v>337</v>
      </c>
      <c r="Q2033" s="21" t="s">
        <v>344</v>
      </c>
      <c r="R2033" s="22">
        <v>45756</v>
      </c>
      <c r="W2033">
        <f>COUNTIF(OKB証券!U:U,B2033)</f>
        <v>0</v>
      </c>
    </row>
    <row r="2034" spans="1:23" ht="24.95" hidden="1" customHeight="1" x14ac:dyDescent="0.4">
      <c r="A2034" s="17" t="s">
        <v>73</v>
      </c>
      <c r="B2034" s="15" t="s">
        <v>328</v>
      </c>
      <c r="C2034" s="16" t="s">
        <v>24</v>
      </c>
      <c r="D2034" s="16" t="s">
        <v>31</v>
      </c>
      <c r="E2034" s="15" t="s">
        <v>35</v>
      </c>
      <c r="F2034" s="15" t="s">
        <v>314</v>
      </c>
      <c r="N2034" s="21" t="s">
        <v>96</v>
      </c>
      <c r="O2034" s="21" t="s">
        <v>337</v>
      </c>
      <c r="Q2034" s="21" t="s">
        <v>344</v>
      </c>
      <c r="R2034" s="22">
        <v>45756</v>
      </c>
      <c r="W2034">
        <f>COUNTIF(OKB証券!U:U,B2034)</f>
        <v>0</v>
      </c>
    </row>
    <row r="2035" spans="1:23" ht="24.95" hidden="1" customHeight="1" x14ac:dyDescent="0.4">
      <c r="A2035" s="17" t="s">
        <v>73</v>
      </c>
      <c r="B2035" s="15" t="s">
        <v>329</v>
      </c>
      <c r="C2035" s="16" t="s">
        <v>24</v>
      </c>
      <c r="D2035" s="16" t="s">
        <v>31</v>
      </c>
      <c r="E2035" s="15" t="s">
        <v>35</v>
      </c>
      <c r="F2035" s="15" t="s">
        <v>314</v>
      </c>
      <c r="N2035" s="21" t="s">
        <v>96</v>
      </c>
      <c r="O2035" s="21" t="s">
        <v>337</v>
      </c>
      <c r="Q2035" s="21" t="s">
        <v>344</v>
      </c>
      <c r="R2035" s="22">
        <v>45756</v>
      </c>
      <c r="W2035">
        <f>COUNTIF(OKB証券!U:U,B2035)</f>
        <v>0</v>
      </c>
    </row>
    <row r="2036" spans="1:23" ht="24.95" hidden="1" customHeight="1" x14ac:dyDescent="0.4">
      <c r="A2036" s="17" t="s">
        <v>73</v>
      </c>
      <c r="B2036" s="15" t="s">
        <v>276</v>
      </c>
      <c r="C2036" s="16" t="s">
        <v>31</v>
      </c>
      <c r="D2036" s="16" t="s">
        <v>31</v>
      </c>
      <c r="E2036" s="15" t="s">
        <v>32</v>
      </c>
      <c r="F2036" s="15" t="s">
        <v>314</v>
      </c>
      <c r="N2036" s="21" t="s">
        <v>96</v>
      </c>
      <c r="O2036" s="21" t="s">
        <v>336</v>
      </c>
      <c r="Q2036" s="21" t="s">
        <v>344</v>
      </c>
      <c r="R2036" s="22">
        <v>45756</v>
      </c>
      <c r="W2036">
        <f>COUNTIF(OKB証券!U:U,B2036)</f>
        <v>0</v>
      </c>
    </row>
    <row r="2037" spans="1:23" ht="24.95" hidden="1" customHeight="1" x14ac:dyDescent="0.4">
      <c r="A2037" s="17" t="s">
        <v>73</v>
      </c>
      <c r="B2037" s="15" t="s">
        <v>277</v>
      </c>
      <c r="C2037" s="16" t="s">
        <v>31</v>
      </c>
      <c r="D2037" s="16" t="s">
        <v>31</v>
      </c>
      <c r="E2037" s="15" t="s">
        <v>32</v>
      </c>
      <c r="F2037" s="15" t="s">
        <v>314</v>
      </c>
      <c r="N2037" s="21" t="s">
        <v>96</v>
      </c>
      <c r="O2037" s="21" t="s">
        <v>336</v>
      </c>
      <c r="Q2037" s="21" t="s">
        <v>344</v>
      </c>
      <c r="R2037" s="22">
        <v>45756</v>
      </c>
      <c r="W2037">
        <f>COUNTIF(OKB証券!U:U,B2037)</f>
        <v>0</v>
      </c>
    </row>
    <row r="2038" spans="1:23" ht="24.95" hidden="1" customHeight="1" x14ac:dyDescent="0.4">
      <c r="A2038" s="17" t="s">
        <v>73</v>
      </c>
      <c r="B2038" s="15" t="s">
        <v>278</v>
      </c>
      <c r="C2038" s="16" t="s">
        <v>31</v>
      </c>
      <c r="D2038" s="16" t="s">
        <v>31</v>
      </c>
      <c r="E2038" s="15" t="s">
        <v>32</v>
      </c>
      <c r="F2038" s="15" t="s">
        <v>314</v>
      </c>
      <c r="N2038" s="21" t="s">
        <v>96</v>
      </c>
      <c r="O2038" s="21" t="s">
        <v>336</v>
      </c>
      <c r="Q2038" s="21" t="s">
        <v>344</v>
      </c>
      <c r="R2038" s="22">
        <v>45756</v>
      </c>
      <c r="W2038">
        <f>COUNTIF(OKB証券!U:U,B2038)</f>
        <v>0</v>
      </c>
    </row>
    <row r="2039" spans="1:23" ht="24.95" hidden="1" customHeight="1" x14ac:dyDescent="0.4">
      <c r="A2039" s="17" t="s">
        <v>73</v>
      </c>
      <c r="B2039" s="15" t="s">
        <v>279</v>
      </c>
      <c r="C2039" s="16" t="s">
        <v>31</v>
      </c>
      <c r="D2039" s="16" t="s">
        <v>31</v>
      </c>
      <c r="E2039" s="15" t="s">
        <v>32</v>
      </c>
      <c r="F2039" s="15" t="s">
        <v>314</v>
      </c>
      <c r="N2039" s="21" t="s">
        <v>96</v>
      </c>
      <c r="O2039" s="21" t="s">
        <v>336</v>
      </c>
      <c r="Q2039" s="21" t="s">
        <v>344</v>
      </c>
      <c r="R2039" s="22">
        <v>45756</v>
      </c>
      <c r="W2039">
        <f>COUNTIF(OKB証券!U:U,B2039)</f>
        <v>0</v>
      </c>
    </row>
    <row r="2040" spans="1:23" ht="24.95" hidden="1" customHeight="1" x14ac:dyDescent="0.4">
      <c r="A2040" s="17" t="s">
        <v>73</v>
      </c>
      <c r="B2040" s="15" t="s">
        <v>280</v>
      </c>
      <c r="C2040" s="16" t="s">
        <v>31</v>
      </c>
      <c r="D2040" s="16" t="s">
        <v>31</v>
      </c>
      <c r="E2040" s="15" t="s">
        <v>32</v>
      </c>
      <c r="F2040" s="15" t="s">
        <v>314</v>
      </c>
      <c r="N2040" s="21" t="s">
        <v>96</v>
      </c>
      <c r="O2040" s="21" t="s">
        <v>336</v>
      </c>
      <c r="Q2040" s="21" t="s">
        <v>344</v>
      </c>
      <c r="R2040" s="22">
        <v>45756</v>
      </c>
      <c r="W2040">
        <f>COUNTIF(OKB証券!U:U,B2040)</f>
        <v>0</v>
      </c>
    </row>
    <row r="2041" spans="1:23" ht="24.95" hidden="1" customHeight="1" x14ac:dyDescent="0.4">
      <c r="A2041" s="17" t="s">
        <v>73</v>
      </c>
      <c r="B2041" s="15" t="s">
        <v>281</v>
      </c>
      <c r="C2041" s="16" t="s">
        <v>31</v>
      </c>
      <c r="D2041" s="16" t="s">
        <v>31</v>
      </c>
      <c r="E2041" s="15" t="s">
        <v>32</v>
      </c>
      <c r="F2041" s="15" t="s">
        <v>314</v>
      </c>
      <c r="N2041" s="21" t="s">
        <v>96</v>
      </c>
      <c r="O2041" s="21" t="s">
        <v>336</v>
      </c>
      <c r="Q2041" s="21" t="s">
        <v>344</v>
      </c>
      <c r="R2041" s="22">
        <v>45756</v>
      </c>
      <c r="W2041">
        <f>COUNTIF(OKB証券!U:U,B2041)</f>
        <v>0</v>
      </c>
    </row>
    <row r="2042" spans="1:23" ht="24.95" hidden="1" customHeight="1" x14ac:dyDescent="0.4">
      <c r="A2042" s="17" t="s">
        <v>73</v>
      </c>
      <c r="B2042" s="15" t="s">
        <v>282</v>
      </c>
      <c r="C2042" s="16" t="s">
        <v>31</v>
      </c>
      <c r="D2042" s="16" t="s">
        <v>31</v>
      </c>
      <c r="E2042" s="15" t="s">
        <v>32</v>
      </c>
      <c r="F2042" s="15" t="s">
        <v>314</v>
      </c>
      <c r="N2042" s="21" t="s">
        <v>96</v>
      </c>
      <c r="O2042" s="21" t="s">
        <v>336</v>
      </c>
      <c r="Q2042" s="21" t="s">
        <v>344</v>
      </c>
      <c r="R2042" s="22">
        <v>45756</v>
      </c>
      <c r="W2042">
        <f>COUNTIF(OKB証券!U:U,B2042)</f>
        <v>0</v>
      </c>
    </row>
    <row r="2043" spans="1:23" ht="24.95" hidden="1" customHeight="1" x14ac:dyDescent="0.4">
      <c r="A2043" s="17" t="s">
        <v>73</v>
      </c>
      <c r="B2043" s="15" t="s">
        <v>283</v>
      </c>
      <c r="C2043" s="16" t="s">
        <v>31</v>
      </c>
      <c r="D2043" s="16" t="s">
        <v>31</v>
      </c>
      <c r="E2043" s="15" t="s">
        <v>32</v>
      </c>
      <c r="F2043" s="15" t="s">
        <v>314</v>
      </c>
      <c r="N2043" s="21" t="s">
        <v>96</v>
      </c>
      <c r="O2043" s="21" t="s">
        <v>336</v>
      </c>
      <c r="Q2043" s="21" t="s">
        <v>344</v>
      </c>
      <c r="R2043" s="22">
        <v>45756</v>
      </c>
      <c r="W2043">
        <f>COUNTIF(OKB証券!U:U,B2043)</f>
        <v>0</v>
      </c>
    </row>
    <row r="2044" spans="1:23" ht="24.95" hidden="1" customHeight="1" x14ac:dyDescent="0.4">
      <c r="A2044" s="17" t="s">
        <v>73</v>
      </c>
      <c r="B2044" s="15" t="s">
        <v>284</v>
      </c>
      <c r="C2044" s="16" t="s">
        <v>31</v>
      </c>
      <c r="D2044" s="16" t="s">
        <v>31</v>
      </c>
      <c r="E2044" s="15" t="s">
        <v>32</v>
      </c>
      <c r="F2044" s="15" t="s">
        <v>314</v>
      </c>
      <c r="N2044" s="21" t="s">
        <v>96</v>
      </c>
      <c r="O2044" s="21" t="s">
        <v>336</v>
      </c>
      <c r="Q2044" s="21" t="s">
        <v>344</v>
      </c>
      <c r="R2044" s="22">
        <v>45756</v>
      </c>
      <c r="W2044">
        <f>COUNTIF(OKB証券!U:U,B2044)</f>
        <v>0</v>
      </c>
    </row>
    <row r="2045" spans="1:23" ht="24.95" hidden="1" customHeight="1" x14ac:dyDescent="0.4">
      <c r="A2045" s="17" t="s">
        <v>73</v>
      </c>
      <c r="B2045" s="15" t="s">
        <v>285</v>
      </c>
      <c r="C2045" s="16" t="s">
        <v>31</v>
      </c>
      <c r="D2045" s="16" t="s">
        <v>31</v>
      </c>
      <c r="E2045" s="15" t="s">
        <v>32</v>
      </c>
      <c r="F2045" s="15" t="s">
        <v>314</v>
      </c>
      <c r="N2045" s="21" t="s">
        <v>96</v>
      </c>
      <c r="O2045" s="21" t="s">
        <v>336</v>
      </c>
      <c r="Q2045" s="21" t="s">
        <v>344</v>
      </c>
      <c r="R2045" s="22">
        <v>45756</v>
      </c>
      <c r="W2045">
        <f>COUNTIF(OKB証券!U:U,B2045)</f>
        <v>0</v>
      </c>
    </row>
    <row r="2046" spans="1:23" ht="24.95" hidden="1" customHeight="1" x14ac:dyDescent="0.4">
      <c r="A2046" s="17" t="s">
        <v>73</v>
      </c>
      <c r="B2046" s="15" t="s">
        <v>286</v>
      </c>
      <c r="C2046" s="16" t="s">
        <v>31</v>
      </c>
      <c r="D2046" s="16" t="s">
        <v>31</v>
      </c>
      <c r="E2046" s="15" t="s">
        <v>32</v>
      </c>
      <c r="F2046" s="15" t="s">
        <v>314</v>
      </c>
      <c r="N2046" s="21" t="s">
        <v>96</v>
      </c>
      <c r="O2046" s="21" t="s">
        <v>336</v>
      </c>
      <c r="Q2046" s="21" t="s">
        <v>344</v>
      </c>
      <c r="R2046" s="22">
        <v>45756</v>
      </c>
      <c r="W2046">
        <f>COUNTIF(OKB証券!U:U,B2046)</f>
        <v>0</v>
      </c>
    </row>
    <row r="2047" spans="1:23" ht="24.95" hidden="1" customHeight="1" x14ac:dyDescent="0.4">
      <c r="A2047" s="17" t="s">
        <v>73</v>
      </c>
      <c r="B2047" s="15" t="s">
        <v>287</v>
      </c>
      <c r="C2047" s="16" t="s">
        <v>31</v>
      </c>
      <c r="D2047" s="16" t="s">
        <v>31</v>
      </c>
      <c r="E2047" s="15" t="s">
        <v>32</v>
      </c>
      <c r="F2047" s="15" t="s">
        <v>314</v>
      </c>
      <c r="N2047" s="21" t="s">
        <v>96</v>
      </c>
      <c r="O2047" s="21" t="s">
        <v>336</v>
      </c>
      <c r="Q2047" s="21" t="s">
        <v>344</v>
      </c>
      <c r="R2047" s="22">
        <v>45756</v>
      </c>
      <c r="W2047">
        <f>COUNTIF(OKB証券!U:U,B2047)</f>
        <v>0</v>
      </c>
    </row>
    <row r="2048" spans="1:23" ht="24.95" hidden="1" customHeight="1" x14ac:dyDescent="0.4">
      <c r="A2048" s="17" t="s">
        <v>73</v>
      </c>
      <c r="B2048" s="15" t="s">
        <v>342</v>
      </c>
      <c r="C2048" s="16" t="s">
        <v>31</v>
      </c>
      <c r="D2048" s="16" t="s">
        <v>31</v>
      </c>
      <c r="E2048" s="15" t="s">
        <v>32</v>
      </c>
      <c r="F2048" s="15" t="s">
        <v>340</v>
      </c>
      <c r="N2048" s="21" t="s">
        <v>96</v>
      </c>
      <c r="O2048" s="21" t="s">
        <v>345</v>
      </c>
      <c r="Q2048" s="21" t="s">
        <v>344</v>
      </c>
      <c r="R2048" s="22">
        <v>45784</v>
      </c>
      <c r="W2048">
        <f>COUNTIF(OKB証券!U:U,B2048)</f>
        <v>0</v>
      </c>
    </row>
    <row r="2049" spans="1:23" ht="24.95" hidden="1" customHeight="1" x14ac:dyDescent="0.4">
      <c r="A2049" s="17" t="s">
        <v>73</v>
      </c>
      <c r="B2049" s="15" t="s">
        <v>288</v>
      </c>
      <c r="C2049" s="16" t="s">
        <v>31</v>
      </c>
      <c r="D2049" s="16" t="s">
        <v>31</v>
      </c>
      <c r="E2049" s="15" t="s">
        <v>32</v>
      </c>
      <c r="F2049" s="15" t="s">
        <v>314</v>
      </c>
      <c r="N2049" s="21" t="s">
        <v>96</v>
      </c>
      <c r="O2049" s="21" t="s">
        <v>336</v>
      </c>
      <c r="Q2049" s="21" t="s">
        <v>344</v>
      </c>
      <c r="R2049" s="22">
        <v>45756</v>
      </c>
      <c r="W2049">
        <f>COUNTIF(OKB証券!U:U,B2049)</f>
        <v>0</v>
      </c>
    </row>
    <row r="2050" spans="1:23" ht="24.95" hidden="1" customHeight="1" x14ac:dyDescent="0.4">
      <c r="A2050" s="17" t="s">
        <v>73</v>
      </c>
      <c r="B2050" s="15" t="s">
        <v>289</v>
      </c>
      <c r="C2050" s="16" t="s">
        <v>31</v>
      </c>
      <c r="D2050" s="16" t="s">
        <v>31</v>
      </c>
      <c r="E2050" s="15" t="s">
        <v>32</v>
      </c>
      <c r="F2050" s="15" t="s">
        <v>314</v>
      </c>
      <c r="N2050" s="21" t="s">
        <v>96</v>
      </c>
      <c r="O2050" s="21" t="s">
        <v>336</v>
      </c>
      <c r="Q2050" s="21" t="s">
        <v>344</v>
      </c>
      <c r="R2050" s="22">
        <v>45756</v>
      </c>
      <c r="W2050">
        <f>COUNTIF(OKB証券!U:U,B2050)</f>
        <v>0</v>
      </c>
    </row>
    <row r="2051" spans="1:23" ht="24.95" hidden="1" customHeight="1" x14ac:dyDescent="0.4">
      <c r="A2051" s="17" t="s">
        <v>73</v>
      </c>
      <c r="B2051" s="15" t="s">
        <v>290</v>
      </c>
      <c r="C2051" s="16" t="s">
        <v>31</v>
      </c>
      <c r="D2051" s="16" t="s">
        <v>31</v>
      </c>
      <c r="E2051" s="15" t="s">
        <v>32</v>
      </c>
      <c r="F2051" s="15" t="s">
        <v>314</v>
      </c>
      <c r="N2051" s="21" t="s">
        <v>96</v>
      </c>
      <c r="O2051" s="21" t="s">
        <v>336</v>
      </c>
      <c r="Q2051" s="21" t="s">
        <v>344</v>
      </c>
      <c r="R2051" s="22">
        <v>45756</v>
      </c>
      <c r="W2051">
        <f>COUNTIF(OKB証券!U:U,B2051)</f>
        <v>0</v>
      </c>
    </row>
    <row r="2052" spans="1:23" ht="24.95" hidden="1" customHeight="1" x14ac:dyDescent="0.4">
      <c r="A2052" s="17" t="s">
        <v>73</v>
      </c>
      <c r="B2052" s="15" t="s">
        <v>291</v>
      </c>
      <c r="C2052" s="16" t="s">
        <v>31</v>
      </c>
      <c r="D2052" s="16" t="s">
        <v>31</v>
      </c>
      <c r="E2052" s="15" t="s">
        <v>32</v>
      </c>
      <c r="F2052" s="15" t="s">
        <v>314</v>
      </c>
      <c r="N2052" s="21" t="s">
        <v>96</v>
      </c>
      <c r="O2052" s="21" t="s">
        <v>336</v>
      </c>
      <c r="Q2052" s="21" t="s">
        <v>344</v>
      </c>
      <c r="R2052" s="22">
        <v>45756</v>
      </c>
      <c r="W2052">
        <f>COUNTIF(OKB証券!U:U,B2052)</f>
        <v>0</v>
      </c>
    </row>
    <row r="2053" spans="1:23" ht="24.95" hidden="1" customHeight="1" x14ac:dyDescent="0.4">
      <c r="A2053" s="17" t="s">
        <v>73</v>
      </c>
      <c r="B2053" s="15" t="s">
        <v>292</v>
      </c>
      <c r="C2053" s="16" t="s">
        <v>31</v>
      </c>
      <c r="D2053" s="16" t="s">
        <v>31</v>
      </c>
      <c r="E2053" s="15" t="s">
        <v>32</v>
      </c>
      <c r="F2053" s="15" t="s">
        <v>314</v>
      </c>
      <c r="N2053" s="21" t="s">
        <v>96</v>
      </c>
      <c r="O2053" s="21" t="s">
        <v>336</v>
      </c>
      <c r="Q2053" s="21" t="s">
        <v>344</v>
      </c>
      <c r="R2053" s="22">
        <v>45756</v>
      </c>
      <c r="W2053">
        <f>COUNTIF(OKB証券!U:U,B2053)</f>
        <v>0</v>
      </c>
    </row>
    <row r="2054" spans="1:23" ht="24.95" hidden="1" customHeight="1" x14ac:dyDescent="0.4">
      <c r="A2054" s="17" t="s">
        <v>73</v>
      </c>
      <c r="B2054" s="15" t="s">
        <v>293</v>
      </c>
      <c r="C2054" s="16" t="s">
        <v>31</v>
      </c>
      <c r="D2054" s="16" t="s">
        <v>31</v>
      </c>
      <c r="E2054" s="15" t="s">
        <v>32</v>
      </c>
      <c r="F2054" s="15" t="s">
        <v>314</v>
      </c>
      <c r="N2054" s="21" t="s">
        <v>96</v>
      </c>
      <c r="O2054" s="21" t="s">
        <v>336</v>
      </c>
      <c r="Q2054" s="21" t="s">
        <v>344</v>
      </c>
      <c r="R2054" s="22">
        <v>45756</v>
      </c>
      <c r="W2054">
        <f>COUNTIF(OKB証券!U:U,B2054)</f>
        <v>0</v>
      </c>
    </row>
    <row r="2055" spans="1:23" ht="24.95" hidden="1" customHeight="1" x14ac:dyDescent="0.4">
      <c r="A2055" s="17" t="s">
        <v>73</v>
      </c>
      <c r="B2055" s="15" t="s">
        <v>294</v>
      </c>
      <c r="C2055" s="16" t="s">
        <v>31</v>
      </c>
      <c r="D2055" s="16" t="s">
        <v>31</v>
      </c>
      <c r="E2055" s="15" t="s">
        <v>32</v>
      </c>
      <c r="F2055" s="15" t="s">
        <v>314</v>
      </c>
      <c r="N2055" s="21" t="s">
        <v>96</v>
      </c>
      <c r="O2055" s="21" t="s">
        <v>336</v>
      </c>
      <c r="Q2055" s="21" t="s">
        <v>344</v>
      </c>
      <c r="R2055" s="22">
        <v>45756</v>
      </c>
      <c r="W2055">
        <f>COUNTIF(OKB証券!U:U,B2055)</f>
        <v>0</v>
      </c>
    </row>
    <row r="2056" spans="1:23" ht="24.95" hidden="1" customHeight="1" x14ac:dyDescent="0.4">
      <c r="A2056" s="17" t="s">
        <v>73</v>
      </c>
      <c r="B2056" s="15" t="s">
        <v>295</v>
      </c>
      <c r="C2056" s="16" t="s">
        <v>31</v>
      </c>
      <c r="D2056" s="16" t="s">
        <v>31</v>
      </c>
      <c r="E2056" s="15" t="s">
        <v>32</v>
      </c>
      <c r="F2056" s="15" t="s">
        <v>314</v>
      </c>
      <c r="N2056" s="21" t="s">
        <v>96</v>
      </c>
      <c r="O2056" s="21" t="s">
        <v>336</v>
      </c>
      <c r="Q2056" s="21" t="s">
        <v>344</v>
      </c>
      <c r="R2056" s="22">
        <v>45756</v>
      </c>
      <c r="W2056">
        <f>COUNTIF(OKB証券!U:U,B2056)</f>
        <v>0</v>
      </c>
    </row>
    <row r="2057" spans="1:23" ht="24.95" hidden="1" customHeight="1" x14ac:dyDescent="0.4">
      <c r="A2057" s="17" t="s">
        <v>73</v>
      </c>
      <c r="B2057" s="15" t="s">
        <v>296</v>
      </c>
      <c r="C2057" s="16" t="s">
        <v>31</v>
      </c>
      <c r="D2057" s="16" t="s">
        <v>31</v>
      </c>
      <c r="E2057" s="15" t="s">
        <v>32</v>
      </c>
      <c r="F2057" s="15" t="s">
        <v>314</v>
      </c>
      <c r="N2057" s="21" t="s">
        <v>96</v>
      </c>
      <c r="O2057" s="21" t="s">
        <v>336</v>
      </c>
      <c r="Q2057" s="21" t="s">
        <v>344</v>
      </c>
      <c r="R2057" s="22">
        <v>45756</v>
      </c>
      <c r="W2057">
        <f>COUNTIF(OKB証券!U:U,B2057)</f>
        <v>0</v>
      </c>
    </row>
    <row r="2058" spans="1:23" ht="24.95" hidden="1" customHeight="1" x14ac:dyDescent="0.4">
      <c r="A2058" s="17" t="s">
        <v>73</v>
      </c>
      <c r="B2058" s="15" t="s">
        <v>297</v>
      </c>
      <c r="C2058" s="16" t="s">
        <v>31</v>
      </c>
      <c r="D2058" s="16" t="s">
        <v>31</v>
      </c>
      <c r="E2058" s="15" t="s">
        <v>32</v>
      </c>
      <c r="F2058" s="15" t="s">
        <v>314</v>
      </c>
      <c r="N2058" s="21" t="s">
        <v>96</v>
      </c>
      <c r="O2058" s="21" t="s">
        <v>336</v>
      </c>
      <c r="Q2058" s="21" t="s">
        <v>344</v>
      </c>
      <c r="R2058" s="22">
        <v>45756</v>
      </c>
      <c r="W2058">
        <f>COUNTIF(OKB証券!U:U,B2058)</f>
        <v>0</v>
      </c>
    </row>
    <row r="2059" spans="1:23" ht="24.95" hidden="1" customHeight="1" x14ac:dyDescent="0.4">
      <c r="A2059" s="17" t="s">
        <v>73</v>
      </c>
      <c r="B2059" s="15" t="s">
        <v>298</v>
      </c>
      <c r="C2059" s="16" t="s">
        <v>31</v>
      </c>
      <c r="D2059" s="16" t="s">
        <v>31</v>
      </c>
      <c r="E2059" s="15" t="s">
        <v>32</v>
      </c>
      <c r="F2059" s="15" t="s">
        <v>314</v>
      </c>
      <c r="N2059" s="21" t="s">
        <v>96</v>
      </c>
      <c r="O2059" s="21" t="s">
        <v>336</v>
      </c>
      <c r="Q2059" s="21" t="s">
        <v>344</v>
      </c>
      <c r="R2059" s="22">
        <v>45756</v>
      </c>
      <c r="W2059">
        <f>COUNTIF(OKB証券!U:U,B2059)</f>
        <v>0</v>
      </c>
    </row>
    <row r="2060" spans="1:23" ht="24.95" hidden="1" customHeight="1" x14ac:dyDescent="0.4">
      <c r="A2060" s="17" t="s">
        <v>73</v>
      </c>
      <c r="B2060" s="15" t="s">
        <v>299</v>
      </c>
      <c r="C2060" s="16" t="s">
        <v>31</v>
      </c>
      <c r="D2060" s="16" t="s">
        <v>31</v>
      </c>
      <c r="E2060" s="15" t="s">
        <v>32</v>
      </c>
      <c r="F2060" s="15" t="s">
        <v>314</v>
      </c>
      <c r="N2060" s="21" t="s">
        <v>96</v>
      </c>
      <c r="O2060" s="21" t="s">
        <v>336</v>
      </c>
      <c r="Q2060" s="21" t="s">
        <v>344</v>
      </c>
      <c r="R2060" s="22">
        <v>45756</v>
      </c>
      <c r="W2060">
        <f>COUNTIF(OKB証券!U:U,B2060)</f>
        <v>0</v>
      </c>
    </row>
    <row r="2061" spans="1:23" ht="24.95" hidden="1" customHeight="1" x14ac:dyDescent="0.4">
      <c r="A2061" s="17" t="s">
        <v>73</v>
      </c>
      <c r="B2061" s="15" t="s">
        <v>300</v>
      </c>
      <c r="C2061" s="16" t="s">
        <v>31</v>
      </c>
      <c r="D2061" s="16" t="s">
        <v>31</v>
      </c>
      <c r="E2061" s="15" t="s">
        <v>32</v>
      </c>
      <c r="F2061" s="15" t="s">
        <v>314</v>
      </c>
      <c r="N2061" s="21" t="s">
        <v>96</v>
      </c>
      <c r="O2061" s="21" t="s">
        <v>336</v>
      </c>
      <c r="Q2061" s="21" t="s">
        <v>344</v>
      </c>
      <c r="R2061" s="22">
        <v>45756</v>
      </c>
      <c r="W2061">
        <f>COUNTIF(OKB証券!U:U,B2061)</f>
        <v>0</v>
      </c>
    </row>
    <row r="2062" spans="1:23" ht="24.95" hidden="1" customHeight="1" x14ac:dyDescent="0.4">
      <c r="A2062" s="17" t="s">
        <v>73</v>
      </c>
      <c r="B2062" s="15" t="s">
        <v>301</v>
      </c>
      <c r="C2062" s="16" t="s">
        <v>31</v>
      </c>
      <c r="D2062" s="16" t="s">
        <v>31</v>
      </c>
      <c r="E2062" s="15" t="s">
        <v>32</v>
      </c>
      <c r="F2062" s="15" t="s">
        <v>314</v>
      </c>
      <c r="N2062" s="21" t="s">
        <v>96</v>
      </c>
      <c r="O2062" s="21" t="s">
        <v>336</v>
      </c>
      <c r="Q2062" s="21" t="s">
        <v>344</v>
      </c>
      <c r="R2062" s="22">
        <v>45756</v>
      </c>
      <c r="W2062">
        <f>COUNTIF(OKB証券!U:U,B2062)</f>
        <v>0</v>
      </c>
    </row>
    <row r="2063" spans="1:23" ht="24.95" hidden="1" customHeight="1" x14ac:dyDescent="0.4">
      <c r="A2063" s="17" t="s">
        <v>73</v>
      </c>
      <c r="B2063" s="15" t="s">
        <v>302</v>
      </c>
      <c r="C2063" s="16" t="s">
        <v>31</v>
      </c>
      <c r="D2063" s="16" t="s">
        <v>31</v>
      </c>
      <c r="E2063" s="15" t="s">
        <v>32</v>
      </c>
      <c r="F2063" s="15" t="s">
        <v>314</v>
      </c>
      <c r="N2063" s="21" t="s">
        <v>96</v>
      </c>
      <c r="O2063" s="21" t="s">
        <v>336</v>
      </c>
      <c r="Q2063" s="21" t="s">
        <v>344</v>
      </c>
      <c r="R2063" s="22">
        <v>45756</v>
      </c>
      <c r="W2063">
        <f>COUNTIF(OKB証券!U:U,B2063)</f>
        <v>0</v>
      </c>
    </row>
    <row r="2064" spans="1:23" ht="24.95" hidden="1" customHeight="1" x14ac:dyDescent="0.4">
      <c r="A2064" s="17" t="s">
        <v>73</v>
      </c>
      <c r="B2064" s="15" t="s">
        <v>303</v>
      </c>
      <c r="C2064" s="16" t="s">
        <v>31</v>
      </c>
      <c r="D2064" s="16" t="s">
        <v>31</v>
      </c>
      <c r="E2064" s="15" t="s">
        <v>32</v>
      </c>
      <c r="F2064" s="15" t="s">
        <v>314</v>
      </c>
      <c r="N2064" s="21" t="s">
        <v>96</v>
      </c>
      <c r="O2064" s="21" t="s">
        <v>336</v>
      </c>
      <c r="Q2064" s="21" t="s">
        <v>344</v>
      </c>
      <c r="R2064" s="22">
        <v>45756</v>
      </c>
      <c r="W2064">
        <f>COUNTIF(OKB証券!U:U,B2064)</f>
        <v>0</v>
      </c>
    </row>
    <row r="2065" spans="1:23" ht="24.95" hidden="1" customHeight="1" x14ac:dyDescent="0.4">
      <c r="A2065" s="17" t="s">
        <v>73</v>
      </c>
      <c r="B2065" s="15" t="s">
        <v>304</v>
      </c>
      <c r="C2065" s="16" t="s">
        <v>31</v>
      </c>
      <c r="D2065" s="16" t="s">
        <v>31</v>
      </c>
      <c r="E2065" s="15" t="s">
        <v>32</v>
      </c>
      <c r="F2065" s="15" t="s">
        <v>314</v>
      </c>
      <c r="N2065" s="21" t="s">
        <v>96</v>
      </c>
      <c r="O2065" s="21" t="s">
        <v>336</v>
      </c>
      <c r="Q2065" s="21" t="s">
        <v>344</v>
      </c>
      <c r="R2065" s="22">
        <v>45756</v>
      </c>
      <c r="W2065">
        <f>COUNTIF(OKB証券!U:U,B2065)</f>
        <v>0</v>
      </c>
    </row>
    <row r="2066" spans="1:23" ht="24.95" hidden="1" customHeight="1" x14ac:dyDescent="0.4">
      <c r="A2066" s="17" t="s">
        <v>73</v>
      </c>
      <c r="B2066" s="15" t="s">
        <v>305</v>
      </c>
      <c r="C2066" s="16" t="s">
        <v>31</v>
      </c>
      <c r="D2066" s="16" t="s">
        <v>31</v>
      </c>
      <c r="E2066" s="15" t="s">
        <v>32</v>
      </c>
      <c r="F2066" s="15" t="s">
        <v>314</v>
      </c>
      <c r="N2066" s="21" t="s">
        <v>96</v>
      </c>
      <c r="O2066" s="21" t="s">
        <v>336</v>
      </c>
      <c r="Q2066" s="21" t="s">
        <v>344</v>
      </c>
      <c r="R2066" s="22">
        <v>45756</v>
      </c>
      <c r="W2066">
        <f>COUNTIF(OKB証券!U:U,B2066)</f>
        <v>0</v>
      </c>
    </row>
    <row r="2067" spans="1:23" ht="24.95" hidden="1" customHeight="1" x14ac:dyDescent="0.4">
      <c r="A2067" s="17" t="s">
        <v>73</v>
      </c>
      <c r="B2067" s="15" t="s">
        <v>306</v>
      </c>
      <c r="C2067" s="16" t="s">
        <v>24</v>
      </c>
      <c r="D2067" s="16" t="s">
        <v>31</v>
      </c>
      <c r="E2067" s="15" t="s">
        <v>35</v>
      </c>
      <c r="F2067" s="15" t="s">
        <v>314</v>
      </c>
      <c r="N2067" s="21" t="s">
        <v>96</v>
      </c>
      <c r="O2067" s="21" t="s">
        <v>336</v>
      </c>
      <c r="Q2067" s="21" t="s">
        <v>344</v>
      </c>
      <c r="R2067" s="22">
        <v>45756</v>
      </c>
      <c r="W2067">
        <f>COUNTIF(OKB証券!U:U,B2067)</f>
        <v>0</v>
      </c>
    </row>
    <row r="2068" spans="1:23" ht="24.95" hidden="1" customHeight="1" x14ac:dyDescent="0.4">
      <c r="A2068" s="17" t="s">
        <v>73</v>
      </c>
      <c r="B2068" s="15" t="s">
        <v>307</v>
      </c>
      <c r="C2068" s="16" t="s">
        <v>31</v>
      </c>
      <c r="D2068" s="16" t="s">
        <v>31</v>
      </c>
      <c r="E2068" s="15" t="s">
        <v>32</v>
      </c>
      <c r="F2068" s="15" t="s">
        <v>314</v>
      </c>
      <c r="N2068" s="21" t="s">
        <v>96</v>
      </c>
      <c r="O2068" s="21" t="s">
        <v>336</v>
      </c>
      <c r="Q2068" s="21" t="s">
        <v>344</v>
      </c>
      <c r="R2068" s="22">
        <v>45756</v>
      </c>
      <c r="W2068">
        <f>COUNTIF(OKB証券!U:U,B2068)</f>
        <v>0</v>
      </c>
    </row>
    <row r="2069" spans="1:23" ht="24.95" hidden="1" customHeight="1" x14ac:dyDescent="0.4">
      <c r="A2069" s="17" t="s">
        <v>73</v>
      </c>
      <c r="B2069" s="15" t="s">
        <v>38</v>
      </c>
      <c r="C2069" s="16" t="s">
        <v>31</v>
      </c>
      <c r="D2069" s="16" t="s">
        <v>31</v>
      </c>
      <c r="E2069" s="15" t="s">
        <v>32</v>
      </c>
      <c r="F2069" s="15" t="s">
        <v>107</v>
      </c>
      <c r="N2069" s="21" t="s">
        <v>96</v>
      </c>
      <c r="O2069" s="13" t="s">
        <v>353</v>
      </c>
      <c r="Q2069" s="21" t="s">
        <v>344</v>
      </c>
      <c r="R2069" s="22">
        <v>45814</v>
      </c>
      <c r="W2069">
        <f>COUNTIF(OKB証券!U:U,B2069)</f>
        <v>0</v>
      </c>
    </row>
    <row r="2070" spans="1:23" ht="24.95" hidden="1" customHeight="1" x14ac:dyDescent="0.4">
      <c r="A2070" s="17" t="s">
        <v>73</v>
      </c>
      <c r="B2070" s="15" t="s">
        <v>119</v>
      </c>
      <c r="C2070" s="16" t="s">
        <v>31</v>
      </c>
      <c r="D2070" s="16" t="s">
        <v>31</v>
      </c>
      <c r="E2070" s="15" t="s">
        <v>32</v>
      </c>
      <c r="F2070" s="15" t="s">
        <v>365</v>
      </c>
      <c r="N2070" s="21" t="s">
        <v>374</v>
      </c>
      <c r="O2070" s="21" t="s">
        <v>375</v>
      </c>
      <c r="Q2070" s="21" t="s">
        <v>344</v>
      </c>
      <c r="R2070" s="22">
        <v>45883</v>
      </c>
      <c r="W2070">
        <f>COUNTIF(OKB証券!U:U,B2070)</f>
        <v>0</v>
      </c>
    </row>
    <row r="2071" spans="1:23" ht="24.95" hidden="1" customHeight="1" x14ac:dyDescent="0.4">
      <c r="A2071" s="17" t="s">
        <v>73</v>
      </c>
      <c r="B2071" s="15" t="s">
        <v>120</v>
      </c>
      <c r="C2071" s="16" t="s">
        <v>31</v>
      </c>
      <c r="D2071" s="16" t="s">
        <v>31</v>
      </c>
      <c r="E2071" s="15" t="s">
        <v>32</v>
      </c>
      <c r="F2071" s="15" t="s">
        <v>314</v>
      </c>
      <c r="N2071" s="21" t="s">
        <v>96</v>
      </c>
      <c r="O2071" s="13" t="s">
        <v>339</v>
      </c>
      <c r="Q2071" s="21" t="s">
        <v>344</v>
      </c>
      <c r="R2071" s="22">
        <v>45756</v>
      </c>
      <c r="W2071">
        <f>COUNTIF(OKB証券!U:U,B2071)</f>
        <v>0</v>
      </c>
    </row>
    <row r="2072" spans="1:23" ht="24.95" hidden="1" customHeight="1" x14ac:dyDescent="0.4">
      <c r="A2072" s="17" t="s">
        <v>73</v>
      </c>
      <c r="B2072" s="15" t="s">
        <v>39</v>
      </c>
      <c r="C2072" s="16" t="s">
        <v>31</v>
      </c>
      <c r="D2072" s="16" t="s">
        <v>31</v>
      </c>
      <c r="E2072" s="15" t="s">
        <v>32</v>
      </c>
      <c r="F2072" s="15" t="s">
        <v>129</v>
      </c>
      <c r="N2072" s="21" t="s">
        <v>96</v>
      </c>
      <c r="O2072" s="13" t="s">
        <v>350</v>
      </c>
      <c r="Q2072" s="21" t="s">
        <v>344</v>
      </c>
      <c r="R2072" s="22">
        <v>45814</v>
      </c>
      <c r="W2072">
        <f>COUNTIF(OKB証券!U:U,B2072)</f>
        <v>0</v>
      </c>
    </row>
    <row r="2073" spans="1:23" ht="24.95" hidden="1" customHeight="1" x14ac:dyDescent="0.4">
      <c r="A2073" s="17" t="s">
        <v>73</v>
      </c>
      <c r="B2073" s="15" t="s">
        <v>220</v>
      </c>
      <c r="C2073" s="16" t="s">
        <v>31</v>
      </c>
      <c r="D2073" s="16" t="s">
        <v>31</v>
      </c>
      <c r="E2073" s="15" t="s">
        <v>32</v>
      </c>
      <c r="F2073" s="15" t="s">
        <v>221</v>
      </c>
      <c r="N2073" s="21" t="s">
        <v>96</v>
      </c>
      <c r="O2073" s="21" t="s">
        <v>338</v>
      </c>
      <c r="Q2073" s="21" t="s">
        <v>344</v>
      </c>
      <c r="R2073" s="22">
        <v>45814</v>
      </c>
      <c r="W2073">
        <f>COUNTIF(OKB証券!U:U,B2073)</f>
        <v>0</v>
      </c>
    </row>
    <row r="2074" spans="1:23" ht="24.95" hidden="1" customHeight="1" x14ac:dyDescent="0.4">
      <c r="A2074" s="17" t="s">
        <v>73</v>
      </c>
      <c r="B2074" s="15" t="s">
        <v>172</v>
      </c>
      <c r="C2074" s="16" t="s">
        <v>31</v>
      </c>
      <c r="D2074" s="16" t="s">
        <v>31</v>
      </c>
      <c r="E2074" s="15" t="s">
        <v>32</v>
      </c>
      <c r="F2074" s="15" t="s">
        <v>173</v>
      </c>
      <c r="N2074" s="21" t="s">
        <v>96</v>
      </c>
      <c r="O2074" s="21" t="s">
        <v>336</v>
      </c>
      <c r="Q2074" s="21" t="s">
        <v>344</v>
      </c>
      <c r="R2074" s="22">
        <v>45814</v>
      </c>
      <c r="W2074">
        <f>COUNTIF(OKB証券!U:U,B2074)</f>
        <v>0</v>
      </c>
    </row>
    <row r="2075" spans="1:23" ht="24.95" hidden="1" customHeight="1" x14ac:dyDescent="0.4">
      <c r="A2075" s="17" t="s">
        <v>73</v>
      </c>
      <c r="B2075" s="15" t="s">
        <v>111</v>
      </c>
      <c r="C2075" s="16" t="s">
        <v>31</v>
      </c>
      <c r="D2075" s="16" t="s">
        <v>31</v>
      </c>
      <c r="E2075" s="15" t="s">
        <v>32</v>
      </c>
      <c r="F2075" s="15" t="s">
        <v>314</v>
      </c>
      <c r="N2075" s="21" t="s">
        <v>96</v>
      </c>
      <c r="O2075" s="13" t="s">
        <v>339</v>
      </c>
      <c r="Q2075" s="21" t="s">
        <v>344</v>
      </c>
      <c r="R2075" s="22">
        <v>45756</v>
      </c>
      <c r="W2075">
        <f>COUNTIF(OKB証券!U:U,B2075)</f>
        <v>0</v>
      </c>
    </row>
    <row r="2076" spans="1:23" ht="24.95" hidden="1" customHeight="1" x14ac:dyDescent="0.4">
      <c r="A2076" s="17" t="s">
        <v>73</v>
      </c>
      <c r="B2076" s="15" t="s">
        <v>42</v>
      </c>
      <c r="C2076" s="16" t="s">
        <v>31</v>
      </c>
      <c r="D2076" s="16" t="s">
        <v>31</v>
      </c>
      <c r="E2076" s="15" t="s">
        <v>32</v>
      </c>
      <c r="F2076" s="15" t="s">
        <v>129</v>
      </c>
      <c r="N2076" s="21" t="s">
        <v>96</v>
      </c>
      <c r="O2076" s="13" t="s">
        <v>351</v>
      </c>
      <c r="Q2076" s="21" t="s">
        <v>344</v>
      </c>
      <c r="R2076" s="22">
        <v>45814</v>
      </c>
      <c r="W2076">
        <f>COUNTIF(OKB証券!U:U,B2076)</f>
        <v>0</v>
      </c>
    </row>
    <row r="2077" spans="1:23" ht="24.95" hidden="1" customHeight="1" x14ac:dyDescent="0.4">
      <c r="A2077" s="17" t="s">
        <v>73</v>
      </c>
      <c r="B2077" s="15" t="s">
        <v>330</v>
      </c>
      <c r="C2077" s="16" t="s">
        <v>31</v>
      </c>
      <c r="D2077" s="16" t="s">
        <v>31</v>
      </c>
      <c r="E2077" s="15" t="s">
        <v>32</v>
      </c>
      <c r="F2077" s="15" t="s">
        <v>314</v>
      </c>
      <c r="N2077" s="21" t="s">
        <v>96</v>
      </c>
      <c r="O2077" s="21" t="s">
        <v>338</v>
      </c>
      <c r="Q2077" s="21" t="s">
        <v>344</v>
      </c>
      <c r="R2077" s="22">
        <v>45756</v>
      </c>
      <c r="W2077">
        <f>COUNTIF(OKB証券!U:U,B2077)</f>
        <v>0</v>
      </c>
    </row>
    <row r="2078" spans="1:23" ht="24.95" hidden="1" customHeight="1" x14ac:dyDescent="0.4">
      <c r="A2078" s="17" t="s">
        <v>73</v>
      </c>
      <c r="B2078" s="15" t="s">
        <v>343</v>
      </c>
      <c r="C2078" s="16" t="s">
        <v>31</v>
      </c>
      <c r="D2078" s="16" t="s">
        <v>31</v>
      </c>
      <c r="E2078" s="15" t="s">
        <v>32</v>
      </c>
      <c r="F2078" s="15" t="s">
        <v>340</v>
      </c>
      <c r="N2078" s="21" t="s">
        <v>96</v>
      </c>
      <c r="O2078" s="21" t="s">
        <v>345</v>
      </c>
      <c r="Q2078" s="21" t="s">
        <v>344</v>
      </c>
      <c r="R2078" s="22">
        <v>45784</v>
      </c>
      <c r="W2078">
        <f>COUNTIF(OKB証券!U:U,B2078)</f>
        <v>0</v>
      </c>
    </row>
    <row r="2079" spans="1:23" ht="24.95" hidden="1" customHeight="1" x14ac:dyDescent="0.4">
      <c r="A2079" s="17" t="s">
        <v>73</v>
      </c>
      <c r="B2079" s="15" t="s">
        <v>121</v>
      </c>
      <c r="C2079" s="16" t="s">
        <v>31</v>
      </c>
      <c r="D2079" s="16" t="s">
        <v>31</v>
      </c>
      <c r="E2079" s="15" t="s">
        <v>32</v>
      </c>
      <c r="F2079" s="15" t="s">
        <v>314</v>
      </c>
      <c r="N2079" s="21" t="s">
        <v>96</v>
      </c>
      <c r="O2079" s="21" t="s">
        <v>336</v>
      </c>
      <c r="Q2079" s="21" t="s">
        <v>344</v>
      </c>
      <c r="R2079" s="22">
        <v>45756</v>
      </c>
      <c r="W2079">
        <f>COUNTIF(OKB証券!U:U,B2079)</f>
        <v>0</v>
      </c>
    </row>
    <row r="2080" spans="1:23" ht="24.95" hidden="1" customHeight="1" x14ac:dyDescent="0.4">
      <c r="A2080" s="17" t="s">
        <v>73</v>
      </c>
      <c r="B2080" s="15" t="s">
        <v>44</v>
      </c>
      <c r="C2080" s="16" t="s">
        <v>31</v>
      </c>
      <c r="D2080" s="16" t="s">
        <v>31</v>
      </c>
      <c r="E2080" s="15" t="s">
        <v>32</v>
      </c>
      <c r="F2080" s="15" t="s">
        <v>221</v>
      </c>
      <c r="N2080" s="21" t="s">
        <v>96</v>
      </c>
      <c r="O2080" s="13" t="s">
        <v>359</v>
      </c>
      <c r="Q2080" s="21" t="s">
        <v>344</v>
      </c>
      <c r="R2080" s="22">
        <v>45814</v>
      </c>
      <c r="W2080">
        <f>COUNTIF(OKB証券!U:U,B2080)</f>
        <v>0</v>
      </c>
    </row>
    <row r="2081" spans="1:26" ht="24.95" hidden="1" customHeight="1" x14ac:dyDescent="0.4">
      <c r="A2081" s="17" t="s">
        <v>73</v>
      </c>
      <c r="B2081" s="15" t="s">
        <v>45</v>
      </c>
      <c r="C2081" s="16" t="s">
        <v>31</v>
      </c>
      <c r="D2081" s="16" t="s">
        <v>31</v>
      </c>
      <c r="E2081" s="15" t="s">
        <v>32</v>
      </c>
      <c r="F2081" s="15" t="s">
        <v>314</v>
      </c>
      <c r="N2081" s="21" t="s">
        <v>96</v>
      </c>
      <c r="O2081" s="21" t="s">
        <v>338</v>
      </c>
      <c r="Q2081" s="21" t="s">
        <v>344</v>
      </c>
      <c r="R2081" s="22">
        <v>45756</v>
      </c>
      <c r="W2081">
        <f>COUNTIF(OKB証券!U:U,B2081)</f>
        <v>0</v>
      </c>
    </row>
    <row r="2082" spans="1:26" ht="24.95" hidden="1" customHeight="1" x14ac:dyDescent="0.4">
      <c r="A2082" s="17" t="s">
        <v>74</v>
      </c>
      <c r="B2082" s="15" t="s">
        <v>115</v>
      </c>
      <c r="C2082" s="16" t="s">
        <v>31</v>
      </c>
      <c r="D2082" s="16" t="s">
        <v>31</v>
      </c>
      <c r="E2082" s="15" t="s">
        <v>32</v>
      </c>
      <c r="F2082" s="15" t="s">
        <v>166</v>
      </c>
      <c r="N2082" s="21" t="s">
        <v>96</v>
      </c>
      <c r="O2082" s="21" t="s">
        <v>337</v>
      </c>
      <c r="Q2082" s="21" t="s">
        <v>344</v>
      </c>
      <c r="R2082" s="22">
        <v>45814</v>
      </c>
      <c r="W2082">
        <f>COUNTIF(OKB証券!U:U,B2082)</f>
        <v>0</v>
      </c>
    </row>
    <row r="2083" spans="1:26" ht="24.95" hidden="1" customHeight="1" x14ac:dyDescent="0.4">
      <c r="A2083" s="17" t="s">
        <v>74</v>
      </c>
      <c r="B2083" s="15" t="s">
        <v>313</v>
      </c>
      <c r="C2083" s="16" t="s">
        <v>24</v>
      </c>
      <c r="D2083" s="16" t="s">
        <v>31</v>
      </c>
      <c r="E2083" s="15" t="s">
        <v>35</v>
      </c>
      <c r="F2083" s="15" t="s">
        <v>314</v>
      </c>
      <c r="N2083" s="21" t="s">
        <v>96</v>
      </c>
      <c r="O2083" s="21" t="s">
        <v>337</v>
      </c>
      <c r="Q2083" s="21" t="s">
        <v>344</v>
      </c>
      <c r="R2083" s="22">
        <v>45756</v>
      </c>
      <c r="W2083">
        <f>COUNTIF(OKB証券!U:U,B2083)</f>
        <v>0</v>
      </c>
    </row>
    <row r="2084" spans="1:26" ht="24.95" hidden="1" customHeight="1" x14ac:dyDescent="0.4">
      <c r="A2084" s="17" t="s">
        <v>74</v>
      </c>
      <c r="B2084" s="15" t="s">
        <v>315</v>
      </c>
      <c r="C2084" s="16" t="s">
        <v>24</v>
      </c>
      <c r="D2084" s="16" t="s">
        <v>31</v>
      </c>
      <c r="E2084" s="15" t="s">
        <v>35</v>
      </c>
      <c r="F2084" s="15" t="s">
        <v>314</v>
      </c>
      <c r="N2084" s="21" t="s">
        <v>96</v>
      </c>
      <c r="O2084" s="21" t="s">
        <v>337</v>
      </c>
      <c r="Q2084" s="21" t="s">
        <v>344</v>
      </c>
      <c r="R2084" s="22">
        <v>45756</v>
      </c>
      <c r="W2084">
        <f>COUNTIF(OKB証券!U:U,B2084)</f>
        <v>0</v>
      </c>
    </row>
    <row r="2085" spans="1:26" ht="24.95" hidden="1" customHeight="1" x14ac:dyDescent="0.4">
      <c r="A2085" s="17" t="s">
        <v>74</v>
      </c>
      <c r="B2085" s="15" t="s">
        <v>316</v>
      </c>
      <c r="C2085" s="16" t="s">
        <v>24</v>
      </c>
      <c r="D2085" s="16" t="s">
        <v>31</v>
      </c>
      <c r="E2085" s="15" t="s">
        <v>35</v>
      </c>
      <c r="F2085" s="15" t="s">
        <v>314</v>
      </c>
      <c r="N2085" s="21" t="s">
        <v>96</v>
      </c>
      <c r="O2085" s="21" t="s">
        <v>337</v>
      </c>
      <c r="Q2085" s="21" t="s">
        <v>344</v>
      </c>
      <c r="R2085" s="22">
        <v>45756</v>
      </c>
      <c r="W2085">
        <f>COUNTIF(OKB証券!U:U,B2085)</f>
        <v>0</v>
      </c>
    </row>
    <row r="2086" spans="1:26" ht="24.95" hidden="1" customHeight="1" x14ac:dyDescent="0.4">
      <c r="A2086" s="17" t="s">
        <v>74</v>
      </c>
      <c r="B2086" s="15" t="s">
        <v>317</v>
      </c>
      <c r="C2086" s="16" t="s">
        <v>24</v>
      </c>
      <c r="D2086" s="16" t="s">
        <v>31</v>
      </c>
      <c r="E2086" s="15" t="s">
        <v>35</v>
      </c>
      <c r="F2086" s="15" t="s">
        <v>314</v>
      </c>
      <c r="N2086" s="21" t="s">
        <v>96</v>
      </c>
      <c r="O2086" s="21" t="s">
        <v>337</v>
      </c>
      <c r="Q2086" s="21" t="s">
        <v>344</v>
      </c>
      <c r="R2086" s="22">
        <v>45756</v>
      </c>
      <c r="W2086">
        <f>COUNTIF(OKB証券!U:U,B2086)</f>
        <v>0</v>
      </c>
    </row>
    <row r="2087" spans="1:26" ht="24.95" hidden="1" customHeight="1" x14ac:dyDescent="0.4">
      <c r="A2087" s="17" t="s">
        <v>74</v>
      </c>
      <c r="B2087" s="50" t="s">
        <v>364</v>
      </c>
      <c r="C2087" s="16" t="s">
        <v>24</v>
      </c>
      <c r="D2087" s="16" t="s">
        <v>31</v>
      </c>
      <c r="E2087" s="15" t="s">
        <v>35</v>
      </c>
      <c r="F2087" s="15" t="s">
        <v>365</v>
      </c>
      <c r="N2087" s="21" t="s">
        <v>96</v>
      </c>
      <c r="O2087" s="21" t="s">
        <v>372</v>
      </c>
      <c r="Q2087" s="21" t="s">
        <v>344</v>
      </c>
      <c r="R2087" s="22">
        <v>45883</v>
      </c>
      <c r="W2087">
        <f>COUNTIF(OKB証券!U:U,B2087)</f>
        <v>0</v>
      </c>
    </row>
    <row r="2088" spans="1:26" ht="24.95" hidden="1" customHeight="1" x14ac:dyDescent="0.4">
      <c r="A2088" s="17" t="s">
        <v>74</v>
      </c>
      <c r="B2088" s="15" t="s">
        <v>171</v>
      </c>
      <c r="C2088" s="16" t="s">
        <v>31</v>
      </c>
      <c r="D2088" s="16" t="s">
        <v>31</v>
      </c>
      <c r="E2088" s="15" t="s">
        <v>32</v>
      </c>
      <c r="F2088" s="15" t="s">
        <v>314</v>
      </c>
      <c r="N2088" s="21" t="s">
        <v>96</v>
      </c>
      <c r="O2088" s="21" t="s">
        <v>336</v>
      </c>
      <c r="Q2088" s="21" t="s">
        <v>344</v>
      </c>
      <c r="R2088" s="22">
        <v>45756</v>
      </c>
      <c r="W2088">
        <f>COUNTIF(OKB証券!U:U,B2088)</f>
        <v>0</v>
      </c>
    </row>
    <row r="2089" spans="1:26" ht="24.95" hidden="1" customHeight="1" x14ac:dyDescent="0.4">
      <c r="A2089" s="17" t="s">
        <v>74</v>
      </c>
      <c r="B2089" s="15" t="s">
        <v>123</v>
      </c>
      <c r="C2089" s="16" t="s">
        <v>31</v>
      </c>
      <c r="D2089" s="16" t="s">
        <v>31</v>
      </c>
      <c r="E2089" s="15" t="s">
        <v>32</v>
      </c>
      <c r="F2089" s="15" t="s">
        <v>184</v>
      </c>
      <c r="N2089" s="21" t="s">
        <v>96</v>
      </c>
      <c r="O2089" s="21" t="s">
        <v>337</v>
      </c>
      <c r="Q2089" s="21" t="s">
        <v>344</v>
      </c>
      <c r="R2089" s="22">
        <v>45814</v>
      </c>
      <c r="W2089">
        <f>COUNTIF(OKB証券!U:U,B2089)</f>
        <v>0</v>
      </c>
    </row>
    <row r="2090" spans="1:26" ht="24.95" hidden="1" customHeight="1" x14ac:dyDescent="0.4">
      <c r="A2090" s="17" t="s">
        <v>74</v>
      </c>
      <c r="B2090" s="15" t="s">
        <v>37</v>
      </c>
      <c r="C2090" s="16" t="s">
        <v>31</v>
      </c>
      <c r="D2090" s="16" t="s">
        <v>31</v>
      </c>
      <c r="E2090" s="15" t="s">
        <v>32</v>
      </c>
      <c r="F2090" s="15" t="s">
        <v>212</v>
      </c>
      <c r="N2090" s="21" t="s">
        <v>96</v>
      </c>
      <c r="O2090" s="13" t="s">
        <v>349</v>
      </c>
      <c r="Q2090" s="21" t="s">
        <v>344</v>
      </c>
      <c r="R2090" s="22">
        <v>45814</v>
      </c>
      <c r="W2090">
        <f>COUNTIF(OKB証券!U:U,B2090)</f>
        <v>1</v>
      </c>
      <c r="Z2090" t="s">
        <v>432</v>
      </c>
    </row>
    <row r="2091" spans="1:26" ht="24.95" hidden="1" customHeight="1" x14ac:dyDescent="0.4">
      <c r="A2091" s="17" t="s">
        <v>74</v>
      </c>
      <c r="B2091" s="15" t="s">
        <v>225</v>
      </c>
      <c r="C2091" s="16" t="s">
        <v>31</v>
      </c>
      <c r="D2091" s="16" t="s">
        <v>31</v>
      </c>
      <c r="E2091" s="15" t="s">
        <v>32</v>
      </c>
      <c r="F2091" s="15" t="s">
        <v>314</v>
      </c>
      <c r="N2091" s="21" t="s">
        <v>96</v>
      </c>
      <c r="O2091" s="21" t="s">
        <v>336</v>
      </c>
      <c r="Q2091" s="21" t="s">
        <v>344</v>
      </c>
      <c r="R2091" s="22">
        <v>45756</v>
      </c>
      <c r="W2091">
        <f>COUNTIF(OKB証券!U:U,B2091)</f>
        <v>0</v>
      </c>
    </row>
    <row r="2092" spans="1:26" ht="24.95" hidden="1" customHeight="1" x14ac:dyDescent="0.4">
      <c r="A2092" s="17" t="s">
        <v>74</v>
      </c>
      <c r="B2092" s="15" t="s">
        <v>226</v>
      </c>
      <c r="C2092" s="16" t="s">
        <v>31</v>
      </c>
      <c r="D2092" s="16" t="s">
        <v>31</v>
      </c>
      <c r="E2092" s="15" t="s">
        <v>32</v>
      </c>
      <c r="F2092" s="15" t="s">
        <v>314</v>
      </c>
      <c r="N2092" s="21" t="s">
        <v>96</v>
      </c>
      <c r="O2092" s="21" t="s">
        <v>336</v>
      </c>
      <c r="Q2092" s="21" t="s">
        <v>344</v>
      </c>
      <c r="R2092" s="22">
        <v>45756</v>
      </c>
      <c r="W2092">
        <f>COUNTIF(OKB証券!U:U,B2092)</f>
        <v>0</v>
      </c>
    </row>
    <row r="2093" spans="1:26" ht="24.95" hidden="1" customHeight="1" x14ac:dyDescent="0.4">
      <c r="A2093" s="17" t="s">
        <v>74</v>
      </c>
      <c r="B2093" s="15" t="s">
        <v>318</v>
      </c>
      <c r="C2093" s="16" t="s">
        <v>31</v>
      </c>
      <c r="D2093" s="16" t="s">
        <v>31</v>
      </c>
      <c r="E2093" s="15" t="s">
        <v>32</v>
      </c>
      <c r="F2093" s="15" t="s">
        <v>314</v>
      </c>
      <c r="N2093" s="21" t="s">
        <v>96</v>
      </c>
      <c r="O2093" s="21" t="s">
        <v>337</v>
      </c>
      <c r="Q2093" s="21" t="s">
        <v>344</v>
      </c>
      <c r="R2093" s="22">
        <v>45756</v>
      </c>
      <c r="W2093">
        <f>COUNTIF(OKB証券!U:U,B2093)</f>
        <v>0</v>
      </c>
    </row>
    <row r="2094" spans="1:26" ht="24.95" hidden="1" customHeight="1" x14ac:dyDescent="0.4">
      <c r="A2094" s="17" t="s">
        <v>74</v>
      </c>
      <c r="B2094" s="15" t="s">
        <v>118</v>
      </c>
      <c r="C2094" s="16" t="s">
        <v>31</v>
      </c>
      <c r="D2094" s="16" t="s">
        <v>31</v>
      </c>
      <c r="E2094" s="15" t="s">
        <v>32</v>
      </c>
      <c r="F2094" s="15" t="s">
        <v>314</v>
      </c>
      <c r="N2094" s="21" t="s">
        <v>96</v>
      </c>
      <c r="O2094" s="21" t="s">
        <v>337</v>
      </c>
      <c r="Q2094" s="21" t="s">
        <v>344</v>
      </c>
      <c r="R2094" s="22">
        <v>45756</v>
      </c>
      <c r="W2094">
        <f>COUNTIF(OKB証券!U:U,B2094)</f>
        <v>0</v>
      </c>
    </row>
    <row r="2095" spans="1:26" ht="24.95" hidden="1" customHeight="1" x14ac:dyDescent="0.4">
      <c r="A2095" s="17" t="s">
        <v>74</v>
      </c>
      <c r="B2095" s="15" t="s">
        <v>319</v>
      </c>
      <c r="C2095" s="16" t="s">
        <v>31</v>
      </c>
      <c r="D2095" s="16" t="s">
        <v>31</v>
      </c>
      <c r="E2095" s="15" t="s">
        <v>32</v>
      </c>
      <c r="F2095" s="15" t="s">
        <v>314</v>
      </c>
      <c r="N2095" s="21" t="s">
        <v>96</v>
      </c>
      <c r="O2095" s="21" t="s">
        <v>337</v>
      </c>
      <c r="Q2095" s="21" t="s">
        <v>344</v>
      </c>
      <c r="R2095" s="22">
        <v>45756</v>
      </c>
      <c r="W2095">
        <f>COUNTIF(OKB証券!U:U,B2095)</f>
        <v>0</v>
      </c>
    </row>
    <row r="2096" spans="1:26" ht="24.95" hidden="1" customHeight="1" x14ac:dyDescent="0.4">
      <c r="A2096" s="17" t="s">
        <v>74</v>
      </c>
      <c r="B2096" s="15" t="s">
        <v>227</v>
      </c>
      <c r="C2096" s="16" t="s">
        <v>31</v>
      </c>
      <c r="D2096" s="16" t="s">
        <v>31</v>
      </c>
      <c r="E2096" s="15" t="s">
        <v>32</v>
      </c>
      <c r="F2096" s="15" t="s">
        <v>314</v>
      </c>
      <c r="N2096" s="21" t="s">
        <v>96</v>
      </c>
      <c r="O2096" s="21" t="s">
        <v>336</v>
      </c>
      <c r="Q2096" s="21" t="s">
        <v>344</v>
      </c>
      <c r="R2096" s="22">
        <v>45756</v>
      </c>
      <c r="W2096">
        <f>COUNTIF(OKB証券!U:U,B2096)</f>
        <v>0</v>
      </c>
    </row>
    <row r="2097" spans="1:23" ht="24.95" hidden="1" customHeight="1" x14ac:dyDescent="0.4">
      <c r="A2097" s="17" t="s">
        <v>74</v>
      </c>
      <c r="B2097" s="15" t="s">
        <v>228</v>
      </c>
      <c r="C2097" s="16" t="s">
        <v>31</v>
      </c>
      <c r="D2097" s="16" t="s">
        <v>31</v>
      </c>
      <c r="E2097" s="15" t="s">
        <v>32</v>
      </c>
      <c r="F2097" s="15" t="s">
        <v>314</v>
      </c>
      <c r="N2097" s="21" t="s">
        <v>96</v>
      </c>
      <c r="O2097" s="21" t="s">
        <v>336</v>
      </c>
      <c r="Q2097" s="21" t="s">
        <v>344</v>
      </c>
      <c r="R2097" s="22">
        <v>45756</v>
      </c>
      <c r="W2097">
        <f>COUNTIF(OKB証券!U:U,B2097)</f>
        <v>0</v>
      </c>
    </row>
    <row r="2098" spans="1:23" ht="24.95" hidden="1" customHeight="1" x14ac:dyDescent="0.4">
      <c r="A2098" s="17" t="s">
        <v>74</v>
      </c>
      <c r="B2098" s="15" t="s">
        <v>229</v>
      </c>
      <c r="C2098" s="16" t="s">
        <v>31</v>
      </c>
      <c r="D2098" s="16" t="s">
        <v>31</v>
      </c>
      <c r="E2098" s="15" t="s">
        <v>32</v>
      </c>
      <c r="F2098" s="15" t="s">
        <v>314</v>
      </c>
      <c r="N2098" s="21" t="s">
        <v>96</v>
      </c>
      <c r="O2098" s="21" t="s">
        <v>336</v>
      </c>
      <c r="Q2098" s="21" t="s">
        <v>344</v>
      </c>
      <c r="R2098" s="22">
        <v>45756</v>
      </c>
      <c r="W2098">
        <f>COUNTIF(OKB証券!U:U,B2098)</f>
        <v>0</v>
      </c>
    </row>
    <row r="2099" spans="1:23" ht="24.95" hidden="1" customHeight="1" x14ac:dyDescent="0.4">
      <c r="A2099" s="17" t="s">
        <v>74</v>
      </c>
      <c r="B2099" s="15" t="s">
        <v>230</v>
      </c>
      <c r="C2099" s="16" t="s">
        <v>31</v>
      </c>
      <c r="D2099" s="16" t="s">
        <v>31</v>
      </c>
      <c r="E2099" s="15" t="s">
        <v>32</v>
      </c>
      <c r="F2099" s="15" t="s">
        <v>314</v>
      </c>
      <c r="N2099" s="21" t="s">
        <v>96</v>
      </c>
      <c r="O2099" s="21" t="s">
        <v>336</v>
      </c>
      <c r="Q2099" s="21" t="s">
        <v>344</v>
      </c>
      <c r="R2099" s="22">
        <v>45756</v>
      </c>
      <c r="W2099">
        <f>COUNTIF(OKB証券!U:U,B2099)</f>
        <v>0</v>
      </c>
    </row>
    <row r="2100" spans="1:23" ht="24.95" hidden="1" customHeight="1" x14ac:dyDescent="0.4">
      <c r="A2100" s="17" t="s">
        <v>74</v>
      </c>
      <c r="B2100" s="15" t="s">
        <v>231</v>
      </c>
      <c r="C2100" s="16" t="s">
        <v>31</v>
      </c>
      <c r="D2100" s="16" t="s">
        <v>31</v>
      </c>
      <c r="E2100" s="15" t="s">
        <v>32</v>
      </c>
      <c r="F2100" s="15" t="s">
        <v>314</v>
      </c>
      <c r="N2100" s="21" t="s">
        <v>96</v>
      </c>
      <c r="O2100" s="21" t="s">
        <v>336</v>
      </c>
      <c r="Q2100" s="21" t="s">
        <v>344</v>
      </c>
      <c r="R2100" s="22">
        <v>45756</v>
      </c>
      <c r="W2100">
        <f>COUNTIF(OKB証券!U:U,B2100)</f>
        <v>0</v>
      </c>
    </row>
    <row r="2101" spans="1:23" ht="24.95" hidden="1" customHeight="1" x14ac:dyDescent="0.4">
      <c r="A2101" s="17" t="s">
        <v>74</v>
      </c>
      <c r="B2101" s="15" t="s">
        <v>232</v>
      </c>
      <c r="C2101" s="16" t="s">
        <v>31</v>
      </c>
      <c r="D2101" s="16" t="s">
        <v>31</v>
      </c>
      <c r="E2101" s="15" t="s">
        <v>32</v>
      </c>
      <c r="F2101" s="15" t="s">
        <v>314</v>
      </c>
      <c r="N2101" s="21" t="s">
        <v>96</v>
      </c>
      <c r="O2101" s="21" t="s">
        <v>336</v>
      </c>
      <c r="Q2101" s="21" t="s">
        <v>344</v>
      </c>
      <c r="R2101" s="22">
        <v>45756</v>
      </c>
      <c r="W2101">
        <f>COUNTIF(OKB証券!U:U,B2101)</f>
        <v>0</v>
      </c>
    </row>
    <row r="2102" spans="1:23" ht="24.95" hidden="1" customHeight="1" x14ac:dyDescent="0.4">
      <c r="A2102" s="17" t="s">
        <v>74</v>
      </c>
      <c r="B2102" s="15" t="s">
        <v>233</v>
      </c>
      <c r="C2102" s="16" t="s">
        <v>31</v>
      </c>
      <c r="D2102" s="16" t="s">
        <v>31</v>
      </c>
      <c r="E2102" s="15" t="s">
        <v>32</v>
      </c>
      <c r="F2102" s="15" t="s">
        <v>314</v>
      </c>
      <c r="N2102" s="21" t="s">
        <v>96</v>
      </c>
      <c r="O2102" s="21" t="s">
        <v>336</v>
      </c>
      <c r="Q2102" s="21" t="s">
        <v>344</v>
      </c>
      <c r="R2102" s="22">
        <v>45756</v>
      </c>
      <c r="W2102">
        <f>COUNTIF(OKB証券!U:U,B2102)</f>
        <v>0</v>
      </c>
    </row>
    <row r="2103" spans="1:23" ht="24.95" hidden="1" customHeight="1" x14ac:dyDescent="0.4">
      <c r="A2103" s="17" t="s">
        <v>74</v>
      </c>
      <c r="B2103" s="15" t="s">
        <v>234</v>
      </c>
      <c r="C2103" s="16" t="s">
        <v>31</v>
      </c>
      <c r="D2103" s="16" t="s">
        <v>31</v>
      </c>
      <c r="E2103" s="15" t="s">
        <v>32</v>
      </c>
      <c r="F2103" s="15" t="s">
        <v>314</v>
      </c>
      <c r="N2103" s="21" t="s">
        <v>96</v>
      </c>
      <c r="O2103" s="21" t="s">
        <v>336</v>
      </c>
      <c r="Q2103" s="21" t="s">
        <v>344</v>
      </c>
      <c r="R2103" s="22">
        <v>45756</v>
      </c>
      <c r="W2103">
        <f>COUNTIF(OKB証券!U:U,B2103)</f>
        <v>0</v>
      </c>
    </row>
    <row r="2104" spans="1:23" ht="24.95" hidden="1" customHeight="1" x14ac:dyDescent="0.4">
      <c r="A2104" s="17" t="s">
        <v>74</v>
      </c>
      <c r="B2104" s="15" t="s">
        <v>235</v>
      </c>
      <c r="C2104" s="16" t="s">
        <v>31</v>
      </c>
      <c r="D2104" s="16" t="s">
        <v>31</v>
      </c>
      <c r="E2104" s="15" t="s">
        <v>32</v>
      </c>
      <c r="F2104" s="15" t="s">
        <v>314</v>
      </c>
      <c r="N2104" s="21" t="s">
        <v>96</v>
      </c>
      <c r="O2104" s="21" t="s">
        <v>336</v>
      </c>
      <c r="Q2104" s="21" t="s">
        <v>344</v>
      </c>
      <c r="R2104" s="22">
        <v>45756</v>
      </c>
      <c r="W2104">
        <f>COUNTIF(OKB証券!U:U,B2104)</f>
        <v>0</v>
      </c>
    </row>
    <row r="2105" spans="1:23" ht="24.95" hidden="1" customHeight="1" x14ac:dyDescent="0.4">
      <c r="A2105" s="17" t="s">
        <v>74</v>
      </c>
      <c r="B2105" s="15" t="s">
        <v>236</v>
      </c>
      <c r="C2105" s="16" t="s">
        <v>31</v>
      </c>
      <c r="D2105" s="16" t="s">
        <v>31</v>
      </c>
      <c r="E2105" s="15" t="s">
        <v>32</v>
      </c>
      <c r="F2105" s="15" t="s">
        <v>314</v>
      </c>
      <c r="N2105" s="21" t="s">
        <v>96</v>
      </c>
      <c r="O2105" s="21" t="s">
        <v>336</v>
      </c>
      <c r="Q2105" s="21" t="s">
        <v>344</v>
      </c>
      <c r="R2105" s="22">
        <v>45756</v>
      </c>
      <c r="W2105">
        <f>COUNTIF(OKB証券!U:U,B2105)</f>
        <v>0</v>
      </c>
    </row>
    <row r="2106" spans="1:23" ht="24.95" hidden="1" customHeight="1" x14ac:dyDescent="0.4">
      <c r="A2106" s="17" t="s">
        <v>74</v>
      </c>
      <c r="B2106" s="15" t="s">
        <v>237</v>
      </c>
      <c r="C2106" s="16" t="s">
        <v>31</v>
      </c>
      <c r="D2106" s="16" t="s">
        <v>31</v>
      </c>
      <c r="E2106" s="15" t="s">
        <v>32</v>
      </c>
      <c r="F2106" s="15" t="s">
        <v>314</v>
      </c>
      <c r="N2106" s="21" t="s">
        <v>96</v>
      </c>
      <c r="O2106" s="21" t="s">
        <v>336</v>
      </c>
      <c r="Q2106" s="21" t="s">
        <v>344</v>
      </c>
      <c r="R2106" s="22">
        <v>45756</v>
      </c>
      <c r="W2106">
        <f>COUNTIF(OKB証券!U:U,B2106)</f>
        <v>0</v>
      </c>
    </row>
    <row r="2107" spans="1:23" ht="24.95" hidden="1" customHeight="1" x14ac:dyDescent="0.4">
      <c r="A2107" s="17" t="s">
        <v>74</v>
      </c>
      <c r="B2107" s="15" t="s">
        <v>320</v>
      </c>
      <c r="C2107" s="16" t="s">
        <v>31</v>
      </c>
      <c r="D2107" s="16" t="s">
        <v>31</v>
      </c>
      <c r="E2107" s="15" t="s">
        <v>32</v>
      </c>
      <c r="F2107" s="15" t="s">
        <v>314</v>
      </c>
      <c r="N2107" s="21" t="s">
        <v>96</v>
      </c>
      <c r="O2107" s="21" t="s">
        <v>337</v>
      </c>
      <c r="Q2107" s="21" t="s">
        <v>344</v>
      </c>
      <c r="R2107" s="22">
        <v>45756</v>
      </c>
      <c r="W2107">
        <f>COUNTIF(OKB証券!U:U,B2107)</f>
        <v>0</v>
      </c>
    </row>
    <row r="2108" spans="1:23" ht="24.95" hidden="1" customHeight="1" x14ac:dyDescent="0.4">
      <c r="A2108" s="17" t="s">
        <v>74</v>
      </c>
      <c r="B2108" s="15" t="s">
        <v>132</v>
      </c>
      <c r="C2108" s="16" t="s">
        <v>31</v>
      </c>
      <c r="D2108" s="16" t="s">
        <v>31</v>
      </c>
      <c r="E2108" s="15" t="s">
        <v>32</v>
      </c>
      <c r="F2108" s="15" t="s">
        <v>314</v>
      </c>
      <c r="N2108" s="21" t="s">
        <v>96</v>
      </c>
      <c r="O2108" s="21" t="s">
        <v>337</v>
      </c>
      <c r="Q2108" s="21" t="s">
        <v>344</v>
      </c>
      <c r="R2108" s="22">
        <v>45756</v>
      </c>
      <c r="W2108">
        <f>COUNTIF(OKB証券!U:U,B2108)</f>
        <v>0</v>
      </c>
    </row>
    <row r="2109" spans="1:23" ht="24.95" hidden="1" customHeight="1" x14ac:dyDescent="0.4">
      <c r="A2109" s="17" t="s">
        <v>74</v>
      </c>
      <c r="B2109" s="15" t="s">
        <v>321</v>
      </c>
      <c r="C2109" s="16" t="s">
        <v>24</v>
      </c>
      <c r="D2109" s="16" t="s">
        <v>31</v>
      </c>
      <c r="E2109" s="15" t="s">
        <v>35</v>
      </c>
      <c r="F2109" s="15" t="s">
        <v>314</v>
      </c>
      <c r="N2109" s="21" t="s">
        <v>96</v>
      </c>
      <c r="O2109" s="21" t="s">
        <v>337</v>
      </c>
      <c r="Q2109" s="21" t="s">
        <v>344</v>
      </c>
      <c r="R2109" s="22">
        <v>45756</v>
      </c>
      <c r="W2109">
        <f>COUNTIF(OKB証券!U:U,B2109)</f>
        <v>0</v>
      </c>
    </row>
    <row r="2110" spans="1:23" ht="24.95" hidden="1" customHeight="1" x14ac:dyDescent="0.4">
      <c r="A2110" s="17" t="s">
        <v>74</v>
      </c>
      <c r="B2110" s="15" t="s">
        <v>322</v>
      </c>
      <c r="C2110" s="16" t="s">
        <v>24</v>
      </c>
      <c r="D2110" s="16" t="s">
        <v>31</v>
      </c>
      <c r="E2110" s="15" t="s">
        <v>35</v>
      </c>
      <c r="F2110" s="15" t="s">
        <v>314</v>
      </c>
      <c r="N2110" s="21" t="s">
        <v>96</v>
      </c>
      <c r="O2110" s="21" t="s">
        <v>337</v>
      </c>
      <c r="Q2110" s="21" t="s">
        <v>344</v>
      </c>
      <c r="R2110" s="22">
        <v>45756</v>
      </c>
      <c r="W2110">
        <f>COUNTIF(OKB証券!U:U,B2110)</f>
        <v>0</v>
      </c>
    </row>
    <row r="2111" spans="1:23" ht="24.95" hidden="1" customHeight="1" x14ac:dyDescent="0.4">
      <c r="A2111" s="17" t="s">
        <v>74</v>
      </c>
      <c r="B2111" s="15" t="s">
        <v>323</v>
      </c>
      <c r="C2111" s="16" t="s">
        <v>24</v>
      </c>
      <c r="D2111" s="16" t="s">
        <v>31</v>
      </c>
      <c r="E2111" s="15" t="s">
        <v>35</v>
      </c>
      <c r="F2111" s="15" t="s">
        <v>314</v>
      </c>
      <c r="N2111" s="21" t="s">
        <v>96</v>
      </c>
      <c r="O2111" s="21" t="s">
        <v>337</v>
      </c>
      <c r="Q2111" s="21" t="s">
        <v>344</v>
      </c>
      <c r="R2111" s="22">
        <v>45756</v>
      </c>
      <c r="W2111">
        <f>COUNTIF(OKB証券!U:U,B2111)</f>
        <v>0</v>
      </c>
    </row>
    <row r="2112" spans="1:23" ht="24.95" hidden="1" customHeight="1" x14ac:dyDescent="0.4">
      <c r="A2112" s="17" t="s">
        <v>74</v>
      </c>
      <c r="B2112" s="15" t="s">
        <v>238</v>
      </c>
      <c r="C2112" s="16" t="s">
        <v>31</v>
      </c>
      <c r="D2112" s="16" t="s">
        <v>31</v>
      </c>
      <c r="E2112" s="15" t="s">
        <v>32</v>
      </c>
      <c r="F2112" s="15" t="s">
        <v>314</v>
      </c>
      <c r="N2112" s="21" t="s">
        <v>96</v>
      </c>
      <c r="O2112" s="21" t="s">
        <v>336</v>
      </c>
      <c r="Q2112" s="21" t="s">
        <v>344</v>
      </c>
      <c r="R2112" s="22">
        <v>45756</v>
      </c>
      <c r="W2112">
        <f>COUNTIF(OKB証券!U:U,B2112)</f>
        <v>0</v>
      </c>
    </row>
    <row r="2113" spans="1:23" ht="24.95" hidden="1" customHeight="1" x14ac:dyDescent="0.4">
      <c r="A2113" s="17" t="s">
        <v>74</v>
      </c>
      <c r="B2113" s="15" t="s">
        <v>239</v>
      </c>
      <c r="C2113" s="16" t="s">
        <v>31</v>
      </c>
      <c r="D2113" s="16" t="s">
        <v>31</v>
      </c>
      <c r="E2113" s="15" t="s">
        <v>32</v>
      </c>
      <c r="F2113" s="15" t="s">
        <v>314</v>
      </c>
      <c r="N2113" s="21" t="s">
        <v>96</v>
      </c>
      <c r="O2113" s="21" t="s">
        <v>336</v>
      </c>
      <c r="Q2113" s="21" t="s">
        <v>344</v>
      </c>
      <c r="R2113" s="22">
        <v>45756</v>
      </c>
      <c r="W2113">
        <f>COUNTIF(OKB証券!U:U,B2113)</f>
        <v>0</v>
      </c>
    </row>
    <row r="2114" spans="1:23" ht="24.95" hidden="1" customHeight="1" x14ac:dyDescent="0.4">
      <c r="A2114" s="17" t="s">
        <v>74</v>
      </c>
      <c r="B2114" s="15" t="s">
        <v>240</v>
      </c>
      <c r="C2114" s="16" t="s">
        <v>31</v>
      </c>
      <c r="D2114" s="16" t="s">
        <v>31</v>
      </c>
      <c r="E2114" s="15" t="s">
        <v>32</v>
      </c>
      <c r="F2114" s="15" t="s">
        <v>314</v>
      </c>
      <c r="N2114" s="21" t="s">
        <v>96</v>
      </c>
      <c r="O2114" s="21" t="s">
        <v>336</v>
      </c>
      <c r="Q2114" s="21" t="s">
        <v>344</v>
      </c>
      <c r="R2114" s="22">
        <v>45756</v>
      </c>
      <c r="W2114">
        <f>COUNTIF(OKB証券!U:U,B2114)</f>
        <v>0</v>
      </c>
    </row>
    <row r="2115" spans="1:23" ht="24.95" hidden="1" customHeight="1" x14ac:dyDescent="0.4">
      <c r="A2115" s="17" t="s">
        <v>74</v>
      </c>
      <c r="B2115" s="15" t="s">
        <v>241</v>
      </c>
      <c r="C2115" s="16" t="s">
        <v>31</v>
      </c>
      <c r="D2115" s="16" t="s">
        <v>31</v>
      </c>
      <c r="E2115" s="15" t="s">
        <v>32</v>
      </c>
      <c r="F2115" s="15" t="s">
        <v>314</v>
      </c>
      <c r="N2115" s="21" t="s">
        <v>96</v>
      </c>
      <c r="O2115" s="21" t="s">
        <v>336</v>
      </c>
      <c r="Q2115" s="21" t="s">
        <v>344</v>
      </c>
      <c r="R2115" s="22">
        <v>45756</v>
      </c>
      <c r="W2115">
        <f>COUNTIF(OKB証券!U:U,B2115)</f>
        <v>0</v>
      </c>
    </row>
    <row r="2116" spans="1:23" ht="24.95" hidden="1" customHeight="1" x14ac:dyDescent="0.4">
      <c r="A2116" s="17" t="s">
        <v>74</v>
      </c>
      <c r="B2116" s="15" t="s">
        <v>242</v>
      </c>
      <c r="C2116" s="16" t="s">
        <v>31</v>
      </c>
      <c r="D2116" s="16" t="s">
        <v>31</v>
      </c>
      <c r="E2116" s="15" t="s">
        <v>32</v>
      </c>
      <c r="F2116" s="15" t="s">
        <v>314</v>
      </c>
      <c r="N2116" s="21" t="s">
        <v>96</v>
      </c>
      <c r="O2116" s="21" t="s">
        <v>336</v>
      </c>
      <c r="Q2116" s="21" t="s">
        <v>344</v>
      </c>
      <c r="R2116" s="22">
        <v>45756</v>
      </c>
      <c r="W2116">
        <f>COUNTIF(OKB証券!U:U,B2116)</f>
        <v>0</v>
      </c>
    </row>
    <row r="2117" spans="1:23" ht="24.95" hidden="1" customHeight="1" x14ac:dyDescent="0.4">
      <c r="A2117" s="17" t="s">
        <v>74</v>
      </c>
      <c r="B2117" s="15" t="s">
        <v>243</v>
      </c>
      <c r="C2117" s="16" t="s">
        <v>31</v>
      </c>
      <c r="D2117" s="16" t="s">
        <v>31</v>
      </c>
      <c r="E2117" s="15" t="s">
        <v>32</v>
      </c>
      <c r="F2117" s="15" t="s">
        <v>314</v>
      </c>
      <c r="N2117" s="21" t="s">
        <v>96</v>
      </c>
      <c r="O2117" s="21" t="s">
        <v>336</v>
      </c>
      <c r="Q2117" s="21" t="s">
        <v>344</v>
      </c>
      <c r="R2117" s="22">
        <v>45756</v>
      </c>
      <c r="W2117">
        <f>COUNTIF(OKB証券!U:U,B2117)</f>
        <v>0</v>
      </c>
    </row>
    <row r="2118" spans="1:23" ht="24.95" hidden="1" customHeight="1" x14ac:dyDescent="0.4">
      <c r="A2118" s="17" t="s">
        <v>74</v>
      </c>
      <c r="B2118" s="15" t="s">
        <v>244</v>
      </c>
      <c r="C2118" s="16" t="s">
        <v>31</v>
      </c>
      <c r="D2118" s="16" t="s">
        <v>31</v>
      </c>
      <c r="E2118" s="15" t="s">
        <v>32</v>
      </c>
      <c r="F2118" s="15" t="s">
        <v>314</v>
      </c>
      <c r="N2118" s="21" t="s">
        <v>96</v>
      </c>
      <c r="O2118" s="21" t="s">
        <v>336</v>
      </c>
      <c r="Q2118" s="21" t="s">
        <v>344</v>
      </c>
      <c r="R2118" s="22">
        <v>45756</v>
      </c>
      <c r="W2118">
        <f>COUNTIF(OKB証券!U:U,B2118)</f>
        <v>0</v>
      </c>
    </row>
    <row r="2119" spans="1:23" ht="24.95" hidden="1" customHeight="1" x14ac:dyDescent="0.4">
      <c r="A2119" s="17" t="s">
        <v>74</v>
      </c>
      <c r="B2119" s="15" t="s">
        <v>245</v>
      </c>
      <c r="C2119" s="16" t="s">
        <v>31</v>
      </c>
      <c r="D2119" s="16" t="s">
        <v>31</v>
      </c>
      <c r="E2119" s="15" t="s">
        <v>32</v>
      </c>
      <c r="F2119" s="15" t="s">
        <v>314</v>
      </c>
      <c r="N2119" s="21" t="s">
        <v>96</v>
      </c>
      <c r="O2119" s="21" t="s">
        <v>336</v>
      </c>
      <c r="Q2119" s="21" t="s">
        <v>344</v>
      </c>
      <c r="R2119" s="22">
        <v>45756</v>
      </c>
      <c r="W2119">
        <f>COUNTIF(OKB証券!U:U,B2119)</f>
        <v>0</v>
      </c>
    </row>
    <row r="2120" spans="1:23" ht="24.95" hidden="1" customHeight="1" x14ac:dyDescent="0.4">
      <c r="A2120" s="17" t="s">
        <v>74</v>
      </c>
      <c r="B2120" s="15" t="s">
        <v>246</v>
      </c>
      <c r="C2120" s="16" t="s">
        <v>31</v>
      </c>
      <c r="D2120" s="16" t="s">
        <v>31</v>
      </c>
      <c r="E2120" s="15" t="s">
        <v>32</v>
      </c>
      <c r="F2120" s="15" t="s">
        <v>314</v>
      </c>
      <c r="N2120" s="21" t="s">
        <v>96</v>
      </c>
      <c r="O2120" s="21" t="s">
        <v>336</v>
      </c>
      <c r="Q2120" s="21" t="s">
        <v>344</v>
      </c>
      <c r="R2120" s="22">
        <v>45756</v>
      </c>
      <c r="W2120">
        <f>COUNTIF(OKB証券!U:U,B2120)</f>
        <v>0</v>
      </c>
    </row>
    <row r="2121" spans="1:23" ht="24.95" hidden="1" customHeight="1" x14ac:dyDescent="0.4">
      <c r="A2121" s="17" t="s">
        <v>74</v>
      </c>
      <c r="B2121" s="15" t="s">
        <v>247</v>
      </c>
      <c r="C2121" s="16" t="s">
        <v>31</v>
      </c>
      <c r="D2121" s="16" t="s">
        <v>31</v>
      </c>
      <c r="E2121" s="15" t="s">
        <v>32</v>
      </c>
      <c r="F2121" s="15" t="s">
        <v>314</v>
      </c>
      <c r="N2121" s="21" t="s">
        <v>96</v>
      </c>
      <c r="O2121" s="21" t="s">
        <v>336</v>
      </c>
      <c r="Q2121" s="21" t="s">
        <v>344</v>
      </c>
      <c r="R2121" s="22">
        <v>45756</v>
      </c>
      <c r="W2121">
        <f>COUNTIF(OKB証券!U:U,B2121)</f>
        <v>0</v>
      </c>
    </row>
    <row r="2122" spans="1:23" ht="24.95" hidden="1" customHeight="1" x14ac:dyDescent="0.4">
      <c r="A2122" s="17" t="s">
        <v>74</v>
      </c>
      <c r="B2122" s="15" t="s">
        <v>248</v>
      </c>
      <c r="C2122" s="16" t="s">
        <v>31</v>
      </c>
      <c r="D2122" s="16" t="s">
        <v>31</v>
      </c>
      <c r="E2122" s="15" t="s">
        <v>32</v>
      </c>
      <c r="F2122" s="15" t="s">
        <v>314</v>
      </c>
      <c r="N2122" s="21" t="s">
        <v>96</v>
      </c>
      <c r="O2122" s="21" t="s">
        <v>336</v>
      </c>
      <c r="Q2122" s="21" t="s">
        <v>344</v>
      </c>
      <c r="R2122" s="22">
        <v>45756</v>
      </c>
      <c r="W2122">
        <f>COUNTIF(OKB証券!U:U,B2122)</f>
        <v>0</v>
      </c>
    </row>
    <row r="2123" spans="1:23" ht="24.95" hidden="1" customHeight="1" x14ac:dyDescent="0.4">
      <c r="A2123" s="17" t="s">
        <v>74</v>
      </c>
      <c r="B2123" s="15" t="s">
        <v>249</v>
      </c>
      <c r="C2123" s="16" t="s">
        <v>31</v>
      </c>
      <c r="D2123" s="16" t="s">
        <v>31</v>
      </c>
      <c r="E2123" s="15" t="s">
        <v>32</v>
      </c>
      <c r="F2123" s="15" t="s">
        <v>314</v>
      </c>
      <c r="N2123" s="21" t="s">
        <v>96</v>
      </c>
      <c r="O2123" s="21" t="s">
        <v>336</v>
      </c>
      <c r="Q2123" s="21" t="s">
        <v>344</v>
      </c>
      <c r="R2123" s="22">
        <v>45756</v>
      </c>
      <c r="W2123">
        <f>COUNTIF(OKB証券!U:U,B2123)</f>
        <v>0</v>
      </c>
    </row>
    <row r="2124" spans="1:23" ht="24.95" hidden="1" customHeight="1" x14ac:dyDescent="0.4">
      <c r="A2124" s="17" t="s">
        <v>74</v>
      </c>
      <c r="B2124" s="15" t="s">
        <v>250</v>
      </c>
      <c r="C2124" s="16" t="s">
        <v>31</v>
      </c>
      <c r="D2124" s="16" t="s">
        <v>31</v>
      </c>
      <c r="E2124" s="15" t="s">
        <v>32</v>
      </c>
      <c r="F2124" s="15" t="s">
        <v>314</v>
      </c>
      <c r="N2124" s="21" t="s">
        <v>96</v>
      </c>
      <c r="O2124" s="21" t="s">
        <v>336</v>
      </c>
      <c r="Q2124" s="21" t="s">
        <v>344</v>
      </c>
      <c r="R2124" s="22">
        <v>45756</v>
      </c>
      <c r="W2124">
        <f>COUNTIF(OKB証券!U:U,B2124)</f>
        <v>0</v>
      </c>
    </row>
    <row r="2125" spans="1:23" ht="24.95" hidden="1" customHeight="1" x14ac:dyDescent="0.4">
      <c r="A2125" s="17" t="s">
        <v>74</v>
      </c>
      <c r="B2125" s="15" t="s">
        <v>251</v>
      </c>
      <c r="C2125" s="16" t="s">
        <v>31</v>
      </c>
      <c r="D2125" s="16" t="s">
        <v>31</v>
      </c>
      <c r="E2125" s="15" t="s">
        <v>32</v>
      </c>
      <c r="F2125" s="15" t="s">
        <v>314</v>
      </c>
      <c r="N2125" s="21" t="s">
        <v>96</v>
      </c>
      <c r="O2125" s="21" t="s">
        <v>336</v>
      </c>
      <c r="Q2125" s="21" t="s">
        <v>344</v>
      </c>
      <c r="R2125" s="22">
        <v>45756</v>
      </c>
      <c r="W2125">
        <f>COUNTIF(OKB証券!U:U,B2125)</f>
        <v>0</v>
      </c>
    </row>
    <row r="2126" spans="1:23" ht="24.95" hidden="1" customHeight="1" x14ac:dyDescent="0.4">
      <c r="A2126" s="17" t="s">
        <v>74</v>
      </c>
      <c r="B2126" s="15" t="s">
        <v>341</v>
      </c>
      <c r="C2126" s="16" t="s">
        <v>31</v>
      </c>
      <c r="D2126" s="16" t="s">
        <v>31</v>
      </c>
      <c r="E2126" s="15" t="s">
        <v>32</v>
      </c>
      <c r="F2126" s="15" t="s">
        <v>340</v>
      </c>
      <c r="N2126" s="21" t="s">
        <v>96</v>
      </c>
      <c r="O2126" s="21" t="s">
        <v>345</v>
      </c>
      <c r="Q2126" s="21" t="s">
        <v>344</v>
      </c>
      <c r="R2126" s="22">
        <v>45784</v>
      </c>
      <c r="W2126">
        <f>COUNTIF(OKB証券!U:U,B2126)</f>
        <v>0</v>
      </c>
    </row>
    <row r="2127" spans="1:23" ht="24.95" hidden="1" customHeight="1" x14ac:dyDescent="0.4">
      <c r="A2127" s="17" t="s">
        <v>74</v>
      </c>
      <c r="B2127" s="15" t="s">
        <v>252</v>
      </c>
      <c r="C2127" s="16" t="s">
        <v>31</v>
      </c>
      <c r="D2127" s="16" t="s">
        <v>31</v>
      </c>
      <c r="E2127" s="15" t="s">
        <v>32</v>
      </c>
      <c r="F2127" s="15" t="s">
        <v>314</v>
      </c>
      <c r="N2127" s="21" t="s">
        <v>96</v>
      </c>
      <c r="O2127" s="21" t="s">
        <v>336</v>
      </c>
      <c r="Q2127" s="21" t="s">
        <v>344</v>
      </c>
      <c r="R2127" s="22">
        <v>45756</v>
      </c>
      <c r="W2127">
        <f>COUNTIF(OKB証券!U:U,B2127)</f>
        <v>0</v>
      </c>
    </row>
    <row r="2128" spans="1:23" ht="24.95" hidden="1" customHeight="1" x14ac:dyDescent="0.4">
      <c r="A2128" s="17" t="s">
        <v>74</v>
      </c>
      <c r="B2128" s="15" t="s">
        <v>253</v>
      </c>
      <c r="C2128" s="16" t="s">
        <v>31</v>
      </c>
      <c r="D2128" s="16" t="s">
        <v>31</v>
      </c>
      <c r="E2128" s="15" t="s">
        <v>32</v>
      </c>
      <c r="F2128" s="15" t="s">
        <v>314</v>
      </c>
      <c r="N2128" s="21" t="s">
        <v>96</v>
      </c>
      <c r="O2128" s="21" t="s">
        <v>336</v>
      </c>
      <c r="Q2128" s="21" t="s">
        <v>344</v>
      </c>
      <c r="R2128" s="22">
        <v>45756</v>
      </c>
      <c r="W2128">
        <f>COUNTIF(OKB証券!U:U,B2128)</f>
        <v>0</v>
      </c>
    </row>
    <row r="2129" spans="1:23" ht="24.95" hidden="1" customHeight="1" x14ac:dyDescent="0.4">
      <c r="A2129" s="17" t="s">
        <v>74</v>
      </c>
      <c r="B2129" s="15" t="s">
        <v>254</v>
      </c>
      <c r="C2129" s="16" t="s">
        <v>31</v>
      </c>
      <c r="D2129" s="16" t="s">
        <v>31</v>
      </c>
      <c r="E2129" s="15" t="s">
        <v>32</v>
      </c>
      <c r="F2129" s="15" t="s">
        <v>314</v>
      </c>
      <c r="N2129" s="21" t="s">
        <v>96</v>
      </c>
      <c r="O2129" s="21" t="s">
        <v>336</v>
      </c>
      <c r="Q2129" s="21" t="s">
        <v>344</v>
      </c>
      <c r="R2129" s="22">
        <v>45756</v>
      </c>
      <c r="W2129">
        <f>COUNTIF(OKB証券!U:U,B2129)</f>
        <v>0</v>
      </c>
    </row>
    <row r="2130" spans="1:23" ht="24.95" hidden="1" customHeight="1" x14ac:dyDescent="0.4">
      <c r="A2130" s="17" t="s">
        <v>74</v>
      </c>
      <c r="B2130" s="15" t="s">
        <v>255</v>
      </c>
      <c r="C2130" s="16" t="s">
        <v>31</v>
      </c>
      <c r="D2130" s="16" t="s">
        <v>31</v>
      </c>
      <c r="E2130" s="15" t="s">
        <v>32</v>
      </c>
      <c r="F2130" s="15" t="s">
        <v>314</v>
      </c>
      <c r="N2130" s="21" t="s">
        <v>96</v>
      </c>
      <c r="O2130" s="21" t="s">
        <v>336</v>
      </c>
      <c r="Q2130" s="21" t="s">
        <v>344</v>
      </c>
      <c r="R2130" s="22">
        <v>45756</v>
      </c>
      <c r="W2130">
        <f>COUNTIF(OKB証券!U:U,B2130)</f>
        <v>0</v>
      </c>
    </row>
    <row r="2131" spans="1:23" ht="24.95" hidden="1" customHeight="1" x14ac:dyDescent="0.4">
      <c r="A2131" s="17" t="s">
        <v>74</v>
      </c>
      <c r="B2131" s="15" t="s">
        <v>256</v>
      </c>
      <c r="C2131" s="16" t="s">
        <v>31</v>
      </c>
      <c r="D2131" s="16" t="s">
        <v>31</v>
      </c>
      <c r="E2131" s="15" t="s">
        <v>32</v>
      </c>
      <c r="F2131" s="15" t="s">
        <v>314</v>
      </c>
      <c r="N2131" s="21" t="s">
        <v>96</v>
      </c>
      <c r="O2131" s="21" t="s">
        <v>336</v>
      </c>
      <c r="Q2131" s="21" t="s">
        <v>344</v>
      </c>
      <c r="R2131" s="22">
        <v>45756</v>
      </c>
      <c r="W2131">
        <f>COUNTIF(OKB証券!U:U,B2131)</f>
        <v>0</v>
      </c>
    </row>
    <row r="2132" spans="1:23" ht="24.95" hidden="1" customHeight="1" x14ac:dyDescent="0.4">
      <c r="A2132" s="17" t="s">
        <v>74</v>
      </c>
      <c r="B2132" s="15" t="s">
        <v>257</v>
      </c>
      <c r="C2132" s="16" t="s">
        <v>31</v>
      </c>
      <c r="D2132" s="16" t="s">
        <v>31</v>
      </c>
      <c r="E2132" s="15" t="s">
        <v>32</v>
      </c>
      <c r="F2132" s="15" t="s">
        <v>314</v>
      </c>
      <c r="N2132" s="21" t="s">
        <v>96</v>
      </c>
      <c r="O2132" s="21" t="s">
        <v>336</v>
      </c>
      <c r="Q2132" s="21" t="s">
        <v>344</v>
      </c>
      <c r="R2132" s="22">
        <v>45756</v>
      </c>
      <c r="W2132">
        <f>COUNTIF(OKB証券!U:U,B2132)</f>
        <v>0</v>
      </c>
    </row>
    <row r="2133" spans="1:23" ht="24.95" hidden="1" customHeight="1" x14ac:dyDescent="0.4">
      <c r="A2133" s="17" t="s">
        <v>74</v>
      </c>
      <c r="B2133" s="15" t="s">
        <v>258</v>
      </c>
      <c r="C2133" s="16" t="s">
        <v>31</v>
      </c>
      <c r="D2133" s="16" t="s">
        <v>31</v>
      </c>
      <c r="E2133" s="15" t="s">
        <v>32</v>
      </c>
      <c r="F2133" s="15" t="s">
        <v>314</v>
      </c>
      <c r="N2133" s="21" t="s">
        <v>96</v>
      </c>
      <c r="O2133" s="21" t="s">
        <v>336</v>
      </c>
      <c r="Q2133" s="21" t="s">
        <v>344</v>
      </c>
      <c r="R2133" s="22">
        <v>45756</v>
      </c>
      <c r="W2133">
        <f>COUNTIF(OKB証券!U:U,B2133)</f>
        <v>0</v>
      </c>
    </row>
    <row r="2134" spans="1:23" ht="24.95" hidden="1" customHeight="1" x14ac:dyDescent="0.4">
      <c r="A2134" s="17" t="s">
        <v>74</v>
      </c>
      <c r="B2134" s="15" t="s">
        <v>259</v>
      </c>
      <c r="C2134" s="16" t="s">
        <v>31</v>
      </c>
      <c r="D2134" s="16" t="s">
        <v>31</v>
      </c>
      <c r="E2134" s="15" t="s">
        <v>32</v>
      </c>
      <c r="F2134" s="15" t="s">
        <v>314</v>
      </c>
      <c r="N2134" s="21" t="s">
        <v>96</v>
      </c>
      <c r="O2134" s="21" t="s">
        <v>336</v>
      </c>
      <c r="Q2134" s="21" t="s">
        <v>344</v>
      </c>
      <c r="R2134" s="22">
        <v>45756</v>
      </c>
      <c r="W2134">
        <f>COUNTIF(OKB証券!U:U,B2134)</f>
        <v>0</v>
      </c>
    </row>
    <row r="2135" spans="1:23" ht="24.95" hidden="1" customHeight="1" x14ac:dyDescent="0.4">
      <c r="A2135" s="17" t="s">
        <v>74</v>
      </c>
      <c r="B2135" s="15" t="s">
        <v>260</v>
      </c>
      <c r="C2135" s="16" t="s">
        <v>31</v>
      </c>
      <c r="D2135" s="16" t="s">
        <v>31</v>
      </c>
      <c r="E2135" s="15" t="s">
        <v>32</v>
      </c>
      <c r="F2135" s="15" t="s">
        <v>314</v>
      </c>
      <c r="N2135" s="21" t="s">
        <v>96</v>
      </c>
      <c r="O2135" s="21" t="s">
        <v>336</v>
      </c>
      <c r="Q2135" s="21" t="s">
        <v>344</v>
      </c>
      <c r="R2135" s="22">
        <v>45756</v>
      </c>
      <c r="W2135">
        <f>COUNTIF(OKB証券!U:U,B2135)</f>
        <v>0</v>
      </c>
    </row>
    <row r="2136" spans="1:23" ht="24.95" hidden="1" customHeight="1" x14ac:dyDescent="0.4">
      <c r="A2136" s="17" t="s">
        <v>74</v>
      </c>
      <c r="B2136" s="15" t="s">
        <v>261</v>
      </c>
      <c r="C2136" s="16" t="s">
        <v>31</v>
      </c>
      <c r="D2136" s="16" t="s">
        <v>31</v>
      </c>
      <c r="E2136" s="15" t="s">
        <v>32</v>
      </c>
      <c r="F2136" s="15" t="s">
        <v>314</v>
      </c>
      <c r="N2136" s="21" t="s">
        <v>96</v>
      </c>
      <c r="O2136" s="21" t="s">
        <v>336</v>
      </c>
      <c r="Q2136" s="21" t="s">
        <v>344</v>
      </c>
      <c r="R2136" s="22">
        <v>45756</v>
      </c>
      <c r="W2136">
        <f>COUNTIF(OKB証券!U:U,B2136)</f>
        <v>0</v>
      </c>
    </row>
    <row r="2137" spans="1:23" ht="24.95" hidden="1" customHeight="1" x14ac:dyDescent="0.4">
      <c r="A2137" s="17" t="s">
        <v>74</v>
      </c>
      <c r="B2137" s="15" t="s">
        <v>262</v>
      </c>
      <c r="C2137" s="16" t="s">
        <v>31</v>
      </c>
      <c r="D2137" s="16" t="s">
        <v>31</v>
      </c>
      <c r="E2137" s="15" t="s">
        <v>32</v>
      </c>
      <c r="F2137" s="15" t="s">
        <v>314</v>
      </c>
      <c r="N2137" s="21" t="s">
        <v>96</v>
      </c>
      <c r="O2137" s="21" t="s">
        <v>336</v>
      </c>
      <c r="Q2137" s="21" t="s">
        <v>344</v>
      </c>
      <c r="R2137" s="22">
        <v>45756</v>
      </c>
      <c r="W2137">
        <f>COUNTIF(OKB証券!U:U,B2137)</f>
        <v>0</v>
      </c>
    </row>
    <row r="2138" spans="1:23" ht="24.95" hidden="1" customHeight="1" x14ac:dyDescent="0.4">
      <c r="A2138" s="17" t="s">
        <v>74</v>
      </c>
      <c r="B2138" s="15" t="s">
        <v>263</v>
      </c>
      <c r="C2138" s="16" t="s">
        <v>31</v>
      </c>
      <c r="D2138" s="16" t="s">
        <v>31</v>
      </c>
      <c r="E2138" s="15" t="s">
        <v>32</v>
      </c>
      <c r="F2138" s="15" t="s">
        <v>314</v>
      </c>
      <c r="N2138" s="21" t="s">
        <v>96</v>
      </c>
      <c r="O2138" s="21" t="s">
        <v>336</v>
      </c>
      <c r="Q2138" s="21" t="s">
        <v>344</v>
      </c>
      <c r="R2138" s="22">
        <v>45756</v>
      </c>
      <c r="W2138">
        <f>COUNTIF(OKB証券!U:U,B2138)</f>
        <v>0</v>
      </c>
    </row>
    <row r="2139" spans="1:23" ht="24.95" hidden="1" customHeight="1" x14ac:dyDescent="0.4">
      <c r="A2139" s="17" t="s">
        <v>74</v>
      </c>
      <c r="B2139" s="15" t="s">
        <v>264</v>
      </c>
      <c r="C2139" s="16" t="s">
        <v>31</v>
      </c>
      <c r="D2139" s="16" t="s">
        <v>31</v>
      </c>
      <c r="E2139" s="15" t="s">
        <v>32</v>
      </c>
      <c r="F2139" s="15" t="s">
        <v>314</v>
      </c>
      <c r="N2139" s="21" t="s">
        <v>96</v>
      </c>
      <c r="O2139" s="21" t="s">
        <v>336</v>
      </c>
      <c r="Q2139" s="21" t="s">
        <v>344</v>
      </c>
      <c r="R2139" s="22">
        <v>45756</v>
      </c>
      <c r="W2139">
        <f>COUNTIF(OKB証券!U:U,B2139)</f>
        <v>0</v>
      </c>
    </row>
    <row r="2140" spans="1:23" ht="24.95" hidden="1" customHeight="1" x14ac:dyDescent="0.4">
      <c r="A2140" s="17" t="s">
        <v>74</v>
      </c>
      <c r="B2140" s="15" t="s">
        <v>265</v>
      </c>
      <c r="C2140" s="16" t="s">
        <v>31</v>
      </c>
      <c r="D2140" s="16" t="s">
        <v>31</v>
      </c>
      <c r="E2140" s="15" t="s">
        <v>32</v>
      </c>
      <c r="F2140" s="15" t="s">
        <v>314</v>
      </c>
      <c r="N2140" s="21" t="s">
        <v>96</v>
      </c>
      <c r="O2140" s="21" t="s">
        <v>336</v>
      </c>
      <c r="Q2140" s="21" t="s">
        <v>344</v>
      </c>
      <c r="R2140" s="22">
        <v>45756</v>
      </c>
      <c r="W2140">
        <f>COUNTIF(OKB証券!U:U,B2140)</f>
        <v>0</v>
      </c>
    </row>
    <row r="2141" spans="1:23" ht="24.95" hidden="1" customHeight="1" x14ac:dyDescent="0.4">
      <c r="A2141" s="17" t="s">
        <v>74</v>
      </c>
      <c r="B2141" s="15" t="s">
        <v>266</v>
      </c>
      <c r="C2141" s="16" t="s">
        <v>31</v>
      </c>
      <c r="D2141" s="16" t="s">
        <v>31</v>
      </c>
      <c r="E2141" s="15" t="s">
        <v>32</v>
      </c>
      <c r="F2141" s="15" t="s">
        <v>314</v>
      </c>
      <c r="N2141" s="21" t="s">
        <v>96</v>
      </c>
      <c r="O2141" s="21" t="s">
        <v>336</v>
      </c>
      <c r="Q2141" s="21" t="s">
        <v>344</v>
      </c>
      <c r="R2141" s="22">
        <v>45756</v>
      </c>
      <c r="W2141">
        <f>COUNTIF(OKB証券!U:U,B2141)</f>
        <v>0</v>
      </c>
    </row>
    <row r="2142" spans="1:23" ht="24.95" hidden="1" customHeight="1" x14ac:dyDescent="0.4">
      <c r="A2142" s="17" t="s">
        <v>74</v>
      </c>
      <c r="B2142" s="15" t="s">
        <v>267</v>
      </c>
      <c r="C2142" s="16" t="s">
        <v>31</v>
      </c>
      <c r="D2142" s="16" t="s">
        <v>31</v>
      </c>
      <c r="E2142" s="15" t="s">
        <v>32</v>
      </c>
      <c r="F2142" s="15" t="s">
        <v>314</v>
      </c>
      <c r="N2142" s="21" t="s">
        <v>96</v>
      </c>
      <c r="O2142" s="21" t="s">
        <v>336</v>
      </c>
      <c r="Q2142" s="21" t="s">
        <v>344</v>
      </c>
      <c r="R2142" s="22">
        <v>45756</v>
      </c>
      <c r="W2142">
        <f>COUNTIF(OKB証券!U:U,B2142)</f>
        <v>0</v>
      </c>
    </row>
    <row r="2143" spans="1:23" ht="24.95" hidden="1" customHeight="1" x14ac:dyDescent="0.4">
      <c r="A2143" s="17" t="s">
        <v>74</v>
      </c>
      <c r="B2143" s="15" t="s">
        <v>268</v>
      </c>
      <c r="C2143" s="16" t="s">
        <v>31</v>
      </c>
      <c r="D2143" s="16" t="s">
        <v>31</v>
      </c>
      <c r="E2143" s="15" t="s">
        <v>32</v>
      </c>
      <c r="F2143" s="15" t="s">
        <v>314</v>
      </c>
      <c r="N2143" s="21" t="s">
        <v>96</v>
      </c>
      <c r="O2143" s="21" t="s">
        <v>336</v>
      </c>
      <c r="Q2143" s="21" t="s">
        <v>344</v>
      </c>
      <c r="R2143" s="22">
        <v>45756</v>
      </c>
      <c r="W2143">
        <f>COUNTIF(OKB証券!U:U,B2143)</f>
        <v>0</v>
      </c>
    </row>
    <row r="2144" spans="1:23" ht="24.95" hidden="1" customHeight="1" x14ac:dyDescent="0.4">
      <c r="A2144" s="17" t="s">
        <v>74</v>
      </c>
      <c r="B2144" s="15" t="s">
        <v>269</v>
      </c>
      <c r="C2144" s="16" t="s">
        <v>31</v>
      </c>
      <c r="D2144" s="16" t="s">
        <v>31</v>
      </c>
      <c r="E2144" s="15" t="s">
        <v>32</v>
      </c>
      <c r="F2144" s="15" t="s">
        <v>314</v>
      </c>
      <c r="N2144" s="21" t="s">
        <v>96</v>
      </c>
      <c r="O2144" s="21" t="s">
        <v>336</v>
      </c>
      <c r="Q2144" s="21" t="s">
        <v>344</v>
      </c>
      <c r="R2144" s="22">
        <v>45756</v>
      </c>
      <c r="W2144">
        <f>COUNTIF(OKB証券!U:U,B2144)</f>
        <v>0</v>
      </c>
    </row>
    <row r="2145" spans="1:23" ht="24.95" hidden="1" customHeight="1" x14ac:dyDescent="0.4">
      <c r="A2145" s="17" t="s">
        <v>74</v>
      </c>
      <c r="B2145" s="15" t="s">
        <v>270</v>
      </c>
      <c r="C2145" s="16" t="s">
        <v>31</v>
      </c>
      <c r="D2145" s="16" t="s">
        <v>31</v>
      </c>
      <c r="E2145" s="15" t="s">
        <v>32</v>
      </c>
      <c r="F2145" s="15" t="s">
        <v>314</v>
      </c>
      <c r="N2145" s="21" t="s">
        <v>96</v>
      </c>
      <c r="O2145" s="21" t="s">
        <v>336</v>
      </c>
      <c r="Q2145" s="21" t="s">
        <v>344</v>
      </c>
      <c r="R2145" s="22">
        <v>45756</v>
      </c>
      <c r="W2145">
        <f>COUNTIF(OKB証券!U:U,B2145)</f>
        <v>0</v>
      </c>
    </row>
    <row r="2146" spans="1:23" ht="24.95" hidden="1" customHeight="1" x14ac:dyDescent="0.4">
      <c r="A2146" s="17" t="s">
        <v>74</v>
      </c>
      <c r="B2146" s="15" t="s">
        <v>271</v>
      </c>
      <c r="C2146" s="16" t="s">
        <v>31</v>
      </c>
      <c r="D2146" s="16" t="s">
        <v>31</v>
      </c>
      <c r="E2146" s="15" t="s">
        <v>32</v>
      </c>
      <c r="F2146" s="15" t="s">
        <v>314</v>
      </c>
      <c r="N2146" s="21" t="s">
        <v>96</v>
      </c>
      <c r="O2146" s="21" t="s">
        <v>336</v>
      </c>
      <c r="Q2146" s="21" t="s">
        <v>344</v>
      </c>
      <c r="R2146" s="22">
        <v>45756</v>
      </c>
      <c r="W2146">
        <f>COUNTIF(OKB証券!U:U,B2146)</f>
        <v>0</v>
      </c>
    </row>
    <row r="2147" spans="1:23" ht="24.95" hidden="1" customHeight="1" x14ac:dyDescent="0.4">
      <c r="A2147" s="17" t="s">
        <v>74</v>
      </c>
      <c r="B2147" s="15" t="s">
        <v>324</v>
      </c>
      <c r="C2147" s="16" t="s">
        <v>31</v>
      </c>
      <c r="D2147" s="16" t="s">
        <v>31</v>
      </c>
      <c r="E2147" s="15" t="s">
        <v>32</v>
      </c>
      <c r="F2147" s="15" t="s">
        <v>314</v>
      </c>
      <c r="N2147" s="21" t="s">
        <v>96</v>
      </c>
      <c r="O2147" s="21" t="s">
        <v>337</v>
      </c>
      <c r="Q2147" s="21" t="s">
        <v>344</v>
      </c>
      <c r="R2147" s="22">
        <v>45756</v>
      </c>
      <c r="W2147">
        <f>COUNTIF(OKB証券!U:U,B2147)</f>
        <v>0</v>
      </c>
    </row>
    <row r="2148" spans="1:23" ht="24.95" hidden="1" customHeight="1" x14ac:dyDescent="0.4">
      <c r="A2148" s="17" t="s">
        <v>74</v>
      </c>
      <c r="B2148" s="50" t="s">
        <v>368</v>
      </c>
      <c r="C2148" s="16" t="s">
        <v>31</v>
      </c>
      <c r="D2148" s="16" t="s">
        <v>31</v>
      </c>
      <c r="E2148" s="15" t="s">
        <v>32</v>
      </c>
      <c r="F2148" s="15" t="s">
        <v>365</v>
      </c>
      <c r="N2148" s="21" t="s">
        <v>96</v>
      </c>
      <c r="O2148" s="21" t="s">
        <v>372</v>
      </c>
      <c r="Q2148" s="21" t="s">
        <v>344</v>
      </c>
      <c r="R2148" s="22">
        <v>45883</v>
      </c>
      <c r="W2148">
        <f>COUNTIF(OKB証券!U:U,B2148)</f>
        <v>0</v>
      </c>
    </row>
    <row r="2149" spans="1:23" ht="24.95" hidden="1" customHeight="1" x14ac:dyDescent="0.4">
      <c r="A2149" s="17" t="s">
        <v>74</v>
      </c>
      <c r="B2149" s="50" t="s">
        <v>369</v>
      </c>
      <c r="C2149" s="16" t="s">
        <v>24</v>
      </c>
      <c r="D2149" s="16" t="s">
        <v>31</v>
      </c>
      <c r="E2149" s="15" t="s">
        <v>35</v>
      </c>
      <c r="F2149" s="15" t="s">
        <v>365</v>
      </c>
      <c r="N2149" s="21" t="s">
        <v>96</v>
      </c>
      <c r="O2149" s="21" t="s">
        <v>372</v>
      </c>
      <c r="Q2149" s="21" t="s">
        <v>344</v>
      </c>
      <c r="R2149" s="22">
        <v>45883</v>
      </c>
      <c r="W2149">
        <f>COUNTIF(OKB証券!U:U,B2149)</f>
        <v>0</v>
      </c>
    </row>
    <row r="2150" spans="1:23" ht="24.95" hidden="1" customHeight="1" x14ac:dyDescent="0.4">
      <c r="A2150" s="17" t="s">
        <v>74</v>
      </c>
      <c r="B2150" s="15" t="s">
        <v>325</v>
      </c>
      <c r="C2150" s="16" t="s">
        <v>24</v>
      </c>
      <c r="D2150" s="16" t="s">
        <v>31</v>
      </c>
      <c r="E2150" s="15" t="s">
        <v>35</v>
      </c>
      <c r="F2150" s="15" t="s">
        <v>314</v>
      </c>
      <c r="N2150" s="21" t="s">
        <v>96</v>
      </c>
      <c r="O2150" s="21" t="s">
        <v>337</v>
      </c>
      <c r="Q2150" s="21" t="s">
        <v>344</v>
      </c>
      <c r="R2150" s="22">
        <v>45756</v>
      </c>
      <c r="W2150">
        <f>COUNTIF(OKB証券!U:U,B2150)</f>
        <v>0</v>
      </c>
    </row>
    <row r="2151" spans="1:23" ht="24.95" hidden="1" customHeight="1" x14ac:dyDescent="0.4">
      <c r="A2151" s="17" t="s">
        <v>74</v>
      </c>
      <c r="B2151" s="15" t="s">
        <v>272</v>
      </c>
      <c r="C2151" s="16" t="s">
        <v>31</v>
      </c>
      <c r="D2151" s="16" t="s">
        <v>31</v>
      </c>
      <c r="E2151" s="15" t="s">
        <v>32</v>
      </c>
      <c r="F2151" s="15" t="s">
        <v>314</v>
      </c>
      <c r="N2151" s="21" t="s">
        <v>96</v>
      </c>
      <c r="O2151" s="21" t="s">
        <v>336</v>
      </c>
      <c r="Q2151" s="21" t="s">
        <v>344</v>
      </c>
      <c r="R2151" s="22">
        <v>45756</v>
      </c>
      <c r="W2151">
        <f>COUNTIF(OKB証券!U:U,B2151)</f>
        <v>0</v>
      </c>
    </row>
    <row r="2152" spans="1:23" ht="24.95" hidden="1" customHeight="1" x14ac:dyDescent="0.4">
      <c r="A2152" s="17" t="s">
        <v>74</v>
      </c>
      <c r="B2152" s="15" t="s">
        <v>273</v>
      </c>
      <c r="C2152" s="16" t="s">
        <v>31</v>
      </c>
      <c r="D2152" s="16" t="s">
        <v>31</v>
      </c>
      <c r="E2152" s="15" t="s">
        <v>32</v>
      </c>
      <c r="F2152" s="15" t="s">
        <v>314</v>
      </c>
      <c r="N2152" s="21" t="s">
        <v>96</v>
      </c>
      <c r="O2152" s="21" t="s">
        <v>336</v>
      </c>
      <c r="Q2152" s="21" t="s">
        <v>344</v>
      </c>
      <c r="R2152" s="22">
        <v>45756</v>
      </c>
      <c r="W2152">
        <f>COUNTIF(OKB証券!U:U,B2152)</f>
        <v>0</v>
      </c>
    </row>
    <row r="2153" spans="1:23" ht="24.95" hidden="1" customHeight="1" x14ac:dyDescent="0.4">
      <c r="A2153" s="17" t="s">
        <v>74</v>
      </c>
      <c r="B2153" s="15" t="s">
        <v>274</v>
      </c>
      <c r="C2153" s="16" t="s">
        <v>31</v>
      </c>
      <c r="D2153" s="16" t="s">
        <v>31</v>
      </c>
      <c r="E2153" s="15" t="s">
        <v>32</v>
      </c>
      <c r="F2153" s="15" t="s">
        <v>314</v>
      </c>
      <c r="N2153" s="21" t="s">
        <v>96</v>
      </c>
      <c r="O2153" s="21" t="s">
        <v>336</v>
      </c>
      <c r="Q2153" s="21" t="s">
        <v>344</v>
      </c>
      <c r="R2153" s="22">
        <v>45756</v>
      </c>
      <c r="W2153">
        <f>COUNTIF(OKB証券!U:U,B2153)</f>
        <v>0</v>
      </c>
    </row>
    <row r="2154" spans="1:23" ht="24.95" hidden="1" customHeight="1" x14ac:dyDescent="0.4">
      <c r="A2154" s="17" t="s">
        <v>74</v>
      </c>
      <c r="B2154" s="15" t="s">
        <v>275</v>
      </c>
      <c r="C2154" s="16" t="s">
        <v>31</v>
      </c>
      <c r="D2154" s="16" t="s">
        <v>31</v>
      </c>
      <c r="E2154" s="15" t="s">
        <v>32</v>
      </c>
      <c r="F2154" s="15" t="s">
        <v>314</v>
      </c>
      <c r="N2154" s="21" t="s">
        <v>96</v>
      </c>
      <c r="O2154" s="21" t="s">
        <v>336</v>
      </c>
      <c r="Q2154" s="21" t="s">
        <v>344</v>
      </c>
      <c r="R2154" s="22">
        <v>45756</v>
      </c>
      <c r="W2154">
        <f>COUNTIF(OKB証券!U:U,B2154)</f>
        <v>0</v>
      </c>
    </row>
    <row r="2155" spans="1:23" ht="24.95" hidden="1" customHeight="1" x14ac:dyDescent="0.4">
      <c r="A2155" s="17" t="s">
        <v>74</v>
      </c>
      <c r="B2155" s="15" t="s">
        <v>326</v>
      </c>
      <c r="C2155" s="16" t="s">
        <v>31</v>
      </c>
      <c r="D2155" s="16" t="s">
        <v>31</v>
      </c>
      <c r="E2155" s="15" t="s">
        <v>32</v>
      </c>
      <c r="F2155" s="15" t="s">
        <v>314</v>
      </c>
      <c r="N2155" s="21" t="s">
        <v>96</v>
      </c>
      <c r="O2155" s="21" t="s">
        <v>337</v>
      </c>
      <c r="Q2155" s="21" t="s">
        <v>344</v>
      </c>
      <c r="R2155" s="22">
        <v>45756</v>
      </c>
      <c r="W2155">
        <f>COUNTIF(OKB証券!U:U,B2155)</f>
        <v>0</v>
      </c>
    </row>
    <row r="2156" spans="1:23" ht="24.95" hidden="1" customHeight="1" x14ac:dyDescent="0.4">
      <c r="A2156" s="17" t="s">
        <v>74</v>
      </c>
      <c r="B2156" s="15" t="s">
        <v>327</v>
      </c>
      <c r="C2156" s="16" t="s">
        <v>24</v>
      </c>
      <c r="D2156" s="16" t="s">
        <v>31</v>
      </c>
      <c r="E2156" s="15" t="s">
        <v>35</v>
      </c>
      <c r="F2156" s="15" t="s">
        <v>314</v>
      </c>
      <c r="N2156" s="21" t="s">
        <v>96</v>
      </c>
      <c r="O2156" s="21" t="s">
        <v>337</v>
      </c>
      <c r="Q2156" s="21" t="s">
        <v>344</v>
      </c>
      <c r="R2156" s="22">
        <v>45756</v>
      </c>
      <c r="W2156">
        <f>COUNTIF(OKB証券!U:U,B2156)</f>
        <v>0</v>
      </c>
    </row>
    <row r="2157" spans="1:23" ht="24.95" hidden="1" customHeight="1" x14ac:dyDescent="0.4">
      <c r="A2157" s="17" t="s">
        <v>74</v>
      </c>
      <c r="B2157" s="15" t="s">
        <v>328</v>
      </c>
      <c r="C2157" s="16" t="s">
        <v>24</v>
      </c>
      <c r="D2157" s="16" t="s">
        <v>31</v>
      </c>
      <c r="E2157" s="15" t="s">
        <v>35</v>
      </c>
      <c r="F2157" s="15" t="s">
        <v>314</v>
      </c>
      <c r="N2157" s="21" t="s">
        <v>96</v>
      </c>
      <c r="O2157" s="21" t="s">
        <v>337</v>
      </c>
      <c r="Q2157" s="21" t="s">
        <v>344</v>
      </c>
      <c r="R2157" s="22">
        <v>45756</v>
      </c>
      <c r="W2157">
        <f>COUNTIF(OKB証券!U:U,B2157)</f>
        <v>0</v>
      </c>
    </row>
    <row r="2158" spans="1:23" ht="24.95" hidden="1" customHeight="1" x14ac:dyDescent="0.4">
      <c r="A2158" s="17" t="s">
        <v>74</v>
      </c>
      <c r="B2158" s="15" t="s">
        <v>329</v>
      </c>
      <c r="C2158" s="16" t="s">
        <v>24</v>
      </c>
      <c r="D2158" s="16" t="s">
        <v>31</v>
      </c>
      <c r="E2158" s="15" t="s">
        <v>35</v>
      </c>
      <c r="F2158" s="15" t="s">
        <v>314</v>
      </c>
      <c r="N2158" s="21" t="s">
        <v>96</v>
      </c>
      <c r="O2158" s="21" t="s">
        <v>337</v>
      </c>
      <c r="Q2158" s="21" t="s">
        <v>344</v>
      </c>
      <c r="R2158" s="22">
        <v>45756</v>
      </c>
      <c r="W2158">
        <f>COUNTIF(OKB証券!U:U,B2158)</f>
        <v>0</v>
      </c>
    </row>
    <row r="2159" spans="1:23" ht="24.95" hidden="1" customHeight="1" x14ac:dyDescent="0.4">
      <c r="A2159" s="17" t="s">
        <v>74</v>
      </c>
      <c r="B2159" s="15" t="s">
        <v>276</v>
      </c>
      <c r="C2159" s="16" t="s">
        <v>31</v>
      </c>
      <c r="D2159" s="16" t="s">
        <v>31</v>
      </c>
      <c r="E2159" s="15" t="s">
        <v>32</v>
      </c>
      <c r="F2159" s="15" t="s">
        <v>314</v>
      </c>
      <c r="N2159" s="21" t="s">
        <v>96</v>
      </c>
      <c r="O2159" s="21" t="s">
        <v>336</v>
      </c>
      <c r="Q2159" s="21" t="s">
        <v>344</v>
      </c>
      <c r="R2159" s="22">
        <v>45756</v>
      </c>
      <c r="W2159">
        <f>COUNTIF(OKB証券!U:U,B2159)</f>
        <v>0</v>
      </c>
    </row>
    <row r="2160" spans="1:23" ht="24.95" hidden="1" customHeight="1" x14ac:dyDescent="0.4">
      <c r="A2160" s="17" t="s">
        <v>74</v>
      </c>
      <c r="B2160" s="15" t="s">
        <v>277</v>
      </c>
      <c r="C2160" s="16" t="s">
        <v>31</v>
      </c>
      <c r="D2160" s="16" t="s">
        <v>31</v>
      </c>
      <c r="E2160" s="15" t="s">
        <v>32</v>
      </c>
      <c r="F2160" s="15" t="s">
        <v>314</v>
      </c>
      <c r="N2160" s="21" t="s">
        <v>96</v>
      </c>
      <c r="O2160" s="21" t="s">
        <v>336</v>
      </c>
      <c r="Q2160" s="21" t="s">
        <v>344</v>
      </c>
      <c r="R2160" s="22">
        <v>45756</v>
      </c>
      <c r="W2160">
        <f>COUNTIF(OKB証券!U:U,B2160)</f>
        <v>0</v>
      </c>
    </row>
    <row r="2161" spans="1:23" ht="24.95" hidden="1" customHeight="1" x14ac:dyDescent="0.4">
      <c r="A2161" s="17" t="s">
        <v>74</v>
      </c>
      <c r="B2161" s="15" t="s">
        <v>278</v>
      </c>
      <c r="C2161" s="16" t="s">
        <v>31</v>
      </c>
      <c r="D2161" s="16" t="s">
        <v>31</v>
      </c>
      <c r="E2161" s="15" t="s">
        <v>32</v>
      </c>
      <c r="F2161" s="15" t="s">
        <v>314</v>
      </c>
      <c r="N2161" s="21" t="s">
        <v>96</v>
      </c>
      <c r="O2161" s="21" t="s">
        <v>336</v>
      </c>
      <c r="Q2161" s="21" t="s">
        <v>344</v>
      </c>
      <c r="R2161" s="22">
        <v>45756</v>
      </c>
      <c r="W2161">
        <f>COUNTIF(OKB証券!U:U,B2161)</f>
        <v>0</v>
      </c>
    </row>
    <row r="2162" spans="1:23" ht="24.95" hidden="1" customHeight="1" x14ac:dyDescent="0.4">
      <c r="A2162" s="17" t="s">
        <v>74</v>
      </c>
      <c r="B2162" s="15" t="s">
        <v>279</v>
      </c>
      <c r="C2162" s="16" t="s">
        <v>31</v>
      </c>
      <c r="D2162" s="16" t="s">
        <v>31</v>
      </c>
      <c r="E2162" s="15" t="s">
        <v>32</v>
      </c>
      <c r="F2162" s="15" t="s">
        <v>314</v>
      </c>
      <c r="N2162" s="21" t="s">
        <v>96</v>
      </c>
      <c r="O2162" s="21" t="s">
        <v>336</v>
      </c>
      <c r="Q2162" s="21" t="s">
        <v>344</v>
      </c>
      <c r="R2162" s="22">
        <v>45756</v>
      </c>
      <c r="W2162">
        <f>COUNTIF(OKB証券!U:U,B2162)</f>
        <v>0</v>
      </c>
    </row>
    <row r="2163" spans="1:23" ht="24.95" hidden="1" customHeight="1" x14ac:dyDescent="0.4">
      <c r="A2163" s="17" t="s">
        <v>74</v>
      </c>
      <c r="B2163" s="15" t="s">
        <v>280</v>
      </c>
      <c r="C2163" s="16" t="s">
        <v>31</v>
      </c>
      <c r="D2163" s="16" t="s">
        <v>31</v>
      </c>
      <c r="E2163" s="15" t="s">
        <v>32</v>
      </c>
      <c r="F2163" s="15" t="s">
        <v>314</v>
      </c>
      <c r="N2163" s="21" t="s">
        <v>96</v>
      </c>
      <c r="O2163" s="21" t="s">
        <v>336</v>
      </c>
      <c r="Q2163" s="21" t="s">
        <v>344</v>
      </c>
      <c r="R2163" s="22">
        <v>45756</v>
      </c>
      <c r="W2163">
        <f>COUNTIF(OKB証券!U:U,B2163)</f>
        <v>0</v>
      </c>
    </row>
    <row r="2164" spans="1:23" ht="24.95" hidden="1" customHeight="1" x14ac:dyDescent="0.4">
      <c r="A2164" s="17" t="s">
        <v>74</v>
      </c>
      <c r="B2164" s="15" t="s">
        <v>281</v>
      </c>
      <c r="C2164" s="16" t="s">
        <v>31</v>
      </c>
      <c r="D2164" s="16" t="s">
        <v>31</v>
      </c>
      <c r="E2164" s="15" t="s">
        <v>32</v>
      </c>
      <c r="F2164" s="15" t="s">
        <v>314</v>
      </c>
      <c r="N2164" s="21" t="s">
        <v>96</v>
      </c>
      <c r="O2164" s="21" t="s">
        <v>336</v>
      </c>
      <c r="Q2164" s="21" t="s">
        <v>344</v>
      </c>
      <c r="R2164" s="22">
        <v>45756</v>
      </c>
      <c r="W2164">
        <f>COUNTIF(OKB証券!U:U,B2164)</f>
        <v>0</v>
      </c>
    </row>
    <row r="2165" spans="1:23" ht="24.95" hidden="1" customHeight="1" x14ac:dyDescent="0.4">
      <c r="A2165" s="17" t="s">
        <v>74</v>
      </c>
      <c r="B2165" s="15" t="s">
        <v>282</v>
      </c>
      <c r="C2165" s="16" t="s">
        <v>31</v>
      </c>
      <c r="D2165" s="16" t="s">
        <v>31</v>
      </c>
      <c r="E2165" s="15" t="s">
        <v>32</v>
      </c>
      <c r="F2165" s="15" t="s">
        <v>314</v>
      </c>
      <c r="N2165" s="21" t="s">
        <v>96</v>
      </c>
      <c r="O2165" s="21" t="s">
        <v>336</v>
      </c>
      <c r="Q2165" s="21" t="s">
        <v>344</v>
      </c>
      <c r="R2165" s="22">
        <v>45756</v>
      </c>
      <c r="W2165">
        <f>COUNTIF(OKB証券!U:U,B2165)</f>
        <v>0</v>
      </c>
    </row>
    <row r="2166" spans="1:23" ht="24.95" hidden="1" customHeight="1" x14ac:dyDescent="0.4">
      <c r="A2166" s="17" t="s">
        <v>74</v>
      </c>
      <c r="B2166" s="15" t="s">
        <v>283</v>
      </c>
      <c r="C2166" s="16" t="s">
        <v>31</v>
      </c>
      <c r="D2166" s="16" t="s">
        <v>31</v>
      </c>
      <c r="E2166" s="15" t="s">
        <v>32</v>
      </c>
      <c r="F2166" s="15" t="s">
        <v>314</v>
      </c>
      <c r="N2166" s="21" t="s">
        <v>96</v>
      </c>
      <c r="O2166" s="21" t="s">
        <v>336</v>
      </c>
      <c r="Q2166" s="21" t="s">
        <v>344</v>
      </c>
      <c r="R2166" s="22">
        <v>45756</v>
      </c>
      <c r="W2166">
        <f>COUNTIF(OKB証券!U:U,B2166)</f>
        <v>0</v>
      </c>
    </row>
    <row r="2167" spans="1:23" ht="24.95" hidden="1" customHeight="1" x14ac:dyDescent="0.4">
      <c r="A2167" s="17" t="s">
        <v>74</v>
      </c>
      <c r="B2167" s="15" t="s">
        <v>284</v>
      </c>
      <c r="C2167" s="16" t="s">
        <v>31</v>
      </c>
      <c r="D2167" s="16" t="s">
        <v>31</v>
      </c>
      <c r="E2167" s="15" t="s">
        <v>32</v>
      </c>
      <c r="F2167" s="15" t="s">
        <v>314</v>
      </c>
      <c r="N2167" s="21" t="s">
        <v>96</v>
      </c>
      <c r="O2167" s="21" t="s">
        <v>336</v>
      </c>
      <c r="Q2167" s="21" t="s">
        <v>344</v>
      </c>
      <c r="R2167" s="22">
        <v>45756</v>
      </c>
      <c r="W2167">
        <f>COUNTIF(OKB証券!U:U,B2167)</f>
        <v>0</v>
      </c>
    </row>
    <row r="2168" spans="1:23" ht="24.95" hidden="1" customHeight="1" x14ac:dyDescent="0.4">
      <c r="A2168" s="17" t="s">
        <v>74</v>
      </c>
      <c r="B2168" s="15" t="s">
        <v>285</v>
      </c>
      <c r="C2168" s="16" t="s">
        <v>31</v>
      </c>
      <c r="D2168" s="16" t="s">
        <v>31</v>
      </c>
      <c r="E2168" s="15" t="s">
        <v>32</v>
      </c>
      <c r="F2168" s="15" t="s">
        <v>314</v>
      </c>
      <c r="N2168" s="21" t="s">
        <v>96</v>
      </c>
      <c r="O2168" s="21" t="s">
        <v>336</v>
      </c>
      <c r="Q2168" s="21" t="s">
        <v>344</v>
      </c>
      <c r="R2168" s="22">
        <v>45756</v>
      </c>
      <c r="W2168">
        <f>COUNTIF(OKB証券!U:U,B2168)</f>
        <v>0</v>
      </c>
    </row>
    <row r="2169" spans="1:23" ht="24.95" hidden="1" customHeight="1" x14ac:dyDescent="0.4">
      <c r="A2169" s="17" t="s">
        <v>74</v>
      </c>
      <c r="B2169" s="15" t="s">
        <v>286</v>
      </c>
      <c r="C2169" s="16" t="s">
        <v>31</v>
      </c>
      <c r="D2169" s="16" t="s">
        <v>31</v>
      </c>
      <c r="E2169" s="15" t="s">
        <v>32</v>
      </c>
      <c r="F2169" s="15" t="s">
        <v>314</v>
      </c>
      <c r="N2169" s="21" t="s">
        <v>96</v>
      </c>
      <c r="O2169" s="21" t="s">
        <v>336</v>
      </c>
      <c r="Q2169" s="21" t="s">
        <v>344</v>
      </c>
      <c r="R2169" s="22">
        <v>45756</v>
      </c>
      <c r="W2169">
        <f>COUNTIF(OKB証券!U:U,B2169)</f>
        <v>0</v>
      </c>
    </row>
    <row r="2170" spans="1:23" ht="24.95" hidden="1" customHeight="1" x14ac:dyDescent="0.4">
      <c r="A2170" s="17" t="s">
        <v>74</v>
      </c>
      <c r="B2170" s="15" t="s">
        <v>287</v>
      </c>
      <c r="C2170" s="16" t="s">
        <v>31</v>
      </c>
      <c r="D2170" s="16" t="s">
        <v>31</v>
      </c>
      <c r="E2170" s="15" t="s">
        <v>32</v>
      </c>
      <c r="F2170" s="15" t="s">
        <v>314</v>
      </c>
      <c r="N2170" s="21" t="s">
        <v>96</v>
      </c>
      <c r="O2170" s="21" t="s">
        <v>336</v>
      </c>
      <c r="Q2170" s="21" t="s">
        <v>344</v>
      </c>
      <c r="R2170" s="22">
        <v>45756</v>
      </c>
      <c r="W2170">
        <f>COUNTIF(OKB証券!U:U,B2170)</f>
        <v>0</v>
      </c>
    </row>
    <row r="2171" spans="1:23" ht="24.95" hidden="1" customHeight="1" x14ac:dyDescent="0.4">
      <c r="A2171" s="17" t="s">
        <v>74</v>
      </c>
      <c r="B2171" s="15" t="s">
        <v>342</v>
      </c>
      <c r="C2171" s="16" t="s">
        <v>31</v>
      </c>
      <c r="D2171" s="16" t="s">
        <v>31</v>
      </c>
      <c r="E2171" s="15" t="s">
        <v>32</v>
      </c>
      <c r="F2171" s="15" t="s">
        <v>340</v>
      </c>
      <c r="N2171" s="21" t="s">
        <v>96</v>
      </c>
      <c r="O2171" s="21" t="s">
        <v>345</v>
      </c>
      <c r="Q2171" s="21" t="s">
        <v>344</v>
      </c>
      <c r="R2171" s="22">
        <v>45784</v>
      </c>
      <c r="W2171">
        <f>COUNTIF(OKB証券!U:U,B2171)</f>
        <v>0</v>
      </c>
    </row>
    <row r="2172" spans="1:23" ht="24.95" hidden="1" customHeight="1" x14ac:dyDescent="0.4">
      <c r="A2172" s="17" t="s">
        <v>74</v>
      </c>
      <c r="B2172" s="15" t="s">
        <v>288</v>
      </c>
      <c r="C2172" s="16" t="s">
        <v>31</v>
      </c>
      <c r="D2172" s="16" t="s">
        <v>31</v>
      </c>
      <c r="E2172" s="15" t="s">
        <v>32</v>
      </c>
      <c r="F2172" s="15" t="s">
        <v>314</v>
      </c>
      <c r="N2172" s="21" t="s">
        <v>96</v>
      </c>
      <c r="O2172" s="21" t="s">
        <v>336</v>
      </c>
      <c r="Q2172" s="21" t="s">
        <v>344</v>
      </c>
      <c r="R2172" s="22">
        <v>45756</v>
      </c>
      <c r="W2172">
        <f>COUNTIF(OKB証券!U:U,B2172)</f>
        <v>0</v>
      </c>
    </row>
    <row r="2173" spans="1:23" ht="24.95" hidden="1" customHeight="1" x14ac:dyDescent="0.4">
      <c r="A2173" s="17" t="s">
        <v>74</v>
      </c>
      <c r="B2173" s="15" t="s">
        <v>289</v>
      </c>
      <c r="C2173" s="16" t="s">
        <v>31</v>
      </c>
      <c r="D2173" s="16" t="s">
        <v>31</v>
      </c>
      <c r="E2173" s="15" t="s">
        <v>32</v>
      </c>
      <c r="F2173" s="15" t="s">
        <v>314</v>
      </c>
      <c r="N2173" s="21" t="s">
        <v>96</v>
      </c>
      <c r="O2173" s="21" t="s">
        <v>336</v>
      </c>
      <c r="Q2173" s="21" t="s">
        <v>344</v>
      </c>
      <c r="R2173" s="22">
        <v>45756</v>
      </c>
      <c r="W2173">
        <f>COUNTIF(OKB証券!U:U,B2173)</f>
        <v>0</v>
      </c>
    </row>
    <row r="2174" spans="1:23" ht="24.95" hidden="1" customHeight="1" x14ac:dyDescent="0.4">
      <c r="A2174" s="17" t="s">
        <v>74</v>
      </c>
      <c r="B2174" s="15" t="s">
        <v>290</v>
      </c>
      <c r="C2174" s="16" t="s">
        <v>31</v>
      </c>
      <c r="D2174" s="16" t="s">
        <v>31</v>
      </c>
      <c r="E2174" s="15" t="s">
        <v>32</v>
      </c>
      <c r="F2174" s="15" t="s">
        <v>314</v>
      </c>
      <c r="N2174" s="21" t="s">
        <v>96</v>
      </c>
      <c r="O2174" s="21" t="s">
        <v>336</v>
      </c>
      <c r="Q2174" s="21" t="s">
        <v>344</v>
      </c>
      <c r="R2174" s="22">
        <v>45756</v>
      </c>
      <c r="W2174">
        <f>COUNTIF(OKB証券!U:U,B2174)</f>
        <v>0</v>
      </c>
    </row>
    <row r="2175" spans="1:23" ht="24.95" hidden="1" customHeight="1" x14ac:dyDescent="0.4">
      <c r="A2175" s="17" t="s">
        <v>74</v>
      </c>
      <c r="B2175" s="15" t="s">
        <v>291</v>
      </c>
      <c r="C2175" s="16" t="s">
        <v>31</v>
      </c>
      <c r="D2175" s="16" t="s">
        <v>31</v>
      </c>
      <c r="E2175" s="15" t="s">
        <v>32</v>
      </c>
      <c r="F2175" s="15" t="s">
        <v>314</v>
      </c>
      <c r="N2175" s="21" t="s">
        <v>96</v>
      </c>
      <c r="O2175" s="21" t="s">
        <v>336</v>
      </c>
      <c r="Q2175" s="21" t="s">
        <v>344</v>
      </c>
      <c r="R2175" s="22">
        <v>45756</v>
      </c>
      <c r="W2175">
        <f>COUNTIF(OKB証券!U:U,B2175)</f>
        <v>0</v>
      </c>
    </row>
    <row r="2176" spans="1:23" ht="24.95" hidden="1" customHeight="1" x14ac:dyDescent="0.4">
      <c r="A2176" s="17" t="s">
        <v>74</v>
      </c>
      <c r="B2176" s="15" t="s">
        <v>292</v>
      </c>
      <c r="C2176" s="16" t="s">
        <v>31</v>
      </c>
      <c r="D2176" s="16" t="s">
        <v>31</v>
      </c>
      <c r="E2176" s="15" t="s">
        <v>32</v>
      </c>
      <c r="F2176" s="15" t="s">
        <v>314</v>
      </c>
      <c r="N2176" s="21" t="s">
        <v>96</v>
      </c>
      <c r="O2176" s="21" t="s">
        <v>336</v>
      </c>
      <c r="Q2176" s="21" t="s">
        <v>344</v>
      </c>
      <c r="R2176" s="22">
        <v>45756</v>
      </c>
      <c r="W2176">
        <f>COUNTIF(OKB証券!U:U,B2176)</f>
        <v>0</v>
      </c>
    </row>
    <row r="2177" spans="1:23" ht="24.95" hidden="1" customHeight="1" x14ac:dyDescent="0.4">
      <c r="A2177" s="17" t="s">
        <v>74</v>
      </c>
      <c r="B2177" s="15" t="s">
        <v>293</v>
      </c>
      <c r="C2177" s="16" t="s">
        <v>31</v>
      </c>
      <c r="D2177" s="16" t="s">
        <v>31</v>
      </c>
      <c r="E2177" s="15" t="s">
        <v>32</v>
      </c>
      <c r="F2177" s="15" t="s">
        <v>314</v>
      </c>
      <c r="N2177" s="21" t="s">
        <v>96</v>
      </c>
      <c r="O2177" s="21" t="s">
        <v>336</v>
      </c>
      <c r="Q2177" s="21" t="s">
        <v>344</v>
      </c>
      <c r="R2177" s="22">
        <v>45756</v>
      </c>
      <c r="W2177">
        <f>COUNTIF(OKB証券!U:U,B2177)</f>
        <v>0</v>
      </c>
    </row>
    <row r="2178" spans="1:23" ht="24.95" hidden="1" customHeight="1" x14ac:dyDescent="0.4">
      <c r="A2178" s="17" t="s">
        <v>74</v>
      </c>
      <c r="B2178" s="15" t="s">
        <v>294</v>
      </c>
      <c r="C2178" s="16" t="s">
        <v>31</v>
      </c>
      <c r="D2178" s="16" t="s">
        <v>31</v>
      </c>
      <c r="E2178" s="15" t="s">
        <v>32</v>
      </c>
      <c r="F2178" s="15" t="s">
        <v>314</v>
      </c>
      <c r="N2178" s="21" t="s">
        <v>96</v>
      </c>
      <c r="O2178" s="21" t="s">
        <v>336</v>
      </c>
      <c r="Q2178" s="21" t="s">
        <v>344</v>
      </c>
      <c r="R2178" s="22">
        <v>45756</v>
      </c>
      <c r="W2178">
        <f>COUNTIF(OKB証券!U:U,B2178)</f>
        <v>0</v>
      </c>
    </row>
    <row r="2179" spans="1:23" ht="24.95" hidden="1" customHeight="1" x14ac:dyDescent="0.4">
      <c r="A2179" s="17" t="s">
        <v>74</v>
      </c>
      <c r="B2179" s="15" t="s">
        <v>295</v>
      </c>
      <c r="C2179" s="16" t="s">
        <v>31</v>
      </c>
      <c r="D2179" s="16" t="s">
        <v>31</v>
      </c>
      <c r="E2179" s="15" t="s">
        <v>32</v>
      </c>
      <c r="F2179" s="15" t="s">
        <v>314</v>
      </c>
      <c r="N2179" s="21" t="s">
        <v>96</v>
      </c>
      <c r="O2179" s="21" t="s">
        <v>336</v>
      </c>
      <c r="Q2179" s="21" t="s">
        <v>344</v>
      </c>
      <c r="R2179" s="22">
        <v>45756</v>
      </c>
      <c r="W2179">
        <f>COUNTIF(OKB証券!U:U,B2179)</f>
        <v>0</v>
      </c>
    </row>
    <row r="2180" spans="1:23" ht="24.95" hidden="1" customHeight="1" x14ac:dyDescent="0.4">
      <c r="A2180" s="17" t="s">
        <v>74</v>
      </c>
      <c r="B2180" s="15" t="s">
        <v>296</v>
      </c>
      <c r="C2180" s="16" t="s">
        <v>31</v>
      </c>
      <c r="D2180" s="16" t="s">
        <v>31</v>
      </c>
      <c r="E2180" s="15" t="s">
        <v>32</v>
      </c>
      <c r="F2180" s="15" t="s">
        <v>314</v>
      </c>
      <c r="N2180" s="21" t="s">
        <v>96</v>
      </c>
      <c r="O2180" s="21" t="s">
        <v>336</v>
      </c>
      <c r="Q2180" s="21" t="s">
        <v>344</v>
      </c>
      <c r="R2180" s="22">
        <v>45756</v>
      </c>
      <c r="W2180">
        <f>COUNTIF(OKB証券!U:U,B2180)</f>
        <v>0</v>
      </c>
    </row>
    <row r="2181" spans="1:23" ht="24.95" hidden="1" customHeight="1" x14ac:dyDescent="0.4">
      <c r="A2181" s="17" t="s">
        <v>74</v>
      </c>
      <c r="B2181" s="15" t="s">
        <v>297</v>
      </c>
      <c r="C2181" s="16" t="s">
        <v>31</v>
      </c>
      <c r="D2181" s="16" t="s">
        <v>31</v>
      </c>
      <c r="E2181" s="15" t="s">
        <v>32</v>
      </c>
      <c r="F2181" s="15" t="s">
        <v>314</v>
      </c>
      <c r="N2181" s="21" t="s">
        <v>96</v>
      </c>
      <c r="O2181" s="21" t="s">
        <v>336</v>
      </c>
      <c r="Q2181" s="21" t="s">
        <v>344</v>
      </c>
      <c r="R2181" s="22">
        <v>45756</v>
      </c>
      <c r="W2181">
        <f>COUNTIF(OKB証券!U:U,B2181)</f>
        <v>0</v>
      </c>
    </row>
    <row r="2182" spans="1:23" ht="24.95" hidden="1" customHeight="1" x14ac:dyDescent="0.4">
      <c r="A2182" s="17" t="s">
        <v>74</v>
      </c>
      <c r="B2182" s="15" t="s">
        <v>298</v>
      </c>
      <c r="C2182" s="16" t="s">
        <v>31</v>
      </c>
      <c r="D2182" s="16" t="s">
        <v>31</v>
      </c>
      <c r="E2182" s="15" t="s">
        <v>32</v>
      </c>
      <c r="F2182" s="15" t="s">
        <v>314</v>
      </c>
      <c r="N2182" s="21" t="s">
        <v>96</v>
      </c>
      <c r="O2182" s="21" t="s">
        <v>336</v>
      </c>
      <c r="Q2182" s="21" t="s">
        <v>344</v>
      </c>
      <c r="R2182" s="22">
        <v>45756</v>
      </c>
      <c r="W2182">
        <f>COUNTIF(OKB証券!U:U,B2182)</f>
        <v>0</v>
      </c>
    </row>
    <row r="2183" spans="1:23" ht="24.95" hidden="1" customHeight="1" x14ac:dyDescent="0.4">
      <c r="A2183" s="17" t="s">
        <v>74</v>
      </c>
      <c r="B2183" s="15" t="s">
        <v>299</v>
      </c>
      <c r="C2183" s="16" t="s">
        <v>31</v>
      </c>
      <c r="D2183" s="16" t="s">
        <v>31</v>
      </c>
      <c r="E2183" s="15" t="s">
        <v>32</v>
      </c>
      <c r="F2183" s="15" t="s">
        <v>314</v>
      </c>
      <c r="N2183" s="21" t="s">
        <v>96</v>
      </c>
      <c r="O2183" s="21" t="s">
        <v>336</v>
      </c>
      <c r="Q2183" s="21" t="s">
        <v>344</v>
      </c>
      <c r="R2183" s="22">
        <v>45756</v>
      </c>
      <c r="W2183">
        <f>COUNTIF(OKB証券!U:U,B2183)</f>
        <v>0</v>
      </c>
    </row>
    <row r="2184" spans="1:23" ht="24.95" hidden="1" customHeight="1" x14ac:dyDescent="0.4">
      <c r="A2184" s="17" t="s">
        <v>74</v>
      </c>
      <c r="B2184" s="15" t="s">
        <v>300</v>
      </c>
      <c r="C2184" s="16" t="s">
        <v>31</v>
      </c>
      <c r="D2184" s="16" t="s">
        <v>31</v>
      </c>
      <c r="E2184" s="15" t="s">
        <v>32</v>
      </c>
      <c r="F2184" s="15" t="s">
        <v>314</v>
      </c>
      <c r="N2184" s="21" t="s">
        <v>96</v>
      </c>
      <c r="O2184" s="21" t="s">
        <v>336</v>
      </c>
      <c r="Q2184" s="21" t="s">
        <v>344</v>
      </c>
      <c r="R2184" s="22">
        <v>45756</v>
      </c>
      <c r="W2184">
        <f>COUNTIF(OKB証券!U:U,B2184)</f>
        <v>0</v>
      </c>
    </row>
    <row r="2185" spans="1:23" ht="24.95" hidden="1" customHeight="1" x14ac:dyDescent="0.4">
      <c r="A2185" s="17" t="s">
        <v>74</v>
      </c>
      <c r="B2185" s="15" t="s">
        <v>301</v>
      </c>
      <c r="C2185" s="16" t="s">
        <v>31</v>
      </c>
      <c r="D2185" s="16" t="s">
        <v>31</v>
      </c>
      <c r="E2185" s="15" t="s">
        <v>32</v>
      </c>
      <c r="F2185" s="15" t="s">
        <v>314</v>
      </c>
      <c r="N2185" s="21" t="s">
        <v>96</v>
      </c>
      <c r="O2185" s="21" t="s">
        <v>336</v>
      </c>
      <c r="Q2185" s="21" t="s">
        <v>344</v>
      </c>
      <c r="R2185" s="22">
        <v>45756</v>
      </c>
      <c r="W2185">
        <f>COUNTIF(OKB証券!U:U,B2185)</f>
        <v>0</v>
      </c>
    </row>
    <row r="2186" spans="1:23" ht="24.95" hidden="1" customHeight="1" x14ac:dyDescent="0.4">
      <c r="A2186" s="17" t="s">
        <v>74</v>
      </c>
      <c r="B2186" s="15" t="s">
        <v>302</v>
      </c>
      <c r="C2186" s="16" t="s">
        <v>31</v>
      </c>
      <c r="D2186" s="16" t="s">
        <v>31</v>
      </c>
      <c r="E2186" s="15" t="s">
        <v>32</v>
      </c>
      <c r="F2186" s="15" t="s">
        <v>314</v>
      </c>
      <c r="N2186" s="21" t="s">
        <v>96</v>
      </c>
      <c r="O2186" s="21" t="s">
        <v>336</v>
      </c>
      <c r="Q2186" s="21" t="s">
        <v>344</v>
      </c>
      <c r="R2186" s="22">
        <v>45756</v>
      </c>
      <c r="W2186">
        <f>COUNTIF(OKB証券!U:U,B2186)</f>
        <v>0</v>
      </c>
    </row>
    <row r="2187" spans="1:23" ht="24.95" hidden="1" customHeight="1" x14ac:dyDescent="0.4">
      <c r="A2187" s="17" t="s">
        <v>74</v>
      </c>
      <c r="B2187" s="15" t="s">
        <v>303</v>
      </c>
      <c r="C2187" s="16" t="s">
        <v>31</v>
      </c>
      <c r="D2187" s="16" t="s">
        <v>31</v>
      </c>
      <c r="E2187" s="15" t="s">
        <v>32</v>
      </c>
      <c r="F2187" s="15" t="s">
        <v>314</v>
      </c>
      <c r="N2187" s="21" t="s">
        <v>96</v>
      </c>
      <c r="O2187" s="21" t="s">
        <v>336</v>
      </c>
      <c r="Q2187" s="21" t="s">
        <v>344</v>
      </c>
      <c r="R2187" s="22">
        <v>45756</v>
      </c>
      <c r="W2187">
        <f>COUNTIF(OKB証券!U:U,B2187)</f>
        <v>0</v>
      </c>
    </row>
    <row r="2188" spans="1:23" ht="24.95" hidden="1" customHeight="1" x14ac:dyDescent="0.4">
      <c r="A2188" s="17" t="s">
        <v>74</v>
      </c>
      <c r="B2188" s="15" t="s">
        <v>304</v>
      </c>
      <c r="C2188" s="16" t="s">
        <v>31</v>
      </c>
      <c r="D2188" s="16" t="s">
        <v>31</v>
      </c>
      <c r="E2188" s="15" t="s">
        <v>32</v>
      </c>
      <c r="F2188" s="15" t="s">
        <v>314</v>
      </c>
      <c r="N2188" s="21" t="s">
        <v>96</v>
      </c>
      <c r="O2188" s="21" t="s">
        <v>336</v>
      </c>
      <c r="Q2188" s="21" t="s">
        <v>344</v>
      </c>
      <c r="R2188" s="22">
        <v>45756</v>
      </c>
      <c r="W2188">
        <f>COUNTIF(OKB証券!U:U,B2188)</f>
        <v>0</v>
      </c>
    </row>
    <row r="2189" spans="1:23" ht="24.95" hidden="1" customHeight="1" x14ac:dyDescent="0.4">
      <c r="A2189" s="17" t="s">
        <v>74</v>
      </c>
      <c r="B2189" s="15" t="s">
        <v>305</v>
      </c>
      <c r="C2189" s="16" t="s">
        <v>31</v>
      </c>
      <c r="D2189" s="16" t="s">
        <v>31</v>
      </c>
      <c r="E2189" s="15" t="s">
        <v>32</v>
      </c>
      <c r="F2189" s="15" t="s">
        <v>314</v>
      </c>
      <c r="N2189" s="21" t="s">
        <v>96</v>
      </c>
      <c r="O2189" s="21" t="s">
        <v>336</v>
      </c>
      <c r="Q2189" s="21" t="s">
        <v>344</v>
      </c>
      <c r="R2189" s="22">
        <v>45756</v>
      </c>
      <c r="W2189">
        <f>COUNTIF(OKB証券!U:U,B2189)</f>
        <v>0</v>
      </c>
    </row>
    <row r="2190" spans="1:23" ht="24.95" hidden="1" customHeight="1" x14ac:dyDescent="0.4">
      <c r="A2190" s="17" t="s">
        <v>74</v>
      </c>
      <c r="B2190" s="15" t="s">
        <v>306</v>
      </c>
      <c r="C2190" s="16" t="s">
        <v>24</v>
      </c>
      <c r="D2190" s="16" t="s">
        <v>31</v>
      </c>
      <c r="E2190" s="15" t="s">
        <v>35</v>
      </c>
      <c r="F2190" s="15" t="s">
        <v>314</v>
      </c>
      <c r="N2190" s="21" t="s">
        <v>96</v>
      </c>
      <c r="O2190" s="21" t="s">
        <v>336</v>
      </c>
      <c r="Q2190" s="21" t="s">
        <v>344</v>
      </c>
      <c r="R2190" s="22">
        <v>45756</v>
      </c>
      <c r="W2190">
        <f>COUNTIF(OKB証券!U:U,B2190)</f>
        <v>0</v>
      </c>
    </row>
    <row r="2191" spans="1:23" ht="24.95" hidden="1" customHeight="1" x14ac:dyDescent="0.4">
      <c r="A2191" s="17" t="s">
        <v>74</v>
      </c>
      <c r="B2191" s="15" t="s">
        <v>307</v>
      </c>
      <c r="C2191" s="16" t="s">
        <v>31</v>
      </c>
      <c r="D2191" s="16" t="s">
        <v>31</v>
      </c>
      <c r="E2191" s="15" t="s">
        <v>32</v>
      </c>
      <c r="F2191" s="15" t="s">
        <v>314</v>
      </c>
      <c r="N2191" s="21" t="s">
        <v>96</v>
      </c>
      <c r="O2191" s="21" t="s">
        <v>336</v>
      </c>
      <c r="Q2191" s="21" t="s">
        <v>344</v>
      </c>
      <c r="R2191" s="22">
        <v>45756</v>
      </c>
      <c r="W2191">
        <f>COUNTIF(OKB証券!U:U,B2191)</f>
        <v>0</v>
      </c>
    </row>
    <row r="2192" spans="1:23" ht="24.95" hidden="1" customHeight="1" x14ac:dyDescent="0.4">
      <c r="A2192" s="17" t="s">
        <v>74</v>
      </c>
      <c r="B2192" s="15" t="s">
        <v>38</v>
      </c>
      <c r="C2192" s="16" t="s">
        <v>31</v>
      </c>
      <c r="D2192" s="16" t="s">
        <v>31</v>
      </c>
      <c r="E2192" s="15" t="s">
        <v>32</v>
      </c>
      <c r="F2192" s="15" t="s">
        <v>107</v>
      </c>
      <c r="N2192" s="21" t="s">
        <v>96</v>
      </c>
      <c r="O2192" s="13" t="s">
        <v>353</v>
      </c>
      <c r="Q2192" s="21" t="s">
        <v>344</v>
      </c>
      <c r="R2192" s="22">
        <v>45814</v>
      </c>
      <c r="W2192">
        <f>COUNTIF(OKB証券!U:U,B2192)</f>
        <v>0</v>
      </c>
    </row>
    <row r="2193" spans="1:26" ht="24.95" hidden="1" customHeight="1" x14ac:dyDescent="0.4">
      <c r="A2193" s="17" t="s">
        <v>74</v>
      </c>
      <c r="B2193" s="15" t="s">
        <v>119</v>
      </c>
      <c r="C2193" s="16" t="s">
        <v>31</v>
      </c>
      <c r="D2193" s="16" t="s">
        <v>31</v>
      </c>
      <c r="E2193" s="15" t="s">
        <v>32</v>
      </c>
      <c r="F2193" s="15" t="s">
        <v>365</v>
      </c>
      <c r="N2193" s="21" t="s">
        <v>374</v>
      </c>
      <c r="O2193" s="21" t="s">
        <v>375</v>
      </c>
      <c r="Q2193" s="21" t="s">
        <v>344</v>
      </c>
      <c r="R2193" s="22">
        <v>45883</v>
      </c>
      <c r="W2193">
        <f>COUNTIF(OKB証券!U:U,B2193)</f>
        <v>0</v>
      </c>
    </row>
    <row r="2194" spans="1:26" ht="24.95" hidden="1" customHeight="1" x14ac:dyDescent="0.4">
      <c r="A2194" s="17" t="s">
        <v>74</v>
      </c>
      <c r="B2194" s="15" t="s">
        <v>120</v>
      </c>
      <c r="C2194" s="16" t="s">
        <v>31</v>
      </c>
      <c r="D2194" s="16" t="s">
        <v>31</v>
      </c>
      <c r="E2194" s="15" t="s">
        <v>32</v>
      </c>
      <c r="F2194" s="15" t="s">
        <v>314</v>
      </c>
      <c r="N2194" s="21" t="s">
        <v>96</v>
      </c>
      <c r="O2194" s="13" t="s">
        <v>339</v>
      </c>
      <c r="Q2194" s="21" t="s">
        <v>344</v>
      </c>
      <c r="R2194" s="22">
        <v>45756</v>
      </c>
      <c r="W2194">
        <f>COUNTIF(OKB証券!U:U,B2194)</f>
        <v>0</v>
      </c>
    </row>
    <row r="2195" spans="1:26" ht="24.95" hidden="1" customHeight="1" x14ac:dyDescent="0.4">
      <c r="A2195" s="17" t="s">
        <v>74</v>
      </c>
      <c r="B2195" s="15" t="s">
        <v>39</v>
      </c>
      <c r="C2195" s="16" t="s">
        <v>31</v>
      </c>
      <c r="D2195" s="16" t="s">
        <v>31</v>
      </c>
      <c r="E2195" s="15" t="s">
        <v>32</v>
      </c>
      <c r="F2195" s="15" t="s">
        <v>129</v>
      </c>
      <c r="N2195" s="21" t="s">
        <v>96</v>
      </c>
      <c r="O2195" s="13" t="s">
        <v>350</v>
      </c>
      <c r="Q2195" s="21" t="s">
        <v>344</v>
      </c>
      <c r="R2195" s="22">
        <v>45814</v>
      </c>
      <c r="W2195">
        <f>COUNTIF(OKB証券!U:U,B2195)</f>
        <v>0</v>
      </c>
    </row>
    <row r="2196" spans="1:26" ht="24.95" hidden="1" customHeight="1" x14ac:dyDescent="0.4">
      <c r="A2196" s="17" t="s">
        <v>74</v>
      </c>
      <c r="B2196" s="15" t="s">
        <v>220</v>
      </c>
      <c r="C2196" s="16" t="s">
        <v>31</v>
      </c>
      <c r="D2196" s="16" t="s">
        <v>31</v>
      </c>
      <c r="E2196" s="15" t="s">
        <v>32</v>
      </c>
      <c r="F2196" s="15" t="s">
        <v>221</v>
      </c>
      <c r="N2196" s="21" t="s">
        <v>96</v>
      </c>
      <c r="O2196" s="21" t="s">
        <v>338</v>
      </c>
      <c r="Q2196" s="21" t="s">
        <v>344</v>
      </c>
      <c r="R2196" s="22">
        <v>45814</v>
      </c>
      <c r="W2196">
        <f>COUNTIF(OKB証券!U:U,B2196)</f>
        <v>0</v>
      </c>
    </row>
    <row r="2197" spans="1:26" ht="24.95" hidden="1" customHeight="1" x14ac:dyDescent="0.4">
      <c r="A2197" s="17" t="s">
        <v>74</v>
      </c>
      <c r="B2197" s="15" t="s">
        <v>172</v>
      </c>
      <c r="C2197" s="16" t="s">
        <v>31</v>
      </c>
      <c r="D2197" s="16" t="s">
        <v>31</v>
      </c>
      <c r="E2197" s="15" t="s">
        <v>32</v>
      </c>
      <c r="F2197" s="15" t="s">
        <v>173</v>
      </c>
      <c r="N2197" s="21" t="s">
        <v>96</v>
      </c>
      <c r="O2197" s="21" t="s">
        <v>336</v>
      </c>
      <c r="Q2197" s="21" t="s">
        <v>344</v>
      </c>
      <c r="R2197" s="22">
        <v>45814</v>
      </c>
      <c r="W2197">
        <f>COUNTIF(OKB証券!U:U,B2197)</f>
        <v>0</v>
      </c>
    </row>
    <row r="2198" spans="1:26" ht="24.95" hidden="1" customHeight="1" x14ac:dyDescent="0.4">
      <c r="A2198" s="17" t="s">
        <v>74</v>
      </c>
      <c r="B2198" s="15" t="s">
        <v>111</v>
      </c>
      <c r="C2198" s="16" t="s">
        <v>31</v>
      </c>
      <c r="D2198" s="16" t="s">
        <v>31</v>
      </c>
      <c r="E2198" s="15" t="s">
        <v>32</v>
      </c>
      <c r="F2198" s="15" t="s">
        <v>314</v>
      </c>
      <c r="N2198" s="21" t="s">
        <v>96</v>
      </c>
      <c r="O2198" s="13" t="s">
        <v>339</v>
      </c>
      <c r="Q2198" s="21" t="s">
        <v>344</v>
      </c>
      <c r="R2198" s="22">
        <v>45756</v>
      </c>
      <c r="W2198">
        <f>COUNTIF(OKB証券!U:U,B2198)</f>
        <v>0</v>
      </c>
    </row>
    <row r="2199" spans="1:26" ht="24.95" hidden="1" customHeight="1" x14ac:dyDescent="0.4">
      <c r="A2199" s="17" t="s">
        <v>74</v>
      </c>
      <c r="B2199" s="15" t="s">
        <v>42</v>
      </c>
      <c r="C2199" s="16" t="s">
        <v>31</v>
      </c>
      <c r="D2199" s="16" t="s">
        <v>31</v>
      </c>
      <c r="E2199" s="15" t="s">
        <v>32</v>
      </c>
      <c r="F2199" s="15" t="s">
        <v>129</v>
      </c>
      <c r="N2199" s="21" t="s">
        <v>96</v>
      </c>
      <c r="O2199" s="13" t="s">
        <v>351</v>
      </c>
      <c r="Q2199" s="21" t="s">
        <v>344</v>
      </c>
      <c r="R2199" s="22">
        <v>45814</v>
      </c>
      <c r="W2199">
        <f>COUNTIF(OKB証券!U:U,B2199)</f>
        <v>0</v>
      </c>
    </row>
    <row r="2200" spans="1:26" ht="24.95" hidden="1" customHeight="1" x14ac:dyDescent="0.4">
      <c r="A2200" s="17" t="s">
        <v>74</v>
      </c>
      <c r="B2200" s="15" t="s">
        <v>330</v>
      </c>
      <c r="C2200" s="16" t="s">
        <v>31</v>
      </c>
      <c r="D2200" s="16" t="s">
        <v>31</v>
      </c>
      <c r="E2200" s="15" t="s">
        <v>32</v>
      </c>
      <c r="F2200" s="15" t="s">
        <v>314</v>
      </c>
      <c r="N2200" s="21" t="s">
        <v>96</v>
      </c>
      <c r="O2200" s="21" t="s">
        <v>338</v>
      </c>
      <c r="Q2200" s="21" t="s">
        <v>344</v>
      </c>
      <c r="R2200" s="22">
        <v>45756</v>
      </c>
      <c r="W2200">
        <f>COUNTIF(OKB証券!U:U,B2200)</f>
        <v>0</v>
      </c>
    </row>
    <row r="2201" spans="1:26" ht="24.95" hidden="1" customHeight="1" x14ac:dyDescent="0.4">
      <c r="A2201" s="17" t="s">
        <v>74</v>
      </c>
      <c r="B2201" s="15" t="s">
        <v>343</v>
      </c>
      <c r="C2201" s="16" t="s">
        <v>31</v>
      </c>
      <c r="D2201" s="16" t="s">
        <v>31</v>
      </c>
      <c r="E2201" s="15" t="s">
        <v>32</v>
      </c>
      <c r="F2201" s="15" t="s">
        <v>340</v>
      </c>
      <c r="N2201" s="21" t="s">
        <v>96</v>
      </c>
      <c r="O2201" s="21" t="s">
        <v>345</v>
      </c>
      <c r="Q2201" s="21" t="s">
        <v>344</v>
      </c>
      <c r="R2201" s="22">
        <v>45784</v>
      </c>
      <c r="W2201">
        <f>COUNTIF(OKB証券!U:U,B2201)</f>
        <v>0</v>
      </c>
    </row>
    <row r="2202" spans="1:26" ht="24.95" hidden="1" customHeight="1" x14ac:dyDescent="0.4">
      <c r="A2202" s="17" t="s">
        <v>74</v>
      </c>
      <c r="B2202" s="15" t="s">
        <v>121</v>
      </c>
      <c r="C2202" s="16" t="s">
        <v>31</v>
      </c>
      <c r="D2202" s="16" t="s">
        <v>31</v>
      </c>
      <c r="E2202" s="15" t="s">
        <v>32</v>
      </c>
      <c r="F2202" s="15" t="s">
        <v>314</v>
      </c>
      <c r="N2202" s="21" t="s">
        <v>96</v>
      </c>
      <c r="O2202" s="21" t="s">
        <v>336</v>
      </c>
      <c r="Q2202" s="21" t="s">
        <v>344</v>
      </c>
      <c r="R2202" s="22">
        <v>45756</v>
      </c>
      <c r="W2202">
        <f>COUNTIF(OKB証券!U:U,B2202)</f>
        <v>0</v>
      </c>
    </row>
    <row r="2203" spans="1:26" ht="24.95" hidden="1" customHeight="1" x14ac:dyDescent="0.4">
      <c r="A2203" s="17" t="s">
        <v>74</v>
      </c>
      <c r="B2203" s="15" t="s">
        <v>44</v>
      </c>
      <c r="C2203" s="16" t="s">
        <v>31</v>
      </c>
      <c r="D2203" s="16" t="s">
        <v>31</v>
      </c>
      <c r="E2203" s="15" t="s">
        <v>32</v>
      </c>
      <c r="F2203" s="15" t="s">
        <v>221</v>
      </c>
      <c r="N2203" s="21" t="s">
        <v>96</v>
      </c>
      <c r="O2203" s="13" t="s">
        <v>359</v>
      </c>
      <c r="Q2203" s="21" t="s">
        <v>344</v>
      </c>
      <c r="R2203" s="22">
        <v>45814</v>
      </c>
      <c r="W2203">
        <f>COUNTIF(OKB証券!U:U,B2203)</f>
        <v>0</v>
      </c>
    </row>
    <row r="2204" spans="1:26" ht="24.95" hidden="1" customHeight="1" x14ac:dyDescent="0.4">
      <c r="A2204" s="17" t="s">
        <v>74</v>
      </c>
      <c r="B2204" s="15" t="s">
        <v>45</v>
      </c>
      <c r="C2204" s="16" t="s">
        <v>31</v>
      </c>
      <c r="D2204" s="16" t="s">
        <v>31</v>
      </c>
      <c r="E2204" s="15" t="s">
        <v>32</v>
      </c>
      <c r="F2204" s="15" t="s">
        <v>314</v>
      </c>
      <c r="N2204" s="21" t="s">
        <v>96</v>
      </c>
      <c r="O2204" s="21" t="s">
        <v>338</v>
      </c>
      <c r="Q2204" s="21" t="s">
        <v>344</v>
      </c>
      <c r="R2204" s="22">
        <v>45756</v>
      </c>
      <c r="W2204">
        <f>COUNTIF(OKB証券!U:U,B2204)</f>
        <v>0</v>
      </c>
    </row>
    <row r="2205" spans="1:26" ht="24.95" hidden="1" customHeight="1" x14ac:dyDescent="0.4">
      <c r="A2205" s="17" t="s">
        <v>75</v>
      </c>
      <c r="B2205" s="15" t="s">
        <v>128</v>
      </c>
      <c r="C2205" s="16" t="s">
        <v>31</v>
      </c>
      <c r="D2205" s="16" t="s">
        <v>31</v>
      </c>
      <c r="E2205" s="15" t="s">
        <v>32</v>
      </c>
      <c r="F2205" s="15" t="s">
        <v>125</v>
      </c>
      <c r="M2205" s="21" t="s">
        <v>81</v>
      </c>
      <c r="N2205" s="21" t="s">
        <v>97</v>
      </c>
      <c r="O2205" s="21" t="s">
        <v>145</v>
      </c>
      <c r="P2205" s="21" t="s">
        <v>165</v>
      </c>
      <c r="W2205">
        <f>COUNTIF(安藤証券!U:U,B2205)</f>
        <v>0</v>
      </c>
      <c r="Z2205" t="s">
        <v>434</v>
      </c>
    </row>
    <row r="2206" spans="1:26" ht="24.95" hidden="1" customHeight="1" x14ac:dyDescent="0.4">
      <c r="A2206" s="17" t="s">
        <v>75</v>
      </c>
      <c r="B2206" s="15" t="s">
        <v>115</v>
      </c>
      <c r="C2206" s="16" t="s">
        <v>31</v>
      </c>
      <c r="D2206" s="16" t="s">
        <v>31</v>
      </c>
      <c r="E2206" s="15" t="s">
        <v>32</v>
      </c>
      <c r="F2206" s="15" t="s">
        <v>184</v>
      </c>
      <c r="N2206" s="21" t="s">
        <v>96</v>
      </c>
      <c r="O2206" s="21" t="s">
        <v>337</v>
      </c>
      <c r="Q2206" s="21" t="s">
        <v>344</v>
      </c>
      <c r="R2206" s="22">
        <v>45814</v>
      </c>
      <c r="W2206">
        <f>COUNTIF(安藤証券!U:U,B2206)</f>
        <v>0</v>
      </c>
    </row>
    <row r="2207" spans="1:26" ht="24.95" hidden="1" customHeight="1" x14ac:dyDescent="0.4">
      <c r="A2207" s="17" t="s">
        <v>75</v>
      </c>
      <c r="B2207" s="15" t="s">
        <v>313</v>
      </c>
      <c r="C2207" s="16" t="s">
        <v>24</v>
      </c>
      <c r="D2207" s="16" t="s">
        <v>31</v>
      </c>
      <c r="E2207" s="15" t="s">
        <v>35</v>
      </c>
      <c r="F2207" s="15" t="s">
        <v>314</v>
      </c>
      <c r="N2207" s="21" t="s">
        <v>96</v>
      </c>
      <c r="O2207" s="21" t="s">
        <v>337</v>
      </c>
      <c r="Q2207" s="21" t="s">
        <v>344</v>
      </c>
      <c r="R2207" s="22">
        <v>45756</v>
      </c>
      <c r="W2207">
        <f>COUNTIF(安藤証券!U:U,B2207)</f>
        <v>0</v>
      </c>
    </row>
    <row r="2208" spans="1:26" ht="24.95" hidden="1" customHeight="1" x14ac:dyDescent="0.4">
      <c r="A2208" s="17" t="s">
        <v>75</v>
      </c>
      <c r="B2208" s="15" t="s">
        <v>315</v>
      </c>
      <c r="C2208" s="16" t="s">
        <v>24</v>
      </c>
      <c r="D2208" s="16" t="s">
        <v>31</v>
      </c>
      <c r="E2208" s="15" t="s">
        <v>35</v>
      </c>
      <c r="F2208" s="15" t="s">
        <v>314</v>
      </c>
      <c r="N2208" s="21" t="s">
        <v>96</v>
      </c>
      <c r="O2208" s="21" t="s">
        <v>337</v>
      </c>
      <c r="Q2208" s="21" t="s">
        <v>344</v>
      </c>
      <c r="R2208" s="22">
        <v>45756</v>
      </c>
      <c r="W2208">
        <f>COUNTIF(安藤証券!U:U,B2208)</f>
        <v>0</v>
      </c>
    </row>
    <row r="2209" spans="1:26" ht="24.95" hidden="1" customHeight="1" x14ac:dyDescent="0.4">
      <c r="A2209" s="17" t="s">
        <v>75</v>
      </c>
      <c r="B2209" s="15" t="s">
        <v>316</v>
      </c>
      <c r="C2209" s="16" t="s">
        <v>24</v>
      </c>
      <c r="D2209" s="16" t="s">
        <v>31</v>
      </c>
      <c r="E2209" s="15" t="s">
        <v>35</v>
      </c>
      <c r="F2209" s="15" t="s">
        <v>314</v>
      </c>
      <c r="N2209" s="21" t="s">
        <v>96</v>
      </c>
      <c r="O2209" s="21" t="s">
        <v>337</v>
      </c>
      <c r="Q2209" s="21" t="s">
        <v>344</v>
      </c>
      <c r="R2209" s="22">
        <v>45756</v>
      </c>
      <c r="W2209">
        <f>COUNTIF(安藤証券!U:U,B2209)</f>
        <v>0</v>
      </c>
    </row>
    <row r="2210" spans="1:26" ht="24.95" hidden="1" customHeight="1" x14ac:dyDescent="0.4">
      <c r="A2210" s="17" t="s">
        <v>75</v>
      </c>
      <c r="B2210" s="15" t="s">
        <v>317</v>
      </c>
      <c r="C2210" s="16" t="s">
        <v>24</v>
      </c>
      <c r="D2210" s="16" t="s">
        <v>31</v>
      </c>
      <c r="E2210" s="15" t="s">
        <v>35</v>
      </c>
      <c r="F2210" s="15" t="s">
        <v>314</v>
      </c>
      <c r="N2210" s="21" t="s">
        <v>96</v>
      </c>
      <c r="O2210" s="21" t="s">
        <v>337</v>
      </c>
      <c r="Q2210" s="21" t="s">
        <v>344</v>
      </c>
      <c r="R2210" s="22">
        <v>45756</v>
      </c>
      <c r="W2210">
        <f>COUNTIF(安藤証券!U:U,B2210)</f>
        <v>0</v>
      </c>
    </row>
    <row r="2211" spans="1:26" ht="24.95" hidden="1" customHeight="1" x14ac:dyDescent="0.4">
      <c r="A2211" s="17" t="s">
        <v>75</v>
      </c>
      <c r="B2211" s="50" t="s">
        <v>364</v>
      </c>
      <c r="C2211" s="16" t="s">
        <v>24</v>
      </c>
      <c r="D2211" s="16" t="s">
        <v>31</v>
      </c>
      <c r="E2211" s="15" t="s">
        <v>35</v>
      </c>
      <c r="F2211" s="15" t="s">
        <v>365</v>
      </c>
      <c r="N2211" s="21" t="s">
        <v>96</v>
      </c>
      <c r="O2211" s="21" t="s">
        <v>372</v>
      </c>
      <c r="Q2211" s="21" t="s">
        <v>344</v>
      </c>
      <c r="R2211" s="22">
        <v>45883</v>
      </c>
      <c r="W2211">
        <f>COUNTIF(安藤証券!U:U,B2211)</f>
        <v>0</v>
      </c>
    </row>
    <row r="2212" spans="1:26" ht="24.95" hidden="1" customHeight="1" x14ac:dyDescent="0.4">
      <c r="A2212" s="17" t="s">
        <v>75</v>
      </c>
      <c r="B2212" s="15" t="s">
        <v>171</v>
      </c>
      <c r="C2212" s="16" t="s">
        <v>31</v>
      </c>
      <c r="D2212" s="16" t="s">
        <v>31</v>
      </c>
      <c r="E2212" s="15" t="s">
        <v>32</v>
      </c>
      <c r="F2212" s="15" t="s">
        <v>314</v>
      </c>
      <c r="N2212" s="21" t="s">
        <v>96</v>
      </c>
      <c r="O2212" s="21" t="s">
        <v>336</v>
      </c>
      <c r="Q2212" s="21" t="s">
        <v>344</v>
      </c>
      <c r="R2212" s="22">
        <v>45756</v>
      </c>
      <c r="W2212">
        <f>COUNTIF(安藤証券!U:U,B2212)</f>
        <v>0</v>
      </c>
    </row>
    <row r="2213" spans="1:26" ht="24.95" hidden="1" customHeight="1" x14ac:dyDescent="0.4">
      <c r="A2213" s="17" t="s">
        <v>75</v>
      </c>
      <c r="B2213" s="15" t="s">
        <v>123</v>
      </c>
      <c r="C2213" s="16" t="s">
        <v>31</v>
      </c>
      <c r="D2213" s="16" t="s">
        <v>31</v>
      </c>
      <c r="E2213" s="15" t="s">
        <v>32</v>
      </c>
      <c r="F2213" s="15" t="s">
        <v>184</v>
      </c>
      <c r="N2213" s="21" t="s">
        <v>96</v>
      </c>
      <c r="O2213" s="21" t="s">
        <v>337</v>
      </c>
      <c r="Q2213" s="21" t="s">
        <v>344</v>
      </c>
      <c r="R2213" s="22">
        <v>45814</v>
      </c>
      <c r="W2213">
        <f>COUNTIF(安藤証券!U:U,B2213)</f>
        <v>0</v>
      </c>
    </row>
    <row r="2214" spans="1:26" ht="24.95" hidden="1" customHeight="1" x14ac:dyDescent="0.4">
      <c r="A2214" s="17" t="s">
        <v>75</v>
      </c>
      <c r="B2214" s="15" t="s">
        <v>37</v>
      </c>
      <c r="C2214" s="16" t="s">
        <v>31</v>
      </c>
      <c r="D2214" s="16" t="s">
        <v>31</v>
      </c>
      <c r="E2214" s="15" t="s">
        <v>32</v>
      </c>
      <c r="F2214" s="15" t="s">
        <v>212</v>
      </c>
      <c r="N2214" s="21" t="s">
        <v>96</v>
      </c>
      <c r="O2214" s="13" t="s">
        <v>349</v>
      </c>
      <c r="Q2214" s="21" t="s">
        <v>344</v>
      </c>
      <c r="R2214" s="22">
        <v>45814</v>
      </c>
      <c r="W2214">
        <f>COUNTIF(安藤証券!U:U,B2214)</f>
        <v>1</v>
      </c>
      <c r="Z2214" t="s">
        <v>432</v>
      </c>
    </row>
    <row r="2215" spans="1:26" ht="24.95" hidden="1" customHeight="1" x14ac:dyDescent="0.4">
      <c r="A2215" s="17" t="s">
        <v>75</v>
      </c>
      <c r="B2215" s="15" t="s">
        <v>225</v>
      </c>
      <c r="C2215" s="16" t="s">
        <v>31</v>
      </c>
      <c r="D2215" s="16" t="s">
        <v>31</v>
      </c>
      <c r="E2215" s="15" t="s">
        <v>32</v>
      </c>
      <c r="F2215" s="15" t="s">
        <v>314</v>
      </c>
      <c r="N2215" s="21" t="s">
        <v>96</v>
      </c>
      <c r="O2215" s="21" t="s">
        <v>336</v>
      </c>
      <c r="Q2215" s="21" t="s">
        <v>344</v>
      </c>
      <c r="R2215" s="22">
        <v>45756</v>
      </c>
      <c r="W2215">
        <f>COUNTIF(安藤証券!U:U,B2215)</f>
        <v>0</v>
      </c>
    </row>
    <row r="2216" spans="1:26" ht="24.95" hidden="1" customHeight="1" x14ac:dyDescent="0.4">
      <c r="A2216" s="17" t="s">
        <v>75</v>
      </c>
      <c r="B2216" s="15" t="s">
        <v>126</v>
      </c>
      <c r="C2216" s="16" t="s">
        <v>31</v>
      </c>
      <c r="D2216" s="16" t="s">
        <v>31</v>
      </c>
      <c r="E2216" s="15" t="s">
        <v>32</v>
      </c>
      <c r="F2216" s="15" t="s">
        <v>365</v>
      </c>
      <c r="N2216" s="21" t="s">
        <v>374</v>
      </c>
      <c r="O2216" s="21" t="s">
        <v>373</v>
      </c>
      <c r="Q2216" s="21" t="s">
        <v>344</v>
      </c>
      <c r="R2216" s="22">
        <v>45883</v>
      </c>
      <c r="W2216">
        <f>COUNTIF(安藤証券!U:U,B2216)</f>
        <v>0</v>
      </c>
    </row>
    <row r="2217" spans="1:26" ht="24.95" hidden="1" customHeight="1" x14ac:dyDescent="0.4">
      <c r="A2217" s="17" t="s">
        <v>75</v>
      </c>
      <c r="B2217" s="15" t="s">
        <v>226</v>
      </c>
      <c r="C2217" s="16" t="s">
        <v>31</v>
      </c>
      <c r="D2217" s="16" t="s">
        <v>31</v>
      </c>
      <c r="E2217" s="15" t="s">
        <v>32</v>
      </c>
      <c r="F2217" s="15" t="s">
        <v>314</v>
      </c>
      <c r="N2217" s="21" t="s">
        <v>96</v>
      </c>
      <c r="O2217" s="21" t="s">
        <v>336</v>
      </c>
      <c r="Q2217" s="21" t="s">
        <v>344</v>
      </c>
      <c r="R2217" s="22">
        <v>45756</v>
      </c>
      <c r="W2217">
        <f>COUNTIF(安藤証券!U:U,B2217)</f>
        <v>0</v>
      </c>
    </row>
    <row r="2218" spans="1:26" ht="24.95" hidden="1" customHeight="1" x14ac:dyDescent="0.4">
      <c r="A2218" s="17" t="s">
        <v>75</v>
      </c>
      <c r="B2218" s="15" t="s">
        <v>318</v>
      </c>
      <c r="C2218" s="16" t="s">
        <v>31</v>
      </c>
      <c r="D2218" s="16" t="s">
        <v>31</v>
      </c>
      <c r="E2218" s="15" t="s">
        <v>32</v>
      </c>
      <c r="F2218" s="15" t="s">
        <v>314</v>
      </c>
      <c r="N2218" s="21" t="s">
        <v>96</v>
      </c>
      <c r="O2218" s="21" t="s">
        <v>337</v>
      </c>
      <c r="Q2218" s="21" t="s">
        <v>344</v>
      </c>
      <c r="R2218" s="22">
        <v>45756</v>
      </c>
      <c r="W2218">
        <f>COUNTIF(安藤証券!U:U,B2218)</f>
        <v>0</v>
      </c>
    </row>
    <row r="2219" spans="1:26" ht="24.95" hidden="1" customHeight="1" x14ac:dyDescent="0.4">
      <c r="A2219" s="17" t="s">
        <v>75</v>
      </c>
      <c r="B2219" s="15" t="s">
        <v>118</v>
      </c>
      <c r="C2219" s="16" t="s">
        <v>31</v>
      </c>
      <c r="D2219" s="16" t="s">
        <v>31</v>
      </c>
      <c r="E2219" s="15" t="s">
        <v>32</v>
      </c>
      <c r="F2219" s="15" t="s">
        <v>314</v>
      </c>
      <c r="N2219" s="21" t="s">
        <v>96</v>
      </c>
      <c r="O2219" s="21" t="s">
        <v>337</v>
      </c>
      <c r="Q2219" s="21" t="s">
        <v>344</v>
      </c>
      <c r="R2219" s="22">
        <v>45756</v>
      </c>
      <c r="W2219">
        <f>COUNTIF(安藤証券!U:U,B2219)</f>
        <v>0</v>
      </c>
    </row>
    <row r="2220" spans="1:26" ht="24.95" hidden="1" customHeight="1" x14ac:dyDescent="0.4">
      <c r="A2220" s="17" t="s">
        <v>75</v>
      </c>
      <c r="B2220" s="15" t="s">
        <v>319</v>
      </c>
      <c r="C2220" s="16" t="s">
        <v>31</v>
      </c>
      <c r="D2220" s="16" t="s">
        <v>31</v>
      </c>
      <c r="E2220" s="15" t="s">
        <v>32</v>
      </c>
      <c r="F2220" s="15" t="s">
        <v>314</v>
      </c>
      <c r="N2220" s="21" t="s">
        <v>96</v>
      </c>
      <c r="O2220" s="21" t="s">
        <v>337</v>
      </c>
      <c r="Q2220" s="21" t="s">
        <v>344</v>
      </c>
      <c r="R2220" s="22">
        <v>45756</v>
      </c>
      <c r="W2220">
        <f>COUNTIF(安藤証券!U:U,B2220)</f>
        <v>0</v>
      </c>
    </row>
    <row r="2221" spans="1:26" ht="24.95" hidden="1" customHeight="1" x14ac:dyDescent="0.4">
      <c r="A2221" s="17" t="s">
        <v>75</v>
      </c>
      <c r="B2221" s="15" t="s">
        <v>227</v>
      </c>
      <c r="C2221" s="16" t="s">
        <v>31</v>
      </c>
      <c r="D2221" s="16" t="s">
        <v>31</v>
      </c>
      <c r="E2221" s="15" t="s">
        <v>32</v>
      </c>
      <c r="F2221" s="15" t="s">
        <v>314</v>
      </c>
      <c r="N2221" s="21" t="s">
        <v>96</v>
      </c>
      <c r="O2221" s="21" t="s">
        <v>336</v>
      </c>
      <c r="Q2221" s="21" t="s">
        <v>344</v>
      </c>
      <c r="R2221" s="22">
        <v>45756</v>
      </c>
      <c r="W2221">
        <f>COUNTIF(安藤証券!U:U,B2221)</f>
        <v>0</v>
      </c>
    </row>
    <row r="2222" spans="1:26" ht="24.95" hidden="1" customHeight="1" x14ac:dyDescent="0.4">
      <c r="A2222" s="17" t="s">
        <v>75</v>
      </c>
      <c r="B2222" s="15" t="s">
        <v>228</v>
      </c>
      <c r="C2222" s="16" t="s">
        <v>31</v>
      </c>
      <c r="D2222" s="16" t="s">
        <v>31</v>
      </c>
      <c r="E2222" s="15" t="s">
        <v>32</v>
      </c>
      <c r="F2222" s="15" t="s">
        <v>314</v>
      </c>
      <c r="N2222" s="21" t="s">
        <v>96</v>
      </c>
      <c r="O2222" s="21" t="s">
        <v>336</v>
      </c>
      <c r="Q2222" s="21" t="s">
        <v>344</v>
      </c>
      <c r="R2222" s="22">
        <v>45756</v>
      </c>
      <c r="W2222">
        <f>COUNTIF(安藤証券!U:U,B2222)</f>
        <v>0</v>
      </c>
    </row>
    <row r="2223" spans="1:26" ht="24.95" hidden="1" customHeight="1" x14ac:dyDescent="0.4">
      <c r="A2223" s="17" t="s">
        <v>75</v>
      </c>
      <c r="B2223" s="15" t="s">
        <v>229</v>
      </c>
      <c r="C2223" s="16" t="s">
        <v>31</v>
      </c>
      <c r="D2223" s="16" t="s">
        <v>31</v>
      </c>
      <c r="E2223" s="15" t="s">
        <v>32</v>
      </c>
      <c r="F2223" s="15" t="s">
        <v>314</v>
      </c>
      <c r="N2223" s="21" t="s">
        <v>96</v>
      </c>
      <c r="O2223" s="21" t="s">
        <v>336</v>
      </c>
      <c r="Q2223" s="21" t="s">
        <v>344</v>
      </c>
      <c r="R2223" s="22">
        <v>45756</v>
      </c>
      <c r="W2223">
        <f>COUNTIF(安藤証券!U:U,B2223)</f>
        <v>0</v>
      </c>
    </row>
    <row r="2224" spans="1:26" ht="24.95" hidden="1" customHeight="1" x14ac:dyDescent="0.4">
      <c r="A2224" s="17" t="s">
        <v>75</v>
      </c>
      <c r="B2224" s="15" t="s">
        <v>230</v>
      </c>
      <c r="C2224" s="16" t="s">
        <v>31</v>
      </c>
      <c r="D2224" s="16" t="s">
        <v>31</v>
      </c>
      <c r="E2224" s="15" t="s">
        <v>32</v>
      </c>
      <c r="F2224" s="15" t="s">
        <v>314</v>
      </c>
      <c r="N2224" s="21" t="s">
        <v>96</v>
      </c>
      <c r="O2224" s="21" t="s">
        <v>336</v>
      </c>
      <c r="Q2224" s="21" t="s">
        <v>344</v>
      </c>
      <c r="R2224" s="22">
        <v>45756</v>
      </c>
      <c r="W2224">
        <f>COUNTIF(安藤証券!U:U,B2224)</f>
        <v>0</v>
      </c>
    </row>
    <row r="2225" spans="1:23" ht="24.95" hidden="1" customHeight="1" x14ac:dyDescent="0.4">
      <c r="A2225" s="17" t="s">
        <v>75</v>
      </c>
      <c r="B2225" s="15" t="s">
        <v>231</v>
      </c>
      <c r="C2225" s="16" t="s">
        <v>31</v>
      </c>
      <c r="D2225" s="16" t="s">
        <v>31</v>
      </c>
      <c r="E2225" s="15" t="s">
        <v>32</v>
      </c>
      <c r="F2225" s="15" t="s">
        <v>314</v>
      </c>
      <c r="N2225" s="21" t="s">
        <v>96</v>
      </c>
      <c r="O2225" s="21" t="s">
        <v>336</v>
      </c>
      <c r="Q2225" s="21" t="s">
        <v>344</v>
      </c>
      <c r="R2225" s="22">
        <v>45756</v>
      </c>
      <c r="W2225">
        <f>COUNTIF(安藤証券!U:U,B2225)</f>
        <v>0</v>
      </c>
    </row>
    <row r="2226" spans="1:23" ht="24.95" hidden="1" customHeight="1" x14ac:dyDescent="0.4">
      <c r="A2226" s="17" t="s">
        <v>75</v>
      </c>
      <c r="B2226" s="15" t="s">
        <v>232</v>
      </c>
      <c r="C2226" s="16" t="s">
        <v>31</v>
      </c>
      <c r="D2226" s="16" t="s">
        <v>31</v>
      </c>
      <c r="E2226" s="15" t="s">
        <v>32</v>
      </c>
      <c r="F2226" s="15" t="s">
        <v>314</v>
      </c>
      <c r="N2226" s="21" t="s">
        <v>96</v>
      </c>
      <c r="O2226" s="21" t="s">
        <v>336</v>
      </c>
      <c r="Q2226" s="21" t="s">
        <v>344</v>
      </c>
      <c r="R2226" s="22">
        <v>45756</v>
      </c>
      <c r="W2226">
        <f>COUNTIF(安藤証券!U:U,B2226)</f>
        <v>0</v>
      </c>
    </row>
    <row r="2227" spans="1:23" ht="24.95" hidden="1" customHeight="1" x14ac:dyDescent="0.4">
      <c r="A2227" s="17" t="s">
        <v>75</v>
      </c>
      <c r="B2227" s="15" t="s">
        <v>233</v>
      </c>
      <c r="C2227" s="16" t="s">
        <v>31</v>
      </c>
      <c r="D2227" s="16" t="s">
        <v>31</v>
      </c>
      <c r="E2227" s="15" t="s">
        <v>32</v>
      </c>
      <c r="F2227" s="15" t="s">
        <v>314</v>
      </c>
      <c r="N2227" s="21" t="s">
        <v>96</v>
      </c>
      <c r="O2227" s="21" t="s">
        <v>336</v>
      </c>
      <c r="Q2227" s="21" t="s">
        <v>344</v>
      </c>
      <c r="R2227" s="22">
        <v>45756</v>
      </c>
      <c r="W2227">
        <f>COUNTIF(安藤証券!U:U,B2227)</f>
        <v>0</v>
      </c>
    </row>
    <row r="2228" spans="1:23" ht="24.95" hidden="1" customHeight="1" x14ac:dyDescent="0.4">
      <c r="A2228" s="17" t="s">
        <v>75</v>
      </c>
      <c r="B2228" s="15" t="s">
        <v>234</v>
      </c>
      <c r="C2228" s="16" t="s">
        <v>31</v>
      </c>
      <c r="D2228" s="16" t="s">
        <v>31</v>
      </c>
      <c r="E2228" s="15" t="s">
        <v>32</v>
      </c>
      <c r="F2228" s="15" t="s">
        <v>314</v>
      </c>
      <c r="N2228" s="21" t="s">
        <v>96</v>
      </c>
      <c r="O2228" s="21" t="s">
        <v>336</v>
      </c>
      <c r="Q2228" s="21" t="s">
        <v>344</v>
      </c>
      <c r="R2228" s="22">
        <v>45756</v>
      </c>
      <c r="W2228">
        <f>COUNTIF(安藤証券!U:U,B2228)</f>
        <v>0</v>
      </c>
    </row>
    <row r="2229" spans="1:23" ht="24.95" hidden="1" customHeight="1" x14ac:dyDescent="0.4">
      <c r="A2229" s="17" t="s">
        <v>75</v>
      </c>
      <c r="B2229" s="15" t="s">
        <v>235</v>
      </c>
      <c r="C2229" s="16" t="s">
        <v>31</v>
      </c>
      <c r="D2229" s="16" t="s">
        <v>31</v>
      </c>
      <c r="E2229" s="15" t="s">
        <v>32</v>
      </c>
      <c r="F2229" s="15" t="s">
        <v>314</v>
      </c>
      <c r="N2229" s="21" t="s">
        <v>96</v>
      </c>
      <c r="O2229" s="21" t="s">
        <v>336</v>
      </c>
      <c r="Q2229" s="21" t="s">
        <v>344</v>
      </c>
      <c r="R2229" s="22">
        <v>45756</v>
      </c>
      <c r="W2229">
        <f>COUNTIF(安藤証券!U:U,B2229)</f>
        <v>0</v>
      </c>
    </row>
    <row r="2230" spans="1:23" ht="24.95" hidden="1" customHeight="1" x14ac:dyDescent="0.4">
      <c r="A2230" s="17" t="s">
        <v>75</v>
      </c>
      <c r="B2230" s="15" t="s">
        <v>236</v>
      </c>
      <c r="C2230" s="16" t="s">
        <v>31</v>
      </c>
      <c r="D2230" s="16" t="s">
        <v>31</v>
      </c>
      <c r="E2230" s="15" t="s">
        <v>32</v>
      </c>
      <c r="F2230" s="15" t="s">
        <v>314</v>
      </c>
      <c r="N2230" s="21" t="s">
        <v>96</v>
      </c>
      <c r="O2230" s="21" t="s">
        <v>336</v>
      </c>
      <c r="Q2230" s="21" t="s">
        <v>344</v>
      </c>
      <c r="R2230" s="22">
        <v>45756</v>
      </c>
      <c r="W2230">
        <f>COUNTIF(安藤証券!U:U,B2230)</f>
        <v>0</v>
      </c>
    </row>
    <row r="2231" spans="1:23" ht="24.95" hidden="1" customHeight="1" x14ac:dyDescent="0.4">
      <c r="A2231" s="17" t="s">
        <v>75</v>
      </c>
      <c r="B2231" s="15" t="s">
        <v>237</v>
      </c>
      <c r="C2231" s="16" t="s">
        <v>31</v>
      </c>
      <c r="D2231" s="16" t="s">
        <v>31</v>
      </c>
      <c r="E2231" s="15" t="s">
        <v>32</v>
      </c>
      <c r="F2231" s="15" t="s">
        <v>314</v>
      </c>
      <c r="N2231" s="21" t="s">
        <v>96</v>
      </c>
      <c r="O2231" s="21" t="s">
        <v>336</v>
      </c>
      <c r="Q2231" s="21" t="s">
        <v>344</v>
      </c>
      <c r="R2231" s="22">
        <v>45756</v>
      </c>
      <c r="W2231">
        <f>COUNTIF(安藤証券!U:U,B2231)</f>
        <v>0</v>
      </c>
    </row>
    <row r="2232" spans="1:23" ht="24.95" hidden="1" customHeight="1" x14ac:dyDescent="0.4">
      <c r="A2232" s="17" t="s">
        <v>75</v>
      </c>
      <c r="B2232" s="15" t="s">
        <v>320</v>
      </c>
      <c r="C2232" s="16" t="s">
        <v>31</v>
      </c>
      <c r="D2232" s="16" t="s">
        <v>31</v>
      </c>
      <c r="E2232" s="15" t="s">
        <v>32</v>
      </c>
      <c r="F2232" s="15" t="s">
        <v>314</v>
      </c>
      <c r="N2232" s="21" t="s">
        <v>96</v>
      </c>
      <c r="O2232" s="21" t="s">
        <v>337</v>
      </c>
      <c r="Q2232" s="21" t="s">
        <v>344</v>
      </c>
      <c r="R2232" s="22">
        <v>45756</v>
      </c>
      <c r="W2232">
        <f>COUNTIF(安藤証券!U:U,B2232)</f>
        <v>0</v>
      </c>
    </row>
    <row r="2233" spans="1:23" ht="24.95" hidden="1" customHeight="1" x14ac:dyDescent="0.4">
      <c r="A2233" s="17" t="s">
        <v>75</v>
      </c>
      <c r="B2233" s="15" t="s">
        <v>132</v>
      </c>
      <c r="C2233" s="16" t="s">
        <v>31</v>
      </c>
      <c r="D2233" s="16" t="s">
        <v>31</v>
      </c>
      <c r="E2233" s="15" t="s">
        <v>32</v>
      </c>
      <c r="F2233" s="15" t="s">
        <v>314</v>
      </c>
      <c r="N2233" s="21" t="s">
        <v>96</v>
      </c>
      <c r="O2233" s="21" t="s">
        <v>337</v>
      </c>
      <c r="Q2233" s="21" t="s">
        <v>344</v>
      </c>
      <c r="R2233" s="22">
        <v>45756</v>
      </c>
      <c r="W2233">
        <f>COUNTIF(安藤証券!U:U,B2233)</f>
        <v>0</v>
      </c>
    </row>
    <row r="2234" spans="1:23" ht="24.95" hidden="1" customHeight="1" x14ac:dyDescent="0.4">
      <c r="A2234" s="17" t="s">
        <v>75</v>
      </c>
      <c r="B2234" s="15" t="s">
        <v>321</v>
      </c>
      <c r="C2234" s="16" t="s">
        <v>24</v>
      </c>
      <c r="D2234" s="16" t="s">
        <v>31</v>
      </c>
      <c r="E2234" s="15" t="s">
        <v>35</v>
      </c>
      <c r="F2234" s="15" t="s">
        <v>314</v>
      </c>
      <c r="N2234" s="21" t="s">
        <v>96</v>
      </c>
      <c r="O2234" s="21" t="s">
        <v>337</v>
      </c>
      <c r="Q2234" s="21" t="s">
        <v>344</v>
      </c>
      <c r="R2234" s="22">
        <v>45756</v>
      </c>
      <c r="W2234">
        <f>COUNTIF(安藤証券!U:U,B2234)</f>
        <v>0</v>
      </c>
    </row>
    <row r="2235" spans="1:23" ht="24.95" hidden="1" customHeight="1" x14ac:dyDescent="0.4">
      <c r="A2235" s="17" t="s">
        <v>75</v>
      </c>
      <c r="B2235" s="15" t="s">
        <v>322</v>
      </c>
      <c r="C2235" s="16" t="s">
        <v>24</v>
      </c>
      <c r="D2235" s="16" t="s">
        <v>31</v>
      </c>
      <c r="E2235" s="15" t="s">
        <v>35</v>
      </c>
      <c r="F2235" s="15" t="s">
        <v>314</v>
      </c>
      <c r="N2235" s="21" t="s">
        <v>96</v>
      </c>
      <c r="O2235" s="21" t="s">
        <v>337</v>
      </c>
      <c r="Q2235" s="21" t="s">
        <v>344</v>
      </c>
      <c r="R2235" s="22">
        <v>45756</v>
      </c>
      <c r="W2235">
        <f>COUNTIF(安藤証券!U:U,B2235)</f>
        <v>0</v>
      </c>
    </row>
    <row r="2236" spans="1:23" ht="24.95" hidden="1" customHeight="1" x14ac:dyDescent="0.4">
      <c r="A2236" s="17" t="s">
        <v>75</v>
      </c>
      <c r="B2236" s="15" t="s">
        <v>323</v>
      </c>
      <c r="C2236" s="16" t="s">
        <v>24</v>
      </c>
      <c r="D2236" s="16" t="s">
        <v>31</v>
      </c>
      <c r="E2236" s="15" t="s">
        <v>35</v>
      </c>
      <c r="F2236" s="15" t="s">
        <v>314</v>
      </c>
      <c r="N2236" s="21" t="s">
        <v>96</v>
      </c>
      <c r="O2236" s="21" t="s">
        <v>337</v>
      </c>
      <c r="Q2236" s="21" t="s">
        <v>344</v>
      </c>
      <c r="R2236" s="22">
        <v>45756</v>
      </c>
      <c r="W2236">
        <f>COUNTIF(安藤証券!U:U,B2236)</f>
        <v>0</v>
      </c>
    </row>
    <row r="2237" spans="1:23" ht="24.95" hidden="1" customHeight="1" x14ac:dyDescent="0.4">
      <c r="A2237" s="17" t="s">
        <v>75</v>
      </c>
      <c r="B2237" s="15" t="s">
        <v>238</v>
      </c>
      <c r="C2237" s="16" t="s">
        <v>31</v>
      </c>
      <c r="D2237" s="16" t="s">
        <v>31</v>
      </c>
      <c r="E2237" s="15" t="s">
        <v>32</v>
      </c>
      <c r="F2237" s="15" t="s">
        <v>314</v>
      </c>
      <c r="N2237" s="21" t="s">
        <v>96</v>
      </c>
      <c r="O2237" s="21" t="s">
        <v>336</v>
      </c>
      <c r="Q2237" s="21" t="s">
        <v>344</v>
      </c>
      <c r="R2237" s="22">
        <v>45756</v>
      </c>
      <c r="W2237">
        <f>COUNTIF(安藤証券!U:U,B2237)</f>
        <v>0</v>
      </c>
    </row>
    <row r="2238" spans="1:23" ht="24.95" hidden="1" customHeight="1" x14ac:dyDescent="0.4">
      <c r="A2238" s="17" t="s">
        <v>75</v>
      </c>
      <c r="B2238" s="15" t="s">
        <v>239</v>
      </c>
      <c r="C2238" s="16" t="s">
        <v>31</v>
      </c>
      <c r="D2238" s="16" t="s">
        <v>31</v>
      </c>
      <c r="E2238" s="15" t="s">
        <v>32</v>
      </c>
      <c r="F2238" s="15" t="s">
        <v>314</v>
      </c>
      <c r="N2238" s="21" t="s">
        <v>96</v>
      </c>
      <c r="O2238" s="21" t="s">
        <v>336</v>
      </c>
      <c r="Q2238" s="21" t="s">
        <v>344</v>
      </c>
      <c r="R2238" s="22">
        <v>45756</v>
      </c>
      <c r="W2238">
        <f>COUNTIF(安藤証券!U:U,B2238)</f>
        <v>0</v>
      </c>
    </row>
    <row r="2239" spans="1:23" ht="24.95" hidden="1" customHeight="1" x14ac:dyDescent="0.4">
      <c r="A2239" s="17" t="s">
        <v>75</v>
      </c>
      <c r="B2239" s="15" t="s">
        <v>240</v>
      </c>
      <c r="C2239" s="16" t="s">
        <v>31</v>
      </c>
      <c r="D2239" s="16" t="s">
        <v>31</v>
      </c>
      <c r="E2239" s="15" t="s">
        <v>32</v>
      </c>
      <c r="F2239" s="15" t="s">
        <v>314</v>
      </c>
      <c r="N2239" s="21" t="s">
        <v>96</v>
      </c>
      <c r="O2239" s="21" t="s">
        <v>336</v>
      </c>
      <c r="Q2239" s="21" t="s">
        <v>344</v>
      </c>
      <c r="R2239" s="22">
        <v>45756</v>
      </c>
      <c r="W2239">
        <f>COUNTIF(安藤証券!U:U,B2239)</f>
        <v>0</v>
      </c>
    </row>
    <row r="2240" spans="1:23" ht="24.95" hidden="1" customHeight="1" x14ac:dyDescent="0.4">
      <c r="A2240" s="17" t="s">
        <v>75</v>
      </c>
      <c r="B2240" s="15" t="s">
        <v>241</v>
      </c>
      <c r="C2240" s="16" t="s">
        <v>31</v>
      </c>
      <c r="D2240" s="16" t="s">
        <v>31</v>
      </c>
      <c r="E2240" s="15" t="s">
        <v>32</v>
      </c>
      <c r="F2240" s="15" t="s">
        <v>314</v>
      </c>
      <c r="N2240" s="21" t="s">
        <v>96</v>
      </c>
      <c r="O2240" s="21" t="s">
        <v>336</v>
      </c>
      <c r="Q2240" s="21" t="s">
        <v>344</v>
      </c>
      <c r="R2240" s="22">
        <v>45756</v>
      </c>
      <c r="W2240">
        <f>COUNTIF(安藤証券!U:U,B2240)</f>
        <v>0</v>
      </c>
    </row>
    <row r="2241" spans="1:23" ht="24.95" hidden="1" customHeight="1" x14ac:dyDescent="0.4">
      <c r="A2241" s="17" t="s">
        <v>75</v>
      </c>
      <c r="B2241" s="15" t="s">
        <v>242</v>
      </c>
      <c r="C2241" s="16" t="s">
        <v>31</v>
      </c>
      <c r="D2241" s="16" t="s">
        <v>31</v>
      </c>
      <c r="E2241" s="15" t="s">
        <v>32</v>
      </c>
      <c r="F2241" s="15" t="s">
        <v>314</v>
      </c>
      <c r="N2241" s="21" t="s">
        <v>96</v>
      </c>
      <c r="O2241" s="21" t="s">
        <v>336</v>
      </c>
      <c r="Q2241" s="21" t="s">
        <v>344</v>
      </c>
      <c r="R2241" s="22">
        <v>45756</v>
      </c>
      <c r="W2241">
        <f>COUNTIF(安藤証券!U:U,B2241)</f>
        <v>0</v>
      </c>
    </row>
    <row r="2242" spans="1:23" ht="24.95" hidden="1" customHeight="1" x14ac:dyDescent="0.4">
      <c r="A2242" s="17" t="s">
        <v>75</v>
      </c>
      <c r="B2242" s="15" t="s">
        <v>243</v>
      </c>
      <c r="C2242" s="16" t="s">
        <v>31</v>
      </c>
      <c r="D2242" s="16" t="s">
        <v>31</v>
      </c>
      <c r="E2242" s="15" t="s">
        <v>32</v>
      </c>
      <c r="F2242" s="15" t="s">
        <v>314</v>
      </c>
      <c r="N2242" s="21" t="s">
        <v>96</v>
      </c>
      <c r="O2242" s="21" t="s">
        <v>336</v>
      </c>
      <c r="Q2242" s="21" t="s">
        <v>344</v>
      </c>
      <c r="R2242" s="22">
        <v>45756</v>
      </c>
      <c r="W2242">
        <f>COUNTIF(安藤証券!U:U,B2242)</f>
        <v>0</v>
      </c>
    </row>
    <row r="2243" spans="1:23" ht="24.95" hidden="1" customHeight="1" x14ac:dyDescent="0.4">
      <c r="A2243" s="17" t="s">
        <v>75</v>
      </c>
      <c r="B2243" s="15" t="s">
        <v>244</v>
      </c>
      <c r="C2243" s="16" t="s">
        <v>31</v>
      </c>
      <c r="D2243" s="16" t="s">
        <v>31</v>
      </c>
      <c r="E2243" s="15" t="s">
        <v>32</v>
      </c>
      <c r="F2243" s="15" t="s">
        <v>314</v>
      </c>
      <c r="N2243" s="21" t="s">
        <v>96</v>
      </c>
      <c r="O2243" s="21" t="s">
        <v>336</v>
      </c>
      <c r="Q2243" s="21" t="s">
        <v>344</v>
      </c>
      <c r="R2243" s="22">
        <v>45756</v>
      </c>
      <c r="W2243">
        <f>COUNTIF(安藤証券!U:U,B2243)</f>
        <v>0</v>
      </c>
    </row>
    <row r="2244" spans="1:23" ht="24.95" hidden="1" customHeight="1" x14ac:dyDescent="0.4">
      <c r="A2244" s="17" t="s">
        <v>75</v>
      </c>
      <c r="B2244" s="15" t="s">
        <v>245</v>
      </c>
      <c r="C2244" s="16" t="s">
        <v>31</v>
      </c>
      <c r="D2244" s="16" t="s">
        <v>31</v>
      </c>
      <c r="E2244" s="15" t="s">
        <v>32</v>
      </c>
      <c r="F2244" s="15" t="s">
        <v>314</v>
      </c>
      <c r="N2244" s="21" t="s">
        <v>96</v>
      </c>
      <c r="O2244" s="21" t="s">
        <v>336</v>
      </c>
      <c r="Q2244" s="21" t="s">
        <v>344</v>
      </c>
      <c r="R2244" s="22">
        <v>45756</v>
      </c>
      <c r="W2244">
        <f>COUNTIF(安藤証券!U:U,B2244)</f>
        <v>0</v>
      </c>
    </row>
    <row r="2245" spans="1:23" ht="24.95" hidden="1" customHeight="1" x14ac:dyDescent="0.4">
      <c r="A2245" s="17" t="s">
        <v>75</v>
      </c>
      <c r="B2245" s="15" t="s">
        <v>246</v>
      </c>
      <c r="C2245" s="16" t="s">
        <v>31</v>
      </c>
      <c r="D2245" s="16" t="s">
        <v>31</v>
      </c>
      <c r="E2245" s="15" t="s">
        <v>32</v>
      </c>
      <c r="F2245" s="15" t="s">
        <v>314</v>
      </c>
      <c r="N2245" s="21" t="s">
        <v>96</v>
      </c>
      <c r="O2245" s="21" t="s">
        <v>336</v>
      </c>
      <c r="Q2245" s="21" t="s">
        <v>344</v>
      </c>
      <c r="R2245" s="22">
        <v>45756</v>
      </c>
      <c r="W2245">
        <f>COUNTIF(安藤証券!U:U,B2245)</f>
        <v>0</v>
      </c>
    </row>
    <row r="2246" spans="1:23" ht="24.95" hidden="1" customHeight="1" x14ac:dyDescent="0.4">
      <c r="A2246" s="17" t="s">
        <v>75</v>
      </c>
      <c r="B2246" s="15" t="s">
        <v>247</v>
      </c>
      <c r="C2246" s="16" t="s">
        <v>31</v>
      </c>
      <c r="D2246" s="16" t="s">
        <v>31</v>
      </c>
      <c r="E2246" s="15" t="s">
        <v>32</v>
      </c>
      <c r="F2246" s="15" t="s">
        <v>314</v>
      </c>
      <c r="N2246" s="21" t="s">
        <v>96</v>
      </c>
      <c r="O2246" s="21" t="s">
        <v>336</v>
      </c>
      <c r="Q2246" s="21" t="s">
        <v>344</v>
      </c>
      <c r="R2246" s="22">
        <v>45756</v>
      </c>
      <c r="W2246">
        <f>COUNTIF(安藤証券!U:U,B2246)</f>
        <v>0</v>
      </c>
    </row>
    <row r="2247" spans="1:23" ht="24.95" hidden="1" customHeight="1" x14ac:dyDescent="0.4">
      <c r="A2247" s="17" t="s">
        <v>75</v>
      </c>
      <c r="B2247" s="15" t="s">
        <v>248</v>
      </c>
      <c r="C2247" s="16" t="s">
        <v>31</v>
      </c>
      <c r="D2247" s="16" t="s">
        <v>31</v>
      </c>
      <c r="E2247" s="15" t="s">
        <v>32</v>
      </c>
      <c r="F2247" s="15" t="s">
        <v>314</v>
      </c>
      <c r="N2247" s="21" t="s">
        <v>96</v>
      </c>
      <c r="O2247" s="21" t="s">
        <v>336</v>
      </c>
      <c r="Q2247" s="21" t="s">
        <v>344</v>
      </c>
      <c r="R2247" s="22">
        <v>45756</v>
      </c>
      <c r="W2247">
        <f>COUNTIF(安藤証券!U:U,B2247)</f>
        <v>0</v>
      </c>
    </row>
    <row r="2248" spans="1:23" ht="24.95" hidden="1" customHeight="1" x14ac:dyDescent="0.4">
      <c r="A2248" s="17" t="s">
        <v>75</v>
      </c>
      <c r="B2248" s="15" t="s">
        <v>249</v>
      </c>
      <c r="C2248" s="16" t="s">
        <v>31</v>
      </c>
      <c r="D2248" s="16" t="s">
        <v>31</v>
      </c>
      <c r="E2248" s="15" t="s">
        <v>32</v>
      </c>
      <c r="F2248" s="15" t="s">
        <v>314</v>
      </c>
      <c r="N2248" s="21" t="s">
        <v>96</v>
      </c>
      <c r="O2248" s="21" t="s">
        <v>336</v>
      </c>
      <c r="Q2248" s="21" t="s">
        <v>344</v>
      </c>
      <c r="R2248" s="22">
        <v>45756</v>
      </c>
      <c r="W2248">
        <f>COUNTIF(安藤証券!U:U,B2248)</f>
        <v>0</v>
      </c>
    </row>
    <row r="2249" spans="1:23" ht="24.95" hidden="1" customHeight="1" x14ac:dyDescent="0.4">
      <c r="A2249" s="17" t="s">
        <v>75</v>
      </c>
      <c r="B2249" s="15" t="s">
        <v>250</v>
      </c>
      <c r="C2249" s="16" t="s">
        <v>31</v>
      </c>
      <c r="D2249" s="16" t="s">
        <v>31</v>
      </c>
      <c r="E2249" s="15" t="s">
        <v>32</v>
      </c>
      <c r="F2249" s="15" t="s">
        <v>314</v>
      </c>
      <c r="N2249" s="21" t="s">
        <v>96</v>
      </c>
      <c r="O2249" s="21" t="s">
        <v>336</v>
      </c>
      <c r="Q2249" s="21" t="s">
        <v>344</v>
      </c>
      <c r="R2249" s="22">
        <v>45756</v>
      </c>
      <c r="W2249">
        <f>COUNTIF(安藤証券!U:U,B2249)</f>
        <v>0</v>
      </c>
    </row>
    <row r="2250" spans="1:23" ht="24.95" hidden="1" customHeight="1" x14ac:dyDescent="0.4">
      <c r="A2250" s="17" t="s">
        <v>75</v>
      </c>
      <c r="B2250" s="15" t="s">
        <v>251</v>
      </c>
      <c r="C2250" s="16" t="s">
        <v>31</v>
      </c>
      <c r="D2250" s="16" t="s">
        <v>31</v>
      </c>
      <c r="E2250" s="15" t="s">
        <v>32</v>
      </c>
      <c r="F2250" s="15" t="s">
        <v>314</v>
      </c>
      <c r="N2250" s="21" t="s">
        <v>96</v>
      </c>
      <c r="O2250" s="21" t="s">
        <v>336</v>
      </c>
      <c r="Q2250" s="21" t="s">
        <v>344</v>
      </c>
      <c r="R2250" s="22">
        <v>45756</v>
      </c>
      <c r="W2250">
        <f>COUNTIF(安藤証券!U:U,B2250)</f>
        <v>0</v>
      </c>
    </row>
    <row r="2251" spans="1:23" ht="24.95" hidden="1" customHeight="1" x14ac:dyDescent="0.4">
      <c r="A2251" s="17" t="s">
        <v>75</v>
      </c>
      <c r="B2251" s="15" t="s">
        <v>341</v>
      </c>
      <c r="C2251" s="16" t="s">
        <v>31</v>
      </c>
      <c r="D2251" s="16" t="s">
        <v>31</v>
      </c>
      <c r="E2251" s="15" t="s">
        <v>32</v>
      </c>
      <c r="F2251" s="15" t="s">
        <v>340</v>
      </c>
      <c r="N2251" s="21" t="s">
        <v>96</v>
      </c>
      <c r="O2251" s="21" t="s">
        <v>345</v>
      </c>
      <c r="Q2251" s="21" t="s">
        <v>344</v>
      </c>
      <c r="R2251" s="22">
        <v>45784</v>
      </c>
      <c r="W2251">
        <f>COUNTIF(安藤証券!U:U,B2251)</f>
        <v>0</v>
      </c>
    </row>
    <row r="2252" spans="1:23" ht="24.95" hidden="1" customHeight="1" x14ac:dyDescent="0.4">
      <c r="A2252" s="17" t="s">
        <v>75</v>
      </c>
      <c r="B2252" s="15" t="s">
        <v>252</v>
      </c>
      <c r="C2252" s="16" t="s">
        <v>31</v>
      </c>
      <c r="D2252" s="16" t="s">
        <v>31</v>
      </c>
      <c r="E2252" s="15" t="s">
        <v>32</v>
      </c>
      <c r="F2252" s="15" t="s">
        <v>314</v>
      </c>
      <c r="N2252" s="21" t="s">
        <v>96</v>
      </c>
      <c r="O2252" s="21" t="s">
        <v>336</v>
      </c>
      <c r="Q2252" s="21" t="s">
        <v>344</v>
      </c>
      <c r="R2252" s="22">
        <v>45756</v>
      </c>
      <c r="W2252">
        <f>COUNTIF(安藤証券!U:U,B2252)</f>
        <v>0</v>
      </c>
    </row>
    <row r="2253" spans="1:23" ht="24.95" hidden="1" customHeight="1" x14ac:dyDescent="0.4">
      <c r="A2253" s="17" t="s">
        <v>75</v>
      </c>
      <c r="B2253" s="15" t="s">
        <v>253</v>
      </c>
      <c r="C2253" s="16" t="s">
        <v>31</v>
      </c>
      <c r="D2253" s="16" t="s">
        <v>31</v>
      </c>
      <c r="E2253" s="15" t="s">
        <v>32</v>
      </c>
      <c r="F2253" s="15" t="s">
        <v>314</v>
      </c>
      <c r="N2253" s="21" t="s">
        <v>96</v>
      </c>
      <c r="O2253" s="21" t="s">
        <v>336</v>
      </c>
      <c r="Q2253" s="21" t="s">
        <v>344</v>
      </c>
      <c r="R2253" s="22">
        <v>45756</v>
      </c>
      <c r="W2253">
        <f>COUNTIF(安藤証券!U:U,B2253)</f>
        <v>0</v>
      </c>
    </row>
    <row r="2254" spans="1:23" ht="24.95" hidden="1" customHeight="1" x14ac:dyDescent="0.4">
      <c r="A2254" s="17" t="s">
        <v>75</v>
      </c>
      <c r="B2254" s="15" t="s">
        <v>254</v>
      </c>
      <c r="C2254" s="16" t="s">
        <v>31</v>
      </c>
      <c r="D2254" s="16" t="s">
        <v>31</v>
      </c>
      <c r="E2254" s="15" t="s">
        <v>32</v>
      </c>
      <c r="F2254" s="15" t="s">
        <v>314</v>
      </c>
      <c r="N2254" s="21" t="s">
        <v>96</v>
      </c>
      <c r="O2254" s="21" t="s">
        <v>336</v>
      </c>
      <c r="Q2254" s="21" t="s">
        <v>344</v>
      </c>
      <c r="R2254" s="22">
        <v>45756</v>
      </c>
      <c r="W2254">
        <f>COUNTIF(安藤証券!U:U,B2254)</f>
        <v>0</v>
      </c>
    </row>
    <row r="2255" spans="1:23" ht="24.95" hidden="1" customHeight="1" x14ac:dyDescent="0.4">
      <c r="A2255" s="17" t="s">
        <v>75</v>
      </c>
      <c r="B2255" s="15" t="s">
        <v>255</v>
      </c>
      <c r="C2255" s="16" t="s">
        <v>31</v>
      </c>
      <c r="D2255" s="16" t="s">
        <v>31</v>
      </c>
      <c r="E2255" s="15" t="s">
        <v>32</v>
      </c>
      <c r="F2255" s="15" t="s">
        <v>314</v>
      </c>
      <c r="N2255" s="21" t="s">
        <v>96</v>
      </c>
      <c r="O2255" s="21" t="s">
        <v>336</v>
      </c>
      <c r="Q2255" s="21" t="s">
        <v>344</v>
      </c>
      <c r="R2255" s="22">
        <v>45756</v>
      </c>
      <c r="W2255">
        <f>COUNTIF(安藤証券!U:U,B2255)</f>
        <v>0</v>
      </c>
    </row>
    <row r="2256" spans="1:23" ht="24.95" hidden="1" customHeight="1" x14ac:dyDescent="0.4">
      <c r="A2256" s="17" t="s">
        <v>75</v>
      </c>
      <c r="B2256" s="15" t="s">
        <v>256</v>
      </c>
      <c r="C2256" s="16" t="s">
        <v>31</v>
      </c>
      <c r="D2256" s="16" t="s">
        <v>31</v>
      </c>
      <c r="E2256" s="15" t="s">
        <v>32</v>
      </c>
      <c r="F2256" s="15" t="s">
        <v>314</v>
      </c>
      <c r="N2256" s="21" t="s">
        <v>96</v>
      </c>
      <c r="O2256" s="21" t="s">
        <v>336</v>
      </c>
      <c r="Q2256" s="21" t="s">
        <v>344</v>
      </c>
      <c r="R2256" s="22">
        <v>45756</v>
      </c>
      <c r="W2256">
        <f>COUNTIF(安藤証券!U:U,B2256)</f>
        <v>0</v>
      </c>
    </row>
    <row r="2257" spans="1:23" ht="24.95" hidden="1" customHeight="1" x14ac:dyDescent="0.4">
      <c r="A2257" s="17" t="s">
        <v>75</v>
      </c>
      <c r="B2257" s="15" t="s">
        <v>257</v>
      </c>
      <c r="C2257" s="16" t="s">
        <v>31</v>
      </c>
      <c r="D2257" s="16" t="s">
        <v>31</v>
      </c>
      <c r="E2257" s="15" t="s">
        <v>32</v>
      </c>
      <c r="F2257" s="15" t="s">
        <v>314</v>
      </c>
      <c r="N2257" s="21" t="s">
        <v>96</v>
      </c>
      <c r="O2257" s="21" t="s">
        <v>336</v>
      </c>
      <c r="Q2257" s="21" t="s">
        <v>344</v>
      </c>
      <c r="R2257" s="22">
        <v>45756</v>
      </c>
      <c r="W2257">
        <f>COUNTIF(安藤証券!U:U,B2257)</f>
        <v>0</v>
      </c>
    </row>
    <row r="2258" spans="1:23" ht="24.95" hidden="1" customHeight="1" x14ac:dyDescent="0.4">
      <c r="A2258" s="17" t="s">
        <v>75</v>
      </c>
      <c r="B2258" s="15" t="s">
        <v>258</v>
      </c>
      <c r="C2258" s="16" t="s">
        <v>31</v>
      </c>
      <c r="D2258" s="16" t="s">
        <v>31</v>
      </c>
      <c r="E2258" s="15" t="s">
        <v>32</v>
      </c>
      <c r="F2258" s="15" t="s">
        <v>314</v>
      </c>
      <c r="N2258" s="21" t="s">
        <v>96</v>
      </c>
      <c r="O2258" s="21" t="s">
        <v>336</v>
      </c>
      <c r="Q2258" s="21" t="s">
        <v>344</v>
      </c>
      <c r="R2258" s="22">
        <v>45756</v>
      </c>
      <c r="W2258">
        <f>COUNTIF(安藤証券!U:U,B2258)</f>
        <v>0</v>
      </c>
    </row>
    <row r="2259" spans="1:23" ht="24.95" hidden="1" customHeight="1" x14ac:dyDescent="0.4">
      <c r="A2259" s="17" t="s">
        <v>75</v>
      </c>
      <c r="B2259" s="15" t="s">
        <v>259</v>
      </c>
      <c r="C2259" s="16" t="s">
        <v>31</v>
      </c>
      <c r="D2259" s="16" t="s">
        <v>31</v>
      </c>
      <c r="E2259" s="15" t="s">
        <v>32</v>
      </c>
      <c r="F2259" s="15" t="s">
        <v>314</v>
      </c>
      <c r="N2259" s="21" t="s">
        <v>96</v>
      </c>
      <c r="O2259" s="21" t="s">
        <v>336</v>
      </c>
      <c r="Q2259" s="21" t="s">
        <v>344</v>
      </c>
      <c r="R2259" s="22">
        <v>45756</v>
      </c>
      <c r="W2259">
        <f>COUNTIF(安藤証券!U:U,B2259)</f>
        <v>0</v>
      </c>
    </row>
    <row r="2260" spans="1:23" ht="24.95" hidden="1" customHeight="1" x14ac:dyDescent="0.4">
      <c r="A2260" s="17" t="s">
        <v>75</v>
      </c>
      <c r="B2260" s="15" t="s">
        <v>260</v>
      </c>
      <c r="C2260" s="16" t="s">
        <v>31</v>
      </c>
      <c r="D2260" s="16" t="s">
        <v>31</v>
      </c>
      <c r="E2260" s="15" t="s">
        <v>32</v>
      </c>
      <c r="F2260" s="15" t="s">
        <v>314</v>
      </c>
      <c r="N2260" s="21" t="s">
        <v>96</v>
      </c>
      <c r="O2260" s="21" t="s">
        <v>336</v>
      </c>
      <c r="Q2260" s="21" t="s">
        <v>344</v>
      </c>
      <c r="R2260" s="22">
        <v>45756</v>
      </c>
      <c r="W2260">
        <f>COUNTIF(安藤証券!U:U,B2260)</f>
        <v>0</v>
      </c>
    </row>
    <row r="2261" spans="1:23" ht="24.95" hidden="1" customHeight="1" x14ac:dyDescent="0.4">
      <c r="A2261" s="17" t="s">
        <v>75</v>
      </c>
      <c r="B2261" s="15" t="s">
        <v>261</v>
      </c>
      <c r="C2261" s="16" t="s">
        <v>31</v>
      </c>
      <c r="D2261" s="16" t="s">
        <v>31</v>
      </c>
      <c r="E2261" s="15" t="s">
        <v>32</v>
      </c>
      <c r="F2261" s="15" t="s">
        <v>314</v>
      </c>
      <c r="N2261" s="21" t="s">
        <v>96</v>
      </c>
      <c r="O2261" s="21" t="s">
        <v>336</v>
      </c>
      <c r="Q2261" s="21" t="s">
        <v>344</v>
      </c>
      <c r="R2261" s="22">
        <v>45756</v>
      </c>
      <c r="W2261">
        <f>COUNTIF(安藤証券!U:U,B2261)</f>
        <v>0</v>
      </c>
    </row>
    <row r="2262" spans="1:23" ht="24.95" hidden="1" customHeight="1" x14ac:dyDescent="0.4">
      <c r="A2262" s="17" t="s">
        <v>75</v>
      </c>
      <c r="B2262" s="15" t="s">
        <v>262</v>
      </c>
      <c r="C2262" s="16" t="s">
        <v>31</v>
      </c>
      <c r="D2262" s="16" t="s">
        <v>31</v>
      </c>
      <c r="E2262" s="15" t="s">
        <v>32</v>
      </c>
      <c r="F2262" s="15" t="s">
        <v>314</v>
      </c>
      <c r="N2262" s="21" t="s">
        <v>96</v>
      </c>
      <c r="O2262" s="21" t="s">
        <v>336</v>
      </c>
      <c r="Q2262" s="21" t="s">
        <v>344</v>
      </c>
      <c r="R2262" s="22">
        <v>45756</v>
      </c>
      <c r="W2262">
        <f>COUNTIF(安藤証券!U:U,B2262)</f>
        <v>0</v>
      </c>
    </row>
    <row r="2263" spans="1:23" ht="24.95" hidden="1" customHeight="1" x14ac:dyDescent="0.4">
      <c r="A2263" s="17" t="s">
        <v>75</v>
      </c>
      <c r="B2263" s="15" t="s">
        <v>263</v>
      </c>
      <c r="C2263" s="16" t="s">
        <v>31</v>
      </c>
      <c r="D2263" s="16" t="s">
        <v>31</v>
      </c>
      <c r="E2263" s="15" t="s">
        <v>32</v>
      </c>
      <c r="F2263" s="15" t="s">
        <v>314</v>
      </c>
      <c r="N2263" s="21" t="s">
        <v>96</v>
      </c>
      <c r="O2263" s="21" t="s">
        <v>336</v>
      </c>
      <c r="Q2263" s="21" t="s">
        <v>344</v>
      </c>
      <c r="R2263" s="22">
        <v>45756</v>
      </c>
      <c r="W2263">
        <f>COUNTIF(安藤証券!U:U,B2263)</f>
        <v>0</v>
      </c>
    </row>
    <row r="2264" spans="1:23" ht="24.95" hidden="1" customHeight="1" x14ac:dyDescent="0.4">
      <c r="A2264" s="17" t="s">
        <v>75</v>
      </c>
      <c r="B2264" s="15" t="s">
        <v>264</v>
      </c>
      <c r="C2264" s="16" t="s">
        <v>31</v>
      </c>
      <c r="D2264" s="16" t="s">
        <v>31</v>
      </c>
      <c r="E2264" s="15" t="s">
        <v>32</v>
      </c>
      <c r="F2264" s="15" t="s">
        <v>314</v>
      </c>
      <c r="N2264" s="21" t="s">
        <v>96</v>
      </c>
      <c r="O2264" s="21" t="s">
        <v>336</v>
      </c>
      <c r="Q2264" s="21" t="s">
        <v>344</v>
      </c>
      <c r="R2264" s="22">
        <v>45756</v>
      </c>
      <c r="W2264">
        <f>COUNTIF(安藤証券!U:U,B2264)</f>
        <v>0</v>
      </c>
    </row>
    <row r="2265" spans="1:23" ht="24.95" hidden="1" customHeight="1" x14ac:dyDescent="0.4">
      <c r="A2265" s="17" t="s">
        <v>75</v>
      </c>
      <c r="B2265" s="15" t="s">
        <v>265</v>
      </c>
      <c r="C2265" s="16" t="s">
        <v>31</v>
      </c>
      <c r="D2265" s="16" t="s">
        <v>31</v>
      </c>
      <c r="E2265" s="15" t="s">
        <v>32</v>
      </c>
      <c r="F2265" s="15" t="s">
        <v>314</v>
      </c>
      <c r="N2265" s="21" t="s">
        <v>96</v>
      </c>
      <c r="O2265" s="21" t="s">
        <v>336</v>
      </c>
      <c r="Q2265" s="21" t="s">
        <v>344</v>
      </c>
      <c r="R2265" s="22">
        <v>45756</v>
      </c>
      <c r="W2265">
        <f>COUNTIF(安藤証券!U:U,B2265)</f>
        <v>0</v>
      </c>
    </row>
    <row r="2266" spans="1:23" ht="24.95" hidden="1" customHeight="1" x14ac:dyDescent="0.4">
      <c r="A2266" s="17" t="s">
        <v>75</v>
      </c>
      <c r="B2266" s="15" t="s">
        <v>266</v>
      </c>
      <c r="C2266" s="16" t="s">
        <v>31</v>
      </c>
      <c r="D2266" s="16" t="s">
        <v>31</v>
      </c>
      <c r="E2266" s="15" t="s">
        <v>32</v>
      </c>
      <c r="F2266" s="15" t="s">
        <v>314</v>
      </c>
      <c r="N2266" s="21" t="s">
        <v>96</v>
      </c>
      <c r="O2266" s="21" t="s">
        <v>336</v>
      </c>
      <c r="Q2266" s="21" t="s">
        <v>344</v>
      </c>
      <c r="R2266" s="22">
        <v>45756</v>
      </c>
      <c r="W2266">
        <f>COUNTIF(安藤証券!U:U,B2266)</f>
        <v>0</v>
      </c>
    </row>
    <row r="2267" spans="1:23" ht="24.95" hidden="1" customHeight="1" x14ac:dyDescent="0.4">
      <c r="A2267" s="17" t="s">
        <v>75</v>
      </c>
      <c r="B2267" s="15" t="s">
        <v>267</v>
      </c>
      <c r="C2267" s="16" t="s">
        <v>31</v>
      </c>
      <c r="D2267" s="16" t="s">
        <v>31</v>
      </c>
      <c r="E2267" s="15" t="s">
        <v>32</v>
      </c>
      <c r="F2267" s="15" t="s">
        <v>314</v>
      </c>
      <c r="N2267" s="21" t="s">
        <v>96</v>
      </c>
      <c r="O2267" s="21" t="s">
        <v>336</v>
      </c>
      <c r="Q2267" s="21" t="s">
        <v>344</v>
      </c>
      <c r="R2267" s="22">
        <v>45756</v>
      </c>
      <c r="W2267">
        <f>COUNTIF(安藤証券!U:U,B2267)</f>
        <v>0</v>
      </c>
    </row>
    <row r="2268" spans="1:23" ht="24.95" hidden="1" customHeight="1" x14ac:dyDescent="0.4">
      <c r="A2268" s="17" t="s">
        <v>75</v>
      </c>
      <c r="B2268" s="15" t="s">
        <v>268</v>
      </c>
      <c r="C2268" s="16" t="s">
        <v>31</v>
      </c>
      <c r="D2268" s="16" t="s">
        <v>31</v>
      </c>
      <c r="E2268" s="15" t="s">
        <v>32</v>
      </c>
      <c r="F2268" s="15" t="s">
        <v>314</v>
      </c>
      <c r="N2268" s="21" t="s">
        <v>96</v>
      </c>
      <c r="O2268" s="21" t="s">
        <v>336</v>
      </c>
      <c r="Q2268" s="21" t="s">
        <v>344</v>
      </c>
      <c r="R2268" s="22">
        <v>45756</v>
      </c>
      <c r="W2268">
        <f>COUNTIF(安藤証券!U:U,B2268)</f>
        <v>0</v>
      </c>
    </row>
    <row r="2269" spans="1:23" ht="24.95" hidden="1" customHeight="1" x14ac:dyDescent="0.4">
      <c r="A2269" s="17" t="s">
        <v>75</v>
      </c>
      <c r="B2269" s="15" t="s">
        <v>269</v>
      </c>
      <c r="C2269" s="16" t="s">
        <v>31</v>
      </c>
      <c r="D2269" s="16" t="s">
        <v>31</v>
      </c>
      <c r="E2269" s="15" t="s">
        <v>32</v>
      </c>
      <c r="F2269" s="15" t="s">
        <v>314</v>
      </c>
      <c r="N2269" s="21" t="s">
        <v>96</v>
      </c>
      <c r="O2269" s="21" t="s">
        <v>336</v>
      </c>
      <c r="Q2269" s="21" t="s">
        <v>344</v>
      </c>
      <c r="R2269" s="22">
        <v>45756</v>
      </c>
      <c r="W2269">
        <f>COUNTIF(安藤証券!U:U,B2269)</f>
        <v>0</v>
      </c>
    </row>
    <row r="2270" spans="1:23" ht="24.95" hidden="1" customHeight="1" x14ac:dyDescent="0.4">
      <c r="A2270" s="17" t="s">
        <v>75</v>
      </c>
      <c r="B2270" s="15" t="s">
        <v>270</v>
      </c>
      <c r="C2270" s="16" t="s">
        <v>31</v>
      </c>
      <c r="D2270" s="16" t="s">
        <v>31</v>
      </c>
      <c r="E2270" s="15" t="s">
        <v>32</v>
      </c>
      <c r="F2270" s="15" t="s">
        <v>314</v>
      </c>
      <c r="N2270" s="21" t="s">
        <v>96</v>
      </c>
      <c r="O2270" s="21" t="s">
        <v>336</v>
      </c>
      <c r="Q2270" s="21" t="s">
        <v>344</v>
      </c>
      <c r="R2270" s="22">
        <v>45756</v>
      </c>
      <c r="W2270">
        <f>COUNTIF(安藤証券!U:U,B2270)</f>
        <v>0</v>
      </c>
    </row>
    <row r="2271" spans="1:23" ht="24.95" hidden="1" customHeight="1" x14ac:dyDescent="0.4">
      <c r="A2271" s="17" t="s">
        <v>75</v>
      </c>
      <c r="B2271" s="15" t="s">
        <v>271</v>
      </c>
      <c r="C2271" s="16" t="s">
        <v>31</v>
      </c>
      <c r="D2271" s="16" t="s">
        <v>31</v>
      </c>
      <c r="E2271" s="15" t="s">
        <v>32</v>
      </c>
      <c r="F2271" s="15" t="s">
        <v>314</v>
      </c>
      <c r="N2271" s="21" t="s">
        <v>96</v>
      </c>
      <c r="O2271" s="21" t="s">
        <v>336</v>
      </c>
      <c r="Q2271" s="21" t="s">
        <v>344</v>
      </c>
      <c r="R2271" s="22">
        <v>45756</v>
      </c>
      <c r="W2271">
        <f>COUNTIF(安藤証券!U:U,B2271)</f>
        <v>0</v>
      </c>
    </row>
    <row r="2272" spans="1:23" ht="24.95" hidden="1" customHeight="1" x14ac:dyDescent="0.4">
      <c r="A2272" s="17" t="s">
        <v>75</v>
      </c>
      <c r="B2272" s="15" t="s">
        <v>366</v>
      </c>
      <c r="C2272" s="16" t="s">
        <v>31</v>
      </c>
      <c r="D2272" s="16" t="s">
        <v>31</v>
      </c>
      <c r="E2272" s="15" t="s">
        <v>32</v>
      </c>
      <c r="F2272" s="15" t="s">
        <v>365</v>
      </c>
      <c r="N2272" s="21" t="s">
        <v>374</v>
      </c>
      <c r="O2272" s="21" t="s">
        <v>373</v>
      </c>
      <c r="Q2272" s="21" t="s">
        <v>344</v>
      </c>
      <c r="R2272" s="22">
        <v>45883</v>
      </c>
      <c r="W2272">
        <f>COUNTIF(安藤証券!U:U,B2272)</f>
        <v>0</v>
      </c>
    </row>
    <row r="2273" spans="1:23" ht="24.95" hidden="1" customHeight="1" x14ac:dyDescent="0.4">
      <c r="A2273" s="17" t="s">
        <v>75</v>
      </c>
      <c r="B2273" s="15" t="s">
        <v>367</v>
      </c>
      <c r="C2273" s="16" t="s">
        <v>31</v>
      </c>
      <c r="D2273" s="16" t="s">
        <v>31</v>
      </c>
      <c r="E2273" s="15" t="s">
        <v>32</v>
      </c>
      <c r="F2273" s="15" t="s">
        <v>365</v>
      </c>
      <c r="N2273" s="21" t="s">
        <v>374</v>
      </c>
      <c r="O2273" s="21" t="s">
        <v>373</v>
      </c>
      <c r="Q2273" s="21" t="s">
        <v>344</v>
      </c>
      <c r="R2273" s="22">
        <v>45883</v>
      </c>
      <c r="W2273">
        <f>COUNTIF(安藤証券!U:U,B2273)</f>
        <v>0</v>
      </c>
    </row>
    <row r="2274" spans="1:23" ht="24.95" hidden="1" customHeight="1" x14ac:dyDescent="0.4">
      <c r="A2274" s="17" t="s">
        <v>75</v>
      </c>
      <c r="B2274" s="15" t="s">
        <v>324</v>
      </c>
      <c r="C2274" s="16" t="s">
        <v>31</v>
      </c>
      <c r="D2274" s="16" t="s">
        <v>31</v>
      </c>
      <c r="E2274" s="15" t="s">
        <v>32</v>
      </c>
      <c r="F2274" s="15" t="s">
        <v>314</v>
      </c>
      <c r="N2274" s="21" t="s">
        <v>96</v>
      </c>
      <c r="O2274" s="21" t="s">
        <v>337</v>
      </c>
      <c r="Q2274" s="21" t="s">
        <v>344</v>
      </c>
      <c r="R2274" s="22">
        <v>45756</v>
      </c>
      <c r="W2274">
        <f>COUNTIF(安藤証券!U:U,B2274)</f>
        <v>0</v>
      </c>
    </row>
    <row r="2275" spans="1:23" ht="24.95" hidden="1" customHeight="1" x14ac:dyDescent="0.4">
      <c r="A2275" s="17" t="s">
        <v>75</v>
      </c>
      <c r="B2275" s="50" t="s">
        <v>368</v>
      </c>
      <c r="C2275" s="16" t="s">
        <v>31</v>
      </c>
      <c r="D2275" s="16" t="s">
        <v>31</v>
      </c>
      <c r="E2275" s="15" t="s">
        <v>32</v>
      </c>
      <c r="F2275" s="15" t="s">
        <v>365</v>
      </c>
      <c r="N2275" s="21" t="s">
        <v>96</v>
      </c>
      <c r="O2275" s="21" t="s">
        <v>372</v>
      </c>
      <c r="Q2275" s="21" t="s">
        <v>344</v>
      </c>
      <c r="R2275" s="22">
        <v>45883</v>
      </c>
      <c r="W2275">
        <f>COUNTIF(安藤証券!U:U,B2275)</f>
        <v>0</v>
      </c>
    </row>
    <row r="2276" spans="1:23" ht="24.95" hidden="1" customHeight="1" x14ac:dyDescent="0.4">
      <c r="A2276" s="17" t="s">
        <v>75</v>
      </c>
      <c r="B2276" s="50" t="s">
        <v>369</v>
      </c>
      <c r="C2276" s="16" t="s">
        <v>24</v>
      </c>
      <c r="D2276" s="16" t="s">
        <v>31</v>
      </c>
      <c r="E2276" s="15" t="s">
        <v>35</v>
      </c>
      <c r="F2276" s="15" t="s">
        <v>365</v>
      </c>
      <c r="N2276" s="21" t="s">
        <v>96</v>
      </c>
      <c r="O2276" s="21" t="s">
        <v>372</v>
      </c>
      <c r="Q2276" s="21" t="s">
        <v>344</v>
      </c>
      <c r="R2276" s="22">
        <v>45883</v>
      </c>
      <c r="W2276">
        <f>COUNTIF(安藤証券!U:U,B2276)</f>
        <v>0</v>
      </c>
    </row>
    <row r="2277" spans="1:23" ht="24.95" hidden="1" customHeight="1" x14ac:dyDescent="0.4">
      <c r="A2277" s="17" t="s">
        <v>75</v>
      </c>
      <c r="B2277" s="15" t="s">
        <v>325</v>
      </c>
      <c r="C2277" s="16" t="s">
        <v>24</v>
      </c>
      <c r="D2277" s="16" t="s">
        <v>31</v>
      </c>
      <c r="E2277" s="15" t="s">
        <v>35</v>
      </c>
      <c r="F2277" s="15" t="s">
        <v>314</v>
      </c>
      <c r="N2277" s="21" t="s">
        <v>96</v>
      </c>
      <c r="O2277" s="21" t="s">
        <v>337</v>
      </c>
      <c r="Q2277" s="21" t="s">
        <v>344</v>
      </c>
      <c r="R2277" s="22">
        <v>45756</v>
      </c>
      <c r="W2277">
        <f>COUNTIF(安藤証券!U:U,B2277)</f>
        <v>0</v>
      </c>
    </row>
    <row r="2278" spans="1:23" ht="24.95" hidden="1" customHeight="1" x14ac:dyDescent="0.4">
      <c r="A2278" s="17" t="s">
        <v>75</v>
      </c>
      <c r="B2278" s="15" t="s">
        <v>272</v>
      </c>
      <c r="C2278" s="16" t="s">
        <v>31</v>
      </c>
      <c r="D2278" s="16" t="s">
        <v>31</v>
      </c>
      <c r="E2278" s="15" t="s">
        <v>32</v>
      </c>
      <c r="F2278" s="15" t="s">
        <v>314</v>
      </c>
      <c r="N2278" s="21" t="s">
        <v>96</v>
      </c>
      <c r="O2278" s="21" t="s">
        <v>336</v>
      </c>
      <c r="Q2278" s="21" t="s">
        <v>344</v>
      </c>
      <c r="R2278" s="22">
        <v>45756</v>
      </c>
      <c r="W2278">
        <f>COUNTIF(安藤証券!U:U,B2278)</f>
        <v>0</v>
      </c>
    </row>
    <row r="2279" spans="1:23" ht="24.95" hidden="1" customHeight="1" x14ac:dyDescent="0.4">
      <c r="A2279" s="17" t="s">
        <v>75</v>
      </c>
      <c r="B2279" s="15" t="s">
        <v>273</v>
      </c>
      <c r="C2279" s="16" t="s">
        <v>31</v>
      </c>
      <c r="D2279" s="16" t="s">
        <v>31</v>
      </c>
      <c r="E2279" s="15" t="s">
        <v>32</v>
      </c>
      <c r="F2279" s="15" t="s">
        <v>314</v>
      </c>
      <c r="N2279" s="21" t="s">
        <v>96</v>
      </c>
      <c r="O2279" s="21" t="s">
        <v>336</v>
      </c>
      <c r="Q2279" s="21" t="s">
        <v>344</v>
      </c>
      <c r="R2279" s="22">
        <v>45756</v>
      </c>
      <c r="W2279">
        <f>COUNTIF(安藤証券!U:U,B2279)</f>
        <v>0</v>
      </c>
    </row>
    <row r="2280" spans="1:23" ht="24.95" hidden="1" customHeight="1" x14ac:dyDescent="0.4">
      <c r="A2280" s="17" t="s">
        <v>75</v>
      </c>
      <c r="B2280" s="15" t="s">
        <v>274</v>
      </c>
      <c r="C2280" s="16" t="s">
        <v>31</v>
      </c>
      <c r="D2280" s="16" t="s">
        <v>31</v>
      </c>
      <c r="E2280" s="15" t="s">
        <v>32</v>
      </c>
      <c r="F2280" s="15" t="s">
        <v>314</v>
      </c>
      <c r="N2280" s="21" t="s">
        <v>96</v>
      </c>
      <c r="O2280" s="21" t="s">
        <v>336</v>
      </c>
      <c r="Q2280" s="21" t="s">
        <v>344</v>
      </c>
      <c r="R2280" s="22">
        <v>45756</v>
      </c>
      <c r="W2280">
        <f>COUNTIF(安藤証券!U:U,B2280)</f>
        <v>0</v>
      </c>
    </row>
    <row r="2281" spans="1:23" ht="24.95" hidden="1" customHeight="1" x14ac:dyDescent="0.4">
      <c r="A2281" s="17" t="s">
        <v>75</v>
      </c>
      <c r="B2281" s="15" t="s">
        <v>275</v>
      </c>
      <c r="C2281" s="16" t="s">
        <v>31</v>
      </c>
      <c r="D2281" s="16" t="s">
        <v>31</v>
      </c>
      <c r="E2281" s="15" t="s">
        <v>32</v>
      </c>
      <c r="F2281" s="15" t="s">
        <v>314</v>
      </c>
      <c r="N2281" s="21" t="s">
        <v>96</v>
      </c>
      <c r="O2281" s="21" t="s">
        <v>336</v>
      </c>
      <c r="Q2281" s="21" t="s">
        <v>344</v>
      </c>
      <c r="R2281" s="22">
        <v>45756</v>
      </c>
      <c r="W2281">
        <f>COUNTIF(安藤証券!U:U,B2281)</f>
        <v>0</v>
      </c>
    </row>
    <row r="2282" spans="1:23" ht="24.95" hidden="1" customHeight="1" x14ac:dyDescent="0.4">
      <c r="A2282" s="17" t="s">
        <v>75</v>
      </c>
      <c r="B2282" s="15" t="s">
        <v>326</v>
      </c>
      <c r="C2282" s="16" t="s">
        <v>31</v>
      </c>
      <c r="D2282" s="16" t="s">
        <v>31</v>
      </c>
      <c r="E2282" s="15" t="s">
        <v>32</v>
      </c>
      <c r="F2282" s="15" t="s">
        <v>314</v>
      </c>
      <c r="N2282" s="21" t="s">
        <v>96</v>
      </c>
      <c r="O2282" s="21" t="s">
        <v>337</v>
      </c>
      <c r="Q2282" s="21" t="s">
        <v>344</v>
      </c>
      <c r="R2282" s="22">
        <v>45756</v>
      </c>
      <c r="W2282">
        <f>COUNTIF(安藤証券!U:U,B2282)</f>
        <v>0</v>
      </c>
    </row>
    <row r="2283" spans="1:23" ht="24.95" hidden="1" customHeight="1" x14ac:dyDescent="0.4">
      <c r="A2283" s="17" t="s">
        <v>75</v>
      </c>
      <c r="B2283" s="15" t="s">
        <v>327</v>
      </c>
      <c r="C2283" s="16" t="s">
        <v>24</v>
      </c>
      <c r="D2283" s="16" t="s">
        <v>31</v>
      </c>
      <c r="E2283" s="15" t="s">
        <v>35</v>
      </c>
      <c r="F2283" s="15" t="s">
        <v>314</v>
      </c>
      <c r="N2283" s="21" t="s">
        <v>96</v>
      </c>
      <c r="O2283" s="21" t="s">
        <v>337</v>
      </c>
      <c r="Q2283" s="21" t="s">
        <v>344</v>
      </c>
      <c r="R2283" s="22">
        <v>45756</v>
      </c>
      <c r="W2283">
        <f>COUNTIF(安藤証券!U:U,B2283)</f>
        <v>0</v>
      </c>
    </row>
    <row r="2284" spans="1:23" ht="24.95" hidden="1" customHeight="1" x14ac:dyDescent="0.4">
      <c r="A2284" s="17" t="s">
        <v>75</v>
      </c>
      <c r="B2284" s="15" t="s">
        <v>328</v>
      </c>
      <c r="C2284" s="16" t="s">
        <v>24</v>
      </c>
      <c r="D2284" s="16" t="s">
        <v>31</v>
      </c>
      <c r="E2284" s="15" t="s">
        <v>35</v>
      </c>
      <c r="F2284" s="15" t="s">
        <v>314</v>
      </c>
      <c r="N2284" s="21" t="s">
        <v>96</v>
      </c>
      <c r="O2284" s="21" t="s">
        <v>337</v>
      </c>
      <c r="Q2284" s="21" t="s">
        <v>344</v>
      </c>
      <c r="R2284" s="22">
        <v>45756</v>
      </c>
      <c r="W2284">
        <f>COUNTIF(安藤証券!U:U,B2284)</f>
        <v>0</v>
      </c>
    </row>
    <row r="2285" spans="1:23" ht="24.95" hidden="1" customHeight="1" x14ac:dyDescent="0.4">
      <c r="A2285" s="17" t="s">
        <v>75</v>
      </c>
      <c r="B2285" s="15" t="s">
        <v>329</v>
      </c>
      <c r="C2285" s="16" t="s">
        <v>24</v>
      </c>
      <c r="D2285" s="16" t="s">
        <v>31</v>
      </c>
      <c r="E2285" s="15" t="s">
        <v>35</v>
      </c>
      <c r="F2285" s="15" t="s">
        <v>314</v>
      </c>
      <c r="N2285" s="21" t="s">
        <v>96</v>
      </c>
      <c r="O2285" s="21" t="s">
        <v>337</v>
      </c>
      <c r="Q2285" s="21" t="s">
        <v>344</v>
      </c>
      <c r="R2285" s="22">
        <v>45756</v>
      </c>
      <c r="W2285">
        <f>COUNTIF(安藤証券!U:U,B2285)</f>
        <v>0</v>
      </c>
    </row>
    <row r="2286" spans="1:23" ht="24.95" hidden="1" customHeight="1" x14ac:dyDescent="0.4">
      <c r="A2286" s="17" t="s">
        <v>75</v>
      </c>
      <c r="B2286" s="15" t="s">
        <v>276</v>
      </c>
      <c r="C2286" s="16" t="s">
        <v>31</v>
      </c>
      <c r="D2286" s="16" t="s">
        <v>31</v>
      </c>
      <c r="E2286" s="15" t="s">
        <v>32</v>
      </c>
      <c r="F2286" s="15" t="s">
        <v>314</v>
      </c>
      <c r="N2286" s="21" t="s">
        <v>96</v>
      </c>
      <c r="O2286" s="21" t="s">
        <v>336</v>
      </c>
      <c r="Q2286" s="21" t="s">
        <v>344</v>
      </c>
      <c r="R2286" s="22">
        <v>45756</v>
      </c>
      <c r="W2286">
        <f>COUNTIF(安藤証券!U:U,B2286)</f>
        <v>0</v>
      </c>
    </row>
    <row r="2287" spans="1:23" ht="24.95" hidden="1" customHeight="1" x14ac:dyDescent="0.4">
      <c r="A2287" s="17" t="s">
        <v>75</v>
      </c>
      <c r="B2287" s="15" t="s">
        <v>277</v>
      </c>
      <c r="C2287" s="16" t="s">
        <v>31</v>
      </c>
      <c r="D2287" s="16" t="s">
        <v>31</v>
      </c>
      <c r="E2287" s="15" t="s">
        <v>32</v>
      </c>
      <c r="F2287" s="15" t="s">
        <v>314</v>
      </c>
      <c r="N2287" s="21" t="s">
        <v>96</v>
      </c>
      <c r="O2287" s="21" t="s">
        <v>336</v>
      </c>
      <c r="Q2287" s="21" t="s">
        <v>344</v>
      </c>
      <c r="R2287" s="22">
        <v>45756</v>
      </c>
      <c r="W2287">
        <f>COUNTIF(安藤証券!U:U,B2287)</f>
        <v>0</v>
      </c>
    </row>
    <row r="2288" spans="1:23" ht="24.95" hidden="1" customHeight="1" x14ac:dyDescent="0.4">
      <c r="A2288" s="17" t="s">
        <v>75</v>
      </c>
      <c r="B2288" s="15" t="s">
        <v>278</v>
      </c>
      <c r="C2288" s="16" t="s">
        <v>31</v>
      </c>
      <c r="D2288" s="16" t="s">
        <v>31</v>
      </c>
      <c r="E2288" s="15" t="s">
        <v>32</v>
      </c>
      <c r="F2288" s="15" t="s">
        <v>314</v>
      </c>
      <c r="N2288" s="21" t="s">
        <v>96</v>
      </c>
      <c r="O2288" s="21" t="s">
        <v>336</v>
      </c>
      <c r="Q2288" s="21" t="s">
        <v>344</v>
      </c>
      <c r="R2288" s="22">
        <v>45756</v>
      </c>
      <c r="W2288">
        <f>COUNTIF(安藤証券!U:U,B2288)</f>
        <v>0</v>
      </c>
    </row>
    <row r="2289" spans="1:23" ht="24.95" hidden="1" customHeight="1" x14ac:dyDescent="0.4">
      <c r="A2289" s="17" t="s">
        <v>75</v>
      </c>
      <c r="B2289" s="15" t="s">
        <v>279</v>
      </c>
      <c r="C2289" s="16" t="s">
        <v>31</v>
      </c>
      <c r="D2289" s="16" t="s">
        <v>31</v>
      </c>
      <c r="E2289" s="15" t="s">
        <v>32</v>
      </c>
      <c r="F2289" s="15" t="s">
        <v>314</v>
      </c>
      <c r="N2289" s="21" t="s">
        <v>96</v>
      </c>
      <c r="O2289" s="21" t="s">
        <v>336</v>
      </c>
      <c r="Q2289" s="21" t="s">
        <v>344</v>
      </c>
      <c r="R2289" s="22">
        <v>45756</v>
      </c>
      <c r="W2289">
        <f>COUNTIF(安藤証券!U:U,B2289)</f>
        <v>0</v>
      </c>
    </row>
    <row r="2290" spans="1:23" ht="24.95" hidden="1" customHeight="1" x14ac:dyDescent="0.4">
      <c r="A2290" s="17" t="s">
        <v>75</v>
      </c>
      <c r="B2290" s="15" t="s">
        <v>280</v>
      </c>
      <c r="C2290" s="16" t="s">
        <v>31</v>
      </c>
      <c r="D2290" s="16" t="s">
        <v>31</v>
      </c>
      <c r="E2290" s="15" t="s">
        <v>32</v>
      </c>
      <c r="F2290" s="15" t="s">
        <v>314</v>
      </c>
      <c r="N2290" s="21" t="s">
        <v>96</v>
      </c>
      <c r="O2290" s="21" t="s">
        <v>336</v>
      </c>
      <c r="Q2290" s="21" t="s">
        <v>344</v>
      </c>
      <c r="R2290" s="22">
        <v>45756</v>
      </c>
      <c r="W2290">
        <f>COUNTIF(安藤証券!U:U,B2290)</f>
        <v>0</v>
      </c>
    </row>
    <row r="2291" spans="1:23" ht="24.95" hidden="1" customHeight="1" x14ac:dyDescent="0.4">
      <c r="A2291" s="17" t="s">
        <v>75</v>
      </c>
      <c r="B2291" s="15" t="s">
        <v>281</v>
      </c>
      <c r="C2291" s="16" t="s">
        <v>31</v>
      </c>
      <c r="D2291" s="16" t="s">
        <v>31</v>
      </c>
      <c r="E2291" s="15" t="s">
        <v>32</v>
      </c>
      <c r="F2291" s="15" t="s">
        <v>314</v>
      </c>
      <c r="N2291" s="21" t="s">
        <v>96</v>
      </c>
      <c r="O2291" s="21" t="s">
        <v>336</v>
      </c>
      <c r="Q2291" s="21" t="s">
        <v>344</v>
      </c>
      <c r="R2291" s="22">
        <v>45756</v>
      </c>
      <c r="W2291">
        <f>COUNTIF(安藤証券!U:U,B2291)</f>
        <v>0</v>
      </c>
    </row>
    <row r="2292" spans="1:23" ht="24.95" hidden="1" customHeight="1" x14ac:dyDescent="0.4">
      <c r="A2292" s="17" t="s">
        <v>75</v>
      </c>
      <c r="B2292" s="15" t="s">
        <v>282</v>
      </c>
      <c r="C2292" s="16" t="s">
        <v>31</v>
      </c>
      <c r="D2292" s="16" t="s">
        <v>31</v>
      </c>
      <c r="E2292" s="15" t="s">
        <v>32</v>
      </c>
      <c r="F2292" s="15" t="s">
        <v>314</v>
      </c>
      <c r="N2292" s="21" t="s">
        <v>96</v>
      </c>
      <c r="O2292" s="21" t="s">
        <v>336</v>
      </c>
      <c r="Q2292" s="21" t="s">
        <v>344</v>
      </c>
      <c r="R2292" s="22">
        <v>45756</v>
      </c>
      <c r="W2292">
        <f>COUNTIF(安藤証券!U:U,B2292)</f>
        <v>0</v>
      </c>
    </row>
    <row r="2293" spans="1:23" ht="24.95" hidden="1" customHeight="1" x14ac:dyDescent="0.4">
      <c r="A2293" s="17" t="s">
        <v>75</v>
      </c>
      <c r="B2293" s="15" t="s">
        <v>283</v>
      </c>
      <c r="C2293" s="16" t="s">
        <v>31</v>
      </c>
      <c r="D2293" s="16" t="s">
        <v>31</v>
      </c>
      <c r="E2293" s="15" t="s">
        <v>32</v>
      </c>
      <c r="F2293" s="15" t="s">
        <v>314</v>
      </c>
      <c r="N2293" s="21" t="s">
        <v>96</v>
      </c>
      <c r="O2293" s="21" t="s">
        <v>336</v>
      </c>
      <c r="Q2293" s="21" t="s">
        <v>344</v>
      </c>
      <c r="R2293" s="22">
        <v>45756</v>
      </c>
      <c r="W2293">
        <f>COUNTIF(安藤証券!U:U,B2293)</f>
        <v>0</v>
      </c>
    </row>
    <row r="2294" spans="1:23" ht="24.95" hidden="1" customHeight="1" x14ac:dyDescent="0.4">
      <c r="A2294" s="17" t="s">
        <v>75</v>
      </c>
      <c r="B2294" s="15" t="s">
        <v>284</v>
      </c>
      <c r="C2294" s="16" t="s">
        <v>31</v>
      </c>
      <c r="D2294" s="16" t="s">
        <v>31</v>
      </c>
      <c r="E2294" s="15" t="s">
        <v>32</v>
      </c>
      <c r="F2294" s="15" t="s">
        <v>314</v>
      </c>
      <c r="N2294" s="21" t="s">
        <v>96</v>
      </c>
      <c r="O2294" s="21" t="s">
        <v>336</v>
      </c>
      <c r="Q2294" s="21" t="s">
        <v>344</v>
      </c>
      <c r="R2294" s="22">
        <v>45756</v>
      </c>
      <c r="W2294">
        <f>COUNTIF(安藤証券!U:U,B2294)</f>
        <v>0</v>
      </c>
    </row>
    <row r="2295" spans="1:23" ht="24.95" hidden="1" customHeight="1" x14ac:dyDescent="0.4">
      <c r="A2295" s="17" t="s">
        <v>75</v>
      </c>
      <c r="B2295" s="15" t="s">
        <v>285</v>
      </c>
      <c r="C2295" s="16" t="s">
        <v>31</v>
      </c>
      <c r="D2295" s="16" t="s">
        <v>31</v>
      </c>
      <c r="E2295" s="15" t="s">
        <v>32</v>
      </c>
      <c r="F2295" s="15" t="s">
        <v>314</v>
      </c>
      <c r="N2295" s="21" t="s">
        <v>96</v>
      </c>
      <c r="O2295" s="21" t="s">
        <v>336</v>
      </c>
      <c r="Q2295" s="21" t="s">
        <v>344</v>
      </c>
      <c r="R2295" s="22">
        <v>45756</v>
      </c>
      <c r="W2295">
        <f>COUNTIF(安藤証券!U:U,B2295)</f>
        <v>0</v>
      </c>
    </row>
    <row r="2296" spans="1:23" ht="24.95" hidden="1" customHeight="1" x14ac:dyDescent="0.4">
      <c r="A2296" s="17" t="s">
        <v>75</v>
      </c>
      <c r="B2296" s="15" t="s">
        <v>286</v>
      </c>
      <c r="C2296" s="16" t="s">
        <v>31</v>
      </c>
      <c r="D2296" s="16" t="s">
        <v>31</v>
      </c>
      <c r="E2296" s="15" t="s">
        <v>32</v>
      </c>
      <c r="F2296" s="15" t="s">
        <v>314</v>
      </c>
      <c r="N2296" s="21" t="s">
        <v>96</v>
      </c>
      <c r="O2296" s="21" t="s">
        <v>336</v>
      </c>
      <c r="Q2296" s="21" t="s">
        <v>344</v>
      </c>
      <c r="R2296" s="22">
        <v>45756</v>
      </c>
      <c r="W2296">
        <f>COUNTIF(安藤証券!U:U,B2296)</f>
        <v>0</v>
      </c>
    </row>
    <row r="2297" spans="1:23" ht="24.95" hidden="1" customHeight="1" x14ac:dyDescent="0.4">
      <c r="A2297" s="17" t="s">
        <v>75</v>
      </c>
      <c r="B2297" s="15" t="s">
        <v>287</v>
      </c>
      <c r="C2297" s="16" t="s">
        <v>31</v>
      </c>
      <c r="D2297" s="16" t="s">
        <v>31</v>
      </c>
      <c r="E2297" s="15" t="s">
        <v>32</v>
      </c>
      <c r="F2297" s="15" t="s">
        <v>314</v>
      </c>
      <c r="N2297" s="21" t="s">
        <v>96</v>
      </c>
      <c r="O2297" s="21" t="s">
        <v>336</v>
      </c>
      <c r="Q2297" s="21" t="s">
        <v>344</v>
      </c>
      <c r="R2297" s="22">
        <v>45756</v>
      </c>
      <c r="W2297">
        <f>COUNTIF(安藤証券!U:U,B2297)</f>
        <v>0</v>
      </c>
    </row>
    <row r="2298" spans="1:23" ht="24.95" hidden="1" customHeight="1" x14ac:dyDescent="0.4">
      <c r="A2298" s="17" t="s">
        <v>75</v>
      </c>
      <c r="B2298" s="15" t="s">
        <v>342</v>
      </c>
      <c r="C2298" s="16" t="s">
        <v>31</v>
      </c>
      <c r="D2298" s="16" t="s">
        <v>31</v>
      </c>
      <c r="E2298" s="15" t="s">
        <v>32</v>
      </c>
      <c r="F2298" s="15" t="s">
        <v>340</v>
      </c>
      <c r="N2298" s="21" t="s">
        <v>96</v>
      </c>
      <c r="O2298" s="21" t="s">
        <v>345</v>
      </c>
      <c r="Q2298" s="21" t="s">
        <v>344</v>
      </c>
      <c r="R2298" s="22">
        <v>45784</v>
      </c>
      <c r="W2298">
        <f>COUNTIF(安藤証券!U:U,B2298)</f>
        <v>0</v>
      </c>
    </row>
    <row r="2299" spans="1:23" ht="24.95" hidden="1" customHeight="1" x14ac:dyDescent="0.4">
      <c r="A2299" s="17" t="s">
        <v>75</v>
      </c>
      <c r="B2299" s="15" t="s">
        <v>288</v>
      </c>
      <c r="C2299" s="16" t="s">
        <v>31</v>
      </c>
      <c r="D2299" s="16" t="s">
        <v>31</v>
      </c>
      <c r="E2299" s="15" t="s">
        <v>32</v>
      </c>
      <c r="F2299" s="15" t="s">
        <v>314</v>
      </c>
      <c r="N2299" s="21" t="s">
        <v>96</v>
      </c>
      <c r="O2299" s="21" t="s">
        <v>336</v>
      </c>
      <c r="Q2299" s="21" t="s">
        <v>344</v>
      </c>
      <c r="R2299" s="22">
        <v>45756</v>
      </c>
      <c r="W2299">
        <f>COUNTIF(安藤証券!U:U,B2299)</f>
        <v>0</v>
      </c>
    </row>
    <row r="2300" spans="1:23" ht="24.95" hidden="1" customHeight="1" x14ac:dyDescent="0.4">
      <c r="A2300" s="17" t="s">
        <v>75</v>
      </c>
      <c r="B2300" s="15" t="s">
        <v>289</v>
      </c>
      <c r="C2300" s="16" t="s">
        <v>31</v>
      </c>
      <c r="D2300" s="16" t="s">
        <v>31</v>
      </c>
      <c r="E2300" s="15" t="s">
        <v>32</v>
      </c>
      <c r="F2300" s="15" t="s">
        <v>314</v>
      </c>
      <c r="N2300" s="21" t="s">
        <v>96</v>
      </c>
      <c r="O2300" s="21" t="s">
        <v>336</v>
      </c>
      <c r="Q2300" s="21" t="s">
        <v>344</v>
      </c>
      <c r="R2300" s="22">
        <v>45756</v>
      </c>
      <c r="W2300">
        <f>COUNTIF(安藤証券!U:U,B2300)</f>
        <v>0</v>
      </c>
    </row>
    <row r="2301" spans="1:23" ht="24.95" hidden="1" customHeight="1" x14ac:dyDescent="0.4">
      <c r="A2301" s="17" t="s">
        <v>75</v>
      </c>
      <c r="B2301" s="15" t="s">
        <v>290</v>
      </c>
      <c r="C2301" s="16" t="s">
        <v>31</v>
      </c>
      <c r="D2301" s="16" t="s">
        <v>31</v>
      </c>
      <c r="E2301" s="15" t="s">
        <v>32</v>
      </c>
      <c r="F2301" s="15" t="s">
        <v>314</v>
      </c>
      <c r="N2301" s="21" t="s">
        <v>96</v>
      </c>
      <c r="O2301" s="21" t="s">
        <v>336</v>
      </c>
      <c r="Q2301" s="21" t="s">
        <v>344</v>
      </c>
      <c r="R2301" s="22">
        <v>45756</v>
      </c>
      <c r="W2301">
        <f>COUNTIF(安藤証券!U:U,B2301)</f>
        <v>0</v>
      </c>
    </row>
    <row r="2302" spans="1:23" ht="24.95" hidden="1" customHeight="1" x14ac:dyDescent="0.4">
      <c r="A2302" s="17" t="s">
        <v>75</v>
      </c>
      <c r="B2302" s="15" t="s">
        <v>291</v>
      </c>
      <c r="C2302" s="16" t="s">
        <v>31</v>
      </c>
      <c r="D2302" s="16" t="s">
        <v>31</v>
      </c>
      <c r="E2302" s="15" t="s">
        <v>32</v>
      </c>
      <c r="F2302" s="15" t="s">
        <v>314</v>
      </c>
      <c r="N2302" s="21" t="s">
        <v>96</v>
      </c>
      <c r="O2302" s="21" t="s">
        <v>336</v>
      </c>
      <c r="Q2302" s="21" t="s">
        <v>344</v>
      </c>
      <c r="R2302" s="22">
        <v>45756</v>
      </c>
      <c r="W2302">
        <f>COUNTIF(安藤証券!U:U,B2302)</f>
        <v>0</v>
      </c>
    </row>
    <row r="2303" spans="1:23" ht="24.95" hidden="1" customHeight="1" x14ac:dyDescent="0.4">
      <c r="A2303" s="17" t="s">
        <v>75</v>
      </c>
      <c r="B2303" s="15" t="s">
        <v>292</v>
      </c>
      <c r="C2303" s="16" t="s">
        <v>31</v>
      </c>
      <c r="D2303" s="16" t="s">
        <v>31</v>
      </c>
      <c r="E2303" s="15" t="s">
        <v>32</v>
      </c>
      <c r="F2303" s="15" t="s">
        <v>314</v>
      </c>
      <c r="N2303" s="21" t="s">
        <v>96</v>
      </c>
      <c r="O2303" s="21" t="s">
        <v>336</v>
      </c>
      <c r="Q2303" s="21" t="s">
        <v>344</v>
      </c>
      <c r="R2303" s="22">
        <v>45756</v>
      </c>
      <c r="W2303">
        <f>COUNTIF(安藤証券!U:U,B2303)</f>
        <v>0</v>
      </c>
    </row>
    <row r="2304" spans="1:23" ht="24.95" hidden="1" customHeight="1" x14ac:dyDescent="0.4">
      <c r="A2304" s="17" t="s">
        <v>75</v>
      </c>
      <c r="B2304" s="15" t="s">
        <v>293</v>
      </c>
      <c r="C2304" s="16" t="s">
        <v>31</v>
      </c>
      <c r="D2304" s="16" t="s">
        <v>31</v>
      </c>
      <c r="E2304" s="15" t="s">
        <v>32</v>
      </c>
      <c r="F2304" s="15" t="s">
        <v>314</v>
      </c>
      <c r="N2304" s="21" t="s">
        <v>96</v>
      </c>
      <c r="O2304" s="21" t="s">
        <v>336</v>
      </c>
      <c r="Q2304" s="21" t="s">
        <v>344</v>
      </c>
      <c r="R2304" s="22">
        <v>45756</v>
      </c>
      <c r="W2304">
        <f>COUNTIF(安藤証券!U:U,B2304)</f>
        <v>0</v>
      </c>
    </row>
    <row r="2305" spans="1:23" ht="24.95" hidden="1" customHeight="1" x14ac:dyDescent="0.4">
      <c r="A2305" s="17" t="s">
        <v>75</v>
      </c>
      <c r="B2305" s="15" t="s">
        <v>294</v>
      </c>
      <c r="C2305" s="16" t="s">
        <v>31</v>
      </c>
      <c r="D2305" s="16" t="s">
        <v>31</v>
      </c>
      <c r="E2305" s="15" t="s">
        <v>32</v>
      </c>
      <c r="F2305" s="15" t="s">
        <v>314</v>
      </c>
      <c r="N2305" s="21" t="s">
        <v>96</v>
      </c>
      <c r="O2305" s="21" t="s">
        <v>336</v>
      </c>
      <c r="Q2305" s="21" t="s">
        <v>344</v>
      </c>
      <c r="R2305" s="22">
        <v>45756</v>
      </c>
      <c r="W2305">
        <f>COUNTIF(安藤証券!U:U,B2305)</f>
        <v>0</v>
      </c>
    </row>
    <row r="2306" spans="1:23" ht="24.95" hidden="1" customHeight="1" x14ac:dyDescent="0.4">
      <c r="A2306" s="17" t="s">
        <v>75</v>
      </c>
      <c r="B2306" s="15" t="s">
        <v>295</v>
      </c>
      <c r="C2306" s="16" t="s">
        <v>31</v>
      </c>
      <c r="D2306" s="16" t="s">
        <v>31</v>
      </c>
      <c r="E2306" s="15" t="s">
        <v>32</v>
      </c>
      <c r="F2306" s="15" t="s">
        <v>314</v>
      </c>
      <c r="N2306" s="21" t="s">
        <v>96</v>
      </c>
      <c r="O2306" s="21" t="s">
        <v>336</v>
      </c>
      <c r="Q2306" s="21" t="s">
        <v>344</v>
      </c>
      <c r="R2306" s="22">
        <v>45756</v>
      </c>
      <c r="W2306">
        <f>COUNTIF(安藤証券!U:U,B2306)</f>
        <v>0</v>
      </c>
    </row>
    <row r="2307" spans="1:23" ht="24.95" hidden="1" customHeight="1" x14ac:dyDescent="0.4">
      <c r="A2307" s="17" t="s">
        <v>75</v>
      </c>
      <c r="B2307" s="15" t="s">
        <v>296</v>
      </c>
      <c r="C2307" s="16" t="s">
        <v>31</v>
      </c>
      <c r="D2307" s="16" t="s">
        <v>31</v>
      </c>
      <c r="E2307" s="15" t="s">
        <v>32</v>
      </c>
      <c r="F2307" s="15" t="s">
        <v>314</v>
      </c>
      <c r="N2307" s="21" t="s">
        <v>96</v>
      </c>
      <c r="O2307" s="21" t="s">
        <v>336</v>
      </c>
      <c r="Q2307" s="21" t="s">
        <v>344</v>
      </c>
      <c r="R2307" s="22">
        <v>45756</v>
      </c>
      <c r="W2307">
        <f>COUNTIF(安藤証券!U:U,B2307)</f>
        <v>0</v>
      </c>
    </row>
    <row r="2308" spans="1:23" ht="24.95" hidden="1" customHeight="1" x14ac:dyDescent="0.4">
      <c r="A2308" s="17" t="s">
        <v>75</v>
      </c>
      <c r="B2308" s="15" t="s">
        <v>297</v>
      </c>
      <c r="C2308" s="16" t="s">
        <v>31</v>
      </c>
      <c r="D2308" s="16" t="s">
        <v>31</v>
      </c>
      <c r="E2308" s="15" t="s">
        <v>32</v>
      </c>
      <c r="F2308" s="15" t="s">
        <v>314</v>
      </c>
      <c r="N2308" s="21" t="s">
        <v>96</v>
      </c>
      <c r="O2308" s="21" t="s">
        <v>336</v>
      </c>
      <c r="Q2308" s="21" t="s">
        <v>344</v>
      </c>
      <c r="R2308" s="22">
        <v>45756</v>
      </c>
      <c r="W2308">
        <f>COUNTIF(安藤証券!U:U,B2308)</f>
        <v>0</v>
      </c>
    </row>
    <row r="2309" spans="1:23" ht="24.95" hidden="1" customHeight="1" x14ac:dyDescent="0.4">
      <c r="A2309" s="17" t="s">
        <v>75</v>
      </c>
      <c r="B2309" s="15" t="s">
        <v>298</v>
      </c>
      <c r="C2309" s="16" t="s">
        <v>31</v>
      </c>
      <c r="D2309" s="16" t="s">
        <v>31</v>
      </c>
      <c r="E2309" s="15" t="s">
        <v>32</v>
      </c>
      <c r="F2309" s="15" t="s">
        <v>314</v>
      </c>
      <c r="N2309" s="21" t="s">
        <v>96</v>
      </c>
      <c r="O2309" s="21" t="s">
        <v>336</v>
      </c>
      <c r="Q2309" s="21" t="s">
        <v>344</v>
      </c>
      <c r="R2309" s="22">
        <v>45756</v>
      </c>
      <c r="W2309">
        <f>COUNTIF(安藤証券!U:U,B2309)</f>
        <v>0</v>
      </c>
    </row>
    <row r="2310" spans="1:23" ht="24.95" hidden="1" customHeight="1" x14ac:dyDescent="0.4">
      <c r="A2310" s="17" t="s">
        <v>75</v>
      </c>
      <c r="B2310" s="15" t="s">
        <v>299</v>
      </c>
      <c r="C2310" s="16" t="s">
        <v>31</v>
      </c>
      <c r="D2310" s="16" t="s">
        <v>31</v>
      </c>
      <c r="E2310" s="15" t="s">
        <v>32</v>
      </c>
      <c r="F2310" s="15" t="s">
        <v>314</v>
      </c>
      <c r="N2310" s="21" t="s">
        <v>96</v>
      </c>
      <c r="O2310" s="21" t="s">
        <v>336</v>
      </c>
      <c r="Q2310" s="21" t="s">
        <v>344</v>
      </c>
      <c r="R2310" s="22">
        <v>45756</v>
      </c>
      <c r="W2310">
        <f>COUNTIF(安藤証券!U:U,B2310)</f>
        <v>0</v>
      </c>
    </row>
    <row r="2311" spans="1:23" ht="24.95" hidden="1" customHeight="1" x14ac:dyDescent="0.4">
      <c r="A2311" s="17" t="s">
        <v>75</v>
      </c>
      <c r="B2311" s="15" t="s">
        <v>300</v>
      </c>
      <c r="C2311" s="16" t="s">
        <v>31</v>
      </c>
      <c r="D2311" s="16" t="s">
        <v>31</v>
      </c>
      <c r="E2311" s="15" t="s">
        <v>32</v>
      </c>
      <c r="F2311" s="15" t="s">
        <v>314</v>
      </c>
      <c r="N2311" s="21" t="s">
        <v>96</v>
      </c>
      <c r="O2311" s="21" t="s">
        <v>336</v>
      </c>
      <c r="Q2311" s="21" t="s">
        <v>344</v>
      </c>
      <c r="R2311" s="22">
        <v>45756</v>
      </c>
      <c r="W2311">
        <f>COUNTIF(安藤証券!U:U,B2311)</f>
        <v>0</v>
      </c>
    </row>
    <row r="2312" spans="1:23" ht="24.95" hidden="1" customHeight="1" x14ac:dyDescent="0.4">
      <c r="A2312" s="17" t="s">
        <v>75</v>
      </c>
      <c r="B2312" s="15" t="s">
        <v>301</v>
      </c>
      <c r="C2312" s="16" t="s">
        <v>31</v>
      </c>
      <c r="D2312" s="16" t="s">
        <v>31</v>
      </c>
      <c r="E2312" s="15" t="s">
        <v>32</v>
      </c>
      <c r="F2312" s="15" t="s">
        <v>314</v>
      </c>
      <c r="N2312" s="21" t="s">
        <v>96</v>
      </c>
      <c r="O2312" s="21" t="s">
        <v>336</v>
      </c>
      <c r="Q2312" s="21" t="s">
        <v>344</v>
      </c>
      <c r="R2312" s="22">
        <v>45756</v>
      </c>
      <c r="W2312">
        <f>COUNTIF(安藤証券!U:U,B2312)</f>
        <v>0</v>
      </c>
    </row>
    <row r="2313" spans="1:23" ht="24.95" hidden="1" customHeight="1" x14ac:dyDescent="0.4">
      <c r="A2313" s="17" t="s">
        <v>75</v>
      </c>
      <c r="B2313" s="15" t="s">
        <v>302</v>
      </c>
      <c r="C2313" s="16" t="s">
        <v>31</v>
      </c>
      <c r="D2313" s="16" t="s">
        <v>31</v>
      </c>
      <c r="E2313" s="15" t="s">
        <v>32</v>
      </c>
      <c r="F2313" s="15" t="s">
        <v>314</v>
      </c>
      <c r="N2313" s="21" t="s">
        <v>96</v>
      </c>
      <c r="O2313" s="21" t="s">
        <v>336</v>
      </c>
      <c r="Q2313" s="21" t="s">
        <v>344</v>
      </c>
      <c r="R2313" s="22">
        <v>45756</v>
      </c>
      <c r="W2313">
        <f>COUNTIF(安藤証券!U:U,B2313)</f>
        <v>0</v>
      </c>
    </row>
    <row r="2314" spans="1:23" ht="24.95" hidden="1" customHeight="1" x14ac:dyDescent="0.4">
      <c r="A2314" s="17" t="s">
        <v>75</v>
      </c>
      <c r="B2314" s="15" t="s">
        <v>303</v>
      </c>
      <c r="C2314" s="16" t="s">
        <v>31</v>
      </c>
      <c r="D2314" s="16" t="s">
        <v>31</v>
      </c>
      <c r="E2314" s="15" t="s">
        <v>32</v>
      </c>
      <c r="F2314" s="15" t="s">
        <v>314</v>
      </c>
      <c r="N2314" s="21" t="s">
        <v>96</v>
      </c>
      <c r="O2314" s="21" t="s">
        <v>336</v>
      </c>
      <c r="Q2314" s="21" t="s">
        <v>344</v>
      </c>
      <c r="R2314" s="22">
        <v>45756</v>
      </c>
      <c r="W2314">
        <f>COUNTIF(安藤証券!U:U,B2314)</f>
        <v>0</v>
      </c>
    </row>
    <row r="2315" spans="1:23" ht="24.95" hidden="1" customHeight="1" x14ac:dyDescent="0.4">
      <c r="A2315" s="17" t="s">
        <v>75</v>
      </c>
      <c r="B2315" s="15" t="s">
        <v>304</v>
      </c>
      <c r="C2315" s="16" t="s">
        <v>31</v>
      </c>
      <c r="D2315" s="16" t="s">
        <v>31</v>
      </c>
      <c r="E2315" s="15" t="s">
        <v>32</v>
      </c>
      <c r="F2315" s="15" t="s">
        <v>314</v>
      </c>
      <c r="N2315" s="21" t="s">
        <v>96</v>
      </c>
      <c r="O2315" s="21" t="s">
        <v>336</v>
      </c>
      <c r="Q2315" s="21" t="s">
        <v>344</v>
      </c>
      <c r="R2315" s="22">
        <v>45756</v>
      </c>
      <c r="W2315">
        <f>COUNTIF(安藤証券!U:U,B2315)</f>
        <v>0</v>
      </c>
    </row>
    <row r="2316" spans="1:23" ht="24.95" hidden="1" customHeight="1" x14ac:dyDescent="0.4">
      <c r="A2316" s="17" t="s">
        <v>75</v>
      </c>
      <c r="B2316" s="15" t="s">
        <v>305</v>
      </c>
      <c r="C2316" s="16" t="s">
        <v>31</v>
      </c>
      <c r="D2316" s="16" t="s">
        <v>31</v>
      </c>
      <c r="E2316" s="15" t="s">
        <v>32</v>
      </c>
      <c r="F2316" s="15" t="s">
        <v>314</v>
      </c>
      <c r="N2316" s="21" t="s">
        <v>96</v>
      </c>
      <c r="O2316" s="21" t="s">
        <v>336</v>
      </c>
      <c r="Q2316" s="21" t="s">
        <v>344</v>
      </c>
      <c r="R2316" s="22">
        <v>45756</v>
      </c>
      <c r="W2316">
        <f>COUNTIF(安藤証券!U:U,B2316)</f>
        <v>0</v>
      </c>
    </row>
    <row r="2317" spans="1:23" ht="24.95" hidden="1" customHeight="1" x14ac:dyDescent="0.4">
      <c r="A2317" s="17" t="s">
        <v>75</v>
      </c>
      <c r="B2317" s="15" t="s">
        <v>370</v>
      </c>
      <c r="C2317" s="16" t="s">
        <v>31</v>
      </c>
      <c r="D2317" s="16" t="s">
        <v>31</v>
      </c>
      <c r="E2317" s="15" t="s">
        <v>32</v>
      </c>
      <c r="F2317" s="15" t="s">
        <v>365</v>
      </c>
      <c r="N2317" s="21" t="s">
        <v>374</v>
      </c>
      <c r="O2317" s="21" t="s">
        <v>373</v>
      </c>
      <c r="Q2317" s="21" t="s">
        <v>344</v>
      </c>
      <c r="R2317" s="22">
        <v>45883</v>
      </c>
      <c r="W2317">
        <f>COUNTIF(安藤証券!U:U,B2317)</f>
        <v>0</v>
      </c>
    </row>
    <row r="2318" spans="1:23" ht="24.95" hidden="1" customHeight="1" x14ac:dyDescent="0.4">
      <c r="A2318" s="17" t="s">
        <v>75</v>
      </c>
      <c r="B2318" s="15" t="s">
        <v>371</v>
      </c>
      <c r="C2318" s="16" t="s">
        <v>31</v>
      </c>
      <c r="D2318" s="16" t="s">
        <v>31</v>
      </c>
      <c r="E2318" s="15" t="s">
        <v>32</v>
      </c>
      <c r="F2318" s="15" t="s">
        <v>365</v>
      </c>
      <c r="N2318" s="21" t="s">
        <v>374</v>
      </c>
      <c r="O2318" s="21" t="s">
        <v>373</v>
      </c>
      <c r="Q2318" s="21" t="s">
        <v>344</v>
      </c>
      <c r="R2318" s="22">
        <v>45883</v>
      </c>
      <c r="W2318">
        <f>COUNTIF(安藤証券!U:U,B2318)</f>
        <v>0</v>
      </c>
    </row>
    <row r="2319" spans="1:23" ht="24.95" hidden="1" customHeight="1" x14ac:dyDescent="0.4">
      <c r="A2319" s="17" t="s">
        <v>75</v>
      </c>
      <c r="B2319" s="15" t="s">
        <v>306</v>
      </c>
      <c r="C2319" s="16" t="s">
        <v>24</v>
      </c>
      <c r="D2319" s="16" t="s">
        <v>31</v>
      </c>
      <c r="E2319" s="15" t="s">
        <v>35</v>
      </c>
      <c r="F2319" s="15" t="s">
        <v>314</v>
      </c>
      <c r="N2319" s="21" t="s">
        <v>96</v>
      </c>
      <c r="O2319" s="21" t="s">
        <v>336</v>
      </c>
      <c r="Q2319" s="21" t="s">
        <v>344</v>
      </c>
      <c r="R2319" s="22">
        <v>45756</v>
      </c>
      <c r="W2319">
        <f>COUNTIF(安藤証券!U:U,B2319)</f>
        <v>0</v>
      </c>
    </row>
    <row r="2320" spans="1:23" ht="24.95" hidden="1" customHeight="1" x14ac:dyDescent="0.4">
      <c r="A2320" s="17" t="s">
        <v>75</v>
      </c>
      <c r="B2320" s="15" t="s">
        <v>307</v>
      </c>
      <c r="C2320" s="16" t="s">
        <v>31</v>
      </c>
      <c r="D2320" s="16" t="s">
        <v>31</v>
      </c>
      <c r="E2320" s="15" t="s">
        <v>32</v>
      </c>
      <c r="F2320" s="15" t="s">
        <v>314</v>
      </c>
      <c r="N2320" s="21" t="s">
        <v>96</v>
      </c>
      <c r="O2320" s="21" t="s">
        <v>336</v>
      </c>
      <c r="Q2320" s="21" t="s">
        <v>344</v>
      </c>
      <c r="R2320" s="22">
        <v>45756</v>
      </c>
      <c r="W2320">
        <f>COUNTIF(安藤証券!U:U,B2320)</f>
        <v>0</v>
      </c>
    </row>
    <row r="2321" spans="1:26" ht="24.95" hidden="1" customHeight="1" x14ac:dyDescent="0.4">
      <c r="A2321" s="17" t="s">
        <v>75</v>
      </c>
      <c r="B2321" s="15" t="s">
        <v>38</v>
      </c>
      <c r="C2321" s="16" t="s">
        <v>31</v>
      </c>
      <c r="D2321" s="16" t="s">
        <v>31</v>
      </c>
      <c r="E2321" s="15" t="s">
        <v>32</v>
      </c>
      <c r="F2321" s="15" t="s">
        <v>125</v>
      </c>
      <c r="N2321" s="21" t="s">
        <v>96</v>
      </c>
      <c r="O2321" s="13" t="s">
        <v>353</v>
      </c>
      <c r="Q2321" s="21" t="s">
        <v>344</v>
      </c>
      <c r="R2321" s="22">
        <v>45814</v>
      </c>
      <c r="W2321">
        <f>COUNTIF(安藤証券!U:U,B2321)</f>
        <v>0</v>
      </c>
    </row>
    <row r="2322" spans="1:26" ht="24.95" hidden="1" customHeight="1" x14ac:dyDescent="0.4">
      <c r="A2322" s="17" t="s">
        <v>75</v>
      </c>
      <c r="B2322" s="15" t="s">
        <v>119</v>
      </c>
      <c r="C2322" s="16" t="s">
        <v>31</v>
      </c>
      <c r="D2322" s="16" t="s">
        <v>31</v>
      </c>
      <c r="E2322" s="15" t="s">
        <v>32</v>
      </c>
      <c r="F2322" s="15" t="s">
        <v>365</v>
      </c>
      <c r="N2322" s="21" t="s">
        <v>374</v>
      </c>
      <c r="O2322" s="21" t="s">
        <v>375</v>
      </c>
      <c r="Q2322" s="21" t="s">
        <v>344</v>
      </c>
      <c r="R2322" s="22">
        <v>45883</v>
      </c>
      <c r="W2322">
        <f>COUNTIF(安藤証券!U:U,B2322)</f>
        <v>0</v>
      </c>
    </row>
    <row r="2323" spans="1:26" ht="24.95" hidden="1" customHeight="1" x14ac:dyDescent="0.4">
      <c r="A2323" s="17" t="s">
        <v>75</v>
      </c>
      <c r="B2323" s="15" t="s">
        <v>120</v>
      </c>
      <c r="C2323" s="16" t="s">
        <v>31</v>
      </c>
      <c r="D2323" s="16" t="s">
        <v>31</v>
      </c>
      <c r="E2323" s="15" t="s">
        <v>32</v>
      </c>
      <c r="F2323" s="15" t="s">
        <v>314</v>
      </c>
      <c r="N2323" s="21" t="s">
        <v>96</v>
      </c>
      <c r="O2323" s="13" t="s">
        <v>339</v>
      </c>
      <c r="Q2323" s="21" t="s">
        <v>344</v>
      </c>
      <c r="R2323" s="22">
        <v>45756</v>
      </c>
      <c r="W2323">
        <f>COUNTIF(安藤証券!U:U,B2323)</f>
        <v>0</v>
      </c>
    </row>
    <row r="2324" spans="1:26" ht="24.95" hidden="1" customHeight="1" x14ac:dyDescent="0.4">
      <c r="A2324" s="17" t="s">
        <v>75</v>
      </c>
      <c r="B2324" s="15" t="s">
        <v>39</v>
      </c>
      <c r="C2324" s="16" t="s">
        <v>31</v>
      </c>
      <c r="D2324" s="16" t="s">
        <v>31</v>
      </c>
      <c r="E2324" s="15" t="s">
        <v>32</v>
      </c>
      <c r="F2324" s="15" t="s">
        <v>125</v>
      </c>
      <c r="N2324" s="21" t="s">
        <v>96</v>
      </c>
      <c r="O2324" s="13" t="s">
        <v>350</v>
      </c>
      <c r="Q2324" s="21" t="s">
        <v>344</v>
      </c>
      <c r="R2324" s="22">
        <v>45814</v>
      </c>
      <c r="W2324">
        <f>COUNTIF(安藤証券!U:U,B2324)</f>
        <v>0</v>
      </c>
    </row>
    <row r="2325" spans="1:26" ht="24.95" hidden="1" customHeight="1" x14ac:dyDescent="0.4">
      <c r="A2325" s="17" t="s">
        <v>75</v>
      </c>
      <c r="B2325" s="15" t="s">
        <v>220</v>
      </c>
      <c r="C2325" s="16" t="s">
        <v>31</v>
      </c>
      <c r="D2325" s="16" t="s">
        <v>31</v>
      </c>
      <c r="E2325" s="15" t="s">
        <v>32</v>
      </c>
      <c r="F2325" s="15" t="s">
        <v>221</v>
      </c>
      <c r="N2325" s="21" t="s">
        <v>96</v>
      </c>
      <c r="O2325" s="21" t="s">
        <v>338</v>
      </c>
      <c r="Q2325" s="21" t="s">
        <v>344</v>
      </c>
      <c r="R2325" s="22">
        <v>45814</v>
      </c>
      <c r="W2325">
        <f>COUNTIF(安藤証券!U:U,B2325)</f>
        <v>0</v>
      </c>
    </row>
    <row r="2326" spans="1:26" ht="24.95" hidden="1" customHeight="1" x14ac:dyDescent="0.4">
      <c r="A2326" s="17" t="s">
        <v>75</v>
      </c>
      <c r="B2326" s="15" t="s">
        <v>172</v>
      </c>
      <c r="C2326" s="16" t="s">
        <v>31</v>
      </c>
      <c r="D2326" s="16" t="s">
        <v>31</v>
      </c>
      <c r="E2326" s="15" t="s">
        <v>32</v>
      </c>
      <c r="F2326" s="15" t="s">
        <v>173</v>
      </c>
      <c r="N2326" s="21" t="s">
        <v>96</v>
      </c>
      <c r="O2326" s="21" t="s">
        <v>336</v>
      </c>
      <c r="Q2326" s="21" t="s">
        <v>344</v>
      </c>
      <c r="R2326" s="22">
        <v>45814</v>
      </c>
      <c r="W2326">
        <f>COUNTIF(安藤証券!U:U,B2326)</f>
        <v>0</v>
      </c>
    </row>
    <row r="2327" spans="1:26" ht="24.95" hidden="1" customHeight="1" x14ac:dyDescent="0.4">
      <c r="A2327" s="17" t="s">
        <v>75</v>
      </c>
      <c r="B2327" s="15" t="s">
        <v>111</v>
      </c>
      <c r="C2327" s="16" t="s">
        <v>31</v>
      </c>
      <c r="D2327" s="16" t="s">
        <v>31</v>
      </c>
      <c r="E2327" s="15" t="s">
        <v>32</v>
      </c>
      <c r="F2327" s="15" t="s">
        <v>314</v>
      </c>
      <c r="N2327" s="21" t="s">
        <v>96</v>
      </c>
      <c r="O2327" s="13" t="s">
        <v>339</v>
      </c>
      <c r="Q2327" s="21" t="s">
        <v>344</v>
      </c>
      <c r="R2327" s="22">
        <v>45756</v>
      </c>
      <c r="W2327">
        <f>COUNTIF(安藤証券!U:U,B2327)</f>
        <v>0</v>
      </c>
    </row>
    <row r="2328" spans="1:26" ht="24.95" hidden="1" customHeight="1" x14ac:dyDescent="0.4">
      <c r="A2328" s="17" t="s">
        <v>75</v>
      </c>
      <c r="B2328" s="15" t="s">
        <v>42</v>
      </c>
      <c r="C2328" s="16" t="s">
        <v>31</v>
      </c>
      <c r="D2328" s="16" t="s">
        <v>31</v>
      </c>
      <c r="E2328" s="15" t="s">
        <v>32</v>
      </c>
      <c r="F2328" s="15" t="s">
        <v>125</v>
      </c>
      <c r="N2328" s="21" t="s">
        <v>96</v>
      </c>
      <c r="O2328" s="13" t="s">
        <v>351</v>
      </c>
      <c r="Q2328" s="21" t="s">
        <v>344</v>
      </c>
      <c r="R2328" s="22">
        <v>45814</v>
      </c>
      <c r="W2328">
        <f>COUNTIF(安藤証券!U:U,B2328)</f>
        <v>0</v>
      </c>
    </row>
    <row r="2329" spans="1:26" ht="24.95" hidden="1" customHeight="1" x14ac:dyDescent="0.4">
      <c r="A2329" s="17" t="s">
        <v>75</v>
      </c>
      <c r="B2329" s="15" t="s">
        <v>330</v>
      </c>
      <c r="C2329" s="16" t="s">
        <v>31</v>
      </c>
      <c r="D2329" s="16" t="s">
        <v>31</v>
      </c>
      <c r="E2329" s="15" t="s">
        <v>32</v>
      </c>
      <c r="F2329" s="15" t="s">
        <v>314</v>
      </c>
      <c r="N2329" s="21" t="s">
        <v>96</v>
      </c>
      <c r="O2329" s="21" t="s">
        <v>338</v>
      </c>
      <c r="Q2329" s="21" t="s">
        <v>344</v>
      </c>
      <c r="R2329" s="22">
        <v>45756</v>
      </c>
      <c r="W2329">
        <f>COUNTIF(安藤証券!U:U,B2329)</f>
        <v>0</v>
      </c>
    </row>
    <row r="2330" spans="1:26" ht="24.95" hidden="1" customHeight="1" x14ac:dyDescent="0.4">
      <c r="A2330" s="17" t="s">
        <v>75</v>
      </c>
      <c r="B2330" s="15" t="s">
        <v>343</v>
      </c>
      <c r="C2330" s="16" t="s">
        <v>31</v>
      </c>
      <c r="D2330" s="16" t="s">
        <v>31</v>
      </c>
      <c r="E2330" s="15" t="s">
        <v>32</v>
      </c>
      <c r="F2330" s="15" t="s">
        <v>340</v>
      </c>
      <c r="N2330" s="21" t="s">
        <v>96</v>
      </c>
      <c r="O2330" s="21" t="s">
        <v>345</v>
      </c>
      <c r="Q2330" s="21" t="s">
        <v>344</v>
      </c>
      <c r="R2330" s="22">
        <v>45784</v>
      </c>
      <c r="W2330">
        <f>COUNTIF(安藤証券!U:U,B2330)</f>
        <v>0</v>
      </c>
    </row>
    <row r="2331" spans="1:26" ht="24.95" hidden="1" customHeight="1" x14ac:dyDescent="0.4">
      <c r="A2331" s="17" t="s">
        <v>75</v>
      </c>
      <c r="B2331" s="15" t="s">
        <v>121</v>
      </c>
      <c r="C2331" s="16" t="s">
        <v>31</v>
      </c>
      <c r="D2331" s="16" t="s">
        <v>31</v>
      </c>
      <c r="E2331" s="15" t="s">
        <v>32</v>
      </c>
      <c r="F2331" s="15" t="s">
        <v>314</v>
      </c>
      <c r="N2331" s="21" t="s">
        <v>96</v>
      </c>
      <c r="O2331" s="21" t="s">
        <v>336</v>
      </c>
      <c r="Q2331" s="21" t="s">
        <v>344</v>
      </c>
      <c r="R2331" s="22">
        <v>45756</v>
      </c>
      <c r="W2331">
        <f>COUNTIF(安藤証券!U:U,B2331)</f>
        <v>0</v>
      </c>
    </row>
    <row r="2332" spans="1:26" ht="24.95" hidden="1" customHeight="1" x14ac:dyDescent="0.4">
      <c r="A2332" s="17" t="s">
        <v>75</v>
      </c>
      <c r="B2332" s="15" t="s">
        <v>44</v>
      </c>
      <c r="C2332" s="16" t="s">
        <v>31</v>
      </c>
      <c r="D2332" s="16" t="s">
        <v>31</v>
      </c>
      <c r="E2332" s="15" t="s">
        <v>32</v>
      </c>
      <c r="F2332" s="15" t="s">
        <v>221</v>
      </c>
      <c r="N2332" s="21" t="s">
        <v>96</v>
      </c>
      <c r="O2332" s="13" t="s">
        <v>359</v>
      </c>
      <c r="Q2332" s="21" t="s">
        <v>344</v>
      </c>
      <c r="R2332" s="22">
        <v>45814</v>
      </c>
      <c r="W2332">
        <f>COUNTIF(安藤証券!U:U,B2332)</f>
        <v>0</v>
      </c>
    </row>
    <row r="2333" spans="1:26" ht="24.95" hidden="1" customHeight="1" x14ac:dyDescent="0.4">
      <c r="A2333" s="17" t="s">
        <v>75</v>
      </c>
      <c r="B2333" s="15" t="s">
        <v>45</v>
      </c>
      <c r="C2333" s="16" t="s">
        <v>31</v>
      </c>
      <c r="D2333" s="16" t="s">
        <v>31</v>
      </c>
      <c r="E2333" s="15" t="s">
        <v>32</v>
      </c>
      <c r="F2333" s="15" t="s">
        <v>314</v>
      </c>
      <c r="N2333" s="21" t="s">
        <v>96</v>
      </c>
      <c r="O2333" s="21" t="s">
        <v>338</v>
      </c>
      <c r="Q2333" s="21" t="s">
        <v>344</v>
      </c>
      <c r="R2333" s="22">
        <v>45756</v>
      </c>
      <c r="W2333">
        <f>COUNTIF(安藤証券!U:U,B2333)</f>
        <v>0</v>
      </c>
    </row>
    <row r="2334" spans="1:26" ht="24.95" customHeight="1" x14ac:dyDescent="0.4">
      <c r="A2334" s="17" t="s">
        <v>75</v>
      </c>
      <c r="B2334" s="50" t="s">
        <v>469</v>
      </c>
      <c r="C2334" s="16" t="s">
        <v>31</v>
      </c>
      <c r="D2334" s="16" t="s">
        <v>31</v>
      </c>
      <c r="E2334" s="15" t="s">
        <v>32</v>
      </c>
      <c r="F2334" s="15" t="s">
        <v>365</v>
      </c>
      <c r="N2334" s="21" t="s">
        <v>374</v>
      </c>
      <c r="O2334" s="13" t="s">
        <v>468</v>
      </c>
      <c r="Q2334" s="21" t="s">
        <v>344</v>
      </c>
      <c r="R2334" s="22">
        <v>45883</v>
      </c>
      <c r="W2334">
        <f>COUNTIF(安藤証券!U:U,B2334)</f>
        <v>0</v>
      </c>
    </row>
    <row r="2335" spans="1:26" ht="24.95" hidden="1" customHeight="1" x14ac:dyDescent="0.4">
      <c r="A2335" s="17" t="s">
        <v>76</v>
      </c>
      <c r="B2335" s="15" t="s">
        <v>128</v>
      </c>
      <c r="C2335" s="16" t="s">
        <v>31</v>
      </c>
      <c r="D2335" s="16" t="s">
        <v>31</v>
      </c>
      <c r="E2335" s="15" t="s">
        <v>32</v>
      </c>
      <c r="F2335" s="15" t="s">
        <v>125</v>
      </c>
      <c r="M2335" s="21" t="s">
        <v>81</v>
      </c>
      <c r="N2335" s="21" t="s">
        <v>97</v>
      </c>
      <c r="O2335" s="21" t="s">
        <v>145</v>
      </c>
      <c r="P2335" s="21" t="s">
        <v>165</v>
      </c>
      <c r="W2335">
        <f>COUNTIF(安藤証券!U:U,B2335)</f>
        <v>0</v>
      </c>
      <c r="Z2335" t="s">
        <v>434</v>
      </c>
    </row>
    <row r="2336" spans="1:26" ht="24.95" hidden="1" customHeight="1" x14ac:dyDescent="0.4">
      <c r="A2336" s="17" t="s">
        <v>76</v>
      </c>
      <c r="B2336" s="15" t="s">
        <v>115</v>
      </c>
      <c r="C2336" s="16" t="s">
        <v>31</v>
      </c>
      <c r="D2336" s="16" t="s">
        <v>31</v>
      </c>
      <c r="E2336" s="15" t="s">
        <v>32</v>
      </c>
      <c r="F2336" s="15" t="s">
        <v>184</v>
      </c>
      <c r="N2336" s="21" t="s">
        <v>96</v>
      </c>
      <c r="O2336" s="21" t="s">
        <v>337</v>
      </c>
      <c r="Q2336" s="21" t="s">
        <v>344</v>
      </c>
      <c r="R2336" s="22">
        <v>45814</v>
      </c>
      <c r="W2336">
        <f>COUNTIF(安藤証券!U:U,B2336)</f>
        <v>0</v>
      </c>
    </row>
    <row r="2337" spans="1:26" ht="24.95" hidden="1" customHeight="1" x14ac:dyDescent="0.4">
      <c r="A2337" s="17" t="s">
        <v>76</v>
      </c>
      <c r="B2337" s="15" t="s">
        <v>313</v>
      </c>
      <c r="C2337" s="16" t="s">
        <v>24</v>
      </c>
      <c r="D2337" s="16" t="s">
        <v>31</v>
      </c>
      <c r="E2337" s="15" t="s">
        <v>35</v>
      </c>
      <c r="F2337" s="15" t="s">
        <v>314</v>
      </c>
      <c r="N2337" s="21" t="s">
        <v>96</v>
      </c>
      <c r="O2337" s="21" t="s">
        <v>337</v>
      </c>
      <c r="Q2337" s="21" t="s">
        <v>344</v>
      </c>
      <c r="R2337" s="22">
        <v>45756</v>
      </c>
      <c r="W2337">
        <f>COUNTIF(安藤証券!U:U,B2337)</f>
        <v>0</v>
      </c>
    </row>
    <row r="2338" spans="1:26" ht="24.95" hidden="1" customHeight="1" x14ac:dyDescent="0.4">
      <c r="A2338" s="17" t="s">
        <v>76</v>
      </c>
      <c r="B2338" s="15" t="s">
        <v>315</v>
      </c>
      <c r="C2338" s="16" t="s">
        <v>24</v>
      </c>
      <c r="D2338" s="16" t="s">
        <v>31</v>
      </c>
      <c r="E2338" s="15" t="s">
        <v>35</v>
      </c>
      <c r="F2338" s="15" t="s">
        <v>314</v>
      </c>
      <c r="N2338" s="21" t="s">
        <v>96</v>
      </c>
      <c r="O2338" s="21" t="s">
        <v>337</v>
      </c>
      <c r="Q2338" s="21" t="s">
        <v>344</v>
      </c>
      <c r="R2338" s="22">
        <v>45756</v>
      </c>
      <c r="W2338">
        <f>COUNTIF(安藤証券!U:U,B2338)</f>
        <v>0</v>
      </c>
    </row>
    <row r="2339" spans="1:26" ht="24.95" hidden="1" customHeight="1" x14ac:dyDescent="0.4">
      <c r="A2339" s="17" t="s">
        <v>76</v>
      </c>
      <c r="B2339" s="15" t="s">
        <v>316</v>
      </c>
      <c r="C2339" s="16" t="s">
        <v>24</v>
      </c>
      <c r="D2339" s="16" t="s">
        <v>31</v>
      </c>
      <c r="E2339" s="15" t="s">
        <v>35</v>
      </c>
      <c r="F2339" s="15" t="s">
        <v>314</v>
      </c>
      <c r="N2339" s="21" t="s">
        <v>96</v>
      </c>
      <c r="O2339" s="21" t="s">
        <v>337</v>
      </c>
      <c r="Q2339" s="21" t="s">
        <v>344</v>
      </c>
      <c r="R2339" s="22">
        <v>45756</v>
      </c>
      <c r="W2339">
        <f>COUNTIF(安藤証券!U:U,B2339)</f>
        <v>0</v>
      </c>
    </row>
    <row r="2340" spans="1:26" ht="24.95" hidden="1" customHeight="1" x14ac:dyDescent="0.4">
      <c r="A2340" s="17" t="s">
        <v>76</v>
      </c>
      <c r="B2340" s="15" t="s">
        <v>317</v>
      </c>
      <c r="C2340" s="16" t="s">
        <v>24</v>
      </c>
      <c r="D2340" s="16" t="s">
        <v>31</v>
      </c>
      <c r="E2340" s="15" t="s">
        <v>35</v>
      </c>
      <c r="F2340" s="15" t="s">
        <v>314</v>
      </c>
      <c r="N2340" s="21" t="s">
        <v>96</v>
      </c>
      <c r="O2340" s="21" t="s">
        <v>337</v>
      </c>
      <c r="Q2340" s="21" t="s">
        <v>344</v>
      </c>
      <c r="R2340" s="22">
        <v>45756</v>
      </c>
      <c r="W2340">
        <f>COUNTIF(安藤証券!U:U,B2340)</f>
        <v>0</v>
      </c>
    </row>
    <row r="2341" spans="1:26" ht="24.95" hidden="1" customHeight="1" x14ac:dyDescent="0.4">
      <c r="A2341" s="17" t="s">
        <v>76</v>
      </c>
      <c r="B2341" s="50" t="s">
        <v>364</v>
      </c>
      <c r="C2341" s="16" t="s">
        <v>24</v>
      </c>
      <c r="D2341" s="16" t="s">
        <v>31</v>
      </c>
      <c r="E2341" s="15" t="s">
        <v>35</v>
      </c>
      <c r="F2341" s="15" t="s">
        <v>365</v>
      </c>
      <c r="N2341" s="21" t="s">
        <v>96</v>
      </c>
      <c r="O2341" s="21" t="s">
        <v>372</v>
      </c>
      <c r="Q2341" s="21" t="s">
        <v>344</v>
      </c>
      <c r="R2341" s="22">
        <v>45883</v>
      </c>
      <c r="W2341">
        <f>COUNTIF(安藤証券!U:U,B2341)</f>
        <v>0</v>
      </c>
    </row>
    <row r="2342" spans="1:26" ht="24.95" hidden="1" customHeight="1" x14ac:dyDescent="0.4">
      <c r="A2342" s="17" t="s">
        <v>76</v>
      </c>
      <c r="B2342" s="15" t="s">
        <v>171</v>
      </c>
      <c r="C2342" s="16" t="s">
        <v>31</v>
      </c>
      <c r="D2342" s="16" t="s">
        <v>31</v>
      </c>
      <c r="E2342" s="15" t="s">
        <v>32</v>
      </c>
      <c r="F2342" s="15" t="s">
        <v>314</v>
      </c>
      <c r="N2342" s="21" t="s">
        <v>96</v>
      </c>
      <c r="O2342" s="21" t="s">
        <v>336</v>
      </c>
      <c r="Q2342" s="21" t="s">
        <v>344</v>
      </c>
      <c r="R2342" s="22">
        <v>45756</v>
      </c>
      <c r="W2342">
        <f>COUNTIF(安藤証券!U:U,B2342)</f>
        <v>0</v>
      </c>
    </row>
    <row r="2343" spans="1:26" ht="24.95" hidden="1" customHeight="1" x14ac:dyDescent="0.4">
      <c r="A2343" s="17" t="s">
        <v>76</v>
      </c>
      <c r="B2343" s="15" t="s">
        <v>123</v>
      </c>
      <c r="C2343" s="16" t="s">
        <v>31</v>
      </c>
      <c r="D2343" s="16" t="s">
        <v>31</v>
      </c>
      <c r="E2343" s="15" t="s">
        <v>32</v>
      </c>
      <c r="F2343" s="15" t="s">
        <v>184</v>
      </c>
      <c r="N2343" s="21" t="s">
        <v>96</v>
      </c>
      <c r="O2343" s="21" t="s">
        <v>337</v>
      </c>
      <c r="Q2343" s="21" t="s">
        <v>344</v>
      </c>
      <c r="R2343" s="22">
        <v>45814</v>
      </c>
      <c r="W2343">
        <f>COUNTIF(安藤証券!U:U,B2343)</f>
        <v>0</v>
      </c>
    </row>
    <row r="2344" spans="1:26" ht="24.95" hidden="1" customHeight="1" x14ac:dyDescent="0.4">
      <c r="A2344" s="17" t="s">
        <v>76</v>
      </c>
      <c r="B2344" s="15" t="s">
        <v>37</v>
      </c>
      <c r="C2344" s="16" t="s">
        <v>31</v>
      </c>
      <c r="D2344" s="16" t="s">
        <v>31</v>
      </c>
      <c r="E2344" s="15" t="s">
        <v>32</v>
      </c>
      <c r="F2344" s="15" t="s">
        <v>212</v>
      </c>
      <c r="N2344" s="21" t="s">
        <v>96</v>
      </c>
      <c r="O2344" s="13" t="s">
        <v>349</v>
      </c>
      <c r="Q2344" s="21" t="s">
        <v>344</v>
      </c>
      <c r="R2344" s="22">
        <v>45814</v>
      </c>
      <c r="W2344">
        <f>COUNTIF(安藤証券!U:U,B2344)</f>
        <v>1</v>
      </c>
      <c r="Z2344" t="s">
        <v>432</v>
      </c>
    </row>
    <row r="2345" spans="1:26" ht="24.95" hidden="1" customHeight="1" x14ac:dyDescent="0.4">
      <c r="A2345" s="17" t="s">
        <v>76</v>
      </c>
      <c r="B2345" s="15" t="s">
        <v>225</v>
      </c>
      <c r="C2345" s="16" t="s">
        <v>31</v>
      </c>
      <c r="D2345" s="16" t="s">
        <v>31</v>
      </c>
      <c r="E2345" s="15" t="s">
        <v>32</v>
      </c>
      <c r="F2345" s="15" t="s">
        <v>314</v>
      </c>
      <c r="N2345" s="21" t="s">
        <v>96</v>
      </c>
      <c r="O2345" s="21" t="s">
        <v>336</v>
      </c>
      <c r="Q2345" s="21" t="s">
        <v>344</v>
      </c>
      <c r="R2345" s="22">
        <v>45756</v>
      </c>
      <c r="W2345">
        <f>COUNTIF(安藤証券!U:U,B2345)</f>
        <v>0</v>
      </c>
    </row>
    <row r="2346" spans="1:26" ht="24.95" hidden="1" customHeight="1" x14ac:dyDescent="0.4">
      <c r="A2346" s="17" t="s">
        <v>76</v>
      </c>
      <c r="B2346" s="15" t="s">
        <v>126</v>
      </c>
      <c r="C2346" s="16" t="s">
        <v>31</v>
      </c>
      <c r="D2346" s="16" t="s">
        <v>31</v>
      </c>
      <c r="E2346" s="15" t="s">
        <v>32</v>
      </c>
      <c r="F2346" s="15" t="s">
        <v>365</v>
      </c>
      <c r="N2346" s="21" t="s">
        <v>374</v>
      </c>
      <c r="O2346" s="21" t="s">
        <v>373</v>
      </c>
      <c r="Q2346" s="21" t="s">
        <v>344</v>
      </c>
      <c r="R2346" s="22">
        <v>45883</v>
      </c>
      <c r="W2346">
        <f>COUNTIF(安藤証券!U:U,B2346)</f>
        <v>0</v>
      </c>
    </row>
    <row r="2347" spans="1:26" ht="24.95" hidden="1" customHeight="1" x14ac:dyDescent="0.4">
      <c r="A2347" s="17" t="s">
        <v>76</v>
      </c>
      <c r="B2347" s="15" t="s">
        <v>226</v>
      </c>
      <c r="C2347" s="16" t="s">
        <v>31</v>
      </c>
      <c r="D2347" s="16" t="s">
        <v>31</v>
      </c>
      <c r="E2347" s="15" t="s">
        <v>32</v>
      </c>
      <c r="F2347" s="15" t="s">
        <v>314</v>
      </c>
      <c r="N2347" s="21" t="s">
        <v>96</v>
      </c>
      <c r="O2347" s="21" t="s">
        <v>336</v>
      </c>
      <c r="Q2347" s="21" t="s">
        <v>344</v>
      </c>
      <c r="R2347" s="22">
        <v>45756</v>
      </c>
      <c r="W2347">
        <f>COUNTIF(安藤証券!U:U,B2347)</f>
        <v>0</v>
      </c>
    </row>
    <row r="2348" spans="1:26" ht="24.95" hidden="1" customHeight="1" x14ac:dyDescent="0.4">
      <c r="A2348" s="17" t="s">
        <v>76</v>
      </c>
      <c r="B2348" s="15" t="s">
        <v>318</v>
      </c>
      <c r="C2348" s="16" t="s">
        <v>31</v>
      </c>
      <c r="D2348" s="16" t="s">
        <v>31</v>
      </c>
      <c r="E2348" s="15" t="s">
        <v>32</v>
      </c>
      <c r="F2348" s="15" t="s">
        <v>314</v>
      </c>
      <c r="N2348" s="21" t="s">
        <v>96</v>
      </c>
      <c r="O2348" s="21" t="s">
        <v>337</v>
      </c>
      <c r="Q2348" s="21" t="s">
        <v>344</v>
      </c>
      <c r="R2348" s="22">
        <v>45756</v>
      </c>
      <c r="W2348">
        <f>COUNTIF(安藤証券!U:U,B2348)</f>
        <v>0</v>
      </c>
    </row>
    <row r="2349" spans="1:26" ht="24.95" hidden="1" customHeight="1" x14ac:dyDescent="0.4">
      <c r="A2349" s="17" t="s">
        <v>76</v>
      </c>
      <c r="B2349" s="15" t="s">
        <v>118</v>
      </c>
      <c r="C2349" s="16" t="s">
        <v>31</v>
      </c>
      <c r="D2349" s="16" t="s">
        <v>31</v>
      </c>
      <c r="E2349" s="15" t="s">
        <v>32</v>
      </c>
      <c r="F2349" s="15" t="s">
        <v>314</v>
      </c>
      <c r="N2349" s="21" t="s">
        <v>96</v>
      </c>
      <c r="O2349" s="21" t="s">
        <v>337</v>
      </c>
      <c r="Q2349" s="21" t="s">
        <v>344</v>
      </c>
      <c r="R2349" s="22">
        <v>45756</v>
      </c>
      <c r="W2349">
        <f>COUNTIF(安藤証券!U:U,B2349)</f>
        <v>0</v>
      </c>
    </row>
    <row r="2350" spans="1:26" ht="24.95" hidden="1" customHeight="1" x14ac:dyDescent="0.4">
      <c r="A2350" s="17" t="s">
        <v>76</v>
      </c>
      <c r="B2350" s="15" t="s">
        <v>319</v>
      </c>
      <c r="C2350" s="16" t="s">
        <v>31</v>
      </c>
      <c r="D2350" s="16" t="s">
        <v>31</v>
      </c>
      <c r="E2350" s="15" t="s">
        <v>32</v>
      </c>
      <c r="F2350" s="15" t="s">
        <v>314</v>
      </c>
      <c r="N2350" s="21" t="s">
        <v>96</v>
      </c>
      <c r="O2350" s="21" t="s">
        <v>337</v>
      </c>
      <c r="Q2350" s="21" t="s">
        <v>344</v>
      </c>
      <c r="R2350" s="22">
        <v>45756</v>
      </c>
      <c r="W2350">
        <f>COUNTIF(安藤証券!U:U,B2350)</f>
        <v>0</v>
      </c>
    </row>
    <row r="2351" spans="1:26" ht="24.95" hidden="1" customHeight="1" x14ac:dyDescent="0.4">
      <c r="A2351" s="17" t="s">
        <v>76</v>
      </c>
      <c r="B2351" s="15" t="s">
        <v>227</v>
      </c>
      <c r="C2351" s="16" t="s">
        <v>31</v>
      </c>
      <c r="D2351" s="16" t="s">
        <v>31</v>
      </c>
      <c r="E2351" s="15" t="s">
        <v>32</v>
      </c>
      <c r="F2351" s="15" t="s">
        <v>314</v>
      </c>
      <c r="N2351" s="21" t="s">
        <v>96</v>
      </c>
      <c r="O2351" s="21" t="s">
        <v>336</v>
      </c>
      <c r="Q2351" s="21" t="s">
        <v>344</v>
      </c>
      <c r="R2351" s="22">
        <v>45756</v>
      </c>
      <c r="W2351">
        <f>COUNTIF(安藤証券!U:U,B2351)</f>
        <v>0</v>
      </c>
    </row>
    <row r="2352" spans="1:26" ht="24.95" hidden="1" customHeight="1" x14ac:dyDescent="0.4">
      <c r="A2352" s="17" t="s">
        <v>76</v>
      </c>
      <c r="B2352" s="15" t="s">
        <v>228</v>
      </c>
      <c r="C2352" s="16" t="s">
        <v>31</v>
      </c>
      <c r="D2352" s="16" t="s">
        <v>31</v>
      </c>
      <c r="E2352" s="15" t="s">
        <v>32</v>
      </c>
      <c r="F2352" s="15" t="s">
        <v>314</v>
      </c>
      <c r="N2352" s="21" t="s">
        <v>96</v>
      </c>
      <c r="O2352" s="21" t="s">
        <v>336</v>
      </c>
      <c r="Q2352" s="21" t="s">
        <v>344</v>
      </c>
      <c r="R2352" s="22">
        <v>45756</v>
      </c>
      <c r="W2352">
        <f>COUNTIF(安藤証券!U:U,B2352)</f>
        <v>0</v>
      </c>
    </row>
    <row r="2353" spans="1:23" ht="24.95" hidden="1" customHeight="1" x14ac:dyDescent="0.4">
      <c r="A2353" s="17" t="s">
        <v>76</v>
      </c>
      <c r="B2353" s="15" t="s">
        <v>229</v>
      </c>
      <c r="C2353" s="16" t="s">
        <v>31</v>
      </c>
      <c r="D2353" s="16" t="s">
        <v>31</v>
      </c>
      <c r="E2353" s="15" t="s">
        <v>32</v>
      </c>
      <c r="F2353" s="15" t="s">
        <v>314</v>
      </c>
      <c r="N2353" s="21" t="s">
        <v>96</v>
      </c>
      <c r="O2353" s="21" t="s">
        <v>336</v>
      </c>
      <c r="Q2353" s="21" t="s">
        <v>344</v>
      </c>
      <c r="R2353" s="22">
        <v>45756</v>
      </c>
      <c r="W2353">
        <f>COUNTIF(安藤証券!U:U,B2353)</f>
        <v>0</v>
      </c>
    </row>
    <row r="2354" spans="1:23" ht="24.95" hidden="1" customHeight="1" x14ac:dyDescent="0.4">
      <c r="A2354" s="17" t="s">
        <v>76</v>
      </c>
      <c r="B2354" s="15" t="s">
        <v>230</v>
      </c>
      <c r="C2354" s="16" t="s">
        <v>31</v>
      </c>
      <c r="D2354" s="16" t="s">
        <v>31</v>
      </c>
      <c r="E2354" s="15" t="s">
        <v>32</v>
      </c>
      <c r="F2354" s="15" t="s">
        <v>314</v>
      </c>
      <c r="N2354" s="21" t="s">
        <v>96</v>
      </c>
      <c r="O2354" s="21" t="s">
        <v>336</v>
      </c>
      <c r="Q2354" s="21" t="s">
        <v>344</v>
      </c>
      <c r="R2354" s="22">
        <v>45756</v>
      </c>
      <c r="W2354">
        <f>COUNTIF(安藤証券!U:U,B2354)</f>
        <v>0</v>
      </c>
    </row>
    <row r="2355" spans="1:23" ht="24.95" hidden="1" customHeight="1" x14ac:dyDescent="0.4">
      <c r="A2355" s="17" t="s">
        <v>76</v>
      </c>
      <c r="B2355" s="15" t="s">
        <v>231</v>
      </c>
      <c r="C2355" s="16" t="s">
        <v>31</v>
      </c>
      <c r="D2355" s="16" t="s">
        <v>31</v>
      </c>
      <c r="E2355" s="15" t="s">
        <v>32</v>
      </c>
      <c r="F2355" s="15" t="s">
        <v>314</v>
      </c>
      <c r="N2355" s="21" t="s">
        <v>96</v>
      </c>
      <c r="O2355" s="21" t="s">
        <v>336</v>
      </c>
      <c r="Q2355" s="21" t="s">
        <v>344</v>
      </c>
      <c r="R2355" s="22">
        <v>45756</v>
      </c>
      <c r="W2355">
        <f>COUNTIF(安藤証券!U:U,B2355)</f>
        <v>0</v>
      </c>
    </row>
    <row r="2356" spans="1:23" ht="24.95" hidden="1" customHeight="1" x14ac:dyDescent="0.4">
      <c r="A2356" s="17" t="s">
        <v>76</v>
      </c>
      <c r="B2356" s="15" t="s">
        <v>232</v>
      </c>
      <c r="C2356" s="16" t="s">
        <v>31</v>
      </c>
      <c r="D2356" s="16" t="s">
        <v>31</v>
      </c>
      <c r="E2356" s="15" t="s">
        <v>32</v>
      </c>
      <c r="F2356" s="15" t="s">
        <v>314</v>
      </c>
      <c r="N2356" s="21" t="s">
        <v>96</v>
      </c>
      <c r="O2356" s="21" t="s">
        <v>336</v>
      </c>
      <c r="Q2356" s="21" t="s">
        <v>344</v>
      </c>
      <c r="R2356" s="22">
        <v>45756</v>
      </c>
      <c r="W2356">
        <f>COUNTIF(安藤証券!U:U,B2356)</f>
        <v>0</v>
      </c>
    </row>
    <row r="2357" spans="1:23" ht="24.95" hidden="1" customHeight="1" x14ac:dyDescent="0.4">
      <c r="A2357" s="17" t="s">
        <v>76</v>
      </c>
      <c r="B2357" s="15" t="s">
        <v>233</v>
      </c>
      <c r="C2357" s="16" t="s">
        <v>31</v>
      </c>
      <c r="D2357" s="16" t="s">
        <v>31</v>
      </c>
      <c r="E2357" s="15" t="s">
        <v>32</v>
      </c>
      <c r="F2357" s="15" t="s">
        <v>314</v>
      </c>
      <c r="N2357" s="21" t="s">
        <v>96</v>
      </c>
      <c r="O2357" s="21" t="s">
        <v>336</v>
      </c>
      <c r="Q2357" s="21" t="s">
        <v>344</v>
      </c>
      <c r="R2357" s="22">
        <v>45756</v>
      </c>
      <c r="W2357">
        <f>COUNTIF(安藤証券!U:U,B2357)</f>
        <v>0</v>
      </c>
    </row>
    <row r="2358" spans="1:23" ht="24.95" hidden="1" customHeight="1" x14ac:dyDescent="0.4">
      <c r="A2358" s="17" t="s">
        <v>76</v>
      </c>
      <c r="B2358" s="15" t="s">
        <v>234</v>
      </c>
      <c r="C2358" s="16" t="s">
        <v>31</v>
      </c>
      <c r="D2358" s="16" t="s">
        <v>31</v>
      </c>
      <c r="E2358" s="15" t="s">
        <v>32</v>
      </c>
      <c r="F2358" s="15" t="s">
        <v>314</v>
      </c>
      <c r="N2358" s="21" t="s">
        <v>96</v>
      </c>
      <c r="O2358" s="21" t="s">
        <v>336</v>
      </c>
      <c r="Q2358" s="21" t="s">
        <v>344</v>
      </c>
      <c r="R2358" s="22">
        <v>45756</v>
      </c>
      <c r="W2358">
        <f>COUNTIF(安藤証券!U:U,B2358)</f>
        <v>0</v>
      </c>
    </row>
    <row r="2359" spans="1:23" ht="24.95" hidden="1" customHeight="1" x14ac:dyDescent="0.4">
      <c r="A2359" s="17" t="s">
        <v>76</v>
      </c>
      <c r="B2359" s="15" t="s">
        <v>235</v>
      </c>
      <c r="C2359" s="16" t="s">
        <v>31</v>
      </c>
      <c r="D2359" s="16" t="s">
        <v>31</v>
      </c>
      <c r="E2359" s="15" t="s">
        <v>32</v>
      </c>
      <c r="F2359" s="15" t="s">
        <v>314</v>
      </c>
      <c r="N2359" s="21" t="s">
        <v>96</v>
      </c>
      <c r="O2359" s="21" t="s">
        <v>336</v>
      </c>
      <c r="Q2359" s="21" t="s">
        <v>344</v>
      </c>
      <c r="R2359" s="22">
        <v>45756</v>
      </c>
      <c r="W2359">
        <f>COUNTIF(安藤証券!U:U,B2359)</f>
        <v>0</v>
      </c>
    </row>
    <row r="2360" spans="1:23" ht="24.95" hidden="1" customHeight="1" x14ac:dyDescent="0.4">
      <c r="A2360" s="17" t="s">
        <v>76</v>
      </c>
      <c r="B2360" s="15" t="s">
        <v>236</v>
      </c>
      <c r="C2360" s="16" t="s">
        <v>31</v>
      </c>
      <c r="D2360" s="16" t="s">
        <v>31</v>
      </c>
      <c r="E2360" s="15" t="s">
        <v>32</v>
      </c>
      <c r="F2360" s="15" t="s">
        <v>314</v>
      </c>
      <c r="N2360" s="21" t="s">
        <v>96</v>
      </c>
      <c r="O2360" s="21" t="s">
        <v>336</v>
      </c>
      <c r="Q2360" s="21" t="s">
        <v>344</v>
      </c>
      <c r="R2360" s="22">
        <v>45756</v>
      </c>
      <c r="W2360">
        <f>COUNTIF(安藤証券!U:U,B2360)</f>
        <v>0</v>
      </c>
    </row>
    <row r="2361" spans="1:23" ht="24.95" hidden="1" customHeight="1" x14ac:dyDescent="0.4">
      <c r="A2361" s="17" t="s">
        <v>76</v>
      </c>
      <c r="B2361" s="15" t="s">
        <v>237</v>
      </c>
      <c r="C2361" s="16" t="s">
        <v>31</v>
      </c>
      <c r="D2361" s="16" t="s">
        <v>31</v>
      </c>
      <c r="E2361" s="15" t="s">
        <v>32</v>
      </c>
      <c r="F2361" s="15" t="s">
        <v>314</v>
      </c>
      <c r="N2361" s="21" t="s">
        <v>96</v>
      </c>
      <c r="O2361" s="21" t="s">
        <v>336</v>
      </c>
      <c r="Q2361" s="21" t="s">
        <v>344</v>
      </c>
      <c r="R2361" s="22">
        <v>45756</v>
      </c>
      <c r="W2361">
        <f>COUNTIF(安藤証券!U:U,B2361)</f>
        <v>0</v>
      </c>
    </row>
    <row r="2362" spans="1:23" ht="24.95" hidden="1" customHeight="1" x14ac:dyDescent="0.4">
      <c r="A2362" s="17" t="s">
        <v>76</v>
      </c>
      <c r="B2362" s="15" t="s">
        <v>320</v>
      </c>
      <c r="C2362" s="16" t="s">
        <v>31</v>
      </c>
      <c r="D2362" s="16" t="s">
        <v>31</v>
      </c>
      <c r="E2362" s="15" t="s">
        <v>32</v>
      </c>
      <c r="F2362" s="15" t="s">
        <v>314</v>
      </c>
      <c r="N2362" s="21" t="s">
        <v>96</v>
      </c>
      <c r="O2362" s="21" t="s">
        <v>337</v>
      </c>
      <c r="Q2362" s="21" t="s">
        <v>344</v>
      </c>
      <c r="R2362" s="22">
        <v>45756</v>
      </c>
      <c r="W2362">
        <f>COUNTIF(安藤証券!U:U,B2362)</f>
        <v>0</v>
      </c>
    </row>
    <row r="2363" spans="1:23" ht="24.95" hidden="1" customHeight="1" x14ac:dyDescent="0.4">
      <c r="A2363" s="17" t="s">
        <v>76</v>
      </c>
      <c r="B2363" s="15" t="s">
        <v>132</v>
      </c>
      <c r="C2363" s="16" t="s">
        <v>31</v>
      </c>
      <c r="D2363" s="16" t="s">
        <v>31</v>
      </c>
      <c r="E2363" s="15" t="s">
        <v>32</v>
      </c>
      <c r="F2363" s="15" t="s">
        <v>314</v>
      </c>
      <c r="N2363" s="21" t="s">
        <v>96</v>
      </c>
      <c r="O2363" s="21" t="s">
        <v>337</v>
      </c>
      <c r="Q2363" s="21" t="s">
        <v>344</v>
      </c>
      <c r="R2363" s="22">
        <v>45756</v>
      </c>
      <c r="W2363">
        <f>COUNTIF(安藤証券!U:U,B2363)</f>
        <v>0</v>
      </c>
    </row>
    <row r="2364" spans="1:23" ht="24.95" hidden="1" customHeight="1" x14ac:dyDescent="0.4">
      <c r="A2364" s="17" t="s">
        <v>76</v>
      </c>
      <c r="B2364" s="15" t="s">
        <v>321</v>
      </c>
      <c r="C2364" s="16" t="s">
        <v>24</v>
      </c>
      <c r="D2364" s="16" t="s">
        <v>31</v>
      </c>
      <c r="E2364" s="15" t="s">
        <v>35</v>
      </c>
      <c r="F2364" s="15" t="s">
        <v>314</v>
      </c>
      <c r="N2364" s="21" t="s">
        <v>96</v>
      </c>
      <c r="O2364" s="21" t="s">
        <v>337</v>
      </c>
      <c r="Q2364" s="21" t="s">
        <v>344</v>
      </c>
      <c r="R2364" s="22">
        <v>45756</v>
      </c>
      <c r="W2364">
        <f>COUNTIF(安藤証券!U:U,B2364)</f>
        <v>0</v>
      </c>
    </row>
    <row r="2365" spans="1:23" ht="24.95" hidden="1" customHeight="1" x14ac:dyDescent="0.4">
      <c r="A2365" s="17" t="s">
        <v>76</v>
      </c>
      <c r="B2365" s="15" t="s">
        <v>322</v>
      </c>
      <c r="C2365" s="16" t="s">
        <v>24</v>
      </c>
      <c r="D2365" s="16" t="s">
        <v>31</v>
      </c>
      <c r="E2365" s="15" t="s">
        <v>35</v>
      </c>
      <c r="F2365" s="15" t="s">
        <v>314</v>
      </c>
      <c r="N2365" s="21" t="s">
        <v>96</v>
      </c>
      <c r="O2365" s="21" t="s">
        <v>337</v>
      </c>
      <c r="Q2365" s="21" t="s">
        <v>344</v>
      </c>
      <c r="R2365" s="22">
        <v>45756</v>
      </c>
      <c r="W2365">
        <f>COUNTIF(安藤証券!U:U,B2365)</f>
        <v>0</v>
      </c>
    </row>
    <row r="2366" spans="1:23" ht="24.95" hidden="1" customHeight="1" x14ac:dyDescent="0.4">
      <c r="A2366" s="17" t="s">
        <v>76</v>
      </c>
      <c r="B2366" s="15" t="s">
        <v>323</v>
      </c>
      <c r="C2366" s="16" t="s">
        <v>24</v>
      </c>
      <c r="D2366" s="16" t="s">
        <v>31</v>
      </c>
      <c r="E2366" s="15" t="s">
        <v>35</v>
      </c>
      <c r="F2366" s="15" t="s">
        <v>314</v>
      </c>
      <c r="N2366" s="21" t="s">
        <v>96</v>
      </c>
      <c r="O2366" s="21" t="s">
        <v>337</v>
      </c>
      <c r="Q2366" s="21" t="s">
        <v>344</v>
      </c>
      <c r="R2366" s="22">
        <v>45756</v>
      </c>
      <c r="W2366">
        <f>COUNTIF(安藤証券!U:U,B2366)</f>
        <v>0</v>
      </c>
    </row>
    <row r="2367" spans="1:23" ht="24.95" hidden="1" customHeight="1" x14ac:dyDescent="0.4">
      <c r="A2367" s="17" t="s">
        <v>76</v>
      </c>
      <c r="B2367" s="15" t="s">
        <v>238</v>
      </c>
      <c r="C2367" s="16" t="s">
        <v>31</v>
      </c>
      <c r="D2367" s="16" t="s">
        <v>31</v>
      </c>
      <c r="E2367" s="15" t="s">
        <v>32</v>
      </c>
      <c r="F2367" s="15" t="s">
        <v>314</v>
      </c>
      <c r="N2367" s="21" t="s">
        <v>96</v>
      </c>
      <c r="O2367" s="21" t="s">
        <v>336</v>
      </c>
      <c r="Q2367" s="21" t="s">
        <v>344</v>
      </c>
      <c r="R2367" s="22">
        <v>45756</v>
      </c>
      <c r="W2367">
        <f>COUNTIF(安藤証券!U:U,B2367)</f>
        <v>0</v>
      </c>
    </row>
    <row r="2368" spans="1:23" ht="24.95" hidden="1" customHeight="1" x14ac:dyDescent="0.4">
      <c r="A2368" s="17" t="s">
        <v>76</v>
      </c>
      <c r="B2368" s="15" t="s">
        <v>239</v>
      </c>
      <c r="C2368" s="16" t="s">
        <v>31</v>
      </c>
      <c r="D2368" s="16" t="s">
        <v>31</v>
      </c>
      <c r="E2368" s="15" t="s">
        <v>32</v>
      </c>
      <c r="F2368" s="15" t="s">
        <v>314</v>
      </c>
      <c r="N2368" s="21" t="s">
        <v>96</v>
      </c>
      <c r="O2368" s="21" t="s">
        <v>336</v>
      </c>
      <c r="Q2368" s="21" t="s">
        <v>344</v>
      </c>
      <c r="R2368" s="22">
        <v>45756</v>
      </c>
      <c r="W2368">
        <f>COUNTIF(安藤証券!U:U,B2368)</f>
        <v>0</v>
      </c>
    </row>
    <row r="2369" spans="1:23" ht="24.95" hidden="1" customHeight="1" x14ac:dyDescent="0.4">
      <c r="A2369" s="17" t="s">
        <v>76</v>
      </c>
      <c r="B2369" s="15" t="s">
        <v>240</v>
      </c>
      <c r="C2369" s="16" t="s">
        <v>31</v>
      </c>
      <c r="D2369" s="16" t="s">
        <v>31</v>
      </c>
      <c r="E2369" s="15" t="s">
        <v>32</v>
      </c>
      <c r="F2369" s="15" t="s">
        <v>314</v>
      </c>
      <c r="N2369" s="21" t="s">
        <v>96</v>
      </c>
      <c r="O2369" s="21" t="s">
        <v>336</v>
      </c>
      <c r="Q2369" s="21" t="s">
        <v>344</v>
      </c>
      <c r="R2369" s="22">
        <v>45756</v>
      </c>
      <c r="W2369">
        <f>COUNTIF(安藤証券!U:U,B2369)</f>
        <v>0</v>
      </c>
    </row>
    <row r="2370" spans="1:23" ht="24.95" hidden="1" customHeight="1" x14ac:dyDescent="0.4">
      <c r="A2370" s="17" t="s">
        <v>76</v>
      </c>
      <c r="B2370" s="15" t="s">
        <v>241</v>
      </c>
      <c r="C2370" s="16" t="s">
        <v>31</v>
      </c>
      <c r="D2370" s="16" t="s">
        <v>31</v>
      </c>
      <c r="E2370" s="15" t="s">
        <v>32</v>
      </c>
      <c r="F2370" s="15" t="s">
        <v>314</v>
      </c>
      <c r="N2370" s="21" t="s">
        <v>96</v>
      </c>
      <c r="O2370" s="21" t="s">
        <v>336</v>
      </c>
      <c r="Q2370" s="21" t="s">
        <v>344</v>
      </c>
      <c r="R2370" s="22">
        <v>45756</v>
      </c>
      <c r="W2370">
        <f>COUNTIF(安藤証券!U:U,B2370)</f>
        <v>0</v>
      </c>
    </row>
    <row r="2371" spans="1:23" ht="24.95" hidden="1" customHeight="1" x14ac:dyDescent="0.4">
      <c r="A2371" s="17" t="s">
        <v>76</v>
      </c>
      <c r="B2371" s="15" t="s">
        <v>242</v>
      </c>
      <c r="C2371" s="16" t="s">
        <v>31</v>
      </c>
      <c r="D2371" s="16" t="s">
        <v>31</v>
      </c>
      <c r="E2371" s="15" t="s">
        <v>32</v>
      </c>
      <c r="F2371" s="15" t="s">
        <v>314</v>
      </c>
      <c r="N2371" s="21" t="s">
        <v>96</v>
      </c>
      <c r="O2371" s="21" t="s">
        <v>336</v>
      </c>
      <c r="Q2371" s="21" t="s">
        <v>344</v>
      </c>
      <c r="R2371" s="22">
        <v>45756</v>
      </c>
      <c r="W2371">
        <f>COUNTIF(安藤証券!U:U,B2371)</f>
        <v>0</v>
      </c>
    </row>
    <row r="2372" spans="1:23" ht="24.95" hidden="1" customHeight="1" x14ac:dyDescent="0.4">
      <c r="A2372" s="17" t="s">
        <v>76</v>
      </c>
      <c r="B2372" s="15" t="s">
        <v>243</v>
      </c>
      <c r="C2372" s="16" t="s">
        <v>31</v>
      </c>
      <c r="D2372" s="16" t="s">
        <v>31</v>
      </c>
      <c r="E2372" s="15" t="s">
        <v>32</v>
      </c>
      <c r="F2372" s="15" t="s">
        <v>314</v>
      </c>
      <c r="N2372" s="21" t="s">
        <v>96</v>
      </c>
      <c r="O2372" s="21" t="s">
        <v>336</v>
      </c>
      <c r="Q2372" s="21" t="s">
        <v>344</v>
      </c>
      <c r="R2372" s="22">
        <v>45756</v>
      </c>
      <c r="W2372">
        <f>COUNTIF(安藤証券!U:U,B2372)</f>
        <v>0</v>
      </c>
    </row>
    <row r="2373" spans="1:23" ht="24.95" hidden="1" customHeight="1" x14ac:dyDescent="0.4">
      <c r="A2373" s="17" t="s">
        <v>76</v>
      </c>
      <c r="B2373" s="15" t="s">
        <v>244</v>
      </c>
      <c r="C2373" s="16" t="s">
        <v>31</v>
      </c>
      <c r="D2373" s="16" t="s">
        <v>31</v>
      </c>
      <c r="E2373" s="15" t="s">
        <v>32</v>
      </c>
      <c r="F2373" s="15" t="s">
        <v>314</v>
      </c>
      <c r="N2373" s="21" t="s">
        <v>96</v>
      </c>
      <c r="O2373" s="21" t="s">
        <v>336</v>
      </c>
      <c r="Q2373" s="21" t="s">
        <v>344</v>
      </c>
      <c r="R2373" s="22">
        <v>45756</v>
      </c>
      <c r="W2373">
        <f>COUNTIF(安藤証券!U:U,B2373)</f>
        <v>0</v>
      </c>
    </row>
    <row r="2374" spans="1:23" ht="24.95" hidden="1" customHeight="1" x14ac:dyDescent="0.4">
      <c r="A2374" s="17" t="s">
        <v>76</v>
      </c>
      <c r="B2374" s="15" t="s">
        <v>245</v>
      </c>
      <c r="C2374" s="16" t="s">
        <v>31</v>
      </c>
      <c r="D2374" s="16" t="s">
        <v>31</v>
      </c>
      <c r="E2374" s="15" t="s">
        <v>32</v>
      </c>
      <c r="F2374" s="15" t="s">
        <v>314</v>
      </c>
      <c r="N2374" s="21" t="s">
        <v>96</v>
      </c>
      <c r="O2374" s="21" t="s">
        <v>336</v>
      </c>
      <c r="Q2374" s="21" t="s">
        <v>344</v>
      </c>
      <c r="R2374" s="22">
        <v>45756</v>
      </c>
      <c r="W2374">
        <f>COUNTIF(安藤証券!U:U,B2374)</f>
        <v>0</v>
      </c>
    </row>
    <row r="2375" spans="1:23" ht="24.95" hidden="1" customHeight="1" x14ac:dyDescent="0.4">
      <c r="A2375" s="17" t="s">
        <v>76</v>
      </c>
      <c r="B2375" s="15" t="s">
        <v>246</v>
      </c>
      <c r="C2375" s="16" t="s">
        <v>31</v>
      </c>
      <c r="D2375" s="16" t="s">
        <v>31</v>
      </c>
      <c r="E2375" s="15" t="s">
        <v>32</v>
      </c>
      <c r="F2375" s="15" t="s">
        <v>314</v>
      </c>
      <c r="N2375" s="21" t="s">
        <v>96</v>
      </c>
      <c r="O2375" s="21" t="s">
        <v>336</v>
      </c>
      <c r="Q2375" s="21" t="s">
        <v>344</v>
      </c>
      <c r="R2375" s="22">
        <v>45756</v>
      </c>
      <c r="W2375">
        <f>COUNTIF(安藤証券!U:U,B2375)</f>
        <v>0</v>
      </c>
    </row>
    <row r="2376" spans="1:23" ht="24.95" hidden="1" customHeight="1" x14ac:dyDescent="0.4">
      <c r="A2376" s="17" t="s">
        <v>76</v>
      </c>
      <c r="B2376" s="15" t="s">
        <v>247</v>
      </c>
      <c r="C2376" s="16" t="s">
        <v>31</v>
      </c>
      <c r="D2376" s="16" t="s">
        <v>31</v>
      </c>
      <c r="E2376" s="15" t="s">
        <v>32</v>
      </c>
      <c r="F2376" s="15" t="s">
        <v>314</v>
      </c>
      <c r="N2376" s="21" t="s">
        <v>96</v>
      </c>
      <c r="O2376" s="21" t="s">
        <v>336</v>
      </c>
      <c r="Q2376" s="21" t="s">
        <v>344</v>
      </c>
      <c r="R2376" s="22">
        <v>45756</v>
      </c>
      <c r="W2376">
        <f>COUNTIF(安藤証券!U:U,B2376)</f>
        <v>0</v>
      </c>
    </row>
    <row r="2377" spans="1:23" ht="24.95" hidden="1" customHeight="1" x14ac:dyDescent="0.4">
      <c r="A2377" s="17" t="s">
        <v>76</v>
      </c>
      <c r="B2377" s="15" t="s">
        <v>248</v>
      </c>
      <c r="C2377" s="16" t="s">
        <v>31</v>
      </c>
      <c r="D2377" s="16" t="s">
        <v>31</v>
      </c>
      <c r="E2377" s="15" t="s">
        <v>32</v>
      </c>
      <c r="F2377" s="15" t="s">
        <v>314</v>
      </c>
      <c r="N2377" s="21" t="s">
        <v>96</v>
      </c>
      <c r="O2377" s="21" t="s">
        <v>336</v>
      </c>
      <c r="Q2377" s="21" t="s">
        <v>344</v>
      </c>
      <c r="R2377" s="22">
        <v>45756</v>
      </c>
      <c r="W2377">
        <f>COUNTIF(安藤証券!U:U,B2377)</f>
        <v>0</v>
      </c>
    </row>
    <row r="2378" spans="1:23" ht="24.95" hidden="1" customHeight="1" x14ac:dyDescent="0.4">
      <c r="A2378" s="17" t="s">
        <v>76</v>
      </c>
      <c r="B2378" s="15" t="s">
        <v>249</v>
      </c>
      <c r="C2378" s="16" t="s">
        <v>31</v>
      </c>
      <c r="D2378" s="16" t="s">
        <v>31</v>
      </c>
      <c r="E2378" s="15" t="s">
        <v>32</v>
      </c>
      <c r="F2378" s="15" t="s">
        <v>314</v>
      </c>
      <c r="N2378" s="21" t="s">
        <v>96</v>
      </c>
      <c r="O2378" s="21" t="s">
        <v>336</v>
      </c>
      <c r="Q2378" s="21" t="s">
        <v>344</v>
      </c>
      <c r="R2378" s="22">
        <v>45756</v>
      </c>
      <c r="W2378">
        <f>COUNTIF(安藤証券!U:U,B2378)</f>
        <v>0</v>
      </c>
    </row>
    <row r="2379" spans="1:23" ht="24.95" hidden="1" customHeight="1" x14ac:dyDescent="0.4">
      <c r="A2379" s="17" t="s">
        <v>76</v>
      </c>
      <c r="B2379" s="15" t="s">
        <v>250</v>
      </c>
      <c r="C2379" s="16" t="s">
        <v>31</v>
      </c>
      <c r="D2379" s="16" t="s">
        <v>31</v>
      </c>
      <c r="E2379" s="15" t="s">
        <v>32</v>
      </c>
      <c r="F2379" s="15" t="s">
        <v>314</v>
      </c>
      <c r="N2379" s="21" t="s">
        <v>96</v>
      </c>
      <c r="O2379" s="21" t="s">
        <v>336</v>
      </c>
      <c r="Q2379" s="21" t="s">
        <v>344</v>
      </c>
      <c r="R2379" s="22">
        <v>45756</v>
      </c>
      <c r="W2379">
        <f>COUNTIF(安藤証券!U:U,B2379)</f>
        <v>0</v>
      </c>
    </row>
    <row r="2380" spans="1:23" ht="24.95" hidden="1" customHeight="1" x14ac:dyDescent="0.4">
      <c r="A2380" s="17" t="s">
        <v>76</v>
      </c>
      <c r="B2380" s="15" t="s">
        <v>251</v>
      </c>
      <c r="C2380" s="16" t="s">
        <v>31</v>
      </c>
      <c r="D2380" s="16" t="s">
        <v>31</v>
      </c>
      <c r="E2380" s="15" t="s">
        <v>32</v>
      </c>
      <c r="F2380" s="15" t="s">
        <v>314</v>
      </c>
      <c r="N2380" s="21" t="s">
        <v>96</v>
      </c>
      <c r="O2380" s="21" t="s">
        <v>336</v>
      </c>
      <c r="Q2380" s="21" t="s">
        <v>344</v>
      </c>
      <c r="R2380" s="22">
        <v>45756</v>
      </c>
      <c r="W2380">
        <f>COUNTIF(安藤証券!U:U,B2380)</f>
        <v>0</v>
      </c>
    </row>
    <row r="2381" spans="1:23" ht="24.95" hidden="1" customHeight="1" x14ac:dyDescent="0.4">
      <c r="A2381" s="17" t="s">
        <v>76</v>
      </c>
      <c r="B2381" s="15" t="s">
        <v>341</v>
      </c>
      <c r="C2381" s="16" t="s">
        <v>31</v>
      </c>
      <c r="D2381" s="16" t="s">
        <v>31</v>
      </c>
      <c r="E2381" s="15" t="s">
        <v>32</v>
      </c>
      <c r="F2381" s="15" t="s">
        <v>340</v>
      </c>
      <c r="N2381" s="21" t="s">
        <v>96</v>
      </c>
      <c r="O2381" s="21" t="s">
        <v>345</v>
      </c>
      <c r="Q2381" s="21" t="s">
        <v>344</v>
      </c>
      <c r="R2381" s="22">
        <v>45784</v>
      </c>
      <c r="W2381">
        <f>COUNTIF(安藤証券!U:U,B2381)</f>
        <v>0</v>
      </c>
    </row>
    <row r="2382" spans="1:23" ht="24.95" hidden="1" customHeight="1" x14ac:dyDescent="0.4">
      <c r="A2382" s="17" t="s">
        <v>76</v>
      </c>
      <c r="B2382" s="15" t="s">
        <v>252</v>
      </c>
      <c r="C2382" s="16" t="s">
        <v>31</v>
      </c>
      <c r="D2382" s="16" t="s">
        <v>31</v>
      </c>
      <c r="E2382" s="15" t="s">
        <v>32</v>
      </c>
      <c r="F2382" s="15" t="s">
        <v>314</v>
      </c>
      <c r="N2382" s="21" t="s">
        <v>96</v>
      </c>
      <c r="O2382" s="21" t="s">
        <v>336</v>
      </c>
      <c r="Q2382" s="21" t="s">
        <v>344</v>
      </c>
      <c r="R2382" s="22">
        <v>45756</v>
      </c>
      <c r="W2382">
        <f>COUNTIF(安藤証券!U:U,B2382)</f>
        <v>0</v>
      </c>
    </row>
    <row r="2383" spans="1:23" ht="24.95" hidden="1" customHeight="1" x14ac:dyDescent="0.4">
      <c r="A2383" s="17" t="s">
        <v>76</v>
      </c>
      <c r="B2383" s="15" t="s">
        <v>253</v>
      </c>
      <c r="C2383" s="16" t="s">
        <v>31</v>
      </c>
      <c r="D2383" s="16" t="s">
        <v>31</v>
      </c>
      <c r="E2383" s="15" t="s">
        <v>32</v>
      </c>
      <c r="F2383" s="15" t="s">
        <v>314</v>
      </c>
      <c r="N2383" s="21" t="s">
        <v>96</v>
      </c>
      <c r="O2383" s="21" t="s">
        <v>336</v>
      </c>
      <c r="Q2383" s="21" t="s">
        <v>344</v>
      </c>
      <c r="R2383" s="22">
        <v>45756</v>
      </c>
      <c r="W2383">
        <f>COUNTIF(安藤証券!U:U,B2383)</f>
        <v>0</v>
      </c>
    </row>
    <row r="2384" spans="1:23" ht="24.95" hidden="1" customHeight="1" x14ac:dyDescent="0.4">
      <c r="A2384" s="17" t="s">
        <v>76</v>
      </c>
      <c r="B2384" s="15" t="s">
        <v>254</v>
      </c>
      <c r="C2384" s="16" t="s">
        <v>31</v>
      </c>
      <c r="D2384" s="16" t="s">
        <v>31</v>
      </c>
      <c r="E2384" s="15" t="s">
        <v>32</v>
      </c>
      <c r="F2384" s="15" t="s">
        <v>314</v>
      </c>
      <c r="N2384" s="21" t="s">
        <v>96</v>
      </c>
      <c r="O2384" s="21" t="s">
        <v>336</v>
      </c>
      <c r="Q2384" s="21" t="s">
        <v>344</v>
      </c>
      <c r="R2384" s="22">
        <v>45756</v>
      </c>
      <c r="W2384">
        <f>COUNTIF(安藤証券!U:U,B2384)</f>
        <v>0</v>
      </c>
    </row>
    <row r="2385" spans="1:23" ht="24.95" hidden="1" customHeight="1" x14ac:dyDescent="0.4">
      <c r="A2385" s="17" t="s">
        <v>76</v>
      </c>
      <c r="B2385" s="15" t="s">
        <v>255</v>
      </c>
      <c r="C2385" s="16" t="s">
        <v>31</v>
      </c>
      <c r="D2385" s="16" t="s">
        <v>31</v>
      </c>
      <c r="E2385" s="15" t="s">
        <v>32</v>
      </c>
      <c r="F2385" s="15" t="s">
        <v>314</v>
      </c>
      <c r="N2385" s="21" t="s">
        <v>96</v>
      </c>
      <c r="O2385" s="21" t="s">
        <v>336</v>
      </c>
      <c r="Q2385" s="21" t="s">
        <v>344</v>
      </c>
      <c r="R2385" s="22">
        <v>45756</v>
      </c>
      <c r="W2385">
        <f>COUNTIF(安藤証券!U:U,B2385)</f>
        <v>0</v>
      </c>
    </row>
    <row r="2386" spans="1:23" ht="24.95" hidden="1" customHeight="1" x14ac:dyDescent="0.4">
      <c r="A2386" s="17" t="s">
        <v>76</v>
      </c>
      <c r="B2386" s="15" t="s">
        <v>256</v>
      </c>
      <c r="C2386" s="16" t="s">
        <v>31</v>
      </c>
      <c r="D2386" s="16" t="s">
        <v>31</v>
      </c>
      <c r="E2386" s="15" t="s">
        <v>32</v>
      </c>
      <c r="F2386" s="15" t="s">
        <v>314</v>
      </c>
      <c r="N2386" s="21" t="s">
        <v>96</v>
      </c>
      <c r="O2386" s="21" t="s">
        <v>336</v>
      </c>
      <c r="Q2386" s="21" t="s">
        <v>344</v>
      </c>
      <c r="R2386" s="22">
        <v>45756</v>
      </c>
      <c r="W2386">
        <f>COUNTIF(安藤証券!U:U,B2386)</f>
        <v>0</v>
      </c>
    </row>
    <row r="2387" spans="1:23" ht="24.95" hidden="1" customHeight="1" x14ac:dyDescent="0.4">
      <c r="A2387" s="17" t="s">
        <v>76</v>
      </c>
      <c r="B2387" s="15" t="s">
        <v>257</v>
      </c>
      <c r="C2387" s="16" t="s">
        <v>31</v>
      </c>
      <c r="D2387" s="16" t="s">
        <v>31</v>
      </c>
      <c r="E2387" s="15" t="s">
        <v>32</v>
      </c>
      <c r="F2387" s="15" t="s">
        <v>314</v>
      </c>
      <c r="N2387" s="21" t="s">
        <v>96</v>
      </c>
      <c r="O2387" s="21" t="s">
        <v>336</v>
      </c>
      <c r="Q2387" s="21" t="s">
        <v>344</v>
      </c>
      <c r="R2387" s="22">
        <v>45756</v>
      </c>
      <c r="W2387">
        <f>COUNTIF(安藤証券!U:U,B2387)</f>
        <v>0</v>
      </c>
    </row>
    <row r="2388" spans="1:23" ht="24.95" hidden="1" customHeight="1" x14ac:dyDescent="0.4">
      <c r="A2388" s="17" t="s">
        <v>76</v>
      </c>
      <c r="B2388" s="15" t="s">
        <v>258</v>
      </c>
      <c r="C2388" s="16" t="s">
        <v>31</v>
      </c>
      <c r="D2388" s="16" t="s">
        <v>31</v>
      </c>
      <c r="E2388" s="15" t="s">
        <v>32</v>
      </c>
      <c r="F2388" s="15" t="s">
        <v>314</v>
      </c>
      <c r="N2388" s="21" t="s">
        <v>96</v>
      </c>
      <c r="O2388" s="21" t="s">
        <v>336</v>
      </c>
      <c r="Q2388" s="21" t="s">
        <v>344</v>
      </c>
      <c r="R2388" s="22">
        <v>45756</v>
      </c>
      <c r="W2388">
        <f>COUNTIF(安藤証券!U:U,B2388)</f>
        <v>0</v>
      </c>
    </row>
    <row r="2389" spans="1:23" ht="24.95" hidden="1" customHeight="1" x14ac:dyDescent="0.4">
      <c r="A2389" s="17" t="s">
        <v>76</v>
      </c>
      <c r="B2389" s="15" t="s">
        <v>259</v>
      </c>
      <c r="C2389" s="16" t="s">
        <v>31</v>
      </c>
      <c r="D2389" s="16" t="s">
        <v>31</v>
      </c>
      <c r="E2389" s="15" t="s">
        <v>32</v>
      </c>
      <c r="F2389" s="15" t="s">
        <v>314</v>
      </c>
      <c r="N2389" s="21" t="s">
        <v>96</v>
      </c>
      <c r="O2389" s="21" t="s">
        <v>336</v>
      </c>
      <c r="Q2389" s="21" t="s">
        <v>344</v>
      </c>
      <c r="R2389" s="22">
        <v>45756</v>
      </c>
      <c r="W2389">
        <f>COUNTIF(安藤証券!U:U,B2389)</f>
        <v>0</v>
      </c>
    </row>
    <row r="2390" spans="1:23" ht="24.95" hidden="1" customHeight="1" x14ac:dyDescent="0.4">
      <c r="A2390" s="17" t="s">
        <v>76</v>
      </c>
      <c r="B2390" s="15" t="s">
        <v>260</v>
      </c>
      <c r="C2390" s="16" t="s">
        <v>31</v>
      </c>
      <c r="D2390" s="16" t="s">
        <v>31</v>
      </c>
      <c r="E2390" s="15" t="s">
        <v>32</v>
      </c>
      <c r="F2390" s="15" t="s">
        <v>314</v>
      </c>
      <c r="N2390" s="21" t="s">
        <v>96</v>
      </c>
      <c r="O2390" s="21" t="s">
        <v>336</v>
      </c>
      <c r="Q2390" s="21" t="s">
        <v>344</v>
      </c>
      <c r="R2390" s="22">
        <v>45756</v>
      </c>
      <c r="W2390">
        <f>COUNTIF(安藤証券!U:U,B2390)</f>
        <v>0</v>
      </c>
    </row>
    <row r="2391" spans="1:23" ht="24.95" hidden="1" customHeight="1" x14ac:dyDescent="0.4">
      <c r="A2391" s="17" t="s">
        <v>76</v>
      </c>
      <c r="B2391" s="15" t="s">
        <v>261</v>
      </c>
      <c r="C2391" s="16" t="s">
        <v>31</v>
      </c>
      <c r="D2391" s="16" t="s">
        <v>31</v>
      </c>
      <c r="E2391" s="15" t="s">
        <v>32</v>
      </c>
      <c r="F2391" s="15" t="s">
        <v>314</v>
      </c>
      <c r="N2391" s="21" t="s">
        <v>96</v>
      </c>
      <c r="O2391" s="21" t="s">
        <v>336</v>
      </c>
      <c r="Q2391" s="21" t="s">
        <v>344</v>
      </c>
      <c r="R2391" s="22">
        <v>45756</v>
      </c>
      <c r="W2391">
        <f>COUNTIF(安藤証券!U:U,B2391)</f>
        <v>0</v>
      </c>
    </row>
    <row r="2392" spans="1:23" ht="24.95" hidden="1" customHeight="1" x14ac:dyDescent="0.4">
      <c r="A2392" s="17" t="s">
        <v>76</v>
      </c>
      <c r="B2392" s="15" t="s">
        <v>262</v>
      </c>
      <c r="C2392" s="16" t="s">
        <v>31</v>
      </c>
      <c r="D2392" s="16" t="s">
        <v>31</v>
      </c>
      <c r="E2392" s="15" t="s">
        <v>32</v>
      </c>
      <c r="F2392" s="15" t="s">
        <v>314</v>
      </c>
      <c r="N2392" s="21" t="s">
        <v>96</v>
      </c>
      <c r="O2392" s="21" t="s">
        <v>336</v>
      </c>
      <c r="Q2392" s="21" t="s">
        <v>344</v>
      </c>
      <c r="R2392" s="22">
        <v>45756</v>
      </c>
      <c r="W2392">
        <f>COUNTIF(安藤証券!U:U,B2392)</f>
        <v>0</v>
      </c>
    </row>
    <row r="2393" spans="1:23" ht="24.95" hidden="1" customHeight="1" x14ac:dyDescent="0.4">
      <c r="A2393" s="17" t="s">
        <v>76</v>
      </c>
      <c r="B2393" s="15" t="s">
        <v>263</v>
      </c>
      <c r="C2393" s="16" t="s">
        <v>31</v>
      </c>
      <c r="D2393" s="16" t="s">
        <v>31</v>
      </c>
      <c r="E2393" s="15" t="s">
        <v>32</v>
      </c>
      <c r="F2393" s="15" t="s">
        <v>314</v>
      </c>
      <c r="N2393" s="21" t="s">
        <v>96</v>
      </c>
      <c r="O2393" s="21" t="s">
        <v>336</v>
      </c>
      <c r="Q2393" s="21" t="s">
        <v>344</v>
      </c>
      <c r="R2393" s="22">
        <v>45756</v>
      </c>
      <c r="W2393">
        <f>COUNTIF(安藤証券!U:U,B2393)</f>
        <v>0</v>
      </c>
    </row>
    <row r="2394" spans="1:23" ht="24.95" hidden="1" customHeight="1" x14ac:dyDescent="0.4">
      <c r="A2394" s="17" t="s">
        <v>76</v>
      </c>
      <c r="B2394" s="15" t="s">
        <v>264</v>
      </c>
      <c r="C2394" s="16" t="s">
        <v>31</v>
      </c>
      <c r="D2394" s="16" t="s">
        <v>31</v>
      </c>
      <c r="E2394" s="15" t="s">
        <v>32</v>
      </c>
      <c r="F2394" s="15" t="s">
        <v>314</v>
      </c>
      <c r="N2394" s="21" t="s">
        <v>96</v>
      </c>
      <c r="O2394" s="21" t="s">
        <v>336</v>
      </c>
      <c r="Q2394" s="21" t="s">
        <v>344</v>
      </c>
      <c r="R2394" s="22">
        <v>45756</v>
      </c>
      <c r="W2394">
        <f>COUNTIF(安藤証券!U:U,B2394)</f>
        <v>0</v>
      </c>
    </row>
    <row r="2395" spans="1:23" ht="24.95" hidden="1" customHeight="1" x14ac:dyDescent="0.4">
      <c r="A2395" s="17" t="s">
        <v>76</v>
      </c>
      <c r="B2395" s="15" t="s">
        <v>265</v>
      </c>
      <c r="C2395" s="16" t="s">
        <v>31</v>
      </c>
      <c r="D2395" s="16" t="s">
        <v>31</v>
      </c>
      <c r="E2395" s="15" t="s">
        <v>32</v>
      </c>
      <c r="F2395" s="15" t="s">
        <v>314</v>
      </c>
      <c r="N2395" s="21" t="s">
        <v>96</v>
      </c>
      <c r="O2395" s="21" t="s">
        <v>336</v>
      </c>
      <c r="Q2395" s="21" t="s">
        <v>344</v>
      </c>
      <c r="R2395" s="22">
        <v>45756</v>
      </c>
      <c r="W2395">
        <f>COUNTIF(安藤証券!U:U,B2395)</f>
        <v>0</v>
      </c>
    </row>
    <row r="2396" spans="1:23" ht="24.95" hidden="1" customHeight="1" x14ac:dyDescent="0.4">
      <c r="A2396" s="17" t="s">
        <v>76</v>
      </c>
      <c r="B2396" s="15" t="s">
        <v>266</v>
      </c>
      <c r="C2396" s="16" t="s">
        <v>31</v>
      </c>
      <c r="D2396" s="16" t="s">
        <v>31</v>
      </c>
      <c r="E2396" s="15" t="s">
        <v>32</v>
      </c>
      <c r="F2396" s="15" t="s">
        <v>314</v>
      </c>
      <c r="N2396" s="21" t="s">
        <v>96</v>
      </c>
      <c r="O2396" s="21" t="s">
        <v>336</v>
      </c>
      <c r="Q2396" s="21" t="s">
        <v>344</v>
      </c>
      <c r="R2396" s="22">
        <v>45756</v>
      </c>
      <c r="W2396">
        <f>COUNTIF(安藤証券!U:U,B2396)</f>
        <v>0</v>
      </c>
    </row>
    <row r="2397" spans="1:23" ht="24.95" hidden="1" customHeight="1" x14ac:dyDescent="0.4">
      <c r="A2397" s="17" t="s">
        <v>76</v>
      </c>
      <c r="B2397" s="15" t="s">
        <v>267</v>
      </c>
      <c r="C2397" s="16" t="s">
        <v>31</v>
      </c>
      <c r="D2397" s="16" t="s">
        <v>31</v>
      </c>
      <c r="E2397" s="15" t="s">
        <v>32</v>
      </c>
      <c r="F2397" s="15" t="s">
        <v>314</v>
      </c>
      <c r="N2397" s="21" t="s">
        <v>96</v>
      </c>
      <c r="O2397" s="21" t="s">
        <v>336</v>
      </c>
      <c r="Q2397" s="21" t="s">
        <v>344</v>
      </c>
      <c r="R2397" s="22">
        <v>45756</v>
      </c>
      <c r="W2397">
        <f>COUNTIF(安藤証券!U:U,B2397)</f>
        <v>0</v>
      </c>
    </row>
    <row r="2398" spans="1:23" ht="24.95" hidden="1" customHeight="1" x14ac:dyDescent="0.4">
      <c r="A2398" s="17" t="s">
        <v>76</v>
      </c>
      <c r="B2398" s="15" t="s">
        <v>268</v>
      </c>
      <c r="C2398" s="16" t="s">
        <v>31</v>
      </c>
      <c r="D2398" s="16" t="s">
        <v>31</v>
      </c>
      <c r="E2398" s="15" t="s">
        <v>32</v>
      </c>
      <c r="F2398" s="15" t="s">
        <v>314</v>
      </c>
      <c r="N2398" s="21" t="s">
        <v>96</v>
      </c>
      <c r="O2398" s="21" t="s">
        <v>336</v>
      </c>
      <c r="Q2398" s="21" t="s">
        <v>344</v>
      </c>
      <c r="R2398" s="22">
        <v>45756</v>
      </c>
      <c r="W2398">
        <f>COUNTIF(安藤証券!U:U,B2398)</f>
        <v>0</v>
      </c>
    </row>
    <row r="2399" spans="1:23" ht="24.95" hidden="1" customHeight="1" x14ac:dyDescent="0.4">
      <c r="A2399" s="17" t="s">
        <v>76</v>
      </c>
      <c r="B2399" s="15" t="s">
        <v>269</v>
      </c>
      <c r="C2399" s="16" t="s">
        <v>31</v>
      </c>
      <c r="D2399" s="16" t="s">
        <v>31</v>
      </c>
      <c r="E2399" s="15" t="s">
        <v>32</v>
      </c>
      <c r="F2399" s="15" t="s">
        <v>314</v>
      </c>
      <c r="N2399" s="21" t="s">
        <v>96</v>
      </c>
      <c r="O2399" s="21" t="s">
        <v>336</v>
      </c>
      <c r="Q2399" s="21" t="s">
        <v>344</v>
      </c>
      <c r="R2399" s="22">
        <v>45756</v>
      </c>
      <c r="W2399">
        <f>COUNTIF(安藤証券!U:U,B2399)</f>
        <v>0</v>
      </c>
    </row>
    <row r="2400" spans="1:23" ht="24.95" hidden="1" customHeight="1" x14ac:dyDescent="0.4">
      <c r="A2400" s="17" t="s">
        <v>76</v>
      </c>
      <c r="B2400" s="15" t="s">
        <v>270</v>
      </c>
      <c r="C2400" s="16" t="s">
        <v>31</v>
      </c>
      <c r="D2400" s="16" t="s">
        <v>31</v>
      </c>
      <c r="E2400" s="15" t="s">
        <v>32</v>
      </c>
      <c r="F2400" s="15" t="s">
        <v>314</v>
      </c>
      <c r="N2400" s="21" t="s">
        <v>96</v>
      </c>
      <c r="O2400" s="21" t="s">
        <v>336</v>
      </c>
      <c r="Q2400" s="21" t="s">
        <v>344</v>
      </c>
      <c r="R2400" s="22">
        <v>45756</v>
      </c>
      <c r="W2400">
        <f>COUNTIF(安藤証券!U:U,B2400)</f>
        <v>0</v>
      </c>
    </row>
    <row r="2401" spans="1:23" ht="24.95" hidden="1" customHeight="1" x14ac:dyDescent="0.4">
      <c r="A2401" s="17" t="s">
        <v>76</v>
      </c>
      <c r="B2401" s="15" t="s">
        <v>271</v>
      </c>
      <c r="C2401" s="16" t="s">
        <v>31</v>
      </c>
      <c r="D2401" s="16" t="s">
        <v>31</v>
      </c>
      <c r="E2401" s="15" t="s">
        <v>32</v>
      </c>
      <c r="F2401" s="15" t="s">
        <v>314</v>
      </c>
      <c r="N2401" s="21" t="s">
        <v>96</v>
      </c>
      <c r="O2401" s="21" t="s">
        <v>336</v>
      </c>
      <c r="Q2401" s="21" t="s">
        <v>344</v>
      </c>
      <c r="R2401" s="22">
        <v>45756</v>
      </c>
      <c r="W2401">
        <f>COUNTIF(安藤証券!U:U,B2401)</f>
        <v>0</v>
      </c>
    </row>
    <row r="2402" spans="1:23" ht="24.95" hidden="1" customHeight="1" x14ac:dyDescent="0.4">
      <c r="A2402" s="17" t="s">
        <v>76</v>
      </c>
      <c r="B2402" s="15" t="s">
        <v>366</v>
      </c>
      <c r="C2402" s="16" t="s">
        <v>31</v>
      </c>
      <c r="D2402" s="16" t="s">
        <v>31</v>
      </c>
      <c r="E2402" s="15" t="s">
        <v>32</v>
      </c>
      <c r="F2402" s="15" t="s">
        <v>365</v>
      </c>
      <c r="N2402" s="21" t="s">
        <v>374</v>
      </c>
      <c r="O2402" s="21" t="s">
        <v>373</v>
      </c>
      <c r="Q2402" s="21" t="s">
        <v>344</v>
      </c>
      <c r="R2402" s="22">
        <v>45883</v>
      </c>
      <c r="W2402">
        <f>COUNTIF(安藤証券!U:U,B2402)</f>
        <v>0</v>
      </c>
    </row>
    <row r="2403" spans="1:23" ht="24.95" hidden="1" customHeight="1" x14ac:dyDescent="0.4">
      <c r="A2403" s="17" t="s">
        <v>76</v>
      </c>
      <c r="B2403" s="15" t="s">
        <v>367</v>
      </c>
      <c r="C2403" s="16" t="s">
        <v>31</v>
      </c>
      <c r="D2403" s="16" t="s">
        <v>31</v>
      </c>
      <c r="E2403" s="15" t="s">
        <v>32</v>
      </c>
      <c r="F2403" s="15" t="s">
        <v>365</v>
      </c>
      <c r="N2403" s="21" t="s">
        <v>374</v>
      </c>
      <c r="O2403" s="21" t="s">
        <v>373</v>
      </c>
      <c r="Q2403" s="21" t="s">
        <v>344</v>
      </c>
      <c r="R2403" s="22">
        <v>45883</v>
      </c>
      <c r="W2403">
        <f>COUNTIF(安藤証券!U:U,B2403)</f>
        <v>0</v>
      </c>
    </row>
    <row r="2404" spans="1:23" ht="24.95" hidden="1" customHeight="1" x14ac:dyDescent="0.4">
      <c r="A2404" s="17" t="s">
        <v>76</v>
      </c>
      <c r="B2404" s="15" t="s">
        <v>324</v>
      </c>
      <c r="C2404" s="16" t="s">
        <v>31</v>
      </c>
      <c r="D2404" s="16" t="s">
        <v>31</v>
      </c>
      <c r="E2404" s="15" t="s">
        <v>32</v>
      </c>
      <c r="F2404" s="15" t="s">
        <v>314</v>
      </c>
      <c r="N2404" s="21" t="s">
        <v>96</v>
      </c>
      <c r="O2404" s="21" t="s">
        <v>337</v>
      </c>
      <c r="Q2404" s="21" t="s">
        <v>344</v>
      </c>
      <c r="R2404" s="22">
        <v>45756</v>
      </c>
      <c r="W2404">
        <f>COUNTIF(安藤証券!U:U,B2404)</f>
        <v>0</v>
      </c>
    </row>
    <row r="2405" spans="1:23" ht="24.95" hidden="1" customHeight="1" x14ac:dyDescent="0.4">
      <c r="A2405" s="17" t="s">
        <v>76</v>
      </c>
      <c r="B2405" s="50" t="s">
        <v>368</v>
      </c>
      <c r="C2405" s="16" t="s">
        <v>31</v>
      </c>
      <c r="D2405" s="16" t="s">
        <v>31</v>
      </c>
      <c r="E2405" s="15" t="s">
        <v>32</v>
      </c>
      <c r="F2405" s="15" t="s">
        <v>365</v>
      </c>
      <c r="N2405" s="21" t="s">
        <v>96</v>
      </c>
      <c r="O2405" s="21" t="s">
        <v>372</v>
      </c>
      <c r="Q2405" s="21" t="s">
        <v>344</v>
      </c>
      <c r="R2405" s="22">
        <v>45883</v>
      </c>
      <c r="W2405">
        <f>COUNTIF(安藤証券!U:U,B2405)</f>
        <v>0</v>
      </c>
    </row>
    <row r="2406" spans="1:23" ht="24.95" hidden="1" customHeight="1" x14ac:dyDescent="0.4">
      <c r="A2406" s="17" t="s">
        <v>76</v>
      </c>
      <c r="B2406" s="50" t="s">
        <v>369</v>
      </c>
      <c r="C2406" s="16" t="s">
        <v>24</v>
      </c>
      <c r="D2406" s="16" t="s">
        <v>31</v>
      </c>
      <c r="E2406" s="15" t="s">
        <v>35</v>
      </c>
      <c r="F2406" s="15" t="s">
        <v>365</v>
      </c>
      <c r="N2406" s="21" t="s">
        <v>96</v>
      </c>
      <c r="O2406" s="21" t="s">
        <v>372</v>
      </c>
      <c r="Q2406" s="21" t="s">
        <v>344</v>
      </c>
      <c r="R2406" s="22">
        <v>45883</v>
      </c>
      <c r="W2406">
        <f>COUNTIF(安藤証券!U:U,B2406)</f>
        <v>0</v>
      </c>
    </row>
    <row r="2407" spans="1:23" ht="24.95" hidden="1" customHeight="1" x14ac:dyDescent="0.4">
      <c r="A2407" s="17" t="s">
        <v>76</v>
      </c>
      <c r="B2407" s="15" t="s">
        <v>325</v>
      </c>
      <c r="C2407" s="16" t="s">
        <v>24</v>
      </c>
      <c r="D2407" s="16" t="s">
        <v>31</v>
      </c>
      <c r="E2407" s="15" t="s">
        <v>35</v>
      </c>
      <c r="F2407" s="15" t="s">
        <v>314</v>
      </c>
      <c r="N2407" s="21" t="s">
        <v>96</v>
      </c>
      <c r="O2407" s="21" t="s">
        <v>337</v>
      </c>
      <c r="Q2407" s="21" t="s">
        <v>344</v>
      </c>
      <c r="R2407" s="22">
        <v>45756</v>
      </c>
      <c r="W2407">
        <f>COUNTIF(安藤証券!U:U,B2407)</f>
        <v>0</v>
      </c>
    </row>
    <row r="2408" spans="1:23" ht="24.95" hidden="1" customHeight="1" x14ac:dyDescent="0.4">
      <c r="A2408" s="17" t="s">
        <v>76</v>
      </c>
      <c r="B2408" s="15" t="s">
        <v>272</v>
      </c>
      <c r="C2408" s="16" t="s">
        <v>31</v>
      </c>
      <c r="D2408" s="16" t="s">
        <v>31</v>
      </c>
      <c r="E2408" s="15" t="s">
        <v>32</v>
      </c>
      <c r="F2408" s="15" t="s">
        <v>314</v>
      </c>
      <c r="N2408" s="21" t="s">
        <v>96</v>
      </c>
      <c r="O2408" s="21" t="s">
        <v>336</v>
      </c>
      <c r="Q2408" s="21" t="s">
        <v>344</v>
      </c>
      <c r="R2408" s="22">
        <v>45756</v>
      </c>
      <c r="W2408">
        <f>COUNTIF(安藤証券!U:U,B2408)</f>
        <v>0</v>
      </c>
    </row>
    <row r="2409" spans="1:23" ht="24.95" hidden="1" customHeight="1" x14ac:dyDescent="0.4">
      <c r="A2409" s="17" t="s">
        <v>76</v>
      </c>
      <c r="B2409" s="15" t="s">
        <v>273</v>
      </c>
      <c r="C2409" s="16" t="s">
        <v>31</v>
      </c>
      <c r="D2409" s="16" t="s">
        <v>31</v>
      </c>
      <c r="E2409" s="15" t="s">
        <v>32</v>
      </c>
      <c r="F2409" s="15" t="s">
        <v>314</v>
      </c>
      <c r="N2409" s="21" t="s">
        <v>96</v>
      </c>
      <c r="O2409" s="21" t="s">
        <v>336</v>
      </c>
      <c r="Q2409" s="21" t="s">
        <v>344</v>
      </c>
      <c r="R2409" s="22">
        <v>45756</v>
      </c>
      <c r="W2409">
        <f>COUNTIF(安藤証券!U:U,B2409)</f>
        <v>0</v>
      </c>
    </row>
    <row r="2410" spans="1:23" ht="24.95" hidden="1" customHeight="1" x14ac:dyDescent="0.4">
      <c r="A2410" s="17" t="s">
        <v>76</v>
      </c>
      <c r="B2410" s="15" t="s">
        <v>274</v>
      </c>
      <c r="C2410" s="16" t="s">
        <v>31</v>
      </c>
      <c r="D2410" s="16" t="s">
        <v>31</v>
      </c>
      <c r="E2410" s="15" t="s">
        <v>32</v>
      </c>
      <c r="F2410" s="15" t="s">
        <v>314</v>
      </c>
      <c r="N2410" s="21" t="s">
        <v>96</v>
      </c>
      <c r="O2410" s="21" t="s">
        <v>336</v>
      </c>
      <c r="Q2410" s="21" t="s">
        <v>344</v>
      </c>
      <c r="R2410" s="22">
        <v>45756</v>
      </c>
      <c r="W2410">
        <f>COUNTIF(安藤証券!U:U,B2410)</f>
        <v>0</v>
      </c>
    </row>
    <row r="2411" spans="1:23" ht="24.95" hidden="1" customHeight="1" x14ac:dyDescent="0.4">
      <c r="A2411" s="17" t="s">
        <v>76</v>
      </c>
      <c r="B2411" s="15" t="s">
        <v>275</v>
      </c>
      <c r="C2411" s="16" t="s">
        <v>31</v>
      </c>
      <c r="D2411" s="16" t="s">
        <v>31</v>
      </c>
      <c r="E2411" s="15" t="s">
        <v>32</v>
      </c>
      <c r="F2411" s="15" t="s">
        <v>314</v>
      </c>
      <c r="N2411" s="21" t="s">
        <v>96</v>
      </c>
      <c r="O2411" s="21" t="s">
        <v>336</v>
      </c>
      <c r="Q2411" s="21" t="s">
        <v>344</v>
      </c>
      <c r="R2411" s="22">
        <v>45756</v>
      </c>
      <c r="W2411">
        <f>COUNTIF(安藤証券!U:U,B2411)</f>
        <v>0</v>
      </c>
    </row>
    <row r="2412" spans="1:23" ht="24.95" hidden="1" customHeight="1" x14ac:dyDescent="0.4">
      <c r="A2412" s="17" t="s">
        <v>76</v>
      </c>
      <c r="B2412" s="15" t="s">
        <v>326</v>
      </c>
      <c r="C2412" s="16" t="s">
        <v>31</v>
      </c>
      <c r="D2412" s="16" t="s">
        <v>31</v>
      </c>
      <c r="E2412" s="15" t="s">
        <v>32</v>
      </c>
      <c r="F2412" s="15" t="s">
        <v>314</v>
      </c>
      <c r="N2412" s="21" t="s">
        <v>96</v>
      </c>
      <c r="O2412" s="21" t="s">
        <v>337</v>
      </c>
      <c r="Q2412" s="21" t="s">
        <v>344</v>
      </c>
      <c r="R2412" s="22">
        <v>45756</v>
      </c>
      <c r="W2412">
        <f>COUNTIF(安藤証券!U:U,B2412)</f>
        <v>0</v>
      </c>
    </row>
    <row r="2413" spans="1:23" ht="24.95" hidden="1" customHeight="1" x14ac:dyDescent="0.4">
      <c r="A2413" s="17" t="s">
        <v>76</v>
      </c>
      <c r="B2413" s="15" t="s">
        <v>327</v>
      </c>
      <c r="C2413" s="16" t="s">
        <v>24</v>
      </c>
      <c r="D2413" s="16" t="s">
        <v>31</v>
      </c>
      <c r="E2413" s="15" t="s">
        <v>35</v>
      </c>
      <c r="F2413" s="15" t="s">
        <v>314</v>
      </c>
      <c r="N2413" s="21" t="s">
        <v>96</v>
      </c>
      <c r="O2413" s="21" t="s">
        <v>337</v>
      </c>
      <c r="Q2413" s="21" t="s">
        <v>344</v>
      </c>
      <c r="R2413" s="22">
        <v>45756</v>
      </c>
      <c r="W2413">
        <f>COUNTIF(安藤証券!U:U,B2413)</f>
        <v>0</v>
      </c>
    </row>
    <row r="2414" spans="1:23" ht="24.95" hidden="1" customHeight="1" x14ac:dyDescent="0.4">
      <c r="A2414" s="17" t="s">
        <v>76</v>
      </c>
      <c r="B2414" s="15" t="s">
        <v>328</v>
      </c>
      <c r="C2414" s="16" t="s">
        <v>24</v>
      </c>
      <c r="D2414" s="16" t="s">
        <v>31</v>
      </c>
      <c r="E2414" s="15" t="s">
        <v>35</v>
      </c>
      <c r="F2414" s="15" t="s">
        <v>314</v>
      </c>
      <c r="N2414" s="21" t="s">
        <v>96</v>
      </c>
      <c r="O2414" s="21" t="s">
        <v>337</v>
      </c>
      <c r="Q2414" s="21" t="s">
        <v>344</v>
      </c>
      <c r="R2414" s="22">
        <v>45756</v>
      </c>
      <c r="W2414">
        <f>COUNTIF(安藤証券!U:U,B2414)</f>
        <v>0</v>
      </c>
    </row>
    <row r="2415" spans="1:23" ht="24.95" hidden="1" customHeight="1" x14ac:dyDescent="0.4">
      <c r="A2415" s="17" t="s">
        <v>76</v>
      </c>
      <c r="B2415" s="15" t="s">
        <v>329</v>
      </c>
      <c r="C2415" s="16" t="s">
        <v>24</v>
      </c>
      <c r="D2415" s="16" t="s">
        <v>31</v>
      </c>
      <c r="E2415" s="15" t="s">
        <v>35</v>
      </c>
      <c r="F2415" s="15" t="s">
        <v>314</v>
      </c>
      <c r="N2415" s="21" t="s">
        <v>96</v>
      </c>
      <c r="O2415" s="21" t="s">
        <v>337</v>
      </c>
      <c r="Q2415" s="21" t="s">
        <v>344</v>
      </c>
      <c r="R2415" s="22">
        <v>45756</v>
      </c>
      <c r="W2415">
        <f>COUNTIF(安藤証券!U:U,B2415)</f>
        <v>0</v>
      </c>
    </row>
    <row r="2416" spans="1:23" ht="24.95" hidden="1" customHeight="1" x14ac:dyDescent="0.4">
      <c r="A2416" s="17" t="s">
        <v>76</v>
      </c>
      <c r="B2416" s="15" t="s">
        <v>276</v>
      </c>
      <c r="C2416" s="16" t="s">
        <v>31</v>
      </c>
      <c r="D2416" s="16" t="s">
        <v>31</v>
      </c>
      <c r="E2416" s="15" t="s">
        <v>32</v>
      </c>
      <c r="F2416" s="15" t="s">
        <v>314</v>
      </c>
      <c r="N2416" s="21" t="s">
        <v>96</v>
      </c>
      <c r="O2416" s="21" t="s">
        <v>336</v>
      </c>
      <c r="Q2416" s="21" t="s">
        <v>344</v>
      </c>
      <c r="R2416" s="22">
        <v>45756</v>
      </c>
      <c r="W2416">
        <f>COUNTIF(安藤証券!U:U,B2416)</f>
        <v>0</v>
      </c>
    </row>
    <row r="2417" spans="1:23" ht="24.95" hidden="1" customHeight="1" x14ac:dyDescent="0.4">
      <c r="A2417" s="17" t="s">
        <v>76</v>
      </c>
      <c r="B2417" s="15" t="s">
        <v>277</v>
      </c>
      <c r="C2417" s="16" t="s">
        <v>31</v>
      </c>
      <c r="D2417" s="16" t="s">
        <v>31</v>
      </c>
      <c r="E2417" s="15" t="s">
        <v>32</v>
      </c>
      <c r="F2417" s="15" t="s">
        <v>314</v>
      </c>
      <c r="N2417" s="21" t="s">
        <v>96</v>
      </c>
      <c r="O2417" s="21" t="s">
        <v>336</v>
      </c>
      <c r="Q2417" s="21" t="s">
        <v>344</v>
      </c>
      <c r="R2417" s="22">
        <v>45756</v>
      </c>
      <c r="W2417">
        <f>COUNTIF(安藤証券!U:U,B2417)</f>
        <v>0</v>
      </c>
    </row>
    <row r="2418" spans="1:23" ht="24.95" hidden="1" customHeight="1" x14ac:dyDescent="0.4">
      <c r="A2418" s="17" t="s">
        <v>76</v>
      </c>
      <c r="B2418" s="15" t="s">
        <v>278</v>
      </c>
      <c r="C2418" s="16" t="s">
        <v>31</v>
      </c>
      <c r="D2418" s="16" t="s">
        <v>31</v>
      </c>
      <c r="E2418" s="15" t="s">
        <v>32</v>
      </c>
      <c r="F2418" s="15" t="s">
        <v>314</v>
      </c>
      <c r="N2418" s="21" t="s">
        <v>96</v>
      </c>
      <c r="O2418" s="21" t="s">
        <v>336</v>
      </c>
      <c r="Q2418" s="21" t="s">
        <v>344</v>
      </c>
      <c r="R2418" s="22">
        <v>45756</v>
      </c>
      <c r="W2418">
        <f>COUNTIF(安藤証券!U:U,B2418)</f>
        <v>0</v>
      </c>
    </row>
    <row r="2419" spans="1:23" ht="24.95" hidden="1" customHeight="1" x14ac:dyDescent="0.4">
      <c r="A2419" s="17" t="s">
        <v>76</v>
      </c>
      <c r="B2419" s="15" t="s">
        <v>279</v>
      </c>
      <c r="C2419" s="16" t="s">
        <v>31</v>
      </c>
      <c r="D2419" s="16" t="s">
        <v>31</v>
      </c>
      <c r="E2419" s="15" t="s">
        <v>32</v>
      </c>
      <c r="F2419" s="15" t="s">
        <v>314</v>
      </c>
      <c r="N2419" s="21" t="s">
        <v>96</v>
      </c>
      <c r="O2419" s="21" t="s">
        <v>336</v>
      </c>
      <c r="Q2419" s="21" t="s">
        <v>344</v>
      </c>
      <c r="R2419" s="22">
        <v>45756</v>
      </c>
      <c r="W2419">
        <f>COUNTIF(安藤証券!U:U,B2419)</f>
        <v>0</v>
      </c>
    </row>
    <row r="2420" spans="1:23" ht="24.95" hidden="1" customHeight="1" x14ac:dyDescent="0.4">
      <c r="A2420" s="17" t="s">
        <v>76</v>
      </c>
      <c r="B2420" s="15" t="s">
        <v>280</v>
      </c>
      <c r="C2420" s="16" t="s">
        <v>31</v>
      </c>
      <c r="D2420" s="16" t="s">
        <v>31</v>
      </c>
      <c r="E2420" s="15" t="s">
        <v>32</v>
      </c>
      <c r="F2420" s="15" t="s">
        <v>314</v>
      </c>
      <c r="N2420" s="21" t="s">
        <v>96</v>
      </c>
      <c r="O2420" s="21" t="s">
        <v>336</v>
      </c>
      <c r="Q2420" s="21" t="s">
        <v>344</v>
      </c>
      <c r="R2420" s="22">
        <v>45756</v>
      </c>
      <c r="W2420">
        <f>COUNTIF(安藤証券!U:U,B2420)</f>
        <v>0</v>
      </c>
    </row>
    <row r="2421" spans="1:23" ht="24.95" hidden="1" customHeight="1" x14ac:dyDescent="0.4">
      <c r="A2421" s="17" t="s">
        <v>76</v>
      </c>
      <c r="B2421" s="15" t="s">
        <v>281</v>
      </c>
      <c r="C2421" s="16" t="s">
        <v>31</v>
      </c>
      <c r="D2421" s="16" t="s">
        <v>31</v>
      </c>
      <c r="E2421" s="15" t="s">
        <v>32</v>
      </c>
      <c r="F2421" s="15" t="s">
        <v>314</v>
      </c>
      <c r="N2421" s="21" t="s">
        <v>96</v>
      </c>
      <c r="O2421" s="21" t="s">
        <v>336</v>
      </c>
      <c r="Q2421" s="21" t="s">
        <v>344</v>
      </c>
      <c r="R2421" s="22">
        <v>45756</v>
      </c>
      <c r="W2421">
        <f>COUNTIF(安藤証券!U:U,B2421)</f>
        <v>0</v>
      </c>
    </row>
    <row r="2422" spans="1:23" ht="24.95" hidden="1" customHeight="1" x14ac:dyDescent="0.4">
      <c r="A2422" s="17" t="s">
        <v>76</v>
      </c>
      <c r="B2422" s="15" t="s">
        <v>282</v>
      </c>
      <c r="C2422" s="16" t="s">
        <v>31</v>
      </c>
      <c r="D2422" s="16" t="s">
        <v>31</v>
      </c>
      <c r="E2422" s="15" t="s">
        <v>32</v>
      </c>
      <c r="F2422" s="15" t="s">
        <v>314</v>
      </c>
      <c r="N2422" s="21" t="s">
        <v>96</v>
      </c>
      <c r="O2422" s="21" t="s">
        <v>336</v>
      </c>
      <c r="Q2422" s="21" t="s">
        <v>344</v>
      </c>
      <c r="R2422" s="22">
        <v>45756</v>
      </c>
      <c r="W2422">
        <f>COUNTIF(安藤証券!U:U,B2422)</f>
        <v>0</v>
      </c>
    </row>
    <row r="2423" spans="1:23" ht="24.95" hidden="1" customHeight="1" x14ac:dyDescent="0.4">
      <c r="A2423" s="17" t="s">
        <v>76</v>
      </c>
      <c r="B2423" s="15" t="s">
        <v>283</v>
      </c>
      <c r="C2423" s="16" t="s">
        <v>31</v>
      </c>
      <c r="D2423" s="16" t="s">
        <v>31</v>
      </c>
      <c r="E2423" s="15" t="s">
        <v>32</v>
      </c>
      <c r="F2423" s="15" t="s">
        <v>314</v>
      </c>
      <c r="N2423" s="21" t="s">
        <v>96</v>
      </c>
      <c r="O2423" s="21" t="s">
        <v>336</v>
      </c>
      <c r="Q2423" s="21" t="s">
        <v>344</v>
      </c>
      <c r="R2423" s="22">
        <v>45756</v>
      </c>
      <c r="W2423">
        <f>COUNTIF(安藤証券!U:U,B2423)</f>
        <v>0</v>
      </c>
    </row>
    <row r="2424" spans="1:23" ht="24.95" hidden="1" customHeight="1" x14ac:dyDescent="0.4">
      <c r="A2424" s="17" t="s">
        <v>76</v>
      </c>
      <c r="B2424" s="15" t="s">
        <v>284</v>
      </c>
      <c r="C2424" s="16" t="s">
        <v>31</v>
      </c>
      <c r="D2424" s="16" t="s">
        <v>31</v>
      </c>
      <c r="E2424" s="15" t="s">
        <v>32</v>
      </c>
      <c r="F2424" s="15" t="s">
        <v>314</v>
      </c>
      <c r="N2424" s="21" t="s">
        <v>96</v>
      </c>
      <c r="O2424" s="21" t="s">
        <v>336</v>
      </c>
      <c r="Q2424" s="21" t="s">
        <v>344</v>
      </c>
      <c r="R2424" s="22">
        <v>45756</v>
      </c>
      <c r="W2424">
        <f>COUNTIF(安藤証券!U:U,B2424)</f>
        <v>0</v>
      </c>
    </row>
    <row r="2425" spans="1:23" ht="24.95" hidden="1" customHeight="1" x14ac:dyDescent="0.4">
      <c r="A2425" s="17" t="s">
        <v>76</v>
      </c>
      <c r="B2425" s="15" t="s">
        <v>285</v>
      </c>
      <c r="C2425" s="16" t="s">
        <v>31</v>
      </c>
      <c r="D2425" s="16" t="s">
        <v>31</v>
      </c>
      <c r="E2425" s="15" t="s">
        <v>32</v>
      </c>
      <c r="F2425" s="15" t="s">
        <v>314</v>
      </c>
      <c r="N2425" s="21" t="s">
        <v>96</v>
      </c>
      <c r="O2425" s="21" t="s">
        <v>336</v>
      </c>
      <c r="Q2425" s="21" t="s">
        <v>344</v>
      </c>
      <c r="R2425" s="22">
        <v>45756</v>
      </c>
      <c r="W2425">
        <f>COUNTIF(安藤証券!U:U,B2425)</f>
        <v>0</v>
      </c>
    </row>
    <row r="2426" spans="1:23" ht="24.95" hidden="1" customHeight="1" x14ac:dyDescent="0.4">
      <c r="A2426" s="17" t="s">
        <v>76</v>
      </c>
      <c r="B2426" s="15" t="s">
        <v>286</v>
      </c>
      <c r="C2426" s="16" t="s">
        <v>31</v>
      </c>
      <c r="D2426" s="16" t="s">
        <v>31</v>
      </c>
      <c r="E2426" s="15" t="s">
        <v>32</v>
      </c>
      <c r="F2426" s="15" t="s">
        <v>314</v>
      </c>
      <c r="N2426" s="21" t="s">
        <v>96</v>
      </c>
      <c r="O2426" s="21" t="s">
        <v>336</v>
      </c>
      <c r="Q2426" s="21" t="s">
        <v>344</v>
      </c>
      <c r="R2426" s="22">
        <v>45756</v>
      </c>
      <c r="W2426">
        <f>COUNTIF(安藤証券!U:U,B2426)</f>
        <v>0</v>
      </c>
    </row>
    <row r="2427" spans="1:23" ht="24.95" hidden="1" customHeight="1" x14ac:dyDescent="0.4">
      <c r="A2427" s="17" t="s">
        <v>76</v>
      </c>
      <c r="B2427" s="15" t="s">
        <v>287</v>
      </c>
      <c r="C2427" s="16" t="s">
        <v>31</v>
      </c>
      <c r="D2427" s="16" t="s">
        <v>31</v>
      </c>
      <c r="E2427" s="15" t="s">
        <v>32</v>
      </c>
      <c r="F2427" s="15" t="s">
        <v>314</v>
      </c>
      <c r="N2427" s="21" t="s">
        <v>96</v>
      </c>
      <c r="O2427" s="21" t="s">
        <v>336</v>
      </c>
      <c r="Q2427" s="21" t="s">
        <v>344</v>
      </c>
      <c r="R2427" s="22">
        <v>45756</v>
      </c>
      <c r="W2427">
        <f>COUNTIF(安藤証券!U:U,B2427)</f>
        <v>0</v>
      </c>
    </row>
    <row r="2428" spans="1:23" ht="24.95" hidden="1" customHeight="1" x14ac:dyDescent="0.4">
      <c r="A2428" s="17" t="s">
        <v>76</v>
      </c>
      <c r="B2428" s="15" t="s">
        <v>342</v>
      </c>
      <c r="C2428" s="16" t="s">
        <v>31</v>
      </c>
      <c r="D2428" s="16" t="s">
        <v>31</v>
      </c>
      <c r="E2428" s="15" t="s">
        <v>32</v>
      </c>
      <c r="F2428" s="15" t="s">
        <v>340</v>
      </c>
      <c r="N2428" s="21" t="s">
        <v>96</v>
      </c>
      <c r="O2428" s="21" t="s">
        <v>345</v>
      </c>
      <c r="Q2428" s="21" t="s">
        <v>344</v>
      </c>
      <c r="R2428" s="22">
        <v>45784</v>
      </c>
      <c r="W2428">
        <f>COUNTIF(安藤証券!U:U,B2428)</f>
        <v>0</v>
      </c>
    </row>
    <row r="2429" spans="1:23" ht="24.95" hidden="1" customHeight="1" x14ac:dyDescent="0.4">
      <c r="A2429" s="17" t="s">
        <v>76</v>
      </c>
      <c r="B2429" s="15" t="s">
        <v>288</v>
      </c>
      <c r="C2429" s="16" t="s">
        <v>31</v>
      </c>
      <c r="D2429" s="16" t="s">
        <v>31</v>
      </c>
      <c r="E2429" s="15" t="s">
        <v>32</v>
      </c>
      <c r="F2429" s="15" t="s">
        <v>314</v>
      </c>
      <c r="N2429" s="21" t="s">
        <v>96</v>
      </c>
      <c r="O2429" s="21" t="s">
        <v>336</v>
      </c>
      <c r="Q2429" s="21" t="s">
        <v>344</v>
      </c>
      <c r="R2429" s="22">
        <v>45756</v>
      </c>
      <c r="W2429">
        <f>COUNTIF(安藤証券!U:U,B2429)</f>
        <v>0</v>
      </c>
    </row>
    <row r="2430" spans="1:23" ht="24.95" hidden="1" customHeight="1" x14ac:dyDescent="0.4">
      <c r="A2430" s="17" t="s">
        <v>76</v>
      </c>
      <c r="B2430" s="15" t="s">
        <v>289</v>
      </c>
      <c r="C2430" s="16" t="s">
        <v>31</v>
      </c>
      <c r="D2430" s="16" t="s">
        <v>31</v>
      </c>
      <c r="E2430" s="15" t="s">
        <v>32</v>
      </c>
      <c r="F2430" s="15" t="s">
        <v>314</v>
      </c>
      <c r="N2430" s="21" t="s">
        <v>96</v>
      </c>
      <c r="O2430" s="21" t="s">
        <v>336</v>
      </c>
      <c r="Q2430" s="21" t="s">
        <v>344</v>
      </c>
      <c r="R2430" s="22">
        <v>45756</v>
      </c>
      <c r="W2430">
        <f>COUNTIF(安藤証券!U:U,B2430)</f>
        <v>0</v>
      </c>
    </row>
    <row r="2431" spans="1:23" ht="24.95" hidden="1" customHeight="1" x14ac:dyDescent="0.4">
      <c r="A2431" s="17" t="s">
        <v>76</v>
      </c>
      <c r="B2431" s="15" t="s">
        <v>290</v>
      </c>
      <c r="C2431" s="16" t="s">
        <v>31</v>
      </c>
      <c r="D2431" s="16" t="s">
        <v>31</v>
      </c>
      <c r="E2431" s="15" t="s">
        <v>32</v>
      </c>
      <c r="F2431" s="15" t="s">
        <v>314</v>
      </c>
      <c r="N2431" s="21" t="s">
        <v>96</v>
      </c>
      <c r="O2431" s="21" t="s">
        <v>336</v>
      </c>
      <c r="Q2431" s="21" t="s">
        <v>344</v>
      </c>
      <c r="R2431" s="22">
        <v>45756</v>
      </c>
      <c r="W2431">
        <f>COUNTIF(安藤証券!U:U,B2431)</f>
        <v>0</v>
      </c>
    </row>
    <row r="2432" spans="1:23" ht="24.95" hidden="1" customHeight="1" x14ac:dyDescent="0.4">
      <c r="A2432" s="17" t="s">
        <v>76</v>
      </c>
      <c r="B2432" s="15" t="s">
        <v>291</v>
      </c>
      <c r="C2432" s="16" t="s">
        <v>31</v>
      </c>
      <c r="D2432" s="16" t="s">
        <v>31</v>
      </c>
      <c r="E2432" s="15" t="s">
        <v>32</v>
      </c>
      <c r="F2432" s="15" t="s">
        <v>314</v>
      </c>
      <c r="N2432" s="21" t="s">
        <v>96</v>
      </c>
      <c r="O2432" s="21" t="s">
        <v>336</v>
      </c>
      <c r="Q2432" s="21" t="s">
        <v>344</v>
      </c>
      <c r="R2432" s="22">
        <v>45756</v>
      </c>
      <c r="W2432">
        <f>COUNTIF(安藤証券!U:U,B2432)</f>
        <v>0</v>
      </c>
    </row>
    <row r="2433" spans="1:23" ht="24.95" hidden="1" customHeight="1" x14ac:dyDescent="0.4">
      <c r="A2433" s="17" t="s">
        <v>76</v>
      </c>
      <c r="B2433" s="15" t="s">
        <v>292</v>
      </c>
      <c r="C2433" s="16" t="s">
        <v>31</v>
      </c>
      <c r="D2433" s="16" t="s">
        <v>31</v>
      </c>
      <c r="E2433" s="15" t="s">
        <v>32</v>
      </c>
      <c r="F2433" s="15" t="s">
        <v>314</v>
      </c>
      <c r="N2433" s="21" t="s">
        <v>96</v>
      </c>
      <c r="O2433" s="21" t="s">
        <v>336</v>
      </c>
      <c r="Q2433" s="21" t="s">
        <v>344</v>
      </c>
      <c r="R2433" s="22">
        <v>45756</v>
      </c>
      <c r="W2433">
        <f>COUNTIF(安藤証券!U:U,B2433)</f>
        <v>0</v>
      </c>
    </row>
    <row r="2434" spans="1:23" ht="24.95" hidden="1" customHeight="1" x14ac:dyDescent="0.4">
      <c r="A2434" s="17" t="s">
        <v>76</v>
      </c>
      <c r="B2434" s="15" t="s">
        <v>293</v>
      </c>
      <c r="C2434" s="16" t="s">
        <v>31</v>
      </c>
      <c r="D2434" s="16" t="s">
        <v>31</v>
      </c>
      <c r="E2434" s="15" t="s">
        <v>32</v>
      </c>
      <c r="F2434" s="15" t="s">
        <v>314</v>
      </c>
      <c r="N2434" s="21" t="s">
        <v>96</v>
      </c>
      <c r="O2434" s="21" t="s">
        <v>336</v>
      </c>
      <c r="Q2434" s="21" t="s">
        <v>344</v>
      </c>
      <c r="R2434" s="22">
        <v>45756</v>
      </c>
      <c r="W2434">
        <f>COUNTIF(安藤証券!U:U,B2434)</f>
        <v>0</v>
      </c>
    </row>
    <row r="2435" spans="1:23" ht="24.95" hidden="1" customHeight="1" x14ac:dyDescent="0.4">
      <c r="A2435" s="17" t="s">
        <v>76</v>
      </c>
      <c r="B2435" s="15" t="s">
        <v>294</v>
      </c>
      <c r="C2435" s="16" t="s">
        <v>31</v>
      </c>
      <c r="D2435" s="16" t="s">
        <v>31</v>
      </c>
      <c r="E2435" s="15" t="s">
        <v>32</v>
      </c>
      <c r="F2435" s="15" t="s">
        <v>314</v>
      </c>
      <c r="N2435" s="21" t="s">
        <v>96</v>
      </c>
      <c r="O2435" s="21" t="s">
        <v>336</v>
      </c>
      <c r="Q2435" s="21" t="s">
        <v>344</v>
      </c>
      <c r="R2435" s="22">
        <v>45756</v>
      </c>
      <c r="W2435">
        <f>COUNTIF(安藤証券!U:U,B2435)</f>
        <v>0</v>
      </c>
    </row>
    <row r="2436" spans="1:23" ht="24.95" hidden="1" customHeight="1" x14ac:dyDescent="0.4">
      <c r="A2436" s="17" t="s">
        <v>76</v>
      </c>
      <c r="B2436" s="15" t="s">
        <v>295</v>
      </c>
      <c r="C2436" s="16" t="s">
        <v>31</v>
      </c>
      <c r="D2436" s="16" t="s">
        <v>31</v>
      </c>
      <c r="E2436" s="15" t="s">
        <v>32</v>
      </c>
      <c r="F2436" s="15" t="s">
        <v>314</v>
      </c>
      <c r="N2436" s="21" t="s">
        <v>96</v>
      </c>
      <c r="O2436" s="21" t="s">
        <v>336</v>
      </c>
      <c r="Q2436" s="21" t="s">
        <v>344</v>
      </c>
      <c r="R2436" s="22">
        <v>45756</v>
      </c>
      <c r="W2436">
        <f>COUNTIF(安藤証券!U:U,B2436)</f>
        <v>0</v>
      </c>
    </row>
    <row r="2437" spans="1:23" ht="24.95" hidden="1" customHeight="1" x14ac:dyDescent="0.4">
      <c r="A2437" s="17" t="s">
        <v>76</v>
      </c>
      <c r="B2437" s="15" t="s">
        <v>296</v>
      </c>
      <c r="C2437" s="16" t="s">
        <v>31</v>
      </c>
      <c r="D2437" s="16" t="s">
        <v>31</v>
      </c>
      <c r="E2437" s="15" t="s">
        <v>32</v>
      </c>
      <c r="F2437" s="15" t="s">
        <v>314</v>
      </c>
      <c r="N2437" s="21" t="s">
        <v>96</v>
      </c>
      <c r="O2437" s="21" t="s">
        <v>336</v>
      </c>
      <c r="Q2437" s="21" t="s">
        <v>344</v>
      </c>
      <c r="R2437" s="22">
        <v>45756</v>
      </c>
      <c r="W2437">
        <f>COUNTIF(安藤証券!U:U,B2437)</f>
        <v>0</v>
      </c>
    </row>
    <row r="2438" spans="1:23" ht="24.95" hidden="1" customHeight="1" x14ac:dyDescent="0.4">
      <c r="A2438" s="17" t="s">
        <v>76</v>
      </c>
      <c r="B2438" s="15" t="s">
        <v>297</v>
      </c>
      <c r="C2438" s="16" t="s">
        <v>31</v>
      </c>
      <c r="D2438" s="16" t="s">
        <v>31</v>
      </c>
      <c r="E2438" s="15" t="s">
        <v>32</v>
      </c>
      <c r="F2438" s="15" t="s">
        <v>314</v>
      </c>
      <c r="N2438" s="21" t="s">
        <v>96</v>
      </c>
      <c r="O2438" s="21" t="s">
        <v>336</v>
      </c>
      <c r="Q2438" s="21" t="s">
        <v>344</v>
      </c>
      <c r="R2438" s="22">
        <v>45756</v>
      </c>
      <c r="W2438">
        <f>COUNTIF(安藤証券!U:U,B2438)</f>
        <v>0</v>
      </c>
    </row>
    <row r="2439" spans="1:23" ht="24.95" hidden="1" customHeight="1" x14ac:dyDescent="0.4">
      <c r="A2439" s="17" t="s">
        <v>76</v>
      </c>
      <c r="B2439" s="15" t="s">
        <v>298</v>
      </c>
      <c r="C2439" s="16" t="s">
        <v>31</v>
      </c>
      <c r="D2439" s="16" t="s">
        <v>31</v>
      </c>
      <c r="E2439" s="15" t="s">
        <v>32</v>
      </c>
      <c r="F2439" s="15" t="s">
        <v>314</v>
      </c>
      <c r="N2439" s="21" t="s">
        <v>96</v>
      </c>
      <c r="O2439" s="21" t="s">
        <v>336</v>
      </c>
      <c r="Q2439" s="21" t="s">
        <v>344</v>
      </c>
      <c r="R2439" s="22">
        <v>45756</v>
      </c>
      <c r="W2439">
        <f>COUNTIF(安藤証券!U:U,B2439)</f>
        <v>0</v>
      </c>
    </row>
    <row r="2440" spans="1:23" ht="24.95" hidden="1" customHeight="1" x14ac:dyDescent="0.4">
      <c r="A2440" s="17" t="s">
        <v>76</v>
      </c>
      <c r="B2440" s="15" t="s">
        <v>299</v>
      </c>
      <c r="C2440" s="16" t="s">
        <v>31</v>
      </c>
      <c r="D2440" s="16" t="s">
        <v>31</v>
      </c>
      <c r="E2440" s="15" t="s">
        <v>32</v>
      </c>
      <c r="F2440" s="15" t="s">
        <v>314</v>
      </c>
      <c r="N2440" s="21" t="s">
        <v>96</v>
      </c>
      <c r="O2440" s="21" t="s">
        <v>336</v>
      </c>
      <c r="Q2440" s="21" t="s">
        <v>344</v>
      </c>
      <c r="R2440" s="22">
        <v>45756</v>
      </c>
      <c r="W2440">
        <f>COUNTIF(安藤証券!U:U,B2440)</f>
        <v>0</v>
      </c>
    </row>
    <row r="2441" spans="1:23" ht="24.95" hidden="1" customHeight="1" x14ac:dyDescent="0.4">
      <c r="A2441" s="17" t="s">
        <v>76</v>
      </c>
      <c r="B2441" s="15" t="s">
        <v>300</v>
      </c>
      <c r="C2441" s="16" t="s">
        <v>31</v>
      </c>
      <c r="D2441" s="16" t="s">
        <v>31</v>
      </c>
      <c r="E2441" s="15" t="s">
        <v>32</v>
      </c>
      <c r="F2441" s="15" t="s">
        <v>314</v>
      </c>
      <c r="N2441" s="21" t="s">
        <v>96</v>
      </c>
      <c r="O2441" s="21" t="s">
        <v>336</v>
      </c>
      <c r="Q2441" s="21" t="s">
        <v>344</v>
      </c>
      <c r="R2441" s="22">
        <v>45756</v>
      </c>
      <c r="W2441">
        <f>COUNTIF(安藤証券!U:U,B2441)</f>
        <v>0</v>
      </c>
    </row>
    <row r="2442" spans="1:23" ht="24.95" hidden="1" customHeight="1" x14ac:dyDescent="0.4">
      <c r="A2442" s="17" t="s">
        <v>76</v>
      </c>
      <c r="B2442" s="15" t="s">
        <v>301</v>
      </c>
      <c r="C2442" s="16" t="s">
        <v>31</v>
      </c>
      <c r="D2442" s="16" t="s">
        <v>31</v>
      </c>
      <c r="E2442" s="15" t="s">
        <v>32</v>
      </c>
      <c r="F2442" s="15" t="s">
        <v>314</v>
      </c>
      <c r="N2442" s="21" t="s">
        <v>96</v>
      </c>
      <c r="O2442" s="21" t="s">
        <v>336</v>
      </c>
      <c r="Q2442" s="21" t="s">
        <v>344</v>
      </c>
      <c r="R2442" s="22">
        <v>45756</v>
      </c>
      <c r="W2442">
        <f>COUNTIF(安藤証券!U:U,B2442)</f>
        <v>0</v>
      </c>
    </row>
    <row r="2443" spans="1:23" ht="24.95" hidden="1" customHeight="1" x14ac:dyDescent="0.4">
      <c r="A2443" s="17" t="s">
        <v>76</v>
      </c>
      <c r="B2443" s="15" t="s">
        <v>302</v>
      </c>
      <c r="C2443" s="16" t="s">
        <v>31</v>
      </c>
      <c r="D2443" s="16" t="s">
        <v>31</v>
      </c>
      <c r="E2443" s="15" t="s">
        <v>32</v>
      </c>
      <c r="F2443" s="15" t="s">
        <v>314</v>
      </c>
      <c r="N2443" s="21" t="s">
        <v>96</v>
      </c>
      <c r="O2443" s="21" t="s">
        <v>336</v>
      </c>
      <c r="Q2443" s="21" t="s">
        <v>344</v>
      </c>
      <c r="R2443" s="22">
        <v>45756</v>
      </c>
      <c r="W2443">
        <f>COUNTIF(安藤証券!U:U,B2443)</f>
        <v>0</v>
      </c>
    </row>
    <row r="2444" spans="1:23" ht="24.95" hidden="1" customHeight="1" x14ac:dyDescent="0.4">
      <c r="A2444" s="17" t="s">
        <v>76</v>
      </c>
      <c r="B2444" s="15" t="s">
        <v>303</v>
      </c>
      <c r="C2444" s="16" t="s">
        <v>31</v>
      </c>
      <c r="D2444" s="16" t="s">
        <v>31</v>
      </c>
      <c r="E2444" s="15" t="s">
        <v>32</v>
      </c>
      <c r="F2444" s="15" t="s">
        <v>314</v>
      </c>
      <c r="N2444" s="21" t="s">
        <v>96</v>
      </c>
      <c r="O2444" s="21" t="s">
        <v>336</v>
      </c>
      <c r="Q2444" s="21" t="s">
        <v>344</v>
      </c>
      <c r="R2444" s="22">
        <v>45756</v>
      </c>
      <c r="W2444">
        <f>COUNTIF(安藤証券!U:U,B2444)</f>
        <v>0</v>
      </c>
    </row>
    <row r="2445" spans="1:23" ht="24.95" hidden="1" customHeight="1" x14ac:dyDescent="0.4">
      <c r="A2445" s="17" t="s">
        <v>76</v>
      </c>
      <c r="B2445" s="15" t="s">
        <v>304</v>
      </c>
      <c r="C2445" s="16" t="s">
        <v>31</v>
      </c>
      <c r="D2445" s="16" t="s">
        <v>31</v>
      </c>
      <c r="E2445" s="15" t="s">
        <v>32</v>
      </c>
      <c r="F2445" s="15" t="s">
        <v>314</v>
      </c>
      <c r="N2445" s="21" t="s">
        <v>96</v>
      </c>
      <c r="O2445" s="21" t="s">
        <v>336</v>
      </c>
      <c r="Q2445" s="21" t="s">
        <v>344</v>
      </c>
      <c r="R2445" s="22">
        <v>45756</v>
      </c>
      <c r="W2445">
        <f>COUNTIF(安藤証券!U:U,B2445)</f>
        <v>0</v>
      </c>
    </row>
    <row r="2446" spans="1:23" ht="24.95" hidden="1" customHeight="1" x14ac:dyDescent="0.4">
      <c r="A2446" s="17" t="s">
        <v>76</v>
      </c>
      <c r="B2446" s="15" t="s">
        <v>305</v>
      </c>
      <c r="C2446" s="16" t="s">
        <v>31</v>
      </c>
      <c r="D2446" s="16" t="s">
        <v>31</v>
      </c>
      <c r="E2446" s="15" t="s">
        <v>32</v>
      </c>
      <c r="F2446" s="15" t="s">
        <v>314</v>
      </c>
      <c r="N2446" s="21" t="s">
        <v>96</v>
      </c>
      <c r="O2446" s="21" t="s">
        <v>336</v>
      </c>
      <c r="Q2446" s="21" t="s">
        <v>344</v>
      </c>
      <c r="R2446" s="22">
        <v>45756</v>
      </c>
      <c r="W2446">
        <f>COUNTIF(安藤証券!U:U,B2446)</f>
        <v>0</v>
      </c>
    </row>
    <row r="2447" spans="1:23" ht="24.95" hidden="1" customHeight="1" x14ac:dyDescent="0.4">
      <c r="A2447" s="17" t="s">
        <v>76</v>
      </c>
      <c r="B2447" s="15" t="s">
        <v>370</v>
      </c>
      <c r="C2447" s="16" t="s">
        <v>31</v>
      </c>
      <c r="D2447" s="16" t="s">
        <v>31</v>
      </c>
      <c r="E2447" s="15" t="s">
        <v>32</v>
      </c>
      <c r="F2447" s="15" t="s">
        <v>365</v>
      </c>
      <c r="N2447" s="21" t="s">
        <v>374</v>
      </c>
      <c r="O2447" s="21" t="s">
        <v>373</v>
      </c>
      <c r="Q2447" s="21" t="s">
        <v>344</v>
      </c>
      <c r="R2447" s="22">
        <v>45883</v>
      </c>
      <c r="W2447">
        <f>COUNTIF(安藤証券!U:U,B2447)</f>
        <v>0</v>
      </c>
    </row>
    <row r="2448" spans="1:23" ht="24.95" hidden="1" customHeight="1" x14ac:dyDescent="0.4">
      <c r="A2448" s="17" t="s">
        <v>76</v>
      </c>
      <c r="B2448" s="15" t="s">
        <v>371</v>
      </c>
      <c r="C2448" s="16" t="s">
        <v>31</v>
      </c>
      <c r="D2448" s="16" t="s">
        <v>31</v>
      </c>
      <c r="E2448" s="15" t="s">
        <v>32</v>
      </c>
      <c r="F2448" s="15" t="s">
        <v>365</v>
      </c>
      <c r="N2448" s="21" t="s">
        <v>374</v>
      </c>
      <c r="O2448" s="21" t="s">
        <v>373</v>
      </c>
      <c r="Q2448" s="21" t="s">
        <v>344</v>
      </c>
      <c r="R2448" s="22">
        <v>45883</v>
      </c>
      <c r="W2448">
        <f>COUNTIF(安藤証券!U:U,B2448)</f>
        <v>0</v>
      </c>
    </row>
    <row r="2449" spans="1:23" ht="24.95" hidden="1" customHeight="1" x14ac:dyDescent="0.4">
      <c r="A2449" s="17" t="s">
        <v>76</v>
      </c>
      <c r="B2449" s="15" t="s">
        <v>306</v>
      </c>
      <c r="C2449" s="16" t="s">
        <v>24</v>
      </c>
      <c r="D2449" s="16" t="s">
        <v>31</v>
      </c>
      <c r="E2449" s="15" t="s">
        <v>35</v>
      </c>
      <c r="F2449" s="15" t="s">
        <v>314</v>
      </c>
      <c r="N2449" s="21" t="s">
        <v>96</v>
      </c>
      <c r="O2449" s="21" t="s">
        <v>336</v>
      </c>
      <c r="Q2449" s="21" t="s">
        <v>344</v>
      </c>
      <c r="R2449" s="22">
        <v>45756</v>
      </c>
      <c r="W2449">
        <f>COUNTIF(安藤証券!U:U,B2449)</f>
        <v>0</v>
      </c>
    </row>
    <row r="2450" spans="1:23" ht="24.95" hidden="1" customHeight="1" x14ac:dyDescent="0.4">
      <c r="A2450" s="17" t="s">
        <v>76</v>
      </c>
      <c r="B2450" s="15" t="s">
        <v>307</v>
      </c>
      <c r="C2450" s="16" t="s">
        <v>31</v>
      </c>
      <c r="D2450" s="16" t="s">
        <v>31</v>
      </c>
      <c r="E2450" s="15" t="s">
        <v>32</v>
      </c>
      <c r="F2450" s="15" t="s">
        <v>314</v>
      </c>
      <c r="N2450" s="21" t="s">
        <v>96</v>
      </c>
      <c r="O2450" s="21" t="s">
        <v>336</v>
      </c>
      <c r="Q2450" s="21" t="s">
        <v>344</v>
      </c>
      <c r="R2450" s="22">
        <v>45756</v>
      </c>
      <c r="W2450">
        <f>COUNTIF(安藤証券!U:U,B2450)</f>
        <v>0</v>
      </c>
    </row>
    <row r="2451" spans="1:23" ht="24.95" hidden="1" customHeight="1" x14ac:dyDescent="0.4">
      <c r="A2451" s="17" t="s">
        <v>76</v>
      </c>
      <c r="B2451" s="15" t="s">
        <v>38</v>
      </c>
      <c r="C2451" s="16" t="s">
        <v>31</v>
      </c>
      <c r="D2451" s="16" t="s">
        <v>31</v>
      </c>
      <c r="E2451" s="15" t="s">
        <v>32</v>
      </c>
      <c r="F2451" s="15" t="s">
        <v>125</v>
      </c>
      <c r="N2451" s="21" t="s">
        <v>96</v>
      </c>
      <c r="O2451" s="13" t="s">
        <v>353</v>
      </c>
      <c r="Q2451" s="21" t="s">
        <v>344</v>
      </c>
      <c r="R2451" s="22">
        <v>45814</v>
      </c>
      <c r="W2451">
        <f>COUNTIF(安藤証券!U:U,B2451)</f>
        <v>0</v>
      </c>
    </row>
    <row r="2452" spans="1:23" ht="24.95" hidden="1" customHeight="1" x14ac:dyDescent="0.4">
      <c r="A2452" s="17" t="s">
        <v>76</v>
      </c>
      <c r="B2452" s="15" t="s">
        <v>119</v>
      </c>
      <c r="C2452" s="16" t="s">
        <v>31</v>
      </c>
      <c r="D2452" s="16" t="s">
        <v>31</v>
      </c>
      <c r="E2452" s="15" t="s">
        <v>32</v>
      </c>
      <c r="F2452" s="15" t="s">
        <v>365</v>
      </c>
      <c r="N2452" s="21" t="s">
        <v>374</v>
      </c>
      <c r="O2452" s="21" t="s">
        <v>375</v>
      </c>
      <c r="Q2452" s="21" t="s">
        <v>344</v>
      </c>
      <c r="R2452" s="22">
        <v>45883</v>
      </c>
      <c r="W2452">
        <f>COUNTIF(安藤証券!U:U,B2452)</f>
        <v>0</v>
      </c>
    </row>
    <row r="2453" spans="1:23" ht="24.95" hidden="1" customHeight="1" x14ac:dyDescent="0.4">
      <c r="A2453" s="17" t="s">
        <v>76</v>
      </c>
      <c r="B2453" s="15" t="s">
        <v>120</v>
      </c>
      <c r="C2453" s="16" t="s">
        <v>31</v>
      </c>
      <c r="D2453" s="16" t="s">
        <v>31</v>
      </c>
      <c r="E2453" s="15" t="s">
        <v>32</v>
      </c>
      <c r="F2453" s="15" t="s">
        <v>314</v>
      </c>
      <c r="N2453" s="21" t="s">
        <v>96</v>
      </c>
      <c r="O2453" s="13" t="s">
        <v>339</v>
      </c>
      <c r="Q2453" s="21" t="s">
        <v>344</v>
      </c>
      <c r="R2453" s="22">
        <v>45756</v>
      </c>
      <c r="W2453">
        <f>COUNTIF(安藤証券!U:U,B2453)</f>
        <v>0</v>
      </c>
    </row>
    <row r="2454" spans="1:23" ht="24.95" hidden="1" customHeight="1" x14ac:dyDescent="0.4">
      <c r="A2454" s="17" t="s">
        <v>76</v>
      </c>
      <c r="B2454" s="15" t="s">
        <v>39</v>
      </c>
      <c r="C2454" s="16" t="s">
        <v>31</v>
      </c>
      <c r="D2454" s="16" t="s">
        <v>31</v>
      </c>
      <c r="E2454" s="15" t="s">
        <v>32</v>
      </c>
      <c r="F2454" s="15" t="s">
        <v>125</v>
      </c>
      <c r="N2454" s="21" t="s">
        <v>96</v>
      </c>
      <c r="O2454" s="13" t="s">
        <v>350</v>
      </c>
      <c r="Q2454" s="21" t="s">
        <v>344</v>
      </c>
      <c r="R2454" s="22">
        <v>45814</v>
      </c>
      <c r="W2454">
        <f>COUNTIF(安藤証券!U:U,B2454)</f>
        <v>0</v>
      </c>
    </row>
    <row r="2455" spans="1:23" ht="24.95" hidden="1" customHeight="1" x14ac:dyDescent="0.4">
      <c r="A2455" s="17" t="s">
        <v>76</v>
      </c>
      <c r="B2455" s="15" t="s">
        <v>220</v>
      </c>
      <c r="C2455" s="16" t="s">
        <v>31</v>
      </c>
      <c r="D2455" s="16" t="s">
        <v>31</v>
      </c>
      <c r="E2455" s="15" t="s">
        <v>32</v>
      </c>
      <c r="F2455" s="15" t="s">
        <v>221</v>
      </c>
      <c r="N2455" s="21" t="s">
        <v>96</v>
      </c>
      <c r="O2455" s="21" t="s">
        <v>338</v>
      </c>
      <c r="Q2455" s="21" t="s">
        <v>344</v>
      </c>
      <c r="R2455" s="22">
        <v>45814</v>
      </c>
      <c r="W2455">
        <f>COUNTIF(安藤証券!U:U,B2455)</f>
        <v>0</v>
      </c>
    </row>
    <row r="2456" spans="1:23" ht="24.95" hidden="1" customHeight="1" x14ac:dyDescent="0.4">
      <c r="A2456" s="17" t="s">
        <v>76</v>
      </c>
      <c r="B2456" s="15" t="s">
        <v>172</v>
      </c>
      <c r="C2456" s="16" t="s">
        <v>31</v>
      </c>
      <c r="D2456" s="16" t="s">
        <v>31</v>
      </c>
      <c r="E2456" s="15" t="s">
        <v>32</v>
      </c>
      <c r="F2456" s="15" t="s">
        <v>173</v>
      </c>
      <c r="N2456" s="21" t="s">
        <v>96</v>
      </c>
      <c r="O2456" s="21" t="s">
        <v>336</v>
      </c>
      <c r="Q2456" s="21" t="s">
        <v>344</v>
      </c>
      <c r="R2456" s="22">
        <v>45814</v>
      </c>
      <c r="W2456">
        <f>COUNTIF(安藤証券!U:U,B2456)</f>
        <v>0</v>
      </c>
    </row>
    <row r="2457" spans="1:23" ht="24.95" hidden="1" customHeight="1" x14ac:dyDescent="0.4">
      <c r="A2457" s="17" t="s">
        <v>76</v>
      </c>
      <c r="B2457" s="15" t="s">
        <v>111</v>
      </c>
      <c r="C2457" s="16" t="s">
        <v>31</v>
      </c>
      <c r="D2457" s="16" t="s">
        <v>31</v>
      </c>
      <c r="E2457" s="15" t="s">
        <v>32</v>
      </c>
      <c r="F2457" s="15" t="s">
        <v>314</v>
      </c>
      <c r="N2457" s="21" t="s">
        <v>96</v>
      </c>
      <c r="O2457" s="13" t="s">
        <v>339</v>
      </c>
      <c r="Q2457" s="21" t="s">
        <v>344</v>
      </c>
      <c r="R2457" s="22">
        <v>45756</v>
      </c>
      <c r="W2457">
        <f>COUNTIF(安藤証券!U:U,B2457)</f>
        <v>0</v>
      </c>
    </row>
    <row r="2458" spans="1:23" ht="24.95" hidden="1" customHeight="1" x14ac:dyDescent="0.4">
      <c r="A2458" s="17" t="s">
        <v>76</v>
      </c>
      <c r="B2458" s="15" t="s">
        <v>42</v>
      </c>
      <c r="C2458" s="16" t="s">
        <v>31</v>
      </c>
      <c r="D2458" s="16" t="s">
        <v>31</v>
      </c>
      <c r="E2458" s="15" t="s">
        <v>32</v>
      </c>
      <c r="F2458" s="15" t="s">
        <v>125</v>
      </c>
      <c r="N2458" s="21" t="s">
        <v>96</v>
      </c>
      <c r="O2458" s="13" t="s">
        <v>351</v>
      </c>
      <c r="Q2458" s="21" t="s">
        <v>344</v>
      </c>
      <c r="R2458" s="22">
        <v>45814</v>
      </c>
      <c r="W2458">
        <f>COUNTIF(安藤証券!U:U,B2458)</f>
        <v>0</v>
      </c>
    </row>
    <row r="2459" spans="1:23" ht="24.95" hidden="1" customHeight="1" x14ac:dyDescent="0.4">
      <c r="A2459" s="17" t="s">
        <v>76</v>
      </c>
      <c r="B2459" s="15" t="s">
        <v>330</v>
      </c>
      <c r="C2459" s="16" t="s">
        <v>31</v>
      </c>
      <c r="D2459" s="16" t="s">
        <v>31</v>
      </c>
      <c r="E2459" s="15" t="s">
        <v>32</v>
      </c>
      <c r="F2459" s="15" t="s">
        <v>314</v>
      </c>
      <c r="N2459" s="21" t="s">
        <v>96</v>
      </c>
      <c r="O2459" s="21" t="s">
        <v>338</v>
      </c>
      <c r="Q2459" s="21" t="s">
        <v>344</v>
      </c>
      <c r="R2459" s="22">
        <v>45756</v>
      </c>
      <c r="W2459">
        <f>COUNTIF(安藤証券!U:U,B2459)</f>
        <v>0</v>
      </c>
    </row>
    <row r="2460" spans="1:23" ht="24.95" hidden="1" customHeight="1" x14ac:dyDescent="0.4">
      <c r="A2460" s="17" t="s">
        <v>76</v>
      </c>
      <c r="B2460" s="15" t="s">
        <v>343</v>
      </c>
      <c r="C2460" s="16" t="s">
        <v>31</v>
      </c>
      <c r="D2460" s="16" t="s">
        <v>31</v>
      </c>
      <c r="E2460" s="15" t="s">
        <v>32</v>
      </c>
      <c r="F2460" s="15" t="s">
        <v>340</v>
      </c>
      <c r="N2460" s="21" t="s">
        <v>96</v>
      </c>
      <c r="O2460" s="21" t="s">
        <v>345</v>
      </c>
      <c r="Q2460" s="21" t="s">
        <v>344</v>
      </c>
      <c r="R2460" s="22">
        <v>45784</v>
      </c>
      <c r="W2460">
        <f>COUNTIF(安藤証券!U:U,B2460)</f>
        <v>0</v>
      </c>
    </row>
    <row r="2461" spans="1:23" ht="24.95" hidden="1" customHeight="1" x14ac:dyDescent="0.4">
      <c r="A2461" s="17" t="s">
        <v>76</v>
      </c>
      <c r="B2461" s="15" t="s">
        <v>121</v>
      </c>
      <c r="C2461" s="16" t="s">
        <v>31</v>
      </c>
      <c r="D2461" s="16" t="s">
        <v>31</v>
      </c>
      <c r="E2461" s="15" t="s">
        <v>32</v>
      </c>
      <c r="F2461" s="15" t="s">
        <v>314</v>
      </c>
      <c r="N2461" s="21" t="s">
        <v>96</v>
      </c>
      <c r="O2461" s="21" t="s">
        <v>336</v>
      </c>
      <c r="Q2461" s="21" t="s">
        <v>344</v>
      </c>
      <c r="R2461" s="22">
        <v>45756</v>
      </c>
      <c r="W2461">
        <f>COUNTIF(安藤証券!U:U,B2461)</f>
        <v>0</v>
      </c>
    </row>
    <row r="2462" spans="1:23" ht="24.95" hidden="1" customHeight="1" x14ac:dyDescent="0.4">
      <c r="A2462" s="17" t="s">
        <v>76</v>
      </c>
      <c r="B2462" s="15" t="s">
        <v>44</v>
      </c>
      <c r="C2462" s="16" t="s">
        <v>31</v>
      </c>
      <c r="D2462" s="16" t="s">
        <v>31</v>
      </c>
      <c r="E2462" s="15" t="s">
        <v>32</v>
      </c>
      <c r="F2462" s="15" t="s">
        <v>221</v>
      </c>
      <c r="N2462" s="21" t="s">
        <v>96</v>
      </c>
      <c r="O2462" s="13" t="s">
        <v>359</v>
      </c>
      <c r="Q2462" s="21" t="s">
        <v>344</v>
      </c>
      <c r="R2462" s="22">
        <v>45814</v>
      </c>
      <c r="W2462">
        <f>COUNTIF(安藤証券!U:U,B2462)</f>
        <v>0</v>
      </c>
    </row>
    <row r="2463" spans="1:23" ht="24.95" hidden="1" customHeight="1" x14ac:dyDescent="0.4">
      <c r="A2463" s="17" t="s">
        <v>76</v>
      </c>
      <c r="B2463" s="15" t="s">
        <v>45</v>
      </c>
      <c r="C2463" s="16" t="s">
        <v>31</v>
      </c>
      <c r="D2463" s="16" t="s">
        <v>31</v>
      </c>
      <c r="E2463" s="15" t="s">
        <v>32</v>
      </c>
      <c r="F2463" s="15" t="s">
        <v>314</v>
      </c>
      <c r="N2463" s="21" t="s">
        <v>96</v>
      </c>
      <c r="O2463" s="21" t="s">
        <v>338</v>
      </c>
      <c r="Q2463" s="21" t="s">
        <v>344</v>
      </c>
      <c r="R2463" s="22">
        <v>45756</v>
      </c>
      <c r="W2463">
        <f>COUNTIF(安藤証券!U:U,B2463)</f>
        <v>0</v>
      </c>
    </row>
    <row r="2464" spans="1:23" ht="24.95" customHeight="1" x14ac:dyDescent="0.4">
      <c r="A2464" s="17" t="s">
        <v>76</v>
      </c>
      <c r="B2464" s="50" t="s">
        <v>469</v>
      </c>
      <c r="C2464" s="16" t="s">
        <v>31</v>
      </c>
      <c r="D2464" s="16" t="s">
        <v>31</v>
      </c>
      <c r="E2464" s="15" t="s">
        <v>32</v>
      </c>
      <c r="F2464" s="15" t="s">
        <v>365</v>
      </c>
      <c r="N2464" s="21" t="s">
        <v>374</v>
      </c>
      <c r="O2464" s="13" t="s">
        <v>468</v>
      </c>
      <c r="Q2464" s="21" t="s">
        <v>344</v>
      </c>
      <c r="R2464" s="22">
        <v>45883</v>
      </c>
      <c r="W2464">
        <f>COUNTIF(安藤証券!U:U,B2464)</f>
        <v>0</v>
      </c>
    </row>
    <row r="2465" spans="1:26" ht="24.95" hidden="1" customHeight="1" x14ac:dyDescent="0.4">
      <c r="A2465" s="17" t="s">
        <v>149</v>
      </c>
      <c r="B2465" s="15" t="s">
        <v>155</v>
      </c>
      <c r="C2465" s="16" t="s">
        <v>24</v>
      </c>
      <c r="D2465" s="16" t="s">
        <v>31</v>
      </c>
      <c r="E2465" s="15" t="s">
        <v>35</v>
      </c>
      <c r="F2465" s="15" t="s">
        <v>150</v>
      </c>
      <c r="R2465" s="22" t="s">
        <v>24</v>
      </c>
      <c r="W2465">
        <f>COUNTIF(第一生命保険!U:U,B2465)</f>
        <v>0</v>
      </c>
      <c r="Z2465" t="s">
        <v>434</v>
      </c>
    </row>
    <row r="2466" spans="1:26" ht="24.95" hidden="1" customHeight="1" x14ac:dyDescent="0.4">
      <c r="A2466" s="17" t="s">
        <v>149</v>
      </c>
      <c r="B2466" s="15" t="s">
        <v>156</v>
      </c>
      <c r="C2466" s="16" t="s">
        <v>24</v>
      </c>
      <c r="D2466" s="16" t="s">
        <v>31</v>
      </c>
      <c r="E2466" s="15" t="s">
        <v>35</v>
      </c>
      <c r="F2466" s="15" t="s">
        <v>150</v>
      </c>
      <c r="R2466" s="22" t="s">
        <v>24</v>
      </c>
      <c r="W2466">
        <f>COUNTIF(第一生命保険!U:U,B2466)</f>
        <v>0</v>
      </c>
      <c r="Z2466" t="s">
        <v>434</v>
      </c>
    </row>
    <row r="2467" spans="1:26" ht="24.95" hidden="1" customHeight="1" x14ac:dyDescent="0.4">
      <c r="A2467" s="17" t="s">
        <v>149</v>
      </c>
      <c r="B2467" s="50" t="s">
        <v>157</v>
      </c>
      <c r="C2467" s="16" t="s">
        <v>31</v>
      </c>
      <c r="D2467" s="16" t="s">
        <v>24</v>
      </c>
      <c r="E2467" s="15" t="s">
        <v>50</v>
      </c>
      <c r="F2467" s="15" t="s">
        <v>150</v>
      </c>
      <c r="R2467" s="22" t="s">
        <v>24</v>
      </c>
      <c r="W2467">
        <f>COUNTIF(第一生命保険!U:U,B2467)</f>
        <v>0</v>
      </c>
      <c r="Z2467" t="str">
        <f t="shared" ref="Z2467:Z2469" si="0">A2467&amp;" "&amp;B2467</f>
        <v>0G wb WEB-INF/KeyCodeDefinition01.properties</v>
      </c>
    </row>
    <row r="2468" spans="1:26" ht="24.95" hidden="1" customHeight="1" x14ac:dyDescent="0.4">
      <c r="A2468" s="17" t="s">
        <v>149</v>
      </c>
      <c r="B2468" s="50" t="s">
        <v>158</v>
      </c>
      <c r="C2468" s="16" t="s">
        <v>31</v>
      </c>
      <c r="D2468" s="16" t="s">
        <v>24</v>
      </c>
      <c r="E2468" s="15" t="s">
        <v>50</v>
      </c>
      <c r="F2468" s="15" t="s">
        <v>150</v>
      </c>
      <c r="R2468" s="22" t="s">
        <v>24</v>
      </c>
      <c r="W2468">
        <f>COUNTIF(第一生命保険!U:U,B2468)</f>
        <v>0</v>
      </c>
      <c r="Z2468" t="str">
        <f t="shared" si="0"/>
        <v>0G wb WEB-INF/classes/jp/co/dir/ms/wolf2/WF.properties</v>
      </c>
    </row>
    <row r="2469" spans="1:26" ht="24.95" hidden="1" customHeight="1" x14ac:dyDescent="0.4">
      <c r="A2469" s="17" t="s">
        <v>149</v>
      </c>
      <c r="B2469" s="50" t="s">
        <v>159</v>
      </c>
      <c r="C2469" s="16" t="s">
        <v>31</v>
      </c>
      <c r="D2469" s="16" t="s">
        <v>24</v>
      </c>
      <c r="E2469" s="15" t="s">
        <v>50</v>
      </c>
      <c r="F2469" s="15" t="s">
        <v>150</v>
      </c>
      <c r="R2469" s="22" t="s">
        <v>24</v>
      </c>
      <c r="W2469">
        <f>COUNTIF(第一生命保険!U:U,B2469)</f>
        <v>0</v>
      </c>
      <c r="Z2469" t="str">
        <f t="shared" si="0"/>
        <v>0G wb WEB-INF/classes/webbroker3/web/beans/WF.properties</v>
      </c>
    </row>
    <row r="2470" spans="1:26" ht="24.95" hidden="1" customHeight="1" x14ac:dyDescent="0.4">
      <c r="A2470" s="17" t="s">
        <v>149</v>
      </c>
      <c r="B2470" s="15" t="s">
        <v>115</v>
      </c>
      <c r="C2470" s="16" t="s">
        <v>31</v>
      </c>
      <c r="D2470" s="16" t="s">
        <v>31</v>
      </c>
      <c r="E2470" s="15" t="s">
        <v>32</v>
      </c>
      <c r="F2470" s="15" t="s">
        <v>166</v>
      </c>
      <c r="N2470" s="21" t="s">
        <v>96</v>
      </c>
      <c r="O2470" s="21" t="s">
        <v>337</v>
      </c>
      <c r="Q2470" s="21" t="s">
        <v>344</v>
      </c>
      <c r="R2470" s="22">
        <v>45814</v>
      </c>
      <c r="W2470">
        <f>COUNTIF(第一生命保険!U:U,B2470)</f>
        <v>0</v>
      </c>
    </row>
    <row r="2471" spans="1:26" ht="24.95" hidden="1" customHeight="1" x14ac:dyDescent="0.4">
      <c r="A2471" s="17" t="s">
        <v>149</v>
      </c>
      <c r="B2471" s="15" t="s">
        <v>313</v>
      </c>
      <c r="C2471" s="16" t="s">
        <v>24</v>
      </c>
      <c r="D2471" s="16" t="s">
        <v>31</v>
      </c>
      <c r="E2471" s="15" t="s">
        <v>35</v>
      </c>
      <c r="F2471" s="15" t="s">
        <v>314</v>
      </c>
      <c r="N2471" s="21" t="s">
        <v>96</v>
      </c>
      <c r="O2471" s="21" t="s">
        <v>337</v>
      </c>
      <c r="Q2471" s="21" t="s">
        <v>344</v>
      </c>
      <c r="R2471" s="22">
        <v>45756</v>
      </c>
      <c r="W2471">
        <f>COUNTIF(第一生命保険!U:U,B2471)</f>
        <v>0</v>
      </c>
    </row>
    <row r="2472" spans="1:26" ht="24.95" hidden="1" customHeight="1" x14ac:dyDescent="0.4">
      <c r="A2472" s="17" t="s">
        <v>149</v>
      </c>
      <c r="B2472" s="15" t="s">
        <v>315</v>
      </c>
      <c r="C2472" s="16" t="s">
        <v>24</v>
      </c>
      <c r="D2472" s="16" t="s">
        <v>31</v>
      </c>
      <c r="E2472" s="15" t="s">
        <v>35</v>
      </c>
      <c r="F2472" s="15" t="s">
        <v>314</v>
      </c>
      <c r="N2472" s="21" t="s">
        <v>96</v>
      </c>
      <c r="O2472" s="21" t="s">
        <v>337</v>
      </c>
      <c r="Q2472" s="21" t="s">
        <v>344</v>
      </c>
      <c r="R2472" s="22">
        <v>45756</v>
      </c>
      <c r="W2472">
        <f>COUNTIF(第一生命保険!U:U,B2472)</f>
        <v>0</v>
      </c>
    </row>
    <row r="2473" spans="1:26" ht="24.95" hidden="1" customHeight="1" x14ac:dyDescent="0.4">
      <c r="A2473" s="17" t="s">
        <v>149</v>
      </c>
      <c r="B2473" s="15" t="s">
        <v>316</v>
      </c>
      <c r="C2473" s="16" t="s">
        <v>24</v>
      </c>
      <c r="D2473" s="16" t="s">
        <v>31</v>
      </c>
      <c r="E2473" s="15" t="s">
        <v>35</v>
      </c>
      <c r="F2473" s="15" t="s">
        <v>314</v>
      </c>
      <c r="N2473" s="21" t="s">
        <v>96</v>
      </c>
      <c r="O2473" s="21" t="s">
        <v>337</v>
      </c>
      <c r="Q2473" s="21" t="s">
        <v>344</v>
      </c>
      <c r="R2473" s="22">
        <v>45756</v>
      </c>
      <c r="W2473">
        <f>COUNTIF(第一生命保険!U:U,B2473)</f>
        <v>0</v>
      </c>
    </row>
    <row r="2474" spans="1:26" ht="24.95" hidden="1" customHeight="1" x14ac:dyDescent="0.4">
      <c r="A2474" s="17" t="s">
        <v>149</v>
      </c>
      <c r="B2474" s="15" t="s">
        <v>317</v>
      </c>
      <c r="C2474" s="16" t="s">
        <v>24</v>
      </c>
      <c r="D2474" s="16" t="s">
        <v>31</v>
      </c>
      <c r="E2474" s="15" t="s">
        <v>35</v>
      </c>
      <c r="F2474" s="15" t="s">
        <v>314</v>
      </c>
      <c r="N2474" s="21" t="s">
        <v>96</v>
      </c>
      <c r="O2474" s="21" t="s">
        <v>337</v>
      </c>
      <c r="Q2474" s="21" t="s">
        <v>344</v>
      </c>
      <c r="R2474" s="22">
        <v>45756</v>
      </c>
      <c r="W2474">
        <f>COUNTIF(第一生命保険!U:U,B2474)</f>
        <v>0</v>
      </c>
    </row>
    <row r="2475" spans="1:26" ht="24.95" hidden="1" customHeight="1" x14ac:dyDescent="0.4">
      <c r="A2475" s="17" t="s">
        <v>149</v>
      </c>
      <c r="B2475" s="50" t="s">
        <v>364</v>
      </c>
      <c r="C2475" s="16" t="s">
        <v>24</v>
      </c>
      <c r="D2475" s="16" t="s">
        <v>31</v>
      </c>
      <c r="E2475" s="15" t="s">
        <v>35</v>
      </c>
      <c r="F2475" s="15" t="s">
        <v>365</v>
      </c>
      <c r="N2475" s="21" t="s">
        <v>96</v>
      </c>
      <c r="O2475" s="21" t="s">
        <v>372</v>
      </c>
      <c r="Q2475" s="21" t="s">
        <v>344</v>
      </c>
      <c r="R2475" s="22">
        <v>45883</v>
      </c>
      <c r="W2475">
        <f>COUNTIF(第一生命保険!U:U,B2475)</f>
        <v>0</v>
      </c>
    </row>
    <row r="2476" spans="1:26" ht="24.95" hidden="1" customHeight="1" x14ac:dyDescent="0.4">
      <c r="A2476" s="17" t="s">
        <v>149</v>
      </c>
      <c r="B2476" s="15" t="s">
        <v>355</v>
      </c>
      <c r="C2476" s="16" t="s">
        <v>31</v>
      </c>
      <c r="D2476" s="16" t="s">
        <v>31</v>
      </c>
      <c r="E2476" s="15" t="s">
        <v>32</v>
      </c>
      <c r="F2476" s="15" t="s">
        <v>356</v>
      </c>
      <c r="N2476" s="21" t="s">
        <v>96</v>
      </c>
      <c r="O2476" s="21" t="s">
        <v>360</v>
      </c>
      <c r="Q2476" s="21" t="s">
        <v>344</v>
      </c>
      <c r="R2476" s="22">
        <v>45847</v>
      </c>
      <c r="W2476">
        <f>COUNTIF(第一生命保険!U:U,B2476)</f>
        <v>1</v>
      </c>
    </row>
    <row r="2477" spans="1:26" ht="24.95" hidden="1" customHeight="1" x14ac:dyDescent="0.4">
      <c r="A2477" s="17" t="s">
        <v>149</v>
      </c>
      <c r="B2477" s="15" t="s">
        <v>171</v>
      </c>
      <c r="C2477" s="16" t="s">
        <v>31</v>
      </c>
      <c r="D2477" s="16" t="s">
        <v>31</v>
      </c>
      <c r="E2477" s="15" t="s">
        <v>32</v>
      </c>
      <c r="F2477" s="15" t="s">
        <v>314</v>
      </c>
      <c r="N2477" s="21" t="s">
        <v>96</v>
      </c>
      <c r="O2477" s="21" t="s">
        <v>336</v>
      </c>
      <c r="Q2477" s="21" t="s">
        <v>344</v>
      </c>
      <c r="R2477" s="22">
        <v>45756</v>
      </c>
      <c r="W2477">
        <f>COUNTIF(第一生命保険!U:U,B2477)</f>
        <v>0</v>
      </c>
    </row>
    <row r="2478" spans="1:26" ht="24.95" hidden="1" customHeight="1" x14ac:dyDescent="0.4">
      <c r="A2478" s="17" t="s">
        <v>149</v>
      </c>
      <c r="B2478" s="15" t="s">
        <v>123</v>
      </c>
      <c r="C2478" s="16" t="s">
        <v>31</v>
      </c>
      <c r="D2478" s="16" t="s">
        <v>31</v>
      </c>
      <c r="E2478" s="15" t="s">
        <v>32</v>
      </c>
      <c r="F2478" s="15" t="s">
        <v>184</v>
      </c>
      <c r="N2478" s="21" t="s">
        <v>96</v>
      </c>
      <c r="O2478" s="21" t="s">
        <v>337</v>
      </c>
      <c r="Q2478" s="21" t="s">
        <v>344</v>
      </c>
      <c r="R2478" s="22">
        <v>45814</v>
      </c>
      <c r="W2478">
        <f>COUNTIF(第一生命保険!U:U,B2478)</f>
        <v>0</v>
      </c>
    </row>
    <row r="2479" spans="1:26" ht="24.95" hidden="1" customHeight="1" x14ac:dyDescent="0.4">
      <c r="A2479" s="17" t="s">
        <v>149</v>
      </c>
      <c r="B2479" s="15" t="s">
        <v>37</v>
      </c>
      <c r="C2479" s="16" t="s">
        <v>31</v>
      </c>
      <c r="D2479" s="16" t="s">
        <v>31</v>
      </c>
      <c r="E2479" s="15" t="s">
        <v>32</v>
      </c>
      <c r="F2479" s="15" t="s">
        <v>212</v>
      </c>
      <c r="N2479" s="21" t="s">
        <v>96</v>
      </c>
      <c r="O2479" s="13" t="s">
        <v>349</v>
      </c>
      <c r="Q2479" s="21" t="s">
        <v>344</v>
      </c>
      <c r="R2479" s="22">
        <v>45814</v>
      </c>
      <c r="W2479">
        <f>COUNTIF(第一生命保険!U:U,B2479)</f>
        <v>1</v>
      </c>
      <c r="Z2479" t="s">
        <v>432</v>
      </c>
    </row>
    <row r="2480" spans="1:26" ht="24.95" hidden="1" customHeight="1" x14ac:dyDescent="0.4">
      <c r="A2480" s="17" t="s">
        <v>149</v>
      </c>
      <c r="B2480" s="15" t="s">
        <v>225</v>
      </c>
      <c r="C2480" s="16" t="s">
        <v>31</v>
      </c>
      <c r="D2480" s="16" t="s">
        <v>31</v>
      </c>
      <c r="E2480" s="15" t="s">
        <v>32</v>
      </c>
      <c r="F2480" s="15" t="s">
        <v>314</v>
      </c>
      <c r="N2480" s="21" t="s">
        <v>96</v>
      </c>
      <c r="O2480" s="21" t="s">
        <v>336</v>
      </c>
      <c r="Q2480" s="21" t="s">
        <v>344</v>
      </c>
      <c r="R2480" s="22">
        <v>45756</v>
      </c>
      <c r="W2480">
        <f>COUNTIF(第一生命保険!U:U,B2480)</f>
        <v>0</v>
      </c>
    </row>
    <row r="2481" spans="1:23" ht="24.95" hidden="1" customHeight="1" x14ac:dyDescent="0.4">
      <c r="A2481" s="17" t="s">
        <v>149</v>
      </c>
      <c r="B2481" s="15" t="s">
        <v>117</v>
      </c>
      <c r="C2481" s="16" t="s">
        <v>31</v>
      </c>
      <c r="D2481" s="16" t="s">
        <v>31</v>
      </c>
      <c r="E2481" s="15" t="s">
        <v>32</v>
      </c>
      <c r="F2481" s="15" t="s">
        <v>356</v>
      </c>
      <c r="N2481" s="21" t="s">
        <v>96</v>
      </c>
      <c r="O2481" s="21" t="s">
        <v>360</v>
      </c>
      <c r="Q2481" s="21" t="s">
        <v>344</v>
      </c>
      <c r="R2481" s="22">
        <v>45847</v>
      </c>
      <c r="W2481">
        <f>COUNTIF(第一生命保険!U:U,B2481)</f>
        <v>0</v>
      </c>
    </row>
    <row r="2482" spans="1:23" ht="24.95" hidden="1" customHeight="1" x14ac:dyDescent="0.4">
      <c r="A2482" s="17" t="s">
        <v>149</v>
      </c>
      <c r="B2482" s="15" t="s">
        <v>126</v>
      </c>
      <c r="C2482" s="16" t="s">
        <v>31</v>
      </c>
      <c r="D2482" s="16" t="s">
        <v>31</v>
      </c>
      <c r="E2482" s="15" t="s">
        <v>32</v>
      </c>
      <c r="F2482" s="15" t="s">
        <v>365</v>
      </c>
      <c r="N2482" s="21" t="s">
        <v>374</v>
      </c>
      <c r="O2482" s="21" t="s">
        <v>373</v>
      </c>
      <c r="Q2482" s="21" t="s">
        <v>344</v>
      </c>
      <c r="R2482" s="22">
        <v>45883</v>
      </c>
      <c r="W2482">
        <f>COUNTIF(第一生命保険!U:U,B2482)</f>
        <v>0</v>
      </c>
    </row>
    <row r="2483" spans="1:23" ht="24.95" hidden="1" customHeight="1" x14ac:dyDescent="0.4">
      <c r="A2483" s="17" t="s">
        <v>149</v>
      </c>
      <c r="B2483" s="15" t="s">
        <v>226</v>
      </c>
      <c r="C2483" s="16" t="s">
        <v>31</v>
      </c>
      <c r="D2483" s="16" t="s">
        <v>31</v>
      </c>
      <c r="E2483" s="15" t="s">
        <v>32</v>
      </c>
      <c r="F2483" s="15" t="s">
        <v>314</v>
      </c>
      <c r="N2483" s="21" t="s">
        <v>96</v>
      </c>
      <c r="O2483" s="21" t="s">
        <v>336</v>
      </c>
      <c r="Q2483" s="21" t="s">
        <v>344</v>
      </c>
      <c r="R2483" s="22">
        <v>45756</v>
      </c>
      <c r="W2483">
        <f>COUNTIF(第一生命保険!U:U,B2483)</f>
        <v>0</v>
      </c>
    </row>
    <row r="2484" spans="1:23" ht="24.95" hidden="1" customHeight="1" x14ac:dyDescent="0.4">
      <c r="A2484" s="17" t="s">
        <v>149</v>
      </c>
      <c r="B2484" s="15" t="s">
        <v>318</v>
      </c>
      <c r="C2484" s="16" t="s">
        <v>31</v>
      </c>
      <c r="D2484" s="16" t="s">
        <v>31</v>
      </c>
      <c r="E2484" s="15" t="s">
        <v>32</v>
      </c>
      <c r="F2484" s="15" t="s">
        <v>314</v>
      </c>
      <c r="N2484" s="21" t="s">
        <v>96</v>
      </c>
      <c r="O2484" s="21" t="s">
        <v>337</v>
      </c>
      <c r="Q2484" s="21" t="s">
        <v>344</v>
      </c>
      <c r="R2484" s="22">
        <v>45756</v>
      </c>
      <c r="W2484">
        <f>COUNTIF(第一生命保険!U:U,B2484)</f>
        <v>0</v>
      </c>
    </row>
    <row r="2485" spans="1:23" ht="24.95" hidden="1" customHeight="1" x14ac:dyDescent="0.4">
      <c r="A2485" s="17" t="s">
        <v>149</v>
      </c>
      <c r="B2485" s="15" t="s">
        <v>118</v>
      </c>
      <c r="C2485" s="16" t="s">
        <v>31</v>
      </c>
      <c r="D2485" s="16" t="s">
        <v>31</v>
      </c>
      <c r="E2485" s="15" t="s">
        <v>32</v>
      </c>
      <c r="F2485" s="15" t="s">
        <v>314</v>
      </c>
      <c r="N2485" s="21" t="s">
        <v>96</v>
      </c>
      <c r="O2485" s="21" t="s">
        <v>337</v>
      </c>
      <c r="Q2485" s="21" t="s">
        <v>344</v>
      </c>
      <c r="R2485" s="22">
        <v>45756</v>
      </c>
      <c r="W2485">
        <f>COUNTIF(第一生命保険!U:U,B2485)</f>
        <v>0</v>
      </c>
    </row>
    <row r="2486" spans="1:23" ht="24.95" hidden="1" customHeight="1" x14ac:dyDescent="0.4">
      <c r="A2486" s="17" t="s">
        <v>149</v>
      </c>
      <c r="B2486" s="15" t="s">
        <v>319</v>
      </c>
      <c r="C2486" s="16" t="s">
        <v>31</v>
      </c>
      <c r="D2486" s="16" t="s">
        <v>31</v>
      </c>
      <c r="E2486" s="15" t="s">
        <v>32</v>
      </c>
      <c r="F2486" s="15" t="s">
        <v>314</v>
      </c>
      <c r="N2486" s="21" t="s">
        <v>96</v>
      </c>
      <c r="O2486" s="21" t="s">
        <v>337</v>
      </c>
      <c r="Q2486" s="21" t="s">
        <v>344</v>
      </c>
      <c r="R2486" s="22">
        <v>45756</v>
      </c>
      <c r="W2486">
        <f>COUNTIF(第一生命保険!U:U,B2486)</f>
        <v>0</v>
      </c>
    </row>
    <row r="2487" spans="1:23" ht="24.95" hidden="1" customHeight="1" x14ac:dyDescent="0.4">
      <c r="A2487" s="17" t="s">
        <v>149</v>
      </c>
      <c r="B2487" s="15" t="s">
        <v>227</v>
      </c>
      <c r="C2487" s="16" t="s">
        <v>31</v>
      </c>
      <c r="D2487" s="16" t="s">
        <v>31</v>
      </c>
      <c r="E2487" s="15" t="s">
        <v>32</v>
      </c>
      <c r="F2487" s="15" t="s">
        <v>314</v>
      </c>
      <c r="N2487" s="21" t="s">
        <v>96</v>
      </c>
      <c r="O2487" s="21" t="s">
        <v>336</v>
      </c>
      <c r="Q2487" s="21" t="s">
        <v>344</v>
      </c>
      <c r="R2487" s="22">
        <v>45756</v>
      </c>
      <c r="W2487">
        <f>COUNTIF(第一生命保険!U:U,B2487)</f>
        <v>0</v>
      </c>
    </row>
    <row r="2488" spans="1:23" ht="24.95" hidden="1" customHeight="1" x14ac:dyDescent="0.4">
      <c r="A2488" s="17" t="s">
        <v>149</v>
      </c>
      <c r="B2488" s="15" t="s">
        <v>228</v>
      </c>
      <c r="C2488" s="16" t="s">
        <v>31</v>
      </c>
      <c r="D2488" s="16" t="s">
        <v>31</v>
      </c>
      <c r="E2488" s="15" t="s">
        <v>32</v>
      </c>
      <c r="F2488" s="15" t="s">
        <v>314</v>
      </c>
      <c r="N2488" s="21" t="s">
        <v>96</v>
      </c>
      <c r="O2488" s="21" t="s">
        <v>336</v>
      </c>
      <c r="Q2488" s="21" t="s">
        <v>344</v>
      </c>
      <c r="R2488" s="22">
        <v>45756</v>
      </c>
      <c r="W2488">
        <f>COUNTIF(第一生命保険!U:U,B2488)</f>
        <v>0</v>
      </c>
    </row>
    <row r="2489" spans="1:23" ht="24.95" hidden="1" customHeight="1" x14ac:dyDescent="0.4">
      <c r="A2489" s="17" t="s">
        <v>149</v>
      </c>
      <c r="B2489" s="15" t="s">
        <v>229</v>
      </c>
      <c r="C2489" s="16" t="s">
        <v>31</v>
      </c>
      <c r="D2489" s="16" t="s">
        <v>31</v>
      </c>
      <c r="E2489" s="15" t="s">
        <v>32</v>
      </c>
      <c r="F2489" s="15" t="s">
        <v>314</v>
      </c>
      <c r="N2489" s="21" t="s">
        <v>96</v>
      </c>
      <c r="O2489" s="21" t="s">
        <v>336</v>
      </c>
      <c r="Q2489" s="21" t="s">
        <v>344</v>
      </c>
      <c r="R2489" s="22">
        <v>45756</v>
      </c>
      <c r="W2489">
        <f>COUNTIF(第一生命保険!U:U,B2489)</f>
        <v>0</v>
      </c>
    </row>
    <row r="2490" spans="1:23" ht="24.95" hidden="1" customHeight="1" x14ac:dyDescent="0.4">
      <c r="A2490" s="17" t="s">
        <v>149</v>
      </c>
      <c r="B2490" s="15" t="s">
        <v>230</v>
      </c>
      <c r="C2490" s="16" t="s">
        <v>31</v>
      </c>
      <c r="D2490" s="16" t="s">
        <v>31</v>
      </c>
      <c r="E2490" s="15" t="s">
        <v>32</v>
      </c>
      <c r="F2490" s="15" t="s">
        <v>314</v>
      </c>
      <c r="N2490" s="21" t="s">
        <v>96</v>
      </c>
      <c r="O2490" s="21" t="s">
        <v>336</v>
      </c>
      <c r="Q2490" s="21" t="s">
        <v>344</v>
      </c>
      <c r="R2490" s="22">
        <v>45756</v>
      </c>
      <c r="W2490">
        <f>COUNTIF(第一生命保険!U:U,B2490)</f>
        <v>0</v>
      </c>
    </row>
    <row r="2491" spans="1:23" ht="24.95" hidden="1" customHeight="1" x14ac:dyDescent="0.4">
      <c r="A2491" s="17" t="s">
        <v>149</v>
      </c>
      <c r="B2491" s="15" t="s">
        <v>231</v>
      </c>
      <c r="C2491" s="16" t="s">
        <v>31</v>
      </c>
      <c r="D2491" s="16" t="s">
        <v>31</v>
      </c>
      <c r="E2491" s="15" t="s">
        <v>32</v>
      </c>
      <c r="F2491" s="15" t="s">
        <v>314</v>
      </c>
      <c r="N2491" s="21" t="s">
        <v>96</v>
      </c>
      <c r="O2491" s="21" t="s">
        <v>336</v>
      </c>
      <c r="Q2491" s="21" t="s">
        <v>344</v>
      </c>
      <c r="R2491" s="22">
        <v>45756</v>
      </c>
      <c r="W2491">
        <f>COUNTIF(第一生命保険!U:U,B2491)</f>
        <v>0</v>
      </c>
    </row>
    <row r="2492" spans="1:23" ht="24.95" hidden="1" customHeight="1" x14ac:dyDescent="0.4">
      <c r="A2492" s="17" t="s">
        <v>149</v>
      </c>
      <c r="B2492" s="15" t="s">
        <v>232</v>
      </c>
      <c r="C2492" s="16" t="s">
        <v>31</v>
      </c>
      <c r="D2492" s="16" t="s">
        <v>31</v>
      </c>
      <c r="E2492" s="15" t="s">
        <v>32</v>
      </c>
      <c r="F2492" s="15" t="s">
        <v>314</v>
      </c>
      <c r="N2492" s="21" t="s">
        <v>96</v>
      </c>
      <c r="O2492" s="21" t="s">
        <v>336</v>
      </c>
      <c r="Q2492" s="21" t="s">
        <v>344</v>
      </c>
      <c r="R2492" s="22">
        <v>45756</v>
      </c>
      <c r="W2492">
        <f>COUNTIF(第一生命保険!U:U,B2492)</f>
        <v>0</v>
      </c>
    </row>
    <row r="2493" spans="1:23" ht="24.95" hidden="1" customHeight="1" x14ac:dyDescent="0.4">
      <c r="A2493" s="17" t="s">
        <v>149</v>
      </c>
      <c r="B2493" s="15" t="s">
        <v>233</v>
      </c>
      <c r="C2493" s="16" t="s">
        <v>31</v>
      </c>
      <c r="D2493" s="16" t="s">
        <v>31</v>
      </c>
      <c r="E2493" s="15" t="s">
        <v>32</v>
      </c>
      <c r="F2493" s="15" t="s">
        <v>314</v>
      </c>
      <c r="N2493" s="21" t="s">
        <v>96</v>
      </c>
      <c r="O2493" s="21" t="s">
        <v>336</v>
      </c>
      <c r="Q2493" s="21" t="s">
        <v>344</v>
      </c>
      <c r="R2493" s="22">
        <v>45756</v>
      </c>
      <c r="W2493">
        <f>COUNTIF(第一生命保険!U:U,B2493)</f>
        <v>0</v>
      </c>
    </row>
    <row r="2494" spans="1:23" ht="24.95" hidden="1" customHeight="1" x14ac:dyDescent="0.4">
      <c r="A2494" s="17" t="s">
        <v>149</v>
      </c>
      <c r="B2494" s="15" t="s">
        <v>234</v>
      </c>
      <c r="C2494" s="16" t="s">
        <v>31</v>
      </c>
      <c r="D2494" s="16" t="s">
        <v>31</v>
      </c>
      <c r="E2494" s="15" t="s">
        <v>32</v>
      </c>
      <c r="F2494" s="15" t="s">
        <v>314</v>
      </c>
      <c r="N2494" s="21" t="s">
        <v>96</v>
      </c>
      <c r="O2494" s="21" t="s">
        <v>336</v>
      </c>
      <c r="Q2494" s="21" t="s">
        <v>344</v>
      </c>
      <c r="R2494" s="22">
        <v>45756</v>
      </c>
      <c r="W2494">
        <f>COUNTIF(第一生命保険!U:U,B2494)</f>
        <v>0</v>
      </c>
    </row>
    <row r="2495" spans="1:23" ht="24.95" hidden="1" customHeight="1" x14ac:dyDescent="0.4">
      <c r="A2495" s="17" t="s">
        <v>149</v>
      </c>
      <c r="B2495" s="15" t="s">
        <v>235</v>
      </c>
      <c r="C2495" s="16" t="s">
        <v>31</v>
      </c>
      <c r="D2495" s="16" t="s">
        <v>31</v>
      </c>
      <c r="E2495" s="15" t="s">
        <v>32</v>
      </c>
      <c r="F2495" s="15" t="s">
        <v>314</v>
      </c>
      <c r="N2495" s="21" t="s">
        <v>96</v>
      </c>
      <c r="O2495" s="21" t="s">
        <v>336</v>
      </c>
      <c r="Q2495" s="21" t="s">
        <v>344</v>
      </c>
      <c r="R2495" s="22">
        <v>45756</v>
      </c>
      <c r="W2495">
        <f>COUNTIF(第一生命保険!U:U,B2495)</f>
        <v>0</v>
      </c>
    </row>
    <row r="2496" spans="1:23" ht="24.95" hidden="1" customHeight="1" x14ac:dyDescent="0.4">
      <c r="A2496" s="17" t="s">
        <v>149</v>
      </c>
      <c r="B2496" s="15" t="s">
        <v>236</v>
      </c>
      <c r="C2496" s="16" t="s">
        <v>31</v>
      </c>
      <c r="D2496" s="16" t="s">
        <v>31</v>
      </c>
      <c r="E2496" s="15" t="s">
        <v>32</v>
      </c>
      <c r="F2496" s="15" t="s">
        <v>314</v>
      </c>
      <c r="N2496" s="21" t="s">
        <v>96</v>
      </c>
      <c r="O2496" s="21" t="s">
        <v>336</v>
      </c>
      <c r="Q2496" s="21" t="s">
        <v>344</v>
      </c>
      <c r="R2496" s="22">
        <v>45756</v>
      </c>
      <c r="W2496">
        <f>COUNTIF(第一生命保険!U:U,B2496)</f>
        <v>0</v>
      </c>
    </row>
    <row r="2497" spans="1:23" ht="24.95" hidden="1" customHeight="1" x14ac:dyDescent="0.4">
      <c r="A2497" s="17" t="s">
        <v>149</v>
      </c>
      <c r="B2497" s="15" t="s">
        <v>237</v>
      </c>
      <c r="C2497" s="16" t="s">
        <v>31</v>
      </c>
      <c r="D2497" s="16" t="s">
        <v>31</v>
      </c>
      <c r="E2497" s="15" t="s">
        <v>32</v>
      </c>
      <c r="F2497" s="15" t="s">
        <v>314</v>
      </c>
      <c r="N2497" s="21" t="s">
        <v>96</v>
      </c>
      <c r="O2497" s="21" t="s">
        <v>336</v>
      </c>
      <c r="Q2497" s="21" t="s">
        <v>344</v>
      </c>
      <c r="R2497" s="22">
        <v>45756</v>
      </c>
      <c r="W2497">
        <f>COUNTIF(第一生命保険!U:U,B2497)</f>
        <v>0</v>
      </c>
    </row>
    <row r="2498" spans="1:23" ht="24.95" hidden="1" customHeight="1" x14ac:dyDescent="0.4">
      <c r="A2498" s="17" t="s">
        <v>149</v>
      </c>
      <c r="B2498" s="15" t="s">
        <v>346</v>
      </c>
      <c r="C2498" s="16" t="s">
        <v>31</v>
      </c>
      <c r="D2498" s="16" t="s">
        <v>31</v>
      </c>
      <c r="E2498" s="15" t="s">
        <v>32</v>
      </c>
      <c r="F2498" s="15" t="s">
        <v>356</v>
      </c>
      <c r="N2498" s="21" t="s">
        <v>96</v>
      </c>
      <c r="O2498" s="21" t="s">
        <v>360</v>
      </c>
      <c r="Q2498" s="21" t="s">
        <v>344</v>
      </c>
      <c r="R2498" s="22">
        <v>45847</v>
      </c>
      <c r="W2498">
        <f>COUNTIF(第一生命保険!U:U,B2498)</f>
        <v>0</v>
      </c>
    </row>
    <row r="2499" spans="1:23" ht="24.95" hidden="1" customHeight="1" x14ac:dyDescent="0.4">
      <c r="A2499" s="17" t="s">
        <v>149</v>
      </c>
      <c r="B2499" s="15" t="s">
        <v>357</v>
      </c>
      <c r="C2499" s="16" t="s">
        <v>31</v>
      </c>
      <c r="D2499" s="16" t="s">
        <v>31</v>
      </c>
      <c r="E2499" s="15" t="s">
        <v>32</v>
      </c>
      <c r="F2499" s="15" t="s">
        <v>356</v>
      </c>
      <c r="N2499" s="21" t="s">
        <v>96</v>
      </c>
      <c r="O2499" s="21" t="s">
        <v>360</v>
      </c>
      <c r="Q2499" s="21" t="s">
        <v>344</v>
      </c>
      <c r="R2499" s="22">
        <v>45847</v>
      </c>
      <c r="W2499">
        <f>COUNTIF(第一生命保険!U:U,B2499)</f>
        <v>0</v>
      </c>
    </row>
    <row r="2500" spans="1:23" ht="24.95" hidden="1" customHeight="1" x14ac:dyDescent="0.4">
      <c r="A2500" s="17" t="s">
        <v>149</v>
      </c>
      <c r="B2500" s="15" t="s">
        <v>347</v>
      </c>
      <c r="C2500" s="16" t="s">
        <v>31</v>
      </c>
      <c r="D2500" s="16" t="s">
        <v>31</v>
      </c>
      <c r="E2500" s="15" t="s">
        <v>32</v>
      </c>
      <c r="F2500" s="15" t="s">
        <v>356</v>
      </c>
      <c r="N2500" s="21" t="s">
        <v>96</v>
      </c>
      <c r="O2500" s="21" t="s">
        <v>360</v>
      </c>
      <c r="Q2500" s="21" t="s">
        <v>344</v>
      </c>
      <c r="R2500" s="22">
        <v>45847</v>
      </c>
      <c r="W2500">
        <f>COUNTIF(第一生命保険!U:U,B2500)</f>
        <v>0</v>
      </c>
    </row>
    <row r="2501" spans="1:23" ht="24.95" hidden="1" customHeight="1" x14ac:dyDescent="0.4">
      <c r="A2501" s="17" t="s">
        <v>149</v>
      </c>
      <c r="B2501" s="15" t="s">
        <v>320</v>
      </c>
      <c r="C2501" s="16" t="s">
        <v>31</v>
      </c>
      <c r="D2501" s="16" t="s">
        <v>31</v>
      </c>
      <c r="E2501" s="15" t="s">
        <v>32</v>
      </c>
      <c r="F2501" s="15" t="s">
        <v>314</v>
      </c>
      <c r="N2501" s="21" t="s">
        <v>96</v>
      </c>
      <c r="O2501" s="21" t="s">
        <v>337</v>
      </c>
      <c r="Q2501" s="21" t="s">
        <v>344</v>
      </c>
      <c r="R2501" s="22">
        <v>45756</v>
      </c>
      <c r="W2501">
        <f>COUNTIF(第一生命保険!U:U,B2501)</f>
        <v>0</v>
      </c>
    </row>
    <row r="2502" spans="1:23" ht="24.95" hidden="1" customHeight="1" x14ac:dyDescent="0.4">
      <c r="A2502" s="17" t="s">
        <v>149</v>
      </c>
      <c r="B2502" s="15" t="s">
        <v>132</v>
      </c>
      <c r="C2502" s="16" t="s">
        <v>31</v>
      </c>
      <c r="D2502" s="16" t="s">
        <v>31</v>
      </c>
      <c r="E2502" s="15" t="s">
        <v>32</v>
      </c>
      <c r="F2502" s="15" t="s">
        <v>314</v>
      </c>
      <c r="N2502" s="21" t="s">
        <v>96</v>
      </c>
      <c r="O2502" s="21" t="s">
        <v>337</v>
      </c>
      <c r="Q2502" s="21" t="s">
        <v>344</v>
      </c>
      <c r="R2502" s="22">
        <v>45756</v>
      </c>
      <c r="W2502">
        <f>COUNTIF(第一生命保険!U:U,B2502)</f>
        <v>0</v>
      </c>
    </row>
    <row r="2503" spans="1:23" ht="24.95" hidden="1" customHeight="1" x14ac:dyDescent="0.4">
      <c r="A2503" s="17" t="s">
        <v>149</v>
      </c>
      <c r="B2503" s="15" t="s">
        <v>321</v>
      </c>
      <c r="C2503" s="16" t="s">
        <v>24</v>
      </c>
      <c r="D2503" s="16" t="s">
        <v>31</v>
      </c>
      <c r="E2503" s="15" t="s">
        <v>35</v>
      </c>
      <c r="F2503" s="15" t="s">
        <v>314</v>
      </c>
      <c r="N2503" s="21" t="s">
        <v>96</v>
      </c>
      <c r="O2503" s="21" t="s">
        <v>337</v>
      </c>
      <c r="Q2503" s="21" t="s">
        <v>344</v>
      </c>
      <c r="R2503" s="22">
        <v>45756</v>
      </c>
      <c r="W2503">
        <f>COUNTIF(第一生命保険!U:U,B2503)</f>
        <v>0</v>
      </c>
    </row>
    <row r="2504" spans="1:23" ht="24.95" hidden="1" customHeight="1" x14ac:dyDescent="0.4">
      <c r="A2504" s="17" t="s">
        <v>149</v>
      </c>
      <c r="B2504" s="15" t="s">
        <v>322</v>
      </c>
      <c r="C2504" s="16" t="s">
        <v>24</v>
      </c>
      <c r="D2504" s="16" t="s">
        <v>31</v>
      </c>
      <c r="E2504" s="15" t="s">
        <v>35</v>
      </c>
      <c r="F2504" s="15" t="s">
        <v>314</v>
      </c>
      <c r="N2504" s="21" t="s">
        <v>96</v>
      </c>
      <c r="O2504" s="21" t="s">
        <v>337</v>
      </c>
      <c r="Q2504" s="21" t="s">
        <v>344</v>
      </c>
      <c r="R2504" s="22">
        <v>45756</v>
      </c>
      <c r="W2504">
        <f>COUNTIF(第一生命保険!U:U,B2504)</f>
        <v>0</v>
      </c>
    </row>
    <row r="2505" spans="1:23" ht="24.95" hidden="1" customHeight="1" x14ac:dyDescent="0.4">
      <c r="A2505" s="17" t="s">
        <v>149</v>
      </c>
      <c r="B2505" s="15" t="s">
        <v>323</v>
      </c>
      <c r="C2505" s="16" t="s">
        <v>24</v>
      </c>
      <c r="D2505" s="16" t="s">
        <v>31</v>
      </c>
      <c r="E2505" s="15" t="s">
        <v>35</v>
      </c>
      <c r="F2505" s="15" t="s">
        <v>314</v>
      </c>
      <c r="N2505" s="21" t="s">
        <v>96</v>
      </c>
      <c r="O2505" s="21" t="s">
        <v>337</v>
      </c>
      <c r="Q2505" s="21" t="s">
        <v>344</v>
      </c>
      <c r="R2505" s="22">
        <v>45756</v>
      </c>
      <c r="W2505">
        <f>COUNTIF(第一生命保険!U:U,B2505)</f>
        <v>0</v>
      </c>
    </row>
    <row r="2506" spans="1:23" ht="24.95" hidden="1" customHeight="1" x14ac:dyDescent="0.4">
      <c r="A2506" s="17" t="s">
        <v>149</v>
      </c>
      <c r="B2506" s="15" t="s">
        <v>238</v>
      </c>
      <c r="C2506" s="16" t="s">
        <v>31</v>
      </c>
      <c r="D2506" s="16" t="s">
        <v>31</v>
      </c>
      <c r="E2506" s="15" t="s">
        <v>32</v>
      </c>
      <c r="F2506" s="15" t="s">
        <v>314</v>
      </c>
      <c r="N2506" s="21" t="s">
        <v>96</v>
      </c>
      <c r="O2506" s="21" t="s">
        <v>336</v>
      </c>
      <c r="Q2506" s="21" t="s">
        <v>344</v>
      </c>
      <c r="R2506" s="22">
        <v>45756</v>
      </c>
      <c r="W2506">
        <f>COUNTIF(第一生命保険!U:U,B2506)</f>
        <v>0</v>
      </c>
    </row>
    <row r="2507" spans="1:23" ht="24.95" hidden="1" customHeight="1" x14ac:dyDescent="0.4">
      <c r="A2507" s="17" t="s">
        <v>149</v>
      </c>
      <c r="B2507" s="15" t="s">
        <v>239</v>
      </c>
      <c r="C2507" s="16" t="s">
        <v>31</v>
      </c>
      <c r="D2507" s="16" t="s">
        <v>31</v>
      </c>
      <c r="E2507" s="15" t="s">
        <v>32</v>
      </c>
      <c r="F2507" s="15" t="s">
        <v>314</v>
      </c>
      <c r="N2507" s="21" t="s">
        <v>96</v>
      </c>
      <c r="O2507" s="21" t="s">
        <v>336</v>
      </c>
      <c r="Q2507" s="21" t="s">
        <v>344</v>
      </c>
      <c r="R2507" s="22">
        <v>45756</v>
      </c>
      <c r="W2507">
        <f>COUNTIF(第一生命保険!U:U,B2507)</f>
        <v>0</v>
      </c>
    </row>
    <row r="2508" spans="1:23" ht="24.95" hidden="1" customHeight="1" x14ac:dyDescent="0.4">
      <c r="A2508" s="17" t="s">
        <v>149</v>
      </c>
      <c r="B2508" s="15" t="s">
        <v>240</v>
      </c>
      <c r="C2508" s="16" t="s">
        <v>31</v>
      </c>
      <c r="D2508" s="16" t="s">
        <v>31</v>
      </c>
      <c r="E2508" s="15" t="s">
        <v>32</v>
      </c>
      <c r="F2508" s="15" t="s">
        <v>314</v>
      </c>
      <c r="N2508" s="21" t="s">
        <v>96</v>
      </c>
      <c r="O2508" s="21" t="s">
        <v>336</v>
      </c>
      <c r="Q2508" s="21" t="s">
        <v>344</v>
      </c>
      <c r="R2508" s="22">
        <v>45756</v>
      </c>
      <c r="W2508">
        <f>COUNTIF(第一生命保険!U:U,B2508)</f>
        <v>0</v>
      </c>
    </row>
    <row r="2509" spans="1:23" ht="24.95" hidden="1" customHeight="1" x14ac:dyDescent="0.4">
      <c r="A2509" s="17" t="s">
        <v>149</v>
      </c>
      <c r="B2509" s="15" t="s">
        <v>241</v>
      </c>
      <c r="C2509" s="16" t="s">
        <v>31</v>
      </c>
      <c r="D2509" s="16" t="s">
        <v>31</v>
      </c>
      <c r="E2509" s="15" t="s">
        <v>32</v>
      </c>
      <c r="F2509" s="15" t="s">
        <v>314</v>
      </c>
      <c r="N2509" s="21" t="s">
        <v>96</v>
      </c>
      <c r="O2509" s="21" t="s">
        <v>336</v>
      </c>
      <c r="Q2509" s="21" t="s">
        <v>344</v>
      </c>
      <c r="R2509" s="22">
        <v>45756</v>
      </c>
      <c r="W2509">
        <f>COUNTIF(第一生命保険!U:U,B2509)</f>
        <v>0</v>
      </c>
    </row>
    <row r="2510" spans="1:23" ht="24.95" hidden="1" customHeight="1" x14ac:dyDescent="0.4">
      <c r="A2510" s="17" t="s">
        <v>149</v>
      </c>
      <c r="B2510" s="15" t="s">
        <v>242</v>
      </c>
      <c r="C2510" s="16" t="s">
        <v>31</v>
      </c>
      <c r="D2510" s="16" t="s">
        <v>31</v>
      </c>
      <c r="E2510" s="15" t="s">
        <v>32</v>
      </c>
      <c r="F2510" s="15" t="s">
        <v>314</v>
      </c>
      <c r="N2510" s="21" t="s">
        <v>96</v>
      </c>
      <c r="O2510" s="21" t="s">
        <v>336</v>
      </c>
      <c r="Q2510" s="21" t="s">
        <v>344</v>
      </c>
      <c r="R2510" s="22">
        <v>45756</v>
      </c>
      <c r="W2510">
        <f>COUNTIF(第一生命保険!U:U,B2510)</f>
        <v>0</v>
      </c>
    </row>
    <row r="2511" spans="1:23" ht="24.95" hidden="1" customHeight="1" x14ac:dyDescent="0.4">
      <c r="A2511" s="17" t="s">
        <v>149</v>
      </c>
      <c r="B2511" s="15" t="s">
        <v>243</v>
      </c>
      <c r="C2511" s="16" t="s">
        <v>31</v>
      </c>
      <c r="D2511" s="16" t="s">
        <v>31</v>
      </c>
      <c r="E2511" s="15" t="s">
        <v>32</v>
      </c>
      <c r="F2511" s="15" t="s">
        <v>314</v>
      </c>
      <c r="N2511" s="21" t="s">
        <v>96</v>
      </c>
      <c r="O2511" s="21" t="s">
        <v>336</v>
      </c>
      <c r="Q2511" s="21" t="s">
        <v>344</v>
      </c>
      <c r="R2511" s="22">
        <v>45756</v>
      </c>
      <c r="W2511">
        <f>COUNTIF(第一生命保険!U:U,B2511)</f>
        <v>0</v>
      </c>
    </row>
    <row r="2512" spans="1:23" ht="24.95" hidden="1" customHeight="1" x14ac:dyDescent="0.4">
      <c r="A2512" s="17" t="s">
        <v>149</v>
      </c>
      <c r="B2512" s="15" t="s">
        <v>244</v>
      </c>
      <c r="C2512" s="16" t="s">
        <v>31</v>
      </c>
      <c r="D2512" s="16" t="s">
        <v>31</v>
      </c>
      <c r="E2512" s="15" t="s">
        <v>32</v>
      </c>
      <c r="F2512" s="15" t="s">
        <v>314</v>
      </c>
      <c r="N2512" s="21" t="s">
        <v>96</v>
      </c>
      <c r="O2512" s="21" t="s">
        <v>336</v>
      </c>
      <c r="Q2512" s="21" t="s">
        <v>344</v>
      </c>
      <c r="R2512" s="22">
        <v>45756</v>
      </c>
      <c r="W2512">
        <f>COUNTIF(第一生命保険!U:U,B2512)</f>
        <v>0</v>
      </c>
    </row>
    <row r="2513" spans="1:23" ht="24.95" hidden="1" customHeight="1" x14ac:dyDescent="0.4">
      <c r="A2513" s="17" t="s">
        <v>149</v>
      </c>
      <c r="B2513" s="15" t="s">
        <v>245</v>
      </c>
      <c r="C2513" s="16" t="s">
        <v>31</v>
      </c>
      <c r="D2513" s="16" t="s">
        <v>31</v>
      </c>
      <c r="E2513" s="15" t="s">
        <v>32</v>
      </c>
      <c r="F2513" s="15" t="s">
        <v>314</v>
      </c>
      <c r="N2513" s="21" t="s">
        <v>96</v>
      </c>
      <c r="O2513" s="21" t="s">
        <v>336</v>
      </c>
      <c r="Q2513" s="21" t="s">
        <v>344</v>
      </c>
      <c r="R2513" s="22">
        <v>45756</v>
      </c>
      <c r="W2513">
        <f>COUNTIF(第一生命保険!U:U,B2513)</f>
        <v>0</v>
      </c>
    </row>
    <row r="2514" spans="1:23" ht="24.95" hidden="1" customHeight="1" x14ac:dyDescent="0.4">
      <c r="A2514" s="17" t="s">
        <v>149</v>
      </c>
      <c r="B2514" s="15" t="s">
        <v>246</v>
      </c>
      <c r="C2514" s="16" t="s">
        <v>31</v>
      </c>
      <c r="D2514" s="16" t="s">
        <v>31</v>
      </c>
      <c r="E2514" s="15" t="s">
        <v>32</v>
      </c>
      <c r="F2514" s="15" t="s">
        <v>314</v>
      </c>
      <c r="N2514" s="21" t="s">
        <v>96</v>
      </c>
      <c r="O2514" s="21" t="s">
        <v>336</v>
      </c>
      <c r="Q2514" s="21" t="s">
        <v>344</v>
      </c>
      <c r="R2514" s="22">
        <v>45756</v>
      </c>
      <c r="W2514">
        <f>COUNTIF(第一生命保険!U:U,B2514)</f>
        <v>0</v>
      </c>
    </row>
    <row r="2515" spans="1:23" ht="24.95" hidden="1" customHeight="1" x14ac:dyDescent="0.4">
      <c r="A2515" s="17" t="s">
        <v>149</v>
      </c>
      <c r="B2515" s="15" t="s">
        <v>247</v>
      </c>
      <c r="C2515" s="16" t="s">
        <v>31</v>
      </c>
      <c r="D2515" s="16" t="s">
        <v>31</v>
      </c>
      <c r="E2515" s="15" t="s">
        <v>32</v>
      </c>
      <c r="F2515" s="15" t="s">
        <v>314</v>
      </c>
      <c r="N2515" s="21" t="s">
        <v>96</v>
      </c>
      <c r="O2515" s="21" t="s">
        <v>336</v>
      </c>
      <c r="Q2515" s="21" t="s">
        <v>344</v>
      </c>
      <c r="R2515" s="22">
        <v>45756</v>
      </c>
      <c r="W2515">
        <f>COUNTIF(第一生命保険!U:U,B2515)</f>
        <v>0</v>
      </c>
    </row>
    <row r="2516" spans="1:23" ht="24.95" hidden="1" customHeight="1" x14ac:dyDescent="0.4">
      <c r="A2516" s="17" t="s">
        <v>149</v>
      </c>
      <c r="B2516" s="15" t="s">
        <v>248</v>
      </c>
      <c r="C2516" s="16" t="s">
        <v>31</v>
      </c>
      <c r="D2516" s="16" t="s">
        <v>31</v>
      </c>
      <c r="E2516" s="15" t="s">
        <v>32</v>
      </c>
      <c r="F2516" s="15" t="s">
        <v>314</v>
      </c>
      <c r="N2516" s="21" t="s">
        <v>96</v>
      </c>
      <c r="O2516" s="21" t="s">
        <v>336</v>
      </c>
      <c r="Q2516" s="21" t="s">
        <v>344</v>
      </c>
      <c r="R2516" s="22">
        <v>45756</v>
      </c>
      <c r="W2516">
        <f>COUNTIF(第一生命保険!U:U,B2516)</f>
        <v>0</v>
      </c>
    </row>
    <row r="2517" spans="1:23" ht="24.95" hidden="1" customHeight="1" x14ac:dyDescent="0.4">
      <c r="A2517" s="17" t="s">
        <v>149</v>
      </c>
      <c r="B2517" s="15" t="s">
        <v>249</v>
      </c>
      <c r="C2517" s="16" t="s">
        <v>31</v>
      </c>
      <c r="D2517" s="16" t="s">
        <v>31</v>
      </c>
      <c r="E2517" s="15" t="s">
        <v>32</v>
      </c>
      <c r="F2517" s="15" t="s">
        <v>314</v>
      </c>
      <c r="N2517" s="21" t="s">
        <v>96</v>
      </c>
      <c r="O2517" s="21" t="s">
        <v>336</v>
      </c>
      <c r="Q2517" s="21" t="s">
        <v>344</v>
      </c>
      <c r="R2517" s="22">
        <v>45756</v>
      </c>
      <c r="W2517">
        <f>COUNTIF(第一生命保険!U:U,B2517)</f>
        <v>0</v>
      </c>
    </row>
    <row r="2518" spans="1:23" ht="24.95" hidden="1" customHeight="1" x14ac:dyDescent="0.4">
      <c r="A2518" s="17" t="s">
        <v>149</v>
      </c>
      <c r="B2518" s="15" t="s">
        <v>250</v>
      </c>
      <c r="C2518" s="16" t="s">
        <v>31</v>
      </c>
      <c r="D2518" s="16" t="s">
        <v>31</v>
      </c>
      <c r="E2518" s="15" t="s">
        <v>32</v>
      </c>
      <c r="F2518" s="15" t="s">
        <v>314</v>
      </c>
      <c r="N2518" s="21" t="s">
        <v>96</v>
      </c>
      <c r="O2518" s="21" t="s">
        <v>336</v>
      </c>
      <c r="Q2518" s="21" t="s">
        <v>344</v>
      </c>
      <c r="R2518" s="22">
        <v>45756</v>
      </c>
      <c r="W2518">
        <f>COUNTIF(第一生命保険!U:U,B2518)</f>
        <v>0</v>
      </c>
    </row>
    <row r="2519" spans="1:23" ht="24.95" hidden="1" customHeight="1" x14ac:dyDescent="0.4">
      <c r="A2519" s="17" t="s">
        <v>149</v>
      </c>
      <c r="B2519" s="15" t="s">
        <v>251</v>
      </c>
      <c r="C2519" s="16" t="s">
        <v>31</v>
      </c>
      <c r="D2519" s="16" t="s">
        <v>31</v>
      </c>
      <c r="E2519" s="15" t="s">
        <v>32</v>
      </c>
      <c r="F2519" s="15" t="s">
        <v>314</v>
      </c>
      <c r="N2519" s="21" t="s">
        <v>96</v>
      </c>
      <c r="O2519" s="21" t="s">
        <v>336</v>
      </c>
      <c r="Q2519" s="21" t="s">
        <v>344</v>
      </c>
      <c r="R2519" s="22">
        <v>45756</v>
      </c>
      <c r="W2519">
        <f>COUNTIF(第一生命保険!U:U,B2519)</f>
        <v>0</v>
      </c>
    </row>
    <row r="2520" spans="1:23" ht="24.95" hidden="1" customHeight="1" x14ac:dyDescent="0.4">
      <c r="A2520" s="17" t="s">
        <v>149</v>
      </c>
      <c r="B2520" s="15" t="s">
        <v>341</v>
      </c>
      <c r="C2520" s="16" t="s">
        <v>31</v>
      </c>
      <c r="D2520" s="16" t="s">
        <v>31</v>
      </c>
      <c r="E2520" s="15" t="s">
        <v>32</v>
      </c>
      <c r="F2520" s="15" t="s">
        <v>340</v>
      </c>
      <c r="N2520" s="21" t="s">
        <v>96</v>
      </c>
      <c r="O2520" s="21" t="s">
        <v>345</v>
      </c>
      <c r="Q2520" s="21" t="s">
        <v>344</v>
      </c>
      <c r="R2520" s="22">
        <v>45784</v>
      </c>
      <c r="W2520">
        <f>COUNTIF(第一生命保険!U:U,B2520)</f>
        <v>0</v>
      </c>
    </row>
    <row r="2521" spans="1:23" ht="24.95" hidden="1" customHeight="1" x14ac:dyDescent="0.4">
      <c r="A2521" s="17" t="s">
        <v>149</v>
      </c>
      <c r="B2521" s="15" t="s">
        <v>252</v>
      </c>
      <c r="C2521" s="16" t="s">
        <v>31</v>
      </c>
      <c r="D2521" s="16" t="s">
        <v>31</v>
      </c>
      <c r="E2521" s="15" t="s">
        <v>32</v>
      </c>
      <c r="F2521" s="15" t="s">
        <v>314</v>
      </c>
      <c r="N2521" s="21" t="s">
        <v>96</v>
      </c>
      <c r="O2521" s="21" t="s">
        <v>336</v>
      </c>
      <c r="Q2521" s="21" t="s">
        <v>344</v>
      </c>
      <c r="R2521" s="22">
        <v>45756</v>
      </c>
      <c r="W2521">
        <f>COUNTIF(第一生命保険!U:U,B2521)</f>
        <v>0</v>
      </c>
    </row>
    <row r="2522" spans="1:23" ht="24.95" hidden="1" customHeight="1" x14ac:dyDescent="0.4">
      <c r="A2522" s="17" t="s">
        <v>149</v>
      </c>
      <c r="B2522" s="15" t="s">
        <v>253</v>
      </c>
      <c r="C2522" s="16" t="s">
        <v>31</v>
      </c>
      <c r="D2522" s="16" t="s">
        <v>31</v>
      </c>
      <c r="E2522" s="15" t="s">
        <v>32</v>
      </c>
      <c r="F2522" s="15" t="s">
        <v>314</v>
      </c>
      <c r="N2522" s="21" t="s">
        <v>96</v>
      </c>
      <c r="O2522" s="21" t="s">
        <v>336</v>
      </c>
      <c r="Q2522" s="21" t="s">
        <v>344</v>
      </c>
      <c r="R2522" s="22">
        <v>45756</v>
      </c>
      <c r="W2522">
        <f>COUNTIF(第一生命保険!U:U,B2522)</f>
        <v>0</v>
      </c>
    </row>
    <row r="2523" spans="1:23" ht="24.95" hidden="1" customHeight="1" x14ac:dyDescent="0.4">
      <c r="A2523" s="17" t="s">
        <v>149</v>
      </c>
      <c r="B2523" s="15" t="s">
        <v>254</v>
      </c>
      <c r="C2523" s="16" t="s">
        <v>31</v>
      </c>
      <c r="D2523" s="16" t="s">
        <v>31</v>
      </c>
      <c r="E2523" s="15" t="s">
        <v>32</v>
      </c>
      <c r="F2523" s="15" t="s">
        <v>314</v>
      </c>
      <c r="N2523" s="21" t="s">
        <v>96</v>
      </c>
      <c r="O2523" s="21" t="s">
        <v>336</v>
      </c>
      <c r="Q2523" s="21" t="s">
        <v>344</v>
      </c>
      <c r="R2523" s="22">
        <v>45756</v>
      </c>
      <c r="W2523">
        <f>COUNTIF(第一生命保険!U:U,B2523)</f>
        <v>0</v>
      </c>
    </row>
    <row r="2524" spans="1:23" ht="24.95" hidden="1" customHeight="1" x14ac:dyDescent="0.4">
      <c r="A2524" s="17" t="s">
        <v>149</v>
      </c>
      <c r="B2524" s="15" t="s">
        <v>255</v>
      </c>
      <c r="C2524" s="16" t="s">
        <v>31</v>
      </c>
      <c r="D2524" s="16" t="s">
        <v>31</v>
      </c>
      <c r="E2524" s="15" t="s">
        <v>32</v>
      </c>
      <c r="F2524" s="15" t="s">
        <v>314</v>
      </c>
      <c r="N2524" s="21" t="s">
        <v>96</v>
      </c>
      <c r="O2524" s="21" t="s">
        <v>336</v>
      </c>
      <c r="Q2524" s="21" t="s">
        <v>344</v>
      </c>
      <c r="R2524" s="22">
        <v>45756</v>
      </c>
      <c r="W2524">
        <f>COUNTIF(第一生命保険!U:U,B2524)</f>
        <v>0</v>
      </c>
    </row>
    <row r="2525" spans="1:23" ht="24.95" hidden="1" customHeight="1" x14ac:dyDescent="0.4">
      <c r="A2525" s="17" t="s">
        <v>149</v>
      </c>
      <c r="B2525" s="15" t="s">
        <v>256</v>
      </c>
      <c r="C2525" s="16" t="s">
        <v>31</v>
      </c>
      <c r="D2525" s="16" t="s">
        <v>31</v>
      </c>
      <c r="E2525" s="15" t="s">
        <v>32</v>
      </c>
      <c r="F2525" s="15" t="s">
        <v>314</v>
      </c>
      <c r="N2525" s="21" t="s">
        <v>96</v>
      </c>
      <c r="O2525" s="21" t="s">
        <v>336</v>
      </c>
      <c r="Q2525" s="21" t="s">
        <v>344</v>
      </c>
      <c r="R2525" s="22">
        <v>45756</v>
      </c>
      <c r="W2525">
        <f>COUNTIF(第一生命保険!U:U,B2525)</f>
        <v>0</v>
      </c>
    </row>
    <row r="2526" spans="1:23" ht="24.95" hidden="1" customHeight="1" x14ac:dyDescent="0.4">
      <c r="A2526" s="17" t="s">
        <v>149</v>
      </c>
      <c r="B2526" s="15" t="s">
        <v>257</v>
      </c>
      <c r="C2526" s="16" t="s">
        <v>31</v>
      </c>
      <c r="D2526" s="16" t="s">
        <v>31</v>
      </c>
      <c r="E2526" s="15" t="s">
        <v>32</v>
      </c>
      <c r="F2526" s="15" t="s">
        <v>314</v>
      </c>
      <c r="N2526" s="21" t="s">
        <v>96</v>
      </c>
      <c r="O2526" s="21" t="s">
        <v>336</v>
      </c>
      <c r="Q2526" s="21" t="s">
        <v>344</v>
      </c>
      <c r="R2526" s="22">
        <v>45756</v>
      </c>
      <c r="W2526">
        <f>COUNTIF(第一生命保険!U:U,B2526)</f>
        <v>0</v>
      </c>
    </row>
    <row r="2527" spans="1:23" ht="24.95" hidden="1" customHeight="1" x14ac:dyDescent="0.4">
      <c r="A2527" s="17" t="s">
        <v>149</v>
      </c>
      <c r="B2527" s="15" t="s">
        <v>258</v>
      </c>
      <c r="C2527" s="16" t="s">
        <v>31</v>
      </c>
      <c r="D2527" s="16" t="s">
        <v>31</v>
      </c>
      <c r="E2527" s="15" t="s">
        <v>32</v>
      </c>
      <c r="F2527" s="15" t="s">
        <v>314</v>
      </c>
      <c r="N2527" s="21" t="s">
        <v>96</v>
      </c>
      <c r="O2527" s="21" t="s">
        <v>336</v>
      </c>
      <c r="Q2527" s="21" t="s">
        <v>344</v>
      </c>
      <c r="R2527" s="22">
        <v>45756</v>
      </c>
      <c r="W2527">
        <f>COUNTIF(第一生命保険!U:U,B2527)</f>
        <v>0</v>
      </c>
    </row>
    <row r="2528" spans="1:23" ht="24.95" hidden="1" customHeight="1" x14ac:dyDescent="0.4">
      <c r="A2528" s="17" t="s">
        <v>149</v>
      </c>
      <c r="B2528" s="15" t="s">
        <v>259</v>
      </c>
      <c r="C2528" s="16" t="s">
        <v>31</v>
      </c>
      <c r="D2528" s="16" t="s">
        <v>31</v>
      </c>
      <c r="E2528" s="15" t="s">
        <v>32</v>
      </c>
      <c r="F2528" s="15" t="s">
        <v>314</v>
      </c>
      <c r="N2528" s="21" t="s">
        <v>96</v>
      </c>
      <c r="O2528" s="21" t="s">
        <v>336</v>
      </c>
      <c r="Q2528" s="21" t="s">
        <v>344</v>
      </c>
      <c r="R2528" s="22">
        <v>45756</v>
      </c>
      <c r="W2528">
        <f>COUNTIF(第一生命保険!U:U,B2528)</f>
        <v>0</v>
      </c>
    </row>
    <row r="2529" spans="1:23" ht="24.95" hidden="1" customHeight="1" x14ac:dyDescent="0.4">
      <c r="A2529" s="17" t="s">
        <v>149</v>
      </c>
      <c r="B2529" s="15" t="s">
        <v>260</v>
      </c>
      <c r="C2529" s="16" t="s">
        <v>31</v>
      </c>
      <c r="D2529" s="16" t="s">
        <v>31</v>
      </c>
      <c r="E2529" s="15" t="s">
        <v>32</v>
      </c>
      <c r="F2529" s="15" t="s">
        <v>314</v>
      </c>
      <c r="N2529" s="21" t="s">
        <v>96</v>
      </c>
      <c r="O2529" s="21" t="s">
        <v>336</v>
      </c>
      <c r="Q2529" s="21" t="s">
        <v>344</v>
      </c>
      <c r="R2529" s="22">
        <v>45756</v>
      </c>
      <c r="W2529">
        <f>COUNTIF(第一生命保険!U:U,B2529)</f>
        <v>0</v>
      </c>
    </row>
    <row r="2530" spans="1:23" ht="24.95" hidden="1" customHeight="1" x14ac:dyDescent="0.4">
      <c r="A2530" s="17" t="s">
        <v>149</v>
      </c>
      <c r="B2530" s="15" t="s">
        <v>261</v>
      </c>
      <c r="C2530" s="16" t="s">
        <v>31</v>
      </c>
      <c r="D2530" s="16" t="s">
        <v>31</v>
      </c>
      <c r="E2530" s="15" t="s">
        <v>32</v>
      </c>
      <c r="F2530" s="15" t="s">
        <v>314</v>
      </c>
      <c r="N2530" s="21" t="s">
        <v>96</v>
      </c>
      <c r="O2530" s="21" t="s">
        <v>336</v>
      </c>
      <c r="Q2530" s="21" t="s">
        <v>344</v>
      </c>
      <c r="R2530" s="22">
        <v>45756</v>
      </c>
      <c r="W2530">
        <f>COUNTIF(第一生命保険!U:U,B2530)</f>
        <v>0</v>
      </c>
    </row>
    <row r="2531" spans="1:23" ht="24.95" hidden="1" customHeight="1" x14ac:dyDescent="0.4">
      <c r="A2531" s="17" t="s">
        <v>149</v>
      </c>
      <c r="B2531" s="15" t="s">
        <v>262</v>
      </c>
      <c r="C2531" s="16" t="s">
        <v>31</v>
      </c>
      <c r="D2531" s="16" t="s">
        <v>31</v>
      </c>
      <c r="E2531" s="15" t="s">
        <v>32</v>
      </c>
      <c r="F2531" s="15" t="s">
        <v>314</v>
      </c>
      <c r="N2531" s="21" t="s">
        <v>96</v>
      </c>
      <c r="O2531" s="21" t="s">
        <v>336</v>
      </c>
      <c r="Q2531" s="21" t="s">
        <v>344</v>
      </c>
      <c r="R2531" s="22">
        <v>45756</v>
      </c>
      <c r="W2531">
        <f>COUNTIF(第一生命保険!U:U,B2531)</f>
        <v>0</v>
      </c>
    </row>
    <row r="2532" spans="1:23" ht="24.95" hidden="1" customHeight="1" x14ac:dyDescent="0.4">
      <c r="A2532" s="17" t="s">
        <v>149</v>
      </c>
      <c r="B2532" s="15" t="s">
        <v>263</v>
      </c>
      <c r="C2532" s="16" t="s">
        <v>31</v>
      </c>
      <c r="D2532" s="16" t="s">
        <v>31</v>
      </c>
      <c r="E2532" s="15" t="s">
        <v>32</v>
      </c>
      <c r="F2532" s="15" t="s">
        <v>314</v>
      </c>
      <c r="N2532" s="21" t="s">
        <v>96</v>
      </c>
      <c r="O2532" s="21" t="s">
        <v>336</v>
      </c>
      <c r="Q2532" s="21" t="s">
        <v>344</v>
      </c>
      <c r="R2532" s="22">
        <v>45756</v>
      </c>
      <c r="W2532">
        <f>COUNTIF(第一生命保険!U:U,B2532)</f>
        <v>0</v>
      </c>
    </row>
    <row r="2533" spans="1:23" ht="24.95" hidden="1" customHeight="1" x14ac:dyDescent="0.4">
      <c r="A2533" s="17" t="s">
        <v>149</v>
      </c>
      <c r="B2533" s="15" t="s">
        <v>264</v>
      </c>
      <c r="C2533" s="16" t="s">
        <v>31</v>
      </c>
      <c r="D2533" s="16" t="s">
        <v>31</v>
      </c>
      <c r="E2533" s="15" t="s">
        <v>32</v>
      </c>
      <c r="F2533" s="15" t="s">
        <v>314</v>
      </c>
      <c r="N2533" s="21" t="s">
        <v>96</v>
      </c>
      <c r="O2533" s="21" t="s">
        <v>336</v>
      </c>
      <c r="Q2533" s="21" t="s">
        <v>344</v>
      </c>
      <c r="R2533" s="22">
        <v>45756</v>
      </c>
      <c r="W2533">
        <f>COUNTIF(第一生命保険!U:U,B2533)</f>
        <v>0</v>
      </c>
    </row>
    <row r="2534" spans="1:23" ht="24.95" hidden="1" customHeight="1" x14ac:dyDescent="0.4">
      <c r="A2534" s="17" t="s">
        <v>149</v>
      </c>
      <c r="B2534" s="15" t="s">
        <v>265</v>
      </c>
      <c r="C2534" s="16" t="s">
        <v>31</v>
      </c>
      <c r="D2534" s="16" t="s">
        <v>31</v>
      </c>
      <c r="E2534" s="15" t="s">
        <v>32</v>
      </c>
      <c r="F2534" s="15" t="s">
        <v>314</v>
      </c>
      <c r="N2534" s="21" t="s">
        <v>96</v>
      </c>
      <c r="O2534" s="21" t="s">
        <v>336</v>
      </c>
      <c r="Q2534" s="21" t="s">
        <v>344</v>
      </c>
      <c r="R2534" s="22">
        <v>45756</v>
      </c>
      <c r="W2534">
        <f>COUNTIF(第一生命保険!U:U,B2534)</f>
        <v>0</v>
      </c>
    </row>
    <row r="2535" spans="1:23" ht="24.95" hidden="1" customHeight="1" x14ac:dyDescent="0.4">
      <c r="A2535" s="17" t="s">
        <v>149</v>
      </c>
      <c r="B2535" s="15" t="s">
        <v>266</v>
      </c>
      <c r="C2535" s="16" t="s">
        <v>31</v>
      </c>
      <c r="D2535" s="16" t="s">
        <v>31</v>
      </c>
      <c r="E2535" s="15" t="s">
        <v>32</v>
      </c>
      <c r="F2535" s="15" t="s">
        <v>314</v>
      </c>
      <c r="N2535" s="21" t="s">
        <v>96</v>
      </c>
      <c r="O2535" s="21" t="s">
        <v>336</v>
      </c>
      <c r="Q2535" s="21" t="s">
        <v>344</v>
      </c>
      <c r="R2535" s="22">
        <v>45756</v>
      </c>
      <c r="W2535">
        <f>COUNTIF(第一生命保険!U:U,B2535)</f>
        <v>0</v>
      </c>
    </row>
    <row r="2536" spans="1:23" ht="24.95" hidden="1" customHeight="1" x14ac:dyDescent="0.4">
      <c r="A2536" s="17" t="s">
        <v>149</v>
      </c>
      <c r="B2536" s="15" t="s">
        <v>267</v>
      </c>
      <c r="C2536" s="16" t="s">
        <v>31</v>
      </c>
      <c r="D2536" s="16" t="s">
        <v>31</v>
      </c>
      <c r="E2536" s="15" t="s">
        <v>32</v>
      </c>
      <c r="F2536" s="15" t="s">
        <v>314</v>
      </c>
      <c r="N2536" s="21" t="s">
        <v>96</v>
      </c>
      <c r="O2536" s="21" t="s">
        <v>336</v>
      </c>
      <c r="Q2536" s="21" t="s">
        <v>344</v>
      </c>
      <c r="R2536" s="22">
        <v>45756</v>
      </c>
      <c r="W2536">
        <f>COUNTIF(第一生命保険!U:U,B2536)</f>
        <v>0</v>
      </c>
    </row>
    <row r="2537" spans="1:23" ht="24.95" hidden="1" customHeight="1" x14ac:dyDescent="0.4">
      <c r="A2537" s="17" t="s">
        <v>149</v>
      </c>
      <c r="B2537" s="15" t="s">
        <v>268</v>
      </c>
      <c r="C2537" s="16" t="s">
        <v>31</v>
      </c>
      <c r="D2537" s="16" t="s">
        <v>31</v>
      </c>
      <c r="E2537" s="15" t="s">
        <v>32</v>
      </c>
      <c r="F2537" s="15" t="s">
        <v>314</v>
      </c>
      <c r="N2537" s="21" t="s">
        <v>96</v>
      </c>
      <c r="O2537" s="21" t="s">
        <v>336</v>
      </c>
      <c r="Q2537" s="21" t="s">
        <v>344</v>
      </c>
      <c r="R2537" s="22">
        <v>45756</v>
      </c>
      <c r="W2537">
        <f>COUNTIF(第一生命保険!U:U,B2537)</f>
        <v>0</v>
      </c>
    </row>
    <row r="2538" spans="1:23" ht="24.95" hidden="1" customHeight="1" x14ac:dyDescent="0.4">
      <c r="A2538" s="17" t="s">
        <v>149</v>
      </c>
      <c r="B2538" s="15" t="s">
        <v>269</v>
      </c>
      <c r="C2538" s="16" t="s">
        <v>31</v>
      </c>
      <c r="D2538" s="16" t="s">
        <v>31</v>
      </c>
      <c r="E2538" s="15" t="s">
        <v>32</v>
      </c>
      <c r="F2538" s="15" t="s">
        <v>314</v>
      </c>
      <c r="N2538" s="21" t="s">
        <v>96</v>
      </c>
      <c r="O2538" s="21" t="s">
        <v>336</v>
      </c>
      <c r="Q2538" s="21" t="s">
        <v>344</v>
      </c>
      <c r="R2538" s="22">
        <v>45756</v>
      </c>
      <c r="W2538">
        <f>COUNTIF(第一生命保険!U:U,B2538)</f>
        <v>0</v>
      </c>
    </row>
    <row r="2539" spans="1:23" ht="24.95" hidden="1" customHeight="1" x14ac:dyDescent="0.4">
      <c r="A2539" s="17" t="s">
        <v>149</v>
      </c>
      <c r="B2539" s="15" t="s">
        <v>270</v>
      </c>
      <c r="C2539" s="16" t="s">
        <v>31</v>
      </c>
      <c r="D2539" s="16" t="s">
        <v>31</v>
      </c>
      <c r="E2539" s="15" t="s">
        <v>32</v>
      </c>
      <c r="F2539" s="15" t="s">
        <v>314</v>
      </c>
      <c r="N2539" s="21" t="s">
        <v>96</v>
      </c>
      <c r="O2539" s="21" t="s">
        <v>336</v>
      </c>
      <c r="Q2539" s="21" t="s">
        <v>344</v>
      </c>
      <c r="R2539" s="22">
        <v>45756</v>
      </c>
      <c r="W2539">
        <f>COUNTIF(第一生命保険!U:U,B2539)</f>
        <v>0</v>
      </c>
    </row>
    <row r="2540" spans="1:23" ht="24.95" hidden="1" customHeight="1" x14ac:dyDescent="0.4">
      <c r="A2540" s="17" t="s">
        <v>149</v>
      </c>
      <c r="B2540" s="15" t="s">
        <v>271</v>
      </c>
      <c r="C2540" s="16" t="s">
        <v>31</v>
      </c>
      <c r="D2540" s="16" t="s">
        <v>31</v>
      </c>
      <c r="E2540" s="15" t="s">
        <v>32</v>
      </c>
      <c r="F2540" s="15" t="s">
        <v>314</v>
      </c>
      <c r="N2540" s="21" t="s">
        <v>96</v>
      </c>
      <c r="O2540" s="21" t="s">
        <v>336</v>
      </c>
      <c r="Q2540" s="21" t="s">
        <v>344</v>
      </c>
      <c r="R2540" s="22">
        <v>45756</v>
      </c>
      <c r="W2540">
        <f>COUNTIF(第一生命保険!U:U,B2540)</f>
        <v>0</v>
      </c>
    </row>
    <row r="2541" spans="1:23" ht="24.95" hidden="1" customHeight="1" x14ac:dyDescent="0.4">
      <c r="A2541" s="17" t="s">
        <v>149</v>
      </c>
      <c r="B2541" s="15" t="s">
        <v>366</v>
      </c>
      <c r="C2541" s="16" t="s">
        <v>31</v>
      </c>
      <c r="D2541" s="16" t="s">
        <v>31</v>
      </c>
      <c r="E2541" s="15" t="s">
        <v>32</v>
      </c>
      <c r="F2541" s="15" t="s">
        <v>365</v>
      </c>
      <c r="N2541" s="21" t="s">
        <v>374</v>
      </c>
      <c r="O2541" s="21" t="s">
        <v>373</v>
      </c>
      <c r="Q2541" s="21" t="s">
        <v>344</v>
      </c>
      <c r="R2541" s="22">
        <v>45883</v>
      </c>
      <c r="W2541">
        <f>COUNTIF(第一生命保険!U:U,B2541)</f>
        <v>0</v>
      </c>
    </row>
    <row r="2542" spans="1:23" ht="24.95" hidden="1" customHeight="1" x14ac:dyDescent="0.4">
      <c r="A2542" s="17" t="s">
        <v>149</v>
      </c>
      <c r="B2542" s="15" t="s">
        <v>367</v>
      </c>
      <c r="C2542" s="16" t="s">
        <v>31</v>
      </c>
      <c r="D2542" s="16" t="s">
        <v>31</v>
      </c>
      <c r="E2542" s="15" t="s">
        <v>32</v>
      </c>
      <c r="F2542" s="15" t="s">
        <v>365</v>
      </c>
      <c r="N2542" s="21" t="s">
        <v>374</v>
      </c>
      <c r="O2542" s="21" t="s">
        <v>373</v>
      </c>
      <c r="Q2542" s="21" t="s">
        <v>344</v>
      </c>
      <c r="R2542" s="22">
        <v>45883</v>
      </c>
      <c r="W2542">
        <f>COUNTIF(第一生命保険!U:U,B2542)</f>
        <v>0</v>
      </c>
    </row>
    <row r="2543" spans="1:23" ht="24.95" hidden="1" customHeight="1" x14ac:dyDescent="0.4">
      <c r="A2543" s="17" t="s">
        <v>149</v>
      </c>
      <c r="B2543" s="15" t="s">
        <v>324</v>
      </c>
      <c r="C2543" s="16" t="s">
        <v>31</v>
      </c>
      <c r="D2543" s="16" t="s">
        <v>31</v>
      </c>
      <c r="E2543" s="15" t="s">
        <v>32</v>
      </c>
      <c r="F2543" s="15" t="s">
        <v>314</v>
      </c>
      <c r="N2543" s="21" t="s">
        <v>96</v>
      </c>
      <c r="O2543" s="21" t="s">
        <v>337</v>
      </c>
      <c r="Q2543" s="21" t="s">
        <v>344</v>
      </c>
      <c r="R2543" s="22">
        <v>45756</v>
      </c>
      <c r="W2543">
        <f>COUNTIF(第一生命保険!U:U,B2543)</f>
        <v>0</v>
      </c>
    </row>
    <row r="2544" spans="1:23" ht="24.95" hidden="1" customHeight="1" x14ac:dyDescent="0.4">
      <c r="A2544" s="17" t="s">
        <v>149</v>
      </c>
      <c r="B2544" s="50" t="s">
        <v>368</v>
      </c>
      <c r="C2544" s="16" t="s">
        <v>31</v>
      </c>
      <c r="D2544" s="16" t="s">
        <v>31</v>
      </c>
      <c r="E2544" s="15" t="s">
        <v>32</v>
      </c>
      <c r="F2544" s="15" t="s">
        <v>365</v>
      </c>
      <c r="N2544" s="21" t="s">
        <v>96</v>
      </c>
      <c r="O2544" s="21" t="s">
        <v>372</v>
      </c>
      <c r="Q2544" s="21" t="s">
        <v>344</v>
      </c>
      <c r="R2544" s="22">
        <v>45883</v>
      </c>
      <c r="W2544">
        <f>COUNTIF(第一生命保険!U:U,B2544)</f>
        <v>0</v>
      </c>
    </row>
    <row r="2545" spans="1:23" ht="24.95" hidden="1" customHeight="1" x14ac:dyDescent="0.4">
      <c r="A2545" s="17" t="s">
        <v>149</v>
      </c>
      <c r="B2545" s="50" t="s">
        <v>369</v>
      </c>
      <c r="C2545" s="16" t="s">
        <v>24</v>
      </c>
      <c r="D2545" s="16" t="s">
        <v>31</v>
      </c>
      <c r="E2545" s="15" t="s">
        <v>35</v>
      </c>
      <c r="F2545" s="15" t="s">
        <v>365</v>
      </c>
      <c r="N2545" s="21" t="s">
        <v>96</v>
      </c>
      <c r="O2545" s="21" t="s">
        <v>372</v>
      </c>
      <c r="Q2545" s="21" t="s">
        <v>344</v>
      </c>
      <c r="R2545" s="22">
        <v>45883</v>
      </c>
      <c r="W2545">
        <f>COUNTIF(第一生命保険!U:U,B2545)</f>
        <v>0</v>
      </c>
    </row>
    <row r="2546" spans="1:23" ht="24.95" hidden="1" customHeight="1" x14ac:dyDescent="0.4">
      <c r="A2546" s="17" t="s">
        <v>149</v>
      </c>
      <c r="B2546" s="15" t="s">
        <v>325</v>
      </c>
      <c r="C2546" s="16" t="s">
        <v>24</v>
      </c>
      <c r="D2546" s="16" t="s">
        <v>31</v>
      </c>
      <c r="E2546" s="15" t="s">
        <v>35</v>
      </c>
      <c r="F2546" s="15" t="s">
        <v>314</v>
      </c>
      <c r="N2546" s="21" t="s">
        <v>96</v>
      </c>
      <c r="O2546" s="21" t="s">
        <v>337</v>
      </c>
      <c r="Q2546" s="21" t="s">
        <v>344</v>
      </c>
      <c r="R2546" s="22">
        <v>45756</v>
      </c>
      <c r="W2546">
        <f>COUNTIF(第一生命保険!U:U,B2546)</f>
        <v>0</v>
      </c>
    </row>
    <row r="2547" spans="1:23" ht="24.95" hidden="1" customHeight="1" x14ac:dyDescent="0.4">
      <c r="A2547" s="17" t="s">
        <v>149</v>
      </c>
      <c r="B2547" s="15" t="s">
        <v>272</v>
      </c>
      <c r="C2547" s="16" t="s">
        <v>31</v>
      </c>
      <c r="D2547" s="16" t="s">
        <v>31</v>
      </c>
      <c r="E2547" s="15" t="s">
        <v>32</v>
      </c>
      <c r="F2547" s="15" t="s">
        <v>314</v>
      </c>
      <c r="N2547" s="21" t="s">
        <v>96</v>
      </c>
      <c r="O2547" s="21" t="s">
        <v>336</v>
      </c>
      <c r="Q2547" s="21" t="s">
        <v>344</v>
      </c>
      <c r="R2547" s="22">
        <v>45756</v>
      </c>
      <c r="W2547">
        <f>COUNTIF(第一生命保険!U:U,B2547)</f>
        <v>0</v>
      </c>
    </row>
    <row r="2548" spans="1:23" ht="24.95" hidden="1" customHeight="1" x14ac:dyDescent="0.4">
      <c r="A2548" s="17" t="s">
        <v>149</v>
      </c>
      <c r="B2548" s="15" t="s">
        <v>273</v>
      </c>
      <c r="C2548" s="16" t="s">
        <v>31</v>
      </c>
      <c r="D2548" s="16" t="s">
        <v>31</v>
      </c>
      <c r="E2548" s="15" t="s">
        <v>32</v>
      </c>
      <c r="F2548" s="15" t="s">
        <v>314</v>
      </c>
      <c r="N2548" s="21" t="s">
        <v>96</v>
      </c>
      <c r="O2548" s="21" t="s">
        <v>336</v>
      </c>
      <c r="Q2548" s="21" t="s">
        <v>344</v>
      </c>
      <c r="R2548" s="22">
        <v>45756</v>
      </c>
      <c r="W2548">
        <f>COUNTIF(第一生命保険!U:U,B2548)</f>
        <v>0</v>
      </c>
    </row>
    <row r="2549" spans="1:23" ht="24.95" hidden="1" customHeight="1" x14ac:dyDescent="0.4">
      <c r="A2549" s="17" t="s">
        <v>149</v>
      </c>
      <c r="B2549" s="15" t="s">
        <v>274</v>
      </c>
      <c r="C2549" s="16" t="s">
        <v>31</v>
      </c>
      <c r="D2549" s="16" t="s">
        <v>31</v>
      </c>
      <c r="E2549" s="15" t="s">
        <v>32</v>
      </c>
      <c r="F2549" s="15" t="s">
        <v>314</v>
      </c>
      <c r="N2549" s="21" t="s">
        <v>96</v>
      </c>
      <c r="O2549" s="21" t="s">
        <v>336</v>
      </c>
      <c r="Q2549" s="21" t="s">
        <v>344</v>
      </c>
      <c r="R2549" s="22">
        <v>45756</v>
      </c>
      <c r="W2549">
        <f>COUNTIF(第一生命保険!U:U,B2549)</f>
        <v>0</v>
      </c>
    </row>
    <row r="2550" spans="1:23" ht="24.95" hidden="1" customHeight="1" x14ac:dyDescent="0.4">
      <c r="A2550" s="17" t="s">
        <v>149</v>
      </c>
      <c r="B2550" s="15" t="s">
        <v>275</v>
      </c>
      <c r="C2550" s="16" t="s">
        <v>31</v>
      </c>
      <c r="D2550" s="16" t="s">
        <v>31</v>
      </c>
      <c r="E2550" s="15" t="s">
        <v>32</v>
      </c>
      <c r="F2550" s="15" t="s">
        <v>314</v>
      </c>
      <c r="N2550" s="21" t="s">
        <v>96</v>
      </c>
      <c r="O2550" s="21" t="s">
        <v>336</v>
      </c>
      <c r="Q2550" s="21" t="s">
        <v>344</v>
      </c>
      <c r="R2550" s="22">
        <v>45756</v>
      </c>
      <c r="W2550">
        <f>COUNTIF(第一生命保険!U:U,B2550)</f>
        <v>0</v>
      </c>
    </row>
    <row r="2551" spans="1:23" ht="24.95" hidden="1" customHeight="1" x14ac:dyDescent="0.4">
      <c r="A2551" s="17" t="s">
        <v>149</v>
      </c>
      <c r="B2551" s="15" t="s">
        <v>326</v>
      </c>
      <c r="C2551" s="16" t="s">
        <v>31</v>
      </c>
      <c r="D2551" s="16" t="s">
        <v>31</v>
      </c>
      <c r="E2551" s="15" t="s">
        <v>32</v>
      </c>
      <c r="F2551" s="15" t="s">
        <v>314</v>
      </c>
      <c r="N2551" s="21" t="s">
        <v>96</v>
      </c>
      <c r="O2551" s="21" t="s">
        <v>337</v>
      </c>
      <c r="Q2551" s="21" t="s">
        <v>344</v>
      </c>
      <c r="R2551" s="22">
        <v>45756</v>
      </c>
      <c r="W2551">
        <f>COUNTIF(第一生命保険!U:U,B2551)</f>
        <v>0</v>
      </c>
    </row>
    <row r="2552" spans="1:23" ht="24.95" hidden="1" customHeight="1" x14ac:dyDescent="0.4">
      <c r="A2552" s="17" t="s">
        <v>149</v>
      </c>
      <c r="B2552" s="15" t="s">
        <v>327</v>
      </c>
      <c r="C2552" s="16" t="s">
        <v>24</v>
      </c>
      <c r="D2552" s="16" t="s">
        <v>31</v>
      </c>
      <c r="E2552" s="15" t="s">
        <v>35</v>
      </c>
      <c r="F2552" s="15" t="s">
        <v>314</v>
      </c>
      <c r="N2552" s="21" t="s">
        <v>96</v>
      </c>
      <c r="O2552" s="21" t="s">
        <v>337</v>
      </c>
      <c r="Q2552" s="21" t="s">
        <v>344</v>
      </c>
      <c r="R2552" s="22">
        <v>45756</v>
      </c>
      <c r="W2552">
        <f>COUNTIF(第一生命保険!U:U,B2552)</f>
        <v>0</v>
      </c>
    </row>
    <row r="2553" spans="1:23" ht="24.95" hidden="1" customHeight="1" x14ac:dyDescent="0.4">
      <c r="A2553" s="17" t="s">
        <v>149</v>
      </c>
      <c r="B2553" s="15" t="s">
        <v>328</v>
      </c>
      <c r="C2553" s="16" t="s">
        <v>24</v>
      </c>
      <c r="D2553" s="16" t="s">
        <v>31</v>
      </c>
      <c r="E2553" s="15" t="s">
        <v>35</v>
      </c>
      <c r="F2553" s="15" t="s">
        <v>314</v>
      </c>
      <c r="N2553" s="21" t="s">
        <v>96</v>
      </c>
      <c r="O2553" s="21" t="s">
        <v>337</v>
      </c>
      <c r="Q2553" s="21" t="s">
        <v>344</v>
      </c>
      <c r="R2553" s="22">
        <v>45756</v>
      </c>
      <c r="W2553">
        <f>COUNTIF(第一生命保険!U:U,B2553)</f>
        <v>0</v>
      </c>
    </row>
    <row r="2554" spans="1:23" ht="24.95" hidden="1" customHeight="1" x14ac:dyDescent="0.4">
      <c r="A2554" s="17" t="s">
        <v>149</v>
      </c>
      <c r="B2554" s="15" t="s">
        <v>329</v>
      </c>
      <c r="C2554" s="16" t="s">
        <v>24</v>
      </c>
      <c r="D2554" s="16" t="s">
        <v>31</v>
      </c>
      <c r="E2554" s="15" t="s">
        <v>35</v>
      </c>
      <c r="F2554" s="15" t="s">
        <v>314</v>
      </c>
      <c r="N2554" s="21" t="s">
        <v>96</v>
      </c>
      <c r="O2554" s="21" t="s">
        <v>337</v>
      </c>
      <c r="Q2554" s="21" t="s">
        <v>344</v>
      </c>
      <c r="R2554" s="22">
        <v>45756</v>
      </c>
      <c r="W2554">
        <f>COUNTIF(第一生命保険!U:U,B2554)</f>
        <v>0</v>
      </c>
    </row>
    <row r="2555" spans="1:23" ht="24.95" hidden="1" customHeight="1" x14ac:dyDescent="0.4">
      <c r="A2555" s="17" t="s">
        <v>149</v>
      </c>
      <c r="B2555" s="15" t="s">
        <v>276</v>
      </c>
      <c r="C2555" s="16" t="s">
        <v>31</v>
      </c>
      <c r="D2555" s="16" t="s">
        <v>31</v>
      </c>
      <c r="E2555" s="15" t="s">
        <v>32</v>
      </c>
      <c r="F2555" s="15" t="s">
        <v>314</v>
      </c>
      <c r="N2555" s="21" t="s">
        <v>96</v>
      </c>
      <c r="O2555" s="21" t="s">
        <v>336</v>
      </c>
      <c r="Q2555" s="21" t="s">
        <v>344</v>
      </c>
      <c r="R2555" s="22">
        <v>45756</v>
      </c>
      <c r="W2555">
        <f>COUNTIF(第一生命保険!U:U,B2555)</f>
        <v>0</v>
      </c>
    </row>
    <row r="2556" spans="1:23" ht="24.95" hidden="1" customHeight="1" x14ac:dyDescent="0.4">
      <c r="A2556" s="17" t="s">
        <v>149</v>
      </c>
      <c r="B2556" s="15" t="s">
        <v>277</v>
      </c>
      <c r="C2556" s="16" t="s">
        <v>31</v>
      </c>
      <c r="D2556" s="16" t="s">
        <v>31</v>
      </c>
      <c r="E2556" s="15" t="s">
        <v>32</v>
      </c>
      <c r="F2556" s="15" t="s">
        <v>314</v>
      </c>
      <c r="N2556" s="21" t="s">
        <v>96</v>
      </c>
      <c r="O2556" s="21" t="s">
        <v>336</v>
      </c>
      <c r="Q2556" s="21" t="s">
        <v>344</v>
      </c>
      <c r="R2556" s="22">
        <v>45756</v>
      </c>
      <c r="W2556">
        <f>COUNTIF(第一生命保険!U:U,B2556)</f>
        <v>0</v>
      </c>
    </row>
    <row r="2557" spans="1:23" ht="24.95" hidden="1" customHeight="1" x14ac:dyDescent="0.4">
      <c r="A2557" s="17" t="s">
        <v>149</v>
      </c>
      <c r="B2557" s="15" t="s">
        <v>278</v>
      </c>
      <c r="C2557" s="16" t="s">
        <v>31</v>
      </c>
      <c r="D2557" s="16" t="s">
        <v>31</v>
      </c>
      <c r="E2557" s="15" t="s">
        <v>32</v>
      </c>
      <c r="F2557" s="15" t="s">
        <v>314</v>
      </c>
      <c r="N2557" s="21" t="s">
        <v>96</v>
      </c>
      <c r="O2557" s="21" t="s">
        <v>336</v>
      </c>
      <c r="Q2557" s="21" t="s">
        <v>344</v>
      </c>
      <c r="R2557" s="22">
        <v>45756</v>
      </c>
      <c r="W2557">
        <f>COUNTIF(第一生命保険!U:U,B2557)</f>
        <v>0</v>
      </c>
    </row>
    <row r="2558" spans="1:23" ht="24.95" hidden="1" customHeight="1" x14ac:dyDescent="0.4">
      <c r="A2558" s="17" t="s">
        <v>149</v>
      </c>
      <c r="B2558" s="15" t="s">
        <v>279</v>
      </c>
      <c r="C2558" s="16" t="s">
        <v>31</v>
      </c>
      <c r="D2558" s="16" t="s">
        <v>31</v>
      </c>
      <c r="E2558" s="15" t="s">
        <v>32</v>
      </c>
      <c r="F2558" s="15" t="s">
        <v>314</v>
      </c>
      <c r="N2558" s="21" t="s">
        <v>96</v>
      </c>
      <c r="O2558" s="21" t="s">
        <v>336</v>
      </c>
      <c r="Q2558" s="21" t="s">
        <v>344</v>
      </c>
      <c r="R2558" s="22">
        <v>45756</v>
      </c>
      <c r="W2558">
        <f>COUNTIF(第一生命保険!U:U,B2558)</f>
        <v>0</v>
      </c>
    </row>
    <row r="2559" spans="1:23" ht="24.95" hidden="1" customHeight="1" x14ac:dyDescent="0.4">
      <c r="A2559" s="17" t="s">
        <v>149</v>
      </c>
      <c r="B2559" s="15" t="s">
        <v>280</v>
      </c>
      <c r="C2559" s="16" t="s">
        <v>31</v>
      </c>
      <c r="D2559" s="16" t="s">
        <v>31</v>
      </c>
      <c r="E2559" s="15" t="s">
        <v>32</v>
      </c>
      <c r="F2559" s="15" t="s">
        <v>314</v>
      </c>
      <c r="N2559" s="21" t="s">
        <v>96</v>
      </c>
      <c r="O2559" s="21" t="s">
        <v>336</v>
      </c>
      <c r="Q2559" s="21" t="s">
        <v>344</v>
      </c>
      <c r="R2559" s="22">
        <v>45756</v>
      </c>
      <c r="W2559">
        <f>COUNTIF(第一生命保険!U:U,B2559)</f>
        <v>0</v>
      </c>
    </row>
    <row r="2560" spans="1:23" ht="24.95" hidden="1" customHeight="1" x14ac:dyDescent="0.4">
      <c r="A2560" s="17" t="s">
        <v>149</v>
      </c>
      <c r="B2560" s="15" t="s">
        <v>281</v>
      </c>
      <c r="C2560" s="16" t="s">
        <v>31</v>
      </c>
      <c r="D2560" s="16" t="s">
        <v>31</v>
      </c>
      <c r="E2560" s="15" t="s">
        <v>32</v>
      </c>
      <c r="F2560" s="15" t="s">
        <v>314</v>
      </c>
      <c r="N2560" s="21" t="s">
        <v>96</v>
      </c>
      <c r="O2560" s="21" t="s">
        <v>336</v>
      </c>
      <c r="Q2560" s="21" t="s">
        <v>344</v>
      </c>
      <c r="R2560" s="22">
        <v>45756</v>
      </c>
      <c r="W2560">
        <f>COUNTIF(第一生命保険!U:U,B2560)</f>
        <v>0</v>
      </c>
    </row>
    <row r="2561" spans="1:23" ht="24.95" hidden="1" customHeight="1" x14ac:dyDescent="0.4">
      <c r="A2561" s="17" t="s">
        <v>149</v>
      </c>
      <c r="B2561" s="15" t="s">
        <v>282</v>
      </c>
      <c r="C2561" s="16" t="s">
        <v>31</v>
      </c>
      <c r="D2561" s="16" t="s">
        <v>31</v>
      </c>
      <c r="E2561" s="15" t="s">
        <v>32</v>
      </c>
      <c r="F2561" s="15" t="s">
        <v>314</v>
      </c>
      <c r="N2561" s="21" t="s">
        <v>96</v>
      </c>
      <c r="O2561" s="21" t="s">
        <v>336</v>
      </c>
      <c r="Q2561" s="21" t="s">
        <v>344</v>
      </c>
      <c r="R2561" s="22">
        <v>45756</v>
      </c>
      <c r="W2561">
        <f>COUNTIF(第一生命保険!U:U,B2561)</f>
        <v>0</v>
      </c>
    </row>
    <row r="2562" spans="1:23" ht="24.95" hidden="1" customHeight="1" x14ac:dyDescent="0.4">
      <c r="A2562" s="17" t="s">
        <v>149</v>
      </c>
      <c r="B2562" s="15" t="s">
        <v>283</v>
      </c>
      <c r="C2562" s="16" t="s">
        <v>31</v>
      </c>
      <c r="D2562" s="16" t="s">
        <v>31</v>
      </c>
      <c r="E2562" s="15" t="s">
        <v>32</v>
      </c>
      <c r="F2562" s="15" t="s">
        <v>314</v>
      </c>
      <c r="N2562" s="21" t="s">
        <v>96</v>
      </c>
      <c r="O2562" s="21" t="s">
        <v>336</v>
      </c>
      <c r="Q2562" s="21" t="s">
        <v>344</v>
      </c>
      <c r="R2562" s="22">
        <v>45756</v>
      </c>
      <c r="W2562">
        <f>COUNTIF(第一生命保険!U:U,B2562)</f>
        <v>0</v>
      </c>
    </row>
    <row r="2563" spans="1:23" ht="24.95" hidden="1" customHeight="1" x14ac:dyDescent="0.4">
      <c r="A2563" s="17" t="s">
        <v>149</v>
      </c>
      <c r="B2563" s="15" t="s">
        <v>284</v>
      </c>
      <c r="C2563" s="16" t="s">
        <v>31</v>
      </c>
      <c r="D2563" s="16" t="s">
        <v>31</v>
      </c>
      <c r="E2563" s="15" t="s">
        <v>32</v>
      </c>
      <c r="F2563" s="15" t="s">
        <v>314</v>
      </c>
      <c r="N2563" s="21" t="s">
        <v>96</v>
      </c>
      <c r="O2563" s="21" t="s">
        <v>336</v>
      </c>
      <c r="Q2563" s="21" t="s">
        <v>344</v>
      </c>
      <c r="R2563" s="22">
        <v>45756</v>
      </c>
      <c r="W2563">
        <f>COUNTIF(第一生命保険!U:U,B2563)</f>
        <v>0</v>
      </c>
    </row>
    <row r="2564" spans="1:23" ht="24.95" hidden="1" customHeight="1" x14ac:dyDescent="0.4">
      <c r="A2564" s="17" t="s">
        <v>149</v>
      </c>
      <c r="B2564" s="15" t="s">
        <v>285</v>
      </c>
      <c r="C2564" s="16" t="s">
        <v>31</v>
      </c>
      <c r="D2564" s="16" t="s">
        <v>31</v>
      </c>
      <c r="E2564" s="15" t="s">
        <v>32</v>
      </c>
      <c r="F2564" s="15" t="s">
        <v>314</v>
      </c>
      <c r="N2564" s="21" t="s">
        <v>96</v>
      </c>
      <c r="O2564" s="21" t="s">
        <v>336</v>
      </c>
      <c r="Q2564" s="21" t="s">
        <v>344</v>
      </c>
      <c r="R2564" s="22">
        <v>45756</v>
      </c>
      <c r="W2564">
        <f>COUNTIF(第一生命保険!U:U,B2564)</f>
        <v>0</v>
      </c>
    </row>
    <row r="2565" spans="1:23" ht="24.95" hidden="1" customHeight="1" x14ac:dyDescent="0.4">
      <c r="A2565" s="17" t="s">
        <v>149</v>
      </c>
      <c r="B2565" s="15" t="s">
        <v>286</v>
      </c>
      <c r="C2565" s="16" t="s">
        <v>31</v>
      </c>
      <c r="D2565" s="16" t="s">
        <v>31</v>
      </c>
      <c r="E2565" s="15" t="s">
        <v>32</v>
      </c>
      <c r="F2565" s="15" t="s">
        <v>314</v>
      </c>
      <c r="N2565" s="21" t="s">
        <v>96</v>
      </c>
      <c r="O2565" s="21" t="s">
        <v>336</v>
      </c>
      <c r="Q2565" s="21" t="s">
        <v>344</v>
      </c>
      <c r="R2565" s="22">
        <v>45756</v>
      </c>
      <c r="W2565">
        <f>COUNTIF(第一生命保険!U:U,B2565)</f>
        <v>0</v>
      </c>
    </row>
    <row r="2566" spans="1:23" ht="24.95" hidden="1" customHeight="1" x14ac:dyDescent="0.4">
      <c r="A2566" s="17" t="s">
        <v>149</v>
      </c>
      <c r="B2566" s="15" t="s">
        <v>287</v>
      </c>
      <c r="C2566" s="16" t="s">
        <v>31</v>
      </c>
      <c r="D2566" s="16" t="s">
        <v>31</v>
      </c>
      <c r="E2566" s="15" t="s">
        <v>32</v>
      </c>
      <c r="F2566" s="15" t="s">
        <v>314</v>
      </c>
      <c r="N2566" s="21" t="s">
        <v>96</v>
      </c>
      <c r="O2566" s="21" t="s">
        <v>336</v>
      </c>
      <c r="Q2566" s="21" t="s">
        <v>344</v>
      </c>
      <c r="R2566" s="22">
        <v>45756</v>
      </c>
      <c r="W2566">
        <f>COUNTIF(第一生命保険!U:U,B2566)</f>
        <v>0</v>
      </c>
    </row>
    <row r="2567" spans="1:23" ht="24.95" hidden="1" customHeight="1" x14ac:dyDescent="0.4">
      <c r="A2567" s="17" t="s">
        <v>149</v>
      </c>
      <c r="B2567" s="15" t="s">
        <v>342</v>
      </c>
      <c r="C2567" s="16" t="s">
        <v>31</v>
      </c>
      <c r="D2567" s="16" t="s">
        <v>31</v>
      </c>
      <c r="E2567" s="15" t="s">
        <v>32</v>
      </c>
      <c r="F2567" s="15" t="s">
        <v>340</v>
      </c>
      <c r="N2567" s="21" t="s">
        <v>96</v>
      </c>
      <c r="O2567" s="21" t="s">
        <v>345</v>
      </c>
      <c r="Q2567" s="21" t="s">
        <v>344</v>
      </c>
      <c r="R2567" s="22">
        <v>45784</v>
      </c>
      <c r="W2567">
        <f>COUNTIF(第一生命保険!U:U,B2567)</f>
        <v>0</v>
      </c>
    </row>
    <row r="2568" spans="1:23" ht="24.95" hidden="1" customHeight="1" x14ac:dyDescent="0.4">
      <c r="A2568" s="17" t="s">
        <v>149</v>
      </c>
      <c r="B2568" s="15" t="s">
        <v>288</v>
      </c>
      <c r="C2568" s="16" t="s">
        <v>31</v>
      </c>
      <c r="D2568" s="16" t="s">
        <v>31</v>
      </c>
      <c r="E2568" s="15" t="s">
        <v>32</v>
      </c>
      <c r="F2568" s="15" t="s">
        <v>314</v>
      </c>
      <c r="N2568" s="21" t="s">
        <v>96</v>
      </c>
      <c r="O2568" s="21" t="s">
        <v>336</v>
      </c>
      <c r="Q2568" s="21" t="s">
        <v>344</v>
      </c>
      <c r="R2568" s="22">
        <v>45756</v>
      </c>
      <c r="W2568">
        <f>COUNTIF(第一生命保険!U:U,B2568)</f>
        <v>0</v>
      </c>
    </row>
    <row r="2569" spans="1:23" ht="24.95" hidden="1" customHeight="1" x14ac:dyDescent="0.4">
      <c r="A2569" s="17" t="s">
        <v>149</v>
      </c>
      <c r="B2569" s="15" t="s">
        <v>289</v>
      </c>
      <c r="C2569" s="16" t="s">
        <v>31</v>
      </c>
      <c r="D2569" s="16" t="s">
        <v>31</v>
      </c>
      <c r="E2569" s="15" t="s">
        <v>32</v>
      </c>
      <c r="F2569" s="15" t="s">
        <v>314</v>
      </c>
      <c r="N2569" s="21" t="s">
        <v>96</v>
      </c>
      <c r="O2569" s="21" t="s">
        <v>336</v>
      </c>
      <c r="Q2569" s="21" t="s">
        <v>344</v>
      </c>
      <c r="R2569" s="22">
        <v>45756</v>
      </c>
      <c r="W2569">
        <f>COUNTIF(第一生命保険!U:U,B2569)</f>
        <v>0</v>
      </c>
    </row>
    <row r="2570" spans="1:23" ht="24.95" hidden="1" customHeight="1" x14ac:dyDescent="0.4">
      <c r="A2570" s="17" t="s">
        <v>149</v>
      </c>
      <c r="B2570" s="15" t="s">
        <v>290</v>
      </c>
      <c r="C2570" s="16" t="s">
        <v>31</v>
      </c>
      <c r="D2570" s="16" t="s">
        <v>31</v>
      </c>
      <c r="E2570" s="15" t="s">
        <v>32</v>
      </c>
      <c r="F2570" s="15" t="s">
        <v>314</v>
      </c>
      <c r="N2570" s="21" t="s">
        <v>96</v>
      </c>
      <c r="O2570" s="21" t="s">
        <v>336</v>
      </c>
      <c r="Q2570" s="21" t="s">
        <v>344</v>
      </c>
      <c r="R2570" s="22">
        <v>45756</v>
      </c>
      <c r="W2570">
        <f>COUNTIF(第一生命保険!U:U,B2570)</f>
        <v>0</v>
      </c>
    </row>
    <row r="2571" spans="1:23" ht="24.95" hidden="1" customHeight="1" x14ac:dyDescent="0.4">
      <c r="A2571" s="17" t="s">
        <v>149</v>
      </c>
      <c r="B2571" s="15" t="s">
        <v>291</v>
      </c>
      <c r="C2571" s="16" t="s">
        <v>31</v>
      </c>
      <c r="D2571" s="16" t="s">
        <v>31</v>
      </c>
      <c r="E2571" s="15" t="s">
        <v>32</v>
      </c>
      <c r="F2571" s="15" t="s">
        <v>314</v>
      </c>
      <c r="N2571" s="21" t="s">
        <v>96</v>
      </c>
      <c r="O2571" s="21" t="s">
        <v>336</v>
      </c>
      <c r="Q2571" s="21" t="s">
        <v>344</v>
      </c>
      <c r="R2571" s="22">
        <v>45756</v>
      </c>
      <c r="W2571">
        <f>COUNTIF(第一生命保険!U:U,B2571)</f>
        <v>0</v>
      </c>
    </row>
    <row r="2572" spans="1:23" ht="24.95" hidden="1" customHeight="1" x14ac:dyDescent="0.4">
      <c r="A2572" s="17" t="s">
        <v>149</v>
      </c>
      <c r="B2572" s="15" t="s">
        <v>292</v>
      </c>
      <c r="C2572" s="16" t="s">
        <v>31</v>
      </c>
      <c r="D2572" s="16" t="s">
        <v>31</v>
      </c>
      <c r="E2572" s="15" t="s">
        <v>32</v>
      </c>
      <c r="F2572" s="15" t="s">
        <v>314</v>
      </c>
      <c r="N2572" s="21" t="s">
        <v>96</v>
      </c>
      <c r="O2572" s="21" t="s">
        <v>336</v>
      </c>
      <c r="Q2572" s="21" t="s">
        <v>344</v>
      </c>
      <c r="R2572" s="22">
        <v>45756</v>
      </c>
      <c r="W2572">
        <f>COUNTIF(第一生命保険!U:U,B2572)</f>
        <v>0</v>
      </c>
    </row>
    <row r="2573" spans="1:23" ht="24.95" hidden="1" customHeight="1" x14ac:dyDescent="0.4">
      <c r="A2573" s="17" t="s">
        <v>149</v>
      </c>
      <c r="B2573" s="15" t="s">
        <v>293</v>
      </c>
      <c r="C2573" s="16" t="s">
        <v>31</v>
      </c>
      <c r="D2573" s="16" t="s">
        <v>31</v>
      </c>
      <c r="E2573" s="15" t="s">
        <v>32</v>
      </c>
      <c r="F2573" s="15" t="s">
        <v>314</v>
      </c>
      <c r="N2573" s="21" t="s">
        <v>96</v>
      </c>
      <c r="O2573" s="21" t="s">
        <v>336</v>
      </c>
      <c r="Q2573" s="21" t="s">
        <v>344</v>
      </c>
      <c r="R2573" s="22">
        <v>45756</v>
      </c>
      <c r="W2573">
        <f>COUNTIF(第一生命保険!U:U,B2573)</f>
        <v>0</v>
      </c>
    </row>
    <row r="2574" spans="1:23" ht="24.95" hidden="1" customHeight="1" x14ac:dyDescent="0.4">
      <c r="A2574" s="17" t="s">
        <v>149</v>
      </c>
      <c r="B2574" s="15" t="s">
        <v>294</v>
      </c>
      <c r="C2574" s="16" t="s">
        <v>31</v>
      </c>
      <c r="D2574" s="16" t="s">
        <v>31</v>
      </c>
      <c r="E2574" s="15" t="s">
        <v>32</v>
      </c>
      <c r="F2574" s="15" t="s">
        <v>314</v>
      </c>
      <c r="N2574" s="21" t="s">
        <v>96</v>
      </c>
      <c r="O2574" s="21" t="s">
        <v>336</v>
      </c>
      <c r="Q2574" s="21" t="s">
        <v>344</v>
      </c>
      <c r="R2574" s="22">
        <v>45756</v>
      </c>
      <c r="W2574">
        <f>COUNTIF(第一生命保険!U:U,B2574)</f>
        <v>0</v>
      </c>
    </row>
    <row r="2575" spans="1:23" ht="24.95" hidden="1" customHeight="1" x14ac:dyDescent="0.4">
      <c r="A2575" s="17" t="s">
        <v>149</v>
      </c>
      <c r="B2575" s="15" t="s">
        <v>295</v>
      </c>
      <c r="C2575" s="16" t="s">
        <v>31</v>
      </c>
      <c r="D2575" s="16" t="s">
        <v>31</v>
      </c>
      <c r="E2575" s="15" t="s">
        <v>32</v>
      </c>
      <c r="F2575" s="15" t="s">
        <v>314</v>
      </c>
      <c r="N2575" s="21" t="s">
        <v>96</v>
      </c>
      <c r="O2575" s="21" t="s">
        <v>336</v>
      </c>
      <c r="Q2575" s="21" t="s">
        <v>344</v>
      </c>
      <c r="R2575" s="22">
        <v>45756</v>
      </c>
      <c r="W2575">
        <f>COUNTIF(第一生命保険!U:U,B2575)</f>
        <v>0</v>
      </c>
    </row>
    <row r="2576" spans="1:23" ht="24.95" hidden="1" customHeight="1" x14ac:dyDescent="0.4">
      <c r="A2576" s="17" t="s">
        <v>149</v>
      </c>
      <c r="B2576" s="15" t="s">
        <v>296</v>
      </c>
      <c r="C2576" s="16" t="s">
        <v>31</v>
      </c>
      <c r="D2576" s="16" t="s">
        <v>31</v>
      </c>
      <c r="E2576" s="15" t="s">
        <v>32</v>
      </c>
      <c r="F2576" s="15" t="s">
        <v>314</v>
      </c>
      <c r="N2576" s="21" t="s">
        <v>96</v>
      </c>
      <c r="O2576" s="21" t="s">
        <v>336</v>
      </c>
      <c r="Q2576" s="21" t="s">
        <v>344</v>
      </c>
      <c r="R2576" s="22">
        <v>45756</v>
      </c>
      <c r="W2576">
        <f>COUNTIF(第一生命保険!U:U,B2576)</f>
        <v>0</v>
      </c>
    </row>
    <row r="2577" spans="1:23" ht="24.95" hidden="1" customHeight="1" x14ac:dyDescent="0.4">
      <c r="A2577" s="17" t="s">
        <v>149</v>
      </c>
      <c r="B2577" s="15" t="s">
        <v>297</v>
      </c>
      <c r="C2577" s="16" t="s">
        <v>31</v>
      </c>
      <c r="D2577" s="16" t="s">
        <v>31</v>
      </c>
      <c r="E2577" s="15" t="s">
        <v>32</v>
      </c>
      <c r="F2577" s="15" t="s">
        <v>314</v>
      </c>
      <c r="N2577" s="21" t="s">
        <v>96</v>
      </c>
      <c r="O2577" s="21" t="s">
        <v>336</v>
      </c>
      <c r="Q2577" s="21" t="s">
        <v>344</v>
      </c>
      <c r="R2577" s="22">
        <v>45756</v>
      </c>
      <c r="W2577">
        <f>COUNTIF(第一生命保険!U:U,B2577)</f>
        <v>0</v>
      </c>
    </row>
    <row r="2578" spans="1:23" ht="24.95" hidden="1" customHeight="1" x14ac:dyDescent="0.4">
      <c r="A2578" s="17" t="s">
        <v>149</v>
      </c>
      <c r="B2578" s="15" t="s">
        <v>298</v>
      </c>
      <c r="C2578" s="16" t="s">
        <v>31</v>
      </c>
      <c r="D2578" s="16" t="s">
        <v>31</v>
      </c>
      <c r="E2578" s="15" t="s">
        <v>32</v>
      </c>
      <c r="F2578" s="15" t="s">
        <v>314</v>
      </c>
      <c r="N2578" s="21" t="s">
        <v>96</v>
      </c>
      <c r="O2578" s="21" t="s">
        <v>336</v>
      </c>
      <c r="Q2578" s="21" t="s">
        <v>344</v>
      </c>
      <c r="R2578" s="22">
        <v>45756</v>
      </c>
      <c r="W2578">
        <f>COUNTIF(第一生命保険!U:U,B2578)</f>
        <v>0</v>
      </c>
    </row>
    <row r="2579" spans="1:23" ht="24.95" hidden="1" customHeight="1" x14ac:dyDescent="0.4">
      <c r="A2579" s="17" t="s">
        <v>149</v>
      </c>
      <c r="B2579" s="15" t="s">
        <v>299</v>
      </c>
      <c r="C2579" s="16" t="s">
        <v>31</v>
      </c>
      <c r="D2579" s="16" t="s">
        <v>31</v>
      </c>
      <c r="E2579" s="15" t="s">
        <v>32</v>
      </c>
      <c r="F2579" s="15" t="s">
        <v>314</v>
      </c>
      <c r="N2579" s="21" t="s">
        <v>96</v>
      </c>
      <c r="O2579" s="21" t="s">
        <v>336</v>
      </c>
      <c r="Q2579" s="21" t="s">
        <v>344</v>
      </c>
      <c r="R2579" s="22">
        <v>45756</v>
      </c>
      <c r="W2579">
        <f>COUNTIF(第一生命保険!U:U,B2579)</f>
        <v>0</v>
      </c>
    </row>
    <row r="2580" spans="1:23" ht="24.95" hidden="1" customHeight="1" x14ac:dyDescent="0.4">
      <c r="A2580" s="17" t="s">
        <v>149</v>
      </c>
      <c r="B2580" s="15" t="s">
        <v>300</v>
      </c>
      <c r="C2580" s="16" t="s">
        <v>31</v>
      </c>
      <c r="D2580" s="16" t="s">
        <v>31</v>
      </c>
      <c r="E2580" s="15" t="s">
        <v>32</v>
      </c>
      <c r="F2580" s="15" t="s">
        <v>314</v>
      </c>
      <c r="N2580" s="21" t="s">
        <v>96</v>
      </c>
      <c r="O2580" s="21" t="s">
        <v>336</v>
      </c>
      <c r="Q2580" s="21" t="s">
        <v>344</v>
      </c>
      <c r="R2580" s="22">
        <v>45756</v>
      </c>
      <c r="W2580">
        <f>COUNTIF(第一生命保険!U:U,B2580)</f>
        <v>0</v>
      </c>
    </row>
    <row r="2581" spans="1:23" ht="24.95" hidden="1" customHeight="1" x14ac:dyDescent="0.4">
      <c r="A2581" s="17" t="s">
        <v>149</v>
      </c>
      <c r="B2581" s="15" t="s">
        <v>301</v>
      </c>
      <c r="C2581" s="16" t="s">
        <v>31</v>
      </c>
      <c r="D2581" s="16" t="s">
        <v>31</v>
      </c>
      <c r="E2581" s="15" t="s">
        <v>32</v>
      </c>
      <c r="F2581" s="15" t="s">
        <v>314</v>
      </c>
      <c r="N2581" s="21" t="s">
        <v>96</v>
      </c>
      <c r="O2581" s="21" t="s">
        <v>336</v>
      </c>
      <c r="Q2581" s="21" t="s">
        <v>344</v>
      </c>
      <c r="R2581" s="22">
        <v>45756</v>
      </c>
      <c r="W2581">
        <f>COUNTIF(第一生命保険!U:U,B2581)</f>
        <v>0</v>
      </c>
    </row>
    <row r="2582" spans="1:23" ht="24.95" hidden="1" customHeight="1" x14ac:dyDescent="0.4">
      <c r="A2582" s="17" t="s">
        <v>149</v>
      </c>
      <c r="B2582" s="15" t="s">
        <v>302</v>
      </c>
      <c r="C2582" s="16" t="s">
        <v>31</v>
      </c>
      <c r="D2582" s="16" t="s">
        <v>31</v>
      </c>
      <c r="E2582" s="15" t="s">
        <v>32</v>
      </c>
      <c r="F2582" s="15" t="s">
        <v>314</v>
      </c>
      <c r="N2582" s="21" t="s">
        <v>96</v>
      </c>
      <c r="O2582" s="21" t="s">
        <v>336</v>
      </c>
      <c r="Q2582" s="21" t="s">
        <v>344</v>
      </c>
      <c r="R2582" s="22">
        <v>45756</v>
      </c>
      <c r="W2582">
        <f>COUNTIF(第一生命保険!U:U,B2582)</f>
        <v>0</v>
      </c>
    </row>
    <row r="2583" spans="1:23" ht="24.95" hidden="1" customHeight="1" x14ac:dyDescent="0.4">
      <c r="A2583" s="17" t="s">
        <v>149</v>
      </c>
      <c r="B2583" s="15" t="s">
        <v>303</v>
      </c>
      <c r="C2583" s="16" t="s">
        <v>31</v>
      </c>
      <c r="D2583" s="16" t="s">
        <v>31</v>
      </c>
      <c r="E2583" s="15" t="s">
        <v>32</v>
      </c>
      <c r="F2583" s="15" t="s">
        <v>314</v>
      </c>
      <c r="N2583" s="21" t="s">
        <v>96</v>
      </c>
      <c r="O2583" s="21" t="s">
        <v>336</v>
      </c>
      <c r="Q2583" s="21" t="s">
        <v>344</v>
      </c>
      <c r="R2583" s="22">
        <v>45756</v>
      </c>
      <c r="W2583">
        <f>COUNTIF(第一生命保険!U:U,B2583)</f>
        <v>0</v>
      </c>
    </row>
    <row r="2584" spans="1:23" ht="24.95" hidden="1" customHeight="1" x14ac:dyDescent="0.4">
      <c r="A2584" s="17" t="s">
        <v>149</v>
      </c>
      <c r="B2584" s="15" t="s">
        <v>304</v>
      </c>
      <c r="C2584" s="16" t="s">
        <v>31</v>
      </c>
      <c r="D2584" s="16" t="s">
        <v>31</v>
      </c>
      <c r="E2584" s="15" t="s">
        <v>32</v>
      </c>
      <c r="F2584" s="15" t="s">
        <v>314</v>
      </c>
      <c r="N2584" s="21" t="s">
        <v>96</v>
      </c>
      <c r="O2584" s="21" t="s">
        <v>336</v>
      </c>
      <c r="Q2584" s="21" t="s">
        <v>344</v>
      </c>
      <c r="R2584" s="22">
        <v>45756</v>
      </c>
      <c r="W2584">
        <f>COUNTIF(第一生命保険!U:U,B2584)</f>
        <v>0</v>
      </c>
    </row>
    <row r="2585" spans="1:23" ht="24.95" hidden="1" customHeight="1" x14ac:dyDescent="0.4">
      <c r="A2585" s="17" t="s">
        <v>149</v>
      </c>
      <c r="B2585" s="15" t="s">
        <v>305</v>
      </c>
      <c r="C2585" s="16" t="s">
        <v>31</v>
      </c>
      <c r="D2585" s="16" t="s">
        <v>31</v>
      </c>
      <c r="E2585" s="15" t="s">
        <v>32</v>
      </c>
      <c r="F2585" s="15" t="s">
        <v>314</v>
      </c>
      <c r="N2585" s="21" t="s">
        <v>96</v>
      </c>
      <c r="O2585" s="21" t="s">
        <v>336</v>
      </c>
      <c r="Q2585" s="21" t="s">
        <v>344</v>
      </c>
      <c r="R2585" s="22">
        <v>45756</v>
      </c>
      <c r="W2585">
        <f>COUNTIF(第一生命保険!U:U,B2585)</f>
        <v>0</v>
      </c>
    </row>
    <row r="2586" spans="1:23" ht="24.95" hidden="1" customHeight="1" x14ac:dyDescent="0.4">
      <c r="A2586" s="17" t="s">
        <v>149</v>
      </c>
      <c r="B2586" s="15" t="s">
        <v>370</v>
      </c>
      <c r="C2586" s="16" t="s">
        <v>31</v>
      </c>
      <c r="D2586" s="16" t="s">
        <v>31</v>
      </c>
      <c r="E2586" s="15" t="s">
        <v>32</v>
      </c>
      <c r="F2586" s="15" t="s">
        <v>365</v>
      </c>
      <c r="N2586" s="21" t="s">
        <v>374</v>
      </c>
      <c r="O2586" s="21" t="s">
        <v>373</v>
      </c>
      <c r="Q2586" s="21" t="s">
        <v>344</v>
      </c>
      <c r="R2586" s="22">
        <v>45883</v>
      </c>
      <c r="W2586">
        <f>COUNTIF(第一生命保険!U:U,B2586)</f>
        <v>0</v>
      </c>
    </row>
    <row r="2587" spans="1:23" ht="24.95" hidden="1" customHeight="1" x14ac:dyDescent="0.4">
      <c r="A2587" s="17" t="s">
        <v>149</v>
      </c>
      <c r="B2587" s="15" t="s">
        <v>371</v>
      </c>
      <c r="C2587" s="16" t="s">
        <v>31</v>
      </c>
      <c r="D2587" s="16" t="s">
        <v>31</v>
      </c>
      <c r="E2587" s="15" t="s">
        <v>32</v>
      </c>
      <c r="F2587" s="15" t="s">
        <v>365</v>
      </c>
      <c r="N2587" s="21" t="s">
        <v>374</v>
      </c>
      <c r="O2587" s="21" t="s">
        <v>373</v>
      </c>
      <c r="Q2587" s="21" t="s">
        <v>344</v>
      </c>
      <c r="R2587" s="22">
        <v>45883</v>
      </c>
      <c r="W2587">
        <f>COUNTIF(第一生命保険!U:U,B2587)</f>
        <v>0</v>
      </c>
    </row>
    <row r="2588" spans="1:23" ht="24.95" hidden="1" customHeight="1" x14ac:dyDescent="0.4">
      <c r="A2588" s="17" t="s">
        <v>149</v>
      </c>
      <c r="B2588" s="15" t="s">
        <v>306</v>
      </c>
      <c r="C2588" s="16" t="s">
        <v>24</v>
      </c>
      <c r="D2588" s="16" t="s">
        <v>31</v>
      </c>
      <c r="E2588" s="15" t="s">
        <v>35</v>
      </c>
      <c r="F2588" s="15" t="s">
        <v>314</v>
      </c>
      <c r="N2588" s="21" t="s">
        <v>96</v>
      </c>
      <c r="O2588" s="21" t="s">
        <v>336</v>
      </c>
      <c r="Q2588" s="21" t="s">
        <v>344</v>
      </c>
      <c r="R2588" s="22">
        <v>45756</v>
      </c>
      <c r="W2588">
        <f>COUNTIF(第一生命保険!U:U,B2588)</f>
        <v>0</v>
      </c>
    </row>
    <row r="2589" spans="1:23" ht="24.95" hidden="1" customHeight="1" x14ac:dyDescent="0.4">
      <c r="A2589" s="17" t="s">
        <v>149</v>
      </c>
      <c r="B2589" s="15" t="s">
        <v>307</v>
      </c>
      <c r="C2589" s="16" t="s">
        <v>31</v>
      </c>
      <c r="D2589" s="16" t="s">
        <v>31</v>
      </c>
      <c r="E2589" s="15" t="s">
        <v>32</v>
      </c>
      <c r="F2589" s="15" t="s">
        <v>314</v>
      </c>
      <c r="N2589" s="21" t="s">
        <v>96</v>
      </c>
      <c r="O2589" s="21" t="s">
        <v>336</v>
      </c>
      <c r="Q2589" s="21" t="s">
        <v>344</v>
      </c>
      <c r="R2589" s="22">
        <v>45756</v>
      </c>
      <c r="W2589">
        <f>COUNTIF(第一生命保険!U:U,B2589)</f>
        <v>0</v>
      </c>
    </row>
    <row r="2590" spans="1:23" ht="24.95" hidden="1" customHeight="1" x14ac:dyDescent="0.4">
      <c r="A2590" s="17" t="s">
        <v>149</v>
      </c>
      <c r="B2590" s="15" t="s">
        <v>38</v>
      </c>
      <c r="C2590" s="16" t="s">
        <v>31</v>
      </c>
      <c r="D2590" s="16" t="s">
        <v>31</v>
      </c>
      <c r="E2590" s="15" t="s">
        <v>32</v>
      </c>
      <c r="F2590" s="15" t="s">
        <v>184</v>
      </c>
      <c r="N2590" s="21" t="s">
        <v>96</v>
      </c>
      <c r="O2590" s="13" t="s">
        <v>353</v>
      </c>
      <c r="Q2590" s="21" t="s">
        <v>344</v>
      </c>
      <c r="R2590" s="22">
        <v>45814</v>
      </c>
      <c r="W2590">
        <f>COUNTIF(第一生命保険!U:U,B2590)</f>
        <v>0</v>
      </c>
    </row>
    <row r="2591" spans="1:23" ht="24.95" hidden="1" customHeight="1" x14ac:dyDescent="0.4">
      <c r="A2591" s="17" t="s">
        <v>149</v>
      </c>
      <c r="B2591" s="15" t="s">
        <v>119</v>
      </c>
      <c r="C2591" s="16" t="s">
        <v>31</v>
      </c>
      <c r="D2591" s="16" t="s">
        <v>31</v>
      </c>
      <c r="E2591" s="15" t="s">
        <v>32</v>
      </c>
      <c r="F2591" s="15" t="s">
        <v>365</v>
      </c>
      <c r="N2591" s="21" t="s">
        <v>374</v>
      </c>
      <c r="O2591" s="21" t="s">
        <v>375</v>
      </c>
      <c r="Q2591" s="21" t="s">
        <v>344</v>
      </c>
      <c r="R2591" s="22">
        <v>45883</v>
      </c>
      <c r="W2591">
        <f>COUNTIF(第一生命保険!U:U,B2591)</f>
        <v>0</v>
      </c>
    </row>
    <row r="2592" spans="1:23" ht="24.95" hidden="1" customHeight="1" x14ac:dyDescent="0.4">
      <c r="A2592" s="17" t="s">
        <v>149</v>
      </c>
      <c r="B2592" s="15" t="s">
        <v>120</v>
      </c>
      <c r="C2592" s="16" t="s">
        <v>31</v>
      </c>
      <c r="D2592" s="16" t="s">
        <v>31</v>
      </c>
      <c r="E2592" s="15" t="s">
        <v>32</v>
      </c>
      <c r="F2592" s="15" t="s">
        <v>314</v>
      </c>
      <c r="N2592" s="21" t="s">
        <v>96</v>
      </c>
      <c r="O2592" s="13" t="s">
        <v>339</v>
      </c>
      <c r="Q2592" s="21" t="s">
        <v>344</v>
      </c>
      <c r="R2592" s="22">
        <v>45756</v>
      </c>
      <c r="W2592">
        <f>COUNTIF(第一生命保険!U:U,B2592)</f>
        <v>0</v>
      </c>
    </row>
    <row r="2593" spans="1:26" ht="24.95" hidden="1" customHeight="1" x14ac:dyDescent="0.4">
      <c r="A2593" s="17" t="s">
        <v>149</v>
      </c>
      <c r="B2593" s="15" t="s">
        <v>39</v>
      </c>
      <c r="C2593" s="16" t="s">
        <v>31</v>
      </c>
      <c r="D2593" s="16" t="s">
        <v>31</v>
      </c>
      <c r="E2593" s="15" t="s">
        <v>32</v>
      </c>
      <c r="F2593" s="15" t="s">
        <v>166</v>
      </c>
      <c r="N2593" s="21" t="s">
        <v>96</v>
      </c>
      <c r="O2593" s="13" t="s">
        <v>350</v>
      </c>
      <c r="Q2593" s="21" t="s">
        <v>344</v>
      </c>
      <c r="R2593" s="22">
        <v>45814</v>
      </c>
      <c r="W2593">
        <f>COUNTIF(第一生命保険!U:U,B2593)</f>
        <v>0</v>
      </c>
    </row>
    <row r="2594" spans="1:26" ht="24.95" hidden="1" customHeight="1" x14ac:dyDescent="0.4">
      <c r="A2594" s="17" t="s">
        <v>149</v>
      </c>
      <c r="B2594" s="15" t="s">
        <v>220</v>
      </c>
      <c r="C2594" s="16" t="s">
        <v>31</v>
      </c>
      <c r="D2594" s="16" t="s">
        <v>31</v>
      </c>
      <c r="E2594" s="15" t="s">
        <v>32</v>
      </c>
      <c r="F2594" s="15" t="s">
        <v>221</v>
      </c>
      <c r="N2594" s="21" t="s">
        <v>96</v>
      </c>
      <c r="O2594" s="21" t="s">
        <v>338</v>
      </c>
      <c r="Q2594" s="21" t="s">
        <v>344</v>
      </c>
      <c r="R2594" s="22">
        <v>45814</v>
      </c>
      <c r="W2594">
        <f>COUNTIF(第一生命保険!U:U,B2594)</f>
        <v>0</v>
      </c>
    </row>
    <row r="2595" spans="1:26" ht="24.95" hidden="1" customHeight="1" x14ac:dyDescent="0.4">
      <c r="A2595" s="17" t="s">
        <v>149</v>
      </c>
      <c r="B2595" s="15" t="s">
        <v>172</v>
      </c>
      <c r="C2595" s="16" t="s">
        <v>31</v>
      </c>
      <c r="D2595" s="16" t="s">
        <v>31</v>
      </c>
      <c r="E2595" s="15" t="s">
        <v>32</v>
      </c>
      <c r="F2595" s="15" t="s">
        <v>173</v>
      </c>
      <c r="N2595" s="21" t="s">
        <v>96</v>
      </c>
      <c r="O2595" s="21" t="s">
        <v>336</v>
      </c>
      <c r="Q2595" s="21" t="s">
        <v>344</v>
      </c>
      <c r="R2595" s="22">
        <v>45814</v>
      </c>
      <c r="W2595">
        <f>COUNTIF(第一生命保険!U:U,B2595)</f>
        <v>0</v>
      </c>
    </row>
    <row r="2596" spans="1:26" ht="24.95" hidden="1" customHeight="1" x14ac:dyDescent="0.4">
      <c r="A2596" s="17" t="s">
        <v>149</v>
      </c>
      <c r="B2596" s="15" t="s">
        <v>111</v>
      </c>
      <c r="C2596" s="16" t="s">
        <v>31</v>
      </c>
      <c r="D2596" s="16" t="s">
        <v>31</v>
      </c>
      <c r="E2596" s="15" t="s">
        <v>32</v>
      </c>
      <c r="F2596" s="15" t="s">
        <v>314</v>
      </c>
      <c r="N2596" s="21" t="s">
        <v>96</v>
      </c>
      <c r="O2596" s="13" t="s">
        <v>339</v>
      </c>
      <c r="Q2596" s="21" t="s">
        <v>344</v>
      </c>
      <c r="R2596" s="22">
        <v>45756</v>
      </c>
      <c r="W2596">
        <f>COUNTIF(第一生命保険!U:U,B2596)</f>
        <v>0</v>
      </c>
    </row>
    <row r="2597" spans="1:26" ht="24.95" hidden="1" customHeight="1" x14ac:dyDescent="0.4">
      <c r="A2597" s="17" t="s">
        <v>149</v>
      </c>
      <c r="B2597" s="15" t="s">
        <v>42</v>
      </c>
      <c r="C2597" s="16" t="s">
        <v>31</v>
      </c>
      <c r="D2597" s="16" t="s">
        <v>31</v>
      </c>
      <c r="E2597" s="15" t="s">
        <v>32</v>
      </c>
      <c r="F2597" s="15" t="s">
        <v>166</v>
      </c>
      <c r="N2597" s="21" t="s">
        <v>96</v>
      </c>
      <c r="O2597" s="13" t="s">
        <v>351</v>
      </c>
      <c r="Q2597" s="21" t="s">
        <v>344</v>
      </c>
      <c r="R2597" s="22">
        <v>45814</v>
      </c>
      <c r="W2597">
        <f>COUNTIF(第一生命保険!U:U,B2597)</f>
        <v>0</v>
      </c>
    </row>
    <row r="2598" spans="1:26" ht="24.95" hidden="1" customHeight="1" x14ac:dyDescent="0.4">
      <c r="A2598" s="17" t="s">
        <v>149</v>
      </c>
      <c r="B2598" s="15" t="s">
        <v>330</v>
      </c>
      <c r="C2598" s="16" t="s">
        <v>31</v>
      </c>
      <c r="D2598" s="16" t="s">
        <v>31</v>
      </c>
      <c r="E2598" s="15" t="s">
        <v>32</v>
      </c>
      <c r="F2598" s="15" t="s">
        <v>314</v>
      </c>
      <c r="N2598" s="21" t="s">
        <v>96</v>
      </c>
      <c r="O2598" s="21" t="s">
        <v>338</v>
      </c>
      <c r="Q2598" s="21" t="s">
        <v>344</v>
      </c>
      <c r="R2598" s="22">
        <v>45756</v>
      </c>
      <c r="W2598">
        <f>COUNTIF(第一生命保険!U:U,B2598)</f>
        <v>0</v>
      </c>
    </row>
    <row r="2599" spans="1:26" ht="24.95" hidden="1" customHeight="1" x14ac:dyDescent="0.4">
      <c r="A2599" s="17" t="s">
        <v>149</v>
      </c>
      <c r="B2599" s="15" t="s">
        <v>43</v>
      </c>
      <c r="C2599" s="16" t="s">
        <v>31</v>
      </c>
      <c r="D2599" s="16" t="s">
        <v>31</v>
      </c>
      <c r="E2599" s="15" t="s">
        <v>32</v>
      </c>
      <c r="F2599" s="15" t="s">
        <v>356</v>
      </c>
      <c r="N2599" s="21" t="s">
        <v>96</v>
      </c>
      <c r="O2599" s="21" t="s">
        <v>360</v>
      </c>
      <c r="Q2599" s="21" t="s">
        <v>344</v>
      </c>
      <c r="R2599" s="22">
        <v>45847</v>
      </c>
      <c r="W2599">
        <f>COUNTIF(第一生命保険!U:U,B2599)</f>
        <v>0</v>
      </c>
    </row>
    <row r="2600" spans="1:26" ht="24.95" hidden="1" customHeight="1" x14ac:dyDescent="0.4">
      <c r="A2600" s="17" t="s">
        <v>149</v>
      </c>
      <c r="B2600" s="15" t="s">
        <v>343</v>
      </c>
      <c r="C2600" s="16" t="s">
        <v>31</v>
      </c>
      <c r="D2600" s="16" t="s">
        <v>31</v>
      </c>
      <c r="E2600" s="15" t="s">
        <v>32</v>
      </c>
      <c r="F2600" s="15" t="s">
        <v>340</v>
      </c>
      <c r="N2600" s="21" t="s">
        <v>96</v>
      </c>
      <c r="O2600" s="21" t="s">
        <v>345</v>
      </c>
      <c r="Q2600" s="21" t="s">
        <v>344</v>
      </c>
      <c r="R2600" s="22">
        <v>45784</v>
      </c>
      <c r="W2600">
        <f>COUNTIF(第一生命保険!U:U,B2600)</f>
        <v>0</v>
      </c>
    </row>
    <row r="2601" spans="1:26" ht="24.95" hidden="1" customHeight="1" x14ac:dyDescent="0.4">
      <c r="A2601" s="17" t="s">
        <v>149</v>
      </c>
      <c r="B2601" s="15" t="s">
        <v>121</v>
      </c>
      <c r="C2601" s="16" t="s">
        <v>31</v>
      </c>
      <c r="D2601" s="16" t="s">
        <v>31</v>
      </c>
      <c r="E2601" s="15" t="s">
        <v>32</v>
      </c>
      <c r="F2601" s="15" t="s">
        <v>314</v>
      </c>
      <c r="N2601" s="21" t="s">
        <v>96</v>
      </c>
      <c r="O2601" s="21" t="s">
        <v>336</v>
      </c>
      <c r="Q2601" s="21" t="s">
        <v>344</v>
      </c>
      <c r="R2601" s="22">
        <v>45756</v>
      </c>
      <c r="W2601">
        <f>COUNTIF(第一生命保険!U:U,B2601)</f>
        <v>0</v>
      </c>
    </row>
    <row r="2602" spans="1:26" ht="24.95" hidden="1" customHeight="1" x14ac:dyDescent="0.4">
      <c r="A2602" s="17" t="s">
        <v>149</v>
      </c>
      <c r="B2602" s="15" t="s">
        <v>44</v>
      </c>
      <c r="C2602" s="16" t="s">
        <v>31</v>
      </c>
      <c r="D2602" s="16" t="s">
        <v>31</v>
      </c>
      <c r="E2602" s="15" t="s">
        <v>32</v>
      </c>
      <c r="F2602" s="15" t="s">
        <v>221</v>
      </c>
      <c r="N2602" s="21" t="s">
        <v>96</v>
      </c>
      <c r="O2602" s="13" t="s">
        <v>359</v>
      </c>
      <c r="Q2602" s="21" t="s">
        <v>344</v>
      </c>
      <c r="R2602" s="22">
        <v>45814</v>
      </c>
      <c r="W2602">
        <f>COUNTIF(第一生命保険!U:U,B2602)</f>
        <v>0</v>
      </c>
    </row>
    <row r="2603" spans="1:26" ht="24.95" hidden="1" customHeight="1" x14ac:dyDescent="0.4">
      <c r="A2603" s="17" t="s">
        <v>149</v>
      </c>
      <c r="B2603" s="15" t="s">
        <v>45</v>
      </c>
      <c r="C2603" s="16" t="s">
        <v>31</v>
      </c>
      <c r="D2603" s="16" t="s">
        <v>31</v>
      </c>
      <c r="E2603" s="15" t="s">
        <v>32</v>
      </c>
      <c r="F2603" s="15" t="s">
        <v>314</v>
      </c>
      <c r="N2603" s="21" t="s">
        <v>96</v>
      </c>
      <c r="O2603" s="21" t="s">
        <v>338</v>
      </c>
      <c r="Q2603" s="21" t="s">
        <v>344</v>
      </c>
      <c r="R2603" s="22">
        <v>45756</v>
      </c>
      <c r="W2603">
        <f>COUNTIF(第一生命保険!U:U,B2603)</f>
        <v>0</v>
      </c>
    </row>
    <row r="2604" spans="1:26" ht="24.95" customHeight="1" x14ac:dyDescent="0.4">
      <c r="A2604" s="17" t="s">
        <v>149</v>
      </c>
      <c r="B2604" s="50" t="s">
        <v>469</v>
      </c>
      <c r="C2604" s="16" t="s">
        <v>31</v>
      </c>
      <c r="D2604" s="16" t="s">
        <v>31</v>
      </c>
      <c r="E2604" s="15" t="s">
        <v>32</v>
      </c>
      <c r="F2604" s="15" t="s">
        <v>365</v>
      </c>
      <c r="N2604" s="21" t="s">
        <v>374</v>
      </c>
      <c r="O2604" s="13" t="s">
        <v>468</v>
      </c>
      <c r="Q2604" s="21" t="s">
        <v>344</v>
      </c>
      <c r="R2604" s="22">
        <v>45883</v>
      </c>
      <c r="W2604">
        <f>COUNTIF(第一生命保険!U:U,B2604)</f>
        <v>0</v>
      </c>
    </row>
    <row r="2605" spans="1:26" ht="24.95" hidden="1" customHeight="1" x14ac:dyDescent="0.4">
      <c r="A2605" s="17" t="s">
        <v>149</v>
      </c>
      <c r="B2605" s="50" t="s">
        <v>91</v>
      </c>
      <c r="C2605" s="16" t="s">
        <v>31</v>
      </c>
      <c r="D2605" s="16" t="s">
        <v>31</v>
      </c>
      <c r="E2605" s="15" t="s">
        <v>32</v>
      </c>
      <c r="F2605" s="15" t="s">
        <v>356</v>
      </c>
      <c r="N2605" s="21" t="s">
        <v>96</v>
      </c>
      <c r="O2605" s="21" t="s">
        <v>360</v>
      </c>
      <c r="Q2605" s="21" t="s">
        <v>344</v>
      </c>
      <c r="R2605" s="22">
        <v>45847</v>
      </c>
      <c r="W2605">
        <f>COUNTIF(第一生命保険!U:U,B2605)</f>
        <v>0</v>
      </c>
    </row>
    <row r="2606" spans="1:26" ht="24.95" hidden="1" customHeight="1" x14ac:dyDescent="0.4">
      <c r="A2606" s="17" t="s">
        <v>149</v>
      </c>
      <c r="B2606" s="50" t="s">
        <v>160</v>
      </c>
      <c r="C2606" s="16" t="s">
        <v>31</v>
      </c>
      <c r="D2606" s="16" t="s">
        <v>24</v>
      </c>
      <c r="E2606" s="15" t="s">
        <v>50</v>
      </c>
      <c r="F2606" s="15" t="s">
        <v>150</v>
      </c>
      <c r="M2606" s="21" t="s">
        <v>81</v>
      </c>
      <c r="N2606" s="21" t="s">
        <v>97</v>
      </c>
      <c r="O2606" s="21" t="s">
        <v>164</v>
      </c>
      <c r="W2606">
        <f>COUNTIF(第一生命保険!U:U,B2606)</f>
        <v>0</v>
      </c>
      <c r="Z2606" t="str">
        <f t="shared" ref="Z2606:Z2609" si="1">A2606&amp;" "&amp;B2606</f>
        <v>0G wb WEB-INF/web.xml</v>
      </c>
    </row>
    <row r="2607" spans="1:26" ht="24.95" hidden="1" customHeight="1" x14ac:dyDescent="0.4">
      <c r="A2607" s="17" t="s">
        <v>149</v>
      </c>
      <c r="B2607" s="50" t="s">
        <v>161</v>
      </c>
      <c r="C2607" s="16" t="s">
        <v>31</v>
      </c>
      <c r="D2607" s="16" t="s">
        <v>24</v>
      </c>
      <c r="E2607" s="15" t="s">
        <v>50</v>
      </c>
      <c r="F2607" s="15" t="s">
        <v>150</v>
      </c>
      <c r="M2607" s="21" t="s">
        <v>81</v>
      </c>
      <c r="N2607" s="21" t="s">
        <v>97</v>
      </c>
      <c r="O2607" s="21" t="s">
        <v>164</v>
      </c>
      <c r="W2607">
        <f>COUNTIF(第一生命保険!U:U,B2607)</f>
        <v>0</v>
      </c>
      <c r="Z2607" t="str">
        <f t="shared" si="1"/>
        <v>0G wb WEB-INF/wf_dbsession_node.properties</v>
      </c>
    </row>
    <row r="2608" spans="1:26" ht="24.95" hidden="1" customHeight="1" x14ac:dyDescent="0.4">
      <c r="A2608" s="17" t="s">
        <v>162</v>
      </c>
      <c r="B2608" s="50" t="s">
        <v>157</v>
      </c>
      <c r="C2608" s="16" t="s">
        <v>31</v>
      </c>
      <c r="D2608" s="16" t="s">
        <v>24</v>
      </c>
      <c r="E2608" s="15" t="s">
        <v>50</v>
      </c>
      <c r="F2608" s="15" t="s">
        <v>150</v>
      </c>
      <c r="R2608" s="22" t="s">
        <v>24</v>
      </c>
      <c r="W2608">
        <f>COUNTIF(第一生命保険!U:U,B2608)</f>
        <v>0</v>
      </c>
      <c r="Z2608" t="str">
        <f t="shared" si="1"/>
        <v>0G cw WEB-INF/KeyCodeDefinition01.properties</v>
      </c>
    </row>
    <row r="2609" spans="1:26" ht="24.95" hidden="1" customHeight="1" x14ac:dyDescent="0.4">
      <c r="A2609" s="17" t="s">
        <v>162</v>
      </c>
      <c r="B2609" s="50" t="s">
        <v>158</v>
      </c>
      <c r="C2609" s="16" t="s">
        <v>31</v>
      </c>
      <c r="D2609" s="16" t="s">
        <v>24</v>
      </c>
      <c r="E2609" s="15" t="s">
        <v>50</v>
      </c>
      <c r="F2609" s="15" t="s">
        <v>150</v>
      </c>
      <c r="R2609" s="22" t="s">
        <v>24</v>
      </c>
      <c r="W2609">
        <f>COUNTIF(第一生命保険!U:U,B2609)</f>
        <v>0</v>
      </c>
      <c r="Z2609" t="str">
        <f t="shared" si="1"/>
        <v>0G cw WEB-INF/classes/jp/co/dir/ms/wolf2/WF.properties</v>
      </c>
    </row>
    <row r="2610" spans="1:26" ht="24.95" hidden="1" customHeight="1" x14ac:dyDescent="0.4">
      <c r="A2610" s="17" t="s">
        <v>162</v>
      </c>
      <c r="B2610" s="50" t="s">
        <v>159</v>
      </c>
      <c r="C2610" s="16" t="s">
        <v>31</v>
      </c>
      <c r="D2610" s="16" t="s">
        <v>24</v>
      </c>
      <c r="E2610" s="15" t="s">
        <v>50</v>
      </c>
      <c r="F2610" s="15" t="s">
        <v>150</v>
      </c>
      <c r="R2610" s="22" t="s">
        <v>24</v>
      </c>
      <c r="W2610">
        <f>COUNTIF(第一生命保険!U:U,B2610)</f>
        <v>0</v>
      </c>
      <c r="Z2610" t="str">
        <f>A2610&amp;" "&amp;B2610</f>
        <v>0G cw WEB-INF/classes/webbroker3/web/beans/WF.properties</v>
      </c>
    </row>
    <row r="2611" spans="1:26" ht="24.95" hidden="1" customHeight="1" x14ac:dyDescent="0.4">
      <c r="A2611" s="17" t="s">
        <v>162</v>
      </c>
      <c r="B2611" s="15" t="s">
        <v>115</v>
      </c>
      <c r="C2611" s="16" t="s">
        <v>31</v>
      </c>
      <c r="D2611" s="16" t="s">
        <v>31</v>
      </c>
      <c r="E2611" s="15" t="s">
        <v>32</v>
      </c>
      <c r="F2611" s="15" t="s">
        <v>166</v>
      </c>
      <c r="N2611" s="21" t="s">
        <v>96</v>
      </c>
      <c r="O2611" s="21" t="s">
        <v>337</v>
      </c>
      <c r="Q2611" s="21" t="s">
        <v>344</v>
      </c>
      <c r="R2611" s="22">
        <v>45814</v>
      </c>
      <c r="W2611">
        <f>COUNTIF(第一生命保険!U:U,B2611)</f>
        <v>0</v>
      </c>
    </row>
    <row r="2612" spans="1:26" ht="24.95" hidden="1" customHeight="1" x14ac:dyDescent="0.4">
      <c r="A2612" s="17" t="s">
        <v>162</v>
      </c>
      <c r="B2612" s="15" t="s">
        <v>313</v>
      </c>
      <c r="C2612" s="16" t="s">
        <v>24</v>
      </c>
      <c r="D2612" s="16" t="s">
        <v>31</v>
      </c>
      <c r="E2612" s="15" t="s">
        <v>35</v>
      </c>
      <c r="F2612" s="15" t="s">
        <v>314</v>
      </c>
      <c r="N2612" s="21" t="s">
        <v>96</v>
      </c>
      <c r="O2612" s="21" t="s">
        <v>337</v>
      </c>
      <c r="Q2612" s="21" t="s">
        <v>344</v>
      </c>
      <c r="R2612" s="22">
        <v>45756</v>
      </c>
      <c r="W2612">
        <f>COUNTIF(第一生命保険!U:U,B2612)</f>
        <v>0</v>
      </c>
    </row>
    <row r="2613" spans="1:26" ht="24.95" hidden="1" customHeight="1" x14ac:dyDescent="0.4">
      <c r="A2613" s="17" t="s">
        <v>162</v>
      </c>
      <c r="B2613" s="15" t="s">
        <v>315</v>
      </c>
      <c r="C2613" s="16" t="s">
        <v>24</v>
      </c>
      <c r="D2613" s="16" t="s">
        <v>31</v>
      </c>
      <c r="E2613" s="15" t="s">
        <v>35</v>
      </c>
      <c r="F2613" s="15" t="s">
        <v>314</v>
      </c>
      <c r="N2613" s="21" t="s">
        <v>96</v>
      </c>
      <c r="O2613" s="21" t="s">
        <v>337</v>
      </c>
      <c r="Q2613" s="21" t="s">
        <v>344</v>
      </c>
      <c r="R2613" s="22">
        <v>45756</v>
      </c>
      <c r="W2613">
        <f>COUNTIF(第一生命保険!U:U,B2613)</f>
        <v>0</v>
      </c>
    </row>
    <row r="2614" spans="1:26" ht="24.95" hidden="1" customHeight="1" x14ac:dyDescent="0.4">
      <c r="A2614" s="17" t="s">
        <v>162</v>
      </c>
      <c r="B2614" s="15" t="s">
        <v>316</v>
      </c>
      <c r="C2614" s="16" t="s">
        <v>24</v>
      </c>
      <c r="D2614" s="16" t="s">
        <v>31</v>
      </c>
      <c r="E2614" s="15" t="s">
        <v>35</v>
      </c>
      <c r="F2614" s="15" t="s">
        <v>314</v>
      </c>
      <c r="N2614" s="21" t="s">
        <v>96</v>
      </c>
      <c r="O2614" s="21" t="s">
        <v>337</v>
      </c>
      <c r="Q2614" s="21" t="s">
        <v>344</v>
      </c>
      <c r="R2614" s="22">
        <v>45756</v>
      </c>
      <c r="W2614">
        <f>COUNTIF(第一生命保険!U:U,B2614)</f>
        <v>0</v>
      </c>
    </row>
    <row r="2615" spans="1:26" ht="24.95" hidden="1" customHeight="1" x14ac:dyDescent="0.4">
      <c r="A2615" s="17" t="s">
        <v>162</v>
      </c>
      <c r="B2615" s="15" t="s">
        <v>317</v>
      </c>
      <c r="C2615" s="16" t="s">
        <v>24</v>
      </c>
      <c r="D2615" s="16" t="s">
        <v>31</v>
      </c>
      <c r="E2615" s="15" t="s">
        <v>35</v>
      </c>
      <c r="F2615" s="15" t="s">
        <v>314</v>
      </c>
      <c r="N2615" s="21" t="s">
        <v>96</v>
      </c>
      <c r="O2615" s="21" t="s">
        <v>337</v>
      </c>
      <c r="Q2615" s="21" t="s">
        <v>344</v>
      </c>
      <c r="R2615" s="22">
        <v>45756</v>
      </c>
      <c r="W2615">
        <f>COUNTIF(第一生命保険!U:U,B2615)</f>
        <v>0</v>
      </c>
    </row>
    <row r="2616" spans="1:26" ht="24.95" hidden="1" customHeight="1" x14ac:dyDescent="0.4">
      <c r="A2616" s="17" t="s">
        <v>162</v>
      </c>
      <c r="B2616" s="50" t="s">
        <v>364</v>
      </c>
      <c r="C2616" s="16" t="s">
        <v>24</v>
      </c>
      <c r="D2616" s="16" t="s">
        <v>31</v>
      </c>
      <c r="E2616" s="15" t="s">
        <v>35</v>
      </c>
      <c r="F2616" s="15" t="s">
        <v>365</v>
      </c>
      <c r="N2616" s="21" t="s">
        <v>96</v>
      </c>
      <c r="O2616" s="21" t="s">
        <v>372</v>
      </c>
      <c r="Q2616" s="21" t="s">
        <v>344</v>
      </c>
      <c r="R2616" s="22">
        <v>45883</v>
      </c>
      <c r="W2616">
        <f>COUNTIF(第一生命保険!U:U,B2616)</f>
        <v>0</v>
      </c>
    </row>
    <row r="2617" spans="1:26" ht="24.95" hidden="1" customHeight="1" x14ac:dyDescent="0.4">
      <c r="A2617" s="17" t="s">
        <v>162</v>
      </c>
      <c r="B2617" s="15" t="s">
        <v>355</v>
      </c>
      <c r="C2617" s="16" t="s">
        <v>31</v>
      </c>
      <c r="D2617" s="16" t="s">
        <v>31</v>
      </c>
      <c r="E2617" s="15" t="s">
        <v>32</v>
      </c>
      <c r="F2617" s="15" t="s">
        <v>356</v>
      </c>
      <c r="N2617" s="21" t="s">
        <v>96</v>
      </c>
      <c r="O2617" s="21" t="s">
        <v>360</v>
      </c>
      <c r="Q2617" s="21" t="s">
        <v>344</v>
      </c>
      <c r="R2617" s="22">
        <v>45847</v>
      </c>
      <c r="W2617">
        <f>COUNTIF(第一生命保険!U:U,B2617)</f>
        <v>1</v>
      </c>
    </row>
    <row r="2618" spans="1:26" ht="24.95" hidden="1" customHeight="1" x14ac:dyDescent="0.4">
      <c r="A2618" s="17" t="s">
        <v>162</v>
      </c>
      <c r="B2618" s="15" t="s">
        <v>171</v>
      </c>
      <c r="C2618" s="16" t="s">
        <v>31</v>
      </c>
      <c r="D2618" s="16" t="s">
        <v>31</v>
      </c>
      <c r="E2618" s="15" t="s">
        <v>32</v>
      </c>
      <c r="F2618" s="15" t="s">
        <v>314</v>
      </c>
      <c r="N2618" s="21" t="s">
        <v>96</v>
      </c>
      <c r="O2618" s="21" t="s">
        <v>336</v>
      </c>
      <c r="Q2618" s="21" t="s">
        <v>344</v>
      </c>
      <c r="R2618" s="22">
        <v>45756</v>
      </c>
      <c r="W2618">
        <f>COUNTIF(第一生命保険!U:U,B2618)</f>
        <v>0</v>
      </c>
    </row>
    <row r="2619" spans="1:26" ht="24.95" hidden="1" customHeight="1" x14ac:dyDescent="0.4">
      <c r="A2619" s="17" t="s">
        <v>162</v>
      </c>
      <c r="B2619" s="15" t="s">
        <v>123</v>
      </c>
      <c r="C2619" s="16" t="s">
        <v>31</v>
      </c>
      <c r="D2619" s="16" t="s">
        <v>31</v>
      </c>
      <c r="E2619" s="15" t="s">
        <v>32</v>
      </c>
      <c r="F2619" s="15" t="s">
        <v>184</v>
      </c>
      <c r="N2619" s="21" t="s">
        <v>96</v>
      </c>
      <c r="O2619" s="21" t="s">
        <v>337</v>
      </c>
      <c r="Q2619" s="21" t="s">
        <v>344</v>
      </c>
      <c r="R2619" s="22">
        <v>45814</v>
      </c>
      <c r="W2619">
        <f>COUNTIF(第一生命保険!U:U,B2619)</f>
        <v>0</v>
      </c>
    </row>
    <row r="2620" spans="1:26" ht="24.95" hidden="1" customHeight="1" x14ac:dyDescent="0.4">
      <c r="A2620" s="17" t="s">
        <v>162</v>
      </c>
      <c r="B2620" s="15" t="s">
        <v>37</v>
      </c>
      <c r="C2620" s="16" t="s">
        <v>31</v>
      </c>
      <c r="D2620" s="16" t="s">
        <v>31</v>
      </c>
      <c r="E2620" s="15" t="s">
        <v>32</v>
      </c>
      <c r="F2620" s="15" t="s">
        <v>212</v>
      </c>
      <c r="N2620" s="21" t="s">
        <v>96</v>
      </c>
      <c r="O2620" s="13" t="s">
        <v>349</v>
      </c>
      <c r="Q2620" s="21" t="s">
        <v>344</v>
      </c>
      <c r="R2620" s="22">
        <v>45814</v>
      </c>
      <c r="W2620">
        <f>COUNTIF(第一生命保険!U:U,B2620)</f>
        <v>1</v>
      </c>
      <c r="Z2620" t="s">
        <v>432</v>
      </c>
    </row>
    <row r="2621" spans="1:26" ht="24.95" hidden="1" customHeight="1" x14ac:dyDescent="0.4">
      <c r="A2621" s="17" t="s">
        <v>162</v>
      </c>
      <c r="B2621" s="15" t="s">
        <v>225</v>
      </c>
      <c r="C2621" s="16" t="s">
        <v>31</v>
      </c>
      <c r="D2621" s="16" t="s">
        <v>31</v>
      </c>
      <c r="E2621" s="15" t="s">
        <v>32</v>
      </c>
      <c r="F2621" s="15" t="s">
        <v>314</v>
      </c>
      <c r="N2621" s="21" t="s">
        <v>96</v>
      </c>
      <c r="O2621" s="21" t="s">
        <v>336</v>
      </c>
      <c r="Q2621" s="21" t="s">
        <v>344</v>
      </c>
      <c r="R2621" s="22">
        <v>45756</v>
      </c>
      <c r="W2621">
        <f>COUNTIF(第一生命保険!U:U,B2621)</f>
        <v>0</v>
      </c>
    </row>
    <row r="2622" spans="1:26" ht="24.95" hidden="1" customHeight="1" x14ac:dyDescent="0.4">
      <c r="A2622" s="17" t="s">
        <v>162</v>
      </c>
      <c r="B2622" s="15" t="s">
        <v>117</v>
      </c>
      <c r="C2622" s="16" t="s">
        <v>31</v>
      </c>
      <c r="D2622" s="16" t="s">
        <v>31</v>
      </c>
      <c r="E2622" s="15" t="s">
        <v>32</v>
      </c>
      <c r="F2622" s="15" t="s">
        <v>356</v>
      </c>
      <c r="N2622" s="21" t="s">
        <v>96</v>
      </c>
      <c r="O2622" s="21" t="s">
        <v>360</v>
      </c>
      <c r="Q2622" s="21" t="s">
        <v>344</v>
      </c>
      <c r="R2622" s="22">
        <v>45847</v>
      </c>
      <c r="W2622">
        <f>COUNTIF(第一生命保険!U:U,B2622)</f>
        <v>0</v>
      </c>
    </row>
    <row r="2623" spans="1:26" ht="24.95" hidden="1" customHeight="1" x14ac:dyDescent="0.4">
      <c r="A2623" s="17" t="s">
        <v>162</v>
      </c>
      <c r="B2623" s="15" t="s">
        <v>126</v>
      </c>
      <c r="C2623" s="16" t="s">
        <v>31</v>
      </c>
      <c r="D2623" s="16" t="s">
        <v>31</v>
      </c>
      <c r="E2623" s="15" t="s">
        <v>32</v>
      </c>
      <c r="F2623" s="15" t="s">
        <v>365</v>
      </c>
      <c r="N2623" s="21" t="s">
        <v>374</v>
      </c>
      <c r="O2623" s="21" t="s">
        <v>373</v>
      </c>
      <c r="Q2623" s="21" t="s">
        <v>344</v>
      </c>
      <c r="R2623" s="22">
        <v>45883</v>
      </c>
      <c r="W2623">
        <f>COUNTIF(第一生命保険!U:U,B2623)</f>
        <v>0</v>
      </c>
    </row>
    <row r="2624" spans="1:26" ht="24.95" hidden="1" customHeight="1" x14ac:dyDescent="0.4">
      <c r="A2624" s="17" t="s">
        <v>162</v>
      </c>
      <c r="B2624" s="15" t="s">
        <v>226</v>
      </c>
      <c r="C2624" s="16" t="s">
        <v>31</v>
      </c>
      <c r="D2624" s="16" t="s">
        <v>31</v>
      </c>
      <c r="E2624" s="15" t="s">
        <v>32</v>
      </c>
      <c r="F2624" s="15" t="s">
        <v>314</v>
      </c>
      <c r="N2624" s="21" t="s">
        <v>96</v>
      </c>
      <c r="O2624" s="21" t="s">
        <v>336</v>
      </c>
      <c r="Q2624" s="21" t="s">
        <v>344</v>
      </c>
      <c r="R2624" s="22">
        <v>45756</v>
      </c>
      <c r="W2624">
        <f>COUNTIF(第一生命保険!U:U,B2624)</f>
        <v>0</v>
      </c>
    </row>
    <row r="2625" spans="1:23" ht="24.95" hidden="1" customHeight="1" x14ac:dyDescent="0.4">
      <c r="A2625" s="17" t="s">
        <v>162</v>
      </c>
      <c r="B2625" s="15" t="s">
        <v>318</v>
      </c>
      <c r="C2625" s="16" t="s">
        <v>31</v>
      </c>
      <c r="D2625" s="16" t="s">
        <v>31</v>
      </c>
      <c r="E2625" s="15" t="s">
        <v>32</v>
      </c>
      <c r="F2625" s="15" t="s">
        <v>314</v>
      </c>
      <c r="N2625" s="21" t="s">
        <v>96</v>
      </c>
      <c r="O2625" s="21" t="s">
        <v>337</v>
      </c>
      <c r="Q2625" s="21" t="s">
        <v>344</v>
      </c>
      <c r="R2625" s="22">
        <v>45756</v>
      </c>
      <c r="W2625">
        <f>COUNTIF(第一生命保険!U:U,B2625)</f>
        <v>0</v>
      </c>
    </row>
    <row r="2626" spans="1:23" ht="24.95" hidden="1" customHeight="1" x14ac:dyDescent="0.4">
      <c r="A2626" s="17" t="s">
        <v>162</v>
      </c>
      <c r="B2626" s="15" t="s">
        <v>118</v>
      </c>
      <c r="C2626" s="16" t="s">
        <v>31</v>
      </c>
      <c r="D2626" s="16" t="s">
        <v>31</v>
      </c>
      <c r="E2626" s="15" t="s">
        <v>32</v>
      </c>
      <c r="F2626" s="15" t="s">
        <v>314</v>
      </c>
      <c r="N2626" s="21" t="s">
        <v>96</v>
      </c>
      <c r="O2626" s="21" t="s">
        <v>337</v>
      </c>
      <c r="Q2626" s="21" t="s">
        <v>344</v>
      </c>
      <c r="R2626" s="22">
        <v>45756</v>
      </c>
      <c r="W2626">
        <f>COUNTIF(第一生命保険!U:U,B2626)</f>
        <v>0</v>
      </c>
    </row>
    <row r="2627" spans="1:23" ht="24.95" hidden="1" customHeight="1" x14ac:dyDescent="0.4">
      <c r="A2627" s="17" t="s">
        <v>162</v>
      </c>
      <c r="B2627" s="15" t="s">
        <v>319</v>
      </c>
      <c r="C2627" s="16" t="s">
        <v>31</v>
      </c>
      <c r="D2627" s="16" t="s">
        <v>31</v>
      </c>
      <c r="E2627" s="15" t="s">
        <v>32</v>
      </c>
      <c r="F2627" s="15" t="s">
        <v>314</v>
      </c>
      <c r="N2627" s="21" t="s">
        <v>96</v>
      </c>
      <c r="O2627" s="21" t="s">
        <v>337</v>
      </c>
      <c r="Q2627" s="21" t="s">
        <v>344</v>
      </c>
      <c r="R2627" s="22">
        <v>45756</v>
      </c>
      <c r="W2627">
        <f>COUNTIF(第一生命保険!U:U,B2627)</f>
        <v>0</v>
      </c>
    </row>
    <row r="2628" spans="1:23" ht="24.95" hidden="1" customHeight="1" x14ac:dyDescent="0.4">
      <c r="A2628" s="17" t="s">
        <v>162</v>
      </c>
      <c r="B2628" s="15" t="s">
        <v>227</v>
      </c>
      <c r="C2628" s="16" t="s">
        <v>31</v>
      </c>
      <c r="D2628" s="16" t="s">
        <v>31</v>
      </c>
      <c r="E2628" s="15" t="s">
        <v>32</v>
      </c>
      <c r="F2628" s="15" t="s">
        <v>314</v>
      </c>
      <c r="N2628" s="21" t="s">
        <v>96</v>
      </c>
      <c r="O2628" s="21" t="s">
        <v>336</v>
      </c>
      <c r="Q2628" s="21" t="s">
        <v>344</v>
      </c>
      <c r="R2628" s="22">
        <v>45756</v>
      </c>
      <c r="W2628">
        <f>COUNTIF(第一生命保険!U:U,B2628)</f>
        <v>0</v>
      </c>
    </row>
    <row r="2629" spans="1:23" ht="24.95" hidden="1" customHeight="1" x14ac:dyDescent="0.4">
      <c r="A2629" s="17" t="s">
        <v>162</v>
      </c>
      <c r="B2629" s="15" t="s">
        <v>228</v>
      </c>
      <c r="C2629" s="16" t="s">
        <v>31</v>
      </c>
      <c r="D2629" s="16" t="s">
        <v>31</v>
      </c>
      <c r="E2629" s="15" t="s">
        <v>32</v>
      </c>
      <c r="F2629" s="15" t="s">
        <v>314</v>
      </c>
      <c r="N2629" s="21" t="s">
        <v>96</v>
      </c>
      <c r="O2629" s="21" t="s">
        <v>336</v>
      </c>
      <c r="Q2629" s="21" t="s">
        <v>344</v>
      </c>
      <c r="R2629" s="22">
        <v>45756</v>
      </c>
      <c r="W2629">
        <f>COUNTIF(第一生命保険!U:U,B2629)</f>
        <v>0</v>
      </c>
    </row>
    <row r="2630" spans="1:23" ht="24.95" hidden="1" customHeight="1" x14ac:dyDescent="0.4">
      <c r="A2630" s="17" t="s">
        <v>162</v>
      </c>
      <c r="B2630" s="15" t="s">
        <v>229</v>
      </c>
      <c r="C2630" s="16" t="s">
        <v>31</v>
      </c>
      <c r="D2630" s="16" t="s">
        <v>31</v>
      </c>
      <c r="E2630" s="15" t="s">
        <v>32</v>
      </c>
      <c r="F2630" s="15" t="s">
        <v>314</v>
      </c>
      <c r="N2630" s="21" t="s">
        <v>96</v>
      </c>
      <c r="O2630" s="21" t="s">
        <v>336</v>
      </c>
      <c r="Q2630" s="21" t="s">
        <v>344</v>
      </c>
      <c r="R2630" s="22">
        <v>45756</v>
      </c>
      <c r="W2630">
        <f>COUNTIF(第一生命保険!U:U,B2630)</f>
        <v>0</v>
      </c>
    </row>
    <row r="2631" spans="1:23" ht="24.95" hidden="1" customHeight="1" x14ac:dyDescent="0.4">
      <c r="A2631" s="17" t="s">
        <v>162</v>
      </c>
      <c r="B2631" s="15" t="s">
        <v>230</v>
      </c>
      <c r="C2631" s="16" t="s">
        <v>31</v>
      </c>
      <c r="D2631" s="16" t="s">
        <v>31</v>
      </c>
      <c r="E2631" s="15" t="s">
        <v>32</v>
      </c>
      <c r="F2631" s="15" t="s">
        <v>314</v>
      </c>
      <c r="N2631" s="21" t="s">
        <v>96</v>
      </c>
      <c r="O2631" s="21" t="s">
        <v>336</v>
      </c>
      <c r="Q2631" s="21" t="s">
        <v>344</v>
      </c>
      <c r="R2631" s="22">
        <v>45756</v>
      </c>
      <c r="W2631">
        <f>COUNTIF(第一生命保険!U:U,B2631)</f>
        <v>0</v>
      </c>
    </row>
    <row r="2632" spans="1:23" ht="24.95" hidden="1" customHeight="1" x14ac:dyDescent="0.4">
      <c r="A2632" s="17" t="s">
        <v>162</v>
      </c>
      <c r="B2632" s="15" t="s">
        <v>231</v>
      </c>
      <c r="C2632" s="16" t="s">
        <v>31</v>
      </c>
      <c r="D2632" s="16" t="s">
        <v>31</v>
      </c>
      <c r="E2632" s="15" t="s">
        <v>32</v>
      </c>
      <c r="F2632" s="15" t="s">
        <v>314</v>
      </c>
      <c r="N2632" s="21" t="s">
        <v>96</v>
      </c>
      <c r="O2632" s="21" t="s">
        <v>336</v>
      </c>
      <c r="Q2632" s="21" t="s">
        <v>344</v>
      </c>
      <c r="R2632" s="22">
        <v>45756</v>
      </c>
      <c r="W2632">
        <f>COUNTIF(第一生命保険!U:U,B2632)</f>
        <v>0</v>
      </c>
    </row>
    <row r="2633" spans="1:23" ht="24.95" hidden="1" customHeight="1" x14ac:dyDescent="0.4">
      <c r="A2633" s="17" t="s">
        <v>162</v>
      </c>
      <c r="B2633" s="15" t="s">
        <v>232</v>
      </c>
      <c r="C2633" s="16" t="s">
        <v>31</v>
      </c>
      <c r="D2633" s="16" t="s">
        <v>31</v>
      </c>
      <c r="E2633" s="15" t="s">
        <v>32</v>
      </c>
      <c r="F2633" s="15" t="s">
        <v>314</v>
      </c>
      <c r="N2633" s="21" t="s">
        <v>96</v>
      </c>
      <c r="O2633" s="21" t="s">
        <v>336</v>
      </c>
      <c r="Q2633" s="21" t="s">
        <v>344</v>
      </c>
      <c r="R2633" s="22">
        <v>45756</v>
      </c>
      <c r="W2633">
        <f>COUNTIF(第一生命保険!U:U,B2633)</f>
        <v>0</v>
      </c>
    </row>
    <row r="2634" spans="1:23" ht="24.95" hidden="1" customHeight="1" x14ac:dyDescent="0.4">
      <c r="A2634" s="17" t="s">
        <v>162</v>
      </c>
      <c r="B2634" s="15" t="s">
        <v>233</v>
      </c>
      <c r="C2634" s="16" t="s">
        <v>31</v>
      </c>
      <c r="D2634" s="16" t="s">
        <v>31</v>
      </c>
      <c r="E2634" s="15" t="s">
        <v>32</v>
      </c>
      <c r="F2634" s="15" t="s">
        <v>314</v>
      </c>
      <c r="N2634" s="21" t="s">
        <v>96</v>
      </c>
      <c r="O2634" s="21" t="s">
        <v>336</v>
      </c>
      <c r="Q2634" s="21" t="s">
        <v>344</v>
      </c>
      <c r="R2634" s="22">
        <v>45756</v>
      </c>
      <c r="W2634">
        <f>COUNTIF(第一生命保険!U:U,B2634)</f>
        <v>0</v>
      </c>
    </row>
    <row r="2635" spans="1:23" ht="24.95" hidden="1" customHeight="1" x14ac:dyDescent="0.4">
      <c r="A2635" s="17" t="s">
        <v>162</v>
      </c>
      <c r="B2635" s="15" t="s">
        <v>234</v>
      </c>
      <c r="C2635" s="16" t="s">
        <v>31</v>
      </c>
      <c r="D2635" s="16" t="s">
        <v>31</v>
      </c>
      <c r="E2635" s="15" t="s">
        <v>32</v>
      </c>
      <c r="F2635" s="15" t="s">
        <v>314</v>
      </c>
      <c r="N2635" s="21" t="s">
        <v>96</v>
      </c>
      <c r="O2635" s="21" t="s">
        <v>336</v>
      </c>
      <c r="Q2635" s="21" t="s">
        <v>344</v>
      </c>
      <c r="R2635" s="22">
        <v>45756</v>
      </c>
      <c r="W2635">
        <f>COUNTIF(第一生命保険!U:U,B2635)</f>
        <v>0</v>
      </c>
    </row>
    <row r="2636" spans="1:23" ht="24.95" hidden="1" customHeight="1" x14ac:dyDescent="0.4">
      <c r="A2636" s="17" t="s">
        <v>162</v>
      </c>
      <c r="B2636" s="15" t="s">
        <v>235</v>
      </c>
      <c r="C2636" s="16" t="s">
        <v>31</v>
      </c>
      <c r="D2636" s="16" t="s">
        <v>31</v>
      </c>
      <c r="E2636" s="15" t="s">
        <v>32</v>
      </c>
      <c r="F2636" s="15" t="s">
        <v>314</v>
      </c>
      <c r="N2636" s="21" t="s">
        <v>96</v>
      </c>
      <c r="O2636" s="21" t="s">
        <v>336</v>
      </c>
      <c r="Q2636" s="21" t="s">
        <v>344</v>
      </c>
      <c r="R2636" s="22">
        <v>45756</v>
      </c>
      <c r="W2636">
        <f>COUNTIF(第一生命保険!U:U,B2636)</f>
        <v>0</v>
      </c>
    </row>
    <row r="2637" spans="1:23" ht="24.95" hidden="1" customHeight="1" x14ac:dyDescent="0.4">
      <c r="A2637" s="17" t="s">
        <v>162</v>
      </c>
      <c r="B2637" s="15" t="s">
        <v>236</v>
      </c>
      <c r="C2637" s="16" t="s">
        <v>31</v>
      </c>
      <c r="D2637" s="16" t="s">
        <v>31</v>
      </c>
      <c r="E2637" s="15" t="s">
        <v>32</v>
      </c>
      <c r="F2637" s="15" t="s">
        <v>314</v>
      </c>
      <c r="N2637" s="21" t="s">
        <v>96</v>
      </c>
      <c r="O2637" s="21" t="s">
        <v>336</v>
      </c>
      <c r="Q2637" s="21" t="s">
        <v>344</v>
      </c>
      <c r="R2637" s="22">
        <v>45756</v>
      </c>
      <c r="W2637">
        <f>COUNTIF(第一生命保険!U:U,B2637)</f>
        <v>0</v>
      </c>
    </row>
    <row r="2638" spans="1:23" ht="24.95" hidden="1" customHeight="1" x14ac:dyDescent="0.4">
      <c r="A2638" s="17" t="s">
        <v>162</v>
      </c>
      <c r="B2638" s="15" t="s">
        <v>237</v>
      </c>
      <c r="C2638" s="16" t="s">
        <v>31</v>
      </c>
      <c r="D2638" s="16" t="s">
        <v>31</v>
      </c>
      <c r="E2638" s="15" t="s">
        <v>32</v>
      </c>
      <c r="F2638" s="15" t="s">
        <v>314</v>
      </c>
      <c r="N2638" s="21" t="s">
        <v>96</v>
      </c>
      <c r="O2638" s="21" t="s">
        <v>336</v>
      </c>
      <c r="Q2638" s="21" t="s">
        <v>344</v>
      </c>
      <c r="R2638" s="22">
        <v>45756</v>
      </c>
      <c r="W2638">
        <f>COUNTIF(第一生命保険!U:U,B2638)</f>
        <v>0</v>
      </c>
    </row>
    <row r="2639" spans="1:23" ht="24.95" hidden="1" customHeight="1" x14ac:dyDescent="0.4">
      <c r="A2639" s="17" t="s">
        <v>162</v>
      </c>
      <c r="B2639" s="15" t="s">
        <v>346</v>
      </c>
      <c r="C2639" s="16" t="s">
        <v>31</v>
      </c>
      <c r="D2639" s="16" t="s">
        <v>31</v>
      </c>
      <c r="E2639" s="15" t="s">
        <v>32</v>
      </c>
      <c r="F2639" s="15" t="s">
        <v>356</v>
      </c>
      <c r="N2639" s="21" t="s">
        <v>96</v>
      </c>
      <c r="O2639" s="21" t="s">
        <v>360</v>
      </c>
      <c r="Q2639" s="21" t="s">
        <v>344</v>
      </c>
      <c r="R2639" s="22">
        <v>45847</v>
      </c>
      <c r="W2639">
        <f>COUNTIF(第一生命保険!U:U,B2639)</f>
        <v>0</v>
      </c>
    </row>
    <row r="2640" spans="1:23" ht="24.95" hidden="1" customHeight="1" x14ac:dyDescent="0.4">
      <c r="A2640" s="17" t="s">
        <v>162</v>
      </c>
      <c r="B2640" s="15" t="s">
        <v>357</v>
      </c>
      <c r="C2640" s="16" t="s">
        <v>31</v>
      </c>
      <c r="D2640" s="16" t="s">
        <v>31</v>
      </c>
      <c r="E2640" s="15" t="s">
        <v>32</v>
      </c>
      <c r="F2640" s="15" t="s">
        <v>356</v>
      </c>
      <c r="N2640" s="21" t="s">
        <v>96</v>
      </c>
      <c r="O2640" s="21" t="s">
        <v>360</v>
      </c>
      <c r="Q2640" s="21" t="s">
        <v>344</v>
      </c>
      <c r="R2640" s="22">
        <v>45847</v>
      </c>
      <c r="W2640">
        <f>COUNTIF(第一生命保険!U:U,B2640)</f>
        <v>0</v>
      </c>
    </row>
    <row r="2641" spans="1:23" ht="24.95" hidden="1" customHeight="1" x14ac:dyDescent="0.4">
      <c r="A2641" s="17" t="s">
        <v>162</v>
      </c>
      <c r="B2641" s="15" t="s">
        <v>347</v>
      </c>
      <c r="C2641" s="16" t="s">
        <v>31</v>
      </c>
      <c r="D2641" s="16" t="s">
        <v>31</v>
      </c>
      <c r="E2641" s="15" t="s">
        <v>32</v>
      </c>
      <c r="F2641" s="15" t="s">
        <v>356</v>
      </c>
      <c r="N2641" s="21" t="s">
        <v>96</v>
      </c>
      <c r="O2641" s="21" t="s">
        <v>360</v>
      </c>
      <c r="Q2641" s="21" t="s">
        <v>344</v>
      </c>
      <c r="R2641" s="22">
        <v>45847</v>
      </c>
      <c r="W2641">
        <f>COUNTIF(第一生命保険!U:U,B2641)</f>
        <v>0</v>
      </c>
    </row>
    <row r="2642" spans="1:23" ht="24.95" hidden="1" customHeight="1" x14ac:dyDescent="0.4">
      <c r="A2642" s="17" t="s">
        <v>162</v>
      </c>
      <c r="B2642" s="15" t="s">
        <v>320</v>
      </c>
      <c r="C2642" s="16" t="s">
        <v>31</v>
      </c>
      <c r="D2642" s="16" t="s">
        <v>31</v>
      </c>
      <c r="E2642" s="15" t="s">
        <v>32</v>
      </c>
      <c r="F2642" s="15" t="s">
        <v>314</v>
      </c>
      <c r="N2642" s="21" t="s">
        <v>96</v>
      </c>
      <c r="O2642" s="21" t="s">
        <v>337</v>
      </c>
      <c r="Q2642" s="21" t="s">
        <v>344</v>
      </c>
      <c r="R2642" s="22">
        <v>45756</v>
      </c>
      <c r="W2642">
        <f>COUNTIF(第一生命保険!U:U,B2642)</f>
        <v>0</v>
      </c>
    </row>
    <row r="2643" spans="1:23" ht="24.95" hidden="1" customHeight="1" x14ac:dyDescent="0.4">
      <c r="A2643" s="17" t="s">
        <v>162</v>
      </c>
      <c r="B2643" s="15" t="s">
        <v>132</v>
      </c>
      <c r="C2643" s="16" t="s">
        <v>31</v>
      </c>
      <c r="D2643" s="16" t="s">
        <v>31</v>
      </c>
      <c r="E2643" s="15" t="s">
        <v>32</v>
      </c>
      <c r="F2643" s="15" t="s">
        <v>314</v>
      </c>
      <c r="N2643" s="21" t="s">
        <v>96</v>
      </c>
      <c r="O2643" s="21" t="s">
        <v>337</v>
      </c>
      <c r="Q2643" s="21" t="s">
        <v>344</v>
      </c>
      <c r="R2643" s="22">
        <v>45756</v>
      </c>
      <c r="W2643">
        <f>COUNTIF(第一生命保険!U:U,B2643)</f>
        <v>0</v>
      </c>
    </row>
    <row r="2644" spans="1:23" ht="24.95" hidden="1" customHeight="1" x14ac:dyDescent="0.4">
      <c r="A2644" s="17" t="s">
        <v>162</v>
      </c>
      <c r="B2644" s="15" t="s">
        <v>321</v>
      </c>
      <c r="C2644" s="16" t="s">
        <v>24</v>
      </c>
      <c r="D2644" s="16" t="s">
        <v>31</v>
      </c>
      <c r="E2644" s="15" t="s">
        <v>35</v>
      </c>
      <c r="F2644" s="15" t="s">
        <v>314</v>
      </c>
      <c r="N2644" s="21" t="s">
        <v>96</v>
      </c>
      <c r="O2644" s="21" t="s">
        <v>337</v>
      </c>
      <c r="Q2644" s="21" t="s">
        <v>344</v>
      </c>
      <c r="R2644" s="22">
        <v>45756</v>
      </c>
      <c r="W2644">
        <f>COUNTIF(第一生命保険!U:U,B2644)</f>
        <v>0</v>
      </c>
    </row>
    <row r="2645" spans="1:23" ht="24.95" hidden="1" customHeight="1" x14ac:dyDescent="0.4">
      <c r="A2645" s="17" t="s">
        <v>162</v>
      </c>
      <c r="B2645" s="15" t="s">
        <v>322</v>
      </c>
      <c r="C2645" s="16" t="s">
        <v>24</v>
      </c>
      <c r="D2645" s="16" t="s">
        <v>31</v>
      </c>
      <c r="E2645" s="15" t="s">
        <v>35</v>
      </c>
      <c r="F2645" s="15" t="s">
        <v>314</v>
      </c>
      <c r="N2645" s="21" t="s">
        <v>96</v>
      </c>
      <c r="O2645" s="21" t="s">
        <v>337</v>
      </c>
      <c r="Q2645" s="21" t="s">
        <v>344</v>
      </c>
      <c r="R2645" s="22">
        <v>45756</v>
      </c>
      <c r="W2645">
        <f>COUNTIF(第一生命保険!U:U,B2645)</f>
        <v>0</v>
      </c>
    </row>
    <row r="2646" spans="1:23" ht="24.95" hidden="1" customHeight="1" x14ac:dyDescent="0.4">
      <c r="A2646" s="17" t="s">
        <v>162</v>
      </c>
      <c r="B2646" s="15" t="s">
        <v>323</v>
      </c>
      <c r="C2646" s="16" t="s">
        <v>24</v>
      </c>
      <c r="D2646" s="16" t="s">
        <v>31</v>
      </c>
      <c r="E2646" s="15" t="s">
        <v>35</v>
      </c>
      <c r="F2646" s="15" t="s">
        <v>314</v>
      </c>
      <c r="N2646" s="21" t="s">
        <v>96</v>
      </c>
      <c r="O2646" s="21" t="s">
        <v>337</v>
      </c>
      <c r="Q2646" s="21" t="s">
        <v>344</v>
      </c>
      <c r="R2646" s="22">
        <v>45756</v>
      </c>
      <c r="W2646">
        <f>COUNTIF(第一生命保険!U:U,B2646)</f>
        <v>0</v>
      </c>
    </row>
    <row r="2647" spans="1:23" ht="24.95" hidden="1" customHeight="1" x14ac:dyDescent="0.4">
      <c r="A2647" s="17" t="s">
        <v>162</v>
      </c>
      <c r="B2647" s="15" t="s">
        <v>238</v>
      </c>
      <c r="C2647" s="16" t="s">
        <v>31</v>
      </c>
      <c r="D2647" s="16" t="s">
        <v>31</v>
      </c>
      <c r="E2647" s="15" t="s">
        <v>32</v>
      </c>
      <c r="F2647" s="15" t="s">
        <v>314</v>
      </c>
      <c r="N2647" s="21" t="s">
        <v>96</v>
      </c>
      <c r="O2647" s="21" t="s">
        <v>336</v>
      </c>
      <c r="Q2647" s="21" t="s">
        <v>344</v>
      </c>
      <c r="R2647" s="22">
        <v>45756</v>
      </c>
      <c r="W2647">
        <f>COUNTIF(第一生命保険!U:U,B2647)</f>
        <v>0</v>
      </c>
    </row>
    <row r="2648" spans="1:23" ht="24.95" hidden="1" customHeight="1" x14ac:dyDescent="0.4">
      <c r="A2648" s="17" t="s">
        <v>162</v>
      </c>
      <c r="B2648" s="15" t="s">
        <v>239</v>
      </c>
      <c r="C2648" s="16" t="s">
        <v>31</v>
      </c>
      <c r="D2648" s="16" t="s">
        <v>31</v>
      </c>
      <c r="E2648" s="15" t="s">
        <v>32</v>
      </c>
      <c r="F2648" s="15" t="s">
        <v>314</v>
      </c>
      <c r="N2648" s="21" t="s">
        <v>96</v>
      </c>
      <c r="O2648" s="21" t="s">
        <v>336</v>
      </c>
      <c r="Q2648" s="21" t="s">
        <v>344</v>
      </c>
      <c r="R2648" s="22">
        <v>45756</v>
      </c>
      <c r="W2648">
        <f>COUNTIF(第一生命保険!U:U,B2648)</f>
        <v>0</v>
      </c>
    </row>
    <row r="2649" spans="1:23" ht="24.95" hidden="1" customHeight="1" x14ac:dyDescent="0.4">
      <c r="A2649" s="17" t="s">
        <v>162</v>
      </c>
      <c r="B2649" s="15" t="s">
        <v>240</v>
      </c>
      <c r="C2649" s="16" t="s">
        <v>31</v>
      </c>
      <c r="D2649" s="16" t="s">
        <v>31</v>
      </c>
      <c r="E2649" s="15" t="s">
        <v>32</v>
      </c>
      <c r="F2649" s="15" t="s">
        <v>314</v>
      </c>
      <c r="N2649" s="21" t="s">
        <v>96</v>
      </c>
      <c r="O2649" s="21" t="s">
        <v>336</v>
      </c>
      <c r="Q2649" s="21" t="s">
        <v>344</v>
      </c>
      <c r="R2649" s="22">
        <v>45756</v>
      </c>
      <c r="W2649">
        <f>COUNTIF(第一生命保険!U:U,B2649)</f>
        <v>0</v>
      </c>
    </row>
    <row r="2650" spans="1:23" ht="24.95" hidden="1" customHeight="1" x14ac:dyDescent="0.4">
      <c r="A2650" s="17" t="s">
        <v>162</v>
      </c>
      <c r="B2650" s="15" t="s">
        <v>241</v>
      </c>
      <c r="C2650" s="16" t="s">
        <v>31</v>
      </c>
      <c r="D2650" s="16" t="s">
        <v>31</v>
      </c>
      <c r="E2650" s="15" t="s">
        <v>32</v>
      </c>
      <c r="F2650" s="15" t="s">
        <v>314</v>
      </c>
      <c r="N2650" s="21" t="s">
        <v>96</v>
      </c>
      <c r="O2650" s="21" t="s">
        <v>336</v>
      </c>
      <c r="Q2650" s="21" t="s">
        <v>344</v>
      </c>
      <c r="R2650" s="22">
        <v>45756</v>
      </c>
      <c r="W2650">
        <f>COUNTIF(第一生命保険!U:U,B2650)</f>
        <v>0</v>
      </c>
    </row>
    <row r="2651" spans="1:23" ht="24.95" hidden="1" customHeight="1" x14ac:dyDescent="0.4">
      <c r="A2651" s="17" t="s">
        <v>162</v>
      </c>
      <c r="B2651" s="15" t="s">
        <v>242</v>
      </c>
      <c r="C2651" s="16" t="s">
        <v>31</v>
      </c>
      <c r="D2651" s="16" t="s">
        <v>31</v>
      </c>
      <c r="E2651" s="15" t="s">
        <v>32</v>
      </c>
      <c r="F2651" s="15" t="s">
        <v>314</v>
      </c>
      <c r="N2651" s="21" t="s">
        <v>96</v>
      </c>
      <c r="O2651" s="21" t="s">
        <v>336</v>
      </c>
      <c r="Q2651" s="21" t="s">
        <v>344</v>
      </c>
      <c r="R2651" s="22">
        <v>45756</v>
      </c>
      <c r="W2651">
        <f>COUNTIF(第一生命保険!U:U,B2651)</f>
        <v>0</v>
      </c>
    </row>
    <row r="2652" spans="1:23" ht="24.95" hidden="1" customHeight="1" x14ac:dyDescent="0.4">
      <c r="A2652" s="17" t="s">
        <v>162</v>
      </c>
      <c r="B2652" s="15" t="s">
        <v>243</v>
      </c>
      <c r="C2652" s="16" t="s">
        <v>31</v>
      </c>
      <c r="D2652" s="16" t="s">
        <v>31</v>
      </c>
      <c r="E2652" s="15" t="s">
        <v>32</v>
      </c>
      <c r="F2652" s="15" t="s">
        <v>314</v>
      </c>
      <c r="N2652" s="21" t="s">
        <v>96</v>
      </c>
      <c r="O2652" s="21" t="s">
        <v>336</v>
      </c>
      <c r="Q2652" s="21" t="s">
        <v>344</v>
      </c>
      <c r="R2652" s="22">
        <v>45756</v>
      </c>
      <c r="W2652">
        <f>COUNTIF(第一生命保険!U:U,B2652)</f>
        <v>0</v>
      </c>
    </row>
    <row r="2653" spans="1:23" ht="24.95" hidden="1" customHeight="1" x14ac:dyDescent="0.4">
      <c r="A2653" s="17" t="s">
        <v>162</v>
      </c>
      <c r="B2653" s="15" t="s">
        <v>244</v>
      </c>
      <c r="C2653" s="16" t="s">
        <v>31</v>
      </c>
      <c r="D2653" s="16" t="s">
        <v>31</v>
      </c>
      <c r="E2653" s="15" t="s">
        <v>32</v>
      </c>
      <c r="F2653" s="15" t="s">
        <v>314</v>
      </c>
      <c r="N2653" s="21" t="s">
        <v>96</v>
      </c>
      <c r="O2653" s="21" t="s">
        <v>336</v>
      </c>
      <c r="Q2653" s="21" t="s">
        <v>344</v>
      </c>
      <c r="R2653" s="22">
        <v>45756</v>
      </c>
      <c r="W2653">
        <f>COUNTIF(第一生命保険!U:U,B2653)</f>
        <v>0</v>
      </c>
    </row>
    <row r="2654" spans="1:23" ht="24.95" hidden="1" customHeight="1" x14ac:dyDescent="0.4">
      <c r="A2654" s="17" t="s">
        <v>162</v>
      </c>
      <c r="B2654" s="15" t="s">
        <v>245</v>
      </c>
      <c r="C2654" s="16" t="s">
        <v>31</v>
      </c>
      <c r="D2654" s="16" t="s">
        <v>31</v>
      </c>
      <c r="E2654" s="15" t="s">
        <v>32</v>
      </c>
      <c r="F2654" s="15" t="s">
        <v>314</v>
      </c>
      <c r="N2654" s="21" t="s">
        <v>96</v>
      </c>
      <c r="O2654" s="21" t="s">
        <v>336</v>
      </c>
      <c r="Q2654" s="21" t="s">
        <v>344</v>
      </c>
      <c r="R2654" s="22">
        <v>45756</v>
      </c>
      <c r="W2654">
        <f>COUNTIF(第一生命保険!U:U,B2654)</f>
        <v>0</v>
      </c>
    </row>
    <row r="2655" spans="1:23" ht="24.95" hidden="1" customHeight="1" x14ac:dyDescent="0.4">
      <c r="A2655" s="17" t="s">
        <v>162</v>
      </c>
      <c r="B2655" s="15" t="s">
        <v>246</v>
      </c>
      <c r="C2655" s="16" t="s">
        <v>31</v>
      </c>
      <c r="D2655" s="16" t="s">
        <v>31</v>
      </c>
      <c r="E2655" s="15" t="s">
        <v>32</v>
      </c>
      <c r="F2655" s="15" t="s">
        <v>314</v>
      </c>
      <c r="N2655" s="21" t="s">
        <v>96</v>
      </c>
      <c r="O2655" s="21" t="s">
        <v>336</v>
      </c>
      <c r="Q2655" s="21" t="s">
        <v>344</v>
      </c>
      <c r="R2655" s="22">
        <v>45756</v>
      </c>
      <c r="W2655">
        <f>COUNTIF(第一生命保険!U:U,B2655)</f>
        <v>0</v>
      </c>
    </row>
    <row r="2656" spans="1:23" ht="24.95" hidden="1" customHeight="1" x14ac:dyDescent="0.4">
      <c r="A2656" s="17" t="s">
        <v>162</v>
      </c>
      <c r="B2656" s="15" t="s">
        <v>247</v>
      </c>
      <c r="C2656" s="16" t="s">
        <v>31</v>
      </c>
      <c r="D2656" s="16" t="s">
        <v>31</v>
      </c>
      <c r="E2656" s="15" t="s">
        <v>32</v>
      </c>
      <c r="F2656" s="15" t="s">
        <v>314</v>
      </c>
      <c r="N2656" s="21" t="s">
        <v>96</v>
      </c>
      <c r="O2656" s="21" t="s">
        <v>336</v>
      </c>
      <c r="Q2656" s="21" t="s">
        <v>344</v>
      </c>
      <c r="R2656" s="22">
        <v>45756</v>
      </c>
      <c r="W2656">
        <f>COUNTIF(第一生命保険!U:U,B2656)</f>
        <v>0</v>
      </c>
    </row>
    <row r="2657" spans="1:23" ht="24.95" hidden="1" customHeight="1" x14ac:dyDescent="0.4">
      <c r="A2657" s="17" t="s">
        <v>162</v>
      </c>
      <c r="B2657" s="15" t="s">
        <v>248</v>
      </c>
      <c r="C2657" s="16" t="s">
        <v>31</v>
      </c>
      <c r="D2657" s="16" t="s">
        <v>31</v>
      </c>
      <c r="E2657" s="15" t="s">
        <v>32</v>
      </c>
      <c r="F2657" s="15" t="s">
        <v>314</v>
      </c>
      <c r="N2657" s="21" t="s">
        <v>96</v>
      </c>
      <c r="O2657" s="21" t="s">
        <v>336</v>
      </c>
      <c r="Q2657" s="21" t="s">
        <v>344</v>
      </c>
      <c r="R2657" s="22">
        <v>45756</v>
      </c>
      <c r="W2657">
        <f>COUNTIF(第一生命保険!U:U,B2657)</f>
        <v>0</v>
      </c>
    </row>
    <row r="2658" spans="1:23" ht="24.95" hidden="1" customHeight="1" x14ac:dyDescent="0.4">
      <c r="A2658" s="17" t="s">
        <v>162</v>
      </c>
      <c r="B2658" s="15" t="s">
        <v>249</v>
      </c>
      <c r="C2658" s="16" t="s">
        <v>31</v>
      </c>
      <c r="D2658" s="16" t="s">
        <v>31</v>
      </c>
      <c r="E2658" s="15" t="s">
        <v>32</v>
      </c>
      <c r="F2658" s="15" t="s">
        <v>314</v>
      </c>
      <c r="N2658" s="21" t="s">
        <v>96</v>
      </c>
      <c r="O2658" s="21" t="s">
        <v>336</v>
      </c>
      <c r="Q2658" s="21" t="s">
        <v>344</v>
      </c>
      <c r="R2658" s="22">
        <v>45756</v>
      </c>
      <c r="W2658">
        <f>COUNTIF(第一生命保険!U:U,B2658)</f>
        <v>0</v>
      </c>
    </row>
    <row r="2659" spans="1:23" ht="24.95" hidden="1" customHeight="1" x14ac:dyDescent="0.4">
      <c r="A2659" s="17" t="s">
        <v>162</v>
      </c>
      <c r="B2659" s="15" t="s">
        <v>250</v>
      </c>
      <c r="C2659" s="16" t="s">
        <v>31</v>
      </c>
      <c r="D2659" s="16" t="s">
        <v>31</v>
      </c>
      <c r="E2659" s="15" t="s">
        <v>32</v>
      </c>
      <c r="F2659" s="15" t="s">
        <v>314</v>
      </c>
      <c r="N2659" s="21" t="s">
        <v>96</v>
      </c>
      <c r="O2659" s="21" t="s">
        <v>336</v>
      </c>
      <c r="Q2659" s="21" t="s">
        <v>344</v>
      </c>
      <c r="R2659" s="22">
        <v>45756</v>
      </c>
      <c r="W2659">
        <f>COUNTIF(第一生命保険!U:U,B2659)</f>
        <v>0</v>
      </c>
    </row>
    <row r="2660" spans="1:23" ht="24.95" hidden="1" customHeight="1" x14ac:dyDescent="0.4">
      <c r="A2660" s="17" t="s">
        <v>162</v>
      </c>
      <c r="B2660" s="15" t="s">
        <v>251</v>
      </c>
      <c r="C2660" s="16" t="s">
        <v>31</v>
      </c>
      <c r="D2660" s="16" t="s">
        <v>31</v>
      </c>
      <c r="E2660" s="15" t="s">
        <v>32</v>
      </c>
      <c r="F2660" s="15" t="s">
        <v>314</v>
      </c>
      <c r="N2660" s="21" t="s">
        <v>96</v>
      </c>
      <c r="O2660" s="21" t="s">
        <v>336</v>
      </c>
      <c r="Q2660" s="21" t="s">
        <v>344</v>
      </c>
      <c r="R2660" s="22">
        <v>45756</v>
      </c>
      <c r="W2660">
        <f>COUNTIF(第一生命保険!U:U,B2660)</f>
        <v>0</v>
      </c>
    </row>
    <row r="2661" spans="1:23" ht="24.95" hidden="1" customHeight="1" x14ac:dyDescent="0.4">
      <c r="A2661" s="17" t="s">
        <v>162</v>
      </c>
      <c r="B2661" s="15" t="s">
        <v>341</v>
      </c>
      <c r="C2661" s="16" t="s">
        <v>31</v>
      </c>
      <c r="D2661" s="16" t="s">
        <v>31</v>
      </c>
      <c r="E2661" s="15" t="s">
        <v>32</v>
      </c>
      <c r="F2661" s="15" t="s">
        <v>340</v>
      </c>
      <c r="N2661" s="21" t="s">
        <v>96</v>
      </c>
      <c r="O2661" s="21" t="s">
        <v>345</v>
      </c>
      <c r="Q2661" s="21" t="s">
        <v>344</v>
      </c>
      <c r="R2661" s="22">
        <v>45784</v>
      </c>
      <c r="W2661">
        <f>COUNTIF(第一生命保険!U:U,B2661)</f>
        <v>0</v>
      </c>
    </row>
    <row r="2662" spans="1:23" ht="24.95" hidden="1" customHeight="1" x14ac:dyDescent="0.4">
      <c r="A2662" s="17" t="s">
        <v>162</v>
      </c>
      <c r="B2662" s="15" t="s">
        <v>252</v>
      </c>
      <c r="C2662" s="16" t="s">
        <v>31</v>
      </c>
      <c r="D2662" s="16" t="s">
        <v>31</v>
      </c>
      <c r="E2662" s="15" t="s">
        <v>32</v>
      </c>
      <c r="F2662" s="15" t="s">
        <v>314</v>
      </c>
      <c r="N2662" s="21" t="s">
        <v>96</v>
      </c>
      <c r="O2662" s="21" t="s">
        <v>336</v>
      </c>
      <c r="Q2662" s="21" t="s">
        <v>344</v>
      </c>
      <c r="R2662" s="22">
        <v>45756</v>
      </c>
      <c r="W2662">
        <f>COUNTIF(第一生命保険!U:U,B2662)</f>
        <v>0</v>
      </c>
    </row>
    <row r="2663" spans="1:23" ht="24.95" hidden="1" customHeight="1" x14ac:dyDescent="0.4">
      <c r="A2663" s="17" t="s">
        <v>162</v>
      </c>
      <c r="B2663" s="15" t="s">
        <v>253</v>
      </c>
      <c r="C2663" s="16" t="s">
        <v>31</v>
      </c>
      <c r="D2663" s="16" t="s">
        <v>31</v>
      </c>
      <c r="E2663" s="15" t="s">
        <v>32</v>
      </c>
      <c r="F2663" s="15" t="s">
        <v>314</v>
      </c>
      <c r="N2663" s="21" t="s">
        <v>96</v>
      </c>
      <c r="O2663" s="21" t="s">
        <v>336</v>
      </c>
      <c r="Q2663" s="21" t="s">
        <v>344</v>
      </c>
      <c r="R2663" s="22">
        <v>45756</v>
      </c>
      <c r="W2663">
        <f>COUNTIF(第一生命保険!U:U,B2663)</f>
        <v>0</v>
      </c>
    </row>
    <row r="2664" spans="1:23" ht="24.95" hidden="1" customHeight="1" x14ac:dyDescent="0.4">
      <c r="A2664" s="17" t="s">
        <v>162</v>
      </c>
      <c r="B2664" s="15" t="s">
        <v>254</v>
      </c>
      <c r="C2664" s="16" t="s">
        <v>31</v>
      </c>
      <c r="D2664" s="16" t="s">
        <v>31</v>
      </c>
      <c r="E2664" s="15" t="s">
        <v>32</v>
      </c>
      <c r="F2664" s="15" t="s">
        <v>314</v>
      </c>
      <c r="N2664" s="21" t="s">
        <v>96</v>
      </c>
      <c r="O2664" s="21" t="s">
        <v>336</v>
      </c>
      <c r="Q2664" s="21" t="s">
        <v>344</v>
      </c>
      <c r="R2664" s="22">
        <v>45756</v>
      </c>
      <c r="W2664">
        <f>COUNTIF(第一生命保険!U:U,B2664)</f>
        <v>0</v>
      </c>
    </row>
    <row r="2665" spans="1:23" ht="24.95" hidden="1" customHeight="1" x14ac:dyDescent="0.4">
      <c r="A2665" s="17" t="s">
        <v>162</v>
      </c>
      <c r="B2665" s="15" t="s">
        <v>255</v>
      </c>
      <c r="C2665" s="16" t="s">
        <v>31</v>
      </c>
      <c r="D2665" s="16" t="s">
        <v>31</v>
      </c>
      <c r="E2665" s="15" t="s">
        <v>32</v>
      </c>
      <c r="F2665" s="15" t="s">
        <v>314</v>
      </c>
      <c r="N2665" s="21" t="s">
        <v>96</v>
      </c>
      <c r="O2665" s="21" t="s">
        <v>336</v>
      </c>
      <c r="Q2665" s="21" t="s">
        <v>344</v>
      </c>
      <c r="R2665" s="22">
        <v>45756</v>
      </c>
      <c r="W2665">
        <f>COUNTIF(第一生命保険!U:U,B2665)</f>
        <v>0</v>
      </c>
    </row>
    <row r="2666" spans="1:23" ht="24.95" hidden="1" customHeight="1" x14ac:dyDescent="0.4">
      <c r="A2666" s="17" t="s">
        <v>162</v>
      </c>
      <c r="B2666" s="15" t="s">
        <v>256</v>
      </c>
      <c r="C2666" s="16" t="s">
        <v>31</v>
      </c>
      <c r="D2666" s="16" t="s">
        <v>31</v>
      </c>
      <c r="E2666" s="15" t="s">
        <v>32</v>
      </c>
      <c r="F2666" s="15" t="s">
        <v>314</v>
      </c>
      <c r="N2666" s="21" t="s">
        <v>96</v>
      </c>
      <c r="O2666" s="21" t="s">
        <v>336</v>
      </c>
      <c r="Q2666" s="21" t="s">
        <v>344</v>
      </c>
      <c r="R2666" s="22">
        <v>45756</v>
      </c>
      <c r="W2666">
        <f>COUNTIF(第一生命保険!U:U,B2666)</f>
        <v>0</v>
      </c>
    </row>
    <row r="2667" spans="1:23" ht="24.95" hidden="1" customHeight="1" x14ac:dyDescent="0.4">
      <c r="A2667" s="17" t="s">
        <v>162</v>
      </c>
      <c r="B2667" s="15" t="s">
        <v>257</v>
      </c>
      <c r="C2667" s="16" t="s">
        <v>31</v>
      </c>
      <c r="D2667" s="16" t="s">
        <v>31</v>
      </c>
      <c r="E2667" s="15" t="s">
        <v>32</v>
      </c>
      <c r="F2667" s="15" t="s">
        <v>314</v>
      </c>
      <c r="N2667" s="21" t="s">
        <v>96</v>
      </c>
      <c r="O2667" s="21" t="s">
        <v>336</v>
      </c>
      <c r="Q2667" s="21" t="s">
        <v>344</v>
      </c>
      <c r="R2667" s="22">
        <v>45756</v>
      </c>
      <c r="W2667">
        <f>COUNTIF(第一生命保険!U:U,B2667)</f>
        <v>0</v>
      </c>
    </row>
    <row r="2668" spans="1:23" ht="24.95" hidden="1" customHeight="1" x14ac:dyDescent="0.4">
      <c r="A2668" s="17" t="s">
        <v>162</v>
      </c>
      <c r="B2668" s="15" t="s">
        <v>258</v>
      </c>
      <c r="C2668" s="16" t="s">
        <v>31</v>
      </c>
      <c r="D2668" s="16" t="s">
        <v>31</v>
      </c>
      <c r="E2668" s="15" t="s">
        <v>32</v>
      </c>
      <c r="F2668" s="15" t="s">
        <v>314</v>
      </c>
      <c r="N2668" s="21" t="s">
        <v>96</v>
      </c>
      <c r="O2668" s="21" t="s">
        <v>336</v>
      </c>
      <c r="Q2668" s="21" t="s">
        <v>344</v>
      </c>
      <c r="R2668" s="22">
        <v>45756</v>
      </c>
      <c r="W2668">
        <f>COUNTIF(第一生命保険!U:U,B2668)</f>
        <v>0</v>
      </c>
    </row>
    <row r="2669" spans="1:23" ht="24.95" hidden="1" customHeight="1" x14ac:dyDescent="0.4">
      <c r="A2669" s="17" t="s">
        <v>162</v>
      </c>
      <c r="B2669" s="15" t="s">
        <v>259</v>
      </c>
      <c r="C2669" s="16" t="s">
        <v>31</v>
      </c>
      <c r="D2669" s="16" t="s">
        <v>31</v>
      </c>
      <c r="E2669" s="15" t="s">
        <v>32</v>
      </c>
      <c r="F2669" s="15" t="s">
        <v>314</v>
      </c>
      <c r="N2669" s="21" t="s">
        <v>96</v>
      </c>
      <c r="O2669" s="21" t="s">
        <v>336</v>
      </c>
      <c r="Q2669" s="21" t="s">
        <v>344</v>
      </c>
      <c r="R2669" s="22">
        <v>45756</v>
      </c>
      <c r="W2669">
        <f>COUNTIF(第一生命保険!U:U,B2669)</f>
        <v>0</v>
      </c>
    </row>
    <row r="2670" spans="1:23" ht="24.95" hidden="1" customHeight="1" x14ac:dyDescent="0.4">
      <c r="A2670" s="17" t="s">
        <v>162</v>
      </c>
      <c r="B2670" s="15" t="s">
        <v>260</v>
      </c>
      <c r="C2670" s="16" t="s">
        <v>31</v>
      </c>
      <c r="D2670" s="16" t="s">
        <v>31</v>
      </c>
      <c r="E2670" s="15" t="s">
        <v>32</v>
      </c>
      <c r="F2670" s="15" t="s">
        <v>314</v>
      </c>
      <c r="N2670" s="21" t="s">
        <v>96</v>
      </c>
      <c r="O2670" s="21" t="s">
        <v>336</v>
      </c>
      <c r="Q2670" s="21" t="s">
        <v>344</v>
      </c>
      <c r="R2670" s="22">
        <v>45756</v>
      </c>
      <c r="W2670">
        <f>COUNTIF(第一生命保険!U:U,B2670)</f>
        <v>0</v>
      </c>
    </row>
    <row r="2671" spans="1:23" ht="24.95" hidden="1" customHeight="1" x14ac:dyDescent="0.4">
      <c r="A2671" s="17" t="s">
        <v>162</v>
      </c>
      <c r="B2671" s="15" t="s">
        <v>261</v>
      </c>
      <c r="C2671" s="16" t="s">
        <v>31</v>
      </c>
      <c r="D2671" s="16" t="s">
        <v>31</v>
      </c>
      <c r="E2671" s="15" t="s">
        <v>32</v>
      </c>
      <c r="F2671" s="15" t="s">
        <v>314</v>
      </c>
      <c r="N2671" s="21" t="s">
        <v>96</v>
      </c>
      <c r="O2671" s="21" t="s">
        <v>336</v>
      </c>
      <c r="Q2671" s="21" t="s">
        <v>344</v>
      </c>
      <c r="R2671" s="22">
        <v>45756</v>
      </c>
      <c r="W2671">
        <f>COUNTIF(第一生命保険!U:U,B2671)</f>
        <v>0</v>
      </c>
    </row>
    <row r="2672" spans="1:23" ht="24.95" hidden="1" customHeight="1" x14ac:dyDescent="0.4">
      <c r="A2672" s="17" t="s">
        <v>162</v>
      </c>
      <c r="B2672" s="15" t="s">
        <v>262</v>
      </c>
      <c r="C2672" s="16" t="s">
        <v>31</v>
      </c>
      <c r="D2672" s="16" t="s">
        <v>31</v>
      </c>
      <c r="E2672" s="15" t="s">
        <v>32</v>
      </c>
      <c r="F2672" s="15" t="s">
        <v>314</v>
      </c>
      <c r="N2672" s="21" t="s">
        <v>96</v>
      </c>
      <c r="O2672" s="21" t="s">
        <v>336</v>
      </c>
      <c r="Q2672" s="21" t="s">
        <v>344</v>
      </c>
      <c r="R2672" s="22">
        <v>45756</v>
      </c>
      <c r="W2672">
        <f>COUNTIF(第一生命保険!U:U,B2672)</f>
        <v>0</v>
      </c>
    </row>
    <row r="2673" spans="1:23" ht="24.95" hidden="1" customHeight="1" x14ac:dyDescent="0.4">
      <c r="A2673" s="17" t="s">
        <v>162</v>
      </c>
      <c r="B2673" s="15" t="s">
        <v>263</v>
      </c>
      <c r="C2673" s="16" t="s">
        <v>31</v>
      </c>
      <c r="D2673" s="16" t="s">
        <v>31</v>
      </c>
      <c r="E2673" s="15" t="s">
        <v>32</v>
      </c>
      <c r="F2673" s="15" t="s">
        <v>314</v>
      </c>
      <c r="N2673" s="21" t="s">
        <v>96</v>
      </c>
      <c r="O2673" s="21" t="s">
        <v>336</v>
      </c>
      <c r="Q2673" s="21" t="s">
        <v>344</v>
      </c>
      <c r="R2673" s="22">
        <v>45756</v>
      </c>
      <c r="W2673">
        <f>COUNTIF(第一生命保険!U:U,B2673)</f>
        <v>0</v>
      </c>
    </row>
    <row r="2674" spans="1:23" ht="24.95" hidden="1" customHeight="1" x14ac:dyDescent="0.4">
      <c r="A2674" s="17" t="s">
        <v>162</v>
      </c>
      <c r="B2674" s="15" t="s">
        <v>264</v>
      </c>
      <c r="C2674" s="16" t="s">
        <v>31</v>
      </c>
      <c r="D2674" s="16" t="s">
        <v>31</v>
      </c>
      <c r="E2674" s="15" t="s">
        <v>32</v>
      </c>
      <c r="F2674" s="15" t="s">
        <v>314</v>
      </c>
      <c r="N2674" s="21" t="s">
        <v>96</v>
      </c>
      <c r="O2674" s="21" t="s">
        <v>336</v>
      </c>
      <c r="Q2674" s="21" t="s">
        <v>344</v>
      </c>
      <c r="R2674" s="22">
        <v>45756</v>
      </c>
      <c r="W2674">
        <f>COUNTIF(第一生命保険!U:U,B2674)</f>
        <v>0</v>
      </c>
    </row>
    <row r="2675" spans="1:23" ht="24.95" hidden="1" customHeight="1" x14ac:dyDescent="0.4">
      <c r="A2675" s="17" t="s">
        <v>162</v>
      </c>
      <c r="B2675" s="15" t="s">
        <v>265</v>
      </c>
      <c r="C2675" s="16" t="s">
        <v>31</v>
      </c>
      <c r="D2675" s="16" t="s">
        <v>31</v>
      </c>
      <c r="E2675" s="15" t="s">
        <v>32</v>
      </c>
      <c r="F2675" s="15" t="s">
        <v>314</v>
      </c>
      <c r="N2675" s="21" t="s">
        <v>96</v>
      </c>
      <c r="O2675" s="21" t="s">
        <v>336</v>
      </c>
      <c r="Q2675" s="21" t="s">
        <v>344</v>
      </c>
      <c r="R2675" s="22">
        <v>45756</v>
      </c>
      <c r="W2675">
        <f>COUNTIF(第一生命保険!U:U,B2675)</f>
        <v>0</v>
      </c>
    </row>
    <row r="2676" spans="1:23" ht="24.95" hidden="1" customHeight="1" x14ac:dyDescent="0.4">
      <c r="A2676" s="17" t="s">
        <v>162</v>
      </c>
      <c r="B2676" s="15" t="s">
        <v>266</v>
      </c>
      <c r="C2676" s="16" t="s">
        <v>31</v>
      </c>
      <c r="D2676" s="16" t="s">
        <v>31</v>
      </c>
      <c r="E2676" s="15" t="s">
        <v>32</v>
      </c>
      <c r="F2676" s="15" t="s">
        <v>314</v>
      </c>
      <c r="N2676" s="21" t="s">
        <v>96</v>
      </c>
      <c r="O2676" s="21" t="s">
        <v>336</v>
      </c>
      <c r="Q2676" s="21" t="s">
        <v>344</v>
      </c>
      <c r="R2676" s="22">
        <v>45756</v>
      </c>
      <c r="W2676">
        <f>COUNTIF(第一生命保険!U:U,B2676)</f>
        <v>0</v>
      </c>
    </row>
    <row r="2677" spans="1:23" ht="24.95" hidden="1" customHeight="1" x14ac:dyDescent="0.4">
      <c r="A2677" s="17" t="s">
        <v>162</v>
      </c>
      <c r="B2677" s="15" t="s">
        <v>267</v>
      </c>
      <c r="C2677" s="16" t="s">
        <v>31</v>
      </c>
      <c r="D2677" s="16" t="s">
        <v>31</v>
      </c>
      <c r="E2677" s="15" t="s">
        <v>32</v>
      </c>
      <c r="F2677" s="15" t="s">
        <v>314</v>
      </c>
      <c r="N2677" s="21" t="s">
        <v>96</v>
      </c>
      <c r="O2677" s="21" t="s">
        <v>336</v>
      </c>
      <c r="Q2677" s="21" t="s">
        <v>344</v>
      </c>
      <c r="R2677" s="22">
        <v>45756</v>
      </c>
      <c r="W2677">
        <f>COUNTIF(第一生命保険!U:U,B2677)</f>
        <v>0</v>
      </c>
    </row>
    <row r="2678" spans="1:23" ht="24.95" hidden="1" customHeight="1" x14ac:dyDescent="0.4">
      <c r="A2678" s="17" t="s">
        <v>162</v>
      </c>
      <c r="B2678" s="15" t="s">
        <v>268</v>
      </c>
      <c r="C2678" s="16" t="s">
        <v>31</v>
      </c>
      <c r="D2678" s="16" t="s">
        <v>31</v>
      </c>
      <c r="E2678" s="15" t="s">
        <v>32</v>
      </c>
      <c r="F2678" s="15" t="s">
        <v>314</v>
      </c>
      <c r="N2678" s="21" t="s">
        <v>96</v>
      </c>
      <c r="O2678" s="21" t="s">
        <v>336</v>
      </c>
      <c r="Q2678" s="21" t="s">
        <v>344</v>
      </c>
      <c r="R2678" s="22">
        <v>45756</v>
      </c>
      <c r="W2678">
        <f>COUNTIF(第一生命保険!U:U,B2678)</f>
        <v>0</v>
      </c>
    </row>
    <row r="2679" spans="1:23" ht="24.95" hidden="1" customHeight="1" x14ac:dyDescent="0.4">
      <c r="A2679" s="17" t="s">
        <v>162</v>
      </c>
      <c r="B2679" s="15" t="s">
        <v>269</v>
      </c>
      <c r="C2679" s="16" t="s">
        <v>31</v>
      </c>
      <c r="D2679" s="16" t="s">
        <v>31</v>
      </c>
      <c r="E2679" s="15" t="s">
        <v>32</v>
      </c>
      <c r="F2679" s="15" t="s">
        <v>314</v>
      </c>
      <c r="N2679" s="21" t="s">
        <v>96</v>
      </c>
      <c r="O2679" s="21" t="s">
        <v>336</v>
      </c>
      <c r="Q2679" s="21" t="s">
        <v>344</v>
      </c>
      <c r="R2679" s="22">
        <v>45756</v>
      </c>
      <c r="W2679">
        <f>COUNTIF(第一生命保険!U:U,B2679)</f>
        <v>0</v>
      </c>
    </row>
    <row r="2680" spans="1:23" ht="24.95" hidden="1" customHeight="1" x14ac:dyDescent="0.4">
      <c r="A2680" s="17" t="s">
        <v>162</v>
      </c>
      <c r="B2680" s="15" t="s">
        <v>270</v>
      </c>
      <c r="C2680" s="16" t="s">
        <v>31</v>
      </c>
      <c r="D2680" s="16" t="s">
        <v>31</v>
      </c>
      <c r="E2680" s="15" t="s">
        <v>32</v>
      </c>
      <c r="F2680" s="15" t="s">
        <v>314</v>
      </c>
      <c r="N2680" s="21" t="s">
        <v>96</v>
      </c>
      <c r="O2680" s="21" t="s">
        <v>336</v>
      </c>
      <c r="Q2680" s="21" t="s">
        <v>344</v>
      </c>
      <c r="R2680" s="22">
        <v>45756</v>
      </c>
      <c r="W2680">
        <f>COUNTIF(第一生命保険!U:U,B2680)</f>
        <v>0</v>
      </c>
    </row>
    <row r="2681" spans="1:23" ht="24.95" hidden="1" customHeight="1" x14ac:dyDescent="0.4">
      <c r="A2681" s="17" t="s">
        <v>162</v>
      </c>
      <c r="B2681" s="15" t="s">
        <v>271</v>
      </c>
      <c r="C2681" s="16" t="s">
        <v>31</v>
      </c>
      <c r="D2681" s="16" t="s">
        <v>31</v>
      </c>
      <c r="E2681" s="15" t="s">
        <v>32</v>
      </c>
      <c r="F2681" s="15" t="s">
        <v>314</v>
      </c>
      <c r="N2681" s="21" t="s">
        <v>96</v>
      </c>
      <c r="O2681" s="21" t="s">
        <v>336</v>
      </c>
      <c r="Q2681" s="21" t="s">
        <v>344</v>
      </c>
      <c r="R2681" s="22">
        <v>45756</v>
      </c>
      <c r="W2681">
        <f>COUNTIF(第一生命保険!U:U,B2681)</f>
        <v>0</v>
      </c>
    </row>
    <row r="2682" spans="1:23" ht="24.95" hidden="1" customHeight="1" x14ac:dyDescent="0.4">
      <c r="A2682" s="17" t="s">
        <v>162</v>
      </c>
      <c r="B2682" s="15" t="s">
        <v>366</v>
      </c>
      <c r="C2682" s="16" t="s">
        <v>31</v>
      </c>
      <c r="D2682" s="16" t="s">
        <v>31</v>
      </c>
      <c r="E2682" s="15" t="s">
        <v>32</v>
      </c>
      <c r="F2682" s="15" t="s">
        <v>365</v>
      </c>
      <c r="N2682" s="21" t="s">
        <v>374</v>
      </c>
      <c r="O2682" s="21" t="s">
        <v>373</v>
      </c>
      <c r="Q2682" s="21" t="s">
        <v>344</v>
      </c>
      <c r="R2682" s="22">
        <v>45883</v>
      </c>
      <c r="W2682">
        <f>COUNTIF(第一生命保険!U:U,B2682)</f>
        <v>0</v>
      </c>
    </row>
    <row r="2683" spans="1:23" ht="24.95" hidden="1" customHeight="1" x14ac:dyDescent="0.4">
      <c r="A2683" s="17" t="s">
        <v>162</v>
      </c>
      <c r="B2683" s="15" t="s">
        <v>367</v>
      </c>
      <c r="C2683" s="16" t="s">
        <v>31</v>
      </c>
      <c r="D2683" s="16" t="s">
        <v>31</v>
      </c>
      <c r="E2683" s="15" t="s">
        <v>32</v>
      </c>
      <c r="F2683" s="15" t="s">
        <v>365</v>
      </c>
      <c r="N2683" s="21" t="s">
        <v>374</v>
      </c>
      <c r="O2683" s="21" t="s">
        <v>373</v>
      </c>
      <c r="Q2683" s="21" t="s">
        <v>344</v>
      </c>
      <c r="R2683" s="22">
        <v>45883</v>
      </c>
      <c r="W2683">
        <f>COUNTIF(第一生命保険!U:U,B2683)</f>
        <v>0</v>
      </c>
    </row>
    <row r="2684" spans="1:23" ht="24.95" hidden="1" customHeight="1" x14ac:dyDescent="0.4">
      <c r="A2684" s="17" t="s">
        <v>162</v>
      </c>
      <c r="B2684" s="15" t="s">
        <v>324</v>
      </c>
      <c r="C2684" s="16" t="s">
        <v>31</v>
      </c>
      <c r="D2684" s="16" t="s">
        <v>31</v>
      </c>
      <c r="E2684" s="15" t="s">
        <v>32</v>
      </c>
      <c r="F2684" s="15" t="s">
        <v>314</v>
      </c>
      <c r="N2684" s="21" t="s">
        <v>96</v>
      </c>
      <c r="O2684" s="21" t="s">
        <v>337</v>
      </c>
      <c r="Q2684" s="21" t="s">
        <v>344</v>
      </c>
      <c r="R2684" s="22">
        <v>45756</v>
      </c>
      <c r="W2684">
        <f>COUNTIF(第一生命保険!U:U,B2684)</f>
        <v>0</v>
      </c>
    </row>
    <row r="2685" spans="1:23" ht="24.95" hidden="1" customHeight="1" x14ac:dyDescent="0.4">
      <c r="A2685" s="17" t="s">
        <v>162</v>
      </c>
      <c r="B2685" s="50" t="s">
        <v>368</v>
      </c>
      <c r="C2685" s="16" t="s">
        <v>31</v>
      </c>
      <c r="D2685" s="16" t="s">
        <v>31</v>
      </c>
      <c r="E2685" s="15" t="s">
        <v>32</v>
      </c>
      <c r="F2685" s="15" t="s">
        <v>365</v>
      </c>
      <c r="N2685" s="21" t="s">
        <v>96</v>
      </c>
      <c r="O2685" s="21" t="s">
        <v>372</v>
      </c>
      <c r="Q2685" s="21" t="s">
        <v>344</v>
      </c>
      <c r="R2685" s="22">
        <v>45883</v>
      </c>
      <c r="W2685">
        <f>COUNTIF(第一生命保険!U:U,B2685)</f>
        <v>0</v>
      </c>
    </row>
    <row r="2686" spans="1:23" ht="24.95" hidden="1" customHeight="1" x14ac:dyDescent="0.4">
      <c r="A2686" s="17" t="s">
        <v>162</v>
      </c>
      <c r="B2686" s="50" t="s">
        <v>369</v>
      </c>
      <c r="C2686" s="16" t="s">
        <v>24</v>
      </c>
      <c r="D2686" s="16" t="s">
        <v>31</v>
      </c>
      <c r="E2686" s="15" t="s">
        <v>35</v>
      </c>
      <c r="F2686" s="15" t="s">
        <v>365</v>
      </c>
      <c r="N2686" s="21" t="s">
        <v>96</v>
      </c>
      <c r="O2686" s="21" t="s">
        <v>372</v>
      </c>
      <c r="Q2686" s="21" t="s">
        <v>344</v>
      </c>
      <c r="R2686" s="22">
        <v>45883</v>
      </c>
      <c r="W2686">
        <f>COUNTIF(第一生命保険!U:U,B2686)</f>
        <v>0</v>
      </c>
    </row>
    <row r="2687" spans="1:23" ht="24.95" hidden="1" customHeight="1" x14ac:dyDescent="0.4">
      <c r="A2687" s="17" t="s">
        <v>162</v>
      </c>
      <c r="B2687" s="15" t="s">
        <v>325</v>
      </c>
      <c r="C2687" s="16" t="s">
        <v>24</v>
      </c>
      <c r="D2687" s="16" t="s">
        <v>31</v>
      </c>
      <c r="E2687" s="15" t="s">
        <v>35</v>
      </c>
      <c r="F2687" s="15" t="s">
        <v>314</v>
      </c>
      <c r="N2687" s="21" t="s">
        <v>96</v>
      </c>
      <c r="O2687" s="21" t="s">
        <v>337</v>
      </c>
      <c r="Q2687" s="21" t="s">
        <v>344</v>
      </c>
      <c r="R2687" s="22">
        <v>45756</v>
      </c>
      <c r="W2687">
        <f>COUNTIF(第一生命保険!U:U,B2687)</f>
        <v>0</v>
      </c>
    </row>
    <row r="2688" spans="1:23" ht="24.95" hidden="1" customHeight="1" x14ac:dyDescent="0.4">
      <c r="A2688" s="17" t="s">
        <v>162</v>
      </c>
      <c r="B2688" s="15" t="s">
        <v>272</v>
      </c>
      <c r="C2688" s="16" t="s">
        <v>31</v>
      </c>
      <c r="D2688" s="16" t="s">
        <v>31</v>
      </c>
      <c r="E2688" s="15" t="s">
        <v>32</v>
      </c>
      <c r="F2688" s="15" t="s">
        <v>314</v>
      </c>
      <c r="N2688" s="21" t="s">
        <v>96</v>
      </c>
      <c r="O2688" s="21" t="s">
        <v>336</v>
      </c>
      <c r="Q2688" s="21" t="s">
        <v>344</v>
      </c>
      <c r="R2688" s="22">
        <v>45756</v>
      </c>
      <c r="W2688">
        <f>COUNTIF(第一生命保険!U:U,B2688)</f>
        <v>0</v>
      </c>
    </row>
    <row r="2689" spans="1:23" ht="24.95" hidden="1" customHeight="1" x14ac:dyDescent="0.4">
      <c r="A2689" s="17" t="s">
        <v>162</v>
      </c>
      <c r="B2689" s="15" t="s">
        <v>273</v>
      </c>
      <c r="C2689" s="16" t="s">
        <v>31</v>
      </c>
      <c r="D2689" s="16" t="s">
        <v>31</v>
      </c>
      <c r="E2689" s="15" t="s">
        <v>32</v>
      </c>
      <c r="F2689" s="15" t="s">
        <v>314</v>
      </c>
      <c r="N2689" s="21" t="s">
        <v>96</v>
      </c>
      <c r="O2689" s="21" t="s">
        <v>336</v>
      </c>
      <c r="Q2689" s="21" t="s">
        <v>344</v>
      </c>
      <c r="R2689" s="22">
        <v>45756</v>
      </c>
      <c r="W2689">
        <f>COUNTIF(第一生命保険!U:U,B2689)</f>
        <v>0</v>
      </c>
    </row>
    <row r="2690" spans="1:23" ht="24.95" hidden="1" customHeight="1" x14ac:dyDescent="0.4">
      <c r="A2690" s="17" t="s">
        <v>162</v>
      </c>
      <c r="B2690" s="15" t="s">
        <v>274</v>
      </c>
      <c r="C2690" s="16" t="s">
        <v>31</v>
      </c>
      <c r="D2690" s="16" t="s">
        <v>31</v>
      </c>
      <c r="E2690" s="15" t="s">
        <v>32</v>
      </c>
      <c r="F2690" s="15" t="s">
        <v>314</v>
      </c>
      <c r="N2690" s="21" t="s">
        <v>96</v>
      </c>
      <c r="O2690" s="21" t="s">
        <v>336</v>
      </c>
      <c r="Q2690" s="21" t="s">
        <v>344</v>
      </c>
      <c r="R2690" s="22">
        <v>45756</v>
      </c>
      <c r="W2690">
        <f>COUNTIF(第一生命保険!U:U,B2690)</f>
        <v>0</v>
      </c>
    </row>
    <row r="2691" spans="1:23" ht="24.95" hidden="1" customHeight="1" x14ac:dyDescent="0.4">
      <c r="A2691" s="17" t="s">
        <v>162</v>
      </c>
      <c r="B2691" s="15" t="s">
        <v>275</v>
      </c>
      <c r="C2691" s="16" t="s">
        <v>31</v>
      </c>
      <c r="D2691" s="16" t="s">
        <v>31</v>
      </c>
      <c r="E2691" s="15" t="s">
        <v>32</v>
      </c>
      <c r="F2691" s="15" t="s">
        <v>314</v>
      </c>
      <c r="N2691" s="21" t="s">
        <v>96</v>
      </c>
      <c r="O2691" s="21" t="s">
        <v>336</v>
      </c>
      <c r="Q2691" s="21" t="s">
        <v>344</v>
      </c>
      <c r="R2691" s="22">
        <v>45756</v>
      </c>
      <c r="W2691">
        <f>COUNTIF(第一生命保険!U:U,B2691)</f>
        <v>0</v>
      </c>
    </row>
    <row r="2692" spans="1:23" ht="24.95" hidden="1" customHeight="1" x14ac:dyDescent="0.4">
      <c r="A2692" s="17" t="s">
        <v>162</v>
      </c>
      <c r="B2692" s="15" t="s">
        <v>326</v>
      </c>
      <c r="C2692" s="16" t="s">
        <v>31</v>
      </c>
      <c r="D2692" s="16" t="s">
        <v>31</v>
      </c>
      <c r="E2692" s="15" t="s">
        <v>32</v>
      </c>
      <c r="F2692" s="15" t="s">
        <v>314</v>
      </c>
      <c r="N2692" s="21" t="s">
        <v>96</v>
      </c>
      <c r="O2692" s="21" t="s">
        <v>337</v>
      </c>
      <c r="Q2692" s="21" t="s">
        <v>344</v>
      </c>
      <c r="R2692" s="22">
        <v>45756</v>
      </c>
      <c r="W2692">
        <f>COUNTIF(第一生命保険!U:U,B2692)</f>
        <v>0</v>
      </c>
    </row>
    <row r="2693" spans="1:23" ht="24.95" hidden="1" customHeight="1" x14ac:dyDescent="0.4">
      <c r="A2693" s="17" t="s">
        <v>162</v>
      </c>
      <c r="B2693" s="15" t="s">
        <v>327</v>
      </c>
      <c r="C2693" s="16" t="s">
        <v>24</v>
      </c>
      <c r="D2693" s="16" t="s">
        <v>31</v>
      </c>
      <c r="E2693" s="15" t="s">
        <v>35</v>
      </c>
      <c r="F2693" s="15" t="s">
        <v>314</v>
      </c>
      <c r="N2693" s="21" t="s">
        <v>96</v>
      </c>
      <c r="O2693" s="21" t="s">
        <v>337</v>
      </c>
      <c r="Q2693" s="21" t="s">
        <v>344</v>
      </c>
      <c r="R2693" s="22">
        <v>45756</v>
      </c>
      <c r="W2693">
        <f>COUNTIF(第一生命保険!U:U,B2693)</f>
        <v>0</v>
      </c>
    </row>
    <row r="2694" spans="1:23" ht="24.95" hidden="1" customHeight="1" x14ac:dyDescent="0.4">
      <c r="A2694" s="17" t="s">
        <v>162</v>
      </c>
      <c r="B2694" s="15" t="s">
        <v>328</v>
      </c>
      <c r="C2694" s="16" t="s">
        <v>24</v>
      </c>
      <c r="D2694" s="16" t="s">
        <v>31</v>
      </c>
      <c r="E2694" s="15" t="s">
        <v>35</v>
      </c>
      <c r="F2694" s="15" t="s">
        <v>314</v>
      </c>
      <c r="N2694" s="21" t="s">
        <v>96</v>
      </c>
      <c r="O2694" s="21" t="s">
        <v>337</v>
      </c>
      <c r="Q2694" s="21" t="s">
        <v>344</v>
      </c>
      <c r="R2694" s="22">
        <v>45756</v>
      </c>
      <c r="W2694">
        <f>COUNTIF(第一生命保険!U:U,B2694)</f>
        <v>0</v>
      </c>
    </row>
    <row r="2695" spans="1:23" ht="24.95" hidden="1" customHeight="1" x14ac:dyDescent="0.4">
      <c r="A2695" s="17" t="s">
        <v>162</v>
      </c>
      <c r="B2695" s="15" t="s">
        <v>329</v>
      </c>
      <c r="C2695" s="16" t="s">
        <v>24</v>
      </c>
      <c r="D2695" s="16" t="s">
        <v>31</v>
      </c>
      <c r="E2695" s="15" t="s">
        <v>35</v>
      </c>
      <c r="F2695" s="15" t="s">
        <v>314</v>
      </c>
      <c r="N2695" s="21" t="s">
        <v>96</v>
      </c>
      <c r="O2695" s="21" t="s">
        <v>337</v>
      </c>
      <c r="Q2695" s="21" t="s">
        <v>344</v>
      </c>
      <c r="R2695" s="22">
        <v>45756</v>
      </c>
      <c r="W2695">
        <f>COUNTIF(第一生命保険!U:U,B2695)</f>
        <v>0</v>
      </c>
    </row>
    <row r="2696" spans="1:23" ht="24.95" hidden="1" customHeight="1" x14ac:dyDescent="0.4">
      <c r="A2696" s="17" t="s">
        <v>162</v>
      </c>
      <c r="B2696" s="15" t="s">
        <v>276</v>
      </c>
      <c r="C2696" s="16" t="s">
        <v>31</v>
      </c>
      <c r="D2696" s="16" t="s">
        <v>31</v>
      </c>
      <c r="E2696" s="15" t="s">
        <v>32</v>
      </c>
      <c r="F2696" s="15" t="s">
        <v>314</v>
      </c>
      <c r="N2696" s="21" t="s">
        <v>96</v>
      </c>
      <c r="O2696" s="21" t="s">
        <v>336</v>
      </c>
      <c r="Q2696" s="21" t="s">
        <v>344</v>
      </c>
      <c r="R2696" s="22">
        <v>45756</v>
      </c>
      <c r="W2696">
        <f>COUNTIF(第一生命保険!U:U,B2696)</f>
        <v>0</v>
      </c>
    </row>
    <row r="2697" spans="1:23" ht="24.95" hidden="1" customHeight="1" x14ac:dyDescent="0.4">
      <c r="A2697" s="17" t="s">
        <v>162</v>
      </c>
      <c r="B2697" s="15" t="s">
        <v>277</v>
      </c>
      <c r="C2697" s="16" t="s">
        <v>31</v>
      </c>
      <c r="D2697" s="16" t="s">
        <v>31</v>
      </c>
      <c r="E2697" s="15" t="s">
        <v>32</v>
      </c>
      <c r="F2697" s="15" t="s">
        <v>314</v>
      </c>
      <c r="N2697" s="21" t="s">
        <v>96</v>
      </c>
      <c r="O2697" s="21" t="s">
        <v>336</v>
      </c>
      <c r="Q2697" s="21" t="s">
        <v>344</v>
      </c>
      <c r="R2697" s="22">
        <v>45756</v>
      </c>
      <c r="W2697">
        <f>COUNTIF(第一生命保険!U:U,B2697)</f>
        <v>0</v>
      </c>
    </row>
    <row r="2698" spans="1:23" ht="24.95" hidden="1" customHeight="1" x14ac:dyDescent="0.4">
      <c r="A2698" s="17" t="s">
        <v>162</v>
      </c>
      <c r="B2698" s="15" t="s">
        <v>278</v>
      </c>
      <c r="C2698" s="16" t="s">
        <v>31</v>
      </c>
      <c r="D2698" s="16" t="s">
        <v>31</v>
      </c>
      <c r="E2698" s="15" t="s">
        <v>32</v>
      </c>
      <c r="F2698" s="15" t="s">
        <v>314</v>
      </c>
      <c r="N2698" s="21" t="s">
        <v>96</v>
      </c>
      <c r="O2698" s="21" t="s">
        <v>336</v>
      </c>
      <c r="Q2698" s="21" t="s">
        <v>344</v>
      </c>
      <c r="R2698" s="22">
        <v>45756</v>
      </c>
      <c r="W2698">
        <f>COUNTIF(第一生命保険!U:U,B2698)</f>
        <v>0</v>
      </c>
    </row>
    <row r="2699" spans="1:23" ht="24.95" hidden="1" customHeight="1" x14ac:dyDescent="0.4">
      <c r="A2699" s="17" t="s">
        <v>162</v>
      </c>
      <c r="B2699" s="15" t="s">
        <v>279</v>
      </c>
      <c r="C2699" s="16" t="s">
        <v>31</v>
      </c>
      <c r="D2699" s="16" t="s">
        <v>31</v>
      </c>
      <c r="E2699" s="15" t="s">
        <v>32</v>
      </c>
      <c r="F2699" s="15" t="s">
        <v>314</v>
      </c>
      <c r="N2699" s="21" t="s">
        <v>96</v>
      </c>
      <c r="O2699" s="21" t="s">
        <v>336</v>
      </c>
      <c r="Q2699" s="21" t="s">
        <v>344</v>
      </c>
      <c r="R2699" s="22">
        <v>45756</v>
      </c>
      <c r="W2699">
        <f>COUNTIF(第一生命保険!U:U,B2699)</f>
        <v>0</v>
      </c>
    </row>
    <row r="2700" spans="1:23" ht="24.95" hidden="1" customHeight="1" x14ac:dyDescent="0.4">
      <c r="A2700" s="17" t="s">
        <v>162</v>
      </c>
      <c r="B2700" s="15" t="s">
        <v>280</v>
      </c>
      <c r="C2700" s="16" t="s">
        <v>31</v>
      </c>
      <c r="D2700" s="16" t="s">
        <v>31</v>
      </c>
      <c r="E2700" s="15" t="s">
        <v>32</v>
      </c>
      <c r="F2700" s="15" t="s">
        <v>314</v>
      </c>
      <c r="N2700" s="21" t="s">
        <v>96</v>
      </c>
      <c r="O2700" s="21" t="s">
        <v>336</v>
      </c>
      <c r="Q2700" s="21" t="s">
        <v>344</v>
      </c>
      <c r="R2700" s="22">
        <v>45756</v>
      </c>
      <c r="W2700">
        <f>COUNTIF(第一生命保険!U:U,B2700)</f>
        <v>0</v>
      </c>
    </row>
    <row r="2701" spans="1:23" ht="24.95" hidden="1" customHeight="1" x14ac:dyDescent="0.4">
      <c r="A2701" s="17" t="s">
        <v>162</v>
      </c>
      <c r="B2701" s="15" t="s">
        <v>281</v>
      </c>
      <c r="C2701" s="16" t="s">
        <v>31</v>
      </c>
      <c r="D2701" s="16" t="s">
        <v>31</v>
      </c>
      <c r="E2701" s="15" t="s">
        <v>32</v>
      </c>
      <c r="F2701" s="15" t="s">
        <v>314</v>
      </c>
      <c r="N2701" s="21" t="s">
        <v>96</v>
      </c>
      <c r="O2701" s="21" t="s">
        <v>336</v>
      </c>
      <c r="Q2701" s="21" t="s">
        <v>344</v>
      </c>
      <c r="R2701" s="22">
        <v>45756</v>
      </c>
      <c r="W2701">
        <f>COUNTIF(第一生命保険!U:U,B2701)</f>
        <v>0</v>
      </c>
    </row>
    <row r="2702" spans="1:23" ht="24.95" hidden="1" customHeight="1" x14ac:dyDescent="0.4">
      <c r="A2702" s="17" t="s">
        <v>162</v>
      </c>
      <c r="B2702" s="15" t="s">
        <v>282</v>
      </c>
      <c r="C2702" s="16" t="s">
        <v>31</v>
      </c>
      <c r="D2702" s="16" t="s">
        <v>31</v>
      </c>
      <c r="E2702" s="15" t="s">
        <v>32</v>
      </c>
      <c r="F2702" s="15" t="s">
        <v>314</v>
      </c>
      <c r="N2702" s="21" t="s">
        <v>96</v>
      </c>
      <c r="O2702" s="21" t="s">
        <v>336</v>
      </c>
      <c r="Q2702" s="21" t="s">
        <v>344</v>
      </c>
      <c r="R2702" s="22">
        <v>45756</v>
      </c>
      <c r="W2702">
        <f>COUNTIF(第一生命保険!U:U,B2702)</f>
        <v>0</v>
      </c>
    </row>
    <row r="2703" spans="1:23" ht="24.95" hidden="1" customHeight="1" x14ac:dyDescent="0.4">
      <c r="A2703" s="17" t="s">
        <v>162</v>
      </c>
      <c r="B2703" s="15" t="s">
        <v>283</v>
      </c>
      <c r="C2703" s="16" t="s">
        <v>31</v>
      </c>
      <c r="D2703" s="16" t="s">
        <v>31</v>
      </c>
      <c r="E2703" s="15" t="s">
        <v>32</v>
      </c>
      <c r="F2703" s="15" t="s">
        <v>314</v>
      </c>
      <c r="N2703" s="21" t="s">
        <v>96</v>
      </c>
      <c r="O2703" s="21" t="s">
        <v>336</v>
      </c>
      <c r="Q2703" s="21" t="s">
        <v>344</v>
      </c>
      <c r="R2703" s="22">
        <v>45756</v>
      </c>
      <c r="W2703">
        <f>COUNTIF(第一生命保険!U:U,B2703)</f>
        <v>0</v>
      </c>
    </row>
    <row r="2704" spans="1:23" ht="24.95" hidden="1" customHeight="1" x14ac:dyDescent="0.4">
      <c r="A2704" s="17" t="s">
        <v>162</v>
      </c>
      <c r="B2704" s="15" t="s">
        <v>284</v>
      </c>
      <c r="C2704" s="16" t="s">
        <v>31</v>
      </c>
      <c r="D2704" s="16" t="s">
        <v>31</v>
      </c>
      <c r="E2704" s="15" t="s">
        <v>32</v>
      </c>
      <c r="F2704" s="15" t="s">
        <v>314</v>
      </c>
      <c r="N2704" s="21" t="s">
        <v>96</v>
      </c>
      <c r="O2704" s="21" t="s">
        <v>336</v>
      </c>
      <c r="Q2704" s="21" t="s">
        <v>344</v>
      </c>
      <c r="R2704" s="22">
        <v>45756</v>
      </c>
      <c r="W2704">
        <f>COUNTIF(第一生命保険!U:U,B2704)</f>
        <v>0</v>
      </c>
    </row>
    <row r="2705" spans="1:23" ht="24.95" hidden="1" customHeight="1" x14ac:dyDescent="0.4">
      <c r="A2705" s="17" t="s">
        <v>162</v>
      </c>
      <c r="B2705" s="15" t="s">
        <v>285</v>
      </c>
      <c r="C2705" s="16" t="s">
        <v>31</v>
      </c>
      <c r="D2705" s="16" t="s">
        <v>31</v>
      </c>
      <c r="E2705" s="15" t="s">
        <v>32</v>
      </c>
      <c r="F2705" s="15" t="s">
        <v>314</v>
      </c>
      <c r="N2705" s="21" t="s">
        <v>96</v>
      </c>
      <c r="O2705" s="21" t="s">
        <v>336</v>
      </c>
      <c r="Q2705" s="21" t="s">
        <v>344</v>
      </c>
      <c r="R2705" s="22">
        <v>45756</v>
      </c>
      <c r="W2705">
        <f>COUNTIF(第一生命保険!U:U,B2705)</f>
        <v>0</v>
      </c>
    </row>
    <row r="2706" spans="1:23" ht="24.95" hidden="1" customHeight="1" x14ac:dyDescent="0.4">
      <c r="A2706" s="17" t="s">
        <v>162</v>
      </c>
      <c r="B2706" s="15" t="s">
        <v>286</v>
      </c>
      <c r="C2706" s="16" t="s">
        <v>31</v>
      </c>
      <c r="D2706" s="16" t="s">
        <v>31</v>
      </c>
      <c r="E2706" s="15" t="s">
        <v>32</v>
      </c>
      <c r="F2706" s="15" t="s">
        <v>314</v>
      </c>
      <c r="N2706" s="21" t="s">
        <v>96</v>
      </c>
      <c r="O2706" s="21" t="s">
        <v>336</v>
      </c>
      <c r="Q2706" s="21" t="s">
        <v>344</v>
      </c>
      <c r="R2706" s="22">
        <v>45756</v>
      </c>
      <c r="W2706">
        <f>COUNTIF(第一生命保険!U:U,B2706)</f>
        <v>0</v>
      </c>
    </row>
    <row r="2707" spans="1:23" ht="24.95" hidden="1" customHeight="1" x14ac:dyDescent="0.4">
      <c r="A2707" s="17" t="s">
        <v>162</v>
      </c>
      <c r="B2707" s="15" t="s">
        <v>287</v>
      </c>
      <c r="C2707" s="16" t="s">
        <v>31</v>
      </c>
      <c r="D2707" s="16" t="s">
        <v>31</v>
      </c>
      <c r="E2707" s="15" t="s">
        <v>32</v>
      </c>
      <c r="F2707" s="15" t="s">
        <v>314</v>
      </c>
      <c r="N2707" s="21" t="s">
        <v>96</v>
      </c>
      <c r="O2707" s="21" t="s">
        <v>336</v>
      </c>
      <c r="Q2707" s="21" t="s">
        <v>344</v>
      </c>
      <c r="R2707" s="22">
        <v>45756</v>
      </c>
      <c r="W2707">
        <f>COUNTIF(第一生命保険!U:U,B2707)</f>
        <v>0</v>
      </c>
    </row>
    <row r="2708" spans="1:23" ht="24.95" hidden="1" customHeight="1" x14ac:dyDescent="0.4">
      <c r="A2708" s="17" t="s">
        <v>162</v>
      </c>
      <c r="B2708" s="15" t="s">
        <v>342</v>
      </c>
      <c r="C2708" s="16" t="s">
        <v>31</v>
      </c>
      <c r="D2708" s="16" t="s">
        <v>31</v>
      </c>
      <c r="E2708" s="15" t="s">
        <v>32</v>
      </c>
      <c r="F2708" s="15" t="s">
        <v>340</v>
      </c>
      <c r="N2708" s="21" t="s">
        <v>96</v>
      </c>
      <c r="O2708" s="21" t="s">
        <v>345</v>
      </c>
      <c r="Q2708" s="21" t="s">
        <v>344</v>
      </c>
      <c r="R2708" s="22">
        <v>45784</v>
      </c>
      <c r="W2708">
        <f>COUNTIF(第一生命保険!U:U,B2708)</f>
        <v>0</v>
      </c>
    </row>
    <row r="2709" spans="1:23" ht="24.95" hidden="1" customHeight="1" x14ac:dyDescent="0.4">
      <c r="A2709" s="17" t="s">
        <v>162</v>
      </c>
      <c r="B2709" s="15" t="s">
        <v>288</v>
      </c>
      <c r="C2709" s="16" t="s">
        <v>31</v>
      </c>
      <c r="D2709" s="16" t="s">
        <v>31</v>
      </c>
      <c r="E2709" s="15" t="s">
        <v>32</v>
      </c>
      <c r="F2709" s="15" t="s">
        <v>314</v>
      </c>
      <c r="N2709" s="21" t="s">
        <v>96</v>
      </c>
      <c r="O2709" s="21" t="s">
        <v>336</v>
      </c>
      <c r="Q2709" s="21" t="s">
        <v>344</v>
      </c>
      <c r="R2709" s="22">
        <v>45756</v>
      </c>
      <c r="W2709">
        <f>COUNTIF(第一生命保険!U:U,B2709)</f>
        <v>0</v>
      </c>
    </row>
    <row r="2710" spans="1:23" ht="24.95" hidden="1" customHeight="1" x14ac:dyDescent="0.4">
      <c r="A2710" s="17" t="s">
        <v>162</v>
      </c>
      <c r="B2710" s="15" t="s">
        <v>289</v>
      </c>
      <c r="C2710" s="16" t="s">
        <v>31</v>
      </c>
      <c r="D2710" s="16" t="s">
        <v>31</v>
      </c>
      <c r="E2710" s="15" t="s">
        <v>32</v>
      </c>
      <c r="F2710" s="15" t="s">
        <v>314</v>
      </c>
      <c r="N2710" s="21" t="s">
        <v>96</v>
      </c>
      <c r="O2710" s="21" t="s">
        <v>336</v>
      </c>
      <c r="Q2710" s="21" t="s">
        <v>344</v>
      </c>
      <c r="R2710" s="22">
        <v>45756</v>
      </c>
      <c r="W2710">
        <f>COUNTIF(第一生命保険!U:U,B2710)</f>
        <v>0</v>
      </c>
    </row>
    <row r="2711" spans="1:23" ht="24.95" hidden="1" customHeight="1" x14ac:dyDescent="0.4">
      <c r="A2711" s="17" t="s">
        <v>162</v>
      </c>
      <c r="B2711" s="15" t="s">
        <v>290</v>
      </c>
      <c r="C2711" s="16" t="s">
        <v>31</v>
      </c>
      <c r="D2711" s="16" t="s">
        <v>31</v>
      </c>
      <c r="E2711" s="15" t="s">
        <v>32</v>
      </c>
      <c r="F2711" s="15" t="s">
        <v>314</v>
      </c>
      <c r="N2711" s="21" t="s">
        <v>96</v>
      </c>
      <c r="O2711" s="21" t="s">
        <v>336</v>
      </c>
      <c r="Q2711" s="21" t="s">
        <v>344</v>
      </c>
      <c r="R2711" s="22">
        <v>45756</v>
      </c>
      <c r="W2711">
        <f>COUNTIF(第一生命保険!U:U,B2711)</f>
        <v>0</v>
      </c>
    </row>
    <row r="2712" spans="1:23" ht="24.95" hidden="1" customHeight="1" x14ac:dyDescent="0.4">
      <c r="A2712" s="17" t="s">
        <v>162</v>
      </c>
      <c r="B2712" s="15" t="s">
        <v>291</v>
      </c>
      <c r="C2712" s="16" t="s">
        <v>31</v>
      </c>
      <c r="D2712" s="16" t="s">
        <v>31</v>
      </c>
      <c r="E2712" s="15" t="s">
        <v>32</v>
      </c>
      <c r="F2712" s="15" t="s">
        <v>314</v>
      </c>
      <c r="N2712" s="21" t="s">
        <v>96</v>
      </c>
      <c r="O2712" s="21" t="s">
        <v>336</v>
      </c>
      <c r="Q2712" s="21" t="s">
        <v>344</v>
      </c>
      <c r="R2712" s="22">
        <v>45756</v>
      </c>
      <c r="W2712">
        <f>COUNTIF(第一生命保険!U:U,B2712)</f>
        <v>0</v>
      </c>
    </row>
    <row r="2713" spans="1:23" ht="24.95" hidden="1" customHeight="1" x14ac:dyDescent="0.4">
      <c r="A2713" s="17" t="s">
        <v>162</v>
      </c>
      <c r="B2713" s="15" t="s">
        <v>292</v>
      </c>
      <c r="C2713" s="16" t="s">
        <v>31</v>
      </c>
      <c r="D2713" s="16" t="s">
        <v>31</v>
      </c>
      <c r="E2713" s="15" t="s">
        <v>32</v>
      </c>
      <c r="F2713" s="15" t="s">
        <v>314</v>
      </c>
      <c r="N2713" s="21" t="s">
        <v>96</v>
      </c>
      <c r="O2713" s="21" t="s">
        <v>336</v>
      </c>
      <c r="Q2713" s="21" t="s">
        <v>344</v>
      </c>
      <c r="R2713" s="22">
        <v>45756</v>
      </c>
      <c r="W2713">
        <f>COUNTIF(第一生命保険!U:U,B2713)</f>
        <v>0</v>
      </c>
    </row>
    <row r="2714" spans="1:23" ht="24.95" hidden="1" customHeight="1" x14ac:dyDescent="0.4">
      <c r="A2714" s="17" t="s">
        <v>162</v>
      </c>
      <c r="B2714" s="15" t="s">
        <v>293</v>
      </c>
      <c r="C2714" s="16" t="s">
        <v>31</v>
      </c>
      <c r="D2714" s="16" t="s">
        <v>31</v>
      </c>
      <c r="E2714" s="15" t="s">
        <v>32</v>
      </c>
      <c r="F2714" s="15" t="s">
        <v>314</v>
      </c>
      <c r="N2714" s="21" t="s">
        <v>96</v>
      </c>
      <c r="O2714" s="21" t="s">
        <v>336</v>
      </c>
      <c r="Q2714" s="21" t="s">
        <v>344</v>
      </c>
      <c r="R2714" s="22">
        <v>45756</v>
      </c>
      <c r="W2714">
        <f>COUNTIF(第一生命保険!U:U,B2714)</f>
        <v>0</v>
      </c>
    </row>
    <row r="2715" spans="1:23" ht="24.95" hidden="1" customHeight="1" x14ac:dyDescent="0.4">
      <c r="A2715" s="17" t="s">
        <v>162</v>
      </c>
      <c r="B2715" s="15" t="s">
        <v>294</v>
      </c>
      <c r="C2715" s="16" t="s">
        <v>31</v>
      </c>
      <c r="D2715" s="16" t="s">
        <v>31</v>
      </c>
      <c r="E2715" s="15" t="s">
        <v>32</v>
      </c>
      <c r="F2715" s="15" t="s">
        <v>314</v>
      </c>
      <c r="N2715" s="21" t="s">
        <v>96</v>
      </c>
      <c r="O2715" s="21" t="s">
        <v>336</v>
      </c>
      <c r="Q2715" s="21" t="s">
        <v>344</v>
      </c>
      <c r="R2715" s="22">
        <v>45756</v>
      </c>
      <c r="W2715">
        <f>COUNTIF(第一生命保険!U:U,B2715)</f>
        <v>0</v>
      </c>
    </row>
    <row r="2716" spans="1:23" ht="24.95" hidden="1" customHeight="1" x14ac:dyDescent="0.4">
      <c r="A2716" s="17" t="s">
        <v>162</v>
      </c>
      <c r="B2716" s="15" t="s">
        <v>295</v>
      </c>
      <c r="C2716" s="16" t="s">
        <v>31</v>
      </c>
      <c r="D2716" s="16" t="s">
        <v>31</v>
      </c>
      <c r="E2716" s="15" t="s">
        <v>32</v>
      </c>
      <c r="F2716" s="15" t="s">
        <v>314</v>
      </c>
      <c r="N2716" s="21" t="s">
        <v>96</v>
      </c>
      <c r="O2716" s="21" t="s">
        <v>336</v>
      </c>
      <c r="Q2716" s="21" t="s">
        <v>344</v>
      </c>
      <c r="R2716" s="22">
        <v>45756</v>
      </c>
      <c r="W2716">
        <f>COUNTIF(第一生命保険!U:U,B2716)</f>
        <v>0</v>
      </c>
    </row>
    <row r="2717" spans="1:23" ht="24.95" hidden="1" customHeight="1" x14ac:dyDescent="0.4">
      <c r="A2717" s="17" t="s">
        <v>162</v>
      </c>
      <c r="B2717" s="15" t="s">
        <v>296</v>
      </c>
      <c r="C2717" s="16" t="s">
        <v>31</v>
      </c>
      <c r="D2717" s="16" t="s">
        <v>31</v>
      </c>
      <c r="E2717" s="15" t="s">
        <v>32</v>
      </c>
      <c r="F2717" s="15" t="s">
        <v>314</v>
      </c>
      <c r="N2717" s="21" t="s">
        <v>96</v>
      </c>
      <c r="O2717" s="21" t="s">
        <v>336</v>
      </c>
      <c r="Q2717" s="21" t="s">
        <v>344</v>
      </c>
      <c r="R2717" s="22">
        <v>45756</v>
      </c>
      <c r="W2717">
        <f>COUNTIF(第一生命保険!U:U,B2717)</f>
        <v>0</v>
      </c>
    </row>
    <row r="2718" spans="1:23" ht="24.95" hidden="1" customHeight="1" x14ac:dyDescent="0.4">
      <c r="A2718" s="17" t="s">
        <v>162</v>
      </c>
      <c r="B2718" s="15" t="s">
        <v>297</v>
      </c>
      <c r="C2718" s="16" t="s">
        <v>31</v>
      </c>
      <c r="D2718" s="16" t="s">
        <v>31</v>
      </c>
      <c r="E2718" s="15" t="s">
        <v>32</v>
      </c>
      <c r="F2718" s="15" t="s">
        <v>314</v>
      </c>
      <c r="N2718" s="21" t="s">
        <v>96</v>
      </c>
      <c r="O2718" s="21" t="s">
        <v>336</v>
      </c>
      <c r="Q2718" s="21" t="s">
        <v>344</v>
      </c>
      <c r="R2718" s="22">
        <v>45756</v>
      </c>
      <c r="W2718">
        <f>COUNTIF(第一生命保険!U:U,B2718)</f>
        <v>0</v>
      </c>
    </row>
    <row r="2719" spans="1:23" ht="24.95" hidden="1" customHeight="1" x14ac:dyDescent="0.4">
      <c r="A2719" s="17" t="s">
        <v>162</v>
      </c>
      <c r="B2719" s="15" t="s">
        <v>298</v>
      </c>
      <c r="C2719" s="16" t="s">
        <v>31</v>
      </c>
      <c r="D2719" s="16" t="s">
        <v>31</v>
      </c>
      <c r="E2719" s="15" t="s">
        <v>32</v>
      </c>
      <c r="F2719" s="15" t="s">
        <v>314</v>
      </c>
      <c r="N2719" s="21" t="s">
        <v>96</v>
      </c>
      <c r="O2719" s="21" t="s">
        <v>336</v>
      </c>
      <c r="Q2719" s="21" t="s">
        <v>344</v>
      </c>
      <c r="R2719" s="22">
        <v>45756</v>
      </c>
      <c r="W2719">
        <f>COUNTIF(第一生命保険!U:U,B2719)</f>
        <v>0</v>
      </c>
    </row>
    <row r="2720" spans="1:23" ht="24.95" hidden="1" customHeight="1" x14ac:dyDescent="0.4">
      <c r="A2720" s="17" t="s">
        <v>162</v>
      </c>
      <c r="B2720" s="15" t="s">
        <v>299</v>
      </c>
      <c r="C2720" s="16" t="s">
        <v>31</v>
      </c>
      <c r="D2720" s="16" t="s">
        <v>31</v>
      </c>
      <c r="E2720" s="15" t="s">
        <v>32</v>
      </c>
      <c r="F2720" s="15" t="s">
        <v>314</v>
      </c>
      <c r="N2720" s="21" t="s">
        <v>96</v>
      </c>
      <c r="O2720" s="21" t="s">
        <v>336</v>
      </c>
      <c r="Q2720" s="21" t="s">
        <v>344</v>
      </c>
      <c r="R2720" s="22">
        <v>45756</v>
      </c>
      <c r="W2720">
        <f>COUNTIF(第一生命保険!U:U,B2720)</f>
        <v>0</v>
      </c>
    </row>
    <row r="2721" spans="1:23" ht="24.95" hidden="1" customHeight="1" x14ac:dyDescent="0.4">
      <c r="A2721" s="17" t="s">
        <v>162</v>
      </c>
      <c r="B2721" s="15" t="s">
        <v>300</v>
      </c>
      <c r="C2721" s="16" t="s">
        <v>31</v>
      </c>
      <c r="D2721" s="16" t="s">
        <v>31</v>
      </c>
      <c r="E2721" s="15" t="s">
        <v>32</v>
      </c>
      <c r="F2721" s="15" t="s">
        <v>314</v>
      </c>
      <c r="N2721" s="21" t="s">
        <v>96</v>
      </c>
      <c r="O2721" s="21" t="s">
        <v>336</v>
      </c>
      <c r="Q2721" s="21" t="s">
        <v>344</v>
      </c>
      <c r="R2721" s="22">
        <v>45756</v>
      </c>
      <c r="W2721">
        <f>COUNTIF(第一生命保険!U:U,B2721)</f>
        <v>0</v>
      </c>
    </row>
    <row r="2722" spans="1:23" ht="24.95" hidden="1" customHeight="1" x14ac:dyDescent="0.4">
      <c r="A2722" s="17" t="s">
        <v>162</v>
      </c>
      <c r="B2722" s="15" t="s">
        <v>301</v>
      </c>
      <c r="C2722" s="16" t="s">
        <v>31</v>
      </c>
      <c r="D2722" s="16" t="s">
        <v>31</v>
      </c>
      <c r="E2722" s="15" t="s">
        <v>32</v>
      </c>
      <c r="F2722" s="15" t="s">
        <v>314</v>
      </c>
      <c r="N2722" s="21" t="s">
        <v>96</v>
      </c>
      <c r="O2722" s="21" t="s">
        <v>336</v>
      </c>
      <c r="Q2722" s="21" t="s">
        <v>344</v>
      </c>
      <c r="R2722" s="22">
        <v>45756</v>
      </c>
      <c r="W2722">
        <f>COUNTIF(第一生命保険!U:U,B2722)</f>
        <v>0</v>
      </c>
    </row>
    <row r="2723" spans="1:23" ht="24.95" hidden="1" customHeight="1" x14ac:dyDescent="0.4">
      <c r="A2723" s="17" t="s">
        <v>162</v>
      </c>
      <c r="B2723" s="15" t="s">
        <v>302</v>
      </c>
      <c r="C2723" s="16" t="s">
        <v>31</v>
      </c>
      <c r="D2723" s="16" t="s">
        <v>31</v>
      </c>
      <c r="E2723" s="15" t="s">
        <v>32</v>
      </c>
      <c r="F2723" s="15" t="s">
        <v>314</v>
      </c>
      <c r="N2723" s="21" t="s">
        <v>96</v>
      </c>
      <c r="O2723" s="21" t="s">
        <v>336</v>
      </c>
      <c r="Q2723" s="21" t="s">
        <v>344</v>
      </c>
      <c r="R2723" s="22">
        <v>45756</v>
      </c>
      <c r="W2723">
        <f>COUNTIF(第一生命保険!U:U,B2723)</f>
        <v>0</v>
      </c>
    </row>
    <row r="2724" spans="1:23" ht="24.95" hidden="1" customHeight="1" x14ac:dyDescent="0.4">
      <c r="A2724" s="17" t="s">
        <v>162</v>
      </c>
      <c r="B2724" s="15" t="s">
        <v>303</v>
      </c>
      <c r="C2724" s="16" t="s">
        <v>31</v>
      </c>
      <c r="D2724" s="16" t="s">
        <v>31</v>
      </c>
      <c r="E2724" s="15" t="s">
        <v>32</v>
      </c>
      <c r="F2724" s="15" t="s">
        <v>314</v>
      </c>
      <c r="N2724" s="21" t="s">
        <v>96</v>
      </c>
      <c r="O2724" s="21" t="s">
        <v>336</v>
      </c>
      <c r="Q2724" s="21" t="s">
        <v>344</v>
      </c>
      <c r="R2724" s="22">
        <v>45756</v>
      </c>
      <c r="W2724">
        <f>COUNTIF(第一生命保険!U:U,B2724)</f>
        <v>0</v>
      </c>
    </row>
    <row r="2725" spans="1:23" ht="24.95" hidden="1" customHeight="1" x14ac:dyDescent="0.4">
      <c r="A2725" s="17" t="s">
        <v>162</v>
      </c>
      <c r="B2725" s="15" t="s">
        <v>304</v>
      </c>
      <c r="C2725" s="16" t="s">
        <v>31</v>
      </c>
      <c r="D2725" s="16" t="s">
        <v>31</v>
      </c>
      <c r="E2725" s="15" t="s">
        <v>32</v>
      </c>
      <c r="F2725" s="15" t="s">
        <v>314</v>
      </c>
      <c r="N2725" s="21" t="s">
        <v>96</v>
      </c>
      <c r="O2725" s="21" t="s">
        <v>336</v>
      </c>
      <c r="Q2725" s="21" t="s">
        <v>344</v>
      </c>
      <c r="R2725" s="22">
        <v>45756</v>
      </c>
      <c r="W2725">
        <f>COUNTIF(第一生命保険!U:U,B2725)</f>
        <v>0</v>
      </c>
    </row>
    <row r="2726" spans="1:23" ht="24.95" hidden="1" customHeight="1" x14ac:dyDescent="0.4">
      <c r="A2726" s="17" t="s">
        <v>162</v>
      </c>
      <c r="B2726" s="15" t="s">
        <v>305</v>
      </c>
      <c r="C2726" s="16" t="s">
        <v>31</v>
      </c>
      <c r="D2726" s="16" t="s">
        <v>31</v>
      </c>
      <c r="E2726" s="15" t="s">
        <v>32</v>
      </c>
      <c r="F2726" s="15" t="s">
        <v>314</v>
      </c>
      <c r="N2726" s="21" t="s">
        <v>96</v>
      </c>
      <c r="O2726" s="21" t="s">
        <v>336</v>
      </c>
      <c r="Q2726" s="21" t="s">
        <v>344</v>
      </c>
      <c r="R2726" s="22">
        <v>45756</v>
      </c>
      <c r="W2726">
        <f>COUNTIF(第一生命保険!U:U,B2726)</f>
        <v>0</v>
      </c>
    </row>
    <row r="2727" spans="1:23" ht="24.95" hidden="1" customHeight="1" x14ac:dyDescent="0.4">
      <c r="A2727" s="17" t="s">
        <v>162</v>
      </c>
      <c r="B2727" s="15" t="s">
        <v>370</v>
      </c>
      <c r="C2727" s="16" t="s">
        <v>31</v>
      </c>
      <c r="D2727" s="16" t="s">
        <v>31</v>
      </c>
      <c r="E2727" s="15" t="s">
        <v>32</v>
      </c>
      <c r="F2727" s="15" t="s">
        <v>365</v>
      </c>
      <c r="N2727" s="21" t="s">
        <v>374</v>
      </c>
      <c r="O2727" s="21" t="s">
        <v>373</v>
      </c>
      <c r="Q2727" s="21" t="s">
        <v>344</v>
      </c>
      <c r="R2727" s="22">
        <v>45883</v>
      </c>
      <c r="W2727">
        <f>COUNTIF(第一生命保険!U:U,B2727)</f>
        <v>0</v>
      </c>
    </row>
    <row r="2728" spans="1:23" ht="24.95" hidden="1" customHeight="1" x14ac:dyDescent="0.4">
      <c r="A2728" s="17" t="s">
        <v>162</v>
      </c>
      <c r="B2728" s="15" t="s">
        <v>371</v>
      </c>
      <c r="C2728" s="16" t="s">
        <v>31</v>
      </c>
      <c r="D2728" s="16" t="s">
        <v>31</v>
      </c>
      <c r="E2728" s="15" t="s">
        <v>32</v>
      </c>
      <c r="F2728" s="15" t="s">
        <v>365</v>
      </c>
      <c r="N2728" s="21" t="s">
        <v>374</v>
      </c>
      <c r="O2728" s="21" t="s">
        <v>373</v>
      </c>
      <c r="Q2728" s="21" t="s">
        <v>344</v>
      </c>
      <c r="R2728" s="22">
        <v>45883</v>
      </c>
      <c r="W2728">
        <f>COUNTIF(第一生命保険!U:U,B2728)</f>
        <v>0</v>
      </c>
    </row>
    <row r="2729" spans="1:23" ht="24.95" hidden="1" customHeight="1" x14ac:dyDescent="0.4">
      <c r="A2729" s="17" t="s">
        <v>162</v>
      </c>
      <c r="B2729" s="15" t="s">
        <v>306</v>
      </c>
      <c r="C2729" s="16" t="s">
        <v>24</v>
      </c>
      <c r="D2729" s="16" t="s">
        <v>31</v>
      </c>
      <c r="E2729" s="15" t="s">
        <v>35</v>
      </c>
      <c r="F2729" s="15" t="s">
        <v>314</v>
      </c>
      <c r="N2729" s="21" t="s">
        <v>96</v>
      </c>
      <c r="O2729" s="21" t="s">
        <v>336</v>
      </c>
      <c r="Q2729" s="21" t="s">
        <v>344</v>
      </c>
      <c r="R2729" s="22">
        <v>45756</v>
      </c>
      <c r="W2729">
        <f>COUNTIF(第一生命保険!U:U,B2729)</f>
        <v>0</v>
      </c>
    </row>
    <row r="2730" spans="1:23" ht="24.95" hidden="1" customHeight="1" x14ac:dyDescent="0.4">
      <c r="A2730" s="17" t="s">
        <v>162</v>
      </c>
      <c r="B2730" s="15" t="s">
        <v>307</v>
      </c>
      <c r="C2730" s="16" t="s">
        <v>31</v>
      </c>
      <c r="D2730" s="16" t="s">
        <v>31</v>
      </c>
      <c r="E2730" s="15" t="s">
        <v>32</v>
      </c>
      <c r="F2730" s="15" t="s">
        <v>314</v>
      </c>
      <c r="N2730" s="21" t="s">
        <v>96</v>
      </c>
      <c r="O2730" s="21" t="s">
        <v>336</v>
      </c>
      <c r="Q2730" s="21" t="s">
        <v>344</v>
      </c>
      <c r="R2730" s="22">
        <v>45756</v>
      </c>
      <c r="W2730">
        <f>COUNTIF(第一生命保険!U:U,B2730)</f>
        <v>0</v>
      </c>
    </row>
    <row r="2731" spans="1:23" ht="24.95" hidden="1" customHeight="1" x14ac:dyDescent="0.4">
      <c r="A2731" s="17" t="s">
        <v>162</v>
      </c>
      <c r="B2731" s="15" t="s">
        <v>38</v>
      </c>
      <c r="C2731" s="16" t="s">
        <v>31</v>
      </c>
      <c r="D2731" s="16" t="s">
        <v>31</v>
      </c>
      <c r="E2731" s="15" t="s">
        <v>32</v>
      </c>
      <c r="F2731" s="15" t="s">
        <v>184</v>
      </c>
      <c r="N2731" s="21" t="s">
        <v>96</v>
      </c>
      <c r="O2731" s="13" t="s">
        <v>353</v>
      </c>
      <c r="Q2731" s="21" t="s">
        <v>344</v>
      </c>
      <c r="R2731" s="22">
        <v>45814</v>
      </c>
      <c r="W2731">
        <f>COUNTIF(第一生命保険!U:U,B2731)</f>
        <v>0</v>
      </c>
    </row>
    <row r="2732" spans="1:23" ht="24.95" hidden="1" customHeight="1" x14ac:dyDescent="0.4">
      <c r="A2732" s="17" t="s">
        <v>162</v>
      </c>
      <c r="B2732" s="15" t="s">
        <v>119</v>
      </c>
      <c r="C2732" s="16" t="s">
        <v>31</v>
      </c>
      <c r="D2732" s="16" t="s">
        <v>31</v>
      </c>
      <c r="E2732" s="15" t="s">
        <v>32</v>
      </c>
      <c r="F2732" s="15" t="s">
        <v>365</v>
      </c>
      <c r="N2732" s="21" t="s">
        <v>374</v>
      </c>
      <c r="O2732" s="21" t="s">
        <v>375</v>
      </c>
      <c r="Q2732" s="21" t="s">
        <v>344</v>
      </c>
      <c r="R2732" s="22">
        <v>45883</v>
      </c>
      <c r="W2732">
        <f>COUNTIF(第一生命保険!U:U,B2732)</f>
        <v>0</v>
      </c>
    </row>
    <row r="2733" spans="1:23" ht="24.95" hidden="1" customHeight="1" x14ac:dyDescent="0.4">
      <c r="A2733" s="17" t="s">
        <v>162</v>
      </c>
      <c r="B2733" s="15" t="s">
        <v>120</v>
      </c>
      <c r="C2733" s="16" t="s">
        <v>31</v>
      </c>
      <c r="D2733" s="16" t="s">
        <v>31</v>
      </c>
      <c r="E2733" s="15" t="s">
        <v>32</v>
      </c>
      <c r="F2733" s="15" t="s">
        <v>314</v>
      </c>
      <c r="N2733" s="21" t="s">
        <v>96</v>
      </c>
      <c r="O2733" s="13" t="s">
        <v>339</v>
      </c>
      <c r="Q2733" s="21" t="s">
        <v>344</v>
      </c>
      <c r="R2733" s="22">
        <v>45756</v>
      </c>
      <c r="W2733">
        <f>COUNTIF(第一生命保険!U:U,B2733)</f>
        <v>0</v>
      </c>
    </row>
    <row r="2734" spans="1:23" ht="24.95" hidden="1" customHeight="1" x14ac:dyDescent="0.4">
      <c r="A2734" s="17" t="s">
        <v>162</v>
      </c>
      <c r="B2734" s="15" t="s">
        <v>39</v>
      </c>
      <c r="C2734" s="16" t="s">
        <v>31</v>
      </c>
      <c r="D2734" s="16" t="s">
        <v>31</v>
      </c>
      <c r="E2734" s="15" t="s">
        <v>32</v>
      </c>
      <c r="F2734" s="15" t="s">
        <v>166</v>
      </c>
      <c r="N2734" s="21" t="s">
        <v>96</v>
      </c>
      <c r="O2734" s="13" t="s">
        <v>350</v>
      </c>
      <c r="Q2734" s="21" t="s">
        <v>344</v>
      </c>
      <c r="R2734" s="22">
        <v>45814</v>
      </c>
      <c r="W2734">
        <f>COUNTIF(第一生命保険!U:U,B2734)</f>
        <v>0</v>
      </c>
    </row>
    <row r="2735" spans="1:23" ht="24.95" hidden="1" customHeight="1" x14ac:dyDescent="0.4">
      <c r="A2735" s="17" t="s">
        <v>162</v>
      </c>
      <c r="B2735" s="15" t="s">
        <v>220</v>
      </c>
      <c r="C2735" s="16" t="s">
        <v>31</v>
      </c>
      <c r="D2735" s="16" t="s">
        <v>31</v>
      </c>
      <c r="E2735" s="15" t="s">
        <v>32</v>
      </c>
      <c r="F2735" s="15" t="s">
        <v>221</v>
      </c>
      <c r="N2735" s="21" t="s">
        <v>96</v>
      </c>
      <c r="O2735" s="21" t="s">
        <v>338</v>
      </c>
      <c r="Q2735" s="21" t="s">
        <v>344</v>
      </c>
      <c r="R2735" s="22">
        <v>45814</v>
      </c>
      <c r="W2735">
        <f>COUNTIF(第一生命保険!U:U,B2735)</f>
        <v>0</v>
      </c>
    </row>
    <row r="2736" spans="1:23" ht="24.95" hidden="1" customHeight="1" x14ac:dyDescent="0.4">
      <c r="A2736" s="17" t="s">
        <v>162</v>
      </c>
      <c r="B2736" s="15" t="s">
        <v>172</v>
      </c>
      <c r="C2736" s="16" t="s">
        <v>31</v>
      </c>
      <c r="D2736" s="16" t="s">
        <v>31</v>
      </c>
      <c r="E2736" s="15" t="s">
        <v>32</v>
      </c>
      <c r="F2736" s="15" t="s">
        <v>173</v>
      </c>
      <c r="N2736" s="21" t="s">
        <v>96</v>
      </c>
      <c r="O2736" s="21" t="s">
        <v>336</v>
      </c>
      <c r="Q2736" s="21" t="s">
        <v>344</v>
      </c>
      <c r="R2736" s="22">
        <v>45814</v>
      </c>
      <c r="W2736">
        <f>COUNTIF(第一生命保険!U:U,B2736)</f>
        <v>0</v>
      </c>
    </row>
    <row r="2737" spans="1:26" ht="24.95" hidden="1" customHeight="1" x14ac:dyDescent="0.4">
      <c r="A2737" s="17" t="s">
        <v>162</v>
      </c>
      <c r="B2737" s="15" t="s">
        <v>111</v>
      </c>
      <c r="C2737" s="16" t="s">
        <v>31</v>
      </c>
      <c r="D2737" s="16" t="s">
        <v>31</v>
      </c>
      <c r="E2737" s="15" t="s">
        <v>32</v>
      </c>
      <c r="F2737" s="15" t="s">
        <v>314</v>
      </c>
      <c r="N2737" s="21" t="s">
        <v>96</v>
      </c>
      <c r="O2737" s="13" t="s">
        <v>339</v>
      </c>
      <c r="Q2737" s="21" t="s">
        <v>344</v>
      </c>
      <c r="R2737" s="22">
        <v>45756</v>
      </c>
      <c r="W2737">
        <f>COUNTIF(第一生命保険!U:U,B2737)</f>
        <v>0</v>
      </c>
    </row>
    <row r="2738" spans="1:26" ht="24.95" hidden="1" customHeight="1" x14ac:dyDescent="0.4">
      <c r="A2738" s="17" t="s">
        <v>162</v>
      </c>
      <c r="B2738" s="15" t="s">
        <v>42</v>
      </c>
      <c r="C2738" s="16" t="s">
        <v>31</v>
      </c>
      <c r="D2738" s="16" t="s">
        <v>31</v>
      </c>
      <c r="E2738" s="15" t="s">
        <v>32</v>
      </c>
      <c r="F2738" s="15" t="s">
        <v>166</v>
      </c>
      <c r="N2738" s="21" t="s">
        <v>96</v>
      </c>
      <c r="O2738" s="13" t="s">
        <v>351</v>
      </c>
      <c r="Q2738" s="21" t="s">
        <v>344</v>
      </c>
      <c r="R2738" s="22">
        <v>45814</v>
      </c>
      <c r="W2738">
        <f>COUNTIF(第一生命保険!U:U,B2738)</f>
        <v>0</v>
      </c>
    </row>
    <row r="2739" spans="1:26" ht="24.95" hidden="1" customHeight="1" x14ac:dyDescent="0.4">
      <c r="A2739" s="17" t="s">
        <v>162</v>
      </c>
      <c r="B2739" s="15" t="s">
        <v>330</v>
      </c>
      <c r="C2739" s="16" t="s">
        <v>31</v>
      </c>
      <c r="D2739" s="16" t="s">
        <v>31</v>
      </c>
      <c r="E2739" s="15" t="s">
        <v>32</v>
      </c>
      <c r="F2739" s="15" t="s">
        <v>314</v>
      </c>
      <c r="N2739" s="21" t="s">
        <v>96</v>
      </c>
      <c r="O2739" s="21" t="s">
        <v>338</v>
      </c>
      <c r="Q2739" s="21" t="s">
        <v>344</v>
      </c>
      <c r="R2739" s="22">
        <v>45756</v>
      </c>
      <c r="W2739">
        <f>COUNTIF(第一生命保険!U:U,B2739)</f>
        <v>0</v>
      </c>
    </row>
    <row r="2740" spans="1:26" ht="24.95" hidden="1" customHeight="1" x14ac:dyDescent="0.4">
      <c r="A2740" s="17" t="s">
        <v>162</v>
      </c>
      <c r="B2740" s="15" t="s">
        <v>43</v>
      </c>
      <c r="C2740" s="16" t="s">
        <v>31</v>
      </c>
      <c r="D2740" s="16" t="s">
        <v>31</v>
      </c>
      <c r="E2740" s="15" t="s">
        <v>32</v>
      </c>
      <c r="F2740" s="15" t="s">
        <v>356</v>
      </c>
      <c r="N2740" s="21" t="s">
        <v>96</v>
      </c>
      <c r="O2740" s="21" t="s">
        <v>360</v>
      </c>
      <c r="Q2740" s="21" t="s">
        <v>344</v>
      </c>
      <c r="R2740" s="22">
        <v>45847</v>
      </c>
      <c r="W2740">
        <f>COUNTIF(第一生命保険!U:U,B2740)</f>
        <v>0</v>
      </c>
    </row>
    <row r="2741" spans="1:26" ht="24.95" hidden="1" customHeight="1" x14ac:dyDescent="0.4">
      <c r="A2741" s="17" t="s">
        <v>162</v>
      </c>
      <c r="B2741" s="15" t="s">
        <v>343</v>
      </c>
      <c r="C2741" s="16" t="s">
        <v>31</v>
      </c>
      <c r="D2741" s="16" t="s">
        <v>31</v>
      </c>
      <c r="E2741" s="15" t="s">
        <v>32</v>
      </c>
      <c r="F2741" s="15" t="s">
        <v>340</v>
      </c>
      <c r="N2741" s="21" t="s">
        <v>96</v>
      </c>
      <c r="O2741" s="21" t="s">
        <v>345</v>
      </c>
      <c r="Q2741" s="21" t="s">
        <v>344</v>
      </c>
      <c r="R2741" s="22">
        <v>45784</v>
      </c>
      <c r="W2741">
        <f>COUNTIF(第一生命保険!U:U,B2741)</f>
        <v>0</v>
      </c>
    </row>
    <row r="2742" spans="1:26" ht="24.95" hidden="1" customHeight="1" x14ac:dyDescent="0.4">
      <c r="A2742" s="17" t="s">
        <v>162</v>
      </c>
      <c r="B2742" s="15" t="s">
        <v>121</v>
      </c>
      <c r="C2742" s="16" t="s">
        <v>31</v>
      </c>
      <c r="D2742" s="16" t="s">
        <v>31</v>
      </c>
      <c r="E2742" s="15" t="s">
        <v>32</v>
      </c>
      <c r="F2742" s="15" t="s">
        <v>314</v>
      </c>
      <c r="N2742" s="21" t="s">
        <v>96</v>
      </c>
      <c r="O2742" s="21" t="s">
        <v>336</v>
      </c>
      <c r="Q2742" s="21" t="s">
        <v>344</v>
      </c>
      <c r="R2742" s="22">
        <v>45756</v>
      </c>
      <c r="W2742">
        <f>COUNTIF(第一生命保険!U:U,B2742)</f>
        <v>0</v>
      </c>
    </row>
    <row r="2743" spans="1:26" ht="24.95" hidden="1" customHeight="1" x14ac:dyDescent="0.4">
      <c r="A2743" s="17" t="s">
        <v>162</v>
      </c>
      <c r="B2743" s="15" t="s">
        <v>44</v>
      </c>
      <c r="C2743" s="16" t="s">
        <v>31</v>
      </c>
      <c r="D2743" s="16" t="s">
        <v>31</v>
      </c>
      <c r="E2743" s="15" t="s">
        <v>32</v>
      </c>
      <c r="F2743" s="15" t="s">
        <v>221</v>
      </c>
      <c r="N2743" s="21" t="s">
        <v>96</v>
      </c>
      <c r="O2743" s="13" t="s">
        <v>359</v>
      </c>
      <c r="Q2743" s="21" t="s">
        <v>344</v>
      </c>
      <c r="R2743" s="22">
        <v>45814</v>
      </c>
      <c r="W2743">
        <f>COUNTIF(第一生命保険!U:U,B2743)</f>
        <v>0</v>
      </c>
    </row>
    <row r="2744" spans="1:26" ht="24.95" hidden="1" customHeight="1" x14ac:dyDescent="0.4">
      <c r="A2744" s="17" t="s">
        <v>162</v>
      </c>
      <c r="B2744" s="15" t="s">
        <v>45</v>
      </c>
      <c r="C2744" s="16" t="s">
        <v>31</v>
      </c>
      <c r="D2744" s="16" t="s">
        <v>31</v>
      </c>
      <c r="E2744" s="15" t="s">
        <v>32</v>
      </c>
      <c r="F2744" s="15" t="s">
        <v>314</v>
      </c>
      <c r="N2744" s="21" t="s">
        <v>96</v>
      </c>
      <c r="O2744" s="21" t="s">
        <v>338</v>
      </c>
      <c r="Q2744" s="21" t="s">
        <v>344</v>
      </c>
      <c r="R2744" s="22">
        <v>45756</v>
      </c>
      <c r="W2744">
        <f>COUNTIF(第一生命保険!U:U,B2744)</f>
        <v>0</v>
      </c>
    </row>
    <row r="2745" spans="1:26" ht="24.95" customHeight="1" x14ac:dyDescent="0.4">
      <c r="A2745" s="17" t="s">
        <v>162</v>
      </c>
      <c r="B2745" s="50" t="s">
        <v>469</v>
      </c>
      <c r="C2745" s="16" t="s">
        <v>31</v>
      </c>
      <c r="D2745" s="16" t="s">
        <v>31</v>
      </c>
      <c r="E2745" s="15" t="s">
        <v>32</v>
      </c>
      <c r="F2745" s="15" t="s">
        <v>365</v>
      </c>
      <c r="N2745" s="21" t="s">
        <v>374</v>
      </c>
      <c r="O2745" s="13" t="s">
        <v>468</v>
      </c>
      <c r="Q2745" s="21" t="s">
        <v>344</v>
      </c>
      <c r="R2745" s="22">
        <v>45883</v>
      </c>
      <c r="W2745">
        <f>COUNTIF(第一生命保険!U:U,B2745)</f>
        <v>0</v>
      </c>
    </row>
    <row r="2746" spans="1:26" ht="24.95" hidden="1" customHeight="1" x14ac:dyDescent="0.4">
      <c r="A2746" s="17" t="s">
        <v>162</v>
      </c>
      <c r="B2746" s="50" t="s">
        <v>91</v>
      </c>
      <c r="C2746" s="16" t="s">
        <v>31</v>
      </c>
      <c r="D2746" s="16" t="s">
        <v>31</v>
      </c>
      <c r="E2746" s="15" t="s">
        <v>32</v>
      </c>
      <c r="F2746" s="15" t="s">
        <v>356</v>
      </c>
      <c r="N2746" s="21" t="s">
        <v>96</v>
      </c>
      <c r="O2746" s="21" t="s">
        <v>360</v>
      </c>
      <c r="Q2746" s="21" t="s">
        <v>344</v>
      </c>
      <c r="R2746" s="22">
        <v>45847</v>
      </c>
      <c r="W2746">
        <f>COUNTIF(第一生命保険!U:U,B2746)</f>
        <v>0</v>
      </c>
    </row>
    <row r="2747" spans="1:26" ht="24.95" hidden="1" customHeight="1" x14ac:dyDescent="0.4">
      <c r="A2747" s="17" t="s">
        <v>162</v>
      </c>
      <c r="B2747" s="50" t="s">
        <v>160</v>
      </c>
      <c r="C2747" s="16" t="s">
        <v>31</v>
      </c>
      <c r="D2747" s="16" t="s">
        <v>24</v>
      </c>
      <c r="E2747" s="15" t="s">
        <v>50</v>
      </c>
      <c r="F2747" s="15" t="s">
        <v>150</v>
      </c>
      <c r="M2747" s="21" t="s">
        <v>81</v>
      </c>
      <c r="N2747" s="21" t="s">
        <v>97</v>
      </c>
      <c r="O2747" s="21" t="s">
        <v>164</v>
      </c>
      <c r="W2747">
        <f>COUNTIF(第一生命保険!U:U,B2747)</f>
        <v>0</v>
      </c>
      <c r="Z2747" t="str">
        <f t="shared" ref="Z2747:Z2748" si="2">A2747&amp;" "&amp;B2747</f>
        <v>0G cw WEB-INF/web.xml</v>
      </c>
    </row>
    <row r="2748" spans="1:26" ht="24.95" hidden="1" customHeight="1" x14ac:dyDescent="0.4">
      <c r="A2748" s="17" t="s">
        <v>162</v>
      </c>
      <c r="B2748" s="50" t="s">
        <v>161</v>
      </c>
      <c r="C2748" s="16" t="s">
        <v>31</v>
      </c>
      <c r="D2748" s="16" t="s">
        <v>24</v>
      </c>
      <c r="E2748" s="15" t="s">
        <v>50</v>
      </c>
      <c r="F2748" s="15" t="s">
        <v>150</v>
      </c>
      <c r="M2748" s="21" t="s">
        <v>81</v>
      </c>
      <c r="N2748" s="21" t="s">
        <v>97</v>
      </c>
      <c r="O2748" s="21" t="s">
        <v>164</v>
      </c>
      <c r="W2748">
        <f>COUNTIF(第一生命保険!U:U,B2748)</f>
        <v>0</v>
      </c>
      <c r="Z2748" t="str">
        <f t="shared" si="2"/>
        <v>0G cw WEB-INF/wf_dbsession_node.properties</v>
      </c>
    </row>
    <row r="2749" spans="1:26" ht="24.95" hidden="1" customHeight="1" x14ac:dyDescent="0.4">
      <c r="A2749" s="17" t="s">
        <v>162</v>
      </c>
      <c r="B2749" s="15" t="s">
        <v>163</v>
      </c>
      <c r="C2749" s="16" t="s">
        <v>31</v>
      </c>
      <c r="D2749" s="16" t="s">
        <v>31</v>
      </c>
      <c r="E2749" s="15" t="s">
        <v>32</v>
      </c>
      <c r="F2749" s="15" t="s">
        <v>150</v>
      </c>
      <c r="M2749" s="21" t="s">
        <v>81</v>
      </c>
      <c r="N2749" s="21" t="s">
        <v>137</v>
      </c>
      <c r="O2749" s="21" t="s">
        <v>164</v>
      </c>
      <c r="W2749">
        <f>COUNTIF(第一生命保険!U:U,B2749)</f>
        <v>0</v>
      </c>
      <c r="Z2749" t="s">
        <v>434</v>
      </c>
    </row>
    <row r="2750" spans="1:26" ht="24.95" hidden="1" customHeight="1" x14ac:dyDescent="0.4">
      <c r="A2750" s="17" t="s">
        <v>77</v>
      </c>
      <c r="B2750" s="15" t="s">
        <v>171</v>
      </c>
      <c r="C2750" s="16" t="s">
        <v>31</v>
      </c>
      <c r="D2750" s="16" t="s">
        <v>31</v>
      </c>
      <c r="E2750" s="15" t="s">
        <v>32</v>
      </c>
      <c r="F2750" s="15" t="s">
        <v>314</v>
      </c>
      <c r="N2750" s="21" t="s">
        <v>96</v>
      </c>
      <c r="O2750" s="21" t="s">
        <v>336</v>
      </c>
      <c r="Q2750" s="21" t="s">
        <v>344</v>
      </c>
      <c r="R2750" s="22">
        <v>45756</v>
      </c>
      <c r="W2750">
        <f>COUNTIF(大和コネクト証券!U:U,B2750)</f>
        <v>0</v>
      </c>
    </row>
    <row r="2751" spans="1:26" ht="24.95" hidden="1" customHeight="1" x14ac:dyDescent="0.4">
      <c r="A2751" s="17" t="s">
        <v>77</v>
      </c>
      <c r="B2751" s="15" t="s">
        <v>37</v>
      </c>
      <c r="C2751" s="16" t="s">
        <v>31</v>
      </c>
      <c r="D2751" s="16" t="s">
        <v>31</v>
      </c>
      <c r="E2751" s="15" t="s">
        <v>32</v>
      </c>
      <c r="F2751" s="15" t="s">
        <v>212</v>
      </c>
      <c r="N2751" s="21" t="s">
        <v>96</v>
      </c>
      <c r="O2751" s="21" t="s">
        <v>336</v>
      </c>
      <c r="Q2751" s="21" t="s">
        <v>344</v>
      </c>
      <c r="R2751" s="22">
        <v>45814</v>
      </c>
      <c r="W2751">
        <f>COUNTIF(大和コネクト証券!U:U,B2751)</f>
        <v>1</v>
      </c>
    </row>
    <row r="2752" spans="1:26" ht="24.95" hidden="1" customHeight="1" x14ac:dyDescent="0.4">
      <c r="A2752" s="17" t="s">
        <v>77</v>
      </c>
      <c r="B2752" s="15" t="s">
        <v>225</v>
      </c>
      <c r="C2752" s="16" t="s">
        <v>31</v>
      </c>
      <c r="D2752" s="16" t="s">
        <v>31</v>
      </c>
      <c r="E2752" s="15" t="s">
        <v>32</v>
      </c>
      <c r="F2752" s="15" t="s">
        <v>314</v>
      </c>
      <c r="N2752" s="21" t="s">
        <v>96</v>
      </c>
      <c r="O2752" s="21" t="s">
        <v>336</v>
      </c>
      <c r="Q2752" s="21" t="s">
        <v>344</v>
      </c>
      <c r="R2752" s="22">
        <v>45756</v>
      </c>
      <c r="W2752">
        <f>COUNTIF(大和コネクト証券!U:U,B2752)</f>
        <v>0</v>
      </c>
    </row>
    <row r="2753" spans="1:23" ht="24.95" hidden="1" customHeight="1" x14ac:dyDescent="0.4">
      <c r="A2753" s="17" t="s">
        <v>77</v>
      </c>
      <c r="B2753" s="15" t="s">
        <v>126</v>
      </c>
      <c r="C2753" s="16" t="s">
        <v>31</v>
      </c>
      <c r="D2753" s="16" t="s">
        <v>31</v>
      </c>
      <c r="E2753" s="15" t="s">
        <v>32</v>
      </c>
      <c r="F2753" s="15" t="s">
        <v>365</v>
      </c>
      <c r="N2753" s="21" t="s">
        <v>374</v>
      </c>
      <c r="O2753" s="21" t="s">
        <v>373</v>
      </c>
      <c r="Q2753" s="21" t="s">
        <v>344</v>
      </c>
      <c r="R2753" s="22">
        <v>45883</v>
      </c>
      <c r="W2753">
        <f>COUNTIF(大和コネクト証券!U:U,B2753)</f>
        <v>0</v>
      </c>
    </row>
    <row r="2754" spans="1:23" ht="24.95" hidden="1" customHeight="1" x14ac:dyDescent="0.4">
      <c r="A2754" s="17" t="s">
        <v>77</v>
      </c>
      <c r="B2754" s="15" t="s">
        <v>226</v>
      </c>
      <c r="C2754" s="16" t="s">
        <v>31</v>
      </c>
      <c r="D2754" s="16" t="s">
        <v>31</v>
      </c>
      <c r="E2754" s="15" t="s">
        <v>32</v>
      </c>
      <c r="F2754" s="15" t="s">
        <v>314</v>
      </c>
      <c r="N2754" s="21" t="s">
        <v>96</v>
      </c>
      <c r="O2754" s="21" t="s">
        <v>336</v>
      </c>
      <c r="Q2754" s="21" t="s">
        <v>344</v>
      </c>
      <c r="R2754" s="22">
        <v>45756</v>
      </c>
      <c r="W2754">
        <f>COUNTIF(大和コネクト証券!U:U,B2754)</f>
        <v>0</v>
      </c>
    </row>
    <row r="2755" spans="1:23" ht="24.95" hidden="1" customHeight="1" x14ac:dyDescent="0.4">
      <c r="A2755" s="17" t="s">
        <v>77</v>
      </c>
      <c r="B2755" s="15" t="s">
        <v>227</v>
      </c>
      <c r="C2755" s="16" t="s">
        <v>31</v>
      </c>
      <c r="D2755" s="16" t="s">
        <v>31</v>
      </c>
      <c r="E2755" s="15" t="s">
        <v>32</v>
      </c>
      <c r="F2755" s="15" t="s">
        <v>314</v>
      </c>
      <c r="N2755" s="21" t="s">
        <v>96</v>
      </c>
      <c r="O2755" s="21" t="s">
        <v>336</v>
      </c>
      <c r="Q2755" s="21" t="s">
        <v>344</v>
      </c>
      <c r="R2755" s="22">
        <v>45756</v>
      </c>
      <c r="W2755">
        <f>COUNTIF(大和コネクト証券!U:U,B2755)</f>
        <v>0</v>
      </c>
    </row>
    <row r="2756" spans="1:23" ht="24.95" hidden="1" customHeight="1" x14ac:dyDescent="0.4">
      <c r="A2756" s="17" t="s">
        <v>77</v>
      </c>
      <c r="B2756" s="15" t="s">
        <v>228</v>
      </c>
      <c r="C2756" s="16" t="s">
        <v>31</v>
      </c>
      <c r="D2756" s="16" t="s">
        <v>31</v>
      </c>
      <c r="E2756" s="15" t="s">
        <v>32</v>
      </c>
      <c r="F2756" s="15" t="s">
        <v>314</v>
      </c>
      <c r="N2756" s="21" t="s">
        <v>96</v>
      </c>
      <c r="O2756" s="21" t="s">
        <v>336</v>
      </c>
      <c r="Q2756" s="21" t="s">
        <v>344</v>
      </c>
      <c r="R2756" s="22">
        <v>45756</v>
      </c>
      <c r="W2756">
        <f>COUNTIF(大和コネクト証券!U:U,B2756)</f>
        <v>0</v>
      </c>
    </row>
    <row r="2757" spans="1:23" ht="24.95" hidden="1" customHeight="1" x14ac:dyDescent="0.4">
      <c r="A2757" s="17" t="s">
        <v>77</v>
      </c>
      <c r="B2757" s="15" t="s">
        <v>229</v>
      </c>
      <c r="C2757" s="16" t="s">
        <v>31</v>
      </c>
      <c r="D2757" s="16" t="s">
        <v>31</v>
      </c>
      <c r="E2757" s="15" t="s">
        <v>32</v>
      </c>
      <c r="F2757" s="15" t="s">
        <v>314</v>
      </c>
      <c r="N2757" s="21" t="s">
        <v>96</v>
      </c>
      <c r="O2757" s="21" t="s">
        <v>336</v>
      </c>
      <c r="Q2757" s="21" t="s">
        <v>344</v>
      </c>
      <c r="R2757" s="22">
        <v>45756</v>
      </c>
      <c r="W2757">
        <f>COUNTIF(大和コネクト証券!U:U,B2757)</f>
        <v>0</v>
      </c>
    </row>
    <row r="2758" spans="1:23" ht="24.95" hidden="1" customHeight="1" x14ac:dyDescent="0.4">
      <c r="A2758" s="17" t="s">
        <v>77</v>
      </c>
      <c r="B2758" s="15" t="s">
        <v>230</v>
      </c>
      <c r="C2758" s="16" t="s">
        <v>31</v>
      </c>
      <c r="D2758" s="16" t="s">
        <v>31</v>
      </c>
      <c r="E2758" s="15" t="s">
        <v>32</v>
      </c>
      <c r="F2758" s="15" t="s">
        <v>314</v>
      </c>
      <c r="N2758" s="21" t="s">
        <v>96</v>
      </c>
      <c r="O2758" s="21" t="s">
        <v>336</v>
      </c>
      <c r="Q2758" s="21" t="s">
        <v>344</v>
      </c>
      <c r="R2758" s="22">
        <v>45756</v>
      </c>
      <c r="W2758">
        <f>COUNTIF(大和コネクト証券!U:U,B2758)</f>
        <v>0</v>
      </c>
    </row>
    <row r="2759" spans="1:23" ht="24.95" hidden="1" customHeight="1" x14ac:dyDescent="0.4">
      <c r="A2759" s="17" t="s">
        <v>77</v>
      </c>
      <c r="B2759" s="15" t="s">
        <v>231</v>
      </c>
      <c r="C2759" s="16" t="s">
        <v>31</v>
      </c>
      <c r="D2759" s="16" t="s">
        <v>31</v>
      </c>
      <c r="E2759" s="15" t="s">
        <v>32</v>
      </c>
      <c r="F2759" s="15" t="s">
        <v>314</v>
      </c>
      <c r="N2759" s="21" t="s">
        <v>96</v>
      </c>
      <c r="O2759" s="21" t="s">
        <v>336</v>
      </c>
      <c r="Q2759" s="21" t="s">
        <v>344</v>
      </c>
      <c r="R2759" s="22">
        <v>45756</v>
      </c>
      <c r="W2759">
        <f>COUNTIF(大和コネクト証券!U:U,B2759)</f>
        <v>0</v>
      </c>
    </row>
    <row r="2760" spans="1:23" ht="24.95" hidden="1" customHeight="1" x14ac:dyDescent="0.4">
      <c r="A2760" s="17" t="s">
        <v>77</v>
      </c>
      <c r="B2760" s="15" t="s">
        <v>232</v>
      </c>
      <c r="C2760" s="16" t="s">
        <v>31</v>
      </c>
      <c r="D2760" s="16" t="s">
        <v>31</v>
      </c>
      <c r="E2760" s="15" t="s">
        <v>32</v>
      </c>
      <c r="F2760" s="15" t="s">
        <v>314</v>
      </c>
      <c r="N2760" s="21" t="s">
        <v>96</v>
      </c>
      <c r="O2760" s="21" t="s">
        <v>336</v>
      </c>
      <c r="Q2760" s="21" t="s">
        <v>344</v>
      </c>
      <c r="R2760" s="22">
        <v>45756</v>
      </c>
      <c r="W2760">
        <f>COUNTIF(大和コネクト証券!U:U,B2760)</f>
        <v>0</v>
      </c>
    </row>
    <row r="2761" spans="1:23" ht="24.95" hidden="1" customHeight="1" x14ac:dyDescent="0.4">
      <c r="A2761" s="17" t="s">
        <v>77</v>
      </c>
      <c r="B2761" s="15" t="s">
        <v>233</v>
      </c>
      <c r="C2761" s="16" t="s">
        <v>31</v>
      </c>
      <c r="D2761" s="16" t="s">
        <v>31</v>
      </c>
      <c r="E2761" s="15" t="s">
        <v>32</v>
      </c>
      <c r="F2761" s="15" t="s">
        <v>314</v>
      </c>
      <c r="N2761" s="21" t="s">
        <v>96</v>
      </c>
      <c r="O2761" s="21" t="s">
        <v>336</v>
      </c>
      <c r="Q2761" s="21" t="s">
        <v>344</v>
      </c>
      <c r="R2761" s="22">
        <v>45756</v>
      </c>
      <c r="W2761">
        <f>COUNTIF(大和コネクト証券!U:U,B2761)</f>
        <v>0</v>
      </c>
    </row>
    <row r="2762" spans="1:23" ht="24.95" hidden="1" customHeight="1" x14ac:dyDescent="0.4">
      <c r="A2762" s="17" t="s">
        <v>77</v>
      </c>
      <c r="B2762" s="15" t="s">
        <v>234</v>
      </c>
      <c r="C2762" s="16" t="s">
        <v>31</v>
      </c>
      <c r="D2762" s="16" t="s">
        <v>31</v>
      </c>
      <c r="E2762" s="15" t="s">
        <v>32</v>
      </c>
      <c r="F2762" s="15" t="s">
        <v>314</v>
      </c>
      <c r="N2762" s="21" t="s">
        <v>96</v>
      </c>
      <c r="O2762" s="21" t="s">
        <v>336</v>
      </c>
      <c r="Q2762" s="21" t="s">
        <v>344</v>
      </c>
      <c r="R2762" s="22">
        <v>45756</v>
      </c>
      <c r="W2762">
        <f>COUNTIF(大和コネクト証券!U:U,B2762)</f>
        <v>0</v>
      </c>
    </row>
    <row r="2763" spans="1:23" ht="24.95" hidden="1" customHeight="1" x14ac:dyDescent="0.4">
      <c r="A2763" s="17" t="s">
        <v>77</v>
      </c>
      <c r="B2763" s="15" t="s">
        <v>235</v>
      </c>
      <c r="C2763" s="16" t="s">
        <v>31</v>
      </c>
      <c r="D2763" s="16" t="s">
        <v>31</v>
      </c>
      <c r="E2763" s="15" t="s">
        <v>32</v>
      </c>
      <c r="F2763" s="15" t="s">
        <v>314</v>
      </c>
      <c r="N2763" s="21" t="s">
        <v>96</v>
      </c>
      <c r="O2763" s="21" t="s">
        <v>336</v>
      </c>
      <c r="Q2763" s="21" t="s">
        <v>344</v>
      </c>
      <c r="R2763" s="22">
        <v>45756</v>
      </c>
      <c r="W2763">
        <f>COUNTIF(大和コネクト証券!U:U,B2763)</f>
        <v>0</v>
      </c>
    </row>
    <row r="2764" spans="1:23" ht="24.95" hidden="1" customHeight="1" x14ac:dyDescent="0.4">
      <c r="A2764" s="17" t="s">
        <v>77</v>
      </c>
      <c r="B2764" s="15" t="s">
        <v>236</v>
      </c>
      <c r="C2764" s="16" t="s">
        <v>31</v>
      </c>
      <c r="D2764" s="16" t="s">
        <v>31</v>
      </c>
      <c r="E2764" s="15" t="s">
        <v>32</v>
      </c>
      <c r="F2764" s="15" t="s">
        <v>314</v>
      </c>
      <c r="N2764" s="21" t="s">
        <v>96</v>
      </c>
      <c r="O2764" s="21" t="s">
        <v>336</v>
      </c>
      <c r="Q2764" s="21" t="s">
        <v>344</v>
      </c>
      <c r="R2764" s="22">
        <v>45756</v>
      </c>
      <c r="W2764">
        <f>COUNTIF(大和コネクト証券!U:U,B2764)</f>
        <v>0</v>
      </c>
    </row>
    <row r="2765" spans="1:23" ht="24.95" hidden="1" customHeight="1" x14ac:dyDescent="0.4">
      <c r="A2765" s="17" t="s">
        <v>77</v>
      </c>
      <c r="B2765" s="15" t="s">
        <v>237</v>
      </c>
      <c r="C2765" s="16" t="s">
        <v>31</v>
      </c>
      <c r="D2765" s="16" t="s">
        <v>31</v>
      </c>
      <c r="E2765" s="15" t="s">
        <v>32</v>
      </c>
      <c r="F2765" s="15" t="s">
        <v>314</v>
      </c>
      <c r="N2765" s="21" t="s">
        <v>96</v>
      </c>
      <c r="O2765" s="21" t="s">
        <v>336</v>
      </c>
      <c r="Q2765" s="21" t="s">
        <v>344</v>
      </c>
      <c r="R2765" s="22">
        <v>45756</v>
      </c>
      <c r="W2765">
        <f>COUNTIF(大和コネクト証券!U:U,B2765)</f>
        <v>0</v>
      </c>
    </row>
    <row r="2766" spans="1:23" ht="24.95" hidden="1" customHeight="1" x14ac:dyDescent="0.4">
      <c r="A2766" s="17" t="s">
        <v>77</v>
      </c>
      <c r="B2766" s="15" t="s">
        <v>238</v>
      </c>
      <c r="C2766" s="16" t="s">
        <v>31</v>
      </c>
      <c r="D2766" s="16" t="s">
        <v>31</v>
      </c>
      <c r="E2766" s="15" t="s">
        <v>32</v>
      </c>
      <c r="F2766" s="15" t="s">
        <v>314</v>
      </c>
      <c r="N2766" s="21" t="s">
        <v>96</v>
      </c>
      <c r="O2766" s="21" t="s">
        <v>336</v>
      </c>
      <c r="Q2766" s="21" t="s">
        <v>344</v>
      </c>
      <c r="R2766" s="22">
        <v>45756</v>
      </c>
      <c r="W2766">
        <f>COUNTIF(大和コネクト証券!U:U,B2766)</f>
        <v>0</v>
      </c>
    </row>
    <row r="2767" spans="1:23" ht="24.95" hidden="1" customHeight="1" x14ac:dyDescent="0.4">
      <c r="A2767" s="17" t="s">
        <v>77</v>
      </c>
      <c r="B2767" s="15" t="s">
        <v>239</v>
      </c>
      <c r="C2767" s="16" t="s">
        <v>31</v>
      </c>
      <c r="D2767" s="16" t="s">
        <v>31</v>
      </c>
      <c r="E2767" s="15" t="s">
        <v>32</v>
      </c>
      <c r="F2767" s="15" t="s">
        <v>314</v>
      </c>
      <c r="N2767" s="21" t="s">
        <v>96</v>
      </c>
      <c r="O2767" s="21" t="s">
        <v>336</v>
      </c>
      <c r="Q2767" s="21" t="s">
        <v>344</v>
      </c>
      <c r="R2767" s="22">
        <v>45756</v>
      </c>
      <c r="W2767">
        <f>COUNTIF(大和コネクト証券!U:U,B2767)</f>
        <v>0</v>
      </c>
    </row>
    <row r="2768" spans="1:23" ht="24.95" hidden="1" customHeight="1" x14ac:dyDescent="0.4">
      <c r="A2768" s="17" t="s">
        <v>77</v>
      </c>
      <c r="B2768" s="15" t="s">
        <v>240</v>
      </c>
      <c r="C2768" s="16" t="s">
        <v>31</v>
      </c>
      <c r="D2768" s="16" t="s">
        <v>31</v>
      </c>
      <c r="E2768" s="15" t="s">
        <v>32</v>
      </c>
      <c r="F2768" s="15" t="s">
        <v>314</v>
      </c>
      <c r="N2768" s="21" t="s">
        <v>96</v>
      </c>
      <c r="O2768" s="21" t="s">
        <v>336</v>
      </c>
      <c r="Q2768" s="21" t="s">
        <v>344</v>
      </c>
      <c r="R2768" s="22">
        <v>45756</v>
      </c>
      <c r="W2768">
        <f>COUNTIF(大和コネクト証券!U:U,B2768)</f>
        <v>0</v>
      </c>
    </row>
    <row r="2769" spans="1:23" ht="24.95" hidden="1" customHeight="1" x14ac:dyDescent="0.4">
      <c r="A2769" s="17" t="s">
        <v>77</v>
      </c>
      <c r="B2769" s="15" t="s">
        <v>241</v>
      </c>
      <c r="C2769" s="16" t="s">
        <v>31</v>
      </c>
      <c r="D2769" s="16" t="s">
        <v>31</v>
      </c>
      <c r="E2769" s="15" t="s">
        <v>32</v>
      </c>
      <c r="F2769" s="15" t="s">
        <v>314</v>
      </c>
      <c r="N2769" s="21" t="s">
        <v>96</v>
      </c>
      <c r="O2769" s="21" t="s">
        <v>336</v>
      </c>
      <c r="Q2769" s="21" t="s">
        <v>344</v>
      </c>
      <c r="R2769" s="22">
        <v>45756</v>
      </c>
      <c r="W2769">
        <f>COUNTIF(大和コネクト証券!U:U,B2769)</f>
        <v>0</v>
      </c>
    </row>
    <row r="2770" spans="1:23" ht="24.95" hidden="1" customHeight="1" x14ac:dyDescent="0.4">
      <c r="A2770" s="17" t="s">
        <v>77</v>
      </c>
      <c r="B2770" s="15" t="s">
        <v>242</v>
      </c>
      <c r="C2770" s="16" t="s">
        <v>31</v>
      </c>
      <c r="D2770" s="16" t="s">
        <v>31</v>
      </c>
      <c r="E2770" s="15" t="s">
        <v>32</v>
      </c>
      <c r="F2770" s="15" t="s">
        <v>314</v>
      </c>
      <c r="N2770" s="21" t="s">
        <v>96</v>
      </c>
      <c r="O2770" s="21" t="s">
        <v>336</v>
      </c>
      <c r="Q2770" s="21" t="s">
        <v>344</v>
      </c>
      <c r="R2770" s="22">
        <v>45756</v>
      </c>
      <c r="W2770">
        <f>COUNTIF(大和コネクト証券!U:U,B2770)</f>
        <v>0</v>
      </c>
    </row>
    <row r="2771" spans="1:23" ht="24.95" hidden="1" customHeight="1" x14ac:dyDescent="0.4">
      <c r="A2771" s="17" t="s">
        <v>77</v>
      </c>
      <c r="B2771" s="15" t="s">
        <v>243</v>
      </c>
      <c r="C2771" s="16" t="s">
        <v>31</v>
      </c>
      <c r="D2771" s="16" t="s">
        <v>31</v>
      </c>
      <c r="E2771" s="15" t="s">
        <v>32</v>
      </c>
      <c r="F2771" s="15" t="s">
        <v>314</v>
      </c>
      <c r="N2771" s="21" t="s">
        <v>96</v>
      </c>
      <c r="O2771" s="21" t="s">
        <v>336</v>
      </c>
      <c r="Q2771" s="21" t="s">
        <v>344</v>
      </c>
      <c r="R2771" s="22">
        <v>45756</v>
      </c>
      <c r="W2771">
        <f>COUNTIF(大和コネクト証券!U:U,B2771)</f>
        <v>0</v>
      </c>
    </row>
    <row r="2772" spans="1:23" ht="24.95" hidden="1" customHeight="1" x14ac:dyDescent="0.4">
      <c r="A2772" s="17" t="s">
        <v>77</v>
      </c>
      <c r="B2772" s="15" t="s">
        <v>244</v>
      </c>
      <c r="C2772" s="16" t="s">
        <v>31</v>
      </c>
      <c r="D2772" s="16" t="s">
        <v>31</v>
      </c>
      <c r="E2772" s="15" t="s">
        <v>32</v>
      </c>
      <c r="F2772" s="15" t="s">
        <v>314</v>
      </c>
      <c r="N2772" s="21" t="s">
        <v>96</v>
      </c>
      <c r="O2772" s="21" t="s">
        <v>336</v>
      </c>
      <c r="Q2772" s="21" t="s">
        <v>344</v>
      </c>
      <c r="R2772" s="22">
        <v>45756</v>
      </c>
      <c r="W2772">
        <f>COUNTIF(大和コネクト証券!U:U,B2772)</f>
        <v>0</v>
      </c>
    </row>
    <row r="2773" spans="1:23" ht="24.95" hidden="1" customHeight="1" x14ac:dyDescent="0.4">
      <c r="A2773" s="17" t="s">
        <v>77</v>
      </c>
      <c r="B2773" s="15" t="s">
        <v>245</v>
      </c>
      <c r="C2773" s="16" t="s">
        <v>31</v>
      </c>
      <c r="D2773" s="16" t="s">
        <v>31</v>
      </c>
      <c r="E2773" s="15" t="s">
        <v>32</v>
      </c>
      <c r="F2773" s="15" t="s">
        <v>314</v>
      </c>
      <c r="N2773" s="21" t="s">
        <v>96</v>
      </c>
      <c r="O2773" s="21" t="s">
        <v>336</v>
      </c>
      <c r="Q2773" s="21" t="s">
        <v>344</v>
      </c>
      <c r="R2773" s="22">
        <v>45756</v>
      </c>
      <c r="W2773">
        <f>COUNTIF(大和コネクト証券!U:U,B2773)</f>
        <v>0</v>
      </c>
    </row>
    <row r="2774" spans="1:23" ht="24.95" hidden="1" customHeight="1" x14ac:dyDescent="0.4">
      <c r="A2774" s="17" t="s">
        <v>77</v>
      </c>
      <c r="B2774" s="15" t="s">
        <v>246</v>
      </c>
      <c r="C2774" s="16" t="s">
        <v>31</v>
      </c>
      <c r="D2774" s="16" t="s">
        <v>31</v>
      </c>
      <c r="E2774" s="15" t="s">
        <v>32</v>
      </c>
      <c r="F2774" s="15" t="s">
        <v>314</v>
      </c>
      <c r="N2774" s="21" t="s">
        <v>96</v>
      </c>
      <c r="O2774" s="21" t="s">
        <v>336</v>
      </c>
      <c r="Q2774" s="21" t="s">
        <v>344</v>
      </c>
      <c r="R2774" s="22">
        <v>45756</v>
      </c>
      <c r="W2774">
        <f>COUNTIF(大和コネクト証券!U:U,B2774)</f>
        <v>0</v>
      </c>
    </row>
    <row r="2775" spans="1:23" ht="24.95" hidden="1" customHeight="1" x14ac:dyDescent="0.4">
      <c r="A2775" s="17" t="s">
        <v>77</v>
      </c>
      <c r="B2775" s="15" t="s">
        <v>247</v>
      </c>
      <c r="C2775" s="16" t="s">
        <v>31</v>
      </c>
      <c r="D2775" s="16" t="s">
        <v>31</v>
      </c>
      <c r="E2775" s="15" t="s">
        <v>32</v>
      </c>
      <c r="F2775" s="15" t="s">
        <v>314</v>
      </c>
      <c r="N2775" s="21" t="s">
        <v>96</v>
      </c>
      <c r="O2775" s="21" t="s">
        <v>336</v>
      </c>
      <c r="Q2775" s="21" t="s">
        <v>344</v>
      </c>
      <c r="R2775" s="22">
        <v>45756</v>
      </c>
      <c r="W2775">
        <f>COUNTIF(大和コネクト証券!U:U,B2775)</f>
        <v>0</v>
      </c>
    </row>
    <row r="2776" spans="1:23" ht="24.95" hidden="1" customHeight="1" x14ac:dyDescent="0.4">
      <c r="A2776" s="17" t="s">
        <v>77</v>
      </c>
      <c r="B2776" s="15" t="s">
        <v>248</v>
      </c>
      <c r="C2776" s="16" t="s">
        <v>31</v>
      </c>
      <c r="D2776" s="16" t="s">
        <v>31</v>
      </c>
      <c r="E2776" s="15" t="s">
        <v>32</v>
      </c>
      <c r="F2776" s="15" t="s">
        <v>314</v>
      </c>
      <c r="N2776" s="21" t="s">
        <v>96</v>
      </c>
      <c r="O2776" s="21" t="s">
        <v>336</v>
      </c>
      <c r="Q2776" s="21" t="s">
        <v>344</v>
      </c>
      <c r="R2776" s="22">
        <v>45756</v>
      </c>
      <c r="W2776">
        <f>COUNTIF(大和コネクト証券!U:U,B2776)</f>
        <v>0</v>
      </c>
    </row>
    <row r="2777" spans="1:23" ht="24.95" hidden="1" customHeight="1" x14ac:dyDescent="0.4">
      <c r="A2777" s="17" t="s">
        <v>77</v>
      </c>
      <c r="B2777" s="15" t="s">
        <v>249</v>
      </c>
      <c r="C2777" s="16" t="s">
        <v>31</v>
      </c>
      <c r="D2777" s="16" t="s">
        <v>31</v>
      </c>
      <c r="E2777" s="15" t="s">
        <v>32</v>
      </c>
      <c r="F2777" s="15" t="s">
        <v>314</v>
      </c>
      <c r="N2777" s="21" t="s">
        <v>96</v>
      </c>
      <c r="O2777" s="21" t="s">
        <v>336</v>
      </c>
      <c r="Q2777" s="21" t="s">
        <v>344</v>
      </c>
      <c r="R2777" s="22">
        <v>45756</v>
      </c>
      <c r="W2777">
        <f>COUNTIF(大和コネクト証券!U:U,B2777)</f>
        <v>0</v>
      </c>
    </row>
    <row r="2778" spans="1:23" ht="24.95" hidden="1" customHeight="1" x14ac:dyDescent="0.4">
      <c r="A2778" s="17" t="s">
        <v>77</v>
      </c>
      <c r="B2778" s="15" t="s">
        <v>250</v>
      </c>
      <c r="C2778" s="16" t="s">
        <v>31</v>
      </c>
      <c r="D2778" s="16" t="s">
        <v>31</v>
      </c>
      <c r="E2778" s="15" t="s">
        <v>32</v>
      </c>
      <c r="F2778" s="15" t="s">
        <v>314</v>
      </c>
      <c r="N2778" s="21" t="s">
        <v>96</v>
      </c>
      <c r="O2778" s="21" t="s">
        <v>336</v>
      </c>
      <c r="Q2778" s="21" t="s">
        <v>344</v>
      </c>
      <c r="R2778" s="22">
        <v>45756</v>
      </c>
      <c r="W2778">
        <f>COUNTIF(大和コネクト証券!U:U,B2778)</f>
        <v>0</v>
      </c>
    </row>
    <row r="2779" spans="1:23" ht="24.95" hidden="1" customHeight="1" x14ac:dyDescent="0.4">
      <c r="A2779" s="17" t="s">
        <v>77</v>
      </c>
      <c r="B2779" s="15" t="s">
        <v>251</v>
      </c>
      <c r="C2779" s="16" t="s">
        <v>31</v>
      </c>
      <c r="D2779" s="16" t="s">
        <v>31</v>
      </c>
      <c r="E2779" s="15" t="s">
        <v>32</v>
      </c>
      <c r="F2779" s="15" t="s">
        <v>314</v>
      </c>
      <c r="N2779" s="21" t="s">
        <v>96</v>
      </c>
      <c r="O2779" s="21" t="s">
        <v>336</v>
      </c>
      <c r="Q2779" s="21" t="s">
        <v>344</v>
      </c>
      <c r="R2779" s="22">
        <v>45756</v>
      </c>
      <c r="W2779">
        <f>COUNTIF(大和コネクト証券!U:U,B2779)</f>
        <v>0</v>
      </c>
    </row>
    <row r="2780" spans="1:23" ht="24.95" hidden="1" customHeight="1" x14ac:dyDescent="0.4">
      <c r="A2780" s="17" t="s">
        <v>77</v>
      </c>
      <c r="B2780" s="15" t="s">
        <v>341</v>
      </c>
      <c r="C2780" s="16" t="s">
        <v>31</v>
      </c>
      <c r="D2780" s="16" t="s">
        <v>31</v>
      </c>
      <c r="E2780" s="15" t="s">
        <v>32</v>
      </c>
      <c r="F2780" s="15" t="s">
        <v>340</v>
      </c>
      <c r="N2780" s="21" t="s">
        <v>96</v>
      </c>
      <c r="O2780" s="21" t="s">
        <v>345</v>
      </c>
      <c r="Q2780" s="21" t="s">
        <v>344</v>
      </c>
      <c r="R2780" s="22">
        <v>45784</v>
      </c>
      <c r="W2780">
        <f>COUNTIF(大和コネクト証券!U:U,B2780)</f>
        <v>0</v>
      </c>
    </row>
    <row r="2781" spans="1:23" ht="24.95" hidden="1" customHeight="1" x14ac:dyDescent="0.4">
      <c r="A2781" s="17" t="s">
        <v>77</v>
      </c>
      <c r="B2781" s="15" t="s">
        <v>252</v>
      </c>
      <c r="C2781" s="16" t="s">
        <v>31</v>
      </c>
      <c r="D2781" s="16" t="s">
        <v>31</v>
      </c>
      <c r="E2781" s="15" t="s">
        <v>32</v>
      </c>
      <c r="F2781" s="15" t="s">
        <v>314</v>
      </c>
      <c r="N2781" s="21" t="s">
        <v>96</v>
      </c>
      <c r="O2781" s="21" t="s">
        <v>336</v>
      </c>
      <c r="Q2781" s="21" t="s">
        <v>344</v>
      </c>
      <c r="R2781" s="22">
        <v>45756</v>
      </c>
      <c r="W2781">
        <f>COUNTIF(大和コネクト証券!U:U,B2781)</f>
        <v>0</v>
      </c>
    </row>
    <row r="2782" spans="1:23" ht="24.95" hidden="1" customHeight="1" x14ac:dyDescent="0.4">
      <c r="A2782" s="17" t="s">
        <v>77</v>
      </c>
      <c r="B2782" s="15" t="s">
        <v>253</v>
      </c>
      <c r="C2782" s="16" t="s">
        <v>31</v>
      </c>
      <c r="D2782" s="16" t="s">
        <v>31</v>
      </c>
      <c r="E2782" s="15" t="s">
        <v>32</v>
      </c>
      <c r="F2782" s="15" t="s">
        <v>314</v>
      </c>
      <c r="N2782" s="21" t="s">
        <v>96</v>
      </c>
      <c r="O2782" s="21" t="s">
        <v>336</v>
      </c>
      <c r="Q2782" s="21" t="s">
        <v>344</v>
      </c>
      <c r="R2782" s="22">
        <v>45756</v>
      </c>
      <c r="W2782">
        <f>COUNTIF(大和コネクト証券!U:U,B2782)</f>
        <v>0</v>
      </c>
    </row>
    <row r="2783" spans="1:23" ht="24.95" hidden="1" customHeight="1" x14ac:dyDescent="0.4">
      <c r="A2783" s="17" t="s">
        <v>77</v>
      </c>
      <c r="B2783" s="15" t="s">
        <v>254</v>
      </c>
      <c r="C2783" s="16" t="s">
        <v>31</v>
      </c>
      <c r="D2783" s="16" t="s">
        <v>31</v>
      </c>
      <c r="E2783" s="15" t="s">
        <v>32</v>
      </c>
      <c r="F2783" s="15" t="s">
        <v>314</v>
      </c>
      <c r="N2783" s="21" t="s">
        <v>96</v>
      </c>
      <c r="O2783" s="21" t="s">
        <v>336</v>
      </c>
      <c r="Q2783" s="21" t="s">
        <v>344</v>
      </c>
      <c r="R2783" s="22">
        <v>45756</v>
      </c>
      <c r="W2783">
        <f>COUNTIF(大和コネクト証券!U:U,B2783)</f>
        <v>0</v>
      </c>
    </row>
    <row r="2784" spans="1:23" ht="24.95" hidden="1" customHeight="1" x14ac:dyDescent="0.4">
      <c r="A2784" s="17" t="s">
        <v>77</v>
      </c>
      <c r="B2784" s="15" t="s">
        <v>255</v>
      </c>
      <c r="C2784" s="16" t="s">
        <v>31</v>
      </c>
      <c r="D2784" s="16" t="s">
        <v>31</v>
      </c>
      <c r="E2784" s="15" t="s">
        <v>32</v>
      </c>
      <c r="F2784" s="15" t="s">
        <v>314</v>
      </c>
      <c r="N2784" s="21" t="s">
        <v>96</v>
      </c>
      <c r="O2784" s="21" t="s">
        <v>336</v>
      </c>
      <c r="Q2784" s="21" t="s">
        <v>344</v>
      </c>
      <c r="R2784" s="22">
        <v>45756</v>
      </c>
      <c r="W2784">
        <f>COUNTIF(大和コネクト証券!U:U,B2784)</f>
        <v>0</v>
      </c>
    </row>
    <row r="2785" spans="1:23" ht="24.95" hidden="1" customHeight="1" x14ac:dyDescent="0.4">
      <c r="A2785" s="17" t="s">
        <v>77</v>
      </c>
      <c r="B2785" s="15" t="s">
        <v>256</v>
      </c>
      <c r="C2785" s="16" t="s">
        <v>31</v>
      </c>
      <c r="D2785" s="16" t="s">
        <v>31</v>
      </c>
      <c r="E2785" s="15" t="s">
        <v>32</v>
      </c>
      <c r="F2785" s="15" t="s">
        <v>314</v>
      </c>
      <c r="N2785" s="21" t="s">
        <v>96</v>
      </c>
      <c r="O2785" s="21" t="s">
        <v>336</v>
      </c>
      <c r="Q2785" s="21" t="s">
        <v>344</v>
      </c>
      <c r="R2785" s="22">
        <v>45756</v>
      </c>
      <c r="W2785">
        <f>COUNTIF(大和コネクト証券!U:U,B2785)</f>
        <v>0</v>
      </c>
    </row>
    <row r="2786" spans="1:23" ht="24.95" hidden="1" customHeight="1" x14ac:dyDescent="0.4">
      <c r="A2786" s="17" t="s">
        <v>77</v>
      </c>
      <c r="B2786" s="15" t="s">
        <v>257</v>
      </c>
      <c r="C2786" s="16" t="s">
        <v>31</v>
      </c>
      <c r="D2786" s="16" t="s">
        <v>31</v>
      </c>
      <c r="E2786" s="15" t="s">
        <v>32</v>
      </c>
      <c r="F2786" s="15" t="s">
        <v>314</v>
      </c>
      <c r="N2786" s="21" t="s">
        <v>96</v>
      </c>
      <c r="O2786" s="21" t="s">
        <v>336</v>
      </c>
      <c r="Q2786" s="21" t="s">
        <v>344</v>
      </c>
      <c r="R2786" s="22">
        <v>45756</v>
      </c>
      <c r="W2786">
        <f>COUNTIF(大和コネクト証券!U:U,B2786)</f>
        <v>0</v>
      </c>
    </row>
    <row r="2787" spans="1:23" ht="24.95" hidden="1" customHeight="1" x14ac:dyDescent="0.4">
      <c r="A2787" s="17" t="s">
        <v>77</v>
      </c>
      <c r="B2787" s="15" t="s">
        <v>258</v>
      </c>
      <c r="C2787" s="16" t="s">
        <v>31</v>
      </c>
      <c r="D2787" s="16" t="s">
        <v>31</v>
      </c>
      <c r="E2787" s="15" t="s">
        <v>32</v>
      </c>
      <c r="F2787" s="15" t="s">
        <v>314</v>
      </c>
      <c r="N2787" s="21" t="s">
        <v>96</v>
      </c>
      <c r="O2787" s="21" t="s">
        <v>336</v>
      </c>
      <c r="Q2787" s="21" t="s">
        <v>344</v>
      </c>
      <c r="R2787" s="22">
        <v>45756</v>
      </c>
      <c r="W2787">
        <f>COUNTIF(大和コネクト証券!U:U,B2787)</f>
        <v>0</v>
      </c>
    </row>
    <row r="2788" spans="1:23" ht="24.95" hidden="1" customHeight="1" x14ac:dyDescent="0.4">
      <c r="A2788" s="17" t="s">
        <v>77</v>
      </c>
      <c r="B2788" s="15" t="s">
        <v>259</v>
      </c>
      <c r="C2788" s="16" t="s">
        <v>31</v>
      </c>
      <c r="D2788" s="16" t="s">
        <v>31</v>
      </c>
      <c r="E2788" s="15" t="s">
        <v>32</v>
      </c>
      <c r="F2788" s="15" t="s">
        <v>314</v>
      </c>
      <c r="N2788" s="21" t="s">
        <v>96</v>
      </c>
      <c r="O2788" s="21" t="s">
        <v>336</v>
      </c>
      <c r="Q2788" s="21" t="s">
        <v>344</v>
      </c>
      <c r="R2788" s="22">
        <v>45756</v>
      </c>
      <c r="W2788">
        <f>COUNTIF(大和コネクト証券!U:U,B2788)</f>
        <v>0</v>
      </c>
    </row>
    <row r="2789" spans="1:23" ht="24.95" hidden="1" customHeight="1" x14ac:dyDescent="0.4">
      <c r="A2789" s="17" t="s">
        <v>77</v>
      </c>
      <c r="B2789" s="15" t="s">
        <v>260</v>
      </c>
      <c r="C2789" s="16" t="s">
        <v>31</v>
      </c>
      <c r="D2789" s="16" t="s">
        <v>31</v>
      </c>
      <c r="E2789" s="15" t="s">
        <v>32</v>
      </c>
      <c r="F2789" s="15" t="s">
        <v>314</v>
      </c>
      <c r="N2789" s="21" t="s">
        <v>96</v>
      </c>
      <c r="O2789" s="21" t="s">
        <v>336</v>
      </c>
      <c r="Q2789" s="21" t="s">
        <v>344</v>
      </c>
      <c r="R2789" s="22">
        <v>45756</v>
      </c>
      <c r="W2789">
        <f>COUNTIF(大和コネクト証券!U:U,B2789)</f>
        <v>0</v>
      </c>
    </row>
    <row r="2790" spans="1:23" ht="24.95" hidden="1" customHeight="1" x14ac:dyDescent="0.4">
      <c r="A2790" s="17" t="s">
        <v>77</v>
      </c>
      <c r="B2790" s="15" t="s">
        <v>261</v>
      </c>
      <c r="C2790" s="16" t="s">
        <v>31</v>
      </c>
      <c r="D2790" s="16" t="s">
        <v>31</v>
      </c>
      <c r="E2790" s="15" t="s">
        <v>32</v>
      </c>
      <c r="F2790" s="15" t="s">
        <v>314</v>
      </c>
      <c r="N2790" s="21" t="s">
        <v>96</v>
      </c>
      <c r="O2790" s="21" t="s">
        <v>336</v>
      </c>
      <c r="Q2790" s="21" t="s">
        <v>344</v>
      </c>
      <c r="R2790" s="22">
        <v>45756</v>
      </c>
      <c r="W2790">
        <f>COUNTIF(大和コネクト証券!U:U,B2790)</f>
        <v>0</v>
      </c>
    </row>
    <row r="2791" spans="1:23" ht="24.95" hidden="1" customHeight="1" x14ac:dyDescent="0.4">
      <c r="A2791" s="17" t="s">
        <v>77</v>
      </c>
      <c r="B2791" s="15" t="s">
        <v>262</v>
      </c>
      <c r="C2791" s="16" t="s">
        <v>31</v>
      </c>
      <c r="D2791" s="16" t="s">
        <v>31</v>
      </c>
      <c r="E2791" s="15" t="s">
        <v>32</v>
      </c>
      <c r="F2791" s="15" t="s">
        <v>314</v>
      </c>
      <c r="N2791" s="21" t="s">
        <v>96</v>
      </c>
      <c r="O2791" s="21" t="s">
        <v>336</v>
      </c>
      <c r="Q2791" s="21" t="s">
        <v>344</v>
      </c>
      <c r="R2791" s="22">
        <v>45756</v>
      </c>
      <c r="W2791">
        <f>COUNTIF(大和コネクト証券!U:U,B2791)</f>
        <v>0</v>
      </c>
    </row>
    <row r="2792" spans="1:23" ht="24.95" hidden="1" customHeight="1" x14ac:dyDescent="0.4">
      <c r="A2792" s="17" t="s">
        <v>77</v>
      </c>
      <c r="B2792" s="15" t="s">
        <v>263</v>
      </c>
      <c r="C2792" s="16" t="s">
        <v>31</v>
      </c>
      <c r="D2792" s="16" t="s">
        <v>31</v>
      </c>
      <c r="E2792" s="15" t="s">
        <v>32</v>
      </c>
      <c r="F2792" s="15" t="s">
        <v>314</v>
      </c>
      <c r="N2792" s="21" t="s">
        <v>96</v>
      </c>
      <c r="O2792" s="21" t="s">
        <v>336</v>
      </c>
      <c r="Q2792" s="21" t="s">
        <v>344</v>
      </c>
      <c r="R2792" s="22">
        <v>45756</v>
      </c>
      <c r="W2792">
        <f>COUNTIF(大和コネクト証券!U:U,B2792)</f>
        <v>0</v>
      </c>
    </row>
    <row r="2793" spans="1:23" ht="24.95" hidden="1" customHeight="1" x14ac:dyDescent="0.4">
      <c r="A2793" s="17" t="s">
        <v>77</v>
      </c>
      <c r="B2793" s="15" t="s">
        <v>264</v>
      </c>
      <c r="C2793" s="16" t="s">
        <v>31</v>
      </c>
      <c r="D2793" s="16" t="s">
        <v>31</v>
      </c>
      <c r="E2793" s="15" t="s">
        <v>32</v>
      </c>
      <c r="F2793" s="15" t="s">
        <v>314</v>
      </c>
      <c r="N2793" s="21" t="s">
        <v>96</v>
      </c>
      <c r="O2793" s="21" t="s">
        <v>336</v>
      </c>
      <c r="Q2793" s="21" t="s">
        <v>344</v>
      </c>
      <c r="R2793" s="22">
        <v>45756</v>
      </c>
      <c r="W2793">
        <f>COUNTIF(大和コネクト証券!U:U,B2793)</f>
        <v>0</v>
      </c>
    </row>
    <row r="2794" spans="1:23" ht="24.95" hidden="1" customHeight="1" x14ac:dyDescent="0.4">
      <c r="A2794" s="17" t="s">
        <v>77</v>
      </c>
      <c r="B2794" s="15" t="s">
        <v>265</v>
      </c>
      <c r="C2794" s="16" t="s">
        <v>31</v>
      </c>
      <c r="D2794" s="16" t="s">
        <v>31</v>
      </c>
      <c r="E2794" s="15" t="s">
        <v>32</v>
      </c>
      <c r="F2794" s="15" t="s">
        <v>314</v>
      </c>
      <c r="N2794" s="21" t="s">
        <v>96</v>
      </c>
      <c r="O2794" s="21" t="s">
        <v>336</v>
      </c>
      <c r="Q2794" s="21" t="s">
        <v>344</v>
      </c>
      <c r="R2794" s="22">
        <v>45756</v>
      </c>
      <c r="W2794">
        <f>COUNTIF(大和コネクト証券!U:U,B2794)</f>
        <v>0</v>
      </c>
    </row>
    <row r="2795" spans="1:23" ht="24.95" hidden="1" customHeight="1" x14ac:dyDescent="0.4">
      <c r="A2795" s="17" t="s">
        <v>77</v>
      </c>
      <c r="B2795" s="15" t="s">
        <v>266</v>
      </c>
      <c r="C2795" s="16" t="s">
        <v>31</v>
      </c>
      <c r="D2795" s="16" t="s">
        <v>31</v>
      </c>
      <c r="E2795" s="15" t="s">
        <v>32</v>
      </c>
      <c r="F2795" s="15" t="s">
        <v>314</v>
      </c>
      <c r="N2795" s="21" t="s">
        <v>96</v>
      </c>
      <c r="O2795" s="21" t="s">
        <v>336</v>
      </c>
      <c r="Q2795" s="21" t="s">
        <v>344</v>
      </c>
      <c r="R2795" s="22">
        <v>45756</v>
      </c>
      <c r="W2795">
        <f>COUNTIF(大和コネクト証券!U:U,B2795)</f>
        <v>0</v>
      </c>
    </row>
    <row r="2796" spans="1:23" ht="24.95" hidden="1" customHeight="1" x14ac:dyDescent="0.4">
      <c r="A2796" s="17" t="s">
        <v>77</v>
      </c>
      <c r="B2796" s="15" t="s">
        <v>267</v>
      </c>
      <c r="C2796" s="16" t="s">
        <v>31</v>
      </c>
      <c r="D2796" s="16" t="s">
        <v>31</v>
      </c>
      <c r="E2796" s="15" t="s">
        <v>32</v>
      </c>
      <c r="F2796" s="15" t="s">
        <v>314</v>
      </c>
      <c r="N2796" s="21" t="s">
        <v>96</v>
      </c>
      <c r="O2796" s="21" t="s">
        <v>336</v>
      </c>
      <c r="Q2796" s="21" t="s">
        <v>344</v>
      </c>
      <c r="R2796" s="22">
        <v>45756</v>
      </c>
      <c r="W2796">
        <f>COUNTIF(大和コネクト証券!U:U,B2796)</f>
        <v>0</v>
      </c>
    </row>
    <row r="2797" spans="1:23" ht="24.95" hidden="1" customHeight="1" x14ac:dyDescent="0.4">
      <c r="A2797" s="17" t="s">
        <v>77</v>
      </c>
      <c r="B2797" s="15" t="s">
        <v>268</v>
      </c>
      <c r="C2797" s="16" t="s">
        <v>31</v>
      </c>
      <c r="D2797" s="16" t="s">
        <v>31</v>
      </c>
      <c r="E2797" s="15" t="s">
        <v>32</v>
      </c>
      <c r="F2797" s="15" t="s">
        <v>314</v>
      </c>
      <c r="N2797" s="21" t="s">
        <v>96</v>
      </c>
      <c r="O2797" s="21" t="s">
        <v>336</v>
      </c>
      <c r="Q2797" s="21" t="s">
        <v>344</v>
      </c>
      <c r="R2797" s="22">
        <v>45756</v>
      </c>
      <c r="W2797">
        <f>COUNTIF(大和コネクト証券!U:U,B2797)</f>
        <v>0</v>
      </c>
    </row>
    <row r="2798" spans="1:23" ht="24.95" hidden="1" customHeight="1" x14ac:dyDescent="0.4">
      <c r="A2798" s="17" t="s">
        <v>77</v>
      </c>
      <c r="B2798" s="15" t="s">
        <v>269</v>
      </c>
      <c r="C2798" s="16" t="s">
        <v>31</v>
      </c>
      <c r="D2798" s="16" t="s">
        <v>31</v>
      </c>
      <c r="E2798" s="15" t="s">
        <v>32</v>
      </c>
      <c r="F2798" s="15" t="s">
        <v>314</v>
      </c>
      <c r="N2798" s="21" t="s">
        <v>96</v>
      </c>
      <c r="O2798" s="21" t="s">
        <v>336</v>
      </c>
      <c r="Q2798" s="21" t="s">
        <v>344</v>
      </c>
      <c r="R2798" s="22">
        <v>45756</v>
      </c>
      <c r="W2798">
        <f>COUNTIF(大和コネクト証券!U:U,B2798)</f>
        <v>0</v>
      </c>
    </row>
    <row r="2799" spans="1:23" ht="24.95" hidden="1" customHeight="1" x14ac:dyDescent="0.4">
      <c r="A2799" s="17" t="s">
        <v>77</v>
      </c>
      <c r="B2799" s="15" t="s">
        <v>270</v>
      </c>
      <c r="C2799" s="16" t="s">
        <v>31</v>
      </c>
      <c r="D2799" s="16" t="s">
        <v>31</v>
      </c>
      <c r="E2799" s="15" t="s">
        <v>32</v>
      </c>
      <c r="F2799" s="15" t="s">
        <v>314</v>
      </c>
      <c r="N2799" s="21" t="s">
        <v>96</v>
      </c>
      <c r="O2799" s="21" t="s">
        <v>336</v>
      </c>
      <c r="Q2799" s="21" t="s">
        <v>344</v>
      </c>
      <c r="R2799" s="22">
        <v>45756</v>
      </c>
      <c r="W2799">
        <f>COUNTIF(大和コネクト証券!U:U,B2799)</f>
        <v>0</v>
      </c>
    </row>
    <row r="2800" spans="1:23" ht="24.95" hidden="1" customHeight="1" x14ac:dyDescent="0.4">
      <c r="A2800" s="17" t="s">
        <v>77</v>
      </c>
      <c r="B2800" s="15" t="s">
        <v>271</v>
      </c>
      <c r="C2800" s="16" t="s">
        <v>31</v>
      </c>
      <c r="D2800" s="16" t="s">
        <v>31</v>
      </c>
      <c r="E2800" s="15" t="s">
        <v>32</v>
      </c>
      <c r="F2800" s="15" t="s">
        <v>314</v>
      </c>
      <c r="N2800" s="21" t="s">
        <v>96</v>
      </c>
      <c r="O2800" s="21" t="s">
        <v>336</v>
      </c>
      <c r="Q2800" s="21" t="s">
        <v>344</v>
      </c>
      <c r="R2800" s="22">
        <v>45756</v>
      </c>
      <c r="W2800">
        <f>COUNTIF(大和コネクト証券!U:U,B2800)</f>
        <v>0</v>
      </c>
    </row>
    <row r="2801" spans="1:23" ht="24.95" hidden="1" customHeight="1" x14ac:dyDescent="0.4">
      <c r="A2801" s="17" t="s">
        <v>77</v>
      </c>
      <c r="B2801" s="15" t="s">
        <v>366</v>
      </c>
      <c r="C2801" s="16" t="s">
        <v>31</v>
      </c>
      <c r="D2801" s="16" t="s">
        <v>31</v>
      </c>
      <c r="E2801" s="15" t="s">
        <v>32</v>
      </c>
      <c r="F2801" s="15" t="s">
        <v>365</v>
      </c>
      <c r="N2801" s="21" t="s">
        <v>374</v>
      </c>
      <c r="O2801" s="21" t="s">
        <v>373</v>
      </c>
      <c r="Q2801" s="21" t="s">
        <v>344</v>
      </c>
      <c r="R2801" s="22">
        <v>45883</v>
      </c>
      <c r="W2801">
        <f>COUNTIF(大和コネクト証券!U:U,B2801)</f>
        <v>0</v>
      </c>
    </row>
    <row r="2802" spans="1:23" ht="24.95" hidden="1" customHeight="1" x14ac:dyDescent="0.4">
      <c r="A2802" s="17" t="s">
        <v>77</v>
      </c>
      <c r="B2802" s="15" t="s">
        <v>367</v>
      </c>
      <c r="C2802" s="16" t="s">
        <v>31</v>
      </c>
      <c r="D2802" s="16" t="s">
        <v>31</v>
      </c>
      <c r="E2802" s="15" t="s">
        <v>32</v>
      </c>
      <c r="F2802" s="15" t="s">
        <v>365</v>
      </c>
      <c r="N2802" s="21" t="s">
        <v>374</v>
      </c>
      <c r="O2802" s="21" t="s">
        <v>373</v>
      </c>
      <c r="Q2802" s="21" t="s">
        <v>344</v>
      </c>
      <c r="R2802" s="22">
        <v>45883</v>
      </c>
      <c r="W2802">
        <f>COUNTIF(大和コネクト証券!U:U,B2802)</f>
        <v>0</v>
      </c>
    </row>
    <row r="2803" spans="1:23" ht="24.95" hidden="1" customHeight="1" x14ac:dyDescent="0.4">
      <c r="A2803" s="17" t="s">
        <v>77</v>
      </c>
      <c r="B2803" s="15" t="s">
        <v>272</v>
      </c>
      <c r="C2803" s="16" t="s">
        <v>31</v>
      </c>
      <c r="D2803" s="16" t="s">
        <v>31</v>
      </c>
      <c r="E2803" s="15" t="s">
        <v>32</v>
      </c>
      <c r="F2803" s="15" t="s">
        <v>314</v>
      </c>
      <c r="N2803" s="21" t="s">
        <v>96</v>
      </c>
      <c r="O2803" s="21" t="s">
        <v>336</v>
      </c>
      <c r="Q2803" s="21" t="s">
        <v>344</v>
      </c>
      <c r="R2803" s="22">
        <v>45756</v>
      </c>
      <c r="W2803">
        <f>COUNTIF(大和コネクト証券!U:U,B2803)</f>
        <v>0</v>
      </c>
    </row>
    <row r="2804" spans="1:23" ht="24.95" hidden="1" customHeight="1" x14ac:dyDescent="0.4">
      <c r="A2804" s="17" t="s">
        <v>77</v>
      </c>
      <c r="B2804" s="15" t="s">
        <v>273</v>
      </c>
      <c r="C2804" s="16" t="s">
        <v>31</v>
      </c>
      <c r="D2804" s="16" t="s">
        <v>31</v>
      </c>
      <c r="E2804" s="15" t="s">
        <v>32</v>
      </c>
      <c r="F2804" s="15" t="s">
        <v>314</v>
      </c>
      <c r="N2804" s="21" t="s">
        <v>96</v>
      </c>
      <c r="O2804" s="21" t="s">
        <v>336</v>
      </c>
      <c r="Q2804" s="21" t="s">
        <v>344</v>
      </c>
      <c r="R2804" s="22">
        <v>45756</v>
      </c>
      <c r="W2804">
        <f>COUNTIF(大和コネクト証券!U:U,B2804)</f>
        <v>0</v>
      </c>
    </row>
    <row r="2805" spans="1:23" ht="24.95" hidden="1" customHeight="1" x14ac:dyDescent="0.4">
      <c r="A2805" s="17" t="s">
        <v>77</v>
      </c>
      <c r="B2805" s="15" t="s">
        <v>274</v>
      </c>
      <c r="C2805" s="16" t="s">
        <v>31</v>
      </c>
      <c r="D2805" s="16" t="s">
        <v>31</v>
      </c>
      <c r="E2805" s="15" t="s">
        <v>32</v>
      </c>
      <c r="F2805" s="15" t="s">
        <v>314</v>
      </c>
      <c r="N2805" s="21" t="s">
        <v>96</v>
      </c>
      <c r="O2805" s="21" t="s">
        <v>336</v>
      </c>
      <c r="Q2805" s="21" t="s">
        <v>344</v>
      </c>
      <c r="R2805" s="22">
        <v>45756</v>
      </c>
      <c r="W2805">
        <f>COUNTIF(大和コネクト証券!U:U,B2805)</f>
        <v>0</v>
      </c>
    </row>
    <row r="2806" spans="1:23" ht="24.95" hidden="1" customHeight="1" x14ac:dyDescent="0.4">
      <c r="A2806" s="17" t="s">
        <v>77</v>
      </c>
      <c r="B2806" s="15" t="s">
        <v>275</v>
      </c>
      <c r="C2806" s="16" t="s">
        <v>31</v>
      </c>
      <c r="D2806" s="16" t="s">
        <v>31</v>
      </c>
      <c r="E2806" s="15" t="s">
        <v>32</v>
      </c>
      <c r="F2806" s="15" t="s">
        <v>314</v>
      </c>
      <c r="N2806" s="21" t="s">
        <v>96</v>
      </c>
      <c r="O2806" s="21" t="s">
        <v>336</v>
      </c>
      <c r="Q2806" s="21" t="s">
        <v>344</v>
      </c>
      <c r="R2806" s="22">
        <v>45756</v>
      </c>
      <c r="W2806">
        <f>COUNTIF(大和コネクト証券!U:U,B2806)</f>
        <v>0</v>
      </c>
    </row>
    <row r="2807" spans="1:23" ht="24.95" hidden="1" customHeight="1" x14ac:dyDescent="0.4">
      <c r="A2807" s="17" t="s">
        <v>77</v>
      </c>
      <c r="B2807" s="15" t="s">
        <v>276</v>
      </c>
      <c r="C2807" s="16" t="s">
        <v>31</v>
      </c>
      <c r="D2807" s="16" t="s">
        <v>31</v>
      </c>
      <c r="E2807" s="15" t="s">
        <v>32</v>
      </c>
      <c r="F2807" s="15" t="s">
        <v>314</v>
      </c>
      <c r="N2807" s="21" t="s">
        <v>96</v>
      </c>
      <c r="O2807" s="21" t="s">
        <v>336</v>
      </c>
      <c r="Q2807" s="21" t="s">
        <v>344</v>
      </c>
      <c r="R2807" s="22">
        <v>45756</v>
      </c>
      <c r="W2807">
        <f>COUNTIF(大和コネクト証券!U:U,B2807)</f>
        <v>0</v>
      </c>
    </row>
    <row r="2808" spans="1:23" ht="24.95" hidden="1" customHeight="1" x14ac:dyDescent="0.4">
      <c r="A2808" s="17" t="s">
        <v>77</v>
      </c>
      <c r="B2808" s="15" t="s">
        <v>277</v>
      </c>
      <c r="C2808" s="16" t="s">
        <v>31</v>
      </c>
      <c r="D2808" s="16" t="s">
        <v>31</v>
      </c>
      <c r="E2808" s="15" t="s">
        <v>32</v>
      </c>
      <c r="F2808" s="15" t="s">
        <v>314</v>
      </c>
      <c r="N2808" s="21" t="s">
        <v>96</v>
      </c>
      <c r="O2808" s="21" t="s">
        <v>336</v>
      </c>
      <c r="Q2808" s="21" t="s">
        <v>344</v>
      </c>
      <c r="R2808" s="22">
        <v>45756</v>
      </c>
      <c r="W2808">
        <f>COUNTIF(大和コネクト証券!U:U,B2808)</f>
        <v>0</v>
      </c>
    </row>
    <row r="2809" spans="1:23" ht="24.95" hidden="1" customHeight="1" x14ac:dyDescent="0.4">
      <c r="A2809" s="17" t="s">
        <v>77</v>
      </c>
      <c r="B2809" s="15" t="s">
        <v>278</v>
      </c>
      <c r="C2809" s="16" t="s">
        <v>31</v>
      </c>
      <c r="D2809" s="16" t="s">
        <v>31</v>
      </c>
      <c r="E2809" s="15" t="s">
        <v>32</v>
      </c>
      <c r="F2809" s="15" t="s">
        <v>314</v>
      </c>
      <c r="N2809" s="21" t="s">
        <v>96</v>
      </c>
      <c r="O2809" s="21" t="s">
        <v>336</v>
      </c>
      <c r="Q2809" s="21" t="s">
        <v>344</v>
      </c>
      <c r="R2809" s="22">
        <v>45756</v>
      </c>
      <c r="W2809">
        <f>COUNTIF(大和コネクト証券!U:U,B2809)</f>
        <v>0</v>
      </c>
    </row>
    <row r="2810" spans="1:23" ht="24.95" hidden="1" customHeight="1" x14ac:dyDescent="0.4">
      <c r="A2810" s="17" t="s">
        <v>77</v>
      </c>
      <c r="B2810" s="15" t="s">
        <v>279</v>
      </c>
      <c r="C2810" s="16" t="s">
        <v>31</v>
      </c>
      <c r="D2810" s="16" t="s">
        <v>31</v>
      </c>
      <c r="E2810" s="15" t="s">
        <v>32</v>
      </c>
      <c r="F2810" s="15" t="s">
        <v>314</v>
      </c>
      <c r="N2810" s="21" t="s">
        <v>96</v>
      </c>
      <c r="O2810" s="21" t="s">
        <v>336</v>
      </c>
      <c r="Q2810" s="21" t="s">
        <v>344</v>
      </c>
      <c r="R2810" s="22">
        <v>45756</v>
      </c>
      <c r="W2810">
        <f>COUNTIF(大和コネクト証券!U:U,B2810)</f>
        <v>0</v>
      </c>
    </row>
    <row r="2811" spans="1:23" ht="24.95" hidden="1" customHeight="1" x14ac:dyDescent="0.4">
      <c r="A2811" s="17" t="s">
        <v>77</v>
      </c>
      <c r="B2811" s="15" t="s">
        <v>280</v>
      </c>
      <c r="C2811" s="16" t="s">
        <v>31</v>
      </c>
      <c r="D2811" s="16" t="s">
        <v>31</v>
      </c>
      <c r="E2811" s="15" t="s">
        <v>32</v>
      </c>
      <c r="F2811" s="15" t="s">
        <v>314</v>
      </c>
      <c r="N2811" s="21" t="s">
        <v>96</v>
      </c>
      <c r="O2811" s="21" t="s">
        <v>336</v>
      </c>
      <c r="Q2811" s="21" t="s">
        <v>344</v>
      </c>
      <c r="R2811" s="22">
        <v>45756</v>
      </c>
      <c r="W2811">
        <f>COUNTIF(大和コネクト証券!U:U,B2811)</f>
        <v>0</v>
      </c>
    </row>
    <row r="2812" spans="1:23" ht="24.95" hidden="1" customHeight="1" x14ac:dyDescent="0.4">
      <c r="A2812" s="17" t="s">
        <v>77</v>
      </c>
      <c r="B2812" s="15" t="s">
        <v>281</v>
      </c>
      <c r="C2812" s="16" t="s">
        <v>31</v>
      </c>
      <c r="D2812" s="16" t="s">
        <v>31</v>
      </c>
      <c r="E2812" s="15" t="s">
        <v>32</v>
      </c>
      <c r="F2812" s="15" t="s">
        <v>314</v>
      </c>
      <c r="N2812" s="21" t="s">
        <v>96</v>
      </c>
      <c r="O2812" s="21" t="s">
        <v>336</v>
      </c>
      <c r="Q2812" s="21" t="s">
        <v>344</v>
      </c>
      <c r="R2812" s="22">
        <v>45756</v>
      </c>
      <c r="W2812">
        <f>COUNTIF(大和コネクト証券!U:U,B2812)</f>
        <v>0</v>
      </c>
    </row>
    <row r="2813" spans="1:23" ht="24.95" hidden="1" customHeight="1" x14ac:dyDescent="0.4">
      <c r="A2813" s="17" t="s">
        <v>77</v>
      </c>
      <c r="B2813" s="15" t="s">
        <v>282</v>
      </c>
      <c r="C2813" s="16" t="s">
        <v>31</v>
      </c>
      <c r="D2813" s="16" t="s">
        <v>31</v>
      </c>
      <c r="E2813" s="15" t="s">
        <v>32</v>
      </c>
      <c r="F2813" s="15" t="s">
        <v>314</v>
      </c>
      <c r="N2813" s="21" t="s">
        <v>96</v>
      </c>
      <c r="O2813" s="21" t="s">
        <v>336</v>
      </c>
      <c r="Q2813" s="21" t="s">
        <v>344</v>
      </c>
      <c r="R2813" s="22">
        <v>45756</v>
      </c>
      <c r="W2813">
        <f>COUNTIF(大和コネクト証券!U:U,B2813)</f>
        <v>0</v>
      </c>
    </row>
    <row r="2814" spans="1:23" ht="24.95" hidden="1" customHeight="1" x14ac:dyDescent="0.4">
      <c r="A2814" s="17" t="s">
        <v>77</v>
      </c>
      <c r="B2814" s="15" t="s">
        <v>283</v>
      </c>
      <c r="C2814" s="16" t="s">
        <v>31</v>
      </c>
      <c r="D2814" s="16" t="s">
        <v>31</v>
      </c>
      <c r="E2814" s="15" t="s">
        <v>32</v>
      </c>
      <c r="F2814" s="15" t="s">
        <v>314</v>
      </c>
      <c r="N2814" s="21" t="s">
        <v>96</v>
      </c>
      <c r="O2814" s="21" t="s">
        <v>336</v>
      </c>
      <c r="Q2814" s="21" t="s">
        <v>344</v>
      </c>
      <c r="R2814" s="22">
        <v>45756</v>
      </c>
      <c r="W2814">
        <f>COUNTIF(大和コネクト証券!U:U,B2814)</f>
        <v>0</v>
      </c>
    </row>
    <row r="2815" spans="1:23" ht="24.95" hidden="1" customHeight="1" x14ac:dyDescent="0.4">
      <c r="A2815" s="17" t="s">
        <v>77</v>
      </c>
      <c r="B2815" s="15" t="s">
        <v>284</v>
      </c>
      <c r="C2815" s="16" t="s">
        <v>31</v>
      </c>
      <c r="D2815" s="16" t="s">
        <v>31</v>
      </c>
      <c r="E2815" s="15" t="s">
        <v>32</v>
      </c>
      <c r="F2815" s="15" t="s">
        <v>314</v>
      </c>
      <c r="N2815" s="21" t="s">
        <v>96</v>
      </c>
      <c r="O2815" s="21" t="s">
        <v>336</v>
      </c>
      <c r="Q2815" s="21" t="s">
        <v>344</v>
      </c>
      <c r="R2815" s="22">
        <v>45756</v>
      </c>
      <c r="W2815">
        <f>COUNTIF(大和コネクト証券!U:U,B2815)</f>
        <v>0</v>
      </c>
    </row>
    <row r="2816" spans="1:23" ht="24.95" hidden="1" customHeight="1" x14ac:dyDescent="0.4">
      <c r="A2816" s="17" t="s">
        <v>77</v>
      </c>
      <c r="B2816" s="15" t="s">
        <v>285</v>
      </c>
      <c r="C2816" s="16" t="s">
        <v>31</v>
      </c>
      <c r="D2816" s="16" t="s">
        <v>31</v>
      </c>
      <c r="E2816" s="15" t="s">
        <v>32</v>
      </c>
      <c r="F2816" s="15" t="s">
        <v>314</v>
      </c>
      <c r="N2816" s="21" t="s">
        <v>96</v>
      </c>
      <c r="O2816" s="21" t="s">
        <v>336</v>
      </c>
      <c r="Q2816" s="21" t="s">
        <v>344</v>
      </c>
      <c r="R2816" s="22">
        <v>45756</v>
      </c>
      <c r="W2816">
        <f>COUNTIF(大和コネクト証券!U:U,B2816)</f>
        <v>0</v>
      </c>
    </row>
    <row r="2817" spans="1:23" ht="24.95" hidden="1" customHeight="1" x14ac:dyDescent="0.4">
      <c r="A2817" s="17" t="s">
        <v>77</v>
      </c>
      <c r="B2817" s="15" t="s">
        <v>286</v>
      </c>
      <c r="C2817" s="16" t="s">
        <v>31</v>
      </c>
      <c r="D2817" s="16" t="s">
        <v>31</v>
      </c>
      <c r="E2817" s="15" t="s">
        <v>32</v>
      </c>
      <c r="F2817" s="15" t="s">
        <v>314</v>
      </c>
      <c r="N2817" s="21" t="s">
        <v>96</v>
      </c>
      <c r="O2817" s="21" t="s">
        <v>336</v>
      </c>
      <c r="Q2817" s="21" t="s">
        <v>344</v>
      </c>
      <c r="R2817" s="22">
        <v>45756</v>
      </c>
      <c r="W2817">
        <f>COUNTIF(大和コネクト証券!U:U,B2817)</f>
        <v>0</v>
      </c>
    </row>
    <row r="2818" spans="1:23" ht="24.95" hidden="1" customHeight="1" x14ac:dyDescent="0.4">
      <c r="A2818" s="17" t="s">
        <v>77</v>
      </c>
      <c r="B2818" s="15" t="s">
        <v>287</v>
      </c>
      <c r="C2818" s="16" t="s">
        <v>31</v>
      </c>
      <c r="D2818" s="16" t="s">
        <v>31</v>
      </c>
      <c r="E2818" s="15" t="s">
        <v>32</v>
      </c>
      <c r="F2818" s="15" t="s">
        <v>314</v>
      </c>
      <c r="N2818" s="21" t="s">
        <v>96</v>
      </c>
      <c r="O2818" s="21" t="s">
        <v>336</v>
      </c>
      <c r="Q2818" s="21" t="s">
        <v>344</v>
      </c>
      <c r="R2818" s="22">
        <v>45756</v>
      </c>
      <c r="W2818">
        <f>COUNTIF(大和コネクト証券!U:U,B2818)</f>
        <v>0</v>
      </c>
    </row>
    <row r="2819" spans="1:23" ht="24.95" hidden="1" customHeight="1" x14ac:dyDescent="0.4">
      <c r="A2819" s="17" t="s">
        <v>77</v>
      </c>
      <c r="B2819" s="15" t="s">
        <v>342</v>
      </c>
      <c r="C2819" s="16" t="s">
        <v>31</v>
      </c>
      <c r="D2819" s="16" t="s">
        <v>31</v>
      </c>
      <c r="E2819" s="15" t="s">
        <v>32</v>
      </c>
      <c r="F2819" s="15" t="s">
        <v>340</v>
      </c>
      <c r="N2819" s="21" t="s">
        <v>96</v>
      </c>
      <c r="O2819" s="21" t="s">
        <v>345</v>
      </c>
      <c r="Q2819" s="21" t="s">
        <v>344</v>
      </c>
      <c r="R2819" s="22">
        <v>45784</v>
      </c>
      <c r="W2819">
        <f>COUNTIF(大和コネクト証券!U:U,B2819)</f>
        <v>0</v>
      </c>
    </row>
    <row r="2820" spans="1:23" ht="24.95" hidden="1" customHeight="1" x14ac:dyDescent="0.4">
      <c r="A2820" s="17" t="s">
        <v>77</v>
      </c>
      <c r="B2820" s="15" t="s">
        <v>288</v>
      </c>
      <c r="C2820" s="16" t="s">
        <v>31</v>
      </c>
      <c r="D2820" s="16" t="s">
        <v>31</v>
      </c>
      <c r="E2820" s="15" t="s">
        <v>32</v>
      </c>
      <c r="F2820" s="15" t="s">
        <v>314</v>
      </c>
      <c r="N2820" s="21" t="s">
        <v>96</v>
      </c>
      <c r="O2820" s="21" t="s">
        <v>336</v>
      </c>
      <c r="Q2820" s="21" t="s">
        <v>344</v>
      </c>
      <c r="R2820" s="22">
        <v>45756</v>
      </c>
      <c r="W2820">
        <f>COUNTIF(大和コネクト証券!U:U,B2820)</f>
        <v>0</v>
      </c>
    </row>
    <row r="2821" spans="1:23" ht="24.95" hidden="1" customHeight="1" x14ac:dyDescent="0.4">
      <c r="A2821" s="17" t="s">
        <v>77</v>
      </c>
      <c r="B2821" s="15" t="s">
        <v>289</v>
      </c>
      <c r="C2821" s="16" t="s">
        <v>31</v>
      </c>
      <c r="D2821" s="16" t="s">
        <v>31</v>
      </c>
      <c r="E2821" s="15" t="s">
        <v>32</v>
      </c>
      <c r="F2821" s="15" t="s">
        <v>314</v>
      </c>
      <c r="N2821" s="21" t="s">
        <v>96</v>
      </c>
      <c r="O2821" s="21" t="s">
        <v>336</v>
      </c>
      <c r="Q2821" s="21" t="s">
        <v>344</v>
      </c>
      <c r="R2821" s="22">
        <v>45756</v>
      </c>
      <c r="W2821">
        <f>COUNTIF(大和コネクト証券!U:U,B2821)</f>
        <v>0</v>
      </c>
    </row>
    <row r="2822" spans="1:23" ht="24.95" hidden="1" customHeight="1" x14ac:dyDescent="0.4">
      <c r="A2822" s="17" t="s">
        <v>77</v>
      </c>
      <c r="B2822" s="15" t="s">
        <v>290</v>
      </c>
      <c r="C2822" s="16" t="s">
        <v>31</v>
      </c>
      <c r="D2822" s="16" t="s">
        <v>31</v>
      </c>
      <c r="E2822" s="15" t="s">
        <v>32</v>
      </c>
      <c r="F2822" s="15" t="s">
        <v>314</v>
      </c>
      <c r="N2822" s="21" t="s">
        <v>96</v>
      </c>
      <c r="O2822" s="21" t="s">
        <v>336</v>
      </c>
      <c r="Q2822" s="21" t="s">
        <v>344</v>
      </c>
      <c r="R2822" s="22">
        <v>45756</v>
      </c>
      <c r="W2822">
        <f>COUNTIF(大和コネクト証券!U:U,B2822)</f>
        <v>0</v>
      </c>
    </row>
    <row r="2823" spans="1:23" ht="24.95" hidden="1" customHeight="1" x14ac:dyDescent="0.4">
      <c r="A2823" s="17" t="s">
        <v>77</v>
      </c>
      <c r="B2823" s="15" t="s">
        <v>291</v>
      </c>
      <c r="C2823" s="16" t="s">
        <v>31</v>
      </c>
      <c r="D2823" s="16" t="s">
        <v>31</v>
      </c>
      <c r="E2823" s="15" t="s">
        <v>32</v>
      </c>
      <c r="F2823" s="15" t="s">
        <v>314</v>
      </c>
      <c r="N2823" s="21" t="s">
        <v>96</v>
      </c>
      <c r="O2823" s="21" t="s">
        <v>336</v>
      </c>
      <c r="Q2823" s="21" t="s">
        <v>344</v>
      </c>
      <c r="R2823" s="22">
        <v>45756</v>
      </c>
      <c r="W2823">
        <f>COUNTIF(大和コネクト証券!U:U,B2823)</f>
        <v>0</v>
      </c>
    </row>
    <row r="2824" spans="1:23" ht="24.95" hidden="1" customHeight="1" x14ac:dyDescent="0.4">
      <c r="A2824" s="17" t="s">
        <v>77</v>
      </c>
      <c r="B2824" s="15" t="s">
        <v>292</v>
      </c>
      <c r="C2824" s="16" t="s">
        <v>31</v>
      </c>
      <c r="D2824" s="16" t="s">
        <v>31</v>
      </c>
      <c r="E2824" s="15" t="s">
        <v>32</v>
      </c>
      <c r="F2824" s="15" t="s">
        <v>314</v>
      </c>
      <c r="N2824" s="21" t="s">
        <v>96</v>
      </c>
      <c r="O2824" s="21" t="s">
        <v>336</v>
      </c>
      <c r="Q2824" s="21" t="s">
        <v>344</v>
      </c>
      <c r="R2824" s="22">
        <v>45756</v>
      </c>
      <c r="W2824">
        <f>COUNTIF(大和コネクト証券!U:U,B2824)</f>
        <v>0</v>
      </c>
    </row>
    <row r="2825" spans="1:23" ht="24.95" hidden="1" customHeight="1" x14ac:dyDescent="0.4">
      <c r="A2825" s="17" t="s">
        <v>77</v>
      </c>
      <c r="B2825" s="15" t="s">
        <v>293</v>
      </c>
      <c r="C2825" s="16" t="s">
        <v>31</v>
      </c>
      <c r="D2825" s="16" t="s">
        <v>31</v>
      </c>
      <c r="E2825" s="15" t="s">
        <v>32</v>
      </c>
      <c r="F2825" s="15" t="s">
        <v>314</v>
      </c>
      <c r="N2825" s="21" t="s">
        <v>96</v>
      </c>
      <c r="O2825" s="21" t="s">
        <v>336</v>
      </c>
      <c r="Q2825" s="21" t="s">
        <v>344</v>
      </c>
      <c r="R2825" s="22">
        <v>45756</v>
      </c>
      <c r="W2825">
        <f>COUNTIF(大和コネクト証券!U:U,B2825)</f>
        <v>0</v>
      </c>
    </row>
    <row r="2826" spans="1:23" ht="24.95" hidden="1" customHeight="1" x14ac:dyDescent="0.4">
      <c r="A2826" s="17" t="s">
        <v>77</v>
      </c>
      <c r="B2826" s="15" t="s">
        <v>294</v>
      </c>
      <c r="C2826" s="16" t="s">
        <v>31</v>
      </c>
      <c r="D2826" s="16" t="s">
        <v>31</v>
      </c>
      <c r="E2826" s="15" t="s">
        <v>32</v>
      </c>
      <c r="F2826" s="15" t="s">
        <v>314</v>
      </c>
      <c r="N2826" s="21" t="s">
        <v>96</v>
      </c>
      <c r="O2826" s="21" t="s">
        <v>336</v>
      </c>
      <c r="Q2826" s="21" t="s">
        <v>344</v>
      </c>
      <c r="R2826" s="22">
        <v>45756</v>
      </c>
      <c r="W2826">
        <f>COUNTIF(大和コネクト証券!U:U,B2826)</f>
        <v>0</v>
      </c>
    </row>
    <row r="2827" spans="1:23" ht="24.95" hidden="1" customHeight="1" x14ac:dyDescent="0.4">
      <c r="A2827" s="17" t="s">
        <v>77</v>
      </c>
      <c r="B2827" s="15" t="s">
        <v>295</v>
      </c>
      <c r="C2827" s="16" t="s">
        <v>31</v>
      </c>
      <c r="D2827" s="16" t="s">
        <v>31</v>
      </c>
      <c r="E2827" s="15" t="s">
        <v>32</v>
      </c>
      <c r="F2827" s="15" t="s">
        <v>314</v>
      </c>
      <c r="N2827" s="21" t="s">
        <v>96</v>
      </c>
      <c r="O2827" s="21" t="s">
        <v>336</v>
      </c>
      <c r="Q2827" s="21" t="s">
        <v>344</v>
      </c>
      <c r="R2827" s="22">
        <v>45756</v>
      </c>
      <c r="W2827">
        <f>COUNTIF(大和コネクト証券!U:U,B2827)</f>
        <v>0</v>
      </c>
    </row>
    <row r="2828" spans="1:23" ht="24.95" hidden="1" customHeight="1" x14ac:dyDescent="0.4">
      <c r="A2828" s="17" t="s">
        <v>77</v>
      </c>
      <c r="B2828" s="15" t="s">
        <v>296</v>
      </c>
      <c r="C2828" s="16" t="s">
        <v>31</v>
      </c>
      <c r="D2828" s="16" t="s">
        <v>31</v>
      </c>
      <c r="E2828" s="15" t="s">
        <v>32</v>
      </c>
      <c r="F2828" s="15" t="s">
        <v>314</v>
      </c>
      <c r="N2828" s="21" t="s">
        <v>96</v>
      </c>
      <c r="O2828" s="21" t="s">
        <v>336</v>
      </c>
      <c r="Q2828" s="21" t="s">
        <v>344</v>
      </c>
      <c r="R2828" s="22">
        <v>45756</v>
      </c>
      <c r="W2828">
        <f>COUNTIF(大和コネクト証券!U:U,B2828)</f>
        <v>0</v>
      </c>
    </row>
    <row r="2829" spans="1:23" ht="24.95" hidden="1" customHeight="1" x14ac:dyDescent="0.4">
      <c r="A2829" s="17" t="s">
        <v>77</v>
      </c>
      <c r="B2829" s="15" t="s">
        <v>297</v>
      </c>
      <c r="C2829" s="16" t="s">
        <v>31</v>
      </c>
      <c r="D2829" s="16" t="s">
        <v>31</v>
      </c>
      <c r="E2829" s="15" t="s">
        <v>32</v>
      </c>
      <c r="F2829" s="15" t="s">
        <v>314</v>
      </c>
      <c r="N2829" s="21" t="s">
        <v>96</v>
      </c>
      <c r="O2829" s="21" t="s">
        <v>336</v>
      </c>
      <c r="Q2829" s="21" t="s">
        <v>344</v>
      </c>
      <c r="R2829" s="22">
        <v>45756</v>
      </c>
      <c r="W2829">
        <f>COUNTIF(大和コネクト証券!U:U,B2829)</f>
        <v>0</v>
      </c>
    </row>
    <row r="2830" spans="1:23" ht="24.95" hidden="1" customHeight="1" x14ac:dyDescent="0.4">
      <c r="A2830" s="17" t="s">
        <v>77</v>
      </c>
      <c r="B2830" s="15" t="s">
        <v>298</v>
      </c>
      <c r="C2830" s="16" t="s">
        <v>31</v>
      </c>
      <c r="D2830" s="16" t="s">
        <v>31</v>
      </c>
      <c r="E2830" s="15" t="s">
        <v>32</v>
      </c>
      <c r="F2830" s="15" t="s">
        <v>314</v>
      </c>
      <c r="N2830" s="21" t="s">
        <v>96</v>
      </c>
      <c r="O2830" s="21" t="s">
        <v>336</v>
      </c>
      <c r="Q2830" s="21" t="s">
        <v>344</v>
      </c>
      <c r="R2830" s="22">
        <v>45756</v>
      </c>
      <c r="W2830">
        <f>COUNTIF(大和コネクト証券!U:U,B2830)</f>
        <v>0</v>
      </c>
    </row>
    <row r="2831" spans="1:23" ht="24.95" hidden="1" customHeight="1" x14ac:dyDescent="0.4">
      <c r="A2831" s="17" t="s">
        <v>77</v>
      </c>
      <c r="B2831" s="15" t="s">
        <v>299</v>
      </c>
      <c r="C2831" s="16" t="s">
        <v>31</v>
      </c>
      <c r="D2831" s="16" t="s">
        <v>31</v>
      </c>
      <c r="E2831" s="15" t="s">
        <v>32</v>
      </c>
      <c r="F2831" s="15" t="s">
        <v>314</v>
      </c>
      <c r="N2831" s="21" t="s">
        <v>96</v>
      </c>
      <c r="O2831" s="21" t="s">
        <v>336</v>
      </c>
      <c r="Q2831" s="21" t="s">
        <v>344</v>
      </c>
      <c r="R2831" s="22">
        <v>45756</v>
      </c>
      <c r="W2831">
        <f>COUNTIF(大和コネクト証券!U:U,B2831)</f>
        <v>0</v>
      </c>
    </row>
    <row r="2832" spans="1:23" ht="24.95" hidden="1" customHeight="1" x14ac:dyDescent="0.4">
      <c r="A2832" s="17" t="s">
        <v>77</v>
      </c>
      <c r="B2832" s="15" t="s">
        <v>300</v>
      </c>
      <c r="C2832" s="16" t="s">
        <v>31</v>
      </c>
      <c r="D2832" s="16" t="s">
        <v>31</v>
      </c>
      <c r="E2832" s="15" t="s">
        <v>32</v>
      </c>
      <c r="F2832" s="15" t="s">
        <v>314</v>
      </c>
      <c r="N2832" s="21" t="s">
        <v>96</v>
      </c>
      <c r="O2832" s="21" t="s">
        <v>336</v>
      </c>
      <c r="Q2832" s="21" t="s">
        <v>344</v>
      </c>
      <c r="R2832" s="22">
        <v>45756</v>
      </c>
      <c r="W2832">
        <f>COUNTIF(大和コネクト証券!U:U,B2832)</f>
        <v>0</v>
      </c>
    </row>
    <row r="2833" spans="1:23" ht="24.95" hidden="1" customHeight="1" x14ac:dyDescent="0.4">
      <c r="A2833" s="17" t="s">
        <v>77</v>
      </c>
      <c r="B2833" s="15" t="s">
        <v>301</v>
      </c>
      <c r="C2833" s="16" t="s">
        <v>31</v>
      </c>
      <c r="D2833" s="16" t="s">
        <v>31</v>
      </c>
      <c r="E2833" s="15" t="s">
        <v>32</v>
      </c>
      <c r="F2833" s="15" t="s">
        <v>314</v>
      </c>
      <c r="N2833" s="21" t="s">
        <v>96</v>
      </c>
      <c r="O2833" s="21" t="s">
        <v>336</v>
      </c>
      <c r="Q2833" s="21" t="s">
        <v>344</v>
      </c>
      <c r="R2833" s="22">
        <v>45756</v>
      </c>
      <c r="W2833">
        <f>COUNTIF(大和コネクト証券!U:U,B2833)</f>
        <v>0</v>
      </c>
    </row>
    <row r="2834" spans="1:23" ht="24.95" hidden="1" customHeight="1" x14ac:dyDescent="0.4">
      <c r="A2834" s="17" t="s">
        <v>77</v>
      </c>
      <c r="B2834" s="15" t="s">
        <v>302</v>
      </c>
      <c r="C2834" s="16" t="s">
        <v>31</v>
      </c>
      <c r="D2834" s="16" t="s">
        <v>31</v>
      </c>
      <c r="E2834" s="15" t="s">
        <v>32</v>
      </c>
      <c r="F2834" s="15" t="s">
        <v>314</v>
      </c>
      <c r="N2834" s="21" t="s">
        <v>96</v>
      </c>
      <c r="O2834" s="21" t="s">
        <v>336</v>
      </c>
      <c r="Q2834" s="21" t="s">
        <v>344</v>
      </c>
      <c r="R2834" s="22">
        <v>45756</v>
      </c>
      <c r="W2834">
        <f>COUNTIF(大和コネクト証券!U:U,B2834)</f>
        <v>0</v>
      </c>
    </row>
    <row r="2835" spans="1:23" ht="24.95" hidden="1" customHeight="1" x14ac:dyDescent="0.4">
      <c r="A2835" s="17" t="s">
        <v>77</v>
      </c>
      <c r="B2835" s="15" t="s">
        <v>303</v>
      </c>
      <c r="C2835" s="16" t="s">
        <v>31</v>
      </c>
      <c r="D2835" s="16" t="s">
        <v>31</v>
      </c>
      <c r="E2835" s="15" t="s">
        <v>32</v>
      </c>
      <c r="F2835" s="15" t="s">
        <v>314</v>
      </c>
      <c r="N2835" s="21" t="s">
        <v>96</v>
      </c>
      <c r="O2835" s="21" t="s">
        <v>336</v>
      </c>
      <c r="Q2835" s="21" t="s">
        <v>344</v>
      </c>
      <c r="R2835" s="22">
        <v>45756</v>
      </c>
      <c r="W2835">
        <f>COUNTIF(大和コネクト証券!U:U,B2835)</f>
        <v>0</v>
      </c>
    </row>
    <row r="2836" spans="1:23" ht="24.95" hidden="1" customHeight="1" x14ac:dyDescent="0.4">
      <c r="A2836" s="17" t="s">
        <v>77</v>
      </c>
      <c r="B2836" s="15" t="s">
        <v>304</v>
      </c>
      <c r="C2836" s="16" t="s">
        <v>31</v>
      </c>
      <c r="D2836" s="16" t="s">
        <v>31</v>
      </c>
      <c r="E2836" s="15" t="s">
        <v>32</v>
      </c>
      <c r="F2836" s="15" t="s">
        <v>314</v>
      </c>
      <c r="N2836" s="21" t="s">
        <v>96</v>
      </c>
      <c r="O2836" s="21" t="s">
        <v>336</v>
      </c>
      <c r="Q2836" s="21" t="s">
        <v>344</v>
      </c>
      <c r="R2836" s="22">
        <v>45756</v>
      </c>
      <c r="W2836">
        <f>COUNTIF(大和コネクト証券!U:U,B2836)</f>
        <v>0</v>
      </c>
    </row>
    <row r="2837" spans="1:23" ht="24.95" hidden="1" customHeight="1" x14ac:dyDescent="0.4">
      <c r="A2837" s="17" t="s">
        <v>77</v>
      </c>
      <c r="B2837" s="15" t="s">
        <v>305</v>
      </c>
      <c r="C2837" s="16" t="s">
        <v>31</v>
      </c>
      <c r="D2837" s="16" t="s">
        <v>31</v>
      </c>
      <c r="E2837" s="15" t="s">
        <v>32</v>
      </c>
      <c r="F2837" s="15" t="s">
        <v>314</v>
      </c>
      <c r="N2837" s="21" t="s">
        <v>96</v>
      </c>
      <c r="O2837" s="21" t="s">
        <v>336</v>
      </c>
      <c r="Q2837" s="21" t="s">
        <v>344</v>
      </c>
      <c r="R2837" s="22">
        <v>45756</v>
      </c>
      <c r="W2837">
        <f>COUNTIF(大和コネクト証券!U:U,B2837)</f>
        <v>0</v>
      </c>
    </row>
    <row r="2838" spans="1:23" ht="24.95" hidden="1" customHeight="1" x14ac:dyDescent="0.4">
      <c r="A2838" s="17" t="s">
        <v>77</v>
      </c>
      <c r="B2838" s="15" t="s">
        <v>370</v>
      </c>
      <c r="C2838" s="16" t="s">
        <v>31</v>
      </c>
      <c r="D2838" s="16" t="s">
        <v>31</v>
      </c>
      <c r="E2838" s="15" t="s">
        <v>32</v>
      </c>
      <c r="F2838" s="15" t="s">
        <v>365</v>
      </c>
      <c r="N2838" s="21" t="s">
        <v>374</v>
      </c>
      <c r="O2838" s="21" t="s">
        <v>373</v>
      </c>
      <c r="Q2838" s="21" t="s">
        <v>344</v>
      </c>
      <c r="R2838" s="22">
        <v>45883</v>
      </c>
      <c r="W2838">
        <f>COUNTIF(大和コネクト証券!U:U,B2838)</f>
        <v>0</v>
      </c>
    </row>
    <row r="2839" spans="1:23" ht="24.95" hidden="1" customHeight="1" x14ac:dyDescent="0.4">
      <c r="A2839" s="17" t="s">
        <v>77</v>
      </c>
      <c r="B2839" s="15" t="s">
        <v>371</v>
      </c>
      <c r="C2839" s="16" t="s">
        <v>31</v>
      </c>
      <c r="D2839" s="16" t="s">
        <v>31</v>
      </c>
      <c r="E2839" s="15" t="s">
        <v>32</v>
      </c>
      <c r="F2839" s="15" t="s">
        <v>365</v>
      </c>
      <c r="N2839" s="21" t="s">
        <v>374</v>
      </c>
      <c r="O2839" s="21" t="s">
        <v>373</v>
      </c>
      <c r="Q2839" s="21" t="s">
        <v>344</v>
      </c>
      <c r="R2839" s="22">
        <v>45883</v>
      </c>
      <c r="W2839">
        <f>COUNTIF(大和コネクト証券!U:U,B2839)</f>
        <v>0</v>
      </c>
    </row>
    <row r="2840" spans="1:23" ht="24.95" hidden="1" customHeight="1" x14ac:dyDescent="0.4">
      <c r="A2840" s="17" t="s">
        <v>77</v>
      </c>
      <c r="B2840" s="15" t="s">
        <v>306</v>
      </c>
      <c r="C2840" s="16" t="s">
        <v>24</v>
      </c>
      <c r="D2840" s="16" t="s">
        <v>31</v>
      </c>
      <c r="E2840" s="15" t="s">
        <v>35</v>
      </c>
      <c r="F2840" s="15" t="s">
        <v>314</v>
      </c>
      <c r="N2840" s="21" t="s">
        <v>96</v>
      </c>
      <c r="O2840" s="21" t="s">
        <v>336</v>
      </c>
      <c r="Q2840" s="21" t="s">
        <v>344</v>
      </c>
      <c r="R2840" s="22">
        <v>45756</v>
      </c>
      <c r="W2840">
        <f>COUNTIF(大和コネクト証券!U:U,B2840)</f>
        <v>0</v>
      </c>
    </row>
    <row r="2841" spans="1:23" ht="24.95" hidden="1" customHeight="1" x14ac:dyDescent="0.4">
      <c r="A2841" s="17" t="s">
        <v>77</v>
      </c>
      <c r="B2841" s="15" t="s">
        <v>307</v>
      </c>
      <c r="C2841" s="16" t="s">
        <v>31</v>
      </c>
      <c r="D2841" s="16" t="s">
        <v>31</v>
      </c>
      <c r="E2841" s="15" t="s">
        <v>32</v>
      </c>
      <c r="F2841" s="15" t="s">
        <v>314</v>
      </c>
      <c r="N2841" s="21" t="s">
        <v>96</v>
      </c>
      <c r="O2841" s="21" t="s">
        <v>336</v>
      </c>
      <c r="Q2841" s="21" t="s">
        <v>344</v>
      </c>
      <c r="R2841" s="22">
        <v>45756</v>
      </c>
      <c r="W2841">
        <f>COUNTIF(大和コネクト証券!U:U,B2841)</f>
        <v>0</v>
      </c>
    </row>
    <row r="2842" spans="1:23" ht="24.95" hidden="1" customHeight="1" x14ac:dyDescent="0.4">
      <c r="A2842" s="17" t="s">
        <v>77</v>
      </c>
      <c r="B2842" s="15" t="s">
        <v>38</v>
      </c>
      <c r="C2842" s="16" t="s">
        <v>31</v>
      </c>
      <c r="D2842" s="16" t="s">
        <v>31</v>
      </c>
      <c r="E2842" s="15" t="s">
        <v>32</v>
      </c>
      <c r="F2842" s="15" t="s">
        <v>107</v>
      </c>
      <c r="N2842" s="21" t="s">
        <v>96</v>
      </c>
      <c r="O2842" s="21" t="s">
        <v>338</v>
      </c>
      <c r="Q2842" s="21" t="s">
        <v>344</v>
      </c>
      <c r="R2842" s="22">
        <v>45814</v>
      </c>
      <c r="W2842">
        <f>COUNTIF(大和コネクト証券!U:U,B2842)</f>
        <v>0</v>
      </c>
    </row>
    <row r="2843" spans="1:23" ht="24.95" hidden="1" customHeight="1" x14ac:dyDescent="0.4">
      <c r="A2843" s="17" t="s">
        <v>77</v>
      </c>
      <c r="B2843" s="15" t="s">
        <v>120</v>
      </c>
      <c r="C2843" s="16" t="s">
        <v>31</v>
      </c>
      <c r="D2843" s="16" t="s">
        <v>31</v>
      </c>
      <c r="E2843" s="15" t="s">
        <v>32</v>
      </c>
      <c r="F2843" s="15" t="s">
        <v>314</v>
      </c>
      <c r="N2843" s="21" t="s">
        <v>96</v>
      </c>
      <c r="O2843" s="13" t="s">
        <v>339</v>
      </c>
      <c r="Q2843" s="21" t="s">
        <v>344</v>
      </c>
      <c r="R2843" s="22">
        <v>45756</v>
      </c>
      <c r="W2843">
        <f>COUNTIF(大和コネクト証券!U:U,B2843)</f>
        <v>0</v>
      </c>
    </row>
    <row r="2844" spans="1:23" ht="24.95" hidden="1" customHeight="1" x14ac:dyDescent="0.4">
      <c r="A2844" s="17" t="s">
        <v>77</v>
      </c>
      <c r="B2844" s="15" t="s">
        <v>39</v>
      </c>
      <c r="C2844" s="16" t="s">
        <v>31</v>
      </c>
      <c r="D2844" s="16" t="s">
        <v>31</v>
      </c>
      <c r="E2844" s="15" t="s">
        <v>32</v>
      </c>
      <c r="F2844" s="15" t="s">
        <v>129</v>
      </c>
      <c r="N2844" s="21" t="s">
        <v>96</v>
      </c>
      <c r="O2844" s="21" t="s">
        <v>336</v>
      </c>
      <c r="Q2844" s="21" t="s">
        <v>344</v>
      </c>
      <c r="R2844" s="22">
        <v>45814</v>
      </c>
      <c r="W2844">
        <f>COUNTIF(大和コネクト証券!U:U,B2844)</f>
        <v>0</v>
      </c>
    </row>
    <row r="2845" spans="1:23" ht="24.95" hidden="1" customHeight="1" x14ac:dyDescent="0.4">
      <c r="A2845" s="17" t="s">
        <v>77</v>
      </c>
      <c r="B2845" s="15" t="s">
        <v>220</v>
      </c>
      <c r="C2845" s="16" t="s">
        <v>31</v>
      </c>
      <c r="D2845" s="16" t="s">
        <v>31</v>
      </c>
      <c r="E2845" s="15" t="s">
        <v>32</v>
      </c>
      <c r="F2845" s="15" t="s">
        <v>221</v>
      </c>
      <c r="N2845" s="21" t="s">
        <v>96</v>
      </c>
      <c r="O2845" s="21" t="s">
        <v>338</v>
      </c>
      <c r="Q2845" s="21" t="s">
        <v>344</v>
      </c>
      <c r="R2845" s="22">
        <v>45814</v>
      </c>
      <c r="W2845">
        <f>COUNTIF(大和コネクト証券!U:U,B2845)</f>
        <v>0</v>
      </c>
    </row>
    <row r="2846" spans="1:23" ht="24.95" hidden="1" customHeight="1" x14ac:dyDescent="0.4">
      <c r="A2846" s="17" t="s">
        <v>77</v>
      </c>
      <c r="B2846" s="15" t="s">
        <v>172</v>
      </c>
      <c r="C2846" s="16" t="s">
        <v>31</v>
      </c>
      <c r="D2846" s="16" t="s">
        <v>31</v>
      </c>
      <c r="E2846" s="15" t="s">
        <v>32</v>
      </c>
      <c r="F2846" s="15" t="s">
        <v>173</v>
      </c>
      <c r="N2846" s="21" t="s">
        <v>96</v>
      </c>
      <c r="O2846" s="21" t="s">
        <v>336</v>
      </c>
      <c r="Q2846" s="21" t="s">
        <v>344</v>
      </c>
      <c r="R2846" s="22">
        <v>45814</v>
      </c>
      <c r="W2846">
        <f>COUNTIF(大和コネクト証券!U:U,B2846)</f>
        <v>0</v>
      </c>
    </row>
    <row r="2847" spans="1:23" ht="24.95" hidden="1" customHeight="1" x14ac:dyDescent="0.4">
      <c r="A2847" s="17" t="s">
        <v>77</v>
      </c>
      <c r="B2847" s="15" t="s">
        <v>111</v>
      </c>
      <c r="C2847" s="16" t="s">
        <v>31</v>
      </c>
      <c r="D2847" s="16" t="s">
        <v>31</v>
      </c>
      <c r="E2847" s="15" t="s">
        <v>32</v>
      </c>
      <c r="F2847" s="15" t="s">
        <v>314</v>
      </c>
      <c r="N2847" s="21" t="s">
        <v>96</v>
      </c>
      <c r="O2847" s="13" t="s">
        <v>339</v>
      </c>
      <c r="Q2847" s="21" t="s">
        <v>344</v>
      </c>
      <c r="R2847" s="22">
        <v>45756</v>
      </c>
      <c r="W2847">
        <f>COUNTIF(大和コネクト証券!U:U,B2847)</f>
        <v>0</v>
      </c>
    </row>
    <row r="2848" spans="1:23" ht="24.95" hidden="1" customHeight="1" x14ac:dyDescent="0.4">
      <c r="A2848" s="17" t="s">
        <v>77</v>
      </c>
      <c r="B2848" s="15" t="s">
        <v>42</v>
      </c>
      <c r="C2848" s="16" t="s">
        <v>31</v>
      </c>
      <c r="D2848" s="16" t="s">
        <v>31</v>
      </c>
      <c r="E2848" s="15" t="s">
        <v>32</v>
      </c>
      <c r="F2848" s="15" t="s">
        <v>129</v>
      </c>
      <c r="N2848" s="21" t="s">
        <v>96</v>
      </c>
      <c r="O2848" s="13" t="s">
        <v>351</v>
      </c>
      <c r="Q2848" s="21" t="s">
        <v>344</v>
      </c>
      <c r="R2848" s="22">
        <v>45814</v>
      </c>
      <c r="W2848">
        <f>COUNTIF(大和コネクト証券!U:U,B2848)</f>
        <v>0</v>
      </c>
    </row>
    <row r="2849" spans="1:23" ht="24.95" hidden="1" customHeight="1" x14ac:dyDescent="0.4">
      <c r="A2849" s="17" t="s">
        <v>77</v>
      </c>
      <c r="B2849" s="15" t="s">
        <v>330</v>
      </c>
      <c r="C2849" s="16" t="s">
        <v>31</v>
      </c>
      <c r="D2849" s="16" t="s">
        <v>31</v>
      </c>
      <c r="E2849" s="15" t="s">
        <v>32</v>
      </c>
      <c r="F2849" s="15" t="s">
        <v>314</v>
      </c>
      <c r="N2849" s="21" t="s">
        <v>96</v>
      </c>
      <c r="O2849" s="21" t="s">
        <v>338</v>
      </c>
      <c r="Q2849" s="21" t="s">
        <v>344</v>
      </c>
      <c r="R2849" s="22">
        <v>45756</v>
      </c>
      <c r="W2849">
        <f>COUNTIF(大和コネクト証券!U:U,B2849)</f>
        <v>0</v>
      </c>
    </row>
    <row r="2850" spans="1:23" ht="24.95" hidden="1" customHeight="1" x14ac:dyDescent="0.4">
      <c r="A2850" s="17" t="s">
        <v>77</v>
      </c>
      <c r="B2850" s="15" t="s">
        <v>343</v>
      </c>
      <c r="C2850" s="16" t="s">
        <v>31</v>
      </c>
      <c r="D2850" s="16" t="s">
        <v>31</v>
      </c>
      <c r="E2850" s="15" t="s">
        <v>32</v>
      </c>
      <c r="F2850" s="15" t="s">
        <v>340</v>
      </c>
      <c r="N2850" s="21" t="s">
        <v>96</v>
      </c>
      <c r="O2850" s="21" t="s">
        <v>345</v>
      </c>
      <c r="Q2850" s="21" t="s">
        <v>344</v>
      </c>
      <c r="R2850" s="22">
        <v>45784</v>
      </c>
      <c r="W2850">
        <f>COUNTIF(大和コネクト証券!U:U,B2850)</f>
        <v>0</v>
      </c>
    </row>
    <row r="2851" spans="1:23" ht="24.95" hidden="1" customHeight="1" x14ac:dyDescent="0.4">
      <c r="A2851" s="17" t="s">
        <v>77</v>
      </c>
      <c r="B2851" s="15" t="s">
        <v>121</v>
      </c>
      <c r="C2851" s="16" t="s">
        <v>31</v>
      </c>
      <c r="D2851" s="16" t="s">
        <v>31</v>
      </c>
      <c r="E2851" s="15" t="s">
        <v>32</v>
      </c>
      <c r="F2851" s="15" t="s">
        <v>314</v>
      </c>
      <c r="N2851" s="21" t="s">
        <v>96</v>
      </c>
      <c r="O2851" s="21" t="s">
        <v>336</v>
      </c>
      <c r="Q2851" s="21" t="s">
        <v>344</v>
      </c>
      <c r="R2851" s="22">
        <v>45756</v>
      </c>
      <c r="W2851">
        <f>COUNTIF(大和コネクト証券!U:U,B2851)</f>
        <v>0</v>
      </c>
    </row>
    <row r="2852" spans="1:23" ht="24.95" hidden="1" customHeight="1" x14ac:dyDescent="0.4">
      <c r="A2852" s="17" t="s">
        <v>77</v>
      </c>
      <c r="B2852" s="15" t="s">
        <v>44</v>
      </c>
      <c r="C2852" s="16" t="s">
        <v>31</v>
      </c>
      <c r="D2852" s="16" t="s">
        <v>31</v>
      </c>
      <c r="E2852" s="15" t="s">
        <v>32</v>
      </c>
      <c r="F2852" s="15" t="s">
        <v>356</v>
      </c>
      <c r="N2852" s="21" t="s">
        <v>96</v>
      </c>
      <c r="O2852" s="21" t="s">
        <v>338</v>
      </c>
      <c r="Q2852" s="21" t="s">
        <v>344</v>
      </c>
      <c r="R2852" s="22">
        <v>45847</v>
      </c>
      <c r="W2852">
        <f>COUNTIF(大和コネクト証券!U:U,B2852)</f>
        <v>0</v>
      </c>
    </row>
    <row r="2853" spans="1:23" ht="24.95" hidden="1" customHeight="1" x14ac:dyDescent="0.4">
      <c r="A2853" s="17" t="s">
        <v>77</v>
      </c>
      <c r="B2853" s="15" t="s">
        <v>45</v>
      </c>
      <c r="C2853" s="16" t="s">
        <v>31</v>
      </c>
      <c r="D2853" s="16" t="s">
        <v>31</v>
      </c>
      <c r="E2853" s="15" t="s">
        <v>32</v>
      </c>
      <c r="F2853" s="15" t="s">
        <v>314</v>
      </c>
      <c r="N2853" s="21" t="s">
        <v>96</v>
      </c>
      <c r="O2853" s="21" t="s">
        <v>338</v>
      </c>
      <c r="Q2853" s="21" t="s">
        <v>344</v>
      </c>
      <c r="R2853" s="22">
        <v>45756</v>
      </c>
      <c r="W2853">
        <f>COUNTIF(大和コネクト証券!U:U,B2853)</f>
        <v>0</v>
      </c>
    </row>
    <row r="2854" spans="1:23" ht="24.95" customHeight="1" x14ac:dyDescent="0.4">
      <c r="A2854" s="17" t="s">
        <v>77</v>
      </c>
      <c r="B2854" s="50" t="s">
        <v>469</v>
      </c>
      <c r="C2854" s="16" t="s">
        <v>31</v>
      </c>
      <c r="D2854" s="16" t="s">
        <v>31</v>
      </c>
      <c r="E2854" s="15" t="s">
        <v>32</v>
      </c>
      <c r="F2854" s="15" t="s">
        <v>365</v>
      </c>
      <c r="N2854" s="21" t="s">
        <v>374</v>
      </c>
      <c r="O2854" s="13" t="s">
        <v>468</v>
      </c>
      <c r="Q2854" s="21" t="s">
        <v>344</v>
      </c>
      <c r="R2854" s="22">
        <v>45883</v>
      </c>
      <c r="W2854">
        <f>COUNTIF(大和コネクト証券!U:U,B2854)</f>
        <v>0</v>
      </c>
    </row>
    <row r="2855" spans="1:23" ht="24.95" hidden="1" customHeight="1" x14ac:dyDescent="0.4">
      <c r="A2855" s="17" t="s">
        <v>79</v>
      </c>
      <c r="B2855" s="15" t="s">
        <v>171</v>
      </c>
      <c r="C2855" s="16" t="s">
        <v>31</v>
      </c>
      <c r="D2855" s="16" t="s">
        <v>31</v>
      </c>
      <c r="E2855" s="15" t="s">
        <v>32</v>
      </c>
      <c r="F2855" s="15" t="s">
        <v>314</v>
      </c>
      <c r="N2855" s="21" t="s">
        <v>96</v>
      </c>
      <c r="O2855" s="21" t="s">
        <v>336</v>
      </c>
      <c r="Q2855" s="21" t="s">
        <v>344</v>
      </c>
      <c r="R2855" s="22">
        <v>45756</v>
      </c>
      <c r="W2855">
        <f>COUNTIF(大和コネクト証券!U:U,B2855)</f>
        <v>0</v>
      </c>
    </row>
    <row r="2856" spans="1:23" ht="24.95" hidden="1" customHeight="1" x14ac:dyDescent="0.4">
      <c r="A2856" s="17" t="s">
        <v>79</v>
      </c>
      <c r="B2856" s="15" t="s">
        <v>37</v>
      </c>
      <c r="C2856" s="16" t="s">
        <v>31</v>
      </c>
      <c r="D2856" s="16" t="s">
        <v>31</v>
      </c>
      <c r="E2856" s="15" t="s">
        <v>32</v>
      </c>
      <c r="F2856" s="15" t="s">
        <v>212</v>
      </c>
      <c r="N2856" s="21" t="s">
        <v>96</v>
      </c>
      <c r="O2856" s="21" t="s">
        <v>336</v>
      </c>
      <c r="Q2856" s="21" t="s">
        <v>344</v>
      </c>
      <c r="R2856" s="22">
        <v>45814</v>
      </c>
      <c r="W2856">
        <f>COUNTIF(大和コネクト証券!U:U,B2856)</f>
        <v>1</v>
      </c>
    </row>
    <row r="2857" spans="1:23" ht="24.95" hidden="1" customHeight="1" x14ac:dyDescent="0.4">
      <c r="A2857" s="17" t="s">
        <v>79</v>
      </c>
      <c r="B2857" s="15" t="s">
        <v>225</v>
      </c>
      <c r="C2857" s="16" t="s">
        <v>31</v>
      </c>
      <c r="D2857" s="16" t="s">
        <v>31</v>
      </c>
      <c r="E2857" s="15" t="s">
        <v>32</v>
      </c>
      <c r="F2857" s="15" t="s">
        <v>314</v>
      </c>
      <c r="N2857" s="21" t="s">
        <v>96</v>
      </c>
      <c r="O2857" s="21" t="s">
        <v>336</v>
      </c>
      <c r="Q2857" s="21" t="s">
        <v>344</v>
      </c>
      <c r="R2857" s="22">
        <v>45756</v>
      </c>
      <c r="W2857">
        <f>COUNTIF(大和コネクト証券!U:U,B2857)</f>
        <v>0</v>
      </c>
    </row>
    <row r="2858" spans="1:23" ht="24.95" hidden="1" customHeight="1" x14ac:dyDescent="0.4">
      <c r="A2858" s="17" t="s">
        <v>79</v>
      </c>
      <c r="B2858" s="15" t="s">
        <v>126</v>
      </c>
      <c r="C2858" s="16" t="s">
        <v>31</v>
      </c>
      <c r="D2858" s="16" t="s">
        <v>31</v>
      </c>
      <c r="E2858" s="15" t="s">
        <v>32</v>
      </c>
      <c r="F2858" s="15" t="s">
        <v>365</v>
      </c>
      <c r="N2858" s="21" t="s">
        <v>374</v>
      </c>
      <c r="O2858" s="21" t="s">
        <v>373</v>
      </c>
      <c r="Q2858" s="21" t="s">
        <v>344</v>
      </c>
      <c r="R2858" s="22">
        <v>45883</v>
      </c>
      <c r="W2858">
        <f>COUNTIF(大和コネクト証券!U:U,B2858)</f>
        <v>0</v>
      </c>
    </row>
    <row r="2859" spans="1:23" ht="24.95" hidden="1" customHeight="1" x14ac:dyDescent="0.4">
      <c r="A2859" s="17" t="s">
        <v>79</v>
      </c>
      <c r="B2859" s="15" t="s">
        <v>226</v>
      </c>
      <c r="C2859" s="16" t="s">
        <v>31</v>
      </c>
      <c r="D2859" s="16" t="s">
        <v>31</v>
      </c>
      <c r="E2859" s="15" t="s">
        <v>32</v>
      </c>
      <c r="F2859" s="15" t="s">
        <v>314</v>
      </c>
      <c r="N2859" s="21" t="s">
        <v>96</v>
      </c>
      <c r="O2859" s="21" t="s">
        <v>336</v>
      </c>
      <c r="Q2859" s="21" t="s">
        <v>344</v>
      </c>
      <c r="R2859" s="22">
        <v>45756</v>
      </c>
      <c r="W2859">
        <f>COUNTIF(大和コネクト証券!U:U,B2859)</f>
        <v>0</v>
      </c>
    </row>
    <row r="2860" spans="1:23" ht="24.95" hidden="1" customHeight="1" x14ac:dyDescent="0.4">
      <c r="A2860" s="17" t="s">
        <v>79</v>
      </c>
      <c r="B2860" s="15" t="s">
        <v>227</v>
      </c>
      <c r="C2860" s="16" t="s">
        <v>31</v>
      </c>
      <c r="D2860" s="16" t="s">
        <v>31</v>
      </c>
      <c r="E2860" s="15" t="s">
        <v>32</v>
      </c>
      <c r="F2860" s="15" t="s">
        <v>314</v>
      </c>
      <c r="N2860" s="21" t="s">
        <v>96</v>
      </c>
      <c r="O2860" s="21" t="s">
        <v>336</v>
      </c>
      <c r="Q2860" s="21" t="s">
        <v>344</v>
      </c>
      <c r="R2860" s="22">
        <v>45756</v>
      </c>
      <c r="W2860">
        <f>COUNTIF(大和コネクト証券!U:U,B2860)</f>
        <v>0</v>
      </c>
    </row>
    <row r="2861" spans="1:23" ht="24.95" hidden="1" customHeight="1" x14ac:dyDescent="0.4">
      <c r="A2861" s="17" t="s">
        <v>79</v>
      </c>
      <c r="B2861" s="15" t="s">
        <v>228</v>
      </c>
      <c r="C2861" s="16" t="s">
        <v>31</v>
      </c>
      <c r="D2861" s="16" t="s">
        <v>31</v>
      </c>
      <c r="E2861" s="15" t="s">
        <v>32</v>
      </c>
      <c r="F2861" s="15" t="s">
        <v>314</v>
      </c>
      <c r="N2861" s="21" t="s">
        <v>96</v>
      </c>
      <c r="O2861" s="21" t="s">
        <v>336</v>
      </c>
      <c r="Q2861" s="21" t="s">
        <v>344</v>
      </c>
      <c r="R2861" s="22">
        <v>45756</v>
      </c>
      <c r="W2861">
        <f>COUNTIF(大和コネクト証券!U:U,B2861)</f>
        <v>0</v>
      </c>
    </row>
    <row r="2862" spans="1:23" ht="24.95" hidden="1" customHeight="1" x14ac:dyDescent="0.4">
      <c r="A2862" s="17" t="s">
        <v>79</v>
      </c>
      <c r="B2862" s="15" t="s">
        <v>229</v>
      </c>
      <c r="C2862" s="16" t="s">
        <v>31</v>
      </c>
      <c r="D2862" s="16" t="s">
        <v>31</v>
      </c>
      <c r="E2862" s="15" t="s">
        <v>32</v>
      </c>
      <c r="F2862" s="15" t="s">
        <v>314</v>
      </c>
      <c r="N2862" s="21" t="s">
        <v>96</v>
      </c>
      <c r="O2862" s="21" t="s">
        <v>336</v>
      </c>
      <c r="Q2862" s="21" t="s">
        <v>344</v>
      </c>
      <c r="R2862" s="22">
        <v>45756</v>
      </c>
      <c r="W2862">
        <f>COUNTIF(大和コネクト証券!U:U,B2862)</f>
        <v>0</v>
      </c>
    </row>
    <row r="2863" spans="1:23" ht="24.95" hidden="1" customHeight="1" x14ac:dyDescent="0.4">
      <c r="A2863" s="17" t="s">
        <v>79</v>
      </c>
      <c r="B2863" s="15" t="s">
        <v>230</v>
      </c>
      <c r="C2863" s="16" t="s">
        <v>31</v>
      </c>
      <c r="D2863" s="16" t="s">
        <v>31</v>
      </c>
      <c r="E2863" s="15" t="s">
        <v>32</v>
      </c>
      <c r="F2863" s="15" t="s">
        <v>314</v>
      </c>
      <c r="N2863" s="21" t="s">
        <v>96</v>
      </c>
      <c r="O2863" s="21" t="s">
        <v>336</v>
      </c>
      <c r="Q2863" s="21" t="s">
        <v>344</v>
      </c>
      <c r="R2863" s="22">
        <v>45756</v>
      </c>
      <c r="W2863">
        <f>COUNTIF(大和コネクト証券!U:U,B2863)</f>
        <v>0</v>
      </c>
    </row>
    <row r="2864" spans="1:23" ht="24.95" hidden="1" customHeight="1" x14ac:dyDescent="0.4">
      <c r="A2864" s="17" t="s">
        <v>79</v>
      </c>
      <c r="B2864" s="15" t="s">
        <v>231</v>
      </c>
      <c r="C2864" s="16" t="s">
        <v>31</v>
      </c>
      <c r="D2864" s="16" t="s">
        <v>31</v>
      </c>
      <c r="E2864" s="15" t="s">
        <v>32</v>
      </c>
      <c r="F2864" s="15" t="s">
        <v>314</v>
      </c>
      <c r="N2864" s="21" t="s">
        <v>96</v>
      </c>
      <c r="O2864" s="21" t="s">
        <v>336</v>
      </c>
      <c r="Q2864" s="21" t="s">
        <v>344</v>
      </c>
      <c r="R2864" s="22">
        <v>45756</v>
      </c>
      <c r="W2864">
        <f>COUNTIF(大和コネクト証券!U:U,B2864)</f>
        <v>0</v>
      </c>
    </row>
    <row r="2865" spans="1:23" ht="24.95" hidden="1" customHeight="1" x14ac:dyDescent="0.4">
      <c r="A2865" s="17" t="s">
        <v>79</v>
      </c>
      <c r="B2865" s="15" t="s">
        <v>232</v>
      </c>
      <c r="C2865" s="16" t="s">
        <v>31</v>
      </c>
      <c r="D2865" s="16" t="s">
        <v>31</v>
      </c>
      <c r="E2865" s="15" t="s">
        <v>32</v>
      </c>
      <c r="F2865" s="15" t="s">
        <v>314</v>
      </c>
      <c r="N2865" s="21" t="s">
        <v>96</v>
      </c>
      <c r="O2865" s="21" t="s">
        <v>336</v>
      </c>
      <c r="Q2865" s="21" t="s">
        <v>344</v>
      </c>
      <c r="R2865" s="22">
        <v>45756</v>
      </c>
      <c r="W2865">
        <f>COUNTIF(大和コネクト証券!U:U,B2865)</f>
        <v>0</v>
      </c>
    </row>
    <row r="2866" spans="1:23" ht="24.95" hidden="1" customHeight="1" x14ac:dyDescent="0.4">
      <c r="A2866" s="17" t="s">
        <v>79</v>
      </c>
      <c r="B2866" s="15" t="s">
        <v>233</v>
      </c>
      <c r="C2866" s="16" t="s">
        <v>31</v>
      </c>
      <c r="D2866" s="16" t="s">
        <v>31</v>
      </c>
      <c r="E2866" s="15" t="s">
        <v>32</v>
      </c>
      <c r="F2866" s="15" t="s">
        <v>314</v>
      </c>
      <c r="N2866" s="21" t="s">
        <v>96</v>
      </c>
      <c r="O2866" s="21" t="s">
        <v>336</v>
      </c>
      <c r="Q2866" s="21" t="s">
        <v>344</v>
      </c>
      <c r="R2866" s="22">
        <v>45756</v>
      </c>
      <c r="W2866">
        <f>COUNTIF(大和コネクト証券!U:U,B2866)</f>
        <v>0</v>
      </c>
    </row>
    <row r="2867" spans="1:23" ht="24.95" hidden="1" customHeight="1" x14ac:dyDescent="0.4">
      <c r="A2867" s="17" t="s">
        <v>79</v>
      </c>
      <c r="B2867" s="15" t="s">
        <v>234</v>
      </c>
      <c r="C2867" s="16" t="s">
        <v>31</v>
      </c>
      <c r="D2867" s="16" t="s">
        <v>31</v>
      </c>
      <c r="E2867" s="15" t="s">
        <v>32</v>
      </c>
      <c r="F2867" s="15" t="s">
        <v>314</v>
      </c>
      <c r="N2867" s="21" t="s">
        <v>96</v>
      </c>
      <c r="O2867" s="21" t="s">
        <v>336</v>
      </c>
      <c r="Q2867" s="21" t="s">
        <v>344</v>
      </c>
      <c r="R2867" s="22">
        <v>45756</v>
      </c>
      <c r="W2867">
        <f>COUNTIF(大和コネクト証券!U:U,B2867)</f>
        <v>0</v>
      </c>
    </row>
    <row r="2868" spans="1:23" ht="24.95" hidden="1" customHeight="1" x14ac:dyDescent="0.4">
      <c r="A2868" s="17" t="s">
        <v>79</v>
      </c>
      <c r="B2868" s="15" t="s">
        <v>235</v>
      </c>
      <c r="C2868" s="16" t="s">
        <v>31</v>
      </c>
      <c r="D2868" s="16" t="s">
        <v>31</v>
      </c>
      <c r="E2868" s="15" t="s">
        <v>32</v>
      </c>
      <c r="F2868" s="15" t="s">
        <v>314</v>
      </c>
      <c r="N2868" s="21" t="s">
        <v>96</v>
      </c>
      <c r="O2868" s="21" t="s">
        <v>336</v>
      </c>
      <c r="Q2868" s="21" t="s">
        <v>344</v>
      </c>
      <c r="R2868" s="22">
        <v>45756</v>
      </c>
      <c r="W2868">
        <f>COUNTIF(大和コネクト証券!U:U,B2868)</f>
        <v>0</v>
      </c>
    </row>
    <row r="2869" spans="1:23" ht="24.95" hidden="1" customHeight="1" x14ac:dyDescent="0.4">
      <c r="A2869" s="17" t="s">
        <v>79</v>
      </c>
      <c r="B2869" s="15" t="s">
        <v>236</v>
      </c>
      <c r="C2869" s="16" t="s">
        <v>31</v>
      </c>
      <c r="D2869" s="16" t="s">
        <v>31</v>
      </c>
      <c r="E2869" s="15" t="s">
        <v>32</v>
      </c>
      <c r="F2869" s="15" t="s">
        <v>314</v>
      </c>
      <c r="N2869" s="21" t="s">
        <v>96</v>
      </c>
      <c r="O2869" s="21" t="s">
        <v>336</v>
      </c>
      <c r="Q2869" s="21" t="s">
        <v>344</v>
      </c>
      <c r="R2869" s="22">
        <v>45756</v>
      </c>
      <c r="W2869">
        <f>COUNTIF(大和コネクト証券!U:U,B2869)</f>
        <v>0</v>
      </c>
    </row>
    <row r="2870" spans="1:23" ht="24.95" hidden="1" customHeight="1" x14ac:dyDescent="0.4">
      <c r="A2870" s="17" t="s">
        <v>79</v>
      </c>
      <c r="B2870" s="15" t="s">
        <v>237</v>
      </c>
      <c r="C2870" s="16" t="s">
        <v>31</v>
      </c>
      <c r="D2870" s="16" t="s">
        <v>31</v>
      </c>
      <c r="E2870" s="15" t="s">
        <v>32</v>
      </c>
      <c r="F2870" s="15" t="s">
        <v>314</v>
      </c>
      <c r="N2870" s="21" t="s">
        <v>96</v>
      </c>
      <c r="O2870" s="21" t="s">
        <v>336</v>
      </c>
      <c r="Q2870" s="21" t="s">
        <v>344</v>
      </c>
      <c r="R2870" s="22">
        <v>45756</v>
      </c>
      <c r="W2870">
        <f>COUNTIF(大和コネクト証券!U:U,B2870)</f>
        <v>0</v>
      </c>
    </row>
    <row r="2871" spans="1:23" ht="24.95" hidden="1" customHeight="1" x14ac:dyDescent="0.4">
      <c r="A2871" s="17" t="s">
        <v>79</v>
      </c>
      <c r="B2871" s="15" t="s">
        <v>238</v>
      </c>
      <c r="C2871" s="16" t="s">
        <v>31</v>
      </c>
      <c r="D2871" s="16" t="s">
        <v>31</v>
      </c>
      <c r="E2871" s="15" t="s">
        <v>32</v>
      </c>
      <c r="F2871" s="15" t="s">
        <v>314</v>
      </c>
      <c r="N2871" s="21" t="s">
        <v>96</v>
      </c>
      <c r="O2871" s="21" t="s">
        <v>336</v>
      </c>
      <c r="Q2871" s="21" t="s">
        <v>344</v>
      </c>
      <c r="R2871" s="22">
        <v>45756</v>
      </c>
      <c r="W2871">
        <f>COUNTIF(大和コネクト証券!U:U,B2871)</f>
        <v>0</v>
      </c>
    </row>
    <row r="2872" spans="1:23" ht="24.95" hidden="1" customHeight="1" x14ac:dyDescent="0.4">
      <c r="A2872" s="17" t="s">
        <v>79</v>
      </c>
      <c r="B2872" s="15" t="s">
        <v>239</v>
      </c>
      <c r="C2872" s="16" t="s">
        <v>31</v>
      </c>
      <c r="D2872" s="16" t="s">
        <v>31</v>
      </c>
      <c r="E2872" s="15" t="s">
        <v>32</v>
      </c>
      <c r="F2872" s="15" t="s">
        <v>314</v>
      </c>
      <c r="N2872" s="21" t="s">
        <v>96</v>
      </c>
      <c r="O2872" s="21" t="s">
        <v>336</v>
      </c>
      <c r="Q2872" s="21" t="s">
        <v>344</v>
      </c>
      <c r="R2872" s="22">
        <v>45756</v>
      </c>
      <c r="W2872">
        <f>COUNTIF(大和コネクト証券!U:U,B2872)</f>
        <v>0</v>
      </c>
    </row>
    <row r="2873" spans="1:23" ht="24.95" hidden="1" customHeight="1" x14ac:dyDescent="0.4">
      <c r="A2873" s="17" t="s">
        <v>79</v>
      </c>
      <c r="B2873" s="15" t="s">
        <v>240</v>
      </c>
      <c r="C2873" s="16" t="s">
        <v>31</v>
      </c>
      <c r="D2873" s="16" t="s">
        <v>31</v>
      </c>
      <c r="E2873" s="15" t="s">
        <v>32</v>
      </c>
      <c r="F2873" s="15" t="s">
        <v>314</v>
      </c>
      <c r="N2873" s="21" t="s">
        <v>96</v>
      </c>
      <c r="O2873" s="21" t="s">
        <v>336</v>
      </c>
      <c r="Q2873" s="21" t="s">
        <v>344</v>
      </c>
      <c r="R2873" s="22">
        <v>45756</v>
      </c>
      <c r="W2873">
        <f>COUNTIF(大和コネクト証券!U:U,B2873)</f>
        <v>0</v>
      </c>
    </row>
    <row r="2874" spans="1:23" ht="24.95" hidden="1" customHeight="1" x14ac:dyDescent="0.4">
      <c r="A2874" s="17" t="s">
        <v>79</v>
      </c>
      <c r="B2874" s="15" t="s">
        <v>241</v>
      </c>
      <c r="C2874" s="16" t="s">
        <v>31</v>
      </c>
      <c r="D2874" s="16" t="s">
        <v>31</v>
      </c>
      <c r="E2874" s="15" t="s">
        <v>32</v>
      </c>
      <c r="F2874" s="15" t="s">
        <v>314</v>
      </c>
      <c r="N2874" s="21" t="s">
        <v>96</v>
      </c>
      <c r="O2874" s="21" t="s">
        <v>336</v>
      </c>
      <c r="Q2874" s="21" t="s">
        <v>344</v>
      </c>
      <c r="R2874" s="22">
        <v>45756</v>
      </c>
      <c r="W2874">
        <f>COUNTIF(大和コネクト証券!U:U,B2874)</f>
        <v>0</v>
      </c>
    </row>
    <row r="2875" spans="1:23" ht="24.95" hidden="1" customHeight="1" x14ac:dyDescent="0.4">
      <c r="A2875" s="17" t="s">
        <v>79</v>
      </c>
      <c r="B2875" s="15" t="s">
        <v>242</v>
      </c>
      <c r="C2875" s="16" t="s">
        <v>31</v>
      </c>
      <c r="D2875" s="16" t="s">
        <v>31</v>
      </c>
      <c r="E2875" s="15" t="s">
        <v>32</v>
      </c>
      <c r="F2875" s="15" t="s">
        <v>314</v>
      </c>
      <c r="N2875" s="21" t="s">
        <v>96</v>
      </c>
      <c r="O2875" s="21" t="s">
        <v>336</v>
      </c>
      <c r="Q2875" s="21" t="s">
        <v>344</v>
      </c>
      <c r="R2875" s="22">
        <v>45756</v>
      </c>
      <c r="W2875">
        <f>COUNTIF(大和コネクト証券!U:U,B2875)</f>
        <v>0</v>
      </c>
    </row>
    <row r="2876" spans="1:23" ht="24.95" hidden="1" customHeight="1" x14ac:dyDescent="0.4">
      <c r="A2876" s="17" t="s">
        <v>79</v>
      </c>
      <c r="B2876" s="15" t="s">
        <v>243</v>
      </c>
      <c r="C2876" s="16" t="s">
        <v>31</v>
      </c>
      <c r="D2876" s="16" t="s">
        <v>31</v>
      </c>
      <c r="E2876" s="15" t="s">
        <v>32</v>
      </c>
      <c r="F2876" s="15" t="s">
        <v>314</v>
      </c>
      <c r="N2876" s="21" t="s">
        <v>96</v>
      </c>
      <c r="O2876" s="21" t="s">
        <v>336</v>
      </c>
      <c r="Q2876" s="21" t="s">
        <v>344</v>
      </c>
      <c r="R2876" s="22">
        <v>45756</v>
      </c>
      <c r="W2876">
        <f>COUNTIF(大和コネクト証券!U:U,B2876)</f>
        <v>0</v>
      </c>
    </row>
    <row r="2877" spans="1:23" ht="24.95" hidden="1" customHeight="1" x14ac:dyDescent="0.4">
      <c r="A2877" s="17" t="s">
        <v>79</v>
      </c>
      <c r="B2877" s="15" t="s">
        <v>244</v>
      </c>
      <c r="C2877" s="16" t="s">
        <v>31</v>
      </c>
      <c r="D2877" s="16" t="s">
        <v>31</v>
      </c>
      <c r="E2877" s="15" t="s">
        <v>32</v>
      </c>
      <c r="F2877" s="15" t="s">
        <v>314</v>
      </c>
      <c r="N2877" s="21" t="s">
        <v>96</v>
      </c>
      <c r="O2877" s="21" t="s">
        <v>336</v>
      </c>
      <c r="Q2877" s="21" t="s">
        <v>344</v>
      </c>
      <c r="R2877" s="22">
        <v>45756</v>
      </c>
      <c r="W2877">
        <f>COUNTIF(大和コネクト証券!U:U,B2877)</f>
        <v>0</v>
      </c>
    </row>
    <row r="2878" spans="1:23" ht="24.95" hidden="1" customHeight="1" x14ac:dyDescent="0.4">
      <c r="A2878" s="17" t="s">
        <v>79</v>
      </c>
      <c r="B2878" s="15" t="s">
        <v>245</v>
      </c>
      <c r="C2878" s="16" t="s">
        <v>31</v>
      </c>
      <c r="D2878" s="16" t="s">
        <v>31</v>
      </c>
      <c r="E2878" s="15" t="s">
        <v>32</v>
      </c>
      <c r="F2878" s="15" t="s">
        <v>314</v>
      </c>
      <c r="N2878" s="21" t="s">
        <v>96</v>
      </c>
      <c r="O2878" s="21" t="s">
        <v>336</v>
      </c>
      <c r="Q2878" s="21" t="s">
        <v>344</v>
      </c>
      <c r="R2878" s="22">
        <v>45756</v>
      </c>
      <c r="W2878">
        <f>COUNTIF(大和コネクト証券!U:U,B2878)</f>
        <v>0</v>
      </c>
    </row>
    <row r="2879" spans="1:23" ht="24.95" hidden="1" customHeight="1" x14ac:dyDescent="0.4">
      <c r="A2879" s="17" t="s">
        <v>79</v>
      </c>
      <c r="B2879" s="15" t="s">
        <v>246</v>
      </c>
      <c r="C2879" s="16" t="s">
        <v>31</v>
      </c>
      <c r="D2879" s="16" t="s">
        <v>31</v>
      </c>
      <c r="E2879" s="15" t="s">
        <v>32</v>
      </c>
      <c r="F2879" s="15" t="s">
        <v>314</v>
      </c>
      <c r="N2879" s="21" t="s">
        <v>96</v>
      </c>
      <c r="O2879" s="21" t="s">
        <v>336</v>
      </c>
      <c r="Q2879" s="21" t="s">
        <v>344</v>
      </c>
      <c r="R2879" s="22">
        <v>45756</v>
      </c>
      <c r="W2879">
        <f>COUNTIF(大和コネクト証券!U:U,B2879)</f>
        <v>0</v>
      </c>
    </row>
    <row r="2880" spans="1:23" ht="24.95" hidden="1" customHeight="1" x14ac:dyDescent="0.4">
      <c r="A2880" s="17" t="s">
        <v>79</v>
      </c>
      <c r="B2880" s="15" t="s">
        <v>247</v>
      </c>
      <c r="C2880" s="16" t="s">
        <v>31</v>
      </c>
      <c r="D2880" s="16" t="s">
        <v>31</v>
      </c>
      <c r="E2880" s="15" t="s">
        <v>32</v>
      </c>
      <c r="F2880" s="15" t="s">
        <v>314</v>
      </c>
      <c r="N2880" s="21" t="s">
        <v>96</v>
      </c>
      <c r="O2880" s="21" t="s">
        <v>336</v>
      </c>
      <c r="Q2880" s="21" t="s">
        <v>344</v>
      </c>
      <c r="R2880" s="22">
        <v>45756</v>
      </c>
      <c r="W2880">
        <f>COUNTIF(大和コネクト証券!U:U,B2880)</f>
        <v>0</v>
      </c>
    </row>
    <row r="2881" spans="1:23" ht="24.95" hidden="1" customHeight="1" x14ac:dyDescent="0.4">
      <c r="A2881" s="17" t="s">
        <v>79</v>
      </c>
      <c r="B2881" s="15" t="s">
        <v>248</v>
      </c>
      <c r="C2881" s="16" t="s">
        <v>31</v>
      </c>
      <c r="D2881" s="16" t="s">
        <v>31</v>
      </c>
      <c r="E2881" s="15" t="s">
        <v>32</v>
      </c>
      <c r="F2881" s="15" t="s">
        <v>314</v>
      </c>
      <c r="N2881" s="21" t="s">
        <v>96</v>
      </c>
      <c r="O2881" s="21" t="s">
        <v>336</v>
      </c>
      <c r="Q2881" s="21" t="s">
        <v>344</v>
      </c>
      <c r="R2881" s="22">
        <v>45756</v>
      </c>
      <c r="W2881">
        <f>COUNTIF(大和コネクト証券!U:U,B2881)</f>
        <v>0</v>
      </c>
    </row>
    <row r="2882" spans="1:23" ht="24.95" hidden="1" customHeight="1" x14ac:dyDescent="0.4">
      <c r="A2882" s="17" t="s">
        <v>79</v>
      </c>
      <c r="B2882" s="15" t="s">
        <v>249</v>
      </c>
      <c r="C2882" s="16" t="s">
        <v>31</v>
      </c>
      <c r="D2882" s="16" t="s">
        <v>31</v>
      </c>
      <c r="E2882" s="15" t="s">
        <v>32</v>
      </c>
      <c r="F2882" s="15" t="s">
        <v>314</v>
      </c>
      <c r="N2882" s="21" t="s">
        <v>96</v>
      </c>
      <c r="O2882" s="21" t="s">
        <v>336</v>
      </c>
      <c r="Q2882" s="21" t="s">
        <v>344</v>
      </c>
      <c r="R2882" s="22">
        <v>45756</v>
      </c>
      <c r="W2882">
        <f>COUNTIF(大和コネクト証券!U:U,B2882)</f>
        <v>0</v>
      </c>
    </row>
    <row r="2883" spans="1:23" ht="24.95" hidden="1" customHeight="1" x14ac:dyDescent="0.4">
      <c r="A2883" s="17" t="s">
        <v>79</v>
      </c>
      <c r="B2883" s="15" t="s">
        <v>250</v>
      </c>
      <c r="C2883" s="16" t="s">
        <v>31</v>
      </c>
      <c r="D2883" s="16" t="s">
        <v>31</v>
      </c>
      <c r="E2883" s="15" t="s">
        <v>32</v>
      </c>
      <c r="F2883" s="15" t="s">
        <v>314</v>
      </c>
      <c r="N2883" s="21" t="s">
        <v>96</v>
      </c>
      <c r="O2883" s="21" t="s">
        <v>336</v>
      </c>
      <c r="Q2883" s="21" t="s">
        <v>344</v>
      </c>
      <c r="R2883" s="22">
        <v>45756</v>
      </c>
      <c r="W2883">
        <f>COUNTIF(大和コネクト証券!U:U,B2883)</f>
        <v>0</v>
      </c>
    </row>
    <row r="2884" spans="1:23" ht="24.95" hidden="1" customHeight="1" x14ac:dyDescent="0.4">
      <c r="A2884" s="17" t="s">
        <v>79</v>
      </c>
      <c r="B2884" s="15" t="s">
        <v>251</v>
      </c>
      <c r="C2884" s="16" t="s">
        <v>31</v>
      </c>
      <c r="D2884" s="16" t="s">
        <v>31</v>
      </c>
      <c r="E2884" s="15" t="s">
        <v>32</v>
      </c>
      <c r="F2884" s="15" t="s">
        <v>314</v>
      </c>
      <c r="N2884" s="21" t="s">
        <v>96</v>
      </c>
      <c r="O2884" s="21" t="s">
        <v>336</v>
      </c>
      <c r="Q2884" s="21" t="s">
        <v>344</v>
      </c>
      <c r="R2884" s="22">
        <v>45756</v>
      </c>
      <c r="W2884">
        <f>COUNTIF(大和コネクト証券!U:U,B2884)</f>
        <v>0</v>
      </c>
    </row>
    <row r="2885" spans="1:23" ht="24.95" hidden="1" customHeight="1" x14ac:dyDescent="0.4">
      <c r="A2885" s="17" t="s">
        <v>79</v>
      </c>
      <c r="B2885" s="15" t="s">
        <v>341</v>
      </c>
      <c r="C2885" s="16" t="s">
        <v>31</v>
      </c>
      <c r="D2885" s="16" t="s">
        <v>31</v>
      </c>
      <c r="E2885" s="15" t="s">
        <v>32</v>
      </c>
      <c r="F2885" s="15" t="s">
        <v>340</v>
      </c>
      <c r="N2885" s="21" t="s">
        <v>96</v>
      </c>
      <c r="O2885" s="21" t="s">
        <v>345</v>
      </c>
      <c r="Q2885" s="21" t="s">
        <v>344</v>
      </c>
      <c r="R2885" s="22">
        <v>45784</v>
      </c>
      <c r="W2885">
        <f>COUNTIF(大和コネクト証券!U:U,B2885)</f>
        <v>0</v>
      </c>
    </row>
    <row r="2886" spans="1:23" ht="24.95" hidden="1" customHeight="1" x14ac:dyDescent="0.4">
      <c r="A2886" s="17" t="s">
        <v>79</v>
      </c>
      <c r="B2886" s="15" t="s">
        <v>252</v>
      </c>
      <c r="C2886" s="16" t="s">
        <v>31</v>
      </c>
      <c r="D2886" s="16" t="s">
        <v>31</v>
      </c>
      <c r="E2886" s="15" t="s">
        <v>32</v>
      </c>
      <c r="F2886" s="15" t="s">
        <v>314</v>
      </c>
      <c r="N2886" s="21" t="s">
        <v>96</v>
      </c>
      <c r="O2886" s="21" t="s">
        <v>336</v>
      </c>
      <c r="Q2886" s="21" t="s">
        <v>344</v>
      </c>
      <c r="R2886" s="22">
        <v>45756</v>
      </c>
      <c r="W2886">
        <f>COUNTIF(大和コネクト証券!U:U,B2886)</f>
        <v>0</v>
      </c>
    </row>
    <row r="2887" spans="1:23" ht="24.95" hidden="1" customHeight="1" x14ac:dyDescent="0.4">
      <c r="A2887" s="17" t="s">
        <v>79</v>
      </c>
      <c r="B2887" s="15" t="s">
        <v>253</v>
      </c>
      <c r="C2887" s="16" t="s">
        <v>31</v>
      </c>
      <c r="D2887" s="16" t="s">
        <v>31</v>
      </c>
      <c r="E2887" s="15" t="s">
        <v>32</v>
      </c>
      <c r="F2887" s="15" t="s">
        <v>314</v>
      </c>
      <c r="N2887" s="21" t="s">
        <v>96</v>
      </c>
      <c r="O2887" s="21" t="s">
        <v>336</v>
      </c>
      <c r="Q2887" s="21" t="s">
        <v>344</v>
      </c>
      <c r="R2887" s="22">
        <v>45756</v>
      </c>
      <c r="W2887">
        <f>COUNTIF(大和コネクト証券!U:U,B2887)</f>
        <v>0</v>
      </c>
    </row>
    <row r="2888" spans="1:23" ht="24.95" hidden="1" customHeight="1" x14ac:dyDescent="0.4">
      <c r="A2888" s="17" t="s">
        <v>79</v>
      </c>
      <c r="B2888" s="15" t="s">
        <v>254</v>
      </c>
      <c r="C2888" s="16" t="s">
        <v>31</v>
      </c>
      <c r="D2888" s="16" t="s">
        <v>31</v>
      </c>
      <c r="E2888" s="15" t="s">
        <v>32</v>
      </c>
      <c r="F2888" s="15" t="s">
        <v>314</v>
      </c>
      <c r="N2888" s="21" t="s">
        <v>96</v>
      </c>
      <c r="O2888" s="21" t="s">
        <v>336</v>
      </c>
      <c r="Q2888" s="21" t="s">
        <v>344</v>
      </c>
      <c r="R2888" s="22">
        <v>45756</v>
      </c>
      <c r="W2888">
        <f>COUNTIF(大和コネクト証券!U:U,B2888)</f>
        <v>0</v>
      </c>
    </row>
    <row r="2889" spans="1:23" ht="24.95" hidden="1" customHeight="1" x14ac:dyDescent="0.4">
      <c r="A2889" s="17" t="s">
        <v>79</v>
      </c>
      <c r="B2889" s="15" t="s">
        <v>255</v>
      </c>
      <c r="C2889" s="16" t="s">
        <v>31</v>
      </c>
      <c r="D2889" s="16" t="s">
        <v>31</v>
      </c>
      <c r="E2889" s="15" t="s">
        <v>32</v>
      </c>
      <c r="F2889" s="15" t="s">
        <v>314</v>
      </c>
      <c r="N2889" s="21" t="s">
        <v>96</v>
      </c>
      <c r="O2889" s="21" t="s">
        <v>336</v>
      </c>
      <c r="Q2889" s="21" t="s">
        <v>344</v>
      </c>
      <c r="R2889" s="22">
        <v>45756</v>
      </c>
      <c r="W2889">
        <f>COUNTIF(大和コネクト証券!U:U,B2889)</f>
        <v>0</v>
      </c>
    </row>
    <row r="2890" spans="1:23" ht="24.95" hidden="1" customHeight="1" x14ac:dyDescent="0.4">
      <c r="A2890" s="17" t="s">
        <v>79</v>
      </c>
      <c r="B2890" s="15" t="s">
        <v>256</v>
      </c>
      <c r="C2890" s="16" t="s">
        <v>31</v>
      </c>
      <c r="D2890" s="16" t="s">
        <v>31</v>
      </c>
      <c r="E2890" s="15" t="s">
        <v>32</v>
      </c>
      <c r="F2890" s="15" t="s">
        <v>314</v>
      </c>
      <c r="N2890" s="21" t="s">
        <v>96</v>
      </c>
      <c r="O2890" s="21" t="s">
        <v>336</v>
      </c>
      <c r="Q2890" s="21" t="s">
        <v>344</v>
      </c>
      <c r="R2890" s="22">
        <v>45756</v>
      </c>
      <c r="W2890">
        <f>COUNTIF(大和コネクト証券!U:U,B2890)</f>
        <v>0</v>
      </c>
    </row>
    <row r="2891" spans="1:23" ht="24.95" hidden="1" customHeight="1" x14ac:dyDescent="0.4">
      <c r="A2891" s="17" t="s">
        <v>79</v>
      </c>
      <c r="B2891" s="15" t="s">
        <v>257</v>
      </c>
      <c r="C2891" s="16" t="s">
        <v>31</v>
      </c>
      <c r="D2891" s="16" t="s">
        <v>31</v>
      </c>
      <c r="E2891" s="15" t="s">
        <v>32</v>
      </c>
      <c r="F2891" s="15" t="s">
        <v>314</v>
      </c>
      <c r="N2891" s="21" t="s">
        <v>96</v>
      </c>
      <c r="O2891" s="21" t="s">
        <v>336</v>
      </c>
      <c r="Q2891" s="21" t="s">
        <v>344</v>
      </c>
      <c r="R2891" s="22">
        <v>45756</v>
      </c>
      <c r="W2891">
        <f>COUNTIF(大和コネクト証券!U:U,B2891)</f>
        <v>0</v>
      </c>
    </row>
    <row r="2892" spans="1:23" ht="24.95" hidden="1" customHeight="1" x14ac:dyDescent="0.4">
      <c r="A2892" s="17" t="s">
        <v>79</v>
      </c>
      <c r="B2892" s="15" t="s">
        <v>258</v>
      </c>
      <c r="C2892" s="16" t="s">
        <v>31</v>
      </c>
      <c r="D2892" s="16" t="s">
        <v>31</v>
      </c>
      <c r="E2892" s="15" t="s">
        <v>32</v>
      </c>
      <c r="F2892" s="15" t="s">
        <v>314</v>
      </c>
      <c r="N2892" s="21" t="s">
        <v>96</v>
      </c>
      <c r="O2892" s="21" t="s">
        <v>336</v>
      </c>
      <c r="Q2892" s="21" t="s">
        <v>344</v>
      </c>
      <c r="R2892" s="22">
        <v>45756</v>
      </c>
      <c r="W2892">
        <f>COUNTIF(大和コネクト証券!U:U,B2892)</f>
        <v>0</v>
      </c>
    </row>
    <row r="2893" spans="1:23" ht="24.95" hidden="1" customHeight="1" x14ac:dyDescent="0.4">
      <c r="A2893" s="17" t="s">
        <v>79</v>
      </c>
      <c r="B2893" s="15" t="s">
        <v>259</v>
      </c>
      <c r="C2893" s="16" t="s">
        <v>31</v>
      </c>
      <c r="D2893" s="16" t="s">
        <v>31</v>
      </c>
      <c r="E2893" s="15" t="s">
        <v>32</v>
      </c>
      <c r="F2893" s="15" t="s">
        <v>314</v>
      </c>
      <c r="N2893" s="21" t="s">
        <v>96</v>
      </c>
      <c r="O2893" s="21" t="s">
        <v>336</v>
      </c>
      <c r="Q2893" s="21" t="s">
        <v>344</v>
      </c>
      <c r="R2893" s="22">
        <v>45756</v>
      </c>
      <c r="W2893">
        <f>COUNTIF(大和コネクト証券!U:U,B2893)</f>
        <v>0</v>
      </c>
    </row>
    <row r="2894" spans="1:23" ht="24.95" hidden="1" customHeight="1" x14ac:dyDescent="0.4">
      <c r="A2894" s="17" t="s">
        <v>79</v>
      </c>
      <c r="B2894" s="15" t="s">
        <v>260</v>
      </c>
      <c r="C2894" s="16" t="s">
        <v>31</v>
      </c>
      <c r="D2894" s="16" t="s">
        <v>31</v>
      </c>
      <c r="E2894" s="15" t="s">
        <v>32</v>
      </c>
      <c r="F2894" s="15" t="s">
        <v>314</v>
      </c>
      <c r="N2894" s="21" t="s">
        <v>96</v>
      </c>
      <c r="O2894" s="21" t="s">
        <v>336</v>
      </c>
      <c r="Q2894" s="21" t="s">
        <v>344</v>
      </c>
      <c r="R2894" s="22">
        <v>45756</v>
      </c>
      <c r="W2894">
        <f>COUNTIF(大和コネクト証券!U:U,B2894)</f>
        <v>0</v>
      </c>
    </row>
    <row r="2895" spans="1:23" ht="24.95" hidden="1" customHeight="1" x14ac:dyDescent="0.4">
      <c r="A2895" s="17" t="s">
        <v>79</v>
      </c>
      <c r="B2895" s="15" t="s">
        <v>261</v>
      </c>
      <c r="C2895" s="16" t="s">
        <v>31</v>
      </c>
      <c r="D2895" s="16" t="s">
        <v>31</v>
      </c>
      <c r="E2895" s="15" t="s">
        <v>32</v>
      </c>
      <c r="F2895" s="15" t="s">
        <v>314</v>
      </c>
      <c r="N2895" s="21" t="s">
        <v>96</v>
      </c>
      <c r="O2895" s="21" t="s">
        <v>336</v>
      </c>
      <c r="Q2895" s="21" t="s">
        <v>344</v>
      </c>
      <c r="R2895" s="22">
        <v>45756</v>
      </c>
      <c r="W2895">
        <f>COUNTIF(大和コネクト証券!U:U,B2895)</f>
        <v>0</v>
      </c>
    </row>
    <row r="2896" spans="1:23" ht="24.95" hidden="1" customHeight="1" x14ac:dyDescent="0.4">
      <c r="A2896" s="17" t="s">
        <v>79</v>
      </c>
      <c r="B2896" s="15" t="s">
        <v>262</v>
      </c>
      <c r="C2896" s="16" t="s">
        <v>31</v>
      </c>
      <c r="D2896" s="16" t="s">
        <v>31</v>
      </c>
      <c r="E2896" s="15" t="s">
        <v>32</v>
      </c>
      <c r="F2896" s="15" t="s">
        <v>314</v>
      </c>
      <c r="N2896" s="21" t="s">
        <v>96</v>
      </c>
      <c r="O2896" s="21" t="s">
        <v>336</v>
      </c>
      <c r="Q2896" s="21" t="s">
        <v>344</v>
      </c>
      <c r="R2896" s="22">
        <v>45756</v>
      </c>
      <c r="W2896">
        <f>COUNTIF(大和コネクト証券!U:U,B2896)</f>
        <v>0</v>
      </c>
    </row>
    <row r="2897" spans="1:23" ht="24.95" hidden="1" customHeight="1" x14ac:dyDescent="0.4">
      <c r="A2897" s="17" t="s">
        <v>79</v>
      </c>
      <c r="B2897" s="15" t="s">
        <v>263</v>
      </c>
      <c r="C2897" s="16" t="s">
        <v>31</v>
      </c>
      <c r="D2897" s="16" t="s">
        <v>31</v>
      </c>
      <c r="E2897" s="15" t="s">
        <v>32</v>
      </c>
      <c r="F2897" s="15" t="s">
        <v>314</v>
      </c>
      <c r="N2897" s="21" t="s">
        <v>96</v>
      </c>
      <c r="O2897" s="21" t="s">
        <v>336</v>
      </c>
      <c r="Q2897" s="21" t="s">
        <v>344</v>
      </c>
      <c r="R2897" s="22">
        <v>45756</v>
      </c>
      <c r="W2897">
        <f>COUNTIF(大和コネクト証券!U:U,B2897)</f>
        <v>0</v>
      </c>
    </row>
    <row r="2898" spans="1:23" ht="24.95" hidden="1" customHeight="1" x14ac:dyDescent="0.4">
      <c r="A2898" s="17" t="s">
        <v>79</v>
      </c>
      <c r="B2898" s="15" t="s">
        <v>264</v>
      </c>
      <c r="C2898" s="16" t="s">
        <v>31</v>
      </c>
      <c r="D2898" s="16" t="s">
        <v>31</v>
      </c>
      <c r="E2898" s="15" t="s">
        <v>32</v>
      </c>
      <c r="F2898" s="15" t="s">
        <v>314</v>
      </c>
      <c r="N2898" s="21" t="s">
        <v>96</v>
      </c>
      <c r="O2898" s="21" t="s">
        <v>336</v>
      </c>
      <c r="Q2898" s="21" t="s">
        <v>344</v>
      </c>
      <c r="R2898" s="22">
        <v>45756</v>
      </c>
      <c r="W2898">
        <f>COUNTIF(大和コネクト証券!U:U,B2898)</f>
        <v>0</v>
      </c>
    </row>
    <row r="2899" spans="1:23" ht="24.95" hidden="1" customHeight="1" x14ac:dyDescent="0.4">
      <c r="A2899" s="17" t="s">
        <v>79</v>
      </c>
      <c r="B2899" s="15" t="s">
        <v>265</v>
      </c>
      <c r="C2899" s="16" t="s">
        <v>31</v>
      </c>
      <c r="D2899" s="16" t="s">
        <v>31</v>
      </c>
      <c r="E2899" s="15" t="s">
        <v>32</v>
      </c>
      <c r="F2899" s="15" t="s">
        <v>314</v>
      </c>
      <c r="N2899" s="21" t="s">
        <v>96</v>
      </c>
      <c r="O2899" s="21" t="s">
        <v>336</v>
      </c>
      <c r="Q2899" s="21" t="s">
        <v>344</v>
      </c>
      <c r="R2899" s="22">
        <v>45756</v>
      </c>
      <c r="W2899">
        <f>COUNTIF(大和コネクト証券!U:U,B2899)</f>
        <v>0</v>
      </c>
    </row>
    <row r="2900" spans="1:23" ht="24.95" hidden="1" customHeight="1" x14ac:dyDescent="0.4">
      <c r="A2900" s="17" t="s">
        <v>79</v>
      </c>
      <c r="B2900" s="15" t="s">
        <v>266</v>
      </c>
      <c r="C2900" s="16" t="s">
        <v>31</v>
      </c>
      <c r="D2900" s="16" t="s">
        <v>31</v>
      </c>
      <c r="E2900" s="15" t="s">
        <v>32</v>
      </c>
      <c r="F2900" s="15" t="s">
        <v>314</v>
      </c>
      <c r="N2900" s="21" t="s">
        <v>96</v>
      </c>
      <c r="O2900" s="21" t="s">
        <v>336</v>
      </c>
      <c r="Q2900" s="21" t="s">
        <v>344</v>
      </c>
      <c r="R2900" s="22">
        <v>45756</v>
      </c>
      <c r="W2900">
        <f>COUNTIF(大和コネクト証券!U:U,B2900)</f>
        <v>0</v>
      </c>
    </row>
    <row r="2901" spans="1:23" ht="24.95" hidden="1" customHeight="1" x14ac:dyDescent="0.4">
      <c r="A2901" s="17" t="s">
        <v>79</v>
      </c>
      <c r="B2901" s="15" t="s">
        <v>267</v>
      </c>
      <c r="C2901" s="16" t="s">
        <v>31</v>
      </c>
      <c r="D2901" s="16" t="s">
        <v>31</v>
      </c>
      <c r="E2901" s="15" t="s">
        <v>32</v>
      </c>
      <c r="F2901" s="15" t="s">
        <v>314</v>
      </c>
      <c r="N2901" s="21" t="s">
        <v>96</v>
      </c>
      <c r="O2901" s="21" t="s">
        <v>336</v>
      </c>
      <c r="Q2901" s="21" t="s">
        <v>344</v>
      </c>
      <c r="R2901" s="22">
        <v>45756</v>
      </c>
      <c r="W2901">
        <f>COUNTIF(大和コネクト証券!U:U,B2901)</f>
        <v>0</v>
      </c>
    </row>
    <row r="2902" spans="1:23" ht="24.95" hidden="1" customHeight="1" x14ac:dyDescent="0.4">
      <c r="A2902" s="17" t="s">
        <v>79</v>
      </c>
      <c r="B2902" s="15" t="s">
        <v>268</v>
      </c>
      <c r="C2902" s="16" t="s">
        <v>31</v>
      </c>
      <c r="D2902" s="16" t="s">
        <v>31</v>
      </c>
      <c r="E2902" s="15" t="s">
        <v>32</v>
      </c>
      <c r="F2902" s="15" t="s">
        <v>314</v>
      </c>
      <c r="N2902" s="21" t="s">
        <v>96</v>
      </c>
      <c r="O2902" s="21" t="s">
        <v>336</v>
      </c>
      <c r="Q2902" s="21" t="s">
        <v>344</v>
      </c>
      <c r="R2902" s="22">
        <v>45756</v>
      </c>
      <c r="W2902">
        <f>COUNTIF(大和コネクト証券!U:U,B2902)</f>
        <v>0</v>
      </c>
    </row>
    <row r="2903" spans="1:23" ht="24.95" hidden="1" customHeight="1" x14ac:dyDescent="0.4">
      <c r="A2903" s="17" t="s">
        <v>79</v>
      </c>
      <c r="B2903" s="15" t="s">
        <v>269</v>
      </c>
      <c r="C2903" s="16" t="s">
        <v>31</v>
      </c>
      <c r="D2903" s="16" t="s">
        <v>31</v>
      </c>
      <c r="E2903" s="15" t="s">
        <v>32</v>
      </c>
      <c r="F2903" s="15" t="s">
        <v>314</v>
      </c>
      <c r="N2903" s="21" t="s">
        <v>96</v>
      </c>
      <c r="O2903" s="21" t="s">
        <v>336</v>
      </c>
      <c r="Q2903" s="21" t="s">
        <v>344</v>
      </c>
      <c r="R2903" s="22">
        <v>45756</v>
      </c>
      <c r="W2903">
        <f>COUNTIF(大和コネクト証券!U:U,B2903)</f>
        <v>0</v>
      </c>
    </row>
    <row r="2904" spans="1:23" ht="24.95" hidden="1" customHeight="1" x14ac:dyDescent="0.4">
      <c r="A2904" s="17" t="s">
        <v>79</v>
      </c>
      <c r="B2904" s="15" t="s">
        <v>270</v>
      </c>
      <c r="C2904" s="16" t="s">
        <v>31</v>
      </c>
      <c r="D2904" s="16" t="s">
        <v>31</v>
      </c>
      <c r="E2904" s="15" t="s">
        <v>32</v>
      </c>
      <c r="F2904" s="15" t="s">
        <v>314</v>
      </c>
      <c r="N2904" s="21" t="s">
        <v>96</v>
      </c>
      <c r="O2904" s="21" t="s">
        <v>336</v>
      </c>
      <c r="Q2904" s="21" t="s">
        <v>344</v>
      </c>
      <c r="R2904" s="22">
        <v>45756</v>
      </c>
      <c r="W2904">
        <f>COUNTIF(大和コネクト証券!U:U,B2904)</f>
        <v>0</v>
      </c>
    </row>
    <row r="2905" spans="1:23" ht="24.95" hidden="1" customHeight="1" x14ac:dyDescent="0.4">
      <c r="A2905" s="17" t="s">
        <v>79</v>
      </c>
      <c r="B2905" s="15" t="s">
        <v>271</v>
      </c>
      <c r="C2905" s="16" t="s">
        <v>31</v>
      </c>
      <c r="D2905" s="16" t="s">
        <v>31</v>
      </c>
      <c r="E2905" s="15" t="s">
        <v>32</v>
      </c>
      <c r="F2905" s="15" t="s">
        <v>314</v>
      </c>
      <c r="N2905" s="21" t="s">
        <v>96</v>
      </c>
      <c r="O2905" s="21" t="s">
        <v>336</v>
      </c>
      <c r="Q2905" s="21" t="s">
        <v>344</v>
      </c>
      <c r="R2905" s="22">
        <v>45756</v>
      </c>
      <c r="W2905">
        <f>COUNTIF(大和コネクト証券!U:U,B2905)</f>
        <v>0</v>
      </c>
    </row>
    <row r="2906" spans="1:23" ht="24.95" hidden="1" customHeight="1" x14ac:dyDescent="0.4">
      <c r="A2906" s="17" t="s">
        <v>79</v>
      </c>
      <c r="B2906" s="15" t="s">
        <v>366</v>
      </c>
      <c r="C2906" s="16" t="s">
        <v>31</v>
      </c>
      <c r="D2906" s="16" t="s">
        <v>31</v>
      </c>
      <c r="E2906" s="15" t="s">
        <v>32</v>
      </c>
      <c r="F2906" s="15" t="s">
        <v>365</v>
      </c>
      <c r="N2906" s="21" t="s">
        <v>374</v>
      </c>
      <c r="O2906" s="21" t="s">
        <v>373</v>
      </c>
      <c r="Q2906" s="21" t="s">
        <v>344</v>
      </c>
      <c r="R2906" s="22">
        <v>45883</v>
      </c>
      <c r="W2906">
        <f>COUNTIF(大和コネクト証券!U:U,B2906)</f>
        <v>0</v>
      </c>
    </row>
    <row r="2907" spans="1:23" ht="24.95" hidden="1" customHeight="1" x14ac:dyDescent="0.4">
      <c r="A2907" s="17" t="s">
        <v>79</v>
      </c>
      <c r="B2907" s="15" t="s">
        <v>367</v>
      </c>
      <c r="C2907" s="16" t="s">
        <v>31</v>
      </c>
      <c r="D2907" s="16" t="s">
        <v>31</v>
      </c>
      <c r="E2907" s="15" t="s">
        <v>32</v>
      </c>
      <c r="F2907" s="15" t="s">
        <v>365</v>
      </c>
      <c r="N2907" s="21" t="s">
        <v>374</v>
      </c>
      <c r="O2907" s="21" t="s">
        <v>373</v>
      </c>
      <c r="Q2907" s="21" t="s">
        <v>344</v>
      </c>
      <c r="R2907" s="22">
        <v>45883</v>
      </c>
      <c r="W2907">
        <f>COUNTIF(大和コネクト証券!U:U,B2907)</f>
        <v>0</v>
      </c>
    </row>
    <row r="2908" spans="1:23" ht="24.95" hidden="1" customHeight="1" x14ac:dyDescent="0.4">
      <c r="A2908" s="17" t="s">
        <v>79</v>
      </c>
      <c r="B2908" s="15" t="s">
        <v>272</v>
      </c>
      <c r="C2908" s="16" t="s">
        <v>31</v>
      </c>
      <c r="D2908" s="16" t="s">
        <v>31</v>
      </c>
      <c r="E2908" s="15" t="s">
        <v>32</v>
      </c>
      <c r="F2908" s="15" t="s">
        <v>314</v>
      </c>
      <c r="N2908" s="21" t="s">
        <v>96</v>
      </c>
      <c r="O2908" s="21" t="s">
        <v>336</v>
      </c>
      <c r="Q2908" s="21" t="s">
        <v>344</v>
      </c>
      <c r="R2908" s="22">
        <v>45756</v>
      </c>
      <c r="W2908">
        <f>COUNTIF(大和コネクト証券!U:U,B2908)</f>
        <v>0</v>
      </c>
    </row>
    <row r="2909" spans="1:23" ht="24.95" hidden="1" customHeight="1" x14ac:dyDescent="0.4">
      <c r="A2909" s="17" t="s">
        <v>79</v>
      </c>
      <c r="B2909" s="15" t="s">
        <v>273</v>
      </c>
      <c r="C2909" s="16" t="s">
        <v>31</v>
      </c>
      <c r="D2909" s="16" t="s">
        <v>31</v>
      </c>
      <c r="E2909" s="15" t="s">
        <v>32</v>
      </c>
      <c r="F2909" s="15" t="s">
        <v>314</v>
      </c>
      <c r="N2909" s="21" t="s">
        <v>96</v>
      </c>
      <c r="O2909" s="21" t="s">
        <v>336</v>
      </c>
      <c r="Q2909" s="21" t="s">
        <v>344</v>
      </c>
      <c r="R2909" s="22">
        <v>45756</v>
      </c>
      <c r="W2909">
        <f>COUNTIF(大和コネクト証券!U:U,B2909)</f>
        <v>0</v>
      </c>
    </row>
    <row r="2910" spans="1:23" ht="24.95" hidden="1" customHeight="1" x14ac:dyDescent="0.4">
      <c r="A2910" s="17" t="s">
        <v>79</v>
      </c>
      <c r="B2910" s="15" t="s">
        <v>274</v>
      </c>
      <c r="C2910" s="16" t="s">
        <v>31</v>
      </c>
      <c r="D2910" s="16" t="s">
        <v>31</v>
      </c>
      <c r="E2910" s="15" t="s">
        <v>32</v>
      </c>
      <c r="F2910" s="15" t="s">
        <v>314</v>
      </c>
      <c r="N2910" s="21" t="s">
        <v>96</v>
      </c>
      <c r="O2910" s="21" t="s">
        <v>336</v>
      </c>
      <c r="Q2910" s="21" t="s">
        <v>344</v>
      </c>
      <c r="R2910" s="22">
        <v>45756</v>
      </c>
      <c r="W2910">
        <f>COUNTIF(大和コネクト証券!U:U,B2910)</f>
        <v>0</v>
      </c>
    </row>
    <row r="2911" spans="1:23" ht="24.95" hidden="1" customHeight="1" x14ac:dyDescent="0.4">
      <c r="A2911" s="17" t="s">
        <v>79</v>
      </c>
      <c r="B2911" s="15" t="s">
        <v>275</v>
      </c>
      <c r="C2911" s="16" t="s">
        <v>31</v>
      </c>
      <c r="D2911" s="16" t="s">
        <v>31</v>
      </c>
      <c r="E2911" s="15" t="s">
        <v>32</v>
      </c>
      <c r="F2911" s="15" t="s">
        <v>314</v>
      </c>
      <c r="N2911" s="21" t="s">
        <v>96</v>
      </c>
      <c r="O2911" s="21" t="s">
        <v>336</v>
      </c>
      <c r="Q2911" s="21" t="s">
        <v>344</v>
      </c>
      <c r="R2911" s="22">
        <v>45756</v>
      </c>
      <c r="W2911">
        <f>COUNTIF(大和コネクト証券!U:U,B2911)</f>
        <v>0</v>
      </c>
    </row>
    <row r="2912" spans="1:23" ht="24.95" hidden="1" customHeight="1" x14ac:dyDescent="0.4">
      <c r="A2912" s="17" t="s">
        <v>79</v>
      </c>
      <c r="B2912" s="15" t="s">
        <v>276</v>
      </c>
      <c r="C2912" s="16" t="s">
        <v>31</v>
      </c>
      <c r="D2912" s="16" t="s">
        <v>31</v>
      </c>
      <c r="E2912" s="15" t="s">
        <v>32</v>
      </c>
      <c r="F2912" s="15" t="s">
        <v>314</v>
      </c>
      <c r="N2912" s="21" t="s">
        <v>96</v>
      </c>
      <c r="O2912" s="21" t="s">
        <v>336</v>
      </c>
      <c r="Q2912" s="21" t="s">
        <v>344</v>
      </c>
      <c r="R2912" s="22">
        <v>45756</v>
      </c>
      <c r="W2912">
        <f>COUNTIF(大和コネクト証券!U:U,B2912)</f>
        <v>0</v>
      </c>
    </row>
    <row r="2913" spans="1:23" ht="24.95" hidden="1" customHeight="1" x14ac:dyDescent="0.4">
      <c r="A2913" s="17" t="s">
        <v>79</v>
      </c>
      <c r="B2913" s="15" t="s">
        <v>277</v>
      </c>
      <c r="C2913" s="16" t="s">
        <v>31</v>
      </c>
      <c r="D2913" s="16" t="s">
        <v>31</v>
      </c>
      <c r="E2913" s="15" t="s">
        <v>32</v>
      </c>
      <c r="F2913" s="15" t="s">
        <v>314</v>
      </c>
      <c r="N2913" s="21" t="s">
        <v>96</v>
      </c>
      <c r="O2913" s="21" t="s">
        <v>336</v>
      </c>
      <c r="Q2913" s="21" t="s">
        <v>344</v>
      </c>
      <c r="R2913" s="22">
        <v>45756</v>
      </c>
      <c r="W2913">
        <f>COUNTIF(大和コネクト証券!U:U,B2913)</f>
        <v>0</v>
      </c>
    </row>
    <row r="2914" spans="1:23" ht="24.95" hidden="1" customHeight="1" x14ac:dyDescent="0.4">
      <c r="A2914" s="17" t="s">
        <v>79</v>
      </c>
      <c r="B2914" s="15" t="s">
        <v>278</v>
      </c>
      <c r="C2914" s="16" t="s">
        <v>31</v>
      </c>
      <c r="D2914" s="16" t="s">
        <v>31</v>
      </c>
      <c r="E2914" s="15" t="s">
        <v>32</v>
      </c>
      <c r="F2914" s="15" t="s">
        <v>314</v>
      </c>
      <c r="N2914" s="21" t="s">
        <v>96</v>
      </c>
      <c r="O2914" s="21" t="s">
        <v>336</v>
      </c>
      <c r="Q2914" s="21" t="s">
        <v>344</v>
      </c>
      <c r="R2914" s="22">
        <v>45756</v>
      </c>
      <c r="W2914">
        <f>COUNTIF(大和コネクト証券!U:U,B2914)</f>
        <v>0</v>
      </c>
    </row>
    <row r="2915" spans="1:23" ht="24.95" hidden="1" customHeight="1" x14ac:dyDescent="0.4">
      <c r="A2915" s="17" t="s">
        <v>79</v>
      </c>
      <c r="B2915" s="15" t="s">
        <v>279</v>
      </c>
      <c r="C2915" s="16" t="s">
        <v>31</v>
      </c>
      <c r="D2915" s="16" t="s">
        <v>31</v>
      </c>
      <c r="E2915" s="15" t="s">
        <v>32</v>
      </c>
      <c r="F2915" s="15" t="s">
        <v>314</v>
      </c>
      <c r="N2915" s="21" t="s">
        <v>96</v>
      </c>
      <c r="O2915" s="21" t="s">
        <v>336</v>
      </c>
      <c r="Q2915" s="21" t="s">
        <v>344</v>
      </c>
      <c r="R2915" s="22">
        <v>45756</v>
      </c>
      <c r="W2915">
        <f>COUNTIF(大和コネクト証券!U:U,B2915)</f>
        <v>0</v>
      </c>
    </row>
    <row r="2916" spans="1:23" ht="24.95" hidden="1" customHeight="1" x14ac:dyDescent="0.4">
      <c r="A2916" s="17" t="s">
        <v>79</v>
      </c>
      <c r="B2916" s="15" t="s">
        <v>280</v>
      </c>
      <c r="C2916" s="16" t="s">
        <v>31</v>
      </c>
      <c r="D2916" s="16" t="s">
        <v>31</v>
      </c>
      <c r="E2916" s="15" t="s">
        <v>32</v>
      </c>
      <c r="F2916" s="15" t="s">
        <v>314</v>
      </c>
      <c r="N2916" s="21" t="s">
        <v>96</v>
      </c>
      <c r="O2916" s="21" t="s">
        <v>336</v>
      </c>
      <c r="Q2916" s="21" t="s">
        <v>344</v>
      </c>
      <c r="R2916" s="22">
        <v>45756</v>
      </c>
      <c r="W2916">
        <f>COUNTIF(大和コネクト証券!U:U,B2916)</f>
        <v>0</v>
      </c>
    </row>
    <row r="2917" spans="1:23" ht="24.95" hidden="1" customHeight="1" x14ac:dyDescent="0.4">
      <c r="A2917" s="17" t="s">
        <v>79</v>
      </c>
      <c r="B2917" s="15" t="s">
        <v>281</v>
      </c>
      <c r="C2917" s="16" t="s">
        <v>31</v>
      </c>
      <c r="D2917" s="16" t="s">
        <v>31</v>
      </c>
      <c r="E2917" s="15" t="s">
        <v>32</v>
      </c>
      <c r="F2917" s="15" t="s">
        <v>314</v>
      </c>
      <c r="N2917" s="21" t="s">
        <v>96</v>
      </c>
      <c r="O2917" s="21" t="s">
        <v>336</v>
      </c>
      <c r="Q2917" s="21" t="s">
        <v>344</v>
      </c>
      <c r="R2917" s="22">
        <v>45756</v>
      </c>
      <c r="W2917">
        <f>COUNTIF(大和コネクト証券!U:U,B2917)</f>
        <v>0</v>
      </c>
    </row>
    <row r="2918" spans="1:23" ht="24.95" hidden="1" customHeight="1" x14ac:dyDescent="0.4">
      <c r="A2918" s="17" t="s">
        <v>79</v>
      </c>
      <c r="B2918" s="15" t="s">
        <v>282</v>
      </c>
      <c r="C2918" s="16" t="s">
        <v>31</v>
      </c>
      <c r="D2918" s="16" t="s">
        <v>31</v>
      </c>
      <c r="E2918" s="15" t="s">
        <v>32</v>
      </c>
      <c r="F2918" s="15" t="s">
        <v>314</v>
      </c>
      <c r="N2918" s="21" t="s">
        <v>96</v>
      </c>
      <c r="O2918" s="21" t="s">
        <v>336</v>
      </c>
      <c r="Q2918" s="21" t="s">
        <v>344</v>
      </c>
      <c r="R2918" s="22">
        <v>45756</v>
      </c>
      <c r="W2918">
        <f>COUNTIF(大和コネクト証券!U:U,B2918)</f>
        <v>0</v>
      </c>
    </row>
    <row r="2919" spans="1:23" ht="24.95" hidden="1" customHeight="1" x14ac:dyDescent="0.4">
      <c r="A2919" s="17" t="s">
        <v>79</v>
      </c>
      <c r="B2919" s="15" t="s">
        <v>283</v>
      </c>
      <c r="C2919" s="16" t="s">
        <v>31</v>
      </c>
      <c r="D2919" s="16" t="s">
        <v>31</v>
      </c>
      <c r="E2919" s="15" t="s">
        <v>32</v>
      </c>
      <c r="F2919" s="15" t="s">
        <v>314</v>
      </c>
      <c r="N2919" s="21" t="s">
        <v>96</v>
      </c>
      <c r="O2919" s="21" t="s">
        <v>336</v>
      </c>
      <c r="Q2919" s="21" t="s">
        <v>344</v>
      </c>
      <c r="R2919" s="22">
        <v>45756</v>
      </c>
      <c r="W2919">
        <f>COUNTIF(大和コネクト証券!U:U,B2919)</f>
        <v>0</v>
      </c>
    </row>
    <row r="2920" spans="1:23" ht="24.95" hidden="1" customHeight="1" x14ac:dyDescent="0.4">
      <c r="A2920" s="17" t="s">
        <v>79</v>
      </c>
      <c r="B2920" s="15" t="s">
        <v>284</v>
      </c>
      <c r="C2920" s="16" t="s">
        <v>31</v>
      </c>
      <c r="D2920" s="16" t="s">
        <v>31</v>
      </c>
      <c r="E2920" s="15" t="s">
        <v>32</v>
      </c>
      <c r="F2920" s="15" t="s">
        <v>314</v>
      </c>
      <c r="N2920" s="21" t="s">
        <v>96</v>
      </c>
      <c r="O2920" s="21" t="s">
        <v>336</v>
      </c>
      <c r="Q2920" s="21" t="s">
        <v>344</v>
      </c>
      <c r="R2920" s="22">
        <v>45756</v>
      </c>
      <c r="W2920">
        <f>COUNTIF(大和コネクト証券!U:U,B2920)</f>
        <v>0</v>
      </c>
    </row>
    <row r="2921" spans="1:23" ht="24.95" hidden="1" customHeight="1" x14ac:dyDescent="0.4">
      <c r="A2921" s="17" t="s">
        <v>79</v>
      </c>
      <c r="B2921" s="15" t="s">
        <v>285</v>
      </c>
      <c r="C2921" s="16" t="s">
        <v>31</v>
      </c>
      <c r="D2921" s="16" t="s">
        <v>31</v>
      </c>
      <c r="E2921" s="15" t="s">
        <v>32</v>
      </c>
      <c r="F2921" s="15" t="s">
        <v>314</v>
      </c>
      <c r="N2921" s="21" t="s">
        <v>96</v>
      </c>
      <c r="O2921" s="21" t="s">
        <v>336</v>
      </c>
      <c r="Q2921" s="21" t="s">
        <v>344</v>
      </c>
      <c r="R2921" s="22">
        <v>45756</v>
      </c>
      <c r="W2921">
        <f>COUNTIF(大和コネクト証券!U:U,B2921)</f>
        <v>0</v>
      </c>
    </row>
    <row r="2922" spans="1:23" ht="24.95" hidden="1" customHeight="1" x14ac:dyDescent="0.4">
      <c r="A2922" s="17" t="s">
        <v>79</v>
      </c>
      <c r="B2922" s="15" t="s">
        <v>286</v>
      </c>
      <c r="C2922" s="16" t="s">
        <v>31</v>
      </c>
      <c r="D2922" s="16" t="s">
        <v>31</v>
      </c>
      <c r="E2922" s="15" t="s">
        <v>32</v>
      </c>
      <c r="F2922" s="15" t="s">
        <v>314</v>
      </c>
      <c r="N2922" s="21" t="s">
        <v>96</v>
      </c>
      <c r="O2922" s="21" t="s">
        <v>336</v>
      </c>
      <c r="Q2922" s="21" t="s">
        <v>344</v>
      </c>
      <c r="R2922" s="22">
        <v>45756</v>
      </c>
      <c r="W2922">
        <f>COUNTIF(大和コネクト証券!U:U,B2922)</f>
        <v>0</v>
      </c>
    </row>
    <row r="2923" spans="1:23" ht="24.95" hidden="1" customHeight="1" x14ac:dyDescent="0.4">
      <c r="A2923" s="17" t="s">
        <v>79</v>
      </c>
      <c r="B2923" s="15" t="s">
        <v>287</v>
      </c>
      <c r="C2923" s="16" t="s">
        <v>31</v>
      </c>
      <c r="D2923" s="16" t="s">
        <v>31</v>
      </c>
      <c r="E2923" s="15" t="s">
        <v>32</v>
      </c>
      <c r="F2923" s="15" t="s">
        <v>314</v>
      </c>
      <c r="N2923" s="21" t="s">
        <v>96</v>
      </c>
      <c r="O2923" s="21" t="s">
        <v>336</v>
      </c>
      <c r="Q2923" s="21" t="s">
        <v>344</v>
      </c>
      <c r="R2923" s="22">
        <v>45756</v>
      </c>
      <c r="W2923">
        <f>COUNTIF(大和コネクト証券!U:U,B2923)</f>
        <v>0</v>
      </c>
    </row>
    <row r="2924" spans="1:23" ht="24.95" hidden="1" customHeight="1" x14ac:dyDescent="0.4">
      <c r="A2924" s="17" t="s">
        <v>79</v>
      </c>
      <c r="B2924" s="15" t="s">
        <v>342</v>
      </c>
      <c r="C2924" s="16" t="s">
        <v>31</v>
      </c>
      <c r="D2924" s="16" t="s">
        <v>31</v>
      </c>
      <c r="E2924" s="15" t="s">
        <v>32</v>
      </c>
      <c r="F2924" s="15" t="s">
        <v>340</v>
      </c>
      <c r="N2924" s="21" t="s">
        <v>96</v>
      </c>
      <c r="O2924" s="21" t="s">
        <v>345</v>
      </c>
      <c r="Q2924" s="21" t="s">
        <v>344</v>
      </c>
      <c r="R2924" s="22">
        <v>45784</v>
      </c>
      <c r="W2924">
        <f>COUNTIF(大和コネクト証券!U:U,B2924)</f>
        <v>0</v>
      </c>
    </row>
    <row r="2925" spans="1:23" ht="24.95" hidden="1" customHeight="1" x14ac:dyDescent="0.4">
      <c r="A2925" s="17" t="s">
        <v>79</v>
      </c>
      <c r="B2925" s="15" t="s">
        <v>288</v>
      </c>
      <c r="C2925" s="16" t="s">
        <v>31</v>
      </c>
      <c r="D2925" s="16" t="s">
        <v>31</v>
      </c>
      <c r="E2925" s="15" t="s">
        <v>32</v>
      </c>
      <c r="F2925" s="15" t="s">
        <v>314</v>
      </c>
      <c r="N2925" s="21" t="s">
        <v>96</v>
      </c>
      <c r="O2925" s="21" t="s">
        <v>336</v>
      </c>
      <c r="Q2925" s="21" t="s">
        <v>344</v>
      </c>
      <c r="R2925" s="22">
        <v>45756</v>
      </c>
      <c r="W2925">
        <f>COUNTIF(大和コネクト証券!U:U,B2925)</f>
        <v>0</v>
      </c>
    </row>
    <row r="2926" spans="1:23" ht="24.95" hidden="1" customHeight="1" x14ac:dyDescent="0.4">
      <c r="A2926" s="17" t="s">
        <v>79</v>
      </c>
      <c r="B2926" s="15" t="s">
        <v>289</v>
      </c>
      <c r="C2926" s="16" t="s">
        <v>31</v>
      </c>
      <c r="D2926" s="16" t="s">
        <v>31</v>
      </c>
      <c r="E2926" s="15" t="s">
        <v>32</v>
      </c>
      <c r="F2926" s="15" t="s">
        <v>314</v>
      </c>
      <c r="N2926" s="21" t="s">
        <v>96</v>
      </c>
      <c r="O2926" s="21" t="s">
        <v>336</v>
      </c>
      <c r="Q2926" s="21" t="s">
        <v>344</v>
      </c>
      <c r="R2926" s="22">
        <v>45756</v>
      </c>
      <c r="W2926">
        <f>COUNTIF(大和コネクト証券!U:U,B2926)</f>
        <v>0</v>
      </c>
    </row>
    <row r="2927" spans="1:23" ht="24.95" hidden="1" customHeight="1" x14ac:dyDescent="0.4">
      <c r="A2927" s="17" t="s">
        <v>79</v>
      </c>
      <c r="B2927" s="15" t="s">
        <v>290</v>
      </c>
      <c r="C2927" s="16" t="s">
        <v>31</v>
      </c>
      <c r="D2927" s="16" t="s">
        <v>31</v>
      </c>
      <c r="E2927" s="15" t="s">
        <v>32</v>
      </c>
      <c r="F2927" s="15" t="s">
        <v>314</v>
      </c>
      <c r="N2927" s="21" t="s">
        <v>96</v>
      </c>
      <c r="O2927" s="21" t="s">
        <v>336</v>
      </c>
      <c r="Q2927" s="21" t="s">
        <v>344</v>
      </c>
      <c r="R2927" s="22">
        <v>45756</v>
      </c>
      <c r="W2927">
        <f>COUNTIF(大和コネクト証券!U:U,B2927)</f>
        <v>0</v>
      </c>
    </row>
    <row r="2928" spans="1:23" ht="24.95" hidden="1" customHeight="1" x14ac:dyDescent="0.4">
      <c r="A2928" s="17" t="s">
        <v>79</v>
      </c>
      <c r="B2928" s="15" t="s">
        <v>291</v>
      </c>
      <c r="C2928" s="16" t="s">
        <v>31</v>
      </c>
      <c r="D2928" s="16" t="s">
        <v>31</v>
      </c>
      <c r="E2928" s="15" t="s">
        <v>32</v>
      </c>
      <c r="F2928" s="15" t="s">
        <v>314</v>
      </c>
      <c r="N2928" s="21" t="s">
        <v>96</v>
      </c>
      <c r="O2928" s="21" t="s">
        <v>336</v>
      </c>
      <c r="Q2928" s="21" t="s">
        <v>344</v>
      </c>
      <c r="R2928" s="22">
        <v>45756</v>
      </c>
      <c r="W2928">
        <f>COUNTIF(大和コネクト証券!U:U,B2928)</f>
        <v>0</v>
      </c>
    </row>
    <row r="2929" spans="1:23" ht="24.95" hidden="1" customHeight="1" x14ac:dyDescent="0.4">
      <c r="A2929" s="17" t="s">
        <v>79</v>
      </c>
      <c r="B2929" s="15" t="s">
        <v>292</v>
      </c>
      <c r="C2929" s="16" t="s">
        <v>31</v>
      </c>
      <c r="D2929" s="16" t="s">
        <v>31</v>
      </c>
      <c r="E2929" s="15" t="s">
        <v>32</v>
      </c>
      <c r="F2929" s="15" t="s">
        <v>314</v>
      </c>
      <c r="N2929" s="21" t="s">
        <v>96</v>
      </c>
      <c r="O2929" s="21" t="s">
        <v>336</v>
      </c>
      <c r="Q2929" s="21" t="s">
        <v>344</v>
      </c>
      <c r="R2929" s="22">
        <v>45756</v>
      </c>
      <c r="W2929">
        <f>COUNTIF(大和コネクト証券!U:U,B2929)</f>
        <v>0</v>
      </c>
    </row>
    <row r="2930" spans="1:23" ht="24.95" hidden="1" customHeight="1" x14ac:dyDescent="0.4">
      <c r="A2930" s="17" t="s">
        <v>79</v>
      </c>
      <c r="B2930" s="15" t="s">
        <v>293</v>
      </c>
      <c r="C2930" s="16" t="s">
        <v>31</v>
      </c>
      <c r="D2930" s="16" t="s">
        <v>31</v>
      </c>
      <c r="E2930" s="15" t="s">
        <v>32</v>
      </c>
      <c r="F2930" s="15" t="s">
        <v>314</v>
      </c>
      <c r="N2930" s="21" t="s">
        <v>96</v>
      </c>
      <c r="O2930" s="21" t="s">
        <v>336</v>
      </c>
      <c r="Q2930" s="21" t="s">
        <v>344</v>
      </c>
      <c r="R2930" s="22">
        <v>45756</v>
      </c>
      <c r="W2930">
        <f>COUNTIF(大和コネクト証券!U:U,B2930)</f>
        <v>0</v>
      </c>
    </row>
    <row r="2931" spans="1:23" ht="24.95" hidden="1" customHeight="1" x14ac:dyDescent="0.4">
      <c r="A2931" s="17" t="s">
        <v>79</v>
      </c>
      <c r="B2931" s="15" t="s">
        <v>294</v>
      </c>
      <c r="C2931" s="16" t="s">
        <v>31</v>
      </c>
      <c r="D2931" s="16" t="s">
        <v>31</v>
      </c>
      <c r="E2931" s="15" t="s">
        <v>32</v>
      </c>
      <c r="F2931" s="15" t="s">
        <v>314</v>
      </c>
      <c r="N2931" s="21" t="s">
        <v>96</v>
      </c>
      <c r="O2931" s="21" t="s">
        <v>336</v>
      </c>
      <c r="Q2931" s="21" t="s">
        <v>344</v>
      </c>
      <c r="R2931" s="22">
        <v>45756</v>
      </c>
      <c r="W2931">
        <f>COUNTIF(大和コネクト証券!U:U,B2931)</f>
        <v>0</v>
      </c>
    </row>
    <row r="2932" spans="1:23" ht="24.95" hidden="1" customHeight="1" x14ac:dyDescent="0.4">
      <c r="A2932" s="17" t="s">
        <v>79</v>
      </c>
      <c r="B2932" s="15" t="s">
        <v>295</v>
      </c>
      <c r="C2932" s="16" t="s">
        <v>31</v>
      </c>
      <c r="D2932" s="16" t="s">
        <v>31</v>
      </c>
      <c r="E2932" s="15" t="s">
        <v>32</v>
      </c>
      <c r="F2932" s="15" t="s">
        <v>314</v>
      </c>
      <c r="N2932" s="21" t="s">
        <v>96</v>
      </c>
      <c r="O2932" s="21" t="s">
        <v>336</v>
      </c>
      <c r="Q2932" s="21" t="s">
        <v>344</v>
      </c>
      <c r="R2932" s="22">
        <v>45756</v>
      </c>
      <c r="W2932">
        <f>COUNTIF(大和コネクト証券!U:U,B2932)</f>
        <v>0</v>
      </c>
    </row>
    <row r="2933" spans="1:23" ht="24.95" hidden="1" customHeight="1" x14ac:dyDescent="0.4">
      <c r="A2933" s="17" t="s">
        <v>79</v>
      </c>
      <c r="B2933" s="15" t="s">
        <v>296</v>
      </c>
      <c r="C2933" s="16" t="s">
        <v>31</v>
      </c>
      <c r="D2933" s="16" t="s">
        <v>31</v>
      </c>
      <c r="E2933" s="15" t="s">
        <v>32</v>
      </c>
      <c r="F2933" s="15" t="s">
        <v>314</v>
      </c>
      <c r="N2933" s="21" t="s">
        <v>96</v>
      </c>
      <c r="O2933" s="21" t="s">
        <v>336</v>
      </c>
      <c r="Q2933" s="21" t="s">
        <v>344</v>
      </c>
      <c r="R2933" s="22">
        <v>45756</v>
      </c>
      <c r="W2933">
        <f>COUNTIF(大和コネクト証券!U:U,B2933)</f>
        <v>0</v>
      </c>
    </row>
    <row r="2934" spans="1:23" ht="24.95" hidden="1" customHeight="1" x14ac:dyDescent="0.4">
      <c r="A2934" s="17" t="s">
        <v>79</v>
      </c>
      <c r="B2934" s="15" t="s">
        <v>297</v>
      </c>
      <c r="C2934" s="16" t="s">
        <v>31</v>
      </c>
      <c r="D2934" s="16" t="s">
        <v>31</v>
      </c>
      <c r="E2934" s="15" t="s">
        <v>32</v>
      </c>
      <c r="F2934" s="15" t="s">
        <v>314</v>
      </c>
      <c r="N2934" s="21" t="s">
        <v>96</v>
      </c>
      <c r="O2934" s="21" t="s">
        <v>336</v>
      </c>
      <c r="Q2934" s="21" t="s">
        <v>344</v>
      </c>
      <c r="R2934" s="22">
        <v>45756</v>
      </c>
      <c r="W2934">
        <f>COUNTIF(大和コネクト証券!U:U,B2934)</f>
        <v>0</v>
      </c>
    </row>
    <row r="2935" spans="1:23" ht="24.95" hidden="1" customHeight="1" x14ac:dyDescent="0.4">
      <c r="A2935" s="17" t="s">
        <v>79</v>
      </c>
      <c r="B2935" s="15" t="s">
        <v>298</v>
      </c>
      <c r="C2935" s="16" t="s">
        <v>31</v>
      </c>
      <c r="D2935" s="16" t="s">
        <v>31</v>
      </c>
      <c r="E2935" s="15" t="s">
        <v>32</v>
      </c>
      <c r="F2935" s="15" t="s">
        <v>314</v>
      </c>
      <c r="N2935" s="21" t="s">
        <v>96</v>
      </c>
      <c r="O2935" s="21" t="s">
        <v>336</v>
      </c>
      <c r="Q2935" s="21" t="s">
        <v>344</v>
      </c>
      <c r="R2935" s="22">
        <v>45756</v>
      </c>
      <c r="W2935">
        <f>COUNTIF(大和コネクト証券!U:U,B2935)</f>
        <v>0</v>
      </c>
    </row>
    <row r="2936" spans="1:23" ht="24.95" hidden="1" customHeight="1" x14ac:dyDescent="0.4">
      <c r="A2936" s="17" t="s">
        <v>79</v>
      </c>
      <c r="B2936" s="15" t="s">
        <v>299</v>
      </c>
      <c r="C2936" s="16" t="s">
        <v>31</v>
      </c>
      <c r="D2936" s="16" t="s">
        <v>31</v>
      </c>
      <c r="E2936" s="15" t="s">
        <v>32</v>
      </c>
      <c r="F2936" s="15" t="s">
        <v>314</v>
      </c>
      <c r="N2936" s="21" t="s">
        <v>96</v>
      </c>
      <c r="O2936" s="21" t="s">
        <v>336</v>
      </c>
      <c r="Q2936" s="21" t="s">
        <v>344</v>
      </c>
      <c r="R2936" s="22">
        <v>45756</v>
      </c>
      <c r="W2936">
        <f>COUNTIF(大和コネクト証券!U:U,B2936)</f>
        <v>0</v>
      </c>
    </row>
    <row r="2937" spans="1:23" ht="24.95" hidden="1" customHeight="1" x14ac:dyDescent="0.4">
      <c r="A2937" s="17" t="s">
        <v>79</v>
      </c>
      <c r="B2937" s="15" t="s">
        <v>300</v>
      </c>
      <c r="C2937" s="16" t="s">
        <v>31</v>
      </c>
      <c r="D2937" s="16" t="s">
        <v>31</v>
      </c>
      <c r="E2937" s="15" t="s">
        <v>32</v>
      </c>
      <c r="F2937" s="15" t="s">
        <v>314</v>
      </c>
      <c r="N2937" s="21" t="s">
        <v>96</v>
      </c>
      <c r="O2937" s="21" t="s">
        <v>336</v>
      </c>
      <c r="Q2937" s="21" t="s">
        <v>344</v>
      </c>
      <c r="R2937" s="22">
        <v>45756</v>
      </c>
      <c r="W2937">
        <f>COUNTIF(大和コネクト証券!U:U,B2937)</f>
        <v>0</v>
      </c>
    </row>
    <row r="2938" spans="1:23" ht="24.95" hidden="1" customHeight="1" x14ac:dyDescent="0.4">
      <c r="A2938" s="17" t="s">
        <v>79</v>
      </c>
      <c r="B2938" s="15" t="s">
        <v>301</v>
      </c>
      <c r="C2938" s="16" t="s">
        <v>31</v>
      </c>
      <c r="D2938" s="16" t="s">
        <v>31</v>
      </c>
      <c r="E2938" s="15" t="s">
        <v>32</v>
      </c>
      <c r="F2938" s="15" t="s">
        <v>314</v>
      </c>
      <c r="N2938" s="21" t="s">
        <v>96</v>
      </c>
      <c r="O2938" s="21" t="s">
        <v>336</v>
      </c>
      <c r="Q2938" s="21" t="s">
        <v>344</v>
      </c>
      <c r="R2938" s="22">
        <v>45756</v>
      </c>
      <c r="W2938">
        <f>COUNTIF(大和コネクト証券!U:U,B2938)</f>
        <v>0</v>
      </c>
    </row>
    <row r="2939" spans="1:23" ht="24.95" hidden="1" customHeight="1" x14ac:dyDescent="0.4">
      <c r="A2939" s="17" t="s">
        <v>79</v>
      </c>
      <c r="B2939" s="15" t="s">
        <v>302</v>
      </c>
      <c r="C2939" s="16" t="s">
        <v>31</v>
      </c>
      <c r="D2939" s="16" t="s">
        <v>31</v>
      </c>
      <c r="E2939" s="15" t="s">
        <v>32</v>
      </c>
      <c r="F2939" s="15" t="s">
        <v>314</v>
      </c>
      <c r="N2939" s="21" t="s">
        <v>96</v>
      </c>
      <c r="O2939" s="21" t="s">
        <v>336</v>
      </c>
      <c r="Q2939" s="21" t="s">
        <v>344</v>
      </c>
      <c r="R2939" s="22">
        <v>45756</v>
      </c>
      <c r="W2939">
        <f>COUNTIF(大和コネクト証券!U:U,B2939)</f>
        <v>0</v>
      </c>
    </row>
    <row r="2940" spans="1:23" ht="24.95" hidden="1" customHeight="1" x14ac:dyDescent="0.4">
      <c r="A2940" s="17" t="s">
        <v>79</v>
      </c>
      <c r="B2940" s="15" t="s">
        <v>303</v>
      </c>
      <c r="C2940" s="16" t="s">
        <v>31</v>
      </c>
      <c r="D2940" s="16" t="s">
        <v>31</v>
      </c>
      <c r="E2940" s="15" t="s">
        <v>32</v>
      </c>
      <c r="F2940" s="15" t="s">
        <v>314</v>
      </c>
      <c r="N2940" s="21" t="s">
        <v>96</v>
      </c>
      <c r="O2940" s="21" t="s">
        <v>336</v>
      </c>
      <c r="Q2940" s="21" t="s">
        <v>344</v>
      </c>
      <c r="R2940" s="22">
        <v>45756</v>
      </c>
      <c r="W2940">
        <f>COUNTIF(大和コネクト証券!U:U,B2940)</f>
        <v>0</v>
      </c>
    </row>
    <row r="2941" spans="1:23" ht="24.95" hidden="1" customHeight="1" x14ac:dyDescent="0.4">
      <c r="A2941" s="17" t="s">
        <v>79</v>
      </c>
      <c r="B2941" s="15" t="s">
        <v>304</v>
      </c>
      <c r="C2941" s="16" t="s">
        <v>31</v>
      </c>
      <c r="D2941" s="16" t="s">
        <v>31</v>
      </c>
      <c r="E2941" s="15" t="s">
        <v>32</v>
      </c>
      <c r="F2941" s="15" t="s">
        <v>314</v>
      </c>
      <c r="N2941" s="21" t="s">
        <v>96</v>
      </c>
      <c r="O2941" s="21" t="s">
        <v>336</v>
      </c>
      <c r="Q2941" s="21" t="s">
        <v>344</v>
      </c>
      <c r="R2941" s="22">
        <v>45756</v>
      </c>
      <c r="W2941">
        <f>COUNTIF(大和コネクト証券!U:U,B2941)</f>
        <v>0</v>
      </c>
    </row>
    <row r="2942" spans="1:23" ht="24.95" hidden="1" customHeight="1" x14ac:dyDescent="0.4">
      <c r="A2942" s="17" t="s">
        <v>79</v>
      </c>
      <c r="B2942" s="15" t="s">
        <v>305</v>
      </c>
      <c r="C2942" s="16" t="s">
        <v>31</v>
      </c>
      <c r="D2942" s="16" t="s">
        <v>31</v>
      </c>
      <c r="E2942" s="15" t="s">
        <v>32</v>
      </c>
      <c r="F2942" s="15" t="s">
        <v>314</v>
      </c>
      <c r="N2942" s="21" t="s">
        <v>96</v>
      </c>
      <c r="O2942" s="21" t="s">
        <v>336</v>
      </c>
      <c r="Q2942" s="21" t="s">
        <v>344</v>
      </c>
      <c r="R2942" s="22">
        <v>45756</v>
      </c>
      <c r="W2942">
        <f>COUNTIF(大和コネクト証券!U:U,B2942)</f>
        <v>0</v>
      </c>
    </row>
    <row r="2943" spans="1:23" ht="24.95" hidden="1" customHeight="1" x14ac:dyDescent="0.4">
      <c r="A2943" s="17" t="s">
        <v>79</v>
      </c>
      <c r="B2943" s="15" t="s">
        <v>370</v>
      </c>
      <c r="C2943" s="16" t="s">
        <v>31</v>
      </c>
      <c r="D2943" s="16" t="s">
        <v>31</v>
      </c>
      <c r="E2943" s="15" t="s">
        <v>32</v>
      </c>
      <c r="F2943" s="15" t="s">
        <v>365</v>
      </c>
      <c r="N2943" s="21" t="s">
        <v>374</v>
      </c>
      <c r="O2943" s="21" t="s">
        <v>373</v>
      </c>
      <c r="Q2943" s="21" t="s">
        <v>344</v>
      </c>
      <c r="R2943" s="22">
        <v>45883</v>
      </c>
      <c r="W2943">
        <f>COUNTIF(大和コネクト証券!U:U,B2943)</f>
        <v>0</v>
      </c>
    </row>
    <row r="2944" spans="1:23" ht="24.95" hidden="1" customHeight="1" x14ac:dyDescent="0.4">
      <c r="A2944" s="17" t="s">
        <v>79</v>
      </c>
      <c r="B2944" s="15" t="s">
        <v>371</v>
      </c>
      <c r="C2944" s="16" t="s">
        <v>31</v>
      </c>
      <c r="D2944" s="16" t="s">
        <v>31</v>
      </c>
      <c r="E2944" s="15" t="s">
        <v>32</v>
      </c>
      <c r="F2944" s="15" t="s">
        <v>365</v>
      </c>
      <c r="N2944" s="21" t="s">
        <v>374</v>
      </c>
      <c r="O2944" s="21" t="s">
        <v>373</v>
      </c>
      <c r="Q2944" s="21" t="s">
        <v>344</v>
      </c>
      <c r="R2944" s="22">
        <v>45883</v>
      </c>
      <c r="W2944">
        <f>COUNTIF(大和コネクト証券!U:U,B2944)</f>
        <v>0</v>
      </c>
    </row>
    <row r="2945" spans="1:23" ht="24.95" hidden="1" customHeight="1" x14ac:dyDescent="0.4">
      <c r="A2945" s="17" t="s">
        <v>79</v>
      </c>
      <c r="B2945" s="15" t="s">
        <v>306</v>
      </c>
      <c r="C2945" s="16" t="s">
        <v>24</v>
      </c>
      <c r="D2945" s="16" t="s">
        <v>31</v>
      </c>
      <c r="E2945" s="15" t="s">
        <v>35</v>
      </c>
      <c r="F2945" s="15" t="s">
        <v>314</v>
      </c>
      <c r="N2945" s="21" t="s">
        <v>96</v>
      </c>
      <c r="O2945" s="21" t="s">
        <v>336</v>
      </c>
      <c r="Q2945" s="21" t="s">
        <v>344</v>
      </c>
      <c r="R2945" s="22">
        <v>45756</v>
      </c>
      <c r="W2945">
        <f>COUNTIF(大和コネクト証券!U:U,B2945)</f>
        <v>0</v>
      </c>
    </row>
    <row r="2946" spans="1:23" ht="24.95" hidden="1" customHeight="1" x14ac:dyDescent="0.4">
      <c r="A2946" s="17" t="s">
        <v>79</v>
      </c>
      <c r="B2946" s="15" t="s">
        <v>307</v>
      </c>
      <c r="C2946" s="16" t="s">
        <v>31</v>
      </c>
      <c r="D2946" s="16" t="s">
        <v>31</v>
      </c>
      <c r="E2946" s="15" t="s">
        <v>32</v>
      </c>
      <c r="F2946" s="15" t="s">
        <v>314</v>
      </c>
      <c r="N2946" s="21" t="s">
        <v>96</v>
      </c>
      <c r="O2946" s="21" t="s">
        <v>336</v>
      </c>
      <c r="Q2946" s="21" t="s">
        <v>344</v>
      </c>
      <c r="R2946" s="22">
        <v>45756</v>
      </c>
      <c r="W2946">
        <f>COUNTIF(大和コネクト証券!U:U,B2946)</f>
        <v>0</v>
      </c>
    </row>
    <row r="2947" spans="1:23" ht="24.95" hidden="1" customHeight="1" x14ac:dyDescent="0.4">
      <c r="A2947" s="17" t="s">
        <v>79</v>
      </c>
      <c r="B2947" s="15" t="s">
        <v>38</v>
      </c>
      <c r="C2947" s="16" t="s">
        <v>31</v>
      </c>
      <c r="D2947" s="16" t="s">
        <v>31</v>
      </c>
      <c r="E2947" s="15" t="s">
        <v>32</v>
      </c>
      <c r="F2947" s="15" t="s">
        <v>107</v>
      </c>
      <c r="N2947" s="21" t="s">
        <v>96</v>
      </c>
      <c r="O2947" s="21" t="s">
        <v>338</v>
      </c>
      <c r="Q2947" s="21" t="s">
        <v>344</v>
      </c>
      <c r="R2947" s="22">
        <v>45814</v>
      </c>
      <c r="W2947">
        <f>COUNTIF(大和コネクト証券!U:U,B2947)</f>
        <v>0</v>
      </c>
    </row>
    <row r="2948" spans="1:23" ht="24.95" hidden="1" customHeight="1" x14ac:dyDescent="0.4">
      <c r="A2948" s="17" t="s">
        <v>79</v>
      </c>
      <c r="B2948" s="15" t="s">
        <v>120</v>
      </c>
      <c r="C2948" s="16" t="s">
        <v>31</v>
      </c>
      <c r="D2948" s="16" t="s">
        <v>31</v>
      </c>
      <c r="E2948" s="15" t="s">
        <v>32</v>
      </c>
      <c r="F2948" s="15" t="s">
        <v>314</v>
      </c>
      <c r="N2948" s="21" t="s">
        <v>96</v>
      </c>
      <c r="O2948" s="13" t="s">
        <v>339</v>
      </c>
      <c r="Q2948" s="21" t="s">
        <v>344</v>
      </c>
      <c r="R2948" s="22">
        <v>45756</v>
      </c>
      <c r="W2948">
        <f>COUNTIF(大和コネクト証券!U:U,B2948)</f>
        <v>0</v>
      </c>
    </row>
    <row r="2949" spans="1:23" ht="24.95" hidden="1" customHeight="1" x14ac:dyDescent="0.4">
      <c r="A2949" s="17" t="s">
        <v>79</v>
      </c>
      <c r="B2949" s="15" t="s">
        <v>39</v>
      </c>
      <c r="C2949" s="16" t="s">
        <v>31</v>
      </c>
      <c r="D2949" s="16" t="s">
        <v>31</v>
      </c>
      <c r="E2949" s="15" t="s">
        <v>32</v>
      </c>
      <c r="F2949" s="15" t="s">
        <v>129</v>
      </c>
      <c r="N2949" s="21" t="s">
        <v>96</v>
      </c>
      <c r="O2949" s="21" t="s">
        <v>336</v>
      </c>
      <c r="Q2949" s="21" t="s">
        <v>344</v>
      </c>
      <c r="R2949" s="22">
        <v>45814</v>
      </c>
      <c r="W2949">
        <f>COUNTIF(大和コネクト証券!U:U,B2949)</f>
        <v>0</v>
      </c>
    </row>
    <row r="2950" spans="1:23" ht="24.95" hidden="1" customHeight="1" x14ac:dyDescent="0.4">
      <c r="A2950" s="17" t="s">
        <v>79</v>
      </c>
      <c r="B2950" s="15" t="s">
        <v>220</v>
      </c>
      <c r="C2950" s="16" t="s">
        <v>31</v>
      </c>
      <c r="D2950" s="16" t="s">
        <v>31</v>
      </c>
      <c r="E2950" s="15" t="s">
        <v>32</v>
      </c>
      <c r="F2950" s="15" t="s">
        <v>221</v>
      </c>
      <c r="N2950" s="21" t="s">
        <v>96</v>
      </c>
      <c r="O2950" s="21" t="s">
        <v>338</v>
      </c>
      <c r="Q2950" s="21" t="s">
        <v>344</v>
      </c>
      <c r="R2950" s="22">
        <v>45814</v>
      </c>
      <c r="W2950">
        <f>COUNTIF(大和コネクト証券!U:U,B2950)</f>
        <v>0</v>
      </c>
    </row>
    <row r="2951" spans="1:23" ht="24.95" hidden="1" customHeight="1" x14ac:dyDescent="0.4">
      <c r="A2951" s="17" t="s">
        <v>79</v>
      </c>
      <c r="B2951" s="15" t="s">
        <v>172</v>
      </c>
      <c r="C2951" s="16" t="s">
        <v>31</v>
      </c>
      <c r="D2951" s="16" t="s">
        <v>31</v>
      </c>
      <c r="E2951" s="15" t="s">
        <v>32</v>
      </c>
      <c r="F2951" s="15" t="s">
        <v>173</v>
      </c>
      <c r="N2951" s="21" t="s">
        <v>96</v>
      </c>
      <c r="O2951" s="21" t="s">
        <v>336</v>
      </c>
      <c r="Q2951" s="21" t="s">
        <v>344</v>
      </c>
      <c r="R2951" s="22">
        <v>45814</v>
      </c>
      <c r="W2951">
        <f>COUNTIF(大和コネクト証券!U:U,B2951)</f>
        <v>0</v>
      </c>
    </row>
    <row r="2952" spans="1:23" ht="24.95" hidden="1" customHeight="1" x14ac:dyDescent="0.4">
      <c r="A2952" s="17" t="s">
        <v>79</v>
      </c>
      <c r="B2952" s="15" t="s">
        <v>111</v>
      </c>
      <c r="C2952" s="16" t="s">
        <v>31</v>
      </c>
      <c r="D2952" s="16" t="s">
        <v>31</v>
      </c>
      <c r="E2952" s="15" t="s">
        <v>32</v>
      </c>
      <c r="F2952" s="15" t="s">
        <v>314</v>
      </c>
      <c r="N2952" s="21" t="s">
        <v>96</v>
      </c>
      <c r="O2952" s="13" t="s">
        <v>339</v>
      </c>
      <c r="Q2952" s="21" t="s">
        <v>344</v>
      </c>
      <c r="R2952" s="22">
        <v>45756</v>
      </c>
      <c r="W2952">
        <f>COUNTIF(大和コネクト証券!U:U,B2952)</f>
        <v>0</v>
      </c>
    </row>
    <row r="2953" spans="1:23" ht="24.95" hidden="1" customHeight="1" x14ac:dyDescent="0.4">
      <c r="A2953" s="17" t="s">
        <v>79</v>
      </c>
      <c r="B2953" s="15" t="s">
        <v>42</v>
      </c>
      <c r="C2953" s="16" t="s">
        <v>31</v>
      </c>
      <c r="D2953" s="16" t="s">
        <v>31</v>
      </c>
      <c r="E2953" s="15" t="s">
        <v>32</v>
      </c>
      <c r="F2953" s="15" t="s">
        <v>129</v>
      </c>
      <c r="N2953" s="21" t="s">
        <v>96</v>
      </c>
      <c r="O2953" s="13" t="s">
        <v>351</v>
      </c>
      <c r="Q2953" s="21" t="s">
        <v>344</v>
      </c>
      <c r="R2953" s="22">
        <v>45814</v>
      </c>
      <c r="W2953">
        <f>COUNTIF(大和コネクト証券!U:U,B2953)</f>
        <v>0</v>
      </c>
    </row>
    <row r="2954" spans="1:23" ht="24.95" hidden="1" customHeight="1" x14ac:dyDescent="0.4">
      <c r="A2954" s="17" t="s">
        <v>79</v>
      </c>
      <c r="B2954" s="15" t="s">
        <v>330</v>
      </c>
      <c r="C2954" s="16" t="s">
        <v>31</v>
      </c>
      <c r="D2954" s="16" t="s">
        <v>31</v>
      </c>
      <c r="E2954" s="15" t="s">
        <v>32</v>
      </c>
      <c r="F2954" s="15" t="s">
        <v>314</v>
      </c>
      <c r="N2954" s="21" t="s">
        <v>96</v>
      </c>
      <c r="O2954" s="21" t="s">
        <v>338</v>
      </c>
      <c r="Q2954" s="21" t="s">
        <v>344</v>
      </c>
      <c r="R2954" s="22">
        <v>45756</v>
      </c>
      <c r="W2954">
        <f>COUNTIF(大和コネクト証券!U:U,B2954)</f>
        <v>0</v>
      </c>
    </row>
    <row r="2955" spans="1:23" ht="24.95" hidden="1" customHeight="1" x14ac:dyDescent="0.4">
      <c r="A2955" s="17" t="s">
        <v>79</v>
      </c>
      <c r="B2955" s="15" t="s">
        <v>343</v>
      </c>
      <c r="C2955" s="16" t="s">
        <v>31</v>
      </c>
      <c r="D2955" s="16" t="s">
        <v>31</v>
      </c>
      <c r="E2955" s="15" t="s">
        <v>32</v>
      </c>
      <c r="F2955" s="15" t="s">
        <v>340</v>
      </c>
      <c r="N2955" s="21" t="s">
        <v>96</v>
      </c>
      <c r="O2955" s="21" t="s">
        <v>345</v>
      </c>
      <c r="Q2955" s="21" t="s">
        <v>344</v>
      </c>
      <c r="R2955" s="22">
        <v>45784</v>
      </c>
      <c r="W2955">
        <f>COUNTIF(大和コネクト証券!U:U,B2955)</f>
        <v>0</v>
      </c>
    </row>
    <row r="2956" spans="1:23" ht="24.95" hidden="1" customHeight="1" x14ac:dyDescent="0.4">
      <c r="A2956" s="17" t="s">
        <v>79</v>
      </c>
      <c r="B2956" s="15" t="s">
        <v>121</v>
      </c>
      <c r="C2956" s="16" t="s">
        <v>31</v>
      </c>
      <c r="D2956" s="16" t="s">
        <v>31</v>
      </c>
      <c r="E2956" s="15" t="s">
        <v>32</v>
      </c>
      <c r="F2956" s="15" t="s">
        <v>314</v>
      </c>
      <c r="N2956" s="21" t="s">
        <v>96</v>
      </c>
      <c r="O2956" s="21" t="s">
        <v>336</v>
      </c>
      <c r="Q2956" s="21" t="s">
        <v>344</v>
      </c>
      <c r="R2956" s="22">
        <v>45756</v>
      </c>
      <c r="W2956">
        <f>COUNTIF(大和コネクト証券!U:U,B2956)</f>
        <v>0</v>
      </c>
    </row>
    <row r="2957" spans="1:23" ht="24.95" hidden="1" customHeight="1" x14ac:dyDescent="0.4">
      <c r="A2957" s="17" t="s">
        <v>79</v>
      </c>
      <c r="B2957" s="15" t="s">
        <v>44</v>
      </c>
      <c r="C2957" s="16" t="s">
        <v>31</v>
      </c>
      <c r="D2957" s="16" t="s">
        <v>31</v>
      </c>
      <c r="E2957" s="15" t="s">
        <v>32</v>
      </c>
      <c r="F2957" s="15" t="s">
        <v>356</v>
      </c>
      <c r="N2957" s="21" t="s">
        <v>96</v>
      </c>
      <c r="O2957" s="21" t="s">
        <v>338</v>
      </c>
      <c r="Q2957" s="21" t="s">
        <v>344</v>
      </c>
      <c r="R2957" s="22">
        <v>45847</v>
      </c>
      <c r="W2957">
        <f>COUNTIF(大和コネクト証券!U:U,B2957)</f>
        <v>0</v>
      </c>
    </row>
    <row r="2958" spans="1:23" ht="24.95" hidden="1" customHeight="1" x14ac:dyDescent="0.4">
      <c r="A2958" s="17" t="s">
        <v>79</v>
      </c>
      <c r="B2958" s="15" t="s">
        <v>45</v>
      </c>
      <c r="C2958" s="16" t="s">
        <v>31</v>
      </c>
      <c r="D2958" s="16" t="s">
        <v>31</v>
      </c>
      <c r="E2958" s="15" t="s">
        <v>32</v>
      </c>
      <c r="F2958" s="15" t="s">
        <v>314</v>
      </c>
      <c r="N2958" s="21" t="s">
        <v>96</v>
      </c>
      <c r="O2958" s="21" t="s">
        <v>338</v>
      </c>
      <c r="Q2958" s="21" t="s">
        <v>344</v>
      </c>
      <c r="R2958" s="22">
        <v>45756</v>
      </c>
      <c r="W2958">
        <f>COUNTIF(大和コネクト証券!U:U,B2958)</f>
        <v>0</v>
      </c>
    </row>
    <row r="2959" spans="1:23" ht="24.95" customHeight="1" x14ac:dyDescent="0.4">
      <c r="A2959" s="17" t="s">
        <v>79</v>
      </c>
      <c r="B2959" s="50" t="s">
        <v>469</v>
      </c>
      <c r="C2959" s="16" t="s">
        <v>31</v>
      </c>
      <c r="D2959" s="16" t="s">
        <v>31</v>
      </c>
      <c r="E2959" s="15" t="s">
        <v>32</v>
      </c>
      <c r="F2959" s="15" t="s">
        <v>365</v>
      </c>
      <c r="N2959" s="21" t="s">
        <v>374</v>
      </c>
      <c r="O2959" s="13" t="s">
        <v>468</v>
      </c>
      <c r="Q2959" s="21" t="s">
        <v>344</v>
      </c>
      <c r="R2959" s="22">
        <v>45883</v>
      </c>
      <c r="W2959">
        <f>COUNTIF(大和コネクト証券!U:U,B2959)</f>
        <v>0</v>
      </c>
    </row>
  </sheetData>
  <autoFilter ref="A3:Z2959" xr:uid="{430E5479-C5CF-43E6-9B30-D617F276BC7A}">
    <filterColumn colId="1">
      <filters>
        <filter val="WEB-INF/lib/plug-web3-xbmf.jar"/>
      </filters>
    </filterColumn>
  </autoFilter>
  <phoneticPr fontId="5"/>
  <dataValidations disablePrompts="1" count="1">
    <dataValidation type="list" showInputMessage="1" showErrorMessage="1" sqref="G4:G1048576" xr:uid="{ED8FE2D8-5D9F-4490-AEE1-7FE94A7A2531}">
      <formula1>"01,02,03,90,99"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3322-A442-4F62-B756-6EEDB6CE3AC4}">
  <sheetPr codeName="Sheet10">
    <pageSetUpPr fitToPage="1"/>
  </sheetPr>
  <dimension ref="A1:X110"/>
  <sheetViews>
    <sheetView tabSelected="1" zoomScaleNormal="100" zoomScaleSheetLayoutView="100" workbookViewId="0">
      <pane ySplit="2" topLeftCell="A3" activePane="bottomLeft" state="frozen"/>
      <selection activeCell="U3" sqref="U3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4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4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  <c r="X2" s="33" t="s">
        <v>429</v>
      </c>
    </row>
    <row r="3" spans="1:24" ht="30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28" t="s">
        <v>471</v>
      </c>
      <c r="I3" s="28" t="s">
        <v>391</v>
      </c>
      <c r="J3" s="28" t="s">
        <v>392</v>
      </c>
      <c r="K3" s="29" t="s">
        <v>413</v>
      </c>
      <c r="L3" s="28" t="s">
        <v>472</v>
      </c>
      <c r="U3" s="27" t="str">
        <f t="shared" ref="U3:U7" si="0">SUBSTITUTE(SUBSTITUTE(D3&amp;"/"&amp;E3,"//","/"),"./webbroker3.war/",)</f>
        <v>WEB-INF/classes/webbroker3/web/beans/pc/accinfo/WEB3PcAccInfoMfaPskRegistCompleteBean.class</v>
      </c>
      <c r="V3" s="27">
        <f>COUNTIF(wb4_20250810_pr!B$4:B$258,U3)</f>
        <v>0</v>
      </c>
    </row>
    <row r="4" spans="1:24" ht="45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32" t="s">
        <v>471</v>
      </c>
      <c r="I4" s="28" t="s">
        <v>391</v>
      </c>
      <c r="J4" s="28" t="s">
        <v>392</v>
      </c>
      <c r="K4" s="29" t="s">
        <v>413</v>
      </c>
      <c r="L4" s="28" t="s">
        <v>472</v>
      </c>
      <c r="U4" s="27" t="str">
        <f t="shared" si="0"/>
        <v>WEB-INF/classes/webbroker3/web/define/CodeValueConst.class</v>
      </c>
      <c r="V4" s="27">
        <f>COUNTIF(wb4_20250810_pr!B$4:B$258,U4)</f>
        <v>2</v>
      </c>
    </row>
    <row r="5" spans="1:24" ht="30" x14ac:dyDescent="0.4">
      <c r="A5" s="28">
        <v>3</v>
      </c>
      <c r="B5" s="28" t="s">
        <v>388</v>
      </c>
      <c r="C5" s="32" t="s">
        <v>389</v>
      </c>
      <c r="D5" s="32" t="s">
        <v>398</v>
      </c>
      <c r="E5" s="32" t="s">
        <v>473</v>
      </c>
      <c r="F5" s="31">
        <v>1562</v>
      </c>
      <c r="G5" s="30">
        <v>45937.653217592589</v>
      </c>
      <c r="H5" s="28" t="s">
        <v>474</v>
      </c>
      <c r="I5" s="28" t="s">
        <v>391</v>
      </c>
      <c r="J5" s="28" t="s">
        <v>392</v>
      </c>
      <c r="K5" s="29" t="s">
        <v>413</v>
      </c>
      <c r="L5" s="28" t="s">
        <v>472</v>
      </c>
      <c r="U5" s="27" t="str">
        <f t="shared" si="0"/>
        <v>WEB-INF/classes/webbroker3/web/beans/WEB3XTradeSessionUpdate0FEqBean.class</v>
      </c>
      <c r="V5" s="27">
        <f>COUNTIF(wb4_20250810_pr!B$4:B$258,U5)</f>
        <v>0</v>
      </c>
    </row>
    <row r="6" spans="1:24" ht="45" x14ac:dyDescent="0.4">
      <c r="A6" s="28">
        <v>4</v>
      </c>
      <c r="B6" s="28" t="s">
        <v>388</v>
      </c>
      <c r="C6" s="32" t="s">
        <v>389</v>
      </c>
      <c r="D6" s="32" t="s">
        <v>396</v>
      </c>
      <c r="E6" s="32" t="s">
        <v>427</v>
      </c>
      <c r="F6" s="31">
        <v>3311</v>
      </c>
      <c r="G6" s="30">
        <v>45937.653217592589</v>
      </c>
      <c r="H6" s="32" t="s">
        <v>474</v>
      </c>
      <c r="I6" s="28" t="s">
        <v>391</v>
      </c>
      <c r="J6" s="28" t="s">
        <v>392</v>
      </c>
      <c r="K6" s="29" t="s">
        <v>413</v>
      </c>
      <c r="L6" s="28" t="s">
        <v>472</v>
      </c>
      <c r="U6" s="27" t="str">
        <f t="shared" si="0"/>
        <v>WEB-INF/classes/webbroker3/web/define/AA_JSPFileNameConst.class</v>
      </c>
      <c r="V6" s="27">
        <f>COUNTIF(wb4_20250810_pr!B$4:B$258,U6)</f>
        <v>0</v>
      </c>
    </row>
    <row r="7" spans="1:24" ht="45" x14ac:dyDescent="0.4">
      <c r="A7" s="28">
        <v>5</v>
      </c>
      <c r="B7" s="28" t="s">
        <v>388</v>
      </c>
      <c r="C7" s="32" t="s">
        <v>389</v>
      </c>
      <c r="D7" s="32" t="s">
        <v>475</v>
      </c>
      <c r="E7" s="32" t="s">
        <v>399</v>
      </c>
      <c r="F7" s="31">
        <v>778230</v>
      </c>
      <c r="G7" s="30">
        <v>45937.653217592589</v>
      </c>
      <c r="H7" s="32" t="s">
        <v>474</v>
      </c>
      <c r="I7" s="28" t="s">
        <v>391</v>
      </c>
      <c r="J7" s="28" t="s">
        <v>392</v>
      </c>
      <c r="K7" s="29" t="s">
        <v>413</v>
      </c>
      <c r="L7" s="28" t="s">
        <v>472</v>
      </c>
      <c r="U7" s="27" t="str">
        <f t="shared" si="0"/>
        <v>WEB-INF/src/webbroker3/web/beans/application.xml</v>
      </c>
      <c r="V7" s="27">
        <f>COUNTIF(wb4_20250810_pr!B$4:B$258,U7)</f>
        <v>0</v>
      </c>
    </row>
    <row r="9" spans="1:24" x14ac:dyDescent="0.4">
      <c r="H9" s="32"/>
    </row>
    <row r="10" spans="1:24" x14ac:dyDescent="0.4">
      <c r="H10" s="32"/>
    </row>
    <row r="12" spans="1:24" x14ac:dyDescent="0.4">
      <c r="H12" s="32"/>
    </row>
    <row r="109" spans="8:8" x14ac:dyDescent="0.4">
      <c r="H109" s="32"/>
    </row>
    <row r="110" spans="8:8" x14ac:dyDescent="0.4">
      <c r="H110" s="32"/>
    </row>
  </sheetData>
  <autoFilter ref="A2:X122" xr:uid="{E9D83322-A442-4F62-B756-6EEDB6CE3AC4}"/>
  <dataConsolidate/>
  <phoneticPr fontId="5"/>
  <conditionalFormatting sqref="A3:J1048576">
    <cfRule type="expression" dxfId="12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01921476-EBC7-4312-9777-A6AD27D51C76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022C-0BB3-464C-B713-A6E1E186A81E}">
  <sheetPr codeName="Sheet11">
    <pageSetUpPr fitToPage="1"/>
  </sheetPr>
  <dimension ref="A1:X132"/>
  <sheetViews>
    <sheetView zoomScaleNormal="100" zoomScaleSheetLayoutView="100" workbookViewId="0">
      <pane ySplit="2" topLeftCell="A3" activePane="bottomLeft" state="frozen"/>
      <selection activeCell="X2" sqref="X2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4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4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  <c r="X2" s="33" t="s">
        <v>429</v>
      </c>
    </row>
    <row r="3" spans="1:24" ht="30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28" t="s">
        <v>471</v>
      </c>
      <c r="I3" s="28" t="s">
        <v>391</v>
      </c>
      <c r="J3" s="28" t="s">
        <v>392</v>
      </c>
      <c r="K3" s="29" t="s">
        <v>415</v>
      </c>
      <c r="L3" s="28" t="s">
        <v>472</v>
      </c>
      <c r="U3" s="27" t="str">
        <f t="shared" ref="U3:U7" si="0">SUBSTITUTE(SUBSTITUTE(D3&amp;"/"&amp;E3,"//","/"),"./webbroker3.war/",)</f>
        <v>WEB-INF/classes/webbroker3/web/beans/pc/accinfo/WEB3PcAccInfoMfaPskRegistCompleteBean.class</v>
      </c>
      <c r="V3" s="27">
        <f>COUNTIF(wb4_20250810_pr!B$621:B$757,U3)</f>
        <v>0</v>
      </c>
    </row>
    <row r="4" spans="1:24" ht="45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32" t="s">
        <v>471</v>
      </c>
      <c r="I4" s="28" t="s">
        <v>391</v>
      </c>
      <c r="J4" s="28" t="s">
        <v>392</v>
      </c>
      <c r="K4" s="29" t="s">
        <v>415</v>
      </c>
      <c r="L4" s="28" t="s">
        <v>472</v>
      </c>
      <c r="U4" s="27" t="str">
        <f t="shared" si="0"/>
        <v>WEB-INF/classes/webbroker3/web/define/CodeValueConst.class</v>
      </c>
      <c r="V4" s="27">
        <f>COUNTIF(wb4_20250810_pr!B$621:B$757,U4)</f>
        <v>1</v>
      </c>
    </row>
    <row r="5" spans="1:24" ht="30" x14ac:dyDescent="0.4">
      <c r="A5" s="28">
        <v>3</v>
      </c>
      <c r="B5" s="28" t="s">
        <v>388</v>
      </c>
      <c r="C5" s="32" t="s">
        <v>389</v>
      </c>
      <c r="D5" s="32" t="s">
        <v>398</v>
      </c>
      <c r="E5" s="32" t="s">
        <v>473</v>
      </c>
      <c r="F5" s="31">
        <v>1562</v>
      </c>
      <c r="G5" s="30">
        <v>45937.653217592589</v>
      </c>
      <c r="H5" s="28" t="s">
        <v>474</v>
      </c>
      <c r="I5" s="28" t="s">
        <v>391</v>
      </c>
      <c r="J5" s="28" t="s">
        <v>392</v>
      </c>
      <c r="K5" s="29" t="s">
        <v>415</v>
      </c>
      <c r="L5" s="28" t="s">
        <v>472</v>
      </c>
      <c r="U5" s="27" t="str">
        <f t="shared" si="0"/>
        <v>WEB-INF/classes/webbroker3/web/beans/WEB3XTradeSessionUpdate0FEqBean.class</v>
      </c>
      <c r="V5" s="27">
        <f>COUNTIF(wb4_20250810_pr!B$621:B$757,U5)</f>
        <v>0</v>
      </c>
    </row>
    <row r="6" spans="1:24" ht="45" x14ac:dyDescent="0.4">
      <c r="A6" s="28">
        <v>4</v>
      </c>
      <c r="B6" s="28" t="s">
        <v>388</v>
      </c>
      <c r="C6" s="32" t="s">
        <v>389</v>
      </c>
      <c r="D6" s="32" t="s">
        <v>396</v>
      </c>
      <c r="E6" s="32" t="s">
        <v>427</v>
      </c>
      <c r="F6" s="31">
        <v>3311</v>
      </c>
      <c r="G6" s="30">
        <v>45937.653217592589</v>
      </c>
      <c r="H6" s="32" t="s">
        <v>474</v>
      </c>
      <c r="I6" s="28" t="s">
        <v>391</v>
      </c>
      <c r="J6" s="28" t="s">
        <v>392</v>
      </c>
      <c r="K6" s="29" t="s">
        <v>415</v>
      </c>
      <c r="L6" s="28" t="s">
        <v>472</v>
      </c>
      <c r="U6" s="27" t="str">
        <f t="shared" si="0"/>
        <v>WEB-INF/classes/webbroker3/web/define/AA_JSPFileNameConst.class</v>
      </c>
      <c r="V6" s="27">
        <f>COUNTIF(wb4_20250810_pr!B$621:B$757,U6)</f>
        <v>1</v>
      </c>
    </row>
    <row r="7" spans="1:24" ht="45" x14ac:dyDescent="0.4">
      <c r="A7" s="28">
        <v>5</v>
      </c>
      <c r="B7" s="28" t="s">
        <v>388</v>
      </c>
      <c r="C7" s="32" t="s">
        <v>389</v>
      </c>
      <c r="D7" s="32" t="s">
        <v>475</v>
      </c>
      <c r="E7" s="32" t="s">
        <v>399</v>
      </c>
      <c r="F7" s="31">
        <v>778230</v>
      </c>
      <c r="G7" s="30">
        <v>45937.653217592589</v>
      </c>
      <c r="H7" s="32" t="s">
        <v>474</v>
      </c>
      <c r="I7" s="28" t="s">
        <v>391</v>
      </c>
      <c r="J7" s="28" t="s">
        <v>392</v>
      </c>
      <c r="K7" s="29" t="s">
        <v>415</v>
      </c>
      <c r="L7" s="28" t="s">
        <v>472</v>
      </c>
      <c r="U7" s="27" t="str">
        <f t="shared" si="0"/>
        <v>WEB-INF/src/webbroker3/web/beans/application.xml</v>
      </c>
      <c r="V7" s="27">
        <f>COUNTIF(wb4_20250810_pr!B$621:B$757,U7)</f>
        <v>0</v>
      </c>
    </row>
    <row r="10" spans="1:24" x14ac:dyDescent="0.4">
      <c r="H10" s="32"/>
    </row>
    <row r="11" spans="1:24" x14ac:dyDescent="0.4">
      <c r="H11" s="32"/>
    </row>
    <row r="13" spans="1:24" x14ac:dyDescent="0.4">
      <c r="H13" s="32"/>
    </row>
    <row r="16" spans="1:24" x14ac:dyDescent="0.4">
      <c r="H16" s="32"/>
    </row>
    <row r="117" spans="8:8" x14ac:dyDescent="0.4">
      <c r="H117" s="32"/>
    </row>
    <row r="118" spans="8:8" x14ac:dyDescent="0.4">
      <c r="H118" s="32"/>
    </row>
    <row r="132" spans="8:8" x14ac:dyDescent="0.4">
      <c r="H132" s="32"/>
    </row>
  </sheetData>
  <autoFilter ref="A2:X135" xr:uid="{AE07022C-0BB3-464C-B713-A6E1E186A81E}"/>
  <dataConsolidate/>
  <phoneticPr fontId="5"/>
  <conditionalFormatting sqref="A3:J1048576">
    <cfRule type="expression" dxfId="11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EDDEEC31-ECAB-426E-B0AC-62B11041E7D0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0702-904F-4576-8043-F450EBA51C72}">
  <sheetPr codeName="Sheet12">
    <pageSetUpPr fitToPage="1"/>
  </sheetPr>
  <dimension ref="A1:X132"/>
  <sheetViews>
    <sheetView zoomScaleNormal="100" zoomScaleSheetLayoutView="100" workbookViewId="0">
      <pane ySplit="2" topLeftCell="A3" activePane="bottomLeft" state="frozen"/>
      <selection activeCell="X2" sqref="X2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4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4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  <c r="X2" s="33" t="s">
        <v>429</v>
      </c>
    </row>
    <row r="3" spans="1:24" ht="30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28" t="s">
        <v>471</v>
      </c>
      <c r="I3" s="28" t="s">
        <v>391</v>
      </c>
      <c r="J3" s="28" t="s">
        <v>392</v>
      </c>
      <c r="K3" s="29" t="s">
        <v>416</v>
      </c>
      <c r="L3" s="28" t="s">
        <v>472</v>
      </c>
      <c r="U3" s="27" t="str">
        <f t="shared" ref="U3:U7" si="0">SUBSTITUTE(SUBSTITUTE(D3&amp;"/"&amp;E3,"//","/"),"./webbroker3.war/",)</f>
        <v>WEB-INF/classes/webbroker3/web/beans/pc/accinfo/WEB3PcAccInfoMfaPskRegistCompleteBean.class</v>
      </c>
      <c r="V3" s="27">
        <f>COUNTIF(wb4_20250810_pr!B$1122:B$1395,U3)</f>
        <v>0</v>
      </c>
    </row>
    <row r="4" spans="1:24" ht="45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32" t="s">
        <v>471</v>
      </c>
      <c r="I4" s="28" t="s">
        <v>391</v>
      </c>
      <c r="J4" s="28" t="s">
        <v>392</v>
      </c>
      <c r="K4" s="29" t="s">
        <v>416</v>
      </c>
      <c r="L4" s="28" t="s">
        <v>472</v>
      </c>
      <c r="U4" s="27" t="str">
        <f t="shared" si="0"/>
        <v>WEB-INF/classes/webbroker3/web/define/CodeValueConst.class</v>
      </c>
      <c r="V4" s="27">
        <f>COUNTIF(wb4_20250810_pr!B$1122:B$1395,U4)</f>
        <v>2</v>
      </c>
    </row>
    <row r="5" spans="1:24" ht="30" x14ac:dyDescent="0.4">
      <c r="A5" s="28">
        <v>3</v>
      </c>
      <c r="B5" s="28" t="s">
        <v>388</v>
      </c>
      <c r="C5" s="32" t="s">
        <v>389</v>
      </c>
      <c r="D5" s="32" t="s">
        <v>398</v>
      </c>
      <c r="E5" s="32" t="s">
        <v>473</v>
      </c>
      <c r="F5" s="31">
        <v>1562</v>
      </c>
      <c r="G5" s="30">
        <v>45937.653217592589</v>
      </c>
      <c r="H5" s="28" t="s">
        <v>474</v>
      </c>
      <c r="I5" s="28" t="s">
        <v>391</v>
      </c>
      <c r="J5" s="28" t="s">
        <v>392</v>
      </c>
      <c r="K5" s="29" t="s">
        <v>416</v>
      </c>
      <c r="L5" s="28" t="s">
        <v>472</v>
      </c>
      <c r="U5" s="27" t="str">
        <f t="shared" si="0"/>
        <v>WEB-INF/classes/webbroker3/web/beans/WEB3XTradeSessionUpdate0FEqBean.class</v>
      </c>
      <c r="V5" s="27">
        <f>COUNTIF(wb4_20250810_pr!B$1122:B$1395,U5)</f>
        <v>0</v>
      </c>
    </row>
    <row r="6" spans="1:24" ht="45" x14ac:dyDescent="0.4">
      <c r="A6" s="28">
        <v>4</v>
      </c>
      <c r="B6" s="28" t="s">
        <v>388</v>
      </c>
      <c r="C6" s="32" t="s">
        <v>389</v>
      </c>
      <c r="D6" s="32" t="s">
        <v>396</v>
      </c>
      <c r="E6" s="32" t="s">
        <v>427</v>
      </c>
      <c r="F6" s="31">
        <v>3311</v>
      </c>
      <c r="G6" s="30">
        <v>45937.653217592589</v>
      </c>
      <c r="H6" s="32" t="s">
        <v>474</v>
      </c>
      <c r="I6" s="28" t="s">
        <v>391</v>
      </c>
      <c r="J6" s="28" t="s">
        <v>392</v>
      </c>
      <c r="K6" s="29" t="s">
        <v>416</v>
      </c>
      <c r="L6" s="28" t="s">
        <v>472</v>
      </c>
      <c r="U6" s="27" t="str">
        <f t="shared" si="0"/>
        <v>WEB-INF/classes/webbroker3/web/define/AA_JSPFileNameConst.class</v>
      </c>
      <c r="V6" s="27">
        <f>COUNTIF(wb4_20250810_pr!B$1122:B$1395,U6)</f>
        <v>2</v>
      </c>
    </row>
    <row r="7" spans="1:24" ht="45" x14ac:dyDescent="0.4">
      <c r="A7" s="28">
        <v>5</v>
      </c>
      <c r="B7" s="28" t="s">
        <v>388</v>
      </c>
      <c r="C7" s="32" t="s">
        <v>389</v>
      </c>
      <c r="D7" s="32" t="s">
        <v>475</v>
      </c>
      <c r="E7" s="32" t="s">
        <v>399</v>
      </c>
      <c r="F7" s="31">
        <v>778230</v>
      </c>
      <c r="G7" s="30">
        <v>45937.653217592589</v>
      </c>
      <c r="H7" s="32" t="s">
        <v>474</v>
      </c>
      <c r="I7" s="28" t="s">
        <v>391</v>
      </c>
      <c r="J7" s="28" t="s">
        <v>392</v>
      </c>
      <c r="K7" s="29" t="s">
        <v>416</v>
      </c>
      <c r="L7" s="28" t="s">
        <v>472</v>
      </c>
      <c r="U7" s="27" t="str">
        <f t="shared" si="0"/>
        <v>WEB-INF/src/webbroker3/web/beans/application.xml</v>
      </c>
      <c r="V7" s="27">
        <f>COUNTIF(wb4_20250810_pr!B$1122:B$1395,U7)</f>
        <v>0</v>
      </c>
    </row>
    <row r="10" spans="1:24" x14ac:dyDescent="0.4">
      <c r="H10" s="32"/>
    </row>
    <row r="11" spans="1:24" x14ac:dyDescent="0.4">
      <c r="H11" s="32"/>
    </row>
    <row r="13" spans="1:24" x14ac:dyDescent="0.4">
      <c r="H13" s="32"/>
    </row>
    <row r="16" spans="1:24" x14ac:dyDescent="0.4">
      <c r="H16" s="32"/>
    </row>
    <row r="117" spans="8:8" x14ac:dyDescent="0.4">
      <c r="H117" s="32"/>
    </row>
    <row r="118" spans="8:8" x14ac:dyDescent="0.4">
      <c r="H118" s="32"/>
    </row>
    <row r="132" spans="8:8" x14ac:dyDescent="0.4">
      <c r="H132" s="32"/>
    </row>
  </sheetData>
  <autoFilter ref="A2:X135" xr:uid="{64530702-904F-4576-8043-F450EBA51C72}"/>
  <dataConsolidate/>
  <phoneticPr fontId="5"/>
  <conditionalFormatting sqref="A3:J1048576">
    <cfRule type="expression" dxfId="10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C550AADF-BA63-4448-A44F-C9066238730D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0F70-0AE8-47B5-A63F-97635814ABAE}">
  <sheetPr codeName="Sheet14">
    <pageSetUpPr fitToPage="1"/>
  </sheetPr>
  <dimension ref="A1:X132"/>
  <sheetViews>
    <sheetView zoomScaleNormal="100" zoomScaleSheetLayoutView="100" workbookViewId="0">
      <pane ySplit="2" topLeftCell="A3" activePane="bottomLeft" state="frozen"/>
      <selection activeCell="X2" sqref="X2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4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4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  <c r="X2" s="33" t="s">
        <v>429</v>
      </c>
    </row>
    <row r="3" spans="1:24" ht="30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28" t="s">
        <v>471</v>
      </c>
      <c r="I3" s="28" t="s">
        <v>391</v>
      </c>
      <c r="J3" s="28" t="s">
        <v>392</v>
      </c>
      <c r="K3" s="29" t="s">
        <v>417</v>
      </c>
      <c r="L3" s="28" t="s">
        <v>472</v>
      </c>
      <c r="U3" s="27" t="str">
        <f t="shared" ref="U3:U7" si="0">SUBSTITUTE(SUBSTITUTE(D3&amp;"/"&amp;E3,"//","/"),"./webbroker3.war/",)</f>
        <v>WEB-INF/classes/webbroker3/web/beans/pc/accinfo/WEB3PcAccInfoMfaPskRegistCompleteBean.class</v>
      </c>
      <c r="V3" s="27">
        <f>COUNTIF(wb4_20250810_pr!B$2465:B$2749,U3)</f>
        <v>0</v>
      </c>
    </row>
    <row r="4" spans="1:24" ht="45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32" t="s">
        <v>471</v>
      </c>
      <c r="I4" s="28" t="s">
        <v>391</v>
      </c>
      <c r="J4" s="28" t="s">
        <v>392</v>
      </c>
      <c r="K4" s="29" t="s">
        <v>417</v>
      </c>
      <c r="L4" s="28" t="s">
        <v>472</v>
      </c>
      <c r="U4" s="27" t="str">
        <f t="shared" si="0"/>
        <v>WEB-INF/classes/webbroker3/web/define/CodeValueConst.class</v>
      </c>
      <c r="V4" s="27">
        <f>COUNTIF(wb4_20250810_pr!B$2465:B$2749,U4)</f>
        <v>2</v>
      </c>
    </row>
    <row r="5" spans="1:24" ht="30" x14ac:dyDescent="0.4">
      <c r="A5" s="28">
        <v>3</v>
      </c>
      <c r="B5" s="28" t="s">
        <v>388</v>
      </c>
      <c r="C5" s="32" t="s">
        <v>389</v>
      </c>
      <c r="D5" s="32" t="s">
        <v>398</v>
      </c>
      <c r="E5" s="32" t="s">
        <v>473</v>
      </c>
      <c r="F5" s="31">
        <v>1562</v>
      </c>
      <c r="G5" s="30">
        <v>45937.653217592589</v>
      </c>
      <c r="H5" s="28" t="s">
        <v>474</v>
      </c>
      <c r="I5" s="28" t="s">
        <v>391</v>
      </c>
      <c r="J5" s="28" t="s">
        <v>392</v>
      </c>
      <c r="K5" s="29" t="s">
        <v>417</v>
      </c>
      <c r="L5" s="28" t="s">
        <v>472</v>
      </c>
      <c r="U5" s="27" t="str">
        <f t="shared" si="0"/>
        <v>WEB-INF/classes/webbroker3/web/beans/WEB3XTradeSessionUpdate0FEqBean.class</v>
      </c>
      <c r="V5" s="27">
        <f>COUNTIF(wb4_20250810_pr!B$2465:B$2749,U5)</f>
        <v>0</v>
      </c>
    </row>
    <row r="6" spans="1:24" ht="45" x14ac:dyDescent="0.4">
      <c r="A6" s="28">
        <v>4</v>
      </c>
      <c r="B6" s="28" t="s">
        <v>388</v>
      </c>
      <c r="C6" s="32" t="s">
        <v>389</v>
      </c>
      <c r="D6" s="32" t="s">
        <v>396</v>
      </c>
      <c r="E6" s="32" t="s">
        <v>427</v>
      </c>
      <c r="F6" s="31">
        <v>3311</v>
      </c>
      <c r="G6" s="30">
        <v>45937.653217592589</v>
      </c>
      <c r="H6" s="32" t="s">
        <v>474</v>
      </c>
      <c r="I6" s="28" t="s">
        <v>391</v>
      </c>
      <c r="J6" s="28" t="s">
        <v>392</v>
      </c>
      <c r="K6" s="29" t="s">
        <v>417</v>
      </c>
      <c r="L6" s="28" t="s">
        <v>472</v>
      </c>
      <c r="U6" s="27" t="str">
        <f t="shared" si="0"/>
        <v>WEB-INF/classes/webbroker3/web/define/AA_JSPFileNameConst.class</v>
      </c>
      <c r="V6" s="27">
        <f>COUNTIF(wb4_20250810_pr!B$2465:B$2749,U6)</f>
        <v>2</v>
      </c>
    </row>
    <row r="7" spans="1:24" ht="45" x14ac:dyDescent="0.4">
      <c r="A7" s="28">
        <v>5</v>
      </c>
      <c r="B7" s="28" t="s">
        <v>388</v>
      </c>
      <c r="C7" s="32" t="s">
        <v>389</v>
      </c>
      <c r="D7" s="32" t="s">
        <v>475</v>
      </c>
      <c r="E7" s="32" t="s">
        <v>399</v>
      </c>
      <c r="F7" s="31">
        <v>778230</v>
      </c>
      <c r="G7" s="30">
        <v>45937.653217592589</v>
      </c>
      <c r="H7" s="32" t="s">
        <v>474</v>
      </c>
      <c r="I7" s="28" t="s">
        <v>391</v>
      </c>
      <c r="J7" s="28" t="s">
        <v>392</v>
      </c>
      <c r="K7" s="29" t="s">
        <v>417</v>
      </c>
      <c r="L7" s="28" t="s">
        <v>472</v>
      </c>
      <c r="U7" s="27" t="str">
        <f t="shared" si="0"/>
        <v>WEB-INF/src/webbroker3/web/beans/application.xml</v>
      </c>
      <c r="V7" s="27">
        <f>COUNTIF(wb4_20250810_pr!B$2465:B$2749,U7)</f>
        <v>0</v>
      </c>
    </row>
    <row r="10" spans="1:24" x14ac:dyDescent="0.4">
      <c r="H10" s="32"/>
    </row>
    <row r="11" spans="1:24" x14ac:dyDescent="0.4">
      <c r="H11" s="32"/>
    </row>
    <row r="13" spans="1:24" x14ac:dyDescent="0.4">
      <c r="H13" s="32"/>
    </row>
    <row r="16" spans="1:24" x14ac:dyDescent="0.4">
      <c r="H16" s="32"/>
    </row>
    <row r="117" spans="8:8" x14ac:dyDescent="0.4">
      <c r="H117" s="32"/>
    </row>
    <row r="118" spans="8:8" x14ac:dyDescent="0.4">
      <c r="H118" s="32"/>
    </row>
    <row r="132" spans="8:8" x14ac:dyDescent="0.4">
      <c r="H132" s="32"/>
    </row>
  </sheetData>
  <autoFilter ref="A2:X135" xr:uid="{AE5D0F70-0AE8-47B5-A63F-97635814ABAE}"/>
  <dataConsolidate/>
  <phoneticPr fontId="5"/>
  <conditionalFormatting sqref="A3:J1048576">
    <cfRule type="expression" dxfId="9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D7629FDE-3C22-4498-834A-DF3C4ACF46B5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5DBF-453E-4786-8DBC-4B216AA2429D}">
  <sheetPr codeName="Sheet15">
    <pageSetUpPr fitToPage="1"/>
  </sheetPr>
  <dimension ref="A1:X14"/>
  <sheetViews>
    <sheetView zoomScaleNormal="100" zoomScaleSheetLayoutView="100" workbookViewId="0">
      <pane ySplit="2" topLeftCell="A3" activePane="bottomLeft" state="frozen"/>
      <selection activeCell="X2" sqref="X2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4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4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  <c r="X2" s="33" t="s">
        <v>429</v>
      </c>
    </row>
    <row r="3" spans="1:24" ht="30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28" t="s">
        <v>471</v>
      </c>
      <c r="I3" s="28" t="s">
        <v>391</v>
      </c>
      <c r="J3" s="28" t="s">
        <v>392</v>
      </c>
      <c r="K3" s="29" t="s">
        <v>418</v>
      </c>
      <c r="L3" s="28" t="s">
        <v>472</v>
      </c>
      <c r="U3" s="27" t="str">
        <f t="shared" ref="U3:U7" si="0">SUBSTITUTE(SUBSTITUTE(D3&amp;"/"&amp;E3,"//","/"),"./webbroker3.war/",)</f>
        <v>WEB-INF/classes/webbroker3/web/beans/pc/accinfo/WEB3PcAccInfoMfaPskRegistCompleteBean.class</v>
      </c>
      <c r="V3" s="27">
        <f>COUNTIF(wb4_20250810_pr!B$2750:B$2959,U3)</f>
        <v>0</v>
      </c>
    </row>
    <row r="4" spans="1:24" ht="45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32" t="s">
        <v>471</v>
      </c>
      <c r="I4" s="28" t="s">
        <v>391</v>
      </c>
      <c r="J4" s="28" t="s">
        <v>392</v>
      </c>
      <c r="K4" s="29" t="s">
        <v>418</v>
      </c>
      <c r="L4" s="28" t="s">
        <v>472</v>
      </c>
      <c r="U4" s="27" t="str">
        <f t="shared" si="0"/>
        <v>WEB-INF/classes/webbroker3/web/define/CodeValueConst.class</v>
      </c>
      <c r="V4" s="27">
        <f>COUNTIF(wb4_20250810_pr!B$2750:B$2959,U4)</f>
        <v>2</v>
      </c>
    </row>
    <row r="5" spans="1:24" ht="45" x14ac:dyDescent="0.4">
      <c r="A5" s="28">
        <v>3</v>
      </c>
      <c r="B5" s="28" t="s">
        <v>388</v>
      </c>
      <c r="C5" s="32" t="s">
        <v>389</v>
      </c>
      <c r="D5" s="32" t="s">
        <v>398</v>
      </c>
      <c r="E5" s="32" t="s">
        <v>473</v>
      </c>
      <c r="F5" s="31">
        <v>1562</v>
      </c>
      <c r="G5" s="30">
        <v>45937.653217592589</v>
      </c>
      <c r="H5" s="32" t="s">
        <v>474</v>
      </c>
      <c r="I5" s="28" t="s">
        <v>391</v>
      </c>
      <c r="J5" s="28" t="s">
        <v>392</v>
      </c>
      <c r="K5" s="29" t="s">
        <v>418</v>
      </c>
      <c r="L5" s="28" t="s">
        <v>472</v>
      </c>
      <c r="U5" s="27" t="str">
        <f t="shared" si="0"/>
        <v>WEB-INF/classes/webbroker3/web/beans/WEB3XTradeSessionUpdate0FEqBean.class</v>
      </c>
      <c r="V5" s="27">
        <f>COUNTIF(wb4_20250810_pr!B$2750:B$2959,U5)</f>
        <v>0</v>
      </c>
    </row>
    <row r="6" spans="1:24" ht="45" x14ac:dyDescent="0.4">
      <c r="A6" s="28">
        <v>4</v>
      </c>
      <c r="B6" s="28" t="s">
        <v>388</v>
      </c>
      <c r="C6" s="32" t="s">
        <v>389</v>
      </c>
      <c r="D6" s="32" t="s">
        <v>396</v>
      </c>
      <c r="E6" s="32" t="s">
        <v>427</v>
      </c>
      <c r="F6" s="31">
        <v>3311</v>
      </c>
      <c r="G6" s="30">
        <v>45937.653217592589</v>
      </c>
      <c r="H6" s="32" t="s">
        <v>474</v>
      </c>
      <c r="I6" s="28" t="s">
        <v>391</v>
      </c>
      <c r="J6" s="28" t="s">
        <v>392</v>
      </c>
      <c r="K6" s="29" t="s">
        <v>418</v>
      </c>
      <c r="L6" s="28" t="s">
        <v>472</v>
      </c>
      <c r="U6" s="27" t="str">
        <f t="shared" si="0"/>
        <v>WEB-INF/classes/webbroker3/web/define/AA_JSPFileNameConst.class</v>
      </c>
      <c r="V6" s="27">
        <f>COUNTIF(wb4_20250810_pr!B$2750:B$2959,U6)</f>
        <v>0</v>
      </c>
    </row>
    <row r="7" spans="1:24" ht="30" x14ac:dyDescent="0.4">
      <c r="A7" s="28">
        <v>5</v>
      </c>
      <c r="B7" s="28" t="s">
        <v>388</v>
      </c>
      <c r="C7" s="32" t="s">
        <v>389</v>
      </c>
      <c r="D7" s="32" t="s">
        <v>475</v>
      </c>
      <c r="E7" s="32" t="s">
        <v>399</v>
      </c>
      <c r="F7" s="31">
        <v>778230</v>
      </c>
      <c r="G7" s="30">
        <v>45937.653217592589</v>
      </c>
      <c r="H7" s="28" t="s">
        <v>474</v>
      </c>
      <c r="I7" s="28" t="s">
        <v>391</v>
      </c>
      <c r="J7" s="28" t="s">
        <v>392</v>
      </c>
      <c r="K7" s="29" t="s">
        <v>418</v>
      </c>
      <c r="L7" s="28" t="s">
        <v>472</v>
      </c>
      <c r="U7" s="27" t="str">
        <f t="shared" si="0"/>
        <v>WEB-INF/src/webbroker3/web/beans/application.xml</v>
      </c>
      <c r="V7" s="27">
        <f>COUNTIF(wb4_20250810_pr!B$2750:B$2959,U7)</f>
        <v>0</v>
      </c>
    </row>
    <row r="9" spans="1:24" x14ac:dyDescent="0.4">
      <c r="H9" s="32"/>
    </row>
    <row r="10" spans="1:24" x14ac:dyDescent="0.4">
      <c r="H10" s="32"/>
    </row>
    <row r="14" spans="1:24" x14ac:dyDescent="0.4">
      <c r="H14" s="32"/>
    </row>
  </sheetData>
  <autoFilter ref="A2:X106" xr:uid="{BE0C5DBF-453E-4786-8DBC-4B216AA2429D}"/>
  <dataConsolidate/>
  <phoneticPr fontId="5"/>
  <conditionalFormatting sqref="A3:J1048576">
    <cfRule type="expression" dxfId="8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B48DC9A8-DEE6-40E6-93C6-00638B68C945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EB97-6022-429F-9F2B-1888BEDDC1F8}">
  <sheetPr codeName="Sheet17">
    <pageSetUpPr fitToPage="1"/>
  </sheetPr>
  <dimension ref="A1:X134"/>
  <sheetViews>
    <sheetView zoomScaleNormal="100" zoomScaleSheetLayoutView="100" workbookViewId="0">
      <pane ySplit="2" topLeftCell="A3" activePane="bottomLeft" state="frozen"/>
      <selection activeCell="X2" sqref="X2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4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4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  <c r="X2" s="33" t="s">
        <v>429</v>
      </c>
    </row>
    <row r="3" spans="1:24" ht="30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28" t="s">
        <v>471</v>
      </c>
      <c r="I3" s="28" t="s">
        <v>391</v>
      </c>
      <c r="J3" s="28" t="s">
        <v>392</v>
      </c>
      <c r="K3" s="29" t="s">
        <v>420</v>
      </c>
      <c r="L3" s="28" t="s">
        <v>472</v>
      </c>
      <c r="U3" s="27" t="str">
        <f t="shared" ref="U3:U7" si="0">SUBSTITUTE(SUBSTITUTE(D3&amp;"/"&amp;E3,"//","/"),"./webbroker3.war/",)</f>
        <v>WEB-INF/classes/webbroker3/web/beans/pc/accinfo/WEB3PcAccInfoMfaPskRegistCompleteBean.class</v>
      </c>
      <c r="V3" s="27">
        <f>COUNTIF(wb4_20250810_pr!B$1396:B$1676,U3)</f>
        <v>0</v>
      </c>
    </row>
    <row r="4" spans="1:24" ht="45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32" t="s">
        <v>471</v>
      </c>
      <c r="I4" s="28" t="s">
        <v>391</v>
      </c>
      <c r="J4" s="28" t="s">
        <v>392</v>
      </c>
      <c r="K4" s="29" t="s">
        <v>420</v>
      </c>
      <c r="L4" s="28" t="s">
        <v>472</v>
      </c>
      <c r="U4" s="27" t="str">
        <f t="shared" si="0"/>
        <v>WEB-INF/classes/webbroker3/web/define/CodeValueConst.class</v>
      </c>
      <c r="V4" s="27">
        <f>COUNTIF(wb4_20250810_pr!B$1396:B$1676,U4)</f>
        <v>2</v>
      </c>
    </row>
    <row r="5" spans="1:24" ht="30" x14ac:dyDescent="0.4">
      <c r="A5" s="28">
        <v>3</v>
      </c>
      <c r="B5" s="28" t="s">
        <v>388</v>
      </c>
      <c r="C5" s="32" t="s">
        <v>389</v>
      </c>
      <c r="D5" s="32" t="s">
        <v>398</v>
      </c>
      <c r="E5" s="32" t="s">
        <v>473</v>
      </c>
      <c r="F5" s="31">
        <v>1562</v>
      </c>
      <c r="G5" s="30">
        <v>45937.653217592589</v>
      </c>
      <c r="H5" s="28" t="s">
        <v>474</v>
      </c>
      <c r="I5" s="28" t="s">
        <v>391</v>
      </c>
      <c r="J5" s="28" t="s">
        <v>392</v>
      </c>
      <c r="K5" s="29" t="s">
        <v>420</v>
      </c>
      <c r="L5" s="28" t="s">
        <v>472</v>
      </c>
      <c r="U5" s="27" t="str">
        <f t="shared" si="0"/>
        <v>WEB-INF/classes/webbroker3/web/beans/WEB3XTradeSessionUpdate0FEqBean.class</v>
      </c>
      <c r="V5" s="27">
        <f>COUNTIF(wb4_20250810_pr!B$1396:B$1676,U5)</f>
        <v>0</v>
      </c>
    </row>
    <row r="6" spans="1:24" ht="45" x14ac:dyDescent="0.4">
      <c r="A6" s="28">
        <v>4</v>
      </c>
      <c r="B6" s="28" t="s">
        <v>388</v>
      </c>
      <c r="C6" s="32" t="s">
        <v>389</v>
      </c>
      <c r="D6" s="32" t="s">
        <v>396</v>
      </c>
      <c r="E6" s="32" t="s">
        <v>427</v>
      </c>
      <c r="F6" s="31">
        <v>3311</v>
      </c>
      <c r="G6" s="30">
        <v>45937.653217592589</v>
      </c>
      <c r="H6" s="32" t="s">
        <v>474</v>
      </c>
      <c r="I6" s="28" t="s">
        <v>391</v>
      </c>
      <c r="J6" s="28" t="s">
        <v>392</v>
      </c>
      <c r="K6" s="29" t="s">
        <v>420</v>
      </c>
      <c r="L6" s="28" t="s">
        <v>472</v>
      </c>
      <c r="U6" s="27" t="str">
        <f t="shared" si="0"/>
        <v>WEB-INF/classes/webbroker3/web/define/AA_JSPFileNameConst.class</v>
      </c>
      <c r="V6" s="27">
        <f>COUNTIF(wb4_20250810_pr!B$1396:B$1676,U6)</f>
        <v>2</v>
      </c>
    </row>
    <row r="7" spans="1:24" ht="45" x14ac:dyDescent="0.4">
      <c r="A7" s="28">
        <v>5</v>
      </c>
      <c r="B7" s="28" t="s">
        <v>388</v>
      </c>
      <c r="C7" s="32" t="s">
        <v>389</v>
      </c>
      <c r="D7" s="32" t="s">
        <v>475</v>
      </c>
      <c r="E7" s="32" t="s">
        <v>399</v>
      </c>
      <c r="F7" s="31">
        <v>778230</v>
      </c>
      <c r="G7" s="30">
        <v>45937.653217592589</v>
      </c>
      <c r="H7" s="32" t="s">
        <v>474</v>
      </c>
      <c r="I7" s="28" t="s">
        <v>391</v>
      </c>
      <c r="J7" s="28" t="s">
        <v>392</v>
      </c>
      <c r="K7" s="29" t="s">
        <v>420</v>
      </c>
      <c r="L7" s="28" t="s">
        <v>472</v>
      </c>
      <c r="U7" s="27" t="str">
        <f t="shared" si="0"/>
        <v>WEB-INF/src/webbroker3/web/beans/application.xml</v>
      </c>
      <c r="V7" s="27">
        <f>COUNTIF(wb4_20250810_pr!B$1396:B$1676,U7)</f>
        <v>0</v>
      </c>
    </row>
    <row r="8" spans="1:24" x14ac:dyDescent="0.4">
      <c r="H8" s="32"/>
    </row>
    <row r="11" spans="1:24" x14ac:dyDescent="0.4">
      <c r="H11" s="32"/>
    </row>
    <row r="12" spans="1:24" x14ac:dyDescent="0.4">
      <c r="H12" s="32"/>
    </row>
    <row r="14" spans="1:24" x14ac:dyDescent="0.4">
      <c r="H14" s="32"/>
    </row>
    <row r="16" spans="1:24" x14ac:dyDescent="0.4">
      <c r="H16" s="32"/>
    </row>
    <row r="17" spans="8:8" x14ac:dyDescent="0.4">
      <c r="H17" s="32"/>
    </row>
    <row r="19" spans="8:8" x14ac:dyDescent="0.4">
      <c r="H19" s="32"/>
    </row>
    <row r="119" spans="8:8" x14ac:dyDescent="0.4">
      <c r="H119" s="32"/>
    </row>
    <row r="120" spans="8:8" x14ac:dyDescent="0.4">
      <c r="H120" s="32"/>
    </row>
    <row r="134" spans="8:8" x14ac:dyDescent="0.4">
      <c r="H134" s="32"/>
    </row>
  </sheetData>
  <autoFilter ref="A2:X137" xr:uid="{2BD6EB97-6022-429F-9F2B-1888BEDDC1F8}"/>
  <dataConsolidate/>
  <phoneticPr fontId="5"/>
  <conditionalFormatting sqref="A3:J1048576">
    <cfRule type="expression" dxfId="7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C5E81491-7D9A-4A28-985E-BDE86DA3224A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DB21-001E-4F91-978E-B7E2D8F0EA53}">
  <sheetPr codeName="Sheet18">
    <pageSetUpPr fitToPage="1"/>
  </sheetPr>
  <dimension ref="A1:X134"/>
  <sheetViews>
    <sheetView zoomScaleNormal="100" zoomScaleSheetLayoutView="100" workbookViewId="0">
      <pane ySplit="2" topLeftCell="A3" activePane="bottomLeft" state="frozen"/>
      <selection activeCell="X2" sqref="X2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4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4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  <c r="X2" s="33" t="s">
        <v>429</v>
      </c>
    </row>
    <row r="3" spans="1:24" ht="30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28" t="s">
        <v>471</v>
      </c>
      <c r="I3" s="28" t="s">
        <v>391</v>
      </c>
      <c r="J3" s="28" t="s">
        <v>392</v>
      </c>
      <c r="K3" s="29" t="s">
        <v>421</v>
      </c>
      <c r="L3" s="28" t="s">
        <v>472</v>
      </c>
      <c r="U3" s="27" t="str">
        <f t="shared" ref="U3:U7" si="0">SUBSTITUTE(SUBSTITUTE(D3&amp;"/"&amp;E3,"//","/"),"./webbroker3.war/",)</f>
        <v>WEB-INF/classes/webbroker3/web/beans/pc/accinfo/WEB3PcAccInfoMfaPskRegistCompleteBean.class</v>
      </c>
      <c r="V3" s="27">
        <f>COUNTIF(wb4_20250810_pr!B$1677:B$1958,U3)</f>
        <v>0</v>
      </c>
    </row>
    <row r="4" spans="1:24" ht="45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32" t="s">
        <v>471</v>
      </c>
      <c r="I4" s="28" t="s">
        <v>391</v>
      </c>
      <c r="J4" s="28" t="s">
        <v>392</v>
      </c>
      <c r="K4" s="29" t="s">
        <v>421</v>
      </c>
      <c r="L4" s="28" t="s">
        <v>472</v>
      </c>
      <c r="U4" s="27" t="str">
        <f t="shared" si="0"/>
        <v>WEB-INF/classes/webbroker3/web/define/CodeValueConst.class</v>
      </c>
      <c r="V4" s="27">
        <f>COUNTIF(wb4_20250810_pr!B$1677:B$1958,U4)</f>
        <v>2</v>
      </c>
    </row>
    <row r="5" spans="1:24" ht="30" x14ac:dyDescent="0.4">
      <c r="A5" s="28">
        <v>3</v>
      </c>
      <c r="B5" s="28" t="s">
        <v>388</v>
      </c>
      <c r="C5" s="32" t="s">
        <v>389</v>
      </c>
      <c r="D5" s="32" t="s">
        <v>398</v>
      </c>
      <c r="E5" s="32" t="s">
        <v>473</v>
      </c>
      <c r="F5" s="31">
        <v>1562</v>
      </c>
      <c r="G5" s="30">
        <v>45937.653217592589</v>
      </c>
      <c r="H5" s="28" t="s">
        <v>474</v>
      </c>
      <c r="I5" s="28" t="s">
        <v>391</v>
      </c>
      <c r="J5" s="28" t="s">
        <v>392</v>
      </c>
      <c r="K5" s="29" t="s">
        <v>421</v>
      </c>
      <c r="L5" s="28" t="s">
        <v>472</v>
      </c>
      <c r="U5" s="27" t="str">
        <f t="shared" si="0"/>
        <v>WEB-INF/classes/webbroker3/web/beans/WEB3XTradeSessionUpdate0FEqBean.class</v>
      </c>
      <c r="V5" s="27">
        <f>COUNTIF(wb4_20250810_pr!B$1677:B$1958,U5)</f>
        <v>0</v>
      </c>
    </row>
    <row r="6" spans="1:24" ht="45" x14ac:dyDescent="0.4">
      <c r="A6" s="28">
        <v>4</v>
      </c>
      <c r="B6" s="28" t="s">
        <v>388</v>
      </c>
      <c r="C6" s="32" t="s">
        <v>389</v>
      </c>
      <c r="D6" s="32" t="s">
        <v>396</v>
      </c>
      <c r="E6" s="32" t="s">
        <v>427</v>
      </c>
      <c r="F6" s="31">
        <v>3311</v>
      </c>
      <c r="G6" s="30">
        <v>45937.653217592589</v>
      </c>
      <c r="H6" s="32" t="s">
        <v>474</v>
      </c>
      <c r="I6" s="28" t="s">
        <v>391</v>
      </c>
      <c r="J6" s="28" t="s">
        <v>392</v>
      </c>
      <c r="K6" s="29" t="s">
        <v>421</v>
      </c>
      <c r="L6" s="28" t="s">
        <v>472</v>
      </c>
      <c r="U6" s="27" t="str">
        <f t="shared" si="0"/>
        <v>WEB-INF/classes/webbroker3/web/define/AA_JSPFileNameConst.class</v>
      </c>
      <c r="V6" s="27">
        <f>COUNTIF(wb4_20250810_pr!B$1677:B$1958,U6)</f>
        <v>2</v>
      </c>
    </row>
    <row r="7" spans="1:24" ht="45" x14ac:dyDescent="0.4">
      <c r="A7" s="28">
        <v>5</v>
      </c>
      <c r="B7" s="28" t="s">
        <v>388</v>
      </c>
      <c r="C7" s="32" t="s">
        <v>389</v>
      </c>
      <c r="D7" s="32" t="s">
        <v>475</v>
      </c>
      <c r="E7" s="32" t="s">
        <v>399</v>
      </c>
      <c r="F7" s="31">
        <v>778230</v>
      </c>
      <c r="G7" s="30">
        <v>45937.653217592589</v>
      </c>
      <c r="H7" s="32" t="s">
        <v>474</v>
      </c>
      <c r="I7" s="28" t="s">
        <v>391</v>
      </c>
      <c r="J7" s="28" t="s">
        <v>392</v>
      </c>
      <c r="K7" s="29" t="s">
        <v>421</v>
      </c>
      <c r="L7" s="28" t="s">
        <v>472</v>
      </c>
      <c r="U7" s="27" t="str">
        <f t="shared" si="0"/>
        <v>WEB-INF/src/webbroker3/web/beans/application.xml</v>
      </c>
      <c r="V7" s="27">
        <f>COUNTIF(wb4_20250810_pr!B$1677:B$1958,U7)</f>
        <v>0</v>
      </c>
    </row>
    <row r="8" spans="1:24" x14ac:dyDescent="0.4">
      <c r="H8" s="32"/>
    </row>
    <row r="11" spans="1:24" x14ac:dyDescent="0.4">
      <c r="H11" s="32"/>
    </row>
    <row r="12" spans="1:24" x14ac:dyDescent="0.4">
      <c r="H12" s="32"/>
    </row>
    <row r="14" spans="1:24" x14ac:dyDescent="0.4">
      <c r="H14" s="32"/>
    </row>
    <row r="16" spans="1:24" x14ac:dyDescent="0.4">
      <c r="H16" s="32"/>
    </row>
    <row r="17" spans="8:8" x14ac:dyDescent="0.4">
      <c r="H17" s="32"/>
    </row>
    <row r="19" spans="8:8" x14ac:dyDescent="0.4">
      <c r="H19" s="32"/>
    </row>
    <row r="119" spans="8:8" x14ac:dyDescent="0.4">
      <c r="H119" s="32"/>
    </row>
    <row r="120" spans="8:8" x14ac:dyDescent="0.4">
      <c r="H120" s="32"/>
    </row>
    <row r="134" spans="8:8" x14ac:dyDescent="0.4">
      <c r="H134" s="32"/>
    </row>
  </sheetData>
  <autoFilter ref="A2:X137" xr:uid="{8F2FDB21-001E-4F91-978E-B7E2D8F0EA53}"/>
  <dataConsolidate/>
  <phoneticPr fontId="5"/>
  <conditionalFormatting sqref="A3:J1048576">
    <cfRule type="expression" dxfId="6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9F06222F-C4D0-4D42-B7F6-C971DA71610F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8921-760A-47C5-AC99-0DA44561EEB6}">
  <sheetPr codeName="Sheet19">
    <pageSetUpPr fitToPage="1"/>
  </sheetPr>
  <dimension ref="A1:X132"/>
  <sheetViews>
    <sheetView zoomScaleNormal="100" zoomScaleSheetLayoutView="100" workbookViewId="0">
      <pane ySplit="2" topLeftCell="A3" activePane="bottomLeft" state="frozen"/>
      <selection activeCell="X2" sqref="X2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4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4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  <c r="X2" s="33" t="s">
        <v>429</v>
      </c>
    </row>
    <row r="3" spans="1:24" ht="30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28" t="s">
        <v>471</v>
      </c>
      <c r="I3" s="28" t="s">
        <v>391</v>
      </c>
      <c r="J3" s="28" t="s">
        <v>392</v>
      </c>
      <c r="K3" s="29" t="s">
        <v>422</v>
      </c>
      <c r="L3" s="28" t="s">
        <v>472</v>
      </c>
      <c r="U3" s="27" t="str">
        <f t="shared" ref="U3:U7" si="0">SUBSTITUTE(SUBSTITUTE(D3&amp;"/"&amp;E3,"//","/"),"./webbroker3.war/",)</f>
        <v>WEB-INF/classes/webbroker3/web/beans/pc/accinfo/WEB3PcAccInfoMfaPskRegistCompleteBean.class</v>
      </c>
      <c r="V3" s="27">
        <f>COUNTIF(wb4_20250810_pr!B$758:B$1033,U3)</f>
        <v>0</v>
      </c>
    </row>
    <row r="4" spans="1:24" ht="45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32" t="s">
        <v>471</v>
      </c>
      <c r="I4" s="28" t="s">
        <v>391</v>
      </c>
      <c r="J4" s="28" t="s">
        <v>392</v>
      </c>
      <c r="K4" s="29" t="s">
        <v>422</v>
      </c>
      <c r="L4" s="28" t="s">
        <v>472</v>
      </c>
      <c r="U4" s="27" t="str">
        <f t="shared" si="0"/>
        <v>WEB-INF/classes/webbroker3/web/define/CodeValueConst.class</v>
      </c>
      <c r="V4" s="27">
        <f>COUNTIF(wb4_20250810_pr!B$758:B$1033,U4)</f>
        <v>2</v>
      </c>
    </row>
    <row r="5" spans="1:24" ht="30" x14ac:dyDescent="0.4">
      <c r="A5" s="28">
        <v>3</v>
      </c>
      <c r="B5" s="28" t="s">
        <v>388</v>
      </c>
      <c r="C5" s="32" t="s">
        <v>389</v>
      </c>
      <c r="D5" s="32" t="s">
        <v>398</v>
      </c>
      <c r="E5" s="32" t="s">
        <v>473</v>
      </c>
      <c r="F5" s="31">
        <v>1562</v>
      </c>
      <c r="G5" s="30">
        <v>45937.653217592589</v>
      </c>
      <c r="H5" s="28" t="s">
        <v>474</v>
      </c>
      <c r="I5" s="28" t="s">
        <v>391</v>
      </c>
      <c r="J5" s="28" t="s">
        <v>392</v>
      </c>
      <c r="K5" s="29" t="s">
        <v>422</v>
      </c>
      <c r="L5" s="28" t="s">
        <v>472</v>
      </c>
      <c r="U5" s="27" t="str">
        <f t="shared" si="0"/>
        <v>WEB-INF/classes/webbroker3/web/beans/WEB3XTradeSessionUpdate0FEqBean.class</v>
      </c>
      <c r="V5" s="27">
        <f>COUNTIF(wb4_20250810_pr!B$758:B$1033,U5)</f>
        <v>0</v>
      </c>
    </row>
    <row r="6" spans="1:24" ht="45" x14ac:dyDescent="0.4">
      <c r="A6" s="28">
        <v>4</v>
      </c>
      <c r="B6" s="28" t="s">
        <v>388</v>
      </c>
      <c r="C6" s="32" t="s">
        <v>389</v>
      </c>
      <c r="D6" s="32" t="s">
        <v>396</v>
      </c>
      <c r="E6" s="32" t="s">
        <v>427</v>
      </c>
      <c r="F6" s="31">
        <v>3311</v>
      </c>
      <c r="G6" s="30">
        <v>45937.653217592589</v>
      </c>
      <c r="H6" s="32" t="s">
        <v>474</v>
      </c>
      <c r="I6" s="28" t="s">
        <v>391</v>
      </c>
      <c r="J6" s="28" t="s">
        <v>392</v>
      </c>
      <c r="K6" s="29" t="s">
        <v>422</v>
      </c>
      <c r="L6" s="28" t="s">
        <v>472</v>
      </c>
      <c r="U6" s="27" t="str">
        <f t="shared" si="0"/>
        <v>WEB-INF/classes/webbroker3/web/define/AA_JSPFileNameConst.class</v>
      </c>
      <c r="V6" s="27">
        <f>COUNTIF(wb4_20250810_pr!B$758:B$1033,U6)</f>
        <v>2</v>
      </c>
    </row>
    <row r="7" spans="1:24" ht="45" x14ac:dyDescent="0.4">
      <c r="A7" s="28">
        <v>5</v>
      </c>
      <c r="B7" s="28" t="s">
        <v>388</v>
      </c>
      <c r="C7" s="32" t="s">
        <v>389</v>
      </c>
      <c r="D7" s="32" t="s">
        <v>475</v>
      </c>
      <c r="E7" s="32" t="s">
        <v>399</v>
      </c>
      <c r="F7" s="31">
        <v>778230</v>
      </c>
      <c r="G7" s="30">
        <v>45937.653217592589</v>
      </c>
      <c r="H7" s="32" t="s">
        <v>474</v>
      </c>
      <c r="I7" s="28" t="s">
        <v>391</v>
      </c>
      <c r="J7" s="28" t="s">
        <v>392</v>
      </c>
      <c r="K7" s="29" t="s">
        <v>422</v>
      </c>
      <c r="L7" s="28" t="s">
        <v>472</v>
      </c>
      <c r="U7" s="27" t="str">
        <f t="shared" si="0"/>
        <v>WEB-INF/src/webbroker3/web/beans/application.xml</v>
      </c>
      <c r="V7" s="27">
        <f>COUNTIF(wb4_20250810_pr!B$758:B$1033,U7)</f>
        <v>0</v>
      </c>
    </row>
    <row r="10" spans="1:24" x14ac:dyDescent="0.4">
      <c r="H10" s="32"/>
    </row>
    <row r="11" spans="1:24" x14ac:dyDescent="0.4">
      <c r="H11" s="32"/>
    </row>
    <row r="13" spans="1:24" x14ac:dyDescent="0.4">
      <c r="H13" s="32"/>
    </row>
    <row r="16" spans="1:24" x14ac:dyDescent="0.4">
      <c r="H16" s="32"/>
    </row>
    <row r="117" spans="8:8" x14ac:dyDescent="0.4">
      <c r="H117" s="32"/>
    </row>
    <row r="118" spans="8:8" x14ac:dyDescent="0.4">
      <c r="H118" s="32"/>
    </row>
    <row r="132" spans="8:8" x14ac:dyDescent="0.4">
      <c r="H132" s="32"/>
    </row>
  </sheetData>
  <autoFilter ref="A2:X135" xr:uid="{6D1E8921-760A-47C5-AC99-0DA44561EEB6}"/>
  <dataConsolidate/>
  <phoneticPr fontId="5"/>
  <conditionalFormatting sqref="A3:J1048576">
    <cfRule type="expression" dxfId="5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3328B9C8-D0FF-4D01-A2BB-1A89273CD4EE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22C5-E614-4DAD-AA84-EF636A48A63B}">
  <sheetPr codeName="Sheet20">
    <pageSetUpPr fitToPage="1"/>
  </sheetPr>
  <dimension ref="A1:X29"/>
  <sheetViews>
    <sheetView zoomScaleNormal="100" zoomScaleSheetLayoutView="100" workbookViewId="0">
      <pane ySplit="2" topLeftCell="A3" activePane="bottomLeft" state="frozen"/>
      <selection activeCell="X2" sqref="X2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4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4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  <c r="X2" s="33" t="s">
        <v>429</v>
      </c>
    </row>
    <row r="3" spans="1:24" ht="45" x14ac:dyDescent="0.4">
      <c r="A3" s="28">
        <v>1</v>
      </c>
      <c r="B3" s="28" t="s">
        <v>388</v>
      </c>
      <c r="C3" s="32" t="s">
        <v>389</v>
      </c>
      <c r="D3" s="32" t="s">
        <v>398</v>
      </c>
      <c r="E3" s="32" t="s">
        <v>473</v>
      </c>
      <c r="F3" s="31">
        <v>1562</v>
      </c>
      <c r="G3" s="30">
        <v>45937.653217592589</v>
      </c>
      <c r="H3" s="32" t="s">
        <v>474</v>
      </c>
      <c r="I3" s="28" t="s">
        <v>391</v>
      </c>
      <c r="J3" s="28" t="s">
        <v>392</v>
      </c>
      <c r="K3" s="29" t="s">
        <v>386</v>
      </c>
      <c r="L3" s="28" t="s">
        <v>472</v>
      </c>
      <c r="U3" s="27" t="str">
        <f t="shared" ref="U3:U5" si="0">SUBSTITUTE(SUBSTITUTE(D3&amp;"/"&amp;E3,"//","/"),"./webbroker3.war/",)</f>
        <v>WEB-INF/classes/webbroker3/web/beans/WEB3XTradeSessionUpdate0FEqBean.class</v>
      </c>
      <c r="V3" s="27">
        <f>COUNTIF(wb4_20250810_pr!B$1034:B$1121,U3)</f>
        <v>0</v>
      </c>
    </row>
    <row r="4" spans="1:24" ht="30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427</v>
      </c>
      <c r="F4" s="31">
        <v>3311</v>
      </c>
      <c r="G4" s="30">
        <v>45937.653217592589</v>
      </c>
      <c r="H4" s="28" t="s">
        <v>474</v>
      </c>
      <c r="I4" s="28" t="s">
        <v>391</v>
      </c>
      <c r="J4" s="28" t="s">
        <v>392</v>
      </c>
      <c r="K4" s="29" t="s">
        <v>386</v>
      </c>
      <c r="L4" s="28" t="s">
        <v>472</v>
      </c>
      <c r="U4" s="27" t="str">
        <f t="shared" si="0"/>
        <v>WEB-INF/classes/webbroker3/web/define/AA_JSPFileNameConst.class</v>
      </c>
      <c r="V4" s="27">
        <f>COUNTIF(wb4_20250810_pr!B$1034:B$1121,U4)</f>
        <v>0</v>
      </c>
    </row>
    <row r="5" spans="1:24" ht="45" x14ac:dyDescent="0.4">
      <c r="A5" s="28">
        <v>3</v>
      </c>
      <c r="B5" s="28" t="s">
        <v>388</v>
      </c>
      <c r="C5" s="32" t="s">
        <v>389</v>
      </c>
      <c r="D5" s="32" t="s">
        <v>475</v>
      </c>
      <c r="E5" s="32" t="s">
        <v>399</v>
      </c>
      <c r="F5" s="31">
        <v>778230</v>
      </c>
      <c r="G5" s="30">
        <v>45937.653217592589</v>
      </c>
      <c r="H5" s="32" t="s">
        <v>474</v>
      </c>
      <c r="I5" s="28" t="s">
        <v>391</v>
      </c>
      <c r="J5" s="28" t="s">
        <v>392</v>
      </c>
      <c r="K5" s="29" t="s">
        <v>386</v>
      </c>
      <c r="L5" s="28" t="s">
        <v>472</v>
      </c>
      <c r="U5" s="27" t="str">
        <f t="shared" si="0"/>
        <v>WEB-INF/src/webbroker3/web/beans/application.xml</v>
      </c>
      <c r="V5" s="27">
        <f>COUNTIF(wb4_20250810_pr!B$1034:B$1121,U5)</f>
        <v>0</v>
      </c>
    </row>
    <row r="6" spans="1:24" x14ac:dyDescent="0.4">
      <c r="H6" s="32"/>
    </row>
    <row r="8" spans="1:24" x14ac:dyDescent="0.4">
      <c r="H8" s="32"/>
    </row>
    <row r="9" spans="1:24" x14ac:dyDescent="0.4">
      <c r="H9" s="32"/>
    </row>
    <row r="12" spans="1:24" x14ac:dyDescent="0.4">
      <c r="H12" s="32"/>
    </row>
    <row r="28" spans="8:8" x14ac:dyDescent="0.4">
      <c r="H28" s="32"/>
    </row>
    <row r="29" spans="8:8" x14ac:dyDescent="0.4">
      <c r="H29" s="32"/>
    </row>
  </sheetData>
  <autoFilter ref="A2:X41" xr:uid="{542522C5-E614-4DAD-AA84-EF636A48A63B}"/>
  <dataConsolidate/>
  <phoneticPr fontId="5"/>
  <conditionalFormatting sqref="A3:J1048576">
    <cfRule type="expression" dxfId="4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DCCD952F-A135-4D8E-9100-DFD321AF3F73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9123-26D1-496C-ADC2-A6D3B7E21489}">
  <sheetPr codeName="Sheet22">
    <pageSetUpPr fitToPage="1"/>
  </sheetPr>
  <dimension ref="A1:X111"/>
  <sheetViews>
    <sheetView zoomScaleNormal="100" zoomScaleSheetLayoutView="100" workbookViewId="0">
      <pane ySplit="2" topLeftCell="A3" activePane="bottomLeft" state="frozen"/>
      <selection activeCell="X2" sqref="X2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4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4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  <c r="X2" s="33" t="s">
        <v>429</v>
      </c>
    </row>
    <row r="3" spans="1:24" ht="30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28" t="s">
        <v>471</v>
      </c>
      <c r="I3" s="28" t="s">
        <v>391</v>
      </c>
      <c r="J3" s="28" t="s">
        <v>392</v>
      </c>
      <c r="K3" s="29" t="s">
        <v>424</v>
      </c>
      <c r="L3" s="28" t="s">
        <v>472</v>
      </c>
      <c r="U3" s="27" t="str">
        <f t="shared" ref="U3:U4" si="0">SUBSTITUTE(SUBSTITUTE(D3&amp;"/"&amp;E3,"//","/"),"./webbroker3.war/",)</f>
        <v>WEB-INF/classes/webbroker3/web/beans/pc/accinfo/WEB3PcAccInfoMfaPskRegistCompleteBean.class</v>
      </c>
      <c r="V3" s="27">
        <f>COUNTIF(wb4_20250810_pr!B$1959:B$2204,U3)</f>
        <v>0</v>
      </c>
    </row>
    <row r="4" spans="1:24" ht="45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32" t="s">
        <v>471</v>
      </c>
      <c r="I4" s="28" t="s">
        <v>391</v>
      </c>
      <c r="J4" s="28" t="s">
        <v>392</v>
      </c>
      <c r="K4" s="29" t="s">
        <v>424</v>
      </c>
      <c r="L4" s="28" t="s">
        <v>472</v>
      </c>
      <c r="U4" s="27" t="str">
        <f t="shared" si="0"/>
        <v>WEB-INF/classes/webbroker3/web/define/CodeValueConst.class</v>
      </c>
      <c r="V4" s="27">
        <f>COUNTIF(wb4_20250810_pr!B$1959:B$2204,U4)</f>
        <v>2</v>
      </c>
    </row>
    <row r="6" spans="1:24" x14ac:dyDescent="0.4">
      <c r="H6" s="32"/>
    </row>
    <row r="7" spans="1:24" x14ac:dyDescent="0.4">
      <c r="H7" s="32"/>
    </row>
    <row r="10" spans="1:24" x14ac:dyDescent="0.4">
      <c r="H10" s="32"/>
    </row>
    <row r="11" spans="1:24" x14ac:dyDescent="0.4">
      <c r="H11" s="32"/>
    </row>
    <row r="15" spans="1:24" x14ac:dyDescent="0.4">
      <c r="H15" s="32"/>
    </row>
    <row r="110" spans="8:8" x14ac:dyDescent="0.4">
      <c r="H110" s="32"/>
    </row>
    <row r="111" spans="8:8" x14ac:dyDescent="0.4">
      <c r="H111" s="32"/>
    </row>
  </sheetData>
  <autoFilter ref="A2:X123" xr:uid="{B6009123-26D1-496C-ADC2-A6D3B7E21489}"/>
  <dataConsolidate/>
  <phoneticPr fontId="5"/>
  <conditionalFormatting sqref="A3:J1048576">
    <cfRule type="expression" dxfId="3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7A118AEB-5773-4356-A63E-4E4D079E04FB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9170-1726-465C-A787-F876657F189A}">
  <sheetPr codeName="Sheet23">
    <pageSetUpPr fitToPage="1"/>
  </sheetPr>
  <dimension ref="A1:X116"/>
  <sheetViews>
    <sheetView zoomScaleNormal="100" zoomScaleSheetLayoutView="100" workbookViewId="0">
      <pane ySplit="2" topLeftCell="A3" activePane="bottomLeft" state="frozen"/>
      <selection activeCell="X2" sqref="X2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4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4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  <c r="X2" s="33" t="s">
        <v>429</v>
      </c>
    </row>
    <row r="3" spans="1:24" ht="30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28" t="s">
        <v>471</v>
      </c>
      <c r="I3" s="28" t="s">
        <v>391</v>
      </c>
      <c r="J3" s="28" t="s">
        <v>392</v>
      </c>
      <c r="K3" s="29" t="s">
        <v>425</v>
      </c>
      <c r="L3" s="28" t="s">
        <v>472</v>
      </c>
      <c r="U3" s="27" t="str">
        <f t="shared" ref="U3:U7" si="0">SUBSTITUTE(SUBSTITUTE(D3&amp;"/"&amp;E3,"//","/"),"./webbroker3.war/",)</f>
        <v>WEB-INF/classes/webbroker3/web/beans/pc/accinfo/WEB3PcAccInfoMfaPskRegistCompleteBean.class</v>
      </c>
      <c r="V3" s="27">
        <f>COUNTIF(wb4_20250810_pr!B$2205:B$2464,U3)</f>
        <v>0</v>
      </c>
    </row>
    <row r="4" spans="1:24" ht="45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32" t="s">
        <v>471</v>
      </c>
      <c r="I4" s="28" t="s">
        <v>391</v>
      </c>
      <c r="J4" s="28" t="s">
        <v>392</v>
      </c>
      <c r="K4" s="29" t="s">
        <v>425</v>
      </c>
      <c r="L4" s="28" t="s">
        <v>472</v>
      </c>
      <c r="U4" s="27" t="str">
        <f t="shared" si="0"/>
        <v>WEB-INF/classes/webbroker3/web/define/CodeValueConst.class</v>
      </c>
      <c r="V4" s="27">
        <f>COUNTIF(wb4_20250810_pr!B$2205:B$2464,U4)</f>
        <v>2</v>
      </c>
    </row>
    <row r="5" spans="1:24" ht="30" x14ac:dyDescent="0.4">
      <c r="A5" s="28">
        <v>3</v>
      </c>
      <c r="B5" s="28" t="s">
        <v>388</v>
      </c>
      <c r="C5" s="32" t="s">
        <v>389</v>
      </c>
      <c r="D5" s="32" t="s">
        <v>398</v>
      </c>
      <c r="E5" s="32" t="s">
        <v>473</v>
      </c>
      <c r="F5" s="31">
        <v>1562</v>
      </c>
      <c r="G5" s="30">
        <v>45937.653217592589</v>
      </c>
      <c r="H5" s="28" t="s">
        <v>474</v>
      </c>
      <c r="I5" s="28" t="s">
        <v>391</v>
      </c>
      <c r="J5" s="28" t="s">
        <v>392</v>
      </c>
      <c r="K5" s="29" t="s">
        <v>425</v>
      </c>
      <c r="L5" s="28" t="s">
        <v>472</v>
      </c>
      <c r="U5" s="27" t="str">
        <f t="shared" si="0"/>
        <v>WEB-INF/classes/webbroker3/web/beans/WEB3XTradeSessionUpdate0FEqBean.class</v>
      </c>
      <c r="V5" s="27">
        <f>COUNTIF(wb4_20250810_pr!B$2205:B$2464,U5)</f>
        <v>0</v>
      </c>
    </row>
    <row r="6" spans="1:24" ht="45" x14ac:dyDescent="0.4">
      <c r="A6" s="28">
        <v>4</v>
      </c>
      <c r="B6" s="28" t="s">
        <v>388</v>
      </c>
      <c r="C6" s="32" t="s">
        <v>389</v>
      </c>
      <c r="D6" s="32" t="s">
        <v>396</v>
      </c>
      <c r="E6" s="32" t="s">
        <v>427</v>
      </c>
      <c r="F6" s="31">
        <v>3311</v>
      </c>
      <c r="G6" s="30">
        <v>45937.653217592589</v>
      </c>
      <c r="H6" s="32" t="s">
        <v>474</v>
      </c>
      <c r="I6" s="28" t="s">
        <v>391</v>
      </c>
      <c r="J6" s="28" t="s">
        <v>392</v>
      </c>
      <c r="K6" s="29" t="s">
        <v>425</v>
      </c>
      <c r="L6" s="28" t="s">
        <v>472</v>
      </c>
      <c r="U6" s="27" t="str">
        <f t="shared" si="0"/>
        <v>WEB-INF/classes/webbroker3/web/define/AA_JSPFileNameConst.class</v>
      </c>
      <c r="V6" s="27">
        <f>COUNTIF(wb4_20250810_pr!B$2205:B$2464,U6)</f>
        <v>0</v>
      </c>
    </row>
    <row r="7" spans="1:24" ht="45" x14ac:dyDescent="0.4">
      <c r="A7" s="28">
        <v>5</v>
      </c>
      <c r="B7" s="28" t="s">
        <v>388</v>
      </c>
      <c r="C7" s="32" t="s">
        <v>389</v>
      </c>
      <c r="D7" s="32" t="s">
        <v>475</v>
      </c>
      <c r="E7" s="32" t="s">
        <v>399</v>
      </c>
      <c r="F7" s="31">
        <v>778230</v>
      </c>
      <c r="G7" s="30">
        <v>45937.653217592589</v>
      </c>
      <c r="H7" s="32" t="s">
        <v>474</v>
      </c>
      <c r="I7" s="28" t="s">
        <v>391</v>
      </c>
      <c r="J7" s="28" t="s">
        <v>392</v>
      </c>
      <c r="K7" s="29" t="s">
        <v>425</v>
      </c>
      <c r="L7" s="28" t="s">
        <v>472</v>
      </c>
      <c r="U7" s="27" t="str">
        <f t="shared" si="0"/>
        <v>WEB-INF/src/webbroker3/web/beans/application.xml</v>
      </c>
      <c r="V7" s="27">
        <f>COUNTIF(wb4_20250810_pr!B$2205:B$2464,U7)</f>
        <v>0</v>
      </c>
    </row>
    <row r="10" spans="1:24" x14ac:dyDescent="0.4">
      <c r="H10" s="32"/>
    </row>
    <row r="11" spans="1:24" x14ac:dyDescent="0.4">
      <c r="H11" s="32"/>
    </row>
    <row r="15" spans="1:24" x14ac:dyDescent="0.4">
      <c r="H15" s="32"/>
    </row>
    <row r="115" spans="8:8" x14ac:dyDescent="0.4">
      <c r="H115" s="32"/>
    </row>
    <row r="116" spans="8:8" x14ac:dyDescent="0.4">
      <c r="H116" s="32"/>
    </row>
  </sheetData>
  <autoFilter ref="A2:X128" xr:uid="{4F9D9170-1726-465C-A787-F876657F189A}"/>
  <dataConsolidate/>
  <phoneticPr fontId="5"/>
  <conditionalFormatting sqref="A3:J1048576">
    <cfRule type="expression" dxfId="2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CCD7B055-6270-47AB-B88A-27BAC01C58B3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73F6-0BB4-4198-AE38-3978C7E3B74D}">
  <sheetPr codeName="Sheet16">
    <pageSetUpPr fitToPage="1"/>
  </sheetPr>
  <dimension ref="A1:U116"/>
  <sheetViews>
    <sheetView zoomScaleNormal="100" zoomScaleSheetLayoutView="100" workbookViewId="0">
      <pane ySplit="2" topLeftCell="A3" activePane="bottomLeft" state="frozen"/>
      <selection activeCell="V3" sqref="V3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1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1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</row>
    <row r="3" spans="1:21" ht="30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28" t="s">
        <v>471</v>
      </c>
      <c r="I3" s="28" t="s">
        <v>391</v>
      </c>
      <c r="J3" s="28" t="s">
        <v>392</v>
      </c>
      <c r="K3" s="29" t="s">
        <v>419</v>
      </c>
      <c r="L3" s="28" t="s">
        <v>472</v>
      </c>
      <c r="U3" s="27" t="str">
        <f t="shared" ref="U3:U7" si="0">SUBSTITUTE(SUBSTITUTE(D3&amp;"/"&amp;E3,"//","/"),"./webbroker3.war/",)</f>
        <v>WEB-INF/classes/webbroker3/web/beans/pc/accinfo/WEB3PcAccInfoMfaPskRegistCompleteBean.class</v>
      </c>
    </row>
    <row r="4" spans="1:21" ht="30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28" t="s">
        <v>471</v>
      </c>
      <c r="I4" s="28" t="s">
        <v>391</v>
      </c>
      <c r="J4" s="28" t="s">
        <v>392</v>
      </c>
      <c r="K4" s="29" t="s">
        <v>419</v>
      </c>
      <c r="L4" s="28" t="s">
        <v>472</v>
      </c>
      <c r="U4" s="27" t="str">
        <f t="shared" si="0"/>
        <v>WEB-INF/classes/webbroker3/web/define/CodeValueConst.class</v>
      </c>
    </row>
    <row r="5" spans="1:21" ht="30" x14ac:dyDescent="0.4">
      <c r="A5" s="28">
        <v>3</v>
      </c>
      <c r="B5" s="28" t="s">
        <v>388</v>
      </c>
      <c r="C5" s="32" t="s">
        <v>389</v>
      </c>
      <c r="D5" s="32" t="s">
        <v>398</v>
      </c>
      <c r="E5" s="32" t="s">
        <v>473</v>
      </c>
      <c r="F5" s="31">
        <v>1562</v>
      </c>
      <c r="G5" s="30">
        <v>45937.653217592589</v>
      </c>
      <c r="H5" s="28" t="s">
        <v>474</v>
      </c>
      <c r="I5" s="28" t="s">
        <v>391</v>
      </c>
      <c r="J5" s="28" t="s">
        <v>392</v>
      </c>
      <c r="K5" s="29" t="s">
        <v>419</v>
      </c>
      <c r="L5" s="28" t="s">
        <v>472</v>
      </c>
      <c r="U5" s="27" t="str">
        <f t="shared" si="0"/>
        <v>WEB-INF/classes/webbroker3/web/beans/WEB3XTradeSessionUpdate0FEqBean.class</v>
      </c>
    </row>
    <row r="6" spans="1:21" ht="30" x14ac:dyDescent="0.4">
      <c r="A6" s="28">
        <v>4</v>
      </c>
      <c r="B6" s="28" t="s">
        <v>388</v>
      </c>
      <c r="C6" s="32" t="s">
        <v>389</v>
      </c>
      <c r="D6" s="32" t="s">
        <v>396</v>
      </c>
      <c r="E6" s="32" t="s">
        <v>427</v>
      </c>
      <c r="F6" s="31">
        <v>3311</v>
      </c>
      <c r="G6" s="30">
        <v>45937.653217592589</v>
      </c>
      <c r="H6" s="28" t="s">
        <v>474</v>
      </c>
      <c r="I6" s="28" t="s">
        <v>391</v>
      </c>
      <c r="J6" s="28" t="s">
        <v>392</v>
      </c>
      <c r="K6" s="29" t="s">
        <v>419</v>
      </c>
      <c r="L6" s="28" t="s">
        <v>472</v>
      </c>
      <c r="U6" s="27" t="str">
        <f t="shared" si="0"/>
        <v>WEB-INF/classes/webbroker3/web/define/AA_JSPFileNameConst.class</v>
      </c>
    </row>
    <row r="7" spans="1:21" ht="30" x14ac:dyDescent="0.4">
      <c r="A7" s="28">
        <v>5</v>
      </c>
      <c r="B7" s="28" t="s">
        <v>388</v>
      </c>
      <c r="C7" s="32" t="s">
        <v>389</v>
      </c>
      <c r="D7" s="32" t="s">
        <v>475</v>
      </c>
      <c r="E7" s="32" t="s">
        <v>399</v>
      </c>
      <c r="F7" s="31">
        <v>778230</v>
      </c>
      <c r="G7" s="30">
        <v>45937.653217592589</v>
      </c>
      <c r="H7" s="28" t="s">
        <v>474</v>
      </c>
      <c r="I7" s="28" t="s">
        <v>391</v>
      </c>
      <c r="J7" s="28" t="s">
        <v>392</v>
      </c>
      <c r="K7" s="29" t="s">
        <v>419</v>
      </c>
      <c r="L7" s="28" t="s">
        <v>472</v>
      </c>
      <c r="U7" s="27" t="str">
        <f t="shared" si="0"/>
        <v>WEB-INF/src/webbroker3/web/beans/application.xml</v>
      </c>
    </row>
    <row r="101" spans="8:8" x14ac:dyDescent="0.4">
      <c r="H101" s="32"/>
    </row>
    <row r="102" spans="8:8" x14ac:dyDescent="0.4">
      <c r="H102" s="32"/>
    </row>
    <row r="116" spans="8:8" x14ac:dyDescent="0.4">
      <c r="H116" s="32"/>
    </row>
  </sheetData>
  <dataConsolidate/>
  <phoneticPr fontId="5"/>
  <conditionalFormatting sqref="A3:J1048576">
    <cfRule type="expression" dxfId="1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20BA66C2-296F-452B-925D-E8E87B928FCC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F739-A01A-4ABE-B227-F4C21069D9D5}">
  <sheetPr codeName="Sheet21">
    <pageSetUpPr fitToPage="1"/>
  </sheetPr>
  <dimension ref="A1:U28"/>
  <sheetViews>
    <sheetView zoomScaleNormal="100" zoomScaleSheetLayoutView="100" workbookViewId="0">
      <pane ySplit="2" topLeftCell="A3" activePane="bottomLeft" state="frozen"/>
      <selection activeCell="V3" sqref="V3"/>
      <selection pane="bottomLeft"/>
    </sheetView>
  </sheetViews>
  <sheetFormatPr defaultColWidth="8.625" defaultRowHeight="16.5" x14ac:dyDescent="0.4"/>
  <cols>
    <col min="1" max="1" width="3.5" style="28" customWidth="1"/>
    <col min="2" max="2" width="13.625" style="28" customWidth="1"/>
    <col min="3" max="3" width="17.875" style="32" customWidth="1"/>
    <col min="4" max="4" width="39.125" style="32" customWidth="1"/>
    <col min="5" max="5" width="35.875" style="32" customWidth="1"/>
    <col min="6" max="6" width="10.375" style="31" customWidth="1"/>
    <col min="7" max="7" width="17.25" style="30" customWidth="1"/>
    <col min="8" max="8" width="17.25" style="28" customWidth="1"/>
    <col min="9" max="9" width="5" style="28" customWidth="1"/>
    <col min="10" max="10" width="4" style="28" customWidth="1"/>
    <col min="11" max="11" width="5" style="29" bestFit="1" customWidth="1"/>
    <col min="12" max="12" width="10.625" style="28" bestFit="1" customWidth="1"/>
    <col min="13" max="13" width="10.625" style="28" hidden="1" customWidth="1"/>
    <col min="14" max="14" width="8.75" style="28" hidden="1" customWidth="1"/>
    <col min="15" max="15" width="7" style="28" hidden="1" customWidth="1"/>
    <col min="16" max="16" width="8.625" style="28" hidden="1" customWidth="1"/>
    <col min="17" max="17" width="8.125" style="28" hidden="1" customWidth="1"/>
    <col min="18" max="18" width="22.75" style="28" hidden="1" customWidth="1"/>
    <col min="19" max="19" width="35.75" style="28" hidden="1" customWidth="1"/>
    <col min="20" max="16384" width="8.625" style="27"/>
  </cols>
  <sheetData>
    <row r="1" spans="1:21" ht="20.100000000000001" customHeight="1" x14ac:dyDescent="0.4">
      <c r="A1" s="48" t="s">
        <v>376</v>
      </c>
      <c r="B1" s="48"/>
      <c r="C1" s="48"/>
      <c r="D1" s="48"/>
      <c r="E1" s="48"/>
      <c r="F1" s="48"/>
      <c r="G1" s="48"/>
      <c r="H1" s="48"/>
      <c r="I1" s="48"/>
      <c r="J1" s="47"/>
      <c r="K1" s="46" t="s">
        <v>401</v>
      </c>
      <c r="L1" s="45" t="s">
        <v>387</v>
      </c>
      <c r="M1" s="44" t="s">
        <v>402</v>
      </c>
      <c r="N1" s="43" t="s">
        <v>403</v>
      </c>
      <c r="O1" s="43"/>
      <c r="P1" s="43"/>
      <c r="Q1" s="43"/>
      <c r="R1" s="42" t="s">
        <v>404</v>
      </c>
      <c r="S1" s="42"/>
    </row>
    <row r="2" spans="1:21" s="33" customFormat="1" ht="28.5" customHeight="1" x14ac:dyDescent="0.4">
      <c r="A2" s="41" t="s">
        <v>377</v>
      </c>
      <c r="B2" s="41" t="s">
        <v>378</v>
      </c>
      <c r="C2" s="41" t="s">
        <v>379</v>
      </c>
      <c r="D2" s="41"/>
      <c r="E2" s="41" t="s">
        <v>380</v>
      </c>
      <c r="F2" s="41" t="s">
        <v>381</v>
      </c>
      <c r="G2" s="41" t="s">
        <v>382</v>
      </c>
      <c r="H2" s="41" t="s">
        <v>383</v>
      </c>
      <c r="I2" s="40" t="s">
        <v>384</v>
      </c>
      <c r="J2" s="39" t="s">
        <v>385</v>
      </c>
      <c r="K2" s="38" t="s">
        <v>405</v>
      </c>
      <c r="L2" s="37"/>
      <c r="M2" s="36" t="s">
        <v>406</v>
      </c>
      <c r="N2" s="35" t="s">
        <v>407</v>
      </c>
      <c r="O2" s="35" t="s">
        <v>408</v>
      </c>
      <c r="P2" s="35" t="s">
        <v>409</v>
      </c>
      <c r="Q2" s="35" t="s">
        <v>410</v>
      </c>
      <c r="R2" s="34" t="s">
        <v>411</v>
      </c>
      <c r="S2" s="34" t="s">
        <v>412</v>
      </c>
    </row>
    <row r="3" spans="1:21" ht="45" x14ac:dyDescent="0.4">
      <c r="A3" s="28">
        <v>1</v>
      </c>
      <c r="B3" s="28" t="s">
        <v>388</v>
      </c>
      <c r="C3" s="32" t="s">
        <v>389</v>
      </c>
      <c r="D3" s="32" t="s">
        <v>400</v>
      </c>
      <c r="E3" s="32" t="s">
        <v>470</v>
      </c>
      <c r="F3" s="31">
        <v>2062</v>
      </c>
      <c r="G3" s="30">
        <v>46211.781805555554</v>
      </c>
      <c r="H3" s="32" t="s">
        <v>471</v>
      </c>
      <c r="I3" s="28" t="s">
        <v>391</v>
      </c>
      <c r="J3" s="28" t="s">
        <v>392</v>
      </c>
      <c r="K3" s="49" t="s">
        <v>423</v>
      </c>
      <c r="L3" s="28" t="s">
        <v>472</v>
      </c>
      <c r="U3" s="27" t="str">
        <f t="shared" ref="U3:U7" si="0">SUBSTITUTE(SUBSTITUTE(D3&amp;"/"&amp;E3,"//","/"),"./webbroker3.war/",)</f>
        <v>WEB-INF/classes/webbroker3/web/beans/pc/accinfo/WEB3PcAccInfoMfaPskRegistCompleteBean.class</v>
      </c>
    </row>
    <row r="4" spans="1:21" ht="45" x14ac:dyDescent="0.4">
      <c r="A4" s="28">
        <v>2</v>
      </c>
      <c r="B4" s="28" t="s">
        <v>388</v>
      </c>
      <c r="C4" s="32" t="s">
        <v>389</v>
      </c>
      <c r="D4" s="32" t="s">
        <v>396</v>
      </c>
      <c r="E4" s="32" t="s">
        <v>397</v>
      </c>
      <c r="F4" s="31">
        <v>117586</v>
      </c>
      <c r="G4" s="30">
        <v>46211.781805555554</v>
      </c>
      <c r="H4" s="32" t="s">
        <v>471</v>
      </c>
      <c r="I4" s="28" t="s">
        <v>391</v>
      </c>
      <c r="J4" s="28" t="s">
        <v>392</v>
      </c>
      <c r="K4" s="49" t="s">
        <v>423</v>
      </c>
      <c r="L4" s="28" t="s">
        <v>472</v>
      </c>
      <c r="U4" s="27" t="str">
        <f t="shared" si="0"/>
        <v>WEB-INF/classes/webbroker3/web/define/CodeValueConst.class</v>
      </c>
    </row>
    <row r="5" spans="1:21" ht="45" x14ac:dyDescent="0.4">
      <c r="A5" s="28">
        <v>3</v>
      </c>
      <c r="B5" s="28" t="s">
        <v>388</v>
      </c>
      <c r="C5" s="32" t="s">
        <v>389</v>
      </c>
      <c r="D5" s="32" t="s">
        <v>398</v>
      </c>
      <c r="E5" s="32" t="s">
        <v>473</v>
      </c>
      <c r="F5" s="31">
        <v>1562</v>
      </c>
      <c r="G5" s="30">
        <v>45937.653217592589</v>
      </c>
      <c r="H5" s="32" t="s">
        <v>474</v>
      </c>
      <c r="I5" s="28" t="s">
        <v>391</v>
      </c>
      <c r="J5" s="28" t="s">
        <v>392</v>
      </c>
      <c r="K5" s="49" t="s">
        <v>423</v>
      </c>
      <c r="L5" s="28" t="s">
        <v>472</v>
      </c>
      <c r="U5" s="27" t="str">
        <f t="shared" si="0"/>
        <v>WEB-INF/classes/webbroker3/web/beans/WEB3XTradeSessionUpdate0FEqBean.class</v>
      </c>
    </row>
    <row r="6" spans="1:21" ht="30" x14ac:dyDescent="0.4">
      <c r="A6" s="28">
        <v>4</v>
      </c>
      <c r="B6" s="28" t="s">
        <v>388</v>
      </c>
      <c r="C6" s="32" t="s">
        <v>389</v>
      </c>
      <c r="D6" s="32" t="s">
        <v>396</v>
      </c>
      <c r="E6" s="32" t="s">
        <v>427</v>
      </c>
      <c r="F6" s="31">
        <v>3311</v>
      </c>
      <c r="G6" s="30">
        <v>45937.653217592589</v>
      </c>
      <c r="H6" s="28" t="s">
        <v>474</v>
      </c>
      <c r="I6" s="28" t="s">
        <v>391</v>
      </c>
      <c r="J6" s="28" t="s">
        <v>392</v>
      </c>
      <c r="K6" s="49" t="s">
        <v>423</v>
      </c>
      <c r="L6" s="28" t="s">
        <v>472</v>
      </c>
      <c r="U6" s="27" t="str">
        <f t="shared" si="0"/>
        <v>WEB-INF/classes/webbroker3/web/define/AA_JSPFileNameConst.class</v>
      </c>
    </row>
    <row r="7" spans="1:21" ht="45" x14ac:dyDescent="0.4">
      <c r="A7" s="28">
        <v>5</v>
      </c>
      <c r="B7" s="28" t="s">
        <v>388</v>
      </c>
      <c r="C7" s="32" t="s">
        <v>389</v>
      </c>
      <c r="D7" s="32" t="s">
        <v>475</v>
      </c>
      <c r="E7" s="32" t="s">
        <v>399</v>
      </c>
      <c r="F7" s="31">
        <v>778230</v>
      </c>
      <c r="G7" s="30">
        <v>45937.653217592589</v>
      </c>
      <c r="H7" s="32" t="s">
        <v>474</v>
      </c>
      <c r="I7" s="28" t="s">
        <v>391</v>
      </c>
      <c r="J7" s="28" t="s">
        <v>392</v>
      </c>
      <c r="K7" s="49" t="s">
        <v>423</v>
      </c>
      <c r="L7" s="28" t="s">
        <v>472</v>
      </c>
      <c r="U7" s="27" t="str">
        <f t="shared" si="0"/>
        <v>WEB-INF/src/webbroker3/web/beans/application.xml</v>
      </c>
    </row>
    <row r="8" spans="1:21" x14ac:dyDescent="0.4">
      <c r="K8" s="49"/>
    </row>
    <row r="9" spans="1:21" x14ac:dyDescent="0.4">
      <c r="K9" s="49"/>
    </row>
    <row r="10" spans="1:21" x14ac:dyDescent="0.4">
      <c r="K10" s="49"/>
    </row>
    <row r="11" spans="1:21" x14ac:dyDescent="0.4">
      <c r="K11" s="49"/>
    </row>
    <row r="12" spans="1:21" x14ac:dyDescent="0.4">
      <c r="K12" s="49"/>
    </row>
    <row r="13" spans="1:21" x14ac:dyDescent="0.4">
      <c r="K13" s="49"/>
    </row>
    <row r="14" spans="1:21" x14ac:dyDescent="0.4">
      <c r="K14" s="49"/>
    </row>
    <row r="15" spans="1:21" x14ac:dyDescent="0.4">
      <c r="H15" s="32"/>
      <c r="K15" s="49"/>
    </row>
    <row r="16" spans="1:21" x14ac:dyDescent="0.4">
      <c r="H16" s="32"/>
      <c r="K16" s="49"/>
    </row>
    <row r="17" spans="11:11" x14ac:dyDescent="0.4">
      <c r="K17" s="49"/>
    </row>
    <row r="18" spans="11:11" x14ac:dyDescent="0.4">
      <c r="K18" s="49"/>
    </row>
    <row r="19" spans="11:11" x14ac:dyDescent="0.4">
      <c r="K19" s="49"/>
    </row>
    <row r="20" spans="11:11" x14ac:dyDescent="0.4">
      <c r="K20" s="49"/>
    </row>
    <row r="21" spans="11:11" x14ac:dyDescent="0.4">
      <c r="K21" s="49"/>
    </row>
    <row r="22" spans="11:11" x14ac:dyDescent="0.4">
      <c r="K22" s="49"/>
    </row>
    <row r="23" spans="11:11" x14ac:dyDescent="0.4">
      <c r="K23" s="49"/>
    </row>
    <row r="24" spans="11:11" x14ac:dyDescent="0.4">
      <c r="K24" s="49"/>
    </row>
    <row r="25" spans="11:11" x14ac:dyDescent="0.4">
      <c r="K25" s="49"/>
    </row>
    <row r="26" spans="11:11" x14ac:dyDescent="0.4">
      <c r="K26" s="49"/>
    </row>
    <row r="27" spans="11:11" x14ac:dyDescent="0.4">
      <c r="K27" s="49"/>
    </row>
    <row r="28" spans="11:11" x14ac:dyDescent="0.4">
      <c r="K28" s="49"/>
    </row>
  </sheetData>
  <dataConsolidate/>
  <phoneticPr fontId="5"/>
  <conditionalFormatting sqref="A3:J1048576">
    <cfRule type="expression" dxfId="0" priority="1">
      <formula>AND(OR($J3="通常",$J3=""),OR($K3="90",$K3="P0"),OR($B3="BATCH_WOLF",$B3="BATCH_HULFT"),$C3="/mq1v/wbrk3[wb3plate]/")</formula>
    </cfRule>
  </conditionalFormatting>
  <dataValidations count="1">
    <dataValidation type="list" allowBlank="1" showInputMessage="1" showErrorMessage="1" sqref="O3:O1048576" xr:uid="{B921179D-A4A0-4B38-A8DD-4D5E72FE0271}">
      <formula1>UP区分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horizontalDpi="300" verticalDpi="0" r:id="rId1"/>
  <headerFooter>
    <oddHeader>&amp;L&amp;F&amp;C&amp;A&amp;R&amp;D</oddHeader>
    <oddFooter>&amp;C&amp;P / &amp;N&amp;R大和総研ビジネス・イノベーション
金融システム開発第一部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まとめ</vt:lpstr>
      <vt:lpstr>wb4_20250810_pr</vt:lpstr>
      <vt:lpstr>内藤証券</vt:lpstr>
      <vt:lpstr>対面共同</vt:lpstr>
      <vt:lpstr>スマートプラス</vt:lpstr>
      <vt:lpstr>第一生命保険</vt:lpstr>
      <vt:lpstr>大和コネクト証券</vt:lpstr>
      <vt:lpstr>セゾン投信</vt:lpstr>
      <vt:lpstr>マネックス証券</vt:lpstr>
      <vt:lpstr>リテラ・クレア証券対面ネット</vt:lpstr>
      <vt:lpstr>SBIネオトレード証券</vt:lpstr>
      <vt:lpstr>OKB証券</vt:lpstr>
      <vt:lpstr>安藤証券</vt:lpstr>
      <vt:lpstr>フィデリティ証券</vt:lpstr>
      <vt:lpstr>リッチWEB</vt:lpstr>
    </vt:vector>
  </TitlesOfParts>
  <Company>Daiwa Institute of Research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DIR-BI金融システム開発第一部 飯田雅子</dc:creator>
  <cp:lastModifiedBy>スワンイー アウン/DIR金融フロントシステム第一部</cp:lastModifiedBy>
  <dcterms:created xsi:type="dcterms:W3CDTF">2020-11-09T08:33:32Z</dcterms:created>
  <dcterms:modified xsi:type="dcterms:W3CDTF">2026-10-19T09:14:41Z</dcterms:modified>
</cp:coreProperties>
</file>