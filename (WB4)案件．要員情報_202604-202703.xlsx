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mc:AlternateContent xmlns:mc="http://schemas.openxmlformats.org/markup-compatibility/2006">
    <mc:Choice Requires="x15">
      <x15ac:absPath xmlns:x15ac="http://schemas.microsoft.com/office/spreadsheetml/2010/11/ac" url="\\sys.dir.co.jp\document\部室別エリア\B50_金融フロントシステム第一部\PUBLIC\パートナー\DAT\SS_ALL\09 Weekly Report\(WB4)週次報告_20260723~0729\"/>
    </mc:Choice>
  </mc:AlternateContent>
  <xr:revisionPtr revIDLastSave="0" documentId="13_ncr:1_{4165D069-4135-4F24-B060-49493F35B72C}" xr6:coauthVersionLast="47" xr6:coauthVersionMax="47" xr10:uidLastSave="{00000000-0000-0000-0000-000000000000}"/>
  <bookViews>
    <workbookView xWindow="-120" yWindow="-120" windowWidth="29040" windowHeight="15720" tabRatio="825" activeTab="3" xr2:uid="{00000000-000D-0000-FFFF-FFFF00000000}"/>
  </bookViews>
  <sheets>
    <sheet name="説明" sheetId="11" r:id="rId1"/>
    <sheet name="案件．要員情報まとめ" sheetId="10" r:id="rId2"/>
    <sheet name="案件．要員情報" sheetId="1" r:id="rId3"/>
    <sheet name="週次報告" sheetId="6" r:id="rId4"/>
    <sheet name="休暇" sheetId="8" r:id="rId5"/>
    <sheet name="祝日" sheetId="7" r:id="rId6"/>
    <sheet name="DIRタスク対応の人月まとめ" sheetId="12" r:id="rId7"/>
    <sheet name="Not Available" sheetId="4" r:id="rId8"/>
  </sheets>
  <externalReferences>
    <externalReference r:id="rId9"/>
  </externalReferences>
  <definedNames>
    <definedName name="_xlnm._FilterDatabase" localSheetId="2" hidden="1">'案件．要員情報'!$A$1:$CZ$168</definedName>
    <definedName name="_xlnm._FilterDatabase" localSheetId="1" hidden="1">'案件．要員情報まとめ'!$A$1:$AA$167</definedName>
    <definedName name="_xlnm._FilterDatabase" localSheetId="3" hidden="1">週次報告!$A$4:$J$425</definedName>
    <definedName name="Division" localSheetId="6">'[1]Not Available'!$B$2:$B$7</definedName>
    <definedName name="Division">'Not Available'!$B$2:$B$7</definedName>
    <definedName name="_xlnm.Print_Area" localSheetId="6">DIRタスク対応の人月まとめ!$A$1:$Q$35</definedName>
    <definedName name="Status" localSheetId="6">'[1]Not Available'!$B$10:$B$13</definedName>
    <definedName name="Status" localSheetId="1">'Not Available'!$B$10:$B$13</definedName>
    <definedName name="Status">'Not Available'!$B$10:$B$13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L199" i="1" l="1"/>
  <c r="AM179" i="1"/>
  <c r="AL179" i="1"/>
  <c r="AK179" i="1"/>
  <c r="AJ179" i="1"/>
  <c r="AI179" i="1"/>
  <c r="AH179" i="1"/>
  <c r="AH183" i="1"/>
  <c r="AK177" i="1"/>
  <c r="AJ177" i="1"/>
  <c r="AI177" i="1"/>
  <c r="AH177" i="1"/>
  <c r="AM175" i="1"/>
  <c r="AL175" i="1"/>
  <c r="AK175" i="1"/>
  <c r="AJ175" i="1"/>
  <c r="AI175" i="1"/>
  <c r="AH175" i="1"/>
  <c r="I167" i="1"/>
  <c r="H167" i="1"/>
  <c r="AL42" i="1"/>
  <c r="AK42" i="1"/>
  <c r="AI42" i="1"/>
  <c r="AH42" i="1"/>
  <c r="AM50" i="1"/>
  <c r="AI50" i="1"/>
  <c r="AH50" i="1"/>
  <c r="AI82" i="1"/>
  <c r="AH82" i="1"/>
  <c r="AM76" i="1"/>
  <c r="AJ76" i="1"/>
  <c r="AH76" i="1"/>
  <c r="AK78" i="1"/>
  <c r="AH78" i="1"/>
  <c r="AJ74" i="1"/>
  <c r="AH74" i="1"/>
  <c r="AK72" i="1"/>
  <c r="AI72" i="1"/>
  <c r="AH72" i="1"/>
  <c r="AM70" i="1"/>
  <c r="AH70" i="1"/>
  <c r="AM80" i="1"/>
  <c r="AJ80" i="1"/>
  <c r="AH80" i="1"/>
  <c r="AM64" i="1"/>
  <c r="AJ64" i="1"/>
  <c r="AI64" i="1"/>
  <c r="AH64" i="1"/>
  <c r="AH60" i="1"/>
  <c r="AM8" i="1"/>
  <c r="AK8" i="1"/>
  <c r="AM82" i="1"/>
  <c r="AL82" i="1"/>
  <c r="AK82" i="1"/>
  <c r="AJ82" i="1"/>
  <c r="AM81" i="1"/>
  <c r="AL81" i="1"/>
  <c r="AK81" i="1"/>
  <c r="H81" i="1" s="1"/>
  <c r="AJ81" i="1"/>
  <c r="AI81" i="1"/>
  <c r="AH81" i="1"/>
  <c r="AL41" i="1"/>
  <c r="AK41" i="1"/>
  <c r="AM49" i="1"/>
  <c r="AM59" i="1"/>
  <c r="AL59" i="1"/>
  <c r="AK59" i="1"/>
  <c r="AJ59" i="1"/>
  <c r="AI49" i="1"/>
  <c r="AI41" i="1"/>
  <c r="AL39" i="1"/>
  <c r="AL177" i="1"/>
  <c r="AM199" i="1"/>
  <c r="AK199" i="1"/>
  <c r="AJ199" i="1"/>
  <c r="AH199" i="1"/>
  <c r="I198" i="1" s="1"/>
  <c r="AJ79" i="1"/>
  <c r="AI79" i="1"/>
  <c r="AL77" i="1"/>
  <c r="AM75" i="1"/>
  <c r="AJ75" i="1"/>
  <c r="AH79" i="1"/>
  <c r="AH75" i="1"/>
  <c r="AH63" i="1"/>
  <c r="AH51" i="1"/>
  <c r="AH49" i="1"/>
  <c r="AH41" i="1"/>
  <c r="AH39" i="1"/>
  <c r="AM7" i="1"/>
  <c r="AL7" i="1"/>
  <c r="AK7" i="1"/>
  <c r="AJ7" i="1"/>
  <c r="AJ167" i="1" s="1"/>
  <c r="AI7" i="1"/>
  <c r="AH77" i="1"/>
  <c r="H77" i="1" s="1"/>
  <c r="I77" i="1"/>
  <c r="AI70" i="1"/>
  <c r="AI66" i="1"/>
  <c r="AL66" i="1"/>
  <c r="AH66" i="1"/>
  <c r="AM60" i="1"/>
  <c r="AJ60" i="1"/>
  <c r="AI60" i="1"/>
  <c r="AJ52" i="1"/>
  <c r="AH52" i="1"/>
  <c r="AL40" i="1"/>
  <c r="AH40" i="1"/>
  <c r="AM39" i="1"/>
  <c r="I79" i="1"/>
  <c r="H79" i="1"/>
  <c r="I75" i="1"/>
  <c r="AH167" i="1"/>
  <c r="AL80" i="1"/>
  <c r="AK80" i="1"/>
  <c r="AI80" i="1"/>
  <c r="AM79" i="1"/>
  <c r="AL79" i="1"/>
  <c r="AK79" i="1"/>
  <c r="AM78" i="1"/>
  <c r="AL78" i="1"/>
  <c r="AJ78" i="1"/>
  <c r="AI78" i="1"/>
  <c r="AM77" i="1"/>
  <c r="AK77" i="1"/>
  <c r="AJ77" i="1"/>
  <c r="AI77" i="1"/>
  <c r="AI167" i="1" s="1"/>
  <c r="AL76" i="1"/>
  <c r="AK76" i="1"/>
  <c r="AJ168" i="1"/>
  <c r="AI76" i="1"/>
  <c r="AL75" i="1"/>
  <c r="AK75" i="1"/>
  <c r="AI75" i="1"/>
  <c r="AH200" i="1"/>
  <c r="AM198" i="1"/>
  <c r="AI198" i="1"/>
  <c r="AH182" i="1"/>
  <c r="AM200" i="1"/>
  <c r="AL200" i="1"/>
  <c r="AK200" i="1"/>
  <c r="AJ200" i="1"/>
  <c r="H200" i="1" s="1"/>
  <c r="AI200" i="1"/>
  <c r="I73" i="1"/>
  <c r="H73" i="1"/>
  <c r="I71" i="1"/>
  <c r="H71" i="1"/>
  <c r="I69" i="1"/>
  <c r="H69" i="1"/>
  <c r="AM69" i="1"/>
  <c r="AI71" i="1"/>
  <c r="AK73" i="1"/>
  <c r="AJ73" i="1"/>
  <c r="AK71" i="1"/>
  <c r="AH73" i="1"/>
  <c r="AH71" i="1"/>
  <c r="AH69" i="1"/>
  <c r="AM67" i="1"/>
  <c r="AJ67" i="1"/>
  <c r="AJ63" i="1"/>
  <c r="AJ51" i="1"/>
  <c r="AJ57" i="1"/>
  <c r="AM57" i="1"/>
  <c r="AM55" i="1"/>
  <c r="AJ55" i="1"/>
  <c r="AM53" i="1"/>
  <c r="AI53" i="1"/>
  <c r="AM177" i="1"/>
  <c r="AM58" i="1"/>
  <c r="AJ58" i="1"/>
  <c r="AH58" i="1"/>
  <c r="AK74" i="1"/>
  <c r="AM68" i="1"/>
  <c r="AJ68" i="1"/>
  <c r="AH68" i="1"/>
  <c r="AM56" i="1"/>
  <c r="AJ56" i="1"/>
  <c r="AH56" i="1"/>
  <c r="AL8" i="1"/>
  <c r="AM52" i="1"/>
  <c r="AK40" i="1"/>
  <c r="AI62" i="1"/>
  <c r="AH62" i="1"/>
  <c r="I61" i="1" s="1"/>
  <c r="AM74" i="1"/>
  <c r="AL74" i="1"/>
  <c r="AI74" i="1"/>
  <c r="AM73" i="1"/>
  <c r="AL73" i="1"/>
  <c r="AI73" i="1"/>
  <c r="AM72" i="1"/>
  <c r="AL72" i="1"/>
  <c r="AL168" i="1" s="1"/>
  <c r="AJ72" i="1"/>
  <c r="AM71" i="1"/>
  <c r="AL71" i="1"/>
  <c r="AJ71" i="1"/>
  <c r="AL70" i="1"/>
  <c r="AK70" i="1"/>
  <c r="AJ70" i="1"/>
  <c r="AL69" i="1"/>
  <c r="AK69" i="1"/>
  <c r="AJ69" i="1"/>
  <c r="AI69" i="1"/>
  <c r="AM176" i="1"/>
  <c r="AL176" i="1"/>
  <c r="AK176" i="1"/>
  <c r="AJ176" i="1"/>
  <c r="AI176" i="1"/>
  <c r="AH176" i="1"/>
  <c r="AM178" i="1"/>
  <c r="AL178" i="1"/>
  <c r="AK178" i="1"/>
  <c r="AJ178" i="1"/>
  <c r="AI178" i="1"/>
  <c r="AH178" i="1"/>
  <c r="AM174" i="1"/>
  <c r="AL174" i="1"/>
  <c r="AK174" i="1"/>
  <c r="AJ174" i="1"/>
  <c r="H174" i="1" s="1"/>
  <c r="AI174" i="1"/>
  <c r="AH174" i="1"/>
  <c r="I67" i="1"/>
  <c r="H67" i="1"/>
  <c r="I65" i="1"/>
  <c r="H65" i="1"/>
  <c r="I63" i="1"/>
  <c r="H63" i="1"/>
  <c r="H61" i="1"/>
  <c r="I59" i="1"/>
  <c r="H59" i="1"/>
  <c r="I57" i="1"/>
  <c r="H57" i="1"/>
  <c r="I55" i="1"/>
  <c r="H55" i="1"/>
  <c r="I53" i="1"/>
  <c r="H53" i="1"/>
  <c r="AL65" i="1"/>
  <c r="AI65" i="1"/>
  <c r="AI63" i="1"/>
  <c r="AI61" i="1"/>
  <c r="AM51" i="1"/>
  <c r="AK39" i="1"/>
  <c r="AH67" i="1"/>
  <c r="AH65" i="1"/>
  <c r="AH61" i="1"/>
  <c r="AH59" i="1"/>
  <c r="AH57" i="1"/>
  <c r="AH55" i="1"/>
  <c r="AH53" i="1"/>
  <c r="AM201" i="1"/>
  <c r="AK201" i="1"/>
  <c r="AJ201" i="1"/>
  <c r="AI201" i="1"/>
  <c r="AI199" i="1"/>
  <c r="I174" i="1"/>
  <c r="AM54" i="1"/>
  <c r="AI54" i="1"/>
  <c r="AH54" i="1"/>
  <c r="AH186" i="1"/>
  <c r="AM168" i="1"/>
  <c r="AK168" i="1"/>
  <c r="AI168" i="1"/>
  <c r="AH168" i="1"/>
  <c r="AL167" i="1"/>
  <c r="AL68" i="1"/>
  <c r="AK68" i="1"/>
  <c r="AI68" i="1"/>
  <c r="AL67" i="1"/>
  <c r="AK67" i="1"/>
  <c r="AI67" i="1"/>
  <c r="AM66" i="1"/>
  <c r="AK66" i="1"/>
  <c r="AJ66" i="1"/>
  <c r="AM65" i="1"/>
  <c r="AK65" i="1"/>
  <c r="AJ65" i="1"/>
  <c r="AL64" i="1"/>
  <c r="AK64" i="1"/>
  <c r="AM63" i="1"/>
  <c r="AL63" i="1"/>
  <c r="AK63" i="1"/>
  <c r="AM62" i="1"/>
  <c r="AL62" i="1"/>
  <c r="AK62" i="1"/>
  <c r="AJ62" i="1"/>
  <c r="AM61" i="1"/>
  <c r="AL61" i="1"/>
  <c r="AK61" i="1"/>
  <c r="AJ61" i="1"/>
  <c r="AL60" i="1"/>
  <c r="AK60" i="1"/>
  <c r="AI59" i="1"/>
  <c r="AL58" i="1"/>
  <c r="AK58" i="1"/>
  <c r="AI58" i="1"/>
  <c r="AL57" i="1"/>
  <c r="AK57" i="1"/>
  <c r="AI57" i="1"/>
  <c r="AL56" i="1"/>
  <c r="AK56" i="1"/>
  <c r="AI56" i="1"/>
  <c r="AL55" i="1"/>
  <c r="AK55" i="1"/>
  <c r="AI55" i="1"/>
  <c r="AL54" i="1"/>
  <c r="AK54" i="1"/>
  <c r="AJ54" i="1"/>
  <c r="AL53" i="1"/>
  <c r="AK53" i="1"/>
  <c r="AJ53" i="1"/>
  <c r="I206" i="1"/>
  <c r="H206" i="1"/>
  <c r="I204" i="1"/>
  <c r="H204" i="1"/>
  <c r="I202" i="1"/>
  <c r="H202" i="1"/>
  <c r="I200" i="1"/>
  <c r="H198" i="1"/>
  <c r="I184" i="1"/>
  <c r="H184" i="1"/>
  <c r="I182" i="1"/>
  <c r="H182" i="1"/>
  <c r="I180" i="1"/>
  <c r="H180" i="1"/>
  <c r="I178" i="1"/>
  <c r="H178" i="1"/>
  <c r="I176" i="1"/>
  <c r="H176" i="1"/>
  <c r="I51" i="1"/>
  <c r="H51" i="1"/>
  <c r="I49" i="1"/>
  <c r="H49" i="1"/>
  <c r="I47" i="1"/>
  <c r="H47" i="1"/>
  <c r="I45" i="1"/>
  <c r="H45" i="1"/>
  <c r="I43" i="1"/>
  <c r="H43" i="1"/>
  <c r="I41" i="1"/>
  <c r="H41" i="1"/>
  <c r="I39" i="1"/>
  <c r="H39" i="1"/>
  <c r="I37" i="1"/>
  <c r="H37" i="1"/>
  <c r="I35" i="1"/>
  <c r="H35" i="1"/>
  <c r="I33" i="1"/>
  <c r="H33" i="1"/>
  <c r="I31" i="1"/>
  <c r="H31" i="1"/>
  <c r="I29" i="1"/>
  <c r="H29" i="1"/>
  <c r="I27" i="1"/>
  <c r="H27" i="1"/>
  <c r="I25" i="1"/>
  <c r="H25" i="1"/>
  <c r="I23" i="1"/>
  <c r="H23" i="1"/>
  <c r="I21" i="1"/>
  <c r="H21" i="1"/>
  <c r="I19" i="1"/>
  <c r="H19" i="1"/>
  <c r="I17" i="1"/>
  <c r="H17" i="1"/>
  <c r="I15" i="1"/>
  <c r="H15" i="1"/>
  <c r="I13" i="1"/>
  <c r="H13" i="1"/>
  <c r="I7" i="1"/>
  <c r="AD199" i="1"/>
  <c r="AD175" i="1"/>
  <c r="AF219" i="1"/>
  <c r="AC206" i="1"/>
  <c r="AG200" i="1"/>
  <c r="AF200" i="1"/>
  <c r="AE200" i="1"/>
  <c r="AD200" i="1"/>
  <c r="AC200" i="1"/>
  <c r="AB200" i="1"/>
  <c r="AG198" i="1"/>
  <c r="AE198" i="1"/>
  <c r="AC198" i="1"/>
  <c r="AB198" i="1"/>
  <c r="AB182" i="1"/>
  <c r="AG51" i="1"/>
  <c r="AD51" i="1"/>
  <c r="AG49" i="1"/>
  <c r="AB49" i="1"/>
  <c r="AC49" i="1"/>
  <c r="AD47" i="1"/>
  <c r="AG47" i="1"/>
  <c r="AD43" i="1"/>
  <c r="AB43" i="1"/>
  <c r="AE41" i="1"/>
  <c r="AC41" i="1"/>
  <c r="AF41" i="1"/>
  <c r="AB41" i="1"/>
  <c r="AD39" i="1"/>
  <c r="AB39" i="1"/>
  <c r="AD37" i="1"/>
  <c r="AG37" i="1"/>
  <c r="AB37" i="1"/>
  <c r="AG13" i="1"/>
  <c r="AD13" i="1"/>
  <c r="AF7" i="1"/>
  <c r="AD7" i="1"/>
  <c r="I81" i="1" l="1"/>
  <c r="H75" i="1"/>
  <c r="AK167" i="1"/>
  <c r="AM167" i="1"/>
  <c r="H7" i="1"/>
  <c r="AL201" i="1"/>
  <c r="AH201" i="1"/>
  <c r="AD198" i="1"/>
  <c r="AF39" i="1"/>
  <c r="AE39" i="1"/>
  <c r="AG7" i="1"/>
  <c r="AG201" i="1"/>
  <c r="AF201" i="1"/>
  <c r="AE201" i="1"/>
  <c r="AD201" i="1"/>
  <c r="AC201" i="1"/>
  <c r="AB201" i="1"/>
  <c r="AG185" i="1"/>
  <c r="AD185" i="1"/>
  <c r="AB183" i="1"/>
  <c r="AG177" i="1"/>
  <c r="AF177" i="1"/>
  <c r="AE177" i="1"/>
  <c r="AD177" i="1"/>
  <c r="AC177" i="1"/>
  <c r="AB177" i="1"/>
  <c r="AG179" i="1"/>
  <c r="AF179" i="1"/>
  <c r="AE179" i="1"/>
  <c r="AD179" i="1"/>
  <c r="AC179" i="1"/>
  <c r="AB179" i="1"/>
  <c r="AG175" i="1"/>
  <c r="AF175" i="1"/>
  <c r="AE175" i="1"/>
  <c r="AC175" i="1"/>
  <c r="AB175" i="1"/>
  <c r="AF42" i="1"/>
  <c r="AE42" i="1"/>
  <c r="AC42" i="1"/>
  <c r="AB42" i="1"/>
  <c r="AG50" i="1"/>
  <c r="AC50" i="1"/>
  <c r="AB50" i="1"/>
  <c r="AG8" i="1"/>
  <c r="AD8" i="1"/>
  <c r="AC8" i="1"/>
  <c r="AB51" i="1"/>
  <c r="AG52" i="1"/>
  <c r="AD52" i="1"/>
  <c r="AB52" i="1"/>
  <c r="AF40" i="1"/>
  <c r="AE40" i="1"/>
  <c r="AD40" i="1"/>
  <c r="AB14" i="1"/>
  <c r="AM207" i="1"/>
  <c r="AL207" i="1"/>
  <c r="AK207" i="1"/>
  <c r="AJ207" i="1"/>
  <c r="AI207" i="1"/>
  <c r="AH207" i="1"/>
  <c r="AM206" i="1"/>
  <c r="AL206" i="1"/>
  <c r="AK206" i="1"/>
  <c r="AJ206" i="1"/>
  <c r="AI206" i="1"/>
  <c r="AH206" i="1"/>
  <c r="AM205" i="1"/>
  <c r="AL205" i="1"/>
  <c r="AK205" i="1"/>
  <c r="AJ205" i="1"/>
  <c r="AI205" i="1"/>
  <c r="AH205" i="1"/>
  <c r="AM204" i="1"/>
  <c r="AL204" i="1"/>
  <c r="AK204" i="1"/>
  <c r="AJ204" i="1"/>
  <c r="AI204" i="1"/>
  <c r="AH204" i="1"/>
  <c r="AM203" i="1"/>
  <c r="AL203" i="1"/>
  <c r="AK203" i="1"/>
  <c r="AJ203" i="1"/>
  <c r="AI203" i="1"/>
  <c r="AH203" i="1"/>
  <c r="AM202" i="1"/>
  <c r="AL202" i="1"/>
  <c r="AK202" i="1"/>
  <c r="AJ202" i="1"/>
  <c r="AI202" i="1"/>
  <c r="AH202" i="1"/>
  <c r="AL198" i="1"/>
  <c r="AK198" i="1"/>
  <c r="AJ198" i="1"/>
  <c r="AH198" i="1"/>
  <c r="AM187" i="1"/>
  <c r="AL187" i="1"/>
  <c r="AK187" i="1"/>
  <c r="AJ187" i="1"/>
  <c r="AI187" i="1"/>
  <c r="AH187" i="1"/>
  <c r="AM186" i="1"/>
  <c r="AL186" i="1"/>
  <c r="AK186" i="1"/>
  <c r="AJ186" i="1"/>
  <c r="AI186" i="1"/>
  <c r="AM185" i="1"/>
  <c r="AL185" i="1"/>
  <c r="AK185" i="1"/>
  <c r="AJ185" i="1"/>
  <c r="AI185" i="1"/>
  <c r="AH185" i="1"/>
  <c r="AM184" i="1"/>
  <c r="AL184" i="1"/>
  <c r="AK184" i="1"/>
  <c r="AJ184" i="1"/>
  <c r="AI184" i="1"/>
  <c r="AH184" i="1"/>
  <c r="AM183" i="1"/>
  <c r="AL183" i="1"/>
  <c r="AK183" i="1"/>
  <c r="AJ183" i="1"/>
  <c r="AI183" i="1"/>
  <c r="AM182" i="1"/>
  <c r="AL182" i="1"/>
  <c r="AK182" i="1"/>
  <c r="AJ182" i="1"/>
  <c r="AI182" i="1"/>
  <c r="AM181" i="1"/>
  <c r="AL181" i="1"/>
  <c r="AK181" i="1"/>
  <c r="AJ181" i="1"/>
  <c r="AI181" i="1"/>
  <c r="AH181" i="1"/>
  <c r="AM180" i="1"/>
  <c r="AL180" i="1"/>
  <c r="AK180" i="1"/>
  <c r="AJ180" i="1"/>
  <c r="AI180" i="1"/>
  <c r="AH180" i="1"/>
  <c r="CY52" i="1"/>
  <c r="CX52" i="1"/>
  <c r="CW52" i="1"/>
  <c r="CV52" i="1"/>
  <c r="CU52" i="1"/>
  <c r="CT52" i="1"/>
  <c r="CS52" i="1"/>
  <c r="CR52" i="1"/>
  <c r="CQ52" i="1"/>
  <c r="CP52" i="1"/>
  <c r="CO52" i="1"/>
  <c r="CN52" i="1"/>
  <c r="CM52" i="1"/>
  <c r="CL52" i="1"/>
  <c r="CK52" i="1"/>
  <c r="CJ52" i="1"/>
  <c r="CI52" i="1"/>
  <c r="CH52" i="1"/>
  <c r="CG52" i="1"/>
  <c r="CF52" i="1"/>
  <c r="CE52" i="1"/>
  <c r="CD52" i="1"/>
  <c r="CC52" i="1"/>
  <c r="CB52" i="1"/>
  <c r="CA52" i="1"/>
  <c r="BZ52" i="1"/>
  <c r="BY52" i="1"/>
  <c r="BX52" i="1"/>
  <c r="BW52" i="1"/>
  <c r="BV52" i="1"/>
  <c r="BU52" i="1"/>
  <c r="BT52" i="1"/>
  <c r="BS52" i="1"/>
  <c r="BR52" i="1"/>
  <c r="BQ52" i="1"/>
  <c r="BP52" i="1"/>
  <c r="BO52" i="1"/>
  <c r="BN52" i="1"/>
  <c r="BM52" i="1"/>
  <c r="BL52" i="1"/>
  <c r="BK52" i="1"/>
  <c r="BJ52" i="1"/>
  <c r="BI52" i="1"/>
  <c r="BH52" i="1"/>
  <c r="BG52" i="1"/>
  <c r="BF52" i="1"/>
  <c r="BE52" i="1"/>
  <c r="BD52" i="1"/>
  <c r="BC52" i="1"/>
  <c r="BB52" i="1"/>
  <c r="BA52" i="1"/>
  <c r="AZ52" i="1"/>
  <c r="AY52" i="1"/>
  <c r="AX52" i="1"/>
  <c r="AW52" i="1"/>
  <c r="AV52" i="1"/>
  <c r="AU52" i="1"/>
  <c r="AT52" i="1"/>
  <c r="AS52" i="1"/>
  <c r="AR52" i="1"/>
  <c r="AQ52" i="1"/>
  <c r="AP52" i="1"/>
  <c r="AO52" i="1"/>
  <c r="AN52" i="1"/>
  <c r="AL52" i="1"/>
  <c r="AK52" i="1"/>
  <c r="AI52" i="1"/>
  <c r="CY51" i="1"/>
  <c r="CX51" i="1"/>
  <c r="CW51" i="1"/>
  <c r="CV51" i="1"/>
  <c r="CU51" i="1"/>
  <c r="CT51" i="1"/>
  <c r="CS51" i="1"/>
  <c r="CR51" i="1"/>
  <c r="CQ51" i="1"/>
  <c r="CP51" i="1"/>
  <c r="CO51" i="1"/>
  <c r="CN51" i="1"/>
  <c r="CM51" i="1"/>
  <c r="CL51" i="1"/>
  <c r="CK51" i="1"/>
  <c r="CJ51" i="1"/>
  <c r="CI51" i="1"/>
  <c r="CH51" i="1"/>
  <c r="CG51" i="1"/>
  <c r="CF51" i="1"/>
  <c r="CE51" i="1"/>
  <c r="CD51" i="1"/>
  <c r="CC51" i="1"/>
  <c r="CB51" i="1"/>
  <c r="CA51" i="1"/>
  <c r="BZ51" i="1"/>
  <c r="BY51" i="1"/>
  <c r="BX51" i="1"/>
  <c r="BW51" i="1"/>
  <c r="BV51" i="1"/>
  <c r="BU51" i="1"/>
  <c r="BT51" i="1"/>
  <c r="BS51" i="1"/>
  <c r="BR51" i="1"/>
  <c r="BQ51" i="1"/>
  <c r="BP51" i="1"/>
  <c r="BO51" i="1"/>
  <c r="BN51" i="1"/>
  <c r="BM51" i="1"/>
  <c r="BL51" i="1"/>
  <c r="BK51" i="1"/>
  <c r="BJ51" i="1"/>
  <c r="BI51" i="1"/>
  <c r="BH51" i="1"/>
  <c r="BG51" i="1"/>
  <c r="BF51" i="1"/>
  <c r="BE51" i="1"/>
  <c r="BD51" i="1"/>
  <c r="BC51" i="1"/>
  <c r="BB51" i="1"/>
  <c r="BA51" i="1"/>
  <c r="AZ51" i="1"/>
  <c r="AY51" i="1"/>
  <c r="AX51" i="1"/>
  <c r="AW51" i="1"/>
  <c r="AV51" i="1"/>
  <c r="AU51" i="1"/>
  <c r="AT51" i="1"/>
  <c r="AS51" i="1"/>
  <c r="AR51" i="1"/>
  <c r="AQ51" i="1"/>
  <c r="AP51" i="1"/>
  <c r="AO51" i="1"/>
  <c r="AN51" i="1"/>
  <c r="AL51" i="1"/>
  <c r="AK51" i="1"/>
  <c r="AI51" i="1"/>
  <c r="AL50" i="1" l="1"/>
  <c r="AK50" i="1"/>
  <c r="AJ50" i="1"/>
  <c r="AL49" i="1"/>
  <c r="AK49" i="1"/>
  <c r="AJ49" i="1"/>
  <c r="AM48" i="1"/>
  <c r="AL48" i="1"/>
  <c r="AK48" i="1"/>
  <c r="AJ48" i="1"/>
  <c r="AI48" i="1"/>
  <c r="AH48" i="1"/>
  <c r="AM47" i="1"/>
  <c r="AL47" i="1"/>
  <c r="AK47" i="1"/>
  <c r="AJ47" i="1"/>
  <c r="AI47" i="1"/>
  <c r="AH47" i="1"/>
  <c r="AM46" i="1"/>
  <c r="AL46" i="1"/>
  <c r="AK46" i="1"/>
  <c r="AJ46" i="1"/>
  <c r="AI46" i="1"/>
  <c r="AH46" i="1"/>
  <c r="AM45" i="1"/>
  <c r="AL45" i="1"/>
  <c r="AK45" i="1"/>
  <c r="AJ45" i="1"/>
  <c r="AI45" i="1"/>
  <c r="AH45" i="1"/>
  <c r="AM44" i="1"/>
  <c r="AL44" i="1"/>
  <c r="AK44" i="1"/>
  <c r="AJ44" i="1"/>
  <c r="AI44" i="1"/>
  <c r="AH44" i="1"/>
  <c r="AM43" i="1"/>
  <c r="AL43" i="1"/>
  <c r="AK43" i="1"/>
  <c r="AJ43" i="1"/>
  <c r="AI43" i="1"/>
  <c r="AH43" i="1"/>
  <c r="AM42" i="1"/>
  <c r="AJ42" i="1"/>
  <c r="AM41" i="1"/>
  <c r="AJ41" i="1"/>
  <c r="AM40" i="1"/>
  <c r="AJ40" i="1"/>
  <c r="AI40" i="1"/>
  <c r="AJ39" i="1"/>
  <c r="AI39" i="1"/>
  <c r="AM38" i="1"/>
  <c r="AL38" i="1"/>
  <c r="AK38" i="1"/>
  <c r="AJ38" i="1"/>
  <c r="AI38" i="1"/>
  <c r="AH38" i="1"/>
  <c r="AM37" i="1"/>
  <c r="AL37" i="1"/>
  <c r="AK37" i="1"/>
  <c r="AJ37" i="1"/>
  <c r="AI37" i="1"/>
  <c r="AH37" i="1"/>
  <c r="AM36" i="1"/>
  <c r="AL36" i="1"/>
  <c r="AK36" i="1"/>
  <c r="AJ36" i="1"/>
  <c r="AI36" i="1"/>
  <c r="AH36" i="1"/>
  <c r="AM35" i="1"/>
  <c r="AL35" i="1"/>
  <c r="AK35" i="1"/>
  <c r="AJ35" i="1"/>
  <c r="AI35" i="1"/>
  <c r="AH35" i="1"/>
  <c r="AM34" i="1"/>
  <c r="AL34" i="1"/>
  <c r="AK34" i="1"/>
  <c r="AJ34" i="1"/>
  <c r="AI34" i="1"/>
  <c r="AH34" i="1"/>
  <c r="AM33" i="1"/>
  <c r="AL33" i="1"/>
  <c r="AK33" i="1"/>
  <c r="AJ33" i="1"/>
  <c r="AI33" i="1"/>
  <c r="AH33" i="1"/>
  <c r="AM32" i="1"/>
  <c r="AL32" i="1"/>
  <c r="AK32" i="1"/>
  <c r="AJ32" i="1"/>
  <c r="AI32" i="1"/>
  <c r="AH32" i="1"/>
  <c r="AM31" i="1"/>
  <c r="AL31" i="1"/>
  <c r="AK31" i="1"/>
  <c r="AJ31" i="1"/>
  <c r="AI31" i="1"/>
  <c r="AH31" i="1"/>
  <c r="AM30" i="1"/>
  <c r="AL30" i="1"/>
  <c r="AK30" i="1"/>
  <c r="AJ30" i="1"/>
  <c r="AI30" i="1"/>
  <c r="AH30" i="1"/>
  <c r="AM29" i="1"/>
  <c r="AL29" i="1"/>
  <c r="AK29" i="1"/>
  <c r="AJ29" i="1"/>
  <c r="AI29" i="1"/>
  <c r="AH29" i="1"/>
  <c r="AM28" i="1"/>
  <c r="AL28" i="1"/>
  <c r="AK28" i="1"/>
  <c r="AJ28" i="1"/>
  <c r="AI28" i="1"/>
  <c r="AH28" i="1"/>
  <c r="AM27" i="1"/>
  <c r="AL27" i="1"/>
  <c r="AK27" i="1"/>
  <c r="AJ27" i="1"/>
  <c r="AI27" i="1"/>
  <c r="AH27" i="1"/>
  <c r="AM26" i="1"/>
  <c r="AL26" i="1"/>
  <c r="AK26" i="1"/>
  <c r="AJ26" i="1"/>
  <c r="AI26" i="1"/>
  <c r="AH26" i="1"/>
  <c r="AM25" i="1"/>
  <c r="AL25" i="1"/>
  <c r="AK25" i="1"/>
  <c r="AJ25" i="1"/>
  <c r="AI25" i="1"/>
  <c r="AH25" i="1"/>
  <c r="AM24" i="1"/>
  <c r="AL24" i="1"/>
  <c r="AK24" i="1"/>
  <c r="AJ24" i="1"/>
  <c r="AI24" i="1"/>
  <c r="AH24" i="1"/>
  <c r="AM23" i="1"/>
  <c r="AL23" i="1"/>
  <c r="AK23" i="1"/>
  <c r="AJ23" i="1"/>
  <c r="AI23" i="1"/>
  <c r="AH23" i="1"/>
  <c r="AM22" i="1"/>
  <c r="AL22" i="1"/>
  <c r="AK22" i="1"/>
  <c r="AJ22" i="1"/>
  <c r="AI22" i="1"/>
  <c r="AH22" i="1"/>
  <c r="AM21" i="1"/>
  <c r="AL21" i="1"/>
  <c r="AK21" i="1"/>
  <c r="AJ21" i="1"/>
  <c r="AI21" i="1"/>
  <c r="AH21" i="1"/>
  <c r="AM20" i="1"/>
  <c r="AL20" i="1"/>
  <c r="AK20" i="1"/>
  <c r="AJ20" i="1"/>
  <c r="AI20" i="1"/>
  <c r="AH20" i="1"/>
  <c r="AM19" i="1"/>
  <c r="AL19" i="1"/>
  <c r="AK19" i="1"/>
  <c r="AJ19" i="1"/>
  <c r="AI19" i="1"/>
  <c r="AH19" i="1"/>
  <c r="AM18" i="1"/>
  <c r="AL18" i="1"/>
  <c r="AK18" i="1"/>
  <c r="AJ18" i="1"/>
  <c r="AI18" i="1"/>
  <c r="AH18" i="1"/>
  <c r="AM17" i="1"/>
  <c r="AL17" i="1"/>
  <c r="AK17" i="1"/>
  <c r="AJ17" i="1"/>
  <c r="AI17" i="1"/>
  <c r="AH17" i="1"/>
  <c r="AM16" i="1"/>
  <c r="AL16" i="1"/>
  <c r="AK16" i="1"/>
  <c r="AJ16" i="1"/>
  <c r="AI16" i="1"/>
  <c r="AH16" i="1"/>
  <c r="AM15" i="1"/>
  <c r="AL15" i="1"/>
  <c r="AK15" i="1"/>
  <c r="AJ15" i="1"/>
  <c r="AI15" i="1"/>
  <c r="AH15" i="1"/>
  <c r="AM14" i="1"/>
  <c r="AL14" i="1"/>
  <c r="AK14" i="1"/>
  <c r="AJ14" i="1"/>
  <c r="AI14" i="1"/>
  <c r="AH14" i="1"/>
  <c r="AM13" i="1"/>
  <c r="AL13" i="1"/>
  <c r="AK13" i="1"/>
  <c r="AJ13" i="1"/>
  <c r="AI13" i="1"/>
  <c r="AH13" i="1"/>
  <c r="AM12" i="1"/>
  <c r="AL12" i="1"/>
  <c r="AK12" i="1"/>
  <c r="AJ12" i="1"/>
  <c r="AI12" i="1"/>
  <c r="AH12" i="1"/>
  <c r="AM11" i="1"/>
  <c r="AL11" i="1"/>
  <c r="AK11" i="1"/>
  <c r="AJ11" i="1"/>
  <c r="AI11" i="1"/>
  <c r="AH11" i="1"/>
  <c r="AM10" i="1"/>
  <c r="AL10" i="1"/>
  <c r="AK10" i="1"/>
  <c r="AJ10" i="1"/>
  <c r="AI10" i="1"/>
  <c r="AH10" i="1"/>
  <c r="AM9" i="1"/>
  <c r="AL9" i="1"/>
  <c r="AK9" i="1"/>
  <c r="AJ9" i="1"/>
  <c r="AI9" i="1"/>
  <c r="AH9" i="1"/>
  <c r="AJ8" i="1"/>
  <c r="AI8" i="1"/>
  <c r="AH8" i="1"/>
  <c r="AH7" i="1"/>
  <c r="AF52" i="1"/>
  <c r="AE52" i="1"/>
  <c r="AC52" i="1"/>
  <c r="AF51" i="1"/>
  <c r="AE51" i="1"/>
  <c r="AC51" i="1"/>
  <c r="AG38" i="1"/>
  <c r="AD38" i="1"/>
  <c r="AB38" i="1"/>
  <c r="AB40" i="1"/>
  <c r="AG14" i="1"/>
  <c r="AD14" i="1"/>
  <c r="AC207" i="1"/>
  <c r="AG199" i="1"/>
  <c r="AE7" i="1"/>
  <c r="AF45" i="1"/>
  <c r="AF50" i="1"/>
  <c r="AE50" i="1"/>
  <c r="AD50" i="1"/>
  <c r="AF49" i="1"/>
  <c r="AE49" i="1"/>
  <c r="AD49" i="1"/>
  <c r="AB34" i="1"/>
  <c r="AF46" i="1"/>
  <c r="AB46" i="1"/>
  <c r="AF8" i="1"/>
  <c r="AE8" i="1"/>
  <c r="AF198" i="1" l="1"/>
  <c r="AF33" i="1"/>
  <c r="AB33" i="1"/>
  <c r="AB17" i="1"/>
  <c r="AF34" i="1"/>
  <c r="AD18" i="1"/>
  <c r="AB18" i="1"/>
  <c r="AG44" i="1"/>
  <c r="AG48" i="1"/>
  <c r="AD48" i="1"/>
  <c r="AG43" i="1" l="1"/>
  <c r="AD17" i="1"/>
  <c r="AB45" i="1"/>
  <c r="AB13" i="1"/>
  <c r="AA48" i="1"/>
  <c r="Z48" i="1"/>
  <c r="Y48" i="1"/>
  <c r="X48" i="1"/>
  <c r="W48" i="1"/>
  <c r="V48" i="1"/>
  <c r="AA47" i="1"/>
  <c r="Z47" i="1"/>
  <c r="Y47" i="1"/>
  <c r="X47" i="1"/>
  <c r="W47" i="1"/>
  <c r="V47" i="1"/>
  <c r="V14" i="1"/>
  <c r="V13" i="1"/>
  <c r="AA14" i="1"/>
  <c r="Z14" i="1"/>
  <c r="Y14" i="1"/>
  <c r="X14" i="1"/>
  <c r="W14" i="1"/>
  <c r="AA13" i="1"/>
  <c r="Z13" i="1"/>
  <c r="Y13" i="1"/>
  <c r="X13" i="1"/>
  <c r="W13" i="1"/>
  <c r="AF199" i="1"/>
  <c r="AG176" i="1"/>
  <c r="AF176" i="1"/>
  <c r="AE176" i="1"/>
  <c r="AD176" i="1"/>
  <c r="AC176" i="1"/>
  <c r="AB176" i="1"/>
  <c r="AG178" i="1"/>
  <c r="AF178" i="1"/>
  <c r="AE178" i="1"/>
  <c r="AD178" i="1"/>
  <c r="AC178" i="1"/>
  <c r="AB178" i="1"/>
  <c r="AG174" i="1"/>
  <c r="AF174" i="1"/>
  <c r="AE174" i="1"/>
  <c r="AD174" i="1"/>
  <c r="AC174" i="1"/>
  <c r="AB174" i="1"/>
  <c r="AD44" i="1"/>
  <c r="AB44" i="1"/>
  <c r="AF48" i="1"/>
  <c r="AE48" i="1"/>
  <c r="AC48" i="1"/>
  <c r="AB48" i="1"/>
  <c r="AF47" i="1"/>
  <c r="AE47" i="1"/>
  <c r="AC47" i="1"/>
  <c r="AB47" i="1"/>
  <c r="AG207" i="1"/>
  <c r="AF207" i="1"/>
  <c r="AE207" i="1"/>
  <c r="AD207" i="1"/>
  <c r="AB207" i="1"/>
  <c r="AG206" i="1"/>
  <c r="AF206" i="1"/>
  <c r="AE206" i="1"/>
  <c r="AD206" i="1"/>
  <c r="AB206" i="1"/>
  <c r="AG205" i="1"/>
  <c r="AF205" i="1"/>
  <c r="AE205" i="1"/>
  <c r="AD205" i="1"/>
  <c r="AC205" i="1"/>
  <c r="AB205" i="1"/>
  <c r="AG204" i="1"/>
  <c r="AF204" i="1"/>
  <c r="AE204" i="1"/>
  <c r="AD204" i="1"/>
  <c r="AC204" i="1"/>
  <c r="AB204" i="1"/>
  <c r="AG203" i="1"/>
  <c r="AF203" i="1"/>
  <c r="AE203" i="1"/>
  <c r="AD203" i="1"/>
  <c r="AC203" i="1"/>
  <c r="AB203" i="1"/>
  <c r="AG202" i="1"/>
  <c r="AF202" i="1"/>
  <c r="AE202" i="1"/>
  <c r="AD202" i="1"/>
  <c r="AC202" i="1"/>
  <c r="AB202" i="1"/>
  <c r="AE199" i="1"/>
  <c r="AC199" i="1"/>
  <c r="AB199" i="1"/>
  <c r="AF185" i="1"/>
  <c r="AE185" i="1"/>
  <c r="AC185" i="1"/>
  <c r="AB185" i="1"/>
  <c r="AG184" i="1"/>
  <c r="AF184" i="1"/>
  <c r="AE184" i="1"/>
  <c r="AD184" i="1"/>
  <c r="AC184" i="1"/>
  <c r="AB184" i="1"/>
  <c r="AG183" i="1"/>
  <c r="AF183" i="1"/>
  <c r="AE183" i="1"/>
  <c r="AD183" i="1"/>
  <c r="AC183" i="1"/>
  <c r="AG182" i="1"/>
  <c r="AF182" i="1"/>
  <c r="AE182" i="1"/>
  <c r="AD182" i="1"/>
  <c r="AC182" i="1"/>
  <c r="AG181" i="1"/>
  <c r="AF181" i="1"/>
  <c r="AE181" i="1"/>
  <c r="AD181" i="1"/>
  <c r="AC181" i="1"/>
  <c r="AB181" i="1"/>
  <c r="AG180" i="1"/>
  <c r="AF180" i="1"/>
  <c r="AE180" i="1"/>
  <c r="AD180" i="1"/>
  <c r="AC180" i="1"/>
  <c r="AB180" i="1"/>
  <c r="AG46" i="1"/>
  <c r="AE46" i="1"/>
  <c r="AD46" i="1"/>
  <c r="AC46" i="1"/>
  <c r="AG45" i="1"/>
  <c r="AE45" i="1"/>
  <c r="AD45" i="1"/>
  <c r="AC45" i="1"/>
  <c r="AF44" i="1"/>
  <c r="AE44" i="1"/>
  <c r="AC44" i="1"/>
  <c r="AF43" i="1"/>
  <c r="AE43" i="1"/>
  <c r="AC43" i="1"/>
  <c r="AG42" i="1"/>
  <c r="AD42" i="1"/>
  <c r="AG41" i="1"/>
  <c r="AD41" i="1"/>
  <c r="AG40" i="1"/>
  <c r="AC40" i="1"/>
  <c r="AG39" i="1"/>
  <c r="AC39" i="1"/>
  <c r="AF38" i="1"/>
  <c r="AE38" i="1"/>
  <c r="AC38" i="1"/>
  <c r="AF37" i="1"/>
  <c r="AE37" i="1"/>
  <c r="AC37" i="1"/>
  <c r="AG34" i="1"/>
  <c r="AE34" i="1"/>
  <c r="AD34" i="1"/>
  <c r="AC34" i="1"/>
  <c r="AG33" i="1"/>
  <c r="AE33" i="1"/>
  <c r="AD33" i="1"/>
  <c r="AC33" i="1"/>
  <c r="AG26" i="1"/>
  <c r="AF26" i="1"/>
  <c r="AE26" i="1"/>
  <c r="AD26" i="1"/>
  <c r="AC26" i="1"/>
  <c r="AB26" i="1"/>
  <c r="AG25" i="1"/>
  <c r="AF25" i="1"/>
  <c r="AE25" i="1"/>
  <c r="AD25" i="1"/>
  <c r="AC25" i="1"/>
  <c r="AB25" i="1"/>
  <c r="AG18" i="1"/>
  <c r="AF18" i="1"/>
  <c r="AE18" i="1"/>
  <c r="AC18" i="1"/>
  <c r="AG17" i="1"/>
  <c r="AF17" i="1"/>
  <c r="AE17" i="1"/>
  <c r="AC17" i="1"/>
  <c r="AF14" i="1"/>
  <c r="AE14" i="1"/>
  <c r="AC14" i="1"/>
  <c r="AF13" i="1"/>
  <c r="AE13" i="1"/>
  <c r="AC13" i="1"/>
  <c r="V198" i="1"/>
  <c r="Z198" i="1"/>
  <c r="Y198" i="1"/>
  <c r="X198" i="1"/>
  <c r="V200" i="1"/>
  <c r="W201" i="1"/>
  <c r="W200" i="1"/>
  <c r="V182" i="1"/>
  <c r="AA43" i="1"/>
  <c r="X43" i="1"/>
  <c r="Z41" i="1"/>
  <c r="Y41" i="1"/>
  <c r="V41" i="1"/>
  <c r="Z39" i="1"/>
  <c r="Y39" i="1"/>
  <c r="V39" i="1"/>
  <c r="X37" i="1"/>
  <c r="AA37" i="1"/>
  <c r="Z37" i="1"/>
  <c r="Y37" i="1"/>
  <c r="V37" i="1"/>
  <c r="X33" i="1"/>
  <c r="AA25" i="1"/>
  <c r="V25" i="1"/>
  <c r="V17" i="1"/>
  <c r="X17" i="1"/>
  <c r="Y7" i="1"/>
  <c r="W207" i="1"/>
  <c r="AA201" i="1"/>
  <c r="Z201" i="1"/>
  <c r="X201" i="1"/>
  <c r="Y199" i="1"/>
  <c r="V199" i="1"/>
  <c r="AA179" i="1"/>
  <c r="Z179" i="1"/>
  <c r="X179" i="1"/>
  <c r="AA175" i="1"/>
  <c r="Z175" i="1"/>
  <c r="X175" i="1"/>
  <c r="Z42" i="1"/>
  <c r="AA38" i="1"/>
  <c r="X38" i="1"/>
  <c r="AA44" i="1"/>
  <c r="X44" i="1"/>
  <c r="Z8" i="1"/>
  <c r="X8" i="1"/>
  <c r="V46" i="1"/>
  <c r="V45" i="1"/>
  <c r="AA46" i="1"/>
  <c r="Z46" i="1"/>
  <c r="Y46" i="1"/>
  <c r="X46" i="1"/>
  <c r="W46" i="1"/>
  <c r="AA45" i="1"/>
  <c r="Z45" i="1"/>
  <c r="Y45" i="1"/>
  <c r="X45" i="1"/>
  <c r="W45" i="1"/>
  <c r="AC7" i="1"/>
  <c r="AB8" i="1"/>
  <c r="AB7" i="1"/>
  <c r="AA33" i="1"/>
  <c r="Z33" i="1"/>
  <c r="Y33" i="1"/>
  <c r="AA26" i="1"/>
  <c r="AA8" i="1"/>
  <c r="AA176" i="1"/>
  <c r="Z176" i="1"/>
  <c r="Y176" i="1"/>
  <c r="X176" i="1"/>
  <c r="W176" i="1"/>
  <c r="V176" i="1"/>
  <c r="AA178" i="1"/>
  <c r="Z178" i="1"/>
  <c r="Y178" i="1"/>
  <c r="X178" i="1"/>
  <c r="W178" i="1"/>
  <c r="V178" i="1"/>
  <c r="AA174" i="1"/>
  <c r="Z174" i="1"/>
  <c r="Y174" i="1"/>
  <c r="X174" i="1"/>
  <c r="W174" i="1"/>
  <c r="V174" i="1"/>
  <c r="V40" i="1"/>
  <c r="Y201" i="1"/>
  <c r="V201" i="1"/>
  <c r="X199" i="1"/>
  <c r="AA177" i="1"/>
  <c r="Y177" i="1"/>
  <c r="V177" i="1"/>
  <c r="V183" i="1"/>
  <c r="V179" i="1"/>
  <c r="Y179" i="1"/>
  <c r="Y175" i="1"/>
  <c r="V175" i="1"/>
  <c r="Y42" i="1"/>
  <c r="V42" i="1"/>
  <c r="Z38" i="1"/>
  <c r="Y38" i="1"/>
  <c r="V38" i="1"/>
  <c r="V44" i="1"/>
  <c r="X26" i="1"/>
  <c r="V26" i="1"/>
  <c r="Z40" i="1"/>
  <c r="AA207" i="1"/>
  <c r="Z207" i="1"/>
  <c r="Y207" i="1"/>
  <c r="X207" i="1"/>
  <c r="V207" i="1"/>
  <c r="AA206" i="1"/>
  <c r="Z206" i="1"/>
  <c r="Y206" i="1"/>
  <c r="X206" i="1"/>
  <c r="W206" i="1"/>
  <c r="V206" i="1"/>
  <c r="AA205" i="1"/>
  <c r="Z205" i="1"/>
  <c r="Y205" i="1"/>
  <c r="X205" i="1"/>
  <c r="W205" i="1"/>
  <c r="V205" i="1"/>
  <c r="AA204" i="1"/>
  <c r="Z204" i="1"/>
  <c r="Y204" i="1"/>
  <c r="X204" i="1"/>
  <c r="W204" i="1"/>
  <c r="V204" i="1"/>
  <c r="AA203" i="1"/>
  <c r="Z203" i="1"/>
  <c r="Y203" i="1"/>
  <c r="X203" i="1"/>
  <c r="W203" i="1"/>
  <c r="V203" i="1"/>
  <c r="AA202" i="1"/>
  <c r="Z202" i="1"/>
  <c r="Y202" i="1"/>
  <c r="X202" i="1"/>
  <c r="W202" i="1"/>
  <c r="V202" i="1"/>
  <c r="AA200" i="1"/>
  <c r="Z200" i="1"/>
  <c r="Y200" i="1"/>
  <c r="X200" i="1"/>
  <c r="AA199" i="1"/>
  <c r="Z199" i="1"/>
  <c r="W199" i="1"/>
  <c r="AA198" i="1"/>
  <c r="W198" i="1"/>
  <c r="Y40" i="1"/>
  <c r="AA185" i="1"/>
  <c r="Z185" i="1"/>
  <c r="Y185" i="1"/>
  <c r="X185" i="1"/>
  <c r="W185" i="1"/>
  <c r="V185" i="1"/>
  <c r="AA184" i="1"/>
  <c r="Z184" i="1"/>
  <c r="Y184" i="1"/>
  <c r="X184" i="1"/>
  <c r="W184" i="1"/>
  <c r="V184" i="1"/>
  <c r="AA183" i="1"/>
  <c r="Z183" i="1"/>
  <c r="Y183" i="1"/>
  <c r="X183" i="1"/>
  <c r="W183" i="1"/>
  <c r="AA182" i="1"/>
  <c r="Z182" i="1"/>
  <c r="Y182" i="1"/>
  <c r="X182" i="1"/>
  <c r="W182" i="1"/>
  <c r="AA181" i="1"/>
  <c r="Z181" i="1"/>
  <c r="Y181" i="1"/>
  <c r="X181" i="1"/>
  <c r="W181" i="1"/>
  <c r="V181" i="1"/>
  <c r="AA180" i="1"/>
  <c r="Z180" i="1"/>
  <c r="Y180" i="1"/>
  <c r="X180" i="1"/>
  <c r="W180" i="1"/>
  <c r="V180" i="1"/>
  <c r="W179" i="1"/>
  <c r="Z177" i="1"/>
  <c r="X177" i="1"/>
  <c r="W177" i="1"/>
  <c r="W175" i="1"/>
  <c r="Z44" i="1"/>
  <c r="Y44" i="1"/>
  <c r="W44" i="1"/>
  <c r="Z43" i="1"/>
  <c r="Y43" i="1"/>
  <c r="W43" i="1"/>
  <c r="V43" i="1"/>
  <c r="AA42" i="1"/>
  <c r="X42" i="1"/>
  <c r="W42" i="1"/>
  <c r="AA41" i="1"/>
  <c r="X41" i="1"/>
  <c r="W41" i="1"/>
  <c r="AA40" i="1"/>
  <c r="X40" i="1"/>
  <c r="W40" i="1"/>
  <c r="AA39" i="1"/>
  <c r="X39" i="1"/>
  <c r="W39" i="1"/>
  <c r="W38" i="1"/>
  <c r="W37" i="1"/>
  <c r="AA36" i="1"/>
  <c r="Z36" i="1"/>
  <c r="Y36" i="1"/>
  <c r="X36" i="1"/>
  <c r="W36" i="1"/>
  <c r="V36" i="1"/>
  <c r="AA35" i="1"/>
  <c r="Z35" i="1"/>
  <c r="Y35" i="1"/>
  <c r="X35" i="1"/>
  <c r="W35" i="1"/>
  <c r="V35" i="1"/>
  <c r="AA34" i="1"/>
  <c r="Z34" i="1"/>
  <c r="Y34" i="1"/>
  <c r="X34" i="1"/>
  <c r="W34" i="1"/>
  <c r="V34" i="1"/>
  <c r="W33" i="1"/>
  <c r="V33" i="1"/>
  <c r="AA32" i="1"/>
  <c r="Z32" i="1"/>
  <c r="Y32" i="1"/>
  <c r="X32" i="1"/>
  <c r="W32" i="1"/>
  <c r="V32" i="1"/>
  <c r="AA31" i="1"/>
  <c r="Z31" i="1"/>
  <c r="Y31" i="1"/>
  <c r="X31" i="1"/>
  <c r="W31" i="1"/>
  <c r="V31" i="1"/>
  <c r="AA30" i="1"/>
  <c r="Z30" i="1"/>
  <c r="Y30" i="1"/>
  <c r="X30" i="1"/>
  <c r="W30" i="1"/>
  <c r="V30" i="1"/>
  <c r="AA29" i="1"/>
  <c r="Z29" i="1"/>
  <c r="Y29" i="1"/>
  <c r="X29" i="1"/>
  <c r="W29" i="1"/>
  <c r="V29" i="1"/>
  <c r="AA28" i="1"/>
  <c r="Z28" i="1"/>
  <c r="Y28" i="1"/>
  <c r="X28" i="1"/>
  <c r="W28" i="1"/>
  <c r="V28" i="1"/>
  <c r="AA27" i="1"/>
  <c r="Z27" i="1"/>
  <c r="Y27" i="1"/>
  <c r="X27" i="1"/>
  <c r="W27" i="1"/>
  <c r="V27" i="1"/>
  <c r="Z26" i="1"/>
  <c r="Y26" i="1"/>
  <c r="W26" i="1"/>
  <c r="Z25" i="1"/>
  <c r="Y25" i="1"/>
  <c r="X25" i="1"/>
  <c r="W25" i="1"/>
  <c r="AA24" i="1"/>
  <c r="Z24" i="1"/>
  <c r="Y24" i="1"/>
  <c r="X24" i="1"/>
  <c r="W24" i="1"/>
  <c r="V24" i="1"/>
  <c r="AA23" i="1"/>
  <c r="Z23" i="1"/>
  <c r="Y23" i="1"/>
  <c r="X23" i="1"/>
  <c r="W23" i="1"/>
  <c r="V23" i="1"/>
  <c r="AA22" i="1"/>
  <c r="Z22" i="1"/>
  <c r="Y22" i="1"/>
  <c r="X22" i="1"/>
  <c r="W22" i="1"/>
  <c r="V22" i="1"/>
  <c r="AA21" i="1"/>
  <c r="Z21" i="1"/>
  <c r="Y21" i="1"/>
  <c r="X21" i="1"/>
  <c r="W21" i="1"/>
  <c r="V21" i="1"/>
  <c r="AA20" i="1"/>
  <c r="Z20" i="1"/>
  <c r="Y20" i="1"/>
  <c r="X20" i="1"/>
  <c r="W20" i="1"/>
  <c r="V20" i="1"/>
  <c r="AA19" i="1"/>
  <c r="Z19" i="1"/>
  <c r="Y19" i="1"/>
  <c r="X19" i="1"/>
  <c r="W19" i="1"/>
  <c r="V19" i="1"/>
  <c r="AA18" i="1"/>
  <c r="Z18" i="1"/>
  <c r="Y18" i="1"/>
  <c r="X18" i="1"/>
  <c r="W18" i="1"/>
  <c r="V18" i="1"/>
  <c r="AA17" i="1"/>
  <c r="Z17" i="1"/>
  <c r="Y17" i="1"/>
  <c r="W17" i="1"/>
  <c r="AA16" i="1"/>
  <c r="Z16" i="1"/>
  <c r="Y16" i="1"/>
  <c r="X16" i="1"/>
  <c r="W16" i="1"/>
  <c r="V16" i="1"/>
  <c r="AA15" i="1"/>
  <c r="Z15" i="1"/>
  <c r="Y15" i="1"/>
  <c r="X15" i="1"/>
  <c r="W15" i="1"/>
  <c r="V15" i="1"/>
  <c r="AA12" i="1"/>
  <c r="Z12" i="1"/>
  <c r="Y12" i="1"/>
  <c r="X12" i="1"/>
  <c r="W12" i="1"/>
  <c r="V12" i="1"/>
  <c r="I11" i="1" s="1"/>
  <c r="AA11" i="1"/>
  <c r="Z11" i="1"/>
  <c r="Y11" i="1"/>
  <c r="X11" i="1"/>
  <c r="W11" i="1"/>
  <c r="V11" i="1"/>
  <c r="H11" i="1" s="1"/>
  <c r="AA10" i="1"/>
  <c r="Z10" i="1"/>
  <c r="Y10" i="1"/>
  <c r="X10" i="1"/>
  <c r="W10" i="1"/>
  <c r="V10" i="1"/>
  <c r="AA9" i="1"/>
  <c r="Z9" i="1"/>
  <c r="Y9" i="1"/>
  <c r="X9" i="1"/>
  <c r="W9" i="1"/>
  <c r="V9" i="1"/>
  <c r="Y8" i="1"/>
  <c r="W8" i="1"/>
  <c r="V8" i="1"/>
  <c r="AA7" i="1"/>
  <c r="Z7" i="1"/>
  <c r="X7" i="1"/>
  <c r="W7" i="1"/>
  <c r="V7" i="1"/>
  <c r="H9" i="1" l="1"/>
  <c r="I9" i="1"/>
  <c r="P47" i="10"/>
  <c r="P44" i="10"/>
  <c r="P45" i="10"/>
  <c r="P46" i="10"/>
  <c r="I186" i="1" l="1"/>
  <c r="H186" i="1"/>
  <c r="I208" i="1"/>
  <c r="V208" i="1" l="1"/>
  <c r="AA209" i="1"/>
  <c r="Z209" i="1"/>
  <c r="Y209" i="1"/>
  <c r="X209" i="1"/>
  <c r="W209" i="1"/>
  <c r="V209" i="1"/>
  <c r="AA208" i="1"/>
  <c r="Z208" i="1"/>
  <c r="Y208" i="1"/>
  <c r="X208" i="1"/>
  <c r="W208" i="1"/>
  <c r="CY207" i="1"/>
  <c r="CX207" i="1"/>
  <c r="CW207" i="1"/>
  <c r="CV207" i="1"/>
  <c r="CU207" i="1"/>
  <c r="CT207" i="1"/>
  <c r="CS207" i="1"/>
  <c r="CR207" i="1"/>
  <c r="CQ207" i="1"/>
  <c r="CP207" i="1"/>
  <c r="CO207" i="1"/>
  <c r="CN207" i="1"/>
  <c r="CM207" i="1"/>
  <c r="CL207" i="1"/>
  <c r="CK207" i="1"/>
  <c r="CJ207" i="1"/>
  <c r="CI207" i="1"/>
  <c r="CH207" i="1"/>
  <c r="CG207" i="1"/>
  <c r="CF207" i="1"/>
  <c r="CE207" i="1"/>
  <c r="CD207" i="1"/>
  <c r="CC207" i="1"/>
  <c r="CB207" i="1"/>
  <c r="CA207" i="1"/>
  <c r="BZ207" i="1"/>
  <c r="BY207" i="1"/>
  <c r="BX207" i="1"/>
  <c r="BW207" i="1"/>
  <c r="BV207" i="1"/>
  <c r="BU207" i="1"/>
  <c r="BT207" i="1"/>
  <c r="BS207" i="1"/>
  <c r="BR207" i="1"/>
  <c r="BQ207" i="1"/>
  <c r="BP207" i="1"/>
  <c r="BO207" i="1"/>
  <c r="BN207" i="1"/>
  <c r="BM207" i="1"/>
  <c r="BL207" i="1"/>
  <c r="BK207" i="1"/>
  <c r="BJ207" i="1"/>
  <c r="BI207" i="1"/>
  <c r="BH207" i="1"/>
  <c r="BG207" i="1"/>
  <c r="BF207" i="1"/>
  <c r="BE207" i="1"/>
  <c r="BD207" i="1"/>
  <c r="BC207" i="1"/>
  <c r="BB207" i="1"/>
  <c r="BA207" i="1"/>
  <c r="AZ207" i="1"/>
  <c r="AY207" i="1"/>
  <c r="AX207" i="1"/>
  <c r="AW207" i="1"/>
  <c r="AV207" i="1"/>
  <c r="AU207" i="1"/>
  <c r="AT207" i="1"/>
  <c r="AS207" i="1"/>
  <c r="AR207" i="1"/>
  <c r="AQ207" i="1"/>
  <c r="AP207" i="1"/>
  <c r="AO207" i="1"/>
  <c r="AN207" i="1"/>
  <c r="CY206" i="1"/>
  <c r="CX206" i="1"/>
  <c r="CW206" i="1"/>
  <c r="CV206" i="1"/>
  <c r="CU206" i="1"/>
  <c r="CT206" i="1"/>
  <c r="CS206" i="1"/>
  <c r="CR206" i="1"/>
  <c r="CQ206" i="1"/>
  <c r="CP206" i="1"/>
  <c r="CO206" i="1"/>
  <c r="CN206" i="1"/>
  <c r="CM206" i="1"/>
  <c r="CL206" i="1"/>
  <c r="CK206" i="1"/>
  <c r="CJ206" i="1"/>
  <c r="CI206" i="1"/>
  <c r="CH206" i="1"/>
  <c r="CG206" i="1"/>
  <c r="CF206" i="1"/>
  <c r="CE206" i="1"/>
  <c r="CD206" i="1"/>
  <c r="CC206" i="1"/>
  <c r="CB206" i="1"/>
  <c r="CA206" i="1"/>
  <c r="BZ206" i="1"/>
  <c r="BY206" i="1"/>
  <c r="BX206" i="1"/>
  <c r="BW206" i="1"/>
  <c r="BV206" i="1"/>
  <c r="BU206" i="1"/>
  <c r="BT206" i="1"/>
  <c r="BS206" i="1"/>
  <c r="BR206" i="1"/>
  <c r="BQ206" i="1"/>
  <c r="BP206" i="1"/>
  <c r="BO206" i="1"/>
  <c r="BN206" i="1"/>
  <c r="BM206" i="1"/>
  <c r="BL206" i="1"/>
  <c r="BK206" i="1"/>
  <c r="BJ206" i="1"/>
  <c r="BI206" i="1"/>
  <c r="BH206" i="1"/>
  <c r="BG206" i="1"/>
  <c r="BF206" i="1"/>
  <c r="BE206" i="1"/>
  <c r="BD206" i="1"/>
  <c r="BC206" i="1"/>
  <c r="BB206" i="1"/>
  <c r="BA206" i="1"/>
  <c r="AZ206" i="1"/>
  <c r="AY206" i="1"/>
  <c r="AX206" i="1"/>
  <c r="AW206" i="1"/>
  <c r="AV206" i="1"/>
  <c r="AU206" i="1"/>
  <c r="AT206" i="1"/>
  <c r="AS206" i="1"/>
  <c r="AR206" i="1"/>
  <c r="AQ206" i="1"/>
  <c r="AP206" i="1"/>
  <c r="AO206" i="1"/>
  <c r="AN206" i="1"/>
  <c r="CY205" i="1"/>
  <c r="CX205" i="1"/>
  <c r="CW205" i="1"/>
  <c r="CV205" i="1"/>
  <c r="CU205" i="1"/>
  <c r="CT205" i="1"/>
  <c r="CS205" i="1"/>
  <c r="CR205" i="1"/>
  <c r="CQ205" i="1"/>
  <c r="CP205" i="1"/>
  <c r="CO205" i="1"/>
  <c r="CN205" i="1"/>
  <c r="CM205" i="1"/>
  <c r="CL205" i="1"/>
  <c r="CK205" i="1"/>
  <c r="CJ205" i="1"/>
  <c r="CI205" i="1"/>
  <c r="CH205" i="1"/>
  <c r="CG205" i="1"/>
  <c r="CF205" i="1"/>
  <c r="CE205" i="1"/>
  <c r="CD205" i="1"/>
  <c r="CC205" i="1"/>
  <c r="CB205" i="1"/>
  <c r="CA205" i="1"/>
  <c r="BZ205" i="1"/>
  <c r="BY205" i="1"/>
  <c r="BX205" i="1"/>
  <c r="BW205" i="1"/>
  <c r="BV205" i="1"/>
  <c r="BU205" i="1"/>
  <c r="BT205" i="1"/>
  <c r="BS205" i="1"/>
  <c r="BR205" i="1"/>
  <c r="BQ205" i="1"/>
  <c r="BP205" i="1"/>
  <c r="BO205" i="1"/>
  <c r="BN205" i="1"/>
  <c r="BM205" i="1"/>
  <c r="BL205" i="1"/>
  <c r="BK205" i="1"/>
  <c r="BJ205" i="1"/>
  <c r="BI205" i="1"/>
  <c r="BH205" i="1"/>
  <c r="BG205" i="1"/>
  <c r="BF205" i="1"/>
  <c r="BE205" i="1"/>
  <c r="BD205" i="1"/>
  <c r="BC205" i="1"/>
  <c r="BB205" i="1"/>
  <c r="BA205" i="1"/>
  <c r="AZ205" i="1"/>
  <c r="AY205" i="1"/>
  <c r="AX205" i="1"/>
  <c r="AW205" i="1"/>
  <c r="AV205" i="1"/>
  <c r="AU205" i="1"/>
  <c r="AT205" i="1"/>
  <c r="AS205" i="1"/>
  <c r="AR205" i="1"/>
  <c r="AQ205" i="1"/>
  <c r="AP205" i="1"/>
  <c r="AO205" i="1"/>
  <c r="AN205" i="1"/>
  <c r="CY204" i="1"/>
  <c r="CX204" i="1"/>
  <c r="CW204" i="1"/>
  <c r="CV204" i="1"/>
  <c r="CU204" i="1"/>
  <c r="CT204" i="1"/>
  <c r="CS204" i="1"/>
  <c r="CR204" i="1"/>
  <c r="CQ204" i="1"/>
  <c r="CP204" i="1"/>
  <c r="CO204" i="1"/>
  <c r="CN204" i="1"/>
  <c r="CM204" i="1"/>
  <c r="CL204" i="1"/>
  <c r="CK204" i="1"/>
  <c r="CJ204" i="1"/>
  <c r="CI204" i="1"/>
  <c r="CH204" i="1"/>
  <c r="CG204" i="1"/>
  <c r="CF204" i="1"/>
  <c r="CE204" i="1"/>
  <c r="CD204" i="1"/>
  <c r="CC204" i="1"/>
  <c r="CB204" i="1"/>
  <c r="CA204" i="1"/>
  <c r="BZ204" i="1"/>
  <c r="BY204" i="1"/>
  <c r="BX204" i="1"/>
  <c r="BW204" i="1"/>
  <c r="BV204" i="1"/>
  <c r="BU204" i="1"/>
  <c r="BT204" i="1"/>
  <c r="BS204" i="1"/>
  <c r="BR204" i="1"/>
  <c r="BQ204" i="1"/>
  <c r="BP204" i="1"/>
  <c r="BO204" i="1"/>
  <c r="BN204" i="1"/>
  <c r="BM204" i="1"/>
  <c r="BL204" i="1"/>
  <c r="BK204" i="1"/>
  <c r="BJ204" i="1"/>
  <c r="BI204" i="1"/>
  <c r="BH204" i="1"/>
  <c r="BG204" i="1"/>
  <c r="BF204" i="1"/>
  <c r="BE204" i="1"/>
  <c r="BD204" i="1"/>
  <c r="BC204" i="1"/>
  <c r="BB204" i="1"/>
  <c r="BA204" i="1"/>
  <c r="AZ204" i="1"/>
  <c r="AY204" i="1"/>
  <c r="AX204" i="1"/>
  <c r="AW204" i="1"/>
  <c r="AV204" i="1"/>
  <c r="AU204" i="1"/>
  <c r="AT204" i="1"/>
  <c r="AS204" i="1"/>
  <c r="AR204" i="1"/>
  <c r="AQ204" i="1"/>
  <c r="AP204" i="1"/>
  <c r="AO204" i="1"/>
  <c r="AN204" i="1"/>
  <c r="CY203" i="1"/>
  <c r="CX203" i="1"/>
  <c r="CW203" i="1"/>
  <c r="CV203" i="1"/>
  <c r="CU203" i="1"/>
  <c r="CT203" i="1"/>
  <c r="CS203" i="1"/>
  <c r="CR203" i="1"/>
  <c r="CQ203" i="1"/>
  <c r="CP203" i="1"/>
  <c r="CO203" i="1"/>
  <c r="CN203" i="1"/>
  <c r="CM203" i="1"/>
  <c r="CL203" i="1"/>
  <c r="CK203" i="1"/>
  <c r="CJ203" i="1"/>
  <c r="CI203" i="1"/>
  <c r="CH203" i="1"/>
  <c r="CG203" i="1"/>
  <c r="CF203" i="1"/>
  <c r="CE203" i="1"/>
  <c r="CD203" i="1"/>
  <c r="CC203" i="1"/>
  <c r="CB203" i="1"/>
  <c r="CA203" i="1"/>
  <c r="BZ203" i="1"/>
  <c r="BY203" i="1"/>
  <c r="BX203" i="1"/>
  <c r="BW203" i="1"/>
  <c r="BV203" i="1"/>
  <c r="BU203" i="1"/>
  <c r="BT203" i="1"/>
  <c r="BS203" i="1"/>
  <c r="BR203" i="1"/>
  <c r="BQ203" i="1"/>
  <c r="BP203" i="1"/>
  <c r="BO203" i="1"/>
  <c r="BN203" i="1"/>
  <c r="BM203" i="1"/>
  <c r="BL203" i="1"/>
  <c r="BK203" i="1"/>
  <c r="BJ203" i="1"/>
  <c r="BI203" i="1"/>
  <c r="BH203" i="1"/>
  <c r="BG203" i="1"/>
  <c r="BF203" i="1"/>
  <c r="BE203" i="1"/>
  <c r="BD203" i="1"/>
  <c r="BC203" i="1"/>
  <c r="BB203" i="1"/>
  <c r="BA203" i="1"/>
  <c r="AZ203" i="1"/>
  <c r="AY203" i="1"/>
  <c r="AX203" i="1"/>
  <c r="AW203" i="1"/>
  <c r="AV203" i="1"/>
  <c r="AU203" i="1"/>
  <c r="AT203" i="1"/>
  <c r="AS203" i="1"/>
  <c r="AR203" i="1"/>
  <c r="AQ203" i="1"/>
  <c r="AP203" i="1"/>
  <c r="AO203" i="1"/>
  <c r="AN203" i="1"/>
  <c r="CY202" i="1"/>
  <c r="CX202" i="1"/>
  <c r="CW202" i="1"/>
  <c r="CV202" i="1"/>
  <c r="CU202" i="1"/>
  <c r="CT202" i="1"/>
  <c r="CS202" i="1"/>
  <c r="CR202" i="1"/>
  <c r="CQ202" i="1"/>
  <c r="CP202" i="1"/>
  <c r="CO202" i="1"/>
  <c r="CN202" i="1"/>
  <c r="CM202" i="1"/>
  <c r="CL202" i="1"/>
  <c r="CK202" i="1"/>
  <c r="CJ202" i="1"/>
  <c r="CI202" i="1"/>
  <c r="CH202" i="1"/>
  <c r="CG202" i="1"/>
  <c r="CF202" i="1"/>
  <c r="CE202" i="1"/>
  <c r="CD202" i="1"/>
  <c r="CC202" i="1"/>
  <c r="CB202" i="1"/>
  <c r="CA202" i="1"/>
  <c r="BZ202" i="1"/>
  <c r="BY202" i="1"/>
  <c r="BX202" i="1"/>
  <c r="BW202" i="1"/>
  <c r="BV202" i="1"/>
  <c r="BU202" i="1"/>
  <c r="BT202" i="1"/>
  <c r="BS202" i="1"/>
  <c r="BR202" i="1"/>
  <c r="BQ202" i="1"/>
  <c r="BP202" i="1"/>
  <c r="BO202" i="1"/>
  <c r="BN202" i="1"/>
  <c r="BM202" i="1"/>
  <c r="BL202" i="1"/>
  <c r="BK202" i="1"/>
  <c r="BJ202" i="1"/>
  <c r="BI202" i="1"/>
  <c r="BH202" i="1"/>
  <c r="BG202" i="1"/>
  <c r="BF202" i="1"/>
  <c r="BE202" i="1"/>
  <c r="BD202" i="1"/>
  <c r="BC202" i="1"/>
  <c r="BB202" i="1"/>
  <c r="BA202" i="1"/>
  <c r="AZ202" i="1"/>
  <c r="AY202" i="1"/>
  <c r="AX202" i="1"/>
  <c r="AW202" i="1"/>
  <c r="AV202" i="1"/>
  <c r="AU202" i="1"/>
  <c r="AT202" i="1"/>
  <c r="AS202" i="1"/>
  <c r="AR202" i="1"/>
  <c r="AQ202" i="1"/>
  <c r="AP202" i="1"/>
  <c r="AO202" i="1"/>
  <c r="AN202" i="1"/>
  <c r="CY201" i="1"/>
  <c r="CX201" i="1"/>
  <c r="CW201" i="1"/>
  <c r="CV201" i="1"/>
  <c r="CU201" i="1"/>
  <c r="CT201" i="1"/>
  <c r="CS201" i="1"/>
  <c r="CR201" i="1"/>
  <c r="CQ201" i="1"/>
  <c r="CP201" i="1"/>
  <c r="CO201" i="1"/>
  <c r="CN201" i="1"/>
  <c r="CM201" i="1"/>
  <c r="CL201" i="1"/>
  <c r="CK201" i="1"/>
  <c r="CJ201" i="1"/>
  <c r="CI201" i="1"/>
  <c r="CH201" i="1"/>
  <c r="CG201" i="1"/>
  <c r="CF201" i="1"/>
  <c r="CE201" i="1"/>
  <c r="CD201" i="1"/>
  <c r="CC201" i="1"/>
  <c r="CB201" i="1"/>
  <c r="CA201" i="1"/>
  <c r="BZ201" i="1"/>
  <c r="BY201" i="1"/>
  <c r="BX201" i="1"/>
  <c r="BW201" i="1"/>
  <c r="BV201" i="1"/>
  <c r="BU201" i="1"/>
  <c r="BT201" i="1"/>
  <c r="BS201" i="1"/>
  <c r="BR201" i="1"/>
  <c r="BQ201" i="1"/>
  <c r="BP201" i="1"/>
  <c r="BO201" i="1"/>
  <c r="BN201" i="1"/>
  <c r="BM201" i="1"/>
  <c r="BL201" i="1"/>
  <c r="BK201" i="1"/>
  <c r="BJ201" i="1"/>
  <c r="BI201" i="1"/>
  <c r="BH201" i="1"/>
  <c r="BG201" i="1"/>
  <c r="BF201" i="1"/>
  <c r="BE201" i="1"/>
  <c r="BD201" i="1"/>
  <c r="BC201" i="1"/>
  <c r="BB201" i="1"/>
  <c r="BA201" i="1"/>
  <c r="AZ201" i="1"/>
  <c r="AY201" i="1"/>
  <c r="AX201" i="1"/>
  <c r="AW201" i="1"/>
  <c r="AV201" i="1"/>
  <c r="AU201" i="1"/>
  <c r="AT201" i="1"/>
  <c r="AS201" i="1"/>
  <c r="AR201" i="1"/>
  <c r="AQ201" i="1"/>
  <c r="AP201" i="1"/>
  <c r="AO201" i="1"/>
  <c r="AN201" i="1"/>
  <c r="CY200" i="1"/>
  <c r="CX200" i="1"/>
  <c r="CW200" i="1"/>
  <c r="CV200" i="1"/>
  <c r="CU200" i="1"/>
  <c r="CT200" i="1"/>
  <c r="CS200" i="1"/>
  <c r="CR200" i="1"/>
  <c r="CQ200" i="1"/>
  <c r="CP200" i="1"/>
  <c r="CO200" i="1"/>
  <c r="CN200" i="1"/>
  <c r="CM200" i="1"/>
  <c r="CL200" i="1"/>
  <c r="CK200" i="1"/>
  <c r="CJ200" i="1"/>
  <c r="CI200" i="1"/>
  <c r="CH200" i="1"/>
  <c r="CG200" i="1"/>
  <c r="CF200" i="1"/>
  <c r="CE200" i="1"/>
  <c r="CD200" i="1"/>
  <c r="CC200" i="1"/>
  <c r="CB200" i="1"/>
  <c r="CA200" i="1"/>
  <c r="BZ200" i="1"/>
  <c r="BY200" i="1"/>
  <c r="BX200" i="1"/>
  <c r="BW200" i="1"/>
  <c r="BV200" i="1"/>
  <c r="BU200" i="1"/>
  <c r="BT200" i="1"/>
  <c r="BS200" i="1"/>
  <c r="BR200" i="1"/>
  <c r="BQ200" i="1"/>
  <c r="BP200" i="1"/>
  <c r="BO200" i="1"/>
  <c r="BN200" i="1"/>
  <c r="BM200" i="1"/>
  <c r="BL200" i="1"/>
  <c r="BK200" i="1"/>
  <c r="BJ200" i="1"/>
  <c r="BI200" i="1"/>
  <c r="BH200" i="1"/>
  <c r="BG200" i="1"/>
  <c r="BF200" i="1"/>
  <c r="BE200" i="1"/>
  <c r="BD200" i="1"/>
  <c r="BC200" i="1"/>
  <c r="BB200" i="1"/>
  <c r="BA200" i="1"/>
  <c r="AZ200" i="1"/>
  <c r="AY200" i="1"/>
  <c r="AX200" i="1"/>
  <c r="AW200" i="1"/>
  <c r="AV200" i="1"/>
  <c r="AU200" i="1"/>
  <c r="AT200" i="1"/>
  <c r="AS200" i="1"/>
  <c r="AR200" i="1"/>
  <c r="AQ200" i="1"/>
  <c r="AP200" i="1"/>
  <c r="AO200" i="1"/>
  <c r="AN200" i="1"/>
  <c r="CY199" i="1"/>
  <c r="CX199" i="1"/>
  <c r="CW199" i="1"/>
  <c r="CV199" i="1"/>
  <c r="CU199" i="1"/>
  <c r="CT199" i="1"/>
  <c r="CS199" i="1"/>
  <c r="CR199" i="1"/>
  <c r="CQ199" i="1"/>
  <c r="CP199" i="1"/>
  <c r="CO199" i="1"/>
  <c r="CN199" i="1"/>
  <c r="CM199" i="1"/>
  <c r="CL199" i="1"/>
  <c r="CK199" i="1"/>
  <c r="CJ199" i="1"/>
  <c r="CI199" i="1"/>
  <c r="CH199" i="1"/>
  <c r="CG199" i="1"/>
  <c r="CF199" i="1"/>
  <c r="CE199" i="1"/>
  <c r="CD199" i="1"/>
  <c r="CC199" i="1"/>
  <c r="CB199" i="1"/>
  <c r="CA199" i="1"/>
  <c r="BZ199" i="1"/>
  <c r="BY199" i="1"/>
  <c r="BX199" i="1"/>
  <c r="BW199" i="1"/>
  <c r="BV199" i="1"/>
  <c r="BU199" i="1"/>
  <c r="BT199" i="1"/>
  <c r="BS199" i="1"/>
  <c r="BR199" i="1"/>
  <c r="BQ199" i="1"/>
  <c r="BP199" i="1"/>
  <c r="BO199" i="1"/>
  <c r="BN199" i="1"/>
  <c r="BM199" i="1"/>
  <c r="BL199" i="1"/>
  <c r="BK199" i="1"/>
  <c r="BJ199" i="1"/>
  <c r="BI199" i="1"/>
  <c r="BH199" i="1"/>
  <c r="BG199" i="1"/>
  <c r="BF199" i="1"/>
  <c r="BE199" i="1"/>
  <c r="BD199" i="1"/>
  <c r="BC199" i="1"/>
  <c r="BB199" i="1"/>
  <c r="BA199" i="1"/>
  <c r="AZ199" i="1"/>
  <c r="AY199" i="1"/>
  <c r="AX199" i="1"/>
  <c r="AW199" i="1"/>
  <c r="AV199" i="1"/>
  <c r="AU199" i="1"/>
  <c r="AT199" i="1"/>
  <c r="AS199" i="1"/>
  <c r="AR199" i="1"/>
  <c r="AQ199" i="1"/>
  <c r="AP199" i="1"/>
  <c r="AO199" i="1"/>
  <c r="AN199" i="1"/>
  <c r="CY198" i="1"/>
  <c r="CX198" i="1"/>
  <c r="CW198" i="1"/>
  <c r="CV198" i="1"/>
  <c r="CU198" i="1"/>
  <c r="CT198" i="1"/>
  <c r="CS198" i="1"/>
  <c r="CR198" i="1"/>
  <c r="CQ198" i="1"/>
  <c r="CP198" i="1"/>
  <c r="CO198" i="1"/>
  <c r="CN198" i="1"/>
  <c r="CM198" i="1"/>
  <c r="CL198" i="1"/>
  <c r="CK198" i="1"/>
  <c r="CJ198" i="1"/>
  <c r="CI198" i="1"/>
  <c r="CH198" i="1"/>
  <c r="CG198" i="1"/>
  <c r="CF198" i="1"/>
  <c r="CE198" i="1"/>
  <c r="CD198" i="1"/>
  <c r="CC198" i="1"/>
  <c r="CB198" i="1"/>
  <c r="CA198" i="1"/>
  <c r="BZ198" i="1"/>
  <c r="BY198" i="1"/>
  <c r="BX198" i="1"/>
  <c r="BW198" i="1"/>
  <c r="BV198" i="1"/>
  <c r="BU198" i="1"/>
  <c r="BT198" i="1"/>
  <c r="BS198" i="1"/>
  <c r="BR198" i="1"/>
  <c r="BQ198" i="1"/>
  <c r="BP198" i="1"/>
  <c r="BO198" i="1"/>
  <c r="BN198" i="1"/>
  <c r="BM198" i="1"/>
  <c r="BL198" i="1"/>
  <c r="BK198" i="1"/>
  <c r="BJ198" i="1"/>
  <c r="BI198" i="1"/>
  <c r="BH198" i="1"/>
  <c r="BG198" i="1"/>
  <c r="BF198" i="1"/>
  <c r="BE198" i="1"/>
  <c r="BD198" i="1"/>
  <c r="BC198" i="1"/>
  <c r="BB198" i="1"/>
  <c r="BA198" i="1"/>
  <c r="AZ198" i="1"/>
  <c r="AY198" i="1"/>
  <c r="AX198" i="1"/>
  <c r="AW198" i="1"/>
  <c r="AV198" i="1"/>
  <c r="AU198" i="1"/>
  <c r="AT198" i="1"/>
  <c r="AS198" i="1"/>
  <c r="AR198" i="1"/>
  <c r="AQ198" i="1"/>
  <c r="AP198" i="1"/>
  <c r="AO198" i="1"/>
  <c r="AN198" i="1"/>
  <c r="P206" i="1"/>
  <c r="U198" i="1"/>
  <c r="S198" i="1"/>
  <c r="R198" i="1"/>
  <c r="Q198" i="1"/>
  <c r="O198" i="1"/>
  <c r="O182" i="1"/>
  <c r="P178" i="1"/>
  <c r="P176" i="1"/>
  <c r="P174" i="1"/>
  <c r="O33" i="1"/>
  <c r="S33" i="1"/>
  <c r="T33" i="1"/>
  <c r="S31" i="1"/>
  <c r="T31" i="1"/>
  <c r="R31" i="1"/>
  <c r="O31" i="1"/>
  <c r="T27" i="1"/>
  <c r="S27" i="1"/>
  <c r="O27" i="1"/>
  <c r="U25" i="1"/>
  <c r="Q25" i="1"/>
  <c r="O25" i="1"/>
  <c r="O29" i="1"/>
  <c r="S23" i="1"/>
  <c r="Q23" i="1"/>
  <c r="U23" i="1"/>
  <c r="T21" i="1"/>
  <c r="O19" i="1"/>
  <c r="Q17" i="1"/>
  <c r="O17" i="1"/>
  <c r="T15" i="1"/>
  <c r="S13" i="1"/>
  <c r="R13" i="1"/>
  <c r="O11" i="1"/>
  <c r="U11" i="1"/>
  <c r="Q11" i="1"/>
  <c r="Q9" i="1"/>
  <c r="O9" i="1"/>
  <c r="S7" i="1"/>
  <c r="R7" i="1"/>
  <c r="T7" i="1"/>
  <c r="Q7" i="1"/>
  <c r="U8" i="1" l="1"/>
  <c r="P207" i="1"/>
  <c r="U199" i="1"/>
  <c r="Q199" i="1"/>
  <c r="O183" i="1"/>
  <c r="U177" i="1"/>
  <c r="T177" i="1"/>
  <c r="S177" i="1"/>
  <c r="R177" i="1"/>
  <c r="Q177" i="1"/>
  <c r="O177" i="1"/>
  <c r="U179" i="1"/>
  <c r="T179" i="1"/>
  <c r="S179" i="1"/>
  <c r="R179" i="1"/>
  <c r="Q179" i="1"/>
  <c r="O179" i="1"/>
  <c r="U175" i="1"/>
  <c r="T175" i="1"/>
  <c r="S175" i="1"/>
  <c r="R175" i="1"/>
  <c r="Q175" i="1"/>
  <c r="O175" i="1"/>
  <c r="U12" i="1"/>
  <c r="Q12" i="1"/>
  <c r="T34" i="1"/>
  <c r="S34" i="1"/>
  <c r="O34" i="1"/>
  <c r="Q18" i="1"/>
  <c r="O18" i="1"/>
  <c r="T32" i="1"/>
  <c r="S32" i="1"/>
  <c r="R32" i="1"/>
  <c r="O32" i="1"/>
  <c r="S16" i="1"/>
  <c r="O16" i="1"/>
  <c r="U26" i="1"/>
  <c r="Q26" i="1"/>
  <c r="O26" i="1"/>
  <c r="T8" i="1"/>
  <c r="S8" i="1"/>
  <c r="R8" i="1"/>
  <c r="O35" i="1"/>
  <c r="O36" i="1"/>
  <c r="U36" i="1"/>
  <c r="T36" i="1"/>
  <c r="S36" i="1"/>
  <c r="R36" i="1"/>
  <c r="Q36" i="1"/>
  <c r="P36" i="1"/>
  <c r="U35" i="1"/>
  <c r="T35" i="1"/>
  <c r="S35" i="1"/>
  <c r="R35" i="1"/>
  <c r="Q35" i="1"/>
  <c r="P35" i="1"/>
  <c r="U34" i="1"/>
  <c r="R34" i="1"/>
  <c r="Q34" i="1"/>
  <c r="P34" i="1"/>
  <c r="U33" i="1"/>
  <c r="R33" i="1"/>
  <c r="Q33" i="1"/>
  <c r="P33" i="1"/>
  <c r="U32" i="1"/>
  <c r="Q32" i="1"/>
  <c r="P32" i="1"/>
  <c r="U31" i="1"/>
  <c r="Q31" i="1"/>
  <c r="P31" i="1"/>
  <c r="U24" i="1"/>
  <c r="Q24" i="1"/>
  <c r="O24" i="1"/>
  <c r="T22" i="1"/>
  <c r="S22" i="1"/>
  <c r="O22" i="1"/>
  <c r="U20" i="1"/>
  <c r="R20" i="1"/>
  <c r="T16" i="1"/>
  <c r="S14" i="1"/>
  <c r="R14" i="1"/>
  <c r="O14" i="1"/>
  <c r="O199" i="1"/>
  <c r="T25" i="1"/>
  <c r="S21" i="1"/>
  <c r="R19" i="1"/>
  <c r="T19" i="1"/>
  <c r="S29" i="1"/>
  <c r="T30" i="1"/>
  <c r="O30" i="1"/>
  <c r="S24" i="1"/>
  <c r="O20" i="1"/>
  <c r="T28" i="1"/>
  <c r="T29" i="1"/>
  <c r="R27" i="1"/>
  <c r="R15" i="1"/>
  <c r="U14" i="1"/>
  <c r="T26" i="1"/>
  <c r="T20" i="1"/>
  <c r="T12" i="1"/>
  <c r="S30" i="1"/>
  <c r="S199" i="1"/>
  <c r="S28" i="1"/>
  <c r="R199" i="1"/>
  <c r="R28" i="1"/>
  <c r="R24" i="1"/>
  <c r="R16" i="1"/>
  <c r="P177" i="1"/>
  <c r="S15" i="1"/>
  <c r="U19" i="1"/>
  <c r="O23" i="1"/>
  <c r="O12" i="1"/>
  <c r="Q10" i="1"/>
  <c r="O10" i="1"/>
  <c r="O28" i="1"/>
  <c r="U30" i="1"/>
  <c r="R30" i="1"/>
  <c r="Q30" i="1"/>
  <c r="P30" i="1"/>
  <c r="U29" i="1"/>
  <c r="R29" i="1"/>
  <c r="Q29" i="1"/>
  <c r="P29" i="1"/>
  <c r="U28" i="1"/>
  <c r="Q28" i="1"/>
  <c r="P28" i="1"/>
  <c r="U27" i="1"/>
  <c r="Q27" i="1"/>
  <c r="P27" i="1"/>
  <c r="S26" i="1"/>
  <c r="R26" i="1"/>
  <c r="P26" i="1"/>
  <c r="S25" i="1"/>
  <c r="R25" i="1"/>
  <c r="P25" i="1"/>
  <c r="T24" i="1"/>
  <c r="P24" i="1"/>
  <c r="T23" i="1"/>
  <c r="R23" i="1"/>
  <c r="P23" i="1"/>
  <c r="Q8" i="1"/>
  <c r="O21" i="1"/>
  <c r="O15" i="1"/>
  <c r="O13" i="1"/>
  <c r="O7" i="1"/>
  <c r="U22" i="1"/>
  <c r="R22" i="1"/>
  <c r="Q22" i="1"/>
  <c r="P22" i="1"/>
  <c r="U21" i="1"/>
  <c r="R21" i="1"/>
  <c r="Q21" i="1"/>
  <c r="P21" i="1"/>
  <c r="S20" i="1"/>
  <c r="Q20" i="1"/>
  <c r="P20" i="1"/>
  <c r="S19" i="1"/>
  <c r="Q19" i="1"/>
  <c r="P19" i="1"/>
  <c r="U18" i="1"/>
  <c r="T18" i="1"/>
  <c r="S18" i="1"/>
  <c r="R18" i="1"/>
  <c r="P18" i="1"/>
  <c r="U17" i="1"/>
  <c r="T17" i="1"/>
  <c r="S17" i="1"/>
  <c r="R17" i="1"/>
  <c r="P17" i="1"/>
  <c r="U16" i="1"/>
  <c r="Q16" i="1"/>
  <c r="P16" i="1"/>
  <c r="U15" i="1"/>
  <c r="Q15" i="1"/>
  <c r="P15" i="1"/>
  <c r="T14" i="1"/>
  <c r="Q14" i="1"/>
  <c r="P14" i="1"/>
  <c r="U13" i="1"/>
  <c r="T13" i="1"/>
  <c r="Q13" i="1"/>
  <c r="P13" i="1"/>
  <c r="S12" i="1"/>
  <c r="R12" i="1"/>
  <c r="P12" i="1"/>
  <c r="T11" i="1"/>
  <c r="S11" i="1"/>
  <c r="R11" i="1"/>
  <c r="P11" i="1"/>
  <c r="U176" i="1"/>
  <c r="T176" i="1"/>
  <c r="S176" i="1"/>
  <c r="R176" i="1"/>
  <c r="Q176" i="1"/>
  <c r="O176" i="1"/>
  <c r="U178" i="1"/>
  <c r="T178" i="1"/>
  <c r="S178" i="1"/>
  <c r="R178" i="1"/>
  <c r="Q178" i="1"/>
  <c r="O178" i="1"/>
  <c r="U174" i="1"/>
  <c r="T174" i="1"/>
  <c r="S174" i="1"/>
  <c r="R174" i="1"/>
  <c r="Q174" i="1"/>
  <c r="O174" i="1"/>
  <c r="P179" i="1"/>
  <c r="P175" i="1"/>
  <c r="U207" i="1"/>
  <c r="T207" i="1"/>
  <c r="S207" i="1"/>
  <c r="R207" i="1"/>
  <c r="Q207" i="1"/>
  <c r="O207" i="1"/>
  <c r="U206" i="1"/>
  <c r="T206" i="1"/>
  <c r="S206" i="1"/>
  <c r="R206" i="1"/>
  <c r="Q206" i="1"/>
  <c r="O206" i="1"/>
  <c r="U205" i="1"/>
  <c r="T205" i="1"/>
  <c r="S205" i="1"/>
  <c r="R205" i="1"/>
  <c r="Q205" i="1"/>
  <c r="P205" i="1"/>
  <c r="O205" i="1"/>
  <c r="U204" i="1"/>
  <c r="T204" i="1"/>
  <c r="S204" i="1"/>
  <c r="R204" i="1"/>
  <c r="Q204" i="1"/>
  <c r="P204" i="1"/>
  <c r="O204" i="1"/>
  <c r="U203" i="1"/>
  <c r="T203" i="1"/>
  <c r="S203" i="1"/>
  <c r="R203" i="1"/>
  <c r="Q203" i="1"/>
  <c r="P203" i="1"/>
  <c r="O203" i="1"/>
  <c r="U202" i="1"/>
  <c r="T202" i="1"/>
  <c r="S202" i="1"/>
  <c r="R202" i="1"/>
  <c r="Q202" i="1"/>
  <c r="P202" i="1"/>
  <c r="O202" i="1"/>
  <c r="U201" i="1"/>
  <c r="T201" i="1"/>
  <c r="S201" i="1"/>
  <c r="R201" i="1"/>
  <c r="Q201" i="1"/>
  <c r="P201" i="1"/>
  <c r="O201" i="1"/>
  <c r="U200" i="1"/>
  <c r="T200" i="1"/>
  <c r="S200" i="1"/>
  <c r="R200" i="1"/>
  <c r="Q200" i="1"/>
  <c r="P200" i="1"/>
  <c r="O200" i="1"/>
  <c r="T199" i="1"/>
  <c r="P199" i="1"/>
  <c r="T198" i="1"/>
  <c r="P198" i="1"/>
  <c r="U185" i="1"/>
  <c r="T185" i="1"/>
  <c r="S185" i="1"/>
  <c r="R185" i="1"/>
  <c r="Q185" i="1"/>
  <c r="P185" i="1"/>
  <c r="O185" i="1"/>
  <c r="U184" i="1"/>
  <c r="T184" i="1"/>
  <c r="S184" i="1"/>
  <c r="R184" i="1"/>
  <c r="Q184" i="1"/>
  <c r="P184" i="1"/>
  <c r="O184" i="1"/>
  <c r="U183" i="1"/>
  <c r="T183" i="1"/>
  <c r="S183" i="1"/>
  <c r="R183" i="1"/>
  <c r="Q183" i="1"/>
  <c r="P183" i="1"/>
  <c r="U182" i="1"/>
  <c r="T182" i="1"/>
  <c r="S182" i="1"/>
  <c r="R182" i="1"/>
  <c r="Q182" i="1"/>
  <c r="P182" i="1"/>
  <c r="U181" i="1"/>
  <c r="T181" i="1"/>
  <c r="S181" i="1"/>
  <c r="R181" i="1"/>
  <c r="Q181" i="1"/>
  <c r="P181" i="1"/>
  <c r="O181" i="1"/>
  <c r="U180" i="1"/>
  <c r="T180" i="1"/>
  <c r="S180" i="1"/>
  <c r="R180" i="1"/>
  <c r="Q180" i="1"/>
  <c r="P180" i="1"/>
  <c r="O180" i="1"/>
  <c r="U10" i="1" l="1"/>
  <c r="T10" i="1"/>
  <c r="S10" i="1"/>
  <c r="R10" i="1"/>
  <c r="P10" i="1"/>
  <c r="U9" i="1"/>
  <c r="T9" i="1"/>
  <c r="S9" i="1"/>
  <c r="R9" i="1"/>
  <c r="P9" i="1"/>
  <c r="U7" i="1"/>
  <c r="P8" i="1"/>
  <c r="P7" i="1"/>
  <c r="O8" i="1"/>
  <c r="AH18" i="8" l="1"/>
  <c r="AI18" i="8"/>
  <c r="AI15" i="8" s="1"/>
  <c r="AH19" i="8"/>
  <c r="AI19" i="8"/>
  <c r="AH20" i="8"/>
  <c r="AI20" i="8"/>
  <c r="AH21" i="8"/>
  <c r="AI21" i="8"/>
  <c r="AH22" i="8"/>
  <c r="AI22" i="8"/>
  <c r="AH23" i="8"/>
  <c r="AI23" i="8"/>
  <c r="AH24" i="8"/>
  <c r="AI24" i="8"/>
  <c r="B27" i="8"/>
  <c r="B37" i="8" s="1"/>
  <c r="B47" i="8" s="1"/>
  <c r="AH29" i="8"/>
  <c r="AI29" i="8"/>
  <c r="AI26" i="8" s="1"/>
  <c r="AH30" i="8"/>
  <c r="AI30" i="8"/>
  <c r="AH31" i="8"/>
  <c r="AI31" i="8"/>
  <c r="AH32" i="8"/>
  <c r="AI32" i="8"/>
  <c r="AH33" i="8"/>
  <c r="AI33" i="8"/>
  <c r="AH34" i="8"/>
  <c r="AI34" i="8"/>
  <c r="AH39" i="8"/>
  <c r="AI39" i="8"/>
  <c r="AI36" i="8" s="1"/>
  <c r="AH40" i="8"/>
  <c r="AI40" i="8"/>
  <c r="AH41" i="8"/>
  <c r="AI41" i="8"/>
  <c r="AH42" i="8"/>
  <c r="AI42" i="8"/>
  <c r="AH43" i="8"/>
  <c r="AI43" i="8"/>
  <c r="AH44" i="8"/>
  <c r="AI44" i="8"/>
  <c r="AH49" i="8"/>
  <c r="AI49" i="8"/>
  <c r="AI46" i="8" s="1"/>
  <c r="AH50" i="8"/>
  <c r="AI50" i="8"/>
  <c r="AH51" i="8"/>
  <c r="AI51" i="8"/>
  <c r="AH52" i="8"/>
  <c r="AI52" i="8"/>
  <c r="AH53" i="8"/>
  <c r="AI53" i="8"/>
  <c r="AH107" i="8" l="1"/>
  <c r="AH108" i="8"/>
  <c r="AH109" i="8"/>
  <c r="AH110" i="8"/>
  <c r="AH111" i="8"/>
  <c r="AH112" i="8"/>
  <c r="AH113" i="8"/>
  <c r="B56" i="8"/>
  <c r="AI54" i="8"/>
  <c r="AH54" i="8"/>
  <c r="CY166" i="1" l="1"/>
  <c r="CX166" i="1"/>
  <c r="CW166" i="1"/>
  <c r="CV166" i="1"/>
  <c r="CU166" i="1"/>
  <c r="CT166" i="1"/>
  <c r="CS166" i="1"/>
  <c r="CR166" i="1"/>
  <c r="Z165" i="10" s="1"/>
  <c r="CQ166" i="1"/>
  <c r="CP166" i="1"/>
  <c r="CO166" i="1"/>
  <c r="CN166" i="1"/>
  <c r="CM166" i="1"/>
  <c r="CL166" i="1"/>
  <c r="CK166" i="1"/>
  <c r="CJ166" i="1"/>
  <c r="Y165" i="10" s="1"/>
  <c r="CI166" i="1"/>
  <c r="CH166" i="1"/>
  <c r="CG166" i="1"/>
  <c r="CF166" i="1"/>
  <c r="CE166" i="1"/>
  <c r="CD166" i="1"/>
  <c r="CC166" i="1"/>
  <c r="CB166" i="1"/>
  <c r="CA166" i="1"/>
  <c r="BZ166" i="1"/>
  <c r="BY166" i="1"/>
  <c r="BX166" i="1"/>
  <c r="BW166" i="1"/>
  <c r="BV166" i="1"/>
  <c r="BU166" i="1"/>
  <c r="BT166" i="1"/>
  <c r="W165" i="10" s="1"/>
  <c r="BS166" i="1"/>
  <c r="BR166" i="1"/>
  <c r="BQ166" i="1"/>
  <c r="BP166" i="1"/>
  <c r="BO166" i="1"/>
  <c r="BN166" i="1"/>
  <c r="BM166" i="1"/>
  <c r="BL166" i="1"/>
  <c r="V165" i="10" s="1"/>
  <c r="BK166" i="1"/>
  <c r="BJ166" i="1"/>
  <c r="BI166" i="1"/>
  <c r="BH166" i="1"/>
  <c r="BG166" i="1"/>
  <c r="BF166" i="1"/>
  <c r="BE166" i="1"/>
  <c r="BD166" i="1"/>
  <c r="U165" i="10" s="1"/>
  <c r="BC166" i="1"/>
  <c r="BB166" i="1"/>
  <c r="BA166" i="1"/>
  <c r="AZ166" i="1"/>
  <c r="AY166" i="1"/>
  <c r="AX166" i="1"/>
  <c r="AW166" i="1"/>
  <c r="AV166" i="1"/>
  <c r="T165" i="10" s="1"/>
  <c r="AU166" i="1"/>
  <c r="AT166" i="1"/>
  <c r="AS166" i="1"/>
  <c r="AR166" i="1"/>
  <c r="AQ166" i="1"/>
  <c r="AP166" i="1"/>
  <c r="AO166" i="1"/>
  <c r="AN166" i="1"/>
  <c r="S165" i="10" s="1"/>
  <c r="AM166" i="1"/>
  <c r="AL166" i="1"/>
  <c r="AK166" i="1"/>
  <c r="AJ166" i="1"/>
  <c r="AI166" i="1"/>
  <c r="AH166" i="1"/>
  <c r="AG166" i="1"/>
  <c r="AF166" i="1"/>
  <c r="AE166" i="1"/>
  <c r="AD166" i="1"/>
  <c r="AC166" i="1"/>
  <c r="AB166" i="1"/>
  <c r="AA166" i="1"/>
  <c r="Z166" i="1"/>
  <c r="Y166" i="1"/>
  <c r="X166" i="1"/>
  <c r="W166" i="1"/>
  <c r="V166" i="1"/>
  <c r="U166" i="1"/>
  <c r="T166" i="1"/>
  <c r="S166" i="1"/>
  <c r="R166" i="1"/>
  <c r="Q166" i="1"/>
  <c r="P166" i="1"/>
  <c r="O166" i="1"/>
  <c r="CY165" i="1"/>
  <c r="CX165" i="1"/>
  <c r="CW165" i="1"/>
  <c r="CV165" i="1"/>
  <c r="CU165" i="1"/>
  <c r="CT165" i="1"/>
  <c r="CS165" i="1"/>
  <c r="CR165" i="1"/>
  <c r="CQ165" i="1"/>
  <c r="CP165" i="1"/>
  <c r="CO165" i="1"/>
  <c r="CN165" i="1"/>
  <c r="CM165" i="1"/>
  <c r="CL165" i="1"/>
  <c r="CK165" i="1"/>
  <c r="CJ165" i="1"/>
  <c r="CI165" i="1"/>
  <c r="CH165" i="1"/>
  <c r="CG165" i="1"/>
  <c r="CF165" i="1"/>
  <c r="CE165" i="1"/>
  <c r="CD165" i="1"/>
  <c r="CC165" i="1"/>
  <c r="CB165" i="1"/>
  <c r="CA165" i="1"/>
  <c r="BZ165" i="1"/>
  <c r="BY165" i="1"/>
  <c r="BX165" i="1"/>
  <c r="BW165" i="1"/>
  <c r="BV165" i="1"/>
  <c r="BU165" i="1"/>
  <c r="BT165" i="1"/>
  <c r="BS165" i="1"/>
  <c r="BR165" i="1"/>
  <c r="BQ165" i="1"/>
  <c r="BP165" i="1"/>
  <c r="BO165" i="1"/>
  <c r="BN165" i="1"/>
  <c r="BM165" i="1"/>
  <c r="BL165" i="1"/>
  <c r="BK165" i="1"/>
  <c r="BJ165" i="1"/>
  <c r="BI165" i="1"/>
  <c r="BH165" i="1"/>
  <c r="BG165" i="1"/>
  <c r="BF165" i="1"/>
  <c r="BE165" i="1"/>
  <c r="BD165" i="1"/>
  <c r="BC165" i="1"/>
  <c r="BB165" i="1"/>
  <c r="BA165" i="1"/>
  <c r="AZ165" i="1"/>
  <c r="AY165" i="1"/>
  <c r="AX165" i="1"/>
  <c r="AW165" i="1"/>
  <c r="AV165" i="1"/>
  <c r="AU165" i="1"/>
  <c r="AT165" i="1"/>
  <c r="AS165" i="1"/>
  <c r="AR165" i="1"/>
  <c r="AQ165" i="1"/>
  <c r="AP165" i="1"/>
  <c r="AO165" i="1"/>
  <c r="AN165" i="1"/>
  <c r="AM165" i="1"/>
  <c r="AL165" i="1"/>
  <c r="AK165" i="1"/>
  <c r="AJ165" i="1"/>
  <c r="AI165" i="1"/>
  <c r="AH165" i="1"/>
  <c r="AG165" i="1"/>
  <c r="AF165" i="1"/>
  <c r="AE165" i="1"/>
  <c r="AD165" i="1"/>
  <c r="AC165" i="1"/>
  <c r="AB165" i="1"/>
  <c r="AA165" i="1"/>
  <c r="Z165" i="1"/>
  <c r="Y165" i="1"/>
  <c r="X165" i="1"/>
  <c r="W165" i="1"/>
  <c r="V165" i="1"/>
  <c r="U165" i="1"/>
  <c r="T165" i="1"/>
  <c r="S165" i="1"/>
  <c r="R165" i="1"/>
  <c r="Q165" i="1"/>
  <c r="P165" i="1"/>
  <c r="O165" i="1"/>
  <c r="CY164" i="1"/>
  <c r="CX164" i="1"/>
  <c r="CW164" i="1"/>
  <c r="CV164" i="1"/>
  <c r="CU164" i="1"/>
  <c r="CT164" i="1"/>
  <c r="CS164" i="1"/>
  <c r="CR164" i="1"/>
  <c r="CQ164" i="1"/>
  <c r="CP164" i="1"/>
  <c r="CO164" i="1"/>
  <c r="CN164" i="1"/>
  <c r="CM164" i="1"/>
  <c r="CL164" i="1"/>
  <c r="CK164" i="1"/>
  <c r="CJ164" i="1"/>
  <c r="CI164" i="1"/>
  <c r="CH164" i="1"/>
  <c r="CG164" i="1"/>
  <c r="CF164" i="1"/>
  <c r="CE164" i="1"/>
  <c r="CD164" i="1"/>
  <c r="CC164" i="1"/>
  <c r="CB164" i="1"/>
  <c r="CA164" i="1"/>
  <c r="BZ164" i="1"/>
  <c r="BY164" i="1"/>
  <c r="BX164" i="1"/>
  <c r="BW164" i="1"/>
  <c r="BV164" i="1"/>
  <c r="BU164" i="1"/>
  <c r="BT164" i="1"/>
  <c r="BS164" i="1"/>
  <c r="BR164" i="1"/>
  <c r="BQ164" i="1"/>
  <c r="BP164" i="1"/>
  <c r="BO164" i="1"/>
  <c r="BN164" i="1"/>
  <c r="BM164" i="1"/>
  <c r="BL164" i="1"/>
  <c r="BK164" i="1"/>
  <c r="BJ164" i="1"/>
  <c r="BI164" i="1"/>
  <c r="BH164" i="1"/>
  <c r="BG164" i="1"/>
  <c r="BF164" i="1"/>
  <c r="BE164" i="1"/>
  <c r="BD164" i="1"/>
  <c r="BC164" i="1"/>
  <c r="BB164" i="1"/>
  <c r="BA164" i="1"/>
  <c r="AZ164" i="1"/>
  <c r="AY164" i="1"/>
  <c r="AX164" i="1"/>
  <c r="AW164" i="1"/>
  <c r="AV164" i="1"/>
  <c r="AU164" i="1"/>
  <c r="AT164" i="1"/>
  <c r="AS164" i="1"/>
  <c r="AR164" i="1"/>
  <c r="AQ164" i="1"/>
  <c r="AP164" i="1"/>
  <c r="AO164" i="1"/>
  <c r="AN164" i="1"/>
  <c r="AM164" i="1"/>
  <c r="AL164" i="1"/>
  <c r="AK164" i="1"/>
  <c r="AJ164" i="1"/>
  <c r="AI164" i="1"/>
  <c r="AH164" i="1"/>
  <c r="AG164" i="1"/>
  <c r="AF164" i="1"/>
  <c r="AE164" i="1"/>
  <c r="AD164" i="1"/>
  <c r="AC164" i="1"/>
  <c r="AB164" i="1"/>
  <c r="AA164" i="1"/>
  <c r="Z164" i="1"/>
  <c r="Y164" i="1"/>
  <c r="X164" i="1"/>
  <c r="W164" i="1"/>
  <c r="V164" i="1"/>
  <c r="U164" i="1"/>
  <c r="T164" i="1"/>
  <c r="S164" i="1"/>
  <c r="R164" i="1"/>
  <c r="Q164" i="1"/>
  <c r="P164" i="1"/>
  <c r="O164" i="1"/>
  <c r="CY163" i="1"/>
  <c r="CX163" i="1"/>
  <c r="CW163" i="1"/>
  <c r="CV163" i="1"/>
  <c r="CU163" i="1"/>
  <c r="CT163" i="1"/>
  <c r="CS163" i="1"/>
  <c r="CR163" i="1"/>
  <c r="CQ163" i="1"/>
  <c r="CP163" i="1"/>
  <c r="CO163" i="1"/>
  <c r="CN163" i="1"/>
  <c r="CM163" i="1"/>
  <c r="CL163" i="1"/>
  <c r="CK163" i="1"/>
  <c r="CJ163" i="1"/>
  <c r="CI163" i="1"/>
  <c r="CH163" i="1"/>
  <c r="CG163" i="1"/>
  <c r="CF163" i="1"/>
  <c r="CE163" i="1"/>
  <c r="CD163" i="1"/>
  <c r="CC163" i="1"/>
  <c r="CB163" i="1"/>
  <c r="CA163" i="1"/>
  <c r="BZ163" i="1"/>
  <c r="BY163" i="1"/>
  <c r="BX163" i="1"/>
  <c r="BW163" i="1"/>
  <c r="BV163" i="1"/>
  <c r="BU163" i="1"/>
  <c r="BT163" i="1"/>
  <c r="BS163" i="1"/>
  <c r="BR163" i="1"/>
  <c r="BQ163" i="1"/>
  <c r="BP163" i="1"/>
  <c r="BO163" i="1"/>
  <c r="BN163" i="1"/>
  <c r="BM163" i="1"/>
  <c r="BL163" i="1"/>
  <c r="BK163" i="1"/>
  <c r="BJ163" i="1"/>
  <c r="BI163" i="1"/>
  <c r="BH163" i="1"/>
  <c r="BG163" i="1"/>
  <c r="BF163" i="1"/>
  <c r="BE163" i="1"/>
  <c r="BD163" i="1"/>
  <c r="BC163" i="1"/>
  <c r="BB163" i="1"/>
  <c r="BA163" i="1"/>
  <c r="AZ163" i="1"/>
  <c r="AY163" i="1"/>
  <c r="AX163" i="1"/>
  <c r="AW163" i="1"/>
  <c r="AV163" i="1"/>
  <c r="AU163" i="1"/>
  <c r="AT163" i="1"/>
  <c r="AS163" i="1"/>
  <c r="AR163" i="1"/>
  <c r="AQ163" i="1"/>
  <c r="AP163" i="1"/>
  <c r="AO163" i="1"/>
  <c r="AN163" i="1"/>
  <c r="AM163" i="1"/>
  <c r="AL163" i="1"/>
  <c r="AK163" i="1"/>
  <c r="AJ163" i="1"/>
  <c r="AI163" i="1"/>
  <c r="AH163" i="1"/>
  <c r="AG163" i="1"/>
  <c r="AF163" i="1"/>
  <c r="AE163" i="1"/>
  <c r="AD163" i="1"/>
  <c r="AC163" i="1"/>
  <c r="AB163" i="1"/>
  <c r="Q162" i="10" s="1"/>
  <c r="AA163" i="1"/>
  <c r="Z163" i="1"/>
  <c r="Y163" i="1"/>
  <c r="X163" i="1"/>
  <c r="W163" i="1"/>
  <c r="V163" i="1"/>
  <c r="U163" i="1"/>
  <c r="T163" i="1"/>
  <c r="S163" i="1"/>
  <c r="R163" i="1"/>
  <c r="Q163" i="1"/>
  <c r="P163" i="1"/>
  <c r="O163" i="1"/>
  <c r="CY162" i="1"/>
  <c r="CX162" i="1"/>
  <c r="CW162" i="1"/>
  <c r="CV162" i="1"/>
  <c r="CU162" i="1"/>
  <c r="CT162" i="1"/>
  <c r="CS162" i="1"/>
  <c r="CR162" i="1"/>
  <c r="CQ162" i="1"/>
  <c r="CP162" i="1"/>
  <c r="CO162" i="1"/>
  <c r="CN162" i="1"/>
  <c r="CM162" i="1"/>
  <c r="CL162" i="1"/>
  <c r="CK162" i="1"/>
  <c r="CJ162" i="1"/>
  <c r="CI162" i="1"/>
  <c r="CH162" i="1"/>
  <c r="CG162" i="1"/>
  <c r="CF162" i="1"/>
  <c r="CE162" i="1"/>
  <c r="CD162" i="1"/>
  <c r="CC162" i="1"/>
  <c r="CB162" i="1"/>
  <c r="CA162" i="1"/>
  <c r="BZ162" i="1"/>
  <c r="BY162" i="1"/>
  <c r="BX162" i="1"/>
  <c r="BW162" i="1"/>
  <c r="BV162" i="1"/>
  <c r="BU162" i="1"/>
  <c r="BT162" i="1"/>
  <c r="BS162" i="1"/>
  <c r="BR162" i="1"/>
  <c r="BQ162" i="1"/>
  <c r="BP162" i="1"/>
  <c r="BO162" i="1"/>
  <c r="BN162" i="1"/>
  <c r="BM162" i="1"/>
  <c r="BL162" i="1"/>
  <c r="BK162" i="1"/>
  <c r="BJ162" i="1"/>
  <c r="BI162" i="1"/>
  <c r="BH162" i="1"/>
  <c r="BG162" i="1"/>
  <c r="BF162" i="1"/>
  <c r="BE162" i="1"/>
  <c r="BD162" i="1"/>
  <c r="BC162" i="1"/>
  <c r="BB162" i="1"/>
  <c r="BA162" i="1"/>
  <c r="AZ162" i="1"/>
  <c r="AY162" i="1"/>
  <c r="AX162" i="1"/>
  <c r="AW162" i="1"/>
  <c r="AV162" i="1"/>
  <c r="AU162" i="1"/>
  <c r="AT162" i="1"/>
  <c r="AS162" i="1"/>
  <c r="AR162" i="1"/>
  <c r="AQ162" i="1"/>
  <c r="AP162" i="1"/>
  <c r="AO162" i="1"/>
  <c r="AN162" i="1"/>
  <c r="AM162" i="1"/>
  <c r="AL162" i="1"/>
  <c r="AK162" i="1"/>
  <c r="AJ162" i="1"/>
  <c r="AI162" i="1"/>
  <c r="AH162" i="1"/>
  <c r="AG162" i="1"/>
  <c r="AF162" i="1"/>
  <c r="AE162" i="1"/>
  <c r="AD162" i="1"/>
  <c r="AC162" i="1"/>
  <c r="AB162" i="1"/>
  <c r="AA162" i="1"/>
  <c r="Z162" i="1"/>
  <c r="Y162" i="1"/>
  <c r="X162" i="1"/>
  <c r="W162" i="1"/>
  <c r="V162" i="1"/>
  <c r="U162" i="1"/>
  <c r="T162" i="1"/>
  <c r="S162" i="1"/>
  <c r="R162" i="1"/>
  <c r="Q162" i="1"/>
  <c r="P162" i="1"/>
  <c r="O162" i="1"/>
  <c r="CY161" i="1"/>
  <c r="CX161" i="1"/>
  <c r="CW161" i="1"/>
  <c r="CV161" i="1"/>
  <c r="CU161" i="1"/>
  <c r="CT161" i="1"/>
  <c r="CS161" i="1"/>
  <c r="CR161" i="1"/>
  <c r="CQ161" i="1"/>
  <c r="CP161" i="1"/>
  <c r="CO161" i="1"/>
  <c r="CN161" i="1"/>
  <c r="CM161" i="1"/>
  <c r="CL161" i="1"/>
  <c r="CK161" i="1"/>
  <c r="CJ161" i="1"/>
  <c r="CI161" i="1"/>
  <c r="CH161" i="1"/>
  <c r="CG161" i="1"/>
  <c r="CF161" i="1"/>
  <c r="CE161" i="1"/>
  <c r="CD161" i="1"/>
  <c r="CC161" i="1"/>
  <c r="CB161" i="1"/>
  <c r="CA161" i="1"/>
  <c r="BZ161" i="1"/>
  <c r="BY161" i="1"/>
  <c r="BX161" i="1"/>
  <c r="BW161" i="1"/>
  <c r="BV161" i="1"/>
  <c r="BU161" i="1"/>
  <c r="BT161" i="1"/>
  <c r="BS161" i="1"/>
  <c r="BR161" i="1"/>
  <c r="BQ161" i="1"/>
  <c r="BP161" i="1"/>
  <c r="BO161" i="1"/>
  <c r="BN161" i="1"/>
  <c r="BM161" i="1"/>
  <c r="BL161" i="1"/>
  <c r="BK161" i="1"/>
  <c r="BJ161" i="1"/>
  <c r="BI161" i="1"/>
  <c r="BH161" i="1"/>
  <c r="BG161" i="1"/>
  <c r="BF161" i="1"/>
  <c r="BE161" i="1"/>
  <c r="BD161" i="1"/>
  <c r="BC161" i="1"/>
  <c r="BB161" i="1"/>
  <c r="BA161" i="1"/>
  <c r="AZ161" i="1"/>
  <c r="AY161" i="1"/>
  <c r="AX161" i="1"/>
  <c r="AW161" i="1"/>
  <c r="AV161" i="1"/>
  <c r="AU161" i="1"/>
  <c r="AT161" i="1"/>
  <c r="AS161" i="1"/>
  <c r="AR161" i="1"/>
  <c r="AQ161" i="1"/>
  <c r="AP161" i="1"/>
  <c r="AO161" i="1"/>
  <c r="AN161" i="1"/>
  <c r="AM161" i="1"/>
  <c r="AL161" i="1"/>
  <c r="AK161" i="1"/>
  <c r="AJ161" i="1"/>
  <c r="AI161" i="1"/>
  <c r="AH161" i="1"/>
  <c r="AG161" i="1"/>
  <c r="AF161" i="1"/>
  <c r="AE161" i="1"/>
  <c r="AD161" i="1"/>
  <c r="AC161" i="1"/>
  <c r="AB161" i="1"/>
  <c r="AA161" i="1"/>
  <c r="Z161" i="1"/>
  <c r="Y161" i="1"/>
  <c r="X161" i="1"/>
  <c r="W161" i="1"/>
  <c r="V161" i="1"/>
  <c r="U161" i="1"/>
  <c r="T161" i="1"/>
  <c r="S161" i="1"/>
  <c r="R161" i="1"/>
  <c r="Q161" i="1"/>
  <c r="P161" i="1"/>
  <c r="O161" i="1"/>
  <c r="CY160" i="1"/>
  <c r="CX160" i="1"/>
  <c r="CW160" i="1"/>
  <c r="CV160" i="1"/>
  <c r="CU160" i="1"/>
  <c r="CT160" i="1"/>
  <c r="CS160" i="1"/>
  <c r="CR160" i="1"/>
  <c r="CQ160" i="1"/>
  <c r="CP160" i="1"/>
  <c r="CO160" i="1"/>
  <c r="CN160" i="1"/>
  <c r="CM160" i="1"/>
  <c r="CL160" i="1"/>
  <c r="CK160" i="1"/>
  <c r="CJ160" i="1"/>
  <c r="CI160" i="1"/>
  <c r="CH160" i="1"/>
  <c r="CG160" i="1"/>
  <c r="CF160" i="1"/>
  <c r="CE160" i="1"/>
  <c r="CD160" i="1"/>
  <c r="CC160" i="1"/>
  <c r="CB160" i="1"/>
  <c r="CA160" i="1"/>
  <c r="BZ160" i="1"/>
  <c r="BY160" i="1"/>
  <c r="BX160" i="1"/>
  <c r="BW160" i="1"/>
  <c r="BV160" i="1"/>
  <c r="BU160" i="1"/>
  <c r="BT160" i="1"/>
  <c r="BS160" i="1"/>
  <c r="BR160" i="1"/>
  <c r="BQ160" i="1"/>
  <c r="BP160" i="1"/>
  <c r="BO160" i="1"/>
  <c r="BN160" i="1"/>
  <c r="BM160" i="1"/>
  <c r="BL160" i="1"/>
  <c r="BK160" i="1"/>
  <c r="BJ160" i="1"/>
  <c r="BI160" i="1"/>
  <c r="BH160" i="1"/>
  <c r="BG160" i="1"/>
  <c r="BF160" i="1"/>
  <c r="BE160" i="1"/>
  <c r="BD160" i="1"/>
  <c r="BC160" i="1"/>
  <c r="BB160" i="1"/>
  <c r="BA160" i="1"/>
  <c r="AZ160" i="1"/>
  <c r="AY160" i="1"/>
  <c r="AX160" i="1"/>
  <c r="AW160" i="1"/>
  <c r="AV160" i="1"/>
  <c r="AU160" i="1"/>
  <c r="AT160" i="1"/>
  <c r="AS160" i="1"/>
  <c r="AR160" i="1"/>
  <c r="AQ160" i="1"/>
  <c r="AP160" i="1"/>
  <c r="AO160" i="1"/>
  <c r="AN160" i="1"/>
  <c r="AM160" i="1"/>
  <c r="AL160" i="1"/>
  <c r="AK160" i="1"/>
  <c r="AJ160" i="1"/>
  <c r="AI160" i="1"/>
  <c r="AH160" i="1"/>
  <c r="AG160" i="1"/>
  <c r="AF160" i="1"/>
  <c r="AE160" i="1"/>
  <c r="AD160" i="1"/>
  <c r="AC160" i="1"/>
  <c r="AB160" i="1"/>
  <c r="AA160" i="1"/>
  <c r="Z160" i="1"/>
  <c r="Y160" i="1"/>
  <c r="X160" i="1"/>
  <c r="W160" i="1"/>
  <c r="V160" i="1"/>
  <c r="U160" i="1"/>
  <c r="T160" i="1"/>
  <c r="S160" i="1"/>
  <c r="R160" i="1"/>
  <c r="Q160" i="1"/>
  <c r="P160" i="1"/>
  <c r="O160" i="1"/>
  <c r="CY159" i="1"/>
  <c r="CX159" i="1"/>
  <c r="CW159" i="1"/>
  <c r="CV159" i="1"/>
  <c r="CU159" i="1"/>
  <c r="CT159" i="1"/>
  <c r="CS159" i="1"/>
  <c r="CR159" i="1"/>
  <c r="CQ159" i="1"/>
  <c r="CP159" i="1"/>
  <c r="CO159" i="1"/>
  <c r="CN159" i="1"/>
  <c r="CM159" i="1"/>
  <c r="CL159" i="1"/>
  <c r="CK159" i="1"/>
  <c r="CJ159" i="1"/>
  <c r="CI159" i="1"/>
  <c r="CH159" i="1"/>
  <c r="CG159" i="1"/>
  <c r="CF159" i="1"/>
  <c r="CE159" i="1"/>
  <c r="CD159" i="1"/>
  <c r="CC159" i="1"/>
  <c r="CB159" i="1"/>
  <c r="CA159" i="1"/>
  <c r="BZ159" i="1"/>
  <c r="BY159" i="1"/>
  <c r="BX159" i="1"/>
  <c r="BW159" i="1"/>
  <c r="BV159" i="1"/>
  <c r="BU159" i="1"/>
  <c r="BT159" i="1"/>
  <c r="BS159" i="1"/>
  <c r="BR159" i="1"/>
  <c r="BQ159" i="1"/>
  <c r="BP159" i="1"/>
  <c r="BO159" i="1"/>
  <c r="BN159" i="1"/>
  <c r="BM159" i="1"/>
  <c r="BL159" i="1"/>
  <c r="BK159" i="1"/>
  <c r="BJ159" i="1"/>
  <c r="BI159" i="1"/>
  <c r="BH159" i="1"/>
  <c r="BG159" i="1"/>
  <c r="BF159" i="1"/>
  <c r="BE159" i="1"/>
  <c r="BD159" i="1"/>
  <c r="BC159" i="1"/>
  <c r="BB159" i="1"/>
  <c r="BA159" i="1"/>
  <c r="AZ159" i="1"/>
  <c r="AY159" i="1"/>
  <c r="AX159" i="1"/>
  <c r="AW159" i="1"/>
  <c r="AV159" i="1"/>
  <c r="AU159" i="1"/>
  <c r="AT159" i="1"/>
  <c r="AS159" i="1"/>
  <c r="AR159" i="1"/>
  <c r="AQ159" i="1"/>
  <c r="AP159" i="1"/>
  <c r="AO159" i="1"/>
  <c r="AN159" i="1"/>
  <c r="AM159" i="1"/>
  <c r="AL159" i="1"/>
  <c r="AK159" i="1"/>
  <c r="AJ159" i="1"/>
  <c r="AI159" i="1"/>
  <c r="AH159" i="1"/>
  <c r="AG159" i="1"/>
  <c r="AF159" i="1"/>
  <c r="AE159" i="1"/>
  <c r="AD159" i="1"/>
  <c r="AC159" i="1"/>
  <c r="AB159" i="1"/>
  <c r="AA159" i="1"/>
  <c r="Z159" i="1"/>
  <c r="Y159" i="1"/>
  <c r="X159" i="1"/>
  <c r="W159" i="1"/>
  <c r="V159" i="1"/>
  <c r="U159" i="1"/>
  <c r="T159" i="1"/>
  <c r="S159" i="1"/>
  <c r="R159" i="1"/>
  <c r="Q159" i="1"/>
  <c r="P159" i="1"/>
  <c r="O159" i="1"/>
  <c r="CY158" i="1"/>
  <c r="CX158" i="1"/>
  <c r="CW158" i="1"/>
  <c r="CV158" i="1"/>
  <c r="CU158" i="1"/>
  <c r="CT158" i="1"/>
  <c r="CS158" i="1"/>
  <c r="CR158" i="1"/>
  <c r="CQ158" i="1"/>
  <c r="CP158" i="1"/>
  <c r="CO158" i="1"/>
  <c r="CN158" i="1"/>
  <c r="CM158" i="1"/>
  <c r="CL158" i="1"/>
  <c r="CK158" i="1"/>
  <c r="CJ158" i="1"/>
  <c r="CI158" i="1"/>
  <c r="CH158" i="1"/>
  <c r="CG158" i="1"/>
  <c r="CF158" i="1"/>
  <c r="CE158" i="1"/>
  <c r="CD158" i="1"/>
  <c r="CC158" i="1"/>
  <c r="CB158" i="1"/>
  <c r="CA158" i="1"/>
  <c r="BZ158" i="1"/>
  <c r="BY158" i="1"/>
  <c r="BX158" i="1"/>
  <c r="BW158" i="1"/>
  <c r="BV158" i="1"/>
  <c r="BU158" i="1"/>
  <c r="BT158" i="1"/>
  <c r="BS158" i="1"/>
  <c r="BR158" i="1"/>
  <c r="BQ158" i="1"/>
  <c r="BP158" i="1"/>
  <c r="BO158" i="1"/>
  <c r="BN158" i="1"/>
  <c r="BM158" i="1"/>
  <c r="BL158" i="1"/>
  <c r="BK158" i="1"/>
  <c r="BJ158" i="1"/>
  <c r="BI158" i="1"/>
  <c r="BH158" i="1"/>
  <c r="BG158" i="1"/>
  <c r="BF158" i="1"/>
  <c r="BE158" i="1"/>
  <c r="BD158" i="1"/>
  <c r="BC158" i="1"/>
  <c r="BB158" i="1"/>
  <c r="BA158" i="1"/>
  <c r="AZ158" i="1"/>
  <c r="AY158" i="1"/>
  <c r="AX158" i="1"/>
  <c r="AW158" i="1"/>
  <c r="AV158" i="1"/>
  <c r="AU158" i="1"/>
  <c r="AT158" i="1"/>
  <c r="AS158" i="1"/>
  <c r="AR158" i="1"/>
  <c r="AQ158" i="1"/>
  <c r="AP158" i="1"/>
  <c r="AO158" i="1"/>
  <c r="AN158" i="1"/>
  <c r="AM158" i="1"/>
  <c r="AL158" i="1"/>
  <c r="AK158" i="1"/>
  <c r="AJ158" i="1"/>
  <c r="AI158" i="1"/>
  <c r="AH158" i="1"/>
  <c r="AG158" i="1"/>
  <c r="AF158" i="1"/>
  <c r="AE158" i="1"/>
  <c r="AD158" i="1"/>
  <c r="AC158" i="1"/>
  <c r="AB158" i="1"/>
  <c r="AA158" i="1"/>
  <c r="Z158" i="1"/>
  <c r="Y158" i="1"/>
  <c r="X158" i="1"/>
  <c r="W158" i="1"/>
  <c r="V158" i="1"/>
  <c r="U158" i="1"/>
  <c r="T158" i="1"/>
  <c r="S158" i="1"/>
  <c r="R158" i="1"/>
  <c r="Q158" i="1"/>
  <c r="P158" i="1"/>
  <c r="O158" i="1"/>
  <c r="CY157" i="1"/>
  <c r="CX157" i="1"/>
  <c r="CW157" i="1"/>
  <c r="CV157" i="1"/>
  <c r="CU157" i="1"/>
  <c r="CT157" i="1"/>
  <c r="CS157" i="1"/>
  <c r="CR157" i="1"/>
  <c r="CQ157" i="1"/>
  <c r="CP157" i="1"/>
  <c r="CO157" i="1"/>
  <c r="CN157" i="1"/>
  <c r="CM157" i="1"/>
  <c r="CL157" i="1"/>
  <c r="CK157" i="1"/>
  <c r="CJ157" i="1"/>
  <c r="CI157" i="1"/>
  <c r="CH157" i="1"/>
  <c r="CG157" i="1"/>
  <c r="CF157" i="1"/>
  <c r="CE157" i="1"/>
  <c r="CD157" i="1"/>
  <c r="CC157" i="1"/>
  <c r="CB157" i="1"/>
  <c r="CA157" i="1"/>
  <c r="BZ157" i="1"/>
  <c r="BY157" i="1"/>
  <c r="BX157" i="1"/>
  <c r="BW157" i="1"/>
  <c r="BV157" i="1"/>
  <c r="BU157" i="1"/>
  <c r="BT157" i="1"/>
  <c r="BS157" i="1"/>
  <c r="BR157" i="1"/>
  <c r="BQ157" i="1"/>
  <c r="BP157" i="1"/>
  <c r="BO157" i="1"/>
  <c r="BN157" i="1"/>
  <c r="BM157" i="1"/>
  <c r="BL157" i="1"/>
  <c r="BK157" i="1"/>
  <c r="BJ157" i="1"/>
  <c r="BI157" i="1"/>
  <c r="BH157" i="1"/>
  <c r="BG157" i="1"/>
  <c r="BF157" i="1"/>
  <c r="BE157" i="1"/>
  <c r="BD157" i="1"/>
  <c r="BC157" i="1"/>
  <c r="BB157" i="1"/>
  <c r="BA157" i="1"/>
  <c r="AZ157" i="1"/>
  <c r="AY157" i="1"/>
  <c r="AX157" i="1"/>
  <c r="AW157" i="1"/>
  <c r="AV157" i="1"/>
  <c r="AU157" i="1"/>
  <c r="AT157" i="1"/>
  <c r="AS157" i="1"/>
  <c r="AR157" i="1"/>
  <c r="AQ157" i="1"/>
  <c r="AP157" i="1"/>
  <c r="AO157" i="1"/>
  <c r="AN157" i="1"/>
  <c r="AM157" i="1"/>
  <c r="AL157" i="1"/>
  <c r="AK157" i="1"/>
  <c r="AJ157" i="1"/>
  <c r="AI157" i="1"/>
  <c r="AH157" i="1"/>
  <c r="R156" i="10" s="1"/>
  <c r="AG157" i="1"/>
  <c r="AF157" i="1"/>
  <c r="AE157" i="1"/>
  <c r="AD157" i="1"/>
  <c r="AC157" i="1"/>
  <c r="AB157" i="1"/>
  <c r="AA157" i="1"/>
  <c r="Z157" i="1"/>
  <c r="Y157" i="1"/>
  <c r="X157" i="1"/>
  <c r="W157" i="1"/>
  <c r="V157" i="1"/>
  <c r="U157" i="1"/>
  <c r="T157" i="1"/>
  <c r="S157" i="1"/>
  <c r="R157" i="1"/>
  <c r="Q157" i="1"/>
  <c r="P157" i="1"/>
  <c r="O157" i="1"/>
  <c r="CY156" i="1"/>
  <c r="CX156" i="1"/>
  <c r="CW156" i="1"/>
  <c r="CV156" i="1"/>
  <c r="CU156" i="1"/>
  <c r="CT156" i="1"/>
  <c r="CS156" i="1"/>
  <c r="CR156" i="1"/>
  <c r="CQ156" i="1"/>
  <c r="CP156" i="1"/>
  <c r="CO156" i="1"/>
  <c r="CN156" i="1"/>
  <c r="CM156" i="1"/>
  <c r="CL156" i="1"/>
  <c r="CK156" i="1"/>
  <c r="CJ156" i="1"/>
  <c r="CI156" i="1"/>
  <c r="CH156" i="1"/>
  <c r="CG156" i="1"/>
  <c r="CF156" i="1"/>
  <c r="CE156" i="1"/>
  <c r="CD156" i="1"/>
  <c r="CC156" i="1"/>
  <c r="CB156" i="1"/>
  <c r="CA156" i="1"/>
  <c r="BZ156" i="1"/>
  <c r="BY156" i="1"/>
  <c r="BX156" i="1"/>
  <c r="BW156" i="1"/>
  <c r="BV156" i="1"/>
  <c r="BU156" i="1"/>
  <c r="BT156" i="1"/>
  <c r="BS156" i="1"/>
  <c r="BR156" i="1"/>
  <c r="BQ156" i="1"/>
  <c r="BP156" i="1"/>
  <c r="BO156" i="1"/>
  <c r="BN156" i="1"/>
  <c r="BM156" i="1"/>
  <c r="BL156" i="1"/>
  <c r="BK156" i="1"/>
  <c r="BJ156" i="1"/>
  <c r="BI156" i="1"/>
  <c r="BH156" i="1"/>
  <c r="BG156" i="1"/>
  <c r="BF156" i="1"/>
  <c r="BE156" i="1"/>
  <c r="BD156" i="1"/>
  <c r="BC156" i="1"/>
  <c r="BB156" i="1"/>
  <c r="BA156" i="1"/>
  <c r="AZ156" i="1"/>
  <c r="AY156" i="1"/>
  <c r="AX156" i="1"/>
  <c r="AW156" i="1"/>
  <c r="AV156" i="1"/>
  <c r="AU156" i="1"/>
  <c r="AT156" i="1"/>
  <c r="AS156" i="1"/>
  <c r="AR156" i="1"/>
  <c r="AQ156" i="1"/>
  <c r="AP156" i="1"/>
  <c r="AO156" i="1"/>
  <c r="AN156" i="1"/>
  <c r="AM156" i="1"/>
  <c r="AL156" i="1"/>
  <c r="AK156" i="1"/>
  <c r="AJ156" i="1"/>
  <c r="AI156" i="1"/>
  <c r="AH156" i="1"/>
  <c r="AG156" i="1"/>
  <c r="AF156" i="1"/>
  <c r="AE156" i="1"/>
  <c r="AD156" i="1"/>
  <c r="AC156" i="1"/>
  <c r="AB156" i="1"/>
  <c r="AA156" i="1"/>
  <c r="Z156" i="1"/>
  <c r="Y156" i="1"/>
  <c r="X156" i="1"/>
  <c r="W156" i="1"/>
  <c r="V156" i="1"/>
  <c r="U156" i="1"/>
  <c r="T156" i="1"/>
  <c r="S156" i="1"/>
  <c r="R156" i="1"/>
  <c r="Q156" i="1"/>
  <c r="P156" i="1"/>
  <c r="O156" i="1"/>
  <c r="CY155" i="1"/>
  <c r="CX155" i="1"/>
  <c r="CW155" i="1"/>
  <c r="CV155" i="1"/>
  <c r="CU155" i="1"/>
  <c r="CT155" i="1"/>
  <c r="CS155" i="1"/>
  <c r="CR155" i="1"/>
  <c r="CQ155" i="1"/>
  <c r="CP155" i="1"/>
  <c r="CO155" i="1"/>
  <c r="CN155" i="1"/>
  <c r="CM155" i="1"/>
  <c r="CL155" i="1"/>
  <c r="CK155" i="1"/>
  <c r="CJ155" i="1"/>
  <c r="CI155" i="1"/>
  <c r="CH155" i="1"/>
  <c r="CG155" i="1"/>
  <c r="CF155" i="1"/>
  <c r="CE155" i="1"/>
  <c r="CD155" i="1"/>
  <c r="CC155" i="1"/>
  <c r="CB155" i="1"/>
  <c r="CA155" i="1"/>
  <c r="BZ155" i="1"/>
  <c r="BY155" i="1"/>
  <c r="BX155" i="1"/>
  <c r="BW155" i="1"/>
  <c r="BV155" i="1"/>
  <c r="BU155" i="1"/>
  <c r="BT155" i="1"/>
  <c r="BS155" i="1"/>
  <c r="BR155" i="1"/>
  <c r="BQ155" i="1"/>
  <c r="BP155" i="1"/>
  <c r="BO155" i="1"/>
  <c r="BN155" i="1"/>
  <c r="BM155" i="1"/>
  <c r="BL155" i="1"/>
  <c r="BK155" i="1"/>
  <c r="BJ155" i="1"/>
  <c r="BI155" i="1"/>
  <c r="BH155" i="1"/>
  <c r="BG155" i="1"/>
  <c r="BF155" i="1"/>
  <c r="BE155" i="1"/>
  <c r="BD155" i="1"/>
  <c r="BC155" i="1"/>
  <c r="BB155" i="1"/>
  <c r="BA155" i="1"/>
  <c r="AZ155" i="1"/>
  <c r="AY155" i="1"/>
  <c r="AX155" i="1"/>
  <c r="AW155" i="1"/>
  <c r="AV155" i="1"/>
  <c r="AU155" i="1"/>
  <c r="AT155" i="1"/>
  <c r="AS155" i="1"/>
  <c r="AR155" i="1"/>
  <c r="AQ155" i="1"/>
  <c r="AP155" i="1"/>
  <c r="AO155" i="1"/>
  <c r="AN155" i="1"/>
  <c r="AM155" i="1"/>
  <c r="AL155" i="1"/>
  <c r="AK155" i="1"/>
  <c r="AJ155" i="1"/>
  <c r="AI155" i="1"/>
  <c r="AH155" i="1"/>
  <c r="AG155" i="1"/>
  <c r="AF155" i="1"/>
  <c r="AE155" i="1"/>
  <c r="AD155" i="1"/>
  <c r="AC155" i="1"/>
  <c r="AB155" i="1"/>
  <c r="AA155" i="1"/>
  <c r="Z155" i="1"/>
  <c r="Y155" i="1"/>
  <c r="X155" i="1"/>
  <c r="W155" i="1"/>
  <c r="V155" i="1"/>
  <c r="U155" i="1"/>
  <c r="T155" i="1"/>
  <c r="S155" i="1"/>
  <c r="R155" i="1"/>
  <c r="Q155" i="1"/>
  <c r="P155" i="1"/>
  <c r="O155" i="1"/>
  <c r="CY154" i="1"/>
  <c r="CX154" i="1"/>
  <c r="CW154" i="1"/>
  <c r="CV154" i="1"/>
  <c r="CU154" i="1"/>
  <c r="CT154" i="1"/>
  <c r="CS154" i="1"/>
  <c r="CR154" i="1"/>
  <c r="CQ154" i="1"/>
  <c r="CP154" i="1"/>
  <c r="CO154" i="1"/>
  <c r="CN154" i="1"/>
  <c r="CM154" i="1"/>
  <c r="CL154" i="1"/>
  <c r="CK154" i="1"/>
  <c r="CJ154" i="1"/>
  <c r="CI154" i="1"/>
  <c r="CH154" i="1"/>
  <c r="CG154" i="1"/>
  <c r="CF154" i="1"/>
  <c r="CE154" i="1"/>
  <c r="CD154" i="1"/>
  <c r="CC154" i="1"/>
  <c r="CB154" i="1"/>
  <c r="CA154" i="1"/>
  <c r="BZ154" i="1"/>
  <c r="BY154" i="1"/>
  <c r="BX154" i="1"/>
  <c r="BW154" i="1"/>
  <c r="BV154" i="1"/>
  <c r="BU154" i="1"/>
  <c r="BT154" i="1"/>
  <c r="BS154" i="1"/>
  <c r="BR154" i="1"/>
  <c r="BQ154" i="1"/>
  <c r="BP154" i="1"/>
  <c r="BO154" i="1"/>
  <c r="BN154" i="1"/>
  <c r="BM154" i="1"/>
  <c r="BL154" i="1"/>
  <c r="BK154" i="1"/>
  <c r="BJ154" i="1"/>
  <c r="BI154" i="1"/>
  <c r="BH154" i="1"/>
  <c r="BG154" i="1"/>
  <c r="BF154" i="1"/>
  <c r="BE154" i="1"/>
  <c r="BD154" i="1"/>
  <c r="BC154" i="1"/>
  <c r="BB154" i="1"/>
  <c r="BA154" i="1"/>
  <c r="AZ154" i="1"/>
  <c r="AY154" i="1"/>
  <c r="AX154" i="1"/>
  <c r="AW154" i="1"/>
  <c r="AV154" i="1"/>
  <c r="AU154" i="1"/>
  <c r="AT154" i="1"/>
  <c r="AS154" i="1"/>
  <c r="AR154" i="1"/>
  <c r="AQ154" i="1"/>
  <c r="AP154" i="1"/>
  <c r="AO154" i="1"/>
  <c r="AN154" i="1"/>
  <c r="AM154" i="1"/>
  <c r="AL154" i="1"/>
  <c r="AK154" i="1"/>
  <c r="AJ154" i="1"/>
  <c r="AI154" i="1"/>
  <c r="AH154" i="1"/>
  <c r="AG154" i="1"/>
  <c r="AF154" i="1"/>
  <c r="AE154" i="1"/>
  <c r="AD154" i="1"/>
  <c r="AC154" i="1"/>
  <c r="AB154" i="1"/>
  <c r="AA154" i="1"/>
  <c r="Z154" i="1"/>
  <c r="Y154" i="1"/>
  <c r="X154" i="1"/>
  <c r="W154" i="1"/>
  <c r="V154" i="1"/>
  <c r="U154" i="1"/>
  <c r="T154" i="1"/>
  <c r="S154" i="1"/>
  <c r="R154" i="1"/>
  <c r="Q154" i="1"/>
  <c r="P154" i="1"/>
  <c r="O154" i="1"/>
  <c r="CY153" i="1"/>
  <c r="CX153" i="1"/>
  <c r="CW153" i="1"/>
  <c r="CV153" i="1"/>
  <c r="CU153" i="1"/>
  <c r="CT153" i="1"/>
  <c r="CS153" i="1"/>
  <c r="CR153" i="1"/>
  <c r="CQ153" i="1"/>
  <c r="CP153" i="1"/>
  <c r="CO153" i="1"/>
  <c r="CN153" i="1"/>
  <c r="CM153" i="1"/>
  <c r="CL153" i="1"/>
  <c r="CK153" i="1"/>
  <c r="CJ153" i="1"/>
  <c r="CI153" i="1"/>
  <c r="CH153" i="1"/>
  <c r="CG153" i="1"/>
  <c r="CF153" i="1"/>
  <c r="CE153" i="1"/>
  <c r="CD153" i="1"/>
  <c r="CC153" i="1"/>
  <c r="CB153" i="1"/>
  <c r="CA153" i="1"/>
  <c r="BZ153" i="1"/>
  <c r="BY153" i="1"/>
  <c r="BX153" i="1"/>
  <c r="BW153" i="1"/>
  <c r="BV153" i="1"/>
  <c r="BU153" i="1"/>
  <c r="BT153" i="1"/>
  <c r="BS153" i="1"/>
  <c r="BR153" i="1"/>
  <c r="BQ153" i="1"/>
  <c r="BP153" i="1"/>
  <c r="BO153" i="1"/>
  <c r="BN153" i="1"/>
  <c r="BM153" i="1"/>
  <c r="BL153" i="1"/>
  <c r="BK153" i="1"/>
  <c r="BJ153" i="1"/>
  <c r="BI153" i="1"/>
  <c r="BH153" i="1"/>
  <c r="BG153" i="1"/>
  <c r="BF153" i="1"/>
  <c r="BE153" i="1"/>
  <c r="BD153" i="1"/>
  <c r="BC153" i="1"/>
  <c r="BB153" i="1"/>
  <c r="BA153" i="1"/>
  <c r="AZ153" i="1"/>
  <c r="AY153" i="1"/>
  <c r="AX153" i="1"/>
  <c r="AW153" i="1"/>
  <c r="AV153" i="1"/>
  <c r="AU153" i="1"/>
  <c r="AT153" i="1"/>
  <c r="AS153" i="1"/>
  <c r="AR153" i="1"/>
  <c r="AQ153" i="1"/>
  <c r="AP153" i="1"/>
  <c r="AO153" i="1"/>
  <c r="AN153" i="1"/>
  <c r="AM153" i="1"/>
  <c r="AL153" i="1"/>
  <c r="AK153" i="1"/>
  <c r="AJ153" i="1"/>
  <c r="AI153" i="1"/>
  <c r="AH153" i="1"/>
  <c r="AG153" i="1"/>
  <c r="AF153" i="1"/>
  <c r="AE153" i="1"/>
  <c r="AD153" i="1"/>
  <c r="AC153" i="1"/>
  <c r="AB153" i="1"/>
  <c r="AA153" i="1"/>
  <c r="Z153" i="1"/>
  <c r="Y153" i="1"/>
  <c r="X153" i="1"/>
  <c r="W153" i="1"/>
  <c r="V153" i="1"/>
  <c r="U153" i="1"/>
  <c r="T153" i="1"/>
  <c r="S153" i="1"/>
  <c r="R153" i="1"/>
  <c r="Q153" i="1"/>
  <c r="P153" i="1"/>
  <c r="O153" i="1"/>
  <c r="CY152" i="1"/>
  <c r="CX152" i="1"/>
  <c r="CW152" i="1"/>
  <c r="CV152" i="1"/>
  <c r="CU152" i="1"/>
  <c r="CT152" i="1"/>
  <c r="CS152" i="1"/>
  <c r="CR152" i="1"/>
  <c r="CQ152" i="1"/>
  <c r="CP152" i="1"/>
  <c r="CO152" i="1"/>
  <c r="CN152" i="1"/>
  <c r="CM152" i="1"/>
  <c r="CL152" i="1"/>
  <c r="CK152" i="1"/>
  <c r="CJ152" i="1"/>
  <c r="CI152" i="1"/>
  <c r="CH152" i="1"/>
  <c r="CG152" i="1"/>
  <c r="CF152" i="1"/>
  <c r="CE152" i="1"/>
  <c r="CD152" i="1"/>
  <c r="CC152" i="1"/>
  <c r="CB152" i="1"/>
  <c r="CA152" i="1"/>
  <c r="BZ152" i="1"/>
  <c r="BY152" i="1"/>
  <c r="BX152" i="1"/>
  <c r="BW152" i="1"/>
  <c r="BV152" i="1"/>
  <c r="BU152" i="1"/>
  <c r="BT152" i="1"/>
  <c r="BS152" i="1"/>
  <c r="BR152" i="1"/>
  <c r="BQ152" i="1"/>
  <c r="BP152" i="1"/>
  <c r="BO152" i="1"/>
  <c r="BN152" i="1"/>
  <c r="BM152" i="1"/>
  <c r="BL152" i="1"/>
  <c r="BK152" i="1"/>
  <c r="BJ152" i="1"/>
  <c r="BI152" i="1"/>
  <c r="BH152" i="1"/>
  <c r="BG152" i="1"/>
  <c r="BF152" i="1"/>
  <c r="BE152" i="1"/>
  <c r="BD152" i="1"/>
  <c r="BC152" i="1"/>
  <c r="BB152" i="1"/>
  <c r="BA152" i="1"/>
  <c r="AZ152" i="1"/>
  <c r="AY152" i="1"/>
  <c r="AX152" i="1"/>
  <c r="AW152" i="1"/>
  <c r="AV152" i="1"/>
  <c r="AU152" i="1"/>
  <c r="AT152" i="1"/>
  <c r="AS152" i="1"/>
  <c r="AR152" i="1"/>
  <c r="AQ152" i="1"/>
  <c r="AP152" i="1"/>
  <c r="AO152" i="1"/>
  <c r="AN152" i="1"/>
  <c r="AM152" i="1"/>
  <c r="AL152" i="1"/>
  <c r="AK152" i="1"/>
  <c r="AJ152" i="1"/>
  <c r="AI152" i="1"/>
  <c r="AH152" i="1"/>
  <c r="AG152" i="1"/>
  <c r="AF152" i="1"/>
  <c r="AE152" i="1"/>
  <c r="AD152" i="1"/>
  <c r="AC152" i="1"/>
  <c r="AB152" i="1"/>
  <c r="AA152" i="1"/>
  <c r="Z152" i="1"/>
  <c r="Y152" i="1"/>
  <c r="X152" i="1"/>
  <c r="W152" i="1"/>
  <c r="V152" i="1"/>
  <c r="U152" i="1"/>
  <c r="T152" i="1"/>
  <c r="S152" i="1"/>
  <c r="R152" i="1"/>
  <c r="Q152" i="1"/>
  <c r="P152" i="1"/>
  <c r="O152" i="1"/>
  <c r="CY151" i="1"/>
  <c r="CX151" i="1"/>
  <c r="CW151" i="1"/>
  <c r="CV151" i="1"/>
  <c r="CU151" i="1"/>
  <c r="CT151" i="1"/>
  <c r="CS151" i="1"/>
  <c r="CR151" i="1"/>
  <c r="CQ151" i="1"/>
  <c r="CP151" i="1"/>
  <c r="CO151" i="1"/>
  <c r="CN151" i="1"/>
  <c r="CM151" i="1"/>
  <c r="CL151" i="1"/>
  <c r="CK151" i="1"/>
  <c r="CJ151" i="1"/>
  <c r="CI151" i="1"/>
  <c r="CH151" i="1"/>
  <c r="CG151" i="1"/>
  <c r="CF151" i="1"/>
  <c r="CE151" i="1"/>
  <c r="CD151" i="1"/>
  <c r="CC151" i="1"/>
  <c r="CB151" i="1"/>
  <c r="CA151" i="1"/>
  <c r="BZ151" i="1"/>
  <c r="BY151" i="1"/>
  <c r="BX151" i="1"/>
  <c r="BW151" i="1"/>
  <c r="BV151" i="1"/>
  <c r="BU151" i="1"/>
  <c r="BT151" i="1"/>
  <c r="BS151" i="1"/>
  <c r="BR151" i="1"/>
  <c r="BQ151" i="1"/>
  <c r="BP151" i="1"/>
  <c r="BO151" i="1"/>
  <c r="BN151" i="1"/>
  <c r="BM151" i="1"/>
  <c r="BL151" i="1"/>
  <c r="BK151" i="1"/>
  <c r="BJ151" i="1"/>
  <c r="BI151" i="1"/>
  <c r="BH151" i="1"/>
  <c r="BG151" i="1"/>
  <c r="BF151" i="1"/>
  <c r="BE151" i="1"/>
  <c r="BD151" i="1"/>
  <c r="BC151" i="1"/>
  <c r="BB151" i="1"/>
  <c r="BA151" i="1"/>
  <c r="AZ151" i="1"/>
  <c r="AY151" i="1"/>
  <c r="AX151" i="1"/>
  <c r="AW151" i="1"/>
  <c r="AV151" i="1"/>
  <c r="AU151" i="1"/>
  <c r="AT151" i="1"/>
  <c r="AS151" i="1"/>
  <c r="AR151" i="1"/>
  <c r="AQ151" i="1"/>
  <c r="AP151" i="1"/>
  <c r="AO151" i="1"/>
  <c r="AN151" i="1"/>
  <c r="AM151" i="1"/>
  <c r="AL151" i="1"/>
  <c r="AK151" i="1"/>
  <c r="AJ151" i="1"/>
  <c r="AI151" i="1"/>
  <c r="AH151" i="1"/>
  <c r="AG151" i="1"/>
  <c r="AF151" i="1"/>
  <c r="AE151" i="1"/>
  <c r="AD151" i="1"/>
  <c r="AC151" i="1"/>
  <c r="AB151" i="1"/>
  <c r="AA151" i="1"/>
  <c r="Z151" i="1"/>
  <c r="Y151" i="1"/>
  <c r="X151" i="1"/>
  <c r="W151" i="1"/>
  <c r="V151" i="1"/>
  <c r="U151" i="1"/>
  <c r="T151" i="1"/>
  <c r="S151" i="1"/>
  <c r="R151" i="1"/>
  <c r="Q151" i="1"/>
  <c r="P151" i="1"/>
  <c r="O151" i="1"/>
  <c r="CY150" i="1"/>
  <c r="CX150" i="1"/>
  <c r="CW150" i="1"/>
  <c r="CV150" i="1"/>
  <c r="CU150" i="1"/>
  <c r="CT150" i="1"/>
  <c r="CS150" i="1"/>
  <c r="CR150" i="1"/>
  <c r="CQ150" i="1"/>
  <c r="CP150" i="1"/>
  <c r="CO150" i="1"/>
  <c r="CN150" i="1"/>
  <c r="CM150" i="1"/>
  <c r="CL150" i="1"/>
  <c r="CK150" i="1"/>
  <c r="CJ150" i="1"/>
  <c r="CI150" i="1"/>
  <c r="CH150" i="1"/>
  <c r="CG150" i="1"/>
  <c r="CF150" i="1"/>
  <c r="CE150" i="1"/>
  <c r="CD150" i="1"/>
  <c r="CC150" i="1"/>
  <c r="CB150" i="1"/>
  <c r="CA150" i="1"/>
  <c r="BZ150" i="1"/>
  <c r="BY150" i="1"/>
  <c r="BX150" i="1"/>
  <c r="BW150" i="1"/>
  <c r="BV150" i="1"/>
  <c r="BU150" i="1"/>
  <c r="BT150" i="1"/>
  <c r="BS150" i="1"/>
  <c r="BR150" i="1"/>
  <c r="BQ150" i="1"/>
  <c r="BP150" i="1"/>
  <c r="BO150" i="1"/>
  <c r="BN150" i="1"/>
  <c r="BM150" i="1"/>
  <c r="BL150" i="1"/>
  <c r="BK150" i="1"/>
  <c r="BJ150" i="1"/>
  <c r="BI150" i="1"/>
  <c r="BH150" i="1"/>
  <c r="BG150" i="1"/>
  <c r="BF150" i="1"/>
  <c r="BE150" i="1"/>
  <c r="BD150" i="1"/>
  <c r="BC150" i="1"/>
  <c r="BB150" i="1"/>
  <c r="BA150" i="1"/>
  <c r="AZ150" i="1"/>
  <c r="AY150" i="1"/>
  <c r="AX150" i="1"/>
  <c r="AW150" i="1"/>
  <c r="AV150" i="1"/>
  <c r="AU150" i="1"/>
  <c r="AT150" i="1"/>
  <c r="AS150" i="1"/>
  <c r="AR150" i="1"/>
  <c r="AQ150" i="1"/>
  <c r="AP150" i="1"/>
  <c r="AO150" i="1"/>
  <c r="AN150" i="1"/>
  <c r="AM150" i="1"/>
  <c r="AL150" i="1"/>
  <c r="AK150" i="1"/>
  <c r="AJ150" i="1"/>
  <c r="AI150" i="1"/>
  <c r="AH150" i="1"/>
  <c r="AG150" i="1"/>
  <c r="AF150" i="1"/>
  <c r="AE150" i="1"/>
  <c r="AD150" i="1"/>
  <c r="AC150" i="1"/>
  <c r="AB150" i="1"/>
  <c r="AA150" i="1"/>
  <c r="Z150" i="1"/>
  <c r="Y150" i="1"/>
  <c r="X150" i="1"/>
  <c r="W150" i="1"/>
  <c r="V150" i="1"/>
  <c r="U150" i="1"/>
  <c r="T150" i="1"/>
  <c r="S150" i="1"/>
  <c r="R150" i="1"/>
  <c r="Q150" i="1"/>
  <c r="P150" i="1"/>
  <c r="O150" i="1"/>
  <c r="CY149" i="1"/>
  <c r="CX149" i="1"/>
  <c r="CW149" i="1"/>
  <c r="CV149" i="1"/>
  <c r="CU149" i="1"/>
  <c r="CT149" i="1"/>
  <c r="CS149" i="1"/>
  <c r="CR149" i="1"/>
  <c r="CQ149" i="1"/>
  <c r="CP149" i="1"/>
  <c r="CO149" i="1"/>
  <c r="CN149" i="1"/>
  <c r="CM149" i="1"/>
  <c r="CL149" i="1"/>
  <c r="CK149" i="1"/>
  <c r="CJ149" i="1"/>
  <c r="CI149" i="1"/>
  <c r="CH149" i="1"/>
  <c r="CG149" i="1"/>
  <c r="CF149" i="1"/>
  <c r="CE149" i="1"/>
  <c r="CD149" i="1"/>
  <c r="CC149" i="1"/>
  <c r="CB149" i="1"/>
  <c r="CA149" i="1"/>
  <c r="BZ149" i="1"/>
  <c r="BY149" i="1"/>
  <c r="BX149" i="1"/>
  <c r="BW149" i="1"/>
  <c r="BV149" i="1"/>
  <c r="BU149" i="1"/>
  <c r="BT149" i="1"/>
  <c r="BS149" i="1"/>
  <c r="BR149" i="1"/>
  <c r="BQ149" i="1"/>
  <c r="BP149" i="1"/>
  <c r="BO149" i="1"/>
  <c r="BN149" i="1"/>
  <c r="BM149" i="1"/>
  <c r="BL149" i="1"/>
  <c r="BK149" i="1"/>
  <c r="BJ149" i="1"/>
  <c r="BI149" i="1"/>
  <c r="BH149" i="1"/>
  <c r="BG149" i="1"/>
  <c r="BF149" i="1"/>
  <c r="BE149" i="1"/>
  <c r="BD149" i="1"/>
  <c r="BC149" i="1"/>
  <c r="BB149" i="1"/>
  <c r="BA149" i="1"/>
  <c r="AZ149" i="1"/>
  <c r="AY149" i="1"/>
  <c r="AX149" i="1"/>
  <c r="AW149" i="1"/>
  <c r="AV149" i="1"/>
  <c r="AU149" i="1"/>
  <c r="AT149" i="1"/>
  <c r="AS149" i="1"/>
  <c r="AR149" i="1"/>
  <c r="AQ149" i="1"/>
  <c r="AP149" i="1"/>
  <c r="AO149" i="1"/>
  <c r="AN149" i="1"/>
  <c r="AM149" i="1"/>
  <c r="AL149" i="1"/>
  <c r="AK149" i="1"/>
  <c r="AJ149" i="1"/>
  <c r="AI149" i="1"/>
  <c r="AH149" i="1"/>
  <c r="AG149" i="1"/>
  <c r="AF149" i="1"/>
  <c r="AE149" i="1"/>
  <c r="AD149" i="1"/>
  <c r="AC149" i="1"/>
  <c r="AB149" i="1"/>
  <c r="AA149" i="1"/>
  <c r="Z149" i="1"/>
  <c r="Y149" i="1"/>
  <c r="X149" i="1"/>
  <c r="W149" i="1"/>
  <c r="V149" i="1"/>
  <c r="U149" i="1"/>
  <c r="T149" i="1"/>
  <c r="S149" i="1"/>
  <c r="R149" i="1"/>
  <c r="Q149" i="1"/>
  <c r="P149" i="1"/>
  <c r="O149" i="1"/>
  <c r="CY148" i="1"/>
  <c r="CX148" i="1"/>
  <c r="CW148" i="1"/>
  <c r="CV148" i="1"/>
  <c r="CU148" i="1"/>
  <c r="CT148" i="1"/>
  <c r="CS148" i="1"/>
  <c r="CR148" i="1"/>
  <c r="CQ148" i="1"/>
  <c r="CP148" i="1"/>
  <c r="CO148" i="1"/>
  <c r="CN148" i="1"/>
  <c r="CM148" i="1"/>
  <c r="CL148" i="1"/>
  <c r="CK148" i="1"/>
  <c r="CJ148" i="1"/>
  <c r="CI148" i="1"/>
  <c r="CH148" i="1"/>
  <c r="CG148" i="1"/>
  <c r="CF148" i="1"/>
  <c r="CE148" i="1"/>
  <c r="CD148" i="1"/>
  <c r="CC148" i="1"/>
  <c r="CB148" i="1"/>
  <c r="CA148" i="1"/>
  <c r="BZ148" i="1"/>
  <c r="BY148" i="1"/>
  <c r="BX148" i="1"/>
  <c r="BW148" i="1"/>
  <c r="BV148" i="1"/>
  <c r="BU148" i="1"/>
  <c r="BT148" i="1"/>
  <c r="BS148" i="1"/>
  <c r="BR148" i="1"/>
  <c r="BQ148" i="1"/>
  <c r="BP148" i="1"/>
  <c r="BO148" i="1"/>
  <c r="BN148" i="1"/>
  <c r="BM148" i="1"/>
  <c r="BL148" i="1"/>
  <c r="BK148" i="1"/>
  <c r="BJ148" i="1"/>
  <c r="BI148" i="1"/>
  <c r="BH148" i="1"/>
  <c r="BG148" i="1"/>
  <c r="BF148" i="1"/>
  <c r="BE148" i="1"/>
  <c r="BD148" i="1"/>
  <c r="BC148" i="1"/>
  <c r="BB148" i="1"/>
  <c r="BA148" i="1"/>
  <c r="AZ148" i="1"/>
  <c r="AY148" i="1"/>
  <c r="AX148" i="1"/>
  <c r="AW148" i="1"/>
  <c r="AV148" i="1"/>
  <c r="AU148" i="1"/>
  <c r="AT148" i="1"/>
  <c r="AS148" i="1"/>
  <c r="AR148" i="1"/>
  <c r="AQ148" i="1"/>
  <c r="AP148" i="1"/>
  <c r="AO148" i="1"/>
  <c r="AN148" i="1"/>
  <c r="AM148" i="1"/>
  <c r="AL148" i="1"/>
  <c r="AK148" i="1"/>
  <c r="AJ148" i="1"/>
  <c r="AI148" i="1"/>
  <c r="AH148" i="1"/>
  <c r="AG148" i="1"/>
  <c r="AF148" i="1"/>
  <c r="AE148" i="1"/>
  <c r="AD148" i="1"/>
  <c r="AC148" i="1"/>
  <c r="AB148" i="1"/>
  <c r="AA148" i="1"/>
  <c r="Z148" i="1"/>
  <c r="Y148" i="1"/>
  <c r="X148" i="1"/>
  <c r="W148" i="1"/>
  <c r="V148" i="1"/>
  <c r="U148" i="1"/>
  <c r="T148" i="1"/>
  <c r="S148" i="1"/>
  <c r="R148" i="1"/>
  <c r="Q148" i="1"/>
  <c r="P148" i="1"/>
  <c r="O148" i="1"/>
  <c r="CY147" i="1"/>
  <c r="CX147" i="1"/>
  <c r="CW147" i="1"/>
  <c r="CV147" i="1"/>
  <c r="CU147" i="1"/>
  <c r="CT147" i="1"/>
  <c r="CS147" i="1"/>
  <c r="CR147" i="1"/>
  <c r="CQ147" i="1"/>
  <c r="CP147" i="1"/>
  <c r="CO147" i="1"/>
  <c r="CN147" i="1"/>
  <c r="CM147" i="1"/>
  <c r="CL147" i="1"/>
  <c r="CK147" i="1"/>
  <c r="CJ147" i="1"/>
  <c r="CI147" i="1"/>
  <c r="CH147" i="1"/>
  <c r="CG147" i="1"/>
  <c r="CF147" i="1"/>
  <c r="CE147" i="1"/>
  <c r="CD147" i="1"/>
  <c r="CC147" i="1"/>
  <c r="CB147" i="1"/>
  <c r="CA147" i="1"/>
  <c r="BZ147" i="1"/>
  <c r="BY147" i="1"/>
  <c r="BX147" i="1"/>
  <c r="BW147" i="1"/>
  <c r="BV147" i="1"/>
  <c r="BU147" i="1"/>
  <c r="BT147" i="1"/>
  <c r="BS147" i="1"/>
  <c r="BR147" i="1"/>
  <c r="BQ147" i="1"/>
  <c r="BP147" i="1"/>
  <c r="BO147" i="1"/>
  <c r="BN147" i="1"/>
  <c r="BM147" i="1"/>
  <c r="BL147" i="1"/>
  <c r="BK147" i="1"/>
  <c r="BJ147" i="1"/>
  <c r="BI147" i="1"/>
  <c r="BH147" i="1"/>
  <c r="BG147" i="1"/>
  <c r="BF147" i="1"/>
  <c r="BE147" i="1"/>
  <c r="BD147" i="1"/>
  <c r="BC147" i="1"/>
  <c r="BB147" i="1"/>
  <c r="BA147" i="1"/>
  <c r="AZ147" i="1"/>
  <c r="AY147" i="1"/>
  <c r="AX147" i="1"/>
  <c r="AW147" i="1"/>
  <c r="AV147" i="1"/>
  <c r="AU147" i="1"/>
  <c r="AT147" i="1"/>
  <c r="AS147" i="1"/>
  <c r="AR147" i="1"/>
  <c r="AQ147" i="1"/>
  <c r="AP147" i="1"/>
  <c r="AO147" i="1"/>
  <c r="AN147" i="1"/>
  <c r="AM147" i="1"/>
  <c r="AL147" i="1"/>
  <c r="AK147" i="1"/>
  <c r="AJ147" i="1"/>
  <c r="AI147" i="1"/>
  <c r="AH147" i="1"/>
  <c r="AG147" i="1"/>
  <c r="AF147" i="1"/>
  <c r="AE147" i="1"/>
  <c r="AD147" i="1"/>
  <c r="AC147" i="1"/>
  <c r="AB147" i="1"/>
  <c r="AA147" i="1"/>
  <c r="Z147" i="1"/>
  <c r="Y147" i="1"/>
  <c r="X147" i="1"/>
  <c r="W147" i="1"/>
  <c r="V147" i="1"/>
  <c r="U147" i="1"/>
  <c r="T147" i="1"/>
  <c r="S147" i="1"/>
  <c r="R147" i="1"/>
  <c r="Q147" i="1"/>
  <c r="P147" i="1"/>
  <c r="O147" i="1"/>
  <c r="CY146" i="1"/>
  <c r="CX146" i="1"/>
  <c r="CW146" i="1"/>
  <c r="CV146" i="1"/>
  <c r="CU146" i="1"/>
  <c r="CT146" i="1"/>
  <c r="CS146" i="1"/>
  <c r="CR146" i="1"/>
  <c r="CQ146" i="1"/>
  <c r="CP146" i="1"/>
  <c r="CO146" i="1"/>
  <c r="CN146" i="1"/>
  <c r="CM146" i="1"/>
  <c r="CL146" i="1"/>
  <c r="CK146" i="1"/>
  <c r="CJ146" i="1"/>
  <c r="CI146" i="1"/>
  <c r="CH146" i="1"/>
  <c r="CG146" i="1"/>
  <c r="CF146" i="1"/>
  <c r="CE146" i="1"/>
  <c r="CD146" i="1"/>
  <c r="CC146" i="1"/>
  <c r="CB146" i="1"/>
  <c r="CA146" i="1"/>
  <c r="BZ146" i="1"/>
  <c r="BY146" i="1"/>
  <c r="BX146" i="1"/>
  <c r="BW146" i="1"/>
  <c r="BV146" i="1"/>
  <c r="BU146" i="1"/>
  <c r="BT146" i="1"/>
  <c r="BS146" i="1"/>
  <c r="BR146" i="1"/>
  <c r="BQ146" i="1"/>
  <c r="BP146" i="1"/>
  <c r="BO146" i="1"/>
  <c r="BN146" i="1"/>
  <c r="BM146" i="1"/>
  <c r="BL146" i="1"/>
  <c r="BK146" i="1"/>
  <c r="BJ146" i="1"/>
  <c r="BI146" i="1"/>
  <c r="BH146" i="1"/>
  <c r="BG146" i="1"/>
  <c r="BF146" i="1"/>
  <c r="BE146" i="1"/>
  <c r="BD146" i="1"/>
  <c r="BC146" i="1"/>
  <c r="BB146" i="1"/>
  <c r="BA146" i="1"/>
  <c r="AZ146" i="1"/>
  <c r="AY146" i="1"/>
  <c r="AX146" i="1"/>
  <c r="AW146" i="1"/>
  <c r="AV146" i="1"/>
  <c r="AU146" i="1"/>
  <c r="AT146" i="1"/>
  <c r="AS146" i="1"/>
  <c r="AR146" i="1"/>
  <c r="AQ146" i="1"/>
  <c r="AP146" i="1"/>
  <c r="AO146" i="1"/>
  <c r="AN146" i="1"/>
  <c r="AM146" i="1"/>
  <c r="AL146" i="1"/>
  <c r="AK146" i="1"/>
  <c r="AJ146" i="1"/>
  <c r="AI146" i="1"/>
  <c r="AH146" i="1"/>
  <c r="AG146" i="1"/>
  <c r="AF146" i="1"/>
  <c r="AE146" i="1"/>
  <c r="AD146" i="1"/>
  <c r="AC146" i="1"/>
  <c r="AB146" i="1"/>
  <c r="AA146" i="1"/>
  <c r="Z146" i="1"/>
  <c r="Y146" i="1"/>
  <c r="X146" i="1"/>
  <c r="W146" i="1"/>
  <c r="V146" i="1"/>
  <c r="U146" i="1"/>
  <c r="T146" i="1"/>
  <c r="S146" i="1"/>
  <c r="R146" i="1"/>
  <c r="Q146" i="1"/>
  <c r="P146" i="1"/>
  <c r="O146" i="1"/>
  <c r="CY145" i="1"/>
  <c r="CX145" i="1"/>
  <c r="CW145" i="1"/>
  <c r="CV145" i="1"/>
  <c r="CU145" i="1"/>
  <c r="CT145" i="1"/>
  <c r="CS145" i="1"/>
  <c r="CR145" i="1"/>
  <c r="CQ145" i="1"/>
  <c r="CP145" i="1"/>
  <c r="CO145" i="1"/>
  <c r="CN145" i="1"/>
  <c r="CM145" i="1"/>
  <c r="CL145" i="1"/>
  <c r="CK145" i="1"/>
  <c r="CJ145" i="1"/>
  <c r="CI145" i="1"/>
  <c r="CH145" i="1"/>
  <c r="CG145" i="1"/>
  <c r="CF145" i="1"/>
  <c r="CE145" i="1"/>
  <c r="CD145" i="1"/>
  <c r="CC145" i="1"/>
  <c r="CB145" i="1"/>
  <c r="CA145" i="1"/>
  <c r="BZ145" i="1"/>
  <c r="BY145" i="1"/>
  <c r="BX145" i="1"/>
  <c r="BW145" i="1"/>
  <c r="BV145" i="1"/>
  <c r="BU145" i="1"/>
  <c r="BT145" i="1"/>
  <c r="BS145" i="1"/>
  <c r="BR145" i="1"/>
  <c r="BQ145" i="1"/>
  <c r="BP145" i="1"/>
  <c r="BO145" i="1"/>
  <c r="BN145" i="1"/>
  <c r="BM145" i="1"/>
  <c r="BL145" i="1"/>
  <c r="BK145" i="1"/>
  <c r="BJ145" i="1"/>
  <c r="BI145" i="1"/>
  <c r="BH145" i="1"/>
  <c r="BG145" i="1"/>
  <c r="BF145" i="1"/>
  <c r="BE145" i="1"/>
  <c r="BD145" i="1"/>
  <c r="BC145" i="1"/>
  <c r="BB145" i="1"/>
  <c r="BA145" i="1"/>
  <c r="AZ145" i="1"/>
  <c r="AY145" i="1"/>
  <c r="AX145" i="1"/>
  <c r="AW145" i="1"/>
  <c r="AV145" i="1"/>
  <c r="AU145" i="1"/>
  <c r="AT145" i="1"/>
  <c r="AS145" i="1"/>
  <c r="AR145" i="1"/>
  <c r="AQ145" i="1"/>
  <c r="AP145" i="1"/>
  <c r="AO145" i="1"/>
  <c r="AN145" i="1"/>
  <c r="AM145" i="1"/>
  <c r="AL145" i="1"/>
  <c r="AK145" i="1"/>
  <c r="AJ145" i="1"/>
  <c r="AI145" i="1"/>
  <c r="AH145" i="1"/>
  <c r="AG145" i="1"/>
  <c r="AF145" i="1"/>
  <c r="AE145" i="1"/>
  <c r="AD145" i="1"/>
  <c r="AC145" i="1"/>
  <c r="AB145" i="1"/>
  <c r="AA145" i="1"/>
  <c r="Z145" i="1"/>
  <c r="Y145" i="1"/>
  <c r="X145" i="1"/>
  <c r="W145" i="1"/>
  <c r="V145" i="1"/>
  <c r="U145" i="1"/>
  <c r="T145" i="1"/>
  <c r="S145" i="1"/>
  <c r="R145" i="1"/>
  <c r="Q145" i="1"/>
  <c r="P145" i="1"/>
  <c r="O145" i="1"/>
  <c r="CY144" i="1"/>
  <c r="CX144" i="1"/>
  <c r="CW144" i="1"/>
  <c r="CV144" i="1"/>
  <c r="CU144" i="1"/>
  <c r="CT144" i="1"/>
  <c r="CS144" i="1"/>
  <c r="CR144" i="1"/>
  <c r="CQ144" i="1"/>
  <c r="CP144" i="1"/>
  <c r="CO144" i="1"/>
  <c r="CN144" i="1"/>
  <c r="CM144" i="1"/>
  <c r="CL144" i="1"/>
  <c r="CK144" i="1"/>
  <c r="CJ144" i="1"/>
  <c r="CI144" i="1"/>
  <c r="CH144" i="1"/>
  <c r="CG144" i="1"/>
  <c r="CF144" i="1"/>
  <c r="CE144" i="1"/>
  <c r="CD144" i="1"/>
  <c r="CC144" i="1"/>
  <c r="CB144" i="1"/>
  <c r="CA144" i="1"/>
  <c r="BZ144" i="1"/>
  <c r="BY144" i="1"/>
  <c r="BX144" i="1"/>
  <c r="BW144" i="1"/>
  <c r="BV144" i="1"/>
  <c r="BU144" i="1"/>
  <c r="BT144" i="1"/>
  <c r="BS144" i="1"/>
  <c r="BR144" i="1"/>
  <c r="BQ144" i="1"/>
  <c r="BP144" i="1"/>
  <c r="BO144" i="1"/>
  <c r="BN144" i="1"/>
  <c r="BM144" i="1"/>
  <c r="BL144" i="1"/>
  <c r="BK144" i="1"/>
  <c r="BJ144" i="1"/>
  <c r="BI144" i="1"/>
  <c r="BH144" i="1"/>
  <c r="BG144" i="1"/>
  <c r="BF144" i="1"/>
  <c r="BE144" i="1"/>
  <c r="BD144" i="1"/>
  <c r="BC144" i="1"/>
  <c r="BB144" i="1"/>
  <c r="BA144" i="1"/>
  <c r="AZ144" i="1"/>
  <c r="AY144" i="1"/>
  <c r="AX144" i="1"/>
  <c r="AW144" i="1"/>
  <c r="AV144" i="1"/>
  <c r="AU144" i="1"/>
  <c r="AT144" i="1"/>
  <c r="AS144" i="1"/>
  <c r="AR144" i="1"/>
  <c r="AQ144" i="1"/>
  <c r="AP144" i="1"/>
  <c r="AO144" i="1"/>
  <c r="AN144" i="1"/>
  <c r="AM144" i="1"/>
  <c r="AL144" i="1"/>
  <c r="AK144" i="1"/>
  <c r="AJ144" i="1"/>
  <c r="AI144" i="1"/>
  <c r="AH144" i="1"/>
  <c r="AG144" i="1"/>
  <c r="AF144" i="1"/>
  <c r="AE144" i="1"/>
  <c r="AD144" i="1"/>
  <c r="AC144" i="1"/>
  <c r="AB144" i="1"/>
  <c r="AA144" i="1"/>
  <c r="Z144" i="1"/>
  <c r="Y144" i="1"/>
  <c r="X144" i="1"/>
  <c r="W144" i="1"/>
  <c r="V144" i="1"/>
  <c r="U144" i="1"/>
  <c r="T144" i="1"/>
  <c r="S144" i="1"/>
  <c r="R144" i="1"/>
  <c r="Q144" i="1"/>
  <c r="P144" i="1"/>
  <c r="O144" i="1"/>
  <c r="CY143" i="1"/>
  <c r="CX143" i="1"/>
  <c r="CW143" i="1"/>
  <c r="CV143" i="1"/>
  <c r="CU143" i="1"/>
  <c r="CT143" i="1"/>
  <c r="CS143" i="1"/>
  <c r="CR143" i="1"/>
  <c r="CQ143" i="1"/>
  <c r="CP143" i="1"/>
  <c r="CO143" i="1"/>
  <c r="CN143" i="1"/>
  <c r="CM143" i="1"/>
  <c r="CL143" i="1"/>
  <c r="CK143" i="1"/>
  <c r="CJ143" i="1"/>
  <c r="CI143" i="1"/>
  <c r="CH143" i="1"/>
  <c r="CG143" i="1"/>
  <c r="CF143" i="1"/>
  <c r="CE143" i="1"/>
  <c r="CD143" i="1"/>
  <c r="CC143" i="1"/>
  <c r="CB143" i="1"/>
  <c r="CA143" i="1"/>
  <c r="BZ143" i="1"/>
  <c r="BY143" i="1"/>
  <c r="BX143" i="1"/>
  <c r="BW143" i="1"/>
  <c r="BV143" i="1"/>
  <c r="BU143" i="1"/>
  <c r="BT143" i="1"/>
  <c r="BS143" i="1"/>
  <c r="BR143" i="1"/>
  <c r="BQ143" i="1"/>
  <c r="BP143" i="1"/>
  <c r="BO143" i="1"/>
  <c r="BN143" i="1"/>
  <c r="BM143" i="1"/>
  <c r="BL143" i="1"/>
  <c r="BK143" i="1"/>
  <c r="BJ143" i="1"/>
  <c r="BI143" i="1"/>
  <c r="BH143" i="1"/>
  <c r="BG143" i="1"/>
  <c r="BF143" i="1"/>
  <c r="BE143" i="1"/>
  <c r="BD143" i="1"/>
  <c r="BC143" i="1"/>
  <c r="BB143" i="1"/>
  <c r="BA143" i="1"/>
  <c r="AZ143" i="1"/>
  <c r="AY143" i="1"/>
  <c r="AX143" i="1"/>
  <c r="AW143" i="1"/>
  <c r="AV143" i="1"/>
  <c r="AU143" i="1"/>
  <c r="AT143" i="1"/>
  <c r="AS143" i="1"/>
  <c r="AR143" i="1"/>
  <c r="AQ143" i="1"/>
  <c r="AP143" i="1"/>
  <c r="AO143" i="1"/>
  <c r="AN143" i="1"/>
  <c r="AM143" i="1"/>
  <c r="AL143" i="1"/>
  <c r="AK143" i="1"/>
  <c r="AJ143" i="1"/>
  <c r="AI143" i="1"/>
  <c r="AH143" i="1"/>
  <c r="AG143" i="1"/>
  <c r="AF143" i="1"/>
  <c r="AE143" i="1"/>
  <c r="AD143" i="1"/>
  <c r="AC143" i="1"/>
  <c r="AB143" i="1"/>
  <c r="AA143" i="1"/>
  <c r="Z143" i="1"/>
  <c r="Y143" i="1"/>
  <c r="X143" i="1"/>
  <c r="W143" i="1"/>
  <c r="V143" i="1"/>
  <c r="U143" i="1"/>
  <c r="T143" i="1"/>
  <c r="S143" i="1"/>
  <c r="R143" i="1"/>
  <c r="Q143" i="1"/>
  <c r="P143" i="1"/>
  <c r="O143" i="1"/>
  <c r="CY142" i="1"/>
  <c r="CX142" i="1"/>
  <c r="CW142" i="1"/>
  <c r="CV142" i="1"/>
  <c r="CU142" i="1"/>
  <c r="CT142" i="1"/>
  <c r="CS142" i="1"/>
  <c r="CR142" i="1"/>
  <c r="CQ142" i="1"/>
  <c r="CP142" i="1"/>
  <c r="CO142" i="1"/>
  <c r="CN142" i="1"/>
  <c r="CM142" i="1"/>
  <c r="CL142" i="1"/>
  <c r="CK142" i="1"/>
  <c r="CJ142" i="1"/>
  <c r="CI142" i="1"/>
  <c r="CH142" i="1"/>
  <c r="CG142" i="1"/>
  <c r="CF142" i="1"/>
  <c r="CE142" i="1"/>
  <c r="CD142" i="1"/>
  <c r="CC142" i="1"/>
  <c r="CB142" i="1"/>
  <c r="CA142" i="1"/>
  <c r="BZ142" i="1"/>
  <c r="BY142" i="1"/>
  <c r="BX142" i="1"/>
  <c r="BW142" i="1"/>
  <c r="BV142" i="1"/>
  <c r="BU142" i="1"/>
  <c r="BT142" i="1"/>
  <c r="BS142" i="1"/>
  <c r="BR142" i="1"/>
  <c r="BQ142" i="1"/>
  <c r="BP142" i="1"/>
  <c r="BO142" i="1"/>
  <c r="BN142" i="1"/>
  <c r="BM142" i="1"/>
  <c r="BL142" i="1"/>
  <c r="BK142" i="1"/>
  <c r="BJ142" i="1"/>
  <c r="BI142" i="1"/>
  <c r="BH142" i="1"/>
  <c r="BG142" i="1"/>
  <c r="BF142" i="1"/>
  <c r="BE142" i="1"/>
  <c r="BD142" i="1"/>
  <c r="BC142" i="1"/>
  <c r="BB142" i="1"/>
  <c r="BA142" i="1"/>
  <c r="AZ142" i="1"/>
  <c r="AY142" i="1"/>
  <c r="AX142" i="1"/>
  <c r="AW142" i="1"/>
  <c r="AV142" i="1"/>
  <c r="AU142" i="1"/>
  <c r="AT142" i="1"/>
  <c r="AS142" i="1"/>
  <c r="AR142" i="1"/>
  <c r="AQ142" i="1"/>
  <c r="AP142" i="1"/>
  <c r="AO142" i="1"/>
  <c r="AN142" i="1"/>
  <c r="AM142" i="1"/>
  <c r="AL142" i="1"/>
  <c r="AK142" i="1"/>
  <c r="AJ142" i="1"/>
  <c r="AI142" i="1"/>
  <c r="AH142" i="1"/>
  <c r="AG142" i="1"/>
  <c r="AF142" i="1"/>
  <c r="AE142" i="1"/>
  <c r="AD142" i="1"/>
  <c r="AC142" i="1"/>
  <c r="AB142" i="1"/>
  <c r="AA142" i="1"/>
  <c r="Z142" i="1"/>
  <c r="Y142" i="1"/>
  <c r="X142" i="1"/>
  <c r="W142" i="1"/>
  <c r="V142" i="1"/>
  <c r="U142" i="1"/>
  <c r="T142" i="1"/>
  <c r="S142" i="1"/>
  <c r="R142" i="1"/>
  <c r="Q142" i="1"/>
  <c r="P142" i="1"/>
  <c r="O142" i="1"/>
  <c r="CY141" i="1"/>
  <c r="CX141" i="1"/>
  <c r="CW141" i="1"/>
  <c r="CV141" i="1"/>
  <c r="CU141" i="1"/>
  <c r="CT141" i="1"/>
  <c r="CS141" i="1"/>
  <c r="CR141" i="1"/>
  <c r="CQ141" i="1"/>
  <c r="CP141" i="1"/>
  <c r="CO141" i="1"/>
  <c r="CN141" i="1"/>
  <c r="CM141" i="1"/>
  <c r="CL141" i="1"/>
  <c r="CK141" i="1"/>
  <c r="CJ141" i="1"/>
  <c r="CI141" i="1"/>
  <c r="CH141" i="1"/>
  <c r="CG141" i="1"/>
  <c r="CF141" i="1"/>
  <c r="CE141" i="1"/>
  <c r="CD141" i="1"/>
  <c r="CC141" i="1"/>
  <c r="CB141" i="1"/>
  <c r="CA141" i="1"/>
  <c r="BZ141" i="1"/>
  <c r="BY141" i="1"/>
  <c r="BX141" i="1"/>
  <c r="BW141" i="1"/>
  <c r="BV141" i="1"/>
  <c r="BU141" i="1"/>
  <c r="BT141" i="1"/>
  <c r="BS141" i="1"/>
  <c r="BR141" i="1"/>
  <c r="BQ141" i="1"/>
  <c r="BP141" i="1"/>
  <c r="BO141" i="1"/>
  <c r="BN141" i="1"/>
  <c r="BM141" i="1"/>
  <c r="BL141" i="1"/>
  <c r="BK141" i="1"/>
  <c r="BJ141" i="1"/>
  <c r="BI141" i="1"/>
  <c r="BH141" i="1"/>
  <c r="BG141" i="1"/>
  <c r="BF141" i="1"/>
  <c r="BE141" i="1"/>
  <c r="BD141" i="1"/>
  <c r="BC141" i="1"/>
  <c r="BB141" i="1"/>
  <c r="BA141" i="1"/>
  <c r="AZ141" i="1"/>
  <c r="AY141" i="1"/>
  <c r="AX141" i="1"/>
  <c r="AW141" i="1"/>
  <c r="AV141" i="1"/>
  <c r="AU141" i="1"/>
  <c r="AT141" i="1"/>
  <c r="AS141" i="1"/>
  <c r="AR141" i="1"/>
  <c r="AQ141" i="1"/>
  <c r="AP141" i="1"/>
  <c r="AO141" i="1"/>
  <c r="AN141" i="1"/>
  <c r="AM141" i="1"/>
  <c r="AL141" i="1"/>
  <c r="AK141" i="1"/>
  <c r="AJ141" i="1"/>
  <c r="AI141" i="1"/>
  <c r="AH141" i="1"/>
  <c r="AG141" i="1"/>
  <c r="AF141" i="1"/>
  <c r="AE141" i="1"/>
  <c r="AD141" i="1"/>
  <c r="AC141" i="1"/>
  <c r="AB141" i="1"/>
  <c r="AA141" i="1"/>
  <c r="Z141" i="1"/>
  <c r="Y141" i="1"/>
  <c r="X141" i="1"/>
  <c r="W141" i="1"/>
  <c r="V141" i="1"/>
  <c r="U141" i="1"/>
  <c r="T141" i="1"/>
  <c r="S141" i="1"/>
  <c r="R141" i="1"/>
  <c r="Q141" i="1"/>
  <c r="P141" i="1"/>
  <c r="O141" i="1"/>
  <c r="CY140" i="1"/>
  <c r="CX140" i="1"/>
  <c r="CW140" i="1"/>
  <c r="CV140" i="1"/>
  <c r="CU140" i="1"/>
  <c r="CT140" i="1"/>
  <c r="CS140" i="1"/>
  <c r="CR140" i="1"/>
  <c r="CQ140" i="1"/>
  <c r="CP140" i="1"/>
  <c r="CO140" i="1"/>
  <c r="CN140" i="1"/>
  <c r="CM140" i="1"/>
  <c r="CL140" i="1"/>
  <c r="CK140" i="1"/>
  <c r="CJ140" i="1"/>
  <c r="CI140" i="1"/>
  <c r="CH140" i="1"/>
  <c r="CG140" i="1"/>
  <c r="CF140" i="1"/>
  <c r="CE140" i="1"/>
  <c r="CD140" i="1"/>
  <c r="CC140" i="1"/>
  <c r="CB140" i="1"/>
  <c r="CA140" i="1"/>
  <c r="BZ140" i="1"/>
  <c r="BY140" i="1"/>
  <c r="BX140" i="1"/>
  <c r="BW140" i="1"/>
  <c r="BV140" i="1"/>
  <c r="BU140" i="1"/>
  <c r="BT140" i="1"/>
  <c r="BS140" i="1"/>
  <c r="BR140" i="1"/>
  <c r="BQ140" i="1"/>
  <c r="BP140" i="1"/>
  <c r="BO140" i="1"/>
  <c r="BN140" i="1"/>
  <c r="BM140" i="1"/>
  <c r="BL140" i="1"/>
  <c r="BK140" i="1"/>
  <c r="BJ140" i="1"/>
  <c r="BI140" i="1"/>
  <c r="BH140" i="1"/>
  <c r="BG140" i="1"/>
  <c r="BF140" i="1"/>
  <c r="BE140" i="1"/>
  <c r="BD140" i="1"/>
  <c r="BC140" i="1"/>
  <c r="BB140" i="1"/>
  <c r="BA140" i="1"/>
  <c r="AZ140" i="1"/>
  <c r="AY140" i="1"/>
  <c r="AX140" i="1"/>
  <c r="AW140" i="1"/>
  <c r="AV140" i="1"/>
  <c r="AU140" i="1"/>
  <c r="AT140" i="1"/>
  <c r="AS140" i="1"/>
  <c r="AR140" i="1"/>
  <c r="AQ140" i="1"/>
  <c r="AP140" i="1"/>
  <c r="AO140" i="1"/>
  <c r="AN140" i="1"/>
  <c r="AM140" i="1"/>
  <c r="AL140" i="1"/>
  <c r="AK140" i="1"/>
  <c r="AJ140" i="1"/>
  <c r="AI140" i="1"/>
  <c r="AH140" i="1"/>
  <c r="AG140" i="1"/>
  <c r="AF140" i="1"/>
  <c r="AE140" i="1"/>
  <c r="AD140" i="1"/>
  <c r="AC140" i="1"/>
  <c r="AB140" i="1"/>
  <c r="AA140" i="1"/>
  <c r="Z140" i="1"/>
  <c r="Y140" i="1"/>
  <c r="X140" i="1"/>
  <c r="W140" i="1"/>
  <c r="V140" i="1"/>
  <c r="U140" i="1"/>
  <c r="T140" i="1"/>
  <c r="S140" i="1"/>
  <c r="R140" i="1"/>
  <c r="Q140" i="1"/>
  <c r="P140" i="1"/>
  <c r="O140" i="1"/>
  <c r="CY139" i="1"/>
  <c r="CX139" i="1"/>
  <c r="CW139" i="1"/>
  <c r="CV139" i="1"/>
  <c r="CU139" i="1"/>
  <c r="CT139" i="1"/>
  <c r="CS139" i="1"/>
  <c r="CR139" i="1"/>
  <c r="CQ139" i="1"/>
  <c r="CP139" i="1"/>
  <c r="CO139" i="1"/>
  <c r="CN139" i="1"/>
  <c r="CM139" i="1"/>
  <c r="CL139" i="1"/>
  <c r="CK139" i="1"/>
  <c r="CJ139" i="1"/>
  <c r="CI139" i="1"/>
  <c r="CH139" i="1"/>
  <c r="CG139" i="1"/>
  <c r="CF139" i="1"/>
  <c r="CE139" i="1"/>
  <c r="CD139" i="1"/>
  <c r="CC139" i="1"/>
  <c r="CB139" i="1"/>
  <c r="CA139" i="1"/>
  <c r="BZ139" i="1"/>
  <c r="BY139" i="1"/>
  <c r="BX139" i="1"/>
  <c r="BW139" i="1"/>
  <c r="BV139" i="1"/>
  <c r="BU139" i="1"/>
  <c r="BT139" i="1"/>
  <c r="BS139" i="1"/>
  <c r="BR139" i="1"/>
  <c r="BQ139" i="1"/>
  <c r="BP139" i="1"/>
  <c r="BO139" i="1"/>
  <c r="BN139" i="1"/>
  <c r="BM139" i="1"/>
  <c r="BL139" i="1"/>
  <c r="BK139" i="1"/>
  <c r="BJ139" i="1"/>
  <c r="BI139" i="1"/>
  <c r="BH139" i="1"/>
  <c r="BG139" i="1"/>
  <c r="BF139" i="1"/>
  <c r="BE139" i="1"/>
  <c r="BD139" i="1"/>
  <c r="BC139" i="1"/>
  <c r="BB139" i="1"/>
  <c r="BA139" i="1"/>
  <c r="AZ139" i="1"/>
  <c r="AY139" i="1"/>
  <c r="AX139" i="1"/>
  <c r="AW139" i="1"/>
  <c r="AV139" i="1"/>
  <c r="AU139" i="1"/>
  <c r="AT139" i="1"/>
  <c r="AS139" i="1"/>
  <c r="AR139" i="1"/>
  <c r="AQ139" i="1"/>
  <c r="AP139" i="1"/>
  <c r="AO139" i="1"/>
  <c r="AN139" i="1"/>
  <c r="AM139" i="1"/>
  <c r="AL139" i="1"/>
  <c r="AK139" i="1"/>
  <c r="AJ139" i="1"/>
  <c r="AI139" i="1"/>
  <c r="AH139" i="1"/>
  <c r="AG139" i="1"/>
  <c r="AF139" i="1"/>
  <c r="AE139" i="1"/>
  <c r="AD139" i="1"/>
  <c r="AC139" i="1"/>
  <c r="AB139" i="1"/>
  <c r="AA139" i="1"/>
  <c r="Z139" i="1"/>
  <c r="Y139" i="1"/>
  <c r="X139" i="1"/>
  <c r="W139" i="1"/>
  <c r="V139" i="1"/>
  <c r="U139" i="1"/>
  <c r="T139" i="1"/>
  <c r="S139" i="1"/>
  <c r="R139" i="1"/>
  <c r="Q139" i="1"/>
  <c r="P139" i="1"/>
  <c r="O139" i="1"/>
  <c r="CY138" i="1"/>
  <c r="CX138" i="1"/>
  <c r="CW138" i="1"/>
  <c r="CV138" i="1"/>
  <c r="CU138" i="1"/>
  <c r="CT138" i="1"/>
  <c r="CS138" i="1"/>
  <c r="CR138" i="1"/>
  <c r="CQ138" i="1"/>
  <c r="CP138" i="1"/>
  <c r="CO138" i="1"/>
  <c r="CN138" i="1"/>
  <c r="CM138" i="1"/>
  <c r="CL138" i="1"/>
  <c r="CK138" i="1"/>
  <c r="CJ138" i="1"/>
  <c r="CI138" i="1"/>
  <c r="CH138" i="1"/>
  <c r="CG138" i="1"/>
  <c r="CF138" i="1"/>
  <c r="CE138" i="1"/>
  <c r="CD138" i="1"/>
  <c r="CC138" i="1"/>
  <c r="CB138" i="1"/>
  <c r="CA138" i="1"/>
  <c r="BZ138" i="1"/>
  <c r="BY138" i="1"/>
  <c r="BX138" i="1"/>
  <c r="BW138" i="1"/>
  <c r="BV138" i="1"/>
  <c r="BU138" i="1"/>
  <c r="BT138" i="1"/>
  <c r="BS138" i="1"/>
  <c r="BR138" i="1"/>
  <c r="BQ138" i="1"/>
  <c r="BP138" i="1"/>
  <c r="BO138" i="1"/>
  <c r="BN138" i="1"/>
  <c r="BM138" i="1"/>
  <c r="BL138" i="1"/>
  <c r="BK138" i="1"/>
  <c r="BJ138" i="1"/>
  <c r="BI138" i="1"/>
  <c r="BH138" i="1"/>
  <c r="BG138" i="1"/>
  <c r="BF138" i="1"/>
  <c r="BE138" i="1"/>
  <c r="BD138" i="1"/>
  <c r="BC138" i="1"/>
  <c r="BB138" i="1"/>
  <c r="BA138" i="1"/>
  <c r="AZ138" i="1"/>
  <c r="AY138" i="1"/>
  <c r="AX138" i="1"/>
  <c r="AW138" i="1"/>
  <c r="AV138" i="1"/>
  <c r="AU138" i="1"/>
  <c r="AT138" i="1"/>
  <c r="AS138" i="1"/>
  <c r="AR138" i="1"/>
  <c r="AQ138" i="1"/>
  <c r="AP138" i="1"/>
  <c r="AO138" i="1"/>
  <c r="AN138" i="1"/>
  <c r="AM138" i="1"/>
  <c r="AL138" i="1"/>
  <c r="AK138" i="1"/>
  <c r="AJ138" i="1"/>
  <c r="AI138" i="1"/>
  <c r="AH138" i="1"/>
  <c r="AG138" i="1"/>
  <c r="AF138" i="1"/>
  <c r="AE138" i="1"/>
  <c r="AD138" i="1"/>
  <c r="AC138" i="1"/>
  <c r="AB138" i="1"/>
  <c r="AA138" i="1"/>
  <c r="Z138" i="1"/>
  <c r="Y138" i="1"/>
  <c r="X138" i="1"/>
  <c r="W138" i="1"/>
  <c r="V138" i="1"/>
  <c r="U138" i="1"/>
  <c r="T138" i="1"/>
  <c r="S138" i="1"/>
  <c r="R138" i="1"/>
  <c r="Q138" i="1"/>
  <c r="P138" i="1"/>
  <c r="O138" i="1"/>
  <c r="CY137" i="1"/>
  <c r="CX137" i="1"/>
  <c r="CW137" i="1"/>
  <c r="CV137" i="1"/>
  <c r="CU137" i="1"/>
  <c r="CT137" i="1"/>
  <c r="CS137" i="1"/>
  <c r="CR137" i="1"/>
  <c r="CQ137" i="1"/>
  <c r="CP137" i="1"/>
  <c r="CO137" i="1"/>
  <c r="CN137" i="1"/>
  <c r="CM137" i="1"/>
  <c r="CL137" i="1"/>
  <c r="CK137" i="1"/>
  <c r="CJ137" i="1"/>
  <c r="CI137" i="1"/>
  <c r="CH137" i="1"/>
  <c r="CG137" i="1"/>
  <c r="CF137" i="1"/>
  <c r="CE137" i="1"/>
  <c r="CD137" i="1"/>
  <c r="CC137" i="1"/>
  <c r="CB137" i="1"/>
  <c r="CA137" i="1"/>
  <c r="BZ137" i="1"/>
  <c r="BY137" i="1"/>
  <c r="BX137" i="1"/>
  <c r="BW137" i="1"/>
  <c r="BV137" i="1"/>
  <c r="BU137" i="1"/>
  <c r="BT137" i="1"/>
  <c r="BS137" i="1"/>
  <c r="BR137" i="1"/>
  <c r="BQ137" i="1"/>
  <c r="BP137" i="1"/>
  <c r="BO137" i="1"/>
  <c r="BN137" i="1"/>
  <c r="BM137" i="1"/>
  <c r="BL137" i="1"/>
  <c r="BK137" i="1"/>
  <c r="BJ137" i="1"/>
  <c r="BI137" i="1"/>
  <c r="BH137" i="1"/>
  <c r="BG137" i="1"/>
  <c r="BF137" i="1"/>
  <c r="BE137" i="1"/>
  <c r="BD137" i="1"/>
  <c r="BC137" i="1"/>
  <c r="BB137" i="1"/>
  <c r="BA137" i="1"/>
  <c r="AZ137" i="1"/>
  <c r="AY137" i="1"/>
  <c r="AX137" i="1"/>
  <c r="AW137" i="1"/>
  <c r="AV137" i="1"/>
  <c r="AU137" i="1"/>
  <c r="AT137" i="1"/>
  <c r="AS137" i="1"/>
  <c r="AR137" i="1"/>
  <c r="AQ137" i="1"/>
  <c r="AP137" i="1"/>
  <c r="AO137" i="1"/>
  <c r="AN137" i="1"/>
  <c r="AM137" i="1"/>
  <c r="AL137" i="1"/>
  <c r="AK137" i="1"/>
  <c r="AJ137" i="1"/>
  <c r="AI137" i="1"/>
  <c r="AH137" i="1"/>
  <c r="AG137" i="1"/>
  <c r="AF137" i="1"/>
  <c r="AE137" i="1"/>
  <c r="AD137" i="1"/>
  <c r="AC137" i="1"/>
  <c r="AB137" i="1"/>
  <c r="AA137" i="1"/>
  <c r="Z137" i="1"/>
  <c r="Y137" i="1"/>
  <c r="X137" i="1"/>
  <c r="W137" i="1"/>
  <c r="V137" i="1"/>
  <c r="U137" i="1"/>
  <c r="T137" i="1"/>
  <c r="S137" i="1"/>
  <c r="R137" i="1"/>
  <c r="Q137" i="1"/>
  <c r="P137" i="1"/>
  <c r="O137" i="1"/>
  <c r="CY136" i="1"/>
  <c r="CX136" i="1"/>
  <c r="CW136" i="1"/>
  <c r="CV136" i="1"/>
  <c r="CU136" i="1"/>
  <c r="CT136" i="1"/>
  <c r="CS136" i="1"/>
  <c r="CR136" i="1"/>
  <c r="CQ136" i="1"/>
  <c r="CP136" i="1"/>
  <c r="CO136" i="1"/>
  <c r="CN136" i="1"/>
  <c r="CM136" i="1"/>
  <c r="CL136" i="1"/>
  <c r="CK136" i="1"/>
  <c r="CJ136" i="1"/>
  <c r="CI136" i="1"/>
  <c r="CH136" i="1"/>
  <c r="CG136" i="1"/>
  <c r="CF136" i="1"/>
  <c r="CE136" i="1"/>
  <c r="CD136" i="1"/>
  <c r="CC136" i="1"/>
  <c r="CB136" i="1"/>
  <c r="CA136" i="1"/>
  <c r="BZ136" i="1"/>
  <c r="BY136" i="1"/>
  <c r="BX136" i="1"/>
  <c r="BW136" i="1"/>
  <c r="BV136" i="1"/>
  <c r="BU136" i="1"/>
  <c r="BT136" i="1"/>
  <c r="BS136" i="1"/>
  <c r="BR136" i="1"/>
  <c r="BQ136" i="1"/>
  <c r="BP136" i="1"/>
  <c r="BO136" i="1"/>
  <c r="BN136" i="1"/>
  <c r="BM136" i="1"/>
  <c r="BL136" i="1"/>
  <c r="BK136" i="1"/>
  <c r="BJ136" i="1"/>
  <c r="BI136" i="1"/>
  <c r="BH136" i="1"/>
  <c r="BG136" i="1"/>
  <c r="BF136" i="1"/>
  <c r="BE136" i="1"/>
  <c r="BD136" i="1"/>
  <c r="BC136" i="1"/>
  <c r="BB136" i="1"/>
  <c r="BA136" i="1"/>
  <c r="AZ136" i="1"/>
  <c r="AY136" i="1"/>
  <c r="AX136" i="1"/>
  <c r="AW136" i="1"/>
  <c r="AV136" i="1"/>
  <c r="AU136" i="1"/>
  <c r="AT136" i="1"/>
  <c r="AS136" i="1"/>
  <c r="AR136" i="1"/>
  <c r="AQ136" i="1"/>
  <c r="AP136" i="1"/>
  <c r="AO136" i="1"/>
  <c r="AN136" i="1"/>
  <c r="AM136" i="1"/>
  <c r="AL136" i="1"/>
  <c r="AK136" i="1"/>
  <c r="AJ136" i="1"/>
  <c r="AI136" i="1"/>
  <c r="AH136" i="1"/>
  <c r="AG136" i="1"/>
  <c r="AF136" i="1"/>
  <c r="AE136" i="1"/>
  <c r="AD136" i="1"/>
  <c r="AC136" i="1"/>
  <c r="AB136" i="1"/>
  <c r="AA136" i="1"/>
  <c r="Z136" i="1"/>
  <c r="Y136" i="1"/>
  <c r="X136" i="1"/>
  <c r="W136" i="1"/>
  <c r="V136" i="1"/>
  <c r="U136" i="1"/>
  <c r="T136" i="1"/>
  <c r="S136" i="1"/>
  <c r="R136" i="1"/>
  <c r="Q136" i="1"/>
  <c r="P136" i="1"/>
  <c r="O136" i="1"/>
  <c r="CY135" i="1"/>
  <c r="CX135" i="1"/>
  <c r="CW135" i="1"/>
  <c r="CV135" i="1"/>
  <c r="CU135" i="1"/>
  <c r="CT135" i="1"/>
  <c r="CS135" i="1"/>
  <c r="CR135" i="1"/>
  <c r="CQ135" i="1"/>
  <c r="CP135" i="1"/>
  <c r="CO135" i="1"/>
  <c r="CN135" i="1"/>
  <c r="CM135" i="1"/>
  <c r="CL135" i="1"/>
  <c r="CK135" i="1"/>
  <c r="CJ135" i="1"/>
  <c r="CI135" i="1"/>
  <c r="CH135" i="1"/>
  <c r="CG135" i="1"/>
  <c r="CF135" i="1"/>
  <c r="CE135" i="1"/>
  <c r="CD135" i="1"/>
  <c r="CC135" i="1"/>
  <c r="CB135" i="1"/>
  <c r="CA135" i="1"/>
  <c r="BZ135" i="1"/>
  <c r="BY135" i="1"/>
  <c r="BX135" i="1"/>
  <c r="BW135" i="1"/>
  <c r="BV135" i="1"/>
  <c r="BU135" i="1"/>
  <c r="BT135" i="1"/>
  <c r="BS135" i="1"/>
  <c r="BR135" i="1"/>
  <c r="BQ135" i="1"/>
  <c r="BP135" i="1"/>
  <c r="BO135" i="1"/>
  <c r="BN135" i="1"/>
  <c r="BM135" i="1"/>
  <c r="BL135" i="1"/>
  <c r="BK135" i="1"/>
  <c r="BJ135" i="1"/>
  <c r="BI135" i="1"/>
  <c r="BH135" i="1"/>
  <c r="BG135" i="1"/>
  <c r="BF135" i="1"/>
  <c r="BE135" i="1"/>
  <c r="BD135" i="1"/>
  <c r="BC135" i="1"/>
  <c r="BB135" i="1"/>
  <c r="BA135" i="1"/>
  <c r="AZ135" i="1"/>
  <c r="AY135" i="1"/>
  <c r="AX135" i="1"/>
  <c r="AW135" i="1"/>
  <c r="AV135" i="1"/>
  <c r="AU135" i="1"/>
  <c r="AT135" i="1"/>
  <c r="AS135" i="1"/>
  <c r="AR135" i="1"/>
  <c r="AQ135" i="1"/>
  <c r="AP135" i="1"/>
  <c r="AO135" i="1"/>
  <c r="AN135" i="1"/>
  <c r="AM135" i="1"/>
  <c r="AL135" i="1"/>
  <c r="AK135" i="1"/>
  <c r="AJ135" i="1"/>
  <c r="AI135" i="1"/>
  <c r="AH135" i="1"/>
  <c r="AG135" i="1"/>
  <c r="AF135" i="1"/>
  <c r="AE135" i="1"/>
  <c r="AD135" i="1"/>
  <c r="AC135" i="1"/>
  <c r="AB135" i="1"/>
  <c r="AA135" i="1"/>
  <c r="Z135" i="1"/>
  <c r="Y135" i="1"/>
  <c r="X135" i="1"/>
  <c r="W135" i="1"/>
  <c r="V135" i="1"/>
  <c r="U135" i="1"/>
  <c r="T135" i="1"/>
  <c r="S135" i="1"/>
  <c r="R135" i="1"/>
  <c r="Q135" i="1"/>
  <c r="P135" i="1"/>
  <c r="O135" i="1"/>
  <c r="CY134" i="1"/>
  <c r="CX134" i="1"/>
  <c r="CW134" i="1"/>
  <c r="CV134" i="1"/>
  <c r="CU134" i="1"/>
  <c r="CT134" i="1"/>
  <c r="CS134" i="1"/>
  <c r="CR134" i="1"/>
  <c r="CQ134" i="1"/>
  <c r="CP134" i="1"/>
  <c r="CO134" i="1"/>
  <c r="CN134" i="1"/>
  <c r="CM134" i="1"/>
  <c r="CL134" i="1"/>
  <c r="CK134" i="1"/>
  <c r="CJ134" i="1"/>
  <c r="CI134" i="1"/>
  <c r="CH134" i="1"/>
  <c r="CG134" i="1"/>
  <c r="CF134" i="1"/>
  <c r="CE134" i="1"/>
  <c r="CD134" i="1"/>
  <c r="CC134" i="1"/>
  <c r="CB134" i="1"/>
  <c r="CA134" i="1"/>
  <c r="BZ134" i="1"/>
  <c r="BY134" i="1"/>
  <c r="BX134" i="1"/>
  <c r="BW134" i="1"/>
  <c r="BV134" i="1"/>
  <c r="BU134" i="1"/>
  <c r="BT134" i="1"/>
  <c r="BS134" i="1"/>
  <c r="BR134" i="1"/>
  <c r="BQ134" i="1"/>
  <c r="BP134" i="1"/>
  <c r="BO134" i="1"/>
  <c r="BN134" i="1"/>
  <c r="BM134" i="1"/>
  <c r="BL134" i="1"/>
  <c r="BK134" i="1"/>
  <c r="BJ134" i="1"/>
  <c r="BI134" i="1"/>
  <c r="BH134" i="1"/>
  <c r="BG134" i="1"/>
  <c r="BF134" i="1"/>
  <c r="BE134" i="1"/>
  <c r="BD134" i="1"/>
  <c r="BC134" i="1"/>
  <c r="BB134" i="1"/>
  <c r="BA134" i="1"/>
  <c r="AZ134" i="1"/>
  <c r="AY134" i="1"/>
  <c r="AX134" i="1"/>
  <c r="AW134" i="1"/>
  <c r="AV134" i="1"/>
  <c r="AU134" i="1"/>
  <c r="AT134" i="1"/>
  <c r="AS134" i="1"/>
  <c r="AR134" i="1"/>
  <c r="AQ134" i="1"/>
  <c r="AP134" i="1"/>
  <c r="AO134" i="1"/>
  <c r="AN134" i="1"/>
  <c r="AM134" i="1"/>
  <c r="AL134" i="1"/>
  <c r="AK134" i="1"/>
  <c r="AJ134" i="1"/>
  <c r="AI134" i="1"/>
  <c r="AH134" i="1"/>
  <c r="AG134" i="1"/>
  <c r="AF134" i="1"/>
  <c r="AE134" i="1"/>
  <c r="AD134" i="1"/>
  <c r="AC134" i="1"/>
  <c r="AB134" i="1"/>
  <c r="AA134" i="1"/>
  <c r="Z134" i="1"/>
  <c r="Y134" i="1"/>
  <c r="X134" i="1"/>
  <c r="W134" i="1"/>
  <c r="V134" i="1"/>
  <c r="U134" i="1"/>
  <c r="T134" i="1"/>
  <c r="S134" i="1"/>
  <c r="R134" i="1"/>
  <c r="Q134" i="1"/>
  <c r="P134" i="1"/>
  <c r="O134" i="1"/>
  <c r="CY133" i="1"/>
  <c r="CX133" i="1"/>
  <c r="CW133" i="1"/>
  <c r="CV133" i="1"/>
  <c r="CU133" i="1"/>
  <c r="CT133" i="1"/>
  <c r="CS133" i="1"/>
  <c r="CR133" i="1"/>
  <c r="CQ133" i="1"/>
  <c r="CP133" i="1"/>
  <c r="CO133" i="1"/>
  <c r="CN133" i="1"/>
  <c r="CM133" i="1"/>
  <c r="CL133" i="1"/>
  <c r="CK133" i="1"/>
  <c r="CJ133" i="1"/>
  <c r="CI133" i="1"/>
  <c r="CH133" i="1"/>
  <c r="CG133" i="1"/>
  <c r="CF133" i="1"/>
  <c r="CE133" i="1"/>
  <c r="CD133" i="1"/>
  <c r="CC133" i="1"/>
  <c r="CB133" i="1"/>
  <c r="CA133" i="1"/>
  <c r="BZ133" i="1"/>
  <c r="BY133" i="1"/>
  <c r="BX133" i="1"/>
  <c r="BW133" i="1"/>
  <c r="BV133" i="1"/>
  <c r="BU133" i="1"/>
  <c r="BT133" i="1"/>
  <c r="BS133" i="1"/>
  <c r="BR133" i="1"/>
  <c r="BQ133" i="1"/>
  <c r="BP133" i="1"/>
  <c r="BO133" i="1"/>
  <c r="BN133" i="1"/>
  <c r="BM133" i="1"/>
  <c r="BL133" i="1"/>
  <c r="BK133" i="1"/>
  <c r="BJ133" i="1"/>
  <c r="BI133" i="1"/>
  <c r="BH133" i="1"/>
  <c r="BG133" i="1"/>
  <c r="BF133" i="1"/>
  <c r="BE133" i="1"/>
  <c r="BD133" i="1"/>
  <c r="BC133" i="1"/>
  <c r="BB133" i="1"/>
  <c r="BA133" i="1"/>
  <c r="AZ133" i="1"/>
  <c r="AY133" i="1"/>
  <c r="AX133" i="1"/>
  <c r="AW133" i="1"/>
  <c r="AV133" i="1"/>
  <c r="AU133" i="1"/>
  <c r="AT133" i="1"/>
  <c r="AS133" i="1"/>
  <c r="AR133" i="1"/>
  <c r="AQ133" i="1"/>
  <c r="AP133" i="1"/>
  <c r="AO133" i="1"/>
  <c r="AN133" i="1"/>
  <c r="AM133" i="1"/>
  <c r="AL133" i="1"/>
  <c r="AK133" i="1"/>
  <c r="AJ133" i="1"/>
  <c r="AI133" i="1"/>
  <c r="AH133" i="1"/>
  <c r="AG133" i="1"/>
  <c r="AF133" i="1"/>
  <c r="AE133" i="1"/>
  <c r="AD133" i="1"/>
  <c r="AC133" i="1"/>
  <c r="AB133" i="1"/>
  <c r="AA133" i="1"/>
  <c r="Z133" i="1"/>
  <c r="Y133" i="1"/>
  <c r="X133" i="1"/>
  <c r="W133" i="1"/>
  <c r="V133" i="1"/>
  <c r="U133" i="1"/>
  <c r="T133" i="1"/>
  <c r="S133" i="1"/>
  <c r="R133" i="1"/>
  <c r="Q133" i="1"/>
  <c r="P133" i="1"/>
  <c r="O133" i="1"/>
  <c r="CY132" i="1"/>
  <c r="CX132" i="1"/>
  <c r="CW132" i="1"/>
  <c r="CV132" i="1"/>
  <c r="CU132" i="1"/>
  <c r="CT132" i="1"/>
  <c r="CS132" i="1"/>
  <c r="CR132" i="1"/>
  <c r="CQ132" i="1"/>
  <c r="CP132" i="1"/>
  <c r="CO132" i="1"/>
  <c r="CN132" i="1"/>
  <c r="CM132" i="1"/>
  <c r="CL132" i="1"/>
  <c r="CK132" i="1"/>
  <c r="CJ132" i="1"/>
  <c r="CI132" i="1"/>
  <c r="CH132" i="1"/>
  <c r="CG132" i="1"/>
  <c r="CF132" i="1"/>
  <c r="CE132" i="1"/>
  <c r="CD132" i="1"/>
  <c r="CC132" i="1"/>
  <c r="CB132" i="1"/>
  <c r="CA132" i="1"/>
  <c r="BZ132" i="1"/>
  <c r="BY132" i="1"/>
  <c r="BX132" i="1"/>
  <c r="BW132" i="1"/>
  <c r="BV132" i="1"/>
  <c r="BU132" i="1"/>
  <c r="BT132" i="1"/>
  <c r="BS132" i="1"/>
  <c r="BR132" i="1"/>
  <c r="BQ132" i="1"/>
  <c r="BP132" i="1"/>
  <c r="BO132" i="1"/>
  <c r="BN132" i="1"/>
  <c r="BM132" i="1"/>
  <c r="BL132" i="1"/>
  <c r="BK132" i="1"/>
  <c r="BJ132" i="1"/>
  <c r="BI132" i="1"/>
  <c r="BH132" i="1"/>
  <c r="BG132" i="1"/>
  <c r="BF132" i="1"/>
  <c r="BE132" i="1"/>
  <c r="BD132" i="1"/>
  <c r="BC132" i="1"/>
  <c r="BB132" i="1"/>
  <c r="BA132" i="1"/>
  <c r="AZ132" i="1"/>
  <c r="AY132" i="1"/>
  <c r="AX132" i="1"/>
  <c r="AW132" i="1"/>
  <c r="AV132" i="1"/>
  <c r="AU132" i="1"/>
  <c r="AT132" i="1"/>
  <c r="AS132" i="1"/>
  <c r="AR132" i="1"/>
  <c r="AQ132" i="1"/>
  <c r="AP132" i="1"/>
  <c r="AO132" i="1"/>
  <c r="AN132" i="1"/>
  <c r="AM132" i="1"/>
  <c r="AL132" i="1"/>
  <c r="AK132" i="1"/>
  <c r="AJ132" i="1"/>
  <c r="AI132" i="1"/>
  <c r="AH132" i="1"/>
  <c r="AG132" i="1"/>
  <c r="AF132" i="1"/>
  <c r="AE132" i="1"/>
  <c r="AD132" i="1"/>
  <c r="AC132" i="1"/>
  <c r="AB132" i="1"/>
  <c r="AA132" i="1"/>
  <c r="Z132" i="1"/>
  <c r="Y132" i="1"/>
  <c r="X132" i="1"/>
  <c r="W132" i="1"/>
  <c r="V132" i="1"/>
  <c r="U132" i="1"/>
  <c r="T132" i="1"/>
  <c r="S132" i="1"/>
  <c r="R132" i="1"/>
  <c r="Q132" i="1"/>
  <c r="P132" i="1"/>
  <c r="O132" i="1"/>
  <c r="CY131" i="1"/>
  <c r="CX131" i="1"/>
  <c r="CW131" i="1"/>
  <c r="CV131" i="1"/>
  <c r="CU131" i="1"/>
  <c r="CT131" i="1"/>
  <c r="CS131" i="1"/>
  <c r="CR131" i="1"/>
  <c r="CQ131" i="1"/>
  <c r="CP131" i="1"/>
  <c r="CO131" i="1"/>
  <c r="CN131" i="1"/>
  <c r="CM131" i="1"/>
  <c r="CL131" i="1"/>
  <c r="CK131" i="1"/>
  <c r="CJ131" i="1"/>
  <c r="CI131" i="1"/>
  <c r="CH131" i="1"/>
  <c r="CG131" i="1"/>
  <c r="CF131" i="1"/>
  <c r="CE131" i="1"/>
  <c r="CD131" i="1"/>
  <c r="CC131" i="1"/>
  <c r="CB131" i="1"/>
  <c r="CA131" i="1"/>
  <c r="BZ131" i="1"/>
  <c r="BY131" i="1"/>
  <c r="BX131" i="1"/>
  <c r="BW131" i="1"/>
  <c r="BV131" i="1"/>
  <c r="BU131" i="1"/>
  <c r="BT131" i="1"/>
  <c r="BS131" i="1"/>
  <c r="BR131" i="1"/>
  <c r="BQ131" i="1"/>
  <c r="BP131" i="1"/>
  <c r="BO131" i="1"/>
  <c r="BN131" i="1"/>
  <c r="BM131" i="1"/>
  <c r="BL131" i="1"/>
  <c r="BK131" i="1"/>
  <c r="BJ131" i="1"/>
  <c r="BI131" i="1"/>
  <c r="BH131" i="1"/>
  <c r="BG131" i="1"/>
  <c r="BF131" i="1"/>
  <c r="BE131" i="1"/>
  <c r="BD131" i="1"/>
  <c r="BC131" i="1"/>
  <c r="BB131" i="1"/>
  <c r="BA131" i="1"/>
  <c r="AZ131" i="1"/>
  <c r="AY131" i="1"/>
  <c r="AX131" i="1"/>
  <c r="AW131" i="1"/>
  <c r="AV131" i="1"/>
  <c r="AU131" i="1"/>
  <c r="AT131" i="1"/>
  <c r="AS131" i="1"/>
  <c r="AR131" i="1"/>
  <c r="AQ131" i="1"/>
  <c r="AP131" i="1"/>
  <c r="AO131" i="1"/>
  <c r="AN131" i="1"/>
  <c r="AM131" i="1"/>
  <c r="AL131" i="1"/>
  <c r="AK131" i="1"/>
  <c r="AJ131" i="1"/>
  <c r="AI131" i="1"/>
  <c r="AH131" i="1"/>
  <c r="AG131" i="1"/>
  <c r="AF131" i="1"/>
  <c r="AE131" i="1"/>
  <c r="AD131" i="1"/>
  <c r="AC131" i="1"/>
  <c r="AB131" i="1"/>
  <c r="AA131" i="1"/>
  <c r="Z131" i="1"/>
  <c r="Y131" i="1"/>
  <c r="X131" i="1"/>
  <c r="W131" i="1"/>
  <c r="V131" i="1"/>
  <c r="U131" i="1"/>
  <c r="T131" i="1"/>
  <c r="S131" i="1"/>
  <c r="R131" i="1"/>
  <c r="Q131" i="1"/>
  <c r="P131" i="1"/>
  <c r="O131" i="1"/>
  <c r="CY130" i="1"/>
  <c r="CX130" i="1"/>
  <c r="CW130" i="1"/>
  <c r="CV130" i="1"/>
  <c r="CU130" i="1"/>
  <c r="CT130" i="1"/>
  <c r="CS130" i="1"/>
  <c r="CR130" i="1"/>
  <c r="CQ130" i="1"/>
  <c r="CP130" i="1"/>
  <c r="CO130" i="1"/>
  <c r="CN130" i="1"/>
  <c r="CM130" i="1"/>
  <c r="CL130" i="1"/>
  <c r="CK130" i="1"/>
  <c r="CJ130" i="1"/>
  <c r="CI130" i="1"/>
  <c r="CH130" i="1"/>
  <c r="CG130" i="1"/>
  <c r="CF130" i="1"/>
  <c r="CE130" i="1"/>
  <c r="CD130" i="1"/>
  <c r="CC130" i="1"/>
  <c r="CB130" i="1"/>
  <c r="CA130" i="1"/>
  <c r="BZ130" i="1"/>
  <c r="BY130" i="1"/>
  <c r="BX130" i="1"/>
  <c r="BW130" i="1"/>
  <c r="BV130" i="1"/>
  <c r="BU130" i="1"/>
  <c r="BT130" i="1"/>
  <c r="BS130" i="1"/>
  <c r="BR130" i="1"/>
  <c r="BQ130" i="1"/>
  <c r="BP130" i="1"/>
  <c r="BO130" i="1"/>
  <c r="BN130" i="1"/>
  <c r="BM130" i="1"/>
  <c r="BL130" i="1"/>
  <c r="BK130" i="1"/>
  <c r="BJ130" i="1"/>
  <c r="BI130" i="1"/>
  <c r="BH130" i="1"/>
  <c r="BG130" i="1"/>
  <c r="BF130" i="1"/>
  <c r="BE130" i="1"/>
  <c r="BD130" i="1"/>
  <c r="BC130" i="1"/>
  <c r="BB130" i="1"/>
  <c r="BA130" i="1"/>
  <c r="AZ130" i="1"/>
  <c r="AY130" i="1"/>
  <c r="AX130" i="1"/>
  <c r="AW130" i="1"/>
  <c r="AV130" i="1"/>
  <c r="AU130" i="1"/>
  <c r="AT130" i="1"/>
  <c r="AS130" i="1"/>
  <c r="AR130" i="1"/>
  <c r="AQ130" i="1"/>
  <c r="AP130" i="1"/>
  <c r="AO130" i="1"/>
  <c r="AN130" i="1"/>
  <c r="AM130" i="1"/>
  <c r="AL130" i="1"/>
  <c r="AK130" i="1"/>
  <c r="AJ130" i="1"/>
  <c r="AI130" i="1"/>
  <c r="AH130" i="1"/>
  <c r="AG130" i="1"/>
  <c r="AF130" i="1"/>
  <c r="AE130" i="1"/>
  <c r="AD130" i="1"/>
  <c r="AC130" i="1"/>
  <c r="AB130" i="1"/>
  <c r="AA130" i="1"/>
  <c r="Z130" i="1"/>
  <c r="Y130" i="1"/>
  <c r="X130" i="1"/>
  <c r="W130" i="1"/>
  <c r="V130" i="1"/>
  <c r="U130" i="1"/>
  <c r="T130" i="1"/>
  <c r="S130" i="1"/>
  <c r="R130" i="1"/>
  <c r="Q130" i="1"/>
  <c r="P130" i="1"/>
  <c r="O130" i="1"/>
  <c r="CY129" i="1"/>
  <c r="CX129" i="1"/>
  <c r="CW129" i="1"/>
  <c r="CV129" i="1"/>
  <c r="CU129" i="1"/>
  <c r="CT129" i="1"/>
  <c r="CS129" i="1"/>
  <c r="CR129" i="1"/>
  <c r="CQ129" i="1"/>
  <c r="CP129" i="1"/>
  <c r="CO129" i="1"/>
  <c r="CN129" i="1"/>
  <c r="CM129" i="1"/>
  <c r="CL129" i="1"/>
  <c r="CK129" i="1"/>
  <c r="CJ129" i="1"/>
  <c r="CI129" i="1"/>
  <c r="CH129" i="1"/>
  <c r="CG129" i="1"/>
  <c r="CF129" i="1"/>
  <c r="CE129" i="1"/>
  <c r="CD129" i="1"/>
  <c r="CC129" i="1"/>
  <c r="CB129" i="1"/>
  <c r="CA129" i="1"/>
  <c r="BZ129" i="1"/>
  <c r="BY129" i="1"/>
  <c r="BX129" i="1"/>
  <c r="BW129" i="1"/>
  <c r="BV129" i="1"/>
  <c r="BU129" i="1"/>
  <c r="BT129" i="1"/>
  <c r="BS129" i="1"/>
  <c r="BR129" i="1"/>
  <c r="BQ129" i="1"/>
  <c r="BP129" i="1"/>
  <c r="BO129" i="1"/>
  <c r="BN129" i="1"/>
  <c r="BM129" i="1"/>
  <c r="BL129" i="1"/>
  <c r="BK129" i="1"/>
  <c r="BJ129" i="1"/>
  <c r="BI129" i="1"/>
  <c r="BH129" i="1"/>
  <c r="BG129" i="1"/>
  <c r="BF129" i="1"/>
  <c r="BE129" i="1"/>
  <c r="BD129" i="1"/>
  <c r="BC129" i="1"/>
  <c r="BB129" i="1"/>
  <c r="BA129" i="1"/>
  <c r="AZ129" i="1"/>
  <c r="AY129" i="1"/>
  <c r="AX129" i="1"/>
  <c r="AW129" i="1"/>
  <c r="AV129" i="1"/>
  <c r="AU129" i="1"/>
  <c r="AT129" i="1"/>
  <c r="AS129" i="1"/>
  <c r="AR129" i="1"/>
  <c r="AQ129" i="1"/>
  <c r="AP129" i="1"/>
  <c r="AO129" i="1"/>
  <c r="AN129" i="1"/>
  <c r="AM129" i="1"/>
  <c r="AL129" i="1"/>
  <c r="AK129" i="1"/>
  <c r="AJ129" i="1"/>
  <c r="AI129" i="1"/>
  <c r="AH129" i="1"/>
  <c r="AG129" i="1"/>
  <c r="AF129" i="1"/>
  <c r="AE129" i="1"/>
  <c r="AD129" i="1"/>
  <c r="AC129" i="1"/>
  <c r="AB129" i="1"/>
  <c r="AA129" i="1"/>
  <c r="Z129" i="1"/>
  <c r="Y129" i="1"/>
  <c r="X129" i="1"/>
  <c r="W129" i="1"/>
  <c r="V129" i="1"/>
  <c r="U129" i="1"/>
  <c r="T129" i="1"/>
  <c r="S129" i="1"/>
  <c r="R129" i="1"/>
  <c r="Q129" i="1"/>
  <c r="P129" i="1"/>
  <c r="O129" i="1"/>
  <c r="CY128" i="1"/>
  <c r="CX128" i="1"/>
  <c r="CW128" i="1"/>
  <c r="CV128" i="1"/>
  <c r="CU128" i="1"/>
  <c r="CT128" i="1"/>
  <c r="CS128" i="1"/>
  <c r="CR128" i="1"/>
  <c r="CQ128" i="1"/>
  <c r="CP128" i="1"/>
  <c r="CO128" i="1"/>
  <c r="CN128" i="1"/>
  <c r="CM128" i="1"/>
  <c r="CL128" i="1"/>
  <c r="CK128" i="1"/>
  <c r="CJ128" i="1"/>
  <c r="CI128" i="1"/>
  <c r="CH128" i="1"/>
  <c r="CG128" i="1"/>
  <c r="CF128" i="1"/>
  <c r="CE128" i="1"/>
  <c r="CD128" i="1"/>
  <c r="CC128" i="1"/>
  <c r="CB128" i="1"/>
  <c r="CA128" i="1"/>
  <c r="BZ128" i="1"/>
  <c r="BY128" i="1"/>
  <c r="BX128" i="1"/>
  <c r="BW128" i="1"/>
  <c r="BV128" i="1"/>
  <c r="BU128" i="1"/>
  <c r="BT128" i="1"/>
  <c r="BS128" i="1"/>
  <c r="BR128" i="1"/>
  <c r="BQ128" i="1"/>
  <c r="BP128" i="1"/>
  <c r="BO128" i="1"/>
  <c r="BN128" i="1"/>
  <c r="BM128" i="1"/>
  <c r="BL128" i="1"/>
  <c r="BK128" i="1"/>
  <c r="BJ128" i="1"/>
  <c r="BI128" i="1"/>
  <c r="BH128" i="1"/>
  <c r="BG128" i="1"/>
  <c r="BF128" i="1"/>
  <c r="BE128" i="1"/>
  <c r="BD128" i="1"/>
  <c r="BC128" i="1"/>
  <c r="BB128" i="1"/>
  <c r="BA128" i="1"/>
  <c r="AZ128" i="1"/>
  <c r="AY128" i="1"/>
  <c r="AX128" i="1"/>
  <c r="AW128" i="1"/>
  <c r="AV128" i="1"/>
  <c r="AU128" i="1"/>
  <c r="AT128" i="1"/>
  <c r="AS128" i="1"/>
  <c r="AR128" i="1"/>
  <c r="AQ128" i="1"/>
  <c r="AP128" i="1"/>
  <c r="AO128" i="1"/>
  <c r="AN128" i="1"/>
  <c r="AM128" i="1"/>
  <c r="AL128" i="1"/>
  <c r="AK128" i="1"/>
  <c r="AJ128" i="1"/>
  <c r="AI128" i="1"/>
  <c r="AH128" i="1"/>
  <c r="AG128" i="1"/>
  <c r="AF128" i="1"/>
  <c r="AE128" i="1"/>
  <c r="AD128" i="1"/>
  <c r="AC128" i="1"/>
  <c r="AB128" i="1"/>
  <c r="AA128" i="1"/>
  <c r="Z128" i="1"/>
  <c r="Y128" i="1"/>
  <c r="X128" i="1"/>
  <c r="W128" i="1"/>
  <c r="V128" i="1"/>
  <c r="U128" i="1"/>
  <c r="T128" i="1"/>
  <c r="S128" i="1"/>
  <c r="R128" i="1"/>
  <c r="Q128" i="1"/>
  <c r="P128" i="1"/>
  <c r="O128" i="1"/>
  <c r="CY127" i="1"/>
  <c r="CX127" i="1"/>
  <c r="CW127" i="1"/>
  <c r="CV127" i="1"/>
  <c r="CU127" i="1"/>
  <c r="CT127" i="1"/>
  <c r="CS127" i="1"/>
  <c r="CR127" i="1"/>
  <c r="CQ127" i="1"/>
  <c r="CP127" i="1"/>
  <c r="CO127" i="1"/>
  <c r="CN127" i="1"/>
  <c r="CM127" i="1"/>
  <c r="CL127" i="1"/>
  <c r="CK127" i="1"/>
  <c r="CJ127" i="1"/>
  <c r="CI127" i="1"/>
  <c r="CH127" i="1"/>
  <c r="CG127" i="1"/>
  <c r="CF127" i="1"/>
  <c r="CE127" i="1"/>
  <c r="CD127" i="1"/>
  <c r="CC127" i="1"/>
  <c r="CB127" i="1"/>
  <c r="CA127" i="1"/>
  <c r="BZ127" i="1"/>
  <c r="BY127" i="1"/>
  <c r="BX127" i="1"/>
  <c r="BW127" i="1"/>
  <c r="BV127" i="1"/>
  <c r="BU127" i="1"/>
  <c r="BT127" i="1"/>
  <c r="BS127" i="1"/>
  <c r="BR127" i="1"/>
  <c r="BQ127" i="1"/>
  <c r="BP127" i="1"/>
  <c r="BO127" i="1"/>
  <c r="BN127" i="1"/>
  <c r="BM127" i="1"/>
  <c r="BL127" i="1"/>
  <c r="BK127" i="1"/>
  <c r="BJ127" i="1"/>
  <c r="BI127" i="1"/>
  <c r="BH127" i="1"/>
  <c r="BG127" i="1"/>
  <c r="BF127" i="1"/>
  <c r="BE127" i="1"/>
  <c r="BD127" i="1"/>
  <c r="BC127" i="1"/>
  <c r="BB127" i="1"/>
  <c r="BA127" i="1"/>
  <c r="AZ127" i="1"/>
  <c r="AY127" i="1"/>
  <c r="AX127" i="1"/>
  <c r="AW127" i="1"/>
  <c r="AV127" i="1"/>
  <c r="AU127" i="1"/>
  <c r="AT127" i="1"/>
  <c r="AS127" i="1"/>
  <c r="AR127" i="1"/>
  <c r="AQ127" i="1"/>
  <c r="AP127" i="1"/>
  <c r="AO127" i="1"/>
  <c r="AN127" i="1"/>
  <c r="AM127" i="1"/>
  <c r="AL127" i="1"/>
  <c r="AK127" i="1"/>
  <c r="AJ127" i="1"/>
  <c r="AI127" i="1"/>
  <c r="AH127" i="1"/>
  <c r="AG127" i="1"/>
  <c r="AF127" i="1"/>
  <c r="AE127" i="1"/>
  <c r="AD127" i="1"/>
  <c r="AC127" i="1"/>
  <c r="AB127" i="1"/>
  <c r="AA127" i="1"/>
  <c r="Z127" i="1"/>
  <c r="Y127" i="1"/>
  <c r="X127" i="1"/>
  <c r="W127" i="1"/>
  <c r="V127" i="1"/>
  <c r="U127" i="1"/>
  <c r="T127" i="1"/>
  <c r="S127" i="1"/>
  <c r="R127" i="1"/>
  <c r="Q127" i="1"/>
  <c r="P127" i="1"/>
  <c r="O127" i="1"/>
  <c r="CY126" i="1"/>
  <c r="CX126" i="1"/>
  <c r="CW126" i="1"/>
  <c r="CV126" i="1"/>
  <c r="CU126" i="1"/>
  <c r="CT126" i="1"/>
  <c r="CS126" i="1"/>
  <c r="CR126" i="1"/>
  <c r="CQ126" i="1"/>
  <c r="CP126" i="1"/>
  <c r="CO126" i="1"/>
  <c r="CN126" i="1"/>
  <c r="CM126" i="1"/>
  <c r="CL126" i="1"/>
  <c r="CK126" i="1"/>
  <c r="CJ126" i="1"/>
  <c r="CI126" i="1"/>
  <c r="CH126" i="1"/>
  <c r="CG126" i="1"/>
  <c r="CF126" i="1"/>
  <c r="CE126" i="1"/>
  <c r="CD126" i="1"/>
  <c r="CC126" i="1"/>
  <c r="CB126" i="1"/>
  <c r="CA126" i="1"/>
  <c r="BZ126" i="1"/>
  <c r="BY126" i="1"/>
  <c r="BX126" i="1"/>
  <c r="BW126" i="1"/>
  <c r="BV126" i="1"/>
  <c r="BU126" i="1"/>
  <c r="BT126" i="1"/>
  <c r="BS126" i="1"/>
  <c r="BR126" i="1"/>
  <c r="BQ126" i="1"/>
  <c r="BP126" i="1"/>
  <c r="BO126" i="1"/>
  <c r="BN126" i="1"/>
  <c r="BM126" i="1"/>
  <c r="BL126" i="1"/>
  <c r="BK126" i="1"/>
  <c r="BJ126" i="1"/>
  <c r="BI126" i="1"/>
  <c r="BH126" i="1"/>
  <c r="BG126" i="1"/>
  <c r="BF126" i="1"/>
  <c r="BE126" i="1"/>
  <c r="BD126" i="1"/>
  <c r="BC126" i="1"/>
  <c r="BB126" i="1"/>
  <c r="BA126" i="1"/>
  <c r="AZ126" i="1"/>
  <c r="AY126" i="1"/>
  <c r="AX126" i="1"/>
  <c r="AW126" i="1"/>
  <c r="AV126" i="1"/>
  <c r="AU126" i="1"/>
  <c r="AT126" i="1"/>
  <c r="AS126" i="1"/>
  <c r="AR126" i="1"/>
  <c r="AQ126" i="1"/>
  <c r="AP126" i="1"/>
  <c r="AO126" i="1"/>
  <c r="AN126" i="1"/>
  <c r="AM126" i="1"/>
  <c r="AL126" i="1"/>
  <c r="AK126" i="1"/>
  <c r="AJ126" i="1"/>
  <c r="AI126" i="1"/>
  <c r="AH126" i="1"/>
  <c r="AG126" i="1"/>
  <c r="AF126" i="1"/>
  <c r="AE126" i="1"/>
  <c r="AD126" i="1"/>
  <c r="AC126" i="1"/>
  <c r="AB126" i="1"/>
  <c r="AA126" i="1"/>
  <c r="Z126" i="1"/>
  <c r="Y126" i="1"/>
  <c r="X126" i="1"/>
  <c r="W126" i="1"/>
  <c r="V126" i="1"/>
  <c r="U126" i="1"/>
  <c r="T126" i="1"/>
  <c r="S126" i="1"/>
  <c r="R126" i="1"/>
  <c r="Q126" i="1"/>
  <c r="P126" i="1"/>
  <c r="O126" i="1"/>
  <c r="CY125" i="1"/>
  <c r="CX125" i="1"/>
  <c r="CW125" i="1"/>
  <c r="CV125" i="1"/>
  <c r="CU125" i="1"/>
  <c r="CT125" i="1"/>
  <c r="CS125" i="1"/>
  <c r="CR125" i="1"/>
  <c r="CQ125" i="1"/>
  <c r="CP125" i="1"/>
  <c r="CO125" i="1"/>
  <c r="CN125" i="1"/>
  <c r="CM125" i="1"/>
  <c r="CL125" i="1"/>
  <c r="CK125" i="1"/>
  <c r="CJ125" i="1"/>
  <c r="CI125" i="1"/>
  <c r="CH125" i="1"/>
  <c r="CG125" i="1"/>
  <c r="CF125" i="1"/>
  <c r="CE125" i="1"/>
  <c r="CD125" i="1"/>
  <c r="CC125" i="1"/>
  <c r="CB125" i="1"/>
  <c r="CA125" i="1"/>
  <c r="BZ125" i="1"/>
  <c r="BY125" i="1"/>
  <c r="BX125" i="1"/>
  <c r="BW125" i="1"/>
  <c r="BV125" i="1"/>
  <c r="BU125" i="1"/>
  <c r="BT125" i="1"/>
  <c r="BS125" i="1"/>
  <c r="BR125" i="1"/>
  <c r="BQ125" i="1"/>
  <c r="BP125" i="1"/>
  <c r="BO125" i="1"/>
  <c r="BN125" i="1"/>
  <c r="BM125" i="1"/>
  <c r="BL125" i="1"/>
  <c r="BK125" i="1"/>
  <c r="BJ125" i="1"/>
  <c r="BI125" i="1"/>
  <c r="BH125" i="1"/>
  <c r="BG125" i="1"/>
  <c r="BF125" i="1"/>
  <c r="BE125" i="1"/>
  <c r="BD125" i="1"/>
  <c r="BC125" i="1"/>
  <c r="BB125" i="1"/>
  <c r="BA125" i="1"/>
  <c r="AZ125" i="1"/>
  <c r="AY125" i="1"/>
  <c r="AX125" i="1"/>
  <c r="AW125" i="1"/>
  <c r="AV125" i="1"/>
  <c r="AU125" i="1"/>
  <c r="AT125" i="1"/>
  <c r="AS125" i="1"/>
  <c r="AR125" i="1"/>
  <c r="AQ125" i="1"/>
  <c r="AP125" i="1"/>
  <c r="AO125" i="1"/>
  <c r="AN125" i="1"/>
  <c r="AM125" i="1"/>
  <c r="AL125" i="1"/>
  <c r="AK125" i="1"/>
  <c r="AJ125" i="1"/>
  <c r="AI125" i="1"/>
  <c r="AH125" i="1"/>
  <c r="AG125" i="1"/>
  <c r="AF125" i="1"/>
  <c r="AE125" i="1"/>
  <c r="AD125" i="1"/>
  <c r="AC125" i="1"/>
  <c r="AB125" i="1"/>
  <c r="AA125" i="1"/>
  <c r="Z125" i="1"/>
  <c r="Y125" i="1"/>
  <c r="X125" i="1"/>
  <c r="W125" i="1"/>
  <c r="V125" i="1"/>
  <c r="U125" i="1"/>
  <c r="T125" i="1"/>
  <c r="S125" i="1"/>
  <c r="R125" i="1"/>
  <c r="Q125" i="1"/>
  <c r="P125" i="1"/>
  <c r="O125" i="1"/>
  <c r="CY124" i="1"/>
  <c r="CX124" i="1"/>
  <c r="CW124" i="1"/>
  <c r="CV124" i="1"/>
  <c r="CU124" i="1"/>
  <c r="CT124" i="1"/>
  <c r="CS124" i="1"/>
  <c r="CR124" i="1"/>
  <c r="CQ124" i="1"/>
  <c r="CP124" i="1"/>
  <c r="CO124" i="1"/>
  <c r="CN124" i="1"/>
  <c r="CM124" i="1"/>
  <c r="CL124" i="1"/>
  <c r="CK124" i="1"/>
  <c r="CJ124" i="1"/>
  <c r="CI124" i="1"/>
  <c r="CH124" i="1"/>
  <c r="CG124" i="1"/>
  <c r="CF124" i="1"/>
  <c r="CE124" i="1"/>
  <c r="CD124" i="1"/>
  <c r="CC124" i="1"/>
  <c r="CB124" i="1"/>
  <c r="CA124" i="1"/>
  <c r="BZ124" i="1"/>
  <c r="BY124" i="1"/>
  <c r="BX124" i="1"/>
  <c r="BW124" i="1"/>
  <c r="BV124" i="1"/>
  <c r="BU124" i="1"/>
  <c r="BT124" i="1"/>
  <c r="BS124" i="1"/>
  <c r="BR124" i="1"/>
  <c r="BQ124" i="1"/>
  <c r="BP124" i="1"/>
  <c r="BO124" i="1"/>
  <c r="BN124" i="1"/>
  <c r="BM124" i="1"/>
  <c r="BL124" i="1"/>
  <c r="BK124" i="1"/>
  <c r="BJ124" i="1"/>
  <c r="BI124" i="1"/>
  <c r="BH124" i="1"/>
  <c r="BG124" i="1"/>
  <c r="BF124" i="1"/>
  <c r="BE124" i="1"/>
  <c r="BD124" i="1"/>
  <c r="BC124" i="1"/>
  <c r="BB124" i="1"/>
  <c r="BA124" i="1"/>
  <c r="AZ124" i="1"/>
  <c r="AY124" i="1"/>
  <c r="AX124" i="1"/>
  <c r="AW124" i="1"/>
  <c r="AV124" i="1"/>
  <c r="AU124" i="1"/>
  <c r="AT124" i="1"/>
  <c r="AS124" i="1"/>
  <c r="AR124" i="1"/>
  <c r="AQ124" i="1"/>
  <c r="AP124" i="1"/>
  <c r="AO124" i="1"/>
  <c r="AN124" i="1"/>
  <c r="AM124" i="1"/>
  <c r="AL124" i="1"/>
  <c r="AK124" i="1"/>
  <c r="AJ124" i="1"/>
  <c r="AI124" i="1"/>
  <c r="AH124" i="1"/>
  <c r="AG124" i="1"/>
  <c r="AF124" i="1"/>
  <c r="AE124" i="1"/>
  <c r="AD124" i="1"/>
  <c r="AC124" i="1"/>
  <c r="AB124" i="1"/>
  <c r="AA124" i="1"/>
  <c r="Z124" i="1"/>
  <c r="Y124" i="1"/>
  <c r="X124" i="1"/>
  <c r="W124" i="1"/>
  <c r="V124" i="1"/>
  <c r="U124" i="1"/>
  <c r="T124" i="1"/>
  <c r="S124" i="1"/>
  <c r="R124" i="1"/>
  <c r="Q124" i="1"/>
  <c r="P124" i="1"/>
  <c r="O124" i="1"/>
  <c r="CY123" i="1"/>
  <c r="CX123" i="1"/>
  <c r="CW123" i="1"/>
  <c r="CV123" i="1"/>
  <c r="CU123" i="1"/>
  <c r="CT123" i="1"/>
  <c r="CS123" i="1"/>
  <c r="CR123" i="1"/>
  <c r="CQ123" i="1"/>
  <c r="CP123" i="1"/>
  <c r="CO123" i="1"/>
  <c r="CN123" i="1"/>
  <c r="CM123" i="1"/>
  <c r="CL123" i="1"/>
  <c r="CK123" i="1"/>
  <c r="CJ123" i="1"/>
  <c r="CI123" i="1"/>
  <c r="CH123" i="1"/>
  <c r="CG123" i="1"/>
  <c r="CF123" i="1"/>
  <c r="CE123" i="1"/>
  <c r="CD123" i="1"/>
  <c r="CC123" i="1"/>
  <c r="CB123" i="1"/>
  <c r="CA123" i="1"/>
  <c r="BZ123" i="1"/>
  <c r="BY123" i="1"/>
  <c r="BX123" i="1"/>
  <c r="BW123" i="1"/>
  <c r="BV123" i="1"/>
  <c r="BU123" i="1"/>
  <c r="BT123" i="1"/>
  <c r="BS123" i="1"/>
  <c r="BR123" i="1"/>
  <c r="BQ123" i="1"/>
  <c r="BP123" i="1"/>
  <c r="BO123" i="1"/>
  <c r="BN123" i="1"/>
  <c r="BM123" i="1"/>
  <c r="BL123" i="1"/>
  <c r="BK123" i="1"/>
  <c r="BJ123" i="1"/>
  <c r="BI123" i="1"/>
  <c r="BH123" i="1"/>
  <c r="BG123" i="1"/>
  <c r="BF123" i="1"/>
  <c r="BE123" i="1"/>
  <c r="BD123" i="1"/>
  <c r="BC123" i="1"/>
  <c r="BB123" i="1"/>
  <c r="BA123" i="1"/>
  <c r="AZ123" i="1"/>
  <c r="AY123" i="1"/>
  <c r="AX123" i="1"/>
  <c r="AW123" i="1"/>
  <c r="AV123" i="1"/>
  <c r="AU123" i="1"/>
  <c r="AT123" i="1"/>
  <c r="AS123" i="1"/>
  <c r="AR123" i="1"/>
  <c r="AQ123" i="1"/>
  <c r="AP123" i="1"/>
  <c r="AO123" i="1"/>
  <c r="AN123" i="1"/>
  <c r="AM123" i="1"/>
  <c r="AL123" i="1"/>
  <c r="AK123" i="1"/>
  <c r="AJ123" i="1"/>
  <c r="AI123" i="1"/>
  <c r="AH123" i="1"/>
  <c r="AG123" i="1"/>
  <c r="AF123" i="1"/>
  <c r="AE123" i="1"/>
  <c r="AD123" i="1"/>
  <c r="AC123" i="1"/>
  <c r="AB123" i="1"/>
  <c r="AA123" i="1"/>
  <c r="Z123" i="1"/>
  <c r="Y123" i="1"/>
  <c r="X123" i="1"/>
  <c r="W123" i="1"/>
  <c r="V123" i="1"/>
  <c r="U123" i="1"/>
  <c r="T123" i="1"/>
  <c r="S123" i="1"/>
  <c r="R123" i="1"/>
  <c r="Q123" i="1"/>
  <c r="P123" i="1"/>
  <c r="O123" i="1"/>
  <c r="CY122" i="1"/>
  <c r="CX122" i="1"/>
  <c r="CW122" i="1"/>
  <c r="CV122" i="1"/>
  <c r="CU122" i="1"/>
  <c r="CT122" i="1"/>
  <c r="CS122" i="1"/>
  <c r="CR122" i="1"/>
  <c r="CQ122" i="1"/>
  <c r="CP122" i="1"/>
  <c r="CO122" i="1"/>
  <c r="CN122" i="1"/>
  <c r="CM122" i="1"/>
  <c r="CL122" i="1"/>
  <c r="CK122" i="1"/>
  <c r="CJ122" i="1"/>
  <c r="CI122" i="1"/>
  <c r="CH122" i="1"/>
  <c r="CG122" i="1"/>
  <c r="CF122" i="1"/>
  <c r="CE122" i="1"/>
  <c r="CD122" i="1"/>
  <c r="CC122" i="1"/>
  <c r="CB122" i="1"/>
  <c r="CA122" i="1"/>
  <c r="BZ122" i="1"/>
  <c r="BY122" i="1"/>
  <c r="BX122" i="1"/>
  <c r="BW122" i="1"/>
  <c r="BV122" i="1"/>
  <c r="BU122" i="1"/>
  <c r="BT122" i="1"/>
  <c r="BS122" i="1"/>
  <c r="BR122" i="1"/>
  <c r="BQ122" i="1"/>
  <c r="BP122" i="1"/>
  <c r="BO122" i="1"/>
  <c r="BN122" i="1"/>
  <c r="BM122" i="1"/>
  <c r="BL122" i="1"/>
  <c r="BK122" i="1"/>
  <c r="BJ122" i="1"/>
  <c r="BI122" i="1"/>
  <c r="BH122" i="1"/>
  <c r="BG122" i="1"/>
  <c r="BF122" i="1"/>
  <c r="BE122" i="1"/>
  <c r="BD122" i="1"/>
  <c r="BC122" i="1"/>
  <c r="BB122" i="1"/>
  <c r="BA122" i="1"/>
  <c r="AZ122" i="1"/>
  <c r="AY122" i="1"/>
  <c r="AX122" i="1"/>
  <c r="AW122" i="1"/>
  <c r="AV122" i="1"/>
  <c r="AU122" i="1"/>
  <c r="AT122" i="1"/>
  <c r="AS122" i="1"/>
  <c r="AR122" i="1"/>
  <c r="AQ122" i="1"/>
  <c r="AP122" i="1"/>
  <c r="AO122" i="1"/>
  <c r="AN122" i="1"/>
  <c r="AM122" i="1"/>
  <c r="AL122" i="1"/>
  <c r="AK122" i="1"/>
  <c r="AJ122" i="1"/>
  <c r="AI122" i="1"/>
  <c r="AH122" i="1"/>
  <c r="AG122" i="1"/>
  <c r="AF122" i="1"/>
  <c r="AE122" i="1"/>
  <c r="AD122" i="1"/>
  <c r="AC122" i="1"/>
  <c r="AB122" i="1"/>
  <c r="AA122" i="1"/>
  <c r="Z122" i="1"/>
  <c r="Y122" i="1"/>
  <c r="X122" i="1"/>
  <c r="W122" i="1"/>
  <c r="V122" i="1"/>
  <c r="U122" i="1"/>
  <c r="T122" i="1"/>
  <c r="S122" i="1"/>
  <c r="R122" i="1"/>
  <c r="Q122" i="1"/>
  <c r="P122" i="1"/>
  <c r="O122" i="1"/>
  <c r="CY121" i="1"/>
  <c r="CX121" i="1"/>
  <c r="CW121" i="1"/>
  <c r="CV121" i="1"/>
  <c r="CU121" i="1"/>
  <c r="CT121" i="1"/>
  <c r="CS121" i="1"/>
  <c r="CR121" i="1"/>
  <c r="CQ121" i="1"/>
  <c r="CP121" i="1"/>
  <c r="CO121" i="1"/>
  <c r="CN121" i="1"/>
  <c r="CM121" i="1"/>
  <c r="CL121" i="1"/>
  <c r="CK121" i="1"/>
  <c r="CJ121" i="1"/>
  <c r="CI121" i="1"/>
  <c r="CH121" i="1"/>
  <c r="CG121" i="1"/>
  <c r="CF121" i="1"/>
  <c r="CE121" i="1"/>
  <c r="CD121" i="1"/>
  <c r="CC121" i="1"/>
  <c r="CB121" i="1"/>
  <c r="CA121" i="1"/>
  <c r="BZ121" i="1"/>
  <c r="BY121" i="1"/>
  <c r="BX121" i="1"/>
  <c r="BW121" i="1"/>
  <c r="BV121" i="1"/>
  <c r="BU121" i="1"/>
  <c r="BT121" i="1"/>
  <c r="BS121" i="1"/>
  <c r="BR121" i="1"/>
  <c r="BQ121" i="1"/>
  <c r="BP121" i="1"/>
  <c r="BO121" i="1"/>
  <c r="BN121" i="1"/>
  <c r="BM121" i="1"/>
  <c r="BL121" i="1"/>
  <c r="BK121" i="1"/>
  <c r="BJ121" i="1"/>
  <c r="BI121" i="1"/>
  <c r="BH121" i="1"/>
  <c r="BG121" i="1"/>
  <c r="BF121" i="1"/>
  <c r="BE121" i="1"/>
  <c r="BD121" i="1"/>
  <c r="BC121" i="1"/>
  <c r="BB121" i="1"/>
  <c r="BA121" i="1"/>
  <c r="AZ121" i="1"/>
  <c r="AY121" i="1"/>
  <c r="AX121" i="1"/>
  <c r="AW121" i="1"/>
  <c r="AV121" i="1"/>
  <c r="AU121" i="1"/>
  <c r="AT121" i="1"/>
  <c r="AS121" i="1"/>
  <c r="AR121" i="1"/>
  <c r="AQ121" i="1"/>
  <c r="AP121" i="1"/>
  <c r="AO121" i="1"/>
  <c r="AN121" i="1"/>
  <c r="AM121" i="1"/>
  <c r="AL121" i="1"/>
  <c r="AK121" i="1"/>
  <c r="AJ121" i="1"/>
  <c r="AI121" i="1"/>
  <c r="AH121" i="1"/>
  <c r="AG121" i="1"/>
  <c r="AF121" i="1"/>
  <c r="AE121" i="1"/>
  <c r="AD121" i="1"/>
  <c r="AC121" i="1"/>
  <c r="AB121" i="1"/>
  <c r="AA121" i="1"/>
  <c r="Z121" i="1"/>
  <c r="Y121" i="1"/>
  <c r="X121" i="1"/>
  <c r="W121" i="1"/>
  <c r="V121" i="1"/>
  <c r="U121" i="1"/>
  <c r="T121" i="1"/>
  <c r="S121" i="1"/>
  <c r="R121" i="1"/>
  <c r="Q121" i="1"/>
  <c r="P121" i="1"/>
  <c r="O121" i="1"/>
  <c r="CY120" i="1"/>
  <c r="CX120" i="1"/>
  <c r="CW120" i="1"/>
  <c r="CV120" i="1"/>
  <c r="CU120" i="1"/>
  <c r="CT120" i="1"/>
  <c r="CS120" i="1"/>
  <c r="CR120" i="1"/>
  <c r="CQ120" i="1"/>
  <c r="CP120" i="1"/>
  <c r="CO120" i="1"/>
  <c r="CN120" i="1"/>
  <c r="CM120" i="1"/>
  <c r="CL120" i="1"/>
  <c r="CK120" i="1"/>
  <c r="CJ120" i="1"/>
  <c r="CI120" i="1"/>
  <c r="CH120" i="1"/>
  <c r="CG120" i="1"/>
  <c r="CF120" i="1"/>
  <c r="CE120" i="1"/>
  <c r="CD120" i="1"/>
  <c r="CC120" i="1"/>
  <c r="CB120" i="1"/>
  <c r="CA120" i="1"/>
  <c r="BZ120" i="1"/>
  <c r="BY120" i="1"/>
  <c r="BX120" i="1"/>
  <c r="BW120" i="1"/>
  <c r="BV120" i="1"/>
  <c r="BU120" i="1"/>
  <c r="BT120" i="1"/>
  <c r="BS120" i="1"/>
  <c r="BR120" i="1"/>
  <c r="BQ120" i="1"/>
  <c r="BP120" i="1"/>
  <c r="BO120" i="1"/>
  <c r="BN120" i="1"/>
  <c r="BM120" i="1"/>
  <c r="BL120" i="1"/>
  <c r="BK120" i="1"/>
  <c r="BJ120" i="1"/>
  <c r="BI120" i="1"/>
  <c r="BH120" i="1"/>
  <c r="BG120" i="1"/>
  <c r="BF120" i="1"/>
  <c r="BE120" i="1"/>
  <c r="BD120" i="1"/>
  <c r="BC120" i="1"/>
  <c r="BB120" i="1"/>
  <c r="BA120" i="1"/>
  <c r="AZ120" i="1"/>
  <c r="AY120" i="1"/>
  <c r="AX120" i="1"/>
  <c r="AW120" i="1"/>
  <c r="AV120" i="1"/>
  <c r="AU120" i="1"/>
  <c r="AT120" i="1"/>
  <c r="AS120" i="1"/>
  <c r="AR120" i="1"/>
  <c r="AQ120" i="1"/>
  <c r="AP120" i="1"/>
  <c r="AO120" i="1"/>
  <c r="AN120" i="1"/>
  <c r="AM120" i="1"/>
  <c r="AL120" i="1"/>
  <c r="AK120" i="1"/>
  <c r="AJ120" i="1"/>
  <c r="AI120" i="1"/>
  <c r="AH120" i="1"/>
  <c r="AG120" i="1"/>
  <c r="AF120" i="1"/>
  <c r="AE120" i="1"/>
  <c r="AD120" i="1"/>
  <c r="AC120" i="1"/>
  <c r="AB120" i="1"/>
  <c r="AA120" i="1"/>
  <c r="Z120" i="1"/>
  <c r="Y120" i="1"/>
  <c r="X120" i="1"/>
  <c r="W120" i="1"/>
  <c r="V120" i="1"/>
  <c r="U120" i="1"/>
  <c r="T120" i="1"/>
  <c r="S120" i="1"/>
  <c r="R120" i="1"/>
  <c r="Q120" i="1"/>
  <c r="P120" i="1"/>
  <c r="O120" i="1"/>
  <c r="CY119" i="1"/>
  <c r="CX119" i="1"/>
  <c r="CW119" i="1"/>
  <c r="CV119" i="1"/>
  <c r="CU119" i="1"/>
  <c r="CT119" i="1"/>
  <c r="CS119" i="1"/>
  <c r="CR119" i="1"/>
  <c r="CQ119" i="1"/>
  <c r="CP119" i="1"/>
  <c r="CO119" i="1"/>
  <c r="CN119" i="1"/>
  <c r="CM119" i="1"/>
  <c r="CL119" i="1"/>
  <c r="CK119" i="1"/>
  <c r="CJ119" i="1"/>
  <c r="CI119" i="1"/>
  <c r="CH119" i="1"/>
  <c r="CG119" i="1"/>
  <c r="CF119" i="1"/>
  <c r="CE119" i="1"/>
  <c r="CD119" i="1"/>
  <c r="CC119" i="1"/>
  <c r="CB119" i="1"/>
  <c r="CA119" i="1"/>
  <c r="BZ119" i="1"/>
  <c r="BY119" i="1"/>
  <c r="BX119" i="1"/>
  <c r="BW119" i="1"/>
  <c r="BV119" i="1"/>
  <c r="BU119" i="1"/>
  <c r="BT119" i="1"/>
  <c r="BS119" i="1"/>
  <c r="BR119" i="1"/>
  <c r="BQ119" i="1"/>
  <c r="BP119" i="1"/>
  <c r="BO119" i="1"/>
  <c r="BN119" i="1"/>
  <c r="BM119" i="1"/>
  <c r="BL119" i="1"/>
  <c r="BK119" i="1"/>
  <c r="BJ119" i="1"/>
  <c r="BI119" i="1"/>
  <c r="BH119" i="1"/>
  <c r="BG119" i="1"/>
  <c r="BF119" i="1"/>
  <c r="BE119" i="1"/>
  <c r="BD119" i="1"/>
  <c r="BC119" i="1"/>
  <c r="BB119" i="1"/>
  <c r="BA119" i="1"/>
  <c r="AZ119" i="1"/>
  <c r="AY119" i="1"/>
  <c r="AX119" i="1"/>
  <c r="AW119" i="1"/>
  <c r="AV119" i="1"/>
  <c r="AU119" i="1"/>
  <c r="AT119" i="1"/>
  <c r="AS119" i="1"/>
  <c r="AR119" i="1"/>
  <c r="AQ119" i="1"/>
  <c r="AP119" i="1"/>
  <c r="AO119" i="1"/>
  <c r="AN119" i="1"/>
  <c r="AM119" i="1"/>
  <c r="AL119" i="1"/>
  <c r="AK119" i="1"/>
  <c r="AJ119" i="1"/>
  <c r="AI119" i="1"/>
  <c r="AH119" i="1"/>
  <c r="AG119" i="1"/>
  <c r="AF119" i="1"/>
  <c r="AE119" i="1"/>
  <c r="AD119" i="1"/>
  <c r="AC119" i="1"/>
  <c r="AB119" i="1"/>
  <c r="AA119" i="1"/>
  <c r="Z119" i="1"/>
  <c r="Y119" i="1"/>
  <c r="X119" i="1"/>
  <c r="W119" i="1"/>
  <c r="V119" i="1"/>
  <c r="U119" i="1"/>
  <c r="T119" i="1"/>
  <c r="S119" i="1"/>
  <c r="R119" i="1"/>
  <c r="Q119" i="1"/>
  <c r="P119" i="1"/>
  <c r="O119" i="1"/>
  <c r="CY118" i="1"/>
  <c r="CX118" i="1"/>
  <c r="CW118" i="1"/>
  <c r="CV118" i="1"/>
  <c r="CU118" i="1"/>
  <c r="CT118" i="1"/>
  <c r="CS118" i="1"/>
  <c r="CR118" i="1"/>
  <c r="CQ118" i="1"/>
  <c r="CP118" i="1"/>
  <c r="CO118" i="1"/>
  <c r="CN118" i="1"/>
  <c r="CM118" i="1"/>
  <c r="CL118" i="1"/>
  <c r="CK118" i="1"/>
  <c r="CJ118" i="1"/>
  <c r="CI118" i="1"/>
  <c r="CH118" i="1"/>
  <c r="CG118" i="1"/>
  <c r="CF118" i="1"/>
  <c r="CE118" i="1"/>
  <c r="CD118" i="1"/>
  <c r="CC118" i="1"/>
  <c r="CB118" i="1"/>
  <c r="CA118" i="1"/>
  <c r="BZ118" i="1"/>
  <c r="BY118" i="1"/>
  <c r="BX118" i="1"/>
  <c r="BW118" i="1"/>
  <c r="BV118" i="1"/>
  <c r="BU118" i="1"/>
  <c r="BT118" i="1"/>
  <c r="BS118" i="1"/>
  <c r="BR118" i="1"/>
  <c r="BQ118" i="1"/>
  <c r="BP118" i="1"/>
  <c r="BO118" i="1"/>
  <c r="BN118" i="1"/>
  <c r="BM118" i="1"/>
  <c r="BL118" i="1"/>
  <c r="BK118" i="1"/>
  <c r="BJ118" i="1"/>
  <c r="BI118" i="1"/>
  <c r="BH118" i="1"/>
  <c r="BG118" i="1"/>
  <c r="BF118" i="1"/>
  <c r="BE118" i="1"/>
  <c r="BD118" i="1"/>
  <c r="BC118" i="1"/>
  <c r="BB118" i="1"/>
  <c r="BA118" i="1"/>
  <c r="AZ118" i="1"/>
  <c r="AY118" i="1"/>
  <c r="AX118" i="1"/>
  <c r="AW118" i="1"/>
  <c r="AV118" i="1"/>
  <c r="AU118" i="1"/>
  <c r="AT118" i="1"/>
  <c r="AS118" i="1"/>
  <c r="AR118" i="1"/>
  <c r="AQ118" i="1"/>
  <c r="AP118" i="1"/>
  <c r="AO118" i="1"/>
  <c r="AN118" i="1"/>
  <c r="AM118" i="1"/>
  <c r="AL118" i="1"/>
  <c r="AK118" i="1"/>
  <c r="AJ118" i="1"/>
  <c r="AI118" i="1"/>
  <c r="AH118" i="1"/>
  <c r="AG118" i="1"/>
  <c r="AF118" i="1"/>
  <c r="AE118" i="1"/>
  <c r="AD118" i="1"/>
  <c r="AC118" i="1"/>
  <c r="AB118" i="1"/>
  <c r="AA118" i="1"/>
  <c r="Z118" i="1"/>
  <c r="Y118" i="1"/>
  <c r="X118" i="1"/>
  <c r="W118" i="1"/>
  <c r="V118" i="1"/>
  <c r="U118" i="1"/>
  <c r="T118" i="1"/>
  <c r="S118" i="1"/>
  <c r="R118" i="1"/>
  <c r="Q118" i="1"/>
  <c r="P118" i="1"/>
  <c r="O118" i="1"/>
  <c r="CY117" i="1"/>
  <c r="CX117" i="1"/>
  <c r="CW117" i="1"/>
  <c r="CV117" i="1"/>
  <c r="CU117" i="1"/>
  <c r="CT117" i="1"/>
  <c r="CS117" i="1"/>
  <c r="CR117" i="1"/>
  <c r="CQ117" i="1"/>
  <c r="CP117" i="1"/>
  <c r="CO117" i="1"/>
  <c r="CN117" i="1"/>
  <c r="CM117" i="1"/>
  <c r="CL117" i="1"/>
  <c r="CK117" i="1"/>
  <c r="CJ117" i="1"/>
  <c r="CI117" i="1"/>
  <c r="CH117" i="1"/>
  <c r="CG117" i="1"/>
  <c r="CF117" i="1"/>
  <c r="CE117" i="1"/>
  <c r="CD117" i="1"/>
  <c r="CC117" i="1"/>
  <c r="CB117" i="1"/>
  <c r="CA117" i="1"/>
  <c r="BZ117" i="1"/>
  <c r="BY117" i="1"/>
  <c r="BX117" i="1"/>
  <c r="BW117" i="1"/>
  <c r="BV117" i="1"/>
  <c r="BU117" i="1"/>
  <c r="BT117" i="1"/>
  <c r="BS117" i="1"/>
  <c r="BR117" i="1"/>
  <c r="BQ117" i="1"/>
  <c r="BP117" i="1"/>
  <c r="BO117" i="1"/>
  <c r="BN117" i="1"/>
  <c r="BM117" i="1"/>
  <c r="BL117" i="1"/>
  <c r="BK117" i="1"/>
  <c r="BJ117" i="1"/>
  <c r="BI117" i="1"/>
  <c r="BH117" i="1"/>
  <c r="BG117" i="1"/>
  <c r="BF117" i="1"/>
  <c r="BE117" i="1"/>
  <c r="BD117" i="1"/>
  <c r="BC117" i="1"/>
  <c r="BB117" i="1"/>
  <c r="BA117" i="1"/>
  <c r="AZ117" i="1"/>
  <c r="AY117" i="1"/>
  <c r="AX117" i="1"/>
  <c r="AW117" i="1"/>
  <c r="AV117" i="1"/>
  <c r="AU117" i="1"/>
  <c r="AT117" i="1"/>
  <c r="AS117" i="1"/>
  <c r="AR117" i="1"/>
  <c r="AQ117" i="1"/>
  <c r="AP117" i="1"/>
  <c r="AO117" i="1"/>
  <c r="AN117" i="1"/>
  <c r="AM117" i="1"/>
  <c r="AL117" i="1"/>
  <c r="AK117" i="1"/>
  <c r="AJ117" i="1"/>
  <c r="AI117" i="1"/>
  <c r="AH117" i="1"/>
  <c r="AG117" i="1"/>
  <c r="AF117" i="1"/>
  <c r="AE117" i="1"/>
  <c r="AD117" i="1"/>
  <c r="AC117" i="1"/>
  <c r="AB117" i="1"/>
  <c r="AA117" i="1"/>
  <c r="Z117" i="1"/>
  <c r="Y117" i="1"/>
  <c r="X117" i="1"/>
  <c r="W117" i="1"/>
  <c r="V117" i="1"/>
  <c r="U117" i="1"/>
  <c r="T117" i="1"/>
  <c r="S117" i="1"/>
  <c r="R117" i="1"/>
  <c r="Q117" i="1"/>
  <c r="P117" i="1"/>
  <c r="O117" i="1"/>
  <c r="CY116" i="1"/>
  <c r="CX116" i="1"/>
  <c r="CW116" i="1"/>
  <c r="CV116" i="1"/>
  <c r="CU116" i="1"/>
  <c r="CT116" i="1"/>
  <c r="CS116" i="1"/>
  <c r="CR116" i="1"/>
  <c r="CQ116" i="1"/>
  <c r="CP116" i="1"/>
  <c r="CO116" i="1"/>
  <c r="CN116" i="1"/>
  <c r="CM116" i="1"/>
  <c r="CL116" i="1"/>
  <c r="CK116" i="1"/>
  <c r="CJ116" i="1"/>
  <c r="CI116" i="1"/>
  <c r="CH116" i="1"/>
  <c r="CG116" i="1"/>
  <c r="CF116" i="1"/>
  <c r="CE116" i="1"/>
  <c r="CD116" i="1"/>
  <c r="CC116" i="1"/>
  <c r="CB116" i="1"/>
  <c r="CA116" i="1"/>
  <c r="BZ116" i="1"/>
  <c r="BY116" i="1"/>
  <c r="BX116" i="1"/>
  <c r="BW116" i="1"/>
  <c r="BV116" i="1"/>
  <c r="BU116" i="1"/>
  <c r="BT116" i="1"/>
  <c r="BS116" i="1"/>
  <c r="BR116" i="1"/>
  <c r="BQ116" i="1"/>
  <c r="BP116" i="1"/>
  <c r="BO116" i="1"/>
  <c r="BN116" i="1"/>
  <c r="BM116" i="1"/>
  <c r="BL116" i="1"/>
  <c r="BK116" i="1"/>
  <c r="BJ116" i="1"/>
  <c r="BI116" i="1"/>
  <c r="BH116" i="1"/>
  <c r="BG116" i="1"/>
  <c r="BF116" i="1"/>
  <c r="BE116" i="1"/>
  <c r="BD116" i="1"/>
  <c r="BC116" i="1"/>
  <c r="BB116" i="1"/>
  <c r="BA116" i="1"/>
  <c r="AZ116" i="1"/>
  <c r="AY116" i="1"/>
  <c r="AX116" i="1"/>
  <c r="AW116" i="1"/>
  <c r="AV116" i="1"/>
  <c r="AU116" i="1"/>
  <c r="AT116" i="1"/>
  <c r="AS116" i="1"/>
  <c r="AR116" i="1"/>
  <c r="AQ116" i="1"/>
  <c r="AP116" i="1"/>
  <c r="AO116" i="1"/>
  <c r="AN116" i="1"/>
  <c r="AM116" i="1"/>
  <c r="AL116" i="1"/>
  <c r="AK116" i="1"/>
  <c r="AJ116" i="1"/>
  <c r="AI116" i="1"/>
  <c r="AH116" i="1"/>
  <c r="AG116" i="1"/>
  <c r="AF116" i="1"/>
  <c r="AE116" i="1"/>
  <c r="AD116" i="1"/>
  <c r="AC116" i="1"/>
  <c r="AB116" i="1"/>
  <c r="AA116" i="1"/>
  <c r="Z116" i="1"/>
  <c r="Y116" i="1"/>
  <c r="X116" i="1"/>
  <c r="W116" i="1"/>
  <c r="V116" i="1"/>
  <c r="U116" i="1"/>
  <c r="T116" i="1"/>
  <c r="S116" i="1"/>
  <c r="R116" i="1"/>
  <c r="Q116" i="1"/>
  <c r="P116" i="1"/>
  <c r="O116" i="1"/>
  <c r="CY115" i="1"/>
  <c r="CX115" i="1"/>
  <c r="CW115" i="1"/>
  <c r="CV115" i="1"/>
  <c r="CU115" i="1"/>
  <c r="CT115" i="1"/>
  <c r="CS115" i="1"/>
  <c r="CR115" i="1"/>
  <c r="CQ115" i="1"/>
  <c r="CP115" i="1"/>
  <c r="CO115" i="1"/>
  <c r="CN115" i="1"/>
  <c r="CM115" i="1"/>
  <c r="CL115" i="1"/>
  <c r="CK115" i="1"/>
  <c r="CJ115" i="1"/>
  <c r="CI115" i="1"/>
  <c r="CH115" i="1"/>
  <c r="CG115" i="1"/>
  <c r="CF115" i="1"/>
  <c r="CE115" i="1"/>
  <c r="CD115" i="1"/>
  <c r="CC115" i="1"/>
  <c r="CB115" i="1"/>
  <c r="CA115" i="1"/>
  <c r="BZ115" i="1"/>
  <c r="BY115" i="1"/>
  <c r="BX115" i="1"/>
  <c r="BW115" i="1"/>
  <c r="BV115" i="1"/>
  <c r="BU115" i="1"/>
  <c r="BT115" i="1"/>
  <c r="BS115" i="1"/>
  <c r="BR115" i="1"/>
  <c r="BQ115" i="1"/>
  <c r="BP115" i="1"/>
  <c r="BO115" i="1"/>
  <c r="BN115" i="1"/>
  <c r="BM115" i="1"/>
  <c r="BL115" i="1"/>
  <c r="BK115" i="1"/>
  <c r="BJ115" i="1"/>
  <c r="BI115" i="1"/>
  <c r="BH115" i="1"/>
  <c r="BG115" i="1"/>
  <c r="BF115" i="1"/>
  <c r="BE115" i="1"/>
  <c r="BD115" i="1"/>
  <c r="BC115" i="1"/>
  <c r="BB115" i="1"/>
  <c r="BA115" i="1"/>
  <c r="AZ115" i="1"/>
  <c r="AY115" i="1"/>
  <c r="AX115" i="1"/>
  <c r="AW115" i="1"/>
  <c r="AV115" i="1"/>
  <c r="AU115" i="1"/>
  <c r="AT115" i="1"/>
  <c r="AS115" i="1"/>
  <c r="AR115" i="1"/>
  <c r="AQ115" i="1"/>
  <c r="AP115" i="1"/>
  <c r="AO115" i="1"/>
  <c r="AN115" i="1"/>
  <c r="AM115" i="1"/>
  <c r="AL115" i="1"/>
  <c r="AK115" i="1"/>
  <c r="AJ115" i="1"/>
  <c r="AI115" i="1"/>
  <c r="AH115" i="1"/>
  <c r="AG115" i="1"/>
  <c r="AF115" i="1"/>
  <c r="AE115" i="1"/>
  <c r="AD115" i="1"/>
  <c r="AC115" i="1"/>
  <c r="AB115" i="1"/>
  <c r="AA115" i="1"/>
  <c r="Z115" i="1"/>
  <c r="Y115" i="1"/>
  <c r="X115" i="1"/>
  <c r="W115" i="1"/>
  <c r="V115" i="1"/>
  <c r="U115" i="1"/>
  <c r="T115" i="1"/>
  <c r="S115" i="1"/>
  <c r="R115" i="1"/>
  <c r="Q115" i="1"/>
  <c r="P115" i="1"/>
  <c r="O115" i="1"/>
  <c r="CY114" i="1"/>
  <c r="CX114" i="1"/>
  <c r="CW114" i="1"/>
  <c r="CV114" i="1"/>
  <c r="CU114" i="1"/>
  <c r="CT114" i="1"/>
  <c r="CS114" i="1"/>
  <c r="CR114" i="1"/>
  <c r="CQ114" i="1"/>
  <c r="CP114" i="1"/>
  <c r="CO114" i="1"/>
  <c r="CN114" i="1"/>
  <c r="CM114" i="1"/>
  <c r="CL114" i="1"/>
  <c r="CK114" i="1"/>
  <c r="CJ114" i="1"/>
  <c r="CI114" i="1"/>
  <c r="CH114" i="1"/>
  <c r="CG114" i="1"/>
  <c r="CF114" i="1"/>
  <c r="CE114" i="1"/>
  <c r="CD114" i="1"/>
  <c r="CC114" i="1"/>
  <c r="CB114" i="1"/>
  <c r="CA114" i="1"/>
  <c r="BZ114" i="1"/>
  <c r="BY114" i="1"/>
  <c r="BX114" i="1"/>
  <c r="BW114" i="1"/>
  <c r="BV114" i="1"/>
  <c r="BU114" i="1"/>
  <c r="BT114" i="1"/>
  <c r="BS114" i="1"/>
  <c r="BR114" i="1"/>
  <c r="BQ114" i="1"/>
  <c r="BP114" i="1"/>
  <c r="BO114" i="1"/>
  <c r="BN114" i="1"/>
  <c r="BM114" i="1"/>
  <c r="BL114" i="1"/>
  <c r="BK114" i="1"/>
  <c r="BJ114" i="1"/>
  <c r="BI114" i="1"/>
  <c r="BH114" i="1"/>
  <c r="BG114" i="1"/>
  <c r="BF114" i="1"/>
  <c r="BE114" i="1"/>
  <c r="BD114" i="1"/>
  <c r="BC114" i="1"/>
  <c r="BB114" i="1"/>
  <c r="BA114" i="1"/>
  <c r="AZ114" i="1"/>
  <c r="AY114" i="1"/>
  <c r="AX114" i="1"/>
  <c r="AW114" i="1"/>
  <c r="AV114" i="1"/>
  <c r="AU114" i="1"/>
  <c r="AT114" i="1"/>
  <c r="AS114" i="1"/>
  <c r="AR114" i="1"/>
  <c r="AQ114" i="1"/>
  <c r="AP114" i="1"/>
  <c r="AO114" i="1"/>
  <c r="AN114" i="1"/>
  <c r="AM114" i="1"/>
  <c r="AL114" i="1"/>
  <c r="AK114" i="1"/>
  <c r="AJ114" i="1"/>
  <c r="AI114" i="1"/>
  <c r="AH114" i="1"/>
  <c r="AG114" i="1"/>
  <c r="AF114" i="1"/>
  <c r="AE114" i="1"/>
  <c r="AD114" i="1"/>
  <c r="AC114" i="1"/>
  <c r="AB114" i="1"/>
  <c r="AA114" i="1"/>
  <c r="Z114" i="1"/>
  <c r="Y114" i="1"/>
  <c r="X114" i="1"/>
  <c r="W114" i="1"/>
  <c r="V114" i="1"/>
  <c r="U114" i="1"/>
  <c r="T114" i="1"/>
  <c r="S114" i="1"/>
  <c r="R114" i="1"/>
  <c r="Q114" i="1"/>
  <c r="P114" i="1"/>
  <c r="O114" i="1"/>
  <c r="CY113" i="1"/>
  <c r="CX113" i="1"/>
  <c r="CW113" i="1"/>
  <c r="CV113" i="1"/>
  <c r="CU113" i="1"/>
  <c r="CT113" i="1"/>
  <c r="CS113" i="1"/>
  <c r="CR113" i="1"/>
  <c r="CQ113" i="1"/>
  <c r="CP113" i="1"/>
  <c r="CO113" i="1"/>
  <c r="CN113" i="1"/>
  <c r="CM113" i="1"/>
  <c r="CL113" i="1"/>
  <c r="CK113" i="1"/>
  <c r="CJ113" i="1"/>
  <c r="CI113" i="1"/>
  <c r="CH113" i="1"/>
  <c r="CG113" i="1"/>
  <c r="CF113" i="1"/>
  <c r="CE113" i="1"/>
  <c r="CD113" i="1"/>
  <c r="CC113" i="1"/>
  <c r="CB113" i="1"/>
  <c r="CA113" i="1"/>
  <c r="BZ113" i="1"/>
  <c r="BY113" i="1"/>
  <c r="BX113" i="1"/>
  <c r="BW113" i="1"/>
  <c r="BV113" i="1"/>
  <c r="BU113" i="1"/>
  <c r="BT113" i="1"/>
  <c r="BS113" i="1"/>
  <c r="BR113" i="1"/>
  <c r="BQ113" i="1"/>
  <c r="BP113" i="1"/>
  <c r="BO113" i="1"/>
  <c r="BN113" i="1"/>
  <c r="BM113" i="1"/>
  <c r="BL113" i="1"/>
  <c r="BK113" i="1"/>
  <c r="BJ113" i="1"/>
  <c r="BI113" i="1"/>
  <c r="BH113" i="1"/>
  <c r="BG113" i="1"/>
  <c r="BF113" i="1"/>
  <c r="BE113" i="1"/>
  <c r="BD113" i="1"/>
  <c r="BC113" i="1"/>
  <c r="BB113" i="1"/>
  <c r="BA113" i="1"/>
  <c r="AZ113" i="1"/>
  <c r="AY113" i="1"/>
  <c r="AX113" i="1"/>
  <c r="AW113" i="1"/>
  <c r="AV113" i="1"/>
  <c r="AU113" i="1"/>
  <c r="AT113" i="1"/>
  <c r="AS113" i="1"/>
  <c r="AR113" i="1"/>
  <c r="AQ113" i="1"/>
  <c r="AP113" i="1"/>
  <c r="AO113" i="1"/>
  <c r="AN113" i="1"/>
  <c r="AM113" i="1"/>
  <c r="AL113" i="1"/>
  <c r="AK113" i="1"/>
  <c r="AJ113" i="1"/>
  <c r="AI113" i="1"/>
  <c r="AH113" i="1"/>
  <c r="R112" i="10" s="1"/>
  <c r="AG113" i="1"/>
  <c r="AF113" i="1"/>
  <c r="AE113" i="1"/>
  <c r="AD113" i="1"/>
  <c r="AC113" i="1"/>
  <c r="AB113" i="1"/>
  <c r="AA113" i="1"/>
  <c r="Z113" i="1"/>
  <c r="Y113" i="1"/>
  <c r="X113" i="1"/>
  <c r="W113" i="1"/>
  <c r="V113" i="1"/>
  <c r="U113" i="1"/>
  <c r="T113" i="1"/>
  <c r="S113" i="1"/>
  <c r="R113" i="1"/>
  <c r="Q113" i="1"/>
  <c r="P113" i="1"/>
  <c r="O113" i="1"/>
  <c r="CY112" i="1"/>
  <c r="CX112" i="1"/>
  <c r="CW112" i="1"/>
  <c r="CV112" i="1"/>
  <c r="CU112" i="1"/>
  <c r="CT112" i="1"/>
  <c r="CS112" i="1"/>
  <c r="CR112" i="1"/>
  <c r="CQ112" i="1"/>
  <c r="CP112" i="1"/>
  <c r="CO112" i="1"/>
  <c r="CN112" i="1"/>
  <c r="CM112" i="1"/>
  <c r="CL112" i="1"/>
  <c r="CK112" i="1"/>
  <c r="CJ112" i="1"/>
  <c r="CI112" i="1"/>
  <c r="CH112" i="1"/>
  <c r="CG112" i="1"/>
  <c r="CF112" i="1"/>
  <c r="CE112" i="1"/>
  <c r="CD112" i="1"/>
  <c r="CC112" i="1"/>
  <c r="CB112" i="1"/>
  <c r="CA112" i="1"/>
  <c r="BZ112" i="1"/>
  <c r="BY112" i="1"/>
  <c r="BX112" i="1"/>
  <c r="BW112" i="1"/>
  <c r="BV112" i="1"/>
  <c r="BU112" i="1"/>
  <c r="BT112" i="1"/>
  <c r="BS112" i="1"/>
  <c r="BR112" i="1"/>
  <c r="BQ112" i="1"/>
  <c r="BP112" i="1"/>
  <c r="BO112" i="1"/>
  <c r="BN112" i="1"/>
  <c r="BM112" i="1"/>
  <c r="BL112" i="1"/>
  <c r="BK112" i="1"/>
  <c r="BJ112" i="1"/>
  <c r="BI112" i="1"/>
  <c r="BH112" i="1"/>
  <c r="BG112" i="1"/>
  <c r="BF112" i="1"/>
  <c r="BE112" i="1"/>
  <c r="BD112" i="1"/>
  <c r="BC112" i="1"/>
  <c r="BB112" i="1"/>
  <c r="BA112" i="1"/>
  <c r="AZ112" i="1"/>
  <c r="AY112" i="1"/>
  <c r="AX112" i="1"/>
  <c r="AW112" i="1"/>
  <c r="AV112" i="1"/>
  <c r="AU112" i="1"/>
  <c r="AT112" i="1"/>
  <c r="AS112" i="1"/>
  <c r="AR112" i="1"/>
  <c r="AQ112" i="1"/>
  <c r="AP112" i="1"/>
  <c r="AO112" i="1"/>
  <c r="AN112" i="1"/>
  <c r="AM112" i="1"/>
  <c r="AL112" i="1"/>
  <c r="AK112" i="1"/>
  <c r="AJ112" i="1"/>
  <c r="AI112" i="1"/>
  <c r="AH112" i="1"/>
  <c r="AG112" i="1"/>
  <c r="AF112" i="1"/>
  <c r="AE112" i="1"/>
  <c r="AD112" i="1"/>
  <c r="AC112" i="1"/>
  <c r="AB112" i="1"/>
  <c r="AA112" i="1"/>
  <c r="Z112" i="1"/>
  <c r="Y112" i="1"/>
  <c r="X112" i="1"/>
  <c r="W112" i="1"/>
  <c r="V112" i="1"/>
  <c r="U112" i="1"/>
  <c r="T112" i="1"/>
  <c r="S112" i="1"/>
  <c r="R112" i="1"/>
  <c r="Q112" i="1"/>
  <c r="P112" i="1"/>
  <c r="O112" i="1"/>
  <c r="CY111" i="1"/>
  <c r="CX111" i="1"/>
  <c r="CW111" i="1"/>
  <c r="CV111" i="1"/>
  <c r="CU111" i="1"/>
  <c r="CT111" i="1"/>
  <c r="CS111" i="1"/>
  <c r="CR111" i="1"/>
  <c r="CQ111" i="1"/>
  <c r="CP111" i="1"/>
  <c r="CO111" i="1"/>
  <c r="CN111" i="1"/>
  <c r="CM111" i="1"/>
  <c r="CL111" i="1"/>
  <c r="CK111" i="1"/>
  <c r="CJ111" i="1"/>
  <c r="CI111" i="1"/>
  <c r="CH111" i="1"/>
  <c r="CG111" i="1"/>
  <c r="CF111" i="1"/>
  <c r="CE111" i="1"/>
  <c r="CD111" i="1"/>
  <c r="CC111" i="1"/>
  <c r="CB111" i="1"/>
  <c r="CA111" i="1"/>
  <c r="BZ111" i="1"/>
  <c r="BY111" i="1"/>
  <c r="BX111" i="1"/>
  <c r="BW111" i="1"/>
  <c r="BV111" i="1"/>
  <c r="BU111" i="1"/>
  <c r="BT111" i="1"/>
  <c r="BS111" i="1"/>
  <c r="BR111" i="1"/>
  <c r="BQ111" i="1"/>
  <c r="BP111" i="1"/>
  <c r="BO111" i="1"/>
  <c r="BN111" i="1"/>
  <c r="BM111" i="1"/>
  <c r="BL111" i="1"/>
  <c r="BK111" i="1"/>
  <c r="BJ111" i="1"/>
  <c r="BI111" i="1"/>
  <c r="BH111" i="1"/>
  <c r="BG111" i="1"/>
  <c r="BF111" i="1"/>
  <c r="BE111" i="1"/>
  <c r="BD111" i="1"/>
  <c r="BC111" i="1"/>
  <c r="BB111" i="1"/>
  <c r="BA111" i="1"/>
  <c r="AZ111" i="1"/>
  <c r="AY111" i="1"/>
  <c r="AX111" i="1"/>
  <c r="AW111" i="1"/>
  <c r="AV111" i="1"/>
  <c r="AU111" i="1"/>
  <c r="AT111" i="1"/>
  <c r="AS111" i="1"/>
  <c r="AR111" i="1"/>
  <c r="AQ111" i="1"/>
  <c r="AP111" i="1"/>
  <c r="AO111" i="1"/>
  <c r="AN111" i="1"/>
  <c r="AM111" i="1"/>
  <c r="AL111" i="1"/>
  <c r="AK111" i="1"/>
  <c r="AJ111" i="1"/>
  <c r="AI111" i="1"/>
  <c r="AH111" i="1"/>
  <c r="AG111" i="1"/>
  <c r="AF111" i="1"/>
  <c r="AE111" i="1"/>
  <c r="AD111" i="1"/>
  <c r="AC111" i="1"/>
  <c r="AB111" i="1"/>
  <c r="AA111" i="1"/>
  <c r="Z111" i="1"/>
  <c r="Y111" i="1"/>
  <c r="X111" i="1"/>
  <c r="W111" i="1"/>
  <c r="V111" i="1"/>
  <c r="U111" i="1"/>
  <c r="T111" i="1"/>
  <c r="S111" i="1"/>
  <c r="R111" i="1"/>
  <c r="Q111" i="1"/>
  <c r="P111" i="1"/>
  <c r="O111" i="1"/>
  <c r="CY110" i="1"/>
  <c r="CX110" i="1"/>
  <c r="CW110" i="1"/>
  <c r="CV110" i="1"/>
  <c r="CU110" i="1"/>
  <c r="CT110" i="1"/>
  <c r="CS110" i="1"/>
  <c r="CR110" i="1"/>
  <c r="CQ110" i="1"/>
  <c r="CP110" i="1"/>
  <c r="CO110" i="1"/>
  <c r="CN110" i="1"/>
  <c r="CM110" i="1"/>
  <c r="CL110" i="1"/>
  <c r="CK110" i="1"/>
  <c r="CJ110" i="1"/>
  <c r="CI110" i="1"/>
  <c r="CH110" i="1"/>
  <c r="CG110" i="1"/>
  <c r="CF110" i="1"/>
  <c r="CE110" i="1"/>
  <c r="CD110" i="1"/>
  <c r="CC110" i="1"/>
  <c r="CB110" i="1"/>
  <c r="CA110" i="1"/>
  <c r="BZ110" i="1"/>
  <c r="BY110" i="1"/>
  <c r="BX110" i="1"/>
  <c r="BW110" i="1"/>
  <c r="BV110" i="1"/>
  <c r="BU110" i="1"/>
  <c r="BT110" i="1"/>
  <c r="BS110" i="1"/>
  <c r="BR110" i="1"/>
  <c r="BQ110" i="1"/>
  <c r="BP110" i="1"/>
  <c r="BO110" i="1"/>
  <c r="BN110" i="1"/>
  <c r="BM110" i="1"/>
  <c r="BL110" i="1"/>
  <c r="BK110" i="1"/>
  <c r="BJ110" i="1"/>
  <c r="BI110" i="1"/>
  <c r="BH110" i="1"/>
  <c r="BG110" i="1"/>
  <c r="BF110" i="1"/>
  <c r="BE110" i="1"/>
  <c r="BD110" i="1"/>
  <c r="BC110" i="1"/>
  <c r="BB110" i="1"/>
  <c r="BA110" i="1"/>
  <c r="AZ110" i="1"/>
  <c r="AY110" i="1"/>
  <c r="AX110" i="1"/>
  <c r="AW110" i="1"/>
  <c r="AV110" i="1"/>
  <c r="AU110" i="1"/>
  <c r="AT110" i="1"/>
  <c r="AS110" i="1"/>
  <c r="AR110" i="1"/>
  <c r="AQ110" i="1"/>
  <c r="AP110" i="1"/>
  <c r="AO110" i="1"/>
  <c r="AN110" i="1"/>
  <c r="AM110" i="1"/>
  <c r="AL110" i="1"/>
  <c r="AK110" i="1"/>
  <c r="AJ110" i="1"/>
  <c r="AI110" i="1"/>
  <c r="AH110" i="1"/>
  <c r="AG110" i="1"/>
  <c r="AF110" i="1"/>
  <c r="AE110" i="1"/>
  <c r="AD110" i="1"/>
  <c r="AC110" i="1"/>
  <c r="AB110" i="1"/>
  <c r="AA110" i="1"/>
  <c r="Z110" i="1"/>
  <c r="Y110" i="1"/>
  <c r="X110" i="1"/>
  <c r="W110" i="1"/>
  <c r="V110" i="1"/>
  <c r="U110" i="1"/>
  <c r="T110" i="1"/>
  <c r="S110" i="1"/>
  <c r="R110" i="1"/>
  <c r="Q110" i="1"/>
  <c r="P110" i="1"/>
  <c r="O110" i="1"/>
  <c r="CY109" i="1"/>
  <c r="CX109" i="1"/>
  <c r="CW109" i="1"/>
  <c r="CV109" i="1"/>
  <c r="CU109" i="1"/>
  <c r="CT109" i="1"/>
  <c r="CS109" i="1"/>
  <c r="CR109" i="1"/>
  <c r="CQ109" i="1"/>
  <c r="CP109" i="1"/>
  <c r="CO109" i="1"/>
  <c r="CN109" i="1"/>
  <c r="CM109" i="1"/>
  <c r="CL109" i="1"/>
  <c r="CK109" i="1"/>
  <c r="CJ109" i="1"/>
  <c r="CI109" i="1"/>
  <c r="CH109" i="1"/>
  <c r="CG109" i="1"/>
  <c r="CF109" i="1"/>
  <c r="CE109" i="1"/>
  <c r="CD109" i="1"/>
  <c r="CC109" i="1"/>
  <c r="CB109" i="1"/>
  <c r="CA109" i="1"/>
  <c r="BZ109" i="1"/>
  <c r="BY109" i="1"/>
  <c r="BX109" i="1"/>
  <c r="BW109" i="1"/>
  <c r="BV109" i="1"/>
  <c r="BU109" i="1"/>
  <c r="BT109" i="1"/>
  <c r="BS109" i="1"/>
  <c r="BR109" i="1"/>
  <c r="BQ109" i="1"/>
  <c r="BP109" i="1"/>
  <c r="BO109" i="1"/>
  <c r="BN109" i="1"/>
  <c r="BM109" i="1"/>
  <c r="BL109" i="1"/>
  <c r="BK109" i="1"/>
  <c r="BJ109" i="1"/>
  <c r="BI109" i="1"/>
  <c r="BH109" i="1"/>
  <c r="BG109" i="1"/>
  <c r="BF109" i="1"/>
  <c r="BE109" i="1"/>
  <c r="BD109" i="1"/>
  <c r="BC109" i="1"/>
  <c r="BB109" i="1"/>
  <c r="BA109" i="1"/>
  <c r="AZ109" i="1"/>
  <c r="AY109" i="1"/>
  <c r="AX109" i="1"/>
  <c r="AW109" i="1"/>
  <c r="AV109" i="1"/>
  <c r="AU109" i="1"/>
  <c r="AT109" i="1"/>
  <c r="AS109" i="1"/>
  <c r="AR109" i="1"/>
  <c r="AQ109" i="1"/>
  <c r="AP109" i="1"/>
  <c r="AO109" i="1"/>
  <c r="AN109" i="1"/>
  <c r="AM109" i="1"/>
  <c r="AL109" i="1"/>
  <c r="AK109" i="1"/>
  <c r="AJ109" i="1"/>
  <c r="AI109" i="1"/>
  <c r="AH109" i="1"/>
  <c r="AG109" i="1"/>
  <c r="AF109" i="1"/>
  <c r="AE109" i="1"/>
  <c r="AD109" i="1"/>
  <c r="AC109" i="1"/>
  <c r="AB109" i="1"/>
  <c r="AA109" i="1"/>
  <c r="Z109" i="1"/>
  <c r="Y109" i="1"/>
  <c r="X109" i="1"/>
  <c r="W109" i="1"/>
  <c r="V109" i="1"/>
  <c r="U109" i="1"/>
  <c r="T109" i="1"/>
  <c r="S109" i="1"/>
  <c r="R109" i="1"/>
  <c r="Q109" i="1"/>
  <c r="P109" i="1"/>
  <c r="O109" i="1"/>
  <c r="CY108" i="1"/>
  <c r="CX108" i="1"/>
  <c r="CW108" i="1"/>
  <c r="CV108" i="1"/>
  <c r="CU108" i="1"/>
  <c r="CT108" i="1"/>
  <c r="CS108" i="1"/>
  <c r="CR108" i="1"/>
  <c r="CQ108" i="1"/>
  <c r="CP108" i="1"/>
  <c r="CO108" i="1"/>
  <c r="CN108" i="1"/>
  <c r="CM108" i="1"/>
  <c r="CL108" i="1"/>
  <c r="CK108" i="1"/>
  <c r="CJ108" i="1"/>
  <c r="CI108" i="1"/>
  <c r="CH108" i="1"/>
  <c r="CG108" i="1"/>
  <c r="CF108" i="1"/>
  <c r="CE108" i="1"/>
  <c r="CD108" i="1"/>
  <c r="CC108" i="1"/>
  <c r="CB108" i="1"/>
  <c r="CA108" i="1"/>
  <c r="BZ108" i="1"/>
  <c r="BY108" i="1"/>
  <c r="BX108" i="1"/>
  <c r="BW108" i="1"/>
  <c r="BV108" i="1"/>
  <c r="BU108" i="1"/>
  <c r="BT108" i="1"/>
  <c r="BS108" i="1"/>
  <c r="BR108" i="1"/>
  <c r="BQ108" i="1"/>
  <c r="BP108" i="1"/>
  <c r="BO108" i="1"/>
  <c r="BN108" i="1"/>
  <c r="BM108" i="1"/>
  <c r="BL108" i="1"/>
  <c r="BK108" i="1"/>
  <c r="BJ108" i="1"/>
  <c r="BI108" i="1"/>
  <c r="BH108" i="1"/>
  <c r="BG108" i="1"/>
  <c r="BF108" i="1"/>
  <c r="BE108" i="1"/>
  <c r="BD108" i="1"/>
  <c r="BC108" i="1"/>
  <c r="BB108" i="1"/>
  <c r="BA108" i="1"/>
  <c r="AZ108" i="1"/>
  <c r="AY108" i="1"/>
  <c r="AX108" i="1"/>
  <c r="AW108" i="1"/>
  <c r="AV108" i="1"/>
  <c r="AU108" i="1"/>
  <c r="AT108" i="1"/>
  <c r="AS108" i="1"/>
  <c r="AR108" i="1"/>
  <c r="AQ108" i="1"/>
  <c r="AP108" i="1"/>
  <c r="AO108" i="1"/>
  <c r="AN108" i="1"/>
  <c r="AM108" i="1"/>
  <c r="AL108" i="1"/>
  <c r="AK108" i="1"/>
  <c r="AJ108" i="1"/>
  <c r="AI108" i="1"/>
  <c r="AH108" i="1"/>
  <c r="AG108" i="1"/>
  <c r="AF108" i="1"/>
  <c r="AE108" i="1"/>
  <c r="AD108" i="1"/>
  <c r="AC108" i="1"/>
  <c r="AB108" i="1"/>
  <c r="AA108" i="1"/>
  <c r="Z108" i="1"/>
  <c r="Y108" i="1"/>
  <c r="X108" i="1"/>
  <c r="W108" i="1"/>
  <c r="V108" i="1"/>
  <c r="U108" i="1"/>
  <c r="T108" i="1"/>
  <c r="S108" i="1"/>
  <c r="R108" i="1"/>
  <c r="Q108" i="1"/>
  <c r="P108" i="1"/>
  <c r="O108" i="1"/>
  <c r="CY107" i="1"/>
  <c r="CX107" i="1"/>
  <c r="CW107" i="1"/>
  <c r="CV107" i="1"/>
  <c r="CU107" i="1"/>
  <c r="CT107" i="1"/>
  <c r="CS107" i="1"/>
  <c r="CR107" i="1"/>
  <c r="CQ107" i="1"/>
  <c r="CP107" i="1"/>
  <c r="CO107" i="1"/>
  <c r="CN107" i="1"/>
  <c r="CM107" i="1"/>
  <c r="CL107" i="1"/>
  <c r="CK107" i="1"/>
  <c r="CJ107" i="1"/>
  <c r="CI107" i="1"/>
  <c r="CH107" i="1"/>
  <c r="CG107" i="1"/>
  <c r="CF107" i="1"/>
  <c r="CE107" i="1"/>
  <c r="CD107" i="1"/>
  <c r="CC107" i="1"/>
  <c r="CB107" i="1"/>
  <c r="CA107" i="1"/>
  <c r="BZ107" i="1"/>
  <c r="BY107" i="1"/>
  <c r="BX107" i="1"/>
  <c r="BW107" i="1"/>
  <c r="BV107" i="1"/>
  <c r="BU107" i="1"/>
  <c r="BT107" i="1"/>
  <c r="BS107" i="1"/>
  <c r="BR107" i="1"/>
  <c r="BQ107" i="1"/>
  <c r="BP107" i="1"/>
  <c r="BO107" i="1"/>
  <c r="BN107" i="1"/>
  <c r="BM107" i="1"/>
  <c r="BL107" i="1"/>
  <c r="BK107" i="1"/>
  <c r="BJ107" i="1"/>
  <c r="BI107" i="1"/>
  <c r="BH107" i="1"/>
  <c r="BG107" i="1"/>
  <c r="BF107" i="1"/>
  <c r="BE107" i="1"/>
  <c r="BD107" i="1"/>
  <c r="BC107" i="1"/>
  <c r="BB107" i="1"/>
  <c r="BA107" i="1"/>
  <c r="AZ107" i="1"/>
  <c r="AY107" i="1"/>
  <c r="AX107" i="1"/>
  <c r="AW107" i="1"/>
  <c r="AV107" i="1"/>
  <c r="AU107" i="1"/>
  <c r="AT107" i="1"/>
  <c r="AS107" i="1"/>
  <c r="AR107" i="1"/>
  <c r="AQ107" i="1"/>
  <c r="AP107" i="1"/>
  <c r="AO107" i="1"/>
  <c r="AN107" i="1"/>
  <c r="AM107" i="1"/>
  <c r="AL107" i="1"/>
  <c r="AK107" i="1"/>
  <c r="AJ107" i="1"/>
  <c r="AI107" i="1"/>
  <c r="AH107" i="1"/>
  <c r="AG107" i="1"/>
  <c r="AF107" i="1"/>
  <c r="AE107" i="1"/>
  <c r="AD107" i="1"/>
  <c r="AC107" i="1"/>
  <c r="AB107" i="1"/>
  <c r="AA107" i="1"/>
  <c r="Z107" i="1"/>
  <c r="Y107" i="1"/>
  <c r="X107" i="1"/>
  <c r="W107" i="1"/>
  <c r="V107" i="1"/>
  <c r="U107" i="1"/>
  <c r="T107" i="1"/>
  <c r="S107" i="1"/>
  <c r="R107" i="1"/>
  <c r="Q107" i="1"/>
  <c r="P107" i="1"/>
  <c r="O107" i="1"/>
  <c r="X165" i="10" l="1"/>
  <c r="H127" i="1"/>
  <c r="R129" i="10"/>
  <c r="R141" i="10"/>
  <c r="R149" i="10"/>
  <c r="I165" i="1"/>
  <c r="H111" i="1"/>
  <c r="S112" i="10"/>
  <c r="T112" i="10"/>
  <c r="U112" i="10"/>
  <c r="V112" i="10"/>
  <c r="W112" i="10"/>
  <c r="X112" i="10"/>
  <c r="Z112" i="10"/>
  <c r="O113" i="10"/>
  <c r="H155" i="1"/>
  <c r="S156" i="10"/>
  <c r="T156" i="10"/>
  <c r="U156" i="10"/>
  <c r="V156" i="10"/>
  <c r="W156" i="10"/>
  <c r="X156" i="10"/>
  <c r="Y156" i="10"/>
  <c r="Z156" i="10"/>
  <c r="O157" i="10"/>
  <c r="R165" i="10"/>
  <c r="H107" i="1"/>
  <c r="Q109" i="10"/>
  <c r="S129" i="10"/>
  <c r="T129" i="10"/>
  <c r="U129" i="10"/>
  <c r="V129" i="10"/>
  <c r="W129" i="10"/>
  <c r="X129" i="10"/>
  <c r="Y129" i="10"/>
  <c r="O134" i="10"/>
  <c r="O138" i="10"/>
  <c r="S141" i="10"/>
  <c r="T141" i="10"/>
  <c r="U141" i="10"/>
  <c r="V141" i="10"/>
  <c r="X141" i="10"/>
  <c r="Y141" i="10"/>
  <c r="Z141" i="10"/>
  <c r="O142" i="10"/>
  <c r="S149" i="10"/>
  <c r="T149" i="10"/>
  <c r="U149" i="10"/>
  <c r="V149" i="10"/>
  <c r="X149" i="10"/>
  <c r="Y149" i="10"/>
  <c r="Z149" i="10"/>
  <c r="O150" i="10"/>
  <c r="Q153" i="10"/>
  <c r="S109" i="10"/>
  <c r="T109" i="10"/>
  <c r="W109" i="10"/>
  <c r="X109" i="10"/>
  <c r="Y109" i="10"/>
  <c r="Z109" i="10"/>
  <c r="H115" i="1"/>
  <c r="H119" i="1"/>
  <c r="Q129" i="10"/>
  <c r="P135" i="10"/>
  <c r="Q141" i="10"/>
  <c r="Q149" i="10"/>
  <c r="R109" i="10"/>
  <c r="R125" i="10"/>
  <c r="S125" i="10"/>
  <c r="T125" i="10"/>
  <c r="U125" i="10"/>
  <c r="V125" i="10"/>
  <c r="W125" i="10"/>
  <c r="X125" i="10"/>
  <c r="Y125" i="10"/>
  <c r="Z125" i="10"/>
  <c r="Q128" i="10"/>
  <c r="H131" i="1"/>
  <c r="I159" i="1"/>
  <c r="O160" i="10"/>
  <c r="R164" i="10"/>
  <c r="S164" i="10"/>
  <c r="T164" i="10"/>
  <c r="Y112" i="10"/>
  <c r="R153" i="10"/>
  <c r="S153" i="10"/>
  <c r="T153" i="10"/>
  <c r="U153" i="10"/>
  <c r="V153" i="10"/>
  <c r="W153" i="10"/>
  <c r="X153" i="10"/>
  <c r="Q156" i="10"/>
  <c r="R162" i="10"/>
  <c r="S162" i="10"/>
  <c r="Q165" i="10"/>
  <c r="I115" i="1"/>
  <c r="O116" i="10"/>
  <c r="H123" i="1"/>
  <c r="Q125" i="10"/>
  <c r="R128" i="10"/>
  <c r="S128" i="10"/>
  <c r="T128" i="10"/>
  <c r="H159" i="1"/>
  <c r="I163" i="1"/>
  <c r="Q164" i="10"/>
  <c r="Q112" i="10"/>
  <c r="Q108" i="10"/>
  <c r="R108" i="10"/>
  <c r="U108" i="10"/>
  <c r="V108" i="10"/>
  <c r="W108" i="10"/>
  <c r="X108" i="10"/>
  <c r="Y108" i="10"/>
  <c r="Z108" i="10"/>
  <c r="O109" i="10"/>
  <c r="I111" i="1"/>
  <c r="O112" i="10"/>
  <c r="Q121" i="10"/>
  <c r="R121" i="10"/>
  <c r="S121" i="10"/>
  <c r="T121" i="10"/>
  <c r="U121" i="10"/>
  <c r="V121" i="10"/>
  <c r="W121" i="10"/>
  <c r="X121" i="10"/>
  <c r="Y121" i="10"/>
  <c r="Z121" i="10"/>
  <c r="Q124" i="10"/>
  <c r="R124" i="10"/>
  <c r="S124" i="10"/>
  <c r="T124" i="10"/>
  <c r="U124" i="10"/>
  <c r="V124" i="10"/>
  <c r="W124" i="10"/>
  <c r="X124" i="10"/>
  <c r="Y124" i="10"/>
  <c r="Z124" i="10"/>
  <c r="O125" i="10"/>
  <c r="O128" i="10"/>
  <c r="T162" i="10"/>
  <c r="U162" i="10"/>
  <c r="V162" i="10"/>
  <c r="W162" i="10"/>
  <c r="U128" i="10"/>
  <c r="V128" i="10"/>
  <c r="W128" i="10"/>
  <c r="X128" i="10"/>
  <c r="Y128" i="10"/>
  <c r="Z128" i="10"/>
  <c r="O129" i="10"/>
  <c r="O132" i="10"/>
  <c r="Q134" i="10"/>
  <c r="R134" i="10"/>
  <c r="S134" i="10"/>
  <c r="T134" i="10"/>
  <c r="U134" i="10"/>
  <c r="V134" i="10"/>
  <c r="W134" i="10"/>
  <c r="X134" i="10"/>
  <c r="Y134" i="10"/>
  <c r="Z134" i="10"/>
  <c r="O135" i="10"/>
  <c r="H137" i="1"/>
  <c r="Q138" i="10"/>
  <c r="R138" i="10"/>
  <c r="S138" i="10"/>
  <c r="H139" i="1"/>
  <c r="Q142" i="10"/>
  <c r="R142" i="10"/>
  <c r="S142" i="10"/>
  <c r="T142" i="10"/>
  <c r="U142" i="10"/>
  <c r="V142" i="10"/>
  <c r="W142" i="10"/>
  <c r="X142" i="10"/>
  <c r="Y142" i="10"/>
  <c r="Z142" i="10"/>
  <c r="O143" i="10"/>
  <c r="H145" i="1"/>
  <c r="H147" i="1"/>
  <c r="Q150" i="10"/>
  <c r="R150" i="10"/>
  <c r="S150" i="10"/>
  <c r="T150" i="10"/>
  <c r="U150" i="10"/>
  <c r="V150" i="10"/>
  <c r="W150" i="10"/>
  <c r="X150" i="10"/>
  <c r="Y150" i="10"/>
  <c r="Z150" i="10"/>
  <c r="O151" i="10"/>
  <c r="O154" i="10"/>
  <c r="Q157" i="10"/>
  <c r="R157" i="10"/>
  <c r="S157" i="10"/>
  <c r="T157" i="10"/>
  <c r="U157" i="10"/>
  <c r="Q160" i="10"/>
  <c r="R160" i="10"/>
  <c r="S160" i="10"/>
  <c r="T160" i="10"/>
  <c r="U160" i="10"/>
  <c r="V160" i="10"/>
  <c r="W160" i="10"/>
  <c r="X160" i="10"/>
  <c r="Y160" i="10"/>
  <c r="Z160" i="10"/>
  <c r="O161" i="10"/>
  <c r="U109" i="10"/>
  <c r="V109" i="10"/>
  <c r="Q113" i="10"/>
  <c r="R113" i="10"/>
  <c r="S113" i="10"/>
  <c r="T113" i="10"/>
  <c r="U113" i="10"/>
  <c r="V113" i="10"/>
  <c r="W113" i="10"/>
  <c r="X113" i="10"/>
  <c r="Y113" i="10"/>
  <c r="Z113" i="10"/>
  <c r="R116" i="10"/>
  <c r="S116" i="10"/>
  <c r="T116" i="10"/>
  <c r="U116" i="10"/>
  <c r="V116" i="10"/>
  <c r="W116" i="10"/>
  <c r="X116" i="10"/>
  <c r="Y116" i="10"/>
  <c r="Z116" i="10"/>
  <c r="O117" i="10"/>
  <c r="I119" i="1"/>
  <c r="O120" i="10"/>
  <c r="I127" i="1"/>
  <c r="Z129" i="10"/>
  <c r="Q132" i="10"/>
  <c r="R132" i="10"/>
  <c r="S132" i="10"/>
  <c r="T132" i="10"/>
  <c r="U132" i="10"/>
  <c r="V132" i="10"/>
  <c r="H133" i="1"/>
  <c r="Q135" i="10"/>
  <c r="R135" i="10"/>
  <c r="S135" i="10"/>
  <c r="T135" i="10"/>
  <c r="U135" i="10"/>
  <c r="V135" i="10"/>
  <c r="X135" i="10"/>
  <c r="Y135" i="10"/>
  <c r="O140" i="10"/>
  <c r="Q143" i="10"/>
  <c r="R143" i="10"/>
  <c r="S143" i="10"/>
  <c r="T143" i="10"/>
  <c r="U143" i="10"/>
  <c r="V143" i="10"/>
  <c r="X143" i="10"/>
  <c r="Y143" i="10"/>
  <c r="Z143" i="10"/>
  <c r="O148" i="10"/>
  <c r="Q151" i="10"/>
  <c r="R151" i="10"/>
  <c r="S151" i="10"/>
  <c r="I151" i="1"/>
  <c r="O152" i="10"/>
  <c r="Q154" i="10"/>
  <c r="R154" i="10"/>
  <c r="S154" i="10"/>
  <c r="T154" i="10"/>
  <c r="U154" i="10"/>
  <c r="O158" i="10"/>
  <c r="Q161" i="10"/>
  <c r="R161" i="10"/>
  <c r="S161" i="10"/>
  <c r="T161" i="10"/>
  <c r="U161" i="10"/>
  <c r="V161" i="10"/>
  <c r="W161" i="10"/>
  <c r="H163" i="1"/>
  <c r="O164" i="10"/>
  <c r="I107" i="1"/>
  <c r="O108" i="10"/>
  <c r="Q117" i="10"/>
  <c r="R117" i="10"/>
  <c r="S117" i="10"/>
  <c r="T117" i="10"/>
  <c r="U117" i="10"/>
  <c r="V117" i="10"/>
  <c r="W117" i="10"/>
  <c r="X117" i="10"/>
  <c r="Y117" i="10"/>
  <c r="Z117" i="10"/>
  <c r="Q120" i="10"/>
  <c r="R120" i="10"/>
  <c r="S120" i="10"/>
  <c r="T120" i="10"/>
  <c r="U120" i="10"/>
  <c r="V120" i="10"/>
  <c r="W120" i="10"/>
  <c r="X120" i="10"/>
  <c r="Y120" i="10"/>
  <c r="Z120" i="10"/>
  <c r="O121" i="10"/>
  <c r="I123" i="1"/>
  <c r="O124" i="10"/>
  <c r="I131" i="1"/>
  <c r="I133" i="1"/>
  <c r="H135" i="1"/>
  <c r="Q140" i="10"/>
  <c r="R140" i="10"/>
  <c r="S140" i="10"/>
  <c r="T140" i="10"/>
  <c r="U140" i="10"/>
  <c r="V140" i="10"/>
  <c r="W140" i="10"/>
  <c r="X140" i="10"/>
  <c r="Y140" i="10"/>
  <c r="Z140" i="10"/>
  <c r="O141" i="10"/>
  <c r="Q148" i="10"/>
  <c r="R148" i="10"/>
  <c r="S148" i="10"/>
  <c r="T148" i="10"/>
  <c r="U148" i="10"/>
  <c r="V148" i="10"/>
  <c r="W148" i="10"/>
  <c r="X148" i="10"/>
  <c r="Y148" i="10"/>
  <c r="Z148" i="10"/>
  <c r="O149" i="10"/>
  <c r="Q152" i="10"/>
  <c r="R152" i="10"/>
  <c r="S152" i="10"/>
  <c r="T152" i="10"/>
  <c r="U152" i="10"/>
  <c r="V152" i="10"/>
  <c r="X152" i="10"/>
  <c r="Y152" i="10"/>
  <c r="Z152" i="10"/>
  <c r="O153" i="10"/>
  <c r="I155" i="1"/>
  <c r="O156" i="10"/>
  <c r="Q158" i="10"/>
  <c r="R158" i="10"/>
  <c r="S158" i="10"/>
  <c r="T158" i="10"/>
  <c r="O162" i="10"/>
  <c r="U164" i="10"/>
  <c r="V164" i="10"/>
  <c r="W164" i="10"/>
  <c r="X164" i="10"/>
  <c r="Y164" i="10"/>
  <c r="Z164" i="10"/>
  <c r="O165" i="10"/>
  <c r="S108" i="10"/>
  <c r="T108" i="10"/>
  <c r="Q116" i="10"/>
  <c r="P106" i="10"/>
  <c r="P107" i="10"/>
  <c r="P110" i="10"/>
  <c r="P111" i="10"/>
  <c r="P114" i="10"/>
  <c r="P115" i="10"/>
  <c r="P118" i="10"/>
  <c r="P119" i="10"/>
  <c r="P122" i="10"/>
  <c r="P123" i="10"/>
  <c r="P126" i="10"/>
  <c r="P127" i="10"/>
  <c r="P130" i="10"/>
  <c r="P131" i="10"/>
  <c r="I135" i="1"/>
  <c r="W135" i="10"/>
  <c r="Z135" i="10"/>
  <c r="P136" i="10"/>
  <c r="P137" i="10"/>
  <c r="W143" i="10"/>
  <c r="I143" i="1"/>
  <c r="W152" i="10"/>
  <c r="H153" i="1"/>
  <c r="O106" i="10"/>
  <c r="R106" i="10"/>
  <c r="S106" i="10"/>
  <c r="V106" i="10"/>
  <c r="X106" i="10"/>
  <c r="Z106" i="10"/>
  <c r="O107" i="10"/>
  <c r="R107" i="10"/>
  <c r="S107" i="10"/>
  <c r="V107" i="10"/>
  <c r="X107" i="10"/>
  <c r="Y107" i="10"/>
  <c r="H109" i="1"/>
  <c r="Q110" i="10"/>
  <c r="T110" i="10"/>
  <c r="U110" i="10"/>
  <c r="Z110" i="10"/>
  <c r="O111" i="10"/>
  <c r="S111" i="10"/>
  <c r="U111" i="10"/>
  <c r="W111" i="10"/>
  <c r="X111" i="10"/>
  <c r="Y111" i="10"/>
  <c r="Z111" i="10"/>
  <c r="H113" i="1"/>
  <c r="O114" i="10"/>
  <c r="R114" i="10"/>
  <c r="W114" i="10"/>
  <c r="Z114" i="10"/>
  <c r="Q115" i="10"/>
  <c r="S115" i="10"/>
  <c r="U115" i="10"/>
  <c r="W115" i="10"/>
  <c r="X115" i="10"/>
  <c r="Y115" i="10"/>
  <c r="H117" i="1"/>
  <c r="O118" i="10"/>
  <c r="Q118" i="10"/>
  <c r="S118" i="10"/>
  <c r="T118" i="10"/>
  <c r="U118" i="10"/>
  <c r="V118" i="10"/>
  <c r="X118" i="10"/>
  <c r="Y118" i="10"/>
  <c r="S119" i="10"/>
  <c r="U119" i="10"/>
  <c r="W119" i="10"/>
  <c r="X119" i="10"/>
  <c r="Z119" i="10"/>
  <c r="O122" i="10"/>
  <c r="S122" i="10"/>
  <c r="U122" i="10"/>
  <c r="X122" i="10"/>
  <c r="Z122" i="10"/>
  <c r="O123" i="10"/>
  <c r="Q123" i="10"/>
  <c r="R123" i="10"/>
  <c r="S123" i="10"/>
  <c r="T123" i="10"/>
  <c r="V123" i="10"/>
  <c r="W123" i="10"/>
  <c r="X123" i="10"/>
  <c r="Y123" i="10"/>
  <c r="Z123" i="10"/>
  <c r="H125" i="1"/>
  <c r="O126" i="10"/>
  <c r="Q126" i="10"/>
  <c r="R126" i="10"/>
  <c r="S126" i="10"/>
  <c r="T126" i="10"/>
  <c r="U126" i="10"/>
  <c r="V126" i="10"/>
  <c r="W126" i="10"/>
  <c r="X126" i="10"/>
  <c r="Y126" i="10"/>
  <c r="Z126" i="10"/>
  <c r="O127" i="10"/>
  <c r="Q127" i="10"/>
  <c r="R127" i="10"/>
  <c r="S127" i="10"/>
  <c r="T127" i="10"/>
  <c r="U127" i="10"/>
  <c r="V127" i="10"/>
  <c r="W127" i="10"/>
  <c r="X127" i="10"/>
  <c r="Y127" i="10"/>
  <c r="Z127" i="10"/>
  <c r="H129" i="1"/>
  <c r="O130" i="10"/>
  <c r="Q130" i="10"/>
  <c r="R130" i="10"/>
  <c r="S130" i="10"/>
  <c r="T130" i="10"/>
  <c r="U130" i="10"/>
  <c r="V130" i="10"/>
  <c r="W130" i="10"/>
  <c r="X130" i="10"/>
  <c r="Y130" i="10"/>
  <c r="Z130" i="10"/>
  <c r="O131" i="10"/>
  <c r="Q131" i="10"/>
  <c r="R131" i="10"/>
  <c r="S131" i="10"/>
  <c r="T131" i="10"/>
  <c r="U131" i="10"/>
  <c r="V131" i="10"/>
  <c r="W131" i="10"/>
  <c r="X131" i="10"/>
  <c r="Y131" i="10"/>
  <c r="Z131" i="10"/>
  <c r="O136" i="10"/>
  <c r="Q136" i="10"/>
  <c r="R136" i="10"/>
  <c r="S136" i="10"/>
  <c r="T136" i="10"/>
  <c r="U136" i="10"/>
  <c r="V136" i="10"/>
  <c r="W136" i="10"/>
  <c r="X136" i="10"/>
  <c r="Y136" i="10"/>
  <c r="Z136" i="10"/>
  <c r="O137" i="10"/>
  <c r="Q137" i="10"/>
  <c r="R137" i="10"/>
  <c r="S137" i="10"/>
  <c r="T137" i="10"/>
  <c r="U137" i="10"/>
  <c r="V137" i="10"/>
  <c r="I137" i="1"/>
  <c r="W137" i="10"/>
  <c r="X137" i="10"/>
  <c r="Y137" i="10"/>
  <c r="Z137" i="10"/>
  <c r="O144" i="10"/>
  <c r="Q144" i="10"/>
  <c r="R144" i="10"/>
  <c r="S144" i="10"/>
  <c r="T144" i="10"/>
  <c r="U144" i="10"/>
  <c r="V144" i="10"/>
  <c r="W144" i="10"/>
  <c r="X144" i="10"/>
  <c r="Y144" i="10"/>
  <c r="Z144" i="10"/>
  <c r="O145" i="10"/>
  <c r="Q145" i="10"/>
  <c r="R145" i="10"/>
  <c r="S145" i="10"/>
  <c r="T145" i="10"/>
  <c r="U145" i="10"/>
  <c r="V145" i="10"/>
  <c r="W145" i="10"/>
  <c r="I145" i="1"/>
  <c r="X145" i="10"/>
  <c r="Y145" i="10"/>
  <c r="Z145" i="10"/>
  <c r="Q106" i="10"/>
  <c r="T106" i="10"/>
  <c r="U106" i="10"/>
  <c r="W106" i="10"/>
  <c r="Y106" i="10"/>
  <c r="Q107" i="10"/>
  <c r="T107" i="10"/>
  <c r="U107" i="10"/>
  <c r="W107" i="10"/>
  <c r="Z107" i="10"/>
  <c r="O110" i="10"/>
  <c r="R110" i="10"/>
  <c r="S110" i="10"/>
  <c r="V110" i="10"/>
  <c r="W110" i="10"/>
  <c r="X110" i="10"/>
  <c r="Y110" i="10"/>
  <c r="Q111" i="10"/>
  <c r="R111" i="10"/>
  <c r="T111" i="10"/>
  <c r="V111" i="10"/>
  <c r="Q114" i="10"/>
  <c r="S114" i="10"/>
  <c r="T114" i="10"/>
  <c r="U114" i="10"/>
  <c r="V114" i="10"/>
  <c r="X114" i="10"/>
  <c r="Y114" i="10"/>
  <c r="O115" i="10"/>
  <c r="R115" i="10"/>
  <c r="T115" i="10"/>
  <c r="V115" i="10"/>
  <c r="Z115" i="10"/>
  <c r="R118" i="10"/>
  <c r="W118" i="10"/>
  <c r="Z118" i="10"/>
  <c r="O119" i="10"/>
  <c r="Q119" i="10"/>
  <c r="R119" i="10"/>
  <c r="T119" i="10"/>
  <c r="V119" i="10"/>
  <c r="Y119" i="10"/>
  <c r="H121" i="1"/>
  <c r="Q122" i="10"/>
  <c r="R122" i="10"/>
  <c r="T122" i="10"/>
  <c r="V122" i="10"/>
  <c r="W122" i="10"/>
  <c r="Y122" i="10"/>
  <c r="U123" i="10"/>
  <c r="I109" i="1"/>
  <c r="P108" i="10"/>
  <c r="P109" i="10"/>
  <c r="I113" i="1"/>
  <c r="P112" i="10"/>
  <c r="P113" i="10"/>
  <c r="I117" i="1"/>
  <c r="P116" i="10"/>
  <c r="P117" i="10"/>
  <c r="I121" i="1"/>
  <c r="P120" i="10"/>
  <c r="P121" i="10"/>
  <c r="I125" i="1"/>
  <c r="P124" i="10"/>
  <c r="P125" i="10"/>
  <c r="I129" i="1"/>
  <c r="P128" i="10"/>
  <c r="P129" i="10"/>
  <c r="P132" i="10"/>
  <c r="P133" i="10"/>
  <c r="T138" i="10"/>
  <c r="U138" i="10"/>
  <c r="V138" i="10"/>
  <c r="W138" i="10"/>
  <c r="X138" i="10"/>
  <c r="Y138" i="10"/>
  <c r="Z138" i="10"/>
  <c r="O139" i="10"/>
  <c r="Q139" i="10"/>
  <c r="R139" i="10"/>
  <c r="S139" i="10"/>
  <c r="T139" i="10"/>
  <c r="U139" i="10"/>
  <c r="V139" i="10"/>
  <c r="W139" i="10"/>
  <c r="I139" i="1"/>
  <c r="X139" i="10"/>
  <c r="Y139" i="10"/>
  <c r="Z139" i="10"/>
  <c r="H141" i="1"/>
  <c r="O146" i="10"/>
  <c r="Q146" i="10"/>
  <c r="R146" i="10"/>
  <c r="S146" i="10"/>
  <c r="T146" i="10"/>
  <c r="U146" i="10"/>
  <c r="V146" i="10"/>
  <c r="W146" i="10"/>
  <c r="X146" i="10"/>
  <c r="Y146" i="10"/>
  <c r="Z146" i="10"/>
  <c r="O147" i="10"/>
  <c r="Q147" i="10"/>
  <c r="R147" i="10"/>
  <c r="S147" i="10"/>
  <c r="T147" i="10"/>
  <c r="U147" i="10"/>
  <c r="V147" i="10"/>
  <c r="W147" i="10"/>
  <c r="I147" i="1"/>
  <c r="X147" i="10"/>
  <c r="Y147" i="10"/>
  <c r="Z147" i="10"/>
  <c r="H149" i="1"/>
  <c r="W132" i="10"/>
  <c r="X132" i="10"/>
  <c r="Y132" i="10"/>
  <c r="Z132" i="10"/>
  <c r="O133" i="10"/>
  <c r="Q133" i="10"/>
  <c r="R133" i="10"/>
  <c r="S133" i="10"/>
  <c r="T133" i="10"/>
  <c r="U133" i="10"/>
  <c r="V133" i="10"/>
  <c r="W133" i="10"/>
  <c r="X133" i="10"/>
  <c r="Y133" i="10"/>
  <c r="Z133" i="10"/>
  <c r="P134" i="10"/>
  <c r="W141" i="10"/>
  <c r="I141" i="1"/>
  <c r="H143" i="1"/>
  <c r="W149" i="10"/>
  <c r="I149" i="1"/>
  <c r="H151" i="1"/>
  <c r="Y153" i="10"/>
  <c r="Z153" i="10"/>
  <c r="V157" i="10"/>
  <c r="W157" i="10"/>
  <c r="X157" i="10"/>
  <c r="Y157" i="10"/>
  <c r="Z157" i="10"/>
  <c r="X161" i="10"/>
  <c r="Y161" i="10"/>
  <c r="Z161" i="10"/>
  <c r="P138" i="10"/>
  <c r="P139" i="10"/>
  <c r="P142" i="10"/>
  <c r="P143" i="10"/>
  <c r="P146" i="10"/>
  <c r="P147" i="10"/>
  <c r="P150" i="10"/>
  <c r="P151" i="10"/>
  <c r="P154" i="10"/>
  <c r="P155" i="10"/>
  <c r="P158" i="10"/>
  <c r="P159" i="10"/>
  <c r="P162" i="10"/>
  <c r="P163" i="10"/>
  <c r="T151" i="10"/>
  <c r="U151" i="10"/>
  <c r="V151" i="10"/>
  <c r="W151" i="10"/>
  <c r="X151" i="10"/>
  <c r="Y151" i="10"/>
  <c r="Z151" i="10"/>
  <c r="V154" i="10"/>
  <c r="W154" i="10"/>
  <c r="X154" i="10"/>
  <c r="Y154" i="10"/>
  <c r="Z154" i="10"/>
  <c r="O155" i="10"/>
  <c r="Q155" i="10"/>
  <c r="R155" i="10"/>
  <c r="S155" i="10"/>
  <c r="T155" i="10"/>
  <c r="U155" i="10"/>
  <c r="V155" i="10"/>
  <c r="W155" i="10"/>
  <c r="X155" i="10"/>
  <c r="Y155" i="10"/>
  <c r="Z155" i="10"/>
  <c r="H157" i="1"/>
  <c r="U158" i="10"/>
  <c r="V158" i="10"/>
  <c r="W158" i="10"/>
  <c r="X158" i="10"/>
  <c r="Y158" i="10"/>
  <c r="Z158" i="10"/>
  <c r="O159" i="10"/>
  <c r="Q159" i="10"/>
  <c r="R159" i="10"/>
  <c r="S159" i="10"/>
  <c r="T159" i="10"/>
  <c r="U159" i="10"/>
  <c r="V159" i="10"/>
  <c r="W159" i="10"/>
  <c r="X159" i="10"/>
  <c r="Y159" i="10"/>
  <c r="Z159" i="10"/>
  <c r="H161" i="1"/>
  <c r="X162" i="10"/>
  <c r="Y162" i="10"/>
  <c r="Z162" i="10"/>
  <c r="O163" i="10"/>
  <c r="Q163" i="10"/>
  <c r="R163" i="10"/>
  <c r="S163" i="10"/>
  <c r="T163" i="10"/>
  <c r="U163" i="10"/>
  <c r="V163" i="10"/>
  <c r="W163" i="10"/>
  <c r="X163" i="10"/>
  <c r="Y163" i="10"/>
  <c r="Z163" i="10"/>
  <c r="H165" i="1"/>
  <c r="P140" i="10"/>
  <c r="P141" i="10"/>
  <c r="P144" i="10"/>
  <c r="P145" i="10"/>
  <c r="P148" i="10"/>
  <c r="P149" i="10"/>
  <c r="I153" i="1"/>
  <c r="P152" i="10"/>
  <c r="P153" i="10"/>
  <c r="I157" i="1"/>
  <c r="P156" i="10"/>
  <c r="P157" i="10"/>
  <c r="I161" i="1"/>
  <c r="P160" i="10"/>
  <c r="P161" i="10"/>
  <c r="P164" i="10"/>
  <c r="P165" i="10"/>
  <c r="CY209" i="1"/>
  <c r="CX209" i="1"/>
  <c r="CY208" i="1"/>
  <c r="CX208" i="1"/>
  <c r="CW208" i="1"/>
  <c r="CY185" i="1"/>
  <c r="CX185" i="1"/>
  <c r="CW185" i="1"/>
  <c r="CY184" i="1"/>
  <c r="CX184" i="1"/>
  <c r="CW184" i="1"/>
  <c r="CY183" i="1"/>
  <c r="CX183" i="1"/>
  <c r="CW183" i="1"/>
  <c r="CY182" i="1"/>
  <c r="CX182" i="1"/>
  <c r="CW182" i="1"/>
  <c r="CY181" i="1"/>
  <c r="CX181" i="1"/>
  <c r="CW181" i="1"/>
  <c r="CY180" i="1"/>
  <c r="CX180" i="1"/>
  <c r="CW180" i="1"/>
  <c r="CY179" i="1"/>
  <c r="CX179" i="1"/>
  <c r="CW179" i="1"/>
  <c r="CY178" i="1"/>
  <c r="CX178" i="1"/>
  <c r="CW178" i="1"/>
  <c r="CY177" i="1"/>
  <c r="CX177" i="1"/>
  <c r="CW177" i="1"/>
  <c r="CY176" i="1"/>
  <c r="CX176" i="1"/>
  <c r="CW176" i="1"/>
  <c r="CY175" i="1"/>
  <c r="CX175" i="1"/>
  <c r="CX187" i="1" s="1"/>
  <c r="CW175" i="1"/>
  <c r="CY174" i="1"/>
  <c r="CX174" i="1"/>
  <c r="CW174" i="1"/>
  <c r="CW186" i="1" s="1"/>
  <c r="CY106" i="1"/>
  <c r="CX106" i="1"/>
  <c r="CW106" i="1"/>
  <c r="CY105" i="1"/>
  <c r="CX105" i="1"/>
  <c r="CW105" i="1"/>
  <c r="CY104" i="1"/>
  <c r="CX104" i="1"/>
  <c r="CW104" i="1"/>
  <c r="CY103" i="1"/>
  <c r="CX103" i="1"/>
  <c r="CW103" i="1"/>
  <c r="CY102" i="1"/>
  <c r="CX102" i="1"/>
  <c r="CW102" i="1"/>
  <c r="CY101" i="1"/>
  <c r="CX101" i="1"/>
  <c r="CW101" i="1"/>
  <c r="CY100" i="1"/>
  <c r="CX100" i="1"/>
  <c r="CW100" i="1"/>
  <c r="CY99" i="1"/>
  <c r="CX99" i="1"/>
  <c r="CW99" i="1"/>
  <c r="CY98" i="1"/>
  <c r="CX98" i="1"/>
  <c r="CW98" i="1"/>
  <c r="CY97" i="1"/>
  <c r="CX97" i="1"/>
  <c r="CW97" i="1"/>
  <c r="CY96" i="1"/>
  <c r="CX96" i="1"/>
  <c r="CW96" i="1"/>
  <c r="CY95" i="1"/>
  <c r="CX95" i="1"/>
  <c r="CW95" i="1"/>
  <c r="CY94" i="1"/>
  <c r="CX94" i="1"/>
  <c r="CW94" i="1"/>
  <c r="CY93" i="1"/>
  <c r="CX93" i="1"/>
  <c r="CW93" i="1"/>
  <c r="CY92" i="1"/>
  <c r="CX92" i="1"/>
  <c r="CW92" i="1"/>
  <c r="CY91" i="1"/>
  <c r="CX91" i="1"/>
  <c r="CW91" i="1"/>
  <c r="CY90" i="1"/>
  <c r="CX90" i="1"/>
  <c r="CW90" i="1"/>
  <c r="CY89" i="1"/>
  <c r="CX89" i="1"/>
  <c r="CW89" i="1"/>
  <c r="CY88" i="1"/>
  <c r="CX88" i="1"/>
  <c r="CW88" i="1"/>
  <c r="CY87" i="1"/>
  <c r="CX87" i="1"/>
  <c r="CW87" i="1"/>
  <c r="CY86" i="1"/>
  <c r="CX86" i="1"/>
  <c r="CW86" i="1"/>
  <c r="CY85" i="1"/>
  <c r="CX85" i="1"/>
  <c r="CW85" i="1"/>
  <c r="CY84" i="1"/>
  <c r="CX84" i="1"/>
  <c r="CW84" i="1"/>
  <c r="CY83" i="1"/>
  <c r="CX83" i="1"/>
  <c r="CW83" i="1"/>
  <c r="CY82" i="1"/>
  <c r="CX82" i="1"/>
  <c r="CW82" i="1"/>
  <c r="CY81" i="1"/>
  <c r="CX81" i="1"/>
  <c r="CW81" i="1"/>
  <c r="CY80" i="1"/>
  <c r="CX80" i="1"/>
  <c r="CW80" i="1"/>
  <c r="CY79" i="1"/>
  <c r="CX79" i="1"/>
  <c r="CW79" i="1"/>
  <c r="CY78" i="1"/>
  <c r="CX78" i="1"/>
  <c r="CW78" i="1"/>
  <c r="CY77" i="1"/>
  <c r="CX77" i="1"/>
  <c r="CW77" i="1"/>
  <c r="CY76" i="1"/>
  <c r="CX76" i="1"/>
  <c r="CW76" i="1"/>
  <c r="CY75" i="1"/>
  <c r="CX75" i="1"/>
  <c r="CW75" i="1"/>
  <c r="CY74" i="1"/>
  <c r="CX74" i="1"/>
  <c r="CW74" i="1"/>
  <c r="CY73" i="1"/>
  <c r="CX73" i="1"/>
  <c r="CW73" i="1"/>
  <c r="CY72" i="1"/>
  <c r="CX72" i="1"/>
  <c r="CW72" i="1"/>
  <c r="CY71" i="1"/>
  <c r="CX71" i="1"/>
  <c r="CW71" i="1"/>
  <c r="CY70" i="1"/>
  <c r="CX70" i="1"/>
  <c r="CW70" i="1"/>
  <c r="CY69" i="1"/>
  <c r="CX69" i="1"/>
  <c r="CW69" i="1"/>
  <c r="CY68" i="1"/>
  <c r="CX68" i="1"/>
  <c r="CW68" i="1"/>
  <c r="CY67" i="1"/>
  <c r="CX67" i="1"/>
  <c r="CW67" i="1"/>
  <c r="CY66" i="1"/>
  <c r="CX66" i="1"/>
  <c r="CW66" i="1"/>
  <c r="CY65" i="1"/>
  <c r="CX65" i="1"/>
  <c r="CW65" i="1"/>
  <c r="CY64" i="1"/>
  <c r="CX64" i="1"/>
  <c r="CW64" i="1"/>
  <c r="CY63" i="1"/>
  <c r="CX63" i="1"/>
  <c r="CW63" i="1"/>
  <c r="CY62" i="1"/>
  <c r="CX62" i="1"/>
  <c r="CW62" i="1"/>
  <c r="CY61" i="1"/>
  <c r="CX61" i="1"/>
  <c r="CW61" i="1"/>
  <c r="CY60" i="1"/>
  <c r="CX60" i="1"/>
  <c r="CW60" i="1"/>
  <c r="CY59" i="1"/>
  <c r="CX59" i="1"/>
  <c r="CW59" i="1"/>
  <c r="CY58" i="1"/>
  <c r="CX58" i="1"/>
  <c r="CW58" i="1"/>
  <c r="CY57" i="1"/>
  <c r="CX57" i="1"/>
  <c r="CW57" i="1"/>
  <c r="CY56" i="1"/>
  <c r="CX56" i="1"/>
  <c r="CW56" i="1"/>
  <c r="CY55" i="1"/>
  <c r="CX55" i="1"/>
  <c r="CW55" i="1"/>
  <c r="CY54" i="1"/>
  <c r="CX54" i="1"/>
  <c r="CW54" i="1"/>
  <c r="CY53" i="1"/>
  <c r="CX53" i="1"/>
  <c r="CW53" i="1"/>
  <c r="CY50" i="1"/>
  <c r="CX50" i="1"/>
  <c r="CW50" i="1"/>
  <c r="CY49" i="1"/>
  <c r="CX49" i="1"/>
  <c r="CW49" i="1"/>
  <c r="CY48" i="1"/>
  <c r="CX48" i="1"/>
  <c r="CW48" i="1"/>
  <c r="CY47" i="1"/>
  <c r="CX47" i="1"/>
  <c r="CW47" i="1"/>
  <c r="CY46" i="1"/>
  <c r="CX46" i="1"/>
  <c r="CW46" i="1"/>
  <c r="CY45" i="1"/>
  <c r="CX45" i="1"/>
  <c r="CW45" i="1"/>
  <c r="CY44" i="1"/>
  <c r="CX44" i="1"/>
  <c r="CW44" i="1"/>
  <c r="CY43" i="1"/>
  <c r="CX43" i="1"/>
  <c r="CW43" i="1"/>
  <c r="CY42" i="1"/>
  <c r="CX42" i="1"/>
  <c r="CW42" i="1"/>
  <c r="CY41" i="1"/>
  <c r="CX41" i="1"/>
  <c r="CW41" i="1"/>
  <c r="CY40" i="1"/>
  <c r="CX40" i="1"/>
  <c r="CW40" i="1"/>
  <c r="CY39" i="1"/>
  <c r="CX39" i="1"/>
  <c r="CW39" i="1"/>
  <c r="CY38" i="1"/>
  <c r="CX38" i="1"/>
  <c r="CW38" i="1"/>
  <c r="CY37" i="1"/>
  <c r="CX37" i="1"/>
  <c r="CW37" i="1"/>
  <c r="CY36" i="1"/>
  <c r="CX36" i="1"/>
  <c r="CW36" i="1"/>
  <c r="CY35" i="1"/>
  <c r="CX35" i="1"/>
  <c r="CW35" i="1"/>
  <c r="CY34" i="1"/>
  <c r="CX34" i="1"/>
  <c r="CW34" i="1"/>
  <c r="CY33" i="1"/>
  <c r="CX33" i="1"/>
  <c r="CW33" i="1"/>
  <c r="CY32" i="1"/>
  <c r="CX32" i="1"/>
  <c r="CW32" i="1"/>
  <c r="CY31" i="1"/>
  <c r="CX31" i="1"/>
  <c r="CW31" i="1"/>
  <c r="CY30" i="1"/>
  <c r="CX30" i="1"/>
  <c r="CW30" i="1"/>
  <c r="CY29" i="1"/>
  <c r="CX29" i="1"/>
  <c r="CW29" i="1"/>
  <c r="CY28" i="1"/>
  <c r="CX28" i="1"/>
  <c r="CW28" i="1"/>
  <c r="CY27" i="1"/>
  <c r="CX27" i="1"/>
  <c r="CW27" i="1"/>
  <c r="CY26" i="1"/>
  <c r="CX26" i="1"/>
  <c r="CW26" i="1"/>
  <c r="CY25" i="1"/>
  <c r="CX25" i="1"/>
  <c r="CW25" i="1"/>
  <c r="CY24" i="1"/>
  <c r="CX24" i="1"/>
  <c r="CW24" i="1"/>
  <c r="CY23" i="1"/>
  <c r="CX23" i="1"/>
  <c r="CW23" i="1"/>
  <c r="CY22" i="1"/>
  <c r="CX22" i="1"/>
  <c r="CW22" i="1"/>
  <c r="CY21" i="1"/>
  <c r="CX21" i="1"/>
  <c r="CW21" i="1"/>
  <c r="CY20" i="1"/>
  <c r="CX20" i="1"/>
  <c r="CW20" i="1"/>
  <c r="CY19" i="1"/>
  <c r="CX19" i="1"/>
  <c r="CW19" i="1"/>
  <c r="CY18" i="1"/>
  <c r="CX18" i="1"/>
  <c r="CW18" i="1"/>
  <c r="CY17" i="1"/>
  <c r="CX17" i="1"/>
  <c r="CW17" i="1"/>
  <c r="CY16" i="1"/>
  <c r="CX16" i="1"/>
  <c r="CW16" i="1"/>
  <c r="CY15" i="1"/>
  <c r="CX15" i="1"/>
  <c r="CW15" i="1"/>
  <c r="CY14" i="1"/>
  <c r="CX14" i="1"/>
  <c r="CW14" i="1"/>
  <c r="CY13" i="1"/>
  <c r="CX13" i="1"/>
  <c r="CW13" i="1"/>
  <c r="CY12" i="1"/>
  <c r="CX12" i="1"/>
  <c r="CW12" i="1"/>
  <c r="CY11" i="1"/>
  <c r="CX11" i="1"/>
  <c r="CW11" i="1"/>
  <c r="CY10" i="1"/>
  <c r="CX10" i="1"/>
  <c r="CW10" i="1"/>
  <c r="CY9" i="1"/>
  <c r="CX9" i="1"/>
  <c r="CW9" i="1"/>
  <c r="CY8" i="1"/>
  <c r="CX8" i="1"/>
  <c r="CX168" i="1" s="1"/>
  <c r="CX190" i="1" s="1"/>
  <c r="CW8" i="1"/>
  <c r="CW168" i="1" s="1"/>
  <c r="CY7" i="1"/>
  <c r="CX7" i="1"/>
  <c r="CW7" i="1"/>
  <c r="CW167" i="1" s="1"/>
  <c r="CW189" i="1" s="1"/>
  <c r="CW211" i="1" s="1"/>
  <c r="CO209" i="1"/>
  <c r="CQ208" i="1"/>
  <c r="CQ185" i="1"/>
  <c r="CP185" i="1"/>
  <c r="CO185" i="1"/>
  <c r="CQ184" i="1"/>
  <c r="CP184" i="1"/>
  <c r="CO184" i="1"/>
  <c r="CQ183" i="1"/>
  <c r="CP183" i="1"/>
  <c r="CO183" i="1"/>
  <c r="CQ182" i="1"/>
  <c r="CP182" i="1"/>
  <c r="CO182" i="1"/>
  <c r="CQ181" i="1"/>
  <c r="CP181" i="1"/>
  <c r="CO181" i="1"/>
  <c r="CQ180" i="1"/>
  <c r="CP180" i="1"/>
  <c r="CO180" i="1"/>
  <c r="CQ179" i="1"/>
  <c r="CP179" i="1"/>
  <c r="CO179" i="1"/>
  <c r="CQ178" i="1"/>
  <c r="CP178" i="1"/>
  <c r="CO178" i="1"/>
  <c r="CQ177" i="1"/>
  <c r="CP177" i="1"/>
  <c r="CO177" i="1"/>
  <c r="CQ176" i="1"/>
  <c r="CP176" i="1"/>
  <c r="CO176" i="1"/>
  <c r="CQ175" i="1"/>
  <c r="CP175" i="1"/>
  <c r="CO175" i="1"/>
  <c r="CQ174" i="1"/>
  <c r="CQ186" i="1" s="1"/>
  <c r="CP174" i="1"/>
  <c r="CO174" i="1"/>
  <c r="CQ106" i="1"/>
  <c r="CP106" i="1"/>
  <c r="CO106" i="1"/>
  <c r="CQ105" i="1"/>
  <c r="CP105" i="1"/>
  <c r="CO105" i="1"/>
  <c r="CQ104" i="1"/>
  <c r="CP104" i="1"/>
  <c r="CO104" i="1"/>
  <c r="CQ103" i="1"/>
  <c r="CP103" i="1"/>
  <c r="CO103" i="1"/>
  <c r="CQ102" i="1"/>
  <c r="CP102" i="1"/>
  <c r="CO102" i="1"/>
  <c r="CQ101" i="1"/>
  <c r="CP101" i="1"/>
  <c r="CO101" i="1"/>
  <c r="CQ100" i="1"/>
  <c r="CP100" i="1"/>
  <c r="CO100" i="1"/>
  <c r="CQ99" i="1"/>
  <c r="CP99" i="1"/>
  <c r="CO99" i="1"/>
  <c r="CQ98" i="1"/>
  <c r="CP98" i="1"/>
  <c r="CO98" i="1"/>
  <c r="CQ97" i="1"/>
  <c r="CP97" i="1"/>
  <c r="CO97" i="1"/>
  <c r="CQ96" i="1"/>
  <c r="CP96" i="1"/>
  <c r="CO96" i="1"/>
  <c r="CQ95" i="1"/>
  <c r="CP95" i="1"/>
  <c r="CO95" i="1"/>
  <c r="CQ94" i="1"/>
  <c r="CP94" i="1"/>
  <c r="CO94" i="1"/>
  <c r="CQ93" i="1"/>
  <c r="CP93" i="1"/>
  <c r="CO93" i="1"/>
  <c r="CQ92" i="1"/>
  <c r="CP92" i="1"/>
  <c r="CO92" i="1"/>
  <c r="CQ91" i="1"/>
  <c r="CP91" i="1"/>
  <c r="CO91" i="1"/>
  <c r="CQ90" i="1"/>
  <c r="CP90" i="1"/>
  <c r="CO90" i="1"/>
  <c r="CQ89" i="1"/>
  <c r="CP89" i="1"/>
  <c r="CO89" i="1"/>
  <c r="CQ88" i="1"/>
  <c r="CP88" i="1"/>
  <c r="CO88" i="1"/>
  <c r="CQ87" i="1"/>
  <c r="CP87" i="1"/>
  <c r="CO87" i="1"/>
  <c r="CQ86" i="1"/>
  <c r="CP86" i="1"/>
  <c r="CO86" i="1"/>
  <c r="CQ85" i="1"/>
  <c r="CP85" i="1"/>
  <c r="CO85" i="1"/>
  <c r="CQ84" i="1"/>
  <c r="CP84" i="1"/>
  <c r="CO84" i="1"/>
  <c r="CQ83" i="1"/>
  <c r="CP83" i="1"/>
  <c r="CO83" i="1"/>
  <c r="CQ82" i="1"/>
  <c r="CP82" i="1"/>
  <c r="CO82" i="1"/>
  <c r="CQ81" i="1"/>
  <c r="CP81" i="1"/>
  <c r="CO81" i="1"/>
  <c r="CQ80" i="1"/>
  <c r="CP80" i="1"/>
  <c r="CO80" i="1"/>
  <c r="CQ79" i="1"/>
  <c r="CP79" i="1"/>
  <c r="CO79" i="1"/>
  <c r="CQ78" i="1"/>
  <c r="CP78" i="1"/>
  <c r="CO78" i="1"/>
  <c r="CQ77" i="1"/>
  <c r="CP77" i="1"/>
  <c r="CO77" i="1"/>
  <c r="CQ76" i="1"/>
  <c r="CP76" i="1"/>
  <c r="CO76" i="1"/>
  <c r="CQ75" i="1"/>
  <c r="CP75" i="1"/>
  <c r="CO75" i="1"/>
  <c r="CQ74" i="1"/>
  <c r="CP74" i="1"/>
  <c r="CO74" i="1"/>
  <c r="CQ73" i="1"/>
  <c r="CP73" i="1"/>
  <c r="CO73" i="1"/>
  <c r="CQ72" i="1"/>
  <c r="CP72" i="1"/>
  <c r="CO72" i="1"/>
  <c r="CQ71" i="1"/>
  <c r="CP71" i="1"/>
  <c r="CO71" i="1"/>
  <c r="CQ70" i="1"/>
  <c r="CP70" i="1"/>
  <c r="CO70" i="1"/>
  <c r="CQ69" i="1"/>
  <c r="CP69" i="1"/>
  <c r="CO69" i="1"/>
  <c r="CQ68" i="1"/>
  <c r="CP68" i="1"/>
  <c r="CO68" i="1"/>
  <c r="CQ67" i="1"/>
  <c r="CP67" i="1"/>
  <c r="CO67" i="1"/>
  <c r="CQ66" i="1"/>
  <c r="CP66" i="1"/>
  <c r="CO66" i="1"/>
  <c r="CQ65" i="1"/>
  <c r="CP65" i="1"/>
  <c r="CO65" i="1"/>
  <c r="CQ64" i="1"/>
  <c r="CP64" i="1"/>
  <c r="CO64" i="1"/>
  <c r="CQ63" i="1"/>
  <c r="CP63" i="1"/>
  <c r="CO63" i="1"/>
  <c r="CQ62" i="1"/>
  <c r="CP62" i="1"/>
  <c r="CO62" i="1"/>
  <c r="CQ61" i="1"/>
  <c r="CP61" i="1"/>
  <c r="CO61" i="1"/>
  <c r="CQ60" i="1"/>
  <c r="CP60" i="1"/>
  <c r="CO60" i="1"/>
  <c r="CQ59" i="1"/>
  <c r="CP59" i="1"/>
  <c r="CO59" i="1"/>
  <c r="CQ58" i="1"/>
  <c r="CP58" i="1"/>
  <c r="CO58" i="1"/>
  <c r="CQ57" i="1"/>
  <c r="CP57" i="1"/>
  <c r="CO57" i="1"/>
  <c r="CQ56" i="1"/>
  <c r="CP56" i="1"/>
  <c r="CO56" i="1"/>
  <c r="CQ55" i="1"/>
  <c r="CP55" i="1"/>
  <c r="CO55" i="1"/>
  <c r="CQ54" i="1"/>
  <c r="CP54" i="1"/>
  <c r="CO54" i="1"/>
  <c r="CQ53" i="1"/>
  <c r="CP53" i="1"/>
  <c r="CO53" i="1"/>
  <c r="CQ50" i="1"/>
  <c r="CP50" i="1"/>
  <c r="CO50" i="1"/>
  <c r="CQ49" i="1"/>
  <c r="CP49" i="1"/>
  <c r="CO49" i="1"/>
  <c r="CQ48" i="1"/>
  <c r="CP48" i="1"/>
  <c r="CO48" i="1"/>
  <c r="CQ47" i="1"/>
  <c r="CP47" i="1"/>
  <c r="CO47" i="1"/>
  <c r="CQ46" i="1"/>
  <c r="CP46" i="1"/>
  <c r="CO46" i="1"/>
  <c r="CQ45" i="1"/>
  <c r="CP45" i="1"/>
  <c r="CO45" i="1"/>
  <c r="CQ44" i="1"/>
  <c r="CP44" i="1"/>
  <c r="CO44" i="1"/>
  <c r="CQ43" i="1"/>
  <c r="CP43" i="1"/>
  <c r="CO43" i="1"/>
  <c r="CQ42" i="1"/>
  <c r="CP42" i="1"/>
  <c r="CO42" i="1"/>
  <c r="CQ41" i="1"/>
  <c r="CP41" i="1"/>
  <c r="CO41" i="1"/>
  <c r="CQ40" i="1"/>
  <c r="CP40" i="1"/>
  <c r="CO40" i="1"/>
  <c r="CQ39" i="1"/>
  <c r="CP39" i="1"/>
  <c r="CO39" i="1"/>
  <c r="CQ38" i="1"/>
  <c r="CP38" i="1"/>
  <c r="CO38" i="1"/>
  <c r="CQ37" i="1"/>
  <c r="CP37" i="1"/>
  <c r="CO37" i="1"/>
  <c r="CQ36" i="1"/>
  <c r="CP36" i="1"/>
  <c r="CO36" i="1"/>
  <c r="CQ35" i="1"/>
  <c r="CP35" i="1"/>
  <c r="CO35" i="1"/>
  <c r="CQ34" i="1"/>
  <c r="CP34" i="1"/>
  <c r="CO34" i="1"/>
  <c r="CQ33" i="1"/>
  <c r="CP33" i="1"/>
  <c r="CO33" i="1"/>
  <c r="CQ32" i="1"/>
  <c r="CP32" i="1"/>
  <c r="CO32" i="1"/>
  <c r="CQ31" i="1"/>
  <c r="CP31" i="1"/>
  <c r="CO31" i="1"/>
  <c r="CQ30" i="1"/>
  <c r="CP30" i="1"/>
  <c r="CO30" i="1"/>
  <c r="CQ29" i="1"/>
  <c r="CP29" i="1"/>
  <c r="CO29" i="1"/>
  <c r="CQ28" i="1"/>
  <c r="CP28" i="1"/>
  <c r="CO28" i="1"/>
  <c r="CQ27" i="1"/>
  <c r="CP27" i="1"/>
  <c r="CO27" i="1"/>
  <c r="CQ26" i="1"/>
  <c r="CP26" i="1"/>
  <c r="CO26" i="1"/>
  <c r="CQ25" i="1"/>
  <c r="CP25" i="1"/>
  <c r="CO25" i="1"/>
  <c r="CQ24" i="1"/>
  <c r="CP24" i="1"/>
  <c r="CO24" i="1"/>
  <c r="CQ23" i="1"/>
  <c r="CP23" i="1"/>
  <c r="CO23" i="1"/>
  <c r="CQ22" i="1"/>
  <c r="CP22" i="1"/>
  <c r="CO22" i="1"/>
  <c r="CQ21" i="1"/>
  <c r="CP21" i="1"/>
  <c r="CO21" i="1"/>
  <c r="CQ20" i="1"/>
  <c r="CP20" i="1"/>
  <c r="CO20" i="1"/>
  <c r="CQ19" i="1"/>
  <c r="CP19" i="1"/>
  <c r="CO19" i="1"/>
  <c r="CQ18" i="1"/>
  <c r="CP18" i="1"/>
  <c r="CO18" i="1"/>
  <c r="CQ17" i="1"/>
  <c r="CP17" i="1"/>
  <c r="CO17" i="1"/>
  <c r="CQ16" i="1"/>
  <c r="CP16" i="1"/>
  <c r="CO16" i="1"/>
  <c r="CQ15" i="1"/>
  <c r="CP15" i="1"/>
  <c r="CO15" i="1"/>
  <c r="CQ14" i="1"/>
  <c r="CP14" i="1"/>
  <c r="CO14" i="1"/>
  <c r="CQ13" i="1"/>
  <c r="CP13" i="1"/>
  <c r="CO13" i="1"/>
  <c r="CQ12" i="1"/>
  <c r="CP12" i="1"/>
  <c r="CO12" i="1"/>
  <c r="CQ11" i="1"/>
  <c r="CP11" i="1"/>
  <c r="CO11" i="1"/>
  <c r="CQ10" i="1"/>
  <c r="CP10" i="1"/>
  <c r="CO10" i="1"/>
  <c r="CQ9" i="1"/>
  <c r="CP9" i="1"/>
  <c r="CO9" i="1"/>
  <c r="CQ8" i="1"/>
  <c r="CQ168" i="1" s="1"/>
  <c r="CP8" i="1"/>
  <c r="CO8" i="1"/>
  <c r="CQ7" i="1"/>
  <c r="CQ167" i="1" s="1"/>
  <c r="CQ189" i="1" s="1"/>
  <c r="CP7" i="1"/>
  <c r="CP167" i="1" s="1"/>
  <c r="CO7" i="1"/>
  <c r="CG209" i="1"/>
  <c r="CI208" i="1"/>
  <c r="CI185" i="1"/>
  <c r="CH185" i="1"/>
  <c r="CG185" i="1"/>
  <c r="CI184" i="1"/>
  <c r="CH184" i="1"/>
  <c r="CG184" i="1"/>
  <c r="CI183" i="1"/>
  <c r="CH183" i="1"/>
  <c r="CG183" i="1"/>
  <c r="CI182" i="1"/>
  <c r="CH182" i="1"/>
  <c r="CG182" i="1"/>
  <c r="CI181" i="1"/>
  <c r="CH181" i="1"/>
  <c r="CG181" i="1"/>
  <c r="CI180" i="1"/>
  <c r="CH180" i="1"/>
  <c r="CG180" i="1"/>
  <c r="CI179" i="1"/>
  <c r="CH179" i="1"/>
  <c r="CG179" i="1"/>
  <c r="CI178" i="1"/>
  <c r="CH178" i="1"/>
  <c r="CG178" i="1"/>
  <c r="CI177" i="1"/>
  <c r="CH177" i="1"/>
  <c r="CG177" i="1"/>
  <c r="CI176" i="1"/>
  <c r="CH176" i="1"/>
  <c r="CG176" i="1"/>
  <c r="CI175" i="1"/>
  <c r="CH175" i="1"/>
  <c r="CG175" i="1"/>
  <c r="CG187" i="1" s="1"/>
  <c r="CI174" i="1"/>
  <c r="CH174" i="1"/>
  <c r="CG174" i="1"/>
  <c r="CI106" i="1"/>
  <c r="CH106" i="1"/>
  <c r="CG106" i="1"/>
  <c r="CI105" i="1"/>
  <c r="CH105" i="1"/>
  <c r="CG105" i="1"/>
  <c r="CI104" i="1"/>
  <c r="CH104" i="1"/>
  <c r="CG104" i="1"/>
  <c r="CI103" i="1"/>
  <c r="CH103" i="1"/>
  <c r="CG103" i="1"/>
  <c r="CI102" i="1"/>
  <c r="CH102" i="1"/>
  <c r="CG102" i="1"/>
  <c r="CI101" i="1"/>
  <c r="CH101" i="1"/>
  <c r="CG101" i="1"/>
  <c r="CI100" i="1"/>
  <c r="CH100" i="1"/>
  <c r="CG100" i="1"/>
  <c r="CI99" i="1"/>
  <c r="CH99" i="1"/>
  <c r="CG99" i="1"/>
  <c r="CI98" i="1"/>
  <c r="CH98" i="1"/>
  <c r="CG98" i="1"/>
  <c r="CI97" i="1"/>
  <c r="CH97" i="1"/>
  <c r="CG97" i="1"/>
  <c r="CI96" i="1"/>
  <c r="CH96" i="1"/>
  <c r="CG96" i="1"/>
  <c r="CI95" i="1"/>
  <c r="CH95" i="1"/>
  <c r="CG95" i="1"/>
  <c r="CI94" i="1"/>
  <c r="CH94" i="1"/>
  <c r="CG94" i="1"/>
  <c r="CI93" i="1"/>
  <c r="CH93" i="1"/>
  <c r="CG93" i="1"/>
  <c r="CI92" i="1"/>
  <c r="CH92" i="1"/>
  <c r="CG92" i="1"/>
  <c r="CI91" i="1"/>
  <c r="CH91" i="1"/>
  <c r="CG91" i="1"/>
  <c r="CI90" i="1"/>
  <c r="CH90" i="1"/>
  <c r="CG90" i="1"/>
  <c r="CI89" i="1"/>
  <c r="CH89" i="1"/>
  <c r="CG89" i="1"/>
  <c r="CI88" i="1"/>
  <c r="CH88" i="1"/>
  <c r="CG88" i="1"/>
  <c r="CI87" i="1"/>
  <c r="CH87" i="1"/>
  <c r="CG87" i="1"/>
  <c r="CI86" i="1"/>
  <c r="CH86" i="1"/>
  <c r="CG86" i="1"/>
  <c r="CI85" i="1"/>
  <c r="CH85" i="1"/>
  <c r="CG85" i="1"/>
  <c r="CI84" i="1"/>
  <c r="CH84" i="1"/>
  <c r="CG84" i="1"/>
  <c r="CI83" i="1"/>
  <c r="CH83" i="1"/>
  <c r="CG83" i="1"/>
  <c r="CI82" i="1"/>
  <c r="CH82" i="1"/>
  <c r="CG82" i="1"/>
  <c r="CI81" i="1"/>
  <c r="CH81" i="1"/>
  <c r="CG81" i="1"/>
  <c r="CI80" i="1"/>
  <c r="CH80" i="1"/>
  <c r="CG80" i="1"/>
  <c r="CI79" i="1"/>
  <c r="CH79" i="1"/>
  <c r="CG79" i="1"/>
  <c r="CI78" i="1"/>
  <c r="CH78" i="1"/>
  <c r="CG78" i="1"/>
  <c r="CI77" i="1"/>
  <c r="CH77" i="1"/>
  <c r="CG77" i="1"/>
  <c r="CI76" i="1"/>
  <c r="CH76" i="1"/>
  <c r="CG76" i="1"/>
  <c r="CI75" i="1"/>
  <c r="CH75" i="1"/>
  <c r="CG75" i="1"/>
  <c r="CI74" i="1"/>
  <c r="CH74" i="1"/>
  <c r="CG74" i="1"/>
  <c r="CI73" i="1"/>
  <c r="CH73" i="1"/>
  <c r="CG73" i="1"/>
  <c r="CI72" i="1"/>
  <c r="CH72" i="1"/>
  <c r="CG72" i="1"/>
  <c r="CI71" i="1"/>
  <c r="CH71" i="1"/>
  <c r="CG71" i="1"/>
  <c r="CI70" i="1"/>
  <c r="CH70" i="1"/>
  <c r="CG70" i="1"/>
  <c r="CI69" i="1"/>
  <c r="CH69" i="1"/>
  <c r="CG69" i="1"/>
  <c r="CI68" i="1"/>
  <c r="CH68" i="1"/>
  <c r="CG68" i="1"/>
  <c r="CI67" i="1"/>
  <c r="CH67" i="1"/>
  <c r="CG67" i="1"/>
  <c r="CI66" i="1"/>
  <c r="CH66" i="1"/>
  <c r="CG66" i="1"/>
  <c r="CI65" i="1"/>
  <c r="CH65" i="1"/>
  <c r="CG65" i="1"/>
  <c r="CI64" i="1"/>
  <c r="CH64" i="1"/>
  <c r="CG64" i="1"/>
  <c r="CI63" i="1"/>
  <c r="CH63" i="1"/>
  <c r="CG63" i="1"/>
  <c r="CI62" i="1"/>
  <c r="CH62" i="1"/>
  <c r="CG62" i="1"/>
  <c r="CI61" i="1"/>
  <c r="CH61" i="1"/>
  <c r="CG61" i="1"/>
  <c r="CI60" i="1"/>
  <c r="CH60" i="1"/>
  <c r="CG60" i="1"/>
  <c r="CI59" i="1"/>
  <c r="CH59" i="1"/>
  <c r="CG59" i="1"/>
  <c r="CI58" i="1"/>
  <c r="CH58" i="1"/>
  <c r="CG58" i="1"/>
  <c r="CI57" i="1"/>
  <c r="CH57" i="1"/>
  <c r="CG57" i="1"/>
  <c r="CI56" i="1"/>
  <c r="CH56" i="1"/>
  <c r="CG56" i="1"/>
  <c r="CI55" i="1"/>
  <c r="CH55" i="1"/>
  <c r="CG55" i="1"/>
  <c r="CI54" i="1"/>
  <c r="CH54" i="1"/>
  <c r="CG54" i="1"/>
  <c r="CI53" i="1"/>
  <c r="CH53" i="1"/>
  <c r="CG53" i="1"/>
  <c r="CI50" i="1"/>
  <c r="CH50" i="1"/>
  <c r="CG50" i="1"/>
  <c r="CI49" i="1"/>
  <c r="CH49" i="1"/>
  <c r="CG49" i="1"/>
  <c r="CI48" i="1"/>
  <c r="CH48" i="1"/>
  <c r="CG48" i="1"/>
  <c r="CI47" i="1"/>
  <c r="CH47" i="1"/>
  <c r="CG47" i="1"/>
  <c r="CI46" i="1"/>
  <c r="CH46" i="1"/>
  <c r="CG46" i="1"/>
  <c r="CI45" i="1"/>
  <c r="CH45" i="1"/>
  <c r="CG45" i="1"/>
  <c r="CI44" i="1"/>
  <c r="CH44" i="1"/>
  <c r="CG44" i="1"/>
  <c r="CI43" i="1"/>
  <c r="CH43" i="1"/>
  <c r="CG43" i="1"/>
  <c r="CI42" i="1"/>
  <c r="CH42" i="1"/>
  <c r="CG42" i="1"/>
  <c r="CI41" i="1"/>
  <c r="CH41" i="1"/>
  <c r="CG41" i="1"/>
  <c r="CI40" i="1"/>
  <c r="CH40" i="1"/>
  <c r="CG40" i="1"/>
  <c r="CI39" i="1"/>
  <c r="CH39" i="1"/>
  <c r="CG39" i="1"/>
  <c r="CI38" i="1"/>
  <c r="CH38" i="1"/>
  <c r="CG38" i="1"/>
  <c r="CI37" i="1"/>
  <c r="CH37" i="1"/>
  <c r="CG37" i="1"/>
  <c r="CI36" i="1"/>
  <c r="CH36" i="1"/>
  <c r="CG36" i="1"/>
  <c r="CI35" i="1"/>
  <c r="CH35" i="1"/>
  <c r="CG35" i="1"/>
  <c r="CI34" i="1"/>
  <c r="CH34" i="1"/>
  <c r="CG34" i="1"/>
  <c r="CI33" i="1"/>
  <c r="CH33" i="1"/>
  <c r="CG33" i="1"/>
  <c r="CI32" i="1"/>
  <c r="CH32" i="1"/>
  <c r="CG32" i="1"/>
  <c r="CI31" i="1"/>
  <c r="CH31" i="1"/>
  <c r="CG31" i="1"/>
  <c r="CI30" i="1"/>
  <c r="CH30" i="1"/>
  <c r="CG30" i="1"/>
  <c r="CI29" i="1"/>
  <c r="CH29" i="1"/>
  <c r="CG29" i="1"/>
  <c r="CI28" i="1"/>
  <c r="CH28" i="1"/>
  <c r="CG28" i="1"/>
  <c r="CI27" i="1"/>
  <c r="CH27" i="1"/>
  <c r="CG27" i="1"/>
  <c r="CI26" i="1"/>
  <c r="CH26" i="1"/>
  <c r="CG26" i="1"/>
  <c r="CI25" i="1"/>
  <c r="CH25" i="1"/>
  <c r="CG25" i="1"/>
  <c r="CI24" i="1"/>
  <c r="CH24" i="1"/>
  <c r="CG24" i="1"/>
  <c r="CI23" i="1"/>
  <c r="CH23" i="1"/>
  <c r="CG23" i="1"/>
  <c r="CI22" i="1"/>
  <c r="CH22" i="1"/>
  <c r="CG22" i="1"/>
  <c r="CI21" i="1"/>
  <c r="CH21" i="1"/>
  <c r="CG21" i="1"/>
  <c r="CI20" i="1"/>
  <c r="CH20" i="1"/>
  <c r="CG20" i="1"/>
  <c r="CI19" i="1"/>
  <c r="CH19" i="1"/>
  <c r="CG19" i="1"/>
  <c r="CI18" i="1"/>
  <c r="CH18" i="1"/>
  <c r="CG18" i="1"/>
  <c r="CI17" i="1"/>
  <c r="CH17" i="1"/>
  <c r="CG17" i="1"/>
  <c r="CI16" i="1"/>
  <c r="CH16" i="1"/>
  <c r="CG16" i="1"/>
  <c r="CI15" i="1"/>
  <c r="CH15" i="1"/>
  <c r="CG15" i="1"/>
  <c r="CI14" i="1"/>
  <c r="CH14" i="1"/>
  <c r="CG14" i="1"/>
  <c r="CI13" i="1"/>
  <c r="CH13" i="1"/>
  <c r="CG13" i="1"/>
  <c r="CI12" i="1"/>
  <c r="CH12" i="1"/>
  <c r="CG12" i="1"/>
  <c r="CI11" i="1"/>
  <c r="CH11" i="1"/>
  <c r="CG11" i="1"/>
  <c r="CI10" i="1"/>
  <c r="CH10" i="1"/>
  <c r="CG10" i="1"/>
  <c r="CI9" i="1"/>
  <c r="CH9" i="1"/>
  <c r="CG9" i="1"/>
  <c r="CI8" i="1"/>
  <c r="CH8" i="1"/>
  <c r="CH168" i="1" s="1"/>
  <c r="CG8" i="1"/>
  <c r="CG168" i="1" s="1"/>
  <c r="CG190" i="1" s="1"/>
  <c r="CG212" i="1" s="1"/>
  <c r="CI7" i="1"/>
  <c r="CH7" i="1"/>
  <c r="CG7" i="1"/>
  <c r="CG167" i="1" s="1"/>
  <c r="BY209" i="1"/>
  <c r="CA208" i="1"/>
  <c r="CA185" i="1"/>
  <c r="BZ185" i="1"/>
  <c r="BY185" i="1"/>
  <c r="CA184" i="1"/>
  <c r="BZ184" i="1"/>
  <c r="BY184" i="1"/>
  <c r="CA183" i="1"/>
  <c r="BZ183" i="1"/>
  <c r="BY183" i="1"/>
  <c r="CA182" i="1"/>
  <c r="BZ182" i="1"/>
  <c r="BY182" i="1"/>
  <c r="CA181" i="1"/>
  <c r="BZ181" i="1"/>
  <c r="BY181" i="1"/>
  <c r="CA180" i="1"/>
  <c r="BZ180" i="1"/>
  <c r="BY180" i="1"/>
  <c r="CA179" i="1"/>
  <c r="BZ179" i="1"/>
  <c r="BY179" i="1"/>
  <c r="CA178" i="1"/>
  <c r="BZ178" i="1"/>
  <c r="BY178" i="1"/>
  <c r="CA177" i="1"/>
  <c r="BZ177" i="1"/>
  <c r="BY177" i="1"/>
  <c r="CA176" i="1"/>
  <c r="BZ176" i="1"/>
  <c r="BY176" i="1"/>
  <c r="CA175" i="1"/>
  <c r="BZ175" i="1"/>
  <c r="BY175" i="1"/>
  <c r="CA174" i="1"/>
  <c r="CA186" i="1" s="1"/>
  <c r="BZ174" i="1"/>
  <c r="BY174" i="1"/>
  <c r="CA106" i="1"/>
  <c r="BZ106" i="1"/>
  <c r="BY106" i="1"/>
  <c r="CA105" i="1"/>
  <c r="BZ105" i="1"/>
  <c r="BY105" i="1"/>
  <c r="CA104" i="1"/>
  <c r="BZ104" i="1"/>
  <c r="BY104" i="1"/>
  <c r="CA103" i="1"/>
  <c r="BZ103" i="1"/>
  <c r="BY103" i="1"/>
  <c r="CA102" i="1"/>
  <c r="BZ102" i="1"/>
  <c r="BY102" i="1"/>
  <c r="CA101" i="1"/>
  <c r="BZ101" i="1"/>
  <c r="BY101" i="1"/>
  <c r="CA100" i="1"/>
  <c r="BZ100" i="1"/>
  <c r="BY100" i="1"/>
  <c r="CA99" i="1"/>
  <c r="BZ99" i="1"/>
  <c r="BY99" i="1"/>
  <c r="CA98" i="1"/>
  <c r="BZ98" i="1"/>
  <c r="BY98" i="1"/>
  <c r="CA97" i="1"/>
  <c r="BZ97" i="1"/>
  <c r="BY97" i="1"/>
  <c r="CA96" i="1"/>
  <c r="BZ96" i="1"/>
  <c r="BY96" i="1"/>
  <c r="CA95" i="1"/>
  <c r="BZ95" i="1"/>
  <c r="BY95" i="1"/>
  <c r="CA94" i="1"/>
  <c r="BZ94" i="1"/>
  <c r="BY94" i="1"/>
  <c r="CA93" i="1"/>
  <c r="BZ93" i="1"/>
  <c r="BY93" i="1"/>
  <c r="CA92" i="1"/>
  <c r="BZ92" i="1"/>
  <c r="BY92" i="1"/>
  <c r="CA91" i="1"/>
  <c r="BZ91" i="1"/>
  <c r="BY91" i="1"/>
  <c r="CA90" i="1"/>
  <c r="BZ90" i="1"/>
  <c r="BY90" i="1"/>
  <c r="CA89" i="1"/>
  <c r="BZ89" i="1"/>
  <c r="BY89" i="1"/>
  <c r="CA88" i="1"/>
  <c r="BZ88" i="1"/>
  <c r="BY88" i="1"/>
  <c r="CA87" i="1"/>
  <c r="BZ87" i="1"/>
  <c r="BY87" i="1"/>
  <c r="CA86" i="1"/>
  <c r="BZ86" i="1"/>
  <c r="BY86" i="1"/>
  <c r="CA85" i="1"/>
  <c r="BZ85" i="1"/>
  <c r="BY85" i="1"/>
  <c r="CA84" i="1"/>
  <c r="BZ84" i="1"/>
  <c r="BY84" i="1"/>
  <c r="CA83" i="1"/>
  <c r="BZ83" i="1"/>
  <c r="BY83" i="1"/>
  <c r="CA82" i="1"/>
  <c r="BZ82" i="1"/>
  <c r="BY82" i="1"/>
  <c r="CA81" i="1"/>
  <c r="BZ81" i="1"/>
  <c r="BY81" i="1"/>
  <c r="CA80" i="1"/>
  <c r="BZ80" i="1"/>
  <c r="BY80" i="1"/>
  <c r="CA79" i="1"/>
  <c r="BZ79" i="1"/>
  <c r="BY79" i="1"/>
  <c r="CA78" i="1"/>
  <c r="BZ78" i="1"/>
  <c r="BY78" i="1"/>
  <c r="CA77" i="1"/>
  <c r="BZ77" i="1"/>
  <c r="BY77" i="1"/>
  <c r="CA76" i="1"/>
  <c r="BZ76" i="1"/>
  <c r="BY76" i="1"/>
  <c r="CA75" i="1"/>
  <c r="BZ75" i="1"/>
  <c r="BY75" i="1"/>
  <c r="CA74" i="1"/>
  <c r="BZ74" i="1"/>
  <c r="BY74" i="1"/>
  <c r="CA73" i="1"/>
  <c r="BZ73" i="1"/>
  <c r="BY73" i="1"/>
  <c r="CA72" i="1"/>
  <c r="BZ72" i="1"/>
  <c r="BY72" i="1"/>
  <c r="CA71" i="1"/>
  <c r="BZ71" i="1"/>
  <c r="BY71" i="1"/>
  <c r="CA70" i="1"/>
  <c r="BZ70" i="1"/>
  <c r="BY70" i="1"/>
  <c r="CA69" i="1"/>
  <c r="BZ69" i="1"/>
  <c r="BY69" i="1"/>
  <c r="CA68" i="1"/>
  <c r="BZ68" i="1"/>
  <c r="BY68" i="1"/>
  <c r="CA67" i="1"/>
  <c r="BZ67" i="1"/>
  <c r="BY67" i="1"/>
  <c r="CA66" i="1"/>
  <c r="BZ66" i="1"/>
  <c r="BY66" i="1"/>
  <c r="CA65" i="1"/>
  <c r="BZ65" i="1"/>
  <c r="BY65" i="1"/>
  <c r="CA64" i="1"/>
  <c r="BZ64" i="1"/>
  <c r="BY64" i="1"/>
  <c r="CA63" i="1"/>
  <c r="BZ63" i="1"/>
  <c r="BY63" i="1"/>
  <c r="CA62" i="1"/>
  <c r="BZ62" i="1"/>
  <c r="BY62" i="1"/>
  <c r="CA61" i="1"/>
  <c r="BZ61" i="1"/>
  <c r="BY61" i="1"/>
  <c r="CA60" i="1"/>
  <c r="BZ60" i="1"/>
  <c r="BY60" i="1"/>
  <c r="CA59" i="1"/>
  <c r="BZ59" i="1"/>
  <c r="BY59" i="1"/>
  <c r="CA58" i="1"/>
  <c r="BZ58" i="1"/>
  <c r="BY58" i="1"/>
  <c r="CA57" i="1"/>
  <c r="BZ57" i="1"/>
  <c r="BY57" i="1"/>
  <c r="CA56" i="1"/>
  <c r="BZ56" i="1"/>
  <c r="BY56" i="1"/>
  <c r="CA55" i="1"/>
  <c r="BZ55" i="1"/>
  <c r="BY55" i="1"/>
  <c r="CA54" i="1"/>
  <c r="BZ54" i="1"/>
  <c r="BY54" i="1"/>
  <c r="CA53" i="1"/>
  <c r="BZ53" i="1"/>
  <c r="BY53" i="1"/>
  <c r="CA50" i="1"/>
  <c r="BZ50" i="1"/>
  <c r="BY50" i="1"/>
  <c r="CA49" i="1"/>
  <c r="BZ49" i="1"/>
  <c r="BY49" i="1"/>
  <c r="CA48" i="1"/>
  <c r="BZ48" i="1"/>
  <c r="BY48" i="1"/>
  <c r="CA47" i="1"/>
  <c r="BZ47" i="1"/>
  <c r="BY47" i="1"/>
  <c r="CA46" i="1"/>
  <c r="BZ46" i="1"/>
  <c r="BY46" i="1"/>
  <c r="CA45" i="1"/>
  <c r="BZ45" i="1"/>
  <c r="BY45" i="1"/>
  <c r="CA44" i="1"/>
  <c r="BZ44" i="1"/>
  <c r="BY44" i="1"/>
  <c r="CA43" i="1"/>
  <c r="BZ43" i="1"/>
  <c r="BY43" i="1"/>
  <c r="CA42" i="1"/>
  <c r="BZ42" i="1"/>
  <c r="BY42" i="1"/>
  <c r="CA41" i="1"/>
  <c r="BZ41" i="1"/>
  <c r="BY41" i="1"/>
  <c r="CA40" i="1"/>
  <c r="BZ40" i="1"/>
  <c r="BY40" i="1"/>
  <c r="CA39" i="1"/>
  <c r="BZ39" i="1"/>
  <c r="BY39" i="1"/>
  <c r="CA38" i="1"/>
  <c r="BZ38" i="1"/>
  <c r="BY38" i="1"/>
  <c r="CA37" i="1"/>
  <c r="BZ37" i="1"/>
  <c r="BY37" i="1"/>
  <c r="CA36" i="1"/>
  <c r="BZ36" i="1"/>
  <c r="BY36" i="1"/>
  <c r="CA35" i="1"/>
  <c r="BZ35" i="1"/>
  <c r="BY35" i="1"/>
  <c r="CA34" i="1"/>
  <c r="BZ34" i="1"/>
  <c r="BY34" i="1"/>
  <c r="CA33" i="1"/>
  <c r="BZ33" i="1"/>
  <c r="BY33" i="1"/>
  <c r="CA32" i="1"/>
  <c r="BZ32" i="1"/>
  <c r="BY32" i="1"/>
  <c r="CA31" i="1"/>
  <c r="BZ31" i="1"/>
  <c r="BY31" i="1"/>
  <c r="CA30" i="1"/>
  <c r="BZ30" i="1"/>
  <c r="BY30" i="1"/>
  <c r="CA29" i="1"/>
  <c r="BZ29" i="1"/>
  <c r="BY29" i="1"/>
  <c r="CA28" i="1"/>
  <c r="BZ28" i="1"/>
  <c r="BY28" i="1"/>
  <c r="CA27" i="1"/>
  <c r="BZ27" i="1"/>
  <c r="BY27" i="1"/>
  <c r="CA26" i="1"/>
  <c r="BZ26" i="1"/>
  <c r="BY26" i="1"/>
  <c r="CA25" i="1"/>
  <c r="BZ25" i="1"/>
  <c r="BY25" i="1"/>
  <c r="CA24" i="1"/>
  <c r="BZ24" i="1"/>
  <c r="BY24" i="1"/>
  <c r="CA23" i="1"/>
  <c r="BZ23" i="1"/>
  <c r="BY23" i="1"/>
  <c r="CA22" i="1"/>
  <c r="BZ22" i="1"/>
  <c r="BY22" i="1"/>
  <c r="CA21" i="1"/>
  <c r="BZ21" i="1"/>
  <c r="BY21" i="1"/>
  <c r="CA20" i="1"/>
  <c r="BZ20" i="1"/>
  <c r="BY20" i="1"/>
  <c r="CA19" i="1"/>
  <c r="BZ19" i="1"/>
  <c r="BY19" i="1"/>
  <c r="CA18" i="1"/>
  <c r="BZ18" i="1"/>
  <c r="BY18" i="1"/>
  <c r="CA17" i="1"/>
  <c r="BZ17" i="1"/>
  <c r="BY17" i="1"/>
  <c r="CA16" i="1"/>
  <c r="BZ16" i="1"/>
  <c r="BY16" i="1"/>
  <c r="CA15" i="1"/>
  <c r="BZ15" i="1"/>
  <c r="BY15" i="1"/>
  <c r="CA14" i="1"/>
  <c r="BZ14" i="1"/>
  <c r="BY14" i="1"/>
  <c r="CA13" i="1"/>
  <c r="BZ13" i="1"/>
  <c r="BY13" i="1"/>
  <c r="CA12" i="1"/>
  <c r="BZ12" i="1"/>
  <c r="BY12" i="1"/>
  <c r="CA11" i="1"/>
  <c r="BZ11" i="1"/>
  <c r="BY11" i="1"/>
  <c r="CA10" i="1"/>
  <c r="BZ10" i="1"/>
  <c r="BY10" i="1"/>
  <c r="CA9" i="1"/>
  <c r="BZ9" i="1"/>
  <c r="BY9" i="1"/>
  <c r="CA8" i="1"/>
  <c r="CA168" i="1" s="1"/>
  <c r="BZ8" i="1"/>
  <c r="BY8" i="1"/>
  <c r="CA7" i="1"/>
  <c r="CA167" i="1" s="1"/>
  <c r="CA189" i="1" s="1"/>
  <c r="BZ7" i="1"/>
  <c r="BZ167" i="1" s="1"/>
  <c r="BY7" i="1"/>
  <c r="BQ209" i="1"/>
  <c r="BS208" i="1"/>
  <c r="BS185" i="1"/>
  <c r="BR185" i="1"/>
  <c r="BQ185" i="1"/>
  <c r="BS184" i="1"/>
  <c r="BR184" i="1"/>
  <c r="BQ184" i="1"/>
  <c r="BS183" i="1"/>
  <c r="BR183" i="1"/>
  <c r="BQ183" i="1"/>
  <c r="BS182" i="1"/>
  <c r="BR182" i="1"/>
  <c r="BQ182" i="1"/>
  <c r="BS181" i="1"/>
  <c r="BR181" i="1"/>
  <c r="BQ181" i="1"/>
  <c r="BS180" i="1"/>
  <c r="BR180" i="1"/>
  <c r="BQ180" i="1"/>
  <c r="BS179" i="1"/>
  <c r="BR179" i="1"/>
  <c r="BQ179" i="1"/>
  <c r="BS178" i="1"/>
  <c r="BR178" i="1"/>
  <c r="BQ178" i="1"/>
  <c r="BS177" i="1"/>
  <c r="BR177" i="1"/>
  <c r="BQ177" i="1"/>
  <c r="BS176" i="1"/>
  <c r="BR176" i="1"/>
  <c r="BQ176" i="1"/>
  <c r="BS175" i="1"/>
  <c r="BR175" i="1"/>
  <c r="BQ175" i="1"/>
  <c r="BQ187" i="1" s="1"/>
  <c r="BS174" i="1"/>
  <c r="BR174" i="1"/>
  <c r="BQ174" i="1"/>
  <c r="BS106" i="1"/>
  <c r="BR106" i="1"/>
  <c r="BQ106" i="1"/>
  <c r="BS105" i="1"/>
  <c r="BR105" i="1"/>
  <c r="BQ105" i="1"/>
  <c r="BS104" i="1"/>
  <c r="BR104" i="1"/>
  <c r="BQ104" i="1"/>
  <c r="BS103" i="1"/>
  <c r="BR103" i="1"/>
  <c r="BQ103" i="1"/>
  <c r="BS102" i="1"/>
  <c r="BR102" i="1"/>
  <c r="BQ102" i="1"/>
  <c r="BS101" i="1"/>
  <c r="BR101" i="1"/>
  <c r="BQ101" i="1"/>
  <c r="BS100" i="1"/>
  <c r="BR100" i="1"/>
  <c r="BQ100" i="1"/>
  <c r="BS99" i="1"/>
  <c r="BR99" i="1"/>
  <c r="BQ99" i="1"/>
  <c r="BS98" i="1"/>
  <c r="BR98" i="1"/>
  <c r="BQ98" i="1"/>
  <c r="BS97" i="1"/>
  <c r="BR97" i="1"/>
  <c r="BQ97" i="1"/>
  <c r="BS96" i="1"/>
  <c r="BR96" i="1"/>
  <c r="BQ96" i="1"/>
  <c r="BS95" i="1"/>
  <c r="BR95" i="1"/>
  <c r="BQ95" i="1"/>
  <c r="BS94" i="1"/>
  <c r="BR94" i="1"/>
  <c r="BQ94" i="1"/>
  <c r="BS93" i="1"/>
  <c r="BR93" i="1"/>
  <c r="BQ93" i="1"/>
  <c r="BS92" i="1"/>
  <c r="BR92" i="1"/>
  <c r="BQ92" i="1"/>
  <c r="BS91" i="1"/>
  <c r="BR91" i="1"/>
  <c r="BQ91" i="1"/>
  <c r="BS90" i="1"/>
  <c r="BR90" i="1"/>
  <c r="BQ90" i="1"/>
  <c r="BS89" i="1"/>
  <c r="BR89" i="1"/>
  <c r="BQ89" i="1"/>
  <c r="BS88" i="1"/>
  <c r="BR88" i="1"/>
  <c r="BQ88" i="1"/>
  <c r="BS87" i="1"/>
  <c r="BR87" i="1"/>
  <c r="BQ87" i="1"/>
  <c r="BS86" i="1"/>
  <c r="BR86" i="1"/>
  <c r="BQ86" i="1"/>
  <c r="BS85" i="1"/>
  <c r="BR85" i="1"/>
  <c r="BQ85" i="1"/>
  <c r="BS84" i="1"/>
  <c r="BR84" i="1"/>
  <c r="BQ84" i="1"/>
  <c r="BS83" i="1"/>
  <c r="BR83" i="1"/>
  <c r="BQ83" i="1"/>
  <c r="BS82" i="1"/>
  <c r="BR82" i="1"/>
  <c r="BQ82" i="1"/>
  <c r="BS81" i="1"/>
  <c r="BR81" i="1"/>
  <c r="BQ81" i="1"/>
  <c r="BS80" i="1"/>
  <c r="BR80" i="1"/>
  <c r="BQ80" i="1"/>
  <c r="BS79" i="1"/>
  <c r="BR79" i="1"/>
  <c r="BQ79" i="1"/>
  <c r="BS78" i="1"/>
  <c r="BR78" i="1"/>
  <c r="BQ78" i="1"/>
  <c r="BS77" i="1"/>
  <c r="BR77" i="1"/>
  <c r="BQ77" i="1"/>
  <c r="BS76" i="1"/>
  <c r="BR76" i="1"/>
  <c r="BQ76" i="1"/>
  <c r="BS75" i="1"/>
  <c r="BR75" i="1"/>
  <c r="BQ75" i="1"/>
  <c r="BS74" i="1"/>
  <c r="BR74" i="1"/>
  <c r="BQ74" i="1"/>
  <c r="BS73" i="1"/>
  <c r="BR73" i="1"/>
  <c r="BQ73" i="1"/>
  <c r="BS72" i="1"/>
  <c r="BR72" i="1"/>
  <c r="BQ72" i="1"/>
  <c r="BS71" i="1"/>
  <c r="BR71" i="1"/>
  <c r="BQ71" i="1"/>
  <c r="BS70" i="1"/>
  <c r="BR70" i="1"/>
  <c r="BQ70" i="1"/>
  <c r="BS69" i="1"/>
  <c r="BR69" i="1"/>
  <c r="BQ69" i="1"/>
  <c r="BS68" i="1"/>
  <c r="BR68" i="1"/>
  <c r="BQ68" i="1"/>
  <c r="BS67" i="1"/>
  <c r="BR67" i="1"/>
  <c r="BQ67" i="1"/>
  <c r="BS66" i="1"/>
  <c r="BR66" i="1"/>
  <c r="BQ66" i="1"/>
  <c r="BS65" i="1"/>
  <c r="BR65" i="1"/>
  <c r="BQ65" i="1"/>
  <c r="BS64" i="1"/>
  <c r="BR64" i="1"/>
  <c r="BQ64" i="1"/>
  <c r="BS63" i="1"/>
  <c r="BR63" i="1"/>
  <c r="BQ63" i="1"/>
  <c r="BS62" i="1"/>
  <c r="BR62" i="1"/>
  <c r="BQ62" i="1"/>
  <c r="BS61" i="1"/>
  <c r="BR61" i="1"/>
  <c r="BQ61" i="1"/>
  <c r="BS60" i="1"/>
  <c r="BR60" i="1"/>
  <c r="BQ60" i="1"/>
  <c r="BS59" i="1"/>
  <c r="BR59" i="1"/>
  <c r="BQ59" i="1"/>
  <c r="BS58" i="1"/>
  <c r="BR58" i="1"/>
  <c r="BQ58" i="1"/>
  <c r="BS57" i="1"/>
  <c r="BR57" i="1"/>
  <c r="BQ57" i="1"/>
  <c r="BS56" i="1"/>
  <c r="BR56" i="1"/>
  <c r="BQ56" i="1"/>
  <c r="BS55" i="1"/>
  <c r="BR55" i="1"/>
  <c r="BQ55" i="1"/>
  <c r="BS54" i="1"/>
  <c r="BR54" i="1"/>
  <c r="BQ54" i="1"/>
  <c r="BS53" i="1"/>
  <c r="BR53" i="1"/>
  <c r="BQ53" i="1"/>
  <c r="BS50" i="1"/>
  <c r="BR50" i="1"/>
  <c r="BQ50" i="1"/>
  <c r="BS49" i="1"/>
  <c r="BR49" i="1"/>
  <c r="BQ49" i="1"/>
  <c r="BS48" i="1"/>
  <c r="BR48" i="1"/>
  <c r="BQ48" i="1"/>
  <c r="BS47" i="1"/>
  <c r="BR47" i="1"/>
  <c r="BQ47" i="1"/>
  <c r="BS46" i="1"/>
  <c r="BR46" i="1"/>
  <c r="BQ46" i="1"/>
  <c r="BS45" i="1"/>
  <c r="BR45" i="1"/>
  <c r="BQ45" i="1"/>
  <c r="BS44" i="1"/>
  <c r="BR44" i="1"/>
  <c r="BQ44" i="1"/>
  <c r="BS43" i="1"/>
  <c r="BR43" i="1"/>
  <c r="BQ43" i="1"/>
  <c r="BS42" i="1"/>
  <c r="BR42" i="1"/>
  <c r="BQ42" i="1"/>
  <c r="BS41" i="1"/>
  <c r="BR41" i="1"/>
  <c r="BQ41" i="1"/>
  <c r="BS40" i="1"/>
  <c r="BR40" i="1"/>
  <c r="BQ40" i="1"/>
  <c r="BS39" i="1"/>
  <c r="BR39" i="1"/>
  <c r="BQ39" i="1"/>
  <c r="BS38" i="1"/>
  <c r="BR38" i="1"/>
  <c r="BQ38" i="1"/>
  <c r="BS37" i="1"/>
  <c r="BR37" i="1"/>
  <c r="BQ37" i="1"/>
  <c r="BS36" i="1"/>
  <c r="BR36" i="1"/>
  <c r="BQ36" i="1"/>
  <c r="BS35" i="1"/>
  <c r="BR35" i="1"/>
  <c r="BQ35" i="1"/>
  <c r="BS34" i="1"/>
  <c r="BR34" i="1"/>
  <c r="BQ34" i="1"/>
  <c r="BS33" i="1"/>
  <c r="BR33" i="1"/>
  <c r="BQ33" i="1"/>
  <c r="BS32" i="1"/>
  <c r="BR32" i="1"/>
  <c r="BQ32" i="1"/>
  <c r="BS31" i="1"/>
  <c r="BR31" i="1"/>
  <c r="BQ31" i="1"/>
  <c r="BS30" i="1"/>
  <c r="BR30" i="1"/>
  <c r="BQ30" i="1"/>
  <c r="BS29" i="1"/>
  <c r="BR29" i="1"/>
  <c r="BQ29" i="1"/>
  <c r="BS28" i="1"/>
  <c r="BR28" i="1"/>
  <c r="BQ28" i="1"/>
  <c r="BS27" i="1"/>
  <c r="BR27" i="1"/>
  <c r="BQ27" i="1"/>
  <c r="BS26" i="1"/>
  <c r="BR26" i="1"/>
  <c r="BQ26" i="1"/>
  <c r="BS25" i="1"/>
  <c r="BR25" i="1"/>
  <c r="BQ25" i="1"/>
  <c r="BS24" i="1"/>
  <c r="BR24" i="1"/>
  <c r="BQ24" i="1"/>
  <c r="BS23" i="1"/>
  <c r="BR23" i="1"/>
  <c r="BQ23" i="1"/>
  <c r="BS22" i="1"/>
  <c r="BR22" i="1"/>
  <c r="BQ22" i="1"/>
  <c r="BS21" i="1"/>
  <c r="BR21" i="1"/>
  <c r="BQ21" i="1"/>
  <c r="BS20" i="1"/>
  <c r="BR20" i="1"/>
  <c r="BQ20" i="1"/>
  <c r="BS19" i="1"/>
  <c r="BR19" i="1"/>
  <c r="BQ19" i="1"/>
  <c r="BS18" i="1"/>
  <c r="BR18" i="1"/>
  <c r="BQ18" i="1"/>
  <c r="BS17" i="1"/>
  <c r="BR17" i="1"/>
  <c r="BQ17" i="1"/>
  <c r="BS16" i="1"/>
  <c r="BR16" i="1"/>
  <c r="BQ16" i="1"/>
  <c r="BS15" i="1"/>
  <c r="BR15" i="1"/>
  <c r="BQ15" i="1"/>
  <c r="BS14" i="1"/>
  <c r="BR14" i="1"/>
  <c r="BQ14" i="1"/>
  <c r="BS13" i="1"/>
  <c r="BR13" i="1"/>
  <c r="BQ13" i="1"/>
  <c r="BS12" i="1"/>
  <c r="BR12" i="1"/>
  <c r="BQ12" i="1"/>
  <c r="BS11" i="1"/>
  <c r="BR11" i="1"/>
  <c r="BQ11" i="1"/>
  <c r="BS10" i="1"/>
  <c r="BR10" i="1"/>
  <c r="BQ10" i="1"/>
  <c r="BS9" i="1"/>
  <c r="BR9" i="1"/>
  <c r="BQ9" i="1"/>
  <c r="BS8" i="1"/>
  <c r="BR8" i="1"/>
  <c r="BR168" i="1" s="1"/>
  <c r="BQ8" i="1"/>
  <c r="BQ168" i="1" s="1"/>
  <c r="BQ190" i="1" s="1"/>
  <c r="BQ212" i="1" s="1"/>
  <c r="BS7" i="1"/>
  <c r="BR7" i="1"/>
  <c r="BQ7" i="1"/>
  <c r="BQ167" i="1" s="1"/>
  <c r="BI209" i="1"/>
  <c r="BK208" i="1"/>
  <c r="BK185" i="1"/>
  <c r="BJ185" i="1"/>
  <c r="BI185" i="1"/>
  <c r="BK184" i="1"/>
  <c r="BJ184" i="1"/>
  <c r="BI184" i="1"/>
  <c r="BK183" i="1"/>
  <c r="BJ183" i="1"/>
  <c r="BI183" i="1"/>
  <c r="BK182" i="1"/>
  <c r="BJ182" i="1"/>
  <c r="BI182" i="1"/>
  <c r="BK181" i="1"/>
  <c r="BJ181" i="1"/>
  <c r="BI181" i="1"/>
  <c r="BK180" i="1"/>
  <c r="BJ180" i="1"/>
  <c r="BI180" i="1"/>
  <c r="BK179" i="1"/>
  <c r="BJ179" i="1"/>
  <c r="BI179" i="1"/>
  <c r="BK178" i="1"/>
  <c r="BJ178" i="1"/>
  <c r="BI178" i="1"/>
  <c r="BK177" i="1"/>
  <c r="BJ177" i="1"/>
  <c r="BI177" i="1"/>
  <c r="BK176" i="1"/>
  <c r="BJ176" i="1"/>
  <c r="BI176" i="1"/>
  <c r="BK175" i="1"/>
  <c r="BJ175" i="1"/>
  <c r="BI175" i="1"/>
  <c r="BK174" i="1"/>
  <c r="BK186" i="1" s="1"/>
  <c r="BJ174" i="1"/>
  <c r="BI174" i="1"/>
  <c r="BK106" i="1"/>
  <c r="BJ106" i="1"/>
  <c r="BI106" i="1"/>
  <c r="BK105" i="1"/>
  <c r="BJ105" i="1"/>
  <c r="BI105" i="1"/>
  <c r="BK104" i="1"/>
  <c r="BJ104" i="1"/>
  <c r="BI104" i="1"/>
  <c r="BK103" i="1"/>
  <c r="BJ103" i="1"/>
  <c r="BI103" i="1"/>
  <c r="BK102" i="1"/>
  <c r="BJ102" i="1"/>
  <c r="BI102" i="1"/>
  <c r="BK101" i="1"/>
  <c r="BJ101" i="1"/>
  <c r="BI101" i="1"/>
  <c r="BK100" i="1"/>
  <c r="BJ100" i="1"/>
  <c r="BI100" i="1"/>
  <c r="BK99" i="1"/>
  <c r="BJ99" i="1"/>
  <c r="BI99" i="1"/>
  <c r="BK98" i="1"/>
  <c r="BJ98" i="1"/>
  <c r="BI98" i="1"/>
  <c r="BK97" i="1"/>
  <c r="BJ97" i="1"/>
  <c r="BI97" i="1"/>
  <c r="BK96" i="1"/>
  <c r="BJ96" i="1"/>
  <c r="BI96" i="1"/>
  <c r="BK95" i="1"/>
  <c r="BJ95" i="1"/>
  <c r="BI95" i="1"/>
  <c r="BK94" i="1"/>
  <c r="BJ94" i="1"/>
  <c r="BI94" i="1"/>
  <c r="BK93" i="1"/>
  <c r="BJ93" i="1"/>
  <c r="BI93" i="1"/>
  <c r="BK92" i="1"/>
  <c r="BJ92" i="1"/>
  <c r="BI92" i="1"/>
  <c r="BK91" i="1"/>
  <c r="BJ91" i="1"/>
  <c r="BI91" i="1"/>
  <c r="BK90" i="1"/>
  <c r="BJ90" i="1"/>
  <c r="BI90" i="1"/>
  <c r="BK89" i="1"/>
  <c r="BJ89" i="1"/>
  <c r="BI89" i="1"/>
  <c r="BK88" i="1"/>
  <c r="BJ88" i="1"/>
  <c r="BI88" i="1"/>
  <c r="BK87" i="1"/>
  <c r="BJ87" i="1"/>
  <c r="BI87" i="1"/>
  <c r="BK86" i="1"/>
  <c r="BJ86" i="1"/>
  <c r="BI86" i="1"/>
  <c r="BK85" i="1"/>
  <c r="BJ85" i="1"/>
  <c r="BI85" i="1"/>
  <c r="BK84" i="1"/>
  <c r="BJ84" i="1"/>
  <c r="BI84" i="1"/>
  <c r="BK83" i="1"/>
  <c r="BJ83" i="1"/>
  <c r="BI83" i="1"/>
  <c r="BK82" i="1"/>
  <c r="BJ82" i="1"/>
  <c r="BI82" i="1"/>
  <c r="BK81" i="1"/>
  <c r="BJ81" i="1"/>
  <c r="BI81" i="1"/>
  <c r="BK80" i="1"/>
  <c r="BJ80" i="1"/>
  <c r="BI80" i="1"/>
  <c r="BK79" i="1"/>
  <c r="BJ79" i="1"/>
  <c r="BI79" i="1"/>
  <c r="BK78" i="1"/>
  <c r="BJ78" i="1"/>
  <c r="BI78" i="1"/>
  <c r="BK77" i="1"/>
  <c r="BJ77" i="1"/>
  <c r="BI77" i="1"/>
  <c r="BK76" i="1"/>
  <c r="BJ76" i="1"/>
  <c r="BI76" i="1"/>
  <c r="BK75" i="1"/>
  <c r="BJ75" i="1"/>
  <c r="BI75" i="1"/>
  <c r="BK74" i="1"/>
  <c r="BJ74" i="1"/>
  <c r="BI74" i="1"/>
  <c r="BK73" i="1"/>
  <c r="BJ73" i="1"/>
  <c r="BI73" i="1"/>
  <c r="BK72" i="1"/>
  <c r="BJ72" i="1"/>
  <c r="BI72" i="1"/>
  <c r="BK71" i="1"/>
  <c r="BJ71" i="1"/>
  <c r="BI71" i="1"/>
  <c r="BK70" i="1"/>
  <c r="BJ70" i="1"/>
  <c r="BI70" i="1"/>
  <c r="BK69" i="1"/>
  <c r="BJ69" i="1"/>
  <c r="BI69" i="1"/>
  <c r="BK68" i="1"/>
  <c r="BJ68" i="1"/>
  <c r="BI68" i="1"/>
  <c r="BK67" i="1"/>
  <c r="BJ67" i="1"/>
  <c r="BI67" i="1"/>
  <c r="BK66" i="1"/>
  <c r="BJ66" i="1"/>
  <c r="BI66" i="1"/>
  <c r="BK65" i="1"/>
  <c r="BJ65" i="1"/>
  <c r="BI65" i="1"/>
  <c r="BK64" i="1"/>
  <c r="BJ64" i="1"/>
  <c r="BI64" i="1"/>
  <c r="BK63" i="1"/>
  <c r="BJ63" i="1"/>
  <c r="BI63" i="1"/>
  <c r="BK62" i="1"/>
  <c r="BJ62" i="1"/>
  <c r="BI62" i="1"/>
  <c r="BK61" i="1"/>
  <c r="BJ61" i="1"/>
  <c r="BI61" i="1"/>
  <c r="BK60" i="1"/>
  <c r="BJ60" i="1"/>
  <c r="BI60" i="1"/>
  <c r="BK59" i="1"/>
  <c r="BJ59" i="1"/>
  <c r="BI59" i="1"/>
  <c r="BK58" i="1"/>
  <c r="BJ58" i="1"/>
  <c r="BI58" i="1"/>
  <c r="BK57" i="1"/>
  <c r="BJ57" i="1"/>
  <c r="BI57" i="1"/>
  <c r="BK56" i="1"/>
  <c r="BJ56" i="1"/>
  <c r="BI56" i="1"/>
  <c r="BK55" i="1"/>
  <c r="BJ55" i="1"/>
  <c r="BI55" i="1"/>
  <c r="BK54" i="1"/>
  <c r="BJ54" i="1"/>
  <c r="BI54" i="1"/>
  <c r="BK53" i="1"/>
  <c r="BJ53" i="1"/>
  <c r="BI53" i="1"/>
  <c r="BK50" i="1"/>
  <c r="BJ50" i="1"/>
  <c r="BI50" i="1"/>
  <c r="BK49" i="1"/>
  <c r="BJ49" i="1"/>
  <c r="BI49" i="1"/>
  <c r="BK48" i="1"/>
  <c r="BJ48" i="1"/>
  <c r="BI48" i="1"/>
  <c r="BK47" i="1"/>
  <c r="BJ47" i="1"/>
  <c r="BI47" i="1"/>
  <c r="BK46" i="1"/>
  <c r="BJ46" i="1"/>
  <c r="BI46" i="1"/>
  <c r="BK45" i="1"/>
  <c r="BJ45" i="1"/>
  <c r="BI45" i="1"/>
  <c r="BK44" i="1"/>
  <c r="BJ44" i="1"/>
  <c r="BI44" i="1"/>
  <c r="BK43" i="1"/>
  <c r="BJ43" i="1"/>
  <c r="BI43" i="1"/>
  <c r="BK42" i="1"/>
  <c r="BJ42" i="1"/>
  <c r="BI42" i="1"/>
  <c r="BK41" i="1"/>
  <c r="BJ41" i="1"/>
  <c r="BI41" i="1"/>
  <c r="BK40" i="1"/>
  <c r="BJ40" i="1"/>
  <c r="BI40" i="1"/>
  <c r="BK39" i="1"/>
  <c r="BJ39" i="1"/>
  <c r="BI39" i="1"/>
  <c r="BK38" i="1"/>
  <c r="BJ38" i="1"/>
  <c r="BI38" i="1"/>
  <c r="BK37" i="1"/>
  <c r="BJ37" i="1"/>
  <c r="BI37" i="1"/>
  <c r="BK36" i="1"/>
  <c r="BJ36" i="1"/>
  <c r="BI36" i="1"/>
  <c r="BK35" i="1"/>
  <c r="BJ35" i="1"/>
  <c r="BI35" i="1"/>
  <c r="BK34" i="1"/>
  <c r="BJ34" i="1"/>
  <c r="BI34" i="1"/>
  <c r="BK33" i="1"/>
  <c r="BJ33" i="1"/>
  <c r="BI33" i="1"/>
  <c r="BK32" i="1"/>
  <c r="BJ32" i="1"/>
  <c r="BI32" i="1"/>
  <c r="BK31" i="1"/>
  <c r="BJ31" i="1"/>
  <c r="BI31" i="1"/>
  <c r="BK30" i="1"/>
  <c r="BJ30" i="1"/>
  <c r="BI30" i="1"/>
  <c r="BK29" i="1"/>
  <c r="BJ29" i="1"/>
  <c r="BI29" i="1"/>
  <c r="BK28" i="1"/>
  <c r="BJ28" i="1"/>
  <c r="BI28" i="1"/>
  <c r="BK27" i="1"/>
  <c r="BJ27" i="1"/>
  <c r="BI27" i="1"/>
  <c r="BK26" i="1"/>
  <c r="BJ26" i="1"/>
  <c r="BI26" i="1"/>
  <c r="BK25" i="1"/>
  <c r="BJ25" i="1"/>
  <c r="BI25" i="1"/>
  <c r="BK24" i="1"/>
  <c r="BJ24" i="1"/>
  <c r="BI24" i="1"/>
  <c r="BK23" i="1"/>
  <c r="BJ23" i="1"/>
  <c r="BI23" i="1"/>
  <c r="BK22" i="1"/>
  <c r="BJ22" i="1"/>
  <c r="BI22" i="1"/>
  <c r="BK21" i="1"/>
  <c r="BJ21" i="1"/>
  <c r="BI21" i="1"/>
  <c r="BK20" i="1"/>
  <c r="BJ20" i="1"/>
  <c r="BI20" i="1"/>
  <c r="BK19" i="1"/>
  <c r="BJ19" i="1"/>
  <c r="BI19" i="1"/>
  <c r="BK18" i="1"/>
  <c r="BJ18" i="1"/>
  <c r="BI18" i="1"/>
  <c r="BK17" i="1"/>
  <c r="BJ17" i="1"/>
  <c r="BI17" i="1"/>
  <c r="BK16" i="1"/>
  <c r="BJ16" i="1"/>
  <c r="BI16" i="1"/>
  <c r="BK15" i="1"/>
  <c r="BJ15" i="1"/>
  <c r="BI15" i="1"/>
  <c r="BK14" i="1"/>
  <c r="BJ14" i="1"/>
  <c r="BI14" i="1"/>
  <c r="BK13" i="1"/>
  <c r="BJ13" i="1"/>
  <c r="BI13" i="1"/>
  <c r="BK12" i="1"/>
  <c r="BJ12" i="1"/>
  <c r="BI12" i="1"/>
  <c r="BK11" i="1"/>
  <c r="BJ11" i="1"/>
  <c r="BI11" i="1"/>
  <c r="BK10" i="1"/>
  <c r="BJ10" i="1"/>
  <c r="BI10" i="1"/>
  <c r="BK9" i="1"/>
  <c r="BJ9" i="1"/>
  <c r="BI9" i="1"/>
  <c r="BK8" i="1"/>
  <c r="BK168" i="1" s="1"/>
  <c r="BJ8" i="1"/>
  <c r="BI8" i="1"/>
  <c r="BK7" i="1"/>
  <c r="BK167" i="1" s="1"/>
  <c r="BK189" i="1" s="1"/>
  <c r="BJ7" i="1"/>
  <c r="BJ167" i="1" s="1"/>
  <c r="BI7" i="1"/>
  <c r="BB185" i="1"/>
  <c r="BB184" i="1"/>
  <c r="BB183" i="1"/>
  <c r="BB182" i="1"/>
  <c r="BB181" i="1"/>
  <c r="BB180" i="1"/>
  <c r="BB179" i="1"/>
  <c r="BB178" i="1"/>
  <c r="BB177" i="1"/>
  <c r="BB176" i="1"/>
  <c r="BB175" i="1"/>
  <c r="BB174" i="1"/>
  <c r="BB106" i="1"/>
  <c r="BB105" i="1"/>
  <c r="BB104" i="1"/>
  <c r="BB103" i="1"/>
  <c r="BB102" i="1"/>
  <c r="BB101" i="1"/>
  <c r="BB100" i="1"/>
  <c r="BB99" i="1"/>
  <c r="BB98" i="1"/>
  <c r="BB97" i="1"/>
  <c r="BB96" i="1"/>
  <c r="BB95" i="1"/>
  <c r="BB94" i="1"/>
  <c r="BB93" i="1"/>
  <c r="BB92" i="1"/>
  <c r="BB91" i="1"/>
  <c r="BB90" i="1"/>
  <c r="BB89" i="1"/>
  <c r="BB88" i="1"/>
  <c r="BB87" i="1"/>
  <c r="BB86" i="1"/>
  <c r="BB85" i="1"/>
  <c r="BB84" i="1"/>
  <c r="BB83" i="1"/>
  <c r="BB82" i="1"/>
  <c r="BB81" i="1"/>
  <c r="BB80" i="1"/>
  <c r="BB79" i="1"/>
  <c r="BB78" i="1"/>
  <c r="BB77" i="1"/>
  <c r="BB76" i="1"/>
  <c r="BB75" i="1"/>
  <c r="BB74" i="1"/>
  <c r="BB73" i="1"/>
  <c r="BB72" i="1"/>
  <c r="BB71" i="1"/>
  <c r="BB70" i="1"/>
  <c r="BB69" i="1"/>
  <c r="BB68" i="1"/>
  <c r="BB67" i="1"/>
  <c r="BB66" i="1"/>
  <c r="BB65" i="1"/>
  <c r="BB64" i="1"/>
  <c r="BB63" i="1"/>
  <c r="BB62" i="1"/>
  <c r="BB61" i="1"/>
  <c r="BB60" i="1"/>
  <c r="BB59" i="1"/>
  <c r="BB58" i="1"/>
  <c r="BB57" i="1"/>
  <c r="BB56" i="1"/>
  <c r="BB55" i="1"/>
  <c r="BB54" i="1"/>
  <c r="BB53" i="1"/>
  <c r="BB50" i="1"/>
  <c r="BB49" i="1"/>
  <c r="BB48" i="1"/>
  <c r="BB47" i="1"/>
  <c r="BB46" i="1"/>
  <c r="BB45" i="1"/>
  <c r="BB44" i="1"/>
  <c r="BB43" i="1"/>
  <c r="BB42" i="1"/>
  <c r="BB41" i="1"/>
  <c r="BB40" i="1"/>
  <c r="BB39" i="1"/>
  <c r="BB38" i="1"/>
  <c r="BB37" i="1"/>
  <c r="BB36" i="1"/>
  <c r="BB35" i="1"/>
  <c r="BB34" i="1"/>
  <c r="BB33" i="1"/>
  <c r="BB32" i="1"/>
  <c r="BB31" i="1"/>
  <c r="BB30" i="1"/>
  <c r="BB29" i="1"/>
  <c r="BB28" i="1"/>
  <c r="BB27" i="1"/>
  <c r="BB26" i="1"/>
  <c r="BB25" i="1"/>
  <c r="BB24" i="1"/>
  <c r="BB23" i="1"/>
  <c r="BB22" i="1"/>
  <c r="BB21" i="1"/>
  <c r="BB20" i="1"/>
  <c r="BB19" i="1"/>
  <c r="BB18" i="1"/>
  <c r="BB17" i="1"/>
  <c r="BB16" i="1"/>
  <c r="BB15" i="1"/>
  <c r="BB14" i="1"/>
  <c r="BB13" i="1"/>
  <c r="BB12" i="1"/>
  <c r="BB11" i="1"/>
  <c r="BB10" i="1"/>
  <c r="BB9" i="1"/>
  <c r="BB8" i="1"/>
  <c r="BB7" i="1"/>
  <c r="AU208" i="1"/>
  <c r="AU185" i="1"/>
  <c r="AT185" i="1"/>
  <c r="AS185" i="1"/>
  <c r="AU184" i="1"/>
  <c r="AT184" i="1"/>
  <c r="AS184" i="1"/>
  <c r="AU183" i="1"/>
  <c r="AT183" i="1"/>
  <c r="AS183" i="1"/>
  <c r="AU182" i="1"/>
  <c r="AT182" i="1"/>
  <c r="AS182" i="1"/>
  <c r="AU181" i="1"/>
  <c r="AT181" i="1"/>
  <c r="AS181" i="1"/>
  <c r="AU180" i="1"/>
  <c r="AT180" i="1"/>
  <c r="AS180" i="1"/>
  <c r="AU179" i="1"/>
  <c r="AT179" i="1"/>
  <c r="AS179" i="1"/>
  <c r="AU178" i="1"/>
  <c r="AT178" i="1"/>
  <c r="AS178" i="1"/>
  <c r="AU177" i="1"/>
  <c r="AT177" i="1"/>
  <c r="AS177" i="1"/>
  <c r="AU176" i="1"/>
  <c r="AT176" i="1"/>
  <c r="AS176" i="1"/>
  <c r="AU175" i="1"/>
  <c r="AT175" i="1"/>
  <c r="AS175" i="1"/>
  <c r="AU174" i="1"/>
  <c r="AU186" i="1" s="1"/>
  <c r="AT174" i="1"/>
  <c r="AS174" i="1"/>
  <c r="AU106" i="1"/>
  <c r="AT106" i="1"/>
  <c r="AS106" i="1"/>
  <c r="AU105" i="1"/>
  <c r="AT105" i="1"/>
  <c r="AS105" i="1"/>
  <c r="AU104" i="1"/>
  <c r="AT104" i="1"/>
  <c r="AS104" i="1"/>
  <c r="AU103" i="1"/>
  <c r="AT103" i="1"/>
  <c r="AS103" i="1"/>
  <c r="AU102" i="1"/>
  <c r="AT102" i="1"/>
  <c r="AS102" i="1"/>
  <c r="AU101" i="1"/>
  <c r="AT101" i="1"/>
  <c r="AS101" i="1"/>
  <c r="AU100" i="1"/>
  <c r="AT100" i="1"/>
  <c r="AS100" i="1"/>
  <c r="AU99" i="1"/>
  <c r="AT99" i="1"/>
  <c r="AS99" i="1"/>
  <c r="AU98" i="1"/>
  <c r="AT98" i="1"/>
  <c r="AS98" i="1"/>
  <c r="AU97" i="1"/>
  <c r="AT97" i="1"/>
  <c r="AS97" i="1"/>
  <c r="AU96" i="1"/>
  <c r="AT96" i="1"/>
  <c r="AS96" i="1"/>
  <c r="AU95" i="1"/>
  <c r="AT95" i="1"/>
  <c r="AS95" i="1"/>
  <c r="AU94" i="1"/>
  <c r="AT94" i="1"/>
  <c r="AS94" i="1"/>
  <c r="AU93" i="1"/>
  <c r="AT93" i="1"/>
  <c r="AS93" i="1"/>
  <c r="AU92" i="1"/>
  <c r="AT92" i="1"/>
  <c r="AS92" i="1"/>
  <c r="AU91" i="1"/>
  <c r="AT91" i="1"/>
  <c r="AS91" i="1"/>
  <c r="AU90" i="1"/>
  <c r="AT90" i="1"/>
  <c r="AS90" i="1"/>
  <c r="AU89" i="1"/>
  <c r="AT89" i="1"/>
  <c r="AS89" i="1"/>
  <c r="AU88" i="1"/>
  <c r="AT88" i="1"/>
  <c r="AS88" i="1"/>
  <c r="AU87" i="1"/>
  <c r="AT87" i="1"/>
  <c r="AS87" i="1"/>
  <c r="AU86" i="1"/>
  <c r="AT86" i="1"/>
  <c r="AS86" i="1"/>
  <c r="AU85" i="1"/>
  <c r="AT85" i="1"/>
  <c r="AS85" i="1"/>
  <c r="AU84" i="1"/>
  <c r="AT84" i="1"/>
  <c r="AS84" i="1"/>
  <c r="AU83" i="1"/>
  <c r="AT83" i="1"/>
  <c r="AS83" i="1"/>
  <c r="AU82" i="1"/>
  <c r="AT82" i="1"/>
  <c r="AS82" i="1"/>
  <c r="AU81" i="1"/>
  <c r="AT81" i="1"/>
  <c r="AS81" i="1"/>
  <c r="AU80" i="1"/>
  <c r="AT80" i="1"/>
  <c r="AS80" i="1"/>
  <c r="AU79" i="1"/>
  <c r="AT79" i="1"/>
  <c r="AS79" i="1"/>
  <c r="AU78" i="1"/>
  <c r="AT78" i="1"/>
  <c r="AS78" i="1"/>
  <c r="AU77" i="1"/>
  <c r="AT77" i="1"/>
  <c r="AS77" i="1"/>
  <c r="AU76" i="1"/>
  <c r="AT76" i="1"/>
  <c r="AS76" i="1"/>
  <c r="AU75" i="1"/>
  <c r="AT75" i="1"/>
  <c r="AS75" i="1"/>
  <c r="AU74" i="1"/>
  <c r="AT74" i="1"/>
  <c r="AS74" i="1"/>
  <c r="AU73" i="1"/>
  <c r="AT73" i="1"/>
  <c r="AS73" i="1"/>
  <c r="AU72" i="1"/>
  <c r="AT72" i="1"/>
  <c r="AS72" i="1"/>
  <c r="AU71" i="1"/>
  <c r="AT71" i="1"/>
  <c r="AS71" i="1"/>
  <c r="AU70" i="1"/>
  <c r="AT70" i="1"/>
  <c r="AS70" i="1"/>
  <c r="AU69" i="1"/>
  <c r="AT69" i="1"/>
  <c r="AS69" i="1"/>
  <c r="AU68" i="1"/>
  <c r="AT68" i="1"/>
  <c r="AS68" i="1"/>
  <c r="AU67" i="1"/>
  <c r="AT67" i="1"/>
  <c r="AS67" i="1"/>
  <c r="AU66" i="1"/>
  <c r="AT66" i="1"/>
  <c r="AS66" i="1"/>
  <c r="AU65" i="1"/>
  <c r="AT65" i="1"/>
  <c r="AS65" i="1"/>
  <c r="AU64" i="1"/>
  <c r="AT64" i="1"/>
  <c r="AS64" i="1"/>
  <c r="AU63" i="1"/>
  <c r="AT63" i="1"/>
  <c r="AS63" i="1"/>
  <c r="AU62" i="1"/>
  <c r="AT62" i="1"/>
  <c r="AS62" i="1"/>
  <c r="AU61" i="1"/>
  <c r="AT61" i="1"/>
  <c r="AS61" i="1"/>
  <c r="AU60" i="1"/>
  <c r="AT60" i="1"/>
  <c r="AS60" i="1"/>
  <c r="AU59" i="1"/>
  <c r="AT59" i="1"/>
  <c r="AS59" i="1"/>
  <c r="AU58" i="1"/>
  <c r="AT58" i="1"/>
  <c r="AS58" i="1"/>
  <c r="AU57" i="1"/>
  <c r="AT57" i="1"/>
  <c r="AS57" i="1"/>
  <c r="AU56" i="1"/>
  <c r="AT56" i="1"/>
  <c r="AS56" i="1"/>
  <c r="AU55" i="1"/>
  <c r="AT55" i="1"/>
  <c r="AS55" i="1"/>
  <c r="AU54" i="1"/>
  <c r="AT54" i="1"/>
  <c r="AS54" i="1"/>
  <c r="AU53" i="1"/>
  <c r="AT53" i="1"/>
  <c r="AS53" i="1"/>
  <c r="AU50" i="1"/>
  <c r="AT50" i="1"/>
  <c r="AS50" i="1"/>
  <c r="AU49" i="1"/>
  <c r="AT49" i="1"/>
  <c r="AS49" i="1"/>
  <c r="AU48" i="1"/>
  <c r="AT48" i="1"/>
  <c r="AS48" i="1"/>
  <c r="AU47" i="1"/>
  <c r="AT47" i="1"/>
  <c r="AS47" i="1"/>
  <c r="AU46" i="1"/>
  <c r="AT46" i="1"/>
  <c r="AS46" i="1"/>
  <c r="AU45" i="1"/>
  <c r="AT45" i="1"/>
  <c r="AS45" i="1"/>
  <c r="AU44" i="1"/>
  <c r="AT44" i="1"/>
  <c r="AS44" i="1"/>
  <c r="AU43" i="1"/>
  <c r="AT43" i="1"/>
  <c r="AS43" i="1"/>
  <c r="AU42" i="1"/>
  <c r="AT42" i="1"/>
  <c r="AS42" i="1"/>
  <c r="AU41" i="1"/>
  <c r="AT41" i="1"/>
  <c r="AS41" i="1"/>
  <c r="AU40" i="1"/>
  <c r="AT40" i="1"/>
  <c r="AS40" i="1"/>
  <c r="AU39" i="1"/>
  <c r="AT39" i="1"/>
  <c r="AS39" i="1"/>
  <c r="AU38" i="1"/>
  <c r="AT38" i="1"/>
  <c r="AS38" i="1"/>
  <c r="AU37" i="1"/>
  <c r="AT37" i="1"/>
  <c r="AS37" i="1"/>
  <c r="AU36" i="1"/>
  <c r="AT36" i="1"/>
  <c r="AS36" i="1"/>
  <c r="AU35" i="1"/>
  <c r="AT35" i="1"/>
  <c r="AS35" i="1"/>
  <c r="AU34" i="1"/>
  <c r="AT34" i="1"/>
  <c r="AS34" i="1"/>
  <c r="AU33" i="1"/>
  <c r="AT33" i="1"/>
  <c r="AS33" i="1"/>
  <c r="AU32" i="1"/>
  <c r="AT32" i="1"/>
  <c r="AS32" i="1"/>
  <c r="AU31" i="1"/>
  <c r="AT31" i="1"/>
  <c r="AS31" i="1"/>
  <c r="AU30" i="1"/>
  <c r="AT30" i="1"/>
  <c r="AS30" i="1"/>
  <c r="AU29" i="1"/>
  <c r="AT29" i="1"/>
  <c r="AS29" i="1"/>
  <c r="AU28" i="1"/>
  <c r="AT28" i="1"/>
  <c r="AS28" i="1"/>
  <c r="AU27" i="1"/>
  <c r="AT27" i="1"/>
  <c r="AS27" i="1"/>
  <c r="AU26" i="1"/>
  <c r="AT26" i="1"/>
  <c r="AS26" i="1"/>
  <c r="AU25" i="1"/>
  <c r="AT25" i="1"/>
  <c r="AS25" i="1"/>
  <c r="AU24" i="1"/>
  <c r="AT24" i="1"/>
  <c r="AS24" i="1"/>
  <c r="AU23" i="1"/>
  <c r="AT23" i="1"/>
  <c r="AS23" i="1"/>
  <c r="AU22" i="1"/>
  <c r="AT22" i="1"/>
  <c r="AS22" i="1"/>
  <c r="AU21" i="1"/>
  <c r="AT21" i="1"/>
  <c r="AS21" i="1"/>
  <c r="AU20" i="1"/>
  <c r="AT20" i="1"/>
  <c r="AS20" i="1"/>
  <c r="AU19" i="1"/>
  <c r="AT19" i="1"/>
  <c r="AS19" i="1"/>
  <c r="AU18" i="1"/>
  <c r="AT18" i="1"/>
  <c r="AS18" i="1"/>
  <c r="AU17" i="1"/>
  <c r="AT17" i="1"/>
  <c r="AS17" i="1"/>
  <c r="AU16" i="1"/>
  <c r="AT16" i="1"/>
  <c r="AS16" i="1"/>
  <c r="AU15" i="1"/>
  <c r="AT15" i="1"/>
  <c r="AS15" i="1"/>
  <c r="AU14" i="1"/>
  <c r="AT14" i="1"/>
  <c r="AS14" i="1"/>
  <c r="AU13" i="1"/>
  <c r="AT13" i="1"/>
  <c r="AS13" i="1"/>
  <c r="AU12" i="1"/>
  <c r="AT12" i="1"/>
  <c r="AS12" i="1"/>
  <c r="AU11" i="1"/>
  <c r="AT11" i="1"/>
  <c r="AS11" i="1"/>
  <c r="AU10" i="1"/>
  <c r="AT10" i="1"/>
  <c r="AS10" i="1"/>
  <c r="AU9" i="1"/>
  <c r="AT9" i="1"/>
  <c r="AS9" i="1"/>
  <c r="AU8" i="1"/>
  <c r="AT8" i="1"/>
  <c r="AS8" i="1"/>
  <c r="AS168" i="1" s="1"/>
  <c r="AU7" i="1"/>
  <c r="AU167" i="1" s="1"/>
  <c r="AU189" i="1" s="1"/>
  <c r="AU211" i="1" s="1"/>
  <c r="AT7" i="1"/>
  <c r="AS7" i="1"/>
  <c r="AM208" i="1"/>
  <c r="AM106" i="1"/>
  <c r="AM105" i="1"/>
  <c r="AM104" i="1"/>
  <c r="AM103" i="1"/>
  <c r="AM102" i="1"/>
  <c r="AM101" i="1"/>
  <c r="AM100" i="1"/>
  <c r="AM99" i="1"/>
  <c r="AM98" i="1"/>
  <c r="AM97" i="1"/>
  <c r="AM96" i="1"/>
  <c r="AM95" i="1"/>
  <c r="AM94" i="1"/>
  <c r="AM93" i="1"/>
  <c r="AM92" i="1"/>
  <c r="AM91" i="1"/>
  <c r="AM90" i="1"/>
  <c r="AM89" i="1"/>
  <c r="AM88" i="1"/>
  <c r="AM87" i="1"/>
  <c r="AM86" i="1"/>
  <c r="AM85" i="1"/>
  <c r="AM84" i="1"/>
  <c r="AM83" i="1"/>
  <c r="AA186" i="1"/>
  <c r="AA106" i="1"/>
  <c r="AA105" i="1"/>
  <c r="AA104" i="1"/>
  <c r="AA103" i="1"/>
  <c r="AA102" i="1"/>
  <c r="AA101" i="1"/>
  <c r="AA100" i="1"/>
  <c r="AA99" i="1"/>
  <c r="AA98" i="1"/>
  <c r="AA97" i="1"/>
  <c r="AA96" i="1"/>
  <c r="AA95" i="1"/>
  <c r="AA94" i="1"/>
  <c r="AA93" i="1"/>
  <c r="AA92" i="1"/>
  <c r="AA91" i="1"/>
  <c r="AA90" i="1"/>
  <c r="AA89" i="1"/>
  <c r="AA88" i="1"/>
  <c r="AA87" i="1"/>
  <c r="AA86" i="1"/>
  <c r="AA85" i="1"/>
  <c r="AA84" i="1"/>
  <c r="AA83" i="1"/>
  <c r="AA82" i="1"/>
  <c r="AA81" i="1"/>
  <c r="AA80" i="1"/>
  <c r="AA79" i="1"/>
  <c r="AA78" i="1"/>
  <c r="AA77" i="1"/>
  <c r="AA76" i="1"/>
  <c r="AA75" i="1"/>
  <c r="AA74" i="1"/>
  <c r="AA73" i="1"/>
  <c r="AA72" i="1"/>
  <c r="AA71" i="1"/>
  <c r="AA70" i="1"/>
  <c r="AA69" i="1"/>
  <c r="AA68" i="1"/>
  <c r="AA67" i="1"/>
  <c r="AA66" i="1"/>
  <c r="AA65" i="1"/>
  <c r="AA64" i="1"/>
  <c r="AA63" i="1"/>
  <c r="AA62" i="1"/>
  <c r="AA61" i="1"/>
  <c r="AA60" i="1"/>
  <c r="AA59" i="1"/>
  <c r="AA58" i="1"/>
  <c r="AA57" i="1"/>
  <c r="AA56" i="1"/>
  <c r="AA55" i="1"/>
  <c r="AA54" i="1"/>
  <c r="AA53" i="1"/>
  <c r="AA52" i="1"/>
  <c r="AA51" i="1"/>
  <c r="AA50" i="1"/>
  <c r="AA49" i="1"/>
  <c r="AA168" i="1"/>
  <c r="AA167" i="1"/>
  <c r="AM189" i="1" l="1"/>
  <c r="AM211" i="1" s="1"/>
  <c r="AA141" i="10"/>
  <c r="AM190" i="1"/>
  <c r="AS167" i="1"/>
  <c r="AT168" i="1"/>
  <c r="BI168" i="1"/>
  <c r="BI187" i="1"/>
  <c r="BR167" i="1"/>
  <c r="BY168" i="1"/>
  <c r="BY190" i="1" s="1"/>
  <c r="BY212" i="1" s="1"/>
  <c r="BY187" i="1"/>
  <c r="CH167" i="1"/>
  <c r="CI168" i="1"/>
  <c r="CO168" i="1"/>
  <c r="CO190" i="1" s="1"/>
  <c r="CO212" i="1" s="1"/>
  <c r="CO187" i="1"/>
  <c r="CX167" i="1"/>
  <c r="CY168" i="1"/>
  <c r="CY190" i="1" s="1"/>
  <c r="CY212" i="1" s="1"/>
  <c r="CX186" i="1"/>
  <c r="CY187" i="1"/>
  <c r="AA165" i="10"/>
  <c r="AT167" i="1"/>
  <c r="AU168" i="1"/>
  <c r="BB167" i="1"/>
  <c r="BI167" i="1"/>
  <c r="BJ168" i="1"/>
  <c r="BS167" i="1"/>
  <c r="BS186" i="1"/>
  <c r="BY167" i="1"/>
  <c r="BZ168" i="1"/>
  <c r="CI167" i="1"/>
  <c r="CI186" i="1"/>
  <c r="CO167" i="1"/>
  <c r="CP168" i="1"/>
  <c r="CY167" i="1"/>
  <c r="CY186" i="1"/>
  <c r="AA164" i="10"/>
  <c r="AA152" i="10"/>
  <c r="AA150" i="10"/>
  <c r="AA142" i="10"/>
  <c r="AA125" i="10"/>
  <c r="AA120" i="10"/>
  <c r="AA109" i="10"/>
  <c r="AA156" i="10"/>
  <c r="AA129" i="10"/>
  <c r="BS168" i="1"/>
  <c r="CO186" i="1"/>
  <c r="AA189" i="1"/>
  <c r="AS187" i="1"/>
  <c r="AS190" i="1" s="1"/>
  <c r="AA124" i="10"/>
  <c r="AA113" i="10"/>
  <c r="AA108" i="10"/>
  <c r="AA160" i="10"/>
  <c r="AA128" i="10"/>
  <c r="AA117" i="10"/>
  <c r="AA112" i="10"/>
  <c r="AA148" i="10"/>
  <c r="AA140" i="10"/>
  <c r="AA143" i="10"/>
  <c r="AA134" i="10"/>
  <c r="AA121" i="10"/>
  <c r="AA116" i="10"/>
  <c r="BK211" i="1"/>
  <c r="CA211" i="1"/>
  <c r="CQ211" i="1"/>
  <c r="CX212" i="1"/>
  <c r="BJ186" i="1"/>
  <c r="BJ189" i="1" s="1"/>
  <c r="CW187" i="1"/>
  <c r="CW190" i="1" s="1"/>
  <c r="CW209" i="1"/>
  <c r="BQ186" i="1"/>
  <c r="BQ189" i="1" s="1"/>
  <c r="BR187" i="1"/>
  <c r="BR190" i="1" s="1"/>
  <c r="CG186" i="1"/>
  <c r="CG189" i="1" s="1"/>
  <c r="AS209" i="1"/>
  <c r="BB168" i="1"/>
  <c r="BR186" i="1"/>
  <c r="CH186" i="1"/>
  <c r="CI187" i="1"/>
  <c r="BI186" i="1"/>
  <c r="BI189" i="1" s="1"/>
  <c r="BY186" i="1"/>
  <c r="CP187" i="1"/>
  <c r="AA153" i="10"/>
  <c r="AA157" i="10"/>
  <c r="AA161" i="10"/>
  <c r="AA149" i="10"/>
  <c r="AA138" i="10"/>
  <c r="AA135" i="10"/>
  <c r="AA162" i="10"/>
  <c r="AA132" i="10"/>
  <c r="AA154" i="10"/>
  <c r="AA151" i="10"/>
  <c r="AA158" i="10"/>
  <c r="AM209" i="1"/>
  <c r="BB187" i="1"/>
  <c r="BB209" i="1"/>
  <c r="BS187" i="1"/>
  <c r="BR208" i="1"/>
  <c r="BS209" i="1"/>
  <c r="CH208" i="1"/>
  <c r="CI209" i="1"/>
  <c r="AA155" i="10"/>
  <c r="AA144" i="10"/>
  <c r="AA137" i="10"/>
  <c r="AA126" i="10"/>
  <c r="AA122" i="10"/>
  <c r="AA114" i="10"/>
  <c r="AA111" i="10"/>
  <c r="AS186" i="1"/>
  <c r="AT187" i="1"/>
  <c r="AT190" i="1" s="1"/>
  <c r="AS208" i="1"/>
  <c r="AT209" i="1"/>
  <c r="BJ187" i="1"/>
  <c r="BI208" i="1"/>
  <c r="BJ209" i="1"/>
  <c r="BZ187" i="1"/>
  <c r="BY208" i="1"/>
  <c r="BZ209" i="1"/>
  <c r="CO208" i="1"/>
  <c r="CP209" i="1"/>
  <c r="AA163" i="10"/>
  <c r="AA159" i="10"/>
  <c r="AA119" i="10"/>
  <c r="AA115" i="10"/>
  <c r="AA145" i="10"/>
  <c r="AA130" i="10"/>
  <c r="AA127" i="10"/>
  <c r="AA118" i="10"/>
  <c r="AA106" i="10"/>
  <c r="AA187" i="1"/>
  <c r="AA190" i="1" s="1"/>
  <c r="AT186" i="1"/>
  <c r="AU187" i="1"/>
  <c r="AU190" i="1" s="1"/>
  <c r="AT208" i="1"/>
  <c r="AU209" i="1"/>
  <c r="BK187" i="1"/>
  <c r="BK190" i="1" s="1"/>
  <c r="BJ208" i="1"/>
  <c r="BK209" i="1"/>
  <c r="BZ186" i="1"/>
  <c r="BZ189" i="1" s="1"/>
  <c r="CA187" i="1"/>
  <c r="CA190" i="1" s="1"/>
  <c r="BZ208" i="1"/>
  <c r="CA209" i="1"/>
  <c r="CP186" i="1"/>
  <c r="CP189" i="1" s="1"/>
  <c r="CQ187" i="1"/>
  <c r="CQ190" i="1" s="1"/>
  <c r="CP208" i="1"/>
  <c r="CQ209" i="1"/>
  <c r="AA133" i="10"/>
  <c r="AA146" i="10"/>
  <c r="AA131" i="10"/>
  <c r="BB186" i="1"/>
  <c r="BB208" i="1"/>
  <c r="BQ208" i="1"/>
  <c r="BR209" i="1"/>
  <c r="CH187" i="1"/>
  <c r="CH190" i="1" s="1"/>
  <c r="CG208" i="1"/>
  <c r="CH209" i="1"/>
  <c r="AA147" i="10"/>
  <c r="AA139" i="10"/>
  <c r="AA110" i="10"/>
  <c r="AA136" i="10"/>
  <c r="AA123" i="10"/>
  <c r="AA107" i="10"/>
  <c r="CV185" i="1"/>
  <c r="CU185" i="1"/>
  <c r="CT185" i="1"/>
  <c r="CS185" i="1"/>
  <c r="CR185" i="1"/>
  <c r="CV184" i="1"/>
  <c r="CU184" i="1"/>
  <c r="CT184" i="1"/>
  <c r="CS184" i="1"/>
  <c r="CR184" i="1"/>
  <c r="CV183" i="1"/>
  <c r="CU183" i="1"/>
  <c r="CT183" i="1"/>
  <c r="CS183" i="1"/>
  <c r="CR183" i="1"/>
  <c r="CV182" i="1"/>
  <c r="CU182" i="1"/>
  <c r="CT182" i="1"/>
  <c r="CS182" i="1"/>
  <c r="CR182" i="1"/>
  <c r="CV181" i="1"/>
  <c r="CU181" i="1"/>
  <c r="CT181" i="1"/>
  <c r="CS181" i="1"/>
  <c r="CR181" i="1"/>
  <c r="CV180" i="1"/>
  <c r="CU180" i="1"/>
  <c r="CT180" i="1"/>
  <c r="CS180" i="1"/>
  <c r="CR180" i="1"/>
  <c r="CV179" i="1"/>
  <c r="CU179" i="1"/>
  <c r="CT179" i="1"/>
  <c r="CS179" i="1"/>
  <c r="CR179" i="1"/>
  <c r="CV178" i="1"/>
  <c r="CU178" i="1"/>
  <c r="CT178" i="1"/>
  <c r="CS178" i="1"/>
  <c r="CR178" i="1"/>
  <c r="CV177" i="1"/>
  <c r="CU177" i="1"/>
  <c r="CT177" i="1"/>
  <c r="CS177" i="1"/>
  <c r="CR177" i="1"/>
  <c r="CV176" i="1"/>
  <c r="CU176" i="1"/>
  <c r="CT176" i="1"/>
  <c r="CS176" i="1"/>
  <c r="CR176" i="1"/>
  <c r="CV175" i="1"/>
  <c r="CU175" i="1"/>
  <c r="CT175" i="1"/>
  <c r="CS175" i="1"/>
  <c r="CR175" i="1"/>
  <c r="CV174" i="1"/>
  <c r="CU174" i="1"/>
  <c r="CT174" i="1"/>
  <c r="CS174" i="1"/>
  <c r="CR174" i="1"/>
  <c r="CV106" i="1"/>
  <c r="CU106" i="1"/>
  <c r="CT106" i="1"/>
  <c r="CS106" i="1"/>
  <c r="CR106" i="1"/>
  <c r="CV105" i="1"/>
  <c r="CU105" i="1"/>
  <c r="CT105" i="1"/>
  <c r="CS105" i="1"/>
  <c r="CR105" i="1"/>
  <c r="CV104" i="1"/>
  <c r="CU104" i="1"/>
  <c r="CT104" i="1"/>
  <c r="CS104" i="1"/>
  <c r="CR104" i="1"/>
  <c r="CV103" i="1"/>
  <c r="CU103" i="1"/>
  <c r="CT103" i="1"/>
  <c r="CS103" i="1"/>
  <c r="CR103" i="1"/>
  <c r="CV102" i="1"/>
  <c r="CU102" i="1"/>
  <c r="CT102" i="1"/>
  <c r="CS102" i="1"/>
  <c r="CR102" i="1"/>
  <c r="CV101" i="1"/>
  <c r="CU101" i="1"/>
  <c r="CT101" i="1"/>
  <c r="CS101" i="1"/>
  <c r="CR101" i="1"/>
  <c r="CV100" i="1"/>
  <c r="CU100" i="1"/>
  <c r="CT100" i="1"/>
  <c r="CS100" i="1"/>
  <c r="CR100" i="1"/>
  <c r="CV99" i="1"/>
  <c r="CU99" i="1"/>
  <c r="CT99" i="1"/>
  <c r="CS99" i="1"/>
  <c r="CR99" i="1"/>
  <c r="CV98" i="1"/>
  <c r="CU98" i="1"/>
  <c r="CT98" i="1"/>
  <c r="CS98" i="1"/>
  <c r="CR98" i="1"/>
  <c r="CV97" i="1"/>
  <c r="CU97" i="1"/>
  <c r="CT97" i="1"/>
  <c r="CS97" i="1"/>
  <c r="CR97" i="1"/>
  <c r="CV96" i="1"/>
  <c r="CU96" i="1"/>
  <c r="CT96" i="1"/>
  <c r="CS96" i="1"/>
  <c r="CR96" i="1"/>
  <c r="CV95" i="1"/>
  <c r="CU95" i="1"/>
  <c r="CT95" i="1"/>
  <c r="CS95" i="1"/>
  <c r="CR95" i="1"/>
  <c r="CV94" i="1"/>
  <c r="CU94" i="1"/>
  <c r="CT94" i="1"/>
  <c r="CS94" i="1"/>
  <c r="CR94" i="1"/>
  <c r="CV93" i="1"/>
  <c r="CU93" i="1"/>
  <c r="CT93" i="1"/>
  <c r="CS93" i="1"/>
  <c r="CR93" i="1"/>
  <c r="CV92" i="1"/>
  <c r="CU92" i="1"/>
  <c r="CT92" i="1"/>
  <c r="CS92" i="1"/>
  <c r="CR92" i="1"/>
  <c r="CV91" i="1"/>
  <c r="CU91" i="1"/>
  <c r="CT91" i="1"/>
  <c r="CS91" i="1"/>
  <c r="CR91" i="1"/>
  <c r="CV90" i="1"/>
  <c r="CU90" i="1"/>
  <c r="CT90" i="1"/>
  <c r="CS90" i="1"/>
  <c r="CR90" i="1"/>
  <c r="CV89" i="1"/>
  <c r="CU89" i="1"/>
  <c r="CT89" i="1"/>
  <c r="CS89" i="1"/>
  <c r="CR89" i="1"/>
  <c r="CV88" i="1"/>
  <c r="CU88" i="1"/>
  <c r="CT88" i="1"/>
  <c r="CS88" i="1"/>
  <c r="CR88" i="1"/>
  <c r="CV87" i="1"/>
  <c r="CU87" i="1"/>
  <c r="CT87" i="1"/>
  <c r="CS87" i="1"/>
  <c r="CR87" i="1"/>
  <c r="CV86" i="1"/>
  <c r="CU86" i="1"/>
  <c r="CT86" i="1"/>
  <c r="CS86" i="1"/>
  <c r="CR86" i="1"/>
  <c r="CV85" i="1"/>
  <c r="CU85" i="1"/>
  <c r="CT85" i="1"/>
  <c r="CS85" i="1"/>
  <c r="CR85" i="1"/>
  <c r="CV84" i="1"/>
  <c r="CU84" i="1"/>
  <c r="CT84" i="1"/>
  <c r="CS84" i="1"/>
  <c r="CR84" i="1"/>
  <c r="CV83" i="1"/>
  <c r="CU83" i="1"/>
  <c r="CT83" i="1"/>
  <c r="CS83" i="1"/>
  <c r="CR83" i="1"/>
  <c r="CV82" i="1"/>
  <c r="CU82" i="1"/>
  <c r="CT82" i="1"/>
  <c r="CS82" i="1"/>
  <c r="CR82" i="1"/>
  <c r="CV81" i="1"/>
  <c r="CU81" i="1"/>
  <c r="CT81" i="1"/>
  <c r="CS81" i="1"/>
  <c r="CR81" i="1"/>
  <c r="CV80" i="1"/>
  <c r="CU80" i="1"/>
  <c r="CT80" i="1"/>
  <c r="CS80" i="1"/>
  <c r="CR80" i="1"/>
  <c r="CV79" i="1"/>
  <c r="CU79" i="1"/>
  <c r="CT79" i="1"/>
  <c r="CS79" i="1"/>
  <c r="CR79" i="1"/>
  <c r="CV78" i="1"/>
  <c r="CU78" i="1"/>
  <c r="CT78" i="1"/>
  <c r="CS78" i="1"/>
  <c r="CR78" i="1"/>
  <c r="CV77" i="1"/>
  <c r="CU77" i="1"/>
  <c r="CT77" i="1"/>
  <c r="CS77" i="1"/>
  <c r="CR77" i="1"/>
  <c r="CV76" i="1"/>
  <c r="CU76" i="1"/>
  <c r="CT76" i="1"/>
  <c r="CS76" i="1"/>
  <c r="CR76" i="1"/>
  <c r="CV75" i="1"/>
  <c r="CU75" i="1"/>
  <c r="CT75" i="1"/>
  <c r="CS75" i="1"/>
  <c r="CR75" i="1"/>
  <c r="CV74" i="1"/>
  <c r="CU74" i="1"/>
  <c r="CT74" i="1"/>
  <c r="CS74" i="1"/>
  <c r="CR74" i="1"/>
  <c r="CV73" i="1"/>
  <c r="CU73" i="1"/>
  <c r="CT73" i="1"/>
  <c r="CS73" i="1"/>
  <c r="CR73" i="1"/>
  <c r="CV72" i="1"/>
  <c r="CU72" i="1"/>
  <c r="CT72" i="1"/>
  <c r="CS72" i="1"/>
  <c r="CR72" i="1"/>
  <c r="CV71" i="1"/>
  <c r="CU71" i="1"/>
  <c r="CT71" i="1"/>
  <c r="CS71" i="1"/>
  <c r="CR71" i="1"/>
  <c r="CV70" i="1"/>
  <c r="CU70" i="1"/>
  <c r="CT70" i="1"/>
  <c r="CS70" i="1"/>
  <c r="CR70" i="1"/>
  <c r="CV69" i="1"/>
  <c r="CU69" i="1"/>
  <c r="CT69" i="1"/>
  <c r="CS69" i="1"/>
  <c r="CR69" i="1"/>
  <c r="CV68" i="1"/>
  <c r="CU68" i="1"/>
  <c r="CT68" i="1"/>
  <c r="CS68" i="1"/>
  <c r="CR68" i="1"/>
  <c r="CV67" i="1"/>
  <c r="CU67" i="1"/>
  <c r="CT67" i="1"/>
  <c r="CS67" i="1"/>
  <c r="CR67" i="1"/>
  <c r="CV66" i="1"/>
  <c r="CU66" i="1"/>
  <c r="CT66" i="1"/>
  <c r="CS66" i="1"/>
  <c r="CR66" i="1"/>
  <c r="CV65" i="1"/>
  <c r="CU65" i="1"/>
  <c r="CT65" i="1"/>
  <c r="CS65" i="1"/>
  <c r="CR65" i="1"/>
  <c r="CV64" i="1"/>
  <c r="CU64" i="1"/>
  <c r="CT64" i="1"/>
  <c r="CS64" i="1"/>
  <c r="CR64" i="1"/>
  <c r="CV63" i="1"/>
  <c r="CU63" i="1"/>
  <c r="CT63" i="1"/>
  <c r="CS63" i="1"/>
  <c r="CR63" i="1"/>
  <c r="CV62" i="1"/>
  <c r="CU62" i="1"/>
  <c r="CT62" i="1"/>
  <c r="CS62" i="1"/>
  <c r="CR62" i="1"/>
  <c r="CV61" i="1"/>
  <c r="CU61" i="1"/>
  <c r="CT61" i="1"/>
  <c r="CS61" i="1"/>
  <c r="CR61" i="1"/>
  <c r="CV60" i="1"/>
  <c r="CU60" i="1"/>
  <c r="CT60" i="1"/>
  <c r="CS60" i="1"/>
  <c r="CR60" i="1"/>
  <c r="CV59" i="1"/>
  <c r="CU59" i="1"/>
  <c r="CT59" i="1"/>
  <c r="CS59" i="1"/>
  <c r="CR59" i="1"/>
  <c r="CV58" i="1"/>
  <c r="CU58" i="1"/>
  <c r="CT58" i="1"/>
  <c r="CS58" i="1"/>
  <c r="CR58" i="1"/>
  <c r="CV57" i="1"/>
  <c r="CU57" i="1"/>
  <c r="CT57" i="1"/>
  <c r="CS57" i="1"/>
  <c r="CR57" i="1"/>
  <c r="CV56" i="1"/>
  <c r="CU56" i="1"/>
  <c r="CT56" i="1"/>
  <c r="CS56" i="1"/>
  <c r="CR56" i="1"/>
  <c r="CV55" i="1"/>
  <c r="CU55" i="1"/>
  <c r="CT55" i="1"/>
  <c r="CS55" i="1"/>
  <c r="CR55" i="1"/>
  <c r="CV54" i="1"/>
  <c r="CU54" i="1"/>
  <c r="CT54" i="1"/>
  <c r="CS54" i="1"/>
  <c r="CR54" i="1"/>
  <c r="CV53" i="1"/>
  <c r="CU53" i="1"/>
  <c r="CT53" i="1"/>
  <c r="CS53" i="1"/>
  <c r="CR53" i="1"/>
  <c r="CV50" i="1"/>
  <c r="CU50" i="1"/>
  <c r="CT50" i="1"/>
  <c r="CS50" i="1"/>
  <c r="CR50" i="1"/>
  <c r="CV49" i="1"/>
  <c r="CU49" i="1"/>
  <c r="CT49" i="1"/>
  <c r="CS49" i="1"/>
  <c r="CR49" i="1"/>
  <c r="CV48" i="1"/>
  <c r="CU48" i="1"/>
  <c r="CT48" i="1"/>
  <c r="CS48" i="1"/>
  <c r="CR48" i="1"/>
  <c r="CV47" i="1"/>
  <c r="CU47" i="1"/>
  <c r="CT47" i="1"/>
  <c r="CS47" i="1"/>
  <c r="CR47" i="1"/>
  <c r="CV46" i="1"/>
  <c r="CU46" i="1"/>
  <c r="CT46" i="1"/>
  <c r="CS46" i="1"/>
  <c r="CR46" i="1"/>
  <c r="CV45" i="1"/>
  <c r="CU45" i="1"/>
  <c r="CT45" i="1"/>
  <c r="CS45" i="1"/>
  <c r="CR45" i="1"/>
  <c r="CV44" i="1"/>
  <c r="CU44" i="1"/>
  <c r="CT44" i="1"/>
  <c r="CS44" i="1"/>
  <c r="CR44" i="1"/>
  <c r="CV43" i="1"/>
  <c r="CU43" i="1"/>
  <c r="CT43" i="1"/>
  <c r="CS43" i="1"/>
  <c r="CR43" i="1"/>
  <c r="CV42" i="1"/>
  <c r="CU42" i="1"/>
  <c r="CT42" i="1"/>
  <c r="CS42" i="1"/>
  <c r="CR42" i="1"/>
  <c r="CV41" i="1"/>
  <c r="CU41" i="1"/>
  <c r="CT41" i="1"/>
  <c r="CS41" i="1"/>
  <c r="CR41" i="1"/>
  <c r="CV40" i="1"/>
  <c r="CU40" i="1"/>
  <c r="CT40" i="1"/>
  <c r="CS40" i="1"/>
  <c r="CR40" i="1"/>
  <c r="CV39" i="1"/>
  <c r="CU39" i="1"/>
  <c r="CT39" i="1"/>
  <c r="CS39" i="1"/>
  <c r="CR39" i="1"/>
  <c r="CV38" i="1"/>
  <c r="CU38" i="1"/>
  <c r="CT38" i="1"/>
  <c r="CS38" i="1"/>
  <c r="CR38" i="1"/>
  <c r="CV37" i="1"/>
  <c r="CU37" i="1"/>
  <c r="CT37" i="1"/>
  <c r="CS37" i="1"/>
  <c r="CR37" i="1"/>
  <c r="CV36" i="1"/>
  <c r="CU36" i="1"/>
  <c r="CT36" i="1"/>
  <c r="CS36" i="1"/>
  <c r="CR36" i="1"/>
  <c r="CV35" i="1"/>
  <c r="CU35" i="1"/>
  <c r="CT35" i="1"/>
  <c r="CS35" i="1"/>
  <c r="CR35" i="1"/>
  <c r="CV34" i="1"/>
  <c r="CU34" i="1"/>
  <c r="CT34" i="1"/>
  <c r="CS34" i="1"/>
  <c r="CR34" i="1"/>
  <c r="CV33" i="1"/>
  <c r="CU33" i="1"/>
  <c r="CT33" i="1"/>
  <c r="CS33" i="1"/>
  <c r="CR33" i="1"/>
  <c r="CV32" i="1"/>
  <c r="CU32" i="1"/>
  <c r="CT32" i="1"/>
  <c r="CS32" i="1"/>
  <c r="CR32" i="1"/>
  <c r="CV31" i="1"/>
  <c r="CU31" i="1"/>
  <c r="CT31" i="1"/>
  <c r="CS31" i="1"/>
  <c r="CR31" i="1"/>
  <c r="CV30" i="1"/>
  <c r="CU30" i="1"/>
  <c r="CT30" i="1"/>
  <c r="CS30" i="1"/>
  <c r="CR30" i="1"/>
  <c r="CV29" i="1"/>
  <c r="CU29" i="1"/>
  <c r="CT29" i="1"/>
  <c r="CS29" i="1"/>
  <c r="CR29" i="1"/>
  <c r="CV28" i="1"/>
  <c r="CU28" i="1"/>
  <c r="CT28" i="1"/>
  <c r="CS28" i="1"/>
  <c r="CR28" i="1"/>
  <c r="CV27" i="1"/>
  <c r="CU27" i="1"/>
  <c r="CT27" i="1"/>
  <c r="CS27" i="1"/>
  <c r="CR27" i="1"/>
  <c r="CV26" i="1"/>
  <c r="CU26" i="1"/>
  <c r="CT26" i="1"/>
  <c r="CS26" i="1"/>
  <c r="CR26" i="1"/>
  <c r="CV25" i="1"/>
  <c r="CU25" i="1"/>
  <c r="CT25" i="1"/>
  <c r="CS25" i="1"/>
  <c r="CR25" i="1"/>
  <c r="CV24" i="1"/>
  <c r="CU24" i="1"/>
  <c r="CT24" i="1"/>
  <c r="CS24" i="1"/>
  <c r="CR24" i="1"/>
  <c r="CV23" i="1"/>
  <c r="CU23" i="1"/>
  <c r="CT23" i="1"/>
  <c r="CS23" i="1"/>
  <c r="CR23" i="1"/>
  <c r="CV22" i="1"/>
  <c r="CU22" i="1"/>
  <c r="CT22" i="1"/>
  <c r="CS22" i="1"/>
  <c r="CR22" i="1"/>
  <c r="CV21" i="1"/>
  <c r="CU21" i="1"/>
  <c r="CT21" i="1"/>
  <c r="CS21" i="1"/>
  <c r="CR21" i="1"/>
  <c r="CV20" i="1"/>
  <c r="CU20" i="1"/>
  <c r="CT20" i="1"/>
  <c r="CS20" i="1"/>
  <c r="CR20" i="1"/>
  <c r="CV19" i="1"/>
  <c r="CU19" i="1"/>
  <c r="CT19" i="1"/>
  <c r="CS19" i="1"/>
  <c r="CR19" i="1"/>
  <c r="CV18" i="1"/>
  <c r="CU18" i="1"/>
  <c r="CT18" i="1"/>
  <c r="CS18" i="1"/>
  <c r="CR18" i="1"/>
  <c r="CV17" i="1"/>
  <c r="CU17" i="1"/>
  <c r="CT17" i="1"/>
  <c r="CS17" i="1"/>
  <c r="CR17" i="1"/>
  <c r="CV16" i="1"/>
  <c r="CU16" i="1"/>
  <c r="CT16" i="1"/>
  <c r="CS16" i="1"/>
  <c r="CR16" i="1"/>
  <c r="CV15" i="1"/>
  <c r="CU15" i="1"/>
  <c r="CT15" i="1"/>
  <c r="CS15" i="1"/>
  <c r="CR15" i="1"/>
  <c r="CV14" i="1"/>
  <c r="CU14" i="1"/>
  <c r="CT14" i="1"/>
  <c r="CS14" i="1"/>
  <c r="CR14" i="1"/>
  <c r="CV13" i="1"/>
  <c r="CU13" i="1"/>
  <c r="CT13" i="1"/>
  <c r="CS13" i="1"/>
  <c r="CR13" i="1"/>
  <c r="CV12" i="1"/>
  <c r="CU12" i="1"/>
  <c r="CT12" i="1"/>
  <c r="CS12" i="1"/>
  <c r="CR12" i="1"/>
  <c r="CV11" i="1"/>
  <c r="CU11" i="1"/>
  <c r="CT11" i="1"/>
  <c r="CS11" i="1"/>
  <c r="CR11" i="1"/>
  <c r="CV10" i="1"/>
  <c r="CU10" i="1"/>
  <c r="CT10" i="1"/>
  <c r="CS10" i="1"/>
  <c r="CR10" i="1"/>
  <c r="CV9" i="1"/>
  <c r="CU9" i="1"/>
  <c r="CT9" i="1"/>
  <c r="CS9" i="1"/>
  <c r="CR9" i="1"/>
  <c r="CV8" i="1"/>
  <c r="CU8" i="1"/>
  <c r="CT8" i="1"/>
  <c r="CS8" i="1"/>
  <c r="CR8" i="1"/>
  <c r="CV7" i="1"/>
  <c r="CU7" i="1"/>
  <c r="CT7" i="1"/>
  <c r="CS7" i="1"/>
  <c r="CR7" i="1"/>
  <c r="CN185" i="1"/>
  <c r="CM185" i="1"/>
  <c r="CL185" i="1"/>
  <c r="CK185" i="1"/>
  <c r="CJ185" i="1"/>
  <c r="CN184" i="1"/>
  <c r="CM184" i="1"/>
  <c r="CL184" i="1"/>
  <c r="CK184" i="1"/>
  <c r="CJ184" i="1"/>
  <c r="CN183" i="1"/>
  <c r="CM183" i="1"/>
  <c r="CL183" i="1"/>
  <c r="CK183" i="1"/>
  <c r="CJ183" i="1"/>
  <c r="CN182" i="1"/>
  <c r="CM182" i="1"/>
  <c r="CL182" i="1"/>
  <c r="CK182" i="1"/>
  <c r="CJ182" i="1"/>
  <c r="CN181" i="1"/>
  <c r="CM181" i="1"/>
  <c r="CL181" i="1"/>
  <c r="CK181" i="1"/>
  <c r="CJ181" i="1"/>
  <c r="CN180" i="1"/>
  <c r="CM180" i="1"/>
  <c r="CL180" i="1"/>
  <c r="CK180" i="1"/>
  <c r="CJ180" i="1"/>
  <c r="CN179" i="1"/>
  <c r="CM179" i="1"/>
  <c r="CL179" i="1"/>
  <c r="CK179" i="1"/>
  <c r="CJ179" i="1"/>
  <c r="CN178" i="1"/>
  <c r="CM178" i="1"/>
  <c r="CL178" i="1"/>
  <c r="CK178" i="1"/>
  <c r="CJ178" i="1"/>
  <c r="CN177" i="1"/>
  <c r="CM177" i="1"/>
  <c r="CL177" i="1"/>
  <c r="CK177" i="1"/>
  <c r="CJ177" i="1"/>
  <c r="CN176" i="1"/>
  <c r="CM176" i="1"/>
  <c r="CL176" i="1"/>
  <c r="CK176" i="1"/>
  <c r="CJ176" i="1"/>
  <c r="CN175" i="1"/>
  <c r="CM175" i="1"/>
  <c r="CL175" i="1"/>
  <c r="CK175" i="1"/>
  <c r="CJ175" i="1"/>
  <c r="CN174" i="1"/>
  <c r="CM174" i="1"/>
  <c r="CL174" i="1"/>
  <c r="CK174" i="1"/>
  <c r="CJ174" i="1"/>
  <c r="CN106" i="1"/>
  <c r="CM106" i="1"/>
  <c r="CL106" i="1"/>
  <c r="CK106" i="1"/>
  <c r="CJ106" i="1"/>
  <c r="CN105" i="1"/>
  <c r="CM105" i="1"/>
  <c r="CL105" i="1"/>
  <c r="CK105" i="1"/>
  <c r="CJ105" i="1"/>
  <c r="CN104" i="1"/>
  <c r="CM104" i="1"/>
  <c r="CL104" i="1"/>
  <c r="CK104" i="1"/>
  <c r="CJ104" i="1"/>
  <c r="CN103" i="1"/>
  <c r="CM103" i="1"/>
  <c r="CL103" i="1"/>
  <c r="CK103" i="1"/>
  <c r="CJ103" i="1"/>
  <c r="CN102" i="1"/>
  <c r="CM102" i="1"/>
  <c r="CL102" i="1"/>
  <c r="CK102" i="1"/>
  <c r="CJ102" i="1"/>
  <c r="CN101" i="1"/>
  <c r="CM101" i="1"/>
  <c r="CL101" i="1"/>
  <c r="CK101" i="1"/>
  <c r="CJ101" i="1"/>
  <c r="CN100" i="1"/>
  <c r="CM100" i="1"/>
  <c r="CL100" i="1"/>
  <c r="CK100" i="1"/>
  <c r="CJ100" i="1"/>
  <c r="CN99" i="1"/>
  <c r="CM99" i="1"/>
  <c r="CL99" i="1"/>
  <c r="CK99" i="1"/>
  <c r="CJ99" i="1"/>
  <c r="CN98" i="1"/>
  <c r="CM98" i="1"/>
  <c r="CL98" i="1"/>
  <c r="CK98" i="1"/>
  <c r="CJ98" i="1"/>
  <c r="CN97" i="1"/>
  <c r="CM97" i="1"/>
  <c r="CL97" i="1"/>
  <c r="CK97" i="1"/>
  <c r="CJ97" i="1"/>
  <c r="CN96" i="1"/>
  <c r="CM96" i="1"/>
  <c r="CL96" i="1"/>
  <c r="CK96" i="1"/>
  <c r="CJ96" i="1"/>
  <c r="CN95" i="1"/>
  <c r="CM95" i="1"/>
  <c r="CL95" i="1"/>
  <c r="CK95" i="1"/>
  <c r="CJ95" i="1"/>
  <c r="CN94" i="1"/>
  <c r="CM94" i="1"/>
  <c r="CL94" i="1"/>
  <c r="CK94" i="1"/>
  <c r="CJ94" i="1"/>
  <c r="CN93" i="1"/>
  <c r="CM93" i="1"/>
  <c r="CL93" i="1"/>
  <c r="CK93" i="1"/>
  <c r="CJ93" i="1"/>
  <c r="CN92" i="1"/>
  <c r="CM92" i="1"/>
  <c r="CL92" i="1"/>
  <c r="CK92" i="1"/>
  <c r="CJ92" i="1"/>
  <c r="CN91" i="1"/>
  <c r="CM91" i="1"/>
  <c r="CL91" i="1"/>
  <c r="CK91" i="1"/>
  <c r="CJ91" i="1"/>
  <c r="CN90" i="1"/>
  <c r="CM90" i="1"/>
  <c r="CL90" i="1"/>
  <c r="CK90" i="1"/>
  <c r="CJ90" i="1"/>
  <c r="CN89" i="1"/>
  <c r="CM89" i="1"/>
  <c r="CL89" i="1"/>
  <c r="CK89" i="1"/>
  <c r="CJ89" i="1"/>
  <c r="CN88" i="1"/>
  <c r="CM88" i="1"/>
  <c r="CL88" i="1"/>
  <c r="CK88" i="1"/>
  <c r="CJ88" i="1"/>
  <c r="CN87" i="1"/>
  <c r="CM87" i="1"/>
  <c r="CL87" i="1"/>
  <c r="CK87" i="1"/>
  <c r="CJ87" i="1"/>
  <c r="CN86" i="1"/>
  <c r="CM86" i="1"/>
  <c r="CL86" i="1"/>
  <c r="CK86" i="1"/>
  <c r="CJ86" i="1"/>
  <c r="CN85" i="1"/>
  <c r="CM85" i="1"/>
  <c r="CL85" i="1"/>
  <c r="CK85" i="1"/>
  <c r="CJ85" i="1"/>
  <c r="CN84" i="1"/>
  <c r="CM84" i="1"/>
  <c r="CL84" i="1"/>
  <c r="CK84" i="1"/>
  <c r="CJ84" i="1"/>
  <c r="CN83" i="1"/>
  <c r="CM83" i="1"/>
  <c r="CL83" i="1"/>
  <c r="CK83" i="1"/>
  <c r="CJ83" i="1"/>
  <c r="CN82" i="1"/>
  <c r="CM82" i="1"/>
  <c r="CL82" i="1"/>
  <c r="CK82" i="1"/>
  <c r="CJ82" i="1"/>
  <c r="CN81" i="1"/>
  <c r="CM81" i="1"/>
  <c r="CL81" i="1"/>
  <c r="CK81" i="1"/>
  <c r="CJ81" i="1"/>
  <c r="CN80" i="1"/>
  <c r="CM80" i="1"/>
  <c r="CL80" i="1"/>
  <c r="CK80" i="1"/>
  <c r="CJ80" i="1"/>
  <c r="CN79" i="1"/>
  <c r="CM79" i="1"/>
  <c r="CL79" i="1"/>
  <c r="CK79" i="1"/>
  <c r="CJ79" i="1"/>
  <c r="CN78" i="1"/>
  <c r="CM78" i="1"/>
  <c r="CL78" i="1"/>
  <c r="CK78" i="1"/>
  <c r="CJ78" i="1"/>
  <c r="CN77" i="1"/>
  <c r="CM77" i="1"/>
  <c r="CL77" i="1"/>
  <c r="CK77" i="1"/>
  <c r="CJ77" i="1"/>
  <c r="CN76" i="1"/>
  <c r="CM76" i="1"/>
  <c r="CL76" i="1"/>
  <c r="CK76" i="1"/>
  <c r="CJ76" i="1"/>
  <c r="CN75" i="1"/>
  <c r="CM75" i="1"/>
  <c r="CL75" i="1"/>
  <c r="CK75" i="1"/>
  <c r="CJ75" i="1"/>
  <c r="CN74" i="1"/>
  <c r="CM74" i="1"/>
  <c r="CL74" i="1"/>
  <c r="CK74" i="1"/>
  <c r="CJ74" i="1"/>
  <c r="CN73" i="1"/>
  <c r="CM73" i="1"/>
  <c r="CL73" i="1"/>
  <c r="CK73" i="1"/>
  <c r="CJ73" i="1"/>
  <c r="CN72" i="1"/>
  <c r="CM72" i="1"/>
  <c r="CL72" i="1"/>
  <c r="CK72" i="1"/>
  <c r="CJ72" i="1"/>
  <c r="CN71" i="1"/>
  <c r="CM71" i="1"/>
  <c r="CL71" i="1"/>
  <c r="CK71" i="1"/>
  <c r="CJ71" i="1"/>
  <c r="CN70" i="1"/>
  <c r="CM70" i="1"/>
  <c r="CL70" i="1"/>
  <c r="CK70" i="1"/>
  <c r="CJ70" i="1"/>
  <c r="CN69" i="1"/>
  <c r="CM69" i="1"/>
  <c r="CL69" i="1"/>
  <c r="CK69" i="1"/>
  <c r="CJ69" i="1"/>
  <c r="CN68" i="1"/>
  <c r="CM68" i="1"/>
  <c r="CL68" i="1"/>
  <c r="CK68" i="1"/>
  <c r="CJ68" i="1"/>
  <c r="CN67" i="1"/>
  <c r="CM67" i="1"/>
  <c r="CL67" i="1"/>
  <c r="CK67" i="1"/>
  <c r="CJ67" i="1"/>
  <c r="CN66" i="1"/>
  <c r="CM66" i="1"/>
  <c r="CL66" i="1"/>
  <c r="CK66" i="1"/>
  <c r="CJ66" i="1"/>
  <c r="CN65" i="1"/>
  <c r="CM65" i="1"/>
  <c r="CL65" i="1"/>
  <c r="CK65" i="1"/>
  <c r="CJ65" i="1"/>
  <c r="CN64" i="1"/>
  <c r="CM64" i="1"/>
  <c r="CL64" i="1"/>
  <c r="CK64" i="1"/>
  <c r="CJ64" i="1"/>
  <c r="CN63" i="1"/>
  <c r="CM63" i="1"/>
  <c r="CL63" i="1"/>
  <c r="CK63" i="1"/>
  <c r="CJ63" i="1"/>
  <c r="CN62" i="1"/>
  <c r="CM62" i="1"/>
  <c r="CL62" i="1"/>
  <c r="CK62" i="1"/>
  <c r="CJ62" i="1"/>
  <c r="CN61" i="1"/>
  <c r="CM61" i="1"/>
  <c r="CL61" i="1"/>
  <c r="CK61" i="1"/>
  <c r="CJ61" i="1"/>
  <c r="CN60" i="1"/>
  <c r="CM60" i="1"/>
  <c r="CL60" i="1"/>
  <c r="CK60" i="1"/>
  <c r="CJ60" i="1"/>
  <c r="CN59" i="1"/>
  <c r="CM59" i="1"/>
  <c r="CL59" i="1"/>
  <c r="CK59" i="1"/>
  <c r="CJ59" i="1"/>
  <c r="CN58" i="1"/>
  <c r="CM58" i="1"/>
  <c r="CL58" i="1"/>
  <c r="CK58" i="1"/>
  <c r="CJ58" i="1"/>
  <c r="CN57" i="1"/>
  <c r="CM57" i="1"/>
  <c r="CL57" i="1"/>
  <c r="CK57" i="1"/>
  <c r="CJ57" i="1"/>
  <c r="CN56" i="1"/>
  <c r="CM56" i="1"/>
  <c r="CL56" i="1"/>
  <c r="CK56" i="1"/>
  <c r="CJ56" i="1"/>
  <c r="CN55" i="1"/>
  <c r="CM55" i="1"/>
  <c r="CL55" i="1"/>
  <c r="CK55" i="1"/>
  <c r="CJ55" i="1"/>
  <c r="CN54" i="1"/>
  <c r="CM54" i="1"/>
  <c r="CL54" i="1"/>
  <c r="CK54" i="1"/>
  <c r="CJ54" i="1"/>
  <c r="CN53" i="1"/>
  <c r="CM53" i="1"/>
  <c r="CL53" i="1"/>
  <c r="CK53" i="1"/>
  <c r="CJ53" i="1"/>
  <c r="CN50" i="1"/>
  <c r="CM50" i="1"/>
  <c r="CL50" i="1"/>
  <c r="CK50" i="1"/>
  <c r="CJ50" i="1"/>
  <c r="CN49" i="1"/>
  <c r="CM49" i="1"/>
  <c r="CL49" i="1"/>
  <c r="CK49" i="1"/>
  <c r="CJ49" i="1"/>
  <c r="CN48" i="1"/>
  <c r="CM48" i="1"/>
  <c r="CL48" i="1"/>
  <c r="CK48" i="1"/>
  <c r="CJ48" i="1"/>
  <c r="CN47" i="1"/>
  <c r="CM47" i="1"/>
  <c r="CL47" i="1"/>
  <c r="CK47" i="1"/>
  <c r="CJ47" i="1"/>
  <c r="CN46" i="1"/>
  <c r="CM46" i="1"/>
  <c r="CL46" i="1"/>
  <c r="CK46" i="1"/>
  <c r="CJ46" i="1"/>
  <c r="CN45" i="1"/>
  <c r="CM45" i="1"/>
  <c r="CL45" i="1"/>
  <c r="CK45" i="1"/>
  <c r="CJ45" i="1"/>
  <c r="CN44" i="1"/>
  <c r="CM44" i="1"/>
  <c r="CL44" i="1"/>
  <c r="CK44" i="1"/>
  <c r="CJ44" i="1"/>
  <c r="CN43" i="1"/>
  <c r="CM43" i="1"/>
  <c r="CL43" i="1"/>
  <c r="CK43" i="1"/>
  <c r="CJ43" i="1"/>
  <c r="CN42" i="1"/>
  <c r="CM42" i="1"/>
  <c r="CL42" i="1"/>
  <c r="CK42" i="1"/>
  <c r="CJ42" i="1"/>
  <c r="CN41" i="1"/>
  <c r="CM41" i="1"/>
  <c r="CL41" i="1"/>
  <c r="CK41" i="1"/>
  <c r="CJ41" i="1"/>
  <c r="CN40" i="1"/>
  <c r="CM40" i="1"/>
  <c r="CL40" i="1"/>
  <c r="CK40" i="1"/>
  <c r="CJ40" i="1"/>
  <c r="CN39" i="1"/>
  <c r="CM39" i="1"/>
  <c r="CL39" i="1"/>
  <c r="CK39" i="1"/>
  <c r="CJ39" i="1"/>
  <c r="CN38" i="1"/>
  <c r="CM38" i="1"/>
  <c r="CL38" i="1"/>
  <c r="CK38" i="1"/>
  <c r="CJ38" i="1"/>
  <c r="CN37" i="1"/>
  <c r="CM37" i="1"/>
  <c r="CL37" i="1"/>
  <c r="CK37" i="1"/>
  <c r="CJ37" i="1"/>
  <c r="CN36" i="1"/>
  <c r="CM36" i="1"/>
  <c r="CL36" i="1"/>
  <c r="CK36" i="1"/>
  <c r="CJ36" i="1"/>
  <c r="CN35" i="1"/>
  <c r="CM35" i="1"/>
  <c r="CL35" i="1"/>
  <c r="CK35" i="1"/>
  <c r="CJ35" i="1"/>
  <c r="CN34" i="1"/>
  <c r="CM34" i="1"/>
  <c r="CL34" i="1"/>
  <c r="CK34" i="1"/>
  <c r="CJ34" i="1"/>
  <c r="CN33" i="1"/>
  <c r="CM33" i="1"/>
  <c r="CL33" i="1"/>
  <c r="CK33" i="1"/>
  <c r="CJ33" i="1"/>
  <c r="CN32" i="1"/>
  <c r="CM32" i="1"/>
  <c r="CL32" i="1"/>
  <c r="CK32" i="1"/>
  <c r="CJ32" i="1"/>
  <c r="CN31" i="1"/>
  <c r="CM31" i="1"/>
  <c r="CL31" i="1"/>
  <c r="CK31" i="1"/>
  <c r="CJ31" i="1"/>
  <c r="CN30" i="1"/>
  <c r="CM30" i="1"/>
  <c r="CL30" i="1"/>
  <c r="CK30" i="1"/>
  <c r="CJ30" i="1"/>
  <c r="CN29" i="1"/>
  <c r="CM29" i="1"/>
  <c r="CL29" i="1"/>
  <c r="CK29" i="1"/>
  <c r="CJ29" i="1"/>
  <c r="CN28" i="1"/>
  <c r="CM28" i="1"/>
  <c r="CL28" i="1"/>
  <c r="CK28" i="1"/>
  <c r="CJ28" i="1"/>
  <c r="CN27" i="1"/>
  <c r="CM27" i="1"/>
  <c r="CL27" i="1"/>
  <c r="CK27" i="1"/>
  <c r="CJ27" i="1"/>
  <c r="CN26" i="1"/>
  <c r="CM26" i="1"/>
  <c r="CL26" i="1"/>
  <c r="CK26" i="1"/>
  <c r="CJ26" i="1"/>
  <c r="CN25" i="1"/>
  <c r="CM25" i="1"/>
  <c r="CL25" i="1"/>
  <c r="CK25" i="1"/>
  <c r="CJ25" i="1"/>
  <c r="CN24" i="1"/>
  <c r="CM24" i="1"/>
  <c r="CL24" i="1"/>
  <c r="CK24" i="1"/>
  <c r="CJ24" i="1"/>
  <c r="CN23" i="1"/>
  <c r="CM23" i="1"/>
  <c r="CL23" i="1"/>
  <c r="CK23" i="1"/>
  <c r="CJ23" i="1"/>
  <c r="CN22" i="1"/>
  <c r="CM22" i="1"/>
  <c r="CL22" i="1"/>
  <c r="CK22" i="1"/>
  <c r="CJ22" i="1"/>
  <c r="CN21" i="1"/>
  <c r="CM21" i="1"/>
  <c r="CL21" i="1"/>
  <c r="CK21" i="1"/>
  <c r="CJ21" i="1"/>
  <c r="CN20" i="1"/>
  <c r="CM20" i="1"/>
  <c r="CL20" i="1"/>
  <c r="CK20" i="1"/>
  <c r="CJ20" i="1"/>
  <c r="CN19" i="1"/>
  <c r="CM19" i="1"/>
  <c r="CL19" i="1"/>
  <c r="CK19" i="1"/>
  <c r="CJ19" i="1"/>
  <c r="CN18" i="1"/>
  <c r="CM18" i="1"/>
  <c r="CL18" i="1"/>
  <c r="CK18" i="1"/>
  <c r="CJ18" i="1"/>
  <c r="CN17" i="1"/>
  <c r="CM17" i="1"/>
  <c r="CL17" i="1"/>
  <c r="CK17" i="1"/>
  <c r="CJ17" i="1"/>
  <c r="CN16" i="1"/>
  <c r="CM16" i="1"/>
  <c r="CL16" i="1"/>
  <c r="CK16" i="1"/>
  <c r="CJ16" i="1"/>
  <c r="CN15" i="1"/>
  <c r="CM15" i="1"/>
  <c r="CL15" i="1"/>
  <c r="CK15" i="1"/>
  <c r="CJ15" i="1"/>
  <c r="CN14" i="1"/>
  <c r="CM14" i="1"/>
  <c r="CL14" i="1"/>
  <c r="CK14" i="1"/>
  <c r="CJ14" i="1"/>
  <c r="CN13" i="1"/>
  <c r="CM13" i="1"/>
  <c r="CL13" i="1"/>
  <c r="CK13" i="1"/>
  <c r="CJ13" i="1"/>
  <c r="CN12" i="1"/>
  <c r="CM12" i="1"/>
  <c r="CL12" i="1"/>
  <c r="CK12" i="1"/>
  <c r="CJ12" i="1"/>
  <c r="CN11" i="1"/>
  <c r="CM11" i="1"/>
  <c r="CL11" i="1"/>
  <c r="CK11" i="1"/>
  <c r="CJ11" i="1"/>
  <c r="CN10" i="1"/>
  <c r="CM10" i="1"/>
  <c r="CL10" i="1"/>
  <c r="CK10" i="1"/>
  <c r="CJ10" i="1"/>
  <c r="CN9" i="1"/>
  <c r="CM9" i="1"/>
  <c r="CL9" i="1"/>
  <c r="CK9" i="1"/>
  <c r="CJ9" i="1"/>
  <c r="CN8" i="1"/>
  <c r="CM8" i="1"/>
  <c r="CL8" i="1"/>
  <c r="CK8" i="1"/>
  <c r="CJ8" i="1"/>
  <c r="CN7" i="1"/>
  <c r="CM7" i="1"/>
  <c r="CL7" i="1"/>
  <c r="CK7" i="1"/>
  <c r="CJ7" i="1"/>
  <c r="BX185" i="1"/>
  <c r="BW185" i="1"/>
  <c r="BV185" i="1"/>
  <c r="BU185" i="1"/>
  <c r="BT185" i="1"/>
  <c r="BX184" i="1"/>
  <c r="BW184" i="1"/>
  <c r="BV184" i="1"/>
  <c r="BU184" i="1"/>
  <c r="BT184" i="1"/>
  <c r="BX183" i="1"/>
  <c r="BW183" i="1"/>
  <c r="BV183" i="1"/>
  <c r="BU183" i="1"/>
  <c r="BT183" i="1"/>
  <c r="BX182" i="1"/>
  <c r="BW182" i="1"/>
  <c r="BV182" i="1"/>
  <c r="BU182" i="1"/>
  <c r="BT182" i="1"/>
  <c r="BX181" i="1"/>
  <c r="BW181" i="1"/>
  <c r="BV181" i="1"/>
  <c r="BU181" i="1"/>
  <c r="BT181" i="1"/>
  <c r="BX180" i="1"/>
  <c r="BW180" i="1"/>
  <c r="BV180" i="1"/>
  <c r="BU180" i="1"/>
  <c r="BT180" i="1"/>
  <c r="BX179" i="1"/>
  <c r="BW179" i="1"/>
  <c r="BV179" i="1"/>
  <c r="BU179" i="1"/>
  <c r="BT179" i="1"/>
  <c r="BX178" i="1"/>
  <c r="BW178" i="1"/>
  <c r="BV178" i="1"/>
  <c r="BU178" i="1"/>
  <c r="BT178" i="1"/>
  <c r="BX177" i="1"/>
  <c r="BW177" i="1"/>
  <c r="BV177" i="1"/>
  <c r="BU177" i="1"/>
  <c r="BT177" i="1"/>
  <c r="BX176" i="1"/>
  <c r="BW176" i="1"/>
  <c r="BV176" i="1"/>
  <c r="BU176" i="1"/>
  <c r="BT176" i="1"/>
  <c r="BX175" i="1"/>
  <c r="BW175" i="1"/>
  <c r="BV175" i="1"/>
  <c r="BU175" i="1"/>
  <c r="BT175" i="1"/>
  <c r="BX174" i="1"/>
  <c r="BW174" i="1"/>
  <c r="BV174" i="1"/>
  <c r="BU174" i="1"/>
  <c r="BT174" i="1"/>
  <c r="BX106" i="1"/>
  <c r="BW106" i="1"/>
  <c r="BV106" i="1"/>
  <c r="BU106" i="1"/>
  <c r="BT106" i="1"/>
  <c r="BX105" i="1"/>
  <c r="BW105" i="1"/>
  <c r="BV105" i="1"/>
  <c r="BU105" i="1"/>
  <c r="BT105" i="1"/>
  <c r="BX104" i="1"/>
  <c r="BW104" i="1"/>
  <c r="BV104" i="1"/>
  <c r="BU104" i="1"/>
  <c r="BT104" i="1"/>
  <c r="BX103" i="1"/>
  <c r="BW103" i="1"/>
  <c r="BV103" i="1"/>
  <c r="BU103" i="1"/>
  <c r="BT103" i="1"/>
  <c r="BX102" i="1"/>
  <c r="BW102" i="1"/>
  <c r="BV102" i="1"/>
  <c r="BU102" i="1"/>
  <c r="BT102" i="1"/>
  <c r="BX101" i="1"/>
  <c r="BW101" i="1"/>
  <c r="BV101" i="1"/>
  <c r="BU101" i="1"/>
  <c r="BT101" i="1"/>
  <c r="BX100" i="1"/>
  <c r="BW100" i="1"/>
  <c r="BV100" i="1"/>
  <c r="BU100" i="1"/>
  <c r="BT100" i="1"/>
  <c r="BX99" i="1"/>
  <c r="BW99" i="1"/>
  <c r="BV99" i="1"/>
  <c r="BU99" i="1"/>
  <c r="BT99" i="1"/>
  <c r="BX98" i="1"/>
  <c r="BW98" i="1"/>
  <c r="BV98" i="1"/>
  <c r="BU98" i="1"/>
  <c r="BT98" i="1"/>
  <c r="BX97" i="1"/>
  <c r="BW97" i="1"/>
  <c r="BV97" i="1"/>
  <c r="BU97" i="1"/>
  <c r="BT97" i="1"/>
  <c r="BX96" i="1"/>
  <c r="BW96" i="1"/>
  <c r="BV96" i="1"/>
  <c r="BU96" i="1"/>
  <c r="BT96" i="1"/>
  <c r="BX95" i="1"/>
  <c r="BW95" i="1"/>
  <c r="BV95" i="1"/>
  <c r="BU95" i="1"/>
  <c r="BT95" i="1"/>
  <c r="BX94" i="1"/>
  <c r="BW94" i="1"/>
  <c r="BV94" i="1"/>
  <c r="BU94" i="1"/>
  <c r="BT94" i="1"/>
  <c r="BX93" i="1"/>
  <c r="BW93" i="1"/>
  <c r="BV93" i="1"/>
  <c r="BU93" i="1"/>
  <c r="BT93" i="1"/>
  <c r="BX92" i="1"/>
  <c r="BW92" i="1"/>
  <c r="BV92" i="1"/>
  <c r="BU92" i="1"/>
  <c r="BT92" i="1"/>
  <c r="BX91" i="1"/>
  <c r="BW91" i="1"/>
  <c r="BV91" i="1"/>
  <c r="BU91" i="1"/>
  <c r="BT91" i="1"/>
  <c r="BX90" i="1"/>
  <c r="BW90" i="1"/>
  <c r="BV90" i="1"/>
  <c r="BU90" i="1"/>
  <c r="BT90" i="1"/>
  <c r="BX89" i="1"/>
  <c r="BW89" i="1"/>
  <c r="BV89" i="1"/>
  <c r="BU89" i="1"/>
  <c r="BT89" i="1"/>
  <c r="BX88" i="1"/>
  <c r="BW88" i="1"/>
  <c r="BV88" i="1"/>
  <c r="BU88" i="1"/>
  <c r="BT88" i="1"/>
  <c r="BX87" i="1"/>
  <c r="BW87" i="1"/>
  <c r="BV87" i="1"/>
  <c r="BU87" i="1"/>
  <c r="BT87" i="1"/>
  <c r="BX86" i="1"/>
  <c r="BW86" i="1"/>
  <c r="BV86" i="1"/>
  <c r="BU86" i="1"/>
  <c r="BT86" i="1"/>
  <c r="BX85" i="1"/>
  <c r="BW85" i="1"/>
  <c r="BV85" i="1"/>
  <c r="BU85" i="1"/>
  <c r="BT85" i="1"/>
  <c r="BX84" i="1"/>
  <c r="BW84" i="1"/>
  <c r="BV84" i="1"/>
  <c r="BU84" i="1"/>
  <c r="BT84" i="1"/>
  <c r="BX83" i="1"/>
  <c r="BW83" i="1"/>
  <c r="BV83" i="1"/>
  <c r="BU83" i="1"/>
  <c r="BT83" i="1"/>
  <c r="BX82" i="1"/>
  <c r="BW82" i="1"/>
  <c r="BV82" i="1"/>
  <c r="BU82" i="1"/>
  <c r="BT82" i="1"/>
  <c r="BX81" i="1"/>
  <c r="BW81" i="1"/>
  <c r="BV81" i="1"/>
  <c r="BU81" i="1"/>
  <c r="BT81" i="1"/>
  <c r="BX80" i="1"/>
  <c r="BW80" i="1"/>
  <c r="BV80" i="1"/>
  <c r="BU80" i="1"/>
  <c r="BT80" i="1"/>
  <c r="BX79" i="1"/>
  <c r="BW79" i="1"/>
  <c r="BV79" i="1"/>
  <c r="BU79" i="1"/>
  <c r="BT79" i="1"/>
  <c r="BX78" i="1"/>
  <c r="BW78" i="1"/>
  <c r="BV78" i="1"/>
  <c r="BU78" i="1"/>
  <c r="BT78" i="1"/>
  <c r="BX77" i="1"/>
  <c r="BW77" i="1"/>
  <c r="BV77" i="1"/>
  <c r="BU77" i="1"/>
  <c r="BT77" i="1"/>
  <c r="BX76" i="1"/>
  <c r="BW76" i="1"/>
  <c r="BV76" i="1"/>
  <c r="BU76" i="1"/>
  <c r="BT76" i="1"/>
  <c r="BX75" i="1"/>
  <c r="BW75" i="1"/>
  <c r="BV75" i="1"/>
  <c r="BU75" i="1"/>
  <c r="BT75" i="1"/>
  <c r="BX74" i="1"/>
  <c r="BW74" i="1"/>
  <c r="BV74" i="1"/>
  <c r="BU74" i="1"/>
  <c r="BT74" i="1"/>
  <c r="BX73" i="1"/>
  <c r="BW73" i="1"/>
  <c r="BV73" i="1"/>
  <c r="BU73" i="1"/>
  <c r="BT73" i="1"/>
  <c r="BX72" i="1"/>
  <c r="BW72" i="1"/>
  <c r="BV72" i="1"/>
  <c r="BU72" i="1"/>
  <c r="BT72" i="1"/>
  <c r="BX71" i="1"/>
  <c r="BW71" i="1"/>
  <c r="BV71" i="1"/>
  <c r="BU71" i="1"/>
  <c r="BT71" i="1"/>
  <c r="BX70" i="1"/>
  <c r="BW70" i="1"/>
  <c r="BV70" i="1"/>
  <c r="BU70" i="1"/>
  <c r="BT70" i="1"/>
  <c r="BX69" i="1"/>
  <c r="BW69" i="1"/>
  <c r="BV69" i="1"/>
  <c r="BU69" i="1"/>
  <c r="BT69" i="1"/>
  <c r="BX68" i="1"/>
  <c r="BW68" i="1"/>
  <c r="BV68" i="1"/>
  <c r="BU68" i="1"/>
  <c r="BT68" i="1"/>
  <c r="BX67" i="1"/>
  <c r="BW67" i="1"/>
  <c r="BV67" i="1"/>
  <c r="BU67" i="1"/>
  <c r="BT67" i="1"/>
  <c r="BX66" i="1"/>
  <c r="BW66" i="1"/>
  <c r="BV66" i="1"/>
  <c r="BU66" i="1"/>
  <c r="BT66" i="1"/>
  <c r="BX65" i="1"/>
  <c r="BW65" i="1"/>
  <c r="BV65" i="1"/>
  <c r="BU65" i="1"/>
  <c r="BT65" i="1"/>
  <c r="BX64" i="1"/>
  <c r="BW64" i="1"/>
  <c r="BV64" i="1"/>
  <c r="BU64" i="1"/>
  <c r="BT64" i="1"/>
  <c r="BX63" i="1"/>
  <c r="BW63" i="1"/>
  <c r="BV63" i="1"/>
  <c r="BU63" i="1"/>
  <c r="BT63" i="1"/>
  <c r="BX62" i="1"/>
  <c r="BW62" i="1"/>
  <c r="BV62" i="1"/>
  <c r="BU62" i="1"/>
  <c r="BT62" i="1"/>
  <c r="BX61" i="1"/>
  <c r="BW61" i="1"/>
  <c r="BV61" i="1"/>
  <c r="BU61" i="1"/>
  <c r="BT61" i="1"/>
  <c r="BX60" i="1"/>
  <c r="BW60" i="1"/>
  <c r="BV60" i="1"/>
  <c r="BU60" i="1"/>
  <c r="BT60" i="1"/>
  <c r="BX59" i="1"/>
  <c r="BW59" i="1"/>
  <c r="BV59" i="1"/>
  <c r="BU59" i="1"/>
  <c r="BT59" i="1"/>
  <c r="BX58" i="1"/>
  <c r="BW58" i="1"/>
  <c r="BV58" i="1"/>
  <c r="BU58" i="1"/>
  <c r="BT58" i="1"/>
  <c r="BX57" i="1"/>
  <c r="BW57" i="1"/>
  <c r="BV57" i="1"/>
  <c r="BU57" i="1"/>
  <c r="BT57" i="1"/>
  <c r="BX56" i="1"/>
  <c r="BW56" i="1"/>
  <c r="BV56" i="1"/>
  <c r="BU56" i="1"/>
  <c r="BT56" i="1"/>
  <c r="BX55" i="1"/>
  <c r="BW55" i="1"/>
  <c r="BV55" i="1"/>
  <c r="BU55" i="1"/>
  <c r="BT55" i="1"/>
  <c r="BX54" i="1"/>
  <c r="BW54" i="1"/>
  <c r="BV54" i="1"/>
  <c r="BU54" i="1"/>
  <c r="BT54" i="1"/>
  <c r="BX53" i="1"/>
  <c r="BW53" i="1"/>
  <c r="BV53" i="1"/>
  <c r="BU53" i="1"/>
  <c r="BT53" i="1"/>
  <c r="BX50" i="1"/>
  <c r="BW50" i="1"/>
  <c r="BV50" i="1"/>
  <c r="BU50" i="1"/>
  <c r="BT50" i="1"/>
  <c r="BX49" i="1"/>
  <c r="BW49" i="1"/>
  <c r="BV49" i="1"/>
  <c r="BU49" i="1"/>
  <c r="BT49" i="1"/>
  <c r="BX48" i="1"/>
  <c r="BW48" i="1"/>
  <c r="BV48" i="1"/>
  <c r="BU48" i="1"/>
  <c r="BT48" i="1"/>
  <c r="BX47" i="1"/>
  <c r="BW47" i="1"/>
  <c r="BV47" i="1"/>
  <c r="BU47" i="1"/>
  <c r="BT47" i="1"/>
  <c r="BX46" i="1"/>
  <c r="BW46" i="1"/>
  <c r="BV46" i="1"/>
  <c r="BU46" i="1"/>
  <c r="BT46" i="1"/>
  <c r="BX45" i="1"/>
  <c r="BW45" i="1"/>
  <c r="BV45" i="1"/>
  <c r="BU45" i="1"/>
  <c r="BT45" i="1"/>
  <c r="BX44" i="1"/>
  <c r="BW44" i="1"/>
  <c r="BV44" i="1"/>
  <c r="BU44" i="1"/>
  <c r="BT44" i="1"/>
  <c r="BX43" i="1"/>
  <c r="BW43" i="1"/>
  <c r="BV43" i="1"/>
  <c r="BU43" i="1"/>
  <c r="BT43" i="1"/>
  <c r="BX42" i="1"/>
  <c r="BW42" i="1"/>
  <c r="BV42" i="1"/>
  <c r="BU42" i="1"/>
  <c r="BT42" i="1"/>
  <c r="BX41" i="1"/>
  <c r="BW41" i="1"/>
  <c r="BV41" i="1"/>
  <c r="BU41" i="1"/>
  <c r="BT41" i="1"/>
  <c r="BX40" i="1"/>
  <c r="BW40" i="1"/>
  <c r="BV40" i="1"/>
  <c r="BU40" i="1"/>
  <c r="BT40" i="1"/>
  <c r="BX39" i="1"/>
  <c r="BW39" i="1"/>
  <c r="BV39" i="1"/>
  <c r="BU39" i="1"/>
  <c r="BT39" i="1"/>
  <c r="BX38" i="1"/>
  <c r="BW38" i="1"/>
  <c r="BV38" i="1"/>
  <c r="BU38" i="1"/>
  <c r="BT38" i="1"/>
  <c r="BX37" i="1"/>
  <c r="BW37" i="1"/>
  <c r="BV37" i="1"/>
  <c r="BU37" i="1"/>
  <c r="BT37" i="1"/>
  <c r="BX36" i="1"/>
  <c r="BW36" i="1"/>
  <c r="BV36" i="1"/>
  <c r="BU36" i="1"/>
  <c r="BT36" i="1"/>
  <c r="BX35" i="1"/>
  <c r="BW35" i="1"/>
  <c r="BV35" i="1"/>
  <c r="BU35" i="1"/>
  <c r="BT35" i="1"/>
  <c r="BX34" i="1"/>
  <c r="BW34" i="1"/>
  <c r="BV34" i="1"/>
  <c r="BU34" i="1"/>
  <c r="BT34" i="1"/>
  <c r="BX33" i="1"/>
  <c r="BW33" i="1"/>
  <c r="BV33" i="1"/>
  <c r="BU33" i="1"/>
  <c r="BT33" i="1"/>
  <c r="BX32" i="1"/>
  <c r="BW32" i="1"/>
  <c r="BV32" i="1"/>
  <c r="BU32" i="1"/>
  <c r="BT32" i="1"/>
  <c r="BX31" i="1"/>
  <c r="BW31" i="1"/>
  <c r="BV31" i="1"/>
  <c r="BU31" i="1"/>
  <c r="BT31" i="1"/>
  <c r="BX30" i="1"/>
  <c r="BW30" i="1"/>
  <c r="BV30" i="1"/>
  <c r="BU30" i="1"/>
  <c r="BT30" i="1"/>
  <c r="BX29" i="1"/>
  <c r="BW29" i="1"/>
  <c r="BV29" i="1"/>
  <c r="BU29" i="1"/>
  <c r="BT29" i="1"/>
  <c r="BX28" i="1"/>
  <c r="BW28" i="1"/>
  <c r="BV28" i="1"/>
  <c r="BU28" i="1"/>
  <c r="BT28" i="1"/>
  <c r="BX27" i="1"/>
  <c r="BW27" i="1"/>
  <c r="BV27" i="1"/>
  <c r="BU27" i="1"/>
  <c r="BT27" i="1"/>
  <c r="BX26" i="1"/>
  <c r="BW26" i="1"/>
  <c r="BV26" i="1"/>
  <c r="BU26" i="1"/>
  <c r="BT26" i="1"/>
  <c r="BX25" i="1"/>
  <c r="BW25" i="1"/>
  <c r="BV25" i="1"/>
  <c r="BU25" i="1"/>
  <c r="BT25" i="1"/>
  <c r="BX24" i="1"/>
  <c r="BW24" i="1"/>
  <c r="BV24" i="1"/>
  <c r="BU24" i="1"/>
  <c r="BT24" i="1"/>
  <c r="BX23" i="1"/>
  <c r="BW23" i="1"/>
  <c r="BV23" i="1"/>
  <c r="BU23" i="1"/>
  <c r="BT23" i="1"/>
  <c r="BX22" i="1"/>
  <c r="BW22" i="1"/>
  <c r="BV22" i="1"/>
  <c r="BU22" i="1"/>
  <c r="BT22" i="1"/>
  <c r="BX21" i="1"/>
  <c r="BW21" i="1"/>
  <c r="BV21" i="1"/>
  <c r="BU21" i="1"/>
  <c r="BT21" i="1"/>
  <c r="BX20" i="1"/>
  <c r="BW20" i="1"/>
  <c r="BV20" i="1"/>
  <c r="BU20" i="1"/>
  <c r="BT20" i="1"/>
  <c r="BX19" i="1"/>
  <c r="BW19" i="1"/>
  <c r="BV19" i="1"/>
  <c r="BU19" i="1"/>
  <c r="BT19" i="1"/>
  <c r="BX18" i="1"/>
  <c r="BW18" i="1"/>
  <c r="BV18" i="1"/>
  <c r="BU18" i="1"/>
  <c r="BT18" i="1"/>
  <c r="BX17" i="1"/>
  <c r="BW17" i="1"/>
  <c r="BV17" i="1"/>
  <c r="BU17" i="1"/>
  <c r="BT17" i="1"/>
  <c r="BX16" i="1"/>
  <c r="BW16" i="1"/>
  <c r="BV16" i="1"/>
  <c r="BU16" i="1"/>
  <c r="BT16" i="1"/>
  <c r="BX15" i="1"/>
  <c r="BW15" i="1"/>
  <c r="BV15" i="1"/>
  <c r="BU15" i="1"/>
  <c r="BT15" i="1"/>
  <c r="BX14" i="1"/>
  <c r="BW14" i="1"/>
  <c r="BV14" i="1"/>
  <c r="BU14" i="1"/>
  <c r="BT14" i="1"/>
  <c r="BX13" i="1"/>
  <c r="BW13" i="1"/>
  <c r="BV13" i="1"/>
  <c r="BU13" i="1"/>
  <c r="BT13" i="1"/>
  <c r="BX12" i="1"/>
  <c r="BW12" i="1"/>
  <c r="BV12" i="1"/>
  <c r="BU12" i="1"/>
  <c r="BT12" i="1"/>
  <c r="BX11" i="1"/>
  <c r="BW11" i="1"/>
  <c r="BV11" i="1"/>
  <c r="BU11" i="1"/>
  <c r="BT11" i="1"/>
  <c r="BX10" i="1"/>
  <c r="BW10" i="1"/>
  <c r="BV10" i="1"/>
  <c r="BU10" i="1"/>
  <c r="BT10" i="1"/>
  <c r="BX9" i="1"/>
  <c r="BW9" i="1"/>
  <c r="BV9" i="1"/>
  <c r="BU9" i="1"/>
  <c r="BT9" i="1"/>
  <c r="BX8" i="1"/>
  <c r="BW8" i="1"/>
  <c r="BV8" i="1"/>
  <c r="BU8" i="1"/>
  <c r="BT8" i="1"/>
  <c r="BX7" i="1"/>
  <c r="BW7" i="1"/>
  <c r="BV7" i="1"/>
  <c r="BU7" i="1"/>
  <c r="BT7" i="1"/>
  <c r="AH103" i="8"/>
  <c r="AH102" i="8"/>
  <c r="AH101" i="8"/>
  <c r="AH100" i="8"/>
  <c r="AH99" i="8"/>
  <c r="AH98" i="8"/>
  <c r="AH97" i="8"/>
  <c r="BP185" i="1"/>
  <c r="BO185" i="1"/>
  <c r="BN185" i="1"/>
  <c r="BM185" i="1"/>
  <c r="BL185" i="1"/>
  <c r="BP184" i="1"/>
  <c r="BO184" i="1"/>
  <c r="BN184" i="1"/>
  <c r="BM184" i="1"/>
  <c r="BL184" i="1"/>
  <c r="BP183" i="1"/>
  <c r="BO183" i="1"/>
  <c r="BN183" i="1"/>
  <c r="BM183" i="1"/>
  <c r="BL183" i="1"/>
  <c r="BP182" i="1"/>
  <c r="BO182" i="1"/>
  <c r="BN182" i="1"/>
  <c r="BM182" i="1"/>
  <c r="BL182" i="1"/>
  <c r="BP181" i="1"/>
  <c r="BO181" i="1"/>
  <c r="BN181" i="1"/>
  <c r="BM181" i="1"/>
  <c r="BL181" i="1"/>
  <c r="BP180" i="1"/>
  <c r="BO180" i="1"/>
  <c r="BN180" i="1"/>
  <c r="BM180" i="1"/>
  <c r="BL180" i="1"/>
  <c r="BP179" i="1"/>
  <c r="BO179" i="1"/>
  <c r="BN179" i="1"/>
  <c r="BM179" i="1"/>
  <c r="BL179" i="1"/>
  <c r="BP178" i="1"/>
  <c r="BO178" i="1"/>
  <c r="BN178" i="1"/>
  <c r="BM178" i="1"/>
  <c r="BL178" i="1"/>
  <c r="BP177" i="1"/>
  <c r="BO177" i="1"/>
  <c r="BN177" i="1"/>
  <c r="BM177" i="1"/>
  <c r="BL177" i="1"/>
  <c r="BP176" i="1"/>
  <c r="BO176" i="1"/>
  <c r="BN176" i="1"/>
  <c r="BM176" i="1"/>
  <c r="BL176" i="1"/>
  <c r="BP175" i="1"/>
  <c r="BO175" i="1"/>
  <c r="BN175" i="1"/>
  <c r="BM175" i="1"/>
  <c r="BL175" i="1"/>
  <c r="BP174" i="1"/>
  <c r="BO174" i="1"/>
  <c r="BN174" i="1"/>
  <c r="BM174" i="1"/>
  <c r="BL174" i="1"/>
  <c r="BP106" i="1"/>
  <c r="BO106" i="1"/>
  <c r="BN106" i="1"/>
  <c r="BM106" i="1"/>
  <c r="BL106" i="1"/>
  <c r="BP105" i="1"/>
  <c r="BO105" i="1"/>
  <c r="BN105" i="1"/>
  <c r="BM105" i="1"/>
  <c r="BL105" i="1"/>
  <c r="BP104" i="1"/>
  <c r="BO104" i="1"/>
  <c r="BN104" i="1"/>
  <c r="BM104" i="1"/>
  <c r="BL104" i="1"/>
  <c r="BP103" i="1"/>
  <c r="BO103" i="1"/>
  <c r="BN103" i="1"/>
  <c r="BM103" i="1"/>
  <c r="BL103" i="1"/>
  <c r="BP102" i="1"/>
  <c r="BO102" i="1"/>
  <c r="BN102" i="1"/>
  <c r="BM102" i="1"/>
  <c r="BL102" i="1"/>
  <c r="BP101" i="1"/>
  <c r="BO101" i="1"/>
  <c r="BN101" i="1"/>
  <c r="BM101" i="1"/>
  <c r="BL101" i="1"/>
  <c r="BP100" i="1"/>
  <c r="BO100" i="1"/>
  <c r="BN100" i="1"/>
  <c r="BM100" i="1"/>
  <c r="BL100" i="1"/>
  <c r="BP99" i="1"/>
  <c r="BO99" i="1"/>
  <c r="BN99" i="1"/>
  <c r="BM99" i="1"/>
  <c r="BL99" i="1"/>
  <c r="BP98" i="1"/>
  <c r="BO98" i="1"/>
  <c r="BN98" i="1"/>
  <c r="BM98" i="1"/>
  <c r="BL98" i="1"/>
  <c r="BP97" i="1"/>
  <c r="BO97" i="1"/>
  <c r="BN97" i="1"/>
  <c r="BM97" i="1"/>
  <c r="BL97" i="1"/>
  <c r="BP96" i="1"/>
  <c r="BO96" i="1"/>
  <c r="BN96" i="1"/>
  <c r="BM96" i="1"/>
  <c r="BL96" i="1"/>
  <c r="BP95" i="1"/>
  <c r="BO95" i="1"/>
  <c r="BN95" i="1"/>
  <c r="BM95" i="1"/>
  <c r="BL95" i="1"/>
  <c r="BP94" i="1"/>
  <c r="BO94" i="1"/>
  <c r="BN94" i="1"/>
  <c r="BM94" i="1"/>
  <c r="BL94" i="1"/>
  <c r="BP93" i="1"/>
  <c r="BO93" i="1"/>
  <c r="BN93" i="1"/>
  <c r="BM93" i="1"/>
  <c r="BL93" i="1"/>
  <c r="BP92" i="1"/>
  <c r="BO92" i="1"/>
  <c r="BN92" i="1"/>
  <c r="BM92" i="1"/>
  <c r="BL92" i="1"/>
  <c r="BP91" i="1"/>
  <c r="BO91" i="1"/>
  <c r="BN91" i="1"/>
  <c r="BM91" i="1"/>
  <c r="BL91" i="1"/>
  <c r="BP90" i="1"/>
  <c r="BO90" i="1"/>
  <c r="BN90" i="1"/>
  <c r="BM90" i="1"/>
  <c r="BL90" i="1"/>
  <c r="BP89" i="1"/>
  <c r="BO89" i="1"/>
  <c r="BN89" i="1"/>
  <c r="BM89" i="1"/>
  <c r="BL89" i="1"/>
  <c r="BP88" i="1"/>
  <c r="BO88" i="1"/>
  <c r="BN88" i="1"/>
  <c r="BM88" i="1"/>
  <c r="BL88" i="1"/>
  <c r="BP87" i="1"/>
  <c r="BO87" i="1"/>
  <c r="BN87" i="1"/>
  <c r="BM87" i="1"/>
  <c r="BL87" i="1"/>
  <c r="BP86" i="1"/>
  <c r="BO86" i="1"/>
  <c r="BN86" i="1"/>
  <c r="BM86" i="1"/>
  <c r="BL86" i="1"/>
  <c r="BP85" i="1"/>
  <c r="BO85" i="1"/>
  <c r="BN85" i="1"/>
  <c r="BM85" i="1"/>
  <c r="BL85" i="1"/>
  <c r="BP84" i="1"/>
  <c r="BO84" i="1"/>
  <c r="BN84" i="1"/>
  <c r="BM84" i="1"/>
  <c r="BL84" i="1"/>
  <c r="BP83" i="1"/>
  <c r="BO83" i="1"/>
  <c r="BN83" i="1"/>
  <c r="BM83" i="1"/>
  <c r="BL83" i="1"/>
  <c r="BP82" i="1"/>
  <c r="BO82" i="1"/>
  <c r="BN82" i="1"/>
  <c r="BM82" i="1"/>
  <c r="BL82" i="1"/>
  <c r="BP81" i="1"/>
  <c r="BO81" i="1"/>
  <c r="BN81" i="1"/>
  <c r="BM81" i="1"/>
  <c r="BL81" i="1"/>
  <c r="BP80" i="1"/>
  <c r="BO80" i="1"/>
  <c r="BN80" i="1"/>
  <c r="BM80" i="1"/>
  <c r="BL80" i="1"/>
  <c r="BP79" i="1"/>
  <c r="BO79" i="1"/>
  <c r="BN79" i="1"/>
  <c r="BM79" i="1"/>
  <c r="BL79" i="1"/>
  <c r="BP78" i="1"/>
  <c r="BO78" i="1"/>
  <c r="BN78" i="1"/>
  <c r="BM78" i="1"/>
  <c r="BL78" i="1"/>
  <c r="BP77" i="1"/>
  <c r="BO77" i="1"/>
  <c r="BN77" i="1"/>
  <c r="BM77" i="1"/>
  <c r="BL77" i="1"/>
  <c r="BP76" i="1"/>
  <c r="BO76" i="1"/>
  <c r="BN76" i="1"/>
  <c r="BM76" i="1"/>
  <c r="BL76" i="1"/>
  <c r="BP75" i="1"/>
  <c r="BO75" i="1"/>
  <c r="BN75" i="1"/>
  <c r="BM75" i="1"/>
  <c r="BL75" i="1"/>
  <c r="BP74" i="1"/>
  <c r="BO74" i="1"/>
  <c r="BN74" i="1"/>
  <c r="BM74" i="1"/>
  <c r="BL74" i="1"/>
  <c r="BP73" i="1"/>
  <c r="BO73" i="1"/>
  <c r="BN73" i="1"/>
  <c r="BM73" i="1"/>
  <c r="BL73" i="1"/>
  <c r="BP72" i="1"/>
  <c r="BO72" i="1"/>
  <c r="BN72" i="1"/>
  <c r="BM72" i="1"/>
  <c r="BL72" i="1"/>
  <c r="BP71" i="1"/>
  <c r="BO71" i="1"/>
  <c r="BN71" i="1"/>
  <c r="BM71" i="1"/>
  <c r="BL71" i="1"/>
  <c r="BP70" i="1"/>
  <c r="BO70" i="1"/>
  <c r="BN70" i="1"/>
  <c r="BM70" i="1"/>
  <c r="BL70" i="1"/>
  <c r="BP69" i="1"/>
  <c r="BO69" i="1"/>
  <c r="BN69" i="1"/>
  <c r="BM69" i="1"/>
  <c r="BL69" i="1"/>
  <c r="BP68" i="1"/>
  <c r="BO68" i="1"/>
  <c r="BN68" i="1"/>
  <c r="BM68" i="1"/>
  <c r="BL68" i="1"/>
  <c r="BP67" i="1"/>
  <c r="BO67" i="1"/>
  <c r="BN67" i="1"/>
  <c r="BM67" i="1"/>
  <c r="BL67" i="1"/>
  <c r="BP66" i="1"/>
  <c r="BO66" i="1"/>
  <c r="BN66" i="1"/>
  <c r="BM66" i="1"/>
  <c r="BL66" i="1"/>
  <c r="BP65" i="1"/>
  <c r="BO65" i="1"/>
  <c r="BN65" i="1"/>
  <c r="BM65" i="1"/>
  <c r="BL65" i="1"/>
  <c r="BP64" i="1"/>
  <c r="BO64" i="1"/>
  <c r="BN64" i="1"/>
  <c r="BM64" i="1"/>
  <c r="BL64" i="1"/>
  <c r="BP63" i="1"/>
  <c r="BO63" i="1"/>
  <c r="BN63" i="1"/>
  <c r="BM63" i="1"/>
  <c r="BL63" i="1"/>
  <c r="BP62" i="1"/>
  <c r="BO62" i="1"/>
  <c r="BN62" i="1"/>
  <c r="BM62" i="1"/>
  <c r="BL62" i="1"/>
  <c r="BP61" i="1"/>
  <c r="BO61" i="1"/>
  <c r="BN61" i="1"/>
  <c r="BM61" i="1"/>
  <c r="BL61" i="1"/>
  <c r="BP60" i="1"/>
  <c r="BO60" i="1"/>
  <c r="BN60" i="1"/>
  <c r="BM60" i="1"/>
  <c r="BL60" i="1"/>
  <c r="BP59" i="1"/>
  <c r="BO59" i="1"/>
  <c r="BN59" i="1"/>
  <c r="BM59" i="1"/>
  <c r="BL59" i="1"/>
  <c r="BP58" i="1"/>
  <c r="BO58" i="1"/>
  <c r="BN58" i="1"/>
  <c r="BM58" i="1"/>
  <c r="BL58" i="1"/>
  <c r="BP57" i="1"/>
  <c r="BO57" i="1"/>
  <c r="BN57" i="1"/>
  <c r="BM57" i="1"/>
  <c r="BL57" i="1"/>
  <c r="BP56" i="1"/>
  <c r="BO56" i="1"/>
  <c r="BN56" i="1"/>
  <c r="BM56" i="1"/>
  <c r="BL56" i="1"/>
  <c r="BP55" i="1"/>
  <c r="BO55" i="1"/>
  <c r="BN55" i="1"/>
  <c r="BM55" i="1"/>
  <c r="BL55" i="1"/>
  <c r="BP54" i="1"/>
  <c r="BO54" i="1"/>
  <c r="BN54" i="1"/>
  <c r="BM54" i="1"/>
  <c r="BL54" i="1"/>
  <c r="BP53" i="1"/>
  <c r="BO53" i="1"/>
  <c r="BN53" i="1"/>
  <c r="BM53" i="1"/>
  <c r="BL53" i="1"/>
  <c r="BP50" i="1"/>
  <c r="BO50" i="1"/>
  <c r="BN50" i="1"/>
  <c r="BM50" i="1"/>
  <c r="BL50" i="1"/>
  <c r="BP49" i="1"/>
  <c r="BO49" i="1"/>
  <c r="BN49" i="1"/>
  <c r="BM49" i="1"/>
  <c r="BL49" i="1"/>
  <c r="BP48" i="1"/>
  <c r="BO48" i="1"/>
  <c r="BN48" i="1"/>
  <c r="BM48" i="1"/>
  <c r="BL48" i="1"/>
  <c r="BP47" i="1"/>
  <c r="BO47" i="1"/>
  <c r="BN47" i="1"/>
  <c r="BM47" i="1"/>
  <c r="BL47" i="1"/>
  <c r="BP46" i="1"/>
  <c r="BO46" i="1"/>
  <c r="BN46" i="1"/>
  <c r="BM46" i="1"/>
  <c r="BL46" i="1"/>
  <c r="BP45" i="1"/>
  <c r="BO45" i="1"/>
  <c r="BN45" i="1"/>
  <c r="BM45" i="1"/>
  <c r="BL45" i="1"/>
  <c r="BP44" i="1"/>
  <c r="BO44" i="1"/>
  <c r="BN44" i="1"/>
  <c r="BM44" i="1"/>
  <c r="BL44" i="1"/>
  <c r="BP43" i="1"/>
  <c r="BO43" i="1"/>
  <c r="BN43" i="1"/>
  <c r="BM43" i="1"/>
  <c r="BL43" i="1"/>
  <c r="BP42" i="1"/>
  <c r="BO42" i="1"/>
  <c r="BN42" i="1"/>
  <c r="BM42" i="1"/>
  <c r="BL42" i="1"/>
  <c r="BP41" i="1"/>
  <c r="BO41" i="1"/>
  <c r="BN41" i="1"/>
  <c r="BM41" i="1"/>
  <c r="BL41" i="1"/>
  <c r="BP40" i="1"/>
  <c r="BO40" i="1"/>
  <c r="BN40" i="1"/>
  <c r="BM40" i="1"/>
  <c r="BL40" i="1"/>
  <c r="BP39" i="1"/>
  <c r="BO39" i="1"/>
  <c r="BN39" i="1"/>
  <c r="BM39" i="1"/>
  <c r="BL39" i="1"/>
  <c r="BP38" i="1"/>
  <c r="BO38" i="1"/>
  <c r="BN38" i="1"/>
  <c r="BM38" i="1"/>
  <c r="BL38" i="1"/>
  <c r="BP37" i="1"/>
  <c r="BO37" i="1"/>
  <c r="BN37" i="1"/>
  <c r="BM37" i="1"/>
  <c r="BL37" i="1"/>
  <c r="BP36" i="1"/>
  <c r="BO36" i="1"/>
  <c r="BN36" i="1"/>
  <c r="BM36" i="1"/>
  <c r="BL36" i="1"/>
  <c r="BP35" i="1"/>
  <c r="BO35" i="1"/>
  <c r="BN35" i="1"/>
  <c r="BM35" i="1"/>
  <c r="BL35" i="1"/>
  <c r="BP34" i="1"/>
  <c r="BO34" i="1"/>
  <c r="BN34" i="1"/>
  <c r="BM34" i="1"/>
  <c r="BL34" i="1"/>
  <c r="BP33" i="1"/>
  <c r="BO33" i="1"/>
  <c r="BN33" i="1"/>
  <c r="BM33" i="1"/>
  <c r="BL33" i="1"/>
  <c r="BP32" i="1"/>
  <c r="BO32" i="1"/>
  <c r="BN32" i="1"/>
  <c r="BM32" i="1"/>
  <c r="BL32" i="1"/>
  <c r="BP31" i="1"/>
  <c r="BO31" i="1"/>
  <c r="BN31" i="1"/>
  <c r="BM31" i="1"/>
  <c r="BL31" i="1"/>
  <c r="BP30" i="1"/>
  <c r="BO30" i="1"/>
  <c r="BN30" i="1"/>
  <c r="BM30" i="1"/>
  <c r="BL30" i="1"/>
  <c r="BP29" i="1"/>
  <c r="BO29" i="1"/>
  <c r="BN29" i="1"/>
  <c r="BM29" i="1"/>
  <c r="BL29" i="1"/>
  <c r="BP28" i="1"/>
  <c r="BO28" i="1"/>
  <c r="BN28" i="1"/>
  <c r="BM28" i="1"/>
  <c r="BL28" i="1"/>
  <c r="BP27" i="1"/>
  <c r="BO27" i="1"/>
  <c r="BN27" i="1"/>
  <c r="BM27" i="1"/>
  <c r="BL27" i="1"/>
  <c r="BP26" i="1"/>
  <c r="BO26" i="1"/>
  <c r="BN26" i="1"/>
  <c r="BM26" i="1"/>
  <c r="BL26" i="1"/>
  <c r="BP25" i="1"/>
  <c r="BO25" i="1"/>
  <c r="BN25" i="1"/>
  <c r="BM25" i="1"/>
  <c r="BL25" i="1"/>
  <c r="BP24" i="1"/>
  <c r="BO24" i="1"/>
  <c r="BN24" i="1"/>
  <c r="BM24" i="1"/>
  <c r="BL24" i="1"/>
  <c r="BP23" i="1"/>
  <c r="BO23" i="1"/>
  <c r="BN23" i="1"/>
  <c r="BM23" i="1"/>
  <c r="BL23" i="1"/>
  <c r="BP22" i="1"/>
  <c r="BO22" i="1"/>
  <c r="BN22" i="1"/>
  <c r="BM22" i="1"/>
  <c r="BL22" i="1"/>
  <c r="BP21" i="1"/>
  <c r="BO21" i="1"/>
  <c r="BN21" i="1"/>
  <c r="BM21" i="1"/>
  <c r="BL21" i="1"/>
  <c r="BP20" i="1"/>
  <c r="BO20" i="1"/>
  <c r="BN20" i="1"/>
  <c r="BM20" i="1"/>
  <c r="BL20" i="1"/>
  <c r="BP19" i="1"/>
  <c r="BO19" i="1"/>
  <c r="BN19" i="1"/>
  <c r="BM19" i="1"/>
  <c r="BL19" i="1"/>
  <c r="BP18" i="1"/>
  <c r="BO18" i="1"/>
  <c r="BN18" i="1"/>
  <c r="BM18" i="1"/>
  <c r="BL18" i="1"/>
  <c r="BP17" i="1"/>
  <c r="BO17" i="1"/>
  <c r="BN17" i="1"/>
  <c r="BM17" i="1"/>
  <c r="BL17" i="1"/>
  <c r="BP16" i="1"/>
  <c r="BO16" i="1"/>
  <c r="BN16" i="1"/>
  <c r="BM16" i="1"/>
  <c r="BL16" i="1"/>
  <c r="BP15" i="1"/>
  <c r="BO15" i="1"/>
  <c r="BN15" i="1"/>
  <c r="BM15" i="1"/>
  <c r="BL15" i="1"/>
  <c r="BP14" i="1"/>
  <c r="BO14" i="1"/>
  <c r="BN14" i="1"/>
  <c r="BM14" i="1"/>
  <c r="BL14" i="1"/>
  <c r="BP13" i="1"/>
  <c r="BO13" i="1"/>
  <c r="BN13" i="1"/>
  <c r="BM13" i="1"/>
  <c r="BL13" i="1"/>
  <c r="BP12" i="1"/>
  <c r="BO12" i="1"/>
  <c r="BN12" i="1"/>
  <c r="BM12" i="1"/>
  <c r="BL12" i="1"/>
  <c r="BP11" i="1"/>
  <c r="BO11" i="1"/>
  <c r="BN11" i="1"/>
  <c r="BM11" i="1"/>
  <c r="BL11" i="1"/>
  <c r="BP10" i="1"/>
  <c r="BO10" i="1"/>
  <c r="BN10" i="1"/>
  <c r="BM10" i="1"/>
  <c r="BL10" i="1"/>
  <c r="BP9" i="1"/>
  <c r="BO9" i="1"/>
  <c r="BN9" i="1"/>
  <c r="BM9" i="1"/>
  <c r="BL9" i="1"/>
  <c r="BP8" i="1"/>
  <c r="BO8" i="1"/>
  <c r="BN8" i="1"/>
  <c r="BM8" i="1"/>
  <c r="BL8" i="1"/>
  <c r="BP7" i="1"/>
  <c r="BO7" i="1"/>
  <c r="BN7" i="1"/>
  <c r="BM7" i="1"/>
  <c r="BL7" i="1"/>
  <c r="BB189" i="1" l="1"/>
  <c r="CI190" i="1"/>
  <c r="AS189" i="1"/>
  <c r="AS211" i="1" s="1"/>
  <c r="BY189" i="1"/>
  <c r="BR189" i="1"/>
  <c r="CH189" i="1"/>
  <c r="BJ190" i="1"/>
  <c r="BJ212" i="1" s="1"/>
  <c r="BS190" i="1"/>
  <c r="CP190" i="1"/>
  <c r="CP212" i="1" s="1"/>
  <c r="BZ190" i="1"/>
  <c r="AT189" i="1"/>
  <c r="AT211" i="1" s="1"/>
  <c r="AS212" i="1"/>
  <c r="CX189" i="1"/>
  <c r="CX211" i="1" s="1"/>
  <c r="CO189" i="1"/>
  <c r="CO211" i="1" s="1"/>
  <c r="CY189" i="1"/>
  <c r="CY211" i="1" s="1"/>
  <c r="CI189" i="1"/>
  <c r="CI211" i="1" s="1"/>
  <c r="BS189" i="1"/>
  <c r="BS211" i="1" s="1"/>
  <c r="BI190" i="1"/>
  <c r="BI212" i="1" s="1"/>
  <c r="BB190" i="1"/>
  <c r="BB212" i="1" s="1"/>
  <c r="Y222" i="1"/>
  <c r="Z222" i="1" s="1"/>
  <c r="CZ209" i="1"/>
  <c r="AA211" i="1"/>
  <c r="CZ208" i="1"/>
  <c r="Y221" i="1"/>
  <c r="Z221" i="1" s="1"/>
  <c r="CW212" i="1"/>
  <c r="BR212" i="1"/>
  <c r="CI212" i="1"/>
  <c r="BI211" i="1"/>
  <c r="BR211" i="1"/>
  <c r="BQ211" i="1"/>
  <c r="BJ211" i="1"/>
  <c r="BY211" i="1"/>
  <c r="CG211" i="1"/>
  <c r="CH211" i="1"/>
  <c r="BB211" i="1"/>
  <c r="CQ212" i="1"/>
  <c r="AM212" i="1"/>
  <c r="AA212" i="1"/>
  <c r="BZ211" i="1"/>
  <c r="BK212" i="1"/>
  <c r="BZ212" i="1"/>
  <c r="AT212" i="1"/>
  <c r="BS212" i="1"/>
  <c r="CH212" i="1"/>
  <c r="CP211" i="1"/>
  <c r="AU212" i="1"/>
  <c r="CA212" i="1"/>
  <c r="Z16" i="10"/>
  <c r="Z17" i="10"/>
  <c r="Z18" i="10"/>
  <c r="Z19" i="10"/>
  <c r="Z20" i="10"/>
  <c r="Z21" i="10"/>
  <c r="Z22" i="10"/>
  <c r="Z23" i="10"/>
  <c r="Z24" i="10"/>
  <c r="Z25" i="10"/>
  <c r="Z26" i="10"/>
  <c r="Z27" i="10"/>
  <c r="Z28" i="10"/>
  <c r="Z29" i="10"/>
  <c r="Z30" i="10"/>
  <c r="Z31" i="10"/>
  <c r="Z32" i="10"/>
  <c r="Z33" i="10"/>
  <c r="Z34" i="10"/>
  <c r="Z35" i="10"/>
  <c r="Z36" i="10"/>
  <c r="Z37" i="10"/>
  <c r="Z38" i="10"/>
  <c r="Z39" i="10"/>
  <c r="Z40" i="10"/>
  <c r="Z41" i="10"/>
  <c r="Z42" i="10"/>
  <c r="Z43" i="10"/>
  <c r="Z44" i="10"/>
  <c r="Z45" i="10"/>
  <c r="Z46" i="10"/>
  <c r="Z47" i="10"/>
  <c r="Z48" i="10"/>
  <c r="Z49" i="10"/>
  <c r="Z50" i="10"/>
  <c r="Z51" i="10"/>
  <c r="Z52" i="10"/>
  <c r="Z53" i="10"/>
  <c r="Z54" i="10"/>
  <c r="Z55" i="10"/>
  <c r="Z56" i="10"/>
  <c r="Z57" i="10"/>
  <c r="Z58" i="10"/>
  <c r="Z59" i="10"/>
  <c r="Z60" i="10"/>
  <c r="Z61" i="10"/>
  <c r="Z62" i="10"/>
  <c r="Z63" i="10"/>
  <c r="Z64" i="10"/>
  <c r="Z65" i="10"/>
  <c r="Z66" i="10"/>
  <c r="Z67" i="10"/>
  <c r="Z68" i="10"/>
  <c r="Z69" i="10"/>
  <c r="Z70" i="10"/>
  <c r="Z71" i="10"/>
  <c r="Z72" i="10"/>
  <c r="Z73" i="10"/>
  <c r="Z74" i="10"/>
  <c r="Z75" i="10"/>
  <c r="Z76" i="10"/>
  <c r="Z77" i="10"/>
  <c r="Z78" i="10"/>
  <c r="Z79" i="10"/>
  <c r="Z80" i="10"/>
  <c r="Z81" i="10"/>
  <c r="Z82" i="10"/>
  <c r="Z83" i="10"/>
  <c r="Z84" i="10"/>
  <c r="Z85" i="10"/>
  <c r="Z86" i="10"/>
  <c r="Z87" i="10"/>
  <c r="Z88" i="10"/>
  <c r="Z89" i="10"/>
  <c r="Z90" i="10"/>
  <c r="Z91" i="10"/>
  <c r="Z92" i="10"/>
  <c r="Z93" i="10"/>
  <c r="Z94" i="10"/>
  <c r="Z95" i="10"/>
  <c r="Z96" i="10"/>
  <c r="Z97" i="10"/>
  <c r="Z98" i="10"/>
  <c r="Z99" i="10"/>
  <c r="Z100" i="10"/>
  <c r="Z101" i="10"/>
  <c r="Z102" i="10"/>
  <c r="Z103" i="10"/>
  <c r="Z104" i="10"/>
  <c r="Z105" i="10"/>
  <c r="Y16" i="10"/>
  <c r="Y17" i="10"/>
  <c r="Y18" i="10"/>
  <c r="Y19" i="10"/>
  <c r="Y20" i="10"/>
  <c r="Y21" i="10"/>
  <c r="Y22" i="10"/>
  <c r="Y23" i="10"/>
  <c r="Y24" i="10"/>
  <c r="Y25" i="10"/>
  <c r="Y26" i="10"/>
  <c r="Y27" i="10"/>
  <c r="Y28" i="10"/>
  <c r="Y29" i="10"/>
  <c r="Y30" i="10"/>
  <c r="Y31" i="10"/>
  <c r="Y32" i="10"/>
  <c r="Y33" i="10"/>
  <c r="Y34" i="10"/>
  <c r="Y35" i="10"/>
  <c r="Y36" i="10"/>
  <c r="Y37" i="10"/>
  <c r="Y38" i="10"/>
  <c r="Y39" i="10"/>
  <c r="Y40" i="10"/>
  <c r="Y41" i="10"/>
  <c r="Y42" i="10"/>
  <c r="Y43" i="10"/>
  <c r="Y44" i="10"/>
  <c r="Y45" i="10"/>
  <c r="Y46" i="10"/>
  <c r="Y47" i="10"/>
  <c r="Y48" i="10"/>
  <c r="Y49" i="10"/>
  <c r="Y50" i="10"/>
  <c r="Y51" i="10"/>
  <c r="Y52" i="10"/>
  <c r="Y53" i="10"/>
  <c r="Y54" i="10"/>
  <c r="Y55" i="10"/>
  <c r="Y56" i="10"/>
  <c r="Y57" i="10"/>
  <c r="Y58" i="10"/>
  <c r="Y59" i="10"/>
  <c r="Y60" i="10"/>
  <c r="Y61" i="10"/>
  <c r="Y62" i="10"/>
  <c r="Y63" i="10"/>
  <c r="Y64" i="10"/>
  <c r="Y65" i="10"/>
  <c r="Y66" i="10"/>
  <c r="Y67" i="10"/>
  <c r="Y68" i="10"/>
  <c r="Y69" i="10"/>
  <c r="Y70" i="10"/>
  <c r="Y71" i="10"/>
  <c r="Y72" i="10"/>
  <c r="Y73" i="10"/>
  <c r="Y74" i="10"/>
  <c r="Y75" i="10"/>
  <c r="Y76" i="10"/>
  <c r="Y77" i="10"/>
  <c r="Y78" i="10"/>
  <c r="Y79" i="10"/>
  <c r="Y80" i="10"/>
  <c r="Y81" i="10"/>
  <c r="Y82" i="10"/>
  <c r="Y83" i="10"/>
  <c r="Y84" i="10"/>
  <c r="Y85" i="10"/>
  <c r="Y86" i="10"/>
  <c r="Y87" i="10"/>
  <c r="Y88" i="10"/>
  <c r="Y89" i="10"/>
  <c r="Y90" i="10"/>
  <c r="Y91" i="10"/>
  <c r="Y92" i="10"/>
  <c r="Y93" i="10"/>
  <c r="Y94" i="10"/>
  <c r="Y95" i="10"/>
  <c r="Y96" i="10"/>
  <c r="Y97" i="10"/>
  <c r="Y98" i="10"/>
  <c r="Y99" i="10"/>
  <c r="Y100" i="10"/>
  <c r="Y101" i="10"/>
  <c r="Y102" i="10"/>
  <c r="Y103" i="10"/>
  <c r="Y104" i="10"/>
  <c r="Y105" i="10"/>
  <c r="W16" i="10"/>
  <c r="W17" i="10"/>
  <c r="W18" i="10"/>
  <c r="W19" i="10"/>
  <c r="W20" i="10"/>
  <c r="W21" i="10"/>
  <c r="W22" i="10"/>
  <c r="W23" i="10"/>
  <c r="W24" i="10"/>
  <c r="W25" i="10"/>
  <c r="W26" i="10"/>
  <c r="W27" i="10"/>
  <c r="W28" i="10"/>
  <c r="W29" i="10"/>
  <c r="W30" i="10"/>
  <c r="W31" i="10"/>
  <c r="W32" i="10"/>
  <c r="W33" i="10"/>
  <c r="W34" i="10"/>
  <c r="W35" i="10"/>
  <c r="W36" i="10"/>
  <c r="W37" i="10"/>
  <c r="W38" i="10"/>
  <c r="W39" i="10"/>
  <c r="W40" i="10"/>
  <c r="W41" i="10"/>
  <c r="W42" i="10"/>
  <c r="W43" i="10"/>
  <c r="W44" i="10"/>
  <c r="W45" i="10"/>
  <c r="W46" i="10"/>
  <c r="W47" i="10"/>
  <c r="W48" i="10"/>
  <c r="W49" i="10"/>
  <c r="W50" i="10"/>
  <c r="W51" i="10"/>
  <c r="W52" i="10"/>
  <c r="W53" i="10"/>
  <c r="W54" i="10"/>
  <c r="W55" i="10"/>
  <c r="W56" i="10"/>
  <c r="W57" i="10"/>
  <c r="W58" i="10"/>
  <c r="W59" i="10"/>
  <c r="W60" i="10"/>
  <c r="W61" i="10"/>
  <c r="W62" i="10"/>
  <c r="W63" i="10"/>
  <c r="W64" i="10"/>
  <c r="W65" i="10"/>
  <c r="W66" i="10"/>
  <c r="W67" i="10"/>
  <c r="W68" i="10"/>
  <c r="W69" i="10"/>
  <c r="W70" i="10"/>
  <c r="W71" i="10"/>
  <c r="W72" i="10"/>
  <c r="W73" i="10"/>
  <c r="W74" i="10"/>
  <c r="W75" i="10"/>
  <c r="W76" i="10"/>
  <c r="W77" i="10"/>
  <c r="W78" i="10"/>
  <c r="W79" i="10"/>
  <c r="W80" i="10"/>
  <c r="W81" i="10"/>
  <c r="W82" i="10"/>
  <c r="W83" i="10"/>
  <c r="W84" i="10"/>
  <c r="W85" i="10"/>
  <c r="W86" i="10"/>
  <c r="W87" i="10"/>
  <c r="W88" i="10"/>
  <c r="W89" i="10"/>
  <c r="W90" i="10"/>
  <c r="W91" i="10"/>
  <c r="W92" i="10"/>
  <c r="W93" i="10"/>
  <c r="W94" i="10"/>
  <c r="W95" i="10"/>
  <c r="W96" i="10"/>
  <c r="W97" i="10"/>
  <c r="W98" i="10"/>
  <c r="W99" i="10"/>
  <c r="W100" i="10"/>
  <c r="W101" i="10"/>
  <c r="W102" i="10"/>
  <c r="W103" i="10"/>
  <c r="W104" i="10"/>
  <c r="W105" i="10"/>
  <c r="V16" i="10"/>
  <c r="V17" i="10"/>
  <c r="V18" i="10"/>
  <c r="V19" i="10"/>
  <c r="V20" i="10"/>
  <c r="V21" i="10"/>
  <c r="V22" i="10"/>
  <c r="V23" i="10"/>
  <c r="V24" i="10"/>
  <c r="V25" i="10"/>
  <c r="V26" i="10"/>
  <c r="V27" i="10"/>
  <c r="V28" i="10"/>
  <c r="V29" i="10"/>
  <c r="V30" i="10"/>
  <c r="V31" i="10"/>
  <c r="V32" i="10"/>
  <c r="V33" i="10"/>
  <c r="V34" i="10"/>
  <c r="V35" i="10"/>
  <c r="V36" i="10"/>
  <c r="V37" i="10"/>
  <c r="V38" i="10"/>
  <c r="V39" i="10"/>
  <c r="V40" i="10"/>
  <c r="V41" i="10"/>
  <c r="V42" i="10"/>
  <c r="V43" i="10"/>
  <c r="V44" i="10"/>
  <c r="V45" i="10"/>
  <c r="V46" i="10"/>
  <c r="V47" i="10"/>
  <c r="V48" i="10"/>
  <c r="V49" i="10"/>
  <c r="V50" i="10"/>
  <c r="V51" i="10"/>
  <c r="V52" i="10"/>
  <c r="V53" i="10"/>
  <c r="V54" i="10"/>
  <c r="V55" i="10"/>
  <c r="V56" i="10"/>
  <c r="V57" i="10"/>
  <c r="V58" i="10"/>
  <c r="V59" i="10"/>
  <c r="V60" i="10"/>
  <c r="V61" i="10"/>
  <c r="V62" i="10"/>
  <c r="V63" i="10"/>
  <c r="V64" i="10"/>
  <c r="V65" i="10"/>
  <c r="V66" i="10"/>
  <c r="V67" i="10"/>
  <c r="V68" i="10"/>
  <c r="V69" i="10"/>
  <c r="V70" i="10"/>
  <c r="V71" i="10"/>
  <c r="V72" i="10"/>
  <c r="V73" i="10"/>
  <c r="V74" i="10"/>
  <c r="V75" i="10"/>
  <c r="V76" i="10"/>
  <c r="V77" i="10"/>
  <c r="V78" i="10"/>
  <c r="V79" i="10"/>
  <c r="V80" i="10"/>
  <c r="V81" i="10"/>
  <c r="V82" i="10"/>
  <c r="V83" i="10"/>
  <c r="V84" i="10"/>
  <c r="V85" i="10"/>
  <c r="V86" i="10"/>
  <c r="V87" i="10"/>
  <c r="V88" i="10"/>
  <c r="V89" i="10"/>
  <c r="V90" i="10"/>
  <c r="V91" i="10"/>
  <c r="V92" i="10"/>
  <c r="V93" i="10"/>
  <c r="V94" i="10"/>
  <c r="V95" i="10"/>
  <c r="V96" i="10"/>
  <c r="V97" i="10"/>
  <c r="V98" i="10"/>
  <c r="V99" i="10"/>
  <c r="V100" i="10"/>
  <c r="V101" i="10"/>
  <c r="V102" i="10"/>
  <c r="V103" i="10"/>
  <c r="V104" i="10"/>
  <c r="V105" i="10"/>
  <c r="AC208" i="1" l="1"/>
  <c r="CF185" i="1"/>
  <c r="CE185" i="1"/>
  <c r="CD185" i="1"/>
  <c r="CC185" i="1"/>
  <c r="CB185" i="1"/>
  <c r="CF184" i="1"/>
  <c r="CE184" i="1"/>
  <c r="CD184" i="1"/>
  <c r="CC184" i="1"/>
  <c r="CB184" i="1"/>
  <c r="CF183" i="1"/>
  <c r="CE183" i="1"/>
  <c r="CD183" i="1"/>
  <c r="CC183" i="1"/>
  <c r="CB183" i="1"/>
  <c r="CF182" i="1"/>
  <c r="CE182" i="1"/>
  <c r="CD182" i="1"/>
  <c r="CC182" i="1"/>
  <c r="CB182" i="1"/>
  <c r="CF181" i="1"/>
  <c r="CE181" i="1"/>
  <c r="CD181" i="1"/>
  <c r="CC181" i="1"/>
  <c r="CB181" i="1"/>
  <c r="CF180" i="1"/>
  <c r="CE180" i="1"/>
  <c r="CD180" i="1"/>
  <c r="CC180" i="1"/>
  <c r="CB180" i="1"/>
  <c r="CF179" i="1"/>
  <c r="CE179" i="1"/>
  <c r="CD179" i="1"/>
  <c r="CC179" i="1"/>
  <c r="CB179" i="1"/>
  <c r="CF178" i="1"/>
  <c r="CE178" i="1"/>
  <c r="CD178" i="1"/>
  <c r="CC178" i="1"/>
  <c r="CB178" i="1"/>
  <c r="CF177" i="1"/>
  <c r="CE177" i="1"/>
  <c r="CD177" i="1"/>
  <c r="CC177" i="1"/>
  <c r="CB177" i="1"/>
  <c r="CF176" i="1"/>
  <c r="CE176" i="1"/>
  <c r="CD176" i="1"/>
  <c r="CC176" i="1"/>
  <c r="CB176" i="1"/>
  <c r="CF175" i="1"/>
  <c r="CE175" i="1"/>
  <c r="CD175" i="1"/>
  <c r="CC175" i="1"/>
  <c r="CB175" i="1"/>
  <c r="CF174" i="1"/>
  <c r="CE174" i="1"/>
  <c r="CD174" i="1"/>
  <c r="CC174" i="1"/>
  <c r="CB174" i="1"/>
  <c r="BH185" i="1"/>
  <c r="BG185" i="1"/>
  <c r="BF185" i="1"/>
  <c r="BE185" i="1"/>
  <c r="BD185" i="1"/>
  <c r="BH184" i="1"/>
  <c r="BG184" i="1"/>
  <c r="BF184" i="1"/>
  <c r="BE184" i="1"/>
  <c r="BD184" i="1"/>
  <c r="BH183" i="1"/>
  <c r="BG183" i="1"/>
  <c r="BF183" i="1"/>
  <c r="BE183" i="1"/>
  <c r="BD183" i="1"/>
  <c r="BH182" i="1"/>
  <c r="BG182" i="1"/>
  <c r="BF182" i="1"/>
  <c r="BE182" i="1"/>
  <c r="BD182" i="1"/>
  <c r="BH181" i="1"/>
  <c r="BG181" i="1"/>
  <c r="BF181" i="1"/>
  <c r="BE181" i="1"/>
  <c r="BD181" i="1"/>
  <c r="BH180" i="1"/>
  <c r="BG180" i="1"/>
  <c r="BF180" i="1"/>
  <c r="BE180" i="1"/>
  <c r="BD180" i="1"/>
  <c r="BH179" i="1"/>
  <c r="BG179" i="1"/>
  <c r="BF179" i="1"/>
  <c r="BE179" i="1"/>
  <c r="BD179" i="1"/>
  <c r="BH178" i="1"/>
  <c r="BG178" i="1"/>
  <c r="BF178" i="1"/>
  <c r="BE178" i="1"/>
  <c r="BD178" i="1"/>
  <c r="BH177" i="1"/>
  <c r="BG177" i="1"/>
  <c r="BF177" i="1"/>
  <c r="BE177" i="1"/>
  <c r="BD177" i="1"/>
  <c r="BH176" i="1"/>
  <c r="BG176" i="1"/>
  <c r="BF176" i="1"/>
  <c r="BE176" i="1"/>
  <c r="BD176" i="1"/>
  <c r="BH175" i="1"/>
  <c r="BG175" i="1"/>
  <c r="BF175" i="1"/>
  <c r="BE175" i="1"/>
  <c r="BH174" i="1"/>
  <c r="BG174" i="1"/>
  <c r="BF174" i="1"/>
  <c r="BE174" i="1"/>
  <c r="BD174" i="1"/>
  <c r="BD175" i="1"/>
  <c r="BC185" i="1"/>
  <c r="BA185" i="1"/>
  <c r="AZ185" i="1"/>
  <c r="AY185" i="1"/>
  <c r="AX185" i="1"/>
  <c r="AW185" i="1"/>
  <c r="AV185" i="1"/>
  <c r="BC184" i="1"/>
  <c r="BA184" i="1"/>
  <c r="AZ184" i="1"/>
  <c r="AY184" i="1"/>
  <c r="AX184" i="1"/>
  <c r="AW184" i="1"/>
  <c r="AV184" i="1"/>
  <c r="BC183" i="1"/>
  <c r="BA183" i="1"/>
  <c r="AZ183" i="1"/>
  <c r="AY183" i="1"/>
  <c r="AX183" i="1"/>
  <c r="AW183" i="1"/>
  <c r="AV183" i="1"/>
  <c r="BC182" i="1"/>
  <c r="BA182" i="1"/>
  <c r="AZ182" i="1"/>
  <c r="AY182" i="1"/>
  <c r="AX182" i="1"/>
  <c r="AW182" i="1"/>
  <c r="AV182" i="1"/>
  <c r="BC181" i="1"/>
  <c r="BA181" i="1"/>
  <c r="AZ181" i="1"/>
  <c r="AY181" i="1"/>
  <c r="AX181" i="1"/>
  <c r="AW181" i="1"/>
  <c r="AV181" i="1"/>
  <c r="BC180" i="1"/>
  <c r="BA180" i="1"/>
  <c r="AZ180" i="1"/>
  <c r="AY180" i="1"/>
  <c r="AX180" i="1"/>
  <c r="AW180" i="1"/>
  <c r="AV180" i="1"/>
  <c r="BC179" i="1"/>
  <c r="BA179" i="1"/>
  <c r="AZ179" i="1"/>
  <c r="AY179" i="1"/>
  <c r="AX179" i="1"/>
  <c r="AW179" i="1"/>
  <c r="AV179" i="1"/>
  <c r="BC178" i="1"/>
  <c r="BA178" i="1"/>
  <c r="AZ178" i="1"/>
  <c r="AY178" i="1"/>
  <c r="AX178" i="1"/>
  <c r="AW178" i="1"/>
  <c r="AV178" i="1"/>
  <c r="BC177" i="1"/>
  <c r="BA177" i="1"/>
  <c r="AZ177" i="1"/>
  <c r="AY177" i="1"/>
  <c r="AX177" i="1"/>
  <c r="AW177" i="1"/>
  <c r="AV177" i="1"/>
  <c r="BC176" i="1"/>
  <c r="BA176" i="1"/>
  <c r="AZ176" i="1"/>
  <c r="AY176" i="1"/>
  <c r="AX176" i="1"/>
  <c r="AW176" i="1"/>
  <c r="AV176" i="1"/>
  <c r="BC175" i="1"/>
  <c r="BA175" i="1"/>
  <c r="AZ175" i="1"/>
  <c r="AY175" i="1"/>
  <c r="AX175" i="1"/>
  <c r="AW175" i="1"/>
  <c r="AV175" i="1"/>
  <c r="BC174" i="1"/>
  <c r="BA174" i="1"/>
  <c r="AZ174" i="1"/>
  <c r="AY174" i="1"/>
  <c r="AX174" i="1"/>
  <c r="AW174" i="1"/>
  <c r="AV174" i="1"/>
  <c r="AR185" i="1"/>
  <c r="AQ185" i="1"/>
  <c r="AP185" i="1"/>
  <c r="AO185" i="1"/>
  <c r="AN185" i="1"/>
  <c r="AR184" i="1"/>
  <c r="AQ184" i="1"/>
  <c r="AP184" i="1"/>
  <c r="AO184" i="1"/>
  <c r="AN184" i="1"/>
  <c r="AR183" i="1"/>
  <c r="AQ183" i="1"/>
  <c r="AP183" i="1"/>
  <c r="AO183" i="1"/>
  <c r="AN183" i="1"/>
  <c r="AR182" i="1"/>
  <c r="AQ182" i="1"/>
  <c r="AP182" i="1"/>
  <c r="AO182" i="1"/>
  <c r="AN182" i="1"/>
  <c r="AR181" i="1"/>
  <c r="AQ181" i="1"/>
  <c r="AP181" i="1"/>
  <c r="AO181" i="1"/>
  <c r="AN181" i="1"/>
  <c r="AR180" i="1"/>
  <c r="AQ180" i="1"/>
  <c r="AP180" i="1"/>
  <c r="AO180" i="1"/>
  <c r="AN180" i="1"/>
  <c r="AR179" i="1"/>
  <c r="AQ179" i="1"/>
  <c r="AP179" i="1"/>
  <c r="AO179" i="1"/>
  <c r="AN179" i="1"/>
  <c r="AR178" i="1"/>
  <c r="AQ178" i="1"/>
  <c r="AP178" i="1"/>
  <c r="AO178" i="1"/>
  <c r="AN178" i="1"/>
  <c r="AR177" i="1"/>
  <c r="AQ177" i="1"/>
  <c r="AP177" i="1"/>
  <c r="AO177" i="1"/>
  <c r="AN177" i="1"/>
  <c r="AR176" i="1"/>
  <c r="AQ176" i="1"/>
  <c r="AP176" i="1"/>
  <c r="AO176" i="1"/>
  <c r="AN176" i="1"/>
  <c r="AR175" i="1"/>
  <c r="AR187" i="1" s="1"/>
  <c r="AQ175" i="1"/>
  <c r="AQ187" i="1" s="1"/>
  <c r="AP175" i="1"/>
  <c r="AP187" i="1" s="1"/>
  <c r="AO175" i="1"/>
  <c r="AN175" i="1"/>
  <c r="AN187" i="1" s="1"/>
  <c r="AR174" i="1"/>
  <c r="AR186" i="1" s="1"/>
  <c r="AQ174" i="1"/>
  <c r="AP174" i="1"/>
  <c r="AP186" i="1" s="1"/>
  <c r="AO174" i="1"/>
  <c r="AO186" i="1" s="1"/>
  <c r="AN174" i="1"/>
  <c r="AO187" i="1"/>
  <c r="AQ186" i="1"/>
  <c r="AN186" i="1"/>
  <c r="CV168" i="1"/>
  <c r="CU168" i="1"/>
  <c r="CT168" i="1"/>
  <c r="CS168" i="1"/>
  <c r="CR168" i="1"/>
  <c r="CV167" i="1"/>
  <c r="CU167" i="1"/>
  <c r="CT167" i="1"/>
  <c r="CS167" i="1"/>
  <c r="CR167" i="1"/>
  <c r="CN168" i="1"/>
  <c r="CM168" i="1"/>
  <c r="CL168" i="1"/>
  <c r="CK168" i="1"/>
  <c r="CJ168" i="1"/>
  <c r="CN167" i="1"/>
  <c r="CM167" i="1"/>
  <c r="CL167" i="1"/>
  <c r="CK167" i="1"/>
  <c r="CJ167" i="1"/>
  <c r="CF106" i="1"/>
  <c r="CE106" i="1"/>
  <c r="CD106" i="1"/>
  <c r="CC106" i="1"/>
  <c r="CB106" i="1"/>
  <c r="CF105" i="1"/>
  <c r="CE105" i="1"/>
  <c r="CD105" i="1"/>
  <c r="CC105" i="1"/>
  <c r="CB105" i="1"/>
  <c r="CF104" i="1"/>
  <c r="CE104" i="1"/>
  <c r="CD104" i="1"/>
  <c r="CC104" i="1"/>
  <c r="CB104" i="1"/>
  <c r="CF103" i="1"/>
  <c r="CE103" i="1"/>
  <c r="CD103" i="1"/>
  <c r="CC103" i="1"/>
  <c r="CB103" i="1"/>
  <c r="CF102" i="1"/>
  <c r="CE102" i="1"/>
  <c r="CD102" i="1"/>
  <c r="CC102" i="1"/>
  <c r="CB102" i="1"/>
  <c r="CF101" i="1"/>
  <c r="CE101" i="1"/>
  <c r="CD101" i="1"/>
  <c r="CC101" i="1"/>
  <c r="CB101" i="1"/>
  <c r="CF100" i="1"/>
  <c r="CE100" i="1"/>
  <c r="CD100" i="1"/>
  <c r="CC100" i="1"/>
  <c r="CB100" i="1"/>
  <c r="CF99" i="1"/>
  <c r="CE99" i="1"/>
  <c r="CD99" i="1"/>
  <c r="CC99" i="1"/>
  <c r="CB99" i="1"/>
  <c r="CF98" i="1"/>
  <c r="CE98" i="1"/>
  <c r="CD98" i="1"/>
  <c r="CC98" i="1"/>
  <c r="CB98" i="1"/>
  <c r="CF97" i="1"/>
  <c r="CE97" i="1"/>
  <c r="CD97" i="1"/>
  <c r="CC97" i="1"/>
  <c r="CB97" i="1"/>
  <c r="CF96" i="1"/>
  <c r="CE96" i="1"/>
  <c r="CD96" i="1"/>
  <c r="CC96" i="1"/>
  <c r="CB96" i="1"/>
  <c r="CF95" i="1"/>
  <c r="CE95" i="1"/>
  <c r="CD95" i="1"/>
  <c r="CC95" i="1"/>
  <c r="CB95" i="1"/>
  <c r="CF94" i="1"/>
  <c r="CE94" i="1"/>
  <c r="CD94" i="1"/>
  <c r="CC94" i="1"/>
  <c r="CB94" i="1"/>
  <c r="CF93" i="1"/>
  <c r="CE93" i="1"/>
  <c r="CD93" i="1"/>
  <c r="CC93" i="1"/>
  <c r="CB93" i="1"/>
  <c r="CF92" i="1"/>
  <c r="CE92" i="1"/>
  <c r="CD92" i="1"/>
  <c r="CC92" i="1"/>
  <c r="CB92" i="1"/>
  <c r="CF91" i="1"/>
  <c r="CE91" i="1"/>
  <c r="CD91" i="1"/>
  <c r="CC91" i="1"/>
  <c r="CB91" i="1"/>
  <c r="CF90" i="1"/>
  <c r="CE90" i="1"/>
  <c r="CD90" i="1"/>
  <c r="CC90" i="1"/>
  <c r="CB90" i="1"/>
  <c r="X89" i="10" s="1"/>
  <c r="CF89" i="1"/>
  <c r="CE89" i="1"/>
  <c r="CD89" i="1"/>
  <c r="CC89" i="1"/>
  <c r="CB89" i="1"/>
  <c r="CF88" i="1"/>
  <c r="CE88" i="1"/>
  <c r="CD88" i="1"/>
  <c r="CC88" i="1"/>
  <c r="CB88" i="1"/>
  <c r="CF87" i="1"/>
  <c r="CE87" i="1"/>
  <c r="CD87" i="1"/>
  <c r="CC87" i="1"/>
  <c r="CB87" i="1"/>
  <c r="CF86" i="1"/>
  <c r="CE86" i="1"/>
  <c r="CD86" i="1"/>
  <c r="CC86" i="1"/>
  <c r="CB86" i="1"/>
  <c r="X85" i="10" s="1"/>
  <c r="CF85" i="1"/>
  <c r="CE85" i="1"/>
  <c r="CD85" i="1"/>
  <c r="CC85" i="1"/>
  <c r="CB85" i="1"/>
  <c r="CF84" i="1"/>
  <c r="CE84" i="1"/>
  <c r="CD84" i="1"/>
  <c r="CC84" i="1"/>
  <c r="CB84" i="1"/>
  <c r="CF83" i="1"/>
  <c r="CE83" i="1"/>
  <c r="CD83" i="1"/>
  <c r="CC83" i="1"/>
  <c r="CB83" i="1"/>
  <c r="CF82" i="1"/>
  <c r="CE82" i="1"/>
  <c r="CD82" i="1"/>
  <c r="CC82" i="1"/>
  <c r="CB82" i="1"/>
  <c r="X81" i="10" s="1"/>
  <c r="CF81" i="1"/>
  <c r="CE81" i="1"/>
  <c r="CD81" i="1"/>
  <c r="CC81" i="1"/>
  <c r="CB81" i="1"/>
  <c r="CF80" i="1"/>
  <c r="CE80" i="1"/>
  <c r="CD80" i="1"/>
  <c r="CC80" i="1"/>
  <c r="CB80" i="1"/>
  <c r="CF79" i="1"/>
  <c r="CE79" i="1"/>
  <c r="CD79" i="1"/>
  <c r="CC79" i="1"/>
  <c r="CB79" i="1"/>
  <c r="CF78" i="1"/>
  <c r="CE78" i="1"/>
  <c r="CD78" i="1"/>
  <c r="CC78" i="1"/>
  <c r="CB78" i="1"/>
  <c r="X77" i="10" s="1"/>
  <c r="CF77" i="1"/>
  <c r="CE77" i="1"/>
  <c r="CD77" i="1"/>
  <c r="CC77" i="1"/>
  <c r="CB77" i="1"/>
  <c r="CF76" i="1"/>
  <c r="CE76" i="1"/>
  <c r="CD76" i="1"/>
  <c r="CC76" i="1"/>
  <c r="CB76" i="1"/>
  <c r="CF75" i="1"/>
  <c r="CE75" i="1"/>
  <c r="CD75" i="1"/>
  <c r="CC75" i="1"/>
  <c r="CB75" i="1"/>
  <c r="CF74" i="1"/>
  <c r="CE74" i="1"/>
  <c r="CD74" i="1"/>
  <c r="CC74" i="1"/>
  <c r="CB74" i="1"/>
  <c r="X73" i="10" s="1"/>
  <c r="CF73" i="1"/>
  <c r="CE73" i="1"/>
  <c r="CD73" i="1"/>
  <c r="CC73" i="1"/>
  <c r="CB73" i="1"/>
  <c r="CF72" i="1"/>
  <c r="CE72" i="1"/>
  <c r="CD72" i="1"/>
  <c r="CC72" i="1"/>
  <c r="CB72" i="1"/>
  <c r="CF71" i="1"/>
  <c r="CE71" i="1"/>
  <c r="CD71" i="1"/>
  <c r="CC71" i="1"/>
  <c r="CB71" i="1"/>
  <c r="CF70" i="1"/>
  <c r="CE70" i="1"/>
  <c r="CD70" i="1"/>
  <c r="CC70" i="1"/>
  <c r="CB70" i="1"/>
  <c r="X69" i="10" s="1"/>
  <c r="CF69" i="1"/>
  <c r="CE69" i="1"/>
  <c r="CD69" i="1"/>
  <c r="CC69" i="1"/>
  <c r="CB69" i="1"/>
  <c r="CF68" i="1"/>
  <c r="CE68" i="1"/>
  <c r="CD68" i="1"/>
  <c r="CC68" i="1"/>
  <c r="CB68" i="1"/>
  <c r="CF67" i="1"/>
  <c r="CE67" i="1"/>
  <c r="CD67" i="1"/>
  <c r="CC67" i="1"/>
  <c r="CB67" i="1"/>
  <c r="CF66" i="1"/>
  <c r="CE66" i="1"/>
  <c r="CD66" i="1"/>
  <c r="CC66" i="1"/>
  <c r="CB66" i="1"/>
  <c r="X65" i="10" s="1"/>
  <c r="CF65" i="1"/>
  <c r="CE65" i="1"/>
  <c r="CD65" i="1"/>
  <c r="CC65" i="1"/>
  <c r="CB65" i="1"/>
  <c r="CF64" i="1"/>
  <c r="CE64" i="1"/>
  <c r="CD64" i="1"/>
  <c r="CC64" i="1"/>
  <c r="CB64" i="1"/>
  <c r="CF63" i="1"/>
  <c r="CE63" i="1"/>
  <c r="CD63" i="1"/>
  <c r="CC63" i="1"/>
  <c r="CB63" i="1"/>
  <c r="CF62" i="1"/>
  <c r="CE62" i="1"/>
  <c r="CD62" i="1"/>
  <c r="CC62" i="1"/>
  <c r="CB62" i="1"/>
  <c r="X61" i="10" s="1"/>
  <c r="CF61" i="1"/>
  <c r="CE61" i="1"/>
  <c r="CD61" i="1"/>
  <c r="CC61" i="1"/>
  <c r="CB61" i="1"/>
  <c r="CF60" i="1"/>
  <c r="CE60" i="1"/>
  <c r="CD60" i="1"/>
  <c r="CC60" i="1"/>
  <c r="CB60" i="1"/>
  <c r="CF59" i="1"/>
  <c r="CE59" i="1"/>
  <c r="CD59" i="1"/>
  <c r="CC59" i="1"/>
  <c r="CB59" i="1"/>
  <c r="CF58" i="1"/>
  <c r="CE58" i="1"/>
  <c r="CD58" i="1"/>
  <c r="CC58" i="1"/>
  <c r="CB58" i="1"/>
  <c r="CF57" i="1"/>
  <c r="CE57" i="1"/>
  <c r="CD57" i="1"/>
  <c r="CC57" i="1"/>
  <c r="CB57" i="1"/>
  <c r="CF56" i="1"/>
  <c r="CE56" i="1"/>
  <c r="CD56" i="1"/>
  <c r="CC56" i="1"/>
  <c r="CB56" i="1"/>
  <c r="CF55" i="1"/>
  <c r="CE55" i="1"/>
  <c r="CD55" i="1"/>
  <c r="CC55" i="1"/>
  <c r="CB55" i="1"/>
  <c r="CF54" i="1"/>
  <c r="CE54" i="1"/>
  <c r="CD54" i="1"/>
  <c r="CC54" i="1"/>
  <c r="CB54" i="1"/>
  <c r="CF53" i="1"/>
  <c r="CE53" i="1"/>
  <c r="CD53" i="1"/>
  <c r="CC53" i="1"/>
  <c r="CB53" i="1"/>
  <c r="X51" i="10"/>
  <c r="CF50" i="1"/>
  <c r="CE50" i="1"/>
  <c r="CD50" i="1"/>
  <c r="CC50" i="1"/>
  <c r="CB50" i="1"/>
  <c r="CF49" i="1"/>
  <c r="CE49" i="1"/>
  <c r="CD49" i="1"/>
  <c r="CC49" i="1"/>
  <c r="CB49" i="1"/>
  <c r="CF48" i="1"/>
  <c r="CE48" i="1"/>
  <c r="CD48" i="1"/>
  <c r="CC48" i="1"/>
  <c r="CB48" i="1"/>
  <c r="X47" i="10" s="1"/>
  <c r="CF47" i="1"/>
  <c r="CE47" i="1"/>
  <c r="CD47" i="1"/>
  <c r="CC47" i="1"/>
  <c r="CB47" i="1"/>
  <c r="CF46" i="1"/>
  <c r="CE46" i="1"/>
  <c r="CD46" i="1"/>
  <c r="CC46" i="1"/>
  <c r="CB46" i="1"/>
  <c r="CF45" i="1"/>
  <c r="CE45" i="1"/>
  <c r="CD45" i="1"/>
  <c r="CC45" i="1"/>
  <c r="CB45" i="1"/>
  <c r="CF44" i="1"/>
  <c r="CE44" i="1"/>
  <c r="CD44" i="1"/>
  <c r="CC44" i="1"/>
  <c r="CB44" i="1"/>
  <c r="X43" i="10" s="1"/>
  <c r="CF43" i="1"/>
  <c r="CE43" i="1"/>
  <c r="CD43" i="1"/>
  <c r="CC43" i="1"/>
  <c r="CB43" i="1"/>
  <c r="CF42" i="1"/>
  <c r="CE42" i="1"/>
  <c r="CD42" i="1"/>
  <c r="CC42" i="1"/>
  <c r="CB42" i="1"/>
  <c r="CF41" i="1"/>
  <c r="CE41" i="1"/>
  <c r="CD41" i="1"/>
  <c r="CC41" i="1"/>
  <c r="CB41" i="1"/>
  <c r="CF40" i="1"/>
  <c r="CE40" i="1"/>
  <c r="CD40" i="1"/>
  <c r="CC40" i="1"/>
  <c r="CB40" i="1"/>
  <c r="X39" i="10" s="1"/>
  <c r="CF39" i="1"/>
  <c r="CE39" i="1"/>
  <c r="CD39" i="1"/>
  <c r="CC39" i="1"/>
  <c r="CB39" i="1"/>
  <c r="CF38" i="1"/>
  <c r="CE38" i="1"/>
  <c r="CD38" i="1"/>
  <c r="CC38" i="1"/>
  <c r="CB38" i="1"/>
  <c r="CF37" i="1"/>
  <c r="CE37" i="1"/>
  <c r="CD37" i="1"/>
  <c r="CC37" i="1"/>
  <c r="CB37" i="1"/>
  <c r="CF36" i="1"/>
  <c r="CE36" i="1"/>
  <c r="CD36" i="1"/>
  <c r="CC36" i="1"/>
  <c r="CB36" i="1"/>
  <c r="X35" i="10" s="1"/>
  <c r="CF35" i="1"/>
  <c r="CE35" i="1"/>
  <c r="CD35" i="1"/>
  <c r="CC35" i="1"/>
  <c r="CB35" i="1"/>
  <c r="CF34" i="1"/>
  <c r="CE34" i="1"/>
  <c r="CD34" i="1"/>
  <c r="CC34" i="1"/>
  <c r="CB34" i="1"/>
  <c r="CF33" i="1"/>
  <c r="CE33" i="1"/>
  <c r="CD33" i="1"/>
  <c r="CC33" i="1"/>
  <c r="CB33" i="1"/>
  <c r="CF32" i="1"/>
  <c r="CE32" i="1"/>
  <c r="CD32" i="1"/>
  <c r="CC32" i="1"/>
  <c r="CB32" i="1"/>
  <c r="X31" i="10" s="1"/>
  <c r="CF31" i="1"/>
  <c r="CE31" i="1"/>
  <c r="CD31" i="1"/>
  <c r="CC31" i="1"/>
  <c r="CB31" i="1"/>
  <c r="CF30" i="1"/>
  <c r="CE30" i="1"/>
  <c r="CD30" i="1"/>
  <c r="CC30" i="1"/>
  <c r="CB30" i="1"/>
  <c r="CF29" i="1"/>
  <c r="CE29" i="1"/>
  <c r="CD29" i="1"/>
  <c r="CC29" i="1"/>
  <c r="CB29" i="1"/>
  <c r="CF28" i="1"/>
  <c r="CE28" i="1"/>
  <c r="CD28" i="1"/>
  <c r="CC28" i="1"/>
  <c r="CB28" i="1"/>
  <c r="X27" i="10" s="1"/>
  <c r="CF27" i="1"/>
  <c r="CE27" i="1"/>
  <c r="CD27" i="1"/>
  <c r="CC27" i="1"/>
  <c r="CB27" i="1"/>
  <c r="CF26" i="1"/>
  <c r="CE26" i="1"/>
  <c r="CD26" i="1"/>
  <c r="CC26" i="1"/>
  <c r="CB26" i="1"/>
  <c r="CF25" i="1"/>
  <c r="CE25" i="1"/>
  <c r="CD25" i="1"/>
  <c r="CC25" i="1"/>
  <c r="CB25" i="1"/>
  <c r="CF24" i="1"/>
  <c r="CE24" i="1"/>
  <c r="CD24" i="1"/>
  <c r="CC24" i="1"/>
  <c r="CB24" i="1"/>
  <c r="X23" i="10" s="1"/>
  <c r="CF23" i="1"/>
  <c r="CE23" i="1"/>
  <c r="CD23" i="1"/>
  <c r="CC23" i="1"/>
  <c r="CB23" i="1"/>
  <c r="CF22" i="1"/>
  <c r="CE22" i="1"/>
  <c r="CD22" i="1"/>
  <c r="CC22" i="1"/>
  <c r="CB22" i="1"/>
  <c r="CF21" i="1"/>
  <c r="CE21" i="1"/>
  <c r="CD21" i="1"/>
  <c r="CC21" i="1"/>
  <c r="CB21" i="1"/>
  <c r="CF20" i="1"/>
  <c r="CE20" i="1"/>
  <c r="CD20" i="1"/>
  <c r="CC20" i="1"/>
  <c r="CB20" i="1"/>
  <c r="X19" i="10" s="1"/>
  <c r="CF19" i="1"/>
  <c r="CE19" i="1"/>
  <c r="CD19" i="1"/>
  <c r="CC19" i="1"/>
  <c r="CB19" i="1"/>
  <c r="CF18" i="1"/>
  <c r="CE18" i="1"/>
  <c r="CD18" i="1"/>
  <c r="CC18" i="1"/>
  <c r="CB18" i="1"/>
  <c r="CF17" i="1"/>
  <c r="CE17" i="1"/>
  <c r="CD17" i="1"/>
  <c r="CC17" i="1"/>
  <c r="CB17" i="1"/>
  <c r="CF16" i="1"/>
  <c r="CE16" i="1"/>
  <c r="CD16" i="1"/>
  <c r="CC16" i="1"/>
  <c r="CB16" i="1"/>
  <c r="CF15" i="1"/>
  <c r="CE15" i="1"/>
  <c r="CD15" i="1"/>
  <c r="CC15" i="1"/>
  <c r="CB15" i="1"/>
  <c r="CF14" i="1"/>
  <c r="CE14" i="1"/>
  <c r="CD14" i="1"/>
  <c r="CC14" i="1"/>
  <c r="CB14" i="1"/>
  <c r="CF13" i="1"/>
  <c r="CE13" i="1"/>
  <c r="CD13" i="1"/>
  <c r="CC13" i="1"/>
  <c r="CB13" i="1"/>
  <c r="CF12" i="1"/>
  <c r="CE12" i="1"/>
  <c r="CD12" i="1"/>
  <c r="CC12" i="1"/>
  <c r="CB12" i="1"/>
  <c r="CF11" i="1"/>
  <c r="CE11" i="1"/>
  <c r="CD11" i="1"/>
  <c r="CC11" i="1"/>
  <c r="CB11" i="1"/>
  <c r="CF10" i="1"/>
  <c r="CE10" i="1"/>
  <c r="CD10" i="1"/>
  <c r="CC10" i="1"/>
  <c r="CB10" i="1"/>
  <c r="CF9" i="1"/>
  <c r="CE9" i="1"/>
  <c r="CD9" i="1"/>
  <c r="CC9" i="1"/>
  <c r="CB9" i="1"/>
  <c r="CF8" i="1"/>
  <c r="CF168" i="1" s="1"/>
  <c r="CE8" i="1"/>
  <c r="CE168" i="1" s="1"/>
  <c r="CD8" i="1"/>
  <c r="CD168" i="1" s="1"/>
  <c r="CC8" i="1"/>
  <c r="CC168" i="1" s="1"/>
  <c r="CF7" i="1"/>
  <c r="CF167" i="1" s="1"/>
  <c r="CE7" i="1"/>
  <c r="CD7" i="1"/>
  <c r="CD167" i="1" s="1"/>
  <c r="CC7" i="1"/>
  <c r="BW168" i="1"/>
  <c r="BX168" i="1"/>
  <c r="BV168" i="1"/>
  <c r="BU168" i="1"/>
  <c r="BT168" i="1"/>
  <c r="BX167" i="1"/>
  <c r="BW167" i="1"/>
  <c r="BV167" i="1"/>
  <c r="BU167" i="1"/>
  <c r="BT167" i="1"/>
  <c r="BP168" i="1"/>
  <c r="BO168" i="1"/>
  <c r="BN168" i="1"/>
  <c r="BM168" i="1"/>
  <c r="BL168" i="1"/>
  <c r="BP167" i="1"/>
  <c r="BO167" i="1"/>
  <c r="BN167" i="1"/>
  <c r="BM167" i="1"/>
  <c r="BL167" i="1"/>
  <c r="BH106" i="1"/>
  <c r="BG106" i="1"/>
  <c r="BF106" i="1"/>
  <c r="BE106" i="1"/>
  <c r="BD106" i="1"/>
  <c r="BH105" i="1"/>
  <c r="BG105" i="1"/>
  <c r="BF105" i="1"/>
  <c r="BE105" i="1"/>
  <c r="BD105" i="1"/>
  <c r="BH104" i="1"/>
  <c r="BG104" i="1"/>
  <c r="BF104" i="1"/>
  <c r="BE104" i="1"/>
  <c r="BD104" i="1"/>
  <c r="U103" i="10" s="1"/>
  <c r="BH103" i="1"/>
  <c r="BG103" i="1"/>
  <c r="BF103" i="1"/>
  <c r="BE103" i="1"/>
  <c r="BD103" i="1"/>
  <c r="BH102" i="1"/>
  <c r="BG102" i="1"/>
  <c r="BF102" i="1"/>
  <c r="BE102" i="1"/>
  <c r="BD102" i="1"/>
  <c r="BH101" i="1"/>
  <c r="BG101" i="1"/>
  <c r="BF101" i="1"/>
  <c r="BE101" i="1"/>
  <c r="BD101" i="1"/>
  <c r="BH100" i="1"/>
  <c r="BG100" i="1"/>
  <c r="BF100" i="1"/>
  <c r="BE100" i="1"/>
  <c r="BD100" i="1"/>
  <c r="U99" i="10" s="1"/>
  <c r="BH99" i="1"/>
  <c r="BG99" i="1"/>
  <c r="BF99" i="1"/>
  <c r="BE99" i="1"/>
  <c r="BD99" i="1"/>
  <c r="BH98" i="1"/>
  <c r="BG98" i="1"/>
  <c r="BF98" i="1"/>
  <c r="BE98" i="1"/>
  <c r="BD98" i="1"/>
  <c r="BH97" i="1"/>
  <c r="BG97" i="1"/>
  <c r="BF97" i="1"/>
  <c r="BE97" i="1"/>
  <c r="BD97" i="1"/>
  <c r="BH96" i="1"/>
  <c r="BG96" i="1"/>
  <c r="BF96" i="1"/>
  <c r="BE96" i="1"/>
  <c r="BD96" i="1"/>
  <c r="U95" i="10" s="1"/>
  <c r="BH95" i="1"/>
  <c r="BG95" i="1"/>
  <c r="BF95" i="1"/>
  <c r="BE95" i="1"/>
  <c r="BD95" i="1"/>
  <c r="BH94" i="1"/>
  <c r="BG94" i="1"/>
  <c r="BF94" i="1"/>
  <c r="BE94" i="1"/>
  <c r="BD94" i="1"/>
  <c r="BH93" i="1"/>
  <c r="BG93" i="1"/>
  <c r="BF93" i="1"/>
  <c r="BE93" i="1"/>
  <c r="BD93" i="1"/>
  <c r="BH92" i="1"/>
  <c r="BG92" i="1"/>
  <c r="BF92" i="1"/>
  <c r="BE92" i="1"/>
  <c r="BD92" i="1"/>
  <c r="U91" i="10" s="1"/>
  <c r="BH91" i="1"/>
  <c r="BG91" i="1"/>
  <c r="BF91" i="1"/>
  <c r="BE91" i="1"/>
  <c r="BD91" i="1"/>
  <c r="BH90" i="1"/>
  <c r="BG90" i="1"/>
  <c r="BF90" i="1"/>
  <c r="BE90" i="1"/>
  <c r="BD90" i="1"/>
  <c r="BH89" i="1"/>
  <c r="BG89" i="1"/>
  <c r="BF89" i="1"/>
  <c r="BE89" i="1"/>
  <c r="BD89" i="1"/>
  <c r="BH88" i="1"/>
  <c r="BG88" i="1"/>
  <c r="BF88" i="1"/>
  <c r="BE88" i="1"/>
  <c r="BD88" i="1"/>
  <c r="U87" i="10" s="1"/>
  <c r="BH87" i="1"/>
  <c r="BG87" i="1"/>
  <c r="BF87" i="1"/>
  <c r="BE87" i="1"/>
  <c r="BD87" i="1"/>
  <c r="BH86" i="1"/>
  <c r="BG86" i="1"/>
  <c r="BF86" i="1"/>
  <c r="BE86" i="1"/>
  <c r="BD86" i="1"/>
  <c r="BH85" i="1"/>
  <c r="BG85" i="1"/>
  <c r="BF85" i="1"/>
  <c r="BE85" i="1"/>
  <c r="BD85" i="1"/>
  <c r="BH84" i="1"/>
  <c r="BG84" i="1"/>
  <c r="BF84" i="1"/>
  <c r="BE84" i="1"/>
  <c r="BD84" i="1"/>
  <c r="U83" i="10" s="1"/>
  <c r="BH83" i="1"/>
  <c r="BG83" i="1"/>
  <c r="BF83" i="1"/>
  <c r="BE83" i="1"/>
  <c r="BD83" i="1"/>
  <c r="BH82" i="1"/>
  <c r="BG82" i="1"/>
  <c r="BF82" i="1"/>
  <c r="BE82" i="1"/>
  <c r="BD82" i="1"/>
  <c r="BH81" i="1"/>
  <c r="BG81" i="1"/>
  <c r="BF81" i="1"/>
  <c r="BE81" i="1"/>
  <c r="BD81" i="1"/>
  <c r="BH80" i="1"/>
  <c r="BG80" i="1"/>
  <c r="BF80" i="1"/>
  <c r="BE80" i="1"/>
  <c r="BD80" i="1"/>
  <c r="U79" i="10" s="1"/>
  <c r="BH79" i="1"/>
  <c r="BG79" i="1"/>
  <c r="BF79" i="1"/>
  <c r="BE79" i="1"/>
  <c r="BD79" i="1"/>
  <c r="BH78" i="1"/>
  <c r="BG78" i="1"/>
  <c r="BF78" i="1"/>
  <c r="BE78" i="1"/>
  <c r="BD78" i="1"/>
  <c r="BH77" i="1"/>
  <c r="BG77" i="1"/>
  <c r="BF77" i="1"/>
  <c r="BE77" i="1"/>
  <c r="BD77" i="1"/>
  <c r="BH76" i="1"/>
  <c r="BG76" i="1"/>
  <c r="BF76" i="1"/>
  <c r="BE76" i="1"/>
  <c r="BD76" i="1"/>
  <c r="U75" i="10" s="1"/>
  <c r="BH75" i="1"/>
  <c r="BG75" i="1"/>
  <c r="BF75" i="1"/>
  <c r="BE75" i="1"/>
  <c r="BD75" i="1"/>
  <c r="BH74" i="1"/>
  <c r="BG74" i="1"/>
  <c r="BF74" i="1"/>
  <c r="BE74" i="1"/>
  <c r="BD74" i="1"/>
  <c r="BH73" i="1"/>
  <c r="BG73" i="1"/>
  <c r="BF73" i="1"/>
  <c r="BE73" i="1"/>
  <c r="BD73" i="1"/>
  <c r="BH72" i="1"/>
  <c r="BG72" i="1"/>
  <c r="BF72" i="1"/>
  <c r="BE72" i="1"/>
  <c r="BD72" i="1"/>
  <c r="U71" i="10" s="1"/>
  <c r="BH71" i="1"/>
  <c r="BG71" i="1"/>
  <c r="BF71" i="1"/>
  <c r="BE71" i="1"/>
  <c r="BD71" i="1"/>
  <c r="BH70" i="1"/>
  <c r="BG70" i="1"/>
  <c r="BF70" i="1"/>
  <c r="BE70" i="1"/>
  <c r="BD70" i="1"/>
  <c r="BH69" i="1"/>
  <c r="BG69" i="1"/>
  <c r="BF69" i="1"/>
  <c r="BE69" i="1"/>
  <c r="BD69" i="1"/>
  <c r="BH68" i="1"/>
  <c r="BG68" i="1"/>
  <c r="BF68" i="1"/>
  <c r="BE68" i="1"/>
  <c r="BD68" i="1"/>
  <c r="U67" i="10" s="1"/>
  <c r="BH67" i="1"/>
  <c r="BG67" i="1"/>
  <c r="BF67" i="1"/>
  <c r="BE67" i="1"/>
  <c r="BD67" i="1"/>
  <c r="BH66" i="1"/>
  <c r="BG66" i="1"/>
  <c r="BF66" i="1"/>
  <c r="BE66" i="1"/>
  <c r="BD66" i="1"/>
  <c r="BH65" i="1"/>
  <c r="BG65" i="1"/>
  <c r="BF65" i="1"/>
  <c r="BE65" i="1"/>
  <c r="BD65" i="1"/>
  <c r="BH64" i="1"/>
  <c r="BG64" i="1"/>
  <c r="BF64" i="1"/>
  <c r="BE64" i="1"/>
  <c r="BD64" i="1"/>
  <c r="U63" i="10" s="1"/>
  <c r="BH63" i="1"/>
  <c r="BG63" i="1"/>
  <c r="BF63" i="1"/>
  <c r="BE63" i="1"/>
  <c r="BD63" i="1"/>
  <c r="BH62" i="1"/>
  <c r="BG62" i="1"/>
  <c r="BF62" i="1"/>
  <c r="BE62" i="1"/>
  <c r="BD62" i="1"/>
  <c r="BH61" i="1"/>
  <c r="BG61" i="1"/>
  <c r="BF61" i="1"/>
  <c r="BE61" i="1"/>
  <c r="BD61" i="1"/>
  <c r="BH60" i="1"/>
  <c r="BG60" i="1"/>
  <c r="BF60" i="1"/>
  <c r="BE60" i="1"/>
  <c r="BD60" i="1"/>
  <c r="U59" i="10" s="1"/>
  <c r="BH59" i="1"/>
  <c r="BG59" i="1"/>
  <c r="BF59" i="1"/>
  <c r="BE59" i="1"/>
  <c r="BD59" i="1"/>
  <c r="BH58" i="1"/>
  <c r="BG58" i="1"/>
  <c r="BF58" i="1"/>
  <c r="BE58" i="1"/>
  <c r="BD58" i="1"/>
  <c r="BH57" i="1"/>
  <c r="BG57" i="1"/>
  <c r="BF57" i="1"/>
  <c r="BE57" i="1"/>
  <c r="BD57" i="1"/>
  <c r="BH56" i="1"/>
  <c r="BG56" i="1"/>
  <c r="BF56" i="1"/>
  <c r="BE56" i="1"/>
  <c r="BD56" i="1"/>
  <c r="U55" i="10" s="1"/>
  <c r="BH55" i="1"/>
  <c r="BG55" i="1"/>
  <c r="BF55" i="1"/>
  <c r="BE55" i="1"/>
  <c r="BD55" i="1"/>
  <c r="BH54" i="1"/>
  <c r="BG54" i="1"/>
  <c r="BF54" i="1"/>
  <c r="BE54" i="1"/>
  <c r="BD54" i="1"/>
  <c r="BH53" i="1"/>
  <c r="BG53" i="1"/>
  <c r="BF53" i="1"/>
  <c r="BE53" i="1"/>
  <c r="BD53" i="1"/>
  <c r="U51" i="10"/>
  <c r="BH50" i="1"/>
  <c r="BG50" i="1"/>
  <c r="BF50" i="1"/>
  <c r="BE50" i="1"/>
  <c r="BD50" i="1"/>
  <c r="BH49" i="1"/>
  <c r="BG49" i="1"/>
  <c r="BF49" i="1"/>
  <c r="BE49" i="1"/>
  <c r="BD49" i="1"/>
  <c r="BH48" i="1"/>
  <c r="BG48" i="1"/>
  <c r="BF48" i="1"/>
  <c r="BE48" i="1"/>
  <c r="BD48" i="1"/>
  <c r="U47" i="10" s="1"/>
  <c r="BH47" i="1"/>
  <c r="BG47" i="1"/>
  <c r="BF47" i="1"/>
  <c r="BE47" i="1"/>
  <c r="BD47" i="1"/>
  <c r="BH46" i="1"/>
  <c r="BG46" i="1"/>
  <c r="BF46" i="1"/>
  <c r="BE46" i="1"/>
  <c r="BD46" i="1"/>
  <c r="BH45" i="1"/>
  <c r="BG45" i="1"/>
  <c r="BF45" i="1"/>
  <c r="BE45" i="1"/>
  <c r="BD45" i="1"/>
  <c r="BH44" i="1"/>
  <c r="BG44" i="1"/>
  <c r="BF44" i="1"/>
  <c r="BE44" i="1"/>
  <c r="BD44" i="1"/>
  <c r="U43" i="10" s="1"/>
  <c r="BH43" i="1"/>
  <c r="BG43" i="1"/>
  <c r="BF43" i="1"/>
  <c r="BE43" i="1"/>
  <c r="BD43" i="1"/>
  <c r="BH42" i="1"/>
  <c r="BG42" i="1"/>
  <c r="BF42" i="1"/>
  <c r="BE42" i="1"/>
  <c r="BD42" i="1"/>
  <c r="BH41" i="1"/>
  <c r="BG41" i="1"/>
  <c r="BF41" i="1"/>
  <c r="BE41" i="1"/>
  <c r="BD41" i="1"/>
  <c r="BH40" i="1"/>
  <c r="BG40" i="1"/>
  <c r="BF40" i="1"/>
  <c r="BE40" i="1"/>
  <c r="BD40" i="1"/>
  <c r="U39" i="10" s="1"/>
  <c r="BH39" i="1"/>
  <c r="BG39" i="1"/>
  <c r="BF39" i="1"/>
  <c r="BE39" i="1"/>
  <c r="BD39" i="1"/>
  <c r="BH38" i="1"/>
  <c r="BG38" i="1"/>
  <c r="BF38" i="1"/>
  <c r="BE38" i="1"/>
  <c r="BD38" i="1"/>
  <c r="BH37" i="1"/>
  <c r="BG37" i="1"/>
  <c r="BF37" i="1"/>
  <c r="BE37" i="1"/>
  <c r="BD37" i="1"/>
  <c r="BH36" i="1"/>
  <c r="BG36" i="1"/>
  <c r="BF36" i="1"/>
  <c r="BE36" i="1"/>
  <c r="BD36" i="1"/>
  <c r="U35" i="10" s="1"/>
  <c r="BH35" i="1"/>
  <c r="BG35" i="1"/>
  <c r="BF35" i="1"/>
  <c r="BE35" i="1"/>
  <c r="BD35" i="1"/>
  <c r="BH34" i="1"/>
  <c r="BG34" i="1"/>
  <c r="BF34" i="1"/>
  <c r="BE34" i="1"/>
  <c r="BD34" i="1"/>
  <c r="BH33" i="1"/>
  <c r="BG33" i="1"/>
  <c r="BF33" i="1"/>
  <c r="BE33" i="1"/>
  <c r="BD33" i="1"/>
  <c r="BH32" i="1"/>
  <c r="BG32" i="1"/>
  <c r="BF32" i="1"/>
  <c r="BE32" i="1"/>
  <c r="BD32" i="1"/>
  <c r="U31" i="10" s="1"/>
  <c r="BH31" i="1"/>
  <c r="BG31" i="1"/>
  <c r="BF31" i="1"/>
  <c r="BE31" i="1"/>
  <c r="BD31" i="1"/>
  <c r="BH30" i="1"/>
  <c r="BG30" i="1"/>
  <c r="BF30" i="1"/>
  <c r="BE30" i="1"/>
  <c r="BD30" i="1"/>
  <c r="BH29" i="1"/>
  <c r="BG29" i="1"/>
  <c r="BF29" i="1"/>
  <c r="BE29" i="1"/>
  <c r="BD29" i="1"/>
  <c r="BH28" i="1"/>
  <c r="BG28" i="1"/>
  <c r="BF28" i="1"/>
  <c r="BE28" i="1"/>
  <c r="BD28" i="1"/>
  <c r="U27" i="10" s="1"/>
  <c r="BH27" i="1"/>
  <c r="BG27" i="1"/>
  <c r="BF27" i="1"/>
  <c r="BE27" i="1"/>
  <c r="BD27" i="1"/>
  <c r="BH26" i="1"/>
  <c r="BG26" i="1"/>
  <c r="BF26" i="1"/>
  <c r="BE26" i="1"/>
  <c r="BD26" i="1"/>
  <c r="BH25" i="1"/>
  <c r="BG25" i="1"/>
  <c r="BF25" i="1"/>
  <c r="BE25" i="1"/>
  <c r="BD25" i="1"/>
  <c r="BH24" i="1"/>
  <c r="BG24" i="1"/>
  <c r="BF24" i="1"/>
  <c r="BE24" i="1"/>
  <c r="BD24" i="1"/>
  <c r="U23" i="10" s="1"/>
  <c r="BH23" i="1"/>
  <c r="BG23" i="1"/>
  <c r="BF23" i="1"/>
  <c r="BE23" i="1"/>
  <c r="BD23" i="1"/>
  <c r="BH22" i="1"/>
  <c r="BG22" i="1"/>
  <c r="BF22" i="1"/>
  <c r="BE22" i="1"/>
  <c r="BD22" i="1"/>
  <c r="BH21" i="1"/>
  <c r="BG21" i="1"/>
  <c r="BF21" i="1"/>
  <c r="BE21" i="1"/>
  <c r="BD21" i="1"/>
  <c r="BH20" i="1"/>
  <c r="BG20" i="1"/>
  <c r="BF20" i="1"/>
  <c r="BE20" i="1"/>
  <c r="BD20" i="1"/>
  <c r="U19" i="10" s="1"/>
  <c r="BH19" i="1"/>
  <c r="BG19" i="1"/>
  <c r="BF19" i="1"/>
  <c r="BE19" i="1"/>
  <c r="BD19" i="1"/>
  <c r="BH18" i="1"/>
  <c r="BG18" i="1"/>
  <c r="BF18" i="1"/>
  <c r="BE18" i="1"/>
  <c r="BD18" i="1"/>
  <c r="BH17" i="1"/>
  <c r="BG17" i="1"/>
  <c r="BF17" i="1"/>
  <c r="BE17" i="1"/>
  <c r="BD17" i="1"/>
  <c r="BH16" i="1"/>
  <c r="BG16" i="1"/>
  <c r="BF16" i="1"/>
  <c r="BE16" i="1"/>
  <c r="BD16" i="1"/>
  <c r="BH15" i="1"/>
  <c r="BG15" i="1"/>
  <c r="BF15" i="1"/>
  <c r="BE15" i="1"/>
  <c r="BD15" i="1"/>
  <c r="BH14" i="1"/>
  <c r="BG14" i="1"/>
  <c r="BF14" i="1"/>
  <c r="BE14" i="1"/>
  <c r="BD14" i="1"/>
  <c r="BH13" i="1"/>
  <c r="BG13" i="1"/>
  <c r="BF13" i="1"/>
  <c r="BE13" i="1"/>
  <c r="BD13" i="1"/>
  <c r="BH12" i="1"/>
  <c r="BG12" i="1"/>
  <c r="BF12" i="1"/>
  <c r="BE12" i="1"/>
  <c r="BD12" i="1"/>
  <c r="BH11" i="1"/>
  <c r="BG11" i="1"/>
  <c r="BF11" i="1"/>
  <c r="BE11" i="1"/>
  <c r="BD11" i="1"/>
  <c r="BH10" i="1"/>
  <c r="BG10" i="1"/>
  <c r="BF10" i="1"/>
  <c r="BE10" i="1"/>
  <c r="BD10" i="1"/>
  <c r="BH9" i="1"/>
  <c r="BG9" i="1"/>
  <c r="BF9" i="1"/>
  <c r="BE9" i="1"/>
  <c r="BD9" i="1"/>
  <c r="BH8" i="1"/>
  <c r="BH168" i="1" s="1"/>
  <c r="BG8" i="1"/>
  <c r="BF8" i="1"/>
  <c r="BE8" i="1"/>
  <c r="BE168" i="1" s="1"/>
  <c r="BD8" i="1"/>
  <c r="BD168" i="1" s="1"/>
  <c r="BH7" i="1"/>
  <c r="BG7" i="1"/>
  <c r="BF7" i="1"/>
  <c r="BF167" i="1" s="1"/>
  <c r="BE7" i="1"/>
  <c r="BE167" i="1" s="1"/>
  <c r="BD7" i="1"/>
  <c r="BC106" i="1"/>
  <c r="BA106" i="1"/>
  <c r="AZ106" i="1"/>
  <c r="AY106" i="1"/>
  <c r="AX106" i="1"/>
  <c r="AW106" i="1"/>
  <c r="AV106" i="1"/>
  <c r="T105" i="10" s="1"/>
  <c r="BC105" i="1"/>
  <c r="BA105" i="1"/>
  <c r="AZ105" i="1"/>
  <c r="AY105" i="1"/>
  <c r="AX105" i="1"/>
  <c r="AW105" i="1"/>
  <c r="AV105" i="1"/>
  <c r="BC104" i="1"/>
  <c r="BA104" i="1"/>
  <c r="AZ104" i="1"/>
  <c r="AY104" i="1"/>
  <c r="AX104" i="1"/>
  <c r="AW104" i="1"/>
  <c r="AV104" i="1"/>
  <c r="BC103" i="1"/>
  <c r="BA103" i="1"/>
  <c r="AZ103" i="1"/>
  <c r="AY103" i="1"/>
  <c r="AX103" i="1"/>
  <c r="AW103" i="1"/>
  <c r="AV103" i="1"/>
  <c r="BC102" i="1"/>
  <c r="BA102" i="1"/>
  <c r="AZ102" i="1"/>
  <c r="AY102" i="1"/>
  <c r="AX102" i="1"/>
  <c r="AW102" i="1"/>
  <c r="AV102" i="1"/>
  <c r="BC101" i="1"/>
  <c r="BA101" i="1"/>
  <c r="AZ101" i="1"/>
  <c r="AY101" i="1"/>
  <c r="AX101" i="1"/>
  <c r="AW101" i="1"/>
  <c r="AV101" i="1"/>
  <c r="BC100" i="1"/>
  <c r="BA100" i="1"/>
  <c r="AZ100" i="1"/>
  <c r="AY100" i="1"/>
  <c r="AX100" i="1"/>
  <c r="AW100" i="1"/>
  <c r="AV100" i="1"/>
  <c r="BC99" i="1"/>
  <c r="BA99" i="1"/>
  <c r="AZ99" i="1"/>
  <c r="AY99" i="1"/>
  <c r="AX99" i="1"/>
  <c r="AW99" i="1"/>
  <c r="AV99" i="1"/>
  <c r="BC98" i="1"/>
  <c r="BA98" i="1"/>
  <c r="AZ98" i="1"/>
  <c r="AY98" i="1"/>
  <c r="AX98" i="1"/>
  <c r="AW98" i="1"/>
  <c r="AV98" i="1"/>
  <c r="BC97" i="1"/>
  <c r="BA97" i="1"/>
  <c r="AZ97" i="1"/>
  <c r="AY97" i="1"/>
  <c r="AX97" i="1"/>
  <c r="AW97" i="1"/>
  <c r="AV97" i="1"/>
  <c r="BC96" i="1"/>
  <c r="BA96" i="1"/>
  <c r="AZ96" i="1"/>
  <c r="AY96" i="1"/>
  <c r="AX96" i="1"/>
  <c r="AW96" i="1"/>
  <c r="AV96" i="1"/>
  <c r="BC95" i="1"/>
  <c r="BA95" i="1"/>
  <c r="AZ95" i="1"/>
  <c r="AY95" i="1"/>
  <c r="AX95" i="1"/>
  <c r="AW95" i="1"/>
  <c r="AV95" i="1"/>
  <c r="BC94" i="1"/>
  <c r="BA94" i="1"/>
  <c r="AZ94" i="1"/>
  <c r="AY94" i="1"/>
  <c r="AX94" i="1"/>
  <c r="AW94" i="1"/>
  <c r="AV94" i="1"/>
  <c r="BC93" i="1"/>
  <c r="BA93" i="1"/>
  <c r="AZ93" i="1"/>
  <c r="AY93" i="1"/>
  <c r="AX93" i="1"/>
  <c r="AW93" i="1"/>
  <c r="AV93" i="1"/>
  <c r="BC92" i="1"/>
  <c r="BA92" i="1"/>
  <c r="AZ92" i="1"/>
  <c r="AY92" i="1"/>
  <c r="AX92" i="1"/>
  <c r="AW92" i="1"/>
  <c r="AV92" i="1"/>
  <c r="BC91" i="1"/>
  <c r="BA91" i="1"/>
  <c r="AZ91" i="1"/>
  <c r="AY91" i="1"/>
  <c r="AX91" i="1"/>
  <c r="AW91" i="1"/>
  <c r="AV91" i="1"/>
  <c r="BC90" i="1"/>
  <c r="BA90" i="1"/>
  <c r="AZ90" i="1"/>
  <c r="AY90" i="1"/>
  <c r="AX90" i="1"/>
  <c r="AW90" i="1"/>
  <c r="AV90" i="1"/>
  <c r="BC89" i="1"/>
  <c r="BA89" i="1"/>
  <c r="AZ89" i="1"/>
  <c r="AY89" i="1"/>
  <c r="AX89" i="1"/>
  <c r="AW89" i="1"/>
  <c r="AV89" i="1"/>
  <c r="BC88" i="1"/>
  <c r="BA88" i="1"/>
  <c r="AZ88" i="1"/>
  <c r="AY88" i="1"/>
  <c r="AX88" i="1"/>
  <c r="AW88" i="1"/>
  <c r="AV88" i="1"/>
  <c r="BC87" i="1"/>
  <c r="BA87" i="1"/>
  <c r="AZ87" i="1"/>
  <c r="AY87" i="1"/>
  <c r="AX87" i="1"/>
  <c r="AW87" i="1"/>
  <c r="AV87" i="1"/>
  <c r="BC86" i="1"/>
  <c r="BA86" i="1"/>
  <c r="AZ86" i="1"/>
  <c r="AY86" i="1"/>
  <c r="AX86" i="1"/>
  <c r="AW86" i="1"/>
  <c r="AV86" i="1"/>
  <c r="BC85" i="1"/>
  <c r="BA85" i="1"/>
  <c r="AZ85" i="1"/>
  <c r="AY85" i="1"/>
  <c r="AX85" i="1"/>
  <c r="AW85" i="1"/>
  <c r="AV85" i="1"/>
  <c r="BC84" i="1"/>
  <c r="BA84" i="1"/>
  <c r="AZ84" i="1"/>
  <c r="AY84" i="1"/>
  <c r="AX84" i="1"/>
  <c r="AW84" i="1"/>
  <c r="AV84" i="1"/>
  <c r="BC83" i="1"/>
  <c r="BA83" i="1"/>
  <c r="AZ83" i="1"/>
  <c r="AY83" i="1"/>
  <c r="AX83" i="1"/>
  <c r="AW83" i="1"/>
  <c r="AV83" i="1"/>
  <c r="BC82" i="1"/>
  <c r="BA82" i="1"/>
  <c r="AZ82" i="1"/>
  <c r="AY82" i="1"/>
  <c r="AX82" i="1"/>
  <c r="AW82" i="1"/>
  <c r="AV82" i="1"/>
  <c r="BC81" i="1"/>
  <c r="BA81" i="1"/>
  <c r="AZ81" i="1"/>
  <c r="AY81" i="1"/>
  <c r="AX81" i="1"/>
  <c r="AW81" i="1"/>
  <c r="AV81" i="1"/>
  <c r="BC80" i="1"/>
  <c r="BA80" i="1"/>
  <c r="AZ80" i="1"/>
  <c r="AY80" i="1"/>
  <c r="AX80" i="1"/>
  <c r="AW80" i="1"/>
  <c r="AV80" i="1"/>
  <c r="BC79" i="1"/>
  <c r="BA79" i="1"/>
  <c r="AZ79" i="1"/>
  <c r="AY79" i="1"/>
  <c r="AX79" i="1"/>
  <c r="AW79" i="1"/>
  <c r="AV79" i="1"/>
  <c r="BC78" i="1"/>
  <c r="BA78" i="1"/>
  <c r="AZ78" i="1"/>
  <c r="AY78" i="1"/>
  <c r="AX78" i="1"/>
  <c r="AW78" i="1"/>
  <c r="AV78" i="1"/>
  <c r="BC77" i="1"/>
  <c r="BA77" i="1"/>
  <c r="AZ77" i="1"/>
  <c r="AY77" i="1"/>
  <c r="AX77" i="1"/>
  <c r="AW77" i="1"/>
  <c r="AV77" i="1"/>
  <c r="BC76" i="1"/>
  <c r="BA76" i="1"/>
  <c r="AZ76" i="1"/>
  <c r="AY76" i="1"/>
  <c r="AX76" i="1"/>
  <c r="AW76" i="1"/>
  <c r="AV76" i="1"/>
  <c r="BC75" i="1"/>
  <c r="BA75" i="1"/>
  <c r="AZ75" i="1"/>
  <c r="AY75" i="1"/>
  <c r="AX75" i="1"/>
  <c r="AW75" i="1"/>
  <c r="AV75" i="1"/>
  <c r="BC74" i="1"/>
  <c r="BA74" i="1"/>
  <c r="AZ74" i="1"/>
  <c r="AY74" i="1"/>
  <c r="AX74" i="1"/>
  <c r="AW74" i="1"/>
  <c r="AV74" i="1"/>
  <c r="BC73" i="1"/>
  <c r="BA73" i="1"/>
  <c r="AZ73" i="1"/>
  <c r="AY73" i="1"/>
  <c r="AX73" i="1"/>
  <c r="AW73" i="1"/>
  <c r="AV73" i="1"/>
  <c r="BC72" i="1"/>
  <c r="BA72" i="1"/>
  <c r="AZ72" i="1"/>
  <c r="AY72" i="1"/>
  <c r="AX72" i="1"/>
  <c r="AW72" i="1"/>
  <c r="AV72" i="1"/>
  <c r="BC71" i="1"/>
  <c r="BA71" i="1"/>
  <c r="AZ71" i="1"/>
  <c r="AY71" i="1"/>
  <c r="AX71" i="1"/>
  <c r="AW71" i="1"/>
  <c r="AV71" i="1"/>
  <c r="BC70" i="1"/>
  <c r="BA70" i="1"/>
  <c r="AZ70" i="1"/>
  <c r="AY70" i="1"/>
  <c r="AX70" i="1"/>
  <c r="AW70" i="1"/>
  <c r="AV70" i="1"/>
  <c r="BC69" i="1"/>
  <c r="BA69" i="1"/>
  <c r="AZ69" i="1"/>
  <c r="AY69" i="1"/>
  <c r="AX69" i="1"/>
  <c r="AW69" i="1"/>
  <c r="AV69" i="1"/>
  <c r="BC68" i="1"/>
  <c r="BA68" i="1"/>
  <c r="AZ68" i="1"/>
  <c r="AY68" i="1"/>
  <c r="AX68" i="1"/>
  <c r="AW68" i="1"/>
  <c r="AV68" i="1"/>
  <c r="BC67" i="1"/>
  <c r="BA67" i="1"/>
  <c r="AZ67" i="1"/>
  <c r="AY67" i="1"/>
  <c r="AX67" i="1"/>
  <c r="AW67" i="1"/>
  <c r="AV67" i="1"/>
  <c r="BC66" i="1"/>
  <c r="BA66" i="1"/>
  <c r="AZ66" i="1"/>
  <c r="AY66" i="1"/>
  <c r="AX66" i="1"/>
  <c r="AW66" i="1"/>
  <c r="AV66" i="1"/>
  <c r="BC65" i="1"/>
  <c r="BA65" i="1"/>
  <c r="AZ65" i="1"/>
  <c r="AY65" i="1"/>
  <c r="AX65" i="1"/>
  <c r="AW65" i="1"/>
  <c r="AV65" i="1"/>
  <c r="BC64" i="1"/>
  <c r="BA64" i="1"/>
  <c r="AZ64" i="1"/>
  <c r="AY64" i="1"/>
  <c r="AX64" i="1"/>
  <c r="AW64" i="1"/>
  <c r="AV64" i="1"/>
  <c r="BC63" i="1"/>
  <c r="BA63" i="1"/>
  <c r="AZ63" i="1"/>
  <c r="AY63" i="1"/>
  <c r="AX63" i="1"/>
  <c r="AW63" i="1"/>
  <c r="AV63" i="1"/>
  <c r="BC62" i="1"/>
  <c r="BA62" i="1"/>
  <c r="AZ62" i="1"/>
  <c r="AY62" i="1"/>
  <c r="AX62" i="1"/>
  <c r="AW62" i="1"/>
  <c r="AV62" i="1"/>
  <c r="BC61" i="1"/>
  <c r="BA61" i="1"/>
  <c r="AZ61" i="1"/>
  <c r="AY61" i="1"/>
  <c r="AX61" i="1"/>
  <c r="AW61" i="1"/>
  <c r="AV61" i="1"/>
  <c r="BC60" i="1"/>
  <c r="BA60" i="1"/>
  <c r="AZ60" i="1"/>
  <c r="AY60" i="1"/>
  <c r="AX60" i="1"/>
  <c r="AW60" i="1"/>
  <c r="AV60" i="1"/>
  <c r="BC59" i="1"/>
  <c r="BA59" i="1"/>
  <c r="AZ59" i="1"/>
  <c r="AY59" i="1"/>
  <c r="AX59" i="1"/>
  <c r="AW59" i="1"/>
  <c r="AV59" i="1"/>
  <c r="BC58" i="1"/>
  <c r="BA58" i="1"/>
  <c r="AZ58" i="1"/>
  <c r="AY58" i="1"/>
  <c r="AX58" i="1"/>
  <c r="AW58" i="1"/>
  <c r="AV58" i="1"/>
  <c r="BC57" i="1"/>
  <c r="BA57" i="1"/>
  <c r="AZ57" i="1"/>
  <c r="AY57" i="1"/>
  <c r="AX57" i="1"/>
  <c r="AW57" i="1"/>
  <c r="AV57" i="1"/>
  <c r="BC56" i="1"/>
  <c r="BA56" i="1"/>
  <c r="AZ56" i="1"/>
  <c r="AY56" i="1"/>
  <c r="AX56" i="1"/>
  <c r="AW56" i="1"/>
  <c r="AV56" i="1"/>
  <c r="BC55" i="1"/>
  <c r="BA55" i="1"/>
  <c r="AZ55" i="1"/>
  <c r="AY55" i="1"/>
  <c r="AX55" i="1"/>
  <c r="AW55" i="1"/>
  <c r="AV55" i="1"/>
  <c r="BC54" i="1"/>
  <c r="BA54" i="1"/>
  <c r="AZ54" i="1"/>
  <c r="AY54" i="1"/>
  <c r="AX54" i="1"/>
  <c r="AW54" i="1"/>
  <c r="AV54" i="1"/>
  <c r="BC53" i="1"/>
  <c r="BA53" i="1"/>
  <c r="AZ53" i="1"/>
  <c r="AY53" i="1"/>
  <c r="AX53" i="1"/>
  <c r="AW53" i="1"/>
  <c r="AV53" i="1"/>
  <c r="BC50" i="1"/>
  <c r="BA50" i="1"/>
  <c r="AZ50" i="1"/>
  <c r="AY50" i="1"/>
  <c r="AX50" i="1"/>
  <c r="AW50" i="1"/>
  <c r="AV50" i="1"/>
  <c r="BC49" i="1"/>
  <c r="BA49" i="1"/>
  <c r="AZ49" i="1"/>
  <c r="AY49" i="1"/>
  <c r="AX49" i="1"/>
  <c r="AW49" i="1"/>
  <c r="AV49" i="1"/>
  <c r="BC48" i="1"/>
  <c r="BA48" i="1"/>
  <c r="AZ48" i="1"/>
  <c r="AY48" i="1"/>
  <c r="AX48" i="1"/>
  <c r="AW48" i="1"/>
  <c r="AV48" i="1"/>
  <c r="BC47" i="1"/>
  <c r="BA47" i="1"/>
  <c r="AZ47" i="1"/>
  <c r="AY47" i="1"/>
  <c r="AX47" i="1"/>
  <c r="AW47" i="1"/>
  <c r="AV47" i="1"/>
  <c r="BC46" i="1"/>
  <c r="BA46" i="1"/>
  <c r="AZ46" i="1"/>
  <c r="AY46" i="1"/>
  <c r="AX46" i="1"/>
  <c r="AW46" i="1"/>
  <c r="AV46" i="1"/>
  <c r="BC45" i="1"/>
  <c r="BA45" i="1"/>
  <c r="AZ45" i="1"/>
  <c r="AY45" i="1"/>
  <c r="AX45" i="1"/>
  <c r="AW45" i="1"/>
  <c r="AV45" i="1"/>
  <c r="BC44" i="1"/>
  <c r="BA44" i="1"/>
  <c r="AZ44" i="1"/>
  <c r="AY44" i="1"/>
  <c r="AX44" i="1"/>
  <c r="AW44" i="1"/>
  <c r="AV44" i="1"/>
  <c r="BC43" i="1"/>
  <c r="BA43" i="1"/>
  <c r="AZ43" i="1"/>
  <c r="AY43" i="1"/>
  <c r="AX43" i="1"/>
  <c r="AW43" i="1"/>
  <c r="AV43" i="1"/>
  <c r="BC42" i="1"/>
  <c r="BA42" i="1"/>
  <c r="AZ42" i="1"/>
  <c r="AY42" i="1"/>
  <c r="AX42" i="1"/>
  <c r="AW42" i="1"/>
  <c r="AV42" i="1"/>
  <c r="BC41" i="1"/>
  <c r="BA41" i="1"/>
  <c r="AZ41" i="1"/>
  <c r="AY41" i="1"/>
  <c r="AX41" i="1"/>
  <c r="AW41" i="1"/>
  <c r="AV41" i="1"/>
  <c r="BC40" i="1"/>
  <c r="BA40" i="1"/>
  <c r="AZ40" i="1"/>
  <c r="AY40" i="1"/>
  <c r="AX40" i="1"/>
  <c r="AW40" i="1"/>
  <c r="AV40" i="1"/>
  <c r="BC39" i="1"/>
  <c r="BA39" i="1"/>
  <c r="AZ39" i="1"/>
  <c r="AY39" i="1"/>
  <c r="AX39" i="1"/>
  <c r="AW39" i="1"/>
  <c r="AV39" i="1"/>
  <c r="BC38" i="1"/>
  <c r="BA38" i="1"/>
  <c r="AZ38" i="1"/>
  <c r="AY38" i="1"/>
  <c r="AX38" i="1"/>
  <c r="AW38" i="1"/>
  <c r="AV38" i="1"/>
  <c r="BC37" i="1"/>
  <c r="BA37" i="1"/>
  <c r="AZ37" i="1"/>
  <c r="AY37" i="1"/>
  <c r="AX37" i="1"/>
  <c r="AW37" i="1"/>
  <c r="AV37" i="1"/>
  <c r="BC36" i="1"/>
  <c r="BA36" i="1"/>
  <c r="AZ36" i="1"/>
  <c r="AY36" i="1"/>
  <c r="AX36" i="1"/>
  <c r="AW36" i="1"/>
  <c r="AV36" i="1"/>
  <c r="BC35" i="1"/>
  <c r="BA35" i="1"/>
  <c r="AZ35" i="1"/>
  <c r="AY35" i="1"/>
  <c r="AX35" i="1"/>
  <c r="AW35" i="1"/>
  <c r="AV35" i="1"/>
  <c r="BC34" i="1"/>
  <c r="BA34" i="1"/>
  <c r="AZ34" i="1"/>
  <c r="AY34" i="1"/>
  <c r="AX34" i="1"/>
  <c r="AW34" i="1"/>
  <c r="AV34" i="1"/>
  <c r="BC33" i="1"/>
  <c r="BA33" i="1"/>
  <c r="AZ33" i="1"/>
  <c r="AY33" i="1"/>
  <c r="AX33" i="1"/>
  <c r="AW33" i="1"/>
  <c r="AV33" i="1"/>
  <c r="BC32" i="1"/>
  <c r="BA32" i="1"/>
  <c r="AZ32" i="1"/>
  <c r="AY32" i="1"/>
  <c r="AX32" i="1"/>
  <c r="AW32" i="1"/>
  <c r="AV32" i="1"/>
  <c r="BC31" i="1"/>
  <c r="BA31" i="1"/>
  <c r="AZ31" i="1"/>
  <c r="AY31" i="1"/>
  <c r="AX31" i="1"/>
  <c r="AW31" i="1"/>
  <c r="AV31" i="1"/>
  <c r="BC30" i="1"/>
  <c r="BA30" i="1"/>
  <c r="AZ30" i="1"/>
  <c r="AY30" i="1"/>
  <c r="AX30" i="1"/>
  <c r="AW30" i="1"/>
  <c r="AV30" i="1"/>
  <c r="BC29" i="1"/>
  <c r="BA29" i="1"/>
  <c r="AZ29" i="1"/>
  <c r="AY29" i="1"/>
  <c r="AX29" i="1"/>
  <c r="AW29" i="1"/>
  <c r="AV29" i="1"/>
  <c r="BC28" i="1"/>
  <c r="BA28" i="1"/>
  <c r="AZ28" i="1"/>
  <c r="AY28" i="1"/>
  <c r="AX28" i="1"/>
  <c r="AW28" i="1"/>
  <c r="AV28" i="1"/>
  <c r="BC27" i="1"/>
  <c r="BA27" i="1"/>
  <c r="AZ27" i="1"/>
  <c r="AY27" i="1"/>
  <c r="AX27" i="1"/>
  <c r="AW27" i="1"/>
  <c r="AV27" i="1"/>
  <c r="BC26" i="1"/>
  <c r="BA26" i="1"/>
  <c r="AZ26" i="1"/>
  <c r="AY26" i="1"/>
  <c r="AX26" i="1"/>
  <c r="AW26" i="1"/>
  <c r="AV26" i="1"/>
  <c r="BC25" i="1"/>
  <c r="BA25" i="1"/>
  <c r="AZ25" i="1"/>
  <c r="AY25" i="1"/>
  <c r="AX25" i="1"/>
  <c r="AW25" i="1"/>
  <c r="AV25" i="1"/>
  <c r="BC24" i="1"/>
  <c r="BA24" i="1"/>
  <c r="AZ24" i="1"/>
  <c r="AY24" i="1"/>
  <c r="AX24" i="1"/>
  <c r="AW24" i="1"/>
  <c r="AV24" i="1"/>
  <c r="BC23" i="1"/>
  <c r="BA23" i="1"/>
  <c r="AZ23" i="1"/>
  <c r="AY23" i="1"/>
  <c r="AX23" i="1"/>
  <c r="AW23" i="1"/>
  <c r="AV23" i="1"/>
  <c r="BC22" i="1"/>
  <c r="BA22" i="1"/>
  <c r="AZ22" i="1"/>
  <c r="AY22" i="1"/>
  <c r="AX22" i="1"/>
  <c r="AW22" i="1"/>
  <c r="AV22" i="1"/>
  <c r="BC21" i="1"/>
  <c r="BA21" i="1"/>
  <c r="AZ21" i="1"/>
  <c r="AY21" i="1"/>
  <c r="AX21" i="1"/>
  <c r="AW21" i="1"/>
  <c r="AV21" i="1"/>
  <c r="BC20" i="1"/>
  <c r="BA20" i="1"/>
  <c r="AZ20" i="1"/>
  <c r="AY20" i="1"/>
  <c r="AX20" i="1"/>
  <c r="AW20" i="1"/>
  <c r="AV20" i="1"/>
  <c r="BC19" i="1"/>
  <c r="BA19" i="1"/>
  <c r="AZ19" i="1"/>
  <c r="AY19" i="1"/>
  <c r="AX19" i="1"/>
  <c r="AW19" i="1"/>
  <c r="AV19" i="1"/>
  <c r="BC18" i="1"/>
  <c r="BA18" i="1"/>
  <c r="AZ18" i="1"/>
  <c r="AY18" i="1"/>
  <c r="AX18" i="1"/>
  <c r="AW18" i="1"/>
  <c r="AV18" i="1"/>
  <c r="BC17" i="1"/>
  <c r="BA17" i="1"/>
  <c r="AZ17" i="1"/>
  <c r="AY17" i="1"/>
  <c r="AX17" i="1"/>
  <c r="AW17" i="1"/>
  <c r="AV17" i="1"/>
  <c r="BC16" i="1"/>
  <c r="BA16" i="1"/>
  <c r="AZ16" i="1"/>
  <c r="AY16" i="1"/>
  <c r="AX16" i="1"/>
  <c r="AW16" i="1"/>
  <c r="AV16" i="1"/>
  <c r="BC15" i="1"/>
  <c r="BA15" i="1"/>
  <c r="AZ15" i="1"/>
  <c r="AY15" i="1"/>
  <c r="AX15" i="1"/>
  <c r="AW15" i="1"/>
  <c r="AV15" i="1"/>
  <c r="BC14" i="1"/>
  <c r="BA14" i="1"/>
  <c r="AZ14" i="1"/>
  <c r="AY14" i="1"/>
  <c r="AX14" i="1"/>
  <c r="AW14" i="1"/>
  <c r="AV14" i="1"/>
  <c r="BC13" i="1"/>
  <c r="BA13" i="1"/>
  <c r="AZ13" i="1"/>
  <c r="AY13" i="1"/>
  <c r="AX13" i="1"/>
  <c r="AW13" i="1"/>
  <c r="AV13" i="1"/>
  <c r="BC12" i="1"/>
  <c r="BA12" i="1"/>
  <c r="AZ12" i="1"/>
  <c r="AY12" i="1"/>
  <c r="AX12" i="1"/>
  <c r="AW12" i="1"/>
  <c r="AV12" i="1"/>
  <c r="BC11" i="1"/>
  <c r="BA11" i="1"/>
  <c r="AZ11" i="1"/>
  <c r="AY11" i="1"/>
  <c r="AX11" i="1"/>
  <c r="AW11" i="1"/>
  <c r="AV11" i="1"/>
  <c r="BC10" i="1"/>
  <c r="BA10" i="1"/>
  <c r="AZ10" i="1"/>
  <c r="AY10" i="1"/>
  <c r="AX10" i="1"/>
  <c r="AW10" i="1"/>
  <c r="AV10" i="1"/>
  <c r="BC9" i="1"/>
  <c r="BA9" i="1"/>
  <c r="AZ9" i="1"/>
  <c r="AY9" i="1"/>
  <c r="AX9" i="1"/>
  <c r="AW9" i="1"/>
  <c r="AV9" i="1"/>
  <c r="BC8" i="1"/>
  <c r="BC168" i="1" s="1"/>
  <c r="BA8" i="1"/>
  <c r="AZ8" i="1"/>
  <c r="AY8" i="1"/>
  <c r="AY168" i="1" s="1"/>
  <c r="AX8" i="1"/>
  <c r="AX168" i="1" s="1"/>
  <c r="AW8" i="1"/>
  <c r="AV8" i="1"/>
  <c r="BC7" i="1"/>
  <c r="BC167" i="1" s="1"/>
  <c r="BA7" i="1"/>
  <c r="BA167" i="1" s="1"/>
  <c r="AZ7" i="1"/>
  <c r="AY7" i="1"/>
  <c r="AX7" i="1"/>
  <c r="AX167" i="1" s="1"/>
  <c r="AW7" i="1"/>
  <c r="AW167" i="1" s="1"/>
  <c r="AV7" i="1"/>
  <c r="AR106" i="1"/>
  <c r="AQ106" i="1"/>
  <c r="AP106" i="1"/>
  <c r="AO106" i="1"/>
  <c r="AN106" i="1"/>
  <c r="AR105" i="1"/>
  <c r="AQ105" i="1"/>
  <c r="AP105" i="1"/>
  <c r="AO105" i="1"/>
  <c r="AN105" i="1"/>
  <c r="AR104" i="1"/>
  <c r="AQ104" i="1"/>
  <c r="AP104" i="1"/>
  <c r="AO104" i="1"/>
  <c r="AN104" i="1"/>
  <c r="AR103" i="1"/>
  <c r="AQ103" i="1"/>
  <c r="AP103" i="1"/>
  <c r="AO103" i="1"/>
  <c r="AN103" i="1"/>
  <c r="AR102" i="1"/>
  <c r="AQ102" i="1"/>
  <c r="AP102" i="1"/>
  <c r="AO102" i="1"/>
  <c r="AN102" i="1"/>
  <c r="AR101" i="1"/>
  <c r="AQ101" i="1"/>
  <c r="AP101" i="1"/>
  <c r="AO101" i="1"/>
  <c r="AN101" i="1"/>
  <c r="AR100" i="1"/>
  <c r="AQ100" i="1"/>
  <c r="AP100" i="1"/>
  <c r="AO100" i="1"/>
  <c r="AN100" i="1"/>
  <c r="AR99" i="1"/>
  <c r="AQ99" i="1"/>
  <c r="AP99" i="1"/>
  <c r="AO99" i="1"/>
  <c r="AN99" i="1"/>
  <c r="AR98" i="1"/>
  <c r="AQ98" i="1"/>
  <c r="AP98" i="1"/>
  <c r="AO98" i="1"/>
  <c r="AN98" i="1"/>
  <c r="AR97" i="1"/>
  <c r="AQ97" i="1"/>
  <c r="AP97" i="1"/>
  <c r="AO97" i="1"/>
  <c r="AN97" i="1"/>
  <c r="AR96" i="1"/>
  <c r="AQ96" i="1"/>
  <c r="AP96" i="1"/>
  <c r="AO96" i="1"/>
  <c r="AN96" i="1"/>
  <c r="AR95" i="1"/>
  <c r="AQ95" i="1"/>
  <c r="AP95" i="1"/>
  <c r="AO95" i="1"/>
  <c r="AN95" i="1"/>
  <c r="AR94" i="1"/>
  <c r="AQ94" i="1"/>
  <c r="AP94" i="1"/>
  <c r="AO94" i="1"/>
  <c r="AN94" i="1"/>
  <c r="AR93" i="1"/>
  <c r="AQ93" i="1"/>
  <c r="AP93" i="1"/>
  <c r="AO93" i="1"/>
  <c r="AN93" i="1"/>
  <c r="AR92" i="1"/>
  <c r="AQ92" i="1"/>
  <c r="AP92" i="1"/>
  <c r="AO92" i="1"/>
  <c r="AN92" i="1"/>
  <c r="AR91" i="1"/>
  <c r="AQ91" i="1"/>
  <c r="AP91" i="1"/>
  <c r="AO91" i="1"/>
  <c r="AN91" i="1"/>
  <c r="AR90" i="1"/>
  <c r="AQ90" i="1"/>
  <c r="AP90" i="1"/>
  <c r="AO90" i="1"/>
  <c r="AN90" i="1"/>
  <c r="AR89" i="1"/>
  <c r="AQ89" i="1"/>
  <c r="AP89" i="1"/>
  <c r="AO89" i="1"/>
  <c r="AN89" i="1"/>
  <c r="AR88" i="1"/>
  <c r="AQ88" i="1"/>
  <c r="AP88" i="1"/>
  <c r="AO88" i="1"/>
  <c r="AN88" i="1"/>
  <c r="AR87" i="1"/>
  <c r="AQ87" i="1"/>
  <c r="AP87" i="1"/>
  <c r="AO87" i="1"/>
  <c r="AN87" i="1"/>
  <c r="AR86" i="1"/>
  <c r="AQ86" i="1"/>
  <c r="AP86" i="1"/>
  <c r="AO86" i="1"/>
  <c r="AN86" i="1"/>
  <c r="AR85" i="1"/>
  <c r="AQ85" i="1"/>
  <c r="AP85" i="1"/>
  <c r="AO85" i="1"/>
  <c r="AN85" i="1"/>
  <c r="AR84" i="1"/>
  <c r="AQ84" i="1"/>
  <c r="AP84" i="1"/>
  <c r="AO84" i="1"/>
  <c r="AN84" i="1"/>
  <c r="AR83" i="1"/>
  <c r="AQ83" i="1"/>
  <c r="AP83" i="1"/>
  <c r="AO83" i="1"/>
  <c r="AN83" i="1"/>
  <c r="AR82" i="1"/>
  <c r="AQ82" i="1"/>
  <c r="AP82" i="1"/>
  <c r="AO82" i="1"/>
  <c r="AN82" i="1"/>
  <c r="AR81" i="1"/>
  <c r="AQ81" i="1"/>
  <c r="AP81" i="1"/>
  <c r="AO81" i="1"/>
  <c r="AN81" i="1"/>
  <c r="AR80" i="1"/>
  <c r="AQ80" i="1"/>
  <c r="AP80" i="1"/>
  <c r="AO80" i="1"/>
  <c r="AN80" i="1"/>
  <c r="AR79" i="1"/>
  <c r="AQ79" i="1"/>
  <c r="AP79" i="1"/>
  <c r="AO79" i="1"/>
  <c r="AN79" i="1"/>
  <c r="AR78" i="1"/>
  <c r="AQ78" i="1"/>
  <c r="AP78" i="1"/>
  <c r="AO78" i="1"/>
  <c r="AN78" i="1"/>
  <c r="AR77" i="1"/>
  <c r="AQ77" i="1"/>
  <c r="AP77" i="1"/>
  <c r="AO77" i="1"/>
  <c r="AN77" i="1"/>
  <c r="AR76" i="1"/>
  <c r="AQ76" i="1"/>
  <c r="AP76" i="1"/>
  <c r="AO76" i="1"/>
  <c r="AN76" i="1"/>
  <c r="AR75" i="1"/>
  <c r="AQ75" i="1"/>
  <c r="AP75" i="1"/>
  <c r="AO75" i="1"/>
  <c r="AN75" i="1"/>
  <c r="AR74" i="1"/>
  <c r="AQ74" i="1"/>
  <c r="AP74" i="1"/>
  <c r="AO74" i="1"/>
  <c r="AN74" i="1"/>
  <c r="AR73" i="1"/>
  <c r="AQ73" i="1"/>
  <c r="AP73" i="1"/>
  <c r="AO73" i="1"/>
  <c r="AN73" i="1"/>
  <c r="AR72" i="1"/>
  <c r="AQ72" i="1"/>
  <c r="AP72" i="1"/>
  <c r="AO72" i="1"/>
  <c r="AN72" i="1"/>
  <c r="AR71" i="1"/>
  <c r="AQ71" i="1"/>
  <c r="AP71" i="1"/>
  <c r="AO71" i="1"/>
  <c r="AN71" i="1"/>
  <c r="AR70" i="1"/>
  <c r="AQ70" i="1"/>
  <c r="AP70" i="1"/>
  <c r="AO70" i="1"/>
  <c r="AN70" i="1"/>
  <c r="AR69" i="1"/>
  <c r="AQ69" i="1"/>
  <c r="AP69" i="1"/>
  <c r="AO69" i="1"/>
  <c r="AN69" i="1"/>
  <c r="AR68" i="1"/>
  <c r="AQ68" i="1"/>
  <c r="AP68" i="1"/>
  <c r="AO68" i="1"/>
  <c r="AN68" i="1"/>
  <c r="AR67" i="1"/>
  <c r="AQ67" i="1"/>
  <c r="AP67" i="1"/>
  <c r="AO67" i="1"/>
  <c r="AN67" i="1"/>
  <c r="AR66" i="1"/>
  <c r="AQ66" i="1"/>
  <c r="AP66" i="1"/>
  <c r="AO66" i="1"/>
  <c r="AN66" i="1"/>
  <c r="AR65" i="1"/>
  <c r="AQ65" i="1"/>
  <c r="AP65" i="1"/>
  <c r="AO65" i="1"/>
  <c r="AN65" i="1"/>
  <c r="AR64" i="1"/>
  <c r="AQ64" i="1"/>
  <c r="AP64" i="1"/>
  <c r="AO64" i="1"/>
  <c r="AN64" i="1"/>
  <c r="AR63" i="1"/>
  <c r="AQ63" i="1"/>
  <c r="AP63" i="1"/>
  <c r="AO63" i="1"/>
  <c r="AN63" i="1"/>
  <c r="AR62" i="1"/>
  <c r="AQ62" i="1"/>
  <c r="AP62" i="1"/>
  <c r="AO62" i="1"/>
  <c r="AN62" i="1"/>
  <c r="AR61" i="1"/>
  <c r="AQ61" i="1"/>
  <c r="AP61" i="1"/>
  <c r="AO61" i="1"/>
  <c r="AN61" i="1"/>
  <c r="AR60" i="1"/>
  <c r="AQ60" i="1"/>
  <c r="AP60" i="1"/>
  <c r="AO60" i="1"/>
  <c r="AN60" i="1"/>
  <c r="AR59" i="1"/>
  <c r="AQ59" i="1"/>
  <c r="AP59" i="1"/>
  <c r="AO59" i="1"/>
  <c r="AN59" i="1"/>
  <c r="AR58" i="1"/>
  <c r="AQ58" i="1"/>
  <c r="AP58" i="1"/>
  <c r="AO58" i="1"/>
  <c r="AN58" i="1"/>
  <c r="AR57" i="1"/>
  <c r="AQ57" i="1"/>
  <c r="AP57" i="1"/>
  <c r="AO57" i="1"/>
  <c r="AN57" i="1"/>
  <c r="AR56" i="1"/>
  <c r="AQ56" i="1"/>
  <c r="AP56" i="1"/>
  <c r="AO56" i="1"/>
  <c r="AN56" i="1"/>
  <c r="AR55" i="1"/>
  <c r="AQ55" i="1"/>
  <c r="AP55" i="1"/>
  <c r="AO55" i="1"/>
  <c r="AN55" i="1"/>
  <c r="AR54" i="1"/>
  <c r="AQ54" i="1"/>
  <c r="AP54" i="1"/>
  <c r="AO54" i="1"/>
  <c r="AN54" i="1"/>
  <c r="AR53" i="1"/>
  <c r="AQ53" i="1"/>
  <c r="AP53" i="1"/>
  <c r="AO53" i="1"/>
  <c r="AN53" i="1"/>
  <c r="AR50" i="1"/>
  <c r="AQ50" i="1"/>
  <c r="AP50" i="1"/>
  <c r="AO50" i="1"/>
  <c r="AN50" i="1"/>
  <c r="AR49" i="1"/>
  <c r="AQ49" i="1"/>
  <c r="AP49" i="1"/>
  <c r="AO49" i="1"/>
  <c r="AN49" i="1"/>
  <c r="AR48" i="1"/>
  <c r="AQ48" i="1"/>
  <c r="AP48" i="1"/>
  <c r="AO48" i="1"/>
  <c r="AN48" i="1"/>
  <c r="AR47" i="1"/>
  <c r="AQ47" i="1"/>
  <c r="AP47" i="1"/>
  <c r="AO47" i="1"/>
  <c r="AN47" i="1"/>
  <c r="AR46" i="1"/>
  <c r="AQ46" i="1"/>
  <c r="AP46" i="1"/>
  <c r="AO46" i="1"/>
  <c r="AN46" i="1"/>
  <c r="AR45" i="1"/>
  <c r="AQ45" i="1"/>
  <c r="AP45" i="1"/>
  <c r="AO45" i="1"/>
  <c r="AN45" i="1"/>
  <c r="AR44" i="1"/>
  <c r="AQ44" i="1"/>
  <c r="AP44" i="1"/>
  <c r="AO44" i="1"/>
  <c r="AN44" i="1"/>
  <c r="AR43" i="1"/>
  <c r="AQ43" i="1"/>
  <c r="AP43" i="1"/>
  <c r="AO43" i="1"/>
  <c r="AN43" i="1"/>
  <c r="AR42" i="1"/>
  <c r="AQ42" i="1"/>
  <c r="AP42" i="1"/>
  <c r="AO42" i="1"/>
  <c r="AN42" i="1"/>
  <c r="AR41" i="1"/>
  <c r="AQ41" i="1"/>
  <c r="AP41" i="1"/>
  <c r="AO41" i="1"/>
  <c r="AN41" i="1"/>
  <c r="AR40" i="1"/>
  <c r="AQ40" i="1"/>
  <c r="AP40" i="1"/>
  <c r="AO40" i="1"/>
  <c r="AN40" i="1"/>
  <c r="AR39" i="1"/>
  <c r="AQ39" i="1"/>
  <c r="AP39" i="1"/>
  <c r="AO39" i="1"/>
  <c r="AN39" i="1"/>
  <c r="AR38" i="1"/>
  <c r="AQ38" i="1"/>
  <c r="AP38" i="1"/>
  <c r="AO38" i="1"/>
  <c r="AN38" i="1"/>
  <c r="AR37" i="1"/>
  <c r="AQ37" i="1"/>
  <c r="AP37" i="1"/>
  <c r="AO37" i="1"/>
  <c r="AN37" i="1"/>
  <c r="AR36" i="1"/>
  <c r="AQ36" i="1"/>
  <c r="AP36" i="1"/>
  <c r="AO36" i="1"/>
  <c r="AN36" i="1"/>
  <c r="AR35" i="1"/>
  <c r="AQ35" i="1"/>
  <c r="AP35" i="1"/>
  <c r="AO35" i="1"/>
  <c r="AN35" i="1"/>
  <c r="AR34" i="1"/>
  <c r="AQ34" i="1"/>
  <c r="AP34" i="1"/>
  <c r="AO34" i="1"/>
  <c r="AN34" i="1"/>
  <c r="AR33" i="1"/>
  <c r="AQ33" i="1"/>
  <c r="AP33" i="1"/>
  <c r="AO33" i="1"/>
  <c r="AN33" i="1"/>
  <c r="AR32" i="1"/>
  <c r="AQ32" i="1"/>
  <c r="AP32" i="1"/>
  <c r="AO32" i="1"/>
  <c r="AN32" i="1"/>
  <c r="AR31" i="1"/>
  <c r="AQ31" i="1"/>
  <c r="AP31" i="1"/>
  <c r="AO31" i="1"/>
  <c r="AN31" i="1"/>
  <c r="AR30" i="1"/>
  <c r="AQ30" i="1"/>
  <c r="AP30" i="1"/>
  <c r="AO30" i="1"/>
  <c r="AN30" i="1"/>
  <c r="AR29" i="1"/>
  <c r="AQ29" i="1"/>
  <c r="AP29" i="1"/>
  <c r="AO29" i="1"/>
  <c r="AN29" i="1"/>
  <c r="AR28" i="1"/>
  <c r="AQ28" i="1"/>
  <c r="AP28" i="1"/>
  <c r="AO28" i="1"/>
  <c r="AN28" i="1"/>
  <c r="AR27" i="1"/>
  <c r="AQ27" i="1"/>
  <c r="AP27" i="1"/>
  <c r="AO27" i="1"/>
  <c r="AN27" i="1"/>
  <c r="AR26" i="1"/>
  <c r="AQ26" i="1"/>
  <c r="AP26" i="1"/>
  <c r="AO26" i="1"/>
  <c r="AN26" i="1"/>
  <c r="AR25" i="1"/>
  <c r="AQ25" i="1"/>
  <c r="AP25" i="1"/>
  <c r="AO25" i="1"/>
  <c r="AN25" i="1"/>
  <c r="AR24" i="1"/>
  <c r="AQ24" i="1"/>
  <c r="AP24" i="1"/>
  <c r="AO24" i="1"/>
  <c r="AN24" i="1"/>
  <c r="AR23" i="1"/>
  <c r="AQ23" i="1"/>
  <c r="AP23" i="1"/>
  <c r="AO23" i="1"/>
  <c r="AN23" i="1"/>
  <c r="AR22" i="1"/>
  <c r="AQ22" i="1"/>
  <c r="AP22" i="1"/>
  <c r="AO22" i="1"/>
  <c r="AN22" i="1"/>
  <c r="AR21" i="1"/>
  <c r="AQ21" i="1"/>
  <c r="AP21" i="1"/>
  <c r="AO21" i="1"/>
  <c r="AN21" i="1"/>
  <c r="AR20" i="1"/>
  <c r="AQ20" i="1"/>
  <c r="AP20" i="1"/>
  <c r="AO20" i="1"/>
  <c r="AN20" i="1"/>
  <c r="AR19" i="1"/>
  <c r="AQ19" i="1"/>
  <c r="AP19" i="1"/>
  <c r="AO19" i="1"/>
  <c r="AN19" i="1"/>
  <c r="AR18" i="1"/>
  <c r="AQ18" i="1"/>
  <c r="AP18" i="1"/>
  <c r="AO18" i="1"/>
  <c r="AN18" i="1"/>
  <c r="AR17" i="1"/>
  <c r="AQ17" i="1"/>
  <c r="AP17" i="1"/>
  <c r="AO17" i="1"/>
  <c r="AN17" i="1"/>
  <c r="AG106" i="1"/>
  <c r="AF106" i="1"/>
  <c r="AE106" i="1"/>
  <c r="AD106" i="1"/>
  <c r="AC106" i="1"/>
  <c r="AB106" i="1"/>
  <c r="AG105" i="1"/>
  <c r="AF105" i="1"/>
  <c r="AE105" i="1"/>
  <c r="AD105" i="1"/>
  <c r="AC105" i="1"/>
  <c r="AB105" i="1"/>
  <c r="AG104" i="1"/>
  <c r="AF104" i="1"/>
  <c r="AE104" i="1"/>
  <c r="AD104" i="1"/>
  <c r="AC104" i="1"/>
  <c r="AB104" i="1"/>
  <c r="AG103" i="1"/>
  <c r="AF103" i="1"/>
  <c r="AE103" i="1"/>
  <c r="AD103" i="1"/>
  <c r="AC103" i="1"/>
  <c r="AB103" i="1"/>
  <c r="AG102" i="1"/>
  <c r="AF102" i="1"/>
  <c r="AE102" i="1"/>
  <c r="AD102" i="1"/>
  <c r="AC102" i="1"/>
  <c r="AB102" i="1"/>
  <c r="AG101" i="1"/>
  <c r="AF101" i="1"/>
  <c r="AE101" i="1"/>
  <c r="AD101" i="1"/>
  <c r="AC101" i="1"/>
  <c r="AB101" i="1"/>
  <c r="AG100" i="1"/>
  <c r="AF100" i="1"/>
  <c r="AE100" i="1"/>
  <c r="AD100" i="1"/>
  <c r="AC100" i="1"/>
  <c r="AB100" i="1"/>
  <c r="AG99" i="1"/>
  <c r="AF99" i="1"/>
  <c r="AE99" i="1"/>
  <c r="AD99" i="1"/>
  <c r="AC99" i="1"/>
  <c r="AB99" i="1"/>
  <c r="AG98" i="1"/>
  <c r="AF98" i="1"/>
  <c r="AE98" i="1"/>
  <c r="AD98" i="1"/>
  <c r="AC98" i="1"/>
  <c r="AB98" i="1"/>
  <c r="AG97" i="1"/>
  <c r="AF97" i="1"/>
  <c r="AE97" i="1"/>
  <c r="AD97" i="1"/>
  <c r="AC97" i="1"/>
  <c r="AB97" i="1"/>
  <c r="AG96" i="1"/>
  <c r="AF96" i="1"/>
  <c r="AE96" i="1"/>
  <c r="AD96" i="1"/>
  <c r="AC96" i="1"/>
  <c r="AB96" i="1"/>
  <c r="AG95" i="1"/>
  <c r="AF95" i="1"/>
  <c r="AE95" i="1"/>
  <c r="AD95" i="1"/>
  <c r="AC95" i="1"/>
  <c r="AB95" i="1"/>
  <c r="AG94" i="1"/>
  <c r="AF94" i="1"/>
  <c r="AE94" i="1"/>
  <c r="AD94" i="1"/>
  <c r="AC94" i="1"/>
  <c r="AB94" i="1"/>
  <c r="AG93" i="1"/>
  <c r="AF93" i="1"/>
  <c r="AE93" i="1"/>
  <c r="AD93" i="1"/>
  <c r="AC93" i="1"/>
  <c r="AB93" i="1"/>
  <c r="AG92" i="1"/>
  <c r="AF92" i="1"/>
  <c r="AE92" i="1"/>
  <c r="AD92" i="1"/>
  <c r="AC92" i="1"/>
  <c r="AB92" i="1"/>
  <c r="AG91" i="1"/>
  <c r="AF91" i="1"/>
  <c r="AE91" i="1"/>
  <c r="AD91" i="1"/>
  <c r="AC91" i="1"/>
  <c r="AB91" i="1"/>
  <c r="AG90" i="1"/>
  <c r="AF90" i="1"/>
  <c r="AE90" i="1"/>
  <c r="AD90" i="1"/>
  <c r="AC90" i="1"/>
  <c r="AB90" i="1"/>
  <c r="AG89" i="1"/>
  <c r="AF89" i="1"/>
  <c r="AE89" i="1"/>
  <c r="AD89" i="1"/>
  <c r="AC89" i="1"/>
  <c r="AB89" i="1"/>
  <c r="AG88" i="1"/>
  <c r="AF88" i="1"/>
  <c r="AE88" i="1"/>
  <c r="AD88" i="1"/>
  <c r="AC88" i="1"/>
  <c r="AB88" i="1"/>
  <c r="AG87" i="1"/>
  <c r="AF87" i="1"/>
  <c r="AE87" i="1"/>
  <c r="AD87" i="1"/>
  <c r="AC87" i="1"/>
  <c r="AB87" i="1"/>
  <c r="AG86" i="1"/>
  <c r="AF86" i="1"/>
  <c r="AE86" i="1"/>
  <c r="AD86" i="1"/>
  <c r="AC86" i="1"/>
  <c r="AB86" i="1"/>
  <c r="AG85" i="1"/>
  <c r="AF85" i="1"/>
  <c r="AE85" i="1"/>
  <c r="AD85" i="1"/>
  <c r="AC85" i="1"/>
  <c r="AB85" i="1"/>
  <c r="AG84" i="1"/>
  <c r="AF84" i="1"/>
  <c r="AE84" i="1"/>
  <c r="AD84" i="1"/>
  <c r="AC84" i="1"/>
  <c r="AB84" i="1"/>
  <c r="AG83" i="1"/>
  <c r="AF83" i="1"/>
  <c r="AE83" i="1"/>
  <c r="AD83" i="1"/>
  <c r="AC83" i="1"/>
  <c r="AB83" i="1"/>
  <c r="AG82" i="1"/>
  <c r="AF82" i="1"/>
  <c r="AE82" i="1"/>
  <c r="AD82" i="1"/>
  <c r="AC82" i="1"/>
  <c r="AB82" i="1"/>
  <c r="AG81" i="1"/>
  <c r="AF81" i="1"/>
  <c r="AE81" i="1"/>
  <c r="AD81" i="1"/>
  <c r="AC81" i="1"/>
  <c r="AB81" i="1"/>
  <c r="AG80" i="1"/>
  <c r="AF80" i="1"/>
  <c r="AE80" i="1"/>
  <c r="AD80" i="1"/>
  <c r="AC80" i="1"/>
  <c r="AB80" i="1"/>
  <c r="AG79" i="1"/>
  <c r="AF79" i="1"/>
  <c r="AE79" i="1"/>
  <c r="AD79" i="1"/>
  <c r="AC79" i="1"/>
  <c r="AB79" i="1"/>
  <c r="AG78" i="1"/>
  <c r="AF78" i="1"/>
  <c r="AE78" i="1"/>
  <c r="AD78" i="1"/>
  <c r="AC78" i="1"/>
  <c r="AB78" i="1"/>
  <c r="AG77" i="1"/>
  <c r="AF77" i="1"/>
  <c r="AE77" i="1"/>
  <c r="AD77" i="1"/>
  <c r="AC77" i="1"/>
  <c r="AB77" i="1"/>
  <c r="AG76" i="1"/>
  <c r="AF76" i="1"/>
  <c r="AE76" i="1"/>
  <c r="AD76" i="1"/>
  <c r="AC76" i="1"/>
  <c r="AB76" i="1"/>
  <c r="AG75" i="1"/>
  <c r="AF75" i="1"/>
  <c r="AE75" i="1"/>
  <c r="AD75" i="1"/>
  <c r="AC75" i="1"/>
  <c r="AB75" i="1"/>
  <c r="AG74" i="1"/>
  <c r="AF74" i="1"/>
  <c r="AE74" i="1"/>
  <c r="AD74" i="1"/>
  <c r="AC74" i="1"/>
  <c r="AB74" i="1"/>
  <c r="AG73" i="1"/>
  <c r="AF73" i="1"/>
  <c r="AE73" i="1"/>
  <c r="AD73" i="1"/>
  <c r="AC73" i="1"/>
  <c r="AB73" i="1"/>
  <c r="AG72" i="1"/>
  <c r="AF72" i="1"/>
  <c r="AE72" i="1"/>
  <c r="AD72" i="1"/>
  <c r="AC72" i="1"/>
  <c r="AB72" i="1"/>
  <c r="AG71" i="1"/>
  <c r="AF71" i="1"/>
  <c r="AE71" i="1"/>
  <c r="AD71" i="1"/>
  <c r="AC71" i="1"/>
  <c r="AB71" i="1"/>
  <c r="AG70" i="1"/>
  <c r="AF70" i="1"/>
  <c r="AE70" i="1"/>
  <c r="AD70" i="1"/>
  <c r="AC70" i="1"/>
  <c r="AB70" i="1"/>
  <c r="AG69" i="1"/>
  <c r="AF69" i="1"/>
  <c r="AE69" i="1"/>
  <c r="AD69" i="1"/>
  <c r="AC69" i="1"/>
  <c r="AB69" i="1"/>
  <c r="AG68" i="1"/>
  <c r="AF68" i="1"/>
  <c r="AE68" i="1"/>
  <c r="AD68" i="1"/>
  <c r="AC68" i="1"/>
  <c r="AB68" i="1"/>
  <c r="AG67" i="1"/>
  <c r="AF67" i="1"/>
  <c r="AE67" i="1"/>
  <c r="AD67" i="1"/>
  <c r="AC67" i="1"/>
  <c r="AB67" i="1"/>
  <c r="AG66" i="1"/>
  <c r="AF66" i="1"/>
  <c r="AE66" i="1"/>
  <c r="AD66" i="1"/>
  <c r="AC66" i="1"/>
  <c r="AB66" i="1"/>
  <c r="AG65" i="1"/>
  <c r="AF65" i="1"/>
  <c r="AE65" i="1"/>
  <c r="AD65" i="1"/>
  <c r="AC65" i="1"/>
  <c r="AB65" i="1"/>
  <c r="AG64" i="1"/>
  <c r="AF64" i="1"/>
  <c r="AE64" i="1"/>
  <c r="AD64" i="1"/>
  <c r="AC64" i="1"/>
  <c r="AB64" i="1"/>
  <c r="AG63" i="1"/>
  <c r="AF63" i="1"/>
  <c r="AE63" i="1"/>
  <c r="AD63" i="1"/>
  <c r="AC63" i="1"/>
  <c r="AB63" i="1"/>
  <c r="AG62" i="1"/>
  <c r="AF62" i="1"/>
  <c r="AE62" i="1"/>
  <c r="AD62" i="1"/>
  <c r="AC62" i="1"/>
  <c r="AB62" i="1"/>
  <c r="AG61" i="1"/>
  <c r="AF61" i="1"/>
  <c r="AE61" i="1"/>
  <c r="AD61" i="1"/>
  <c r="AC61" i="1"/>
  <c r="AB61" i="1"/>
  <c r="AG60" i="1"/>
  <c r="AF60" i="1"/>
  <c r="AE60" i="1"/>
  <c r="AD60" i="1"/>
  <c r="AC60" i="1"/>
  <c r="AB60" i="1"/>
  <c r="AG59" i="1"/>
  <c r="AF59" i="1"/>
  <c r="AE59" i="1"/>
  <c r="AD59" i="1"/>
  <c r="AC59" i="1"/>
  <c r="AB59" i="1"/>
  <c r="AG58" i="1"/>
  <c r="AF58" i="1"/>
  <c r="AE58" i="1"/>
  <c r="AD58" i="1"/>
  <c r="AC58" i="1"/>
  <c r="AB58" i="1"/>
  <c r="AG57" i="1"/>
  <c r="AF57" i="1"/>
  <c r="AE57" i="1"/>
  <c r="AD57" i="1"/>
  <c r="AC57" i="1"/>
  <c r="AB57" i="1"/>
  <c r="AG56" i="1"/>
  <c r="AF56" i="1"/>
  <c r="AE56" i="1"/>
  <c r="AD56" i="1"/>
  <c r="AC56" i="1"/>
  <c r="AB56" i="1"/>
  <c r="AG55" i="1"/>
  <c r="AF55" i="1"/>
  <c r="AE55" i="1"/>
  <c r="AD55" i="1"/>
  <c r="AC55" i="1"/>
  <c r="AB55" i="1"/>
  <c r="AG54" i="1"/>
  <c r="AF54" i="1"/>
  <c r="AE54" i="1"/>
  <c r="AD54" i="1"/>
  <c r="AC54" i="1"/>
  <c r="AB54" i="1"/>
  <c r="AG53" i="1"/>
  <c r="AF53" i="1"/>
  <c r="AE53" i="1"/>
  <c r="AD53" i="1"/>
  <c r="AC53" i="1"/>
  <c r="AB53" i="1"/>
  <c r="AG36" i="1"/>
  <c r="AF36" i="1"/>
  <c r="AE36" i="1"/>
  <c r="AD36" i="1"/>
  <c r="AC36" i="1"/>
  <c r="AB36" i="1"/>
  <c r="AG35" i="1"/>
  <c r="AF35" i="1"/>
  <c r="AE35" i="1"/>
  <c r="AD35" i="1"/>
  <c r="AC35" i="1"/>
  <c r="AB35" i="1"/>
  <c r="AG32" i="1"/>
  <c r="AF32" i="1"/>
  <c r="AE32" i="1"/>
  <c r="AD32" i="1"/>
  <c r="AC32" i="1"/>
  <c r="AB32" i="1"/>
  <c r="AG31" i="1"/>
  <c r="AF31" i="1"/>
  <c r="AE31" i="1"/>
  <c r="AD31" i="1"/>
  <c r="AC31" i="1"/>
  <c r="AB31" i="1"/>
  <c r="AG30" i="1"/>
  <c r="AF30" i="1"/>
  <c r="AE30" i="1"/>
  <c r="AD30" i="1"/>
  <c r="AC30" i="1"/>
  <c r="AB30" i="1"/>
  <c r="AG29" i="1"/>
  <c r="AF29" i="1"/>
  <c r="AE29" i="1"/>
  <c r="AD29" i="1"/>
  <c r="AC29" i="1"/>
  <c r="AB29" i="1"/>
  <c r="AG28" i="1"/>
  <c r="AF28" i="1"/>
  <c r="AE28" i="1"/>
  <c r="AD28" i="1"/>
  <c r="AC28" i="1"/>
  <c r="AB28" i="1"/>
  <c r="AG27" i="1"/>
  <c r="AF27" i="1"/>
  <c r="AE27" i="1"/>
  <c r="AD27" i="1"/>
  <c r="AC27" i="1"/>
  <c r="AB27" i="1"/>
  <c r="AG24" i="1"/>
  <c r="AF24" i="1"/>
  <c r="AE24" i="1"/>
  <c r="AD24" i="1"/>
  <c r="AC24" i="1"/>
  <c r="AB24" i="1"/>
  <c r="AG23" i="1"/>
  <c r="AF23" i="1"/>
  <c r="AE23" i="1"/>
  <c r="AD23" i="1"/>
  <c r="AC23" i="1"/>
  <c r="AB23" i="1"/>
  <c r="AG22" i="1"/>
  <c r="AF22" i="1"/>
  <c r="AE22" i="1"/>
  <c r="AD22" i="1"/>
  <c r="AC22" i="1"/>
  <c r="AB22" i="1"/>
  <c r="AG21" i="1"/>
  <c r="AF21" i="1"/>
  <c r="AE21" i="1"/>
  <c r="AD21" i="1"/>
  <c r="AC21" i="1"/>
  <c r="AB21" i="1"/>
  <c r="AG20" i="1"/>
  <c r="AF20" i="1"/>
  <c r="AE20" i="1"/>
  <c r="AD20" i="1"/>
  <c r="AC20" i="1"/>
  <c r="AB20" i="1"/>
  <c r="AG19" i="1"/>
  <c r="AF19" i="1"/>
  <c r="AE19" i="1"/>
  <c r="AD19" i="1"/>
  <c r="AC19" i="1"/>
  <c r="AB19" i="1"/>
  <c r="Z106" i="1"/>
  <c r="Y106" i="1"/>
  <c r="X106" i="1"/>
  <c r="W106" i="1"/>
  <c r="V106" i="1"/>
  <c r="Z105" i="1"/>
  <c r="Y105" i="1"/>
  <c r="X105" i="1"/>
  <c r="W105" i="1"/>
  <c r="V105" i="1"/>
  <c r="Z104" i="1"/>
  <c r="Y104" i="1"/>
  <c r="X104" i="1"/>
  <c r="W104" i="1"/>
  <c r="V104" i="1"/>
  <c r="Z103" i="1"/>
  <c r="Y103" i="1"/>
  <c r="X103" i="1"/>
  <c r="W103" i="1"/>
  <c r="V103" i="1"/>
  <c r="Z102" i="1"/>
  <c r="Y102" i="1"/>
  <c r="X102" i="1"/>
  <c r="W102" i="1"/>
  <c r="V102" i="1"/>
  <c r="Z101" i="1"/>
  <c r="Y101" i="1"/>
  <c r="X101" i="1"/>
  <c r="W101" i="1"/>
  <c r="V101" i="1"/>
  <c r="Z100" i="1"/>
  <c r="Y100" i="1"/>
  <c r="X100" i="1"/>
  <c r="W100" i="1"/>
  <c r="V100" i="1"/>
  <c r="Z99" i="1"/>
  <c r="Y99" i="1"/>
  <c r="X99" i="1"/>
  <c r="W99" i="1"/>
  <c r="V99" i="1"/>
  <c r="Z98" i="1"/>
  <c r="Y98" i="1"/>
  <c r="X98" i="1"/>
  <c r="W98" i="1"/>
  <c r="V98" i="1"/>
  <c r="Z97" i="1"/>
  <c r="Y97" i="1"/>
  <c r="X97" i="1"/>
  <c r="W97" i="1"/>
  <c r="V97" i="1"/>
  <c r="Z96" i="1"/>
  <c r="Y96" i="1"/>
  <c r="X96" i="1"/>
  <c r="W96" i="1"/>
  <c r="V96" i="1"/>
  <c r="Z95" i="1"/>
  <c r="Y95" i="1"/>
  <c r="X95" i="1"/>
  <c r="W95" i="1"/>
  <c r="V95" i="1"/>
  <c r="Z94" i="1"/>
  <c r="Y94" i="1"/>
  <c r="X94" i="1"/>
  <c r="W94" i="1"/>
  <c r="V94" i="1"/>
  <c r="Z93" i="1"/>
  <c r="Y93" i="1"/>
  <c r="X93" i="1"/>
  <c r="W93" i="1"/>
  <c r="V93" i="1"/>
  <c r="Z92" i="1"/>
  <c r="Y92" i="1"/>
  <c r="X92" i="1"/>
  <c r="W92" i="1"/>
  <c r="V92" i="1"/>
  <c r="Z91" i="1"/>
  <c r="Y91" i="1"/>
  <c r="X91" i="1"/>
  <c r="W91" i="1"/>
  <c r="V91" i="1"/>
  <c r="Z90" i="1"/>
  <c r="Y90" i="1"/>
  <c r="X90" i="1"/>
  <c r="W90" i="1"/>
  <c r="V90" i="1"/>
  <c r="Z89" i="1"/>
  <c r="Y89" i="1"/>
  <c r="X89" i="1"/>
  <c r="W89" i="1"/>
  <c r="V89" i="1"/>
  <c r="Z88" i="1"/>
  <c r="Y88" i="1"/>
  <c r="X88" i="1"/>
  <c r="W88" i="1"/>
  <c r="V88" i="1"/>
  <c r="Z87" i="1"/>
  <c r="Y87" i="1"/>
  <c r="X87" i="1"/>
  <c r="W87" i="1"/>
  <c r="V87" i="1"/>
  <c r="Z86" i="1"/>
  <c r="Y86" i="1"/>
  <c r="X86" i="1"/>
  <c r="W86" i="1"/>
  <c r="V86" i="1"/>
  <c r="Z85" i="1"/>
  <c r="Y85" i="1"/>
  <c r="X85" i="1"/>
  <c r="W85" i="1"/>
  <c r="V85" i="1"/>
  <c r="Z84" i="1"/>
  <c r="Y84" i="1"/>
  <c r="X84" i="1"/>
  <c r="W84" i="1"/>
  <c r="V84" i="1"/>
  <c r="Z83" i="1"/>
  <c r="Y83" i="1"/>
  <c r="X83" i="1"/>
  <c r="W83" i="1"/>
  <c r="V83" i="1"/>
  <c r="Z82" i="1"/>
  <c r="Y82" i="1"/>
  <c r="X82" i="1"/>
  <c r="W82" i="1"/>
  <c r="V82" i="1"/>
  <c r="Z81" i="1"/>
  <c r="Y81" i="1"/>
  <c r="X81" i="1"/>
  <c r="W81" i="1"/>
  <c r="V81" i="1"/>
  <c r="Z80" i="1"/>
  <c r="Y80" i="1"/>
  <c r="X80" i="1"/>
  <c r="W80" i="1"/>
  <c r="V80" i="1"/>
  <c r="Z79" i="1"/>
  <c r="Y79" i="1"/>
  <c r="X79" i="1"/>
  <c r="W79" i="1"/>
  <c r="V79" i="1"/>
  <c r="Z78" i="1"/>
  <c r="Y78" i="1"/>
  <c r="X78" i="1"/>
  <c r="W78" i="1"/>
  <c r="V78" i="1"/>
  <c r="Z77" i="1"/>
  <c r="Y77" i="1"/>
  <c r="X77" i="1"/>
  <c r="W77" i="1"/>
  <c r="V77" i="1"/>
  <c r="Z76" i="1"/>
  <c r="Y76" i="1"/>
  <c r="X76" i="1"/>
  <c r="W76" i="1"/>
  <c r="V76" i="1"/>
  <c r="Z75" i="1"/>
  <c r="Y75" i="1"/>
  <c r="X75" i="1"/>
  <c r="W75" i="1"/>
  <c r="V75" i="1"/>
  <c r="Z74" i="1"/>
  <c r="Y74" i="1"/>
  <c r="X74" i="1"/>
  <c r="W74" i="1"/>
  <c r="V74" i="1"/>
  <c r="Z73" i="1"/>
  <c r="Y73" i="1"/>
  <c r="X73" i="1"/>
  <c r="W73" i="1"/>
  <c r="V73" i="1"/>
  <c r="Z72" i="1"/>
  <c r="Y72" i="1"/>
  <c r="X72" i="1"/>
  <c r="W72" i="1"/>
  <c r="V72" i="1"/>
  <c r="Z71" i="1"/>
  <c r="Y71" i="1"/>
  <c r="X71" i="1"/>
  <c r="W71" i="1"/>
  <c r="V71" i="1"/>
  <c r="Z70" i="1"/>
  <c r="Y70" i="1"/>
  <c r="X70" i="1"/>
  <c r="W70" i="1"/>
  <c r="V70" i="1"/>
  <c r="Z69" i="1"/>
  <c r="Y69" i="1"/>
  <c r="X69" i="1"/>
  <c r="W69" i="1"/>
  <c r="V69" i="1"/>
  <c r="Z68" i="1"/>
  <c r="Y68" i="1"/>
  <c r="X68" i="1"/>
  <c r="W68" i="1"/>
  <c r="V68" i="1"/>
  <c r="Z67" i="1"/>
  <c r="Y67" i="1"/>
  <c r="X67" i="1"/>
  <c r="W67" i="1"/>
  <c r="V67" i="1"/>
  <c r="Z66" i="1"/>
  <c r="Y66" i="1"/>
  <c r="X66" i="1"/>
  <c r="W66" i="1"/>
  <c r="V66" i="1"/>
  <c r="Z65" i="1"/>
  <c r="Y65" i="1"/>
  <c r="X65" i="1"/>
  <c r="W65" i="1"/>
  <c r="V65" i="1"/>
  <c r="Z64" i="1"/>
  <c r="Y64" i="1"/>
  <c r="X64" i="1"/>
  <c r="W64" i="1"/>
  <c r="V64" i="1"/>
  <c r="Z63" i="1"/>
  <c r="Y63" i="1"/>
  <c r="X63" i="1"/>
  <c r="W63" i="1"/>
  <c r="V63" i="1"/>
  <c r="Z62" i="1"/>
  <c r="Y62" i="1"/>
  <c r="X62" i="1"/>
  <c r="W62" i="1"/>
  <c r="V62" i="1"/>
  <c r="Z61" i="1"/>
  <c r="Y61" i="1"/>
  <c r="X61" i="1"/>
  <c r="W61" i="1"/>
  <c r="V61" i="1"/>
  <c r="Z60" i="1"/>
  <c r="Y60" i="1"/>
  <c r="X60" i="1"/>
  <c r="W60" i="1"/>
  <c r="V60" i="1"/>
  <c r="Z59" i="1"/>
  <c r="Y59" i="1"/>
  <c r="X59" i="1"/>
  <c r="W59" i="1"/>
  <c r="V59" i="1"/>
  <c r="Z58" i="1"/>
  <c r="Y58" i="1"/>
  <c r="X58" i="1"/>
  <c r="W58" i="1"/>
  <c r="V58" i="1"/>
  <c r="Z57" i="1"/>
  <c r="Y57" i="1"/>
  <c r="X57" i="1"/>
  <c r="W57" i="1"/>
  <c r="V57" i="1"/>
  <c r="Z56" i="1"/>
  <c r="Y56" i="1"/>
  <c r="X56" i="1"/>
  <c r="W56" i="1"/>
  <c r="V56" i="1"/>
  <c r="Z55" i="1"/>
  <c r="Y55" i="1"/>
  <c r="X55" i="1"/>
  <c r="W55" i="1"/>
  <c r="V55" i="1"/>
  <c r="Z54" i="1"/>
  <c r="Y54" i="1"/>
  <c r="X54" i="1"/>
  <c r="W54" i="1"/>
  <c r="V54" i="1"/>
  <c r="Z53" i="1"/>
  <c r="Y53" i="1"/>
  <c r="X53" i="1"/>
  <c r="W53" i="1"/>
  <c r="V53" i="1"/>
  <c r="Z52" i="1"/>
  <c r="Y52" i="1"/>
  <c r="X52" i="1"/>
  <c r="W52" i="1"/>
  <c r="V52" i="1"/>
  <c r="Z51" i="1"/>
  <c r="Y51" i="1"/>
  <c r="X51" i="1"/>
  <c r="W51" i="1"/>
  <c r="V51" i="1"/>
  <c r="Z50" i="1"/>
  <c r="Y50" i="1"/>
  <c r="X50" i="1"/>
  <c r="W50" i="1"/>
  <c r="V50" i="1"/>
  <c r="V168" i="1" s="1"/>
  <c r="Z49" i="1"/>
  <c r="Y49" i="1"/>
  <c r="Y167" i="1" s="1"/>
  <c r="X49" i="1"/>
  <c r="W49" i="1"/>
  <c r="W167" i="1" s="1"/>
  <c r="V49" i="1"/>
  <c r="Z168" i="1"/>
  <c r="Y168" i="1"/>
  <c r="X168" i="1"/>
  <c r="W168" i="1"/>
  <c r="Z167" i="1"/>
  <c r="X167" i="1"/>
  <c r="V167" i="1"/>
  <c r="U106" i="1"/>
  <c r="T106" i="1"/>
  <c r="S106" i="1"/>
  <c r="R106" i="1"/>
  <c r="Q106" i="1"/>
  <c r="P106" i="1"/>
  <c r="O106" i="1"/>
  <c r="U105" i="1"/>
  <c r="T105" i="1"/>
  <c r="S105" i="1"/>
  <c r="R105" i="1"/>
  <c r="Q105" i="1"/>
  <c r="P105" i="1"/>
  <c r="O105" i="1"/>
  <c r="U104" i="1"/>
  <c r="T104" i="1"/>
  <c r="S104" i="1"/>
  <c r="R104" i="1"/>
  <c r="Q104" i="1"/>
  <c r="P104" i="1"/>
  <c r="O104" i="1"/>
  <c r="U103" i="1"/>
  <c r="T103" i="1"/>
  <c r="S103" i="1"/>
  <c r="R103" i="1"/>
  <c r="Q103" i="1"/>
  <c r="P103" i="1"/>
  <c r="O103" i="1"/>
  <c r="U102" i="1"/>
  <c r="T102" i="1"/>
  <c r="S102" i="1"/>
  <c r="R102" i="1"/>
  <c r="Q102" i="1"/>
  <c r="P102" i="1"/>
  <c r="O102" i="1"/>
  <c r="U101" i="1"/>
  <c r="T101" i="1"/>
  <c r="S101" i="1"/>
  <c r="R101" i="1"/>
  <c r="Q101" i="1"/>
  <c r="P101" i="1"/>
  <c r="O101" i="1"/>
  <c r="U100" i="1"/>
  <c r="T100" i="1"/>
  <c r="S100" i="1"/>
  <c r="R100" i="1"/>
  <c r="Q100" i="1"/>
  <c r="P100" i="1"/>
  <c r="O100" i="1"/>
  <c r="U99" i="1"/>
  <c r="T99" i="1"/>
  <c r="S99" i="1"/>
  <c r="R99" i="1"/>
  <c r="Q99" i="1"/>
  <c r="P99" i="1"/>
  <c r="O99" i="1"/>
  <c r="U98" i="1"/>
  <c r="T98" i="1"/>
  <c r="S98" i="1"/>
  <c r="R98" i="1"/>
  <c r="Q98" i="1"/>
  <c r="P98" i="1"/>
  <c r="O98" i="1"/>
  <c r="U97" i="1"/>
  <c r="T97" i="1"/>
  <c r="S97" i="1"/>
  <c r="R97" i="1"/>
  <c r="Q97" i="1"/>
  <c r="P97" i="1"/>
  <c r="O97" i="1"/>
  <c r="U96" i="1"/>
  <c r="T96" i="1"/>
  <c r="S96" i="1"/>
  <c r="R96" i="1"/>
  <c r="Q96" i="1"/>
  <c r="P96" i="1"/>
  <c r="O96" i="1"/>
  <c r="U95" i="1"/>
  <c r="T95" i="1"/>
  <c r="S95" i="1"/>
  <c r="R95" i="1"/>
  <c r="Q95" i="1"/>
  <c r="P95" i="1"/>
  <c r="O95" i="1"/>
  <c r="U94" i="1"/>
  <c r="T94" i="1"/>
  <c r="S94" i="1"/>
  <c r="R94" i="1"/>
  <c r="Q94" i="1"/>
  <c r="P94" i="1"/>
  <c r="O94" i="1"/>
  <c r="U93" i="1"/>
  <c r="T93" i="1"/>
  <c r="S93" i="1"/>
  <c r="R93" i="1"/>
  <c r="Q93" i="1"/>
  <c r="P93" i="1"/>
  <c r="O93" i="1"/>
  <c r="U92" i="1"/>
  <c r="T92" i="1"/>
  <c r="S92" i="1"/>
  <c r="R92" i="1"/>
  <c r="Q92" i="1"/>
  <c r="P92" i="1"/>
  <c r="O92" i="1"/>
  <c r="U91" i="1"/>
  <c r="T91" i="1"/>
  <c r="S91" i="1"/>
  <c r="R91" i="1"/>
  <c r="Q91" i="1"/>
  <c r="P91" i="1"/>
  <c r="O91" i="1"/>
  <c r="U90" i="1"/>
  <c r="T90" i="1"/>
  <c r="S90" i="1"/>
  <c r="R90" i="1"/>
  <c r="Q90" i="1"/>
  <c r="P90" i="1"/>
  <c r="O90" i="1"/>
  <c r="U89" i="1"/>
  <c r="T89" i="1"/>
  <c r="S89" i="1"/>
  <c r="R89" i="1"/>
  <c r="Q89" i="1"/>
  <c r="P89" i="1"/>
  <c r="O89" i="1"/>
  <c r="U88" i="1"/>
  <c r="T88" i="1"/>
  <c r="S88" i="1"/>
  <c r="R88" i="1"/>
  <c r="Q88" i="1"/>
  <c r="P88" i="1"/>
  <c r="O88" i="1"/>
  <c r="U87" i="1"/>
  <c r="T87" i="1"/>
  <c r="S87" i="1"/>
  <c r="R87" i="1"/>
  <c r="Q87" i="1"/>
  <c r="P87" i="1"/>
  <c r="O87" i="1"/>
  <c r="U86" i="1"/>
  <c r="T86" i="1"/>
  <c r="S86" i="1"/>
  <c r="R86" i="1"/>
  <c r="Q86" i="1"/>
  <c r="P86" i="1"/>
  <c r="O86" i="1"/>
  <c r="U85" i="1"/>
  <c r="T85" i="1"/>
  <c r="S85" i="1"/>
  <c r="R85" i="1"/>
  <c r="Q85" i="1"/>
  <c r="P85" i="1"/>
  <c r="O85" i="1"/>
  <c r="U84" i="1"/>
  <c r="T84" i="1"/>
  <c r="S84" i="1"/>
  <c r="R84" i="1"/>
  <c r="Q84" i="1"/>
  <c r="P84" i="1"/>
  <c r="O84" i="1"/>
  <c r="U83" i="1"/>
  <c r="T83" i="1"/>
  <c r="S83" i="1"/>
  <c r="R83" i="1"/>
  <c r="Q83" i="1"/>
  <c r="P83" i="1"/>
  <c r="O83" i="1"/>
  <c r="U82" i="1"/>
  <c r="T82" i="1"/>
  <c r="S82" i="1"/>
  <c r="R82" i="1"/>
  <c r="Q82" i="1"/>
  <c r="P82" i="1"/>
  <c r="O82" i="1"/>
  <c r="U81" i="1"/>
  <c r="T81" i="1"/>
  <c r="S81" i="1"/>
  <c r="R81" i="1"/>
  <c r="Q81" i="1"/>
  <c r="P81" i="1"/>
  <c r="O81" i="1"/>
  <c r="U80" i="1"/>
  <c r="T80" i="1"/>
  <c r="S80" i="1"/>
  <c r="R80" i="1"/>
  <c r="Q80" i="1"/>
  <c r="P80" i="1"/>
  <c r="O80" i="1"/>
  <c r="U79" i="1"/>
  <c r="T79" i="1"/>
  <c r="S79" i="1"/>
  <c r="R79" i="1"/>
  <c r="Q79" i="1"/>
  <c r="P79" i="1"/>
  <c r="O79" i="1"/>
  <c r="U78" i="1"/>
  <c r="T78" i="1"/>
  <c r="S78" i="1"/>
  <c r="R78" i="1"/>
  <c r="Q78" i="1"/>
  <c r="P78" i="1"/>
  <c r="O78" i="1"/>
  <c r="U77" i="1"/>
  <c r="T77" i="1"/>
  <c r="S77" i="1"/>
  <c r="R77" i="1"/>
  <c r="Q77" i="1"/>
  <c r="P77" i="1"/>
  <c r="O77" i="1"/>
  <c r="U76" i="1"/>
  <c r="T76" i="1"/>
  <c r="S76" i="1"/>
  <c r="R76" i="1"/>
  <c r="Q76" i="1"/>
  <c r="P76" i="1"/>
  <c r="O76" i="1"/>
  <c r="U75" i="1"/>
  <c r="T75" i="1"/>
  <c r="S75" i="1"/>
  <c r="R75" i="1"/>
  <c r="Q75" i="1"/>
  <c r="P75" i="1"/>
  <c r="O75" i="1"/>
  <c r="U74" i="1"/>
  <c r="T74" i="1"/>
  <c r="S74" i="1"/>
  <c r="R74" i="1"/>
  <c r="Q74" i="1"/>
  <c r="P74" i="1"/>
  <c r="O74" i="1"/>
  <c r="U73" i="1"/>
  <c r="T73" i="1"/>
  <c r="S73" i="1"/>
  <c r="R73" i="1"/>
  <c r="Q73" i="1"/>
  <c r="P73" i="1"/>
  <c r="O73" i="1"/>
  <c r="U72" i="1"/>
  <c r="T72" i="1"/>
  <c r="S72" i="1"/>
  <c r="R72" i="1"/>
  <c r="Q72" i="1"/>
  <c r="P72" i="1"/>
  <c r="O72" i="1"/>
  <c r="U71" i="1"/>
  <c r="T71" i="1"/>
  <c r="S71" i="1"/>
  <c r="R71" i="1"/>
  <c r="Q71" i="1"/>
  <c r="P71" i="1"/>
  <c r="O71" i="1"/>
  <c r="U70" i="1"/>
  <c r="T70" i="1"/>
  <c r="S70" i="1"/>
  <c r="R70" i="1"/>
  <c r="Q70" i="1"/>
  <c r="P70" i="1"/>
  <c r="O70" i="1"/>
  <c r="U69" i="1"/>
  <c r="T69" i="1"/>
  <c r="S69" i="1"/>
  <c r="R69" i="1"/>
  <c r="Q69" i="1"/>
  <c r="P69" i="1"/>
  <c r="O69" i="1"/>
  <c r="U68" i="1"/>
  <c r="T68" i="1"/>
  <c r="S68" i="1"/>
  <c r="R68" i="1"/>
  <c r="Q68" i="1"/>
  <c r="P68" i="1"/>
  <c r="O68" i="1"/>
  <c r="U67" i="1"/>
  <c r="T67" i="1"/>
  <c r="S67" i="1"/>
  <c r="R67" i="1"/>
  <c r="Q67" i="1"/>
  <c r="P67" i="1"/>
  <c r="O67" i="1"/>
  <c r="U66" i="1"/>
  <c r="T66" i="1"/>
  <c r="S66" i="1"/>
  <c r="R66" i="1"/>
  <c r="Q66" i="1"/>
  <c r="P66" i="1"/>
  <c r="O66" i="1"/>
  <c r="U65" i="1"/>
  <c r="T65" i="1"/>
  <c r="S65" i="1"/>
  <c r="R65" i="1"/>
  <c r="Q65" i="1"/>
  <c r="P65" i="1"/>
  <c r="O65" i="1"/>
  <c r="U64" i="1"/>
  <c r="T64" i="1"/>
  <c r="S64" i="1"/>
  <c r="R64" i="1"/>
  <c r="Q64" i="1"/>
  <c r="P64" i="1"/>
  <c r="O64" i="1"/>
  <c r="U63" i="1"/>
  <c r="T63" i="1"/>
  <c r="S63" i="1"/>
  <c r="R63" i="1"/>
  <c r="Q63" i="1"/>
  <c r="P63" i="1"/>
  <c r="O63" i="1"/>
  <c r="U62" i="1"/>
  <c r="T62" i="1"/>
  <c r="S62" i="1"/>
  <c r="R62" i="1"/>
  <c r="Q62" i="1"/>
  <c r="P62" i="1"/>
  <c r="O62" i="1"/>
  <c r="U61" i="1"/>
  <c r="T61" i="1"/>
  <c r="S61" i="1"/>
  <c r="R61" i="1"/>
  <c r="Q61" i="1"/>
  <c r="P61" i="1"/>
  <c r="O61" i="1"/>
  <c r="U60" i="1"/>
  <c r="T60" i="1"/>
  <c r="S60" i="1"/>
  <c r="R60" i="1"/>
  <c r="Q60" i="1"/>
  <c r="P60" i="1"/>
  <c r="O60" i="1"/>
  <c r="U59" i="1"/>
  <c r="T59" i="1"/>
  <c r="S59" i="1"/>
  <c r="R59" i="1"/>
  <c r="Q59" i="1"/>
  <c r="P59" i="1"/>
  <c r="O59" i="1"/>
  <c r="U58" i="1"/>
  <c r="T58" i="1"/>
  <c r="S58" i="1"/>
  <c r="R58" i="1"/>
  <c r="Q58" i="1"/>
  <c r="P58" i="1"/>
  <c r="O58" i="1"/>
  <c r="U57" i="1"/>
  <c r="T57" i="1"/>
  <c r="S57" i="1"/>
  <c r="R57" i="1"/>
  <c r="Q57" i="1"/>
  <c r="P57" i="1"/>
  <c r="O57" i="1"/>
  <c r="U56" i="1"/>
  <c r="T56" i="1"/>
  <c r="S56" i="1"/>
  <c r="R56" i="1"/>
  <c r="Q56" i="1"/>
  <c r="P56" i="1"/>
  <c r="O56" i="1"/>
  <c r="U55" i="1"/>
  <c r="T55" i="1"/>
  <c r="S55" i="1"/>
  <c r="R55" i="1"/>
  <c r="Q55" i="1"/>
  <c r="P55" i="1"/>
  <c r="O55" i="1"/>
  <c r="U54" i="1"/>
  <c r="T54" i="1"/>
  <c r="S54" i="1"/>
  <c r="R54" i="1"/>
  <c r="Q54" i="1"/>
  <c r="P54" i="1"/>
  <c r="O54" i="1"/>
  <c r="U53" i="1"/>
  <c r="T53" i="1"/>
  <c r="S53" i="1"/>
  <c r="R53" i="1"/>
  <c r="Q53" i="1"/>
  <c r="P53" i="1"/>
  <c r="O53" i="1"/>
  <c r="U52" i="1"/>
  <c r="T52" i="1"/>
  <c r="S52" i="1"/>
  <c r="R52" i="1"/>
  <c r="Q52" i="1"/>
  <c r="P52" i="1"/>
  <c r="O52" i="1"/>
  <c r="U51" i="1"/>
  <c r="T51" i="1"/>
  <c r="S51" i="1"/>
  <c r="R51" i="1"/>
  <c r="Q51" i="1"/>
  <c r="P51" i="1"/>
  <c r="O51" i="1"/>
  <c r="U50" i="1"/>
  <c r="T50" i="1"/>
  <c r="S50" i="1"/>
  <c r="R50" i="1"/>
  <c r="Q50" i="1"/>
  <c r="P50" i="1"/>
  <c r="O50" i="1"/>
  <c r="U49" i="1"/>
  <c r="T49" i="1"/>
  <c r="S49" i="1"/>
  <c r="R49" i="1"/>
  <c r="Q49" i="1"/>
  <c r="P49" i="1"/>
  <c r="O49" i="1"/>
  <c r="U48" i="1"/>
  <c r="T48" i="1"/>
  <c r="S48" i="1"/>
  <c r="R48" i="1"/>
  <c r="Q48" i="1"/>
  <c r="P48" i="1"/>
  <c r="O48" i="1"/>
  <c r="U47" i="1"/>
  <c r="T47" i="1"/>
  <c r="S47" i="1"/>
  <c r="R47" i="1"/>
  <c r="Q47" i="1"/>
  <c r="P47" i="1"/>
  <c r="O47" i="1"/>
  <c r="U46" i="1"/>
  <c r="T46" i="1"/>
  <c r="S46" i="1"/>
  <c r="R46" i="1"/>
  <c r="Q46" i="1"/>
  <c r="P46" i="1"/>
  <c r="O46" i="1"/>
  <c r="U45" i="1"/>
  <c r="T45" i="1"/>
  <c r="S45" i="1"/>
  <c r="R45" i="1"/>
  <c r="Q45" i="1"/>
  <c r="P45" i="1"/>
  <c r="O45" i="1"/>
  <c r="U44" i="1"/>
  <c r="T44" i="1"/>
  <c r="S44" i="1"/>
  <c r="R44" i="1"/>
  <c r="Q44" i="1"/>
  <c r="P44" i="1"/>
  <c r="O44" i="1"/>
  <c r="U43" i="1"/>
  <c r="T43" i="1"/>
  <c r="S43" i="1"/>
  <c r="R43" i="1"/>
  <c r="Q43" i="1"/>
  <c r="P43" i="1"/>
  <c r="O43" i="1"/>
  <c r="U42" i="1"/>
  <c r="T42" i="1"/>
  <c r="S42" i="1"/>
  <c r="R42" i="1"/>
  <c r="Q42" i="1"/>
  <c r="P42" i="1"/>
  <c r="O42" i="1"/>
  <c r="U41" i="1"/>
  <c r="T41" i="1"/>
  <c r="S41" i="1"/>
  <c r="R41" i="1"/>
  <c r="Q41" i="1"/>
  <c r="P41" i="1"/>
  <c r="O41" i="1"/>
  <c r="U40" i="1"/>
  <c r="T40" i="1"/>
  <c r="S40" i="1"/>
  <c r="R40" i="1"/>
  <c r="Q40" i="1"/>
  <c r="P40" i="1"/>
  <c r="O40" i="1"/>
  <c r="U39" i="1"/>
  <c r="T39" i="1"/>
  <c r="S39" i="1"/>
  <c r="R39" i="1"/>
  <c r="Q39" i="1"/>
  <c r="P39" i="1"/>
  <c r="O39" i="1"/>
  <c r="U38" i="1"/>
  <c r="T38" i="1"/>
  <c r="S38" i="1"/>
  <c r="R38" i="1"/>
  <c r="Q38" i="1"/>
  <c r="P38" i="1"/>
  <c r="P168" i="1" s="1"/>
  <c r="O38" i="1"/>
  <c r="O168" i="1" s="1"/>
  <c r="U37" i="1"/>
  <c r="T37" i="1"/>
  <c r="S37" i="1"/>
  <c r="R37" i="1"/>
  <c r="R167" i="1" s="1"/>
  <c r="Q37" i="1"/>
  <c r="P37" i="1"/>
  <c r="O37" i="1"/>
  <c r="O167" i="1" s="1"/>
  <c r="O35" i="10"/>
  <c r="O31" i="10"/>
  <c r="O27" i="10"/>
  <c r="O23" i="10"/>
  <c r="O19" i="10"/>
  <c r="AR16" i="1"/>
  <c r="AQ16" i="1"/>
  <c r="AP16" i="1"/>
  <c r="AO16" i="1"/>
  <c r="AN16" i="1"/>
  <c r="AR15" i="1"/>
  <c r="AQ15" i="1"/>
  <c r="AP15" i="1"/>
  <c r="AO15" i="1"/>
  <c r="AN15" i="1"/>
  <c r="AR14" i="1"/>
  <c r="AQ14" i="1"/>
  <c r="AP14" i="1"/>
  <c r="AO14" i="1"/>
  <c r="AN14" i="1"/>
  <c r="AR13" i="1"/>
  <c r="AQ13" i="1"/>
  <c r="AP13" i="1"/>
  <c r="AO13" i="1"/>
  <c r="AN13" i="1"/>
  <c r="AR12" i="1"/>
  <c r="AQ12" i="1"/>
  <c r="AP12" i="1"/>
  <c r="AO12" i="1"/>
  <c r="AN12" i="1"/>
  <c r="AR11" i="1"/>
  <c r="AQ11" i="1"/>
  <c r="AP11" i="1"/>
  <c r="AO11" i="1"/>
  <c r="AN11" i="1"/>
  <c r="AR10" i="1"/>
  <c r="AQ10" i="1"/>
  <c r="AP10" i="1"/>
  <c r="AO10" i="1"/>
  <c r="AN10" i="1"/>
  <c r="AR9" i="1"/>
  <c r="AQ9" i="1"/>
  <c r="AP9" i="1"/>
  <c r="AO9" i="1"/>
  <c r="AN9" i="1"/>
  <c r="AR8" i="1"/>
  <c r="AQ8" i="1"/>
  <c r="AP8" i="1"/>
  <c r="AP168" i="1" s="1"/>
  <c r="AO8" i="1"/>
  <c r="AN8" i="1"/>
  <c r="AR7" i="1"/>
  <c r="AQ7" i="1"/>
  <c r="AQ167" i="1" s="1"/>
  <c r="AP7" i="1"/>
  <c r="AO7" i="1"/>
  <c r="AN7" i="1"/>
  <c r="AG16" i="1"/>
  <c r="AF16" i="1"/>
  <c r="AE16" i="1"/>
  <c r="AD16" i="1"/>
  <c r="AC16" i="1"/>
  <c r="AB16" i="1"/>
  <c r="AG15" i="1"/>
  <c r="AF15" i="1"/>
  <c r="AE15" i="1"/>
  <c r="AD15" i="1"/>
  <c r="AC15" i="1"/>
  <c r="AB15" i="1"/>
  <c r="AG12" i="1"/>
  <c r="AF12" i="1"/>
  <c r="AE12" i="1"/>
  <c r="AD12" i="1"/>
  <c r="AC12" i="1"/>
  <c r="AB12" i="1"/>
  <c r="AG11" i="1"/>
  <c r="AF11" i="1"/>
  <c r="AE11" i="1"/>
  <c r="AD11" i="1"/>
  <c r="AC11" i="1"/>
  <c r="AB11" i="1"/>
  <c r="AG10" i="1"/>
  <c r="AG168" i="1" s="1"/>
  <c r="AF10" i="1"/>
  <c r="AF168" i="1" s="1"/>
  <c r="AE10" i="1"/>
  <c r="AE168" i="1" s="1"/>
  <c r="AD10" i="1"/>
  <c r="AD168" i="1" s="1"/>
  <c r="AC10" i="1"/>
  <c r="AC168" i="1" s="1"/>
  <c r="AB10" i="1"/>
  <c r="AB168" i="1" s="1"/>
  <c r="AG9" i="1"/>
  <c r="AG167" i="1" s="1"/>
  <c r="AF9" i="1"/>
  <c r="AF167" i="1" s="1"/>
  <c r="AE9" i="1"/>
  <c r="AE167" i="1" s="1"/>
  <c r="AD9" i="1"/>
  <c r="AD167" i="1" s="1"/>
  <c r="AC9" i="1"/>
  <c r="AC167" i="1" s="1"/>
  <c r="AB9" i="1"/>
  <c r="AB167" i="1" s="1"/>
  <c r="U167" i="1"/>
  <c r="T168" i="1"/>
  <c r="CZ168" i="1" l="1"/>
  <c r="Y218" i="1"/>
  <c r="Z218" i="1" s="1"/>
  <c r="X93" i="10"/>
  <c r="X97" i="10"/>
  <c r="X101" i="10"/>
  <c r="X105" i="10"/>
  <c r="Q18" i="10"/>
  <c r="Q22" i="10"/>
  <c r="Q26" i="10"/>
  <c r="Q30" i="10"/>
  <c r="Q34" i="10"/>
  <c r="Q38" i="10"/>
  <c r="Q42" i="10"/>
  <c r="Q46" i="10"/>
  <c r="Q50" i="10"/>
  <c r="Q54" i="10"/>
  <c r="Q58" i="10"/>
  <c r="CZ167" i="1"/>
  <c r="Y217" i="1"/>
  <c r="Z217" i="1" s="1"/>
  <c r="Q62" i="10"/>
  <c r="Q66" i="10"/>
  <c r="Q70" i="10"/>
  <c r="Q74" i="10"/>
  <c r="Q78" i="10"/>
  <c r="Q82" i="10"/>
  <c r="Q86" i="10"/>
  <c r="Q90" i="10"/>
  <c r="Q94" i="10"/>
  <c r="Q98" i="10"/>
  <c r="Q102" i="10"/>
  <c r="S20" i="10"/>
  <c r="S24" i="10"/>
  <c r="S28" i="10"/>
  <c r="S32" i="10"/>
  <c r="S36" i="10"/>
  <c r="S40" i="10"/>
  <c r="S44" i="10"/>
  <c r="S48" i="10"/>
  <c r="S52" i="10"/>
  <c r="S56" i="10"/>
  <c r="S60" i="10"/>
  <c r="S64" i="10"/>
  <c r="S68" i="10"/>
  <c r="S72" i="10"/>
  <c r="S76" i="10"/>
  <c r="S80" i="10"/>
  <c r="S84" i="10"/>
  <c r="S88" i="10"/>
  <c r="S92" i="10"/>
  <c r="S96" i="10"/>
  <c r="S100" i="10"/>
  <c r="S104" i="10"/>
  <c r="T16" i="10"/>
  <c r="T20" i="10"/>
  <c r="T24" i="10"/>
  <c r="T28" i="10"/>
  <c r="T32" i="10"/>
  <c r="T36" i="10"/>
  <c r="T40" i="10"/>
  <c r="T44" i="10"/>
  <c r="T48" i="10"/>
  <c r="T52" i="10"/>
  <c r="T56" i="10"/>
  <c r="T60" i="10"/>
  <c r="T64" i="10"/>
  <c r="T68" i="10"/>
  <c r="T72" i="10"/>
  <c r="T76" i="10"/>
  <c r="T80" i="10"/>
  <c r="T84" i="10"/>
  <c r="T88" i="10"/>
  <c r="T92" i="10"/>
  <c r="T96" i="10"/>
  <c r="T100" i="10"/>
  <c r="AY167" i="1"/>
  <c r="AV168" i="1"/>
  <c r="AZ168" i="1"/>
  <c r="X55" i="10"/>
  <c r="O39" i="10"/>
  <c r="O43" i="10"/>
  <c r="O47" i="10"/>
  <c r="O51" i="10"/>
  <c r="O55" i="10"/>
  <c r="O59" i="10"/>
  <c r="O63" i="10"/>
  <c r="O67" i="10"/>
  <c r="O71" i="10"/>
  <c r="O75" i="10"/>
  <c r="O79" i="10"/>
  <c r="O83" i="10"/>
  <c r="O87" i="10"/>
  <c r="O91" i="10"/>
  <c r="O95" i="10"/>
  <c r="O99" i="10"/>
  <c r="O103" i="10"/>
  <c r="X17" i="10"/>
  <c r="BX218" i="1"/>
  <c r="AR220" i="1"/>
  <c r="BP218" i="1"/>
  <c r="BQ218" i="1" s="1"/>
  <c r="CV218" i="1"/>
  <c r="CW218" i="1" s="1"/>
  <c r="T104" i="10"/>
  <c r="U16" i="10"/>
  <c r="U20" i="10"/>
  <c r="U24" i="10"/>
  <c r="U28" i="10"/>
  <c r="U32" i="10"/>
  <c r="U36" i="10"/>
  <c r="U40" i="10"/>
  <c r="U44" i="10"/>
  <c r="U48" i="10"/>
  <c r="U52" i="10"/>
  <c r="U56" i="10"/>
  <c r="U60" i="10"/>
  <c r="U64" i="10"/>
  <c r="U68" i="10"/>
  <c r="U72" i="10"/>
  <c r="U76" i="10"/>
  <c r="U80" i="10"/>
  <c r="U84" i="10"/>
  <c r="U88" i="10"/>
  <c r="U92" i="10"/>
  <c r="U96" i="10"/>
  <c r="U100" i="10"/>
  <c r="U104" i="10"/>
  <c r="BX217" i="1"/>
  <c r="CE167" i="1"/>
  <c r="X18" i="10"/>
  <c r="X22" i="10"/>
  <c r="X26" i="10"/>
  <c r="X30" i="10"/>
  <c r="X34" i="10"/>
  <c r="X38" i="10"/>
  <c r="X42" i="10"/>
  <c r="X46" i="10"/>
  <c r="X50" i="10"/>
  <c r="X54" i="10"/>
  <c r="X58" i="10"/>
  <c r="X62" i="10"/>
  <c r="X66" i="10"/>
  <c r="X70" i="10"/>
  <c r="X74" i="10"/>
  <c r="X78" i="10"/>
  <c r="X82" i="10"/>
  <c r="X86" i="10"/>
  <c r="X90" i="10"/>
  <c r="X94" i="10"/>
  <c r="X98" i="10"/>
  <c r="X102" i="10"/>
  <c r="CN217" i="1"/>
  <c r="CO217" i="1" s="1"/>
  <c r="AR219" i="1"/>
  <c r="S167" i="1"/>
  <c r="AQ168" i="1"/>
  <c r="O22" i="10"/>
  <c r="O30" i="10"/>
  <c r="O42" i="10"/>
  <c r="O50" i="10"/>
  <c r="O74" i="10"/>
  <c r="O78" i="10"/>
  <c r="O82" i="10"/>
  <c r="O86" i="10"/>
  <c r="O90" i="10"/>
  <c r="O94" i="10"/>
  <c r="O98" i="10"/>
  <c r="O102" i="10"/>
  <c r="Q17" i="10"/>
  <c r="Q21" i="10"/>
  <c r="Q25" i="10"/>
  <c r="Q29" i="10"/>
  <c r="Q33" i="10"/>
  <c r="Q37" i="10"/>
  <c r="Q41" i="10"/>
  <c r="Q45" i="10"/>
  <c r="Q49" i="10"/>
  <c r="Q53" i="10"/>
  <c r="Q57" i="10"/>
  <c r="Q61" i="10"/>
  <c r="Q65" i="10"/>
  <c r="Q69" i="10"/>
  <c r="Q73" i="10"/>
  <c r="Q77" i="10"/>
  <c r="Q81" i="10"/>
  <c r="Q85" i="10"/>
  <c r="Q89" i="10"/>
  <c r="Q93" i="10"/>
  <c r="Q97" i="10"/>
  <c r="Q101" i="10"/>
  <c r="Q105" i="10"/>
  <c r="S17" i="10"/>
  <c r="S21" i="10"/>
  <c r="S25" i="10"/>
  <c r="S29" i="10"/>
  <c r="S33" i="10"/>
  <c r="S37" i="10"/>
  <c r="S41" i="10"/>
  <c r="S45" i="10"/>
  <c r="S49" i="10"/>
  <c r="S53" i="10"/>
  <c r="S57" i="10"/>
  <c r="S61" i="10"/>
  <c r="S65" i="10"/>
  <c r="S69" i="10"/>
  <c r="S73" i="10"/>
  <c r="S77" i="10"/>
  <c r="S81" i="10"/>
  <c r="S85" i="10"/>
  <c r="S89" i="10"/>
  <c r="S93" i="10"/>
  <c r="S97" i="10"/>
  <c r="S101" i="10"/>
  <c r="S105" i="10"/>
  <c r="T19" i="10"/>
  <c r="T23" i="10"/>
  <c r="T27" i="10"/>
  <c r="T31" i="10"/>
  <c r="T35" i="10"/>
  <c r="T39" i="10"/>
  <c r="T43" i="10"/>
  <c r="T47" i="10"/>
  <c r="T51" i="10"/>
  <c r="T55" i="10"/>
  <c r="T59" i="10"/>
  <c r="T63" i="10"/>
  <c r="T67" i="10"/>
  <c r="T71" i="10"/>
  <c r="T75" i="10"/>
  <c r="T79" i="10"/>
  <c r="T83" i="10"/>
  <c r="T87" i="10"/>
  <c r="T91" i="10"/>
  <c r="T95" i="10"/>
  <c r="T99" i="10"/>
  <c r="T103" i="10"/>
  <c r="BG167" i="1"/>
  <c r="BF168" i="1"/>
  <c r="U17" i="10"/>
  <c r="U21" i="10"/>
  <c r="U25" i="10"/>
  <c r="U29" i="10"/>
  <c r="U33" i="10"/>
  <c r="U37" i="10"/>
  <c r="U41" i="10"/>
  <c r="U45" i="10"/>
  <c r="U49" i="10"/>
  <c r="U53" i="10"/>
  <c r="U57" i="10"/>
  <c r="U61" i="10"/>
  <c r="U65" i="10"/>
  <c r="U69" i="10"/>
  <c r="U73" i="10"/>
  <c r="U77" i="10"/>
  <c r="U81" i="10"/>
  <c r="U85" i="10"/>
  <c r="U89" i="10"/>
  <c r="U93" i="10"/>
  <c r="U97" i="10"/>
  <c r="U101" i="10"/>
  <c r="U105" i="10"/>
  <c r="X59" i="10"/>
  <c r="X63" i="10"/>
  <c r="X67" i="10"/>
  <c r="X71" i="10"/>
  <c r="X75" i="10"/>
  <c r="X79" i="10"/>
  <c r="X83" i="10"/>
  <c r="X87" i="10"/>
  <c r="X91" i="10"/>
  <c r="X95" i="10"/>
  <c r="X99" i="10"/>
  <c r="X103" i="10"/>
  <c r="CN218" i="1"/>
  <c r="CO218" i="1" s="1"/>
  <c r="O34" i="10"/>
  <c r="O38" i="10"/>
  <c r="O46" i="10"/>
  <c r="O54" i="10"/>
  <c r="O58" i="10"/>
  <c r="O62" i="10"/>
  <c r="O66" i="10"/>
  <c r="O70" i="10"/>
  <c r="T167" i="1"/>
  <c r="R168" i="1"/>
  <c r="P6" i="10"/>
  <c r="AO167" i="1"/>
  <c r="AN168" i="1"/>
  <c r="AR168" i="1"/>
  <c r="O21" i="10"/>
  <c r="O25" i="10"/>
  <c r="O29" i="10"/>
  <c r="O33" i="10"/>
  <c r="O37" i="10"/>
  <c r="O41" i="10"/>
  <c r="O45" i="10"/>
  <c r="O49" i="10"/>
  <c r="O53" i="10"/>
  <c r="O57" i="10"/>
  <c r="O61" i="10"/>
  <c r="O65" i="10"/>
  <c r="O69" i="10"/>
  <c r="O73" i="10"/>
  <c r="O77" i="10"/>
  <c r="O81" i="10"/>
  <c r="O85" i="10"/>
  <c r="O89" i="10"/>
  <c r="O93" i="10"/>
  <c r="O97" i="10"/>
  <c r="O101" i="10"/>
  <c r="O105" i="10"/>
  <c r="Q20" i="10"/>
  <c r="Q24" i="10"/>
  <c r="Q28" i="10"/>
  <c r="Q32" i="10"/>
  <c r="Q36" i="10"/>
  <c r="Q40" i="10"/>
  <c r="Q44" i="10"/>
  <c r="Q48" i="10"/>
  <c r="Q52" i="10"/>
  <c r="Q56" i="10"/>
  <c r="Q60" i="10"/>
  <c r="Q64" i="10"/>
  <c r="Q68" i="10"/>
  <c r="Q72" i="10"/>
  <c r="Q76" i="10"/>
  <c r="Q80" i="10"/>
  <c r="Q84" i="10"/>
  <c r="Q88" i="10"/>
  <c r="Q92" i="10"/>
  <c r="Q96" i="10"/>
  <c r="Q100" i="10"/>
  <c r="Q104" i="10"/>
  <c r="S18" i="10"/>
  <c r="S22" i="10"/>
  <c r="S26" i="10"/>
  <c r="S30" i="10"/>
  <c r="S34" i="10"/>
  <c r="S38" i="10"/>
  <c r="S42" i="10"/>
  <c r="S46" i="10"/>
  <c r="S50" i="10"/>
  <c r="S54" i="10"/>
  <c r="S58" i="10"/>
  <c r="S62" i="10"/>
  <c r="S66" i="10"/>
  <c r="S70" i="10"/>
  <c r="S74" i="10"/>
  <c r="S78" i="10"/>
  <c r="S82" i="10"/>
  <c r="S86" i="10"/>
  <c r="S90" i="10"/>
  <c r="S94" i="10"/>
  <c r="S98" i="10"/>
  <c r="S102" i="10"/>
  <c r="AV167" i="1"/>
  <c r="AZ167" i="1"/>
  <c r="AW168" i="1"/>
  <c r="BA168" i="1"/>
  <c r="T18" i="10"/>
  <c r="T22" i="10"/>
  <c r="T26" i="10"/>
  <c r="T30" i="10"/>
  <c r="T34" i="10"/>
  <c r="T38" i="10"/>
  <c r="T42" i="10"/>
  <c r="T46" i="10"/>
  <c r="T50" i="10"/>
  <c r="T54" i="10"/>
  <c r="T58" i="10"/>
  <c r="T62" i="10"/>
  <c r="T66" i="10"/>
  <c r="T70" i="10"/>
  <c r="T74" i="10"/>
  <c r="T78" i="10"/>
  <c r="T82" i="10"/>
  <c r="T86" i="10"/>
  <c r="T90" i="10"/>
  <c r="T94" i="10"/>
  <c r="T98" i="10"/>
  <c r="T102" i="10"/>
  <c r="BD167" i="1"/>
  <c r="BH167" i="1"/>
  <c r="BG168" i="1"/>
  <c r="U18" i="10"/>
  <c r="U22" i="10"/>
  <c r="U26" i="10"/>
  <c r="U30" i="10"/>
  <c r="U34" i="10"/>
  <c r="U38" i="10"/>
  <c r="U42" i="10"/>
  <c r="U46" i="10"/>
  <c r="U50" i="10"/>
  <c r="U54" i="10"/>
  <c r="U58" i="10"/>
  <c r="U62" i="10"/>
  <c r="U66" i="10"/>
  <c r="U70" i="10"/>
  <c r="U74" i="10"/>
  <c r="U78" i="10"/>
  <c r="U82" i="10"/>
  <c r="U86" i="10"/>
  <c r="U90" i="10"/>
  <c r="U94" i="10"/>
  <c r="U98" i="10"/>
  <c r="U102" i="10"/>
  <c r="BP217" i="1"/>
  <c r="CC167" i="1"/>
  <c r="X16" i="10"/>
  <c r="X20" i="10"/>
  <c r="X24" i="10"/>
  <c r="X28" i="10"/>
  <c r="X32" i="10"/>
  <c r="X36" i="10"/>
  <c r="X40" i="10"/>
  <c r="X44" i="10"/>
  <c r="X48" i="10"/>
  <c r="X52" i="10"/>
  <c r="X56" i="10"/>
  <c r="X60" i="10"/>
  <c r="X64" i="10"/>
  <c r="X68" i="10"/>
  <c r="X72" i="10"/>
  <c r="X76" i="10"/>
  <c r="X80" i="10"/>
  <c r="X84" i="10"/>
  <c r="X88" i="10"/>
  <c r="X92" i="10"/>
  <c r="X96" i="10"/>
  <c r="X100" i="10"/>
  <c r="X104" i="10"/>
  <c r="CV217" i="1"/>
  <c r="CW217" i="1" s="1"/>
  <c r="U168" i="1"/>
  <c r="O18" i="10"/>
  <c r="O26" i="10"/>
  <c r="Q167" i="1"/>
  <c r="AO168" i="1"/>
  <c r="O16" i="10"/>
  <c r="O20" i="10"/>
  <c r="O24" i="10"/>
  <c r="O28" i="10"/>
  <c r="O32" i="10"/>
  <c r="O36" i="10"/>
  <c r="O40" i="10"/>
  <c r="O44" i="10"/>
  <c r="O48" i="10"/>
  <c r="O52" i="10"/>
  <c r="O56" i="10"/>
  <c r="O60" i="10"/>
  <c r="O64" i="10"/>
  <c r="O68" i="10"/>
  <c r="O72" i="10"/>
  <c r="O76" i="10"/>
  <c r="O80" i="10"/>
  <c r="O84" i="10"/>
  <c r="O88" i="10"/>
  <c r="O92" i="10"/>
  <c r="O96" i="10"/>
  <c r="O100" i="10"/>
  <c r="O104" i="10"/>
  <c r="Q19" i="10"/>
  <c r="Q23" i="10"/>
  <c r="Q27" i="10"/>
  <c r="Q31" i="10"/>
  <c r="Q35" i="10"/>
  <c r="Q39" i="10"/>
  <c r="Q43" i="10"/>
  <c r="Q47" i="10"/>
  <c r="Q51" i="10"/>
  <c r="Q55" i="10"/>
  <c r="Q59" i="10"/>
  <c r="Q63" i="10"/>
  <c r="Q67" i="10"/>
  <c r="Q71" i="10"/>
  <c r="Q75" i="10"/>
  <c r="Q79" i="10"/>
  <c r="Q83" i="10"/>
  <c r="Q87" i="10"/>
  <c r="Q91" i="10"/>
  <c r="Q95" i="10"/>
  <c r="Q99" i="10"/>
  <c r="Q103" i="10"/>
  <c r="S19" i="10"/>
  <c r="S23" i="10"/>
  <c r="S27" i="10"/>
  <c r="S31" i="10"/>
  <c r="S35" i="10"/>
  <c r="S39" i="10"/>
  <c r="S43" i="10"/>
  <c r="S47" i="10"/>
  <c r="S51" i="10"/>
  <c r="S55" i="10"/>
  <c r="S59" i="10"/>
  <c r="S63" i="10"/>
  <c r="S67" i="10"/>
  <c r="S71" i="10"/>
  <c r="S75" i="10"/>
  <c r="S79" i="10"/>
  <c r="S83" i="10"/>
  <c r="S87" i="10"/>
  <c r="S91" i="10"/>
  <c r="S95" i="10"/>
  <c r="S99" i="10"/>
  <c r="S103" i="10"/>
  <c r="T17" i="10"/>
  <c r="T21" i="10"/>
  <c r="T25" i="10"/>
  <c r="T29" i="10"/>
  <c r="T33" i="10"/>
  <c r="T37" i="10"/>
  <c r="T41" i="10"/>
  <c r="T45" i="10"/>
  <c r="T49" i="10"/>
  <c r="T53" i="10"/>
  <c r="T57" i="10"/>
  <c r="T61" i="10"/>
  <c r="T65" i="10"/>
  <c r="T69" i="10"/>
  <c r="T73" i="10"/>
  <c r="T77" i="10"/>
  <c r="T81" i="10"/>
  <c r="T85" i="10"/>
  <c r="T89" i="10"/>
  <c r="T93" i="10"/>
  <c r="T97" i="10"/>
  <c r="T101" i="10"/>
  <c r="X21" i="10"/>
  <c r="X25" i="10"/>
  <c r="X29" i="10"/>
  <c r="X33" i="10"/>
  <c r="X37" i="10"/>
  <c r="X41" i="10"/>
  <c r="X45" i="10"/>
  <c r="X49" i="10"/>
  <c r="X53" i="10"/>
  <c r="X57" i="10"/>
  <c r="AE208" i="1"/>
  <c r="P167" i="1"/>
  <c r="P7" i="10"/>
  <c r="O17" i="10"/>
  <c r="Q168" i="1"/>
  <c r="S168" i="1"/>
  <c r="Q16" i="10"/>
  <c r="AN167" i="1"/>
  <c r="S16" i="10"/>
  <c r="AP167" i="1"/>
  <c r="AR167" i="1"/>
  <c r="O187" i="1"/>
  <c r="O190" i="1" s="1"/>
  <c r="AB208" i="1"/>
  <c r="AD208" i="1"/>
  <c r="AF208" i="1"/>
  <c r="AG208" i="1"/>
  <c r="BH218" i="1" l="1"/>
  <c r="BI218" i="1" s="1"/>
  <c r="H208" i="1"/>
  <c r="AZ217" i="1"/>
  <c r="BA217" i="1" s="1"/>
  <c r="AZ218" i="1"/>
  <c r="BA218" i="1" s="1"/>
  <c r="AE218" i="1"/>
  <c r="AE221" i="1"/>
  <c r="S217" i="1"/>
  <c r="T217" i="1" s="1"/>
  <c r="BH217" i="1"/>
  <c r="BQ217" i="1"/>
  <c r="AR218" i="1"/>
  <c r="AR217" i="1"/>
  <c r="AE217" i="1"/>
  <c r="S218" i="1"/>
  <c r="T218" i="1" s="1"/>
  <c r="AS218" i="1" l="1"/>
  <c r="BI217" i="1"/>
  <c r="AS217" i="1"/>
  <c r="CB8" i="1"/>
  <c r="CB168" i="1" s="1"/>
  <c r="CF218" i="1" s="1"/>
  <c r="CB7" i="1"/>
  <c r="CB167" i="1" s="1"/>
  <c r="CF217" i="1" s="1"/>
  <c r="CG217" i="1" l="1"/>
  <c r="CG218" i="1"/>
  <c r="BY217" i="1"/>
  <c r="BY218" i="1"/>
  <c r="CB208" i="1"/>
  <c r="CB187" i="1"/>
  <c r="CB186" i="1"/>
  <c r="BA209" i="1" l="1"/>
  <c r="BA208" i="1"/>
  <c r="BA187" i="1" l="1"/>
  <c r="BA186" i="1"/>
  <c r="BA190" i="1" l="1"/>
  <c r="BA212" i="1" s="1"/>
  <c r="BA189" i="1"/>
  <c r="BA211" i="1" s="1"/>
  <c r="Q198" i="10" l="1"/>
  <c r="Q197" i="10"/>
  <c r="AG209" i="1"/>
  <c r="AF209" i="1"/>
  <c r="AE209" i="1"/>
  <c r="AD209" i="1"/>
  <c r="AC209" i="1"/>
  <c r="AB209" i="1"/>
  <c r="X198" i="10"/>
  <c r="X197" i="10"/>
  <c r="AE222" i="1" l="1"/>
  <c r="P198" i="10"/>
  <c r="Z197" i="10"/>
  <c r="R198" i="10"/>
  <c r="O197" i="10"/>
  <c r="Y197" i="10"/>
  <c r="I197" i="10" s="1"/>
  <c r="P197" i="10"/>
  <c r="R197" i="10"/>
  <c r="O198" i="10"/>
  <c r="Y198" i="10"/>
  <c r="J197" i="10" s="1"/>
  <c r="Z198" i="10"/>
  <c r="W197" i="10"/>
  <c r="W198" i="10"/>
  <c r="V197" i="10"/>
  <c r="V198" i="10"/>
  <c r="U197" i="10"/>
  <c r="U198" i="10"/>
  <c r="T198" i="10"/>
  <c r="T197" i="10"/>
  <c r="S197" i="10"/>
  <c r="S198" i="10"/>
  <c r="I206" i="10" l="1"/>
  <c r="H206" i="10"/>
  <c r="H203" i="10"/>
  <c r="H207" i="10" s="1"/>
  <c r="W174" i="10" l="1"/>
  <c r="Z172" i="10" l="1"/>
  <c r="Z176" i="10"/>
  <c r="W172" i="10"/>
  <c r="W176" i="10"/>
  <c r="AL106" i="1"/>
  <c r="AK106" i="1"/>
  <c r="AJ106" i="1"/>
  <c r="AI106" i="1"/>
  <c r="AH106" i="1"/>
  <c r="P105" i="10"/>
  <c r="AL105" i="1"/>
  <c r="AK105" i="1"/>
  <c r="AJ105" i="1"/>
  <c r="AI105" i="1"/>
  <c r="AH105" i="1"/>
  <c r="P104" i="10"/>
  <c r="AL104" i="1"/>
  <c r="AK104" i="1"/>
  <c r="AJ104" i="1"/>
  <c r="AI104" i="1"/>
  <c r="AH104" i="1"/>
  <c r="P103" i="10"/>
  <c r="AL103" i="1"/>
  <c r="AK103" i="1"/>
  <c r="AJ103" i="1"/>
  <c r="AI103" i="1"/>
  <c r="AH103" i="1"/>
  <c r="P102" i="10"/>
  <c r="AL102" i="1"/>
  <c r="AK102" i="1"/>
  <c r="AJ102" i="1"/>
  <c r="AI102" i="1"/>
  <c r="AH102" i="1"/>
  <c r="P101" i="10"/>
  <c r="AL101" i="1"/>
  <c r="AK101" i="1"/>
  <c r="AJ101" i="1"/>
  <c r="AI101" i="1"/>
  <c r="AH101" i="1"/>
  <c r="P100" i="10"/>
  <c r="AL100" i="1"/>
  <c r="AK100" i="1"/>
  <c r="AJ100" i="1"/>
  <c r="AI100" i="1"/>
  <c r="AH100" i="1"/>
  <c r="P99" i="10"/>
  <c r="AL99" i="1"/>
  <c r="AK99" i="1"/>
  <c r="AJ99" i="1"/>
  <c r="AI99" i="1"/>
  <c r="AH99" i="1"/>
  <c r="P98" i="10"/>
  <c r="AL98" i="1"/>
  <c r="AK98" i="1"/>
  <c r="AJ98" i="1"/>
  <c r="AI98" i="1"/>
  <c r="AH98" i="1"/>
  <c r="P97" i="10"/>
  <c r="AL97" i="1"/>
  <c r="AK97" i="1"/>
  <c r="AJ97" i="1"/>
  <c r="AI97" i="1"/>
  <c r="AH97" i="1"/>
  <c r="P96" i="10"/>
  <c r="AL96" i="1"/>
  <c r="AK96" i="1"/>
  <c r="AJ96" i="1"/>
  <c r="AI96" i="1"/>
  <c r="AH96" i="1"/>
  <c r="P95" i="10"/>
  <c r="AL95" i="1"/>
  <c r="AK95" i="1"/>
  <c r="AJ95" i="1"/>
  <c r="AI95" i="1"/>
  <c r="AH95" i="1"/>
  <c r="P94" i="10"/>
  <c r="AL94" i="1"/>
  <c r="AK94" i="1"/>
  <c r="AJ94" i="1"/>
  <c r="AI94" i="1"/>
  <c r="AH94" i="1"/>
  <c r="P93" i="10"/>
  <c r="AL93" i="1"/>
  <c r="AK93" i="1"/>
  <c r="AJ93" i="1"/>
  <c r="AI93" i="1"/>
  <c r="AH93" i="1"/>
  <c r="P92" i="10"/>
  <c r="AL92" i="1"/>
  <c r="AK92" i="1"/>
  <c r="AJ92" i="1"/>
  <c r="AI92" i="1"/>
  <c r="AH92" i="1"/>
  <c r="P91" i="10"/>
  <c r="AL91" i="1"/>
  <c r="AK91" i="1"/>
  <c r="AJ91" i="1"/>
  <c r="AI91" i="1"/>
  <c r="AH91" i="1"/>
  <c r="P90" i="10"/>
  <c r="P51" i="10"/>
  <c r="P50" i="10"/>
  <c r="P49" i="10"/>
  <c r="P48" i="10"/>
  <c r="P43" i="10"/>
  <c r="P42" i="10"/>
  <c r="P41" i="10"/>
  <c r="P40" i="10"/>
  <c r="P39" i="10"/>
  <c r="P38" i="10"/>
  <c r="P37" i="10"/>
  <c r="P36" i="10"/>
  <c r="P35" i="10"/>
  <c r="P34" i="10"/>
  <c r="P33" i="10"/>
  <c r="P32" i="10"/>
  <c r="P31" i="10"/>
  <c r="P30" i="10"/>
  <c r="P29" i="10"/>
  <c r="P28" i="10"/>
  <c r="P27" i="10"/>
  <c r="P26" i="10"/>
  <c r="P25" i="10"/>
  <c r="P24" i="10"/>
  <c r="P23" i="10"/>
  <c r="P22" i="10"/>
  <c r="P21" i="10"/>
  <c r="P20" i="10"/>
  <c r="P19" i="10"/>
  <c r="P18" i="10"/>
  <c r="P65" i="10"/>
  <c r="P64" i="10"/>
  <c r="P63" i="10"/>
  <c r="P62" i="10"/>
  <c r="P61" i="10"/>
  <c r="P60" i="10"/>
  <c r="P59" i="10"/>
  <c r="P58" i="10"/>
  <c r="P57" i="10"/>
  <c r="P56" i="10"/>
  <c r="P55" i="10"/>
  <c r="P54" i="10"/>
  <c r="P53" i="10"/>
  <c r="P52" i="10"/>
  <c r="Q14" i="10"/>
  <c r="R12" i="10"/>
  <c r="Q12" i="10"/>
  <c r="Q10" i="10"/>
  <c r="R52" i="10" l="1"/>
  <c r="R54" i="10"/>
  <c r="R56" i="10"/>
  <c r="R58" i="10"/>
  <c r="R60" i="10"/>
  <c r="R62" i="10"/>
  <c r="R64" i="10"/>
  <c r="R19" i="10"/>
  <c r="R21" i="10"/>
  <c r="R23" i="10"/>
  <c r="R25" i="10"/>
  <c r="R27" i="10"/>
  <c r="R29" i="10"/>
  <c r="R31" i="10"/>
  <c r="R33" i="10"/>
  <c r="R35" i="10"/>
  <c r="R37" i="10"/>
  <c r="R39" i="10"/>
  <c r="R41" i="10"/>
  <c r="R43" i="10"/>
  <c r="R45" i="10"/>
  <c r="R47" i="10"/>
  <c r="R49" i="10"/>
  <c r="R51" i="10"/>
  <c r="R59" i="10"/>
  <c r="R61" i="10"/>
  <c r="R65" i="10"/>
  <c r="R18" i="10"/>
  <c r="R20" i="10"/>
  <c r="R22" i="10"/>
  <c r="R24" i="10"/>
  <c r="R26" i="10"/>
  <c r="R28" i="10"/>
  <c r="R30" i="10"/>
  <c r="R32" i="10"/>
  <c r="R34" i="10"/>
  <c r="R36" i="10"/>
  <c r="R38" i="10"/>
  <c r="R40" i="10"/>
  <c r="R42" i="10"/>
  <c r="R44" i="10"/>
  <c r="R46" i="10"/>
  <c r="R48" i="10"/>
  <c r="R50" i="10"/>
  <c r="R90" i="10"/>
  <c r="R92" i="10"/>
  <c r="R94" i="10"/>
  <c r="R96" i="10"/>
  <c r="R98" i="10"/>
  <c r="R100" i="10"/>
  <c r="R102" i="10"/>
  <c r="R104" i="10"/>
  <c r="R53" i="10"/>
  <c r="R55" i="10"/>
  <c r="R57" i="10"/>
  <c r="R63" i="10"/>
  <c r="R91" i="10"/>
  <c r="R93" i="10"/>
  <c r="R95" i="10"/>
  <c r="R97" i="10"/>
  <c r="R99" i="10"/>
  <c r="R101" i="10"/>
  <c r="R103" i="10"/>
  <c r="R105" i="10"/>
  <c r="P16" i="10"/>
  <c r="R16" i="10"/>
  <c r="P17" i="10"/>
  <c r="R17" i="10"/>
  <c r="H91" i="1"/>
  <c r="I91" i="1"/>
  <c r="H93" i="1"/>
  <c r="I93" i="1"/>
  <c r="H95" i="1"/>
  <c r="I95" i="1"/>
  <c r="H97" i="1"/>
  <c r="I97" i="1"/>
  <c r="H99" i="1"/>
  <c r="I99" i="1"/>
  <c r="H101" i="1"/>
  <c r="I101" i="1"/>
  <c r="H103" i="1"/>
  <c r="I103" i="1"/>
  <c r="H105" i="1"/>
  <c r="I105" i="1"/>
  <c r="P10" i="10"/>
  <c r="P12" i="10"/>
  <c r="R14" i="10"/>
  <c r="T14" i="10"/>
  <c r="Y10" i="10"/>
  <c r="Z10" i="10"/>
  <c r="Y12" i="10"/>
  <c r="X14" i="10"/>
  <c r="O15" i="10"/>
  <c r="R10" i="10"/>
  <c r="T10" i="10"/>
  <c r="X10" i="10"/>
  <c r="O11" i="10"/>
  <c r="X12" i="10"/>
  <c r="O13" i="10"/>
  <c r="P14" i="10"/>
  <c r="Y14" i="10"/>
  <c r="Z14" i="10"/>
  <c r="W10" i="10"/>
  <c r="W12" i="10"/>
  <c r="W14" i="10"/>
  <c r="V10" i="10"/>
  <c r="V12" i="10"/>
  <c r="V14" i="10"/>
  <c r="U10" i="10"/>
  <c r="U12" i="10"/>
  <c r="U14" i="10"/>
  <c r="T12" i="10"/>
  <c r="S12" i="10"/>
  <c r="S10" i="10"/>
  <c r="S14" i="10"/>
  <c r="Z12" i="10"/>
  <c r="O10" i="10"/>
  <c r="P11" i="10"/>
  <c r="Q11" i="10"/>
  <c r="R11" i="10"/>
  <c r="S11" i="10"/>
  <c r="T11" i="10"/>
  <c r="U11" i="10"/>
  <c r="V11" i="10"/>
  <c r="W11" i="10"/>
  <c r="X11" i="10"/>
  <c r="Y11" i="10"/>
  <c r="Z11" i="10"/>
  <c r="O12" i="10"/>
  <c r="P13" i="10"/>
  <c r="Q13" i="10"/>
  <c r="R13" i="10"/>
  <c r="S13" i="10"/>
  <c r="T13" i="10"/>
  <c r="U13" i="10"/>
  <c r="V13" i="10"/>
  <c r="W13" i="10"/>
  <c r="X13" i="10"/>
  <c r="Y13" i="10"/>
  <c r="Z13" i="10"/>
  <c r="O14" i="10"/>
  <c r="P15" i="10"/>
  <c r="Q15" i="10"/>
  <c r="R15" i="10"/>
  <c r="S15" i="10"/>
  <c r="T15" i="10"/>
  <c r="U15" i="10"/>
  <c r="V15" i="10"/>
  <c r="W15" i="10"/>
  <c r="X15" i="10"/>
  <c r="Y15" i="10"/>
  <c r="Z15" i="10"/>
  <c r="AA47" i="10" l="1"/>
  <c r="AA45" i="10"/>
  <c r="AA49" i="10"/>
  <c r="AA43" i="10"/>
  <c r="AA41" i="10"/>
  <c r="AA55" i="10"/>
  <c r="AA91" i="10"/>
  <c r="AA63" i="10"/>
  <c r="AA59" i="10"/>
  <c r="AA56" i="10"/>
  <c r="AA105" i="10"/>
  <c r="AA101" i="10"/>
  <c r="AA97" i="10"/>
  <c r="AA51" i="10"/>
  <c r="AA92" i="10"/>
  <c r="AA90" i="10"/>
  <c r="AA64" i="10"/>
  <c r="AA62" i="10"/>
  <c r="AA60" i="10"/>
  <c r="AA58" i="10"/>
  <c r="AA53" i="10"/>
  <c r="AA52" i="10"/>
  <c r="AA28" i="10"/>
  <c r="AA26" i="10"/>
  <c r="AA24" i="10"/>
  <c r="AA20" i="10"/>
  <c r="AA18" i="10"/>
  <c r="AA16" i="10"/>
  <c r="AA14" i="10"/>
  <c r="AA12" i="10"/>
  <c r="AA10" i="10"/>
  <c r="AA93" i="10"/>
  <c r="AA65" i="10"/>
  <c r="AA61" i="10"/>
  <c r="AA57" i="10"/>
  <c r="AA54" i="10"/>
  <c r="AA103" i="10"/>
  <c r="AA99" i="10"/>
  <c r="AA95" i="10"/>
  <c r="AA104" i="10"/>
  <c r="AA102" i="10"/>
  <c r="AA100" i="10"/>
  <c r="AA98" i="10"/>
  <c r="AA96" i="10"/>
  <c r="AA94" i="10"/>
  <c r="AA50" i="10"/>
  <c r="AA48" i="10"/>
  <c r="AA46" i="10"/>
  <c r="AA44" i="10"/>
  <c r="AA42" i="10"/>
  <c r="AA40" i="10"/>
  <c r="AA38" i="10"/>
  <c r="AA39" i="10"/>
  <c r="AA36" i="10"/>
  <c r="AA37" i="10"/>
  <c r="AA35" i="10"/>
  <c r="AA34" i="10"/>
  <c r="AA33" i="10"/>
  <c r="AA31" i="10"/>
  <c r="AA29" i="10"/>
  <c r="AA27" i="10"/>
  <c r="AA23" i="10"/>
  <c r="AA21" i="10"/>
  <c r="AA19" i="10"/>
  <c r="AA17" i="10"/>
  <c r="AA15" i="10"/>
  <c r="AA11" i="10"/>
  <c r="AA32" i="10"/>
  <c r="AA30" i="10"/>
  <c r="AA22" i="10"/>
  <c r="AA25" i="10"/>
  <c r="AA13" i="10"/>
  <c r="Q180" i="10"/>
  <c r="Q179" i="10"/>
  <c r="Q172" i="10"/>
  <c r="Q9" i="10"/>
  <c r="Q8" i="10"/>
  <c r="Q173" i="10" l="1"/>
  <c r="Q174" i="10"/>
  <c r="Q175" i="10"/>
  <c r="Q176" i="10"/>
  <c r="Q177" i="10"/>
  <c r="Q178" i="10"/>
  <c r="Q181" i="10"/>
  <c r="Q182" i="10"/>
  <c r="Q183" i="10"/>
  <c r="Q193" i="10"/>
  <c r="Q194" i="10"/>
  <c r="Q195" i="10"/>
  <c r="Q196" i="10"/>
  <c r="Q199" i="10"/>
  <c r="Q200" i="10"/>
  <c r="Q201" i="10"/>
  <c r="Q202" i="10"/>
  <c r="Q6" i="10"/>
  <c r="Q166" i="10" s="1"/>
  <c r="E4" i="12" s="1"/>
  <c r="Q7" i="10"/>
  <c r="Q167" i="10" s="1"/>
  <c r="E5" i="12" s="1"/>
  <c r="E6" i="12" s="1"/>
  <c r="Q184" i="10" l="1"/>
  <c r="Q204" i="10"/>
  <c r="Q203" i="10"/>
  <c r="Q185" i="10"/>
  <c r="E9" i="12" s="1"/>
  <c r="O6" i="10"/>
  <c r="Y196" i="10"/>
  <c r="X196" i="10"/>
  <c r="W196" i="10"/>
  <c r="S196" i="10"/>
  <c r="R196" i="10"/>
  <c r="P196" i="10"/>
  <c r="X176" i="10"/>
  <c r="X174" i="10"/>
  <c r="P174" i="10"/>
  <c r="Q187" i="10" l="1"/>
  <c r="E11" i="12" s="1"/>
  <c r="E8" i="12"/>
  <c r="Q188" i="10"/>
  <c r="S174" i="10"/>
  <c r="R174" i="10"/>
  <c r="Z174" i="10"/>
  <c r="S176" i="10"/>
  <c r="Y174" i="10"/>
  <c r="Y172" i="10"/>
  <c r="P176" i="10"/>
  <c r="R176" i="10"/>
  <c r="Y176" i="10"/>
  <c r="Z196" i="10"/>
  <c r="V172" i="10"/>
  <c r="V174" i="10"/>
  <c r="V176" i="10"/>
  <c r="V196" i="10"/>
  <c r="U172" i="10"/>
  <c r="U174" i="10"/>
  <c r="U176" i="10"/>
  <c r="U196" i="10"/>
  <c r="T172" i="10"/>
  <c r="T174" i="10"/>
  <c r="T176" i="10"/>
  <c r="T196" i="10"/>
  <c r="P172" i="10"/>
  <c r="V186" i="1"/>
  <c r="R172" i="10"/>
  <c r="O195" i="10"/>
  <c r="S172" i="10"/>
  <c r="P195" i="10"/>
  <c r="R195" i="10"/>
  <c r="S195" i="10"/>
  <c r="T195" i="10"/>
  <c r="U195" i="10"/>
  <c r="V195" i="10"/>
  <c r="W195" i="10"/>
  <c r="X195" i="10"/>
  <c r="O196" i="10"/>
  <c r="X172" i="10"/>
  <c r="J195" i="10"/>
  <c r="Y195" i="10"/>
  <c r="I195" i="10" s="1"/>
  <c r="Z195" i="10"/>
  <c r="Q206" i="10" l="1"/>
  <c r="Q207" i="10"/>
  <c r="E12" i="12"/>
  <c r="E13" i="12" s="1"/>
  <c r="O176" i="10"/>
  <c r="O174" i="10"/>
  <c r="O172" i="10"/>
  <c r="O186" i="1"/>
  <c r="AI87" i="8"/>
  <c r="AI84" i="8" s="1"/>
  <c r="AI77" i="8"/>
  <c r="AI74" i="8" s="1"/>
  <c r="AI67" i="8"/>
  <c r="AI64" i="8" s="1"/>
  <c r="AI58" i="8"/>
  <c r="AI55" i="8" s="1"/>
  <c r="AI131" i="8"/>
  <c r="AH131" i="8"/>
  <c r="AI130" i="8"/>
  <c r="AH130" i="8"/>
  <c r="AI129" i="8"/>
  <c r="AH129" i="8"/>
  <c r="AI111" i="8"/>
  <c r="AI110" i="8"/>
  <c r="AI109" i="8"/>
  <c r="AI121" i="8"/>
  <c r="AH121" i="8"/>
  <c r="AI120" i="8"/>
  <c r="AH120" i="8"/>
  <c r="AI119" i="8"/>
  <c r="AH119" i="8"/>
  <c r="AI101" i="8"/>
  <c r="AI100" i="8"/>
  <c r="AI99" i="8"/>
  <c r="AI91" i="8"/>
  <c r="AH91" i="8"/>
  <c r="AI90" i="8"/>
  <c r="AH90" i="8"/>
  <c r="AI89" i="8"/>
  <c r="AH89" i="8"/>
  <c r="AI81" i="8"/>
  <c r="AH81" i="8"/>
  <c r="AI80" i="8"/>
  <c r="AH80" i="8"/>
  <c r="AI79" i="8"/>
  <c r="AH79" i="8"/>
  <c r="AI71" i="8"/>
  <c r="AH71" i="8"/>
  <c r="AI70" i="8"/>
  <c r="AH70" i="8"/>
  <c r="AI69" i="8"/>
  <c r="AH69" i="8"/>
  <c r="AI62" i="8"/>
  <c r="AH62" i="8"/>
  <c r="AI61" i="8"/>
  <c r="AH61" i="8"/>
  <c r="AI60" i="8"/>
  <c r="AH60" i="8"/>
  <c r="O189" i="1" l="1"/>
  <c r="CV209" i="1"/>
  <c r="CU209" i="1"/>
  <c r="CT209" i="1"/>
  <c r="CS209" i="1"/>
  <c r="CV208" i="1"/>
  <c r="CU208" i="1"/>
  <c r="CT208" i="1"/>
  <c r="CS208" i="1"/>
  <c r="X202" i="10"/>
  <c r="X201" i="10"/>
  <c r="X200" i="10"/>
  <c r="X199" i="10"/>
  <c r="CF209" i="1"/>
  <c r="CE209" i="1"/>
  <c r="CD209" i="1"/>
  <c r="CC209" i="1"/>
  <c r="CF208" i="1"/>
  <c r="CE208" i="1"/>
  <c r="CD208" i="1"/>
  <c r="CC208" i="1"/>
  <c r="BX209" i="1"/>
  <c r="BW209" i="1"/>
  <c r="BV209" i="1"/>
  <c r="BU209" i="1"/>
  <c r="BX208" i="1"/>
  <c r="BW208" i="1"/>
  <c r="BV208" i="1"/>
  <c r="BU208" i="1"/>
  <c r="T209" i="1"/>
  <c r="S209" i="1"/>
  <c r="T208" i="1"/>
  <c r="S208" i="1"/>
  <c r="U208" i="1"/>
  <c r="R208" i="1"/>
  <c r="Q208" i="1"/>
  <c r="P208" i="1"/>
  <c r="O193" i="10"/>
  <c r="X182" i="10"/>
  <c r="X181" i="10"/>
  <c r="X178" i="10"/>
  <c r="X177" i="10"/>
  <c r="X175" i="10"/>
  <c r="X173" i="10"/>
  <c r="O178" i="10"/>
  <c r="O175" i="10"/>
  <c r="CF221" i="1" l="1"/>
  <c r="BV187" i="1"/>
  <c r="BU187" i="1"/>
  <c r="BW187" i="1"/>
  <c r="O209" i="1"/>
  <c r="Z8" i="10"/>
  <c r="Q209" i="1"/>
  <c r="O181" i="10"/>
  <c r="BX187" i="1"/>
  <c r="Z179" i="10"/>
  <c r="Z183" i="10"/>
  <c r="P209" i="1"/>
  <c r="R209" i="1"/>
  <c r="U209" i="1"/>
  <c r="Z200" i="10"/>
  <c r="Z202" i="10"/>
  <c r="Z9" i="10"/>
  <c r="O183" i="10"/>
  <c r="Z180" i="10"/>
  <c r="O201" i="10"/>
  <c r="Z199" i="10"/>
  <c r="Z201" i="10"/>
  <c r="W179" i="10"/>
  <c r="BT187" i="1"/>
  <c r="W180" i="10"/>
  <c r="W183" i="10"/>
  <c r="W199" i="10"/>
  <c r="W200" i="10"/>
  <c r="W201" i="10"/>
  <c r="W202" i="10"/>
  <c r="O179" i="10"/>
  <c r="O199" i="10"/>
  <c r="O208" i="1"/>
  <c r="S221" i="1" s="1"/>
  <c r="T221" i="1" s="1"/>
  <c r="W193" i="10"/>
  <c r="BT208" i="1"/>
  <c r="BX221" i="1" s="1"/>
  <c r="BY221" i="1" s="1"/>
  <c r="W194" i="10"/>
  <c r="BT209" i="1"/>
  <c r="BX222" i="1" s="1"/>
  <c r="X193" i="10"/>
  <c r="X203" i="10" s="1"/>
  <c r="X194" i="10"/>
  <c r="X204" i="10" s="1"/>
  <c r="CB209" i="1"/>
  <c r="Z193" i="10"/>
  <c r="CR208" i="1"/>
  <c r="CV221" i="1" s="1"/>
  <c r="CW221" i="1" s="1"/>
  <c r="Z194" i="10"/>
  <c r="CR209" i="1"/>
  <c r="CV222" i="1" s="1"/>
  <c r="CW222" i="1" s="1"/>
  <c r="Z6" i="10"/>
  <c r="Z166" i="10" s="1"/>
  <c r="N4" i="12" s="1"/>
  <c r="Z7" i="10"/>
  <c r="O173" i="10"/>
  <c r="O177" i="10"/>
  <c r="O180" i="10"/>
  <c r="O182" i="10"/>
  <c r="W173" i="10"/>
  <c r="W175" i="10"/>
  <c r="W177" i="10"/>
  <c r="W178" i="10"/>
  <c r="W181" i="10"/>
  <c r="W182" i="10"/>
  <c r="X179" i="10"/>
  <c r="X180" i="10"/>
  <c r="X184" i="10" s="1"/>
  <c r="L8" i="12" s="1"/>
  <c r="X183" i="10"/>
  <c r="Z173" i="10"/>
  <c r="Z175" i="10"/>
  <c r="Z177" i="10"/>
  <c r="Z178" i="10"/>
  <c r="Z181" i="10"/>
  <c r="Z182" i="10"/>
  <c r="O194" i="10"/>
  <c r="O200" i="10"/>
  <c r="O202" i="10"/>
  <c r="X185" i="10" l="1"/>
  <c r="L9" i="12" s="1"/>
  <c r="S222" i="1"/>
  <c r="T222" i="1" s="1"/>
  <c r="BY222" i="1"/>
  <c r="CF222" i="1"/>
  <c r="BX220" i="1"/>
  <c r="BX224" i="1" s="1"/>
  <c r="Z167" i="10"/>
  <c r="N5" i="12" s="1"/>
  <c r="N6" i="12" s="1"/>
  <c r="W203" i="10"/>
  <c r="O211" i="1"/>
  <c r="O203" i="10"/>
  <c r="H83" i="1"/>
  <c r="H85" i="1"/>
  <c r="H87" i="1"/>
  <c r="H89" i="1"/>
  <c r="I83" i="1"/>
  <c r="I85" i="1"/>
  <c r="I87" i="1"/>
  <c r="I89" i="1"/>
  <c r="Z204" i="10"/>
  <c r="Z203" i="10"/>
  <c r="BT190" i="1"/>
  <c r="W204" i="10"/>
  <c r="X8" i="10"/>
  <c r="X9" i="10"/>
  <c r="O204" i="10"/>
  <c r="O184" i="10"/>
  <c r="C8" i="12" s="1"/>
  <c r="O8" i="10"/>
  <c r="O166" i="10" s="1"/>
  <c r="C4" i="12" s="1"/>
  <c r="W6" i="10"/>
  <c r="W7" i="10"/>
  <c r="W8" i="10"/>
  <c r="W9" i="10"/>
  <c r="X6" i="10"/>
  <c r="X7" i="10"/>
  <c r="Z184" i="10"/>
  <c r="N8" i="12" s="1"/>
  <c r="W185" i="10"/>
  <c r="K9" i="12" s="1"/>
  <c r="O7" i="10"/>
  <c r="O9" i="10"/>
  <c r="Z185" i="10"/>
  <c r="N9" i="12" s="1"/>
  <c r="W184" i="10"/>
  <c r="K8" i="12" s="1"/>
  <c r="O185" i="10"/>
  <c r="C9" i="12" s="1"/>
  <c r="CN209" i="1"/>
  <c r="BP209" i="1"/>
  <c r="BO209" i="1"/>
  <c r="BP208" i="1"/>
  <c r="BO208" i="1"/>
  <c r="BH209" i="1"/>
  <c r="BG209" i="1"/>
  <c r="AZ209" i="1"/>
  <c r="AY209" i="1"/>
  <c r="AY208" i="1"/>
  <c r="AR209" i="1"/>
  <c r="AQ209" i="1"/>
  <c r="AR208" i="1"/>
  <c r="AQ208" i="1"/>
  <c r="AK209" i="1"/>
  <c r="AJ209" i="1"/>
  <c r="CS186" i="1"/>
  <c r="CT186" i="1"/>
  <c r="CU186" i="1"/>
  <c r="CU189" i="1" s="1"/>
  <c r="CV186" i="1"/>
  <c r="CS187" i="1"/>
  <c r="CV187" i="1"/>
  <c r="CV190" i="1" s="1"/>
  <c r="CV212" i="1" s="1"/>
  <c r="CU187" i="1"/>
  <c r="CU190" i="1" s="1"/>
  <c r="CT187" i="1"/>
  <c r="CE187" i="1"/>
  <c r="CE190" i="1" s="1"/>
  <c r="CE212" i="1" s="1"/>
  <c r="CD187" i="1"/>
  <c r="CE186" i="1"/>
  <c r="CE189" i="1" s="1"/>
  <c r="CE211" i="1" s="1"/>
  <c r="CD186" i="1"/>
  <c r="BX190" i="1"/>
  <c r="BX212" i="1" s="1"/>
  <c r="BX186" i="1"/>
  <c r="BX189" i="1" s="1"/>
  <c r="BX211" i="1" s="1"/>
  <c r="BW186" i="1"/>
  <c r="BW189" i="1" s="1"/>
  <c r="BW211" i="1" s="1"/>
  <c r="BG187" i="1"/>
  <c r="AF187" i="1"/>
  <c r="AF190" i="1" s="1"/>
  <c r="AE187" i="1"/>
  <c r="AE190" i="1" s="1"/>
  <c r="AF186" i="1"/>
  <c r="AF189" i="1" s="1"/>
  <c r="AE186" i="1"/>
  <c r="AE189" i="1" s="1"/>
  <c r="Z187" i="1"/>
  <c r="Y187" i="1"/>
  <c r="Z186" i="1"/>
  <c r="Y186" i="1"/>
  <c r="T187" i="1"/>
  <c r="T190" i="1" s="1"/>
  <c r="T212" i="1" s="1"/>
  <c r="S187" i="1"/>
  <c r="S190" i="1" s="1"/>
  <c r="T186" i="1"/>
  <c r="T189" i="1" s="1"/>
  <c r="S186" i="1"/>
  <c r="BW190" i="1"/>
  <c r="BW212" i="1" s="1"/>
  <c r="AK90" i="1"/>
  <c r="AJ90" i="1"/>
  <c r="AK89" i="1"/>
  <c r="AJ89" i="1"/>
  <c r="AK88" i="1"/>
  <c r="AJ88" i="1"/>
  <c r="AK87" i="1"/>
  <c r="AJ87" i="1"/>
  <c r="AK86" i="1"/>
  <c r="AJ86" i="1"/>
  <c r="AK85" i="1"/>
  <c r="AJ85" i="1"/>
  <c r="AK84" i="1"/>
  <c r="AJ84" i="1"/>
  <c r="AK83" i="1"/>
  <c r="AJ83" i="1"/>
  <c r="X167" i="10" l="1"/>
  <c r="L5" i="12" s="1"/>
  <c r="L6" i="12" s="1"/>
  <c r="X166" i="10"/>
  <c r="L4" i="12" s="1"/>
  <c r="O167" i="10"/>
  <c r="C5" i="12" s="1"/>
  <c r="C6" i="12" s="1"/>
  <c r="W166" i="10"/>
  <c r="K4" i="12" s="1"/>
  <c r="W167" i="10"/>
  <c r="K5" i="12" s="1"/>
  <c r="K6" i="12" s="1"/>
  <c r="Y189" i="1"/>
  <c r="Y211" i="1" s="1"/>
  <c r="AR190" i="1"/>
  <c r="AR212" i="1" s="1"/>
  <c r="Z189" i="1"/>
  <c r="Z211" i="1" s="1"/>
  <c r="AY187" i="1"/>
  <c r="AY190" i="1" s="1"/>
  <c r="AY212" i="1" s="1"/>
  <c r="BP187" i="1"/>
  <c r="Z190" i="1"/>
  <c r="Z212" i="1" s="1"/>
  <c r="CM186" i="1"/>
  <c r="CM187" i="1"/>
  <c r="CN187" i="1"/>
  <c r="CN190" i="1" s="1"/>
  <c r="CN212" i="1" s="1"/>
  <c r="AK208" i="1"/>
  <c r="CM208" i="1"/>
  <c r="CM209" i="1"/>
  <c r="AY186" i="1"/>
  <c r="AZ187" i="1"/>
  <c r="AZ190" i="1" s="1"/>
  <c r="AZ212" i="1" s="1"/>
  <c r="BH187" i="1"/>
  <c r="BH190" i="1" s="1"/>
  <c r="BH212" i="1" s="1"/>
  <c r="BH208" i="1"/>
  <c r="Y190" i="1"/>
  <c r="Y212" i="1" s="1"/>
  <c r="AQ189" i="1"/>
  <c r="AQ211" i="1" s="1"/>
  <c r="AZ186" i="1"/>
  <c r="AZ189" i="1" s="1"/>
  <c r="CN186" i="1"/>
  <c r="AJ208" i="1"/>
  <c r="AZ208" i="1"/>
  <c r="BG208" i="1"/>
  <c r="CN208" i="1"/>
  <c r="AQ190" i="1"/>
  <c r="AQ212" i="1" s="1"/>
  <c r="Z188" i="10"/>
  <c r="Z187" i="10"/>
  <c r="BP190" i="1"/>
  <c r="BP212" i="1" s="1"/>
  <c r="AJ189" i="1"/>
  <c r="BG186" i="1"/>
  <c r="BG189" i="1" s="1"/>
  <c r="BH186" i="1"/>
  <c r="BH189" i="1" s="1"/>
  <c r="BO187" i="1"/>
  <c r="BO186" i="1"/>
  <c r="BO189" i="1" s="1"/>
  <c r="BO211" i="1" s="1"/>
  <c r="BP186" i="1"/>
  <c r="BP189" i="1" s="1"/>
  <c r="BP211" i="1" s="1"/>
  <c r="AJ190" i="1"/>
  <c r="AJ212" i="1" s="1"/>
  <c r="AK189" i="1"/>
  <c r="AK190" i="1"/>
  <c r="AK212" i="1" s="1"/>
  <c r="S189" i="1"/>
  <c r="S211" i="1" s="1"/>
  <c r="AF211" i="1"/>
  <c r="AY189" i="1"/>
  <c r="AY211" i="1" s="1"/>
  <c r="CD189" i="1"/>
  <c r="CD211" i="1" s="1"/>
  <c r="CD190" i="1"/>
  <c r="CD212" i="1" s="1"/>
  <c r="AE211" i="1"/>
  <c r="AR189" i="1"/>
  <c r="AR211" i="1" s="1"/>
  <c r="AF212" i="1"/>
  <c r="AE212" i="1"/>
  <c r="CU211" i="1"/>
  <c r="CU212" i="1"/>
  <c r="T211" i="1"/>
  <c r="S212" i="1"/>
  <c r="CV189" i="1"/>
  <c r="CV211" i="1" s="1"/>
  <c r="BN209" i="1"/>
  <c r="BM209" i="1"/>
  <c r="BN208" i="1"/>
  <c r="BM208" i="1"/>
  <c r="V177" i="10"/>
  <c r="V175" i="10"/>
  <c r="BF209" i="1"/>
  <c r="BE209" i="1"/>
  <c r="BE187" i="1"/>
  <c r="AK211" i="1" l="1"/>
  <c r="W187" i="10"/>
  <c r="W206" i="10" s="1"/>
  <c r="X187" i="10"/>
  <c r="L11" i="12" s="1"/>
  <c r="X188" i="10"/>
  <c r="X207" i="10" s="1"/>
  <c r="W188" i="10"/>
  <c r="K12" i="12" s="1"/>
  <c r="K13" i="12" s="1"/>
  <c r="O188" i="10"/>
  <c r="C12" i="12" s="1"/>
  <c r="Z207" i="10"/>
  <c r="N12" i="12"/>
  <c r="N13" i="12" s="1"/>
  <c r="Z206" i="10"/>
  <c r="N11" i="12"/>
  <c r="BG211" i="1"/>
  <c r="AJ211" i="1"/>
  <c r="CM190" i="1"/>
  <c r="CM212" i="1" s="1"/>
  <c r="BE208" i="1"/>
  <c r="BF187" i="1"/>
  <c r="CN189" i="1"/>
  <c r="CN211" i="1" s="1"/>
  <c r="AZ211" i="1"/>
  <c r="CM189" i="1"/>
  <c r="CM211" i="1" s="1"/>
  <c r="BF208" i="1"/>
  <c r="U181" i="10"/>
  <c r="BH211" i="1"/>
  <c r="V8" i="10"/>
  <c r="V9" i="10"/>
  <c r="V178" i="10"/>
  <c r="V182" i="10"/>
  <c r="BL208" i="1"/>
  <c r="BP221" i="1" s="1"/>
  <c r="BQ221" i="1" s="1"/>
  <c r="BL209" i="1"/>
  <c r="U179" i="10"/>
  <c r="BD187" i="1"/>
  <c r="U180" i="10"/>
  <c r="U182" i="10"/>
  <c r="U183" i="10"/>
  <c r="U199" i="10"/>
  <c r="U200" i="10"/>
  <c r="U201" i="10"/>
  <c r="U202" i="10"/>
  <c r="O187" i="10"/>
  <c r="C11" i="12" s="1"/>
  <c r="U193" i="10"/>
  <c r="BD208" i="1"/>
  <c r="U194" i="10"/>
  <c r="BD209" i="1"/>
  <c r="BH222" i="1" s="1"/>
  <c r="V180" i="10"/>
  <c r="BG190" i="1"/>
  <c r="BG212" i="1" s="1"/>
  <c r="BO190" i="1"/>
  <c r="BO212" i="1" s="1"/>
  <c r="V6" i="10"/>
  <c r="V7" i="10"/>
  <c r="U6" i="10"/>
  <c r="U7" i="10"/>
  <c r="U8" i="10"/>
  <c r="U9" i="10"/>
  <c r="U173" i="10"/>
  <c r="U175" i="10"/>
  <c r="U177" i="10"/>
  <c r="U178" i="10"/>
  <c r="V179" i="10"/>
  <c r="V181" i="10"/>
  <c r="V183" i="10"/>
  <c r="V193" i="10"/>
  <c r="V194" i="10"/>
  <c r="V199" i="10"/>
  <c r="V200" i="10"/>
  <c r="V201" i="10"/>
  <c r="V202" i="10"/>
  <c r="CK209" i="1"/>
  <c r="Y181" i="10"/>
  <c r="T173" i="10"/>
  <c r="AX209" i="1"/>
  <c r="S194" i="10"/>
  <c r="AP208" i="1"/>
  <c r="AL90" i="1"/>
  <c r="AI90" i="1"/>
  <c r="AH90" i="1"/>
  <c r="AL89" i="1"/>
  <c r="AI89" i="1"/>
  <c r="AH89" i="1"/>
  <c r="AL88" i="1"/>
  <c r="AI88" i="1"/>
  <c r="AH88" i="1"/>
  <c r="AL87" i="1"/>
  <c r="AI87" i="1"/>
  <c r="AH87" i="1"/>
  <c r="AL86" i="1"/>
  <c r="AI86" i="1"/>
  <c r="AH86" i="1"/>
  <c r="AL85" i="1"/>
  <c r="AI85" i="1"/>
  <c r="AH85" i="1"/>
  <c r="AL84" i="1"/>
  <c r="AI84" i="1"/>
  <c r="AH84" i="1"/>
  <c r="AL83" i="1"/>
  <c r="AI83" i="1"/>
  <c r="AH83" i="1"/>
  <c r="R8" i="10"/>
  <c r="AL209" i="1"/>
  <c r="AI209" i="1"/>
  <c r="AH209" i="1"/>
  <c r="AL208" i="1"/>
  <c r="P89" i="10"/>
  <c r="P88" i="10"/>
  <c r="P87" i="10"/>
  <c r="P86" i="10"/>
  <c r="P85" i="10"/>
  <c r="P84" i="10"/>
  <c r="P83" i="10"/>
  <c r="P82" i="10"/>
  <c r="P81" i="10"/>
  <c r="P80" i="10"/>
  <c r="P79" i="10"/>
  <c r="P78" i="10"/>
  <c r="P77" i="10"/>
  <c r="P76" i="10"/>
  <c r="P75" i="10"/>
  <c r="P74" i="10"/>
  <c r="P73" i="10"/>
  <c r="P72" i="10"/>
  <c r="P71" i="10"/>
  <c r="P70" i="10"/>
  <c r="P69" i="10"/>
  <c r="P68" i="10"/>
  <c r="W187" i="1"/>
  <c r="W186" i="1"/>
  <c r="P177" i="10"/>
  <c r="P175" i="10"/>
  <c r="P173" i="10"/>
  <c r="C13" i="12" l="1"/>
  <c r="C15" i="12"/>
  <c r="O15" i="12" s="1"/>
  <c r="C16" i="12"/>
  <c r="O16" i="12" s="1"/>
  <c r="K11" i="12"/>
  <c r="V166" i="10"/>
  <c r="J4" i="12" s="1"/>
  <c r="R71" i="10"/>
  <c r="AA71" i="10" s="1"/>
  <c r="R75" i="10"/>
  <c r="AA75" i="10" s="1"/>
  <c r="R79" i="10"/>
  <c r="AA79" i="10" s="1"/>
  <c r="R83" i="10"/>
  <c r="AA83" i="10" s="1"/>
  <c r="R87" i="10"/>
  <c r="X206" i="10"/>
  <c r="R74" i="10"/>
  <c r="AA74" i="10" s="1"/>
  <c r="R70" i="10"/>
  <c r="AA70" i="10" s="1"/>
  <c r="R78" i="10"/>
  <c r="AA78" i="10" s="1"/>
  <c r="R82" i="10"/>
  <c r="AA82" i="10" s="1"/>
  <c r="R86" i="10"/>
  <c r="AA86" i="10" s="1"/>
  <c r="BH221" i="1"/>
  <c r="AA87" i="10"/>
  <c r="W207" i="10"/>
  <c r="O207" i="10"/>
  <c r="L12" i="12"/>
  <c r="L13" i="12" s="1"/>
  <c r="BH220" i="1"/>
  <c r="BH224" i="1" s="1"/>
  <c r="V167" i="10"/>
  <c r="J5" i="12" s="1"/>
  <c r="J6" i="12" s="1"/>
  <c r="R68" i="10"/>
  <c r="AA68" i="10" s="1"/>
  <c r="R72" i="10"/>
  <c r="AA72" i="10" s="1"/>
  <c r="R76" i="10"/>
  <c r="AA76" i="10" s="1"/>
  <c r="R80" i="10"/>
  <c r="AA80" i="10" s="1"/>
  <c r="R84" i="10"/>
  <c r="AA84" i="10" s="1"/>
  <c r="R88" i="10"/>
  <c r="AA88" i="10" s="1"/>
  <c r="BI222" i="1"/>
  <c r="BP222" i="1"/>
  <c r="BQ222" i="1" s="1"/>
  <c r="AF222" i="1"/>
  <c r="AK222" i="1"/>
  <c r="AL222" i="1" s="1"/>
  <c r="R69" i="10"/>
  <c r="AA69" i="10" s="1"/>
  <c r="R73" i="10"/>
  <c r="AA73" i="10" s="1"/>
  <c r="R77" i="10"/>
  <c r="AA77" i="10" s="1"/>
  <c r="R81" i="10"/>
  <c r="AA81" i="10" s="1"/>
  <c r="R85" i="10"/>
  <c r="AA85" i="10" s="1"/>
  <c r="R89" i="10"/>
  <c r="AA89" i="10" s="1"/>
  <c r="U204" i="10"/>
  <c r="BI221" i="1"/>
  <c r="P66" i="10"/>
  <c r="P67" i="10"/>
  <c r="R66" i="10"/>
  <c r="R67" i="10"/>
  <c r="U167" i="10"/>
  <c r="I5" i="12" s="1"/>
  <c r="I6" i="12" s="1"/>
  <c r="U166" i="10"/>
  <c r="I4" i="12" s="1"/>
  <c r="AW209" i="1"/>
  <c r="X187" i="1"/>
  <c r="X190" i="1" s="1"/>
  <c r="X212" i="1" s="1"/>
  <c r="CL209" i="1"/>
  <c r="AW208" i="1"/>
  <c r="BC209" i="1"/>
  <c r="V184" i="10"/>
  <c r="J8" i="12" s="1"/>
  <c r="U203" i="10"/>
  <c r="R181" i="10"/>
  <c r="R182" i="10"/>
  <c r="R183" i="10"/>
  <c r="R9" i="10"/>
  <c r="AP209" i="1"/>
  <c r="S201" i="10"/>
  <c r="Y202" i="10"/>
  <c r="J201" i="10" s="1"/>
  <c r="CL208" i="1"/>
  <c r="U184" i="10"/>
  <c r="I8" i="12" s="1"/>
  <c r="P200" i="10"/>
  <c r="P202" i="10"/>
  <c r="V187" i="1"/>
  <c r="AH208" i="1"/>
  <c r="AI208" i="1"/>
  <c r="AO209" i="1"/>
  <c r="S202" i="10"/>
  <c r="Y182" i="10"/>
  <c r="Y183" i="10"/>
  <c r="Y201" i="10"/>
  <c r="I201" i="10" s="1"/>
  <c r="X186" i="1"/>
  <c r="Y219" i="1" s="1"/>
  <c r="V189" i="1"/>
  <c r="R179" i="10"/>
  <c r="S193" i="10"/>
  <c r="AX208" i="1"/>
  <c r="BC208" i="1"/>
  <c r="Y179" i="10"/>
  <c r="CK208" i="1"/>
  <c r="Y199" i="10"/>
  <c r="I199" i="10" s="1"/>
  <c r="Y200" i="10"/>
  <c r="J199" i="10" s="1"/>
  <c r="O206" i="10"/>
  <c r="P199" i="10"/>
  <c r="P201" i="10"/>
  <c r="P193" i="10"/>
  <c r="P194" i="10"/>
  <c r="P178" i="10"/>
  <c r="P180" i="10"/>
  <c r="W189" i="1"/>
  <c r="S179" i="10"/>
  <c r="AN209" i="1"/>
  <c r="T180" i="10"/>
  <c r="Y193" i="10"/>
  <c r="CJ208" i="1"/>
  <c r="Y194" i="10"/>
  <c r="CJ209" i="1"/>
  <c r="T193" i="10"/>
  <c r="AV208" i="1"/>
  <c r="T194" i="10"/>
  <c r="AV209" i="1"/>
  <c r="AZ222" i="1" s="1"/>
  <c r="T199" i="10"/>
  <c r="T200" i="10"/>
  <c r="T201" i="10"/>
  <c r="T202" i="10"/>
  <c r="T175" i="10"/>
  <c r="T177" i="10"/>
  <c r="T178" i="10"/>
  <c r="S181" i="10"/>
  <c r="AO208" i="1"/>
  <c r="S199" i="10"/>
  <c r="AN208" i="1"/>
  <c r="S200" i="10"/>
  <c r="V204" i="10"/>
  <c r="V203" i="10"/>
  <c r="U185" i="10"/>
  <c r="I9" i="12" s="1"/>
  <c r="R6" i="10"/>
  <c r="R7" i="10"/>
  <c r="P179" i="10"/>
  <c r="P181" i="10"/>
  <c r="P182" i="10"/>
  <c r="P183" i="10"/>
  <c r="P8" i="10"/>
  <c r="P9" i="10"/>
  <c r="R193" i="10"/>
  <c r="R194" i="10"/>
  <c r="R199" i="10"/>
  <c r="R200" i="10"/>
  <c r="R201" i="10"/>
  <c r="R202" i="10"/>
  <c r="R173" i="10"/>
  <c r="R175" i="10"/>
  <c r="R177" i="10"/>
  <c r="R178" i="10"/>
  <c r="R180" i="10"/>
  <c r="S6" i="10"/>
  <c r="S7" i="10"/>
  <c r="S8" i="10"/>
  <c r="S9" i="10"/>
  <c r="S173" i="10"/>
  <c r="S175" i="10"/>
  <c r="S177" i="10"/>
  <c r="S178" i="10"/>
  <c r="S180" i="10"/>
  <c r="S182" i="10"/>
  <c r="S183" i="10"/>
  <c r="T179" i="10"/>
  <c r="T181" i="10"/>
  <c r="T182" i="10"/>
  <c r="T183" i="10"/>
  <c r="T6" i="10"/>
  <c r="T7" i="10"/>
  <c r="T8" i="10"/>
  <c r="T9" i="10"/>
  <c r="Y6" i="10"/>
  <c r="Y7" i="10"/>
  <c r="Y8" i="10"/>
  <c r="Y9" i="10"/>
  <c r="Y173" i="10"/>
  <c r="Y175" i="10"/>
  <c r="Y177" i="10"/>
  <c r="Y178" i="10"/>
  <c r="Y180" i="10"/>
  <c r="P167" i="10" l="1"/>
  <c r="Z219" i="1"/>
  <c r="Y223" i="1"/>
  <c r="Z223" i="1" s="1"/>
  <c r="CZ186" i="1"/>
  <c r="Y220" i="1"/>
  <c r="CZ187" i="1"/>
  <c r="AR221" i="1"/>
  <c r="AR223" i="1" s="1"/>
  <c r="T203" i="10"/>
  <c r="AK217" i="1"/>
  <c r="AL217" i="1" s="1"/>
  <c r="R166" i="10"/>
  <c r="F4" i="12" s="1"/>
  <c r="P166" i="10"/>
  <c r="D4" i="12" s="1"/>
  <c r="R167" i="10"/>
  <c r="F5" i="12" s="1"/>
  <c r="F6" i="12" s="1"/>
  <c r="V187" i="10"/>
  <c r="J11" i="12" s="1"/>
  <c r="AK218" i="1"/>
  <c r="AL218" i="1" s="1"/>
  <c r="AK221" i="1"/>
  <c r="AL221" i="1" s="1"/>
  <c r="AS221" i="1"/>
  <c r="CG222" i="1"/>
  <c r="CN222" i="1"/>
  <c r="CO222" i="1" s="1"/>
  <c r="AR222" i="1"/>
  <c r="AR224" i="1" s="1"/>
  <c r="D5" i="12"/>
  <c r="D6" i="12" s="1"/>
  <c r="AZ221" i="1"/>
  <c r="BA221" i="1" s="1"/>
  <c r="CG221" i="1"/>
  <c r="CN221" i="1"/>
  <c r="CO221" i="1" s="1"/>
  <c r="X189" i="1"/>
  <c r="X211" i="1" s="1"/>
  <c r="AF221" i="1"/>
  <c r="BA222" i="1"/>
  <c r="AF218" i="1"/>
  <c r="AF217" i="1"/>
  <c r="AA67" i="10"/>
  <c r="AA66" i="10"/>
  <c r="T167" i="10"/>
  <c r="H5" i="12" s="1"/>
  <c r="H6" i="12" s="1"/>
  <c r="T166" i="10"/>
  <c r="H4" i="12" s="1"/>
  <c r="S167" i="10"/>
  <c r="G5" i="12" s="1"/>
  <c r="G6" i="12" s="1"/>
  <c r="S166" i="10"/>
  <c r="G4" i="12" s="1"/>
  <c r="Y166" i="10"/>
  <c r="M4" i="12" s="1"/>
  <c r="Y167" i="10"/>
  <c r="M5" i="12" s="1"/>
  <c r="M6" i="12" s="1"/>
  <c r="W211" i="1"/>
  <c r="S204" i="10"/>
  <c r="Y204" i="10"/>
  <c r="S203" i="10"/>
  <c r="J193" i="10"/>
  <c r="J203" i="10" s="1"/>
  <c r="U187" i="10"/>
  <c r="P203" i="10"/>
  <c r="Y203" i="10"/>
  <c r="P184" i="10"/>
  <c r="D8" i="12" s="1"/>
  <c r="T184" i="10"/>
  <c r="H8" i="12" s="1"/>
  <c r="I193" i="10"/>
  <c r="I203" i="10" s="1"/>
  <c r="I207" i="10" s="1"/>
  <c r="P204" i="10"/>
  <c r="AA9" i="10"/>
  <c r="AA8" i="10"/>
  <c r="AA7" i="10"/>
  <c r="AA6" i="10"/>
  <c r="T204" i="10"/>
  <c r="U188" i="10"/>
  <c r="R204" i="10"/>
  <c r="T185" i="10"/>
  <c r="H9" i="12" s="1"/>
  <c r="R203" i="10"/>
  <c r="P185" i="10"/>
  <c r="D9" i="12" s="1"/>
  <c r="Y185" i="10"/>
  <c r="M9" i="12" s="1"/>
  <c r="S184" i="10"/>
  <c r="G8" i="12" s="1"/>
  <c r="S185" i="10"/>
  <c r="G9" i="12" s="1"/>
  <c r="R185" i="10"/>
  <c r="F9" i="12" s="1"/>
  <c r="V173" i="10"/>
  <c r="V185" i="10" s="1"/>
  <c r="Y184" i="10"/>
  <c r="M8" i="12" s="1"/>
  <c r="R184" i="10"/>
  <c r="F8" i="12" s="1"/>
  <c r="B65" i="8"/>
  <c r="B75" i="8" s="1"/>
  <c r="B85" i="8" s="1"/>
  <c r="B95" i="8" s="1"/>
  <c r="B105" i="8" s="1"/>
  <c r="B115" i="8" s="1"/>
  <c r="B125" i="8" s="1"/>
  <c r="Z220" i="1" l="1"/>
  <c r="Y224" i="1"/>
  <c r="Z224" i="1" s="1"/>
  <c r="V206" i="10"/>
  <c r="T187" i="10"/>
  <c r="H11" i="12" s="1"/>
  <c r="V191" i="1"/>
  <c r="V188" i="10"/>
  <c r="J9" i="12"/>
  <c r="U206" i="10"/>
  <c r="I11" i="12"/>
  <c r="AS222" i="1"/>
  <c r="P188" i="10"/>
  <c r="P187" i="10"/>
  <c r="U207" i="10"/>
  <c r="I12" i="12"/>
  <c r="I13" i="12" s="1"/>
  <c r="Y187" i="10"/>
  <c r="AA166" i="10"/>
  <c r="AA167" i="10"/>
  <c r="Y188" i="10"/>
  <c r="S188" i="10"/>
  <c r="T188" i="10"/>
  <c r="AA185" i="10"/>
  <c r="R187" i="10"/>
  <c r="S187" i="10"/>
  <c r="R188" i="10"/>
  <c r="AI133" i="8"/>
  <c r="AH133" i="8"/>
  <c r="AI132" i="8"/>
  <c r="AH132" i="8"/>
  <c r="AI128" i="8"/>
  <c r="AH128" i="8"/>
  <c r="AI127" i="8"/>
  <c r="AI124" i="8" s="1"/>
  <c r="AH127" i="8"/>
  <c r="AI123" i="8"/>
  <c r="AH123" i="8"/>
  <c r="AI122" i="8"/>
  <c r="AH122" i="8"/>
  <c r="AI118" i="8"/>
  <c r="AH118" i="8"/>
  <c r="AI117" i="8"/>
  <c r="AI114" i="8" s="1"/>
  <c r="AH117" i="8"/>
  <c r="AI113" i="8"/>
  <c r="AI112" i="8"/>
  <c r="AI108" i="8"/>
  <c r="AI107" i="8"/>
  <c r="AI104" i="8" s="1"/>
  <c r="A53" i="6"/>
  <c r="A70" i="6" s="1"/>
  <c r="AI103" i="8"/>
  <c r="AI102" i="8"/>
  <c r="AI98" i="8"/>
  <c r="AI97" i="8"/>
  <c r="AI94" i="8" s="1"/>
  <c r="AI93" i="8"/>
  <c r="AH93" i="8"/>
  <c r="AI92" i="8"/>
  <c r="AH92" i="8"/>
  <c r="AI88" i="8"/>
  <c r="AH88" i="8"/>
  <c r="AH87" i="8"/>
  <c r="AI83" i="8"/>
  <c r="AH83" i="8"/>
  <c r="AI82" i="8"/>
  <c r="AH82" i="8"/>
  <c r="AI78" i="8"/>
  <c r="AH78" i="8"/>
  <c r="AH77" i="8"/>
  <c r="AI73" i="8"/>
  <c r="AH73" i="8"/>
  <c r="AI72" i="8"/>
  <c r="AH72" i="8"/>
  <c r="AI68" i="8"/>
  <c r="AH68" i="8"/>
  <c r="AH67" i="8"/>
  <c r="AI63" i="8"/>
  <c r="AH63" i="8"/>
  <c r="AI59" i="8"/>
  <c r="AH59" i="8"/>
  <c r="AH58" i="8"/>
  <c r="T206" i="10" l="1"/>
  <c r="R206" i="10"/>
  <c r="F11" i="12"/>
  <c r="S206" i="10"/>
  <c r="G11" i="12"/>
  <c r="S207" i="10"/>
  <c r="G12" i="12"/>
  <c r="G13" i="12" s="1"/>
  <c r="Y206" i="10"/>
  <c r="M11" i="12"/>
  <c r="D12" i="12"/>
  <c r="P207" i="10"/>
  <c r="Y207" i="10"/>
  <c r="M12" i="12"/>
  <c r="M13" i="12" s="1"/>
  <c r="R207" i="10"/>
  <c r="F12" i="12"/>
  <c r="F13" i="12" s="1"/>
  <c r="T207" i="10"/>
  <c r="H12" i="12"/>
  <c r="H13" i="12" s="1"/>
  <c r="D11" i="12"/>
  <c r="P206" i="10"/>
  <c r="V207" i="10"/>
  <c r="J12" i="12"/>
  <c r="J13" i="12" s="1"/>
  <c r="AA188" i="10"/>
  <c r="AA187" i="10"/>
  <c r="O11" i="12" l="1"/>
  <c r="O12" i="12"/>
  <c r="AA206" i="10"/>
  <c r="D13" i="12"/>
  <c r="Q187" i="1"/>
  <c r="AW187" i="1"/>
  <c r="AW186" i="1"/>
  <c r="AC187" i="1"/>
  <c r="AC186" i="1"/>
  <c r="AC189" i="1" l="1"/>
  <c r="AL189" i="1"/>
  <c r="AL211" i="1" s="1"/>
  <c r="Q190" i="1"/>
  <c r="Q212" i="1" s="1"/>
  <c r="W190" i="1"/>
  <c r="W212" i="1" s="1"/>
  <c r="Q186" i="1"/>
  <c r="Q189" i="1" s="1"/>
  <c r="AW190" i="1"/>
  <c r="AW212" i="1" s="1"/>
  <c r="AW189" i="1"/>
  <c r="AW211" i="1" s="1"/>
  <c r="AO190" i="1"/>
  <c r="AO212" i="1" s="1"/>
  <c r="AO189" i="1"/>
  <c r="AO211" i="1" s="1"/>
  <c r="AL190" i="1"/>
  <c r="AL212" i="1" s="1"/>
  <c r="AC190" i="1"/>
  <c r="AC212" i="1" s="1"/>
  <c r="H211" i="1" l="1"/>
  <c r="I211" i="1"/>
  <c r="AC211" i="1"/>
  <c r="Q211" i="1"/>
  <c r="BV186" i="1" l="1"/>
  <c r="BV189" i="1" l="1"/>
  <c r="BV211" i="1" s="1"/>
  <c r="BV190" i="1"/>
  <c r="BV212" i="1" s="1"/>
  <c r="BN186" i="1" l="1"/>
  <c r="BN187" i="1"/>
  <c r="BF190" i="1"/>
  <c r="BF212" i="1" l="1"/>
  <c r="BN190" i="1"/>
  <c r="BN212" i="1" s="1"/>
  <c r="BF186" i="1"/>
  <c r="BN189" i="1"/>
  <c r="BN211" i="1" s="1"/>
  <c r="BF189" i="1" l="1"/>
  <c r="BF211" i="1" s="1"/>
  <c r="AB187" i="1" l="1"/>
  <c r="AK220" i="1" l="1"/>
  <c r="AK224" i="1" l="1"/>
  <c r="AL224" i="1" s="1"/>
  <c r="AL220" i="1"/>
  <c r="AK219" i="1"/>
  <c r="AI190" i="1"/>
  <c r="AK223" i="1" l="1"/>
  <c r="AL223" i="1" s="1"/>
  <c r="AL219" i="1"/>
  <c r="AI189" i="1"/>
  <c r="AB186" i="1"/>
  <c r="AG187" i="1"/>
  <c r="AD187" i="1"/>
  <c r="AE220" i="1" l="1"/>
  <c r="AE224" i="1" s="1"/>
  <c r="AF224" i="1" s="1"/>
  <c r="AB189" i="1"/>
  <c r="AD186" i="1"/>
  <c r="AG186" i="1"/>
  <c r="AE219" i="1" l="1"/>
  <c r="AE223" i="1" s="1"/>
  <c r="AF220" i="1"/>
  <c r="AG189" i="1"/>
  <c r="AD189" i="1"/>
  <c r="AB211" i="1"/>
  <c r="CK186" i="1"/>
  <c r="CJ186" i="1"/>
  <c r="AI212" i="1"/>
  <c r="BC187" i="1"/>
  <c r="AX187" i="1"/>
  <c r="BC186" i="1"/>
  <c r="AX186" i="1"/>
  <c r="AG190" i="1"/>
  <c r="AG212" i="1" s="1"/>
  <c r="AD190" i="1"/>
  <c r="AD212" i="1" s="1"/>
  <c r="BM187" i="1"/>
  <c r="BL187" i="1"/>
  <c r="BU186" i="1"/>
  <c r="BT186" i="1"/>
  <c r="BM186" i="1"/>
  <c r="BL186" i="1"/>
  <c r="CF187" i="1"/>
  <c r="CF190" i="1" s="1"/>
  <c r="CC187" i="1"/>
  <c r="CB190" i="1"/>
  <c r="CF186" i="1"/>
  <c r="CF189" i="1" s="1"/>
  <c r="CC186" i="1"/>
  <c r="CS190" i="1"/>
  <c r="CR187" i="1"/>
  <c r="CV220" i="1" s="1"/>
  <c r="CV224" i="1" s="1"/>
  <c r="CR186" i="1"/>
  <c r="CV219" i="1" s="1"/>
  <c r="CT190" i="1"/>
  <c r="BE190" i="1"/>
  <c r="BE186" i="1"/>
  <c r="BD186" i="1"/>
  <c r="AB191" i="1" l="1"/>
  <c r="CF220" i="1"/>
  <c r="CF224" i="1" s="1"/>
  <c r="BX219" i="1"/>
  <c r="BX223" i="1" s="1"/>
  <c r="BH219" i="1"/>
  <c r="BH223" i="1" s="1"/>
  <c r="BI223" i="1" s="1"/>
  <c r="CV223" i="1"/>
  <c r="CW223" i="1" s="1"/>
  <c r="CW219" i="1"/>
  <c r="BP219" i="1"/>
  <c r="BP223" i="1" s="1"/>
  <c r="BQ223" i="1" s="1"/>
  <c r="BP220" i="1"/>
  <c r="BP224" i="1" s="1"/>
  <c r="BQ224" i="1" s="1"/>
  <c r="CF219" i="1"/>
  <c r="CF223" i="1" s="1"/>
  <c r="CG223" i="1" s="1"/>
  <c r="BI219" i="1"/>
  <c r="CG219" i="1"/>
  <c r="BU189" i="1"/>
  <c r="BU211" i="1" s="1"/>
  <c r="BI220" i="1"/>
  <c r="BI224" i="1"/>
  <c r="BQ220" i="1"/>
  <c r="CK189" i="1"/>
  <c r="CK211" i="1" s="1"/>
  <c r="AF223" i="1"/>
  <c r="CC189" i="1"/>
  <c r="CC211" i="1" s="1"/>
  <c r="CC190" i="1"/>
  <c r="CB192" i="1" s="1"/>
  <c r="BL189" i="1"/>
  <c r="BL211" i="1" s="1"/>
  <c r="CR190" i="1"/>
  <c r="CR212" i="1" s="1"/>
  <c r="AD211" i="1"/>
  <c r="CB189" i="1"/>
  <c r="CJ189" i="1"/>
  <c r="CJ211" i="1" s="1"/>
  <c r="BL190" i="1"/>
  <c r="CJ187" i="1"/>
  <c r="CK187" i="1"/>
  <c r="CL186" i="1"/>
  <c r="CN219" i="1" s="1"/>
  <c r="CN223" i="1" s="1"/>
  <c r="CB212" i="1"/>
  <c r="CF212" i="1"/>
  <c r="CL187" i="1"/>
  <c r="CL190" i="1" s="1"/>
  <c r="BT212" i="1"/>
  <c r="BU190" i="1"/>
  <c r="BU212" i="1" s="1"/>
  <c r="CF211" i="1"/>
  <c r="BD190" i="1"/>
  <c r="BD212" i="1" s="1"/>
  <c r="BT189" i="1"/>
  <c r="BT211" i="1" s="1"/>
  <c r="V190" i="1"/>
  <c r="V212" i="1" s="1"/>
  <c r="BD189" i="1"/>
  <c r="BD211" i="1" s="1"/>
  <c r="CS189" i="1"/>
  <c r="CS211" i="1" s="1"/>
  <c r="CS212" i="1"/>
  <c r="CR189" i="1"/>
  <c r="CR211" i="1" s="1"/>
  <c r="BE189" i="1"/>
  <c r="BE211" i="1" s="1"/>
  <c r="BE212" i="1"/>
  <c r="CT189" i="1"/>
  <c r="CT211" i="1" s="1"/>
  <c r="CT212" i="1"/>
  <c r="BM189" i="1"/>
  <c r="BM211" i="1" s="1"/>
  <c r="BM190" i="1"/>
  <c r="BM212" i="1" s="1"/>
  <c r="AP189" i="1"/>
  <c r="AP211" i="1" s="1"/>
  <c r="AX189" i="1"/>
  <c r="AX211" i="1" s="1"/>
  <c r="BC189" i="1"/>
  <c r="BC211" i="1" s="1"/>
  <c r="AP190" i="1"/>
  <c r="AP212" i="1" s="1"/>
  <c r="AX190" i="1"/>
  <c r="AX212" i="1" s="1"/>
  <c r="BC190" i="1"/>
  <c r="BC212" i="1" s="1"/>
  <c r="AV186" i="1"/>
  <c r="AZ219" i="1" s="1"/>
  <c r="AZ223" i="1" s="1"/>
  <c r="AV187" i="1"/>
  <c r="AZ220" i="1" s="1"/>
  <c r="AZ224" i="1" s="1"/>
  <c r="BA224" i="1" s="1"/>
  <c r="AI211" i="1"/>
  <c r="AH189" i="1"/>
  <c r="AH211" i="1" s="1"/>
  <c r="AH190" i="1"/>
  <c r="AH212" i="1" s="1"/>
  <c r="AG211" i="1"/>
  <c r="AB190" i="1"/>
  <c r="AB212" i="1" s="1"/>
  <c r="CC212" i="1" l="1"/>
  <c r="CB214" i="1" s="1"/>
  <c r="BQ219" i="1"/>
  <c r="CN220" i="1"/>
  <c r="CN224" i="1" s="1"/>
  <c r="BA220" i="1"/>
  <c r="AS220" i="1"/>
  <c r="AS224" i="1"/>
  <c r="AS219" i="1"/>
  <c r="AS223" i="1"/>
  <c r="CO219" i="1"/>
  <c r="CO223" i="1"/>
  <c r="CK190" i="1"/>
  <c r="CK212" i="1" s="1"/>
  <c r="BA219" i="1"/>
  <c r="BA223" i="1"/>
  <c r="BY219" i="1"/>
  <c r="BY223" i="1"/>
  <c r="BY220" i="1"/>
  <c r="BY224" i="1"/>
  <c r="CR192" i="1"/>
  <c r="CB211" i="1"/>
  <c r="CB213" i="1" s="1"/>
  <c r="CB191" i="1"/>
  <c r="BL212" i="1"/>
  <c r="BL214" i="1" s="1"/>
  <c r="BL192" i="1"/>
  <c r="BT192" i="1"/>
  <c r="BL191" i="1"/>
  <c r="CL189" i="1"/>
  <c r="CL211" i="1" s="1"/>
  <c r="V214" i="1"/>
  <c r="V192" i="1"/>
  <c r="V211" i="1"/>
  <c r="V213" i="1" s="1"/>
  <c r="AV190" i="1"/>
  <c r="AV212" i="1" s="1"/>
  <c r="AV214" i="1" s="1"/>
  <c r="AV189" i="1"/>
  <c r="AV211" i="1" s="1"/>
  <c r="AV213" i="1" s="1"/>
  <c r="CJ190" i="1"/>
  <c r="CJ212" i="1" s="1"/>
  <c r="AB213" i="1"/>
  <c r="CL212" i="1"/>
  <c r="BD192" i="1"/>
  <c r="BD214" i="1"/>
  <c r="BL213" i="1"/>
  <c r="BD191" i="1"/>
  <c r="CR191" i="1"/>
  <c r="BT214" i="1"/>
  <c r="CR213" i="1"/>
  <c r="CR214" i="1"/>
  <c r="BD213" i="1"/>
  <c r="AN190" i="1"/>
  <c r="AN212" i="1" s="1"/>
  <c r="AN189" i="1"/>
  <c r="AN211" i="1" s="1"/>
  <c r="AN213" i="1" s="1"/>
  <c r="AH191" i="1"/>
  <c r="AH192" i="1"/>
  <c r="AH214" i="1"/>
  <c r="AH213" i="1"/>
  <c r="AB192" i="1"/>
  <c r="AB214" i="1"/>
  <c r="CZ212" i="1" l="1"/>
  <c r="CG220" i="1"/>
  <c r="CG224" i="1"/>
  <c r="CO220" i="1"/>
  <c r="CO224" i="1"/>
  <c r="CJ192" i="1"/>
  <c r="CJ214" i="1"/>
  <c r="AV191" i="1"/>
  <c r="AV192" i="1"/>
  <c r="BT213" i="1"/>
  <c r="BT191" i="1"/>
  <c r="AN214" i="1"/>
  <c r="AN192" i="1"/>
  <c r="AN191" i="1"/>
  <c r="U187" i="1" l="1"/>
  <c r="R187" i="1" l="1"/>
  <c r="P187" i="1"/>
  <c r="S220" i="1" l="1"/>
  <c r="T220" i="1" s="1"/>
  <c r="S224" i="1" l="1"/>
  <c r="T224" i="1" s="1"/>
  <c r="CW220" i="1"/>
  <c r="CW224" i="1"/>
  <c r="P186" i="1"/>
  <c r="U186" i="1"/>
  <c r="R186" i="1"/>
  <c r="S219" i="1" l="1"/>
  <c r="T219" i="1" s="1"/>
  <c r="S223" i="1"/>
  <c r="T223" i="1" s="1"/>
  <c r="U189" i="1"/>
  <c r="U211" i="1" s="1"/>
  <c r="P189" i="1"/>
  <c r="P211" i="1" s="1"/>
  <c r="U190" i="1"/>
  <c r="U212" i="1" s="1"/>
  <c r="P190" i="1"/>
  <c r="P212" i="1" s="1"/>
  <c r="R190" i="1"/>
  <c r="R212" i="1" s="1"/>
  <c r="H212" i="1"/>
  <c r="R189" i="1"/>
  <c r="R211" i="1" s="1"/>
  <c r="O212" i="1" l="1"/>
  <c r="O192" i="1"/>
  <c r="I212" i="1"/>
  <c r="O191" i="1"/>
  <c r="O214" i="1" l="1"/>
  <c r="O213" i="1"/>
  <c r="I213" i="1"/>
  <c r="H213" i="1" l="1"/>
  <c r="CJ213" i="1" l="1"/>
  <c r="CJ191" i="1" l="1"/>
  <c r="AA207" i="10" l="1"/>
</calcChain>
</file>

<file path=xl/sharedStrings.xml><?xml version="1.0" encoding="utf-8"?>
<sst xmlns="http://schemas.openxmlformats.org/spreadsheetml/2006/main" count="5736" uniqueCount="791">
  <si>
    <t>No.</t>
    <phoneticPr fontId="2"/>
  </si>
  <si>
    <t>案件</t>
    <rPh sb="0" eb="2">
      <t>アンケン</t>
    </rPh>
    <phoneticPr fontId="2"/>
  </si>
  <si>
    <t>案件管理コード（DAT)</t>
    <rPh sb="0" eb="2">
      <t>アンケン</t>
    </rPh>
    <rPh sb="2" eb="4">
      <t>カンリ</t>
    </rPh>
    <phoneticPr fontId="2"/>
  </si>
  <si>
    <t>案件管理コード（DIR-BI)</t>
    <rPh sb="0" eb="2">
      <t>アンケン</t>
    </rPh>
    <rPh sb="2" eb="4">
      <t>カンリ</t>
    </rPh>
    <phoneticPr fontId="2"/>
  </si>
  <si>
    <t>備考</t>
    <rPh sb="0" eb="2">
      <t>ビコウ</t>
    </rPh>
    <phoneticPr fontId="2"/>
  </si>
  <si>
    <t>工数（人月）</t>
    <rPh sb="0" eb="2">
      <t>コウスウ</t>
    </rPh>
    <rPh sb="3" eb="5">
      <t>ニンゲツ</t>
    </rPh>
    <phoneticPr fontId="2"/>
  </si>
  <si>
    <t>区分</t>
    <rPh sb="0" eb="2">
      <t>クブン</t>
    </rPh>
    <phoneticPr fontId="2"/>
  </si>
  <si>
    <t>着手日</t>
    <rPh sb="0" eb="2">
      <t>チャクシュ</t>
    </rPh>
    <rPh sb="2" eb="3">
      <t>ビ</t>
    </rPh>
    <phoneticPr fontId="2"/>
  </si>
  <si>
    <t>完了日</t>
    <rPh sb="0" eb="3">
      <t>カンリョウビ</t>
    </rPh>
    <phoneticPr fontId="2"/>
  </si>
  <si>
    <t>進捗
（％）</t>
    <rPh sb="0" eb="2">
      <t>シンチョク</t>
    </rPh>
    <phoneticPr fontId="2"/>
  </si>
  <si>
    <t>プロジェクト</t>
    <phoneticPr fontId="2"/>
  </si>
  <si>
    <t>定型</t>
    <phoneticPr fontId="2"/>
  </si>
  <si>
    <t>保守</t>
    <phoneticPr fontId="2"/>
  </si>
  <si>
    <t>ツール</t>
    <phoneticPr fontId="2"/>
  </si>
  <si>
    <t>その他</t>
  </si>
  <si>
    <t>その他</t>
    <phoneticPr fontId="2"/>
  </si>
  <si>
    <t>Division</t>
    <phoneticPr fontId="2"/>
  </si>
  <si>
    <t>■案件</t>
    <rPh sb="1" eb="3">
      <t>アンケン</t>
    </rPh>
    <phoneticPr fontId="2"/>
  </si>
  <si>
    <t>■その他</t>
    <rPh sb="3" eb="4">
      <t>タ</t>
    </rPh>
    <phoneticPr fontId="2"/>
  </si>
  <si>
    <t>-</t>
    <phoneticPr fontId="2"/>
  </si>
  <si>
    <t>-</t>
    <phoneticPr fontId="2"/>
  </si>
  <si>
    <t>-</t>
    <phoneticPr fontId="2"/>
  </si>
  <si>
    <t>DAT社内作業、DATエベント、トレーニング等</t>
    <phoneticPr fontId="2"/>
  </si>
  <si>
    <t>休暇</t>
    <phoneticPr fontId="2"/>
  </si>
  <si>
    <t>計画</t>
    <rPh sb="0" eb="2">
      <t>ケイカク</t>
    </rPh>
    <phoneticPr fontId="2"/>
  </si>
  <si>
    <t>実績</t>
    <rPh sb="0" eb="2">
      <t>ジッセキ</t>
    </rPh>
    <phoneticPr fontId="2"/>
  </si>
  <si>
    <t>MGT</t>
    <phoneticPr fontId="2"/>
  </si>
  <si>
    <t>-</t>
    <phoneticPr fontId="2"/>
  </si>
  <si>
    <t>管理</t>
    <rPh sb="0" eb="2">
      <t>カンリ</t>
    </rPh>
    <phoneticPr fontId="2"/>
  </si>
  <si>
    <t>■プロジェクト管理</t>
    <rPh sb="7" eb="9">
      <t>カンリ</t>
    </rPh>
    <phoneticPr fontId="2"/>
  </si>
  <si>
    <t>2月</t>
    <rPh sb="1" eb="2">
      <t>ガツ</t>
    </rPh>
    <phoneticPr fontId="2"/>
  </si>
  <si>
    <t>DIR-BI 担当</t>
    <rPh sb="7" eb="9">
      <t>タントウ</t>
    </rPh>
    <phoneticPr fontId="2"/>
  </si>
  <si>
    <t>日次報告書</t>
    <rPh sb="0" eb="5">
      <t>ニチジホウコクショ</t>
    </rPh>
    <phoneticPr fontId="2"/>
  </si>
  <si>
    <t>週次報告</t>
    <rPh sb="0" eb="4">
      <t>シュウジホウコク</t>
    </rPh>
    <phoneticPr fontId="2"/>
  </si>
  <si>
    <t>都築</t>
    <rPh sb="0" eb="1">
      <t>ツヅキ</t>
    </rPh>
    <phoneticPr fontId="2"/>
  </si>
  <si>
    <t>合計</t>
    <phoneticPr fontId="2"/>
  </si>
  <si>
    <t>案件．要員情報</t>
    <phoneticPr fontId="2"/>
  </si>
  <si>
    <t>合計（計画）</t>
    <phoneticPr fontId="2"/>
  </si>
  <si>
    <t>木曜日　14:00～15:00(JST)</t>
    <phoneticPr fontId="2"/>
  </si>
  <si>
    <t>プロジェクト管理、メール送受信、WBS管理、Redmine管理</t>
    <rPh sb="6" eb="8">
      <t>カンリ</t>
    </rPh>
    <rPh sb="12" eb="15">
      <t>ソウジュシン</t>
    </rPh>
    <rPh sb="19" eb="21">
      <t>カンリ</t>
    </rPh>
    <rPh sb="29" eb="31">
      <t>カンリ</t>
    </rPh>
    <phoneticPr fontId="2"/>
  </si>
  <si>
    <t>①案件．要員情報
②課題一覧
③【WB4】開発マニュアル一覧</t>
    <rPh sb="1" eb="3">
      <t>アンケン</t>
    </rPh>
    <rPh sb="4" eb="6">
      <t>ヨウイン</t>
    </rPh>
    <rPh sb="6" eb="8">
      <t>ジョウホウ</t>
    </rPh>
    <rPh sb="10" eb="14">
      <t>カダイイチラン</t>
    </rPh>
    <phoneticPr fontId="2"/>
  </si>
  <si>
    <t>メンバーサポート</t>
    <phoneticPr fontId="2"/>
  </si>
  <si>
    <t>SUPPORT</t>
    <phoneticPr fontId="2"/>
  </si>
  <si>
    <t>①DAT誕生日：0.5時「月次」
②DAT全員会議：2時「月次」
③KPIレポート作成：1時「月次」
④MMレポート作成：0.5時「週次」
⑤日本語能力試験のため準備：0.5時「週次」</t>
    <rPh sb="3" eb="6">
      <t>タンジョウビ</t>
    </rPh>
    <rPh sb="10" eb="11">
      <t>ジ</t>
    </rPh>
    <rPh sb="12" eb="14">
      <t>ゲツジ</t>
    </rPh>
    <rPh sb="20" eb="22">
      <t>ゼンイン</t>
    </rPh>
    <rPh sb="22" eb="24">
      <t>カイギ</t>
    </rPh>
    <rPh sb="26" eb="27">
      <t>ジ</t>
    </rPh>
    <rPh sb="28" eb="30">
      <t>ゲツジ</t>
    </rPh>
    <rPh sb="40" eb="42">
      <t>サクセイ</t>
    </rPh>
    <rPh sb="44" eb="45">
      <t>ジ</t>
    </rPh>
    <rPh sb="46" eb="48">
      <t>ゲツジ</t>
    </rPh>
    <rPh sb="57" eb="59">
      <t>サクセイ</t>
    </rPh>
    <rPh sb="63" eb="64">
      <t>ジ</t>
    </rPh>
    <rPh sb="65" eb="67">
      <t>シュウジ</t>
    </rPh>
    <rPh sb="70" eb="73">
      <t>ニホンゴ</t>
    </rPh>
    <rPh sb="73" eb="75">
      <t>ノウリョク</t>
    </rPh>
    <rPh sb="75" eb="77">
      <t>シケン</t>
    </rPh>
    <rPh sb="80" eb="82">
      <t>ジュンビ</t>
    </rPh>
    <rPh sb="86" eb="87">
      <t>ジ</t>
    </rPh>
    <rPh sb="88" eb="90">
      <t>シュウジ</t>
    </rPh>
    <phoneticPr fontId="2"/>
  </si>
  <si>
    <t>Status</t>
    <phoneticPr fontId="2"/>
  </si>
  <si>
    <t>未着手</t>
    <rPh sb="0" eb="3">
      <t>ミチャクシュ</t>
    </rPh>
    <phoneticPr fontId="2"/>
  </si>
  <si>
    <t>着手中</t>
    <rPh sb="0" eb="2">
      <t>チャクシュ</t>
    </rPh>
    <rPh sb="2" eb="3">
      <t>チュウ</t>
    </rPh>
    <phoneticPr fontId="2"/>
  </si>
  <si>
    <t>完了</t>
    <rPh sb="0" eb="2">
      <t>カンリョウ</t>
    </rPh>
    <phoneticPr fontId="2"/>
  </si>
  <si>
    <t>遅延</t>
    <rPh sb="0" eb="2">
      <t>チエン</t>
    </rPh>
    <phoneticPr fontId="2"/>
  </si>
  <si>
    <t>JAN</t>
  </si>
  <si>
    <t>International New Year's Day</t>
  </si>
  <si>
    <t>FEB</t>
  </si>
  <si>
    <t>MAR</t>
  </si>
  <si>
    <t>Armed Forces Day</t>
  </si>
  <si>
    <t>APR</t>
    <phoneticPr fontId="6"/>
  </si>
  <si>
    <t>MAY</t>
    <phoneticPr fontId="6"/>
  </si>
  <si>
    <t>JUL</t>
    <phoneticPr fontId="6"/>
  </si>
  <si>
    <t>OCT</t>
    <phoneticPr fontId="6"/>
  </si>
  <si>
    <t>NOV</t>
  </si>
  <si>
    <t>DEC</t>
  </si>
  <si>
    <t>KSW</t>
    <phoneticPr fontId="2"/>
  </si>
  <si>
    <t>YTN</t>
    <phoneticPr fontId="2"/>
  </si>
  <si>
    <t>AMM</t>
    <phoneticPr fontId="2"/>
  </si>
  <si>
    <t>TTA</t>
    <phoneticPr fontId="2"/>
  </si>
  <si>
    <t>KMH</t>
    <phoneticPr fontId="2"/>
  </si>
  <si>
    <t>KMT</t>
    <phoneticPr fontId="2"/>
  </si>
  <si>
    <t>NWKO</t>
    <phoneticPr fontId="2"/>
  </si>
  <si>
    <t>日</t>
    <rPh sb="0" eb="1">
      <t>ニチ</t>
    </rPh>
    <phoneticPr fontId="2"/>
  </si>
  <si>
    <t>土</t>
    <rPh sb="0" eb="1">
      <t>ド</t>
    </rPh>
    <phoneticPr fontId="2"/>
  </si>
  <si>
    <t>月</t>
  </si>
  <si>
    <t>月</t>
    <rPh sb="0" eb="1">
      <t>ゲツ</t>
    </rPh>
    <phoneticPr fontId="2"/>
  </si>
  <si>
    <t>火</t>
  </si>
  <si>
    <t>火</t>
    <rPh sb="0" eb="1">
      <t>カ</t>
    </rPh>
    <phoneticPr fontId="2"/>
  </si>
  <si>
    <t>水</t>
    <rPh sb="0" eb="1">
      <t>スイ</t>
    </rPh>
    <phoneticPr fontId="2"/>
  </si>
  <si>
    <t>木</t>
    <rPh sb="0" eb="1">
      <t>モク</t>
    </rPh>
    <phoneticPr fontId="2"/>
  </si>
  <si>
    <t>金</t>
    <rPh sb="0" eb="1">
      <t>キン</t>
    </rPh>
    <phoneticPr fontId="2"/>
  </si>
  <si>
    <t>L</t>
    <phoneticPr fontId="2"/>
  </si>
  <si>
    <t>L</t>
    <phoneticPr fontId="2"/>
  </si>
  <si>
    <t>HL</t>
    <phoneticPr fontId="2"/>
  </si>
  <si>
    <t>合計（計画）</t>
    <phoneticPr fontId="2"/>
  </si>
  <si>
    <t>合計（実績）</t>
    <phoneticPr fontId="2"/>
  </si>
  <si>
    <t>　年次　人月　DIR-BIタスク</t>
    <rPh sb="1" eb="3">
      <t>ネンジ</t>
    </rPh>
    <rPh sb="4" eb="6">
      <t>ニンゲツ</t>
    </rPh>
    <phoneticPr fontId="2"/>
  </si>
  <si>
    <t>年次　人月　DAT社内作業</t>
    <rPh sb="9" eb="11">
      <t>シャナイ</t>
    </rPh>
    <rPh sb="11" eb="13">
      <t>サギョウ</t>
    </rPh>
    <phoneticPr fontId="2"/>
  </si>
  <si>
    <t>年次　人月　合計</t>
    <rPh sb="6" eb="8">
      <t>ゴウケイ</t>
    </rPh>
    <phoneticPr fontId="2"/>
  </si>
  <si>
    <t>DATチーム会議</t>
    <rPh sb="6" eb="8">
      <t>カイギ</t>
    </rPh>
    <phoneticPr fontId="2"/>
  </si>
  <si>
    <t>2月には都築さんからのトレニンーグがありました。</t>
    <rPh sb="1" eb="2">
      <t>ガツ</t>
    </rPh>
    <rPh sb="4" eb="6">
      <t>ツヅキ</t>
    </rPh>
    <phoneticPr fontId="2"/>
  </si>
  <si>
    <t>ステータス</t>
    <phoneticPr fontId="2"/>
  </si>
  <si>
    <t>ステータス</t>
    <phoneticPr fontId="2"/>
  </si>
  <si>
    <t>計画</t>
    <rPh sb="0" eb="2">
      <t>ケイカク</t>
    </rPh>
    <phoneticPr fontId="2"/>
  </si>
  <si>
    <t>実績</t>
    <rPh sb="0" eb="2">
      <t>ジッセキ</t>
    </rPh>
    <phoneticPr fontId="2"/>
  </si>
  <si>
    <t>合計</t>
    <phoneticPr fontId="2"/>
  </si>
  <si>
    <t>DIR-BIタスク対応　人月　合計</t>
    <rPh sb="9" eb="11">
      <t>タイオウ</t>
    </rPh>
    <rPh sb="12" eb="14">
      <t>ニンゲツ</t>
    </rPh>
    <phoneticPr fontId="2"/>
  </si>
  <si>
    <t>DIR-BIタスク対応　人月　合計</t>
    <phoneticPr fontId="2"/>
  </si>
  <si>
    <t>計画</t>
    <phoneticPr fontId="2"/>
  </si>
  <si>
    <t>実績</t>
    <phoneticPr fontId="2"/>
  </si>
  <si>
    <t>DIR-BIタスク対応　月次　人月　合計</t>
    <rPh sb="12" eb="14">
      <t>ゲツジ</t>
    </rPh>
    <phoneticPr fontId="2"/>
  </si>
  <si>
    <t>DIR-BIタスク対応　月次　人月　合計</t>
    <rPh sb="12" eb="14">
      <t>ゲツジ</t>
    </rPh>
    <rPh sb="18" eb="20">
      <t>ゴウケイ</t>
    </rPh>
    <phoneticPr fontId="2"/>
  </si>
  <si>
    <t>DIR-BIタスク対応人月　+ DAT社内作業人月　合計</t>
    <rPh sb="19" eb="21">
      <t>シャナイ</t>
    </rPh>
    <rPh sb="21" eb="23">
      <t>サギョウ</t>
    </rPh>
    <rPh sb="23" eb="25">
      <t>ニンゲツ</t>
    </rPh>
    <phoneticPr fontId="2"/>
  </si>
  <si>
    <t>DIR-BIタスク対応人月　+ DAT社内作業人月　月次　合計</t>
    <rPh sb="26" eb="28">
      <t>ゲツジ</t>
    </rPh>
    <phoneticPr fontId="2"/>
  </si>
  <si>
    <t>DIR-BIタスク対応人月　+ DAT社内作業人月　月次　合計</t>
    <rPh sb="26" eb="28">
      <t>ゲツジ</t>
    </rPh>
    <rPh sb="29" eb="31">
      <t>ゴウケイ</t>
    </rPh>
    <phoneticPr fontId="2"/>
  </si>
  <si>
    <t>A= Attendance, L= Leave, HL = Half-Leave</t>
    <phoneticPr fontId="2"/>
  </si>
  <si>
    <t>H = Holiday, Sat:Sun=S</t>
    <phoneticPr fontId="2"/>
  </si>
  <si>
    <t>S</t>
    <phoneticPr fontId="2"/>
  </si>
  <si>
    <t>H</t>
    <phoneticPr fontId="2"/>
  </si>
  <si>
    <t>A</t>
    <phoneticPr fontId="2"/>
  </si>
  <si>
    <t>L-Days</t>
    <phoneticPr fontId="2"/>
  </si>
  <si>
    <t>Actual Work Days</t>
    <phoneticPr fontId="2"/>
  </si>
  <si>
    <t>水</t>
  </si>
  <si>
    <t>木</t>
  </si>
  <si>
    <t>金</t>
  </si>
  <si>
    <t>土</t>
  </si>
  <si>
    <t>日</t>
  </si>
  <si>
    <t>JAN</t>
    <phoneticPr fontId="2"/>
  </si>
  <si>
    <t>Coming of Age Day</t>
    <phoneticPr fontId="2"/>
  </si>
  <si>
    <t>Emperor's Birthday</t>
    <phoneticPr fontId="2"/>
  </si>
  <si>
    <t>MAR</t>
    <phoneticPr fontId="2"/>
  </si>
  <si>
    <t>FEB</t>
    <phoneticPr fontId="2"/>
  </si>
  <si>
    <t>Vernal Equniox Day</t>
    <phoneticPr fontId="2"/>
  </si>
  <si>
    <t>APR</t>
    <phoneticPr fontId="2"/>
  </si>
  <si>
    <t>Showa Day</t>
    <phoneticPr fontId="2"/>
  </si>
  <si>
    <t>MAY</t>
    <phoneticPr fontId="2"/>
  </si>
  <si>
    <t>Constitution Memorial Day</t>
    <phoneticPr fontId="2"/>
  </si>
  <si>
    <t>Greenery Day</t>
    <phoneticPr fontId="2"/>
  </si>
  <si>
    <t>Children's Day</t>
    <phoneticPr fontId="2"/>
  </si>
  <si>
    <t>JUL</t>
    <phoneticPr fontId="2"/>
  </si>
  <si>
    <t>Marine Day</t>
    <phoneticPr fontId="2"/>
  </si>
  <si>
    <t>AUG</t>
    <phoneticPr fontId="2"/>
  </si>
  <si>
    <t>Mountain Day</t>
    <phoneticPr fontId="2"/>
  </si>
  <si>
    <t>SEP</t>
    <phoneticPr fontId="2"/>
  </si>
  <si>
    <t>Respect For The Aged Day</t>
    <phoneticPr fontId="2"/>
  </si>
  <si>
    <t>Autumnal Equinox Day</t>
    <phoneticPr fontId="2"/>
  </si>
  <si>
    <t>NOV</t>
    <phoneticPr fontId="6"/>
  </si>
  <si>
    <t>Culture Day</t>
    <phoneticPr fontId="6"/>
  </si>
  <si>
    <t>Laor Thanksgiving Day</t>
    <phoneticPr fontId="2"/>
  </si>
  <si>
    <t>4月</t>
    <phoneticPr fontId="2"/>
  </si>
  <si>
    <t>5月</t>
    <rPh sb="1" eb="2">
      <t>ガツ</t>
    </rPh>
    <phoneticPr fontId="2"/>
  </si>
  <si>
    <t>4月</t>
    <phoneticPr fontId="2"/>
  </si>
  <si>
    <t>6月</t>
    <rPh sb="1" eb="2">
      <t>ガツ</t>
    </rPh>
    <phoneticPr fontId="2"/>
  </si>
  <si>
    <t>7月</t>
    <rPh sb="1" eb="2">
      <t>ガツ</t>
    </rPh>
    <phoneticPr fontId="2"/>
  </si>
  <si>
    <t>8月</t>
    <rPh sb="1" eb="2">
      <t>ガツ</t>
    </rPh>
    <phoneticPr fontId="2"/>
  </si>
  <si>
    <t>9月</t>
    <rPh sb="1" eb="2">
      <t>ガツ</t>
    </rPh>
    <phoneticPr fontId="2"/>
  </si>
  <si>
    <t>10月</t>
    <rPh sb="2" eb="3">
      <t>ガツ</t>
    </rPh>
    <phoneticPr fontId="2"/>
  </si>
  <si>
    <t>11月</t>
    <rPh sb="2" eb="3">
      <t>ガツ</t>
    </rPh>
    <phoneticPr fontId="2"/>
  </si>
  <si>
    <t>12月</t>
    <rPh sb="2" eb="3">
      <t>ガツ</t>
    </rPh>
    <phoneticPr fontId="2"/>
  </si>
  <si>
    <t>1月</t>
    <rPh sb="1" eb="2">
      <t>ガツ</t>
    </rPh>
    <phoneticPr fontId="2"/>
  </si>
  <si>
    <t>3月</t>
    <rPh sb="1" eb="2">
      <t>ガツ</t>
    </rPh>
    <phoneticPr fontId="2"/>
  </si>
  <si>
    <t>SPH</t>
    <phoneticPr fontId="2"/>
  </si>
  <si>
    <t xml:space="preserve"> 期限</t>
    <rPh sb="1" eb="3">
      <t>キゲン</t>
    </rPh>
    <phoneticPr fontId="2"/>
  </si>
  <si>
    <t>DEC</t>
    <phoneticPr fontId="2"/>
  </si>
  <si>
    <t>New Year's Eve</t>
    <phoneticPr fontId="2"/>
  </si>
  <si>
    <t>コード修正と差分：完了</t>
    <rPh sb="3" eb="5">
      <t>シュウセイ</t>
    </rPh>
    <rPh sb="6" eb="8">
      <t>サブン</t>
    </rPh>
    <rPh sb="9" eb="11">
      <t>カンリョウ</t>
    </rPh>
    <phoneticPr fontId="2"/>
  </si>
  <si>
    <t>結合テスト：完了</t>
    <rPh sb="0" eb="2">
      <t>ケツゴウ</t>
    </rPh>
    <phoneticPr fontId="2"/>
  </si>
  <si>
    <t>UPDATE用資料：完了</t>
    <rPh sb="6" eb="7">
      <t>ヨウ</t>
    </rPh>
    <rPh sb="7" eb="9">
      <t>シリョウ</t>
    </rPh>
    <phoneticPr fontId="2"/>
  </si>
  <si>
    <t>Poptreeチェック：完了</t>
    <rPh sb="12" eb="14">
      <t>カンリョウ</t>
    </rPh>
    <phoneticPr fontId="2"/>
  </si>
  <si>
    <t>PBxxxxxx</t>
    <phoneticPr fontId="2"/>
  </si>
  <si>
    <t>【定型】画面の文言変更</t>
    <phoneticPr fontId="2"/>
  </si>
  <si>
    <t>Fxx</t>
    <phoneticPr fontId="2"/>
  </si>
  <si>
    <t>DIR担当</t>
    <rPh sb="3" eb="5">
      <t>タントウ</t>
    </rPh>
    <phoneticPr fontId="2"/>
  </si>
  <si>
    <t>DIR 担当</t>
    <rPh sb="4" eb="6">
      <t>タントウ</t>
    </rPh>
    <phoneticPr fontId="2"/>
  </si>
  <si>
    <t>案件管理コード（DIR)</t>
    <rPh sb="0" eb="2">
      <t>アンケン</t>
    </rPh>
    <rPh sb="2" eb="4">
      <t>カンリ</t>
    </rPh>
    <phoneticPr fontId="2"/>
  </si>
  <si>
    <t>DIRとの定例会</t>
    <rPh sb="5" eb="8">
      <t>テイレイカイ</t>
    </rPh>
    <phoneticPr fontId="2"/>
  </si>
  <si>
    <t>①DATのWHMシステム
②DIRへの日次報告「THiNCに」</t>
    <rPh sb="19" eb="21">
      <t>ニチジ</t>
    </rPh>
    <rPh sb="21" eb="23">
      <t>ホウコク</t>
    </rPh>
    <phoneticPr fontId="2"/>
  </si>
  <si>
    <t>Health and Sport Day</t>
    <phoneticPr fontId="6"/>
  </si>
  <si>
    <t>TZA</t>
    <phoneticPr fontId="2"/>
  </si>
  <si>
    <t>KSH</t>
    <phoneticPr fontId="2"/>
  </si>
  <si>
    <t>TSO</t>
    <phoneticPr fontId="2"/>
  </si>
  <si>
    <t>HWY</t>
    <phoneticPr fontId="2"/>
  </si>
  <si>
    <t>SNNT</t>
    <phoneticPr fontId="2"/>
  </si>
  <si>
    <t>計画
(DIR)</t>
    <rPh sb="0" eb="2">
      <t>ケイカク</t>
    </rPh>
    <phoneticPr fontId="2"/>
  </si>
  <si>
    <t>計画
(DAT)</t>
    <rPh sb="0" eb="2">
      <t>ケイカク</t>
    </rPh>
    <phoneticPr fontId="2"/>
  </si>
  <si>
    <t>(全社)脆弱性対応（2022年）_パス・トラバーサル対応</t>
    <phoneticPr fontId="2"/>
  </si>
  <si>
    <t>HWY</t>
  </si>
  <si>
    <t>SPH</t>
  </si>
  <si>
    <t>KSH</t>
  </si>
  <si>
    <t>TSO</t>
  </si>
  <si>
    <t>SNNT</t>
  </si>
  <si>
    <t>TZA</t>
  </si>
  <si>
    <t>National Foundation Day</t>
    <phoneticPr fontId="2"/>
  </si>
  <si>
    <t>1日　⇒　0.25時</t>
    <rPh sb="1" eb="2">
      <t>ニチ</t>
    </rPh>
    <rPh sb="9" eb="10">
      <t>ジ</t>
    </rPh>
    <phoneticPr fontId="2"/>
  </si>
  <si>
    <t>DAT2022-08-25-01-01</t>
    <phoneticPr fontId="2"/>
  </si>
  <si>
    <t>WB4 Internal Training</t>
    <phoneticPr fontId="2"/>
  </si>
  <si>
    <t>開発レベル②、開発レベル③</t>
    <phoneticPr fontId="2"/>
  </si>
  <si>
    <t>先週</t>
    <phoneticPr fontId="2"/>
  </si>
  <si>
    <t>今週</t>
    <rPh sb="0" eb="2">
      <t>コンシュウ</t>
    </rPh>
    <phoneticPr fontId="2"/>
  </si>
  <si>
    <t>差異</t>
    <rPh sb="0" eb="2">
      <t>サイ</t>
    </rPh>
    <phoneticPr fontId="2"/>
  </si>
  <si>
    <t>案件計画</t>
    <rPh sb="0" eb="2">
      <t>アンケン</t>
    </rPh>
    <rPh sb="2" eb="4">
      <t>ケイカク</t>
    </rPh>
    <phoneticPr fontId="2"/>
  </si>
  <si>
    <t>案件実績</t>
    <rPh sb="0" eb="2">
      <t>アンケン</t>
    </rPh>
    <rPh sb="2" eb="4">
      <t>ジッセキ</t>
    </rPh>
    <phoneticPr fontId="2"/>
  </si>
  <si>
    <t>プロジェクト管理計画</t>
    <phoneticPr fontId="2"/>
  </si>
  <si>
    <t>プロジェクト管理実績</t>
    <phoneticPr fontId="2"/>
  </si>
  <si>
    <t>その他計画</t>
    <phoneticPr fontId="2"/>
  </si>
  <si>
    <t>その他実績</t>
    <phoneticPr fontId="2"/>
  </si>
  <si>
    <t>計画合計</t>
    <phoneticPr fontId="2"/>
  </si>
  <si>
    <t>実績合計</t>
    <phoneticPr fontId="2"/>
  </si>
  <si>
    <t>備考/理由</t>
    <rPh sb="0" eb="2">
      <t>ビコウ</t>
    </rPh>
    <rPh sb="3" eb="5">
      <t>リユウ</t>
    </rPh>
    <phoneticPr fontId="2"/>
  </si>
  <si>
    <t>4月</t>
    <rPh sb="1" eb="2">
      <t>ガツ</t>
    </rPh>
    <phoneticPr fontId="2"/>
  </si>
  <si>
    <t>DIRタスク対応　人月　合計</t>
    <rPh sb="6" eb="8">
      <t>タイオウ</t>
    </rPh>
    <rPh sb="9" eb="11">
      <t>ニンゲツ</t>
    </rPh>
    <phoneticPr fontId="2"/>
  </si>
  <si>
    <t>DIRタスク対応　人月　合計</t>
  </si>
  <si>
    <t>　年次　人月　DIRタスク</t>
    <rPh sb="1" eb="3">
      <t>ネンジ</t>
    </rPh>
    <rPh sb="4" eb="6">
      <t>ニンゲツ</t>
    </rPh>
    <phoneticPr fontId="2"/>
  </si>
  <si>
    <t>DIRタスク対応人月　+ DAT社内作業人月　合計</t>
    <rPh sb="16" eb="18">
      <t>シャナイ</t>
    </rPh>
    <rPh sb="18" eb="20">
      <t>サギョウ</t>
    </rPh>
    <rPh sb="20" eb="22">
      <t>ニンゲツ</t>
    </rPh>
    <phoneticPr fontId="2"/>
  </si>
  <si>
    <t>DAT2023-02-11-003-01</t>
    <phoneticPr fontId="2"/>
  </si>
  <si>
    <t>DAT2023-02-11-002-01</t>
    <phoneticPr fontId="2"/>
  </si>
  <si>
    <t xml:space="preserve"> WB4 DIR Training</t>
    <phoneticPr fontId="2"/>
  </si>
  <si>
    <t>WB4 DIR Training</t>
    <phoneticPr fontId="2"/>
  </si>
  <si>
    <t>①</t>
    <phoneticPr fontId="2"/>
  </si>
  <si>
    <t>案件．要員情報シートについて</t>
    <phoneticPr fontId="2"/>
  </si>
  <si>
    <t>▲今月のため対応された各案件、プロジェクト管理と他のテストの計画と実績人間を報告することです。</t>
    <rPh sb="1" eb="3">
      <t>コンゲツ</t>
    </rPh>
    <rPh sb="6" eb="8">
      <t>タイオウ</t>
    </rPh>
    <rPh sb="11" eb="12">
      <t>カク</t>
    </rPh>
    <rPh sb="12" eb="14">
      <t>アンケン</t>
    </rPh>
    <rPh sb="24" eb="25">
      <t>ホカ</t>
    </rPh>
    <rPh sb="35" eb="37">
      <t>ニンゲン</t>
    </rPh>
    <phoneticPr fontId="2"/>
  </si>
  <si>
    <t>※</t>
    <phoneticPr fontId="2"/>
  </si>
  <si>
    <t>メモ</t>
    <phoneticPr fontId="2"/>
  </si>
  <si>
    <t>列名の説明</t>
    <phoneticPr fontId="2"/>
  </si>
  <si>
    <t>列名</t>
    <phoneticPr fontId="2"/>
  </si>
  <si>
    <t>内容</t>
    <rPh sb="0" eb="2">
      <t>ナイヨウ</t>
    </rPh>
    <phoneticPr fontId="2"/>
  </si>
  <si>
    <t>今週⇒</t>
    <rPh sb="0" eb="2">
      <t>コンシュウ</t>
    </rPh>
    <phoneticPr fontId="2"/>
  </si>
  <si>
    <t>「先週の定例会の日から今週の水曜日までのカウント」</t>
    <rPh sb="4" eb="7">
      <t>テイレイカイ</t>
    </rPh>
    <rPh sb="11" eb="13">
      <t>コンシュウ</t>
    </rPh>
    <phoneticPr fontId="2"/>
  </si>
  <si>
    <t>No.列</t>
    <rPh sb="3" eb="4">
      <t>レツ</t>
    </rPh>
    <phoneticPr fontId="2"/>
  </si>
  <si>
    <t>連番</t>
    <phoneticPr fontId="2"/>
  </si>
  <si>
    <t>来週⇒</t>
    <rPh sb="0" eb="2">
      <t>ライシュウ</t>
    </rPh>
    <phoneticPr fontId="2"/>
  </si>
  <si>
    <t>「今週の定例会の日から来週の水曜日までのカウント」</t>
    <rPh sb="1" eb="3">
      <t>コンシュウ</t>
    </rPh>
    <rPh sb="11" eb="13">
      <t>ライシュウ</t>
    </rPh>
    <phoneticPr fontId="2"/>
  </si>
  <si>
    <t>案件のステータス「未着手、進行中、レビュー待ち、完了」</t>
    <rPh sb="0" eb="2">
      <t>アンケン</t>
    </rPh>
    <phoneticPr fontId="2"/>
  </si>
  <si>
    <t>区分</t>
    <phoneticPr fontId="2"/>
  </si>
  <si>
    <t>案件のカテゴリー</t>
    <rPh sb="0" eb="2">
      <t>アンケン</t>
    </rPh>
    <phoneticPr fontId="2"/>
  </si>
  <si>
    <t>・11月の計画工数の作成方法の説明</t>
  </si>
  <si>
    <t>DIR 担当</t>
    <phoneticPr fontId="2"/>
  </si>
  <si>
    <t>案件依頼しているDIR担当者名</t>
    <phoneticPr fontId="2"/>
  </si>
  <si>
    <t>・11月の計画工数と実績工数の差異の理由</t>
    <phoneticPr fontId="2"/>
  </si>
  <si>
    <t>案件管理コード（DAT)</t>
    <phoneticPr fontId="2"/>
  </si>
  <si>
    <t>DAT側でのWBS管理コード</t>
    <rPh sb="3" eb="4">
      <t>ガワ</t>
    </rPh>
    <rPh sb="9" eb="11">
      <t>カンリ</t>
    </rPh>
    <phoneticPr fontId="2"/>
  </si>
  <si>
    <t>・12月の計画工数（案件毎の内訳情報も）および過不足工数の説明</t>
  </si>
  <si>
    <t>案件管理コード（DIR)</t>
    <phoneticPr fontId="2"/>
  </si>
  <si>
    <t>DIR側からの管理コード</t>
    <rPh sb="3" eb="4">
      <t>ガワ</t>
    </rPh>
    <rPh sb="7" eb="9">
      <t>カンリ</t>
    </rPh>
    <phoneticPr fontId="2"/>
  </si>
  <si>
    <t>案件</t>
    <phoneticPr fontId="2"/>
  </si>
  <si>
    <t>今週中対応された案件名</t>
    <rPh sb="0" eb="2">
      <t>コンシュウ</t>
    </rPh>
    <rPh sb="2" eb="3">
      <t>チュウ</t>
    </rPh>
    <rPh sb="3" eb="5">
      <t>タイオウ</t>
    </rPh>
    <rPh sb="8" eb="11">
      <t>アンケンメイ</t>
    </rPh>
    <phoneticPr fontId="2"/>
  </si>
  <si>
    <t>備考</t>
    <phoneticPr fontId="2"/>
  </si>
  <si>
    <t>リマーク</t>
    <phoneticPr fontId="2"/>
  </si>
  <si>
    <t xml:space="preserve"> </t>
    <phoneticPr fontId="2"/>
  </si>
  <si>
    <t>http://w3ttsvn10/svn/webbroker3_pr/ミャンマーDAT/30_見積り依頼/オンライン開発(2022年9月~2023年2月)についての見積書.xlsx</t>
  </si>
  <si>
    <t>案件の計画工数作成方法の説明</t>
    <rPh sb="0" eb="2">
      <t>アンケン</t>
    </rPh>
    <phoneticPr fontId="2"/>
  </si>
  <si>
    <t>案件名</t>
    <rPh sb="0" eb="2">
      <t>アンケン</t>
    </rPh>
    <phoneticPr fontId="2"/>
  </si>
  <si>
    <t>計画工数作成方法</t>
    <rPh sb="0" eb="2">
      <t>ケイカク</t>
    </rPh>
    <rPh sb="2" eb="4">
      <t>コウスウ</t>
    </rPh>
    <rPh sb="4" eb="6">
      <t>サクセイ</t>
    </rPh>
    <rPh sb="6" eb="8">
      <t>ホウホウ</t>
    </rPh>
    <phoneticPr fontId="2"/>
  </si>
  <si>
    <t>定型案件</t>
    <phoneticPr fontId="2"/>
  </si>
  <si>
    <t>WBSを参考し、案件の範囲とメンバーのスキルに依存して作成しています。</t>
    <rPh sb="4" eb="6">
      <t>サンコウ</t>
    </rPh>
    <rPh sb="11" eb="13">
      <t>ハンイ</t>
    </rPh>
    <rPh sb="23" eb="25">
      <t>イゾン</t>
    </rPh>
    <rPh sb="27" eb="29">
      <t>サクセイ</t>
    </rPh>
    <phoneticPr fontId="2"/>
  </si>
  <si>
    <t xml:space="preserve">◆他のプロジェクトにはFASE Formを提出して対応するプロジェクトがあります。しかし、WB4にはありません。プロジェクトの計画をPMが上記のことなどを向けて作成しています。
</t>
    <rPh sb="1" eb="2">
      <t>ホカ</t>
    </rPh>
    <rPh sb="21" eb="23">
      <t>テイシュツ</t>
    </rPh>
    <rPh sb="25" eb="27">
      <t>タイオウ</t>
    </rPh>
    <rPh sb="63" eb="65">
      <t>ケイカク</t>
    </rPh>
    <rPh sb="69" eb="71">
      <t>ジョウキ</t>
    </rPh>
    <rPh sb="77" eb="78">
      <t>ム</t>
    </rPh>
    <rPh sb="80" eb="82">
      <t>サクセイ</t>
    </rPh>
    <phoneticPr fontId="2"/>
  </si>
  <si>
    <t>◆「(全社)脆弱性対応（2022年）_パス・トラバーサル対応」は徳田様が9月から12月まで各月に４人間として企画しました。</t>
    <rPh sb="37" eb="38">
      <t>ゲツ</t>
    </rPh>
    <rPh sb="42" eb="43">
      <t>ゲツ</t>
    </rPh>
    <rPh sb="45" eb="46">
      <t>カク</t>
    </rPh>
    <rPh sb="46" eb="47">
      <t>ゲツ</t>
    </rPh>
    <rPh sb="49" eb="51">
      <t>ニンゲン</t>
    </rPh>
    <rPh sb="54" eb="56">
      <t>キカク</t>
    </rPh>
    <phoneticPr fontId="2"/>
  </si>
  <si>
    <t xml:space="preserve">◆DIRと月次会議後には、サービス機能テストもする可能性がありますので、イェさんが２月まで各月に４人間として企画しました。
(9月~2月)の計画人間⇒25.18
各月の計画人間　⇒ 4.19 (25.18/6)
</t>
    <rPh sb="5" eb="6">
      <t>ゲツ</t>
    </rPh>
    <rPh sb="6" eb="7">
      <t>ジ</t>
    </rPh>
    <rPh sb="7" eb="9">
      <t>カイギ</t>
    </rPh>
    <rPh sb="9" eb="10">
      <t>アト</t>
    </rPh>
    <rPh sb="17" eb="19">
      <t>キノウ</t>
    </rPh>
    <rPh sb="25" eb="28">
      <t>カノウセイ</t>
    </rPh>
    <rPh sb="42" eb="43">
      <t>ゲツ</t>
    </rPh>
    <rPh sb="64" eb="65">
      <t>ゲツ</t>
    </rPh>
    <rPh sb="67" eb="68">
      <t>ゲツ</t>
    </rPh>
    <rPh sb="72" eb="74">
      <t>ニンゲン</t>
    </rPh>
    <rPh sb="81" eb="83">
      <t>カクゲツ</t>
    </rPh>
    <rPh sb="86" eb="88">
      <t>ニンゲン</t>
    </rPh>
    <phoneticPr fontId="2"/>
  </si>
  <si>
    <t>計画工数と実績工数の差異の理由</t>
    <phoneticPr fontId="2"/>
  </si>
  <si>
    <t>理由</t>
    <rPh sb="0" eb="2">
      <t>リユウ</t>
    </rPh>
    <phoneticPr fontId="2"/>
  </si>
  <si>
    <t>定型案件と
(全社)脆弱性対応（2022年）_パス・トラバーサル対応</t>
    <phoneticPr fontId="2"/>
  </si>
  <si>
    <t>◆DIRから計画を立っていないし、PMが自分で計画したので異なりました。</t>
    <rPh sb="6" eb="8">
      <t>ケイカク</t>
    </rPh>
    <rPh sb="9" eb="10">
      <t>タ</t>
    </rPh>
    <rPh sb="20" eb="22">
      <t>ジブン</t>
    </rPh>
    <rPh sb="23" eb="25">
      <t>ケイカク</t>
    </rPh>
    <rPh sb="29" eb="30">
      <t>コト</t>
    </rPh>
    <phoneticPr fontId="2"/>
  </si>
  <si>
    <t>◆仕事がありますが、様々な理由で (エラーが発生など)停止しているので異なりました。
◆仕事が止まる時、メンバーのスキルアップのため研修しています。</t>
    <rPh sb="1" eb="3">
      <t>シゴト</t>
    </rPh>
    <rPh sb="10" eb="12">
      <t>サマザマ</t>
    </rPh>
    <rPh sb="13" eb="15">
      <t>リユウ</t>
    </rPh>
    <rPh sb="22" eb="24">
      <t>ハッセイ</t>
    </rPh>
    <rPh sb="27" eb="29">
      <t>テイシ</t>
    </rPh>
    <phoneticPr fontId="2"/>
  </si>
  <si>
    <t>▲DATメンバーが対応しているプロジェクト管理タスクは６つあります。</t>
    <rPh sb="9" eb="11">
      <t>タイオウ</t>
    </rPh>
    <phoneticPr fontId="2"/>
  </si>
  <si>
    <t>プロジェクト管理の計画工数作成方法の説明</t>
    <phoneticPr fontId="2"/>
  </si>
  <si>
    <t>タスク名</t>
    <rPh sb="3" eb="4">
      <t>メイ</t>
    </rPh>
    <phoneticPr fontId="2"/>
  </si>
  <si>
    <t>DATチーム会議</t>
    <phoneticPr fontId="2"/>
  </si>
  <si>
    <t>◆毎日30分(0.5 hr)かかります。
◆全メンバーが出席しています。
◆一人⇒(0.5 x Working Day)</t>
    <rPh sb="1" eb="3">
      <t>マイニチ</t>
    </rPh>
    <rPh sb="5" eb="6">
      <t>ブン</t>
    </rPh>
    <rPh sb="22" eb="23">
      <t>ゼン</t>
    </rPh>
    <rPh sb="28" eb="30">
      <t>シュッセキ</t>
    </rPh>
    <rPh sb="38" eb="40">
      <t>ヒトリ</t>
    </rPh>
    <phoneticPr fontId="2"/>
  </si>
  <si>
    <t>DIRとの定例会</t>
    <phoneticPr fontId="2"/>
  </si>
  <si>
    <t>◆毎週1時間かかります。
◆全メンバーが出席しています。
◆一人⇒(１ x week count of a month)</t>
    <rPh sb="1" eb="3">
      <t>マイシュウ</t>
    </rPh>
    <rPh sb="4" eb="6">
      <t>ジカン</t>
    </rPh>
    <phoneticPr fontId="2"/>
  </si>
  <si>
    <t>日次報告書</t>
    <phoneticPr fontId="2"/>
  </si>
  <si>
    <t>◆DATの社内システム(WHM)とThincの日次報告書に報告記入する時間です。
◆毎日30分(0.5 hr)かかります。
◆全メンバーがやっています。
◆一人⇒(0.5 x Working Day)</t>
    <rPh sb="5" eb="7">
      <t>シャナイ</t>
    </rPh>
    <rPh sb="23" eb="27">
      <t>ニチジホウコク</t>
    </rPh>
    <rPh sb="29" eb="31">
      <t>ホウコク</t>
    </rPh>
    <rPh sb="31" eb="33">
      <t>キニュウ</t>
    </rPh>
    <rPh sb="35" eb="37">
      <t>ジカン</t>
    </rPh>
    <rPh sb="42" eb="44">
      <t>マイニチ</t>
    </rPh>
    <rPh sb="46" eb="47">
      <t>ブン</t>
    </rPh>
    <rPh sb="63" eb="64">
      <t>ゼン</t>
    </rPh>
    <rPh sb="78" eb="80">
      <t>ヒトリ</t>
    </rPh>
    <phoneticPr fontId="2"/>
  </si>
  <si>
    <t>週次報告</t>
    <phoneticPr fontId="2"/>
  </si>
  <si>
    <t>◆毎週の水曜日DIRへ送信する週次報告作成時間と毎週の金曜日DAT管理人送信する週次報告作成時間
◆毎週３時間かかります。
◆PMだけやっています。
◆一人⇒(0.5 x Working Day)</t>
    <rPh sb="1" eb="3">
      <t>マイシュウ</t>
    </rPh>
    <rPh sb="4" eb="7">
      <t>スイヨウビ</t>
    </rPh>
    <rPh sb="11" eb="13">
      <t>ソウシン</t>
    </rPh>
    <rPh sb="19" eb="21">
      <t>サクセイ</t>
    </rPh>
    <rPh sb="21" eb="23">
      <t>ジカン</t>
    </rPh>
    <rPh sb="24" eb="26">
      <t>マイシュウ</t>
    </rPh>
    <rPh sb="27" eb="30">
      <t>キンヨウビ</t>
    </rPh>
    <rPh sb="50" eb="52">
      <t>マイシュウ</t>
    </rPh>
    <rPh sb="53" eb="55">
      <t>ジカン</t>
    </rPh>
    <rPh sb="76" eb="78">
      <t>ヒトリ</t>
    </rPh>
    <phoneticPr fontId="2"/>
  </si>
  <si>
    <t>プロジェクト管理、メール送受信、WBS管理、Redmine管理</t>
    <phoneticPr fontId="2"/>
  </si>
  <si>
    <t xml:space="preserve">◆メール送受信時間、WBS作成時間、Redmine管理時間と他の報告作成時間です。
◆毎日PMは３時間、二人のリーダーは30分かかる。
◆(3 x Working Day)+(0.5 x Working Day)+(0.5 x Working Day)
</t>
    <rPh sb="7" eb="9">
      <t>ジカン</t>
    </rPh>
    <rPh sb="13" eb="15">
      <t>サクセイ</t>
    </rPh>
    <rPh sb="30" eb="31">
      <t>ホカ</t>
    </rPh>
    <rPh sb="32" eb="34">
      <t>ホウコク</t>
    </rPh>
    <rPh sb="34" eb="36">
      <t>サクセイ</t>
    </rPh>
    <rPh sb="36" eb="38">
      <t>ジカン</t>
    </rPh>
    <rPh sb="62" eb="63">
      <t>フン</t>
    </rPh>
    <phoneticPr fontId="2"/>
  </si>
  <si>
    <t>◆PMとリーダーが他のメンバーにサポートする時間です。
◆毎日PMと二人のリーダーは1時間かかる。
◆(1 x Working Day)+(1 x Working Day)+(1 x Working Day)</t>
    <rPh sb="9" eb="10">
      <t>ホカ</t>
    </rPh>
    <rPh sb="22" eb="24">
      <t>ジカン</t>
    </rPh>
    <rPh sb="29" eb="31">
      <t>マイニチ</t>
    </rPh>
    <rPh sb="43" eb="45">
      <t>ジカン</t>
    </rPh>
    <phoneticPr fontId="2"/>
  </si>
  <si>
    <t xml:space="preserve">いつものは計画と実績が合っています。
</t>
    <rPh sb="5" eb="7">
      <t>ケイカク</t>
    </rPh>
    <rPh sb="8" eb="10">
      <t>ジッセキ</t>
    </rPh>
    <phoneticPr fontId="2"/>
  </si>
  <si>
    <t>計画は1時間ですが、実際は30分以下かかるので
異なりました。</t>
    <rPh sb="0" eb="2">
      <t>ケイカク</t>
    </rPh>
    <rPh sb="4" eb="6">
      <t>ジカン</t>
    </rPh>
    <rPh sb="10" eb="12">
      <t>ジッサイ</t>
    </rPh>
    <rPh sb="15" eb="16">
      <t>フン</t>
    </rPh>
    <rPh sb="16" eb="18">
      <t>イカ</t>
    </rPh>
    <phoneticPr fontId="2"/>
  </si>
  <si>
    <t>計画を記入していますが、実績は計算する時には下記のプロジェクト管理テクストに追加して計算しています。
そして、週次報告の実績は'0'になっています。</t>
    <rPh sb="0" eb="2">
      <t>ケイカク</t>
    </rPh>
    <rPh sb="3" eb="5">
      <t>キニュウ</t>
    </rPh>
    <rPh sb="12" eb="14">
      <t>ジッセキ</t>
    </rPh>
    <rPh sb="15" eb="17">
      <t>ケイサン</t>
    </rPh>
    <rPh sb="19" eb="20">
      <t>トキ</t>
    </rPh>
    <rPh sb="22" eb="24">
      <t>カキ</t>
    </rPh>
    <rPh sb="38" eb="40">
      <t>ツイカ</t>
    </rPh>
    <rPh sb="60" eb="62">
      <t>ジッセキ</t>
    </rPh>
    <phoneticPr fontId="2"/>
  </si>
  <si>
    <t xml:space="preserve">◆毎日PMのため３時間として予定されていますが、週次報告作成時間を追加し、他の管理タスクがあるため計画と実績が異なります。
◆毎日二人のリーダーのため30分として予定されていますが、管理タクスがない日もあるので計画と実績が異なります。
</t>
    <rPh sb="14" eb="16">
      <t>ヨテイ</t>
    </rPh>
    <rPh sb="28" eb="30">
      <t>サクセイ</t>
    </rPh>
    <rPh sb="30" eb="32">
      <t>ジカン</t>
    </rPh>
    <rPh sb="33" eb="35">
      <t>ツイカ</t>
    </rPh>
    <rPh sb="37" eb="38">
      <t>ホカ</t>
    </rPh>
    <rPh sb="39" eb="41">
      <t>カンリ</t>
    </rPh>
    <rPh sb="49" eb="51">
      <t>ケイカク</t>
    </rPh>
    <rPh sb="52" eb="54">
      <t>ジッセキ</t>
    </rPh>
    <rPh sb="77" eb="78">
      <t>ブン</t>
    </rPh>
    <rPh sb="91" eb="93">
      <t>カンリ</t>
    </rPh>
    <rPh sb="99" eb="100">
      <t>ニチ</t>
    </rPh>
    <phoneticPr fontId="2"/>
  </si>
  <si>
    <t>メンバーはサポートが不要な日もあるので計画と実績が異なります。</t>
    <rPh sb="10" eb="12">
      <t>フヨウ</t>
    </rPh>
    <rPh sb="13" eb="14">
      <t>ヒ</t>
    </rPh>
    <phoneticPr fontId="2"/>
  </si>
  <si>
    <t>▲その他のタクスには案件と管理以外のタクス例えばJinwa研修やDAT社内作業などのタクスです。</t>
    <rPh sb="3" eb="4">
      <t>タ</t>
    </rPh>
    <rPh sb="10" eb="12">
      <t>アンケン</t>
    </rPh>
    <rPh sb="13" eb="15">
      <t>カンリ</t>
    </rPh>
    <rPh sb="15" eb="17">
      <t>イガイ</t>
    </rPh>
    <rPh sb="21" eb="22">
      <t>タト</t>
    </rPh>
    <rPh sb="29" eb="31">
      <t>ケンシュウ</t>
    </rPh>
    <phoneticPr fontId="2"/>
  </si>
  <si>
    <t>WB4 Internal Training</t>
  </si>
  <si>
    <t>新入社員がいる月には計画を作成しています。
今は新入社員がいないので計画は０になりました。</t>
    <rPh sb="0" eb="4">
      <t>シンニュウシャイン</t>
    </rPh>
    <rPh sb="7" eb="8">
      <t>ゲツ</t>
    </rPh>
    <rPh sb="10" eb="12">
      <t>ケイカク</t>
    </rPh>
    <rPh sb="13" eb="15">
      <t>サクセイ</t>
    </rPh>
    <rPh sb="22" eb="23">
      <t>イマ</t>
    </rPh>
    <rPh sb="24" eb="28">
      <t>シンニュウシャイン</t>
    </rPh>
    <rPh sb="34" eb="36">
      <t>ケイカク</t>
    </rPh>
    <phoneticPr fontId="2"/>
  </si>
  <si>
    <t>JINWA Training(Class Hours)</t>
  </si>
  <si>
    <t>DATの社内報告書の計画時間と合わせるため、計画が０になりました。</t>
    <rPh sb="4" eb="6">
      <t>シャナイ</t>
    </rPh>
    <rPh sb="6" eb="9">
      <t>ホウコクショ</t>
    </rPh>
    <rPh sb="10" eb="12">
      <t>ケイカク</t>
    </rPh>
    <rPh sb="12" eb="14">
      <t>ジカン</t>
    </rPh>
    <rPh sb="15" eb="16">
      <t>ア</t>
    </rPh>
    <rPh sb="22" eb="24">
      <t>ケイカク</t>
    </rPh>
    <phoneticPr fontId="2"/>
  </si>
  <si>
    <t>JINWA Training(Practicals)</t>
  </si>
  <si>
    <t>◆メンバー４人が毎日3時間対応しています。
◆一人⇒(３x Working Day)</t>
    <rPh sb="8" eb="10">
      <t>マイニチ</t>
    </rPh>
    <rPh sb="11" eb="13">
      <t>ジカン</t>
    </rPh>
    <rPh sb="13" eb="15">
      <t>タイオウ</t>
    </rPh>
    <phoneticPr fontId="2"/>
  </si>
  <si>
    <t>開発レベル②、開発レベル③</t>
  </si>
  <si>
    <t>◆Offshore 証明書のためやっているタクスです。
◆毎日は２時間かかります。
◆11月にはメンバー５人が開発レベルのタクスを対応しています。
◆一人⇒(２ x Working Day)</t>
    <rPh sb="10" eb="13">
      <t>ショウメイショ</t>
    </rPh>
    <rPh sb="29" eb="31">
      <t>マイニチ</t>
    </rPh>
    <rPh sb="33" eb="35">
      <t>ジカン</t>
    </rPh>
    <rPh sb="45" eb="46">
      <t>ゲツ</t>
    </rPh>
    <rPh sb="53" eb="54">
      <t>ニン</t>
    </rPh>
    <rPh sb="55" eb="57">
      <t>カイハツ</t>
    </rPh>
    <rPh sb="65" eb="67">
      <t>タイオウ</t>
    </rPh>
    <phoneticPr fontId="2"/>
  </si>
  <si>
    <t>計画が計算できないので、０になりました。</t>
    <rPh sb="0" eb="2">
      <t>ケイカク</t>
    </rPh>
    <rPh sb="3" eb="5">
      <t>ケイサン</t>
    </rPh>
    <phoneticPr fontId="2"/>
  </si>
  <si>
    <t>休暇の計画が計算できないので、０になりました。</t>
    <rPh sb="3" eb="5">
      <t>ケイカク</t>
    </rPh>
    <rPh sb="6" eb="8">
      <t>ケイサン</t>
    </rPh>
    <phoneticPr fontId="2"/>
  </si>
  <si>
    <t>今は新入社員がいないので計画は０ですが、案件がない時は後輩メンバーがスキルアップのため過去定型案件やエラーメッセージ修正とかをやっていますので計画と実績が異なります。</t>
    <rPh sb="0" eb="1">
      <t>イマ</t>
    </rPh>
    <rPh sb="2" eb="6">
      <t>シンニュウシャイン</t>
    </rPh>
    <rPh sb="12" eb="14">
      <t>ケイカク</t>
    </rPh>
    <rPh sb="20" eb="22">
      <t>アンケン</t>
    </rPh>
    <rPh sb="25" eb="26">
      <t>トキ</t>
    </rPh>
    <rPh sb="43" eb="45">
      <t>カコ</t>
    </rPh>
    <rPh sb="45" eb="49">
      <t>テイケイアンケン</t>
    </rPh>
    <rPh sb="58" eb="60">
      <t>シュウセイ</t>
    </rPh>
    <phoneticPr fontId="2"/>
  </si>
  <si>
    <t>JINWA Training(Class Hours)</t>
    <phoneticPr fontId="2"/>
  </si>
  <si>
    <t>11月には授業時間が1日あるので計画と実績が異なります。</t>
    <rPh sb="2" eb="3">
      <t>ゲツ</t>
    </rPh>
    <rPh sb="11" eb="12">
      <t>ニチ</t>
    </rPh>
    <phoneticPr fontId="2"/>
  </si>
  <si>
    <t>案件がない時にもJinwa研修を対応しているので計画と実績が異なります。</t>
    <rPh sb="13" eb="15">
      <t>ケンシュウ</t>
    </rPh>
    <rPh sb="16" eb="18">
      <t>タイオウ</t>
    </rPh>
    <phoneticPr fontId="2"/>
  </si>
  <si>
    <t>11月にはDIRの社長と会議があるし、社内トレーニング(C トレーニング)があるので計画と実績が異なります。</t>
    <rPh sb="2" eb="3">
      <t>ゲツ</t>
    </rPh>
    <rPh sb="9" eb="11">
      <t>シャチョウ</t>
    </rPh>
    <rPh sb="12" eb="14">
      <t>カイギ</t>
    </rPh>
    <rPh sb="19" eb="21">
      <t>シャナイ</t>
    </rPh>
    <phoneticPr fontId="2"/>
  </si>
  <si>
    <t>11月にはイェさんは８日と18日に休暇を取ったので計画と実績が異なります。</t>
    <rPh sb="11" eb="12">
      <t>ニチ</t>
    </rPh>
    <rPh sb="15" eb="16">
      <t>ニチ</t>
    </rPh>
    <rPh sb="20" eb="21">
      <t>ト</t>
    </rPh>
    <phoneticPr fontId="2"/>
  </si>
  <si>
    <t>②</t>
    <phoneticPr fontId="2"/>
  </si>
  <si>
    <t>週次報告シートについて</t>
    <phoneticPr fontId="2"/>
  </si>
  <si>
    <t>▲今週のため対応された案件などをリストアップして内訳として説明を報告することです。</t>
    <rPh sb="1" eb="3">
      <t>コンシュウ</t>
    </rPh>
    <rPh sb="6" eb="8">
      <t>タイオウ</t>
    </rPh>
    <rPh sb="11" eb="13">
      <t>アンケン</t>
    </rPh>
    <rPh sb="24" eb="26">
      <t>ウチワケ</t>
    </rPh>
    <rPh sb="29" eb="31">
      <t>セツメイ</t>
    </rPh>
    <rPh sb="32" eb="34">
      <t>ホウコク</t>
    </rPh>
    <phoneticPr fontId="2"/>
  </si>
  <si>
    <t>DIR担当</t>
    <phoneticPr fontId="2"/>
  </si>
  <si>
    <t>案件依頼しているDIR担当者名</t>
    <rPh sb="0" eb="2">
      <t>アンケン</t>
    </rPh>
    <rPh sb="2" eb="4">
      <t>イライ</t>
    </rPh>
    <rPh sb="11" eb="14">
      <t>タントウシャ</t>
    </rPh>
    <rPh sb="14" eb="15">
      <t>メイ</t>
    </rPh>
    <phoneticPr fontId="2"/>
  </si>
  <si>
    <t>日付[F]</t>
    <rPh sb="0" eb="2">
      <t>ヒヅケ</t>
    </rPh>
    <phoneticPr fontId="2"/>
  </si>
  <si>
    <t>今回の期間</t>
    <rPh sb="0" eb="2">
      <t>コンカイ</t>
    </rPh>
    <rPh sb="3" eb="5">
      <t>キカン</t>
    </rPh>
    <phoneticPr fontId="2"/>
  </si>
  <si>
    <t>日付[G]</t>
    <rPh sb="0" eb="2">
      <t>ヒヅケ</t>
    </rPh>
    <phoneticPr fontId="2"/>
  </si>
  <si>
    <t>来週の期間</t>
    <rPh sb="0" eb="2">
      <t>ライシュウ</t>
    </rPh>
    <rPh sb="3" eb="5">
      <t>キカン</t>
    </rPh>
    <phoneticPr fontId="2"/>
  </si>
  <si>
    <t>▲大体プロジェクトの種類として四つあります。報告スタイルは下記の通りになります。</t>
    <rPh sb="1" eb="3">
      <t>ダイタイ</t>
    </rPh>
    <rPh sb="10" eb="12">
      <t>シュルイ</t>
    </rPh>
    <rPh sb="15" eb="16">
      <t>ヨッ</t>
    </rPh>
    <rPh sb="22" eb="24">
      <t>ホウコク</t>
    </rPh>
    <rPh sb="29" eb="31">
      <t>カキ</t>
    </rPh>
    <rPh sb="32" eb="33">
      <t>トオ</t>
    </rPh>
    <phoneticPr fontId="2"/>
  </si>
  <si>
    <t>開発の流れ</t>
    <rPh sb="0" eb="2">
      <t>カイハツ</t>
    </rPh>
    <rPh sb="3" eb="4">
      <t>ナガ</t>
    </rPh>
    <phoneticPr fontId="2"/>
  </si>
  <si>
    <t>調査と開発</t>
    <phoneticPr fontId="2"/>
  </si>
  <si>
    <t>未着手、進行中、レビュー待ち、完了</t>
    <rPh sb="0" eb="3">
      <t>ミチャクシュ</t>
    </rPh>
    <rPh sb="4" eb="7">
      <t>シンコウチュウ</t>
    </rPh>
    <rPh sb="12" eb="13">
      <t>マ</t>
    </rPh>
    <rPh sb="15" eb="17">
      <t>カンリョウ</t>
    </rPh>
    <phoneticPr fontId="2"/>
  </si>
  <si>
    <t>結合テスト</t>
    <phoneticPr fontId="2"/>
  </si>
  <si>
    <t>UPDATE用資料</t>
    <phoneticPr fontId="2"/>
  </si>
  <si>
    <t>poptreeチェック</t>
    <phoneticPr fontId="2"/>
  </si>
  <si>
    <t>バッチ開発作業</t>
    <phoneticPr fontId="2"/>
  </si>
  <si>
    <t>基本設計</t>
    <rPh sb="0" eb="2">
      <t>キホン</t>
    </rPh>
    <rPh sb="2" eb="4">
      <t>セッケイ</t>
    </rPh>
    <phoneticPr fontId="2"/>
  </si>
  <si>
    <t>詳細設計</t>
    <rPh sb="0" eb="2">
      <t>ショウサイ</t>
    </rPh>
    <rPh sb="2" eb="4">
      <t>セッケイ</t>
    </rPh>
    <phoneticPr fontId="2"/>
  </si>
  <si>
    <t>コード開発</t>
    <rPh sb="3" eb="5">
      <t>カイハツ</t>
    </rPh>
    <phoneticPr fontId="2"/>
  </si>
  <si>
    <t>単体テスト</t>
    <rPh sb="0" eb="2">
      <t>タンタイ</t>
    </rPh>
    <phoneticPr fontId="2"/>
  </si>
  <si>
    <t>総合テスト</t>
    <phoneticPr fontId="2"/>
  </si>
  <si>
    <t>アドホックのタスク</t>
    <phoneticPr fontId="2"/>
  </si>
  <si>
    <t>要件確認</t>
    <rPh sb="0" eb="4">
      <t>ヨウケンカクニン</t>
    </rPh>
    <phoneticPr fontId="2"/>
  </si>
  <si>
    <t>調査と開発</t>
    <rPh sb="0" eb="2">
      <t>チョウサ</t>
    </rPh>
    <rPh sb="3" eb="5">
      <t>カイハツ</t>
    </rPh>
    <phoneticPr fontId="2"/>
  </si>
  <si>
    <t>結合テスト</t>
    <rPh sb="0" eb="2">
      <t>ケツゴウ</t>
    </rPh>
    <phoneticPr fontId="2"/>
  </si>
  <si>
    <t>総合テスト</t>
    <rPh sb="0" eb="2">
      <t>ソウゴウ</t>
    </rPh>
    <phoneticPr fontId="2"/>
  </si>
  <si>
    <t>UPDATE用資料</t>
    <rPh sb="6" eb="7">
      <t>ヨウ</t>
    </rPh>
    <rPh sb="7" eb="9">
      <t>シリョウ</t>
    </rPh>
    <phoneticPr fontId="2"/>
  </si>
  <si>
    <t>PR案件</t>
    <phoneticPr fontId="2"/>
  </si>
  <si>
    <t>開発の流れ</t>
  </si>
  <si>
    <t>③</t>
    <phoneticPr fontId="2"/>
  </si>
  <si>
    <t>休暇シートについて</t>
    <phoneticPr fontId="2"/>
  </si>
  <si>
    <t>▲今週、来週のためWB4チームメンバーの休暇情報を報告することです。</t>
    <rPh sb="4" eb="6">
      <t>ライシュウ</t>
    </rPh>
    <rPh sb="20" eb="22">
      <t>キュウカ</t>
    </rPh>
    <rPh sb="22" eb="24">
      <t>ジョウホウ</t>
    </rPh>
    <rPh sb="25" eb="27">
      <t>ホウコク</t>
    </rPh>
    <phoneticPr fontId="2"/>
  </si>
  <si>
    <t>テーブルの説明</t>
    <phoneticPr fontId="2"/>
  </si>
  <si>
    <t>略語</t>
    <phoneticPr fontId="2"/>
  </si>
  <si>
    <t>説明</t>
    <rPh sb="0" eb="2">
      <t>セツメイ</t>
    </rPh>
    <phoneticPr fontId="2"/>
  </si>
  <si>
    <t>出勤</t>
    <phoneticPr fontId="2"/>
  </si>
  <si>
    <t>休暇</t>
    <rPh sb="0" eb="2">
      <t>キュウカ</t>
    </rPh>
    <phoneticPr fontId="2"/>
  </si>
  <si>
    <t>半休</t>
    <phoneticPr fontId="2"/>
  </si>
  <si>
    <t>祝日</t>
    <phoneticPr fontId="2"/>
  </si>
  <si>
    <t>土曜日、日曜日</t>
    <rPh sb="0" eb="3">
      <t>ドヨウビ</t>
    </rPh>
    <rPh sb="4" eb="7">
      <t>ニチヨウビ</t>
    </rPh>
    <phoneticPr fontId="2"/>
  </si>
  <si>
    <t>メンバー名の略語</t>
    <rPh sb="4" eb="5">
      <t>メイ</t>
    </rPh>
    <phoneticPr fontId="2"/>
  </si>
  <si>
    <t>総休暇日数</t>
    <rPh sb="0" eb="1">
      <t>ソウ</t>
    </rPh>
    <rPh sb="1" eb="3">
      <t>キュウカ</t>
    </rPh>
    <rPh sb="3" eb="5">
      <t>ニッスウ</t>
    </rPh>
    <phoneticPr fontId="2"/>
  </si>
  <si>
    <t>Actual Working Days</t>
    <phoneticPr fontId="2"/>
  </si>
  <si>
    <t>総実稼働日数</t>
    <phoneticPr fontId="2"/>
  </si>
  <si>
    <t>④</t>
    <phoneticPr fontId="2"/>
  </si>
  <si>
    <t>祝日シートについて</t>
    <rPh sb="0" eb="2">
      <t>シュクジツ</t>
    </rPh>
    <phoneticPr fontId="2"/>
  </si>
  <si>
    <t>▲ミャンマー側の祝日情報を報告することです。</t>
    <rPh sb="6" eb="7">
      <t>ガワ</t>
    </rPh>
    <rPh sb="8" eb="10">
      <t>シュクジツ</t>
    </rPh>
    <rPh sb="10" eb="12">
      <t>ジョウホウ</t>
    </rPh>
    <rPh sb="13" eb="15">
      <t>ホウコク</t>
    </rPh>
    <phoneticPr fontId="2"/>
  </si>
  <si>
    <t xml:space="preserve">   Total Member - 8</t>
    <phoneticPr fontId="2"/>
  </si>
  <si>
    <t>DIR</t>
  </si>
  <si>
    <t>なし</t>
  </si>
  <si>
    <t>IKK</t>
    <phoneticPr fontId="2"/>
  </si>
  <si>
    <t>Independence Day</t>
  </si>
  <si>
    <t>Thingyan Holiday</t>
  </si>
  <si>
    <t>Full Moon Day of Kasong</t>
  </si>
  <si>
    <t>Martyr’s Day</t>
  </si>
  <si>
    <t>Thadingyut Festival</t>
  </si>
  <si>
    <t>Substitute Day</t>
    <phoneticPr fontId="2"/>
  </si>
  <si>
    <t>AP トレーニングの勉強</t>
    <phoneticPr fontId="2"/>
  </si>
  <si>
    <t xml:space="preserve">   FOC Member - 1</t>
    <phoneticPr fontId="2"/>
  </si>
  <si>
    <t>Contract Member - 7</t>
    <phoneticPr fontId="2"/>
  </si>
  <si>
    <t xml:space="preserve">   Total Member - 7</t>
    <phoneticPr fontId="2"/>
  </si>
  <si>
    <t>プロジェクト</t>
  </si>
  <si>
    <t>定型</t>
  </si>
  <si>
    <t>山田</t>
    <phoneticPr fontId="2"/>
  </si>
  <si>
    <t>KBN</t>
    <phoneticPr fontId="2"/>
  </si>
  <si>
    <t>03月01日~05日</t>
    <phoneticPr fontId="2"/>
  </si>
  <si>
    <t>02月01日~05日</t>
    <phoneticPr fontId="2"/>
  </si>
  <si>
    <t>01月01日~05日</t>
    <phoneticPr fontId="2"/>
  </si>
  <si>
    <t>08月01日~05日</t>
    <phoneticPr fontId="2"/>
  </si>
  <si>
    <t>09月01日~05日</t>
    <phoneticPr fontId="2"/>
  </si>
  <si>
    <t>10月01日~05日</t>
    <phoneticPr fontId="2"/>
  </si>
  <si>
    <t>11月01日~05日</t>
    <phoneticPr fontId="2"/>
  </si>
  <si>
    <t>12月01日~05日</t>
    <phoneticPr fontId="2"/>
  </si>
  <si>
    <t xml:space="preserve">   FOC Member - 2</t>
    <phoneticPr fontId="2"/>
  </si>
  <si>
    <t>Contract Member - 5</t>
    <phoneticPr fontId="2"/>
  </si>
  <si>
    <t>4月</t>
  </si>
  <si>
    <t>5月</t>
  </si>
  <si>
    <t>6月</t>
  </si>
  <si>
    <t>7月</t>
  </si>
  <si>
    <t>8月</t>
  </si>
  <si>
    <t>9月</t>
  </si>
  <si>
    <t>10月</t>
  </si>
  <si>
    <t>11月</t>
  </si>
  <si>
    <t>12月</t>
  </si>
  <si>
    <t>1月</t>
  </si>
  <si>
    <t>2月</t>
  </si>
  <si>
    <t>3月</t>
  </si>
  <si>
    <t>Contract MM</t>
    <phoneticPr fontId="2"/>
  </si>
  <si>
    <t>合計案件（計画）</t>
    <phoneticPr fontId="2"/>
  </si>
  <si>
    <t>合計案件（実績）</t>
    <phoneticPr fontId="2"/>
  </si>
  <si>
    <t>Diff</t>
    <phoneticPr fontId="2"/>
  </si>
  <si>
    <t>プロジェクト管理（計画）</t>
    <phoneticPr fontId="2"/>
  </si>
  <si>
    <t>プロジェクト管理（実績）</t>
    <phoneticPr fontId="2"/>
  </si>
  <si>
    <t>■合計</t>
    <phoneticPr fontId="2"/>
  </si>
  <si>
    <t>DIRタスク対応　人月　合計</t>
    <phoneticPr fontId="2"/>
  </si>
  <si>
    <t>■委託と生産性</t>
    <phoneticPr fontId="2"/>
  </si>
  <si>
    <t>委託率 (%)</t>
    <phoneticPr fontId="2"/>
  </si>
  <si>
    <t>~</t>
    <phoneticPr fontId="2"/>
  </si>
  <si>
    <t>生産性 (%)</t>
    <phoneticPr fontId="2"/>
  </si>
  <si>
    <t>Gazetted Holidays in Myanmar for 2026</t>
    <phoneticPr fontId="6"/>
  </si>
  <si>
    <t>Gazetted Holidays in Japan for 2026</t>
    <phoneticPr fontId="6"/>
  </si>
  <si>
    <t>International New Year’s Day</t>
  </si>
  <si>
    <t>Union Day</t>
    <phoneticPr fontId="2"/>
  </si>
  <si>
    <t>Union Day Holiday</t>
    <phoneticPr fontId="2"/>
  </si>
  <si>
    <t>Chinese New Year Day</t>
  </si>
  <si>
    <t>Chinese New Year Day Holiday</t>
    <phoneticPr fontId="2"/>
  </si>
  <si>
    <t>Peasants’ Day</t>
    <phoneticPr fontId="2"/>
  </si>
  <si>
    <t>Thingyan Holiday</t>
    <phoneticPr fontId="2"/>
  </si>
  <si>
    <t>National Holiday</t>
  </si>
  <si>
    <t>Labour Day</t>
    <phoneticPr fontId="2"/>
  </si>
  <si>
    <t>JUN</t>
    <phoneticPr fontId="6"/>
  </si>
  <si>
    <t>2026/xx/xx</t>
    <phoneticPr fontId="2"/>
  </si>
  <si>
    <t>Full Moon Day of Waso</t>
    <phoneticPr fontId="2"/>
  </si>
  <si>
    <t>Tazaungmone Holiday</t>
    <phoneticPr fontId="2"/>
  </si>
  <si>
    <t>Full Moon Day of Tazaungmone</t>
    <phoneticPr fontId="2"/>
  </si>
  <si>
    <t>National Day</t>
    <phoneticPr fontId="2"/>
  </si>
  <si>
    <t>Christmas Day</t>
    <phoneticPr fontId="2"/>
  </si>
  <si>
    <t>AMTZ</t>
    <phoneticPr fontId="2"/>
  </si>
  <si>
    <t>NCM</t>
    <phoneticPr fontId="2"/>
  </si>
  <si>
    <t>SMZK</t>
    <phoneticPr fontId="2"/>
  </si>
  <si>
    <t>SYA</t>
    <phoneticPr fontId="2"/>
  </si>
  <si>
    <t>MMH</t>
    <phoneticPr fontId="2"/>
  </si>
  <si>
    <t xml:space="preserve"> (ミャンマーの新年祝日)</t>
    <phoneticPr fontId="2"/>
  </si>
  <si>
    <t>来週のため休暇予定はありません。</t>
    <phoneticPr fontId="2"/>
  </si>
  <si>
    <t>A</t>
  </si>
  <si>
    <t>S</t>
  </si>
  <si>
    <t>H</t>
  </si>
  <si>
    <t>L</t>
  </si>
  <si>
    <t>エイミャさんは、2026年3月3日から6月15日まで産休を取ります。</t>
  </si>
  <si>
    <t>AMTZ</t>
  </si>
  <si>
    <t>NCM</t>
  </si>
  <si>
    <t>MMH</t>
  </si>
  <si>
    <t>SMZK</t>
  </si>
  <si>
    <t>SYA</t>
  </si>
  <si>
    <t>04月01日</t>
    <phoneticPr fontId="2"/>
  </si>
  <si>
    <t>月</t>
    <phoneticPr fontId="2"/>
  </si>
  <si>
    <t>日</t>
    <phoneticPr fontId="2"/>
  </si>
  <si>
    <t>BW1</t>
    <phoneticPr fontId="2"/>
  </si>
  <si>
    <t xml:space="preserve">  A5207110</t>
    <phoneticPr fontId="2"/>
  </si>
  <si>
    <t>【案件依頼】ビルド作業を対応</t>
    <phoneticPr fontId="2"/>
  </si>
  <si>
    <t>飯田</t>
    <phoneticPr fontId="2"/>
  </si>
  <si>
    <t>山本</t>
    <phoneticPr fontId="2"/>
  </si>
  <si>
    <t>WA2</t>
    <phoneticPr fontId="2"/>
  </si>
  <si>
    <t>【開発依頼】作業の自動化_UATヘルスチェック</t>
    <phoneticPr fontId="2"/>
  </si>
  <si>
    <t>PBxxxxxxxx</t>
    <phoneticPr fontId="2"/>
  </si>
  <si>
    <t>仲井</t>
    <phoneticPr fontId="2"/>
  </si>
  <si>
    <t>WA6</t>
    <phoneticPr fontId="2"/>
  </si>
  <si>
    <t>【開発依頼】作業の自動化・効率化_エラーメッセージ一覧作成</t>
    <phoneticPr fontId="2"/>
  </si>
  <si>
    <t>安藤</t>
    <phoneticPr fontId="2"/>
  </si>
  <si>
    <t>BT7</t>
    <phoneticPr fontId="2"/>
  </si>
  <si>
    <t>【開発依頼】4631_PBxxxxxxxx_(90)バッチ機DISC使用率軽減対応</t>
    <phoneticPr fontId="2"/>
  </si>
  <si>
    <t>F201</t>
    <phoneticPr fontId="2"/>
  </si>
  <si>
    <t>PB00202063</t>
    <phoneticPr fontId="2"/>
  </si>
  <si>
    <t>【定型】信用取引金利優遇条件設定依頼</t>
    <phoneticPr fontId="2"/>
  </si>
  <si>
    <t>永盛</t>
    <phoneticPr fontId="2"/>
  </si>
  <si>
    <t>PR15</t>
    <phoneticPr fontId="2"/>
  </si>
  <si>
    <t>PD00400226</t>
    <phoneticPr fontId="2"/>
  </si>
  <si>
    <t>【LISA】【フィデア】(1E)(1Y)銀行合併対応 開発フェーズ（LISA）</t>
    <phoneticPr fontId="2"/>
  </si>
  <si>
    <t>F202</t>
    <phoneticPr fontId="2"/>
  </si>
  <si>
    <t>PB00202062</t>
    <phoneticPr fontId="2"/>
  </si>
  <si>
    <t>【定型】投資家画面の文言変更</t>
    <phoneticPr fontId="2"/>
  </si>
  <si>
    <t>F203</t>
    <phoneticPr fontId="2"/>
  </si>
  <si>
    <t>PB00202085</t>
    <phoneticPr fontId="2"/>
  </si>
  <si>
    <t>【定型】株式委託手数料プランの名前変更</t>
    <phoneticPr fontId="2"/>
  </si>
  <si>
    <t>なし</t>
    <phoneticPr fontId="2"/>
  </si>
  <si>
    <t>開発レベル③</t>
  </si>
  <si>
    <t>開発レベル③</t>
    <phoneticPr fontId="2"/>
  </si>
  <si>
    <t>A5207110</t>
    <phoneticPr fontId="2"/>
  </si>
  <si>
    <t>設計書の変更：完了</t>
    <phoneticPr fontId="2"/>
  </si>
  <si>
    <t>PBxxxxxxxx</t>
  </si>
  <si>
    <t>開発：完了</t>
    <phoneticPr fontId="2"/>
  </si>
  <si>
    <t>自動化プロセスマニュアルの作成：完了</t>
    <phoneticPr fontId="2"/>
  </si>
  <si>
    <t>詳細設計書の作成：完了</t>
    <phoneticPr fontId="2"/>
  </si>
  <si>
    <t>調査（PR（44）・PR（共通）・AP）：完了</t>
    <rPh sb="0" eb="2">
      <t>チョウサ</t>
    </rPh>
    <phoneticPr fontId="2"/>
  </si>
  <si>
    <t>調査（BATCH）：完了</t>
    <phoneticPr fontId="2"/>
  </si>
  <si>
    <t>【LISA】【フィデア】4592_PD00400226_(1E)(1Y)銀行合併対応 開発フェーズ（LISA）</t>
    <phoneticPr fontId="2"/>
  </si>
  <si>
    <t>コード修正：完了</t>
    <phoneticPr fontId="2"/>
  </si>
  <si>
    <t>単体テスト：完了</t>
    <phoneticPr fontId="2"/>
  </si>
  <si>
    <t>調査：完了</t>
    <phoneticPr fontId="2"/>
  </si>
  <si>
    <t>UPDATE用資料：完了</t>
    <phoneticPr fontId="2"/>
  </si>
  <si>
    <t>F203</t>
  </si>
  <si>
    <t>DAT側での作業自体は完了いたしました。</t>
    <phoneticPr fontId="2"/>
  </si>
  <si>
    <t>04月02日~04月08日</t>
    <phoneticPr fontId="2"/>
  </si>
  <si>
    <t>ビルド作業を対応 (03/30~04/03) ：完了</t>
    <phoneticPr fontId="2"/>
  </si>
  <si>
    <t>2026/5/xx</t>
    <phoneticPr fontId="2"/>
  </si>
  <si>
    <t>調査（PR・WOLFDB）：完了</t>
    <phoneticPr fontId="2"/>
  </si>
  <si>
    <t>F204</t>
  </si>
  <si>
    <t>PB00202090</t>
    <phoneticPr fontId="2"/>
  </si>
  <si>
    <t>【定型】クイック入金ページの注意文言修正依頼</t>
    <phoneticPr fontId="2"/>
  </si>
  <si>
    <t>【PLATE】PLATE AUTOマニュアル修正</t>
    <phoneticPr fontId="2"/>
  </si>
  <si>
    <t>4574_PC00115425_(全社)信用取引残高報告のフォーマット変更に係る対応</t>
    <phoneticPr fontId="2"/>
  </si>
  <si>
    <t>【EPM】【依頼】レポーティング開発</t>
    <phoneticPr fontId="2"/>
  </si>
  <si>
    <t>PC00115425</t>
    <phoneticPr fontId="2"/>
  </si>
  <si>
    <t>PA5</t>
    <phoneticPr fontId="2"/>
  </si>
  <si>
    <t>EPM13</t>
    <phoneticPr fontId="2"/>
  </si>
  <si>
    <t>EPM14</t>
    <phoneticPr fontId="2"/>
  </si>
  <si>
    <t>坂野</t>
    <phoneticPr fontId="2"/>
  </si>
  <si>
    <t>鈴木</t>
    <phoneticPr fontId="2"/>
  </si>
  <si>
    <t>保存レポーティングのタイトル・説明文・保存ファイル名変更：完了</t>
    <phoneticPr fontId="2"/>
  </si>
  <si>
    <t>No.1096の公開：完了</t>
    <phoneticPr fontId="2"/>
  </si>
  <si>
    <t>52レポーティング追加対応：完了</t>
    <phoneticPr fontId="2"/>
  </si>
  <si>
    <t>TSO/SYA</t>
    <phoneticPr fontId="2"/>
  </si>
  <si>
    <t>SMZK/MMH</t>
  </si>
  <si>
    <t>NCM/SYA</t>
  </si>
  <si>
    <t>TZA/SMZK</t>
  </si>
  <si>
    <t>TSO/MMH</t>
  </si>
  <si>
    <t>結合テスト：完了</t>
    <phoneticPr fontId="2"/>
  </si>
  <si>
    <t>作業手順書、作業スクリプト作成：完了</t>
    <phoneticPr fontId="2"/>
  </si>
  <si>
    <t>マニュアル修正：完了</t>
    <phoneticPr fontId="2"/>
  </si>
  <si>
    <t>開発（SQL）：完了</t>
    <phoneticPr fontId="2"/>
  </si>
  <si>
    <t>作業手順書、作業スクリプト作成（SQL）：完了</t>
    <phoneticPr fontId="2"/>
  </si>
  <si>
    <t>Poptreeチェック：完了</t>
    <phoneticPr fontId="2"/>
  </si>
  <si>
    <t>水</t>
    <phoneticPr fontId="2"/>
  </si>
  <si>
    <t>木</t>
    <phoneticPr fontId="2"/>
  </si>
  <si>
    <t>04月09日~04月15日</t>
    <phoneticPr fontId="2"/>
  </si>
  <si>
    <t>金</t>
    <phoneticPr fontId="2"/>
  </si>
  <si>
    <t>今週のため休暇を取ったメンバーはいませんでした。</t>
    <phoneticPr fontId="2"/>
  </si>
  <si>
    <t>来週のため祝日はありません。</t>
    <phoneticPr fontId="2"/>
  </si>
  <si>
    <t>デモ画面の修正：完了</t>
    <phoneticPr fontId="2"/>
  </si>
  <si>
    <t>DAT側での作業自体は完了いたしました。</t>
  </si>
  <si>
    <t>山田</t>
  </si>
  <si>
    <t>F205</t>
    <phoneticPr fontId="2"/>
  </si>
  <si>
    <t>PB00202097_【定型】加入協会名変更</t>
    <phoneticPr fontId="2"/>
  </si>
  <si>
    <t>【WB4】【開発依頼】4670_PBxxxxxxxx_(0D)管理者画面の表示修正</t>
    <phoneticPr fontId="2"/>
  </si>
  <si>
    <t>PR16</t>
    <phoneticPr fontId="2"/>
  </si>
  <si>
    <t>04月16日~04月22日</t>
    <phoneticPr fontId="2"/>
  </si>
  <si>
    <t>WA5</t>
    <phoneticPr fontId="2"/>
  </si>
  <si>
    <t>【見積依頼】【EPM2】J-IRISS運営終了に伴う内部者情報照合ツール改修</t>
    <phoneticPr fontId="2"/>
  </si>
  <si>
    <t>髙木</t>
    <phoneticPr fontId="2"/>
  </si>
  <si>
    <t>PB00202097</t>
    <phoneticPr fontId="2"/>
  </si>
  <si>
    <t>開発環境へ反映（SQL）：完了</t>
    <phoneticPr fontId="2"/>
  </si>
  <si>
    <t>単体テス：完了</t>
    <phoneticPr fontId="2"/>
  </si>
  <si>
    <t>開発環境へ反映：完了</t>
    <phoneticPr fontId="2"/>
  </si>
  <si>
    <t>SMZK/MMH</t>
    <phoneticPr fontId="2"/>
  </si>
  <si>
    <t>具合③(1E)の調査：完了</t>
    <phoneticPr fontId="2"/>
  </si>
  <si>
    <t>具合③(1Y)の調査：完了</t>
    <phoneticPr fontId="2"/>
  </si>
  <si>
    <t>詳細設計の修正：完了</t>
    <phoneticPr fontId="2"/>
  </si>
  <si>
    <t>04月23日~04月29日</t>
    <phoneticPr fontId="2"/>
  </si>
  <si>
    <t>自動化プロセスマニュアルの修正：完了</t>
    <phoneticPr fontId="2"/>
  </si>
  <si>
    <t>ビルド作業を対応 (04/20~04/24) ：完了</t>
    <phoneticPr fontId="2"/>
  </si>
  <si>
    <t>ビルド作業を対応 (04/27~05/01) ：完了</t>
    <phoneticPr fontId="2"/>
  </si>
  <si>
    <t>今週の04月30日（木曜日）から05月01日（金曜日）まではミヤンマーの祝日です。</t>
    <phoneticPr fontId="2"/>
  </si>
  <si>
    <t xml:space="preserve">   Total Member - 6</t>
    <phoneticPr fontId="2"/>
  </si>
  <si>
    <t>05月01日~06日</t>
    <phoneticPr fontId="2"/>
  </si>
  <si>
    <t>単体テスト：完了</t>
    <rPh sb="6" eb="8">
      <t>カンリョウ</t>
    </rPh>
    <phoneticPr fontId="2"/>
  </si>
  <si>
    <t>TZA/SMZK/MMH</t>
    <phoneticPr fontId="2"/>
  </si>
  <si>
    <t>TZA/TSO/SYA</t>
    <phoneticPr fontId="2"/>
  </si>
  <si>
    <t>【見積依頼】4614_PB00202057_本人確認書類への「特定在留カード」等追加</t>
    <phoneticPr fontId="2"/>
  </si>
  <si>
    <t>PR17</t>
    <phoneticPr fontId="2"/>
  </si>
  <si>
    <t>PB00202057</t>
    <phoneticPr fontId="2"/>
  </si>
  <si>
    <t>【WB4】【開発案件】4665_PBxxxxxxxx_(0D,46)不要な監視抑止対応</t>
    <phoneticPr fontId="2"/>
  </si>
  <si>
    <t>BT8</t>
    <phoneticPr fontId="2"/>
  </si>
  <si>
    <t>納品物一覧の作成：完了</t>
    <phoneticPr fontId="2"/>
  </si>
  <si>
    <t>要件No1の調査：完了</t>
    <phoneticPr fontId="2"/>
  </si>
  <si>
    <t>05月07日~13日</t>
    <phoneticPr fontId="2"/>
  </si>
  <si>
    <t>要件No2(1)の調査：完了</t>
    <phoneticPr fontId="2"/>
  </si>
  <si>
    <t>ビルド作業を対応 (05/11~05/15) ：完了</t>
    <phoneticPr fontId="2"/>
  </si>
  <si>
    <t>「JYOKEN_OPEN」から設定削除のSQLの作成：完了</t>
    <phoneticPr fontId="2"/>
  </si>
  <si>
    <t>SQL反映の作業手順書の作成、作業スクリプトの作成：完了</t>
    <phoneticPr fontId="2"/>
  </si>
  <si>
    <t>要件No2（2)の調査：完了</t>
    <phoneticPr fontId="2"/>
  </si>
  <si>
    <t>Deepavali Holiday *</t>
    <phoneticPr fontId="2"/>
  </si>
  <si>
    <t>Eid Holiday *</t>
    <phoneticPr fontId="2"/>
  </si>
  <si>
    <t>05月14日~20日</t>
    <phoneticPr fontId="2"/>
  </si>
  <si>
    <t>SFA11</t>
    <phoneticPr fontId="2"/>
  </si>
  <si>
    <t>F206</t>
    <phoneticPr fontId="2"/>
  </si>
  <si>
    <t>梶</t>
    <phoneticPr fontId="2"/>
  </si>
  <si>
    <t>【SFA】【開発依頼】0G_面談記録表（SFA）バージョンアップ対応</t>
    <phoneticPr fontId="2"/>
  </si>
  <si>
    <t>PB00202128_【定型】目論見書閲覧画面の文言追加対応</t>
    <phoneticPr fontId="2"/>
  </si>
  <si>
    <t>PB00202128</t>
    <phoneticPr fontId="2"/>
  </si>
  <si>
    <t>邵</t>
    <phoneticPr fontId="2"/>
  </si>
  <si>
    <t>梶</t>
    <phoneticPr fontId="2"/>
  </si>
  <si>
    <t>SFA11</t>
    <phoneticPr fontId="2"/>
  </si>
  <si>
    <t>【SFA】【開発依頼】0G_面談記録表（SFA）バージョンアップ対応</t>
    <phoneticPr fontId="2"/>
  </si>
  <si>
    <t>邵</t>
    <phoneticPr fontId="2"/>
  </si>
  <si>
    <t>F206</t>
    <phoneticPr fontId="2"/>
  </si>
  <si>
    <t>邵</t>
    <phoneticPr fontId="2"/>
  </si>
  <si>
    <t>IC1</t>
    <phoneticPr fontId="2"/>
  </si>
  <si>
    <t>【調査依頼】4685_PBxxxxxxxx_(52)FISフェイルオーバー時の再接続に関する調査依頼</t>
    <phoneticPr fontId="2"/>
  </si>
  <si>
    <t>PBxxxxxxxx</t>
    <phoneticPr fontId="2"/>
  </si>
  <si>
    <t>PB00202128</t>
    <phoneticPr fontId="2"/>
  </si>
  <si>
    <t>PR開発フローについての学習と過去案件練習 : 完了</t>
    <phoneticPr fontId="2"/>
  </si>
  <si>
    <t>開発環境への反映（SQL）：完了</t>
    <phoneticPr fontId="2"/>
  </si>
  <si>
    <t>画面イメージの作成：完了</t>
    <phoneticPr fontId="2"/>
  </si>
  <si>
    <t>Poptreeチェック：完了</t>
    <phoneticPr fontId="2"/>
  </si>
  <si>
    <t>05月21日~27日</t>
    <phoneticPr fontId="2"/>
  </si>
  <si>
    <t>06月01日~03日</t>
    <phoneticPr fontId="2"/>
  </si>
  <si>
    <t>今週の5月28日（木曜日）はミヤンマーの祝日です。</t>
    <phoneticPr fontId="2"/>
  </si>
  <si>
    <t>(本番リリース)
2026/9/25
DAT側での作業自体は完了いたしました。</t>
    <phoneticPr fontId="2"/>
  </si>
  <si>
    <t>ビルド作業を対応 (05/25~05/29) ：完了</t>
    <phoneticPr fontId="2"/>
  </si>
  <si>
    <t>EPM15</t>
    <phoneticPr fontId="2"/>
  </si>
  <si>
    <t>【対応依頼】【EPM】(0D)レポーティング権限開放(WB4顧客セキュリティ設定リスト)</t>
    <phoneticPr fontId="2"/>
  </si>
  <si>
    <t>坂野</t>
    <phoneticPr fontId="2"/>
  </si>
  <si>
    <t>EPM15</t>
    <phoneticPr fontId="2"/>
  </si>
  <si>
    <t xml:space="preserve"> 【対応依頼】【EPM】(0D)レポーティング権限開放(WB4顧客セキュリティ設定リスト)</t>
    <phoneticPr fontId="2"/>
  </si>
  <si>
    <t>接続リトライ仕様の調査：完了</t>
    <phoneticPr fontId="2"/>
  </si>
  <si>
    <t>リトライ中止回数の調査：完了</t>
    <phoneticPr fontId="2"/>
  </si>
  <si>
    <t>手動再開手順の調査：完了</t>
    <phoneticPr fontId="2"/>
  </si>
  <si>
    <t>SQLファイル取得：完了</t>
    <phoneticPr fontId="2"/>
  </si>
  <si>
    <t>TZA/SMZK</t>
    <phoneticPr fontId="2"/>
  </si>
  <si>
    <t>追加の開発依頼(1W)の調査：完了</t>
    <phoneticPr fontId="2"/>
  </si>
  <si>
    <t>Poptreeチェック(開発)：完了</t>
    <phoneticPr fontId="2"/>
  </si>
  <si>
    <t>コード修正(P0、44、0F、0G、46、0D)：完了</t>
    <phoneticPr fontId="2"/>
  </si>
  <si>
    <t>開発環境へのSQL適用：完了</t>
    <phoneticPr fontId="2"/>
  </si>
  <si>
    <t>単体テスト実施：完了</t>
    <phoneticPr fontId="2"/>
  </si>
  <si>
    <t>テスト結果記録：完了</t>
    <phoneticPr fontId="2"/>
  </si>
  <si>
    <t>今週休暇を取ったメンバーはいませんでした。</t>
  </si>
  <si>
    <t>今週の03月27日（金曜日）まではミヤンマーの祝日です。</t>
    <phoneticPr fontId="2"/>
  </si>
  <si>
    <t>来週休暇予定はありません。</t>
  </si>
  <si>
    <t>来週祝日はありません。</t>
  </si>
  <si>
    <t>今週ミャンマーの祝日はありません。</t>
  </si>
  <si>
    <t>今週の12月25日（木曜日）から12月26日（金曜日）まではミヤンマーの祝日です。</t>
    <phoneticPr fontId="2"/>
  </si>
  <si>
    <t>来週の01月01日（木曜日）から01月02日（金曜日）まではミヤンマーの祝日です。</t>
    <phoneticPr fontId="2"/>
  </si>
  <si>
    <t>06月04日~10日</t>
    <phoneticPr fontId="2"/>
  </si>
  <si>
    <t>追加の開発依頼の調査：完了</t>
    <phoneticPr fontId="2"/>
  </si>
  <si>
    <t>デモ画面の修正：完了</t>
    <phoneticPr fontId="2"/>
  </si>
  <si>
    <t>~</t>
    <phoneticPr fontId="2"/>
  </si>
  <si>
    <t>追加の開発依頼の調査：完了</t>
    <phoneticPr fontId="2"/>
  </si>
  <si>
    <t>DAT側での作業自体は完了いたしました。</t>
    <phoneticPr fontId="2"/>
  </si>
  <si>
    <t>DAT側での作業自体は完了いたしました。</t>
    <phoneticPr fontId="2"/>
  </si>
  <si>
    <t>デモ画面の修正(0G、44、46)：完了</t>
    <phoneticPr fontId="2"/>
  </si>
  <si>
    <t>06月11日~17日</t>
    <phoneticPr fontId="2"/>
  </si>
  <si>
    <t>PR18</t>
    <phoneticPr fontId="2"/>
  </si>
  <si>
    <t>【開発依頼】【LISA】【1V254導入対応】(1V254)SONAR導入対応</t>
    <phoneticPr fontId="2"/>
  </si>
  <si>
    <t>土井</t>
    <phoneticPr fontId="2"/>
  </si>
  <si>
    <t>【開発依頼】【LISA】【1V254導入対応】(1V254)SONAR導入対応</t>
    <phoneticPr fontId="2"/>
  </si>
  <si>
    <t>土井</t>
    <phoneticPr fontId="2"/>
  </si>
  <si>
    <t>PR18</t>
    <phoneticPr fontId="2"/>
  </si>
  <si>
    <t>No.005の対応：完了</t>
    <phoneticPr fontId="2"/>
  </si>
  <si>
    <t>AMTZ/SYA</t>
    <phoneticPr fontId="2"/>
  </si>
  <si>
    <t>~</t>
    <phoneticPr fontId="2"/>
  </si>
  <si>
    <t>デモ画面の修正(P0、0F、0D)：完了</t>
    <phoneticPr fontId="2"/>
  </si>
  <si>
    <t>No.007の対応：完了</t>
    <phoneticPr fontId="2"/>
  </si>
  <si>
    <t>ビルド作業を対応 (06/08~06/12)：完了</t>
    <phoneticPr fontId="2"/>
  </si>
  <si>
    <t>単体テスト (0C)：完了</t>
    <phoneticPr fontId="2"/>
  </si>
  <si>
    <t>DAT側での作業自体は完了いたしました。</t>
    <phoneticPr fontId="2"/>
  </si>
  <si>
    <t>No.011の対応：完了</t>
    <phoneticPr fontId="2"/>
  </si>
  <si>
    <t>TSO/NCM/SYA</t>
    <phoneticPr fontId="2"/>
  </si>
  <si>
    <t>06月18日~24日</t>
    <phoneticPr fontId="2"/>
  </si>
  <si>
    <t>AP開発フローについての学習と過去案件練習 :完了</t>
    <phoneticPr fontId="2"/>
  </si>
  <si>
    <t>ビルド作業を対応 (06/22~06/26) ：完了</t>
    <phoneticPr fontId="2"/>
  </si>
  <si>
    <t>対応詳細1の対応（調査・開発・テスト）：完了</t>
    <rPh sb="6" eb="8">
      <t>タイオウ</t>
    </rPh>
    <phoneticPr fontId="2"/>
  </si>
  <si>
    <t>対応詳細2の対応（調査・開発・テスト）：完了</t>
    <rPh sb="6" eb="8">
      <t>タイオウ</t>
    </rPh>
    <phoneticPr fontId="2"/>
  </si>
  <si>
    <t>No.012の対応：完了</t>
    <phoneticPr fontId="2"/>
  </si>
  <si>
    <t>No.013の対応：完了</t>
    <phoneticPr fontId="2"/>
  </si>
  <si>
    <t>BT9</t>
    <phoneticPr fontId="2"/>
  </si>
  <si>
    <t>【開発依頼】4720_PBxxxxxxxx_【保守】デーモン停止チェック漏れ改善</t>
    <phoneticPr fontId="2"/>
  </si>
  <si>
    <t>田中</t>
    <phoneticPr fontId="2"/>
  </si>
  <si>
    <t>TSO/SYA</t>
    <phoneticPr fontId="2"/>
  </si>
  <si>
    <t>BT9</t>
    <phoneticPr fontId="2"/>
  </si>
  <si>
    <t>田中</t>
    <phoneticPr fontId="2"/>
  </si>
  <si>
    <t>【開発依頼】4720_PBxxxxxxxx_【保守】デーモン停止チェック漏れ改善</t>
    <phoneticPr fontId="2"/>
  </si>
  <si>
    <t>06月25日~30日</t>
    <phoneticPr fontId="2"/>
  </si>
  <si>
    <t>07月01日</t>
    <phoneticPr fontId="2"/>
  </si>
  <si>
    <t>07月02日~08日</t>
    <phoneticPr fontId="2"/>
  </si>
  <si>
    <t>PB00202157_【定型】(46)外国株式ハードリミット設定依頼</t>
    <phoneticPr fontId="2"/>
  </si>
  <si>
    <t>【PLATE】【作業依頼】PLATE画面修正(C8202)</t>
    <phoneticPr fontId="2"/>
  </si>
  <si>
    <t>F207</t>
    <phoneticPr fontId="2"/>
  </si>
  <si>
    <t>F208</t>
    <phoneticPr fontId="2"/>
  </si>
  <si>
    <t>PL8</t>
    <phoneticPr fontId="2"/>
  </si>
  <si>
    <t>EPM16</t>
    <phoneticPr fontId="2"/>
  </si>
  <si>
    <t>【EPM2】【開発依頼】HULFT管理台帳(WB4-EPM)アップデート</t>
    <phoneticPr fontId="2"/>
  </si>
  <si>
    <t>【WB4】【LBX】【調査依頼】xxxx_PBxxxxxxxx_ライブラリ一覧作成</t>
    <phoneticPr fontId="2"/>
  </si>
  <si>
    <t>AH30</t>
    <phoneticPr fontId="2"/>
  </si>
  <si>
    <t>【EPM】【作業依頼】4733_PB00202160_(14)＜#20973＞【調査依頼】売買審査データ連携状況確認（2026年）</t>
    <phoneticPr fontId="2"/>
  </si>
  <si>
    <t>EPM17</t>
    <phoneticPr fontId="2"/>
  </si>
  <si>
    <t>F209</t>
    <phoneticPr fontId="2"/>
  </si>
  <si>
    <t>F210</t>
  </si>
  <si>
    <t>邵</t>
    <phoneticPr fontId="2"/>
  </si>
  <si>
    <t>山田</t>
    <phoneticPr fontId="2"/>
  </si>
  <si>
    <t>藤白</t>
    <phoneticPr fontId="2"/>
  </si>
  <si>
    <t>鈴木</t>
    <phoneticPr fontId="2"/>
  </si>
  <si>
    <t>德永</t>
    <phoneticPr fontId="2"/>
  </si>
  <si>
    <t>関谷</t>
    <phoneticPr fontId="2"/>
  </si>
  <si>
    <t>山本</t>
    <phoneticPr fontId="2"/>
  </si>
  <si>
    <t>安藤</t>
    <phoneticPr fontId="2"/>
  </si>
  <si>
    <t>F207</t>
    <phoneticPr fontId="2"/>
  </si>
  <si>
    <t>PB00202157_【定型】(46)外国株式ハードリミット設定依頼</t>
    <phoneticPr fontId="2"/>
  </si>
  <si>
    <t>F208</t>
    <phoneticPr fontId="2"/>
  </si>
  <si>
    <t>PB00202159_【定型】顧客情報入力画面リンク先変更</t>
    <phoneticPr fontId="2"/>
  </si>
  <si>
    <t>藤白</t>
    <phoneticPr fontId="2"/>
  </si>
  <si>
    <t>PL8</t>
    <phoneticPr fontId="2"/>
  </si>
  <si>
    <t>【PLATE】【作業依頼】PLATE画面修正(C8202)</t>
    <phoneticPr fontId="2"/>
  </si>
  <si>
    <t>EPM16</t>
    <phoneticPr fontId="2"/>
  </si>
  <si>
    <t>【EPM2】【開発依頼】HULFT管理台帳(WB4-EPM)アップデート</t>
    <phoneticPr fontId="2"/>
  </si>
  <si>
    <t>德永</t>
    <phoneticPr fontId="2"/>
  </si>
  <si>
    <t>AH30</t>
    <phoneticPr fontId="2"/>
  </si>
  <si>
    <t>【WB4】【LBX】【調査依頼】xxxx_PBxxxxxxxx_ライブラリ一覧作成</t>
    <phoneticPr fontId="2"/>
  </si>
  <si>
    <t>関谷</t>
    <phoneticPr fontId="2"/>
  </si>
  <si>
    <t>EPM17</t>
    <phoneticPr fontId="2"/>
  </si>
  <si>
    <t>【EPM】【作業依頼】4733_PB00202160_(14)＜#20973＞【調査依頼】売買審査データ連携状況確認（2026年）</t>
    <phoneticPr fontId="2"/>
  </si>
  <si>
    <t>F209</t>
    <phoneticPr fontId="2"/>
  </si>
  <si>
    <t>PB00202161_【定型】パスキー未登録顧客（認証方法はパスキー）のログイン時のエラーメッセージ変更</t>
    <phoneticPr fontId="2"/>
  </si>
  <si>
    <t>F210</t>
    <phoneticPr fontId="2"/>
  </si>
  <si>
    <t>PB00202162_【定型】多要素認証設定変更画面</t>
    <phoneticPr fontId="2"/>
  </si>
  <si>
    <t>Poptreeチェック：完了</t>
    <phoneticPr fontId="2"/>
  </si>
  <si>
    <t>開発：完了</t>
    <phoneticPr fontId="2"/>
  </si>
  <si>
    <t>sqlのテスト：完了</t>
    <phoneticPr fontId="2"/>
  </si>
  <si>
    <t>AMTZ/SYA</t>
    <phoneticPr fontId="2"/>
  </si>
  <si>
    <t>TSO/MMH</t>
    <phoneticPr fontId="2"/>
  </si>
  <si>
    <t>Poptreeチェック：未着手</t>
    <phoneticPr fontId="2"/>
  </si>
  <si>
    <t>結合テスト：未着手</t>
    <phoneticPr fontId="2"/>
  </si>
  <si>
    <t>AMTZ/SMZK</t>
    <phoneticPr fontId="2"/>
  </si>
  <si>
    <t>TSO/SYA</t>
    <phoneticPr fontId="2"/>
  </si>
  <si>
    <t>AMTZ/MMH</t>
    <phoneticPr fontId="2"/>
  </si>
  <si>
    <t>単体テスト(46)：完了</t>
    <phoneticPr fontId="2"/>
  </si>
  <si>
    <t>調査(0C, 0D, 0G, 90, 91)：完了</t>
    <phoneticPr fontId="2"/>
  </si>
  <si>
    <t>ST環境への反映作業：完了</t>
    <phoneticPr fontId="2"/>
  </si>
  <si>
    <t>APjar一覧の調査：完了</t>
    <phoneticPr fontId="2"/>
  </si>
  <si>
    <t>PRjar一覧の調査：完了</t>
    <phoneticPr fontId="2"/>
  </si>
  <si>
    <t>LBXjar一覧の調査：完了</t>
    <phoneticPr fontId="2"/>
  </si>
  <si>
    <t>集計結果転記（手順書④参照）：未着手</t>
    <phoneticPr fontId="2"/>
  </si>
  <si>
    <t>問題点確認・報告 ：未着手</t>
    <phoneticPr fontId="2"/>
  </si>
  <si>
    <t>対応詳細3の対応（調査・開発・テスト）：完了</t>
    <rPh sb="6" eb="8">
      <t>タイオウ</t>
    </rPh>
    <phoneticPr fontId="2"/>
  </si>
  <si>
    <t>No.008の対応：完了</t>
    <phoneticPr fontId="2"/>
  </si>
  <si>
    <t>DAT側での作業自体は完了いたしました。</t>
    <phoneticPr fontId="2"/>
  </si>
  <si>
    <t>調査 (92, 93, 94, P0)：完了</t>
    <phoneticPr fontId="2"/>
  </si>
  <si>
    <t>PTE環境への反映作業：完了</t>
    <phoneticPr fontId="2"/>
  </si>
  <si>
    <t>その他_jar一覧の調査：完了</t>
    <phoneticPr fontId="2"/>
  </si>
  <si>
    <t>その他_js一覧の調査：完了</t>
    <phoneticPr fontId="2"/>
  </si>
  <si>
    <t>PRjs一覧の調査：完了</t>
    <phoneticPr fontId="2"/>
  </si>
  <si>
    <t>LBXjs一覧の調査：完了</t>
    <phoneticPr fontId="2"/>
  </si>
  <si>
    <t>対応詳細4の対応（調査・開発・テスト）：完了</t>
    <rPh sb="6" eb="8">
      <t>タイオウ</t>
    </rPh>
    <phoneticPr fontId="2"/>
  </si>
  <si>
    <t>F211</t>
    <phoneticPr fontId="2"/>
  </si>
  <si>
    <t>F212</t>
    <phoneticPr fontId="2"/>
  </si>
  <si>
    <t>F213</t>
    <phoneticPr fontId="2"/>
  </si>
  <si>
    <t>SYA</t>
    <phoneticPr fontId="2"/>
  </si>
  <si>
    <t>AMTZ/MMH</t>
    <phoneticPr fontId="2"/>
  </si>
  <si>
    <t>TSO/MMH</t>
    <phoneticPr fontId="2"/>
  </si>
  <si>
    <t>PB00202162</t>
    <phoneticPr fontId="2"/>
  </si>
  <si>
    <t>PB00202165</t>
    <phoneticPr fontId="2"/>
  </si>
  <si>
    <t>PB00202163</t>
    <phoneticPr fontId="2"/>
  </si>
  <si>
    <t>PB00202164</t>
    <phoneticPr fontId="2"/>
  </si>
  <si>
    <t>【定型】多要素認証設定変更画面</t>
    <phoneticPr fontId="2"/>
  </si>
  <si>
    <t>【定型】米国株注文画面への文言追加について</t>
    <phoneticPr fontId="2"/>
  </si>
  <si>
    <t>【定型】投資家サイトの注意文言追加</t>
    <phoneticPr fontId="2"/>
  </si>
  <si>
    <t>【定型】パスキー登録画面の表示テキストを追加希望</t>
    <phoneticPr fontId="2"/>
  </si>
  <si>
    <t>PB00202161</t>
    <phoneticPr fontId="2"/>
  </si>
  <si>
    <t>【定型】パスキー未登録顧客（認証方法はパスキー）のログイン時のエラーメッセージ変更</t>
    <phoneticPr fontId="2"/>
  </si>
  <si>
    <t>PB00202160</t>
    <phoneticPr fontId="2"/>
  </si>
  <si>
    <t>xxxx</t>
    <phoneticPr fontId="2"/>
  </si>
  <si>
    <t>PB00202159</t>
    <phoneticPr fontId="2"/>
  </si>
  <si>
    <t>【定型】顧客情報入力画面リンク先変更</t>
    <phoneticPr fontId="2"/>
  </si>
  <si>
    <t>PBxxxxxxxx</t>
    <phoneticPr fontId="2"/>
  </si>
  <si>
    <t>07月09日~15日</t>
    <phoneticPr fontId="2"/>
  </si>
  <si>
    <t>F211</t>
  </si>
  <si>
    <t>F212</t>
  </si>
  <si>
    <t>F213</t>
  </si>
  <si>
    <t>PB00202165_【定型】米国株注文画面への文言追加について</t>
    <phoneticPr fontId="2"/>
  </si>
  <si>
    <t>PB00202163_【定型】投資家サイトの注意文言追加</t>
    <phoneticPr fontId="2"/>
  </si>
  <si>
    <t>PB00202164_【定型】パスキー登録画面の表示テキストを追加希望</t>
    <phoneticPr fontId="2"/>
  </si>
  <si>
    <t>山田</t>
    <phoneticPr fontId="2"/>
  </si>
  <si>
    <t>仲井</t>
    <phoneticPr fontId="2"/>
  </si>
  <si>
    <t>山本</t>
    <phoneticPr fontId="2"/>
  </si>
  <si>
    <t>20260723～　20260729</t>
    <phoneticPr fontId="2"/>
  </si>
  <si>
    <t>Batch開発フローについての学習と過去案件練習 :完了</t>
    <phoneticPr fontId="2"/>
  </si>
  <si>
    <t>ビルド作業を対応 (07/06~07/10) ：完了</t>
    <phoneticPr fontId="2"/>
  </si>
  <si>
    <t>単体テスト(0D)：完了</t>
    <phoneticPr fontId="2"/>
  </si>
  <si>
    <t>対応詳細7の対応（調査・開発・テスト）：進行中</t>
    <rPh sb="6" eb="8">
      <t>タイオウ</t>
    </rPh>
    <phoneticPr fontId="2"/>
  </si>
  <si>
    <t>対応詳細7の対応（調査・開発・テスト）：継続</t>
    <rPh sb="6" eb="8">
      <t>タイオウ</t>
    </rPh>
    <phoneticPr fontId="2"/>
  </si>
  <si>
    <t>07月16日~22日</t>
    <phoneticPr fontId="2"/>
  </si>
  <si>
    <t>単体テスト(SQL)：完了</t>
    <phoneticPr fontId="2"/>
  </si>
  <si>
    <t>手順書の内容の確認：完了</t>
    <phoneticPr fontId="2"/>
  </si>
  <si>
    <t>本番データ受領 ：完了</t>
    <phoneticPr fontId="2"/>
  </si>
  <si>
    <t>Poptreeチェック：継続</t>
    <phoneticPr fontId="2"/>
  </si>
  <si>
    <t>SMZK</t>
    <phoneticPr fontId="2"/>
  </si>
  <si>
    <t>F214</t>
    <phoneticPr fontId="2"/>
  </si>
  <si>
    <t>【LISA】(15)社名変更案件への要員アサイン依頼</t>
    <phoneticPr fontId="2"/>
  </si>
  <si>
    <t>富田</t>
    <phoneticPr fontId="2"/>
  </si>
  <si>
    <t>PB00202110</t>
    <phoneticPr fontId="2"/>
  </si>
  <si>
    <t>LS1</t>
    <phoneticPr fontId="2"/>
  </si>
  <si>
    <t>PB00202171</t>
    <phoneticPr fontId="2"/>
  </si>
  <si>
    <t>【定型】振替金融機関口座登録受付画面の保守対応</t>
    <phoneticPr fontId="2"/>
  </si>
  <si>
    <t>Excel集計（手順書③参照）：継続</t>
    <phoneticPr fontId="2"/>
  </si>
  <si>
    <t>【EPM2】【作業依頼】2GB超え帳票の調査　7月分</t>
    <phoneticPr fontId="2"/>
  </si>
  <si>
    <t>EPM18</t>
    <phoneticPr fontId="2"/>
  </si>
  <si>
    <t>20260730～　20260805</t>
    <phoneticPr fontId="2"/>
  </si>
  <si>
    <t>SFA開発フローについての学習と過去案件練習 : 進行中</t>
    <phoneticPr fontId="2"/>
  </si>
  <si>
    <t>SFA開発フローについての学習と過去案件練習 : 継続</t>
    <phoneticPr fontId="2"/>
  </si>
  <si>
    <t>ビルド作業を対応 (07/20~07/24)：完了</t>
    <phoneticPr fontId="2"/>
  </si>
  <si>
    <t>ビルド作業を対応 (08/03~08/07) ：継続</t>
    <phoneticPr fontId="2"/>
  </si>
  <si>
    <t>今週の29月07日（水曜日）はミヤンマーの祝日です。</t>
    <phoneticPr fontId="2"/>
  </si>
  <si>
    <t>追加要件の開発：進行中</t>
    <phoneticPr fontId="2"/>
  </si>
  <si>
    <t>単体テスト(46)：未着手</t>
    <phoneticPr fontId="2"/>
  </si>
  <si>
    <t>単体テスト(0D)：未着手</t>
    <phoneticPr fontId="2"/>
  </si>
  <si>
    <t>追加要件の開発：継続</t>
    <phoneticPr fontId="2"/>
  </si>
  <si>
    <t>対応詳細5の対応（調査・開発・テスト）：完了</t>
    <rPh sb="6" eb="8">
      <t>タイオウ</t>
    </rPh>
    <phoneticPr fontId="2"/>
  </si>
  <si>
    <t>Access取り込み（手順書②参照）：完了</t>
    <phoneticPr fontId="2"/>
  </si>
  <si>
    <t>Excel集計（手順書③参照）：進行中</t>
    <phoneticPr fontId="2"/>
  </si>
  <si>
    <t>サイズチェック結果ログ確認：完了</t>
    <phoneticPr fontId="2"/>
  </si>
  <si>
    <t>帳票サイズ増加傾向確認：完了</t>
    <phoneticPr fontId="2"/>
  </si>
  <si>
    <t>管理台帳の更新：完了</t>
    <phoneticPr fontId="2"/>
  </si>
  <si>
    <t>【依頼】PLETE画面マニュアル更新依頼（GI609）</t>
    <phoneticPr fontId="2"/>
  </si>
  <si>
    <t>PL9</t>
    <phoneticPr fontId="2"/>
  </si>
  <si>
    <t>坂野</t>
    <phoneticPr fontId="2"/>
  </si>
  <si>
    <t>PLATEの画面マニュアルのPDF化：完了</t>
    <phoneticPr fontId="2"/>
  </si>
  <si>
    <t>PLATEへの掲載依頼：完了</t>
    <phoneticPr fontId="2"/>
  </si>
  <si>
    <t>単体テスト(SQL)：未着手</t>
    <phoneticPr fontId="2"/>
  </si>
  <si>
    <t>単体テスト(SQL)：継続</t>
    <phoneticPr fontId="2"/>
  </si>
  <si>
    <t>坂野</t>
    <phoneticPr fontId="2"/>
  </si>
  <si>
    <t>PL9</t>
    <phoneticPr fontId="2"/>
  </si>
  <si>
    <t>【依頼】PLETE画面マニュアル更新依頼（GI609）</t>
    <phoneticPr fontId="2"/>
  </si>
  <si>
    <t>07月23日~29日</t>
    <phoneticPr fontId="2"/>
  </si>
  <si>
    <t>デモ画面の修正：進行中</t>
    <phoneticPr fontId="2"/>
  </si>
  <si>
    <t>デモ画面の修正：継続</t>
    <phoneticPr fontId="2"/>
  </si>
  <si>
    <t>AMTZ/TSO/SYA</t>
    <phoneticPr fontId="2"/>
  </si>
  <si>
    <t>AMTZ</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</si>
</sst>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m&quot;月&quot;d&quot;日&quot;;@"/>
    <numFmt numFmtId="177" formatCode="yyyy\-mm\-dd"/>
    <numFmt numFmtId="178" formatCode="0.000"/>
    <numFmt numFmtId="179" formatCode="#,##0.00_ ;[Red]\-#,##0.00\ "/>
    <numFmt numFmtId="180" formatCode="#,##0.0_ ;[Red]\-#,##0.0\ "/>
    <numFmt numFmtId="181" formatCode="#,##0.0;[Red]\-#,##0.0"/>
    <numFmt numFmtId="182" formatCode="0.00_ "/>
  </numFmts>
  <fonts count="66" x14ac:knownFonts="1">
    <font>
      <sz val="11"/>
      <color theme="1"/>
      <name val="游ゴシック"/>
      <family val="2"/>
      <charset val="128"/>
      <scheme val="minor"/>
    </font>
    <font>
      <sz val="11"/>
      <color theme="1"/>
      <name val="游ゴシック"/>
      <family val="2"/>
      <charset val="128"/>
      <scheme val="minor"/>
    </font>
    <font>
      <sz val="6"/>
      <name val="游ゴシック"/>
      <family val="2"/>
      <charset val="128"/>
      <scheme val="minor"/>
    </font>
    <font>
      <sz val="10"/>
      <color theme="1"/>
      <name val="Meiryo UI"/>
      <family val="3"/>
      <charset val="128"/>
    </font>
    <font>
      <sz val="11"/>
      <color theme="1"/>
      <name val="游ゴシック"/>
      <family val="3"/>
      <charset val="128"/>
      <scheme val="minor"/>
    </font>
    <font>
      <sz val="11"/>
      <color indexed="8"/>
      <name val="ＭＳ Ｐゴシック"/>
      <family val="3"/>
      <charset val="128"/>
    </font>
    <font>
      <sz val="6"/>
      <name val="ＭＳ Ｐゴシック"/>
      <family val="3"/>
      <charset val="128"/>
    </font>
    <font>
      <sz val="11"/>
      <name val="ＭＳ Ｐゴシック"/>
      <family val="3"/>
      <charset val="128"/>
    </font>
    <font>
      <b/>
      <sz val="15"/>
      <color theme="1"/>
      <name val="Meiryo UI"/>
      <family val="3"/>
      <charset val="128"/>
    </font>
    <font>
      <b/>
      <sz val="10"/>
      <color theme="1"/>
      <name val="Meiryo UI"/>
      <family val="3"/>
      <charset val="128"/>
    </font>
    <font>
      <b/>
      <sz val="12"/>
      <color theme="1"/>
      <name val="Meiryo UI"/>
      <family val="3"/>
      <charset val="128"/>
    </font>
    <font>
      <b/>
      <sz val="13"/>
      <color theme="1"/>
      <name val="Meiryo UI"/>
      <family val="3"/>
      <charset val="128"/>
    </font>
    <font>
      <sz val="10"/>
      <name val="Meiryo UI"/>
      <family val="3"/>
      <charset val="128"/>
    </font>
    <font>
      <b/>
      <sz val="10"/>
      <name val="Meiryo UI"/>
      <family val="3"/>
      <charset val="128"/>
    </font>
    <font>
      <b/>
      <sz val="10"/>
      <color theme="0"/>
      <name val="Meiryo UI"/>
      <family val="3"/>
      <charset val="128"/>
    </font>
    <font>
      <u/>
      <sz val="11"/>
      <color theme="10"/>
      <name val="游ゴシック"/>
      <family val="2"/>
      <charset val="128"/>
      <scheme val="minor"/>
    </font>
    <font>
      <u/>
      <sz val="10"/>
      <color theme="10"/>
      <name val="Meiryo UI"/>
      <family val="3"/>
      <charset val="128"/>
    </font>
    <font>
      <sz val="11"/>
      <color theme="1"/>
      <name val="Meiryo UI"/>
      <family val="3"/>
      <charset val="128"/>
    </font>
    <font>
      <u/>
      <sz val="11"/>
      <color theme="10"/>
      <name val="Meiryo UI"/>
      <family val="3"/>
      <charset val="128"/>
    </font>
    <font>
      <sz val="10"/>
      <color rgb="FFFF0000"/>
      <name val="Meiryo UI"/>
      <family val="3"/>
      <charset val="128"/>
    </font>
    <font>
      <sz val="10"/>
      <color theme="9" tint="-0.249977111117893"/>
      <name val="Meiryo UI"/>
      <family val="3"/>
      <charset val="128"/>
    </font>
    <font>
      <sz val="10"/>
      <color theme="5" tint="-0.249977111117893"/>
      <name val="Meiryo UI"/>
      <family val="3"/>
      <charset val="128"/>
    </font>
    <font>
      <b/>
      <sz val="10"/>
      <color rgb="FFFF0000"/>
      <name val="Meiryo UI"/>
      <family val="3"/>
      <charset val="128"/>
    </font>
    <font>
      <sz val="10"/>
      <color theme="4" tint="-0.249977111117893"/>
      <name val="Meiryo UI"/>
      <family val="3"/>
      <charset val="128"/>
    </font>
    <font>
      <sz val="18"/>
      <color theme="4" tint="-0.249977111117893"/>
      <name val="Meiryo UI"/>
      <family val="3"/>
      <charset val="128"/>
    </font>
    <font>
      <sz val="14"/>
      <color theme="4" tint="-0.249977111117893"/>
      <name val="Meiryo UI"/>
      <family val="3"/>
      <charset val="128"/>
    </font>
    <font>
      <b/>
      <sz val="9"/>
      <color rgb="FF1102D6"/>
      <name val="Meiryo UI"/>
      <family val="3"/>
      <charset val="128"/>
    </font>
    <font>
      <b/>
      <sz val="11"/>
      <color theme="5" tint="-0.249977111117893"/>
      <name val="Meiryo UI"/>
      <family val="3"/>
      <charset val="128"/>
    </font>
    <font>
      <b/>
      <sz val="11"/>
      <color theme="9" tint="-0.249977111117893"/>
      <name val="Meiryo UI"/>
      <family val="3"/>
      <charset val="128"/>
    </font>
    <font>
      <b/>
      <sz val="11"/>
      <color theme="4" tint="-0.249977111117893"/>
      <name val="Meiryo UI"/>
      <family val="3"/>
      <charset val="128"/>
    </font>
    <font>
      <sz val="11"/>
      <color rgb="FFFF0000"/>
      <name val="Meiryo UI"/>
      <family val="3"/>
      <charset val="128"/>
    </font>
    <font>
      <b/>
      <sz val="11"/>
      <color theme="1"/>
      <name val="Meiryo UI"/>
      <family val="3"/>
      <charset val="128"/>
    </font>
    <font>
      <sz val="11"/>
      <name val="Meiryo UI"/>
      <family val="3"/>
      <charset val="128"/>
    </font>
    <font>
      <b/>
      <sz val="20"/>
      <color theme="1"/>
      <name val="Meiryo UI"/>
      <family val="3"/>
      <charset val="128"/>
    </font>
    <font>
      <b/>
      <sz val="11"/>
      <color theme="0"/>
      <name val="Meiryo UI"/>
      <family val="3"/>
      <charset val="128"/>
    </font>
    <font>
      <sz val="11"/>
      <color theme="5" tint="-0.249977111117893"/>
      <name val="Meiryo UI"/>
      <family val="3"/>
      <charset val="128"/>
    </font>
    <font>
      <sz val="11"/>
      <color theme="4" tint="-0.249977111117893"/>
      <name val="Meiryo UI"/>
      <family val="3"/>
      <charset val="128"/>
    </font>
    <font>
      <sz val="11"/>
      <color theme="9" tint="-0.249977111117893"/>
      <name val="Meiryo UI"/>
      <family val="3"/>
      <charset val="128"/>
    </font>
    <font>
      <b/>
      <sz val="11"/>
      <color rgb="FFFF0000"/>
      <name val="Meiryo UI"/>
      <family val="3"/>
      <charset val="128"/>
    </font>
    <font>
      <b/>
      <sz val="11"/>
      <color rgb="FF1102D6"/>
      <name val="Meiryo UI"/>
      <family val="3"/>
      <charset val="128"/>
    </font>
    <font>
      <sz val="11"/>
      <color rgb="FFFF0000"/>
      <name val="游ゴシック"/>
      <family val="2"/>
      <charset val="128"/>
      <scheme val="minor"/>
    </font>
    <font>
      <b/>
      <sz val="10"/>
      <color theme="1"/>
      <name val="游ゴシック"/>
      <family val="2"/>
      <charset val="128"/>
      <scheme val="minor"/>
    </font>
    <font>
      <b/>
      <sz val="10"/>
      <color theme="1"/>
      <name val="游ゴシック"/>
      <family val="3"/>
      <charset val="128"/>
      <scheme val="minor"/>
    </font>
    <font>
      <sz val="10"/>
      <color theme="1"/>
      <name val="游ゴシック"/>
      <family val="3"/>
      <charset val="128"/>
      <scheme val="minor"/>
    </font>
    <font>
      <b/>
      <sz val="11"/>
      <color theme="1"/>
      <name val="游ゴシック"/>
      <family val="3"/>
      <charset val="128"/>
      <scheme val="minor"/>
    </font>
    <font>
      <sz val="10"/>
      <color rgb="FFFF0000"/>
      <name val="游ゴシック"/>
      <family val="3"/>
      <charset val="128"/>
      <scheme val="minor"/>
    </font>
    <font>
      <i/>
      <sz val="10"/>
      <color theme="1"/>
      <name val="游ゴシック"/>
      <family val="3"/>
      <charset val="128"/>
      <scheme val="minor"/>
    </font>
    <font>
      <sz val="9"/>
      <color rgb="FFFF0000"/>
      <name val="Meiryo UI"/>
      <family val="3"/>
      <charset val="128"/>
    </font>
    <font>
      <sz val="9"/>
      <color theme="1"/>
      <name val="Meiryo UI"/>
      <family val="3"/>
      <charset val="128"/>
    </font>
    <font>
      <sz val="12"/>
      <color theme="4" tint="-0.249977111117893"/>
      <name val="Meiryo UI"/>
      <family val="3"/>
      <charset val="128"/>
    </font>
    <font>
      <sz val="8"/>
      <color rgb="FFFF0000"/>
      <name val="Meiryo UI"/>
      <family val="3"/>
      <charset val="128"/>
    </font>
    <font>
      <b/>
      <sz val="9"/>
      <color theme="1"/>
      <name val="Meiryo UI"/>
      <family val="3"/>
      <charset val="128"/>
    </font>
    <font>
      <sz val="7"/>
      <color theme="1"/>
      <name val="Meiryo UI"/>
      <family val="3"/>
      <charset val="128"/>
    </font>
    <font>
      <b/>
      <sz val="10"/>
      <color rgb="FFFFFFFF"/>
      <name val="BIZ UDPゴシック"/>
      <family val="3"/>
      <charset val="128"/>
    </font>
    <font>
      <sz val="11"/>
      <color theme="5" tint="0.79998168889431442"/>
      <name val="游ゴシック"/>
      <family val="3"/>
      <charset val="128"/>
      <scheme val="minor"/>
    </font>
    <font>
      <sz val="11"/>
      <color theme="5" tint="0.79998168889431442"/>
      <name val="游ゴシック"/>
      <family val="2"/>
      <charset val="128"/>
      <scheme val="minor"/>
    </font>
    <font>
      <sz val="11"/>
      <color rgb="FF000000"/>
      <name val="游ゴシック"/>
      <family val="3"/>
      <charset val="128"/>
      <scheme val="minor"/>
    </font>
    <font>
      <sz val="12"/>
      <color rgb="FFFF0000"/>
      <name val="Meiryo UI"/>
      <family val="3"/>
      <charset val="128"/>
    </font>
    <font>
      <b/>
      <sz val="11"/>
      <color rgb="FFFF0000"/>
      <name val="メイリオ"/>
      <family val="3"/>
      <charset val="128"/>
    </font>
    <font>
      <b/>
      <sz val="6.8"/>
      <color rgb="FFFF0000"/>
      <name val="メイリオ"/>
      <family val="3"/>
      <charset val="128"/>
    </font>
    <font>
      <b/>
      <sz val="8"/>
      <color rgb="FF1102D6"/>
      <name val="Meiryo UI"/>
      <family val="3"/>
      <charset val="128"/>
    </font>
    <font>
      <b/>
      <sz val="10"/>
      <color rgb="FFFF0000"/>
      <name val="メイリオ"/>
      <family val="3"/>
      <charset val="128"/>
    </font>
    <font>
      <b/>
      <sz val="8"/>
      <color theme="1"/>
      <name val="Meiryo UI"/>
      <family val="3"/>
      <charset val="128"/>
    </font>
    <font>
      <sz val="11"/>
      <color theme="0"/>
      <name val="游ゴシック"/>
      <family val="2"/>
      <charset val="128"/>
      <scheme val="minor"/>
    </font>
    <font>
      <b/>
      <i/>
      <sz val="10"/>
      <color rgb="FF7030A0"/>
      <name val="Meiryo UI"/>
      <family val="3"/>
      <charset val="128"/>
    </font>
    <font>
      <sz val="11"/>
      <name val="游ゴシック"/>
      <family val="2"/>
      <charset val="128"/>
      <scheme val="minor"/>
    </font>
  </fonts>
  <fills count="19">
    <fill>
      <patternFill patternType="none"/>
    </fill>
    <fill>
      <patternFill patternType="gray125"/>
    </fill>
    <fill>
      <patternFill patternType="solid">
        <fgColor theme="7" tint="0.39997558519241921"/>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theme="4" tint="0.39997558519241921"/>
        <bgColor indexed="64"/>
      </patternFill>
    </fill>
    <fill>
      <patternFill patternType="solid">
        <fgColor theme="5" tint="0.59999389629810485"/>
        <bgColor indexed="64"/>
      </patternFill>
    </fill>
    <fill>
      <patternFill patternType="solid">
        <fgColor rgb="FFC00000"/>
        <bgColor indexed="64"/>
      </patternFill>
    </fill>
    <fill>
      <patternFill patternType="solid">
        <fgColor theme="2" tint="-0.249977111117893"/>
        <bgColor indexed="64"/>
      </patternFill>
    </fill>
    <fill>
      <patternFill patternType="solid">
        <fgColor rgb="FFFFFF00"/>
        <bgColor indexed="64"/>
      </patternFill>
    </fill>
    <fill>
      <patternFill patternType="solid">
        <fgColor theme="5" tint="-0.249977111117893"/>
        <bgColor indexed="64"/>
      </patternFill>
    </fill>
    <fill>
      <patternFill patternType="solid">
        <fgColor theme="0" tint="-0.34998626667073579"/>
        <bgColor indexed="64"/>
      </patternFill>
    </fill>
    <fill>
      <patternFill patternType="solid">
        <fgColor rgb="FF00B0F0"/>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8"/>
        <bgColor indexed="64"/>
      </patternFill>
    </fill>
    <fill>
      <patternFill patternType="solid">
        <fgColor theme="5" tint="0.79998168889431442"/>
        <bgColor indexed="64"/>
      </patternFill>
    </fill>
    <fill>
      <patternFill patternType="solid">
        <fgColor theme="0"/>
        <bgColor indexed="64"/>
      </patternFill>
    </fill>
  </fills>
  <borders count="66">
    <border>
      <left/>
      <right/>
      <top/>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style="hair">
        <color indexed="64"/>
      </bottom>
      <diagonal/>
    </border>
    <border>
      <left/>
      <right style="thin">
        <color indexed="64"/>
      </right>
      <top style="thin">
        <color indexed="64"/>
      </top>
      <bottom style="hair">
        <color indexed="64"/>
      </bottom>
      <diagonal/>
    </border>
    <border>
      <left style="double">
        <color indexed="64"/>
      </left>
      <right style="thin">
        <color indexed="64"/>
      </right>
      <top style="thin">
        <color indexed="64"/>
      </top>
      <bottom style="hair">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style="hair">
        <color indexed="64"/>
      </top>
      <bottom style="thin">
        <color indexed="64"/>
      </bottom>
      <diagonal/>
    </border>
    <border>
      <left/>
      <right style="thin">
        <color indexed="64"/>
      </right>
      <top style="hair">
        <color indexed="64"/>
      </top>
      <bottom style="thin">
        <color indexed="64"/>
      </bottom>
      <diagonal/>
    </border>
    <border>
      <left style="double">
        <color indexed="64"/>
      </left>
      <right style="thin">
        <color indexed="64"/>
      </right>
      <top style="hair">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double">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hair">
        <color indexed="64"/>
      </bottom>
      <diagonal/>
    </border>
    <border>
      <left/>
      <right/>
      <top style="thin">
        <color indexed="64"/>
      </top>
      <bottom style="hair">
        <color indexed="64"/>
      </bottom>
      <diagonal/>
    </border>
    <border>
      <left style="thin">
        <color indexed="64"/>
      </left>
      <right/>
      <top style="hair">
        <color indexed="64"/>
      </top>
      <bottom style="thin">
        <color indexed="64"/>
      </bottom>
      <diagonal/>
    </border>
    <border>
      <left/>
      <right/>
      <top style="hair">
        <color indexed="64"/>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style="double">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right/>
      <top style="double">
        <color indexed="64"/>
      </top>
      <bottom style="double">
        <color indexed="64"/>
      </bottom>
      <diagonal/>
    </border>
    <border>
      <left/>
      <right style="thin">
        <color indexed="64"/>
      </right>
      <top style="double">
        <color indexed="64"/>
      </top>
      <bottom style="double">
        <color indexed="64"/>
      </bottom>
      <diagonal/>
    </border>
    <border>
      <left style="double">
        <color indexed="64"/>
      </left>
      <right/>
      <top style="thin">
        <color indexed="64"/>
      </top>
      <bottom style="thin">
        <color indexed="64"/>
      </bottom>
      <diagonal/>
    </border>
    <border>
      <left style="double">
        <color indexed="64"/>
      </left>
      <right style="thin">
        <color indexed="64"/>
      </right>
      <top style="thin">
        <color indexed="64"/>
      </top>
      <bottom style="double">
        <color indexed="64"/>
      </bottom>
      <diagonal/>
    </border>
    <border>
      <left style="double">
        <color indexed="64"/>
      </left>
      <right/>
      <top style="thin">
        <color indexed="64"/>
      </top>
      <bottom style="double">
        <color indexed="64"/>
      </bottom>
      <diagonal/>
    </border>
    <border>
      <left style="double">
        <color indexed="64"/>
      </left>
      <right/>
      <top style="double">
        <color indexed="64"/>
      </top>
      <bottom style="double">
        <color indexed="64"/>
      </bottom>
      <diagonal/>
    </border>
    <border>
      <left style="double">
        <color indexed="64"/>
      </left>
      <right style="thin">
        <color indexed="64"/>
      </right>
      <top/>
      <bottom style="thin">
        <color indexed="64"/>
      </bottom>
      <diagonal/>
    </border>
    <border>
      <left/>
      <right style="double">
        <color indexed="64"/>
      </right>
      <top style="thin">
        <color indexed="64"/>
      </top>
      <bottom style="double">
        <color indexed="64"/>
      </bottom>
      <diagonal/>
    </border>
    <border>
      <left/>
      <right style="double">
        <color indexed="64"/>
      </right>
      <top style="double">
        <color indexed="64"/>
      </top>
      <bottom style="double">
        <color indexed="64"/>
      </bottom>
      <diagonal/>
    </border>
    <border>
      <left style="thin">
        <color indexed="64"/>
      </left>
      <right style="double">
        <color indexed="64"/>
      </right>
      <top style="hair">
        <color indexed="64"/>
      </top>
      <bottom style="thin">
        <color indexed="64"/>
      </bottom>
      <diagonal/>
    </border>
    <border>
      <left style="double">
        <color indexed="64"/>
      </left>
      <right style="thin">
        <color indexed="64"/>
      </right>
      <top/>
      <bottom style="hair">
        <color indexed="64"/>
      </bottom>
      <diagonal/>
    </border>
    <border>
      <left style="thin">
        <color indexed="64"/>
      </left>
      <right style="thin">
        <color indexed="64"/>
      </right>
      <top/>
      <bottom style="hair">
        <color indexed="64"/>
      </bottom>
      <diagonal/>
    </border>
    <border>
      <left/>
      <right style="thin">
        <color indexed="64"/>
      </right>
      <top/>
      <bottom/>
      <diagonal/>
    </border>
    <border>
      <left style="thin">
        <color indexed="64"/>
      </left>
      <right/>
      <top/>
      <bottom/>
      <diagonal/>
    </border>
    <border>
      <left style="double">
        <color indexed="64"/>
      </left>
      <right/>
      <top style="hair">
        <color indexed="64"/>
      </top>
      <bottom style="thin">
        <color indexed="64"/>
      </bottom>
      <diagonal/>
    </border>
    <border>
      <left style="double">
        <color indexed="64"/>
      </left>
      <right style="thin">
        <color indexed="64"/>
      </right>
      <top style="double">
        <color indexed="64"/>
      </top>
      <bottom style="double">
        <color indexed="64"/>
      </bottom>
      <diagonal/>
    </border>
    <border>
      <left style="thin">
        <color indexed="64"/>
      </left>
      <right/>
      <top style="double">
        <color indexed="64"/>
      </top>
      <bottom style="double">
        <color indexed="64"/>
      </bottom>
      <diagonal/>
    </border>
    <border>
      <left style="double">
        <color indexed="64"/>
      </left>
      <right style="thin">
        <color indexed="64"/>
      </right>
      <top/>
      <bottom/>
      <diagonal/>
    </border>
    <border>
      <left style="thin">
        <color indexed="64"/>
      </left>
      <right style="double">
        <color indexed="64"/>
      </right>
      <top style="thin">
        <color indexed="64"/>
      </top>
      <bottom style="thin">
        <color indexed="64"/>
      </bottom>
      <diagonal/>
    </border>
    <border>
      <left style="double">
        <color indexed="64"/>
      </left>
      <right/>
      <top style="thin">
        <color indexed="64"/>
      </top>
      <bottom style="hair">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double">
        <color indexed="64"/>
      </right>
      <top style="thin">
        <color indexed="64"/>
      </top>
      <bottom style="hair">
        <color indexed="64"/>
      </bottom>
      <diagonal/>
    </border>
    <border>
      <left style="thin">
        <color indexed="64"/>
      </left>
      <right style="double">
        <color indexed="64"/>
      </right>
      <top style="thin">
        <color indexed="64"/>
      </top>
      <bottom style="double">
        <color indexed="64"/>
      </bottom>
      <diagonal/>
    </border>
    <border>
      <left style="thin">
        <color indexed="64"/>
      </left>
      <right style="double">
        <color indexed="64"/>
      </right>
      <top style="double">
        <color indexed="64"/>
      </top>
      <bottom style="double">
        <color indexed="64"/>
      </bottom>
      <diagonal/>
    </border>
    <border>
      <left/>
      <right style="double">
        <color indexed="64"/>
      </right>
      <top style="thin">
        <color indexed="64"/>
      </top>
      <bottom style="hair">
        <color indexed="64"/>
      </bottom>
      <diagonal/>
    </border>
    <border>
      <left style="double">
        <color indexed="64"/>
      </left>
      <right/>
      <top style="thin">
        <color indexed="64"/>
      </top>
      <bottom/>
      <diagonal/>
    </border>
    <border>
      <left style="double">
        <color indexed="64"/>
      </left>
      <right/>
      <top/>
      <bottom style="thin">
        <color indexed="64"/>
      </bottom>
      <diagonal/>
    </border>
    <border>
      <left style="medium">
        <color indexed="64"/>
      </left>
      <right/>
      <top/>
      <bottom/>
      <diagonal/>
    </border>
    <border>
      <left/>
      <right/>
      <top style="medium">
        <color indexed="64"/>
      </top>
      <bottom style="thin">
        <color indexed="64"/>
      </bottom>
      <diagonal/>
    </border>
    <border>
      <left style="double">
        <color indexed="64"/>
      </left>
      <right/>
      <top/>
      <bottom/>
      <diagonal/>
    </border>
    <border>
      <left/>
      <right style="medium">
        <color indexed="64"/>
      </right>
      <top/>
      <bottom/>
      <diagonal/>
    </border>
  </borders>
  <cellStyleXfs count="9">
    <xf numFmtId="0" fontId="0" fillId="0" borderId="0">
      <alignment vertical="center"/>
    </xf>
    <xf numFmtId="38" fontId="1" fillId="0" borderId="0" applyFont="0" applyFill="0" applyBorder="0" applyAlignment="0" applyProtection="0">
      <alignment vertical="center"/>
    </xf>
    <xf numFmtId="9" fontId="1" fillId="0" borderId="0" applyFont="0" applyFill="0" applyBorder="0" applyAlignment="0" applyProtection="0">
      <alignment vertical="center"/>
    </xf>
    <xf numFmtId="0" fontId="4" fillId="0" borderId="0">
      <alignment vertical="center"/>
    </xf>
    <xf numFmtId="38" fontId="5" fillId="0" borderId="0" applyFont="0" applyFill="0" applyBorder="0" applyAlignment="0" applyProtection="0">
      <alignment vertical="center"/>
    </xf>
    <xf numFmtId="38" fontId="7" fillId="0" borderId="0" applyFont="0" applyFill="0" applyBorder="0" applyAlignment="0" applyProtection="0">
      <alignment vertical="center"/>
    </xf>
    <xf numFmtId="0" fontId="15" fillId="0" borderId="0" applyNumberFormat="0" applyFill="0" applyBorder="0" applyAlignment="0" applyProtection="0">
      <alignment vertical="center"/>
    </xf>
    <xf numFmtId="0" fontId="7" fillId="0" borderId="0"/>
    <xf numFmtId="0" fontId="7" fillId="0" borderId="0">
      <alignment vertical="center"/>
    </xf>
  </cellStyleXfs>
  <cellXfs count="655">
    <xf numFmtId="0" fontId="0" fillId="0" borderId="0" xfId="0">
      <alignment vertical="center"/>
    </xf>
    <xf numFmtId="0" fontId="3" fillId="0" borderId="0" xfId="0" applyFont="1">
      <alignment vertical="center"/>
    </xf>
    <xf numFmtId="0" fontId="3" fillId="0" borderId="0" xfId="0" applyFont="1" applyAlignment="1">
      <alignment horizontal="center" vertical="center"/>
    </xf>
    <xf numFmtId="0" fontId="3" fillId="0" borderId="13" xfId="0" applyFont="1" applyBorder="1" applyAlignment="1">
      <alignment horizontal="center" vertical="center"/>
    </xf>
    <xf numFmtId="0" fontId="3" fillId="0" borderId="13" xfId="0" applyFont="1" applyBorder="1">
      <alignment vertical="center"/>
    </xf>
    <xf numFmtId="0" fontId="3" fillId="2" borderId="13" xfId="0" applyFont="1" applyFill="1" applyBorder="1" applyAlignment="1">
      <alignment horizontal="center" vertical="center"/>
    </xf>
    <xf numFmtId="0" fontId="3" fillId="5" borderId="13" xfId="0" applyFont="1" applyFill="1" applyBorder="1" applyAlignment="1">
      <alignment horizontal="center" vertical="center"/>
    </xf>
    <xf numFmtId="0" fontId="10" fillId="0" borderId="0" xfId="0" applyFont="1">
      <alignment vertical="center"/>
    </xf>
    <xf numFmtId="0" fontId="11" fillId="0" borderId="0" xfId="0" applyFont="1">
      <alignment vertical="center"/>
    </xf>
    <xf numFmtId="0" fontId="3" fillId="0" borderId="0" xfId="0" applyFont="1" applyAlignment="1">
      <alignment vertical="center" shrinkToFit="1"/>
    </xf>
    <xf numFmtId="40" fontId="3" fillId="0" borderId="4" xfId="1" applyNumberFormat="1" applyFont="1" applyBorder="1" applyAlignment="1">
      <alignment horizontal="center" vertical="center"/>
    </xf>
    <xf numFmtId="40" fontId="3" fillId="0" borderId="9" xfId="1" applyNumberFormat="1" applyFont="1" applyBorder="1" applyAlignment="1">
      <alignment horizontal="center" vertical="center"/>
    </xf>
    <xf numFmtId="0" fontId="3" fillId="8" borderId="4" xfId="0" applyFont="1" applyFill="1" applyBorder="1">
      <alignment vertical="center"/>
    </xf>
    <xf numFmtId="176" fontId="3" fillId="8" borderId="4" xfId="0" applyNumberFormat="1" applyFont="1" applyFill="1" applyBorder="1">
      <alignment vertical="center"/>
    </xf>
    <xf numFmtId="0" fontId="3" fillId="8" borderId="9" xfId="0" applyFont="1" applyFill="1" applyBorder="1">
      <alignment vertical="center"/>
    </xf>
    <xf numFmtId="176" fontId="3" fillId="8" borderId="9" xfId="0" applyNumberFormat="1" applyFont="1" applyFill="1" applyBorder="1">
      <alignment vertical="center"/>
    </xf>
    <xf numFmtId="0" fontId="3" fillId="2" borderId="15" xfId="0" applyFont="1" applyFill="1" applyBorder="1" applyAlignment="1">
      <alignment horizontal="center" vertical="center"/>
    </xf>
    <xf numFmtId="40" fontId="3" fillId="0" borderId="21" xfId="1" applyNumberFormat="1" applyFont="1" applyBorder="1" applyAlignment="1">
      <alignment horizontal="center" vertical="center"/>
    </xf>
    <xf numFmtId="40" fontId="3" fillId="0" borderId="23" xfId="1" applyNumberFormat="1" applyFont="1" applyBorder="1" applyAlignment="1">
      <alignment horizontal="center" vertical="center"/>
    </xf>
    <xf numFmtId="40" fontId="3" fillId="0" borderId="6" xfId="1" applyNumberFormat="1" applyFont="1" applyBorder="1" applyAlignment="1">
      <alignment horizontal="center" vertical="center"/>
    </xf>
    <xf numFmtId="40" fontId="3" fillId="0" borderId="11" xfId="1" applyNumberFormat="1" applyFont="1" applyBorder="1" applyAlignment="1">
      <alignment horizontal="center" vertical="center"/>
    </xf>
    <xf numFmtId="0" fontId="8" fillId="0" borderId="0" xfId="0" applyFont="1">
      <alignment vertical="center"/>
    </xf>
    <xf numFmtId="0" fontId="8" fillId="0" borderId="0" xfId="0" applyFont="1" applyBorder="1" applyAlignment="1">
      <alignment vertical="center"/>
    </xf>
    <xf numFmtId="0" fontId="3" fillId="0" borderId="0" xfId="0" applyFont="1" applyBorder="1" applyAlignment="1">
      <alignment horizontal="right" vertical="center"/>
    </xf>
    <xf numFmtId="40" fontId="3" fillId="0" borderId="0" xfId="1" applyNumberFormat="1" applyFont="1" applyBorder="1" applyAlignment="1">
      <alignment horizontal="center" vertical="center"/>
    </xf>
    <xf numFmtId="40" fontId="3" fillId="6" borderId="25" xfId="1" applyNumberFormat="1" applyFont="1" applyFill="1" applyBorder="1" applyAlignment="1">
      <alignment horizontal="center" vertical="center"/>
    </xf>
    <xf numFmtId="40" fontId="3" fillId="6" borderId="26" xfId="1" applyNumberFormat="1" applyFont="1" applyFill="1" applyBorder="1" applyAlignment="1">
      <alignment horizontal="center" vertical="center"/>
    </xf>
    <xf numFmtId="40" fontId="3" fillId="6" borderId="33" xfId="1" applyNumberFormat="1" applyFont="1" applyFill="1" applyBorder="1" applyAlignment="1">
      <alignment horizontal="center" vertical="center"/>
    </xf>
    <xf numFmtId="40" fontId="3" fillId="6" borderId="27" xfId="1" applyNumberFormat="1" applyFont="1" applyFill="1" applyBorder="1" applyAlignment="1">
      <alignment horizontal="center" vertical="center"/>
    </xf>
    <xf numFmtId="177" fontId="12" fillId="5" borderId="0" xfId="0" applyNumberFormat="1" applyFont="1" applyFill="1" applyAlignment="1">
      <alignment horizontal="center" vertical="center"/>
    </xf>
    <xf numFmtId="0" fontId="12" fillId="5" borderId="0" xfId="0" applyFont="1" applyFill="1" applyAlignment="1">
      <alignment horizontal="left" vertical="center"/>
    </xf>
    <xf numFmtId="0" fontId="12" fillId="0" borderId="0" xfId="0" applyFont="1" applyAlignment="1">
      <alignment horizontal="center" vertical="center"/>
    </xf>
    <xf numFmtId="177" fontId="12" fillId="0" borderId="0" xfId="0" applyNumberFormat="1" applyFont="1" applyAlignment="1">
      <alignment horizontal="center" vertical="center"/>
    </xf>
    <xf numFmtId="0" fontId="12" fillId="0" borderId="0" xfId="0" applyFont="1" applyAlignment="1">
      <alignment horizontal="left" vertical="center"/>
    </xf>
    <xf numFmtId="0" fontId="13" fillId="5" borderId="0" xfId="0" applyFont="1" applyFill="1" applyAlignment="1">
      <alignment horizontal="left" vertical="center"/>
    </xf>
    <xf numFmtId="40" fontId="3" fillId="6" borderId="13" xfId="0" applyNumberFormat="1" applyFont="1" applyFill="1" applyBorder="1">
      <alignment vertical="center"/>
    </xf>
    <xf numFmtId="0" fontId="3" fillId="6" borderId="13" xfId="0" applyFont="1" applyFill="1" applyBorder="1" applyAlignment="1">
      <alignment horizontal="right" vertical="center"/>
    </xf>
    <xf numFmtId="0" fontId="13" fillId="2" borderId="13" xfId="0" applyFont="1" applyFill="1" applyBorder="1" applyAlignment="1">
      <alignment horizontal="right" vertical="center" shrinkToFit="1"/>
    </xf>
    <xf numFmtId="0" fontId="14" fillId="7" borderId="13" xfId="0" applyFont="1" applyFill="1" applyBorder="1" applyAlignment="1">
      <alignment horizontal="right" vertical="center" shrinkToFit="1"/>
    </xf>
    <xf numFmtId="40" fontId="3" fillId="0" borderId="9" xfId="1" applyNumberFormat="1" applyFont="1" applyFill="1" applyBorder="1" applyAlignment="1">
      <alignment horizontal="center" vertical="center"/>
    </xf>
    <xf numFmtId="40" fontId="3" fillId="6" borderId="15" xfId="0" applyNumberFormat="1" applyFont="1" applyFill="1" applyBorder="1">
      <alignment vertical="center"/>
    </xf>
    <xf numFmtId="40" fontId="3" fillId="6" borderId="14" xfId="0" applyNumberFormat="1" applyFont="1" applyFill="1" applyBorder="1">
      <alignment vertical="center"/>
    </xf>
    <xf numFmtId="40" fontId="3" fillId="0" borderId="36" xfId="1" applyNumberFormat="1" applyFont="1" applyBorder="1" applyAlignment="1">
      <alignment horizontal="center" vertical="center"/>
    </xf>
    <xf numFmtId="40" fontId="3" fillId="6" borderId="4" xfId="1" applyNumberFormat="1" applyFont="1" applyFill="1" applyBorder="1" applyAlignment="1">
      <alignment horizontal="center" vertical="center"/>
    </xf>
    <xf numFmtId="40" fontId="3" fillId="6" borderId="9" xfId="1" applyNumberFormat="1" applyFont="1" applyFill="1" applyBorder="1" applyAlignment="1">
      <alignment horizontal="center" vertical="center"/>
    </xf>
    <xf numFmtId="40" fontId="9" fillId="2" borderId="25" xfId="0" applyNumberFormat="1" applyFont="1" applyFill="1" applyBorder="1" applyAlignment="1">
      <alignment horizontal="center" vertical="center"/>
    </xf>
    <xf numFmtId="40" fontId="9" fillId="2" borderId="26" xfId="0" applyNumberFormat="1" applyFont="1" applyFill="1" applyBorder="1" applyAlignment="1">
      <alignment horizontal="center" vertical="center"/>
    </xf>
    <xf numFmtId="0" fontId="9" fillId="0" borderId="0" xfId="0" applyFont="1">
      <alignment vertical="center"/>
    </xf>
    <xf numFmtId="40" fontId="3" fillId="0" borderId="4" xfId="1" applyNumberFormat="1" applyFont="1" applyFill="1" applyBorder="1" applyAlignment="1">
      <alignment horizontal="center" vertical="center"/>
    </xf>
    <xf numFmtId="40" fontId="3" fillId="0" borderId="39" xfId="1" applyNumberFormat="1" applyFont="1" applyBorder="1" applyAlignment="1">
      <alignment horizontal="center" vertical="center"/>
    </xf>
    <xf numFmtId="40" fontId="3" fillId="0" borderId="0" xfId="0" applyNumberFormat="1" applyFont="1">
      <alignment vertical="center"/>
    </xf>
    <xf numFmtId="40" fontId="3" fillId="0" borderId="40" xfId="1" applyNumberFormat="1" applyFont="1" applyBorder="1" applyAlignment="1">
      <alignment horizontal="center" vertical="center"/>
    </xf>
    <xf numFmtId="40" fontId="3" fillId="0" borderId="41" xfId="1" applyNumberFormat="1" applyFont="1" applyBorder="1" applyAlignment="1">
      <alignment horizontal="center" vertical="center"/>
    </xf>
    <xf numFmtId="0" fontId="12" fillId="0" borderId="0" xfId="0" applyFont="1">
      <alignment vertical="center"/>
    </xf>
    <xf numFmtId="40" fontId="3" fillId="0" borderId="10" xfId="1" applyNumberFormat="1" applyFont="1" applyBorder="1" applyAlignment="1">
      <alignment horizontal="center" vertical="center"/>
    </xf>
    <xf numFmtId="178" fontId="3" fillId="0" borderId="0" xfId="0" applyNumberFormat="1" applyFont="1">
      <alignment vertical="center"/>
    </xf>
    <xf numFmtId="0" fontId="24" fillId="0" borderId="0" xfId="0" applyFont="1">
      <alignment vertical="center"/>
    </xf>
    <xf numFmtId="40" fontId="3" fillId="0" borderId="44" xfId="1" applyNumberFormat="1" applyFont="1" applyBorder="1" applyAlignment="1">
      <alignment horizontal="center" vertical="center"/>
    </xf>
    <xf numFmtId="40" fontId="3" fillId="0" borderId="5" xfId="1" applyNumberFormat="1" applyFont="1" applyBorder="1" applyAlignment="1">
      <alignment horizontal="center" vertical="center"/>
    </xf>
    <xf numFmtId="40" fontId="3" fillId="0" borderId="8" xfId="1" applyNumberFormat="1" applyFont="1" applyBorder="1" applyAlignment="1">
      <alignment horizontal="center" vertical="center"/>
    </xf>
    <xf numFmtId="0" fontId="3" fillId="0" borderId="13" xfId="0" applyFont="1" applyFill="1" applyBorder="1" applyAlignment="1">
      <alignment horizontal="center" vertical="center"/>
    </xf>
    <xf numFmtId="40" fontId="3" fillId="6" borderId="46" xfId="1" applyNumberFormat="1" applyFont="1" applyFill="1" applyBorder="1" applyAlignment="1">
      <alignment horizontal="center" vertical="center"/>
    </xf>
    <xf numFmtId="40" fontId="3" fillId="6" borderId="45" xfId="1" applyNumberFormat="1" applyFont="1" applyFill="1" applyBorder="1" applyAlignment="1">
      <alignment horizontal="center" vertical="center"/>
    </xf>
    <xf numFmtId="40" fontId="3" fillId="0" borderId="47" xfId="1" applyNumberFormat="1" applyFont="1" applyBorder="1" applyAlignment="1">
      <alignment horizontal="center" vertical="center"/>
    </xf>
    <xf numFmtId="40" fontId="3" fillId="0" borderId="43" xfId="1" applyNumberFormat="1" applyFont="1" applyBorder="1" applyAlignment="1">
      <alignment horizontal="center" vertical="center"/>
    </xf>
    <xf numFmtId="0" fontId="12" fillId="11" borderId="7" xfId="0" applyFont="1" applyFill="1" applyBorder="1">
      <alignment vertical="center"/>
    </xf>
    <xf numFmtId="0" fontId="3" fillId="11" borderId="7" xfId="0" applyFont="1" applyFill="1" applyBorder="1">
      <alignment vertical="center"/>
    </xf>
    <xf numFmtId="0" fontId="12" fillId="11" borderId="8" xfId="0" applyFont="1" applyFill="1" applyBorder="1">
      <alignment vertical="center"/>
    </xf>
    <xf numFmtId="0" fontId="3" fillId="11" borderId="8" xfId="0" applyFont="1" applyFill="1" applyBorder="1">
      <alignment vertical="center"/>
    </xf>
    <xf numFmtId="0" fontId="12" fillId="11" borderId="12" xfId="0" applyFont="1" applyFill="1" applyBorder="1">
      <alignment vertical="center"/>
    </xf>
    <xf numFmtId="0" fontId="3" fillId="11" borderId="12" xfId="0" applyFont="1" applyFill="1" applyBorder="1">
      <alignment vertical="center"/>
    </xf>
    <xf numFmtId="0" fontId="3" fillId="2" borderId="18" xfId="0" applyFont="1" applyFill="1" applyBorder="1" applyAlignment="1">
      <alignment horizontal="center" vertical="center"/>
    </xf>
    <xf numFmtId="0" fontId="3" fillId="2" borderId="48" xfId="0" applyFont="1" applyFill="1" applyBorder="1" applyAlignment="1">
      <alignment horizontal="center" vertical="center"/>
    </xf>
    <xf numFmtId="40" fontId="3" fillId="0" borderId="49" xfId="1" applyNumberFormat="1" applyFont="1" applyBorder="1" applyAlignment="1">
      <alignment horizontal="center" vertical="center"/>
    </xf>
    <xf numFmtId="0" fontId="3" fillId="0" borderId="13" xfId="0" applyFont="1" applyFill="1" applyBorder="1" applyAlignment="1">
      <alignment horizontal="center" vertical="center"/>
    </xf>
    <xf numFmtId="0" fontId="25" fillId="0" borderId="0" xfId="0" applyFont="1">
      <alignment vertical="center"/>
    </xf>
    <xf numFmtId="0" fontId="31" fillId="0" borderId="50" xfId="0" applyFont="1" applyBorder="1" applyAlignment="1">
      <alignment vertical="center"/>
    </xf>
    <xf numFmtId="0" fontId="31" fillId="0" borderId="51" xfId="0" applyFont="1" applyBorder="1" applyAlignment="1">
      <alignment vertical="center"/>
    </xf>
    <xf numFmtId="0" fontId="31" fillId="0" borderId="52" xfId="0" applyFont="1" applyBorder="1" applyAlignment="1">
      <alignment vertical="center"/>
    </xf>
    <xf numFmtId="0" fontId="31" fillId="0" borderId="53" xfId="0" applyFont="1" applyBorder="1">
      <alignment vertical="center"/>
    </xf>
    <xf numFmtId="0" fontId="17" fillId="0" borderId="54" xfId="0" applyFont="1" applyBorder="1">
      <alignment vertical="center"/>
    </xf>
    <xf numFmtId="0" fontId="17" fillId="0" borderId="55" xfId="0" applyFont="1" applyBorder="1">
      <alignment vertical="center"/>
    </xf>
    <xf numFmtId="40" fontId="3" fillId="0" borderId="56" xfId="1" applyNumberFormat="1" applyFont="1" applyBorder="1" applyAlignment="1">
      <alignment horizontal="center" vertical="center"/>
    </xf>
    <xf numFmtId="40" fontId="3" fillId="6" borderId="57" xfId="1" applyNumberFormat="1" applyFont="1" applyFill="1" applyBorder="1" applyAlignment="1">
      <alignment horizontal="center" vertical="center"/>
    </xf>
    <xf numFmtId="40" fontId="3" fillId="6" borderId="58" xfId="1" applyNumberFormat="1" applyFont="1" applyFill="1" applyBorder="1" applyAlignment="1">
      <alignment horizontal="center" vertical="center"/>
    </xf>
    <xf numFmtId="181" fontId="3" fillId="6" borderId="33" xfId="1" applyNumberFormat="1" applyFont="1" applyFill="1" applyBorder="1" applyAlignment="1">
      <alignment horizontal="center" vertical="center"/>
    </xf>
    <xf numFmtId="0" fontId="17" fillId="0" borderId="0" xfId="0" applyFont="1">
      <alignment vertical="center"/>
    </xf>
    <xf numFmtId="0" fontId="32" fillId="13" borderId="12" xfId="0" applyFont="1" applyFill="1" applyBorder="1">
      <alignment vertical="center"/>
    </xf>
    <xf numFmtId="0" fontId="33" fillId="0" borderId="0" xfId="0" applyFont="1" applyBorder="1" applyAlignment="1">
      <alignment vertical="center"/>
    </xf>
    <xf numFmtId="0" fontId="31" fillId="0" borderId="0" xfId="0" applyFont="1" applyBorder="1" applyAlignment="1">
      <alignment vertical="center"/>
    </xf>
    <xf numFmtId="0" fontId="17" fillId="0" borderId="0" xfId="0" applyFont="1" applyAlignment="1">
      <alignment vertical="center" shrinkToFit="1"/>
    </xf>
    <xf numFmtId="0" fontId="31" fillId="0" borderId="0" xfId="0" applyFont="1">
      <alignment vertical="center"/>
    </xf>
    <xf numFmtId="0" fontId="17" fillId="5" borderId="15" xfId="0" applyFont="1" applyFill="1" applyBorder="1" applyAlignment="1">
      <alignment vertical="center" wrapText="1"/>
    </xf>
    <xf numFmtId="0" fontId="17" fillId="5" borderId="13" xfId="0" applyFont="1" applyFill="1" applyBorder="1" applyAlignment="1">
      <alignment horizontal="center" vertical="center" wrapText="1"/>
    </xf>
    <xf numFmtId="0" fontId="17" fillId="0" borderId="0" xfId="0" applyFont="1" applyAlignment="1">
      <alignment horizontal="center" vertical="center"/>
    </xf>
    <xf numFmtId="40" fontId="17" fillId="0" borderId="4" xfId="1" applyNumberFormat="1" applyFont="1" applyBorder="1" applyAlignment="1">
      <alignment horizontal="center" vertical="center"/>
    </xf>
    <xf numFmtId="40" fontId="17" fillId="0" borderId="21" xfId="1" applyNumberFormat="1" applyFont="1" applyBorder="1" applyAlignment="1">
      <alignment horizontal="center" vertical="center"/>
    </xf>
    <xf numFmtId="40" fontId="17" fillId="0" borderId="23" xfId="1" applyNumberFormat="1" applyFont="1" applyBorder="1" applyAlignment="1">
      <alignment horizontal="center" vertical="center"/>
    </xf>
    <xf numFmtId="40" fontId="17" fillId="0" borderId="0" xfId="0" applyNumberFormat="1" applyFont="1">
      <alignment vertical="center"/>
    </xf>
    <xf numFmtId="0" fontId="17" fillId="0" borderId="22" xfId="0" applyFont="1" applyBorder="1" applyAlignment="1">
      <alignment vertical="center"/>
    </xf>
    <xf numFmtId="0" fontId="17" fillId="0" borderId="5" xfId="0" applyFont="1" applyBorder="1" applyAlignment="1">
      <alignment horizontal="right" vertical="center"/>
    </xf>
    <xf numFmtId="0" fontId="17" fillId="0" borderId="24" xfId="0" applyFont="1" applyBorder="1" applyAlignment="1">
      <alignment vertical="center"/>
    </xf>
    <xf numFmtId="0" fontId="17" fillId="0" borderId="10" xfId="0" applyFont="1" applyBorder="1" applyAlignment="1">
      <alignment horizontal="right" vertical="center"/>
    </xf>
    <xf numFmtId="40" fontId="17" fillId="0" borderId="9" xfId="1" applyNumberFormat="1" applyFont="1" applyBorder="1" applyAlignment="1">
      <alignment horizontal="center" vertical="center"/>
    </xf>
    <xf numFmtId="0" fontId="33" fillId="0" borderId="0" xfId="0" applyFont="1">
      <alignment vertical="center"/>
    </xf>
    <xf numFmtId="176" fontId="17" fillId="8" borderId="4" xfId="0" applyNumberFormat="1" applyFont="1" applyFill="1" applyBorder="1">
      <alignment vertical="center"/>
    </xf>
    <xf numFmtId="176" fontId="17" fillId="8" borderId="9" xfId="0" applyNumberFormat="1" applyFont="1" applyFill="1" applyBorder="1">
      <alignment vertical="center"/>
    </xf>
    <xf numFmtId="40" fontId="17" fillId="0" borderId="10" xfId="1" applyNumberFormat="1" applyFont="1" applyBorder="1" applyAlignment="1">
      <alignment horizontal="center" vertical="center"/>
    </xf>
    <xf numFmtId="0" fontId="17" fillId="6" borderId="13" xfId="0" applyFont="1" applyFill="1" applyBorder="1" applyAlignment="1">
      <alignment horizontal="right" vertical="center"/>
    </xf>
    <xf numFmtId="40" fontId="17" fillId="6" borderId="13" xfId="1" applyNumberFormat="1" applyFont="1" applyFill="1" applyBorder="1" applyAlignment="1">
      <alignment horizontal="center" vertical="center"/>
    </xf>
    <xf numFmtId="40" fontId="17" fillId="6" borderId="13" xfId="0" applyNumberFormat="1" applyFont="1" applyFill="1" applyBorder="1">
      <alignment vertical="center"/>
    </xf>
    <xf numFmtId="40" fontId="17" fillId="6" borderId="12" xfId="1" applyNumberFormat="1" applyFont="1" applyFill="1" applyBorder="1" applyAlignment="1">
      <alignment horizontal="center" vertical="center"/>
    </xf>
    <xf numFmtId="0" fontId="17" fillId="4" borderId="15" xfId="0" applyFont="1" applyFill="1" applyBorder="1" applyAlignment="1">
      <alignment vertical="center" wrapText="1"/>
    </xf>
    <xf numFmtId="0" fontId="17" fillId="4" borderId="13" xfId="0" applyFont="1" applyFill="1" applyBorder="1" applyAlignment="1">
      <alignment horizontal="center" vertical="center" wrapText="1"/>
    </xf>
    <xf numFmtId="176" fontId="17" fillId="8" borderId="4" xfId="0" quotePrefix="1" applyNumberFormat="1" applyFont="1" applyFill="1" applyBorder="1">
      <alignment vertical="center"/>
    </xf>
    <xf numFmtId="176" fontId="17" fillId="8" borderId="9" xfId="0" quotePrefix="1" applyNumberFormat="1" applyFont="1" applyFill="1" applyBorder="1">
      <alignment vertical="center"/>
    </xf>
    <xf numFmtId="0" fontId="17" fillId="0" borderId="0" xfId="0" applyFont="1" applyBorder="1" applyAlignment="1">
      <alignment horizontal="right" vertical="center"/>
    </xf>
    <xf numFmtId="40" fontId="17" fillId="0" borderId="0" xfId="1" applyNumberFormat="1" applyFont="1" applyBorder="1" applyAlignment="1">
      <alignment horizontal="center" vertical="center"/>
    </xf>
    <xf numFmtId="0" fontId="34" fillId="7" borderId="13" xfId="0" applyFont="1" applyFill="1" applyBorder="1" applyAlignment="1">
      <alignment horizontal="right" vertical="center" shrinkToFit="1"/>
    </xf>
    <xf numFmtId="40" fontId="34" fillId="7" borderId="25" xfId="0" applyNumberFormat="1" applyFont="1" applyFill="1" applyBorder="1" applyAlignment="1">
      <alignment horizontal="center" vertical="center"/>
    </xf>
    <xf numFmtId="40" fontId="34" fillId="7" borderId="26" xfId="0" applyNumberFormat="1" applyFont="1" applyFill="1" applyBorder="1" applyAlignment="1">
      <alignment horizontal="center" vertical="center"/>
    </xf>
    <xf numFmtId="0" fontId="17" fillId="0" borderId="0" xfId="0" applyFont="1" applyFill="1" applyBorder="1">
      <alignment vertical="center"/>
    </xf>
    <xf numFmtId="0" fontId="32" fillId="0" borderId="0" xfId="0" applyFont="1" applyFill="1" applyBorder="1">
      <alignment vertical="center"/>
    </xf>
    <xf numFmtId="0" fontId="35" fillId="0" borderId="0" xfId="0" applyFont="1" applyBorder="1" applyAlignment="1">
      <alignment horizontal="center" vertical="center"/>
    </xf>
    <xf numFmtId="0" fontId="35" fillId="0" borderId="0" xfId="0" applyFont="1" applyFill="1" applyBorder="1">
      <alignment vertical="center"/>
    </xf>
    <xf numFmtId="0" fontId="36" fillId="0" borderId="0" xfId="0" applyFont="1" applyFill="1" applyBorder="1" applyAlignment="1">
      <alignment horizontal="center" vertical="center"/>
    </xf>
    <xf numFmtId="0" fontId="36" fillId="0" borderId="0" xfId="0" applyFont="1" applyFill="1" applyBorder="1" applyAlignment="1">
      <alignment vertical="center"/>
    </xf>
    <xf numFmtId="0" fontId="37" fillId="0" borderId="0" xfId="0" applyFont="1" applyFill="1" applyBorder="1">
      <alignment vertical="center"/>
    </xf>
    <xf numFmtId="179" fontId="38" fillId="0" borderId="0" xfId="0" applyNumberFormat="1" applyFont="1" applyFill="1" applyBorder="1" applyAlignment="1">
      <alignment vertical="center"/>
    </xf>
    <xf numFmtId="0" fontId="35" fillId="0" borderId="0" xfId="0" applyFont="1" applyBorder="1" applyAlignment="1">
      <alignment vertical="center"/>
    </xf>
    <xf numFmtId="179" fontId="38" fillId="0" borderId="0" xfId="0" applyNumberFormat="1" applyFont="1" applyFill="1" applyBorder="1" applyAlignment="1">
      <alignment horizontal="center" vertical="center"/>
    </xf>
    <xf numFmtId="40" fontId="17" fillId="0" borderId="0" xfId="0" applyNumberFormat="1" applyFont="1" applyFill="1" applyBorder="1" applyAlignment="1">
      <alignment horizontal="center" vertical="center"/>
    </xf>
    <xf numFmtId="0" fontId="39" fillId="0" borderId="0" xfId="0" applyFont="1">
      <alignment vertical="center"/>
    </xf>
    <xf numFmtId="180" fontId="38" fillId="0" borderId="0" xfId="0" applyNumberFormat="1" applyFont="1" applyFill="1" applyBorder="1" applyAlignment="1">
      <alignment horizontal="center" vertical="center"/>
    </xf>
    <xf numFmtId="180" fontId="38" fillId="0" borderId="0" xfId="0" applyNumberFormat="1" applyFont="1" applyFill="1" applyBorder="1" applyAlignment="1">
      <alignment vertical="center"/>
    </xf>
    <xf numFmtId="2" fontId="17" fillId="0" borderId="0" xfId="0" applyNumberFormat="1" applyFont="1" applyFill="1" applyBorder="1" applyAlignment="1">
      <alignment horizontal="center" vertical="center"/>
    </xf>
    <xf numFmtId="178" fontId="17" fillId="0" borderId="0" xfId="0" applyNumberFormat="1" applyFont="1">
      <alignment vertical="center"/>
    </xf>
    <xf numFmtId="0" fontId="0" fillId="0" borderId="0" xfId="0" applyFont="1">
      <alignment vertical="center"/>
    </xf>
    <xf numFmtId="0" fontId="32" fillId="0" borderId="0" xfId="0" applyFont="1" applyBorder="1">
      <alignment vertical="center"/>
    </xf>
    <xf numFmtId="0" fontId="17" fillId="0" borderId="0" xfId="0" applyFont="1" applyBorder="1">
      <alignment vertical="center"/>
    </xf>
    <xf numFmtId="0" fontId="35" fillId="0" borderId="0" xfId="0" applyFont="1" applyBorder="1">
      <alignment vertical="center"/>
    </xf>
    <xf numFmtId="0" fontId="37" fillId="0" borderId="0" xfId="0" applyFont="1" applyBorder="1">
      <alignment vertical="center"/>
    </xf>
    <xf numFmtId="0" fontId="36" fillId="0" borderId="0" xfId="0" applyFont="1" applyBorder="1">
      <alignment vertical="center"/>
    </xf>
    <xf numFmtId="2" fontId="17" fillId="0" borderId="0" xfId="0" applyNumberFormat="1" applyFont="1" applyBorder="1">
      <alignment vertical="center"/>
    </xf>
    <xf numFmtId="40" fontId="17" fillId="0" borderId="0" xfId="0" applyNumberFormat="1" applyFont="1" applyBorder="1" applyAlignment="1">
      <alignment horizontal="center" vertical="center"/>
    </xf>
    <xf numFmtId="0" fontId="17" fillId="0" borderId="0" xfId="0" applyFont="1" applyBorder="1" applyAlignment="1">
      <alignment horizontal="center" vertical="center"/>
    </xf>
    <xf numFmtId="2" fontId="38" fillId="0" borderId="0" xfId="0" applyNumberFormat="1" applyFont="1" applyBorder="1" applyAlignment="1">
      <alignment horizontal="center" vertical="center"/>
    </xf>
    <xf numFmtId="0" fontId="0" fillId="0" borderId="0" xfId="0" applyFont="1" applyFill="1" applyBorder="1">
      <alignment vertical="center"/>
    </xf>
    <xf numFmtId="0" fontId="17" fillId="0" borderId="0" xfId="0" applyFont="1" applyFill="1">
      <alignment vertical="center"/>
    </xf>
    <xf numFmtId="0" fontId="17" fillId="3" borderId="13" xfId="0" applyFont="1" applyFill="1" applyBorder="1" applyAlignment="1">
      <alignment horizontal="center" vertical="center" wrapText="1"/>
    </xf>
    <xf numFmtId="40" fontId="32" fillId="0" borderId="4" xfId="1" applyNumberFormat="1" applyFont="1" applyFill="1" applyBorder="1" applyAlignment="1">
      <alignment horizontal="center" vertical="center"/>
    </xf>
    <xf numFmtId="0" fontId="32" fillId="0" borderId="0" xfId="0" applyFont="1" applyFill="1">
      <alignment vertical="center"/>
    </xf>
    <xf numFmtId="40" fontId="32" fillId="0" borderId="17" xfId="1" applyNumberFormat="1" applyFont="1" applyFill="1" applyBorder="1" applyAlignment="1">
      <alignment horizontal="center" vertical="center"/>
    </xf>
    <xf numFmtId="40" fontId="32" fillId="0" borderId="8" xfId="1" applyNumberFormat="1" applyFont="1" applyFill="1" applyBorder="1" applyAlignment="1">
      <alignment horizontal="center" vertical="center"/>
    </xf>
    <xf numFmtId="40" fontId="32" fillId="0" borderId="21" xfId="1" applyNumberFormat="1" applyFont="1" applyFill="1" applyBorder="1" applyAlignment="1">
      <alignment horizontal="center" vertical="center"/>
    </xf>
    <xf numFmtId="40" fontId="32" fillId="0" borderId="23" xfId="1" applyNumberFormat="1" applyFont="1" applyFill="1" applyBorder="1" applyAlignment="1">
      <alignment horizontal="center" vertical="center"/>
    </xf>
    <xf numFmtId="40" fontId="32" fillId="0" borderId="0" xfId="0" applyNumberFormat="1" applyFont="1" applyFill="1">
      <alignment vertical="center"/>
    </xf>
    <xf numFmtId="0" fontId="17" fillId="3" borderId="15" xfId="0" applyFont="1" applyFill="1" applyBorder="1" applyAlignment="1">
      <alignment vertical="center" wrapText="1"/>
    </xf>
    <xf numFmtId="0" fontId="17" fillId="3" borderId="13" xfId="0" applyFont="1" applyFill="1" applyBorder="1" applyAlignment="1">
      <alignment vertical="center" wrapText="1"/>
    </xf>
    <xf numFmtId="0" fontId="41" fillId="0" borderId="0" xfId="0" applyFont="1" applyAlignment="1">
      <alignment horizontal="right" vertical="center"/>
    </xf>
    <xf numFmtId="0" fontId="42" fillId="0" borderId="0" xfId="0" applyFont="1">
      <alignment vertical="center"/>
    </xf>
    <xf numFmtId="0" fontId="43" fillId="0" borderId="0" xfId="0" applyFont="1">
      <alignment vertical="center"/>
    </xf>
    <xf numFmtId="0" fontId="0" fillId="0" borderId="0" xfId="0" applyAlignment="1">
      <alignment horizontal="right" vertical="center"/>
    </xf>
    <xf numFmtId="0" fontId="44" fillId="0" borderId="0" xfId="0" applyFont="1">
      <alignment vertical="center"/>
    </xf>
    <xf numFmtId="0" fontId="45" fillId="0" borderId="0" xfId="0" applyFont="1" applyAlignment="1">
      <alignment horizontal="right" vertical="center"/>
    </xf>
    <xf numFmtId="0" fontId="42" fillId="14" borderId="13" xfId="0" applyFont="1" applyFill="1" applyBorder="1" applyAlignment="1">
      <alignment horizontal="center" vertical="center"/>
    </xf>
    <xf numFmtId="0" fontId="40" fillId="0" borderId="0" xfId="0" applyFont="1">
      <alignment vertical="center"/>
    </xf>
    <xf numFmtId="0" fontId="45" fillId="0" borderId="0" xfId="0" applyFont="1">
      <alignment vertical="center"/>
    </xf>
    <xf numFmtId="0" fontId="43" fillId="0" borderId="13" xfId="0" applyFont="1" applyBorder="1" applyAlignment="1">
      <alignment horizontal="center" vertical="center"/>
    </xf>
    <xf numFmtId="0" fontId="43" fillId="0" borderId="0" xfId="0" applyFont="1" applyBorder="1" applyAlignment="1">
      <alignment horizontal="center" vertical="center"/>
    </xf>
    <xf numFmtId="11" fontId="42" fillId="0" borderId="0" xfId="0" applyNumberFormat="1" applyFont="1">
      <alignment vertical="center"/>
    </xf>
    <xf numFmtId="11" fontId="43" fillId="0" borderId="0" xfId="0" applyNumberFormat="1" applyFont="1">
      <alignment vertical="center"/>
    </xf>
    <xf numFmtId="11" fontId="43" fillId="0" borderId="0" xfId="0" applyNumberFormat="1" applyFont="1" applyBorder="1" applyAlignment="1">
      <alignment horizontal="center" vertical="center"/>
    </xf>
    <xf numFmtId="11" fontId="0" fillId="0" borderId="0" xfId="0" applyNumberFormat="1">
      <alignment vertical="center"/>
    </xf>
    <xf numFmtId="11" fontId="0" fillId="0" borderId="0" xfId="0" applyNumberFormat="1" applyAlignment="1">
      <alignment vertical="center" wrapText="1"/>
    </xf>
    <xf numFmtId="0" fontId="45" fillId="0" borderId="0" xfId="0" applyFont="1" applyAlignment="1">
      <alignment vertical="center" wrapText="1"/>
    </xf>
    <xf numFmtId="0" fontId="43" fillId="0" borderId="13" xfId="0" applyFont="1" applyBorder="1" applyAlignment="1">
      <alignment horizontal="left" vertical="center" wrapText="1"/>
    </xf>
    <xf numFmtId="0" fontId="45" fillId="0" borderId="0" xfId="0" applyFont="1" applyAlignment="1">
      <alignment horizontal="left" vertical="center"/>
    </xf>
    <xf numFmtId="11" fontId="0" fillId="0" borderId="0" xfId="0" applyNumberFormat="1" applyAlignment="1">
      <alignment vertical="center"/>
    </xf>
    <xf numFmtId="0" fontId="43" fillId="0" borderId="13" xfId="0" applyFont="1" applyBorder="1" applyAlignment="1">
      <alignment horizontal="center" vertical="center" wrapText="1"/>
    </xf>
    <xf numFmtId="0" fontId="43" fillId="0" borderId="13" xfId="0" applyFont="1" applyBorder="1" applyAlignment="1">
      <alignment horizontal="left" vertical="top" wrapText="1"/>
    </xf>
    <xf numFmtId="11" fontId="0" fillId="0" borderId="0" xfId="0" applyNumberFormat="1" applyAlignment="1">
      <alignment horizontal="right" vertical="center"/>
    </xf>
    <xf numFmtId="11" fontId="44" fillId="0" borderId="0" xfId="0" applyNumberFormat="1" applyFont="1">
      <alignment vertical="center"/>
    </xf>
    <xf numFmtId="0" fontId="46" fillId="0" borderId="0" xfId="0" applyFont="1">
      <alignment vertical="center"/>
    </xf>
    <xf numFmtId="0" fontId="43" fillId="0" borderId="13" xfId="0" applyFont="1" applyFill="1" applyBorder="1" applyAlignment="1">
      <alignment horizontal="center" vertical="center"/>
    </xf>
    <xf numFmtId="40" fontId="14" fillId="7" borderId="13" xfId="0" applyNumberFormat="1" applyFont="1" applyFill="1" applyBorder="1" applyAlignment="1">
      <alignment horizontal="center" vertical="center"/>
    </xf>
    <xf numFmtId="0" fontId="25" fillId="0" borderId="0" xfId="0" applyFont="1">
      <alignment vertical="center"/>
    </xf>
    <xf numFmtId="40" fontId="3" fillId="0" borderId="4" xfId="1" applyNumberFormat="1" applyFont="1" applyBorder="1" applyAlignment="1">
      <alignment horizontal="center" vertical="center"/>
    </xf>
    <xf numFmtId="0" fontId="32" fillId="13" borderId="8" xfId="0" applyFont="1" applyFill="1" applyBorder="1">
      <alignment vertical="center"/>
    </xf>
    <xf numFmtId="0" fontId="32" fillId="13" borderId="13" xfId="0" applyFont="1" applyFill="1" applyBorder="1" applyAlignment="1">
      <alignment vertical="center" wrapText="1"/>
    </xf>
    <xf numFmtId="0" fontId="32" fillId="13" borderId="13" xfId="0" applyFont="1" applyFill="1" applyBorder="1" applyAlignment="1">
      <alignment horizontal="center" vertical="center" wrapText="1" shrinkToFit="1"/>
    </xf>
    <xf numFmtId="0" fontId="3" fillId="0" borderId="0" xfId="0" applyFont="1">
      <alignment vertical="center"/>
    </xf>
    <xf numFmtId="40" fontId="3" fillId="6" borderId="27" xfId="1" applyNumberFormat="1" applyFont="1" applyFill="1" applyBorder="1" applyAlignment="1">
      <alignment horizontal="center" vertical="center"/>
    </xf>
    <xf numFmtId="0" fontId="32" fillId="13" borderId="7" xfId="0" applyFont="1" applyFill="1" applyBorder="1">
      <alignment vertical="center"/>
    </xf>
    <xf numFmtId="0" fontId="3" fillId="0" borderId="0" xfId="0" applyFont="1">
      <alignment vertical="center"/>
    </xf>
    <xf numFmtId="0" fontId="3" fillId="0" borderId="0" xfId="0" applyFont="1">
      <alignment vertical="center"/>
    </xf>
    <xf numFmtId="0" fontId="3" fillId="13" borderId="7" xfId="0" applyFont="1" applyFill="1" applyBorder="1" applyAlignment="1">
      <alignment horizontal="center" vertical="center" shrinkToFit="1"/>
    </xf>
    <xf numFmtId="0" fontId="3" fillId="13" borderId="12" xfId="0" applyFont="1" applyFill="1" applyBorder="1" applyAlignment="1">
      <alignment horizontal="center" vertical="center" shrinkToFit="1"/>
    </xf>
    <xf numFmtId="0" fontId="0" fillId="0" borderId="0" xfId="0">
      <alignment vertical="center"/>
    </xf>
    <xf numFmtId="0" fontId="3" fillId="0" borderId="0" xfId="0" applyFont="1">
      <alignment vertical="center"/>
    </xf>
    <xf numFmtId="2" fontId="3" fillId="0" borderId="0" xfId="0" applyNumberFormat="1" applyFont="1">
      <alignment vertical="center"/>
    </xf>
    <xf numFmtId="0" fontId="3" fillId="0" borderId="0" xfId="0" applyFont="1" applyBorder="1">
      <alignment vertical="center"/>
    </xf>
    <xf numFmtId="0" fontId="32" fillId="13" borderId="8" xfId="0" applyFont="1" applyFill="1" applyBorder="1">
      <alignment vertical="center"/>
    </xf>
    <xf numFmtId="0" fontId="3" fillId="0" borderId="13" xfId="0" applyFont="1" applyFill="1" applyBorder="1" applyAlignment="1">
      <alignment horizontal="center" vertical="center"/>
    </xf>
    <xf numFmtId="0" fontId="27" fillId="0" borderId="13" xfId="0" applyFont="1" applyBorder="1" applyAlignment="1">
      <alignment horizontal="center" vertical="center"/>
    </xf>
    <xf numFmtId="0" fontId="28" fillId="0" borderId="15" xfId="0" applyFont="1" applyBorder="1" applyAlignment="1">
      <alignment horizontal="center" vertical="center"/>
    </xf>
    <xf numFmtId="0" fontId="29" fillId="0" borderId="13" xfId="0" applyFont="1" applyBorder="1" applyAlignment="1">
      <alignment horizontal="center" vertical="center"/>
    </xf>
    <xf numFmtId="40" fontId="3" fillId="0" borderId="9" xfId="1" applyNumberFormat="1" applyFont="1" applyBorder="1" applyAlignment="1">
      <alignment horizontal="center" vertical="center"/>
    </xf>
    <xf numFmtId="40" fontId="3" fillId="0" borderId="8" xfId="1" applyNumberFormat="1" applyFont="1" applyBorder="1" applyAlignment="1">
      <alignment horizontal="center" vertical="center"/>
    </xf>
    <xf numFmtId="40" fontId="17" fillId="9" borderId="15" xfId="0" applyNumberFormat="1" applyFont="1" applyFill="1" applyBorder="1" applyAlignment="1">
      <alignment horizontal="center" vertical="center"/>
    </xf>
    <xf numFmtId="40" fontId="17" fillId="9" borderId="13" xfId="0" applyNumberFormat="1" applyFont="1" applyFill="1" applyBorder="1" applyAlignment="1">
      <alignment horizontal="center" vertical="center"/>
    </xf>
    <xf numFmtId="2" fontId="17" fillId="9" borderId="13" xfId="0" applyNumberFormat="1" applyFont="1" applyFill="1" applyBorder="1" applyAlignment="1">
      <alignment horizontal="center" vertical="center"/>
    </xf>
    <xf numFmtId="2" fontId="17" fillId="12" borderId="13" xfId="0" applyNumberFormat="1" applyFont="1" applyFill="1" applyBorder="1" applyAlignment="1">
      <alignment horizontal="center" vertical="center"/>
    </xf>
    <xf numFmtId="40" fontId="32" fillId="15" borderId="0" xfId="0" applyNumberFormat="1" applyFont="1" applyFill="1">
      <alignment vertical="center"/>
    </xf>
    <xf numFmtId="0" fontId="3" fillId="2" borderId="14" xfId="0" applyFont="1" applyFill="1" applyBorder="1" applyAlignment="1">
      <alignment horizontal="center" vertical="center"/>
    </xf>
    <xf numFmtId="0" fontId="49" fillId="0" borderId="0" xfId="0" applyFont="1">
      <alignment vertical="center"/>
    </xf>
    <xf numFmtId="40" fontId="17" fillId="0" borderId="7" xfId="1" applyNumberFormat="1" applyFont="1" applyBorder="1" applyAlignment="1">
      <alignment horizontal="center" vertical="center"/>
    </xf>
    <xf numFmtId="0" fontId="51" fillId="0" borderId="51" xfId="0" applyFont="1" applyBorder="1" applyAlignment="1">
      <alignment vertical="center"/>
    </xf>
    <xf numFmtId="0" fontId="51" fillId="0" borderId="52" xfId="0" applyFont="1" applyBorder="1" applyAlignment="1">
      <alignment vertical="center"/>
    </xf>
    <xf numFmtId="0" fontId="48" fillId="0" borderId="54" xfId="0" applyFont="1" applyBorder="1">
      <alignment vertical="center"/>
    </xf>
    <xf numFmtId="0" fontId="48" fillId="0" borderId="55" xfId="0" applyFont="1" applyBorder="1">
      <alignment vertical="center"/>
    </xf>
    <xf numFmtId="40" fontId="3" fillId="0" borderId="59" xfId="1" applyNumberFormat="1" applyFont="1" applyBorder="1" applyAlignment="1">
      <alignment horizontal="center" vertical="center"/>
    </xf>
    <xf numFmtId="40" fontId="3" fillId="0" borderId="6" xfId="1" quotePrefix="1" applyNumberFormat="1" applyFont="1" applyBorder="1" applyAlignment="1">
      <alignment horizontal="center" vertical="center"/>
    </xf>
    <xf numFmtId="40" fontId="3" fillId="0" borderId="60" xfId="1" applyNumberFormat="1" applyFont="1" applyBorder="1" applyAlignment="1">
      <alignment horizontal="center" vertical="center"/>
    </xf>
    <xf numFmtId="40" fontId="3" fillId="0" borderId="61" xfId="1" applyNumberFormat="1" applyFont="1" applyBorder="1" applyAlignment="1">
      <alignment horizontal="center" vertical="center"/>
    </xf>
    <xf numFmtId="0" fontId="3" fillId="0" borderId="0" xfId="0" applyFont="1" applyBorder="1" applyAlignment="1">
      <alignment horizontal="center" vertical="center"/>
    </xf>
    <xf numFmtId="179" fontId="30" fillId="0" borderId="13" xfId="0" applyNumberFormat="1" applyFont="1" applyBorder="1">
      <alignment vertical="center"/>
    </xf>
    <xf numFmtId="0" fontId="9" fillId="0" borderId="50" xfId="0" applyFont="1" applyBorder="1" applyAlignment="1">
      <alignment vertical="center"/>
    </xf>
    <xf numFmtId="0" fontId="9" fillId="0" borderId="51" xfId="0" applyFont="1" applyBorder="1" applyAlignment="1">
      <alignment vertical="center"/>
    </xf>
    <xf numFmtId="0" fontId="9" fillId="0" borderId="53" xfId="0" applyFont="1" applyBorder="1">
      <alignment vertical="center"/>
    </xf>
    <xf numFmtId="179" fontId="30" fillId="0" borderId="0" xfId="0" applyNumberFormat="1" applyFont="1" applyFill="1" applyBorder="1" applyAlignment="1">
      <alignment vertical="center"/>
    </xf>
    <xf numFmtId="0" fontId="3" fillId="0" borderId="43" xfId="0" applyFont="1" applyBorder="1">
      <alignment vertical="center"/>
    </xf>
    <xf numFmtId="40" fontId="3" fillId="6" borderId="7" xfId="1" applyNumberFormat="1" applyFont="1" applyFill="1" applyBorder="1" applyAlignment="1">
      <alignment horizontal="center" vertical="center"/>
    </xf>
    <xf numFmtId="0" fontId="3" fillId="0" borderId="0" xfId="0" applyFont="1" applyFill="1" applyBorder="1">
      <alignment vertical="center"/>
    </xf>
    <xf numFmtId="0" fontId="21" fillId="0" borderId="0" xfId="0" applyFont="1" applyFill="1" applyBorder="1">
      <alignment vertical="center"/>
    </xf>
    <xf numFmtId="2" fontId="3" fillId="0" borderId="0" xfId="0" applyNumberFormat="1" applyFont="1" applyFill="1" applyBorder="1">
      <alignment vertical="center"/>
    </xf>
    <xf numFmtId="0" fontId="20" fillId="0" borderId="0" xfId="0" applyFont="1" applyFill="1" applyBorder="1">
      <alignment vertical="center"/>
    </xf>
    <xf numFmtId="0" fontId="23" fillId="0" borderId="0" xfId="0" applyFont="1" applyFill="1" applyBorder="1">
      <alignment vertical="center"/>
    </xf>
    <xf numFmtId="0" fontId="12" fillId="0" borderId="0" xfId="0" applyFont="1" applyFill="1" applyBorder="1">
      <alignment vertical="center"/>
    </xf>
    <xf numFmtId="0" fontId="0" fillId="0" borderId="0" xfId="0" applyFill="1" applyBorder="1">
      <alignment vertical="center"/>
    </xf>
    <xf numFmtId="14" fontId="26" fillId="0" borderId="0" xfId="0" quotePrefix="1" applyNumberFormat="1" applyFont="1" applyFill="1" applyBorder="1" applyAlignment="1">
      <alignment horizontal="left" vertical="center"/>
    </xf>
    <xf numFmtId="0" fontId="27" fillId="0" borderId="0" xfId="0" applyFont="1" applyFill="1" applyBorder="1" applyAlignment="1">
      <alignment horizontal="center" vertical="center"/>
    </xf>
    <xf numFmtId="0" fontId="28" fillId="0" borderId="0" xfId="0" applyFont="1" applyFill="1" applyBorder="1" applyAlignment="1">
      <alignment horizontal="center" vertical="center"/>
    </xf>
    <xf numFmtId="0" fontId="29" fillId="0" borderId="0" xfId="0" applyFont="1" applyFill="1" applyBorder="1" applyAlignment="1">
      <alignment horizontal="center" vertical="center"/>
    </xf>
    <xf numFmtId="0" fontId="52" fillId="0" borderId="0" xfId="0" applyFont="1" applyFill="1" applyBorder="1" applyAlignment="1">
      <alignment horizontal="center" vertical="center"/>
    </xf>
    <xf numFmtId="0" fontId="52" fillId="0" borderId="0" xfId="0" applyFont="1" applyFill="1" applyBorder="1" applyAlignment="1">
      <alignment horizontal="left" vertical="center"/>
    </xf>
    <xf numFmtId="2" fontId="22" fillId="0" borderId="0" xfId="0" applyNumberFormat="1" applyFont="1" applyFill="1" applyBorder="1" applyAlignment="1">
      <alignment vertical="center"/>
    </xf>
    <xf numFmtId="0" fontId="3" fillId="0" borderId="0" xfId="0" applyFont="1" applyFill="1" applyBorder="1" applyAlignment="1">
      <alignment horizontal="center" vertical="center"/>
    </xf>
    <xf numFmtId="2" fontId="3" fillId="0" borderId="0" xfId="0" applyNumberFormat="1" applyFont="1" applyFill="1" applyBorder="1" applyAlignment="1">
      <alignment horizontal="center" vertical="center"/>
    </xf>
    <xf numFmtId="40" fontId="3" fillId="0" borderId="7" xfId="1" applyNumberFormat="1" applyFont="1" applyBorder="1" applyAlignment="1">
      <alignment horizontal="center" vertical="center"/>
    </xf>
    <xf numFmtId="40" fontId="3" fillId="0" borderId="12" xfId="1" applyNumberFormat="1" applyFont="1" applyBorder="1" applyAlignment="1">
      <alignment horizontal="center" vertical="center"/>
    </xf>
    <xf numFmtId="0" fontId="0" fillId="16" borderId="13" xfId="0" applyFill="1" applyBorder="1">
      <alignment vertical="center"/>
    </xf>
    <xf numFmtId="0" fontId="53" fillId="16" borderId="13" xfId="0" applyFont="1" applyFill="1" applyBorder="1" applyAlignment="1">
      <alignment horizontal="center" vertical="center" wrapText="1" readingOrder="1"/>
    </xf>
    <xf numFmtId="0" fontId="0" fillId="0" borderId="12" xfId="0" applyBorder="1">
      <alignment vertical="center"/>
    </xf>
    <xf numFmtId="2" fontId="0" fillId="0" borderId="12" xfId="0" applyNumberFormat="1" applyBorder="1">
      <alignment vertical="center"/>
    </xf>
    <xf numFmtId="0" fontId="31" fillId="0" borderId="15" xfId="0" applyFont="1" applyBorder="1">
      <alignment vertical="center"/>
    </xf>
    <xf numFmtId="0" fontId="0" fillId="0" borderId="16" xfId="0" applyBorder="1">
      <alignment vertical="center"/>
    </xf>
    <xf numFmtId="0" fontId="0" fillId="0" borderId="13" xfId="0" applyBorder="1">
      <alignment vertical="center"/>
    </xf>
    <xf numFmtId="2" fontId="0" fillId="0" borderId="13" xfId="0" applyNumberFormat="1" applyBorder="1">
      <alignment vertical="center"/>
    </xf>
    <xf numFmtId="0" fontId="54" fillId="17" borderId="43" xfId="0" applyFont="1" applyFill="1" applyBorder="1">
      <alignment vertical="center"/>
    </xf>
    <xf numFmtId="0" fontId="54" fillId="17" borderId="0" xfId="0" applyFont="1" applyFill="1">
      <alignment vertical="center"/>
    </xf>
    <xf numFmtId="182" fontId="54" fillId="17" borderId="0" xfId="0" applyNumberFormat="1" applyFont="1" applyFill="1">
      <alignment vertical="center"/>
    </xf>
    <xf numFmtId="0" fontId="54" fillId="0" borderId="0" xfId="0" applyFont="1">
      <alignment vertical="center"/>
    </xf>
    <xf numFmtId="0" fontId="55" fillId="17" borderId="43" xfId="0" applyFont="1" applyFill="1" applyBorder="1">
      <alignment vertical="center"/>
    </xf>
    <xf numFmtId="0" fontId="44" fillId="0" borderId="15" xfId="0" applyFont="1" applyBorder="1">
      <alignment vertical="center"/>
    </xf>
    <xf numFmtId="0" fontId="4" fillId="0" borderId="16" xfId="0" applyFont="1" applyBorder="1">
      <alignment vertical="center"/>
    </xf>
    <xf numFmtId="0" fontId="4" fillId="0" borderId="19" xfId="0" applyFont="1" applyBorder="1">
      <alignment vertical="center"/>
    </xf>
    <xf numFmtId="0" fontId="4" fillId="0" borderId="13" xfId="0" applyFont="1" applyBorder="1">
      <alignment vertical="center"/>
    </xf>
    <xf numFmtId="0" fontId="4" fillId="0" borderId="15" xfId="0" applyFont="1" applyBorder="1">
      <alignment vertical="center"/>
    </xf>
    <xf numFmtId="9" fontId="56" fillId="18" borderId="13" xfId="0" applyNumberFormat="1" applyFont="1" applyFill="1" applyBorder="1" applyAlignment="1">
      <alignment horizontal="center" vertical="center" wrapText="1" readingOrder="1"/>
    </xf>
    <xf numFmtId="2" fontId="0" fillId="9" borderId="0" xfId="0" applyNumberFormat="1" applyFill="1">
      <alignment vertical="center"/>
    </xf>
    <xf numFmtId="0" fontId="0" fillId="0" borderId="0" xfId="0" applyAlignment="1">
      <alignment vertical="center" wrapText="1"/>
    </xf>
    <xf numFmtId="0" fontId="58" fillId="0" borderId="0" xfId="0" applyFont="1" applyAlignment="1">
      <alignment horizontal="left" vertical="center"/>
    </xf>
    <xf numFmtId="0" fontId="51" fillId="0" borderId="42" xfId="0" applyFont="1" applyBorder="1" applyAlignment="1">
      <alignment vertical="center"/>
    </xf>
    <xf numFmtId="0" fontId="3" fillId="0" borderId="62" xfId="0" applyFont="1" applyBorder="1">
      <alignment vertical="center"/>
    </xf>
    <xf numFmtId="0" fontId="3" fillId="0" borderId="42" xfId="0" applyFont="1" applyBorder="1">
      <alignment vertical="center"/>
    </xf>
    <xf numFmtId="0" fontId="3" fillId="0" borderId="63" xfId="0" applyFont="1" applyBorder="1">
      <alignment vertical="center"/>
    </xf>
    <xf numFmtId="0" fontId="59" fillId="0" borderId="0" xfId="0" applyFont="1" applyAlignment="1">
      <alignment horizontal="left" vertical="center"/>
    </xf>
    <xf numFmtId="0" fontId="3" fillId="0" borderId="64" xfId="0" applyFont="1" applyBorder="1">
      <alignment vertical="center"/>
    </xf>
    <xf numFmtId="40" fontId="3" fillId="6" borderId="48" xfId="0" applyNumberFormat="1" applyFont="1" applyFill="1" applyBorder="1">
      <alignment vertical="center"/>
    </xf>
    <xf numFmtId="0" fontId="3" fillId="0" borderId="64" xfId="0" applyFont="1" applyBorder="1" applyAlignment="1">
      <alignment horizontal="center" vertical="center"/>
    </xf>
    <xf numFmtId="0" fontId="3" fillId="13" borderId="7" xfId="0" applyFont="1" applyFill="1" applyBorder="1" applyAlignment="1">
      <alignment horizontal="center" vertical="center" shrinkToFit="1"/>
    </xf>
    <xf numFmtId="0" fontId="3" fillId="13" borderId="12" xfId="0" applyFont="1" applyFill="1" applyBorder="1" applyAlignment="1">
      <alignment horizontal="center" vertical="center" shrinkToFit="1"/>
    </xf>
    <xf numFmtId="0" fontId="19" fillId="13" borderId="7" xfId="0" applyFont="1" applyFill="1" applyBorder="1" applyAlignment="1">
      <alignment horizontal="left" vertical="center" wrapText="1"/>
    </xf>
    <xf numFmtId="0" fontId="19" fillId="13" borderId="12" xfId="0" applyFont="1" applyFill="1" applyBorder="1" applyAlignment="1">
      <alignment horizontal="left" vertical="center"/>
    </xf>
    <xf numFmtId="0" fontId="19" fillId="13" borderId="7" xfId="0" quotePrefix="1" applyFont="1" applyFill="1" applyBorder="1" applyAlignment="1">
      <alignment horizontal="left" vertical="center" wrapText="1"/>
    </xf>
    <xf numFmtId="9" fontId="3" fillId="0" borderId="7" xfId="2" applyFont="1" applyFill="1" applyBorder="1" applyAlignment="1">
      <alignment horizontal="center" vertical="center"/>
    </xf>
    <xf numFmtId="9" fontId="3" fillId="0" borderId="12" xfId="2" applyFont="1" applyFill="1" applyBorder="1" applyAlignment="1">
      <alignment horizontal="center" vertical="center"/>
    </xf>
    <xf numFmtId="176" fontId="3" fillId="0" borderId="7" xfId="0" applyNumberFormat="1" applyFont="1" applyFill="1" applyBorder="1" applyAlignment="1">
      <alignment horizontal="center" vertical="center"/>
    </xf>
    <xf numFmtId="176" fontId="3" fillId="0" borderId="12" xfId="0" applyNumberFormat="1" applyFont="1" applyFill="1" applyBorder="1" applyAlignment="1">
      <alignment horizontal="center" vertical="center"/>
    </xf>
    <xf numFmtId="0" fontId="3" fillId="0" borderId="7" xfId="0" applyFont="1" applyFill="1" applyBorder="1" applyAlignment="1">
      <alignment horizontal="left" vertical="center"/>
    </xf>
    <xf numFmtId="0" fontId="3" fillId="0" borderId="12" xfId="0" applyFont="1" applyFill="1" applyBorder="1" applyAlignment="1">
      <alignment horizontal="left" vertical="center"/>
    </xf>
    <xf numFmtId="0" fontId="3" fillId="0" borderId="7" xfId="0" applyFont="1" applyFill="1" applyBorder="1" applyAlignment="1">
      <alignment horizontal="left" vertical="center" wrapText="1"/>
    </xf>
    <xf numFmtId="0" fontId="3" fillId="0" borderId="12" xfId="0" applyFont="1" applyFill="1" applyBorder="1" applyAlignment="1">
      <alignment horizontal="left" vertical="center" wrapText="1"/>
    </xf>
    <xf numFmtId="0" fontId="17" fillId="13" borderId="13" xfId="0" applyFont="1" applyFill="1" applyBorder="1">
      <alignment vertical="center"/>
    </xf>
    <xf numFmtId="14" fontId="17" fillId="13" borderId="13" xfId="0" applyNumberFormat="1" applyFont="1" applyFill="1" applyBorder="1" applyAlignment="1">
      <alignment horizontal="center" vertical="center" wrapText="1"/>
    </xf>
    <xf numFmtId="0" fontId="3" fillId="0" borderId="0" xfId="0" applyFont="1" applyAlignment="1">
      <alignment horizontal="left" vertical="center"/>
    </xf>
    <xf numFmtId="0" fontId="32" fillId="13" borderId="7" xfId="0" applyFont="1" applyFill="1" applyBorder="1" applyAlignment="1">
      <alignment vertical="center" wrapText="1"/>
    </xf>
    <xf numFmtId="0" fontId="32" fillId="13" borderId="12" xfId="0" applyFont="1" applyFill="1" applyBorder="1" applyAlignment="1">
      <alignment vertical="center" wrapText="1"/>
    </xf>
    <xf numFmtId="0" fontId="32" fillId="13" borderId="0" xfId="0" applyFont="1" applyFill="1" applyBorder="1" applyAlignment="1">
      <alignment vertical="center" wrapText="1"/>
    </xf>
    <xf numFmtId="0" fontId="32" fillId="13" borderId="8" xfId="0" applyFont="1" applyFill="1" applyBorder="1" applyAlignment="1">
      <alignment vertical="center" wrapText="1"/>
    </xf>
    <xf numFmtId="0" fontId="3" fillId="0" borderId="0" xfId="0" applyFont="1" applyAlignment="1">
      <alignment vertical="center" wrapText="1"/>
    </xf>
    <xf numFmtId="0" fontId="32" fillId="13" borderId="13" xfId="0" applyFont="1" applyFill="1" applyBorder="1" applyAlignment="1">
      <alignment vertical="center" wrapText="1" shrinkToFit="1"/>
    </xf>
    <xf numFmtId="0" fontId="32" fillId="13" borderId="0" xfId="0" applyFont="1" applyFill="1" applyBorder="1">
      <alignment vertical="center"/>
    </xf>
    <xf numFmtId="14" fontId="3" fillId="13" borderId="13" xfId="0" applyNumberFormat="1" applyFont="1" applyFill="1" applyBorder="1" applyAlignment="1">
      <alignment horizontal="left" vertical="center" wrapText="1"/>
    </xf>
    <xf numFmtId="14" fontId="17" fillId="13" borderId="7" xfId="0" applyNumberFormat="1" applyFont="1" applyFill="1" applyBorder="1" applyAlignment="1">
      <alignment vertical="center"/>
    </xf>
    <xf numFmtId="0" fontId="32" fillId="13" borderId="1" xfId="0" applyFont="1" applyFill="1" applyBorder="1">
      <alignment vertical="center"/>
    </xf>
    <xf numFmtId="0" fontId="61" fillId="0" borderId="0" xfId="0" applyFont="1" applyAlignment="1">
      <alignment horizontal="left" vertical="center"/>
    </xf>
    <xf numFmtId="14" fontId="17" fillId="13" borderId="13" xfId="0" applyNumberFormat="1" applyFont="1" applyFill="1" applyBorder="1" applyAlignment="1">
      <alignment horizontal="center" vertical="center"/>
    </xf>
    <xf numFmtId="14" fontId="17" fillId="13" borderId="8" xfId="0" applyNumberFormat="1" applyFont="1" applyFill="1" applyBorder="1" applyAlignment="1">
      <alignment horizontal="center" vertical="center"/>
    </xf>
    <xf numFmtId="14" fontId="17" fillId="13" borderId="7" xfId="0" applyNumberFormat="1" applyFont="1" applyFill="1" applyBorder="1" applyAlignment="1">
      <alignment horizontal="center" vertical="center"/>
    </xf>
    <xf numFmtId="14" fontId="17" fillId="13" borderId="12" xfId="0" applyNumberFormat="1" applyFont="1" applyFill="1" applyBorder="1" applyAlignment="1">
      <alignment horizontal="center" vertical="center"/>
    </xf>
    <xf numFmtId="0" fontId="17" fillId="13" borderId="12" xfId="0" applyFont="1" applyFill="1" applyBorder="1" applyAlignment="1">
      <alignment horizontal="center" vertical="center"/>
    </xf>
    <xf numFmtId="2" fontId="22" fillId="0" borderId="0" xfId="0" applyNumberFormat="1" applyFont="1" applyFill="1" applyBorder="1" applyAlignment="1">
      <alignment horizontal="center" vertical="center"/>
    </xf>
    <xf numFmtId="0" fontId="32" fillId="13" borderId="43" xfId="0" applyFont="1" applyFill="1" applyBorder="1">
      <alignment vertical="center"/>
    </xf>
    <xf numFmtId="0" fontId="32" fillId="13" borderId="3" xfId="0" applyFont="1" applyFill="1" applyBorder="1">
      <alignment vertical="center"/>
    </xf>
    <xf numFmtId="0" fontId="62" fillId="0" borderId="51" xfId="0" applyFont="1" applyBorder="1" applyAlignment="1">
      <alignment vertical="center"/>
    </xf>
    <xf numFmtId="0" fontId="62" fillId="0" borderId="50" xfId="0" applyFont="1" applyBorder="1" applyAlignment="1">
      <alignment vertical="center"/>
    </xf>
    <xf numFmtId="0" fontId="62" fillId="0" borderId="53" xfId="0" applyFont="1" applyBorder="1">
      <alignment vertical="center"/>
    </xf>
    <xf numFmtId="0" fontId="3" fillId="0" borderId="60" xfId="0" applyFont="1" applyBorder="1">
      <alignment vertical="center"/>
    </xf>
    <xf numFmtId="0" fontId="32" fillId="13" borderId="17" xfId="0" applyFont="1" applyFill="1" applyBorder="1">
      <alignment vertical="center"/>
    </xf>
    <xf numFmtId="9" fontId="56" fillId="9" borderId="0" xfId="0" applyNumberFormat="1" applyFont="1" applyFill="1" applyAlignment="1">
      <alignment horizontal="center" vertical="center" wrapText="1" readingOrder="1"/>
    </xf>
    <xf numFmtId="2" fontId="63" fillId="0" borderId="13" xfId="0" applyNumberFormat="1" applyFont="1" applyBorder="1">
      <alignment vertical="center"/>
    </xf>
    <xf numFmtId="0" fontId="64" fillId="0" borderId="0" xfId="0" applyFont="1">
      <alignment vertical="center"/>
    </xf>
    <xf numFmtId="0" fontId="8" fillId="0" borderId="65" xfId="0" applyFont="1" applyBorder="1" applyAlignment="1">
      <alignment vertical="center"/>
    </xf>
    <xf numFmtId="14" fontId="17" fillId="13" borderId="8" xfId="0" applyNumberFormat="1" applyFont="1" applyFill="1" applyBorder="1" applyAlignment="1">
      <alignment horizontal="center" vertical="center"/>
    </xf>
    <xf numFmtId="14" fontId="17" fillId="13" borderId="13" xfId="0" applyNumberFormat="1" applyFont="1" applyFill="1" applyBorder="1" applyAlignment="1">
      <alignment horizontal="center" vertical="center"/>
    </xf>
    <xf numFmtId="14" fontId="17" fillId="13" borderId="13" xfId="0" applyNumberFormat="1" applyFont="1" applyFill="1" applyBorder="1" applyAlignment="1">
      <alignment horizontal="center" vertical="center"/>
    </xf>
    <xf numFmtId="14" fontId="17" fillId="13" borderId="13" xfId="0" applyNumberFormat="1" applyFont="1" applyFill="1" applyBorder="1" applyAlignment="1">
      <alignment vertical="center"/>
    </xf>
    <xf numFmtId="0" fontId="17" fillId="13" borderId="13" xfId="0" applyFont="1" applyFill="1" applyBorder="1" applyAlignment="1">
      <alignment vertical="center"/>
    </xf>
    <xf numFmtId="14" fontId="17" fillId="13" borderId="13" xfId="0" applyNumberFormat="1" applyFont="1" applyFill="1" applyBorder="1" applyAlignment="1">
      <alignment horizontal="center" vertical="center"/>
    </xf>
    <xf numFmtId="14" fontId="17" fillId="13" borderId="13" xfId="0" applyNumberFormat="1" applyFont="1" applyFill="1" applyBorder="1" applyAlignment="1">
      <alignment horizontal="center" vertical="center"/>
    </xf>
    <xf numFmtId="0" fontId="17" fillId="0" borderId="18" xfId="0" applyFont="1" applyBorder="1" applyAlignment="1">
      <alignment horizontal="center" vertical="center"/>
    </xf>
    <xf numFmtId="0" fontId="17" fillId="0" borderId="15" xfId="0" applyFont="1" applyBorder="1" applyAlignment="1">
      <alignment horizontal="left" vertical="center"/>
    </xf>
    <xf numFmtId="0" fontId="17" fillId="0" borderId="18" xfId="0" applyFont="1" applyBorder="1" applyAlignment="1">
      <alignment horizontal="left" vertical="center"/>
    </xf>
    <xf numFmtId="14" fontId="26" fillId="0" borderId="15" xfId="0" quotePrefix="1" applyNumberFormat="1" applyFont="1" applyBorder="1" applyAlignment="1">
      <alignment horizontal="left" vertical="center"/>
    </xf>
    <xf numFmtId="14" fontId="26" fillId="0" borderId="18" xfId="0" applyNumberFormat="1" applyFont="1" applyBorder="1" applyAlignment="1">
      <alignment horizontal="left" vertical="center"/>
    </xf>
    <xf numFmtId="0" fontId="17" fillId="0" borderId="18" xfId="0" applyFont="1" applyBorder="1" applyAlignment="1">
      <alignment horizontal="center" vertical="center"/>
    </xf>
    <xf numFmtId="0" fontId="17" fillId="0" borderId="15" xfId="0" applyFont="1" applyBorder="1" applyAlignment="1">
      <alignment horizontal="left" vertical="center"/>
    </xf>
    <xf numFmtId="0" fontId="17" fillId="0" borderId="18" xfId="0" applyFont="1" applyBorder="1" applyAlignment="1">
      <alignment horizontal="left" vertical="center"/>
    </xf>
    <xf numFmtId="14" fontId="26" fillId="0" borderId="18" xfId="0" applyNumberFormat="1" applyFont="1" applyBorder="1" applyAlignment="1">
      <alignment horizontal="left" vertical="center"/>
    </xf>
    <xf numFmtId="14" fontId="17" fillId="13" borderId="13" xfId="0" applyNumberFormat="1" applyFont="1" applyFill="1" applyBorder="1" applyAlignment="1">
      <alignment horizontal="center" vertical="center"/>
    </xf>
    <xf numFmtId="40" fontId="32" fillId="9" borderId="0" xfId="0" applyNumberFormat="1" applyFont="1" applyFill="1">
      <alignment vertical="center"/>
    </xf>
    <xf numFmtId="14" fontId="17" fillId="13" borderId="13" xfId="0" applyNumberFormat="1" applyFont="1" applyFill="1" applyBorder="1" applyAlignment="1">
      <alignment horizontal="center" vertical="center"/>
    </xf>
    <xf numFmtId="14" fontId="17" fillId="13" borderId="13" xfId="0" applyNumberFormat="1" applyFont="1" applyFill="1" applyBorder="1" applyAlignment="1">
      <alignment horizontal="center" vertical="center"/>
    </xf>
    <xf numFmtId="0" fontId="17" fillId="13" borderId="12" xfId="0" applyFont="1" applyFill="1" applyBorder="1" applyAlignment="1">
      <alignment vertical="center"/>
    </xf>
    <xf numFmtId="14" fontId="17" fillId="13" borderId="13" xfId="0" applyNumberFormat="1" applyFont="1" applyFill="1" applyBorder="1" applyAlignment="1">
      <alignment horizontal="center" vertical="center"/>
    </xf>
    <xf numFmtId="0" fontId="65" fillId="0" borderId="0" xfId="0" applyFont="1">
      <alignment vertical="center"/>
    </xf>
    <xf numFmtId="0" fontId="17" fillId="0" borderId="18" xfId="0" applyFont="1" applyBorder="1" applyAlignment="1">
      <alignment horizontal="center" vertical="center"/>
    </xf>
    <xf numFmtId="0" fontId="17" fillId="0" borderId="15" xfId="0" applyFont="1" applyBorder="1" applyAlignment="1">
      <alignment horizontal="left" vertical="center"/>
    </xf>
    <xf numFmtId="0" fontId="17" fillId="0" borderId="18" xfId="0" applyFont="1" applyBorder="1" applyAlignment="1">
      <alignment horizontal="left" vertical="center"/>
    </xf>
    <xf numFmtId="14" fontId="26" fillId="0" borderId="15" xfId="0" quotePrefix="1" applyNumberFormat="1" applyFont="1" applyBorder="1" applyAlignment="1">
      <alignment horizontal="left" vertical="center"/>
    </xf>
    <xf numFmtId="14" fontId="26" fillId="0" borderId="18" xfId="0" applyNumberFormat="1" applyFont="1" applyBorder="1" applyAlignment="1">
      <alignment horizontal="left" vertical="center"/>
    </xf>
    <xf numFmtId="14" fontId="26" fillId="0" borderId="15" xfId="0" quotePrefix="1" applyNumberFormat="1" applyFont="1" applyBorder="1" applyAlignment="1">
      <alignment horizontal="left" vertical="center"/>
    </xf>
    <xf numFmtId="0" fontId="43" fillId="0" borderId="7" xfId="0" applyFont="1" applyBorder="1" applyAlignment="1">
      <alignment horizontal="center" vertical="center" wrapText="1"/>
    </xf>
    <xf numFmtId="0" fontId="43" fillId="0" borderId="8" xfId="0" applyFont="1" applyBorder="1" applyAlignment="1">
      <alignment horizontal="center" vertical="center" wrapText="1"/>
    </xf>
    <xf numFmtId="0" fontId="43" fillId="0" borderId="12" xfId="0" applyFont="1" applyBorder="1" applyAlignment="1">
      <alignment horizontal="center" vertical="center" wrapText="1"/>
    </xf>
    <xf numFmtId="0" fontId="43" fillId="0" borderId="7" xfId="0" applyFont="1" applyBorder="1" applyAlignment="1">
      <alignment horizontal="left" vertical="center" wrapText="1"/>
    </xf>
    <xf numFmtId="0" fontId="43" fillId="0" borderId="8" xfId="0" applyFont="1" applyBorder="1" applyAlignment="1">
      <alignment horizontal="left" vertical="center" wrapText="1"/>
    </xf>
    <xf numFmtId="0" fontId="43" fillId="0" borderId="12" xfId="0" applyFont="1" applyBorder="1" applyAlignment="1">
      <alignment horizontal="left" vertical="center" wrapText="1"/>
    </xf>
    <xf numFmtId="0" fontId="42" fillId="14" borderId="13" xfId="0" applyFont="1" applyFill="1" applyBorder="1" applyAlignment="1">
      <alignment horizontal="center" vertical="center"/>
    </xf>
    <xf numFmtId="0" fontId="43" fillId="0" borderId="13" xfId="0" applyFont="1" applyBorder="1" applyAlignment="1">
      <alignment horizontal="center" vertical="center"/>
    </xf>
    <xf numFmtId="0" fontId="43" fillId="0" borderId="13" xfId="0" applyFont="1" applyBorder="1" applyAlignment="1">
      <alignment horizontal="left" vertical="center" wrapText="1"/>
    </xf>
    <xf numFmtId="0" fontId="43" fillId="0" borderId="13" xfId="0" applyFont="1" applyBorder="1" applyAlignment="1">
      <alignment horizontal="center" vertical="center" wrapText="1"/>
    </xf>
    <xf numFmtId="0" fontId="45" fillId="0" borderId="42" xfId="0" applyFont="1" applyBorder="1" applyAlignment="1">
      <alignment horizontal="left" vertical="top" wrapText="1"/>
    </xf>
    <xf numFmtId="0" fontId="43" fillId="0" borderId="13" xfId="0" applyFont="1" applyBorder="1" applyAlignment="1">
      <alignment horizontal="left" vertical="center"/>
    </xf>
    <xf numFmtId="0" fontId="43" fillId="0" borderId="12" xfId="0" applyFont="1" applyBorder="1" applyAlignment="1">
      <alignment horizontal="center" vertical="center"/>
    </xf>
    <xf numFmtId="0" fontId="43" fillId="0" borderId="13" xfId="0" applyFont="1" applyBorder="1" applyAlignment="1">
      <alignment horizontal="left" vertical="top" wrapText="1"/>
    </xf>
    <xf numFmtId="0" fontId="43" fillId="0" borderId="0" xfId="0" applyFont="1" applyBorder="1" applyAlignment="1">
      <alignment horizontal="center" vertical="center"/>
    </xf>
    <xf numFmtId="0" fontId="19" fillId="13" borderId="7" xfId="0" applyFont="1" applyFill="1" applyBorder="1" applyAlignment="1">
      <alignment horizontal="left" vertical="center" wrapText="1"/>
    </xf>
    <xf numFmtId="0" fontId="19" fillId="13" borderId="12" xfId="0" applyFont="1" applyFill="1" applyBorder="1" applyAlignment="1">
      <alignment horizontal="left" vertical="center"/>
    </xf>
    <xf numFmtId="40" fontId="32" fillId="13" borderId="7" xfId="1" applyNumberFormat="1" applyFont="1" applyFill="1" applyBorder="1" applyAlignment="1">
      <alignment horizontal="center" vertical="center"/>
    </xf>
    <xf numFmtId="40" fontId="32" fillId="13" borderId="12" xfId="1" applyNumberFormat="1" applyFont="1" applyFill="1" applyBorder="1" applyAlignment="1">
      <alignment horizontal="center" vertical="center"/>
    </xf>
    <xf numFmtId="0" fontId="17" fillId="5" borderId="7" xfId="0" applyFont="1" applyFill="1" applyBorder="1" applyAlignment="1">
      <alignment horizontal="center" vertical="center"/>
    </xf>
    <xf numFmtId="0" fontId="17" fillId="5" borderId="8" xfId="0" applyFont="1" applyFill="1" applyBorder="1" applyAlignment="1">
      <alignment horizontal="center" vertical="center"/>
    </xf>
    <xf numFmtId="0" fontId="17" fillId="5" borderId="15" xfId="0" applyFont="1" applyFill="1" applyBorder="1" applyAlignment="1">
      <alignment horizontal="center" vertical="center" wrapText="1"/>
    </xf>
    <xf numFmtId="0" fontId="17" fillId="5" borderId="16" xfId="0" applyFont="1" applyFill="1" applyBorder="1" applyAlignment="1">
      <alignment horizontal="center" vertical="center" wrapText="1"/>
    </xf>
    <xf numFmtId="0" fontId="32" fillId="13" borderId="7" xfId="0" applyFont="1" applyFill="1" applyBorder="1" applyAlignment="1">
      <alignment horizontal="center" vertical="center"/>
    </xf>
    <xf numFmtId="0" fontId="32" fillId="13" borderId="12" xfId="0" applyFont="1" applyFill="1" applyBorder="1" applyAlignment="1">
      <alignment horizontal="center" vertical="center"/>
    </xf>
    <xf numFmtId="0" fontId="3" fillId="13" borderId="7" xfId="0" applyFont="1" applyFill="1" applyBorder="1" applyAlignment="1">
      <alignment horizontal="center" vertical="center"/>
    </xf>
    <xf numFmtId="0" fontId="3" fillId="13" borderId="12" xfId="0" applyFont="1" applyFill="1" applyBorder="1" applyAlignment="1">
      <alignment horizontal="center" vertical="center"/>
    </xf>
    <xf numFmtId="0" fontId="3" fillId="13" borderId="7" xfId="0" applyFont="1" applyFill="1" applyBorder="1" applyAlignment="1">
      <alignment horizontal="center" vertical="center" shrinkToFit="1"/>
    </xf>
    <xf numFmtId="0" fontId="3" fillId="13" borderId="12" xfId="0" applyFont="1" applyFill="1" applyBorder="1" applyAlignment="1">
      <alignment horizontal="center" vertical="center" shrinkToFit="1"/>
    </xf>
    <xf numFmtId="0" fontId="3" fillId="13" borderId="7" xfId="0" applyFont="1" applyFill="1" applyBorder="1" applyAlignment="1">
      <alignment horizontal="left" vertical="center" wrapText="1" shrinkToFit="1"/>
    </xf>
    <xf numFmtId="0" fontId="3" fillId="13" borderId="12" xfId="0" applyFont="1" applyFill="1" applyBorder="1" applyAlignment="1">
      <alignment horizontal="left" vertical="center" wrapText="1" shrinkToFit="1"/>
    </xf>
    <xf numFmtId="0" fontId="17" fillId="5" borderId="7" xfId="0" applyFont="1" applyFill="1" applyBorder="1" applyAlignment="1">
      <alignment horizontal="center" vertical="center" shrinkToFit="1"/>
    </xf>
    <xf numFmtId="0" fontId="17" fillId="5" borderId="8" xfId="0" applyFont="1" applyFill="1" applyBorder="1" applyAlignment="1">
      <alignment horizontal="center" vertical="center" shrinkToFit="1"/>
    </xf>
    <xf numFmtId="0" fontId="17" fillId="5" borderId="7" xfId="0" applyFont="1" applyFill="1" applyBorder="1" applyAlignment="1">
      <alignment horizontal="center" vertical="center" wrapText="1"/>
    </xf>
    <xf numFmtId="0" fontId="17" fillId="5" borderId="8" xfId="0" applyFont="1" applyFill="1" applyBorder="1" applyAlignment="1">
      <alignment horizontal="center" vertical="center" wrapText="1"/>
    </xf>
    <xf numFmtId="0" fontId="17" fillId="5" borderId="13" xfId="0" applyFont="1" applyFill="1" applyBorder="1" applyAlignment="1">
      <alignment horizontal="center" vertical="center" wrapText="1"/>
    </xf>
    <xf numFmtId="176" fontId="32" fillId="13" borderId="7" xfId="0" applyNumberFormat="1" applyFont="1" applyFill="1" applyBorder="1" applyAlignment="1">
      <alignment horizontal="center" vertical="center"/>
    </xf>
    <xf numFmtId="176" fontId="32" fillId="13" borderId="12" xfId="0" applyNumberFormat="1" applyFont="1" applyFill="1" applyBorder="1" applyAlignment="1">
      <alignment horizontal="center" vertical="center"/>
    </xf>
    <xf numFmtId="0" fontId="17" fillId="0" borderId="7" xfId="0" applyFont="1" applyBorder="1" applyAlignment="1">
      <alignment horizontal="left" vertical="center" wrapText="1"/>
    </xf>
    <xf numFmtId="0" fontId="17" fillId="0" borderId="12" xfId="0" applyFont="1" applyBorder="1" applyAlignment="1">
      <alignment horizontal="left" vertical="center"/>
    </xf>
    <xf numFmtId="40" fontId="32" fillId="0" borderId="7" xfId="1" applyNumberFormat="1" applyFont="1" applyFill="1" applyBorder="1" applyAlignment="1">
      <alignment horizontal="center" vertical="center"/>
    </xf>
    <xf numFmtId="40" fontId="32" fillId="0" borderId="12" xfId="1" applyNumberFormat="1" applyFont="1" applyFill="1" applyBorder="1" applyAlignment="1">
      <alignment horizontal="center" vertical="center"/>
    </xf>
    <xf numFmtId="176" fontId="32" fillId="0" borderId="7" xfId="0" applyNumberFormat="1" applyFont="1" applyFill="1" applyBorder="1" applyAlignment="1">
      <alignment horizontal="center" vertical="center"/>
    </xf>
    <xf numFmtId="176" fontId="32" fillId="0" borderId="12" xfId="0" applyNumberFormat="1" applyFont="1" applyFill="1" applyBorder="1" applyAlignment="1">
      <alignment horizontal="center" vertical="center"/>
    </xf>
    <xf numFmtId="14" fontId="19" fillId="13" borderId="7" xfId="0" applyNumberFormat="1" applyFont="1" applyFill="1" applyBorder="1" applyAlignment="1">
      <alignment horizontal="left" vertical="center" wrapText="1"/>
    </xf>
    <xf numFmtId="40" fontId="17" fillId="0" borderId="7" xfId="1" applyNumberFormat="1" applyFont="1" applyFill="1" applyBorder="1" applyAlignment="1">
      <alignment horizontal="center" vertical="center"/>
    </xf>
    <xf numFmtId="40" fontId="17" fillId="0" borderId="12" xfId="1" applyNumberFormat="1" applyFont="1" applyFill="1" applyBorder="1" applyAlignment="1">
      <alignment horizontal="center" vertical="center"/>
    </xf>
    <xf numFmtId="0" fontId="19" fillId="13" borderId="7" xfId="0" quotePrefix="1" applyFont="1" applyFill="1" applyBorder="1" applyAlignment="1">
      <alignment horizontal="left" vertical="center" wrapText="1"/>
    </xf>
    <xf numFmtId="0" fontId="17" fillId="13" borderId="7" xfId="0" applyFont="1" applyFill="1" applyBorder="1" applyAlignment="1">
      <alignment vertical="center" wrapText="1"/>
    </xf>
    <xf numFmtId="0" fontId="17" fillId="13" borderId="12" xfId="0" applyFont="1" applyFill="1" applyBorder="1" applyAlignment="1">
      <alignment vertical="center" wrapText="1"/>
    </xf>
    <xf numFmtId="0" fontId="17" fillId="13" borderId="13" xfId="0" applyFont="1" applyFill="1" applyBorder="1" applyAlignment="1">
      <alignment vertical="center" wrapText="1"/>
    </xf>
    <xf numFmtId="0" fontId="3" fillId="17" borderId="7" xfId="0" applyFont="1" applyFill="1" applyBorder="1" applyAlignment="1">
      <alignment horizontal="center" vertical="center" shrinkToFit="1"/>
    </xf>
    <xf numFmtId="0" fontId="3" fillId="17" borderId="12" xfId="0" applyFont="1" applyFill="1" applyBorder="1" applyAlignment="1">
      <alignment horizontal="center" vertical="center" shrinkToFit="1"/>
    </xf>
    <xf numFmtId="0" fontId="17" fillId="0" borderId="7" xfId="0" applyFont="1" applyBorder="1" applyAlignment="1">
      <alignment horizontal="center" vertical="center"/>
    </xf>
    <xf numFmtId="0" fontId="17" fillId="0" borderId="12" xfId="0" applyFont="1" applyBorder="1" applyAlignment="1">
      <alignment horizontal="center" vertical="center"/>
    </xf>
    <xf numFmtId="0" fontId="17" fillId="0" borderId="7" xfId="0" quotePrefix="1" applyFont="1" applyBorder="1" applyAlignment="1">
      <alignment horizontal="center" vertical="center" shrinkToFit="1"/>
    </xf>
    <xf numFmtId="0" fontId="17" fillId="0" borderId="12" xfId="0" applyFont="1" applyBorder="1" applyAlignment="1">
      <alignment horizontal="center" vertical="center" shrinkToFit="1"/>
    </xf>
    <xf numFmtId="0" fontId="17" fillId="0" borderId="7" xfId="0" applyFont="1" applyBorder="1" applyAlignment="1">
      <alignment horizontal="center" vertical="center" shrinkToFit="1"/>
    </xf>
    <xf numFmtId="0" fontId="17" fillId="0" borderId="7" xfId="0" applyFont="1" applyBorder="1" applyAlignment="1">
      <alignment horizontal="left" vertical="center" shrinkToFit="1"/>
    </xf>
    <xf numFmtId="0" fontId="17" fillId="0" borderId="12" xfId="0" applyFont="1" applyBorder="1" applyAlignment="1">
      <alignment horizontal="left" vertical="center" shrinkToFit="1"/>
    </xf>
    <xf numFmtId="40" fontId="17" fillId="0" borderId="7" xfId="1" applyNumberFormat="1" applyFont="1" applyBorder="1" applyAlignment="1">
      <alignment horizontal="center" vertical="center"/>
    </xf>
    <xf numFmtId="40" fontId="17" fillId="0" borderId="12" xfId="1" applyNumberFormat="1" applyFont="1" applyBorder="1" applyAlignment="1">
      <alignment horizontal="center" vertical="center"/>
    </xf>
    <xf numFmtId="0" fontId="17" fillId="13" borderId="13" xfId="0" applyFont="1" applyFill="1" applyBorder="1">
      <alignment vertical="center"/>
    </xf>
    <xf numFmtId="0" fontId="3" fillId="13" borderId="7" xfId="0" applyFont="1" applyFill="1" applyBorder="1" applyAlignment="1">
      <alignment horizontal="left" vertical="center" shrinkToFit="1"/>
    </xf>
    <xf numFmtId="0" fontId="3" fillId="13" borderId="12" xfId="0" applyFont="1" applyFill="1" applyBorder="1" applyAlignment="1">
      <alignment horizontal="left" vertical="center" shrinkToFit="1"/>
    </xf>
    <xf numFmtId="0" fontId="17" fillId="3" borderId="15" xfId="0" applyFont="1" applyFill="1" applyBorder="1" applyAlignment="1">
      <alignment horizontal="center" vertical="center" wrapText="1"/>
    </xf>
    <xf numFmtId="0" fontId="17" fillId="3" borderId="16" xfId="0" applyFont="1" applyFill="1" applyBorder="1" applyAlignment="1">
      <alignment horizontal="center" vertical="center" wrapText="1"/>
    </xf>
    <xf numFmtId="0" fontId="17" fillId="3" borderId="7" xfId="0" applyFont="1" applyFill="1" applyBorder="1" applyAlignment="1">
      <alignment horizontal="center" vertical="center" shrinkToFit="1"/>
    </xf>
    <xf numFmtId="0" fontId="17" fillId="3" borderId="8" xfId="0" applyFont="1" applyFill="1" applyBorder="1" applyAlignment="1">
      <alignment horizontal="center" vertical="center" shrinkToFit="1"/>
    </xf>
    <xf numFmtId="0" fontId="17" fillId="3" borderId="7" xfId="0" applyFont="1" applyFill="1" applyBorder="1" applyAlignment="1">
      <alignment horizontal="center" vertical="center" wrapText="1"/>
    </xf>
    <xf numFmtId="0" fontId="17" fillId="3" borderId="8" xfId="0" applyFont="1" applyFill="1" applyBorder="1" applyAlignment="1">
      <alignment horizontal="center" vertical="center" wrapText="1"/>
    </xf>
    <xf numFmtId="0" fontId="17" fillId="3" borderId="7" xfId="0" applyFont="1" applyFill="1" applyBorder="1" applyAlignment="1">
      <alignment horizontal="center" vertical="center"/>
    </xf>
    <xf numFmtId="0" fontId="17" fillId="3" borderId="8" xfId="0" applyFont="1" applyFill="1" applyBorder="1" applyAlignment="1">
      <alignment horizontal="center" vertical="center"/>
    </xf>
    <xf numFmtId="0" fontId="17" fillId="0" borderId="3" xfId="0" applyFont="1" applyBorder="1" applyAlignment="1">
      <alignment horizontal="right" vertical="center"/>
    </xf>
    <xf numFmtId="0" fontId="17" fillId="0" borderId="19" xfId="0" applyFont="1" applyBorder="1" applyAlignment="1">
      <alignment horizontal="right" vertical="center"/>
    </xf>
    <xf numFmtId="0" fontId="17" fillId="0" borderId="20" xfId="0" applyFont="1" applyBorder="1" applyAlignment="1">
      <alignment horizontal="right" vertical="center"/>
    </xf>
    <xf numFmtId="0" fontId="17" fillId="0" borderId="17" xfId="0" applyFont="1" applyBorder="1" applyAlignment="1">
      <alignment horizontal="right" vertical="center"/>
    </xf>
    <xf numFmtId="0" fontId="17" fillId="0" borderId="1" xfId="0" applyFont="1" applyBorder="1" applyAlignment="1">
      <alignment horizontal="right" vertical="center"/>
    </xf>
    <xf numFmtId="0" fontId="17" fillId="0" borderId="2" xfId="0" applyFont="1" applyBorder="1" applyAlignment="1">
      <alignment horizontal="right" vertical="center"/>
    </xf>
    <xf numFmtId="0" fontId="17" fillId="0" borderId="7" xfId="0" applyFont="1" applyBorder="1" applyAlignment="1">
      <alignment horizontal="left" vertical="center"/>
    </xf>
    <xf numFmtId="0" fontId="17" fillId="3" borderId="13" xfId="0" applyFont="1" applyFill="1" applyBorder="1" applyAlignment="1">
      <alignment horizontal="center" vertical="center" wrapText="1"/>
    </xf>
    <xf numFmtId="2" fontId="38" fillId="0" borderId="0" xfId="0" applyNumberFormat="1" applyFont="1" applyBorder="1" applyAlignment="1">
      <alignment horizontal="center" vertical="center"/>
    </xf>
    <xf numFmtId="2" fontId="17" fillId="0" borderId="0" xfId="0" applyNumberFormat="1" applyFont="1" applyBorder="1" applyAlignment="1">
      <alignment horizontal="center" vertical="center"/>
    </xf>
    <xf numFmtId="0" fontId="18" fillId="0" borderId="7" xfId="6" applyFont="1" applyBorder="1" applyAlignment="1">
      <alignment horizontal="left" vertical="center" shrinkToFit="1"/>
    </xf>
    <xf numFmtId="0" fontId="18" fillId="0" borderId="12" xfId="6" applyFont="1" applyBorder="1" applyAlignment="1">
      <alignment horizontal="left" vertical="center" shrinkToFit="1"/>
    </xf>
    <xf numFmtId="0" fontId="17" fillId="0" borderId="7" xfId="0" quotePrefix="1" applyFont="1" applyBorder="1" applyAlignment="1">
      <alignment horizontal="left" vertical="center" wrapText="1"/>
    </xf>
    <xf numFmtId="0" fontId="17" fillId="0" borderId="7" xfId="0" quotePrefix="1" applyFont="1" applyBorder="1" applyAlignment="1">
      <alignment horizontal="left" vertical="center"/>
    </xf>
    <xf numFmtId="0" fontId="36" fillId="0" borderId="0" xfId="0" applyFont="1" applyFill="1" applyBorder="1" applyAlignment="1">
      <alignment horizontal="center" vertical="center"/>
    </xf>
    <xf numFmtId="179" fontId="38" fillId="0" borderId="0" xfId="0" applyNumberFormat="1" applyFont="1" applyFill="1" applyBorder="1" applyAlignment="1">
      <alignment horizontal="center" vertical="center"/>
    </xf>
    <xf numFmtId="180" fontId="38" fillId="0" borderId="0" xfId="0" applyNumberFormat="1" applyFont="1" applyFill="1" applyBorder="1" applyAlignment="1">
      <alignment horizontal="center" vertical="center"/>
    </xf>
    <xf numFmtId="40" fontId="17" fillId="0" borderId="0" xfId="0" applyNumberFormat="1" applyFont="1" applyBorder="1" applyAlignment="1">
      <alignment horizontal="center" vertical="center"/>
    </xf>
    <xf numFmtId="0" fontId="17" fillId="0" borderId="0" xfId="0" applyFont="1" applyBorder="1" applyAlignment="1">
      <alignment horizontal="center" vertical="center"/>
    </xf>
    <xf numFmtId="0" fontId="17" fillId="4" borderId="15" xfId="0" applyFont="1" applyFill="1" applyBorder="1" applyAlignment="1">
      <alignment horizontal="center" vertical="center" wrapText="1"/>
    </xf>
    <xf numFmtId="0" fontId="17" fillId="4" borderId="16" xfId="0" applyFont="1" applyFill="1" applyBorder="1" applyAlignment="1">
      <alignment horizontal="center" vertical="center" wrapText="1"/>
    </xf>
    <xf numFmtId="0" fontId="17" fillId="4" borderId="7" xfId="0" applyFont="1" applyFill="1" applyBorder="1" applyAlignment="1">
      <alignment horizontal="center" vertical="center" wrapText="1"/>
    </xf>
    <xf numFmtId="0" fontId="17" fillId="4" borderId="8" xfId="0" applyFont="1" applyFill="1" applyBorder="1" applyAlignment="1">
      <alignment horizontal="center" vertical="center" wrapText="1"/>
    </xf>
    <xf numFmtId="0" fontId="17" fillId="4" borderId="7" xfId="0" applyFont="1" applyFill="1" applyBorder="1" applyAlignment="1">
      <alignment horizontal="center" vertical="center"/>
    </xf>
    <xf numFmtId="0" fontId="17" fillId="4" borderId="8" xfId="0" applyFont="1" applyFill="1" applyBorder="1" applyAlignment="1">
      <alignment horizontal="center" vertical="center"/>
    </xf>
    <xf numFmtId="14" fontId="30" fillId="0" borderId="7" xfId="0" quotePrefix="1" applyNumberFormat="1" applyFont="1" applyBorder="1" applyAlignment="1">
      <alignment horizontal="left" vertical="center" wrapText="1"/>
    </xf>
    <xf numFmtId="0" fontId="17" fillId="0" borderId="7" xfId="0" applyFont="1" applyBorder="1" applyAlignment="1">
      <alignment horizontal="left" vertical="center" wrapText="1" shrinkToFit="1"/>
    </xf>
    <xf numFmtId="0" fontId="17" fillId="0" borderId="12" xfId="0" applyFont="1" applyBorder="1" applyAlignment="1">
      <alignment horizontal="left" vertical="center" wrapText="1" shrinkToFit="1"/>
    </xf>
    <xf numFmtId="0" fontId="17" fillId="4" borderId="7" xfId="0" applyFont="1" applyFill="1" applyBorder="1" applyAlignment="1">
      <alignment horizontal="center" vertical="center" shrinkToFit="1"/>
    </xf>
    <xf numFmtId="0" fontId="17" fillId="4" borderId="8" xfId="0" applyFont="1" applyFill="1" applyBorder="1" applyAlignment="1">
      <alignment horizontal="center" vertical="center" shrinkToFit="1"/>
    </xf>
    <xf numFmtId="0" fontId="17" fillId="4" borderId="13" xfId="0" applyFont="1" applyFill="1" applyBorder="1" applyAlignment="1">
      <alignment horizontal="center" vertical="center" wrapText="1"/>
    </xf>
    <xf numFmtId="0" fontId="31" fillId="6" borderId="13" xfId="0" applyFont="1" applyFill="1" applyBorder="1" applyAlignment="1">
      <alignment horizontal="left" vertical="center"/>
    </xf>
    <xf numFmtId="0" fontId="17" fillId="0" borderId="15" xfId="0" applyFont="1" applyBorder="1" applyAlignment="1">
      <alignment horizontal="center" vertical="center"/>
    </xf>
    <xf numFmtId="0" fontId="17" fillId="0" borderId="18" xfId="0" applyFont="1" applyBorder="1" applyAlignment="1">
      <alignment horizontal="center" vertical="center"/>
    </xf>
    <xf numFmtId="0" fontId="17" fillId="0" borderId="15" xfId="0" applyFont="1" applyBorder="1" applyAlignment="1">
      <alignment horizontal="left" vertical="center"/>
    </xf>
    <xf numFmtId="0" fontId="17" fillId="0" borderId="18" xfId="0" applyFont="1" applyBorder="1" applyAlignment="1">
      <alignment horizontal="left" vertical="center"/>
    </xf>
    <xf numFmtId="0" fontId="3" fillId="0" borderId="7" xfId="0" quotePrefix="1" applyFont="1" applyBorder="1" applyAlignment="1">
      <alignment horizontal="center" vertical="center" shrinkToFit="1"/>
    </xf>
    <xf numFmtId="0" fontId="3" fillId="0" borderId="12" xfId="0" applyFont="1" applyBorder="1" applyAlignment="1">
      <alignment horizontal="center" vertical="center" shrinkToFit="1"/>
    </xf>
    <xf numFmtId="0" fontId="3" fillId="0" borderId="7" xfId="0" applyFont="1" applyBorder="1" applyAlignment="1">
      <alignment horizontal="left" vertical="center" shrinkToFit="1"/>
    </xf>
    <xf numFmtId="0" fontId="3" fillId="0" borderId="12" xfId="0" applyFont="1" applyBorder="1" applyAlignment="1">
      <alignment horizontal="left" vertical="center" shrinkToFit="1"/>
    </xf>
    <xf numFmtId="40" fontId="3" fillId="0" borderId="7" xfId="1" applyNumberFormat="1" applyFont="1" applyBorder="1" applyAlignment="1">
      <alignment horizontal="center" vertical="center"/>
    </xf>
    <xf numFmtId="40" fontId="3" fillId="0" borderId="12" xfId="1" applyNumberFormat="1" applyFont="1" applyBorder="1" applyAlignment="1">
      <alignment horizontal="center" vertical="center"/>
    </xf>
    <xf numFmtId="40" fontId="3" fillId="0" borderId="7" xfId="1" applyNumberFormat="1" applyFont="1" applyFill="1" applyBorder="1" applyAlignment="1">
      <alignment horizontal="center" vertical="center"/>
    </xf>
    <xf numFmtId="40" fontId="3" fillId="0" borderId="12" xfId="1" applyNumberFormat="1" applyFont="1" applyFill="1" applyBorder="1" applyAlignment="1">
      <alignment horizontal="center" vertical="center"/>
    </xf>
    <xf numFmtId="0" fontId="3" fillId="0" borderId="3" xfId="0" applyFont="1" applyBorder="1" applyAlignment="1">
      <alignment horizontal="right" vertical="center"/>
    </xf>
    <xf numFmtId="0" fontId="3" fillId="0" borderId="19" xfId="0" applyFont="1" applyBorder="1" applyAlignment="1">
      <alignment horizontal="right" vertical="center"/>
    </xf>
    <xf numFmtId="0" fontId="3" fillId="0" borderId="20" xfId="0" applyFont="1" applyBorder="1" applyAlignment="1">
      <alignment horizontal="right" vertical="center"/>
    </xf>
    <xf numFmtId="0" fontId="3" fillId="0" borderId="17" xfId="0" applyFont="1" applyBorder="1" applyAlignment="1">
      <alignment horizontal="right" vertical="center"/>
    </xf>
    <xf numFmtId="0" fontId="3" fillId="0" borderId="1" xfId="0" applyFont="1" applyBorder="1" applyAlignment="1">
      <alignment horizontal="right" vertical="center"/>
    </xf>
    <xf numFmtId="0" fontId="3" fillId="0" borderId="2" xfId="0" applyFont="1" applyBorder="1" applyAlignment="1">
      <alignment horizontal="right" vertical="center"/>
    </xf>
    <xf numFmtId="0" fontId="13" fillId="2" borderId="15" xfId="0" applyFont="1" applyFill="1" applyBorder="1" applyAlignment="1">
      <alignment horizontal="right" vertical="center" shrinkToFit="1"/>
    </xf>
    <xf numFmtId="0" fontId="13" fillId="2" borderId="16" xfId="0" applyFont="1" applyFill="1" applyBorder="1" applyAlignment="1">
      <alignment horizontal="right" vertical="center" shrinkToFit="1"/>
    </xf>
    <xf numFmtId="0" fontId="13" fillId="2" borderId="18" xfId="0" applyFont="1" applyFill="1" applyBorder="1" applyAlignment="1">
      <alignment horizontal="right" vertical="center" shrinkToFit="1"/>
    </xf>
    <xf numFmtId="0" fontId="3" fillId="0" borderId="23" xfId="0" applyFont="1" applyBorder="1" applyAlignment="1">
      <alignment horizontal="right" vertical="center"/>
    </xf>
    <xf numFmtId="0" fontId="3" fillId="0" borderId="24" xfId="0" applyFont="1" applyBorder="1" applyAlignment="1">
      <alignment horizontal="right" vertical="center"/>
    </xf>
    <xf numFmtId="0" fontId="3" fillId="0" borderId="10" xfId="0" applyFont="1" applyBorder="1" applyAlignment="1">
      <alignment horizontal="right" vertical="center"/>
    </xf>
    <xf numFmtId="14" fontId="60" fillId="0" borderId="15" xfId="0" quotePrefix="1" applyNumberFormat="1" applyFont="1" applyBorder="1" applyAlignment="1">
      <alignment horizontal="left" vertical="center"/>
    </xf>
    <xf numFmtId="14" fontId="60" fillId="0" borderId="18" xfId="0" applyNumberFormat="1" applyFont="1" applyBorder="1" applyAlignment="1">
      <alignment horizontal="left" vertical="center"/>
    </xf>
    <xf numFmtId="0" fontId="3" fillId="0" borderId="7" xfId="0" applyFont="1" applyBorder="1" applyAlignment="1">
      <alignment horizontal="center" vertical="center"/>
    </xf>
    <xf numFmtId="0" fontId="3" fillId="0" borderId="12" xfId="0" applyFont="1" applyBorder="1" applyAlignment="1">
      <alignment horizontal="center" vertical="center"/>
    </xf>
    <xf numFmtId="14" fontId="26" fillId="0" borderId="15" xfId="0" quotePrefix="1" applyNumberFormat="1" applyFont="1" applyBorder="1" applyAlignment="1">
      <alignment horizontal="left" vertical="center"/>
    </xf>
    <xf numFmtId="14" fontId="26" fillId="0" borderId="18" xfId="0" applyNumberFormat="1" applyFont="1" applyBorder="1" applyAlignment="1">
      <alignment horizontal="left" vertical="center"/>
    </xf>
    <xf numFmtId="40" fontId="3" fillId="13" borderId="7" xfId="1" applyNumberFormat="1" applyFont="1" applyFill="1" applyBorder="1" applyAlignment="1">
      <alignment horizontal="center" vertical="center"/>
    </xf>
    <xf numFmtId="40" fontId="3" fillId="13" borderId="12" xfId="1" applyNumberFormat="1" applyFont="1" applyFill="1" applyBorder="1" applyAlignment="1">
      <alignment horizontal="center" vertical="center"/>
    </xf>
    <xf numFmtId="176" fontId="3" fillId="0" borderId="7" xfId="0" applyNumberFormat="1" applyFont="1" applyFill="1" applyBorder="1" applyAlignment="1">
      <alignment horizontal="center" vertical="center"/>
    </xf>
    <xf numFmtId="176" fontId="3" fillId="0" borderId="12" xfId="0" applyNumberFormat="1" applyFont="1" applyFill="1" applyBorder="1" applyAlignment="1">
      <alignment horizontal="center" vertical="center"/>
    </xf>
    <xf numFmtId="0" fontId="3" fillId="0" borderId="7" xfId="0" applyFont="1" applyFill="1" applyBorder="1" applyAlignment="1">
      <alignment horizontal="left" vertical="center"/>
    </xf>
    <xf numFmtId="0" fontId="3" fillId="0" borderId="12" xfId="0" applyFont="1" applyFill="1" applyBorder="1" applyAlignment="1">
      <alignment horizontal="left" vertical="center"/>
    </xf>
    <xf numFmtId="0" fontId="3" fillId="0" borderId="7" xfId="0" applyFont="1" applyFill="1" applyBorder="1" applyAlignment="1">
      <alignment horizontal="left" vertical="center" wrapText="1"/>
    </xf>
    <xf numFmtId="0" fontId="3" fillId="0" borderId="12" xfId="0" applyFont="1" applyFill="1" applyBorder="1" applyAlignment="1">
      <alignment horizontal="left" vertical="center" wrapText="1"/>
    </xf>
    <xf numFmtId="9" fontId="3" fillId="0" borderId="7" xfId="2" applyFont="1" applyFill="1" applyBorder="1" applyAlignment="1">
      <alignment horizontal="center" vertical="center"/>
    </xf>
    <xf numFmtId="9" fontId="3" fillId="0" borderId="12" xfId="2" applyFont="1" applyFill="1" applyBorder="1" applyAlignment="1">
      <alignment horizontal="center" vertical="center"/>
    </xf>
    <xf numFmtId="0" fontId="3" fillId="3" borderId="13" xfId="0" applyFont="1" applyFill="1" applyBorder="1" applyAlignment="1">
      <alignment horizontal="center" vertical="center" wrapText="1"/>
    </xf>
    <xf numFmtId="0" fontId="3" fillId="3" borderId="7" xfId="0" applyFont="1" applyFill="1" applyBorder="1" applyAlignment="1">
      <alignment horizontal="center" vertical="center" wrapText="1"/>
    </xf>
    <xf numFmtId="0" fontId="3" fillId="3" borderId="8" xfId="0" applyFont="1" applyFill="1" applyBorder="1" applyAlignment="1">
      <alignment horizontal="center" vertical="center" wrapText="1"/>
    </xf>
    <xf numFmtId="0" fontId="3" fillId="3" borderId="12" xfId="0" applyFont="1" applyFill="1" applyBorder="1" applyAlignment="1">
      <alignment horizontal="center" vertical="center" wrapText="1"/>
    </xf>
    <xf numFmtId="0" fontId="16" fillId="0" borderId="7" xfId="6" applyFont="1" applyBorder="1" applyAlignment="1">
      <alignment horizontal="left" vertical="center" shrinkToFit="1"/>
    </xf>
    <xf numFmtId="0" fontId="16" fillId="0" borderId="12" xfId="6" applyFont="1" applyBorder="1" applyAlignment="1">
      <alignment horizontal="left" vertical="center" shrinkToFit="1"/>
    </xf>
    <xf numFmtId="0" fontId="3" fillId="0" borderId="7" xfId="0" applyFont="1" applyBorder="1" applyAlignment="1">
      <alignment horizontal="center" vertical="center" shrinkToFit="1"/>
    </xf>
    <xf numFmtId="0" fontId="3" fillId="0" borderId="7" xfId="0" applyFont="1" applyBorder="1" applyAlignment="1">
      <alignment horizontal="left" vertical="center" wrapText="1" shrinkToFit="1"/>
    </xf>
    <xf numFmtId="0" fontId="3" fillId="0" borderId="12" xfId="0" applyFont="1" applyBorder="1" applyAlignment="1">
      <alignment horizontal="left" vertical="center" wrapText="1" shrinkToFit="1"/>
    </xf>
    <xf numFmtId="0" fontId="3" fillId="3" borderId="7" xfId="0" applyFont="1" applyFill="1" applyBorder="1" applyAlignment="1">
      <alignment horizontal="center" vertical="center"/>
    </xf>
    <xf numFmtId="0" fontId="3" fillId="3" borderId="8" xfId="0" applyFont="1" applyFill="1" applyBorder="1" applyAlignment="1">
      <alignment horizontal="center" vertical="center"/>
    </xf>
    <xf numFmtId="0" fontId="3" fillId="3" borderId="12" xfId="0" applyFont="1" applyFill="1" applyBorder="1" applyAlignment="1">
      <alignment horizontal="center" vertical="center"/>
    </xf>
    <xf numFmtId="0" fontId="3" fillId="5" borderId="32" xfId="0" applyFont="1" applyFill="1" applyBorder="1" applyAlignment="1">
      <alignment horizontal="center" vertical="center" wrapText="1"/>
    </xf>
    <xf numFmtId="0" fontId="3" fillId="5" borderId="16" xfId="0" applyFont="1" applyFill="1" applyBorder="1" applyAlignment="1">
      <alignment horizontal="center" vertical="center" wrapText="1"/>
    </xf>
    <xf numFmtId="0" fontId="3" fillId="5" borderId="7" xfId="0" applyFont="1" applyFill="1" applyBorder="1" applyAlignment="1">
      <alignment horizontal="center" vertical="center" wrapText="1"/>
    </xf>
    <xf numFmtId="0" fontId="3" fillId="5" borderId="8" xfId="0" applyFont="1" applyFill="1" applyBorder="1" applyAlignment="1">
      <alignment horizontal="center" vertical="center" wrapText="1"/>
    </xf>
    <xf numFmtId="0" fontId="3" fillId="5" borderId="12" xfId="0" applyFont="1" applyFill="1" applyBorder="1" applyAlignment="1">
      <alignment horizontal="center" vertical="center" wrapText="1"/>
    </xf>
    <xf numFmtId="0" fontId="47" fillId="13" borderId="7" xfId="0" applyFont="1" applyFill="1" applyBorder="1" applyAlignment="1">
      <alignment horizontal="left" vertical="center" wrapText="1"/>
    </xf>
    <xf numFmtId="0" fontId="47" fillId="13" borderId="12" xfId="0" applyFont="1" applyFill="1" applyBorder="1" applyAlignment="1">
      <alignment horizontal="left" vertical="center"/>
    </xf>
    <xf numFmtId="0" fontId="3" fillId="5" borderId="7" xfId="0" applyFont="1" applyFill="1" applyBorder="1" applyAlignment="1">
      <alignment horizontal="center" vertical="center"/>
    </xf>
    <xf numFmtId="0" fontId="3" fillId="5" borderId="8" xfId="0" applyFont="1" applyFill="1" applyBorder="1" applyAlignment="1">
      <alignment horizontal="center" vertical="center"/>
    </xf>
    <xf numFmtId="0" fontId="3" fillId="5" borderId="12" xfId="0" applyFont="1" applyFill="1" applyBorder="1" applyAlignment="1">
      <alignment horizontal="center" vertical="center"/>
    </xf>
    <xf numFmtId="40" fontId="9" fillId="2" borderId="28" xfId="0" applyNumberFormat="1" applyFont="1" applyFill="1" applyBorder="1" applyAlignment="1">
      <alignment horizontal="center" vertical="center"/>
    </xf>
    <xf numFmtId="40" fontId="9" fillId="2" borderId="37" xfId="0" applyNumberFormat="1" applyFont="1" applyFill="1" applyBorder="1" applyAlignment="1">
      <alignment horizontal="center" vertical="center"/>
    </xf>
    <xf numFmtId="0" fontId="50" fillId="13" borderId="7" xfId="0" applyFont="1" applyFill="1" applyBorder="1" applyAlignment="1">
      <alignment horizontal="left" vertical="center" wrapText="1"/>
    </xf>
    <xf numFmtId="0" fontId="50" fillId="13" borderId="12" xfId="0" applyFont="1" applyFill="1" applyBorder="1" applyAlignment="1">
      <alignment horizontal="left" vertical="center"/>
    </xf>
    <xf numFmtId="0" fontId="17" fillId="13" borderId="7" xfId="0" applyFont="1" applyFill="1" applyBorder="1" applyAlignment="1">
      <alignment horizontal="left" vertical="center" wrapText="1" shrinkToFit="1"/>
    </xf>
    <xf numFmtId="0" fontId="17" fillId="13" borderId="12" xfId="0" applyFont="1" applyFill="1" applyBorder="1" applyAlignment="1">
      <alignment horizontal="left" vertical="center" wrapText="1" shrinkToFit="1"/>
    </xf>
    <xf numFmtId="0" fontId="3" fillId="5" borderId="7" xfId="0" applyFont="1" applyFill="1" applyBorder="1" applyAlignment="1">
      <alignment horizontal="center" vertical="center" shrinkToFit="1"/>
    </xf>
    <xf numFmtId="0" fontId="3" fillId="5" borderId="8" xfId="0" applyFont="1" applyFill="1" applyBorder="1" applyAlignment="1">
      <alignment horizontal="center" vertical="center" shrinkToFit="1"/>
    </xf>
    <xf numFmtId="0" fontId="3" fillId="5" borderId="12" xfId="0" applyFont="1" applyFill="1" applyBorder="1" applyAlignment="1">
      <alignment horizontal="center" vertical="center" shrinkToFit="1"/>
    </xf>
    <xf numFmtId="0" fontId="3" fillId="5" borderId="15" xfId="0" applyFont="1" applyFill="1" applyBorder="1" applyAlignment="1">
      <alignment horizontal="center" vertical="center" wrapText="1"/>
    </xf>
    <xf numFmtId="0" fontId="3" fillId="5" borderId="13" xfId="0" applyFont="1" applyFill="1" applyBorder="1" applyAlignment="1">
      <alignment horizontal="center" vertical="center" wrapText="1"/>
    </xf>
    <xf numFmtId="40" fontId="9" fillId="2" borderId="35" xfId="0" applyNumberFormat="1" applyFont="1" applyFill="1" applyBorder="1" applyAlignment="1">
      <alignment horizontal="center" vertical="center"/>
    </xf>
    <xf numFmtId="40" fontId="9" fillId="2" borderId="30" xfId="0" applyNumberFormat="1" applyFont="1" applyFill="1" applyBorder="1" applyAlignment="1">
      <alignment horizontal="center" vertical="center"/>
    </xf>
    <xf numFmtId="0" fontId="3" fillId="4" borderId="32" xfId="0" applyFont="1" applyFill="1" applyBorder="1" applyAlignment="1">
      <alignment horizontal="center" vertical="center" wrapText="1"/>
    </xf>
    <xf numFmtId="0" fontId="3" fillId="4" borderId="16" xfId="0" applyFont="1" applyFill="1" applyBorder="1" applyAlignment="1">
      <alignment horizontal="center" vertical="center" wrapText="1"/>
    </xf>
    <xf numFmtId="0" fontId="3" fillId="3" borderId="7" xfId="0" applyFont="1" applyFill="1" applyBorder="1" applyAlignment="1">
      <alignment horizontal="center" vertical="center" shrinkToFit="1"/>
    </xf>
    <xf numFmtId="0" fontId="3" fillId="3" borderId="8" xfId="0" applyFont="1" applyFill="1" applyBorder="1" applyAlignment="1">
      <alignment horizontal="center" vertical="center" shrinkToFit="1"/>
    </xf>
    <xf numFmtId="0" fontId="3" fillId="3" borderId="12" xfId="0" applyFont="1" applyFill="1" applyBorder="1" applyAlignment="1">
      <alignment horizontal="center" vertical="center" shrinkToFit="1"/>
    </xf>
    <xf numFmtId="0" fontId="3" fillId="0" borderId="7" xfId="0" applyFont="1" applyBorder="1" applyAlignment="1">
      <alignment horizontal="left" vertical="center"/>
    </xf>
    <xf numFmtId="0" fontId="3" fillId="0" borderId="12" xfId="0" applyFont="1" applyBorder="1" applyAlignment="1">
      <alignment horizontal="left" vertical="center"/>
    </xf>
    <xf numFmtId="40" fontId="9" fillId="2" borderId="34" xfId="0" applyNumberFormat="1" applyFont="1" applyFill="1" applyBorder="1" applyAlignment="1">
      <alignment horizontal="center" vertical="center"/>
    </xf>
    <xf numFmtId="0" fontId="9" fillId="2" borderId="28" xfId="0" applyFont="1" applyFill="1" applyBorder="1" applyAlignment="1">
      <alignment horizontal="center" vertical="center"/>
    </xf>
    <xf numFmtId="0" fontId="9" fillId="2" borderId="30" xfId="0" applyFont="1" applyFill="1" applyBorder="1" applyAlignment="1">
      <alignment horizontal="center" vertical="center"/>
    </xf>
    <xf numFmtId="2" fontId="9" fillId="2" borderId="45" xfId="0" applyNumberFormat="1" applyFont="1" applyFill="1" applyBorder="1" applyAlignment="1">
      <alignment horizontal="center" vertical="center"/>
    </xf>
    <xf numFmtId="2" fontId="9" fillId="2" borderId="26" xfId="0" applyNumberFormat="1" applyFont="1" applyFill="1" applyBorder="1" applyAlignment="1">
      <alignment horizontal="center" vertical="center"/>
    </xf>
    <xf numFmtId="2" fontId="9" fillId="2" borderId="46" xfId="0" applyNumberFormat="1" applyFont="1" applyFill="1" applyBorder="1" applyAlignment="1">
      <alignment horizontal="center" vertical="center"/>
    </xf>
    <xf numFmtId="2" fontId="3" fillId="0" borderId="0" xfId="0" applyNumberFormat="1" applyFont="1" applyFill="1" applyBorder="1" applyAlignment="1">
      <alignment horizontal="center" vertical="center"/>
    </xf>
    <xf numFmtId="2" fontId="22" fillId="0" borderId="0" xfId="0" applyNumberFormat="1" applyFont="1" applyFill="1" applyBorder="1" applyAlignment="1">
      <alignment horizontal="center" vertical="center"/>
    </xf>
    <xf numFmtId="40" fontId="3" fillId="0" borderId="0" xfId="0" applyNumberFormat="1" applyFont="1" applyFill="1" applyBorder="1" applyAlignment="1">
      <alignment horizontal="center" vertical="center"/>
    </xf>
    <xf numFmtId="0" fontId="3" fillId="0" borderId="0" xfId="0" applyFont="1" applyFill="1" applyBorder="1" applyAlignment="1">
      <alignment horizontal="center" vertical="center"/>
    </xf>
    <xf numFmtId="0" fontId="3" fillId="4" borderId="7" xfId="0" applyFont="1" applyFill="1" applyBorder="1" applyAlignment="1">
      <alignment horizontal="center" vertical="center" wrapText="1"/>
    </xf>
    <xf numFmtId="0" fontId="3" fillId="4" borderId="8" xfId="0" applyFont="1" applyFill="1" applyBorder="1" applyAlignment="1">
      <alignment horizontal="center" vertical="center" wrapText="1"/>
    </xf>
    <xf numFmtId="0" fontId="3" fillId="4" borderId="12" xfId="0" applyFont="1" applyFill="1" applyBorder="1" applyAlignment="1">
      <alignment horizontal="center" vertical="center" wrapText="1"/>
    </xf>
    <xf numFmtId="0" fontId="3" fillId="0" borderId="7" xfId="0" applyFont="1" applyBorder="1" applyAlignment="1">
      <alignment horizontal="left" vertical="center" wrapText="1"/>
    </xf>
    <xf numFmtId="0" fontId="3" fillId="0" borderId="21" xfId="0" applyFont="1" applyBorder="1" applyAlignment="1">
      <alignment horizontal="right" vertical="center"/>
    </xf>
    <xf numFmtId="0" fontId="3" fillId="0" borderId="22" xfId="0" applyFont="1" applyBorder="1" applyAlignment="1">
      <alignment horizontal="right" vertical="center"/>
    </xf>
    <xf numFmtId="0" fontId="3" fillId="0" borderId="5" xfId="0" applyFont="1" applyBorder="1" applyAlignment="1">
      <alignment horizontal="right" vertical="center"/>
    </xf>
    <xf numFmtId="0" fontId="9" fillId="6" borderId="13" xfId="0" applyFont="1" applyFill="1" applyBorder="1" applyAlignment="1">
      <alignment horizontal="right" vertical="center"/>
    </xf>
    <xf numFmtId="2" fontId="9" fillId="2" borderId="35" xfId="0" applyNumberFormat="1" applyFont="1" applyFill="1" applyBorder="1" applyAlignment="1">
      <alignment horizontal="center" vertical="center"/>
    </xf>
    <xf numFmtId="2" fontId="9" fillId="2" borderId="30" xfId="0" applyNumberFormat="1" applyFont="1" applyFill="1" applyBorder="1" applyAlignment="1">
      <alignment horizontal="center" vertical="center"/>
    </xf>
    <xf numFmtId="0" fontId="3" fillId="0" borderId="7" xfId="0" quotePrefix="1" applyFont="1" applyBorder="1" applyAlignment="1">
      <alignment horizontal="left" vertical="center" wrapText="1"/>
    </xf>
    <xf numFmtId="40" fontId="9" fillId="2" borderId="33" xfId="0" applyNumberFormat="1" applyFont="1" applyFill="1" applyBorder="1" applyAlignment="1">
      <alignment horizontal="center" vertical="center"/>
    </xf>
    <xf numFmtId="0" fontId="9" fillId="2" borderId="25" xfId="0" applyFont="1" applyFill="1" applyBorder="1" applyAlignment="1">
      <alignment horizontal="center" vertical="center"/>
    </xf>
    <xf numFmtId="0" fontId="9" fillId="2" borderId="27" xfId="0" applyFont="1" applyFill="1" applyBorder="1" applyAlignment="1">
      <alignment horizontal="center" vertical="center"/>
    </xf>
    <xf numFmtId="40" fontId="9" fillId="2" borderId="46" xfId="0" applyNumberFormat="1" applyFont="1" applyFill="1" applyBorder="1" applyAlignment="1">
      <alignment horizontal="center" vertical="center"/>
    </xf>
    <xf numFmtId="0" fontId="3" fillId="4" borderId="13" xfId="0" applyFont="1" applyFill="1" applyBorder="1" applyAlignment="1">
      <alignment horizontal="center" vertical="center" wrapText="1"/>
    </xf>
    <xf numFmtId="0" fontId="3" fillId="4" borderId="7" xfId="0" applyFont="1" applyFill="1" applyBorder="1" applyAlignment="1">
      <alignment horizontal="center" vertical="center" shrinkToFit="1"/>
    </xf>
    <xf numFmtId="0" fontId="3" fillId="4" borderId="8" xfId="0" applyFont="1" applyFill="1" applyBorder="1" applyAlignment="1">
      <alignment horizontal="center" vertical="center" shrinkToFit="1"/>
    </xf>
    <xf numFmtId="0" fontId="3" fillId="4" borderId="12" xfId="0" applyFont="1" applyFill="1" applyBorder="1" applyAlignment="1">
      <alignment horizontal="center" vertical="center" shrinkToFit="1"/>
    </xf>
    <xf numFmtId="0" fontId="3" fillId="4" borderId="7" xfId="0" applyFont="1" applyFill="1" applyBorder="1" applyAlignment="1">
      <alignment horizontal="center" vertical="center"/>
    </xf>
    <xf numFmtId="0" fontId="3" fillId="4" borderId="8" xfId="0" applyFont="1" applyFill="1" applyBorder="1" applyAlignment="1">
      <alignment horizontal="center" vertical="center"/>
    </xf>
    <xf numFmtId="0" fontId="3" fillId="4" borderId="12" xfId="0" applyFont="1" applyFill="1" applyBorder="1" applyAlignment="1">
      <alignment horizontal="center" vertical="center"/>
    </xf>
    <xf numFmtId="40" fontId="9" fillId="2" borderId="38" xfId="0" applyNumberFormat="1" applyFont="1" applyFill="1" applyBorder="1" applyAlignment="1">
      <alignment horizontal="center" vertical="center"/>
    </xf>
    <xf numFmtId="0" fontId="3" fillId="0" borderId="7" xfId="0" quotePrefix="1" applyFont="1" applyBorder="1" applyAlignment="1">
      <alignment horizontal="left" vertical="center"/>
    </xf>
    <xf numFmtId="0" fontId="3" fillId="4" borderId="15" xfId="0" applyFont="1" applyFill="1" applyBorder="1" applyAlignment="1">
      <alignment horizontal="center" vertical="center" wrapText="1"/>
    </xf>
    <xf numFmtId="14" fontId="26" fillId="0" borderId="18" xfId="0" quotePrefix="1" applyNumberFormat="1" applyFont="1" applyBorder="1" applyAlignment="1">
      <alignment horizontal="left" vertical="center"/>
    </xf>
    <xf numFmtId="0" fontId="3" fillId="3" borderId="15" xfId="0" applyFont="1" applyFill="1" applyBorder="1" applyAlignment="1">
      <alignment horizontal="center" vertical="center" wrapText="1"/>
    </xf>
    <xf numFmtId="0" fontId="3" fillId="3" borderId="16" xfId="0" applyFont="1" applyFill="1" applyBorder="1" applyAlignment="1">
      <alignment horizontal="center" vertical="center" wrapText="1"/>
    </xf>
    <xf numFmtId="0" fontId="9" fillId="2" borderId="29" xfId="0" applyFont="1" applyFill="1" applyBorder="1" applyAlignment="1">
      <alignment horizontal="center" vertical="center"/>
    </xf>
    <xf numFmtId="0" fontId="9" fillId="2" borderId="31" xfId="0" applyFont="1" applyFill="1" applyBorder="1" applyAlignment="1">
      <alignment horizontal="center" vertical="center"/>
    </xf>
    <xf numFmtId="14" fontId="26" fillId="0" borderId="15" xfId="0" quotePrefix="1" applyNumberFormat="1" applyFont="1" applyBorder="1" applyAlignment="1">
      <alignment horizontal="center" vertical="center"/>
    </xf>
    <xf numFmtId="14" fontId="26" fillId="0" borderId="18" xfId="0" quotePrefix="1" applyNumberFormat="1" applyFont="1" applyBorder="1" applyAlignment="1">
      <alignment horizontal="center" vertical="center"/>
    </xf>
    <xf numFmtId="14" fontId="3" fillId="13" borderId="13" xfId="0" applyNumberFormat="1" applyFont="1" applyFill="1" applyBorder="1" applyAlignment="1">
      <alignment horizontal="left" vertical="center"/>
    </xf>
    <xf numFmtId="0" fontId="3" fillId="13" borderId="13" xfId="0" applyFont="1" applyFill="1" applyBorder="1" applyAlignment="1">
      <alignment horizontal="left" vertical="center"/>
    </xf>
    <xf numFmtId="0" fontId="3" fillId="13" borderId="7" xfId="0" applyFont="1" applyFill="1" applyBorder="1" applyAlignment="1">
      <alignment horizontal="left" vertical="center" wrapText="1"/>
    </xf>
    <xf numFmtId="0" fontId="3" fillId="13" borderId="8" xfId="0" applyFont="1" applyFill="1" applyBorder="1" applyAlignment="1">
      <alignment horizontal="left" vertical="center"/>
    </xf>
    <xf numFmtId="0" fontId="3" fillId="13" borderId="12" xfId="0" applyFont="1" applyFill="1" applyBorder="1" applyAlignment="1">
      <alignment horizontal="left" vertical="center"/>
    </xf>
    <xf numFmtId="0" fontId="3" fillId="13" borderId="8" xfId="0" applyFont="1" applyFill="1" applyBorder="1" applyAlignment="1">
      <alignment horizontal="center" vertical="center" shrinkToFit="1"/>
    </xf>
    <xf numFmtId="0" fontId="3" fillId="13" borderId="7" xfId="0" applyFont="1" applyFill="1" applyBorder="1" applyAlignment="1">
      <alignment vertical="center" wrapText="1" shrinkToFit="1"/>
    </xf>
    <xf numFmtId="0" fontId="3" fillId="13" borderId="8" xfId="0" applyFont="1" applyFill="1" applyBorder="1" applyAlignment="1">
      <alignment vertical="center" wrapText="1" shrinkToFit="1"/>
    </xf>
    <xf numFmtId="0" fontId="3" fillId="13" borderId="12" xfId="0" applyFont="1" applyFill="1" applyBorder="1" applyAlignment="1">
      <alignment vertical="center" wrapText="1" shrinkToFit="1"/>
    </xf>
    <xf numFmtId="14" fontId="17" fillId="13" borderId="13" xfId="0" applyNumberFormat="1" applyFont="1" applyFill="1" applyBorder="1" applyAlignment="1">
      <alignment horizontal="center" vertical="center"/>
    </xf>
    <xf numFmtId="0" fontId="17" fillId="13" borderId="13" xfId="0" applyFont="1" applyFill="1" applyBorder="1" applyAlignment="1">
      <alignment horizontal="center" vertical="center"/>
    </xf>
    <xf numFmtId="0" fontId="3" fillId="13" borderId="8" xfId="0" applyFont="1" applyFill="1" applyBorder="1" applyAlignment="1">
      <alignment horizontal="center" vertical="center"/>
    </xf>
    <xf numFmtId="0" fontId="3" fillId="13" borderId="7" xfId="0" applyFont="1" applyFill="1" applyBorder="1" applyAlignment="1">
      <alignment horizontal="left" vertical="center"/>
    </xf>
    <xf numFmtId="14" fontId="17" fillId="13" borderId="7" xfId="0" applyNumberFormat="1" applyFont="1" applyFill="1" applyBorder="1" applyAlignment="1">
      <alignment horizontal="center" vertical="center"/>
    </xf>
    <xf numFmtId="14" fontId="17" fillId="13" borderId="12" xfId="0" applyNumberFormat="1" applyFont="1" applyFill="1" applyBorder="1" applyAlignment="1">
      <alignment horizontal="center" vertical="center"/>
    </xf>
    <xf numFmtId="14" fontId="17" fillId="13" borderId="8" xfId="0" applyNumberFormat="1" applyFont="1" applyFill="1" applyBorder="1" applyAlignment="1">
      <alignment horizontal="center" vertical="center"/>
    </xf>
    <xf numFmtId="0" fontId="3" fillId="13" borderId="8" xfId="0" applyFont="1" applyFill="1" applyBorder="1" applyAlignment="1">
      <alignment horizontal="left" vertical="center" wrapText="1"/>
    </xf>
    <xf numFmtId="0" fontId="3" fillId="13" borderId="12" xfId="0" applyFont="1" applyFill="1" applyBorder="1" applyAlignment="1">
      <alignment horizontal="left" vertical="center" wrapText="1"/>
    </xf>
    <xf numFmtId="14" fontId="3" fillId="13" borderId="7" xfId="0" applyNumberFormat="1" applyFont="1" applyFill="1" applyBorder="1" applyAlignment="1">
      <alignment horizontal="left" vertical="center"/>
    </xf>
    <xf numFmtId="14" fontId="3" fillId="13" borderId="8" xfId="0" applyNumberFormat="1" applyFont="1" applyFill="1" applyBorder="1" applyAlignment="1">
      <alignment horizontal="left" vertical="center"/>
    </xf>
    <xf numFmtId="14" fontId="3" fillId="13" borderId="12" xfId="0" applyNumberFormat="1" applyFont="1" applyFill="1" applyBorder="1" applyAlignment="1">
      <alignment horizontal="left" vertical="center"/>
    </xf>
    <xf numFmtId="14" fontId="3" fillId="13" borderId="13" xfId="0" applyNumberFormat="1" applyFont="1" applyFill="1" applyBorder="1" applyAlignment="1">
      <alignment horizontal="left" vertical="center" wrapText="1"/>
    </xf>
    <xf numFmtId="0" fontId="3" fillId="13" borderId="13" xfId="0" applyFont="1" applyFill="1" applyBorder="1" applyAlignment="1">
      <alignment horizontal="left" vertical="center" wrapText="1"/>
    </xf>
    <xf numFmtId="0" fontId="3" fillId="10" borderId="43" xfId="0" applyFont="1" applyFill="1" applyBorder="1" applyAlignment="1">
      <alignment horizontal="center" vertical="center"/>
    </xf>
    <xf numFmtId="0" fontId="3" fillId="11" borderId="13" xfId="0" applyFont="1" applyFill="1" applyBorder="1" applyAlignment="1">
      <alignment horizontal="center" vertical="center"/>
    </xf>
    <xf numFmtId="0" fontId="3" fillId="11" borderId="7" xfId="0" applyFont="1" applyFill="1" applyBorder="1" applyAlignment="1">
      <alignment horizontal="center" vertical="center" shrinkToFit="1"/>
    </xf>
    <xf numFmtId="0" fontId="3" fillId="11" borderId="8" xfId="0" applyFont="1" applyFill="1" applyBorder="1" applyAlignment="1">
      <alignment horizontal="center" vertical="center" shrinkToFit="1"/>
    </xf>
    <xf numFmtId="0" fontId="3" fillId="11" borderId="12" xfId="0" applyFont="1" applyFill="1" applyBorder="1" applyAlignment="1">
      <alignment horizontal="center" vertical="center" shrinkToFit="1"/>
    </xf>
    <xf numFmtId="0" fontId="12" fillId="11" borderId="7" xfId="0" applyFont="1" applyFill="1" applyBorder="1" applyAlignment="1">
      <alignment horizontal="center" vertical="center" shrinkToFit="1"/>
    </xf>
    <xf numFmtId="0" fontId="12" fillId="11" borderId="8" xfId="0" applyFont="1" applyFill="1" applyBorder="1" applyAlignment="1">
      <alignment horizontal="center" vertical="center" shrinkToFit="1"/>
    </xf>
    <xf numFmtId="0" fontId="12" fillId="11" borderId="12" xfId="0" applyFont="1" applyFill="1" applyBorder="1" applyAlignment="1">
      <alignment horizontal="center" vertical="center" shrinkToFit="1"/>
    </xf>
    <xf numFmtId="0" fontId="3" fillId="11" borderId="7" xfId="0" applyFont="1" applyFill="1" applyBorder="1" applyAlignment="1">
      <alignment horizontal="center" vertical="center"/>
    </xf>
    <xf numFmtId="0" fontId="3" fillId="11" borderId="8" xfId="0" applyFont="1" applyFill="1" applyBorder="1" applyAlignment="1">
      <alignment horizontal="center" vertical="center"/>
    </xf>
    <xf numFmtId="0" fontId="3" fillId="11" borderId="12" xfId="0" applyFont="1" applyFill="1" applyBorder="1" applyAlignment="1">
      <alignment horizontal="center" vertical="center"/>
    </xf>
    <xf numFmtId="0" fontId="3" fillId="5" borderId="7" xfId="0" applyFont="1" applyFill="1" applyBorder="1" applyAlignment="1">
      <alignment horizontal="center" vertical="center" wrapText="1" shrinkToFit="1"/>
    </xf>
    <xf numFmtId="0" fontId="3" fillId="5" borderId="12" xfId="0" applyFont="1" applyFill="1" applyBorder="1" applyAlignment="1">
      <alignment horizontal="center" vertical="center" wrapText="1" shrinkToFit="1"/>
    </xf>
    <xf numFmtId="0" fontId="12" fillId="11" borderId="7" xfId="0" applyFont="1" applyFill="1" applyBorder="1" applyAlignment="1">
      <alignment vertical="center" wrapText="1" shrinkToFit="1"/>
    </xf>
    <xf numFmtId="0" fontId="12" fillId="11" borderId="8" xfId="0" applyFont="1" applyFill="1" applyBorder="1" applyAlignment="1">
      <alignment vertical="center" wrapText="1" shrinkToFit="1"/>
    </xf>
    <xf numFmtId="0" fontId="12" fillId="11" borderId="12" xfId="0" applyFont="1" applyFill="1" applyBorder="1" applyAlignment="1">
      <alignment vertical="center" wrapText="1" shrinkToFit="1"/>
    </xf>
    <xf numFmtId="0" fontId="3" fillId="11" borderId="13" xfId="0" applyFont="1" applyFill="1" applyBorder="1" applyAlignment="1">
      <alignment horizontal="left" vertical="center"/>
    </xf>
    <xf numFmtId="14" fontId="3" fillId="13" borderId="18" xfId="0" applyNumberFormat="1" applyFont="1" applyFill="1" applyBorder="1" applyAlignment="1">
      <alignment horizontal="left" vertical="center"/>
    </xf>
    <xf numFmtId="0" fontId="3" fillId="13" borderId="18" xfId="0" applyFont="1" applyFill="1" applyBorder="1" applyAlignment="1">
      <alignment horizontal="left" vertical="center"/>
    </xf>
    <xf numFmtId="0" fontId="3" fillId="13" borderId="3" xfId="0" applyFont="1" applyFill="1" applyBorder="1" applyAlignment="1">
      <alignment vertical="center" wrapText="1" shrinkToFit="1"/>
    </xf>
    <xf numFmtId="14" fontId="17" fillId="13" borderId="7" xfId="0" applyNumberFormat="1" applyFont="1" applyFill="1" applyBorder="1" applyAlignment="1">
      <alignment horizontal="center" vertical="center" wrapText="1"/>
    </xf>
    <xf numFmtId="0" fontId="17" fillId="13" borderId="7" xfId="0" applyFont="1" applyFill="1" applyBorder="1" applyAlignment="1">
      <alignment horizontal="left" vertical="center" shrinkToFit="1"/>
    </xf>
    <xf numFmtId="0" fontId="17" fillId="13" borderId="8" xfId="0" applyFont="1" applyFill="1" applyBorder="1" applyAlignment="1">
      <alignment horizontal="left" vertical="center" shrinkToFit="1"/>
    </xf>
    <xf numFmtId="0" fontId="17" fillId="13" borderId="12" xfId="0" applyFont="1" applyFill="1" applyBorder="1" applyAlignment="1">
      <alignment horizontal="left" vertical="center" shrinkToFit="1"/>
    </xf>
    <xf numFmtId="0" fontId="17" fillId="13" borderId="7" xfId="0" applyFont="1" applyFill="1" applyBorder="1" applyAlignment="1">
      <alignment horizontal="center" vertical="center"/>
    </xf>
    <xf numFmtId="0" fontId="17" fillId="13" borderId="8" xfId="0" applyFont="1" applyFill="1" applyBorder="1" applyAlignment="1">
      <alignment horizontal="center" vertical="center"/>
    </xf>
    <xf numFmtId="0" fontId="17" fillId="13" borderId="12" xfId="0" applyFont="1" applyFill="1" applyBorder="1" applyAlignment="1">
      <alignment horizontal="center" vertical="center"/>
    </xf>
    <xf numFmtId="0" fontId="17" fillId="13" borderId="8" xfId="0" applyFont="1" applyFill="1" applyBorder="1" applyAlignment="1">
      <alignment horizontal="left" vertical="center" wrapText="1" shrinkToFit="1"/>
    </xf>
    <xf numFmtId="0" fontId="17" fillId="13" borderId="7" xfId="0" applyFont="1" applyFill="1" applyBorder="1" applyAlignment="1">
      <alignment vertical="center" wrapText="1" shrinkToFit="1"/>
    </xf>
    <xf numFmtId="0" fontId="17" fillId="13" borderId="8" xfId="0" applyFont="1" applyFill="1" applyBorder="1" applyAlignment="1">
      <alignment vertical="center" wrapText="1" shrinkToFit="1"/>
    </xf>
    <xf numFmtId="0" fontId="17" fillId="13" borderId="12" xfId="0" applyFont="1" applyFill="1" applyBorder="1" applyAlignment="1">
      <alignment vertical="center" wrapText="1" shrinkToFit="1"/>
    </xf>
    <xf numFmtId="0" fontId="17" fillId="13" borderId="43" xfId="0" applyFont="1" applyFill="1" applyBorder="1" applyAlignment="1">
      <alignment vertical="center" wrapText="1" shrinkToFit="1"/>
    </xf>
    <xf numFmtId="0" fontId="3" fillId="13" borderId="7" xfId="0" applyFont="1" applyFill="1" applyBorder="1" applyAlignment="1">
      <alignment horizontal="center" vertical="center" wrapText="1"/>
    </xf>
    <xf numFmtId="0" fontId="3" fillId="13" borderId="8" xfId="0" applyFont="1" applyFill="1" applyBorder="1" applyAlignment="1">
      <alignment horizontal="center" vertical="center" wrapText="1"/>
    </xf>
    <xf numFmtId="0" fontId="32" fillId="13" borderId="7" xfId="0" applyFont="1" applyFill="1" applyBorder="1" applyAlignment="1">
      <alignment horizontal="center" vertical="center" wrapText="1" shrinkToFit="1"/>
    </xf>
    <xf numFmtId="0" fontId="32" fillId="13" borderId="8" xfId="0" applyFont="1" applyFill="1" applyBorder="1" applyAlignment="1">
      <alignment horizontal="center" vertical="center" wrapText="1" shrinkToFit="1"/>
    </xf>
    <xf numFmtId="0" fontId="32" fillId="13" borderId="12" xfId="0" applyFont="1" applyFill="1" applyBorder="1" applyAlignment="1">
      <alignment horizontal="center" vertical="center" wrapText="1" shrinkToFit="1"/>
    </xf>
    <xf numFmtId="0" fontId="32" fillId="13" borderId="7" xfId="0" applyFont="1" applyFill="1" applyBorder="1" applyAlignment="1">
      <alignment vertical="center" wrapText="1" shrinkToFit="1"/>
    </xf>
    <xf numFmtId="0" fontId="32" fillId="13" borderId="43" xfId="0" applyFont="1" applyFill="1" applyBorder="1" applyAlignment="1">
      <alignment vertical="center" wrapText="1" shrinkToFit="1"/>
    </xf>
    <xf numFmtId="0" fontId="32" fillId="13" borderId="12" xfId="0" applyFont="1" applyFill="1" applyBorder="1" applyAlignment="1">
      <alignment vertical="center" wrapText="1" shrinkToFit="1"/>
    </xf>
    <xf numFmtId="14" fontId="3" fillId="13" borderId="7" xfId="0" applyNumberFormat="1" applyFont="1" applyFill="1" applyBorder="1" applyAlignment="1">
      <alignment horizontal="left" vertical="center" wrapText="1"/>
    </xf>
    <xf numFmtId="14" fontId="3" fillId="13" borderId="8" xfId="0" applyNumberFormat="1" applyFont="1" applyFill="1" applyBorder="1" applyAlignment="1">
      <alignment horizontal="left" vertical="center" wrapText="1"/>
    </xf>
    <xf numFmtId="14" fontId="3" fillId="13" borderId="12" xfId="0" applyNumberFormat="1" applyFont="1" applyFill="1" applyBorder="1" applyAlignment="1">
      <alignment horizontal="left" vertical="center" wrapText="1"/>
    </xf>
    <xf numFmtId="14" fontId="17" fillId="13" borderId="8" xfId="0" applyNumberFormat="1" applyFont="1" applyFill="1" applyBorder="1" applyAlignment="1">
      <alignment horizontal="center" vertical="center" wrapText="1"/>
    </xf>
    <xf numFmtId="14" fontId="17" fillId="13" borderId="12" xfId="0" applyNumberFormat="1" applyFont="1" applyFill="1" applyBorder="1" applyAlignment="1">
      <alignment horizontal="center" vertical="center" wrapText="1"/>
    </xf>
    <xf numFmtId="0" fontId="32" fillId="13" borderId="8" xfId="0" applyFont="1" applyFill="1" applyBorder="1" applyAlignment="1">
      <alignment vertical="center" wrapText="1" shrinkToFit="1"/>
    </xf>
    <xf numFmtId="55" fontId="3" fillId="5" borderId="7" xfId="0" applyNumberFormat="1" applyFont="1" applyFill="1" applyBorder="1" applyAlignment="1">
      <alignment horizontal="center" vertical="center"/>
    </xf>
    <xf numFmtId="55" fontId="3" fillId="5" borderId="12" xfId="0" applyNumberFormat="1" applyFont="1" applyFill="1" applyBorder="1" applyAlignment="1">
      <alignment horizontal="center" vertical="center"/>
    </xf>
    <xf numFmtId="0" fontId="57" fillId="14" borderId="19" xfId="0" applyFont="1" applyFill="1" applyBorder="1" applyAlignment="1">
      <alignment horizontal="center" vertical="center"/>
    </xf>
  </cellXfs>
  <cellStyles count="9">
    <cellStyle name="0,0_x000d__x000a_NA_x000d__x000a_" xfId="7" xr:uid="{EDA1CAC7-77D4-4E83-9209-21BE04DC8B00}"/>
    <cellStyle name="Normal_(OST)Spring Batch Development_20130610" xfId="8" xr:uid="{58CD8A71-3DBB-4696-9574-8CE7C245F5BD}"/>
    <cellStyle name="パーセント" xfId="2" builtinId="5"/>
    <cellStyle name="ハイパーリンク" xfId="6" builtinId="8"/>
    <cellStyle name="桁区切り" xfId="1" builtinId="6"/>
    <cellStyle name="桁区切り 2" xfId="5" xr:uid="{00000000-0005-0000-0000-000003000000}"/>
    <cellStyle name="桁区切り 2 2" xfId="4" xr:uid="{00000000-0005-0000-0000-000004000000}"/>
    <cellStyle name="標準" xfId="0" builtinId="0"/>
    <cellStyle name="標準 2 3" xfId="3" xr:uid="{00000000-0005-0000-0000-000006000000}"/>
  </cellStyles>
  <dxfs count="55">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rgb="FFC00000"/>
        </patternFill>
      </fill>
    </dxf>
    <dxf>
      <fill>
        <patternFill>
          <bgColor rgb="FFFFC000"/>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C00000"/>
        </patternFill>
      </fill>
    </dxf>
    <dxf>
      <fill>
        <patternFill>
          <bgColor rgb="FFFFC000"/>
        </patternFill>
      </fill>
    </dxf>
    <dxf>
      <fill>
        <patternFill>
          <bgColor theme="0" tint="-0.34998626667073579"/>
        </patternFill>
      </fill>
    </dxf>
    <dxf>
      <fill>
        <patternFill>
          <bgColor rgb="FFC00000"/>
        </patternFill>
      </fill>
    </dxf>
    <dxf>
      <fill>
        <patternFill>
          <bgColor rgb="FFFFC000"/>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C00000"/>
        </patternFill>
      </fill>
    </dxf>
    <dxf>
      <fill>
        <patternFill>
          <bgColor rgb="FFFFC000"/>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C00000"/>
        </patternFill>
      </fill>
    </dxf>
    <dxf>
      <fill>
        <patternFill>
          <bgColor rgb="FFFFC000"/>
        </patternFill>
      </fill>
    </dxf>
    <dxf>
      <fill>
        <patternFill>
          <bgColor theme="0" tint="-0.34998626667073579"/>
        </patternFill>
      </fill>
    </dxf>
    <dxf>
      <fill>
        <patternFill>
          <bgColor rgb="FFFFC000"/>
        </patternFill>
      </fill>
    </dxf>
    <dxf>
      <fill>
        <patternFill>
          <bgColor theme="0" tint="-0.34998626667073579"/>
        </patternFill>
      </fill>
    </dxf>
    <dxf>
      <fill>
        <patternFill>
          <bgColor rgb="FFC00000"/>
        </patternFill>
      </fill>
    </dxf>
    <dxf>
      <fill>
        <patternFill>
          <bgColor theme="0" tint="-0.34998626667073579"/>
        </patternFill>
      </fill>
    </dxf>
    <dxf>
      <fill>
        <patternFill>
          <bgColor theme="0" tint="-0.34998626667073579"/>
        </patternFill>
      </fill>
    </dxf>
    <dxf>
      <fill>
        <patternFill>
          <bgColor rgb="FFC00000"/>
        </patternFill>
      </fill>
    </dxf>
    <dxf>
      <fill>
        <patternFill>
          <bgColor rgb="FFFFC000"/>
        </patternFill>
      </fill>
    </dxf>
    <dxf>
      <fill>
        <patternFill>
          <bgColor theme="0" tint="-0.34998626667073579"/>
        </patternFill>
      </fill>
    </dxf>
    <dxf>
      <fill>
        <patternFill>
          <bgColor rgb="FFC00000"/>
        </patternFill>
      </fill>
    </dxf>
    <dxf>
      <fill>
        <patternFill>
          <bgColor rgb="FFFFC000"/>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2" tint="-0.24994659260841701"/>
        </patternFill>
      </fill>
    </dxf>
    <dxf>
      <fill>
        <patternFill>
          <bgColor theme="2" tint="-0.24994659260841701"/>
        </patternFill>
      </fill>
    </dxf>
    <dxf>
      <fill>
        <patternFill>
          <bgColor theme="2" tint="-0.24994659260841701"/>
        </patternFill>
      </fill>
    </dxf>
  </dxfs>
  <tableStyles count="0" defaultTableStyle="TableStyleMedium2" defaultPivotStyle="PivotStyleLight16"/>
  <colors>
    <mruColors>
      <color rgb="FFFF7C8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9</xdr:col>
      <xdr:colOff>9525</xdr:colOff>
      <xdr:row>14</xdr:row>
      <xdr:rowOff>76200</xdr:rowOff>
    </xdr:from>
    <xdr:to>
      <xdr:col>26</xdr:col>
      <xdr:colOff>276225</xdr:colOff>
      <xdr:row>129</xdr:row>
      <xdr:rowOff>133350</xdr:rowOff>
    </xdr:to>
    <xdr:pic>
      <xdr:nvPicPr>
        <xdr:cNvPr id="2" name="図 1">
          <a:extLst>
            <a:ext uri="{FF2B5EF4-FFF2-40B4-BE49-F238E27FC236}">
              <a16:creationId xmlns:a16="http://schemas.microsoft.com/office/drawing/2014/main" id="{00000000-0008-0000-0000-000002000000}"/>
            </a:ext>
          </a:extLst>
        </xdr:cNvPr>
        <xdr:cNvPicPr>
          <a:picLocks noChangeAspect="1"/>
        </xdr:cNvPicPr>
      </xdr:nvPicPr>
      <xdr:blipFill rotWithShape="1">
        <a:blip xmlns:r="http://schemas.openxmlformats.org/officeDocument/2006/relationships" r:embed="rId1"/>
        <a:srcRect l="604" r="4820" b="5737"/>
        <a:stretch/>
      </xdr:blipFill>
      <xdr:spPr>
        <a:xfrm>
          <a:off x="7810500" y="476250"/>
          <a:ext cx="11925300" cy="4181475"/>
        </a:xfrm>
        <a:prstGeom prst="rect">
          <a:avLst/>
        </a:prstGeom>
      </xdr:spPr>
    </xdr:pic>
    <xdr:clientData/>
  </xdr:twoCellAnchor>
  <xdr:twoCellAnchor>
    <xdr:from>
      <xdr:col>5</xdr:col>
      <xdr:colOff>152401</xdr:colOff>
      <xdr:row>18</xdr:row>
      <xdr:rowOff>704850</xdr:rowOff>
    </xdr:from>
    <xdr:to>
      <xdr:col>6</xdr:col>
      <xdr:colOff>161926</xdr:colOff>
      <xdr:row>18</xdr:row>
      <xdr:rowOff>923925</xdr:rowOff>
    </xdr:to>
    <xdr:sp macro="" textlink="">
      <xdr:nvSpPr>
        <xdr:cNvPr id="3" name="正方形/長方形 2">
          <a:extLst>
            <a:ext uri="{FF2B5EF4-FFF2-40B4-BE49-F238E27FC236}">
              <a16:creationId xmlns:a16="http://schemas.microsoft.com/office/drawing/2014/main" id="{00000000-0008-0000-0000-000003000000}"/>
            </a:ext>
          </a:extLst>
        </xdr:cNvPr>
        <xdr:cNvSpPr/>
      </xdr:nvSpPr>
      <xdr:spPr>
        <a:xfrm>
          <a:off x="5600701" y="476250"/>
          <a:ext cx="514350" cy="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161926</xdr:colOff>
      <xdr:row>18</xdr:row>
      <xdr:rowOff>814388</xdr:rowOff>
    </xdr:from>
    <xdr:to>
      <xdr:col>17</xdr:col>
      <xdr:colOff>28576</xdr:colOff>
      <xdr:row>18</xdr:row>
      <xdr:rowOff>1228726</xdr:rowOff>
    </xdr:to>
    <xdr:cxnSp macro="">
      <xdr:nvCxnSpPr>
        <xdr:cNvPr id="4" name="カギ線コネクタ 3">
          <a:extLst>
            <a:ext uri="{FF2B5EF4-FFF2-40B4-BE49-F238E27FC236}">
              <a16:creationId xmlns:a16="http://schemas.microsoft.com/office/drawing/2014/main" id="{00000000-0008-0000-0000-000004000000}"/>
            </a:ext>
          </a:extLst>
        </xdr:cNvPr>
        <xdr:cNvCxnSpPr>
          <a:stCxn id="3" idx="3"/>
          <a:endCxn id="5" idx="1"/>
        </xdr:cNvCxnSpPr>
      </xdr:nvCxnSpPr>
      <xdr:spPr>
        <a:xfrm>
          <a:off x="6115051" y="476250"/>
          <a:ext cx="7200900" cy="0"/>
        </a:xfrm>
        <a:prstGeom prst="bentConnector3">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28576</xdr:colOff>
      <xdr:row>18</xdr:row>
      <xdr:rowOff>1143001</xdr:rowOff>
    </xdr:from>
    <xdr:to>
      <xdr:col>17</xdr:col>
      <xdr:colOff>428626</xdr:colOff>
      <xdr:row>18</xdr:row>
      <xdr:rowOff>1314451</xdr:rowOff>
    </xdr:to>
    <xdr:sp macro="" textlink="">
      <xdr:nvSpPr>
        <xdr:cNvPr id="5" name="正方形/長方形 4">
          <a:extLst>
            <a:ext uri="{FF2B5EF4-FFF2-40B4-BE49-F238E27FC236}">
              <a16:creationId xmlns:a16="http://schemas.microsoft.com/office/drawing/2014/main" id="{00000000-0008-0000-0000-000005000000}"/>
            </a:ext>
          </a:extLst>
        </xdr:cNvPr>
        <xdr:cNvSpPr/>
      </xdr:nvSpPr>
      <xdr:spPr>
        <a:xfrm>
          <a:off x="13315951" y="476250"/>
          <a:ext cx="400050" cy="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16</xdr:col>
      <xdr:colOff>553859</xdr:colOff>
      <xdr:row>3</xdr:row>
      <xdr:rowOff>185260</xdr:rowOff>
    </xdr:from>
    <xdr:to>
      <xdr:col>18</xdr:col>
      <xdr:colOff>29508</xdr:colOff>
      <xdr:row>206</xdr:row>
      <xdr:rowOff>378142</xdr:rowOff>
    </xdr:to>
    <xdr:sp macro="" textlink="">
      <xdr:nvSpPr>
        <xdr:cNvPr id="2" name="正方形/長方形 1">
          <a:extLst>
            <a:ext uri="{FF2B5EF4-FFF2-40B4-BE49-F238E27FC236}">
              <a16:creationId xmlns:a16="http://schemas.microsoft.com/office/drawing/2014/main" id="{1A8B15A0-9175-47C8-B714-13BDBD3F6A0F}"/>
            </a:ext>
          </a:extLst>
        </xdr:cNvPr>
        <xdr:cNvSpPr/>
      </xdr:nvSpPr>
      <xdr:spPr>
        <a:xfrm>
          <a:off x="13210203" y="1078229"/>
          <a:ext cx="642461" cy="28041601"/>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27</xdr:col>
      <xdr:colOff>257175</xdr:colOff>
      <xdr:row>0</xdr:row>
      <xdr:rowOff>95250</xdr:rowOff>
    </xdr:from>
    <xdr:to>
      <xdr:col>31</xdr:col>
      <xdr:colOff>76201</xdr:colOff>
      <xdr:row>10</xdr:row>
      <xdr:rowOff>85725</xdr:rowOff>
    </xdr:to>
    <xdr:sp macro="" textlink="">
      <xdr:nvSpPr>
        <xdr:cNvPr id="2" name="正方形/長方形 1">
          <a:extLst>
            <a:ext uri="{FF2B5EF4-FFF2-40B4-BE49-F238E27FC236}">
              <a16:creationId xmlns:a16="http://schemas.microsoft.com/office/drawing/2014/main" id="{00000000-0008-0000-0400-000002000000}"/>
            </a:ext>
          </a:extLst>
        </xdr:cNvPr>
        <xdr:cNvSpPr/>
      </xdr:nvSpPr>
      <xdr:spPr>
        <a:xfrm>
          <a:off x="8191500" y="95250"/>
          <a:ext cx="923926" cy="2466975"/>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2800</xdr:colOff>
      <xdr:row>45</xdr:row>
      <xdr:rowOff>232522</xdr:rowOff>
    </xdr:from>
    <xdr:to>
      <xdr:col>31</xdr:col>
      <xdr:colOff>1</xdr:colOff>
      <xdr:row>53</xdr:row>
      <xdr:rowOff>235323</xdr:rowOff>
    </xdr:to>
    <xdr:sp macro="" textlink="">
      <xdr:nvSpPr>
        <xdr:cNvPr id="5" name="正方形/長方形 4">
          <a:extLst>
            <a:ext uri="{FF2B5EF4-FFF2-40B4-BE49-F238E27FC236}">
              <a16:creationId xmlns:a16="http://schemas.microsoft.com/office/drawing/2014/main" id="{9FF7AEF7-7CE2-478A-8092-F0B1A31936C9}"/>
            </a:ext>
          </a:extLst>
        </xdr:cNvPr>
        <xdr:cNvSpPr/>
      </xdr:nvSpPr>
      <xdr:spPr>
        <a:xfrm>
          <a:off x="8564094" y="1218640"/>
          <a:ext cx="837642" cy="1975036"/>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15687</xdr:colOff>
      <xdr:row>45</xdr:row>
      <xdr:rowOff>221876</xdr:rowOff>
    </xdr:from>
    <xdr:to>
      <xdr:col>26</xdr:col>
      <xdr:colOff>17930</xdr:colOff>
      <xdr:row>53</xdr:row>
      <xdr:rowOff>233083</xdr:rowOff>
    </xdr:to>
    <xdr:sp macro="" textlink="">
      <xdr:nvSpPr>
        <xdr:cNvPr id="4" name="正方形/長方形 3">
          <a:extLst>
            <a:ext uri="{FF2B5EF4-FFF2-40B4-BE49-F238E27FC236}">
              <a16:creationId xmlns:a16="http://schemas.microsoft.com/office/drawing/2014/main" id="{E9D59E16-AE85-4938-8201-D6AE6A721753}"/>
            </a:ext>
          </a:extLst>
        </xdr:cNvPr>
        <xdr:cNvSpPr/>
      </xdr:nvSpPr>
      <xdr:spPr>
        <a:xfrm>
          <a:off x="7456393" y="1207994"/>
          <a:ext cx="562537" cy="1983442"/>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1355911</xdr:colOff>
      <xdr:row>14</xdr:row>
      <xdr:rowOff>235328</xdr:rowOff>
    </xdr:from>
    <xdr:to>
      <xdr:col>9</xdr:col>
      <xdr:colOff>3921</xdr:colOff>
      <xdr:row>16</xdr:row>
      <xdr:rowOff>0</xdr:rowOff>
    </xdr:to>
    <xdr:sp macro="" textlink="">
      <xdr:nvSpPr>
        <xdr:cNvPr id="6" name="正方形/長方形 5">
          <a:extLst>
            <a:ext uri="{FF2B5EF4-FFF2-40B4-BE49-F238E27FC236}">
              <a16:creationId xmlns:a16="http://schemas.microsoft.com/office/drawing/2014/main" id="{F40DE63C-F321-48CD-9EBE-1C218B1FE61B}"/>
            </a:ext>
          </a:extLst>
        </xdr:cNvPr>
        <xdr:cNvSpPr/>
      </xdr:nvSpPr>
      <xdr:spPr>
        <a:xfrm>
          <a:off x="7485529" y="3686740"/>
          <a:ext cx="3701863" cy="257731"/>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0</xdr:col>
      <xdr:colOff>322730</xdr:colOff>
      <xdr:row>24</xdr:row>
      <xdr:rowOff>2242</xdr:rowOff>
    </xdr:from>
    <xdr:to>
      <xdr:col>4</xdr:col>
      <xdr:colOff>13448</xdr:colOff>
      <xdr:row>26</xdr:row>
      <xdr:rowOff>224117</xdr:rowOff>
    </xdr:to>
    <xdr:sp macro="" textlink="">
      <xdr:nvSpPr>
        <xdr:cNvPr id="7" name="正方形/長方形 6">
          <a:extLst>
            <a:ext uri="{FF2B5EF4-FFF2-40B4-BE49-F238E27FC236}">
              <a16:creationId xmlns:a16="http://schemas.microsoft.com/office/drawing/2014/main" id="{919FBE86-7AC7-4F23-91B6-C81532F7A8E1}"/>
            </a:ext>
          </a:extLst>
        </xdr:cNvPr>
        <xdr:cNvSpPr/>
      </xdr:nvSpPr>
      <xdr:spPr>
        <a:xfrm>
          <a:off x="322730" y="5918948"/>
          <a:ext cx="4935071" cy="714934"/>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708210</xdr:colOff>
      <xdr:row>0</xdr:row>
      <xdr:rowOff>0</xdr:rowOff>
    </xdr:from>
    <xdr:to>
      <xdr:col>6</xdr:col>
      <xdr:colOff>24653</xdr:colOff>
      <xdr:row>15</xdr:row>
      <xdr:rowOff>230841</xdr:rowOff>
    </xdr:to>
    <xdr:sp macro="" textlink="">
      <xdr:nvSpPr>
        <xdr:cNvPr id="2" name="正方形/長方形 1">
          <a:extLst>
            <a:ext uri="{FF2B5EF4-FFF2-40B4-BE49-F238E27FC236}">
              <a16:creationId xmlns:a16="http://schemas.microsoft.com/office/drawing/2014/main" id="{438ADC99-3401-4524-A86D-29E7FFCE336F}"/>
            </a:ext>
          </a:extLst>
        </xdr:cNvPr>
        <xdr:cNvSpPr/>
      </xdr:nvSpPr>
      <xdr:spPr>
        <a:xfrm>
          <a:off x="4554069" y="0"/>
          <a:ext cx="768725" cy="3745006"/>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Sys.dir.co.jp\document\&#37096;&#23460;&#21029;&#12456;&#12522;&#12450;\B50_&#37329;&#34701;&#12501;&#12525;&#12531;&#12488;&#12471;&#12473;&#12486;&#12512;&#37096;\PUBLIC\&#12497;&#12540;&#12488;&#12490;&#12540;\DAT\SS_ALL\09%20Weekly%20Report\(WB4)&#36913;&#27425;&#22577;&#21578;_20250327-0402\(WB4)&#26696;&#20214;&#65294;&#35201;&#21729;&#24773;&#22577;_202404-202503.xlsx" TargetMode="External"/><Relationship Id="rId1" Type="http://schemas.openxmlformats.org/officeDocument/2006/relationships/externalLinkPath" Target="file:///\\Sys.dir.co.jp\document\&#37096;&#23460;&#21029;&#12456;&#12522;&#12450;\B50_&#37329;&#34701;&#12501;&#12525;&#12531;&#12488;&#12471;&#12473;&#12486;&#12512;&#37096;\PUBLIC\&#12497;&#12540;&#12488;&#12490;&#12540;\DAT\SS_ALL\09%20Weekly%20Report\(WB4)&#36913;&#27425;&#22577;&#21578;_20250327-0402\(WB4)&#26696;&#20214;&#65294;&#35201;&#21729;&#24773;&#22577;_202404-20250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説明"/>
      <sheetName val="案件．要員情報まとめ"/>
      <sheetName val="案件．要員情報"/>
      <sheetName val="週次報告"/>
      <sheetName val="休暇"/>
      <sheetName val="祝日"/>
      <sheetName val="DIRタスク対応の人月まとめ"/>
      <sheetName val="Not Available"/>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B2" t="str">
            <v>プロジェクト</v>
          </cell>
        </row>
        <row r="3">
          <cell r="B3" t="str">
            <v>定型</v>
          </cell>
        </row>
        <row r="4">
          <cell r="B4" t="str">
            <v>保守</v>
          </cell>
        </row>
        <row r="5">
          <cell r="B5" t="str">
            <v>ツール</v>
          </cell>
        </row>
        <row r="6">
          <cell r="B6" t="str">
            <v>管理</v>
          </cell>
        </row>
        <row r="7">
          <cell r="B7" t="str">
            <v>その他</v>
          </cell>
        </row>
        <row r="10">
          <cell r="B10" t="str">
            <v>未着手</v>
          </cell>
        </row>
        <row r="11">
          <cell r="B11" t="str">
            <v>着手中</v>
          </cell>
        </row>
        <row r="12">
          <cell r="B12" t="str">
            <v>遅延</v>
          </cell>
        </row>
        <row r="13">
          <cell r="B13" t="str">
            <v>完了</v>
          </cell>
        </row>
      </sheetData>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M119"/>
  <sheetViews>
    <sheetView zoomScaleNormal="100" workbookViewId="0"/>
  </sheetViews>
  <sheetFormatPr defaultRowHeight="18.75" outlineLevelRow="1" x14ac:dyDescent="0.4"/>
  <cols>
    <col min="1" max="1" width="7.25" style="161" customWidth="1"/>
    <col min="2" max="2" width="28.5" style="161" customWidth="1"/>
    <col min="3" max="3" width="20.75" style="161" customWidth="1"/>
    <col min="4" max="4" width="7.75" style="161" customWidth="1"/>
    <col min="5" max="5" width="7.25" style="161" customWidth="1"/>
    <col min="6" max="6" width="6.625" style="161" customWidth="1"/>
    <col min="7" max="8" width="7.625" style="161" customWidth="1"/>
    <col min="9" max="9" width="9" style="161"/>
  </cols>
  <sheetData>
    <row r="2" spans="1:13" x14ac:dyDescent="0.4">
      <c r="A2" s="159" t="s">
        <v>203</v>
      </c>
      <c r="B2" s="160" t="s">
        <v>204</v>
      </c>
      <c r="C2" s="160"/>
      <c r="D2" s="160"/>
    </row>
    <row r="3" spans="1:13" hidden="1" outlineLevel="1" x14ac:dyDescent="0.4">
      <c r="A3" s="159"/>
      <c r="B3" s="161" t="s">
        <v>205</v>
      </c>
      <c r="C3" s="160"/>
      <c r="D3" s="160"/>
      <c r="K3" s="162" t="s">
        <v>206</v>
      </c>
      <c r="L3" s="163" t="s">
        <v>207</v>
      </c>
    </row>
    <row r="4" spans="1:13" hidden="1" outlineLevel="1" x14ac:dyDescent="0.4">
      <c r="A4" s="159"/>
      <c r="B4" s="164" t="s">
        <v>208</v>
      </c>
      <c r="C4" s="165" t="s">
        <v>209</v>
      </c>
      <c r="D4" s="360" t="s">
        <v>210</v>
      </c>
      <c r="E4" s="360"/>
      <c r="F4" s="360"/>
      <c r="G4" s="360"/>
      <c r="H4" s="360"/>
      <c r="L4" s="166" t="s">
        <v>211</v>
      </c>
      <c r="M4" t="s">
        <v>212</v>
      </c>
    </row>
    <row r="5" spans="1:13" hidden="1" outlineLevel="1" x14ac:dyDescent="0.4">
      <c r="A5" s="159"/>
      <c r="B5" s="167"/>
      <c r="C5" s="168" t="s">
        <v>213</v>
      </c>
      <c r="D5" s="361" t="s">
        <v>214</v>
      </c>
      <c r="E5" s="361"/>
      <c r="F5" s="361"/>
      <c r="G5" s="361"/>
      <c r="H5" s="361"/>
      <c r="L5" s="166" t="s">
        <v>215</v>
      </c>
      <c r="M5" t="s">
        <v>216</v>
      </c>
    </row>
    <row r="6" spans="1:13" ht="30.75" hidden="1" customHeight="1" outlineLevel="1" x14ac:dyDescent="0.4">
      <c r="A6" s="160"/>
      <c r="C6" s="168" t="s">
        <v>86</v>
      </c>
      <c r="D6" s="362" t="s">
        <v>217</v>
      </c>
      <c r="E6" s="362"/>
      <c r="F6" s="362"/>
      <c r="G6" s="362"/>
      <c r="H6" s="362"/>
    </row>
    <row r="7" spans="1:13" hidden="1" outlineLevel="1" x14ac:dyDescent="0.4">
      <c r="A7" s="160"/>
      <c r="C7" s="168" t="s">
        <v>218</v>
      </c>
      <c r="D7" s="363" t="s">
        <v>219</v>
      </c>
      <c r="E7" s="363"/>
      <c r="F7" s="363"/>
      <c r="G7" s="363"/>
      <c r="H7" s="363"/>
      <c r="L7" t="s">
        <v>220</v>
      </c>
    </row>
    <row r="8" spans="1:13" hidden="1" outlineLevel="1" x14ac:dyDescent="0.4">
      <c r="A8" s="160"/>
      <c r="C8" s="168" t="s">
        <v>221</v>
      </c>
      <c r="D8" s="363" t="s">
        <v>222</v>
      </c>
      <c r="E8" s="363"/>
      <c r="F8" s="363"/>
      <c r="G8" s="363"/>
      <c r="H8" s="363"/>
      <c r="L8" t="s">
        <v>223</v>
      </c>
    </row>
    <row r="9" spans="1:13" hidden="1" outlineLevel="1" x14ac:dyDescent="0.4">
      <c r="A9" s="160"/>
      <c r="C9" s="168" t="s">
        <v>224</v>
      </c>
      <c r="D9" s="363" t="s">
        <v>225</v>
      </c>
      <c r="E9" s="363"/>
      <c r="F9" s="363"/>
      <c r="G9" s="363"/>
      <c r="H9" s="363"/>
      <c r="L9" t="s">
        <v>226</v>
      </c>
    </row>
    <row r="10" spans="1:13" hidden="1" outlineLevel="1" x14ac:dyDescent="0.4">
      <c r="A10" s="160"/>
      <c r="C10" s="168" t="s">
        <v>227</v>
      </c>
      <c r="D10" s="363" t="s">
        <v>228</v>
      </c>
      <c r="E10" s="363"/>
      <c r="F10" s="363"/>
      <c r="G10" s="363"/>
      <c r="H10" s="363"/>
    </row>
    <row r="11" spans="1:13" hidden="1" outlineLevel="1" x14ac:dyDescent="0.4">
      <c r="A11" s="160"/>
      <c r="C11" s="168" t="s">
        <v>229</v>
      </c>
      <c r="D11" s="363" t="s">
        <v>230</v>
      </c>
      <c r="E11" s="363"/>
      <c r="F11" s="363"/>
      <c r="G11" s="363"/>
      <c r="H11" s="363"/>
    </row>
    <row r="12" spans="1:13" hidden="1" outlineLevel="1" x14ac:dyDescent="0.4">
      <c r="A12" s="160"/>
      <c r="C12" s="168" t="s">
        <v>231</v>
      </c>
      <c r="D12" s="363" t="s">
        <v>232</v>
      </c>
      <c r="E12" s="363"/>
      <c r="F12" s="363"/>
      <c r="G12" s="363"/>
      <c r="H12" s="363"/>
    </row>
    <row r="13" spans="1:13" hidden="1" outlineLevel="1" x14ac:dyDescent="0.4">
      <c r="A13" s="160"/>
      <c r="C13" s="169"/>
      <c r="D13" s="169"/>
      <c r="E13" s="169"/>
      <c r="F13" s="169"/>
      <c r="G13" s="169"/>
      <c r="H13" s="169"/>
    </row>
    <row r="14" spans="1:13" hidden="1" outlineLevel="1" x14ac:dyDescent="0.4">
      <c r="A14" s="160"/>
      <c r="C14" s="169"/>
      <c r="D14" s="169"/>
      <c r="E14" s="169"/>
      <c r="F14" s="169"/>
      <c r="G14" s="169"/>
      <c r="H14" s="169"/>
      <c r="I14" s="161" t="s">
        <v>233</v>
      </c>
      <c r="J14" s="166" t="s">
        <v>234</v>
      </c>
    </row>
    <row r="15" spans="1:13" hidden="1" outlineLevel="1" x14ac:dyDescent="0.4">
      <c r="A15" s="160"/>
      <c r="B15" s="164" t="s">
        <v>235</v>
      </c>
      <c r="C15" s="165" t="s">
        <v>236</v>
      </c>
      <c r="D15" s="360" t="s">
        <v>237</v>
      </c>
      <c r="E15" s="360"/>
      <c r="F15" s="360"/>
      <c r="G15" s="360"/>
      <c r="H15" s="360"/>
    </row>
    <row r="16" spans="1:13" ht="45" hidden="1" customHeight="1" outlineLevel="1" x14ac:dyDescent="0.4">
      <c r="A16" s="160"/>
      <c r="C16" s="168" t="s">
        <v>238</v>
      </c>
      <c r="D16" s="362" t="s">
        <v>239</v>
      </c>
      <c r="E16" s="362"/>
      <c r="F16" s="362"/>
      <c r="G16" s="362"/>
      <c r="H16" s="362"/>
    </row>
    <row r="17" spans="1:10" ht="81.75" hidden="1" customHeight="1" outlineLevel="1" x14ac:dyDescent="0.4">
      <c r="A17" s="160"/>
      <c r="C17" s="354" t="s">
        <v>170</v>
      </c>
      <c r="D17" s="357" t="s">
        <v>240</v>
      </c>
      <c r="E17" s="357"/>
      <c r="F17" s="357"/>
      <c r="G17" s="357"/>
      <c r="H17" s="357"/>
    </row>
    <row r="18" spans="1:10" ht="78" hidden="1" customHeight="1" outlineLevel="1" x14ac:dyDescent="0.4">
      <c r="A18" s="160"/>
      <c r="C18" s="355"/>
      <c r="D18" s="358" t="s">
        <v>241</v>
      </c>
      <c r="E18" s="358"/>
      <c r="F18" s="358"/>
      <c r="G18" s="358"/>
      <c r="H18" s="358"/>
    </row>
    <row r="19" spans="1:10" ht="112.5" hidden="1" customHeight="1" outlineLevel="1" x14ac:dyDescent="0.4">
      <c r="A19" s="160"/>
      <c r="C19" s="356"/>
      <c r="D19" s="359" t="s">
        <v>242</v>
      </c>
      <c r="E19" s="359"/>
      <c r="F19" s="359"/>
      <c r="G19" s="359"/>
      <c r="H19" s="359"/>
    </row>
    <row r="20" spans="1:10" s="173" customFormat="1" hidden="1" outlineLevel="1" x14ac:dyDescent="0.4">
      <c r="A20" s="170"/>
      <c r="B20" s="171"/>
      <c r="C20" s="172"/>
      <c r="D20" s="172"/>
      <c r="E20" s="172"/>
      <c r="F20" s="172"/>
      <c r="G20" s="172"/>
      <c r="H20" s="172"/>
      <c r="I20" s="171"/>
    </row>
    <row r="21" spans="1:10" s="173" customFormat="1" hidden="1" outlineLevel="1" x14ac:dyDescent="0.4">
      <c r="A21" s="170"/>
      <c r="B21" s="164" t="s">
        <v>243</v>
      </c>
      <c r="C21" s="165" t="s">
        <v>236</v>
      </c>
      <c r="D21" s="360" t="s">
        <v>244</v>
      </c>
      <c r="E21" s="360"/>
      <c r="F21" s="360"/>
      <c r="G21" s="360"/>
      <c r="H21" s="360"/>
      <c r="I21" s="171"/>
    </row>
    <row r="22" spans="1:10" s="173" customFormat="1" ht="52.5" hidden="1" customHeight="1" outlineLevel="1" x14ac:dyDescent="0.4">
      <c r="A22" s="170"/>
      <c r="B22" s="171"/>
      <c r="C22" s="354" t="s">
        <v>245</v>
      </c>
      <c r="D22" s="362" t="s">
        <v>246</v>
      </c>
      <c r="E22" s="362"/>
      <c r="F22" s="362"/>
      <c r="G22" s="362"/>
      <c r="H22" s="362"/>
      <c r="I22" s="171"/>
    </row>
    <row r="23" spans="1:10" s="173" customFormat="1" ht="84" hidden="1" customHeight="1" outlineLevel="1" x14ac:dyDescent="0.4">
      <c r="A23" s="170"/>
      <c r="B23" s="171"/>
      <c r="C23" s="366"/>
      <c r="D23" s="362" t="s">
        <v>247</v>
      </c>
      <c r="E23" s="362"/>
      <c r="F23" s="362"/>
      <c r="G23" s="362"/>
      <c r="H23" s="362"/>
      <c r="I23" s="171"/>
      <c r="J23" s="174"/>
    </row>
    <row r="24" spans="1:10" s="173" customFormat="1" hidden="1" outlineLevel="1" x14ac:dyDescent="0.4">
      <c r="A24" s="170"/>
      <c r="B24" s="171"/>
      <c r="C24" s="172"/>
      <c r="D24" s="172"/>
      <c r="E24" s="172"/>
      <c r="F24" s="172"/>
      <c r="G24" s="172"/>
      <c r="H24" s="172"/>
      <c r="I24" s="171"/>
    </row>
    <row r="25" spans="1:10" s="173" customFormat="1" hidden="1" outlineLevel="1" x14ac:dyDescent="0.4">
      <c r="A25" s="170"/>
      <c r="B25" s="161" t="s">
        <v>248</v>
      </c>
      <c r="C25" s="172"/>
      <c r="D25" s="172"/>
      <c r="E25" s="172"/>
      <c r="F25" s="172"/>
      <c r="G25" s="172"/>
      <c r="H25" s="172"/>
      <c r="I25" s="171"/>
    </row>
    <row r="26" spans="1:10" s="173" customFormat="1" hidden="1" outlineLevel="1" x14ac:dyDescent="0.4">
      <c r="A26" s="170"/>
      <c r="B26" s="161"/>
      <c r="C26" s="172"/>
      <c r="D26" s="172"/>
      <c r="E26" s="172"/>
      <c r="F26" s="172"/>
      <c r="G26" s="172"/>
      <c r="H26" s="172"/>
      <c r="I26" s="171"/>
    </row>
    <row r="27" spans="1:10" s="173" customFormat="1" ht="33" hidden="1" outlineLevel="1" x14ac:dyDescent="0.4">
      <c r="A27" s="170"/>
      <c r="B27" s="175" t="s">
        <v>249</v>
      </c>
      <c r="C27" s="165" t="s">
        <v>250</v>
      </c>
      <c r="D27" s="360" t="s">
        <v>237</v>
      </c>
      <c r="E27" s="360"/>
      <c r="F27" s="360"/>
      <c r="G27" s="360"/>
      <c r="H27" s="360"/>
      <c r="I27" s="171"/>
    </row>
    <row r="28" spans="1:10" s="173" customFormat="1" ht="56.25" hidden="1" customHeight="1" outlineLevel="1" x14ac:dyDescent="0.4">
      <c r="A28" s="170"/>
      <c r="B28" s="364"/>
      <c r="C28" s="168" t="s">
        <v>251</v>
      </c>
      <c r="D28" s="367" t="s">
        <v>252</v>
      </c>
      <c r="E28" s="367"/>
      <c r="F28" s="367"/>
      <c r="G28" s="367"/>
      <c r="H28" s="367"/>
      <c r="I28" s="171"/>
    </row>
    <row r="29" spans="1:10" s="173" customFormat="1" ht="53.25" hidden="1" customHeight="1" outlineLevel="1" x14ac:dyDescent="0.4">
      <c r="A29" s="170"/>
      <c r="B29" s="364"/>
      <c r="C29" s="168" t="s">
        <v>253</v>
      </c>
      <c r="D29" s="367" t="s">
        <v>254</v>
      </c>
      <c r="E29" s="367"/>
      <c r="F29" s="367"/>
      <c r="G29" s="367"/>
      <c r="H29" s="367"/>
      <c r="I29" s="171"/>
    </row>
    <row r="30" spans="1:10" s="173" customFormat="1" ht="96.75" hidden="1" customHeight="1" outlineLevel="1" x14ac:dyDescent="0.4">
      <c r="A30" s="170"/>
      <c r="B30" s="161"/>
      <c r="C30" s="168" t="s">
        <v>255</v>
      </c>
      <c r="D30" s="367" t="s">
        <v>256</v>
      </c>
      <c r="E30" s="367"/>
      <c r="F30" s="367"/>
      <c r="G30" s="367"/>
      <c r="H30" s="367"/>
      <c r="I30" s="171"/>
    </row>
    <row r="31" spans="1:10" s="173" customFormat="1" ht="105" hidden="1" customHeight="1" outlineLevel="1" x14ac:dyDescent="0.4">
      <c r="A31" s="170"/>
      <c r="B31" s="161"/>
      <c r="C31" s="168" t="s">
        <v>257</v>
      </c>
      <c r="D31" s="367" t="s">
        <v>258</v>
      </c>
      <c r="E31" s="367"/>
      <c r="F31" s="367"/>
      <c r="G31" s="367"/>
      <c r="H31" s="367"/>
      <c r="I31" s="171"/>
    </row>
    <row r="32" spans="1:10" s="173" customFormat="1" ht="108" hidden="1" customHeight="1" outlineLevel="1" x14ac:dyDescent="0.4">
      <c r="A32" s="170"/>
      <c r="B32" s="161"/>
      <c r="C32" s="176" t="s">
        <v>259</v>
      </c>
      <c r="D32" s="367" t="s">
        <v>260</v>
      </c>
      <c r="E32" s="367"/>
      <c r="F32" s="367"/>
      <c r="G32" s="367"/>
      <c r="H32" s="367"/>
      <c r="I32" s="171"/>
    </row>
    <row r="33" spans="1:10" s="173" customFormat="1" ht="84" hidden="1" customHeight="1" outlineLevel="1" x14ac:dyDescent="0.4">
      <c r="A33" s="170"/>
      <c r="B33" s="161"/>
      <c r="C33" s="168" t="s">
        <v>41</v>
      </c>
      <c r="D33" s="367" t="s">
        <v>261</v>
      </c>
      <c r="E33" s="367"/>
      <c r="F33" s="367"/>
      <c r="G33" s="367"/>
      <c r="H33" s="367"/>
      <c r="I33" s="171"/>
    </row>
    <row r="34" spans="1:10" s="173" customFormat="1" hidden="1" outlineLevel="1" x14ac:dyDescent="0.4">
      <c r="A34" s="170"/>
      <c r="B34" s="171"/>
      <c r="C34" s="172"/>
      <c r="D34" s="172"/>
      <c r="E34" s="172"/>
      <c r="F34" s="172"/>
      <c r="G34" s="172"/>
      <c r="H34" s="172"/>
      <c r="I34" s="171"/>
    </row>
    <row r="35" spans="1:10" s="173" customFormat="1" hidden="1" outlineLevel="1" x14ac:dyDescent="0.4">
      <c r="A35" s="170"/>
      <c r="B35" s="177" t="s">
        <v>243</v>
      </c>
      <c r="C35" s="165" t="s">
        <v>236</v>
      </c>
      <c r="D35" s="360" t="s">
        <v>244</v>
      </c>
      <c r="E35" s="360"/>
      <c r="F35" s="360"/>
      <c r="G35" s="360"/>
      <c r="H35" s="360"/>
      <c r="I35" s="171"/>
    </row>
    <row r="36" spans="1:10" s="173" customFormat="1" ht="34.5" hidden="1" customHeight="1" outlineLevel="1" x14ac:dyDescent="0.4">
      <c r="A36" s="170"/>
      <c r="B36" s="364"/>
      <c r="C36" s="168" t="s">
        <v>251</v>
      </c>
      <c r="D36" s="365" t="s">
        <v>262</v>
      </c>
      <c r="E36" s="365"/>
      <c r="F36" s="365"/>
      <c r="G36" s="365"/>
      <c r="H36" s="365"/>
      <c r="I36" s="171"/>
    </row>
    <row r="37" spans="1:10" s="173" customFormat="1" ht="53.25" hidden="1" customHeight="1" outlineLevel="1" x14ac:dyDescent="0.4">
      <c r="A37" s="170"/>
      <c r="B37" s="364"/>
      <c r="C37" s="168" t="s">
        <v>253</v>
      </c>
      <c r="D37" s="362" t="s">
        <v>263</v>
      </c>
      <c r="E37" s="362"/>
      <c r="F37" s="362"/>
      <c r="G37" s="362"/>
      <c r="H37" s="362"/>
      <c r="I37" s="171"/>
    </row>
    <row r="38" spans="1:10" s="173" customFormat="1" ht="34.5" hidden="1" customHeight="1" outlineLevel="1" x14ac:dyDescent="0.4">
      <c r="A38" s="170"/>
      <c r="B38" s="161"/>
      <c r="C38" s="168" t="s">
        <v>255</v>
      </c>
      <c r="D38" s="365" t="s">
        <v>262</v>
      </c>
      <c r="E38" s="365"/>
      <c r="F38" s="365"/>
      <c r="G38" s="365"/>
      <c r="H38" s="365"/>
      <c r="I38" s="171"/>
      <c r="J38" s="178"/>
    </row>
    <row r="39" spans="1:10" s="173" customFormat="1" ht="78.75" hidden="1" customHeight="1" outlineLevel="1" x14ac:dyDescent="0.4">
      <c r="A39" s="170"/>
      <c r="B39" s="161"/>
      <c r="C39" s="168" t="s">
        <v>257</v>
      </c>
      <c r="D39" s="362" t="s">
        <v>264</v>
      </c>
      <c r="E39" s="362"/>
      <c r="F39" s="362"/>
      <c r="G39" s="362"/>
      <c r="H39" s="362"/>
      <c r="I39" s="171"/>
    </row>
    <row r="40" spans="1:10" s="173" customFormat="1" ht="105" hidden="1" customHeight="1" outlineLevel="1" x14ac:dyDescent="0.4">
      <c r="A40" s="170"/>
      <c r="B40" s="161"/>
      <c r="C40" s="176" t="s">
        <v>259</v>
      </c>
      <c r="D40" s="367" t="s">
        <v>265</v>
      </c>
      <c r="E40" s="367"/>
      <c r="F40" s="367"/>
      <c r="G40" s="367"/>
      <c r="H40" s="367"/>
      <c r="I40" s="171"/>
    </row>
    <row r="41" spans="1:10" s="173" customFormat="1" ht="53.25" hidden="1" customHeight="1" outlineLevel="1" x14ac:dyDescent="0.4">
      <c r="A41" s="170"/>
      <c r="B41" s="161"/>
      <c r="C41" s="168" t="s">
        <v>41</v>
      </c>
      <c r="D41" s="362" t="s">
        <v>266</v>
      </c>
      <c r="E41" s="362"/>
      <c r="F41" s="362"/>
      <c r="G41" s="362"/>
      <c r="H41" s="362"/>
      <c r="I41" s="171"/>
    </row>
    <row r="42" spans="1:10" s="173" customFormat="1" hidden="1" outlineLevel="1" x14ac:dyDescent="0.4">
      <c r="A42" s="170"/>
      <c r="B42" s="171"/>
      <c r="C42" s="172"/>
      <c r="D42" s="172"/>
      <c r="E42" s="172"/>
      <c r="F42" s="172"/>
      <c r="G42" s="172"/>
      <c r="H42" s="172"/>
      <c r="I42" s="171"/>
    </row>
    <row r="43" spans="1:10" s="173" customFormat="1" hidden="1" outlineLevel="1" x14ac:dyDescent="0.4">
      <c r="A43" s="170"/>
      <c r="B43" s="161" t="s">
        <v>267</v>
      </c>
      <c r="C43" s="172"/>
      <c r="D43" s="172"/>
      <c r="E43" s="172"/>
      <c r="F43" s="172"/>
      <c r="G43" s="172"/>
      <c r="H43" s="172"/>
      <c r="I43" s="171"/>
    </row>
    <row r="44" spans="1:10" s="173" customFormat="1" hidden="1" outlineLevel="1" x14ac:dyDescent="0.4">
      <c r="A44" s="170"/>
      <c r="B44" s="161"/>
      <c r="C44" s="172"/>
      <c r="D44" s="172"/>
      <c r="E44" s="172"/>
      <c r="F44" s="172"/>
      <c r="G44" s="172"/>
      <c r="H44" s="172"/>
      <c r="I44" s="171"/>
    </row>
    <row r="45" spans="1:10" s="173" customFormat="1" ht="33" hidden="1" outlineLevel="1" x14ac:dyDescent="0.4">
      <c r="A45" s="170"/>
      <c r="B45" s="175" t="s">
        <v>249</v>
      </c>
      <c r="C45" s="165" t="s">
        <v>250</v>
      </c>
      <c r="D45" s="360" t="s">
        <v>237</v>
      </c>
      <c r="E45" s="360"/>
      <c r="F45" s="360"/>
      <c r="G45" s="360"/>
      <c r="H45" s="360"/>
      <c r="I45" s="171"/>
    </row>
    <row r="46" spans="1:10" s="173" customFormat="1" ht="48" hidden="1" customHeight="1" outlineLevel="1" x14ac:dyDescent="0.4">
      <c r="A46" s="170"/>
      <c r="B46" s="364"/>
      <c r="C46" s="179" t="s">
        <v>268</v>
      </c>
      <c r="D46" s="367" t="s">
        <v>269</v>
      </c>
      <c r="E46" s="367"/>
      <c r="F46" s="367"/>
      <c r="G46" s="367"/>
      <c r="H46" s="367"/>
      <c r="I46" s="171"/>
    </row>
    <row r="47" spans="1:10" s="173" customFormat="1" ht="38.25" hidden="1" customHeight="1" outlineLevel="1" x14ac:dyDescent="0.4">
      <c r="A47" s="170"/>
      <c r="B47" s="364"/>
      <c r="C47" s="179" t="s">
        <v>270</v>
      </c>
      <c r="D47" s="367" t="s">
        <v>271</v>
      </c>
      <c r="E47" s="367"/>
      <c r="F47" s="367"/>
      <c r="G47" s="367"/>
      <c r="H47" s="367"/>
      <c r="I47" s="171"/>
    </row>
    <row r="48" spans="1:10" s="173" customFormat="1" ht="60" hidden="1" customHeight="1" outlineLevel="1" x14ac:dyDescent="0.4">
      <c r="A48" s="170"/>
      <c r="B48" s="161"/>
      <c r="C48" s="179" t="s">
        <v>272</v>
      </c>
      <c r="D48" s="362" t="s">
        <v>273</v>
      </c>
      <c r="E48" s="362"/>
      <c r="F48" s="362"/>
      <c r="G48" s="362"/>
      <c r="H48" s="362"/>
      <c r="I48" s="171"/>
    </row>
    <row r="49" spans="1:13" s="173" customFormat="1" ht="85.5" hidden="1" customHeight="1" outlineLevel="1" x14ac:dyDescent="0.4">
      <c r="A49" s="170"/>
      <c r="B49" s="161"/>
      <c r="C49" s="179" t="s">
        <v>274</v>
      </c>
      <c r="D49" s="367" t="s">
        <v>275</v>
      </c>
      <c r="E49" s="367"/>
      <c r="F49" s="367"/>
      <c r="G49" s="367"/>
      <c r="H49" s="367"/>
      <c r="I49" s="171"/>
    </row>
    <row r="50" spans="1:13" s="173" customFormat="1" ht="57.75" hidden="1" customHeight="1" outlineLevel="1" x14ac:dyDescent="0.4">
      <c r="A50" s="170"/>
      <c r="B50" s="161"/>
      <c r="C50" s="180" t="s">
        <v>22</v>
      </c>
      <c r="D50" s="362" t="s">
        <v>276</v>
      </c>
      <c r="E50" s="365"/>
      <c r="F50" s="365"/>
      <c r="G50" s="365"/>
      <c r="H50" s="365"/>
      <c r="I50" s="171"/>
    </row>
    <row r="51" spans="1:13" s="173" customFormat="1" ht="48.75" hidden="1" customHeight="1" outlineLevel="1" x14ac:dyDescent="0.4">
      <c r="A51" s="170"/>
      <c r="B51" s="161"/>
      <c r="C51" s="179" t="s">
        <v>23</v>
      </c>
      <c r="D51" s="365" t="s">
        <v>277</v>
      </c>
      <c r="E51" s="365"/>
      <c r="F51" s="365"/>
      <c r="G51" s="365"/>
      <c r="H51" s="365"/>
      <c r="I51" s="171"/>
    </row>
    <row r="52" spans="1:13" s="173" customFormat="1" hidden="1" outlineLevel="1" x14ac:dyDescent="0.4">
      <c r="A52" s="170"/>
      <c r="B52" s="171"/>
      <c r="C52" s="172"/>
      <c r="D52" s="172"/>
      <c r="E52" s="172"/>
      <c r="F52" s="172"/>
      <c r="G52" s="172"/>
      <c r="H52" s="172"/>
      <c r="I52" s="171"/>
    </row>
    <row r="53" spans="1:13" s="173" customFormat="1" hidden="1" outlineLevel="1" x14ac:dyDescent="0.4">
      <c r="A53" s="170"/>
      <c r="B53" s="177" t="s">
        <v>243</v>
      </c>
      <c r="C53" s="165" t="s">
        <v>236</v>
      </c>
      <c r="D53" s="360" t="s">
        <v>244</v>
      </c>
      <c r="E53" s="360"/>
      <c r="F53" s="360"/>
      <c r="G53" s="360"/>
      <c r="H53" s="360"/>
      <c r="I53" s="171"/>
    </row>
    <row r="54" spans="1:13" s="173" customFormat="1" ht="71.25" hidden="1" customHeight="1" outlineLevel="1" x14ac:dyDescent="0.4">
      <c r="A54" s="170"/>
      <c r="B54" s="364"/>
      <c r="C54" s="179" t="s">
        <v>268</v>
      </c>
      <c r="D54" s="367" t="s">
        <v>278</v>
      </c>
      <c r="E54" s="367"/>
      <c r="F54" s="367"/>
      <c r="G54" s="367"/>
      <c r="H54" s="367"/>
      <c r="I54" s="171"/>
    </row>
    <row r="55" spans="1:13" s="173" customFormat="1" ht="53.25" hidden="1" customHeight="1" outlineLevel="1" x14ac:dyDescent="0.4">
      <c r="A55" s="170"/>
      <c r="B55" s="364"/>
      <c r="C55" s="179" t="s">
        <v>279</v>
      </c>
      <c r="D55" s="362" t="s">
        <v>280</v>
      </c>
      <c r="E55" s="362"/>
      <c r="F55" s="362"/>
      <c r="G55" s="362"/>
      <c r="H55" s="362"/>
      <c r="I55" s="171"/>
    </row>
    <row r="56" spans="1:13" s="173" customFormat="1" ht="34.5" hidden="1" customHeight="1" outlineLevel="1" x14ac:dyDescent="0.4">
      <c r="A56" s="170"/>
      <c r="B56" s="161"/>
      <c r="C56" s="179" t="s">
        <v>272</v>
      </c>
      <c r="D56" s="362" t="s">
        <v>281</v>
      </c>
      <c r="E56" s="362"/>
      <c r="F56" s="362"/>
      <c r="G56" s="362"/>
      <c r="H56" s="362"/>
      <c r="I56" s="171"/>
      <c r="J56" s="178"/>
    </row>
    <row r="57" spans="1:13" s="173" customFormat="1" ht="49.5" hidden="1" customHeight="1" outlineLevel="1" x14ac:dyDescent="0.4">
      <c r="A57" s="170"/>
      <c r="B57" s="161"/>
      <c r="C57" s="179" t="s">
        <v>274</v>
      </c>
      <c r="D57" s="365" t="s">
        <v>262</v>
      </c>
      <c r="E57" s="365"/>
      <c r="F57" s="365"/>
      <c r="G57" s="365"/>
      <c r="H57" s="365"/>
      <c r="I57" s="171"/>
    </row>
    <row r="58" spans="1:13" s="173" customFormat="1" ht="76.5" hidden="1" customHeight="1" outlineLevel="1" x14ac:dyDescent="0.4">
      <c r="A58" s="170"/>
      <c r="B58" s="161"/>
      <c r="C58" s="176" t="s">
        <v>22</v>
      </c>
      <c r="D58" s="362" t="s">
        <v>282</v>
      </c>
      <c r="E58" s="362"/>
      <c r="F58" s="362"/>
      <c r="G58" s="362"/>
      <c r="H58" s="362"/>
      <c r="I58" s="171"/>
    </row>
    <row r="59" spans="1:13" s="173" customFormat="1" ht="53.25" hidden="1" customHeight="1" outlineLevel="1" x14ac:dyDescent="0.4">
      <c r="A59" s="170"/>
      <c r="B59" s="161"/>
      <c r="C59" s="179" t="s">
        <v>23</v>
      </c>
      <c r="D59" s="362" t="s">
        <v>283</v>
      </c>
      <c r="E59" s="362"/>
      <c r="F59" s="362"/>
      <c r="G59" s="362"/>
      <c r="H59" s="362"/>
      <c r="I59" s="171"/>
    </row>
    <row r="60" spans="1:13" s="173" customFormat="1" hidden="1" outlineLevel="1" x14ac:dyDescent="0.4">
      <c r="A60" s="170"/>
      <c r="B60" s="161"/>
      <c r="C60" s="172"/>
      <c r="D60" s="172"/>
      <c r="E60" s="172"/>
      <c r="F60" s="172"/>
      <c r="G60" s="172"/>
      <c r="H60" s="172"/>
      <c r="I60" s="171"/>
    </row>
    <row r="61" spans="1:13" s="173" customFormat="1" collapsed="1" x14ac:dyDescent="0.4">
      <c r="A61" s="170"/>
      <c r="B61" s="170"/>
      <c r="C61" s="170"/>
      <c r="D61" s="170"/>
      <c r="E61" s="171"/>
      <c r="F61" s="171"/>
      <c r="G61" s="171"/>
      <c r="H61" s="171"/>
      <c r="I61" s="171"/>
      <c r="L61" s="181"/>
      <c r="M61" s="182"/>
    </row>
    <row r="62" spans="1:13" x14ac:dyDescent="0.4">
      <c r="A62" s="159" t="s">
        <v>284</v>
      </c>
      <c r="B62" s="160" t="s">
        <v>285</v>
      </c>
      <c r="C62" s="160"/>
      <c r="D62" s="160"/>
      <c r="M62" s="166"/>
    </row>
    <row r="63" spans="1:13" hidden="1" outlineLevel="1" x14ac:dyDescent="0.4">
      <c r="A63" s="159"/>
      <c r="B63" s="161" t="s">
        <v>286</v>
      </c>
      <c r="C63" s="160"/>
      <c r="D63" s="160"/>
      <c r="M63" s="166"/>
    </row>
    <row r="64" spans="1:13" hidden="1" outlineLevel="1" x14ac:dyDescent="0.4">
      <c r="A64" s="159"/>
      <c r="B64" s="164" t="s">
        <v>208</v>
      </c>
      <c r="C64" s="165" t="s">
        <v>209</v>
      </c>
      <c r="D64" s="360" t="s">
        <v>210</v>
      </c>
      <c r="E64" s="360"/>
      <c r="F64" s="360"/>
      <c r="G64" s="360"/>
      <c r="H64" s="360"/>
    </row>
    <row r="65" spans="1:8" hidden="1" outlineLevel="1" x14ac:dyDescent="0.4">
      <c r="A65" s="159"/>
      <c r="B65" s="167"/>
      <c r="C65" s="168" t="s">
        <v>213</v>
      </c>
      <c r="D65" s="361" t="s">
        <v>214</v>
      </c>
      <c r="E65" s="361"/>
      <c r="F65" s="361"/>
      <c r="G65" s="361"/>
      <c r="H65" s="361"/>
    </row>
    <row r="66" spans="1:8" hidden="1" outlineLevel="1" x14ac:dyDescent="0.4">
      <c r="A66" s="160"/>
      <c r="C66" s="168" t="s">
        <v>287</v>
      </c>
      <c r="D66" s="361" t="s">
        <v>288</v>
      </c>
      <c r="E66" s="361"/>
      <c r="F66" s="361"/>
      <c r="G66" s="361"/>
      <c r="H66" s="361"/>
    </row>
    <row r="67" spans="1:8" hidden="1" outlineLevel="1" x14ac:dyDescent="0.4">
      <c r="A67" s="160"/>
      <c r="C67" s="168" t="s">
        <v>224</v>
      </c>
      <c r="D67" s="361" t="s">
        <v>225</v>
      </c>
      <c r="E67" s="361"/>
      <c r="F67" s="361"/>
      <c r="G67" s="361"/>
      <c r="H67" s="361"/>
    </row>
    <row r="68" spans="1:8" hidden="1" outlineLevel="1" x14ac:dyDescent="0.4">
      <c r="A68" s="160"/>
      <c r="C68" s="168" t="s">
        <v>227</v>
      </c>
      <c r="D68" s="361" t="s">
        <v>228</v>
      </c>
      <c r="E68" s="361"/>
      <c r="F68" s="361"/>
      <c r="G68" s="361"/>
      <c r="H68" s="361"/>
    </row>
    <row r="69" spans="1:8" hidden="1" outlineLevel="1" x14ac:dyDescent="0.4">
      <c r="A69" s="160"/>
      <c r="C69" s="168" t="s">
        <v>229</v>
      </c>
      <c r="D69" s="361" t="s">
        <v>230</v>
      </c>
      <c r="E69" s="361"/>
      <c r="F69" s="361"/>
      <c r="G69" s="361"/>
      <c r="H69" s="361"/>
    </row>
    <row r="70" spans="1:8" hidden="1" outlineLevel="1" x14ac:dyDescent="0.4">
      <c r="A70" s="160"/>
      <c r="C70" s="168" t="s">
        <v>289</v>
      </c>
      <c r="D70" s="361" t="s">
        <v>290</v>
      </c>
      <c r="E70" s="361"/>
      <c r="F70" s="361"/>
      <c r="G70" s="361"/>
      <c r="H70" s="361"/>
    </row>
    <row r="71" spans="1:8" hidden="1" outlineLevel="1" x14ac:dyDescent="0.4">
      <c r="A71" s="160"/>
      <c r="C71" s="168" t="s">
        <v>291</v>
      </c>
      <c r="D71" s="361" t="s">
        <v>292</v>
      </c>
      <c r="E71" s="361"/>
      <c r="F71" s="361"/>
      <c r="G71" s="361"/>
      <c r="H71" s="361"/>
    </row>
    <row r="72" spans="1:8" hidden="1" outlineLevel="1" x14ac:dyDescent="0.4">
      <c r="A72" s="160"/>
      <c r="C72" s="160"/>
      <c r="D72" s="160"/>
    </row>
    <row r="73" spans="1:8" hidden="1" outlineLevel="1" x14ac:dyDescent="0.4">
      <c r="A73" s="159"/>
      <c r="B73" s="161" t="s">
        <v>293</v>
      </c>
    </row>
    <row r="74" spans="1:8" hidden="1" outlineLevel="1" x14ac:dyDescent="0.4">
      <c r="A74" s="159"/>
      <c r="B74" s="164" t="s">
        <v>238</v>
      </c>
      <c r="C74" s="165" t="s">
        <v>294</v>
      </c>
      <c r="D74" s="360" t="s">
        <v>86</v>
      </c>
      <c r="E74" s="360"/>
      <c r="F74" s="360"/>
      <c r="G74" s="360"/>
      <c r="H74" s="360"/>
    </row>
    <row r="75" spans="1:8" hidden="1" outlineLevel="1" x14ac:dyDescent="0.4">
      <c r="A75" s="159"/>
      <c r="C75" s="168" t="s">
        <v>295</v>
      </c>
      <c r="D75" s="361" t="s">
        <v>296</v>
      </c>
      <c r="E75" s="361"/>
      <c r="F75" s="361"/>
      <c r="G75" s="361"/>
      <c r="H75" s="361"/>
    </row>
    <row r="76" spans="1:8" hidden="1" outlineLevel="1" x14ac:dyDescent="0.4">
      <c r="A76" s="159"/>
      <c r="C76" s="168" t="s">
        <v>297</v>
      </c>
      <c r="D76" s="361" t="s">
        <v>296</v>
      </c>
      <c r="E76" s="361"/>
      <c r="F76" s="361"/>
      <c r="G76" s="361"/>
      <c r="H76" s="361"/>
    </row>
    <row r="77" spans="1:8" hidden="1" outlineLevel="1" x14ac:dyDescent="0.4">
      <c r="A77" s="159"/>
      <c r="C77" s="168" t="s">
        <v>298</v>
      </c>
      <c r="D77" s="361" t="s">
        <v>296</v>
      </c>
      <c r="E77" s="361"/>
      <c r="F77" s="361"/>
      <c r="G77" s="361"/>
      <c r="H77" s="361"/>
    </row>
    <row r="78" spans="1:8" hidden="1" outlineLevel="1" x14ac:dyDescent="0.4">
      <c r="A78" s="159"/>
      <c r="C78" s="168" t="s">
        <v>299</v>
      </c>
      <c r="D78" s="361" t="s">
        <v>296</v>
      </c>
      <c r="E78" s="361"/>
      <c r="F78" s="361"/>
      <c r="G78" s="361"/>
      <c r="H78" s="361"/>
    </row>
    <row r="79" spans="1:8" hidden="1" outlineLevel="1" x14ac:dyDescent="0.4">
      <c r="A79" s="159"/>
      <c r="C79" s="169"/>
      <c r="D79" s="368"/>
      <c r="E79" s="368"/>
      <c r="F79" s="368"/>
      <c r="G79" s="368"/>
      <c r="H79" s="169"/>
    </row>
    <row r="80" spans="1:8" hidden="1" outlineLevel="1" x14ac:dyDescent="0.4">
      <c r="A80" s="160"/>
      <c r="B80" s="164" t="s">
        <v>300</v>
      </c>
      <c r="C80" s="165" t="s">
        <v>294</v>
      </c>
      <c r="D80" s="360" t="s">
        <v>86</v>
      </c>
      <c r="E80" s="360"/>
      <c r="F80" s="360"/>
      <c r="G80" s="360"/>
      <c r="H80" s="360"/>
    </row>
    <row r="81" spans="1:8" hidden="1" outlineLevel="1" x14ac:dyDescent="0.4">
      <c r="A81" s="160"/>
      <c r="B81" s="167"/>
      <c r="C81" s="168" t="s">
        <v>301</v>
      </c>
      <c r="D81" s="361" t="s">
        <v>296</v>
      </c>
      <c r="E81" s="361"/>
      <c r="F81" s="361"/>
      <c r="G81" s="361"/>
      <c r="H81" s="361"/>
    </row>
    <row r="82" spans="1:8" hidden="1" outlineLevel="1" x14ac:dyDescent="0.4">
      <c r="A82" s="160"/>
      <c r="B82" s="167"/>
      <c r="C82" s="168" t="s">
        <v>302</v>
      </c>
      <c r="D82" s="361" t="s">
        <v>296</v>
      </c>
      <c r="E82" s="361"/>
      <c r="F82" s="361"/>
      <c r="G82" s="361"/>
      <c r="H82" s="361"/>
    </row>
    <row r="83" spans="1:8" hidden="1" outlineLevel="1" x14ac:dyDescent="0.4">
      <c r="A83" s="160"/>
      <c r="B83" s="167"/>
      <c r="C83" s="168" t="s">
        <v>303</v>
      </c>
      <c r="D83" s="361" t="s">
        <v>296</v>
      </c>
      <c r="E83" s="361"/>
      <c r="F83" s="361"/>
      <c r="G83" s="361"/>
      <c r="H83" s="361"/>
    </row>
    <row r="84" spans="1:8" hidden="1" outlineLevel="1" x14ac:dyDescent="0.4">
      <c r="A84" s="160"/>
      <c r="B84" s="167"/>
      <c r="C84" s="168" t="s">
        <v>304</v>
      </c>
      <c r="D84" s="361" t="s">
        <v>296</v>
      </c>
      <c r="E84" s="361"/>
      <c r="F84" s="361"/>
      <c r="G84" s="361"/>
      <c r="H84" s="361"/>
    </row>
    <row r="85" spans="1:8" hidden="1" outlineLevel="1" x14ac:dyDescent="0.4">
      <c r="A85" s="160"/>
      <c r="B85" s="167"/>
      <c r="C85" s="168" t="s">
        <v>305</v>
      </c>
      <c r="D85" s="361" t="s">
        <v>296</v>
      </c>
      <c r="E85" s="361"/>
      <c r="F85" s="361"/>
      <c r="G85" s="361"/>
      <c r="H85" s="361"/>
    </row>
    <row r="86" spans="1:8" hidden="1" outlineLevel="1" x14ac:dyDescent="0.4">
      <c r="A86" s="160"/>
      <c r="B86" s="167"/>
      <c r="C86" s="168" t="s">
        <v>298</v>
      </c>
      <c r="D86" s="361" t="s">
        <v>296</v>
      </c>
      <c r="E86" s="361"/>
      <c r="F86" s="361"/>
      <c r="G86" s="361"/>
      <c r="H86" s="361"/>
    </row>
    <row r="87" spans="1:8" hidden="1" outlineLevel="1" x14ac:dyDescent="0.4">
      <c r="A87" s="160"/>
      <c r="B87" s="167"/>
      <c r="C87" s="168" t="s">
        <v>299</v>
      </c>
      <c r="D87" s="361" t="s">
        <v>296</v>
      </c>
      <c r="E87" s="361"/>
      <c r="F87" s="361"/>
      <c r="G87" s="361"/>
      <c r="H87" s="361"/>
    </row>
    <row r="88" spans="1:8" hidden="1" outlineLevel="1" x14ac:dyDescent="0.4">
      <c r="A88" s="160"/>
      <c r="B88" s="167"/>
      <c r="C88" s="183"/>
    </row>
    <row r="89" spans="1:8" hidden="1" outlineLevel="1" x14ac:dyDescent="0.4">
      <c r="A89" s="159"/>
      <c r="B89" s="164" t="s">
        <v>306</v>
      </c>
      <c r="C89" s="165" t="s">
        <v>294</v>
      </c>
      <c r="D89" s="360" t="s">
        <v>86</v>
      </c>
      <c r="E89" s="360"/>
      <c r="F89" s="360"/>
      <c r="G89" s="360"/>
      <c r="H89" s="360"/>
    </row>
    <row r="90" spans="1:8" hidden="1" outlineLevel="1" x14ac:dyDescent="0.4">
      <c r="A90" s="159"/>
      <c r="B90" s="167"/>
      <c r="C90" s="184" t="s">
        <v>307</v>
      </c>
      <c r="D90" s="361" t="s">
        <v>296</v>
      </c>
      <c r="E90" s="361"/>
      <c r="F90" s="361"/>
      <c r="G90" s="361"/>
      <c r="H90" s="361"/>
    </row>
    <row r="91" spans="1:8" hidden="1" outlineLevel="1" x14ac:dyDescent="0.4">
      <c r="A91" s="159"/>
      <c r="B91" s="167"/>
      <c r="C91" s="184" t="s">
        <v>308</v>
      </c>
      <c r="D91" s="361" t="s">
        <v>296</v>
      </c>
      <c r="E91" s="361"/>
      <c r="F91" s="361"/>
      <c r="G91" s="361"/>
      <c r="H91" s="361"/>
    </row>
    <row r="92" spans="1:8" hidden="1" outlineLevel="1" x14ac:dyDescent="0.4">
      <c r="A92" s="159"/>
      <c r="B92" s="167"/>
      <c r="C92" s="184" t="s">
        <v>304</v>
      </c>
      <c r="D92" s="361" t="s">
        <v>296</v>
      </c>
      <c r="E92" s="361"/>
      <c r="F92" s="361"/>
      <c r="G92" s="361"/>
      <c r="H92" s="361"/>
    </row>
    <row r="93" spans="1:8" hidden="1" outlineLevel="1" x14ac:dyDescent="0.4">
      <c r="A93" s="159"/>
      <c r="B93" s="167"/>
      <c r="C93" s="184" t="s">
        <v>309</v>
      </c>
      <c r="D93" s="361" t="s">
        <v>296</v>
      </c>
      <c r="E93" s="361"/>
      <c r="F93" s="361"/>
      <c r="G93" s="361"/>
      <c r="H93" s="361"/>
    </row>
    <row r="94" spans="1:8" hidden="1" outlineLevel="1" x14ac:dyDescent="0.4">
      <c r="A94" s="159"/>
      <c r="B94" s="167"/>
      <c r="C94" s="184" t="s">
        <v>310</v>
      </c>
      <c r="D94" s="361" t="s">
        <v>296</v>
      </c>
      <c r="E94" s="361"/>
      <c r="F94" s="361"/>
      <c r="G94" s="361"/>
      <c r="H94" s="361"/>
    </row>
    <row r="95" spans="1:8" hidden="1" outlineLevel="1" x14ac:dyDescent="0.4">
      <c r="A95" s="159"/>
      <c r="B95" s="167"/>
      <c r="C95" s="184" t="s">
        <v>311</v>
      </c>
      <c r="D95" s="361" t="s">
        <v>296</v>
      </c>
      <c r="E95" s="361"/>
      <c r="F95" s="361"/>
      <c r="G95" s="361"/>
      <c r="H95" s="361"/>
    </row>
    <row r="96" spans="1:8" hidden="1" outlineLevel="1" x14ac:dyDescent="0.4">
      <c r="A96" s="159"/>
      <c r="B96" s="167"/>
      <c r="C96" s="184" t="s">
        <v>299</v>
      </c>
      <c r="D96" s="361" t="s">
        <v>296</v>
      </c>
      <c r="E96" s="361"/>
      <c r="F96" s="361"/>
      <c r="G96" s="361"/>
      <c r="H96" s="361"/>
    </row>
    <row r="97" spans="1:8" hidden="1" outlineLevel="1" x14ac:dyDescent="0.4">
      <c r="A97" s="160"/>
      <c r="C97" s="183"/>
    </row>
    <row r="98" spans="1:8" hidden="1" outlineLevel="1" x14ac:dyDescent="0.4">
      <c r="A98" s="159"/>
      <c r="B98" s="164" t="s">
        <v>312</v>
      </c>
      <c r="C98" s="165" t="s">
        <v>313</v>
      </c>
      <c r="D98" s="360" t="s">
        <v>86</v>
      </c>
      <c r="E98" s="360"/>
      <c r="F98" s="360"/>
      <c r="G98" s="360"/>
      <c r="H98" s="360"/>
    </row>
    <row r="99" spans="1:8" hidden="1" outlineLevel="1" x14ac:dyDescent="0.4">
      <c r="A99" s="159"/>
      <c r="B99" s="164"/>
      <c r="C99" s="184" t="s">
        <v>307</v>
      </c>
      <c r="D99" s="361" t="s">
        <v>296</v>
      </c>
      <c r="E99" s="361"/>
      <c r="F99" s="361"/>
      <c r="G99" s="361"/>
      <c r="H99" s="361"/>
    </row>
    <row r="100" spans="1:8" hidden="1" outlineLevel="1" x14ac:dyDescent="0.4">
      <c r="A100" s="159"/>
      <c r="B100" s="164"/>
      <c r="C100" s="184" t="s">
        <v>308</v>
      </c>
      <c r="D100" s="361" t="s">
        <v>296</v>
      </c>
      <c r="E100" s="361"/>
      <c r="F100" s="361"/>
      <c r="G100" s="361"/>
      <c r="H100" s="361"/>
    </row>
    <row r="101" spans="1:8" hidden="1" outlineLevel="1" x14ac:dyDescent="0.4">
      <c r="A101" s="159"/>
      <c r="B101" s="164"/>
      <c r="C101" s="184" t="s">
        <v>304</v>
      </c>
      <c r="D101" s="361" t="s">
        <v>296</v>
      </c>
      <c r="E101" s="361"/>
      <c r="F101" s="361"/>
      <c r="G101" s="361"/>
      <c r="H101" s="361"/>
    </row>
    <row r="102" spans="1:8" hidden="1" outlineLevel="1" x14ac:dyDescent="0.4">
      <c r="A102" s="159"/>
      <c r="B102" s="164"/>
      <c r="C102" s="184" t="s">
        <v>309</v>
      </c>
      <c r="D102" s="361" t="s">
        <v>296</v>
      </c>
      <c r="E102" s="361"/>
      <c r="F102" s="361"/>
      <c r="G102" s="361"/>
      <c r="H102" s="361"/>
    </row>
    <row r="103" spans="1:8" hidden="1" outlineLevel="1" x14ac:dyDescent="0.4">
      <c r="A103" s="159"/>
      <c r="B103" s="167"/>
      <c r="C103" s="184" t="s">
        <v>311</v>
      </c>
      <c r="D103" s="361" t="s">
        <v>296</v>
      </c>
      <c r="E103" s="361"/>
      <c r="F103" s="361"/>
      <c r="G103" s="361"/>
      <c r="H103" s="361"/>
    </row>
    <row r="104" spans="1:8" hidden="1" outlineLevel="1" x14ac:dyDescent="0.4">
      <c r="A104" s="159"/>
      <c r="B104" s="167"/>
      <c r="C104" s="184" t="s">
        <v>299</v>
      </c>
      <c r="D104" s="361" t="s">
        <v>296</v>
      </c>
      <c r="E104" s="361"/>
      <c r="F104" s="361"/>
      <c r="G104" s="361"/>
      <c r="H104" s="361"/>
    </row>
    <row r="105" spans="1:8" collapsed="1" x14ac:dyDescent="0.4">
      <c r="A105" s="160"/>
      <c r="B105" s="160"/>
      <c r="C105" s="160"/>
      <c r="D105" s="160"/>
    </row>
    <row r="106" spans="1:8" x14ac:dyDescent="0.4">
      <c r="A106" s="159" t="s">
        <v>314</v>
      </c>
      <c r="B106" s="160" t="s">
        <v>315</v>
      </c>
      <c r="C106" s="160"/>
      <c r="D106" s="160"/>
    </row>
    <row r="107" spans="1:8" hidden="1" outlineLevel="1" x14ac:dyDescent="0.4">
      <c r="A107" s="159"/>
      <c r="B107" s="161" t="s">
        <v>316</v>
      </c>
      <c r="C107" s="160"/>
      <c r="D107" s="160"/>
    </row>
    <row r="108" spans="1:8" hidden="1" outlineLevel="1" x14ac:dyDescent="0.4">
      <c r="A108" s="159"/>
      <c r="B108" s="164" t="s">
        <v>317</v>
      </c>
      <c r="C108" s="165" t="s">
        <v>318</v>
      </c>
      <c r="D108" s="360" t="s">
        <v>319</v>
      </c>
      <c r="E108" s="360"/>
      <c r="F108" s="360"/>
      <c r="G108" s="360"/>
      <c r="H108" s="360"/>
    </row>
    <row r="109" spans="1:8" hidden="1" outlineLevel="1" x14ac:dyDescent="0.4">
      <c r="A109" s="159"/>
      <c r="B109" s="160"/>
      <c r="C109" s="168" t="s">
        <v>104</v>
      </c>
      <c r="D109" s="361" t="s">
        <v>320</v>
      </c>
      <c r="E109" s="361"/>
      <c r="F109" s="361"/>
      <c r="G109" s="361"/>
      <c r="H109" s="361"/>
    </row>
    <row r="110" spans="1:8" hidden="1" outlineLevel="1" x14ac:dyDescent="0.4">
      <c r="A110" s="159"/>
      <c r="B110" s="160"/>
      <c r="C110" s="168" t="s">
        <v>76</v>
      </c>
      <c r="D110" s="361" t="s">
        <v>321</v>
      </c>
      <c r="E110" s="361"/>
      <c r="F110" s="361"/>
      <c r="G110" s="361"/>
      <c r="H110" s="361"/>
    </row>
    <row r="111" spans="1:8" hidden="1" outlineLevel="1" x14ac:dyDescent="0.4">
      <c r="A111" s="159"/>
      <c r="B111" s="160"/>
      <c r="C111" s="168" t="s">
        <v>78</v>
      </c>
      <c r="D111" s="361" t="s">
        <v>322</v>
      </c>
      <c r="E111" s="361"/>
      <c r="F111" s="361"/>
      <c r="G111" s="361"/>
      <c r="H111" s="361"/>
    </row>
    <row r="112" spans="1:8" hidden="1" outlineLevel="1" x14ac:dyDescent="0.4">
      <c r="A112" s="159"/>
      <c r="B112" s="160"/>
      <c r="C112" s="168" t="s">
        <v>103</v>
      </c>
      <c r="D112" s="361" t="s">
        <v>323</v>
      </c>
      <c r="E112" s="361"/>
      <c r="F112" s="361"/>
      <c r="G112" s="361"/>
      <c r="H112" s="361"/>
    </row>
    <row r="113" spans="1:8" hidden="1" outlineLevel="1" x14ac:dyDescent="0.4">
      <c r="A113" s="159"/>
      <c r="B113" s="160"/>
      <c r="C113" s="168" t="s">
        <v>102</v>
      </c>
      <c r="D113" s="361" t="s">
        <v>324</v>
      </c>
      <c r="E113" s="361"/>
      <c r="F113" s="361"/>
      <c r="G113" s="361"/>
      <c r="H113" s="361"/>
    </row>
    <row r="114" spans="1:8" hidden="1" outlineLevel="1" x14ac:dyDescent="0.4">
      <c r="A114" s="159"/>
      <c r="B114" s="160"/>
      <c r="C114" s="168" t="s">
        <v>61</v>
      </c>
      <c r="D114" s="361" t="s">
        <v>325</v>
      </c>
      <c r="E114" s="361"/>
      <c r="F114" s="361"/>
      <c r="G114" s="361"/>
      <c r="H114" s="361"/>
    </row>
    <row r="115" spans="1:8" hidden="1" outlineLevel="1" x14ac:dyDescent="0.4">
      <c r="A115" s="159"/>
      <c r="B115" s="160"/>
      <c r="C115" s="184" t="s">
        <v>105</v>
      </c>
      <c r="D115" s="361" t="s">
        <v>326</v>
      </c>
      <c r="E115" s="361"/>
      <c r="F115" s="361"/>
      <c r="G115" s="361"/>
      <c r="H115" s="361"/>
    </row>
    <row r="116" spans="1:8" hidden="1" outlineLevel="1" x14ac:dyDescent="0.4">
      <c r="A116" s="159"/>
      <c r="B116" s="160"/>
      <c r="C116" s="184" t="s">
        <v>327</v>
      </c>
      <c r="D116" s="361" t="s">
        <v>328</v>
      </c>
      <c r="E116" s="361"/>
      <c r="F116" s="361"/>
      <c r="G116" s="361"/>
      <c r="H116" s="361"/>
    </row>
    <row r="117" spans="1:8" collapsed="1" x14ac:dyDescent="0.4">
      <c r="A117" s="160"/>
      <c r="B117" s="160"/>
    </row>
    <row r="118" spans="1:8" x14ac:dyDescent="0.4">
      <c r="A118" s="159" t="s">
        <v>329</v>
      </c>
      <c r="B118" s="160" t="s">
        <v>330</v>
      </c>
      <c r="C118" s="160"/>
      <c r="D118" s="160"/>
    </row>
    <row r="119" spans="1:8" x14ac:dyDescent="0.4">
      <c r="B119" s="161" t="s">
        <v>331</v>
      </c>
    </row>
  </sheetData>
  <mergeCells count="97">
    <mergeCell ref="D115:H115"/>
    <mergeCell ref="D116:H116"/>
    <mergeCell ref="D109:H109"/>
    <mergeCell ref="D110:H110"/>
    <mergeCell ref="D111:H111"/>
    <mergeCell ref="D112:H112"/>
    <mergeCell ref="D113:H113"/>
    <mergeCell ref="D114:H114"/>
    <mergeCell ref="D108:H108"/>
    <mergeCell ref="D93:H93"/>
    <mergeCell ref="D94:H94"/>
    <mergeCell ref="D95:H95"/>
    <mergeCell ref="D96:H96"/>
    <mergeCell ref="D98:H98"/>
    <mergeCell ref="D99:H99"/>
    <mergeCell ref="D100:H100"/>
    <mergeCell ref="D101:H101"/>
    <mergeCell ref="D102:H102"/>
    <mergeCell ref="D103:H103"/>
    <mergeCell ref="D104:H104"/>
    <mergeCell ref="D92:H92"/>
    <mergeCell ref="D80:H80"/>
    <mergeCell ref="D81:H81"/>
    <mergeCell ref="D82:H82"/>
    <mergeCell ref="D83:H83"/>
    <mergeCell ref="D84:H84"/>
    <mergeCell ref="D85:H85"/>
    <mergeCell ref="D86:H86"/>
    <mergeCell ref="D87:H87"/>
    <mergeCell ref="D89:H89"/>
    <mergeCell ref="D90:H90"/>
    <mergeCell ref="D91:H91"/>
    <mergeCell ref="D79:G79"/>
    <mergeCell ref="D66:H66"/>
    <mergeCell ref="D67:H67"/>
    <mergeCell ref="D68:H68"/>
    <mergeCell ref="D69:H69"/>
    <mergeCell ref="D70:H70"/>
    <mergeCell ref="D71:H71"/>
    <mergeCell ref="D74:H74"/>
    <mergeCell ref="D75:H75"/>
    <mergeCell ref="D76:H76"/>
    <mergeCell ref="D77:H77"/>
    <mergeCell ref="D78:H78"/>
    <mergeCell ref="D65:H65"/>
    <mergeCell ref="D48:H48"/>
    <mergeCell ref="D49:H49"/>
    <mergeCell ref="D50:H50"/>
    <mergeCell ref="D51:H51"/>
    <mergeCell ref="D53:H53"/>
    <mergeCell ref="D56:H56"/>
    <mergeCell ref="D57:H57"/>
    <mergeCell ref="D58:H58"/>
    <mergeCell ref="D59:H59"/>
    <mergeCell ref="D64:H64"/>
    <mergeCell ref="B54:B55"/>
    <mergeCell ref="D54:H54"/>
    <mergeCell ref="D55:H55"/>
    <mergeCell ref="D38:H38"/>
    <mergeCell ref="D39:H39"/>
    <mergeCell ref="D40:H40"/>
    <mergeCell ref="D41:H41"/>
    <mergeCell ref="D45:H45"/>
    <mergeCell ref="B46:B47"/>
    <mergeCell ref="D46:H46"/>
    <mergeCell ref="D47:H47"/>
    <mergeCell ref="B36:B37"/>
    <mergeCell ref="D36:H36"/>
    <mergeCell ref="D37:H37"/>
    <mergeCell ref="D21:H21"/>
    <mergeCell ref="C22:C23"/>
    <mergeCell ref="D22:H22"/>
    <mergeCell ref="D23:H23"/>
    <mergeCell ref="D27:H27"/>
    <mergeCell ref="B28:B29"/>
    <mergeCell ref="D28:H28"/>
    <mergeCell ref="D29:H29"/>
    <mergeCell ref="D30:H30"/>
    <mergeCell ref="D31:H31"/>
    <mergeCell ref="D32:H32"/>
    <mergeCell ref="D33:H33"/>
    <mergeCell ref="D35:H35"/>
    <mergeCell ref="C17:C19"/>
    <mergeCell ref="D17:H17"/>
    <mergeCell ref="D18:H18"/>
    <mergeCell ref="D19:H19"/>
    <mergeCell ref="D4:H4"/>
    <mergeCell ref="D5:H5"/>
    <mergeCell ref="D6:H6"/>
    <mergeCell ref="D7:H7"/>
    <mergeCell ref="D8:H8"/>
    <mergeCell ref="D9:H9"/>
    <mergeCell ref="D10:H10"/>
    <mergeCell ref="D11:H11"/>
    <mergeCell ref="D12:H12"/>
    <mergeCell ref="D15:H15"/>
    <mergeCell ref="D16:H16"/>
  </mergeCells>
  <phoneticPr fontId="2"/>
  <pageMargins left="0.7" right="0.7" top="0.75" bottom="0.75" header="0.3" footer="0.3"/>
  <pageSetup paperSize="9" orientation="portrait" verticalDpi="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AO239"/>
  <sheetViews>
    <sheetView showGridLines="0" zoomScale="80" zoomScaleNormal="80" workbookViewId="0">
      <pane xSplit="13" ySplit="5" topLeftCell="N6" activePane="bottomRight" state="frozen"/>
      <selection pane="topRight" activeCell="N1" sqref="N1"/>
      <selection pane="bottomLeft" activeCell="A7" sqref="A7"/>
      <selection pane="bottomRight"/>
    </sheetView>
  </sheetViews>
  <sheetFormatPr defaultColWidth="9" defaultRowHeight="20.100000000000001" customHeight="1" outlineLevelRow="1" x14ac:dyDescent="0.4"/>
  <cols>
    <col min="1" max="1" width="4.625" style="86" customWidth="1"/>
    <col min="2" max="3" width="8.375" style="86" bestFit="1" customWidth="1"/>
    <col min="4" max="4" width="9.5" style="86" bestFit="1" customWidth="1"/>
    <col min="5" max="5" width="20.875" style="86" customWidth="1"/>
    <col min="6" max="6" width="18.75" style="86" customWidth="1"/>
    <col min="7" max="7" width="61.875" style="90" customWidth="1"/>
    <col min="8" max="8" width="6.75" style="86" hidden="1" customWidth="1"/>
    <col min="9" max="9" width="7.375" style="86" hidden="1" customWidth="1"/>
    <col min="10" max="10" width="8.125" style="86" hidden="1" customWidth="1"/>
    <col min="11" max="11" width="9.625" style="86" hidden="1" customWidth="1"/>
    <col min="12" max="12" width="8.125" style="86" hidden="1" customWidth="1"/>
    <col min="13" max="13" width="12.625" style="86" customWidth="1"/>
    <col min="14" max="14" width="5.5" style="86" bestFit="1" customWidth="1"/>
    <col min="15" max="26" width="7.625" style="86" customWidth="1"/>
    <col min="27" max="27" width="5.875" style="86" customWidth="1" collapsed="1"/>
    <col min="28" max="31" width="5.875" style="86" customWidth="1"/>
    <col min="32" max="32" width="7" style="86" customWidth="1"/>
    <col min="33" max="33" width="9" style="86" customWidth="1"/>
    <col min="34" max="16384" width="9" style="86"/>
  </cols>
  <sheetData>
    <row r="1" spans="1:32" ht="30" customHeight="1" x14ac:dyDescent="0.4">
      <c r="A1" s="88" t="s">
        <v>36</v>
      </c>
      <c r="B1" s="89"/>
      <c r="C1" s="89"/>
      <c r="D1" s="89"/>
      <c r="E1" s="89"/>
      <c r="F1" s="89"/>
      <c r="G1" s="89"/>
      <c r="H1" s="89"/>
      <c r="I1" s="89"/>
      <c r="J1" s="89"/>
      <c r="K1" s="89"/>
      <c r="L1" s="89"/>
      <c r="M1" s="89"/>
      <c r="N1" s="89"/>
      <c r="O1" s="89"/>
      <c r="P1" s="89"/>
      <c r="Q1" s="89"/>
      <c r="R1" s="89"/>
      <c r="S1" s="76" t="s">
        <v>345</v>
      </c>
      <c r="T1" s="77"/>
      <c r="U1" s="77"/>
      <c r="V1" s="77"/>
      <c r="W1" s="77" t="s">
        <v>359</v>
      </c>
      <c r="X1" s="77"/>
      <c r="Y1" s="77"/>
      <c r="Z1" s="78"/>
      <c r="AA1" s="89"/>
      <c r="AB1" s="89"/>
      <c r="AC1" s="89"/>
      <c r="AD1" s="89"/>
      <c r="AE1" s="89"/>
      <c r="AF1" s="89"/>
    </row>
    <row r="2" spans="1:32" ht="20.25" customHeight="1" thickBot="1" x14ac:dyDescent="0.45">
      <c r="S2" s="79" t="s">
        <v>358</v>
      </c>
      <c r="T2" s="80"/>
      <c r="U2" s="80"/>
      <c r="V2" s="80"/>
      <c r="W2" s="80"/>
      <c r="X2" s="80"/>
      <c r="Y2" s="80"/>
      <c r="Z2" s="81"/>
    </row>
    <row r="3" spans="1:32" ht="20.100000000000001" customHeight="1" x14ac:dyDescent="0.4">
      <c r="A3" s="91" t="s">
        <v>17</v>
      </c>
    </row>
    <row r="4" spans="1:32" s="94" customFormat="1" ht="20.100000000000001" customHeight="1" x14ac:dyDescent="0.4">
      <c r="A4" s="373" t="s">
        <v>0</v>
      </c>
      <c r="B4" s="389" t="s">
        <v>86</v>
      </c>
      <c r="C4" s="389" t="s">
        <v>6</v>
      </c>
      <c r="D4" s="389" t="s">
        <v>158</v>
      </c>
      <c r="E4" s="389" t="s">
        <v>2</v>
      </c>
      <c r="F4" s="389" t="s">
        <v>159</v>
      </c>
      <c r="G4" s="385" t="s">
        <v>1</v>
      </c>
      <c r="H4" s="387" t="s">
        <v>168</v>
      </c>
      <c r="I4" s="387" t="s">
        <v>169</v>
      </c>
      <c r="J4" s="387" t="s">
        <v>25</v>
      </c>
      <c r="K4" s="373" t="s">
        <v>7</v>
      </c>
      <c r="L4" s="373" t="s">
        <v>8</v>
      </c>
      <c r="M4" s="373" t="s">
        <v>193</v>
      </c>
      <c r="N4" s="375" t="s">
        <v>5</v>
      </c>
      <c r="O4" s="376"/>
      <c r="P4" s="376"/>
      <c r="Q4" s="376"/>
      <c r="R4" s="376"/>
      <c r="S4" s="376"/>
      <c r="T4" s="376"/>
      <c r="U4" s="376"/>
      <c r="V4" s="376"/>
      <c r="W4" s="376"/>
      <c r="X4" s="376"/>
      <c r="Y4" s="376"/>
      <c r="Z4" s="376"/>
      <c r="AA4" s="86"/>
      <c r="AB4" s="86"/>
      <c r="AC4" s="86"/>
      <c r="AD4" s="86"/>
      <c r="AE4" s="86"/>
      <c r="AF4" s="86"/>
    </row>
    <row r="5" spans="1:32" s="94" customFormat="1" ht="20.100000000000001" customHeight="1" x14ac:dyDescent="0.4">
      <c r="A5" s="374"/>
      <c r="B5" s="389"/>
      <c r="C5" s="389"/>
      <c r="D5" s="389"/>
      <c r="E5" s="389"/>
      <c r="F5" s="389"/>
      <c r="G5" s="386"/>
      <c r="H5" s="388"/>
      <c r="I5" s="388"/>
      <c r="J5" s="388"/>
      <c r="K5" s="374"/>
      <c r="L5" s="374"/>
      <c r="M5" s="374"/>
      <c r="N5" s="92"/>
      <c r="O5" s="93" t="s">
        <v>134</v>
      </c>
      <c r="P5" s="93" t="s">
        <v>135</v>
      </c>
      <c r="Q5" s="93" t="s">
        <v>137</v>
      </c>
      <c r="R5" s="93" t="s">
        <v>138</v>
      </c>
      <c r="S5" s="93" t="s">
        <v>139</v>
      </c>
      <c r="T5" s="93" t="s">
        <v>140</v>
      </c>
      <c r="U5" s="93" t="s">
        <v>141</v>
      </c>
      <c r="V5" s="93" t="s">
        <v>142</v>
      </c>
      <c r="W5" s="93" t="s">
        <v>143</v>
      </c>
      <c r="X5" s="93" t="s">
        <v>144</v>
      </c>
      <c r="Y5" s="93" t="s">
        <v>30</v>
      </c>
      <c r="Z5" s="93" t="s">
        <v>145</v>
      </c>
    </row>
    <row r="6" spans="1:32" s="151" customFormat="1" ht="20.100000000000001" customHeight="1" x14ac:dyDescent="0.4">
      <c r="A6" s="377">
        <v>1</v>
      </c>
      <c r="B6" s="379" t="s">
        <v>46</v>
      </c>
      <c r="C6" s="379" t="s">
        <v>14</v>
      </c>
      <c r="D6" s="381" t="s">
        <v>425</v>
      </c>
      <c r="E6" s="381" t="s">
        <v>422</v>
      </c>
      <c r="F6" s="381" t="s">
        <v>423</v>
      </c>
      <c r="G6" s="383" t="s">
        <v>424</v>
      </c>
      <c r="H6" s="371"/>
      <c r="I6" s="371"/>
      <c r="J6" s="371"/>
      <c r="K6" s="390"/>
      <c r="L6" s="390"/>
      <c r="M6" s="369"/>
      <c r="N6" s="150" t="s">
        <v>24</v>
      </c>
      <c r="O6" s="150">
        <f>SUM('案件．要員情報'!O7:U7)</f>
        <v>0.45833333333333337</v>
      </c>
      <c r="P6" s="150">
        <f>SUM('案件．要員情報'!V7:AA7)</f>
        <v>0.21052631578947367</v>
      </c>
      <c r="Q6" s="150">
        <f>SUM('案件．要員情報'!AB7:AG7)</f>
        <v>0.27272727272727271</v>
      </c>
      <c r="R6" s="150">
        <f>SUM('案件．要員情報'!AH7:AM7)</f>
        <v>0.30303030303030304</v>
      </c>
      <c r="S6" s="150">
        <f>SUM('案件．要員情報'!AN7:AU7)</f>
        <v>0</v>
      </c>
      <c r="T6" s="150">
        <f>SUM('案件．要員情報'!AV7:BC7)</f>
        <v>0</v>
      </c>
      <c r="U6" s="150">
        <f>SUM('案件．要員情報'!BD7:BK7)</f>
        <v>0</v>
      </c>
      <c r="V6" s="150">
        <f>SUM('案件．要員情報'!BL7:BS7)</f>
        <v>0</v>
      </c>
      <c r="W6" s="150">
        <f>SUM('案件．要員情報'!BT7:CA7)</f>
        <v>0</v>
      </c>
      <c r="X6" s="150">
        <f>SUM('案件．要員情報'!CB7:CI7)</f>
        <v>0</v>
      </c>
      <c r="Y6" s="150">
        <f>SUM('案件．要員情報'!CJ7:CQ7)</f>
        <v>0</v>
      </c>
      <c r="Z6" s="150">
        <f>SUM('案件．要員情報'!CR7:CY7)</f>
        <v>0</v>
      </c>
      <c r="AA6" s="213">
        <f>SUM(O6:Z6)</f>
        <v>1.2446172248803828</v>
      </c>
    </row>
    <row r="7" spans="1:32" s="151" customFormat="1" ht="20.100000000000001" customHeight="1" x14ac:dyDescent="0.4">
      <c r="A7" s="378"/>
      <c r="B7" s="380"/>
      <c r="C7" s="380"/>
      <c r="D7" s="382"/>
      <c r="E7" s="382"/>
      <c r="F7" s="382"/>
      <c r="G7" s="384"/>
      <c r="H7" s="372"/>
      <c r="I7" s="372"/>
      <c r="J7" s="372"/>
      <c r="K7" s="391"/>
      <c r="L7" s="391"/>
      <c r="M7" s="370"/>
      <c r="N7" s="152" t="s">
        <v>25</v>
      </c>
      <c r="O7" s="153">
        <f>SUM('案件．要員情報'!O8:U8)</f>
        <v>0.40833333333333333</v>
      </c>
      <c r="P7" s="153">
        <f>SUM('案件．要員情報'!V8:AA8)</f>
        <v>0.19649122807017544</v>
      </c>
      <c r="Q7" s="153">
        <f>SUM('案件．要員情報'!AB8:AG8)</f>
        <v>0.26363636363636361</v>
      </c>
      <c r="R7" s="153">
        <f>SUM('案件．要員情報'!AH8:AM8)</f>
        <v>0.11818181818181819</v>
      </c>
      <c r="S7" s="153">
        <f>SUM('案件．要員情報'!AN8:AU8)</f>
        <v>0</v>
      </c>
      <c r="T7" s="153">
        <f>SUM('案件．要員情報'!AV8:BC8)</f>
        <v>0</v>
      </c>
      <c r="U7" s="153">
        <f>SUM('案件．要員情報'!BD8:BK8)</f>
        <v>0</v>
      </c>
      <c r="V7" s="153">
        <f>SUM('案件．要員情報'!BL8:BS8)</f>
        <v>0</v>
      </c>
      <c r="W7" s="153">
        <f>SUM('案件．要員情報'!BT8:CA8)</f>
        <v>0</v>
      </c>
      <c r="X7" s="153">
        <f>SUM('案件．要員情報'!CB8:CI8)</f>
        <v>0</v>
      </c>
      <c r="Y7" s="153">
        <f>SUM('案件．要員情報'!CJ8:CQ8)</f>
        <v>0</v>
      </c>
      <c r="Z7" s="153">
        <f>SUM('案件．要員情報'!CR8:CY8)</f>
        <v>0</v>
      </c>
      <c r="AA7" s="342">
        <f>SUM(O7:Z7)</f>
        <v>0.98664274322169065</v>
      </c>
    </row>
    <row r="8" spans="1:32" s="151" customFormat="1" ht="20.100000000000001" customHeight="1" x14ac:dyDescent="0.4">
      <c r="A8" s="377">
        <v>2</v>
      </c>
      <c r="B8" s="379" t="s">
        <v>47</v>
      </c>
      <c r="C8" s="379" t="s">
        <v>14</v>
      </c>
      <c r="D8" s="381" t="s">
        <v>426</v>
      </c>
      <c r="E8" s="381" t="s">
        <v>427</v>
      </c>
      <c r="F8" s="381"/>
      <c r="G8" s="383" t="s">
        <v>428</v>
      </c>
      <c r="H8" s="371"/>
      <c r="I8" s="371"/>
      <c r="J8" s="371"/>
      <c r="K8" s="390"/>
      <c r="L8" s="390"/>
      <c r="M8" s="369"/>
      <c r="N8" s="154" t="s">
        <v>24</v>
      </c>
      <c r="O8" s="150">
        <f>SUM('案件．要員情報'!O9:U9)</f>
        <v>4.1666666666666664E-2</v>
      </c>
      <c r="P8" s="150">
        <f>SUM('案件．要員情報'!V9:AA9)</f>
        <v>0</v>
      </c>
      <c r="Q8" s="150">
        <f>SUM('案件．要員情報'!AB9:AG9)</f>
        <v>0</v>
      </c>
      <c r="R8" s="150">
        <f>SUM('案件．要員情報'!AH9:AM9)</f>
        <v>0</v>
      </c>
      <c r="S8" s="150">
        <f>SUM('案件．要員情報'!AN9:AU9)</f>
        <v>0</v>
      </c>
      <c r="T8" s="150">
        <f>SUM('案件．要員情報'!AV9:BC9)</f>
        <v>0</v>
      </c>
      <c r="U8" s="150">
        <f>SUM('案件．要員情報'!BD9:BK9)</f>
        <v>0</v>
      </c>
      <c r="V8" s="150">
        <f>SUM('案件．要員情報'!BL9:BS9)</f>
        <v>0</v>
      </c>
      <c r="W8" s="150">
        <f>SUM('案件．要員情報'!BT9:CA9)</f>
        <v>0</v>
      </c>
      <c r="X8" s="150">
        <f>SUM('案件．要員情報'!CB9:CI9)</f>
        <v>0</v>
      </c>
      <c r="Y8" s="150">
        <f>SUM('案件．要員情報'!CJ9:CQ9)</f>
        <v>0</v>
      </c>
      <c r="Z8" s="150">
        <f>SUM('案件．要員情報'!CR9:CY9)</f>
        <v>0</v>
      </c>
      <c r="AA8" s="213">
        <f t="shared" ref="AA8:AA37" si="0">SUM(O8:Z8)</f>
        <v>4.1666666666666664E-2</v>
      </c>
    </row>
    <row r="9" spans="1:32" s="151" customFormat="1" ht="20.100000000000001" customHeight="1" x14ac:dyDescent="0.4">
      <c r="A9" s="378"/>
      <c r="B9" s="380"/>
      <c r="C9" s="380"/>
      <c r="D9" s="382"/>
      <c r="E9" s="382"/>
      <c r="F9" s="382"/>
      <c r="G9" s="384"/>
      <c r="H9" s="372"/>
      <c r="I9" s="372"/>
      <c r="J9" s="372"/>
      <c r="K9" s="391"/>
      <c r="L9" s="391"/>
      <c r="M9" s="370"/>
      <c r="N9" s="155" t="s">
        <v>25</v>
      </c>
      <c r="O9" s="153">
        <f>SUM('案件．要員情報'!O10:U10)</f>
        <v>2.9166666666666667E-2</v>
      </c>
      <c r="P9" s="153">
        <f>SUM('案件．要員情報'!V10:AA10)</f>
        <v>0</v>
      </c>
      <c r="Q9" s="153">
        <f>SUM('案件．要員情報'!AB10:AG10)</f>
        <v>0</v>
      </c>
      <c r="R9" s="153">
        <f>SUM('案件．要員情報'!AH10:AM10)</f>
        <v>0</v>
      </c>
      <c r="S9" s="153">
        <f>SUM('案件．要員情報'!AN10:AU10)</f>
        <v>0</v>
      </c>
      <c r="T9" s="153">
        <f>SUM('案件．要員情報'!AV10:BC10)</f>
        <v>0</v>
      </c>
      <c r="U9" s="153">
        <f>SUM('案件．要員情報'!BD10:BK10)</f>
        <v>0</v>
      </c>
      <c r="V9" s="153">
        <f>SUM('案件．要員情報'!BL10:BS10)</f>
        <v>0</v>
      </c>
      <c r="W9" s="153">
        <f>SUM('案件．要員情報'!BT10:CA10)</f>
        <v>0</v>
      </c>
      <c r="X9" s="153">
        <f>SUM('案件．要員情報'!CB10:CI10)</f>
        <v>0</v>
      </c>
      <c r="Y9" s="153">
        <f>SUM('案件．要員情報'!CJ10:CQ10)</f>
        <v>0</v>
      </c>
      <c r="Z9" s="153">
        <f>SUM('案件．要員情報'!CR10:CY10)</f>
        <v>0</v>
      </c>
      <c r="AA9" s="156">
        <f t="shared" si="0"/>
        <v>2.9166666666666667E-2</v>
      </c>
      <c r="AD9" s="156"/>
    </row>
    <row r="10" spans="1:32" s="151" customFormat="1" ht="20.100000000000001" customHeight="1" x14ac:dyDescent="0.4">
      <c r="A10" s="379">
        <v>3</v>
      </c>
      <c r="B10" s="379" t="s">
        <v>47</v>
      </c>
      <c r="C10" s="379" t="s">
        <v>14</v>
      </c>
      <c r="D10" s="381" t="s">
        <v>430</v>
      </c>
      <c r="E10" s="281" t="s">
        <v>431</v>
      </c>
      <c r="F10" s="381" t="s">
        <v>429</v>
      </c>
      <c r="G10" s="383" t="s">
        <v>432</v>
      </c>
      <c r="H10" s="394"/>
      <c r="I10" s="394"/>
      <c r="J10" s="394"/>
      <c r="K10" s="396"/>
      <c r="L10" s="396"/>
      <c r="M10" s="398"/>
      <c r="N10" s="154" t="s">
        <v>24</v>
      </c>
      <c r="O10" s="150">
        <f>SUM('案件．要員情報'!O11:U11)</f>
        <v>0.66666666666666663</v>
      </c>
      <c r="P10" s="150">
        <f>SUM('案件．要員情報'!V11:AA11)</f>
        <v>0</v>
      </c>
      <c r="Q10" s="150">
        <f>SUM('案件．要員情報'!AB11:AG11)</f>
        <v>0</v>
      </c>
      <c r="R10" s="150">
        <f>SUM('案件．要員情報'!AH11:AM11)</f>
        <v>0</v>
      </c>
      <c r="S10" s="150">
        <f>SUM('案件．要員情報'!AN11:AU11)</f>
        <v>0</v>
      </c>
      <c r="T10" s="150">
        <f>SUM('案件．要員情報'!AV11:BC11)</f>
        <v>0</v>
      </c>
      <c r="U10" s="150">
        <f>SUM('案件．要員情報'!BD11:BK11)</f>
        <v>0</v>
      </c>
      <c r="V10" s="150">
        <f>SUM('案件．要員情報'!BL11:BS11)</f>
        <v>0</v>
      </c>
      <c r="W10" s="150">
        <f>SUM('案件．要員情報'!BT11:CA11)</f>
        <v>0</v>
      </c>
      <c r="X10" s="150">
        <f>SUM('案件．要員情報'!CB11:CI11)</f>
        <v>0</v>
      </c>
      <c r="Y10" s="150">
        <f>SUM('案件．要員情報'!CJ11:CQ11)</f>
        <v>0</v>
      </c>
      <c r="Z10" s="150">
        <f>SUM('案件．要員情報'!CR11:CY11)</f>
        <v>0</v>
      </c>
      <c r="AA10" s="213">
        <f t="shared" si="0"/>
        <v>0.66666666666666663</v>
      </c>
    </row>
    <row r="11" spans="1:32" s="151" customFormat="1" ht="20.100000000000001" customHeight="1" x14ac:dyDescent="0.4">
      <c r="A11" s="380"/>
      <c r="B11" s="380"/>
      <c r="C11" s="380"/>
      <c r="D11" s="382"/>
      <c r="E11" s="282"/>
      <c r="F11" s="382"/>
      <c r="G11" s="384"/>
      <c r="H11" s="395"/>
      <c r="I11" s="395"/>
      <c r="J11" s="395"/>
      <c r="K11" s="397"/>
      <c r="L11" s="397"/>
      <c r="M11" s="370"/>
      <c r="N11" s="155" t="s">
        <v>25</v>
      </c>
      <c r="O11" s="153">
        <f>SUM('案件．要員情報'!O12:U12)</f>
        <v>0.6166666666666667</v>
      </c>
      <c r="P11" s="153">
        <f>SUM('案件．要員情報'!V12:AA12)</f>
        <v>0</v>
      </c>
      <c r="Q11" s="153">
        <f>SUM('案件．要員情報'!AB12:AG12)</f>
        <v>0</v>
      </c>
      <c r="R11" s="153">
        <f>SUM('案件．要員情報'!AH12:AM12)</f>
        <v>0</v>
      </c>
      <c r="S11" s="153">
        <f>SUM('案件．要員情報'!AN12:AU12)</f>
        <v>0</v>
      </c>
      <c r="T11" s="153">
        <f>SUM('案件．要員情報'!AV12:BC12)</f>
        <v>0</v>
      </c>
      <c r="U11" s="153">
        <f>SUM('案件．要員情報'!BD12:BK12)</f>
        <v>0</v>
      </c>
      <c r="V11" s="153">
        <f>SUM('案件．要員情報'!BL12:BS12)</f>
        <v>0</v>
      </c>
      <c r="W11" s="153">
        <f>SUM('案件．要員情報'!BT12:CA12)</f>
        <v>0</v>
      </c>
      <c r="X11" s="153">
        <f>SUM('案件．要員情報'!CB12:CI12)</f>
        <v>0</v>
      </c>
      <c r="Y11" s="153">
        <f>SUM('案件．要員情報'!CJ12:CQ12)</f>
        <v>0</v>
      </c>
      <c r="Z11" s="153">
        <f>SUM('案件．要員情報'!CR12:CY12)</f>
        <v>0</v>
      </c>
      <c r="AA11" s="156">
        <f>SUM(O11:Z11)</f>
        <v>0.6166666666666667</v>
      </c>
      <c r="AD11" s="156"/>
    </row>
    <row r="12" spans="1:32" s="151" customFormat="1" ht="20.100000000000001" customHeight="1" x14ac:dyDescent="0.4">
      <c r="A12" s="379">
        <v>4</v>
      </c>
      <c r="B12" s="379" t="s">
        <v>47</v>
      </c>
      <c r="C12" s="379" t="s">
        <v>14</v>
      </c>
      <c r="D12" s="381" t="s">
        <v>433</v>
      </c>
      <c r="E12" s="281" t="s">
        <v>434</v>
      </c>
      <c r="F12" s="381" t="s">
        <v>429</v>
      </c>
      <c r="G12" s="383" t="s">
        <v>435</v>
      </c>
      <c r="H12" s="394"/>
      <c r="I12" s="394"/>
      <c r="J12" s="394"/>
      <c r="K12" s="396"/>
      <c r="L12" s="396"/>
      <c r="M12" s="369"/>
      <c r="N12" s="154" t="s">
        <v>24</v>
      </c>
      <c r="O12" s="150">
        <f>SUM('案件．要員情報'!O13:U13)</f>
        <v>0.58333333333333337</v>
      </c>
      <c r="P12" s="150">
        <f>SUM('案件．要員情報'!V13:AA13)</f>
        <v>0</v>
      </c>
      <c r="Q12" s="150">
        <f>SUM('案件．要員情報'!AB13:AG13)</f>
        <v>0.30303030303030304</v>
      </c>
      <c r="R12" s="150">
        <f>SUM('案件．要員情報'!AH13:AM13)</f>
        <v>0</v>
      </c>
      <c r="S12" s="150">
        <f>SUM('案件．要員情報'!AN13:AU13)</f>
        <v>0</v>
      </c>
      <c r="T12" s="150">
        <f>SUM('案件．要員情報'!AV13:BC13)</f>
        <v>0</v>
      </c>
      <c r="U12" s="150">
        <f>SUM('案件．要員情報'!BD13:BK13)</f>
        <v>0</v>
      </c>
      <c r="V12" s="150">
        <f>SUM('案件．要員情報'!BL13:BS13)</f>
        <v>0</v>
      </c>
      <c r="W12" s="150">
        <f>SUM('案件．要員情報'!BT13:CA13)</f>
        <v>0</v>
      </c>
      <c r="X12" s="150">
        <f>SUM('案件．要員情報'!CB13:CI13)</f>
        <v>0</v>
      </c>
      <c r="Y12" s="150">
        <f>SUM('案件．要員情報'!CJ13:CQ13)</f>
        <v>0</v>
      </c>
      <c r="Z12" s="150">
        <f>SUM('案件．要員情報'!CR13:CY13)</f>
        <v>0</v>
      </c>
      <c r="AA12" s="213">
        <f t="shared" si="0"/>
        <v>0.88636363636363646</v>
      </c>
    </row>
    <row r="13" spans="1:32" s="151" customFormat="1" ht="20.100000000000001" customHeight="1" x14ac:dyDescent="0.4">
      <c r="A13" s="380"/>
      <c r="B13" s="380"/>
      <c r="C13" s="380"/>
      <c r="D13" s="382"/>
      <c r="E13" s="282"/>
      <c r="F13" s="382"/>
      <c r="G13" s="384"/>
      <c r="H13" s="395"/>
      <c r="I13" s="395"/>
      <c r="J13" s="395"/>
      <c r="K13" s="397"/>
      <c r="L13" s="397"/>
      <c r="M13" s="370"/>
      <c r="N13" s="155" t="s">
        <v>25</v>
      </c>
      <c r="O13" s="153">
        <f>SUM('案件．要員情報'!O14:U14)</f>
        <v>0.54791666666666661</v>
      </c>
      <c r="P13" s="153">
        <f>SUM('案件．要員情報'!V14:AA14)</f>
        <v>0</v>
      </c>
      <c r="Q13" s="153">
        <f>SUM('案件．要員情報'!AB14:AG14)</f>
        <v>0.26363636363636367</v>
      </c>
      <c r="R13" s="153">
        <f>SUM('案件．要員情報'!AH14:AM14)</f>
        <v>0</v>
      </c>
      <c r="S13" s="153">
        <f>SUM('案件．要員情報'!AN14:AU14)</f>
        <v>0</v>
      </c>
      <c r="T13" s="153">
        <f>SUM('案件．要員情報'!AV14:BC14)</f>
        <v>0</v>
      </c>
      <c r="U13" s="153">
        <f>SUM('案件．要員情報'!BD14:BK14)</f>
        <v>0</v>
      </c>
      <c r="V13" s="153">
        <f>SUM('案件．要員情報'!BL14:BS14)</f>
        <v>0</v>
      </c>
      <c r="W13" s="153">
        <f>SUM('案件．要員情報'!BT14:CA14)</f>
        <v>0</v>
      </c>
      <c r="X13" s="153">
        <f>SUM('案件．要員情報'!CB14:CI14)</f>
        <v>0</v>
      </c>
      <c r="Y13" s="153">
        <f>SUM('案件．要員情報'!CJ14:CQ14)</f>
        <v>0</v>
      </c>
      <c r="Z13" s="153">
        <f>SUM('案件．要員情報'!CR14:CY14)</f>
        <v>0</v>
      </c>
      <c r="AA13" s="342">
        <f t="shared" si="0"/>
        <v>0.81155303030303028</v>
      </c>
    </row>
    <row r="14" spans="1:32" s="151" customFormat="1" ht="20.100000000000001" customHeight="1" x14ac:dyDescent="0.4">
      <c r="A14" s="379">
        <v>5</v>
      </c>
      <c r="B14" s="379" t="s">
        <v>47</v>
      </c>
      <c r="C14" s="379" t="s">
        <v>347</v>
      </c>
      <c r="D14" s="281" t="s">
        <v>348</v>
      </c>
      <c r="E14" s="281" t="s">
        <v>436</v>
      </c>
      <c r="F14" s="381" t="s">
        <v>437</v>
      </c>
      <c r="G14" s="383" t="s">
        <v>438</v>
      </c>
      <c r="H14" s="394"/>
      <c r="I14" s="394"/>
      <c r="J14" s="394"/>
      <c r="K14" s="396"/>
      <c r="L14" s="396"/>
      <c r="M14" s="401"/>
      <c r="N14" s="154" t="s">
        <v>24</v>
      </c>
      <c r="O14" s="150">
        <f>SUM('案件．要員情報'!O15:U15)</f>
        <v>0.375</v>
      </c>
      <c r="P14" s="150">
        <f>SUM('案件．要員情報'!V15:AA15)</f>
        <v>0</v>
      </c>
      <c r="Q14" s="150">
        <f>SUM('案件．要員情報'!AB15:AG15)</f>
        <v>0</v>
      </c>
      <c r="R14" s="150">
        <f>SUM('案件．要員情報'!AH15:AM15)</f>
        <v>0</v>
      </c>
      <c r="S14" s="150">
        <f>SUM('案件．要員情報'!AN15:AU15)</f>
        <v>0</v>
      </c>
      <c r="T14" s="150">
        <f>SUM('案件．要員情報'!AV15:BC15)</f>
        <v>0</v>
      </c>
      <c r="U14" s="150">
        <f>SUM('案件．要員情報'!BD15:BK15)</f>
        <v>0</v>
      </c>
      <c r="V14" s="150">
        <f>SUM('案件．要員情報'!BL15:BS15)</f>
        <v>0</v>
      </c>
      <c r="W14" s="150">
        <f>SUM('案件．要員情報'!BT15:CA15)</f>
        <v>0</v>
      </c>
      <c r="X14" s="150">
        <f>SUM('案件．要員情報'!CB15:CI15)</f>
        <v>0</v>
      </c>
      <c r="Y14" s="150">
        <f>SUM('案件．要員情報'!CJ15:CQ15)</f>
        <v>0</v>
      </c>
      <c r="Z14" s="150">
        <f>SUM('案件．要員情報'!CR15:CY15)</f>
        <v>0</v>
      </c>
      <c r="AA14" s="213">
        <f t="shared" si="0"/>
        <v>0.375</v>
      </c>
    </row>
    <row r="15" spans="1:32" s="151" customFormat="1" ht="20.100000000000001" customHeight="1" x14ac:dyDescent="0.4">
      <c r="A15" s="380"/>
      <c r="B15" s="380"/>
      <c r="C15" s="380"/>
      <c r="D15" s="282"/>
      <c r="E15" s="282"/>
      <c r="F15" s="382"/>
      <c r="G15" s="384"/>
      <c r="H15" s="395"/>
      <c r="I15" s="395"/>
      <c r="J15" s="395"/>
      <c r="K15" s="397"/>
      <c r="L15" s="397"/>
      <c r="M15" s="370"/>
      <c r="N15" s="155" t="s">
        <v>25</v>
      </c>
      <c r="O15" s="153">
        <f>SUM('案件．要員情報'!O16:U16)</f>
        <v>0.3208333333333333</v>
      </c>
      <c r="P15" s="153">
        <f>SUM('案件．要員情報'!V16:AA16)</f>
        <v>0</v>
      </c>
      <c r="Q15" s="153">
        <f>SUM('案件．要員情報'!AB16:AG16)</f>
        <v>0</v>
      </c>
      <c r="R15" s="153">
        <f>SUM('案件．要員情報'!AH16:AM16)</f>
        <v>0</v>
      </c>
      <c r="S15" s="153">
        <f>SUM('案件．要員情報'!AN16:AU16)</f>
        <v>0</v>
      </c>
      <c r="T15" s="153">
        <f>SUM('案件．要員情報'!AV16:BC16)</f>
        <v>0</v>
      </c>
      <c r="U15" s="153">
        <f>SUM('案件．要員情報'!BD16:BK16)</f>
        <v>0</v>
      </c>
      <c r="V15" s="153">
        <f>SUM('案件．要員情報'!BL16:BS16)</f>
        <v>0</v>
      </c>
      <c r="W15" s="153">
        <f>SUM('案件．要員情報'!BT16:CA16)</f>
        <v>0</v>
      </c>
      <c r="X15" s="153">
        <f>SUM('案件．要員情報'!CB16:CI16)</f>
        <v>0</v>
      </c>
      <c r="Y15" s="153">
        <f>SUM('案件．要員情報'!CJ16:CQ16)</f>
        <v>0</v>
      </c>
      <c r="Z15" s="153">
        <f>SUM('案件．要員情報'!CR16:CY16)</f>
        <v>0</v>
      </c>
      <c r="AA15" s="156">
        <f t="shared" si="0"/>
        <v>0.3208333333333333</v>
      </c>
    </row>
    <row r="16" spans="1:32" s="151" customFormat="1" ht="20.100000000000001" customHeight="1" x14ac:dyDescent="0.4">
      <c r="A16" s="379">
        <v>6</v>
      </c>
      <c r="B16" s="379" t="s">
        <v>47</v>
      </c>
      <c r="C16" s="379" t="s">
        <v>14</v>
      </c>
      <c r="D16" s="281" t="s">
        <v>439</v>
      </c>
      <c r="E16" s="281" t="s">
        <v>440</v>
      </c>
      <c r="F16" s="381" t="s">
        <v>441</v>
      </c>
      <c r="G16" s="383" t="s">
        <v>442</v>
      </c>
      <c r="H16" s="394"/>
      <c r="I16" s="394"/>
      <c r="J16" s="394"/>
      <c r="K16" s="396"/>
      <c r="L16" s="396"/>
      <c r="M16" s="196"/>
      <c r="N16" s="154" t="s">
        <v>24</v>
      </c>
      <c r="O16" s="150">
        <f>SUM('案件．要員情報'!O17:U17)</f>
        <v>4.1666666666666671E-2</v>
      </c>
      <c r="P16" s="150">
        <f>SUM('案件．要員情報'!V17:AA17)</f>
        <v>5.6140350877192977E-2</v>
      </c>
      <c r="Q16" s="150">
        <f>SUM('案件．要員情報'!AB17:AG17)</f>
        <v>6.0606060606060608E-2</v>
      </c>
      <c r="R16" s="150">
        <f>SUM('案件．要員情報'!AH17:AM17)</f>
        <v>0</v>
      </c>
      <c r="S16" s="150">
        <f>SUM('案件．要員情報'!AN17:AU17)</f>
        <v>0</v>
      </c>
      <c r="T16" s="150">
        <f>SUM('案件．要員情報'!AV17:BC17)</f>
        <v>0</v>
      </c>
      <c r="U16" s="150">
        <f>SUM('案件．要員情報'!BD17:BK17)</f>
        <v>0</v>
      </c>
      <c r="V16" s="150">
        <f>SUM('案件．要員情報'!BL17:BS17)</f>
        <v>0</v>
      </c>
      <c r="W16" s="150">
        <f>SUM('案件．要員情報'!BT17:CA17)</f>
        <v>0</v>
      </c>
      <c r="X16" s="150">
        <f>SUM('案件．要員情報'!CB17:CI17)</f>
        <v>0</v>
      </c>
      <c r="Y16" s="150">
        <f>SUM('案件．要員情報'!CJ17:CQ17)</f>
        <v>0</v>
      </c>
      <c r="Z16" s="150">
        <f>SUM('案件．要員情報'!CR17:CY17)</f>
        <v>0</v>
      </c>
      <c r="AA16" s="213">
        <f t="shared" si="0"/>
        <v>0.15841307814992026</v>
      </c>
    </row>
    <row r="17" spans="1:27" s="151" customFormat="1" ht="20.100000000000001" customHeight="1" x14ac:dyDescent="0.4">
      <c r="A17" s="380"/>
      <c r="B17" s="380"/>
      <c r="C17" s="380"/>
      <c r="D17" s="282"/>
      <c r="E17" s="282"/>
      <c r="F17" s="382"/>
      <c r="G17" s="384"/>
      <c r="H17" s="395"/>
      <c r="I17" s="395"/>
      <c r="J17" s="395"/>
      <c r="K17" s="397"/>
      <c r="L17" s="397"/>
      <c r="M17" s="197"/>
      <c r="N17" s="155" t="s">
        <v>25</v>
      </c>
      <c r="O17" s="153">
        <f>SUM('案件．要員情報'!O18:U18)</f>
        <v>2.5000000000000001E-2</v>
      </c>
      <c r="P17" s="153">
        <f>SUM('案件．要員情報'!V18:AA18)</f>
        <v>3.1578947368421054E-2</v>
      </c>
      <c r="Q17" s="153">
        <f>SUM('案件．要員情報'!AB18:AG18)</f>
        <v>3.6363636363636362E-2</v>
      </c>
      <c r="R17" s="153">
        <f>SUM('案件．要員情報'!AH18:AM18)</f>
        <v>0</v>
      </c>
      <c r="S17" s="153">
        <f>SUM('案件．要員情報'!AN18:AU18)</f>
        <v>0</v>
      </c>
      <c r="T17" s="153">
        <f>SUM('案件．要員情報'!AV18:BC18)</f>
        <v>0</v>
      </c>
      <c r="U17" s="153">
        <f>SUM('案件．要員情報'!BD18:BK18)</f>
        <v>0</v>
      </c>
      <c r="V17" s="153">
        <f>SUM('案件．要員情報'!BL18:BS18)</f>
        <v>0</v>
      </c>
      <c r="W17" s="153">
        <f>SUM('案件．要員情報'!BT18:CA18)</f>
        <v>0</v>
      </c>
      <c r="X17" s="153">
        <f>SUM('案件．要員情報'!CB18:CI18)</f>
        <v>0</v>
      </c>
      <c r="Y17" s="153">
        <f>SUM('案件．要員情報'!CJ18:CQ18)</f>
        <v>0</v>
      </c>
      <c r="Z17" s="153">
        <f>SUM('案件．要員情報'!CR18:CY18)</f>
        <v>0</v>
      </c>
      <c r="AA17" s="156">
        <f t="shared" si="0"/>
        <v>9.294258373205741E-2</v>
      </c>
    </row>
    <row r="18" spans="1:27" s="151" customFormat="1" ht="20.100000000000001" customHeight="1" x14ac:dyDescent="0.4">
      <c r="A18" s="379">
        <v>7</v>
      </c>
      <c r="B18" s="379" t="s">
        <v>47</v>
      </c>
      <c r="C18" s="379" t="s">
        <v>347</v>
      </c>
      <c r="D18" s="281" t="s">
        <v>348</v>
      </c>
      <c r="E18" s="281" t="s">
        <v>443</v>
      </c>
      <c r="F18" s="381" t="s">
        <v>444</v>
      </c>
      <c r="G18" s="383" t="s">
        <v>445</v>
      </c>
      <c r="H18" s="394"/>
      <c r="I18" s="394"/>
      <c r="J18" s="394"/>
      <c r="K18" s="396"/>
      <c r="L18" s="396"/>
      <c r="M18" s="369"/>
      <c r="N18" s="154" t="s">
        <v>24</v>
      </c>
      <c r="O18" s="150">
        <f>SUM('案件．要員情報'!O19:U19)</f>
        <v>0.43333333333333335</v>
      </c>
      <c r="P18" s="150">
        <f>SUM('案件．要員情報'!V19:AA19)</f>
        <v>0</v>
      </c>
      <c r="Q18" s="150">
        <f>SUM('案件．要員情報'!AB19:AG19)</f>
        <v>0</v>
      </c>
      <c r="R18" s="150">
        <f>SUM('案件．要員情報'!AH19:AM19)</f>
        <v>0</v>
      </c>
      <c r="S18" s="150">
        <f>SUM('案件．要員情報'!AN19:AU19)</f>
        <v>0</v>
      </c>
      <c r="T18" s="150">
        <f>SUM('案件．要員情報'!AV19:BC19)</f>
        <v>0</v>
      </c>
      <c r="U18" s="150">
        <f>SUM('案件．要員情報'!BD19:BK19)</f>
        <v>0</v>
      </c>
      <c r="V18" s="150">
        <f>SUM('案件．要員情報'!BL19:BS19)</f>
        <v>0</v>
      </c>
      <c r="W18" s="150">
        <f>SUM('案件．要員情報'!BT19:CA19)</f>
        <v>0</v>
      </c>
      <c r="X18" s="150">
        <f>SUM('案件．要員情報'!CB19:CI19)</f>
        <v>0</v>
      </c>
      <c r="Y18" s="150">
        <f>SUM('案件．要員情報'!CJ19:CQ19)</f>
        <v>0</v>
      </c>
      <c r="Z18" s="150">
        <f>SUM('案件．要員情報'!CR19:CY19)</f>
        <v>0</v>
      </c>
      <c r="AA18" s="213">
        <f t="shared" si="0"/>
        <v>0.43333333333333335</v>
      </c>
    </row>
    <row r="19" spans="1:27" s="151" customFormat="1" ht="20.100000000000001" customHeight="1" x14ac:dyDescent="0.4">
      <c r="A19" s="380"/>
      <c r="B19" s="380"/>
      <c r="C19" s="380"/>
      <c r="D19" s="282"/>
      <c r="E19" s="282"/>
      <c r="F19" s="382"/>
      <c r="G19" s="384"/>
      <c r="H19" s="395"/>
      <c r="I19" s="395"/>
      <c r="J19" s="395"/>
      <c r="K19" s="397"/>
      <c r="L19" s="397"/>
      <c r="M19" s="370"/>
      <c r="N19" s="155" t="s">
        <v>25</v>
      </c>
      <c r="O19" s="153">
        <f>SUM('案件．要員情報'!O20:U20)</f>
        <v>0.40625</v>
      </c>
      <c r="P19" s="153">
        <f>SUM('案件．要員情報'!V20:AA20)</f>
        <v>0</v>
      </c>
      <c r="Q19" s="153">
        <f>SUM('案件．要員情報'!AB20:AG20)</f>
        <v>0</v>
      </c>
      <c r="R19" s="153">
        <f>SUM('案件．要員情報'!AH20:AM20)</f>
        <v>0</v>
      </c>
      <c r="S19" s="153">
        <f>SUM('案件．要員情報'!AN20:AU20)</f>
        <v>0</v>
      </c>
      <c r="T19" s="153">
        <f>SUM('案件．要員情報'!AV20:BC20)</f>
        <v>0</v>
      </c>
      <c r="U19" s="153">
        <f>SUM('案件．要員情報'!BD20:BK20)</f>
        <v>0</v>
      </c>
      <c r="V19" s="153">
        <f>SUM('案件．要員情報'!BL20:BS20)</f>
        <v>0</v>
      </c>
      <c r="W19" s="153">
        <f>SUM('案件．要員情報'!BT20:CA20)</f>
        <v>0</v>
      </c>
      <c r="X19" s="153">
        <f>SUM('案件．要員情報'!CB20:CI20)</f>
        <v>0</v>
      </c>
      <c r="Y19" s="153">
        <f>SUM('案件．要員情報'!CJ20:CQ20)</f>
        <v>0</v>
      </c>
      <c r="Z19" s="153">
        <f>SUM('案件．要員情報'!CR20:CY20)</f>
        <v>0</v>
      </c>
      <c r="AA19" s="156">
        <f t="shared" si="0"/>
        <v>0.40625</v>
      </c>
    </row>
    <row r="20" spans="1:27" s="151" customFormat="1" ht="20.100000000000001" customHeight="1" x14ac:dyDescent="0.4">
      <c r="A20" s="379">
        <v>8</v>
      </c>
      <c r="B20" s="379" t="s">
        <v>47</v>
      </c>
      <c r="C20" s="379" t="s">
        <v>347</v>
      </c>
      <c r="D20" s="381" t="s">
        <v>348</v>
      </c>
      <c r="E20" s="381" t="s">
        <v>446</v>
      </c>
      <c r="F20" s="381" t="s">
        <v>447</v>
      </c>
      <c r="G20" s="383" t="s">
        <v>448</v>
      </c>
      <c r="H20" s="394"/>
      <c r="I20" s="394"/>
      <c r="J20" s="394"/>
      <c r="K20" s="396"/>
      <c r="L20" s="396"/>
      <c r="M20" s="369"/>
      <c r="N20" s="154" t="s">
        <v>24</v>
      </c>
      <c r="O20" s="150">
        <f>SUM('案件．要員情報'!O21:U21)</f>
        <v>0.29166666666666669</v>
      </c>
      <c r="P20" s="150">
        <f>SUM('案件．要員情報'!V21:AA21)</f>
        <v>0</v>
      </c>
      <c r="Q20" s="150">
        <f>SUM('案件．要員情報'!AB21:AG21)</f>
        <v>0</v>
      </c>
      <c r="R20" s="150">
        <f>SUM('案件．要員情報'!AH21:AM21)</f>
        <v>0</v>
      </c>
      <c r="S20" s="150">
        <f>SUM('案件．要員情報'!AN21:AU21)</f>
        <v>0</v>
      </c>
      <c r="T20" s="150">
        <f>SUM('案件．要員情報'!AV21:BC21)</f>
        <v>0</v>
      </c>
      <c r="U20" s="150">
        <f>SUM('案件．要員情報'!BD21:BK21)</f>
        <v>0</v>
      </c>
      <c r="V20" s="150">
        <f>SUM('案件．要員情報'!BL21:BS21)</f>
        <v>0</v>
      </c>
      <c r="W20" s="150">
        <f>SUM('案件．要員情報'!BT21:CA21)</f>
        <v>0</v>
      </c>
      <c r="X20" s="150">
        <f>SUM('案件．要員情報'!CB21:CI21)</f>
        <v>0</v>
      </c>
      <c r="Y20" s="150">
        <f>SUM('案件．要員情報'!CJ21:CQ21)</f>
        <v>0</v>
      </c>
      <c r="Z20" s="150">
        <f>SUM('案件．要員情報'!CR21:CY21)</f>
        <v>0</v>
      </c>
      <c r="AA20" s="213">
        <f t="shared" si="0"/>
        <v>0.29166666666666669</v>
      </c>
    </row>
    <row r="21" spans="1:27" s="151" customFormat="1" ht="18.75" customHeight="1" x14ac:dyDescent="0.4">
      <c r="A21" s="380"/>
      <c r="B21" s="380"/>
      <c r="C21" s="380"/>
      <c r="D21" s="382"/>
      <c r="E21" s="382"/>
      <c r="F21" s="382"/>
      <c r="G21" s="384"/>
      <c r="H21" s="395"/>
      <c r="I21" s="395"/>
      <c r="J21" s="395"/>
      <c r="K21" s="397"/>
      <c r="L21" s="397"/>
      <c r="M21" s="370"/>
      <c r="N21" s="155" t="s">
        <v>25</v>
      </c>
      <c r="O21" s="153">
        <f>SUM('案件．要員情報'!O22:U22)</f>
        <v>0.25</v>
      </c>
      <c r="P21" s="153">
        <f>SUM('案件．要員情報'!V22:AA22)</f>
        <v>0</v>
      </c>
      <c r="Q21" s="153">
        <f>SUM('案件．要員情報'!AB22:AG22)</f>
        <v>0</v>
      </c>
      <c r="R21" s="153">
        <f>SUM('案件．要員情報'!AH22:AM22)</f>
        <v>0</v>
      </c>
      <c r="S21" s="153">
        <f>SUM('案件．要員情報'!AN22:AU22)</f>
        <v>0</v>
      </c>
      <c r="T21" s="153">
        <f>SUM('案件．要員情報'!AV22:BC22)</f>
        <v>0</v>
      </c>
      <c r="U21" s="153">
        <f>SUM('案件．要員情報'!BD22:BK22)</f>
        <v>0</v>
      </c>
      <c r="V21" s="153">
        <f>SUM('案件．要員情報'!BL22:BS22)</f>
        <v>0</v>
      </c>
      <c r="W21" s="153">
        <f>SUM('案件．要員情報'!BT22:CA22)</f>
        <v>0</v>
      </c>
      <c r="X21" s="153">
        <f>SUM('案件．要員情報'!CB22:CI22)</f>
        <v>0</v>
      </c>
      <c r="Y21" s="153">
        <f>SUM('案件．要員情報'!CJ22:CQ22)</f>
        <v>0</v>
      </c>
      <c r="Z21" s="153">
        <f>SUM('案件．要員情報'!CR22:CY22)</f>
        <v>0</v>
      </c>
      <c r="AA21" s="156">
        <f t="shared" si="0"/>
        <v>0.25</v>
      </c>
    </row>
    <row r="22" spans="1:27" s="151" customFormat="1" ht="18.75" customHeight="1" x14ac:dyDescent="0.4">
      <c r="A22" s="379">
        <v>9</v>
      </c>
      <c r="B22" s="379" t="s">
        <v>47</v>
      </c>
      <c r="C22" s="379" t="s">
        <v>347</v>
      </c>
      <c r="D22" s="381" t="s">
        <v>348</v>
      </c>
      <c r="E22" s="381" t="s">
        <v>471</v>
      </c>
      <c r="F22" s="381"/>
      <c r="G22" s="402" t="s">
        <v>473</v>
      </c>
      <c r="H22" s="394"/>
      <c r="I22" s="394"/>
      <c r="J22" s="394"/>
      <c r="K22" s="396"/>
      <c r="L22" s="396"/>
      <c r="M22" s="369"/>
      <c r="N22" s="154" t="s">
        <v>24</v>
      </c>
      <c r="O22" s="150">
        <f>SUM('案件．要員情報'!O23:U23)</f>
        <v>0.20833333333333331</v>
      </c>
      <c r="P22" s="150">
        <f>SUM('案件．要員情報'!V23:AA23)</f>
        <v>0</v>
      </c>
      <c r="Q22" s="150">
        <f>SUM('案件．要員情報'!AB23:AG23)</f>
        <v>0</v>
      </c>
      <c r="R22" s="150">
        <f>SUM('案件．要員情報'!AH23:AM23)</f>
        <v>0</v>
      </c>
      <c r="S22" s="150">
        <f>SUM('案件．要員情報'!AN23:AU23)</f>
        <v>0</v>
      </c>
      <c r="T22" s="150">
        <f>SUM('案件．要員情報'!AV23:BC23)</f>
        <v>0</v>
      </c>
      <c r="U22" s="150">
        <f>SUM('案件．要員情報'!BD23:BK23)</f>
        <v>0</v>
      </c>
      <c r="V22" s="150">
        <f>SUM('案件．要員情報'!BL23:BS23)</f>
        <v>0</v>
      </c>
      <c r="W22" s="150">
        <f>SUM('案件．要員情報'!BT23:CA23)</f>
        <v>0</v>
      </c>
      <c r="X22" s="150">
        <f>SUM('案件．要員情報'!CB23:CI23)</f>
        <v>0</v>
      </c>
      <c r="Y22" s="150">
        <f>SUM('案件．要員情報'!CJ23:CQ23)</f>
        <v>0</v>
      </c>
      <c r="Z22" s="150">
        <f>SUM('案件．要員情報'!CR23:CY23)</f>
        <v>0</v>
      </c>
      <c r="AA22" s="213">
        <f t="shared" si="0"/>
        <v>0.20833333333333331</v>
      </c>
    </row>
    <row r="23" spans="1:27" s="151" customFormat="1" ht="18.75" customHeight="1" x14ac:dyDescent="0.4">
      <c r="A23" s="380"/>
      <c r="B23" s="380"/>
      <c r="C23" s="380"/>
      <c r="D23" s="382"/>
      <c r="E23" s="382"/>
      <c r="F23" s="382"/>
      <c r="G23" s="403"/>
      <c r="H23" s="395"/>
      <c r="I23" s="395"/>
      <c r="J23" s="395"/>
      <c r="K23" s="397"/>
      <c r="L23" s="397"/>
      <c r="M23" s="370"/>
      <c r="N23" s="155" t="s">
        <v>25</v>
      </c>
      <c r="O23" s="153">
        <f>SUM('案件．要員情報'!O24:U24)</f>
        <v>0.19791666666666669</v>
      </c>
      <c r="P23" s="153">
        <f>SUM('案件．要員情報'!V24:AA24)</f>
        <v>0</v>
      </c>
      <c r="Q23" s="153">
        <f>SUM('案件．要員情報'!AB24:AG24)</f>
        <v>0</v>
      </c>
      <c r="R23" s="153">
        <f>SUM('案件．要員情報'!AH24:AM24)</f>
        <v>0</v>
      </c>
      <c r="S23" s="153">
        <f>SUM('案件．要員情報'!AN24:AU24)</f>
        <v>0</v>
      </c>
      <c r="T23" s="153">
        <f>SUM('案件．要員情報'!AV24:BC24)</f>
        <v>0</v>
      </c>
      <c r="U23" s="153">
        <f>SUM('案件．要員情報'!BD24:BK24)</f>
        <v>0</v>
      </c>
      <c r="V23" s="153">
        <f>SUM('案件．要員情報'!BL24:BS24)</f>
        <v>0</v>
      </c>
      <c r="W23" s="153">
        <f>SUM('案件．要員情報'!BT24:CA24)</f>
        <v>0</v>
      </c>
      <c r="X23" s="153">
        <f>SUM('案件．要員情報'!CB24:CI24)</f>
        <v>0</v>
      </c>
      <c r="Y23" s="153">
        <f>SUM('案件．要員情報'!CJ24:CQ24)</f>
        <v>0</v>
      </c>
      <c r="Z23" s="153">
        <f>SUM('案件．要員情報'!CR24:CY24)</f>
        <v>0</v>
      </c>
      <c r="AA23" s="156">
        <f t="shared" si="0"/>
        <v>0.19791666666666669</v>
      </c>
    </row>
    <row r="24" spans="1:27" s="151" customFormat="1" ht="18.75" customHeight="1" x14ac:dyDescent="0.4">
      <c r="A24" s="379">
        <v>10</v>
      </c>
      <c r="B24" s="379" t="s">
        <v>47</v>
      </c>
      <c r="C24" s="379" t="s">
        <v>14</v>
      </c>
      <c r="D24" s="381" t="s">
        <v>482</v>
      </c>
      <c r="E24" s="381" t="s">
        <v>479</v>
      </c>
      <c r="F24" s="381" t="s">
        <v>477</v>
      </c>
      <c r="G24" s="404" t="s">
        <v>475</v>
      </c>
      <c r="H24" s="394"/>
      <c r="I24" s="394"/>
      <c r="J24" s="394"/>
      <c r="K24" s="396"/>
      <c r="L24" s="396"/>
      <c r="M24" s="369"/>
      <c r="N24" s="154" t="s">
        <v>24</v>
      </c>
      <c r="O24" s="150">
        <f>SUM('案件．要員情報'!O25:U25)</f>
        <v>0.80833333333333335</v>
      </c>
      <c r="P24" s="150">
        <f>SUM('案件．要員情報'!V25:AA25)</f>
        <v>0.23157894736842105</v>
      </c>
      <c r="Q24" s="150">
        <f>SUM('案件．要員情報'!AB25:AG25)</f>
        <v>0</v>
      </c>
      <c r="R24" s="150">
        <f>SUM('案件．要員情報'!AH25:AM25)</f>
        <v>0</v>
      </c>
      <c r="S24" s="150">
        <f>SUM('案件．要員情報'!AN25:AU25)</f>
        <v>0</v>
      </c>
      <c r="T24" s="150">
        <f>SUM('案件．要員情報'!AV25:BC25)</f>
        <v>0</v>
      </c>
      <c r="U24" s="150">
        <f>SUM('案件．要員情報'!BD25:BK25)</f>
        <v>0</v>
      </c>
      <c r="V24" s="150">
        <f>SUM('案件．要員情報'!BL25:BS25)</f>
        <v>0</v>
      </c>
      <c r="W24" s="150">
        <f>SUM('案件．要員情報'!BT25:CA25)</f>
        <v>0</v>
      </c>
      <c r="X24" s="150">
        <f>SUM('案件．要員情報'!CB25:CI25)</f>
        <v>0</v>
      </c>
      <c r="Y24" s="150">
        <f>SUM('案件．要員情報'!CJ25:CQ25)</f>
        <v>0</v>
      </c>
      <c r="Z24" s="150">
        <f>SUM('案件．要員情報'!CR25:CY25)</f>
        <v>0</v>
      </c>
      <c r="AA24" s="213">
        <f t="shared" si="0"/>
        <v>1.0399122807017545</v>
      </c>
    </row>
    <row r="25" spans="1:27" s="151" customFormat="1" ht="18.75" customHeight="1" x14ac:dyDescent="0.4">
      <c r="A25" s="380"/>
      <c r="B25" s="380"/>
      <c r="C25" s="380"/>
      <c r="D25" s="382"/>
      <c r="E25" s="382"/>
      <c r="F25" s="382"/>
      <c r="G25" s="404"/>
      <c r="H25" s="395"/>
      <c r="I25" s="395"/>
      <c r="J25" s="395"/>
      <c r="K25" s="397"/>
      <c r="L25" s="397"/>
      <c r="M25" s="370"/>
      <c r="N25" s="155" t="s">
        <v>25</v>
      </c>
      <c r="O25" s="153">
        <f>SUM('案件．要員情報'!O26:U26)</f>
        <v>0.77500000000000002</v>
      </c>
      <c r="P25" s="153">
        <f>SUM('案件．要員情報'!V26:AA26)</f>
        <v>0.16491228070175437</v>
      </c>
      <c r="Q25" s="153">
        <f>SUM('案件．要員情報'!AB26:AG26)</f>
        <v>0</v>
      </c>
      <c r="R25" s="153">
        <f>SUM('案件．要員情報'!AH26:AM26)</f>
        <v>0</v>
      </c>
      <c r="S25" s="153">
        <f>SUM('案件．要員情報'!AN26:AU26)</f>
        <v>0</v>
      </c>
      <c r="T25" s="153">
        <f>SUM('案件．要員情報'!AV26:BC26)</f>
        <v>0</v>
      </c>
      <c r="U25" s="153">
        <f>SUM('案件．要員情報'!BD26:BK26)</f>
        <v>0</v>
      </c>
      <c r="V25" s="153">
        <f>SUM('案件．要員情報'!BL26:BS26)</f>
        <v>0</v>
      </c>
      <c r="W25" s="153">
        <f>SUM('案件．要員情報'!BT26:CA26)</f>
        <v>0</v>
      </c>
      <c r="X25" s="153">
        <f>SUM('案件．要員情報'!CB26:CI26)</f>
        <v>0</v>
      </c>
      <c r="Y25" s="153">
        <f>SUM('案件．要員情報'!CJ26:CQ26)</f>
        <v>0</v>
      </c>
      <c r="Z25" s="153">
        <f>SUM('案件．要員情報'!CR26:CY26)</f>
        <v>0</v>
      </c>
      <c r="AA25" s="342">
        <f t="shared" si="0"/>
        <v>0.93991228070175437</v>
      </c>
    </row>
    <row r="26" spans="1:27" s="151" customFormat="1" ht="18.75" customHeight="1" collapsed="1" x14ac:dyDescent="0.4">
      <c r="A26" s="379">
        <v>11</v>
      </c>
      <c r="B26" s="379" t="s">
        <v>47</v>
      </c>
      <c r="C26" s="379" t="s">
        <v>14</v>
      </c>
      <c r="D26" s="381" t="s">
        <v>481</v>
      </c>
      <c r="E26" s="381" t="s">
        <v>480</v>
      </c>
      <c r="F26" s="381"/>
      <c r="G26" s="404" t="s">
        <v>476</v>
      </c>
      <c r="H26" s="394"/>
      <c r="I26" s="394"/>
      <c r="J26" s="394"/>
      <c r="K26" s="396"/>
      <c r="L26" s="396"/>
      <c r="M26" s="369"/>
      <c r="N26" s="154" t="s">
        <v>24</v>
      </c>
      <c r="O26" s="150">
        <f>SUM('案件．要員情報'!O27:U27)</f>
        <v>0.15000000000000002</v>
      </c>
      <c r="P26" s="150">
        <f>SUM('案件．要員情報'!V27:AA27)</f>
        <v>0</v>
      </c>
      <c r="Q26" s="150">
        <f>SUM('案件．要員情報'!AB27:AG27)</f>
        <v>0</v>
      </c>
      <c r="R26" s="150">
        <f>SUM('案件．要員情報'!AH27:AM27)</f>
        <v>0</v>
      </c>
      <c r="S26" s="150">
        <f>SUM('案件．要員情報'!AN27:AU27)</f>
        <v>0</v>
      </c>
      <c r="T26" s="150">
        <f>SUM('案件．要員情報'!AV27:BC27)</f>
        <v>0</v>
      </c>
      <c r="U26" s="150">
        <f>SUM('案件．要員情報'!BD27:BK27)</f>
        <v>0</v>
      </c>
      <c r="V26" s="150">
        <f>SUM('案件．要員情報'!BL27:BS27)</f>
        <v>0</v>
      </c>
      <c r="W26" s="150">
        <f>SUM('案件．要員情報'!BT27:CA27)</f>
        <v>0</v>
      </c>
      <c r="X26" s="150">
        <f>SUM('案件．要員情報'!CB27:CI27)</f>
        <v>0</v>
      </c>
      <c r="Y26" s="150">
        <f>SUM('案件．要員情報'!CJ27:CQ27)</f>
        <v>0</v>
      </c>
      <c r="Z26" s="150">
        <f>SUM('案件．要員情報'!CR27:CY27)</f>
        <v>0</v>
      </c>
      <c r="AA26" s="213">
        <f t="shared" si="0"/>
        <v>0.15000000000000002</v>
      </c>
    </row>
    <row r="27" spans="1:27" s="151" customFormat="1" ht="18.75" customHeight="1" x14ac:dyDescent="0.4">
      <c r="A27" s="380"/>
      <c r="B27" s="380"/>
      <c r="C27" s="380"/>
      <c r="D27" s="382"/>
      <c r="E27" s="382"/>
      <c r="F27" s="382"/>
      <c r="G27" s="404"/>
      <c r="H27" s="395"/>
      <c r="I27" s="395"/>
      <c r="J27" s="395"/>
      <c r="K27" s="397"/>
      <c r="L27" s="397"/>
      <c r="M27" s="370"/>
      <c r="N27" s="155" t="s">
        <v>25</v>
      </c>
      <c r="O27" s="153">
        <f>SUM('案件．要員情報'!O28:U28)</f>
        <v>0.13333333333333333</v>
      </c>
      <c r="P27" s="153">
        <f>SUM('案件．要員情報'!V28:AA28)</f>
        <v>0</v>
      </c>
      <c r="Q27" s="153">
        <f>SUM('案件．要員情報'!AB28:AG28)</f>
        <v>0</v>
      </c>
      <c r="R27" s="153">
        <f>SUM('案件．要員情報'!AH28:AM28)</f>
        <v>0</v>
      </c>
      <c r="S27" s="153">
        <f>SUM('案件．要員情報'!AN28:AU28)</f>
        <v>0</v>
      </c>
      <c r="T27" s="153">
        <f>SUM('案件．要員情報'!AV28:BC28)</f>
        <v>0</v>
      </c>
      <c r="U27" s="153">
        <f>SUM('案件．要員情報'!BD28:BK28)</f>
        <v>0</v>
      </c>
      <c r="V27" s="153">
        <f>SUM('案件．要員情報'!BL28:BS28)</f>
        <v>0</v>
      </c>
      <c r="W27" s="153">
        <f>SUM('案件．要員情報'!BT28:CA28)</f>
        <v>0</v>
      </c>
      <c r="X27" s="153">
        <f>SUM('案件．要員情報'!CB28:CI28)</f>
        <v>0</v>
      </c>
      <c r="Y27" s="153">
        <f>SUM('案件．要員情報'!CJ28:CQ28)</f>
        <v>0</v>
      </c>
      <c r="Z27" s="153">
        <f>SUM('案件．要員情報'!CR28:CY28)</f>
        <v>0</v>
      </c>
      <c r="AA27" s="156">
        <f t="shared" si="0"/>
        <v>0.13333333333333333</v>
      </c>
    </row>
    <row r="28" spans="1:27" s="151" customFormat="1" ht="18.75" customHeight="1" x14ac:dyDescent="0.4">
      <c r="A28" s="379">
        <v>12</v>
      </c>
      <c r="B28" s="379" t="s">
        <v>47</v>
      </c>
      <c r="C28" s="379" t="s">
        <v>14</v>
      </c>
      <c r="D28" s="381" t="s">
        <v>481</v>
      </c>
      <c r="E28" s="381" t="s">
        <v>478</v>
      </c>
      <c r="F28" s="381"/>
      <c r="G28" s="404" t="s">
        <v>474</v>
      </c>
      <c r="H28" s="394"/>
      <c r="I28" s="394"/>
      <c r="J28" s="394"/>
      <c r="K28" s="396"/>
      <c r="L28" s="396"/>
      <c r="M28" s="369"/>
      <c r="N28" s="154" t="s">
        <v>24</v>
      </c>
      <c r="O28" s="150">
        <f>SUM('案件．要員情報'!O29:U29)</f>
        <v>6.6666666666666666E-2</v>
      </c>
      <c r="P28" s="150">
        <f>SUM('案件．要員情報'!V29:AA29)</f>
        <v>0</v>
      </c>
      <c r="Q28" s="150">
        <f>SUM('案件．要員情報'!AB29:AG29)</f>
        <v>0</v>
      </c>
      <c r="R28" s="150">
        <f>SUM('案件．要員情報'!AH29:AM29)</f>
        <v>0</v>
      </c>
      <c r="S28" s="150">
        <f>SUM('案件．要員情報'!AN29:AU29)</f>
        <v>0</v>
      </c>
      <c r="T28" s="150">
        <f>SUM('案件．要員情報'!AV29:BC29)</f>
        <v>0</v>
      </c>
      <c r="U28" s="150">
        <f>SUM('案件．要員情報'!BD29:BK29)</f>
        <v>0</v>
      </c>
      <c r="V28" s="150">
        <f>SUM('案件．要員情報'!BL29:BS29)</f>
        <v>0</v>
      </c>
      <c r="W28" s="150">
        <f>SUM('案件．要員情報'!BT29:CA29)</f>
        <v>0</v>
      </c>
      <c r="X28" s="150">
        <f>SUM('案件．要員情報'!CB29:CI29)</f>
        <v>0</v>
      </c>
      <c r="Y28" s="150">
        <f>SUM('案件．要員情報'!CJ29:CQ29)</f>
        <v>0</v>
      </c>
      <c r="Z28" s="150">
        <f>SUM('案件．要員情報'!CR29:CY29)</f>
        <v>0</v>
      </c>
      <c r="AA28" s="213">
        <f t="shared" si="0"/>
        <v>6.6666666666666666E-2</v>
      </c>
    </row>
    <row r="29" spans="1:27" s="151" customFormat="1" ht="18.75" customHeight="1" x14ac:dyDescent="0.4">
      <c r="A29" s="380"/>
      <c r="B29" s="380"/>
      <c r="C29" s="380"/>
      <c r="D29" s="382"/>
      <c r="E29" s="382"/>
      <c r="F29" s="382"/>
      <c r="G29" s="404"/>
      <c r="H29" s="395"/>
      <c r="I29" s="395"/>
      <c r="J29" s="395"/>
      <c r="K29" s="397"/>
      <c r="L29" s="397"/>
      <c r="M29" s="370"/>
      <c r="N29" s="155" t="s">
        <v>25</v>
      </c>
      <c r="O29" s="153">
        <f>SUM('案件．要員情報'!O30:U30)</f>
        <v>5.4166666666666669E-2</v>
      </c>
      <c r="P29" s="153">
        <f>SUM('案件．要員情報'!V30:AA30)</f>
        <v>0</v>
      </c>
      <c r="Q29" s="153">
        <f>SUM('案件．要員情報'!AB30:AG30)</f>
        <v>0</v>
      </c>
      <c r="R29" s="153">
        <f>SUM('案件．要員情報'!AH30:AM30)</f>
        <v>0</v>
      </c>
      <c r="S29" s="153">
        <f>SUM('案件．要員情報'!AN30:AU30)</f>
        <v>0</v>
      </c>
      <c r="T29" s="153">
        <f>SUM('案件．要員情報'!AV30:BC30)</f>
        <v>0</v>
      </c>
      <c r="U29" s="153">
        <f>SUM('案件．要員情報'!BD30:BK30)</f>
        <v>0</v>
      </c>
      <c r="V29" s="153">
        <f>SUM('案件．要員情報'!BL30:BS30)</f>
        <v>0</v>
      </c>
      <c r="W29" s="153">
        <f>SUM('案件．要員情報'!BT30:CA30)</f>
        <v>0</v>
      </c>
      <c r="X29" s="153">
        <f>SUM('案件．要員情報'!CB30:CI30)</f>
        <v>0</v>
      </c>
      <c r="Y29" s="153">
        <f>SUM('案件．要員情報'!CJ30:CQ30)</f>
        <v>0</v>
      </c>
      <c r="Z29" s="153">
        <f>SUM('案件．要員情報'!CR30:CY30)</f>
        <v>0</v>
      </c>
      <c r="AA29" s="156">
        <f t="shared" si="0"/>
        <v>5.4166666666666669E-2</v>
      </c>
    </row>
    <row r="30" spans="1:27" s="151" customFormat="1" ht="18.75" customHeight="1" x14ac:dyDescent="0.4">
      <c r="A30" s="377">
        <v>13</v>
      </c>
      <c r="B30" s="379" t="s">
        <v>47</v>
      </c>
      <c r="C30" s="379" t="s">
        <v>347</v>
      </c>
      <c r="D30" s="381" t="s">
        <v>348</v>
      </c>
      <c r="E30" s="381" t="s">
        <v>506</v>
      </c>
      <c r="F30" s="381" t="s">
        <v>514</v>
      </c>
      <c r="G30" s="416" t="s">
        <v>507</v>
      </c>
      <c r="H30" s="394"/>
      <c r="I30" s="394"/>
      <c r="J30" s="394"/>
      <c r="K30" s="396"/>
      <c r="L30" s="396"/>
      <c r="M30" s="369"/>
      <c r="N30" s="154" t="s">
        <v>24</v>
      </c>
      <c r="O30" s="150">
        <f>SUM('案件．要員情報'!O31:U31)</f>
        <v>0.61666666666666659</v>
      </c>
      <c r="P30" s="150">
        <f>SUM('案件．要員情報'!V31:AA31)</f>
        <v>0</v>
      </c>
      <c r="Q30" s="150">
        <f>SUM('案件．要員情報'!AB31:AG31)</f>
        <v>0</v>
      </c>
      <c r="R30" s="150">
        <f>SUM('案件．要員情報'!AH31:AM31)</f>
        <v>0</v>
      </c>
      <c r="S30" s="150">
        <f>SUM('案件．要員情報'!AN31:AU31)</f>
        <v>0</v>
      </c>
      <c r="T30" s="150">
        <f>SUM('案件．要員情報'!AV31:BC31)</f>
        <v>0</v>
      </c>
      <c r="U30" s="150">
        <f>SUM('案件．要員情報'!BD31:BK31)</f>
        <v>0</v>
      </c>
      <c r="V30" s="150">
        <f>SUM('案件．要員情報'!BL31:BS31)</f>
        <v>0</v>
      </c>
      <c r="W30" s="150">
        <f>SUM('案件．要員情報'!BT31:CA31)</f>
        <v>0</v>
      </c>
      <c r="X30" s="150">
        <f>SUM('案件．要員情報'!CB31:CI31)</f>
        <v>0</v>
      </c>
      <c r="Y30" s="150">
        <f>SUM('案件．要員情報'!CJ31:CQ31)</f>
        <v>0</v>
      </c>
      <c r="Z30" s="150">
        <f>SUM('案件．要員情報'!CR31:CY31)</f>
        <v>0</v>
      </c>
      <c r="AA30" s="213">
        <f t="shared" si="0"/>
        <v>0.61666666666666659</v>
      </c>
    </row>
    <row r="31" spans="1:27" s="151" customFormat="1" ht="18.75" customHeight="1" x14ac:dyDescent="0.4">
      <c r="A31" s="378"/>
      <c r="B31" s="380"/>
      <c r="C31" s="380"/>
      <c r="D31" s="382"/>
      <c r="E31" s="382"/>
      <c r="F31" s="382"/>
      <c r="G31" s="416"/>
      <c r="H31" s="395"/>
      <c r="I31" s="395"/>
      <c r="J31" s="395"/>
      <c r="K31" s="397"/>
      <c r="L31" s="397"/>
      <c r="M31" s="370"/>
      <c r="N31" s="155" t="s">
        <v>25</v>
      </c>
      <c r="O31" s="153">
        <f>SUM('案件．要員情報'!O32:U32)</f>
        <v>0.5854166666666667</v>
      </c>
      <c r="P31" s="153">
        <f>SUM('案件．要員情報'!V32:AA32)</f>
        <v>0</v>
      </c>
      <c r="Q31" s="153">
        <f>SUM('案件．要員情報'!AB32:AG32)</f>
        <v>0</v>
      </c>
      <c r="R31" s="153">
        <f>SUM('案件．要員情報'!AH32:AM32)</f>
        <v>0</v>
      </c>
      <c r="S31" s="153">
        <f>SUM('案件．要員情報'!AN32:AU32)</f>
        <v>0</v>
      </c>
      <c r="T31" s="153">
        <f>SUM('案件．要員情報'!AV32:BC32)</f>
        <v>0</v>
      </c>
      <c r="U31" s="153">
        <f>SUM('案件．要員情報'!BD32:BK32)</f>
        <v>0</v>
      </c>
      <c r="V31" s="153">
        <f>SUM('案件．要員情報'!BL32:BS32)</f>
        <v>0</v>
      </c>
      <c r="W31" s="153">
        <f>SUM('案件．要員情報'!BT32:CA32)</f>
        <v>0</v>
      </c>
      <c r="X31" s="153">
        <f>SUM('案件．要員情報'!CB32:CI32)</f>
        <v>0</v>
      </c>
      <c r="Y31" s="153">
        <f>SUM('案件．要員情報'!CJ32:CQ32)</f>
        <v>0</v>
      </c>
      <c r="Z31" s="153">
        <f>SUM('案件．要員情報'!CR32:CY32)</f>
        <v>0</v>
      </c>
      <c r="AA31" s="156">
        <f t="shared" si="0"/>
        <v>0.5854166666666667</v>
      </c>
    </row>
    <row r="32" spans="1:27" s="151" customFormat="1" ht="18.75" customHeight="1" collapsed="1" x14ac:dyDescent="0.4">
      <c r="A32" s="377">
        <v>14</v>
      </c>
      <c r="B32" s="379" t="s">
        <v>47</v>
      </c>
      <c r="C32" s="379" t="s">
        <v>14</v>
      </c>
      <c r="D32" s="381" t="s">
        <v>433</v>
      </c>
      <c r="E32" s="381" t="s">
        <v>509</v>
      </c>
      <c r="F32" s="381" t="s">
        <v>429</v>
      </c>
      <c r="G32" s="404" t="s">
        <v>508</v>
      </c>
      <c r="H32" s="394"/>
      <c r="I32" s="394"/>
      <c r="J32" s="394"/>
      <c r="K32" s="396"/>
      <c r="L32" s="396"/>
      <c r="M32" s="369"/>
      <c r="N32" s="154" t="s">
        <v>24</v>
      </c>
      <c r="O32" s="150">
        <f>SUM('案件．要員情報'!O33:U33)</f>
        <v>0.35</v>
      </c>
      <c r="P32" s="150">
        <f>SUM('案件．要員情報'!V33:AA33)</f>
        <v>0.63157894736842102</v>
      </c>
      <c r="Q32" s="150">
        <f>SUM('案件．要員情報'!AB33:AG33)</f>
        <v>6.0606060606060608E-2</v>
      </c>
      <c r="R32" s="150">
        <f>SUM('案件．要員情報'!AH33:AM33)</f>
        <v>0</v>
      </c>
      <c r="S32" s="150">
        <f>SUM('案件．要員情報'!AN33:AU33)</f>
        <v>0</v>
      </c>
      <c r="T32" s="150">
        <f>SUM('案件．要員情報'!AV33:BC33)</f>
        <v>0</v>
      </c>
      <c r="U32" s="150">
        <f>SUM('案件．要員情報'!BD33:BK33)</f>
        <v>0</v>
      </c>
      <c r="V32" s="150">
        <f>SUM('案件．要員情報'!BL33:BS33)</f>
        <v>0</v>
      </c>
      <c r="W32" s="150">
        <f>SUM('案件．要員情報'!BT33:CA33)</f>
        <v>0</v>
      </c>
      <c r="X32" s="150">
        <f>SUM('案件．要員情報'!CB33:CI33)</f>
        <v>0</v>
      </c>
      <c r="Y32" s="150">
        <f>SUM('案件．要員情報'!CJ33:CQ33)</f>
        <v>0</v>
      </c>
      <c r="Z32" s="150">
        <f>SUM('案件．要員情報'!CR33:CY33)</f>
        <v>0</v>
      </c>
      <c r="AA32" s="213">
        <f t="shared" si="0"/>
        <v>1.0421850079744817</v>
      </c>
    </row>
    <row r="33" spans="1:27" s="151" customFormat="1" ht="18.75" customHeight="1" x14ac:dyDescent="0.4">
      <c r="A33" s="378"/>
      <c r="B33" s="380"/>
      <c r="C33" s="380"/>
      <c r="D33" s="382"/>
      <c r="E33" s="382"/>
      <c r="F33" s="382"/>
      <c r="G33" s="404"/>
      <c r="H33" s="395"/>
      <c r="I33" s="395"/>
      <c r="J33" s="395"/>
      <c r="K33" s="397"/>
      <c r="L33" s="397"/>
      <c r="M33" s="370"/>
      <c r="N33" s="155" t="s">
        <v>25</v>
      </c>
      <c r="O33" s="153">
        <f>SUM('案件．要員情報'!O34:U34)</f>
        <v>0.31666666666666665</v>
      </c>
      <c r="P33" s="153">
        <f>SUM('案件．要員情報'!V34:AA34)</f>
        <v>0.6210526315789473</v>
      </c>
      <c r="Q33" s="153">
        <f>SUM('案件．要員情報'!AB34:AG34)</f>
        <v>3.6363636363636362E-2</v>
      </c>
      <c r="R33" s="153">
        <f>SUM('案件．要員情報'!AH34:AM34)</f>
        <v>0</v>
      </c>
      <c r="S33" s="153">
        <f>SUM('案件．要員情報'!AN34:AU34)</f>
        <v>0</v>
      </c>
      <c r="T33" s="153">
        <f>SUM('案件．要員情報'!AV34:BC34)</f>
        <v>0</v>
      </c>
      <c r="U33" s="153">
        <f>SUM('案件．要員情報'!BD34:BK34)</f>
        <v>0</v>
      </c>
      <c r="V33" s="153">
        <f>SUM('案件．要員情報'!BL34:BS34)</f>
        <v>0</v>
      </c>
      <c r="W33" s="153">
        <f>SUM('案件．要員情報'!BT34:CA34)</f>
        <v>0</v>
      </c>
      <c r="X33" s="153">
        <f>SUM('案件．要員情報'!CB34:CI34)</f>
        <v>0</v>
      </c>
      <c r="Y33" s="153">
        <f>SUM('案件．要員情報'!CJ34:CQ34)</f>
        <v>0</v>
      </c>
      <c r="Z33" s="153">
        <f>SUM('案件．要員情報'!CR34:CY34)</f>
        <v>0</v>
      </c>
      <c r="AA33" s="156">
        <f t="shared" si="0"/>
        <v>0.97408293460925033</v>
      </c>
    </row>
    <row r="34" spans="1:27" s="151" customFormat="1" ht="18.75" customHeight="1" x14ac:dyDescent="0.4">
      <c r="A34" s="377">
        <v>15</v>
      </c>
      <c r="B34" s="379" t="s">
        <v>47</v>
      </c>
      <c r="C34" s="379" t="s">
        <v>14</v>
      </c>
      <c r="D34" s="381" t="s">
        <v>513</v>
      </c>
      <c r="E34" s="381" t="s">
        <v>511</v>
      </c>
      <c r="F34" s="381"/>
      <c r="G34" s="383" t="s">
        <v>512</v>
      </c>
      <c r="H34" s="394"/>
      <c r="I34" s="394"/>
      <c r="J34" s="394"/>
      <c r="K34" s="396"/>
      <c r="L34" s="396"/>
      <c r="M34" s="369"/>
      <c r="N34" s="154" t="s">
        <v>24</v>
      </c>
      <c r="O34" s="150">
        <f>SUM('案件．要員情報'!O35:U35)</f>
        <v>1.2500000000000001E-2</v>
      </c>
      <c r="P34" s="150">
        <f>SUM('案件．要員情報'!V35:AA35)</f>
        <v>0</v>
      </c>
      <c r="Q34" s="150">
        <f>SUM('案件．要員情報'!AB35:AG35)</f>
        <v>0</v>
      </c>
      <c r="R34" s="150">
        <f>SUM('案件．要員情報'!AH35:AM35)</f>
        <v>0</v>
      </c>
      <c r="S34" s="150">
        <f>SUM('案件．要員情報'!AN35:AU35)</f>
        <v>0</v>
      </c>
      <c r="T34" s="150">
        <f>SUM('案件．要員情報'!AV35:BC35)</f>
        <v>0</v>
      </c>
      <c r="U34" s="150">
        <f>SUM('案件．要員情報'!BD35:BK35)</f>
        <v>0</v>
      </c>
      <c r="V34" s="150">
        <f>SUM('案件．要員情報'!BL35:BS35)</f>
        <v>0</v>
      </c>
      <c r="W34" s="150">
        <f>SUM('案件．要員情報'!BT35:CA35)</f>
        <v>0</v>
      </c>
      <c r="X34" s="150">
        <f>SUM('案件．要員情報'!CB35:CI35)</f>
        <v>0</v>
      </c>
      <c r="Y34" s="150">
        <f>SUM('案件．要員情報'!CJ35:CQ35)</f>
        <v>0</v>
      </c>
      <c r="Z34" s="150">
        <f>SUM('案件．要員情報'!CR35:CY35)</f>
        <v>0</v>
      </c>
      <c r="AA34" s="213">
        <f t="shared" si="0"/>
        <v>1.2500000000000001E-2</v>
      </c>
    </row>
    <row r="35" spans="1:27" s="151" customFormat="1" ht="20.100000000000001" customHeight="1" x14ac:dyDescent="0.4">
      <c r="A35" s="378"/>
      <c r="B35" s="380"/>
      <c r="C35" s="380"/>
      <c r="D35" s="382"/>
      <c r="E35" s="382"/>
      <c r="F35" s="382"/>
      <c r="G35" s="384"/>
      <c r="H35" s="395"/>
      <c r="I35" s="395"/>
      <c r="J35" s="395"/>
      <c r="K35" s="397"/>
      <c r="L35" s="397"/>
      <c r="M35" s="370"/>
      <c r="N35" s="155" t="s">
        <v>25</v>
      </c>
      <c r="O35" s="153">
        <f>SUM('案件．要員情報'!O36:U36)</f>
        <v>4.1666666666666666E-3</v>
      </c>
      <c r="P35" s="153">
        <f>SUM('案件．要員情報'!V36:AA36)</f>
        <v>0</v>
      </c>
      <c r="Q35" s="153">
        <f>SUM('案件．要員情報'!AB36:AG36)</f>
        <v>0</v>
      </c>
      <c r="R35" s="153">
        <f>SUM('案件．要員情報'!AH36:AM36)</f>
        <v>0</v>
      </c>
      <c r="S35" s="153">
        <f>SUM('案件．要員情報'!AN36:AU36)</f>
        <v>0</v>
      </c>
      <c r="T35" s="153">
        <f>SUM('案件．要員情報'!AV36:BC36)</f>
        <v>0</v>
      </c>
      <c r="U35" s="153">
        <f>SUM('案件．要員情報'!BD36:BK36)</f>
        <v>0</v>
      </c>
      <c r="V35" s="153">
        <f>SUM('案件．要員情報'!BL36:BS36)</f>
        <v>0</v>
      </c>
      <c r="W35" s="153">
        <f>SUM('案件．要員情報'!BT36:CA36)</f>
        <v>0</v>
      </c>
      <c r="X35" s="153">
        <f>SUM('案件．要員情報'!CB36:CI36)</f>
        <v>0</v>
      </c>
      <c r="Y35" s="153">
        <f>SUM('案件．要員情報'!CJ36:CQ36)</f>
        <v>0</v>
      </c>
      <c r="Z35" s="153">
        <f>SUM('案件．要員情報'!CR36:CY36)</f>
        <v>0</v>
      </c>
      <c r="AA35" s="156">
        <f t="shared" si="0"/>
        <v>4.1666666666666666E-3</v>
      </c>
    </row>
    <row r="36" spans="1:27" s="151" customFormat="1" ht="20.100000000000001" customHeight="1" x14ac:dyDescent="0.4">
      <c r="A36" s="377">
        <v>16</v>
      </c>
      <c r="B36" s="379" t="s">
        <v>47</v>
      </c>
      <c r="C36" s="379" t="s">
        <v>14</v>
      </c>
      <c r="D36" s="381" t="s">
        <v>513</v>
      </c>
      <c r="E36" s="381" t="s">
        <v>533</v>
      </c>
      <c r="F36" s="381" t="s">
        <v>534</v>
      </c>
      <c r="G36" s="404" t="s">
        <v>532</v>
      </c>
      <c r="H36" s="394"/>
      <c r="I36" s="394"/>
      <c r="J36" s="394"/>
      <c r="K36" s="396"/>
      <c r="L36" s="396"/>
      <c r="M36" s="369"/>
      <c r="N36" s="154" t="s">
        <v>24</v>
      </c>
      <c r="O36" s="150">
        <f>SUM('案件．要員情報'!O37:U37)</f>
        <v>0</v>
      </c>
      <c r="P36" s="150">
        <f>SUM('案件．要員情報'!V37:AA37)</f>
        <v>1.3543859649122807</v>
      </c>
      <c r="Q36" s="150">
        <f>SUM('案件．要員情報'!AB37:AG37)</f>
        <v>0.75151515151515147</v>
      </c>
      <c r="R36" s="150">
        <f>SUM('案件．要員情報'!AH37:AM37)</f>
        <v>0</v>
      </c>
      <c r="S36" s="150">
        <f>SUM('案件．要員情報'!AN37:AU37)</f>
        <v>0</v>
      </c>
      <c r="T36" s="150">
        <f>SUM('案件．要員情報'!AV37:BC37)</f>
        <v>0</v>
      </c>
      <c r="U36" s="150">
        <f>SUM('案件．要員情報'!BD37:BK37)</f>
        <v>0</v>
      </c>
      <c r="V36" s="150">
        <f>SUM('案件．要員情報'!BL37:BS37)</f>
        <v>0</v>
      </c>
      <c r="W36" s="150">
        <f>SUM('案件．要員情報'!BT37:CA37)</f>
        <v>0</v>
      </c>
      <c r="X36" s="150">
        <f>SUM('案件．要員情報'!CB37:CI37)</f>
        <v>0</v>
      </c>
      <c r="Y36" s="150">
        <f>SUM('案件．要員情報'!CJ37:CQ37)</f>
        <v>0</v>
      </c>
      <c r="Z36" s="150">
        <f>SUM('案件．要員情報'!CR37:CY37)</f>
        <v>0</v>
      </c>
      <c r="AA36" s="213">
        <f t="shared" si="0"/>
        <v>2.1059011164274324</v>
      </c>
    </row>
    <row r="37" spans="1:27" s="151" customFormat="1" ht="20.100000000000001" customHeight="1" x14ac:dyDescent="0.4">
      <c r="A37" s="378"/>
      <c r="B37" s="380"/>
      <c r="C37" s="380"/>
      <c r="D37" s="382"/>
      <c r="E37" s="382"/>
      <c r="F37" s="382"/>
      <c r="G37" s="404"/>
      <c r="H37" s="395"/>
      <c r="I37" s="395"/>
      <c r="J37" s="395"/>
      <c r="K37" s="397"/>
      <c r="L37" s="397"/>
      <c r="M37" s="370"/>
      <c r="N37" s="155" t="s">
        <v>25</v>
      </c>
      <c r="O37" s="153">
        <f>SUM('案件．要員情報'!O38:U38)</f>
        <v>0</v>
      </c>
      <c r="P37" s="153">
        <f>SUM('案件．要員情報'!V38:AA38)</f>
        <v>1.2982456140350878</v>
      </c>
      <c r="Q37" s="153">
        <f>SUM('案件．要員情報'!AB38:AG38)</f>
        <v>0.70606060606060606</v>
      </c>
      <c r="R37" s="153">
        <f>SUM('案件．要員情報'!AH38:AM38)</f>
        <v>0</v>
      </c>
      <c r="S37" s="153">
        <f>SUM('案件．要員情報'!AN38:AU38)</f>
        <v>0</v>
      </c>
      <c r="T37" s="153">
        <f>SUM('案件．要員情報'!AV38:BC38)</f>
        <v>0</v>
      </c>
      <c r="U37" s="153">
        <f>SUM('案件．要員情報'!BD38:BK38)</f>
        <v>0</v>
      </c>
      <c r="V37" s="153">
        <f>SUM('案件．要員情報'!BL38:BS38)</f>
        <v>0</v>
      </c>
      <c r="W37" s="153">
        <f>SUM('案件．要員情報'!BT38:CA38)</f>
        <v>0</v>
      </c>
      <c r="X37" s="153">
        <f>SUM('案件．要員情報'!CB38:CI38)</f>
        <v>0</v>
      </c>
      <c r="Y37" s="153">
        <f>SUM('案件．要員情報'!CJ38:CQ38)</f>
        <v>0</v>
      </c>
      <c r="Z37" s="153">
        <f>SUM('案件．要員情報'!CR38:CY38)</f>
        <v>0</v>
      </c>
      <c r="AA37" s="342">
        <f t="shared" si="0"/>
        <v>2.0043062200956938</v>
      </c>
    </row>
    <row r="38" spans="1:27" s="151" customFormat="1" ht="20.100000000000001" customHeight="1" x14ac:dyDescent="0.4">
      <c r="A38" s="377">
        <v>17</v>
      </c>
      <c r="B38" s="379" t="s">
        <v>47</v>
      </c>
      <c r="C38" s="379" t="s">
        <v>14</v>
      </c>
      <c r="D38" s="381" t="s">
        <v>430</v>
      </c>
      <c r="E38" s="381" t="s">
        <v>536</v>
      </c>
      <c r="F38" s="381" t="s">
        <v>429</v>
      </c>
      <c r="G38" s="404" t="s">
        <v>535</v>
      </c>
      <c r="H38" s="394"/>
      <c r="I38" s="394"/>
      <c r="J38" s="394"/>
      <c r="K38" s="396"/>
      <c r="L38" s="396"/>
      <c r="M38" s="369"/>
      <c r="N38" s="154" t="s">
        <v>24</v>
      </c>
      <c r="O38" s="150">
        <f>SUM('案件．要員情報'!O39:U39)</f>
        <v>0</v>
      </c>
      <c r="P38" s="150">
        <f>SUM('案件．要員情報'!V39:AA39)</f>
        <v>0.50526315789473686</v>
      </c>
      <c r="Q38" s="150">
        <f>SUM('案件．要員情報'!AB39:AG39)</f>
        <v>0.40606060606060607</v>
      </c>
      <c r="R38" s="150">
        <f>SUM('案件．要員情報'!AH39:AM39)</f>
        <v>0.35151515151515156</v>
      </c>
      <c r="S38" s="150">
        <f>SUM('案件．要員情報'!AN39:AU39)</f>
        <v>0</v>
      </c>
      <c r="T38" s="150">
        <f>SUM('案件．要員情報'!AV39:BC39)</f>
        <v>0</v>
      </c>
      <c r="U38" s="150">
        <f>SUM('案件．要員情報'!BD39:BK39)</f>
        <v>0</v>
      </c>
      <c r="V38" s="150">
        <f>SUM('案件．要員情報'!BL39:BS39)</f>
        <v>0</v>
      </c>
      <c r="W38" s="150">
        <f>SUM('案件．要員情報'!BT39:CA39)</f>
        <v>0</v>
      </c>
      <c r="X38" s="150">
        <f>SUM('案件．要員情報'!CB39:CI39)</f>
        <v>0</v>
      </c>
      <c r="Y38" s="150">
        <f>SUM('案件．要員情報'!CJ39:CQ39)</f>
        <v>0</v>
      </c>
      <c r="Z38" s="150">
        <f>SUM('案件．要員情報'!CR39:CY39)</f>
        <v>0</v>
      </c>
      <c r="AA38" s="213">
        <f t="shared" ref="AA38:AA51" si="1">SUM(O38:Z38)</f>
        <v>1.2628389154704944</v>
      </c>
    </row>
    <row r="39" spans="1:27" s="151" customFormat="1" ht="20.100000000000001" customHeight="1" x14ac:dyDescent="0.4">
      <c r="A39" s="378"/>
      <c r="B39" s="380"/>
      <c r="C39" s="380"/>
      <c r="D39" s="382"/>
      <c r="E39" s="382"/>
      <c r="F39" s="382"/>
      <c r="G39" s="404"/>
      <c r="H39" s="395"/>
      <c r="I39" s="395"/>
      <c r="J39" s="395"/>
      <c r="K39" s="397"/>
      <c r="L39" s="397"/>
      <c r="M39" s="370"/>
      <c r="N39" s="155" t="s">
        <v>25</v>
      </c>
      <c r="O39" s="153">
        <f>SUM('案件．要員情報'!O40:U40)</f>
        <v>0</v>
      </c>
      <c r="P39" s="153">
        <f>SUM('案件．要員情報'!V40:AA40)</f>
        <v>0.44912280701754387</v>
      </c>
      <c r="Q39" s="153">
        <f>SUM('案件．要員情報'!AB40:AG40)</f>
        <v>0.30606060606060609</v>
      </c>
      <c r="R39" s="153">
        <f>SUM('案件．要員情報'!AH40:AM40)</f>
        <v>0.35454545454545455</v>
      </c>
      <c r="S39" s="153">
        <f>SUM('案件．要員情報'!AN40:AU40)</f>
        <v>0</v>
      </c>
      <c r="T39" s="153">
        <f>SUM('案件．要員情報'!AV40:BC40)</f>
        <v>0</v>
      </c>
      <c r="U39" s="153">
        <f>SUM('案件．要員情報'!BD40:BK40)</f>
        <v>0</v>
      </c>
      <c r="V39" s="153">
        <f>SUM('案件．要員情報'!BL40:BS40)</f>
        <v>0</v>
      </c>
      <c r="W39" s="153">
        <f>SUM('案件．要員情報'!BT40:CA40)</f>
        <v>0</v>
      </c>
      <c r="X39" s="153">
        <f>SUM('案件．要員情報'!CB40:CI40)</f>
        <v>0</v>
      </c>
      <c r="Y39" s="153">
        <f>SUM('案件．要員情報'!CJ40:CQ40)</f>
        <v>0</v>
      </c>
      <c r="Z39" s="153">
        <f>SUM('案件．要員情報'!CR40:CY40)</f>
        <v>0</v>
      </c>
      <c r="AA39" s="342">
        <f t="shared" si="1"/>
        <v>1.1097288676236046</v>
      </c>
    </row>
    <row r="40" spans="1:27" s="151" customFormat="1" ht="20.100000000000001" customHeight="1" collapsed="1" x14ac:dyDescent="0.4">
      <c r="A40" s="377">
        <v>18</v>
      </c>
      <c r="B40" s="379" t="s">
        <v>46</v>
      </c>
      <c r="C40" s="379" t="s">
        <v>14</v>
      </c>
      <c r="D40" s="381" t="s">
        <v>550</v>
      </c>
      <c r="E40" s="381" t="s">
        <v>548</v>
      </c>
      <c r="F40" s="381"/>
      <c r="G40" s="404" t="s">
        <v>551</v>
      </c>
      <c r="H40" s="394"/>
      <c r="I40" s="394"/>
      <c r="J40" s="394"/>
      <c r="K40" s="396"/>
      <c r="L40" s="396"/>
      <c r="M40" s="369"/>
      <c r="N40" s="154" t="s">
        <v>24</v>
      </c>
      <c r="O40" s="150">
        <f>SUM('案件．要員情報'!O41:U41)</f>
        <v>0</v>
      </c>
      <c r="P40" s="150">
        <f>SUM('案件．要員情報'!V41:AA41)</f>
        <v>0.5473684210526315</v>
      </c>
      <c r="Q40" s="150">
        <f>SUM('案件．要員情報'!AB41:AG41)</f>
        <v>1.6484848484848484</v>
      </c>
      <c r="R40" s="150">
        <f>SUM('案件．要員情報'!AH41:AM41)</f>
        <v>0.98787878787878791</v>
      </c>
      <c r="S40" s="150">
        <f>SUM('案件．要員情報'!AN41:AU41)</f>
        <v>0</v>
      </c>
      <c r="T40" s="150">
        <f>SUM('案件．要員情報'!AV41:BC41)</f>
        <v>0</v>
      </c>
      <c r="U40" s="150">
        <f>SUM('案件．要員情報'!BD41:BK41)</f>
        <v>0</v>
      </c>
      <c r="V40" s="150">
        <f>SUM('案件．要員情報'!BL41:BS41)</f>
        <v>0</v>
      </c>
      <c r="W40" s="150">
        <f>SUM('案件．要員情報'!BT41:CA41)</f>
        <v>0</v>
      </c>
      <c r="X40" s="150">
        <f>SUM('案件．要員情報'!CB41:CI41)</f>
        <v>0</v>
      </c>
      <c r="Y40" s="150">
        <f>SUM('案件．要員情報'!CJ41:CQ41)</f>
        <v>0</v>
      </c>
      <c r="Z40" s="150">
        <f>SUM('案件．要員情報'!CR41:CY41)</f>
        <v>0</v>
      </c>
      <c r="AA40" s="213">
        <f t="shared" si="1"/>
        <v>3.1837320574162677</v>
      </c>
    </row>
    <row r="41" spans="1:27" s="151" customFormat="1" ht="20.100000000000001" customHeight="1" x14ac:dyDescent="0.4">
      <c r="A41" s="378"/>
      <c r="B41" s="380"/>
      <c r="C41" s="380"/>
      <c r="D41" s="382"/>
      <c r="E41" s="382"/>
      <c r="F41" s="382"/>
      <c r="G41" s="404"/>
      <c r="H41" s="395"/>
      <c r="I41" s="395"/>
      <c r="J41" s="395"/>
      <c r="K41" s="397"/>
      <c r="L41" s="397"/>
      <c r="M41" s="370"/>
      <c r="N41" s="155" t="s">
        <v>25</v>
      </c>
      <c r="O41" s="153">
        <f>SUM('案件．要員情報'!O42:U42)</f>
        <v>0</v>
      </c>
      <c r="P41" s="153">
        <f>SUM('案件．要員情報'!V42:AA42)</f>
        <v>0.45614035087719296</v>
      </c>
      <c r="Q41" s="153">
        <f>SUM('案件．要員情報'!AB42:AG42)</f>
        <v>1.6181818181818182</v>
      </c>
      <c r="R41" s="153">
        <f>SUM('案件．要員情報'!AH42:AM42)</f>
        <v>1.2000000000000002</v>
      </c>
      <c r="S41" s="153">
        <f>SUM('案件．要員情報'!AN42:AU42)</f>
        <v>0</v>
      </c>
      <c r="T41" s="153">
        <f>SUM('案件．要員情報'!AV42:BC42)</f>
        <v>0</v>
      </c>
      <c r="U41" s="153">
        <f>SUM('案件．要員情報'!BD42:BK42)</f>
        <v>0</v>
      </c>
      <c r="V41" s="153">
        <f>SUM('案件．要員情報'!BL42:BS42)</f>
        <v>0</v>
      </c>
      <c r="W41" s="153">
        <f>SUM('案件．要員情報'!BT42:CA42)</f>
        <v>0</v>
      </c>
      <c r="X41" s="153">
        <f>SUM('案件．要員情報'!CB42:CI42)</f>
        <v>0</v>
      </c>
      <c r="Y41" s="153">
        <f>SUM('案件．要員情報'!CJ42:CQ42)</f>
        <v>0</v>
      </c>
      <c r="Z41" s="153">
        <f>SUM('案件．要員情報'!CR42:CY42)</f>
        <v>0</v>
      </c>
      <c r="AA41" s="342">
        <f t="shared" si="1"/>
        <v>3.2743221690590114</v>
      </c>
    </row>
    <row r="42" spans="1:27" s="151" customFormat="1" ht="20.100000000000001" customHeight="1" x14ac:dyDescent="0.4">
      <c r="A42" s="377">
        <v>19</v>
      </c>
      <c r="B42" s="379" t="s">
        <v>47</v>
      </c>
      <c r="C42" s="379" t="s">
        <v>347</v>
      </c>
      <c r="D42" s="381" t="s">
        <v>554</v>
      </c>
      <c r="E42" s="381" t="s">
        <v>549</v>
      </c>
      <c r="F42" s="381" t="s">
        <v>553</v>
      </c>
      <c r="G42" s="404" t="s">
        <v>552</v>
      </c>
      <c r="H42" s="394"/>
      <c r="I42" s="394"/>
      <c r="J42" s="394"/>
      <c r="K42" s="396"/>
      <c r="L42" s="396"/>
      <c r="M42" s="369"/>
      <c r="N42" s="154" t="s">
        <v>24</v>
      </c>
      <c r="O42" s="150">
        <f>SUM('案件．要員情報'!O43:U43)</f>
        <v>0</v>
      </c>
      <c r="P42" s="150">
        <f>SUM('案件．要員情報'!V43:AA43)</f>
        <v>0.14035087719298245</v>
      </c>
      <c r="Q42" s="150">
        <f>SUM('案件．要員情報'!AB43:AG43)</f>
        <v>6.0606060606060608E-2</v>
      </c>
      <c r="R42" s="150">
        <f>SUM('案件．要員情報'!AH43:AM43)</f>
        <v>0</v>
      </c>
      <c r="S42" s="150">
        <f>SUM('案件．要員情報'!AN43:AU43)</f>
        <v>0</v>
      </c>
      <c r="T42" s="150">
        <f>SUM('案件．要員情報'!AV43:BC43)</f>
        <v>0</v>
      </c>
      <c r="U42" s="150">
        <f>SUM('案件．要員情報'!BD43:BK43)</f>
        <v>0</v>
      </c>
      <c r="V42" s="150">
        <f>SUM('案件．要員情報'!BL43:BS43)</f>
        <v>0</v>
      </c>
      <c r="W42" s="150">
        <f>SUM('案件．要員情報'!BT43:CA43)</f>
        <v>0</v>
      </c>
      <c r="X42" s="150">
        <f>SUM('案件．要員情報'!CB43:CI43)</f>
        <v>0</v>
      </c>
      <c r="Y42" s="150">
        <f>SUM('案件．要員情報'!CJ43:CQ43)</f>
        <v>0</v>
      </c>
      <c r="Z42" s="150">
        <f>SUM('案件．要員情報'!CR43:CY43)</f>
        <v>0</v>
      </c>
      <c r="AA42" s="213">
        <f t="shared" si="1"/>
        <v>0.20095693779904306</v>
      </c>
    </row>
    <row r="43" spans="1:27" s="151" customFormat="1" ht="20.100000000000001" customHeight="1" x14ac:dyDescent="0.4">
      <c r="A43" s="378"/>
      <c r="B43" s="380"/>
      <c r="C43" s="380"/>
      <c r="D43" s="382"/>
      <c r="E43" s="382"/>
      <c r="F43" s="382"/>
      <c r="G43" s="404"/>
      <c r="H43" s="395"/>
      <c r="I43" s="395"/>
      <c r="J43" s="395"/>
      <c r="K43" s="397"/>
      <c r="L43" s="397"/>
      <c r="M43" s="370"/>
      <c r="N43" s="155" t="s">
        <v>25</v>
      </c>
      <c r="O43" s="153">
        <f>SUM('案件．要員情報'!O44:U44)</f>
        <v>0</v>
      </c>
      <c r="P43" s="153">
        <f>SUM('案件．要員情報'!V44:AA44)</f>
        <v>0.10526315789473684</v>
      </c>
      <c r="Q43" s="153">
        <f>SUM('案件．要員情報'!AB44:AG44)</f>
        <v>6.0606060606060608E-2</v>
      </c>
      <c r="R43" s="153">
        <f>SUM('案件．要員情報'!AH44:AM44)</f>
        <v>0</v>
      </c>
      <c r="S43" s="153">
        <f>SUM('案件．要員情報'!AN44:AU44)</f>
        <v>0</v>
      </c>
      <c r="T43" s="153">
        <f>SUM('案件．要員情報'!AV44:BC44)</f>
        <v>0</v>
      </c>
      <c r="U43" s="153">
        <f>SUM('案件．要員情報'!BD44:BK44)</f>
        <v>0</v>
      </c>
      <c r="V43" s="153">
        <f>SUM('案件．要員情報'!BL44:BS44)</f>
        <v>0</v>
      </c>
      <c r="W43" s="153">
        <f>SUM('案件．要員情報'!BT44:CA44)</f>
        <v>0</v>
      </c>
      <c r="X43" s="153">
        <f>SUM('案件．要員情報'!CB44:CI44)</f>
        <v>0</v>
      </c>
      <c r="Y43" s="153">
        <f>SUM('案件．要員情報'!CJ44:CQ44)</f>
        <v>0</v>
      </c>
      <c r="Z43" s="153">
        <f>SUM('案件．要員情報'!CR44:CY44)</f>
        <v>0</v>
      </c>
      <c r="AA43" s="156">
        <f t="shared" si="1"/>
        <v>0.16586921850079744</v>
      </c>
    </row>
    <row r="44" spans="1:27" s="151" customFormat="1" ht="20.100000000000001" customHeight="1" x14ac:dyDescent="0.4">
      <c r="A44" s="377">
        <v>20</v>
      </c>
      <c r="B44" s="379" t="s">
        <v>47</v>
      </c>
      <c r="C44" s="379" t="s">
        <v>14</v>
      </c>
      <c r="D44" s="381" t="s">
        <v>554</v>
      </c>
      <c r="E44" s="381" t="s">
        <v>561</v>
      </c>
      <c r="F44" s="381" t="s">
        <v>429</v>
      </c>
      <c r="G44" s="404" t="s">
        <v>562</v>
      </c>
      <c r="H44" s="394"/>
      <c r="I44" s="394"/>
      <c r="J44" s="394"/>
      <c r="K44" s="396"/>
      <c r="L44" s="396"/>
      <c r="M44" s="369"/>
      <c r="N44" s="154" t="s">
        <v>24</v>
      </c>
      <c r="O44" s="150">
        <f>SUM('案件．要員情報'!O45:U45)</f>
        <v>0</v>
      </c>
      <c r="P44" s="150">
        <f>SUM('案件．要員情報'!V45:AA45)</f>
        <v>0</v>
      </c>
      <c r="Q44" s="150">
        <f>SUM('案件．要員情報'!AB45:AG45)</f>
        <v>0.12121212121212122</v>
      </c>
      <c r="R44" s="150">
        <f>SUM('案件．要員情報'!AH45:AM45)</f>
        <v>0</v>
      </c>
      <c r="S44" s="150">
        <f>SUM('案件．要員情報'!AN45:AU45)</f>
        <v>0</v>
      </c>
      <c r="T44" s="150">
        <f>SUM('案件．要員情報'!AV45:BC45)</f>
        <v>0</v>
      </c>
      <c r="U44" s="150">
        <f>SUM('案件．要員情報'!BD45:BK45)</f>
        <v>0</v>
      </c>
      <c r="V44" s="150">
        <f>SUM('案件．要員情報'!BL45:BS45)</f>
        <v>0</v>
      </c>
      <c r="W44" s="150">
        <f>SUM('案件．要員情報'!BT45:CA45)</f>
        <v>0</v>
      </c>
      <c r="X44" s="150">
        <f>SUM('案件．要員情報'!CB45:CI45)</f>
        <v>0</v>
      </c>
      <c r="Y44" s="150">
        <f>SUM('案件．要員情報'!CJ45:CQ45)</f>
        <v>0</v>
      </c>
      <c r="Z44" s="150">
        <f>SUM('案件．要員情報'!CR45:CY45)</f>
        <v>0</v>
      </c>
      <c r="AA44" s="213">
        <f t="shared" si="1"/>
        <v>0.12121212121212122</v>
      </c>
    </row>
    <row r="45" spans="1:27" s="151" customFormat="1" ht="15.75" customHeight="1" x14ac:dyDescent="0.4">
      <c r="A45" s="378"/>
      <c r="B45" s="380"/>
      <c r="C45" s="380"/>
      <c r="D45" s="382"/>
      <c r="E45" s="382"/>
      <c r="F45" s="382"/>
      <c r="G45" s="404"/>
      <c r="H45" s="395"/>
      <c r="I45" s="395"/>
      <c r="J45" s="395"/>
      <c r="K45" s="397"/>
      <c r="L45" s="397"/>
      <c r="M45" s="370"/>
      <c r="N45" s="155" t="s">
        <v>25</v>
      </c>
      <c r="O45" s="153">
        <f>SUM('案件．要員情報'!O46:U46)</f>
        <v>0</v>
      </c>
      <c r="P45" s="153">
        <f>SUM('案件．要員情報'!V46:AA46)</f>
        <v>0</v>
      </c>
      <c r="Q45" s="153">
        <f>SUM('案件．要員情報'!AB46:AG46)</f>
        <v>9.0909090909090912E-2</v>
      </c>
      <c r="R45" s="153">
        <f>SUM('案件．要員情報'!AH46:AM46)</f>
        <v>0</v>
      </c>
      <c r="S45" s="153">
        <f>SUM('案件．要員情報'!AN46:AU46)</f>
        <v>0</v>
      </c>
      <c r="T45" s="153">
        <f>SUM('案件．要員情報'!AV46:BC46)</f>
        <v>0</v>
      </c>
      <c r="U45" s="153">
        <f>SUM('案件．要員情報'!BD46:BK46)</f>
        <v>0</v>
      </c>
      <c r="V45" s="153">
        <f>SUM('案件．要員情報'!BL46:BS46)</f>
        <v>0</v>
      </c>
      <c r="W45" s="153">
        <f>SUM('案件．要員情報'!BT46:CA46)</f>
        <v>0</v>
      </c>
      <c r="X45" s="153">
        <f>SUM('案件．要員情報'!CB46:CI46)</f>
        <v>0</v>
      </c>
      <c r="Y45" s="153">
        <f>SUM('案件．要員情報'!CJ46:CQ46)</f>
        <v>0</v>
      </c>
      <c r="Z45" s="153">
        <f>SUM('案件．要員情報'!CR46:CY46)</f>
        <v>0</v>
      </c>
      <c r="AA45" s="156">
        <f t="shared" si="1"/>
        <v>9.0909090909090912E-2</v>
      </c>
    </row>
    <row r="46" spans="1:27" s="151" customFormat="1" ht="20.100000000000001" customHeight="1" collapsed="1" x14ac:dyDescent="0.4">
      <c r="A46" s="377">
        <v>21</v>
      </c>
      <c r="B46" s="379" t="s">
        <v>47</v>
      </c>
      <c r="C46" s="379" t="s">
        <v>14</v>
      </c>
      <c r="D46" s="381" t="s">
        <v>481</v>
      </c>
      <c r="E46" s="381" t="s">
        <v>574</v>
      </c>
      <c r="F46" s="381"/>
      <c r="G46" s="404" t="s">
        <v>575</v>
      </c>
      <c r="H46" s="394"/>
      <c r="I46" s="394"/>
      <c r="J46" s="394"/>
      <c r="K46" s="396"/>
      <c r="L46" s="396"/>
      <c r="M46" s="369"/>
      <c r="N46" s="154" t="s">
        <v>24</v>
      </c>
      <c r="O46" s="150">
        <f>SUM('案件．要員情報'!O47:U47)</f>
        <v>0</v>
      </c>
      <c r="P46" s="150">
        <f>SUM('案件．要員情報'!V47:AA47)</f>
        <v>0</v>
      </c>
      <c r="Q46" s="150">
        <f>SUM('案件．要員情報'!AB47:AG47)</f>
        <v>0.15151515151515152</v>
      </c>
      <c r="R46" s="150">
        <f>SUM('案件．要員情報'!AH47:AM47)</f>
        <v>0</v>
      </c>
      <c r="S46" s="150">
        <f>SUM('案件．要員情報'!AN47:AU47)</f>
        <v>0</v>
      </c>
      <c r="T46" s="150">
        <f>SUM('案件．要員情報'!AV47:BC47)</f>
        <v>0</v>
      </c>
      <c r="U46" s="150">
        <f>SUM('案件．要員情報'!BD47:BK47)</f>
        <v>0</v>
      </c>
      <c r="V46" s="150">
        <f>SUM('案件．要員情報'!BL47:BS47)</f>
        <v>0</v>
      </c>
      <c r="W46" s="150">
        <f>SUM('案件．要員情報'!BT47:CA47)</f>
        <v>0</v>
      </c>
      <c r="X46" s="150">
        <f>SUM('案件．要員情報'!CB47:CI47)</f>
        <v>0</v>
      </c>
      <c r="Y46" s="150">
        <f>SUM('案件．要員情報'!CJ47:CQ47)</f>
        <v>0</v>
      </c>
      <c r="Z46" s="150">
        <f>SUM('案件．要員情報'!CR47:CY47)</f>
        <v>0</v>
      </c>
      <c r="AA46" s="213">
        <f t="shared" si="1"/>
        <v>0.15151515151515152</v>
      </c>
    </row>
    <row r="47" spans="1:27" s="151" customFormat="1" ht="20.100000000000001" customHeight="1" x14ac:dyDescent="0.4">
      <c r="A47" s="378"/>
      <c r="B47" s="380"/>
      <c r="C47" s="380"/>
      <c r="D47" s="382"/>
      <c r="E47" s="382"/>
      <c r="F47" s="382"/>
      <c r="G47" s="404"/>
      <c r="H47" s="395"/>
      <c r="I47" s="395"/>
      <c r="J47" s="395"/>
      <c r="K47" s="397"/>
      <c r="L47" s="397"/>
      <c r="M47" s="370"/>
      <c r="N47" s="155" t="s">
        <v>25</v>
      </c>
      <c r="O47" s="153">
        <f>SUM('案件．要員情報'!O48:U48)</f>
        <v>0</v>
      </c>
      <c r="P47" s="153">
        <f>SUM('案件．要員情報'!V48:AA48)</f>
        <v>0</v>
      </c>
      <c r="Q47" s="153">
        <f>SUM('案件．要員情報'!AB48:AG48)</f>
        <v>0.12121212121212122</v>
      </c>
      <c r="R47" s="153">
        <f>SUM('案件．要員情報'!AH48:AM48)</f>
        <v>0</v>
      </c>
      <c r="S47" s="153">
        <f>SUM('案件．要員情報'!AN48:AU48)</f>
        <v>0</v>
      </c>
      <c r="T47" s="153">
        <f>SUM('案件．要員情報'!AV48:BC48)</f>
        <v>0</v>
      </c>
      <c r="U47" s="153">
        <f>SUM('案件．要員情報'!BD48:BK48)</f>
        <v>0</v>
      </c>
      <c r="V47" s="153">
        <f>SUM('案件．要員情報'!BL48:BS48)</f>
        <v>0</v>
      </c>
      <c r="W47" s="153">
        <f>SUM('案件．要員情報'!BT48:CA48)</f>
        <v>0</v>
      </c>
      <c r="X47" s="153">
        <f>SUM('案件．要員情報'!CB48:CI48)</f>
        <v>0</v>
      </c>
      <c r="Y47" s="153">
        <f>SUM('案件．要員情報'!CJ48:CQ48)</f>
        <v>0</v>
      </c>
      <c r="Z47" s="153">
        <f>SUM('案件．要員情報'!CR48:CY48)</f>
        <v>0</v>
      </c>
      <c r="AA47" s="156">
        <f t="shared" si="1"/>
        <v>0.12121212121212122</v>
      </c>
    </row>
    <row r="48" spans="1:27" s="151" customFormat="1" ht="20.100000000000001" customHeight="1" x14ac:dyDescent="0.4">
      <c r="A48" s="377">
        <v>22</v>
      </c>
      <c r="B48" s="379" t="s">
        <v>47</v>
      </c>
      <c r="C48" s="379" t="s">
        <v>14</v>
      </c>
      <c r="D48" s="381" t="s">
        <v>608</v>
      </c>
      <c r="E48" s="381" t="s">
        <v>606</v>
      </c>
      <c r="F48" s="381"/>
      <c r="G48" s="404" t="s">
        <v>607</v>
      </c>
      <c r="H48" s="417"/>
      <c r="I48" s="417"/>
      <c r="J48" s="417"/>
      <c r="K48" s="417"/>
      <c r="L48" s="417"/>
      <c r="M48" s="417"/>
      <c r="N48" s="154" t="s">
        <v>24</v>
      </c>
      <c r="O48" s="150">
        <f>SUM('案件．要員情報'!O49:U49)</f>
        <v>0</v>
      </c>
      <c r="P48" s="150">
        <f>SUM('案件．要員情報'!V49:AA49)</f>
        <v>0</v>
      </c>
      <c r="Q48" s="150">
        <f>SUM('案件．要員情報'!AB49:AG49)</f>
        <v>0.4363636363636364</v>
      </c>
      <c r="R48" s="150">
        <f>SUM('案件．要員情報'!AH49:AM49)</f>
        <v>0.41212121212121211</v>
      </c>
      <c r="S48" s="150">
        <f>SUM('案件．要員情報'!AN49:AU49)</f>
        <v>0</v>
      </c>
      <c r="T48" s="150">
        <f>SUM('案件．要員情報'!AV49:BC49)</f>
        <v>0</v>
      </c>
      <c r="U48" s="150">
        <f>SUM('案件．要員情報'!BD49:BK49)</f>
        <v>0</v>
      </c>
      <c r="V48" s="150">
        <f>SUM('案件．要員情報'!BL49:BS49)</f>
        <v>0</v>
      </c>
      <c r="W48" s="150">
        <f>SUM('案件．要員情報'!BT49:CA49)</f>
        <v>0</v>
      </c>
      <c r="X48" s="150">
        <f>SUM('案件．要員情報'!CB49:CI49)</f>
        <v>0</v>
      </c>
      <c r="Y48" s="150">
        <f>SUM('案件．要員情報'!CJ49:CQ49)</f>
        <v>0</v>
      </c>
      <c r="Z48" s="150">
        <f>SUM('案件．要員情報'!CR49:CY49)</f>
        <v>0</v>
      </c>
      <c r="AA48" s="213">
        <f t="shared" si="1"/>
        <v>0.84848484848484851</v>
      </c>
    </row>
    <row r="49" spans="1:27" s="151" customFormat="1" ht="20.100000000000001" customHeight="1" x14ac:dyDescent="0.4">
      <c r="A49" s="378"/>
      <c r="B49" s="380"/>
      <c r="C49" s="380"/>
      <c r="D49" s="382"/>
      <c r="E49" s="382"/>
      <c r="F49" s="382"/>
      <c r="G49" s="404"/>
      <c r="H49" s="418"/>
      <c r="I49" s="418"/>
      <c r="J49" s="418"/>
      <c r="K49" s="418"/>
      <c r="L49" s="418"/>
      <c r="M49" s="418"/>
      <c r="N49" s="155" t="s">
        <v>25</v>
      </c>
      <c r="O49" s="153">
        <f>SUM('案件．要員情報'!O50:U50)</f>
        <v>0</v>
      </c>
      <c r="P49" s="153">
        <f>SUM('案件．要員情報'!V50:AA50)</f>
        <v>0</v>
      </c>
      <c r="Q49" s="153">
        <f>SUM('案件．要員情報'!AB50:AG50)</f>
        <v>0.42121212121212126</v>
      </c>
      <c r="R49" s="153">
        <f>SUM('案件．要員情報'!AH50:AM50)</f>
        <v>0.48636363636363633</v>
      </c>
      <c r="S49" s="153">
        <f>SUM('案件．要員情報'!AN50:AU50)</f>
        <v>0</v>
      </c>
      <c r="T49" s="153">
        <f>SUM('案件．要員情報'!AV50:BC50)</f>
        <v>0</v>
      </c>
      <c r="U49" s="153">
        <f>SUM('案件．要員情報'!BD50:BK50)</f>
        <v>0</v>
      </c>
      <c r="V49" s="153">
        <f>SUM('案件．要員情報'!BL50:BS50)</f>
        <v>0</v>
      </c>
      <c r="W49" s="153">
        <f>SUM('案件．要員情報'!BT50:CA50)</f>
        <v>0</v>
      </c>
      <c r="X49" s="153">
        <f>SUM('案件．要員情報'!CB50:CI50)</f>
        <v>0</v>
      </c>
      <c r="Y49" s="153">
        <f>SUM('案件．要員情報'!CJ50:CQ50)</f>
        <v>0</v>
      </c>
      <c r="Z49" s="153">
        <f>SUM('案件．要員情報'!CR50:CY50)</f>
        <v>0</v>
      </c>
      <c r="AA49" s="156">
        <f t="shared" si="1"/>
        <v>0.90757575757575759</v>
      </c>
    </row>
    <row r="50" spans="1:27" s="151" customFormat="1" ht="20.100000000000001" customHeight="1" x14ac:dyDescent="0.4">
      <c r="A50" s="377">
        <v>23</v>
      </c>
      <c r="B50" s="379" t="s">
        <v>47</v>
      </c>
      <c r="C50" s="379" t="s">
        <v>14</v>
      </c>
      <c r="D50" s="381" t="s">
        <v>634</v>
      </c>
      <c r="E50" s="381" t="s">
        <v>633</v>
      </c>
      <c r="F50" s="381"/>
      <c r="G50" s="404" t="s">
        <v>635</v>
      </c>
      <c r="H50" s="417"/>
      <c r="I50" s="417"/>
      <c r="J50" s="417"/>
      <c r="K50" s="417"/>
      <c r="L50" s="417"/>
      <c r="M50" s="417"/>
      <c r="N50" s="154" t="s">
        <v>24</v>
      </c>
      <c r="O50" s="150">
        <f>SUM('案件．要員情報'!O51:U51)</f>
        <v>0</v>
      </c>
      <c r="P50" s="150">
        <f>SUM('案件．要員情報'!V51:AA51)</f>
        <v>0</v>
      </c>
      <c r="Q50" s="150">
        <f>SUM('案件．要員情報'!AB51:AG51)</f>
        <v>0.12121212121212122</v>
      </c>
      <c r="R50" s="150">
        <f>SUM('案件．要員情報'!AH51:AM51)</f>
        <v>0.35151515151515156</v>
      </c>
      <c r="S50" s="150">
        <f>SUM('案件．要員情報'!AN51:AU51)</f>
        <v>0</v>
      </c>
      <c r="T50" s="150">
        <f>SUM('案件．要員情報'!AV51:BC51)</f>
        <v>0</v>
      </c>
      <c r="U50" s="150">
        <f>SUM('案件．要員情報'!BD51:BK51)</f>
        <v>0</v>
      </c>
      <c r="V50" s="150">
        <f>SUM('案件．要員情報'!BL51:BS51)</f>
        <v>0</v>
      </c>
      <c r="W50" s="150">
        <f>SUM('案件．要員情報'!BT51:CA51)</f>
        <v>0</v>
      </c>
      <c r="X50" s="150">
        <f>SUM('案件．要員情報'!CB51:CI51)</f>
        <v>0</v>
      </c>
      <c r="Y50" s="150">
        <f>SUM('案件．要員情報'!CJ51:CQ51)</f>
        <v>0</v>
      </c>
      <c r="Z50" s="150">
        <f>SUM('案件．要員情報'!CR51:CY51)</f>
        <v>0</v>
      </c>
      <c r="AA50" s="213">
        <f t="shared" si="1"/>
        <v>0.47272727272727277</v>
      </c>
    </row>
    <row r="51" spans="1:27" s="151" customFormat="1" ht="20.100000000000001" customHeight="1" x14ac:dyDescent="0.4">
      <c r="A51" s="378"/>
      <c r="B51" s="380"/>
      <c r="C51" s="380"/>
      <c r="D51" s="382"/>
      <c r="E51" s="382"/>
      <c r="F51" s="382"/>
      <c r="G51" s="404"/>
      <c r="H51" s="418"/>
      <c r="I51" s="418"/>
      <c r="J51" s="418"/>
      <c r="K51" s="418"/>
      <c r="L51" s="418"/>
      <c r="M51" s="418"/>
      <c r="N51" s="155" t="s">
        <v>25</v>
      </c>
      <c r="O51" s="153">
        <f>SUM('案件．要員情報'!O52:U52)</f>
        <v>0</v>
      </c>
      <c r="P51" s="153">
        <f>SUM('案件．要員情報'!V52:AA52)</f>
        <v>0</v>
      </c>
      <c r="Q51" s="153">
        <f>SUM('案件．要員情報'!AB52:AG52)</f>
        <v>0.1090909090909091</v>
      </c>
      <c r="R51" s="153">
        <f>SUM('案件．要員情報'!AH52:AM52)</f>
        <v>0.40303030303030302</v>
      </c>
      <c r="S51" s="153">
        <f>SUM('案件．要員情報'!AN52:AU52)</f>
        <v>0</v>
      </c>
      <c r="T51" s="153">
        <f>SUM('案件．要員情報'!AV52:BC52)</f>
        <v>0</v>
      </c>
      <c r="U51" s="153">
        <f>SUM('案件．要員情報'!BD52:BK52)</f>
        <v>0</v>
      </c>
      <c r="V51" s="153">
        <f>SUM('案件．要員情報'!BL52:BS52)</f>
        <v>0</v>
      </c>
      <c r="W51" s="153">
        <f>SUM('案件．要員情報'!BT52:CA52)</f>
        <v>0</v>
      </c>
      <c r="X51" s="153">
        <f>SUM('案件．要員情報'!CB52:CI52)</f>
        <v>0</v>
      </c>
      <c r="Y51" s="153">
        <f>SUM('案件．要員情報'!CJ52:CQ52)</f>
        <v>0</v>
      </c>
      <c r="Z51" s="153">
        <f>SUM('案件．要員情報'!CR52:CY52)</f>
        <v>0</v>
      </c>
      <c r="AA51" s="156">
        <f t="shared" si="1"/>
        <v>0.51212121212121209</v>
      </c>
    </row>
    <row r="52" spans="1:27" s="151" customFormat="1" ht="20.100000000000001" customHeight="1" x14ac:dyDescent="0.4">
      <c r="A52" s="377">
        <v>24</v>
      </c>
      <c r="B52" s="379" t="s">
        <v>47</v>
      </c>
      <c r="C52" s="379" t="s">
        <v>347</v>
      </c>
      <c r="D52" s="381" t="s">
        <v>554</v>
      </c>
      <c r="E52" s="405" t="s">
        <v>660</v>
      </c>
      <c r="F52" s="381"/>
      <c r="G52" s="404" t="s">
        <v>661</v>
      </c>
      <c r="H52" s="417"/>
      <c r="I52" s="417"/>
      <c r="J52" s="417"/>
      <c r="K52" s="417"/>
      <c r="L52" s="417"/>
      <c r="M52" s="417"/>
      <c r="N52" s="154" t="s">
        <v>24</v>
      </c>
      <c r="O52" s="150">
        <f>SUM('案件．要員情報'!O53:U53)</f>
        <v>0</v>
      </c>
      <c r="P52" s="150">
        <f>SUM('案件．要員情報'!V53:AA53)</f>
        <v>0</v>
      </c>
      <c r="Q52" s="150">
        <f>SUM('案件．要員情報'!AB53:AG53)</f>
        <v>0</v>
      </c>
      <c r="R52" s="150">
        <f>SUM('案件．要員情報'!AH53:AM53)</f>
        <v>0.15151515151515152</v>
      </c>
      <c r="S52" s="150">
        <f>SUM('案件．要員情報'!AN53:AU53)</f>
        <v>0</v>
      </c>
      <c r="T52" s="150">
        <f>SUM('案件．要員情報'!AV53:BC53)</f>
        <v>0</v>
      </c>
      <c r="U52" s="150">
        <f>SUM('案件．要員情報'!BD53:BK53)</f>
        <v>0</v>
      </c>
      <c r="V52" s="150">
        <f>SUM('案件．要員情報'!BL53:BS53)</f>
        <v>0</v>
      </c>
      <c r="W52" s="150">
        <f>SUM('案件．要員情報'!BT53:CA53)</f>
        <v>0</v>
      </c>
      <c r="X52" s="150">
        <f>SUM('案件．要員情報'!CB53:CI53)</f>
        <v>0</v>
      </c>
      <c r="Y52" s="150">
        <f>SUM('案件．要員情報'!CJ53:CQ53)</f>
        <v>0</v>
      </c>
      <c r="Z52" s="150">
        <f>SUM('案件．要員情報'!CR53:CY53)</f>
        <v>0</v>
      </c>
      <c r="AA52" s="213">
        <f t="shared" ref="AA52:AA55" si="2">SUM(O52:Z52)</f>
        <v>0.15151515151515152</v>
      </c>
    </row>
    <row r="53" spans="1:27" s="151" customFormat="1" ht="20.100000000000001" customHeight="1" x14ac:dyDescent="0.4">
      <c r="A53" s="378"/>
      <c r="B53" s="380"/>
      <c r="C53" s="380"/>
      <c r="D53" s="382"/>
      <c r="E53" s="406"/>
      <c r="F53" s="382"/>
      <c r="G53" s="404"/>
      <c r="H53" s="418"/>
      <c r="I53" s="418"/>
      <c r="J53" s="418"/>
      <c r="K53" s="418"/>
      <c r="L53" s="418"/>
      <c r="M53" s="418"/>
      <c r="N53" s="155" t="s">
        <v>25</v>
      </c>
      <c r="O53" s="153">
        <f>SUM('案件．要員情報'!O54:U54)</f>
        <v>0</v>
      </c>
      <c r="P53" s="153">
        <f>SUM('案件．要員情報'!V54:AA54)</f>
        <v>0</v>
      </c>
      <c r="Q53" s="153">
        <f>SUM('案件．要員情報'!AB54:AG54)</f>
        <v>0</v>
      </c>
      <c r="R53" s="153">
        <f>SUM('案件．要員情報'!AH54:AM54)</f>
        <v>0.12575757575757576</v>
      </c>
      <c r="S53" s="153">
        <f>SUM('案件．要員情報'!AN54:AU54)</f>
        <v>0</v>
      </c>
      <c r="T53" s="153">
        <f>SUM('案件．要員情報'!AV54:BC54)</f>
        <v>0</v>
      </c>
      <c r="U53" s="153">
        <f>SUM('案件．要員情報'!BD54:BK54)</f>
        <v>0</v>
      </c>
      <c r="V53" s="153">
        <f>SUM('案件．要員情報'!BL54:BS54)</f>
        <v>0</v>
      </c>
      <c r="W53" s="153">
        <f>SUM('案件．要員情報'!BT54:CA54)</f>
        <v>0</v>
      </c>
      <c r="X53" s="153">
        <f>SUM('案件．要員情報'!CB54:CI54)</f>
        <v>0</v>
      </c>
      <c r="Y53" s="153">
        <f>SUM('案件．要員情報'!CJ54:CQ54)</f>
        <v>0</v>
      </c>
      <c r="Z53" s="153">
        <f>SUM('案件．要員情報'!CR54:CY54)</f>
        <v>0</v>
      </c>
      <c r="AA53" s="156">
        <f t="shared" si="2"/>
        <v>0.12575757575757576</v>
      </c>
    </row>
    <row r="54" spans="1:27" s="151" customFormat="1" ht="20.100000000000001" customHeight="1" x14ac:dyDescent="0.4">
      <c r="A54" s="377">
        <v>25</v>
      </c>
      <c r="B54" s="379" t="s">
        <v>47</v>
      </c>
      <c r="C54" s="379" t="s">
        <v>347</v>
      </c>
      <c r="D54" s="381" t="s">
        <v>348</v>
      </c>
      <c r="E54" s="405" t="s">
        <v>662</v>
      </c>
      <c r="F54" s="381"/>
      <c r="G54" s="404" t="s">
        <v>663</v>
      </c>
      <c r="H54" s="417"/>
      <c r="I54" s="417"/>
      <c r="J54" s="417"/>
      <c r="K54" s="417"/>
      <c r="L54" s="417"/>
      <c r="M54" s="417"/>
      <c r="N54" s="154" t="s">
        <v>24</v>
      </c>
      <c r="O54" s="150">
        <f>SUM('案件．要員情報'!O55:U55)</f>
        <v>0</v>
      </c>
      <c r="P54" s="150">
        <f>SUM('案件．要員情報'!V55:AA55)</f>
        <v>0</v>
      </c>
      <c r="Q54" s="150">
        <f>SUM('案件．要員情報'!AB55:AG55)</f>
        <v>0</v>
      </c>
      <c r="R54" s="150">
        <f>SUM('案件．要員情報'!AH55:AM55)</f>
        <v>0.15151515151515152</v>
      </c>
      <c r="S54" s="150">
        <f>SUM('案件．要員情報'!AN55:AU55)</f>
        <v>0</v>
      </c>
      <c r="T54" s="150">
        <f>SUM('案件．要員情報'!AV55:BC55)</f>
        <v>0</v>
      </c>
      <c r="U54" s="150">
        <f>SUM('案件．要員情報'!BD55:BK55)</f>
        <v>0</v>
      </c>
      <c r="V54" s="150">
        <f>SUM('案件．要員情報'!BL55:BS55)</f>
        <v>0</v>
      </c>
      <c r="W54" s="150">
        <f>SUM('案件．要員情報'!BT55:CA55)</f>
        <v>0</v>
      </c>
      <c r="X54" s="150">
        <f>SUM('案件．要員情報'!CB55:CI55)</f>
        <v>0</v>
      </c>
      <c r="Y54" s="150">
        <f>SUM('案件．要員情報'!CJ55:CQ55)</f>
        <v>0</v>
      </c>
      <c r="Z54" s="150">
        <f>SUM('案件．要員情報'!CR55:CY55)</f>
        <v>0</v>
      </c>
      <c r="AA54" s="213">
        <f t="shared" si="2"/>
        <v>0.15151515151515152</v>
      </c>
    </row>
    <row r="55" spans="1:27" s="151" customFormat="1" ht="20.100000000000001" customHeight="1" x14ac:dyDescent="0.4">
      <c r="A55" s="378"/>
      <c r="B55" s="380"/>
      <c r="C55" s="380"/>
      <c r="D55" s="382"/>
      <c r="E55" s="406"/>
      <c r="F55" s="382"/>
      <c r="G55" s="404"/>
      <c r="H55" s="418"/>
      <c r="I55" s="418"/>
      <c r="J55" s="418"/>
      <c r="K55" s="418"/>
      <c r="L55" s="418"/>
      <c r="M55" s="418"/>
      <c r="N55" s="155" t="s">
        <v>25</v>
      </c>
      <c r="O55" s="153">
        <f>SUM('案件．要員情報'!O56:U56)</f>
        <v>0</v>
      </c>
      <c r="P55" s="153">
        <f>SUM('案件．要員情報'!V56:AA56)</f>
        <v>0</v>
      </c>
      <c r="Q55" s="153">
        <f>SUM('案件．要員情報'!AB56:AG56)</f>
        <v>0</v>
      </c>
      <c r="R55" s="153">
        <f>SUM('案件．要員情報'!AH56:AM56)</f>
        <v>0.10757575757575756</v>
      </c>
      <c r="S55" s="153">
        <f>SUM('案件．要員情報'!AN56:AU56)</f>
        <v>0</v>
      </c>
      <c r="T55" s="153">
        <f>SUM('案件．要員情報'!AV56:BC56)</f>
        <v>0</v>
      </c>
      <c r="U55" s="153">
        <f>SUM('案件．要員情報'!BD56:BK56)</f>
        <v>0</v>
      </c>
      <c r="V55" s="153">
        <f>SUM('案件．要員情報'!BL56:BS56)</f>
        <v>0</v>
      </c>
      <c r="W55" s="153">
        <f>SUM('案件．要員情報'!BT56:CA56)</f>
        <v>0</v>
      </c>
      <c r="X55" s="153">
        <f>SUM('案件．要員情報'!CB56:CI56)</f>
        <v>0</v>
      </c>
      <c r="Y55" s="153">
        <f>SUM('案件．要員情報'!CJ56:CQ56)</f>
        <v>0</v>
      </c>
      <c r="Z55" s="153">
        <f>SUM('案件．要員情報'!CR56:CY56)</f>
        <v>0</v>
      </c>
      <c r="AA55" s="156">
        <f t="shared" si="2"/>
        <v>0.10757575757575756</v>
      </c>
    </row>
    <row r="56" spans="1:27" s="151" customFormat="1" ht="20.100000000000001" customHeight="1" x14ac:dyDescent="0.4">
      <c r="A56" s="377">
        <v>26</v>
      </c>
      <c r="B56" s="379" t="s">
        <v>47</v>
      </c>
      <c r="C56" s="379" t="s">
        <v>14</v>
      </c>
      <c r="D56" s="381" t="s">
        <v>664</v>
      </c>
      <c r="E56" s="405" t="s">
        <v>665</v>
      </c>
      <c r="F56" s="381"/>
      <c r="G56" s="404" t="s">
        <v>666</v>
      </c>
      <c r="H56" s="417"/>
      <c r="I56" s="417"/>
      <c r="J56" s="417"/>
      <c r="K56" s="417"/>
      <c r="L56" s="417"/>
      <c r="M56" s="417"/>
      <c r="N56" s="154" t="s">
        <v>24</v>
      </c>
      <c r="O56" s="150">
        <f>SUM('案件．要員情報'!O57:U57)</f>
        <v>0</v>
      </c>
      <c r="P56" s="150">
        <f>SUM('案件．要員情報'!V57:AA57)</f>
        <v>0</v>
      </c>
      <c r="Q56" s="150">
        <f>SUM('案件．要員情報'!AB57:AG57)</f>
        <v>0</v>
      </c>
      <c r="R56" s="150">
        <f>SUM('案件．要員情報'!AH57:AM57)</f>
        <v>0.27272727272727271</v>
      </c>
      <c r="S56" s="150">
        <f>SUM('案件．要員情報'!AN57:AU57)</f>
        <v>0</v>
      </c>
      <c r="T56" s="150">
        <f>SUM('案件．要員情報'!AV57:BC57)</f>
        <v>0</v>
      </c>
      <c r="U56" s="150">
        <f>SUM('案件．要員情報'!BD57:BK57)</f>
        <v>0</v>
      </c>
      <c r="V56" s="150">
        <f>SUM('案件．要員情報'!BL57:BS57)</f>
        <v>0</v>
      </c>
      <c r="W56" s="150">
        <f>SUM('案件．要員情報'!BT57:CA57)</f>
        <v>0</v>
      </c>
      <c r="X56" s="150">
        <f>SUM('案件．要員情報'!CB57:CI57)</f>
        <v>0</v>
      </c>
      <c r="Y56" s="150">
        <f>SUM('案件．要員情報'!CJ57:CQ57)</f>
        <v>0</v>
      </c>
      <c r="Z56" s="150">
        <f>SUM('案件．要員情報'!CR57:CY57)</f>
        <v>0</v>
      </c>
      <c r="AA56" s="213">
        <f t="shared" ref="AA56:AA63" si="3">SUM(O56:Z56)</f>
        <v>0.27272727272727271</v>
      </c>
    </row>
    <row r="57" spans="1:27" s="151" customFormat="1" ht="20.100000000000001" customHeight="1" x14ac:dyDescent="0.4">
      <c r="A57" s="378"/>
      <c r="B57" s="380"/>
      <c r="C57" s="380"/>
      <c r="D57" s="382"/>
      <c r="E57" s="406"/>
      <c r="F57" s="382"/>
      <c r="G57" s="404"/>
      <c r="H57" s="418"/>
      <c r="I57" s="418"/>
      <c r="J57" s="418"/>
      <c r="K57" s="418"/>
      <c r="L57" s="418"/>
      <c r="M57" s="418"/>
      <c r="N57" s="155" t="s">
        <v>25</v>
      </c>
      <c r="O57" s="153">
        <f>SUM('案件．要員情報'!O58:U58)</f>
        <v>0</v>
      </c>
      <c r="P57" s="153">
        <f>SUM('案件．要員情報'!V58:AA58)</f>
        <v>0</v>
      </c>
      <c r="Q57" s="153">
        <f>SUM('案件．要員情報'!AB58:AG58)</f>
        <v>0</v>
      </c>
      <c r="R57" s="153">
        <f>SUM('案件．要員情報'!AH58:AM58)</f>
        <v>0.20303030303030301</v>
      </c>
      <c r="S57" s="153">
        <f>SUM('案件．要員情報'!AN58:AU58)</f>
        <v>0</v>
      </c>
      <c r="T57" s="153">
        <f>SUM('案件．要員情報'!AV58:BC58)</f>
        <v>0</v>
      </c>
      <c r="U57" s="153">
        <f>SUM('案件．要員情報'!BD58:BK58)</f>
        <v>0</v>
      </c>
      <c r="V57" s="153">
        <f>SUM('案件．要員情報'!BL58:BS58)</f>
        <v>0</v>
      </c>
      <c r="W57" s="153">
        <f>SUM('案件．要員情報'!BT58:CA58)</f>
        <v>0</v>
      </c>
      <c r="X57" s="153">
        <f>SUM('案件．要員情報'!CB58:CI58)</f>
        <v>0</v>
      </c>
      <c r="Y57" s="153">
        <f>SUM('案件．要員情報'!CJ58:CQ58)</f>
        <v>0</v>
      </c>
      <c r="Z57" s="153">
        <f>SUM('案件．要員情報'!CR58:CY58)</f>
        <v>0</v>
      </c>
      <c r="AA57" s="156">
        <f t="shared" si="3"/>
        <v>0.20303030303030301</v>
      </c>
    </row>
    <row r="58" spans="1:27" s="151" customFormat="1" ht="20.100000000000001" customHeight="1" x14ac:dyDescent="0.4">
      <c r="A58" s="377">
        <v>27</v>
      </c>
      <c r="B58" s="379" t="s">
        <v>47</v>
      </c>
      <c r="C58" s="379" t="s">
        <v>14</v>
      </c>
      <c r="D58" s="381" t="s">
        <v>482</v>
      </c>
      <c r="E58" s="405" t="s">
        <v>667</v>
      </c>
      <c r="F58" s="381"/>
      <c r="G58" s="404" t="s">
        <v>668</v>
      </c>
      <c r="H58" s="417"/>
      <c r="I58" s="417"/>
      <c r="J58" s="417"/>
      <c r="K58" s="417"/>
      <c r="L58" s="417"/>
      <c r="M58" s="417"/>
      <c r="N58" s="154" t="s">
        <v>24</v>
      </c>
      <c r="O58" s="150">
        <f>SUM('案件．要員情報'!O59:U59)</f>
        <v>0</v>
      </c>
      <c r="P58" s="150">
        <f>SUM('案件．要員情報'!V59:AA59)</f>
        <v>0</v>
      </c>
      <c r="Q58" s="150">
        <f>SUM('案件．要員情報'!AB59:AG59)</f>
        <v>0</v>
      </c>
      <c r="R58" s="150">
        <f>SUM('案件．要員情報'!AH59:AM59)</f>
        <v>0.21212121212121213</v>
      </c>
      <c r="S58" s="150">
        <f>SUM('案件．要員情報'!AN59:AU59)</f>
        <v>0</v>
      </c>
      <c r="T58" s="150">
        <f>SUM('案件．要員情報'!AV59:BC59)</f>
        <v>0</v>
      </c>
      <c r="U58" s="150">
        <f>SUM('案件．要員情報'!BD59:BK59)</f>
        <v>0</v>
      </c>
      <c r="V58" s="150">
        <f>SUM('案件．要員情報'!BL59:BS59)</f>
        <v>0</v>
      </c>
      <c r="W58" s="150">
        <f>SUM('案件．要員情報'!BT59:CA59)</f>
        <v>0</v>
      </c>
      <c r="X58" s="150">
        <f>SUM('案件．要員情報'!CB59:CI59)</f>
        <v>0</v>
      </c>
      <c r="Y58" s="150">
        <f>SUM('案件．要員情報'!CJ59:CQ59)</f>
        <v>0</v>
      </c>
      <c r="Z58" s="150">
        <f>SUM('案件．要員情報'!CR59:CY59)</f>
        <v>0</v>
      </c>
      <c r="AA58" s="213">
        <f t="shared" si="3"/>
        <v>0.21212121212121213</v>
      </c>
    </row>
    <row r="59" spans="1:27" s="151" customFormat="1" ht="20.100000000000001" customHeight="1" x14ac:dyDescent="0.4">
      <c r="A59" s="378"/>
      <c r="B59" s="380"/>
      <c r="C59" s="380"/>
      <c r="D59" s="382"/>
      <c r="E59" s="406"/>
      <c r="F59" s="382"/>
      <c r="G59" s="404"/>
      <c r="H59" s="418"/>
      <c r="I59" s="418"/>
      <c r="J59" s="418"/>
      <c r="K59" s="418"/>
      <c r="L59" s="418"/>
      <c r="M59" s="418"/>
      <c r="N59" s="155" t="s">
        <v>25</v>
      </c>
      <c r="O59" s="153">
        <f>SUM('案件．要員情報'!O60:U60)</f>
        <v>0</v>
      </c>
      <c r="P59" s="153">
        <f>SUM('案件．要員情報'!V60:AA60)</f>
        <v>0</v>
      </c>
      <c r="Q59" s="153">
        <f>SUM('案件．要員情報'!AB60:AG60)</f>
        <v>0</v>
      </c>
      <c r="R59" s="153">
        <f>SUM('案件．要員情報'!AH60:AM60)</f>
        <v>0.13030303030303031</v>
      </c>
      <c r="S59" s="153">
        <f>SUM('案件．要員情報'!AN60:AU60)</f>
        <v>0</v>
      </c>
      <c r="T59" s="153">
        <f>SUM('案件．要員情報'!AV60:BC60)</f>
        <v>0</v>
      </c>
      <c r="U59" s="153">
        <f>SUM('案件．要員情報'!BD60:BK60)</f>
        <v>0</v>
      </c>
      <c r="V59" s="153">
        <f>SUM('案件．要員情報'!BL60:BS60)</f>
        <v>0</v>
      </c>
      <c r="W59" s="153">
        <f>SUM('案件．要員情報'!BT60:CA60)</f>
        <v>0</v>
      </c>
      <c r="X59" s="153">
        <f>SUM('案件．要員情報'!CB60:CI60)</f>
        <v>0</v>
      </c>
      <c r="Y59" s="153">
        <f>SUM('案件．要員情報'!CJ60:CQ60)</f>
        <v>0</v>
      </c>
      <c r="Z59" s="153">
        <f>SUM('案件．要員情報'!CR60:CY60)</f>
        <v>0</v>
      </c>
      <c r="AA59" s="156">
        <f t="shared" si="3"/>
        <v>0.13030303030303031</v>
      </c>
    </row>
    <row r="60" spans="1:27" s="151" customFormat="1" ht="20.100000000000001" customHeight="1" x14ac:dyDescent="0.4">
      <c r="A60" s="377">
        <v>28</v>
      </c>
      <c r="B60" s="379" t="s">
        <v>47</v>
      </c>
      <c r="C60" s="379" t="s">
        <v>14</v>
      </c>
      <c r="D60" s="381" t="s">
        <v>669</v>
      </c>
      <c r="E60" s="405" t="s">
        <v>670</v>
      </c>
      <c r="F60" s="381"/>
      <c r="G60" s="404" t="s">
        <v>671</v>
      </c>
      <c r="H60" s="417"/>
      <c r="I60" s="417"/>
      <c r="J60" s="417"/>
      <c r="K60" s="417"/>
      <c r="L60" s="417"/>
      <c r="M60" s="417"/>
      <c r="N60" s="154" t="s">
        <v>24</v>
      </c>
      <c r="O60" s="150">
        <f>SUM('案件．要員情報'!O61:U61)</f>
        <v>0</v>
      </c>
      <c r="P60" s="150">
        <f>SUM('案件．要員情報'!V61:AA61)</f>
        <v>0</v>
      </c>
      <c r="Q60" s="150">
        <f>SUM('案件．要員情報'!AB61:AG61)</f>
        <v>0</v>
      </c>
      <c r="R60" s="150">
        <f>SUM('案件．要員情報'!AH61:AM61)</f>
        <v>0.15151515151515152</v>
      </c>
      <c r="S60" s="150">
        <f>SUM('案件．要員情報'!AN61:AU61)</f>
        <v>0</v>
      </c>
      <c r="T60" s="150">
        <f>SUM('案件．要員情報'!AV61:BC61)</f>
        <v>0</v>
      </c>
      <c r="U60" s="150">
        <f>SUM('案件．要員情報'!BD61:BK61)</f>
        <v>0</v>
      </c>
      <c r="V60" s="150">
        <f>SUM('案件．要員情報'!BL61:BS61)</f>
        <v>0</v>
      </c>
      <c r="W60" s="150">
        <f>SUM('案件．要員情報'!BT61:CA61)</f>
        <v>0</v>
      </c>
      <c r="X60" s="150">
        <f>SUM('案件．要員情報'!CB61:CI61)</f>
        <v>0</v>
      </c>
      <c r="Y60" s="150">
        <f>SUM('案件．要員情報'!CJ61:CQ61)</f>
        <v>0</v>
      </c>
      <c r="Z60" s="150">
        <f>SUM('案件．要員情報'!CR61:CY61)</f>
        <v>0</v>
      </c>
      <c r="AA60" s="213">
        <f t="shared" si="3"/>
        <v>0.15151515151515152</v>
      </c>
    </row>
    <row r="61" spans="1:27" s="151" customFormat="1" ht="20.100000000000001" customHeight="1" x14ac:dyDescent="0.4">
      <c r="A61" s="378"/>
      <c r="B61" s="380"/>
      <c r="C61" s="380"/>
      <c r="D61" s="382"/>
      <c r="E61" s="406"/>
      <c r="F61" s="382"/>
      <c r="G61" s="404"/>
      <c r="H61" s="418"/>
      <c r="I61" s="418"/>
      <c r="J61" s="418"/>
      <c r="K61" s="418"/>
      <c r="L61" s="418"/>
      <c r="M61" s="418"/>
      <c r="N61" s="155" t="s">
        <v>25</v>
      </c>
      <c r="O61" s="153">
        <f>SUM('案件．要員情報'!O62:U62)</f>
        <v>0</v>
      </c>
      <c r="P61" s="153">
        <f>SUM('案件．要員情報'!V62:AA62)</f>
        <v>0</v>
      </c>
      <c r="Q61" s="153">
        <f>SUM('案件．要員情報'!AB62:AG62)</f>
        <v>0</v>
      </c>
      <c r="R61" s="153">
        <f>SUM('案件．要員情報'!AH62:AM62)</f>
        <v>0.12121212121212122</v>
      </c>
      <c r="S61" s="153">
        <f>SUM('案件．要員情報'!AN62:AU62)</f>
        <v>0</v>
      </c>
      <c r="T61" s="153">
        <f>SUM('案件．要員情報'!AV62:BC62)</f>
        <v>0</v>
      </c>
      <c r="U61" s="153">
        <f>SUM('案件．要員情報'!BD62:BK62)</f>
        <v>0</v>
      </c>
      <c r="V61" s="153">
        <f>SUM('案件．要員情報'!BL62:BS62)</f>
        <v>0</v>
      </c>
      <c r="W61" s="153">
        <f>SUM('案件．要員情報'!BT62:CA62)</f>
        <v>0</v>
      </c>
      <c r="X61" s="153">
        <f>SUM('案件．要員情報'!CB62:CI62)</f>
        <v>0</v>
      </c>
      <c r="Y61" s="153">
        <f>SUM('案件．要員情報'!CJ62:CQ62)</f>
        <v>0</v>
      </c>
      <c r="Z61" s="153">
        <f>SUM('案件．要員情報'!CR62:CY62)</f>
        <v>0</v>
      </c>
      <c r="AA61" s="156">
        <f t="shared" si="3"/>
        <v>0.12121212121212122</v>
      </c>
    </row>
    <row r="62" spans="1:27" s="151" customFormat="1" ht="20.100000000000001" customHeight="1" x14ac:dyDescent="0.4">
      <c r="A62" s="377">
        <v>29</v>
      </c>
      <c r="B62" s="379" t="s">
        <v>46</v>
      </c>
      <c r="C62" s="379" t="s">
        <v>14</v>
      </c>
      <c r="D62" s="381" t="s">
        <v>672</v>
      </c>
      <c r="E62" s="405" t="s">
        <v>673</v>
      </c>
      <c r="F62" s="381"/>
      <c r="G62" s="404" t="s">
        <v>674</v>
      </c>
      <c r="H62" s="417"/>
      <c r="I62" s="417"/>
      <c r="J62" s="417"/>
      <c r="K62" s="417"/>
      <c r="L62" s="417"/>
      <c r="M62" s="417"/>
      <c r="N62" s="154" t="s">
        <v>24</v>
      </c>
      <c r="O62" s="150">
        <f>SUM('案件．要員情報'!O63:U63)</f>
        <v>0</v>
      </c>
      <c r="P62" s="150">
        <f>SUM('案件．要員情報'!V63:AA63)</f>
        <v>0</v>
      </c>
      <c r="Q62" s="150">
        <f>SUM('案件．要員情報'!AB63:AG63)</f>
        <v>0</v>
      </c>
      <c r="R62" s="150">
        <f>SUM('案件．要員情報'!AH63:AM63)</f>
        <v>0.29090909090909089</v>
      </c>
      <c r="S62" s="150">
        <f>SUM('案件．要員情報'!AN63:AU63)</f>
        <v>0</v>
      </c>
      <c r="T62" s="150">
        <f>SUM('案件．要員情報'!AV63:BC63)</f>
        <v>0</v>
      </c>
      <c r="U62" s="150">
        <f>SUM('案件．要員情報'!BD63:BK63)</f>
        <v>0</v>
      </c>
      <c r="V62" s="150">
        <f>SUM('案件．要員情報'!BL63:BS63)</f>
        <v>0</v>
      </c>
      <c r="W62" s="150">
        <f>SUM('案件．要員情報'!BT63:CA63)</f>
        <v>0</v>
      </c>
      <c r="X62" s="150">
        <f>SUM('案件．要員情報'!CB63:CI63)</f>
        <v>0</v>
      </c>
      <c r="Y62" s="150">
        <f>SUM('案件．要員情報'!CJ63:CQ63)</f>
        <v>0</v>
      </c>
      <c r="Z62" s="150">
        <f>SUM('案件．要員情報'!CR63:CY63)</f>
        <v>0</v>
      </c>
      <c r="AA62" s="213">
        <f t="shared" si="3"/>
        <v>0.29090909090909089</v>
      </c>
    </row>
    <row r="63" spans="1:27" s="151" customFormat="1" ht="20.100000000000001" customHeight="1" x14ac:dyDescent="0.4">
      <c r="A63" s="378"/>
      <c r="B63" s="380"/>
      <c r="C63" s="380"/>
      <c r="D63" s="382"/>
      <c r="E63" s="406"/>
      <c r="F63" s="382"/>
      <c r="G63" s="404"/>
      <c r="H63" s="418"/>
      <c r="I63" s="418"/>
      <c r="J63" s="418"/>
      <c r="K63" s="418"/>
      <c r="L63" s="418"/>
      <c r="M63" s="418"/>
      <c r="N63" s="155" t="s">
        <v>25</v>
      </c>
      <c r="O63" s="153">
        <f>SUM('案件．要員情報'!O64:U64)</f>
        <v>0</v>
      </c>
      <c r="P63" s="153">
        <f>SUM('案件．要員情報'!V64:AA64)</f>
        <v>0</v>
      </c>
      <c r="Q63" s="153">
        <f>SUM('案件．要員情報'!AB64:AG64)</f>
        <v>0</v>
      </c>
      <c r="R63" s="153">
        <f>SUM('案件．要員情報'!AH64:AM64)</f>
        <v>0.29545454545454547</v>
      </c>
      <c r="S63" s="153">
        <f>SUM('案件．要員情報'!AN64:AU64)</f>
        <v>0</v>
      </c>
      <c r="T63" s="153">
        <f>SUM('案件．要員情報'!AV64:BC64)</f>
        <v>0</v>
      </c>
      <c r="U63" s="153">
        <f>SUM('案件．要員情報'!BD64:BK64)</f>
        <v>0</v>
      </c>
      <c r="V63" s="153">
        <f>SUM('案件．要員情報'!BL64:BS64)</f>
        <v>0</v>
      </c>
      <c r="W63" s="153">
        <f>SUM('案件．要員情報'!BT64:CA64)</f>
        <v>0</v>
      </c>
      <c r="X63" s="153">
        <f>SUM('案件．要員情報'!CB64:CI64)</f>
        <v>0</v>
      </c>
      <c r="Y63" s="153">
        <f>SUM('案件．要員情報'!CJ64:CQ64)</f>
        <v>0</v>
      </c>
      <c r="Z63" s="153">
        <f>SUM('案件．要員情報'!CR64:CY64)</f>
        <v>0</v>
      </c>
      <c r="AA63" s="156">
        <f t="shared" si="3"/>
        <v>0.29545454545454547</v>
      </c>
    </row>
    <row r="64" spans="1:27" s="151" customFormat="1" ht="20.100000000000001" customHeight="1" x14ac:dyDescent="0.4">
      <c r="A64" s="377">
        <v>30</v>
      </c>
      <c r="B64" s="379" t="s">
        <v>47</v>
      </c>
      <c r="C64" s="379" t="s">
        <v>347</v>
      </c>
      <c r="D64" s="381" t="s">
        <v>426</v>
      </c>
      <c r="E64" s="405" t="s">
        <v>675</v>
      </c>
      <c r="F64" s="381"/>
      <c r="G64" s="404" t="s">
        <v>676</v>
      </c>
      <c r="H64" s="417"/>
      <c r="I64" s="417"/>
      <c r="J64" s="417"/>
      <c r="K64" s="417"/>
      <c r="L64" s="417"/>
      <c r="M64" s="417"/>
      <c r="N64" s="154" t="s">
        <v>24</v>
      </c>
      <c r="O64" s="150">
        <f>SUM('案件．要員情報'!O65:U65)</f>
        <v>0</v>
      </c>
      <c r="P64" s="150">
        <f>SUM('案件．要員情報'!V65:AA65)</f>
        <v>0</v>
      </c>
      <c r="Q64" s="150">
        <f>SUM('案件．要員情報'!AB65:AG65)</f>
        <v>0</v>
      </c>
      <c r="R64" s="150">
        <f>SUM('案件．要員情報'!AH65:AM65)</f>
        <v>0.27272727272727271</v>
      </c>
      <c r="S64" s="150">
        <f>SUM('案件．要員情報'!AN65:AU65)</f>
        <v>0</v>
      </c>
      <c r="T64" s="150">
        <f>SUM('案件．要員情報'!AV65:BC65)</f>
        <v>0</v>
      </c>
      <c r="U64" s="150">
        <f>SUM('案件．要員情報'!BD65:BK65)</f>
        <v>0</v>
      </c>
      <c r="V64" s="150">
        <f>SUM('案件．要員情報'!BL65:BS65)</f>
        <v>0</v>
      </c>
      <c r="W64" s="150">
        <f>SUM('案件．要員情報'!BT65:CA65)</f>
        <v>0</v>
      </c>
      <c r="X64" s="150">
        <f>SUM('案件．要員情報'!CB65:CI65)</f>
        <v>0</v>
      </c>
      <c r="Y64" s="150">
        <f>SUM('案件．要員情報'!CJ65:CQ65)</f>
        <v>0</v>
      </c>
      <c r="Z64" s="150">
        <f>SUM('案件．要員情報'!CR65:CY65)</f>
        <v>0</v>
      </c>
      <c r="AA64" s="213">
        <f t="shared" ref="AA64:AA123" si="4">SUM(O64:Z64)</f>
        <v>0.27272727272727271</v>
      </c>
    </row>
    <row r="65" spans="1:27" s="151" customFormat="1" ht="20.100000000000001" customHeight="1" x14ac:dyDescent="0.4">
      <c r="A65" s="378"/>
      <c r="B65" s="380"/>
      <c r="C65" s="380"/>
      <c r="D65" s="382"/>
      <c r="E65" s="406"/>
      <c r="F65" s="382"/>
      <c r="G65" s="404"/>
      <c r="H65" s="418"/>
      <c r="I65" s="418"/>
      <c r="J65" s="418"/>
      <c r="K65" s="418"/>
      <c r="L65" s="418"/>
      <c r="M65" s="418"/>
      <c r="N65" s="155" t="s">
        <v>25</v>
      </c>
      <c r="O65" s="153">
        <f>SUM('案件．要員情報'!O66:U66)</f>
        <v>0</v>
      </c>
      <c r="P65" s="153">
        <f>SUM('案件．要員情報'!V66:AA66)</f>
        <v>0</v>
      </c>
      <c r="Q65" s="153">
        <f>SUM('案件．要員情報'!AB66:AG66)</f>
        <v>0</v>
      </c>
      <c r="R65" s="153">
        <f>SUM('案件．要員情報'!AH66:AM66)</f>
        <v>7.7272727272727271E-2</v>
      </c>
      <c r="S65" s="153">
        <f>SUM('案件．要員情報'!AN66:AU66)</f>
        <v>0</v>
      </c>
      <c r="T65" s="153">
        <f>SUM('案件．要員情報'!AV66:BC66)</f>
        <v>0</v>
      </c>
      <c r="U65" s="153">
        <f>SUM('案件．要員情報'!BD66:BK66)</f>
        <v>0</v>
      </c>
      <c r="V65" s="153">
        <f>SUM('案件．要員情報'!BL66:BS66)</f>
        <v>0</v>
      </c>
      <c r="W65" s="153">
        <f>SUM('案件．要員情報'!BT66:CA66)</f>
        <v>0</v>
      </c>
      <c r="X65" s="153">
        <f>SUM('案件．要員情報'!CB66:CI66)</f>
        <v>0</v>
      </c>
      <c r="Y65" s="153">
        <f>SUM('案件．要員情報'!CJ66:CQ66)</f>
        <v>0</v>
      </c>
      <c r="Z65" s="153">
        <f>SUM('案件．要員情報'!CR66:CY66)</f>
        <v>0</v>
      </c>
      <c r="AA65" s="156">
        <f t="shared" si="4"/>
        <v>7.7272727272727271E-2</v>
      </c>
    </row>
    <row r="66" spans="1:27" s="151" customFormat="1" ht="20.100000000000001" customHeight="1" x14ac:dyDescent="0.4">
      <c r="A66" s="377">
        <v>31</v>
      </c>
      <c r="B66" s="379" t="s">
        <v>47</v>
      </c>
      <c r="C66" s="379" t="s">
        <v>347</v>
      </c>
      <c r="D66" s="381" t="s">
        <v>433</v>
      </c>
      <c r="E66" s="405" t="s">
        <v>677</v>
      </c>
      <c r="F66" s="381"/>
      <c r="G66" s="404" t="s">
        <v>678</v>
      </c>
      <c r="H66" s="417"/>
      <c r="I66" s="417"/>
      <c r="J66" s="417"/>
      <c r="K66" s="417"/>
      <c r="L66" s="417"/>
      <c r="M66" s="417"/>
      <c r="N66" s="154" t="s">
        <v>24</v>
      </c>
      <c r="O66" s="150">
        <f>SUM('案件．要員情報'!O67:U67)</f>
        <v>0</v>
      </c>
      <c r="P66" s="150">
        <f>SUM('案件．要員情報'!V67:AA67)</f>
        <v>0</v>
      </c>
      <c r="Q66" s="150">
        <f>SUM('案件．要員情報'!AB67:AG67)</f>
        <v>0</v>
      </c>
      <c r="R66" s="150">
        <f>SUM('案件．要員情報'!AH67:AM67)</f>
        <v>0.15151515151515152</v>
      </c>
      <c r="S66" s="150">
        <f>SUM('案件．要員情報'!AN67:AU67)</f>
        <v>0</v>
      </c>
      <c r="T66" s="150">
        <f>SUM('案件．要員情報'!AV67:BC67)</f>
        <v>0</v>
      </c>
      <c r="U66" s="150">
        <f>SUM('案件．要員情報'!BD67:BK67)</f>
        <v>0</v>
      </c>
      <c r="V66" s="150">
        <f>SUM('案件．要員情報'!BL67:BS67)</f>
        <v>0</v>
      </c>
      <c r="W66" s="150">
        <f>SUM('案件．要員情報'!BT67:CA67)</f>
        <v>0</v>
      </c>
      <c r="X66" s="150">
        <f>SUM('案件．要員情報'!CB67:CI67)</f>
        <v>0</v>
      </c>
      <c r="Y66" s="150">
        <f>SUM('案件．要員情報'!CJ67:CQ67)</f>
        <v>0</v>
      </c>
      <c r="Z66" s="150">
        <f>SUM('案件．要員情報'!CR67:CY67)</f>
        <v>0</v>
      </c>
      <c r="AA66" s="213">
        <f t="shared" si="4"/>
        <v>0.15151515151515152</v>
      </c>
    </row>
    <row r="67" spans="1:27" s="151" customFormat="1" ht="20.100000000000001" customHeight="1" x14ac:dyDescent="0.4">
      <c r="A67" s="378"/>
      <c r="B67" s="380"/>
      <c r="C67" s="380"/>
      <c r="D67" s="382"/>
      <c r="E67" s="406"/>
      <c r="F67" s="382"/>
      <c r="G67" s="404"/>
      <c r="H67" s="418"/>
      <c r="I67" s="418"/>
      <c r="J67" s="418"/>
      <c r="K67" s="418"/>
      <c r="L67" s="418"/>
      <c r="M67" s="418"/>
      <c r="N67" s="155" t="s">
        <v>25</v>
      </c>
      <c r="O67" s="153">
        <f>SUM('案件．要員情報'!O68:U68)</f>
        <v>0</v>
      </c>
      <c r="P67" s="153">
        <f>SUM('案件．要員情報'!V68:AA68)</f>
        <v>0</v>
      </c>
      <c r="Q67" s="153">
        <f>SUM('案件．要員情報'!AB68:AG68)</f>
        <v>0</v>
      </c>
      <c r="R67" s="153">
        <f>SUM('案件．要員情報'!AH68:AM68)</f>
        <v>9.2424242424242423E-2</v>
      </c>
      <c r="S67" s="153">
        <f>SUM('案件．要員情報'!AN68:AU68)</f>
        <v>0</v>
      </c>
      <c r="T67" s="153">
        <f>SUM('案件．要員情報'!AV68:BC68)</f>
        <v>0</v>
      </c>
      <c r="U67" s="153">
        <f>SUM('案件．要員情報'!BD68:BK68)</f>
        <v>0</v>
      </c>
      <c r="V67" s="153">
        <f>SUM('案件．要員情報'!BL68:BS68)</f>
        <v>0</v>
      </c>
      <c r="W67" s="153">
        <f>SUM('案件．要員情報'!BT68:CA68)</f>
        <v>0</v>
      </c>
      <c r="X67" s="153">
        <f>SUM('案件．要員情報'!CB68:CI68)</f>
        <v>0</v>
      </c>
      <c r="Y67" s="153">
        <f>SUM('案件．要員情報'!CJ68:CQ68)</f>
        <v>0</v>
      </c>
      <c r="Z67" s="153">
        <f>SUM('案件．要員情報'!CR68:CY68)</f>
        <v>0</v>
      </c>
      <c r="AA67" s="156">
        <f t="shared" si="4"/>
        <v>9.2424242424242423E-2</v>
      </c>
    </row>
    <row r="68" spans="1:27" s="151" customFormat="1" ht="20.100000000000001" customHeight="1" x14ac:dyDescent="0.4">
      <c r="A68" s="377">
        <v>32</v>
      </c>
      <c r="B68" s="379" t="s">
        <v>47</v>
      </c>
      <c r="C68" s="379" t="s">
        <v>347</v>
      </c>
      <c r="D68" s="381" t="s">
        <v>348</v>
      </c>
      <c r="E68" s="405" t="s">
        <v>729</v>
      </c>
      <c r="F68" s="381"/>
      <c r="G68" s="416" t="s">
        <v>732</v>
      </c>
      <c r="H68" s="417"/>
      <c r="I68" s="417"/>
      <c r="J68" s="417"/>
      <c r="K68" s="417"/>
      <c r="L68" s="417"/>
      <c r="M68" s="417"/>
      <c r="N68" s="154" t="s">
        <v>24</v>
      </c>
      <c r="O68" s="150">
        <f>SUM('案件．要員情報'!O69:U69)</f>
        <v>0</v>
      </c>
      <c r="P68" s="150">
        <f>SUM('案件．要員情報'!V69:AA69)</f>
        <v>0</v>
      </c>
      <c r="Q68" s="150">
        <f>SUM('案件．要員情報'!AB69:AG69)</f>
        <v>0</v>
      </c>
      <c r="R68" s="150">
        <f>SUM('案件．要員情報'!AH69:AM69)</f>
        <v>0.15151515151515152</v>
      </c>
      <c r="S68" s="150">
        <f>SUM('案件．要員情報'!AN69:AU69)</f>
        <v>0</v>
      </c>
      <c r="T68" s="150">
        <f>SUM('案件．要員情報'!AV69:BC69)</f>
        <v>0</v>
      </c>
      <c r="U68" s="150">
        <f>SUM('案件．要員情報'!BD69:BK69)</f>
        <v>0</v>
      </c>
      <c r="V68" s="150">
        <f>SUM('案件．要員情報'!BL69:BS69)</f>
        <v>0</v>
      </c>
      <c r="W68" s="150">
        <f>SUM('案件．要員情報'!BT69:CA69)</f>
        <v>0</v>
      </c>
      <c r="X68" s="150">
        <f>SUM('案件．要員情報'!CB69:CI69)</f>
        <v>0</v>
      </c>
      <c r="Y68" s="150">
        <f>SUM('案件．要員情報'!CJ69:CQ69)</f>
        <v>0</v>
      </c>
      <c r="Z68" s="150">
        <f>SUM('案件．要員情報'!CR69:CY69)</f>
        <v>0</v>
      </c>
      <c r="AA68" s="213">
        <f t="shared" si="4"/>
        <v>0.15151515151515152</v>
      </c>
    </row>
    <row r="69" spans="1:27" s="151" customFormat="1" ht="20.100000000000001" customHeight="1" x14ac:dyDescent="0.4">
      <c r="A69" s="378"/>
      <c r="B69" s="380"/>
      <c r="C69" s="380"/>
      <c r="D69" s="382"/>
      <c r="E69" s="406"/>
      <c r="F69" s="382"/>
      <c r="G69" s="416"/>
      <c r="H69" s="418"/>
      <c r="I69" s="418"/>
      <c r="J69" s="418"/>
      <c r="K69" s="418"/>
      <c r="L69" s="418"/>
      <c r="M69" s="418"/>
      <c r="N69" s="155" t="s">
        <v>25</v>
      </c>
      <c r="O69" s="153">
        <f>SUM('案件．要員情報'!O70:U70)</f>
        <v>0</v>
      </c>
      <c r="P69" s="153">
        <f>SUM('案件．要員情報'!V70:AA70)</f>
        <v>0</v>
      </c>
      <c r="Q69" s="153">
        <f>SUM('案件．要員情報'!AB70:AG70)</f>
        <v>0</v>
      </c>
      <c r="R69" s="153">
        <f>SUM('案件．要員情報'!AH70:AM70)</f>
        <v>0.14393939393939392</v>
      </c>
      <c r="S69" s="153">
        <f>SUM('案件．要員情報'!AN70:AU70)</f>
        <v>0</v>
      </c>
      <c r="T69" s="153">
        <f>SUM('案件．要員情報'!AV70:BC70)</f>
        <v>0</v>
      </c>
      <c r="U69" s="153">
        <f>SUM('案件．要員情報'!BD70:BK70)</f>
        <v>0</v>
      </c>
      <c r="V69" s="153">
        <f>SUM('案件．要員情報'!BL70:BS70)</f>
        <v>0</v>
      </c>
      <c r="W69" s="153">
        <f>SUM('案件．要員情報'!BT70:CA70)</f>
        <v>0</v>
      </c>
      <c r="X69" s="153">
        <f>SUM('案件．要員情報'!CB70:CI70)</f>
        <v>0</v>
      </c>
      <c r="Y69" s="153">
        <f>SUM('案件．要員情報'!CJ70:CQ70)</f>
        <v>0</v>
      </c>
      <c r="Z69" s="153">
        <f>SUM('案件．要員情報'!CR70:CY70)</f>
        <v>0</v>
      </c>
      <c r="AA69" s="156">
        <f t="shared" si="4"/>
        <v>0.14393939393939392</v>
      </c>
    </row>
    <row r="70" spans="1:27" s="151" customFormat="1" ht="20.100000000000001" customHeight="1" x14ac:dyDescent="0.4">
      <c r="A70" s="377">
        <v>33</v>
      </c>
      <c r="B70" s="379" t="s">
        <v>46</v>
      </c>
      <c r="C70" s="379" t="s">
        <v>347</v>
      </c>
      <c r="D70" s="381" t="s">
        <v>430</v>
      </c>
      <c r="E70" s="405" t="s">
        <v>730</v>
      </c>
      <c r="F70" s="381"/>
      <c r="G70" s="416" t="s">
        <v>733</v>
      </c>
      <c r="H70" s="417"/>
      <c r="I70" s="417"/>
      <c r="J70" s="417"/>
      <c r="K70" s="417"/>
      <c r="L70" s="417"/>
      <c r="M70" s="417"/>
      <c r="N70" s="154" t="s">
        <v>24</v>
      </c>
      <c r="O70" s="150">
        <f>SUM('案件．要員情報'!O71:U71)</f>
        <v>0</v>
      </c>
      <c r="P70" s="150">
        <f>SUM('案件．要員情報'!V71:AA71)</f>
        <v>0</v>
      </c>
      <c r="Q70" s="150">
        <f>SUM('案件．要員情報'!AB71:AG71)</f>
        <v>0</v>
      </c>
      <c r="R70" s="150">
        <f>SUM('案件．要員情報'!AH71:AM71)</f>
        <v>0.21212121212121213</v>
      </c>
      <c r="S70" s="150">
        <f>SUM('案件．要員情報'!AN71:AU71)</f>
        <v>0</v>
      </c>
      <c r="T70" s="150">
        <f>SUM('案件．要員情報'!AV71:BC71)</f>
        <v>0</v>
      </c>
      <c r="U70" s="150">
        <f>SUM('案件．要員情報'!BD71:BK71)</f>
        <v>0</v>
      </c>
      <c r="V70" s="150">
        <f>SUM('案件．要員情報'!BL71:BS71)</f>
        <v>0</v>
      </c>
      <c r="W70" s="150">
        <f>SUM('案件．要員情報'!BT71:CA71)</f>
        <v>0</v>
      </c>
      <c r="X70" s="150">
        <f>SUM('案件．要員情報'!CB71:CI71)</f>
        <v>0</v>
      </c>
      <c r="Y70" s="150">
        <f>SUM('案件．要員情報'!CJ71:CQ71)</f>
        <v>0</v>
      </c>
      <c r="Z70" s="150">
        <f>SUM('案件．要員情報'!CR71:CY71)</f>
        <v>0</v>
      </c>
      <c r="AA70" s="213">
        <f t="shared" si="4"/>
        <v>0.21212121212121213</v>
      </c>
    </row>
    <row r="71" spans="1:27" s="151" customFormat="1" ht="20.100000000000001" customHeight="1" x14ac:dyDescent="0.4">
      <c r="A71" s="378"/>
      <c r="B71" s="380"/>
      <c r="C71" s="380"/>
      <c r="D71" s="382"/>
      <c r="E71" s="406"/>
      <c r="F71" s="382"/>
      <c r="G71" s="416"/>
      <c r="H71" s="418"/>
      <c r="I71" s="418"/>
      <c r="J71" s="418"/>
      <c r="K71" s="418"/>
      <c r="L71" s="418"/>
      <c r="M71" s="418"/>
      <c r="N71" s="155" t="s">
        <v>25</v>
      </c>
      <c r="O71" s="153">
        <f>SUM('案件．要員情報'!O72:U72)</f>
        <v>0</v>
      </c>
      <c r="P71" s="153">
        <f>SUM('案件．要員情報'!V72:AA72)</f>
        <v>0</v>
      </c>
      <c r="Q71" s="153">
        <f>SUM('案件．要員情報'!AB72:AG72)</f>
        <v>0</v>
      </c>
      <c r="R71" s="153">
        <f>SUM('案件．要員情報'!AH72:AM72)</f>
        <v>0.27878787878787881</v>
      </c>
      <c r="S71" s="153">
        <f>SUM('案件．要員情報'!AN72:AU72)</f>
        <v>0</v>
      </c>
      <c r="T71" s="153">
        <f>SUM('案件．要員情報'!AV72:BC72)</f>
        <v>0</v>
      </c>
      <c r="U71" s="153">
        <f>SUM('案件．要員情報'!BD72:BK72)</f>
        <v>0</v>
      </c>
      <c r="V71" s="153">
        <f>SUM('案件．要員情報'!BL72:BS72)</f>
        <v>0</v>
      </c>
      <c r="W71" s="153">
        <f>SUM('案件．要員情報'!BT72:CA72)</f>
        <v>0</v>
      </c>
      <c r="X71" s="153">
        <f>SUM('案件．要員情報'!CB72:CI72)</f>
        <v>0</v>
      </c>
      <c r="Y71" s="153">
        <f>SUM('案件．要員情報'!CJ72:CQ72)</f>
        <v>0</v>
      </c>
      <c r="Z71" s="153">
        <f>SUM('案件．要員情報'!CR72:CY72)</f>
        <v>0</v>
      </c>
      <c r="AA71" s="156">
        <f t="shared" si="4"/>
        <v>0.27878787878787881</v>
      </c>
    </row>
    <row r="72" spans="1:27" s="151" customFormat="1" ht="20.100000000000001" customHeight="1" x14ac:dyDescent="0.4">
      <c r="A72" s="377">
        <v>34</v>
      </c>
      <c r="B72" s="379" t="s">
        <v>47</v>
      </c>
      <c r="C72" s="379" t="s">
        <v>347</v>
      </c>
      <c r="D72" s="381" t="s">
        <v>426</v>
      </c>
      <c r="E72" s="405" t="s">
        <v>731</v>
      </c>
      <c r="F72" s="381"/>
      <c r="G72" s="416" t="s">
        <v>734</v>
      </c>
      <c r="H72" s="417"/>
      <c r="I72" s="417"/>
      <c r="J72" s="417"/>
      <c r="K72" s="417"/>
      <c r="L72" s="417"/>
      <c r="M72" s="417"/>
      <c r="N72" s="154" t="s">
        <v>24</v>
      </c>
      <c r="O72" s="150">
        <f>SUM('案件．要員情報'!O73:U73)</f>
        <v>0</v>
      </c>
      <c r="P72" s="150">
        <f>SUM('案件．要員情報'!V73:AA73)</f>
        <v>0</v>
      </c>
      <c r="Q72" s="150">
        <f>SUM('案件．要員情報'!AB73:AG73)</f>
        <v>0</v>
      </c>
      <c r="R72" s="150">
        <f>SUM('案件．要員情報'!AH73:AM73)</f>
        <v>0.15151515151515152</v>
      </c>
      <c r="S72" s="150">
        <f>SUM('案件．要員情報'!AN73:AU73)</f>
        <v>0</v>
      </c>
      <c r="T72" s="150">
        <f>SUM('案件．要員情報'!AV73:BC73)</f>
        <v>0</v>
      </c>
      <c r="U72" s="150">
        <f>SUM('案件．要員情報'!BD73:BK73)</f>
        <v>0</v>
      </c>
      <c r="V72" s="150">
        <f>SUM('案件．要員情報'!BL73:BS73)</f>
        <v>0</v>
      </c>
      <c r="W72" s="150">
        <f>SUM('案件．要員情報'!BT73:CA73)</f>
        <v>0</v>
      </c>
      <c r="X72" s="150">
        <f>SUM('案件．要員情報'!CB73:CI73)</f>
        <v>0</v>
      </c>
      <c r="Y72" s="150">
        <f>SUM('案件．要員情報'!CJ73:CQ73)</f>
        <v>0</v>
      </c>
      <c r="Z72" s="150">
        <f>SUM('案件．要員情報'!CR73:CY73)</f>
        <v>0</v>
      </c>
      <c r="AA72" s="213">
        <f t="shared" si="4"/>
        <v>0.15151515151515152</v>
      </c>
    </row>
    <row r="73" spans="1:27" s="151" customFormat="1" ht="20.100000000000001" customHeight="1" x14ac:dyDescent="0.4">
      <c r="A73" s="378"/>
      <c r="B73" s="380"/>
      <c r="C73" s="380"/>
      <c r="D73" s="382"/>
      <c r="E73" s="406"/>
      <c r="F73" s="382"/>
      <c r="G73" s="416"/>
      <c r="H73" s="418"/>
      <c r="I73" s="418"/>
      <c r="J73" s="418"/>
      <c r="K73" s="418"/>
      <c r="L73" s="418"/>
      <c r="M73" s="418"/>
      <c r="N73" s="155" t="s">
        <v>25</v>
      </c>
      <c r="O73" s="153">
        <f>SUM('案件．要員情報'!O74:U74)</f>
        <v>0</v>
      </c>
      <c r="P73" s="153">
        <f>SUM('案件．要員情報'!V74:AA74)</f>
        <v>0</v>
      </c>
      <c r="Q73" s="153">
        <f>SUM('案件．要員情報'!AB74:AG74)</f>
        <v>0</v>
      </c>
      <c r="R73" s="153">
        <f>SUM('案件．要員情報'!AH74:AM74)</f>
        <v>0.12575757575757576</v>
      </c>
      <c r="S73" s="153">
        <f>SUM('案件．要員情報'!AN74:AU74)</f>
        <v>0</v>
      </c>
      <c r="T73" s="153">
        <f>SUM('案件．要員情報'!AV74:BC74)</f>
        <v>0</v>
      </c>
      <c r="U73" s="153">
        <f>SUM('案件．要員情報'!BD74:BK74)</f>
        <v>0</v>
      </c>
      <c r="V73" s="153">
        <f>SUM('案件．要員情報'!BL74:BS74)</f>
        <v>0</v>
      </c>
      <c r="W73" s="153">
        <f>SUM('案件．要員情報'!BT74:CA74)</f>
        <v>0</v>
      </c>
      <c r="X73" s="153">
        <f>SUM('案件．要員情報'!CB74:CI74)</f>
        <v>0</v>
      </c>
      <c r="Y73" s="153">
        <f>SUM('案件．要員情報'!CJ74:CQ74)</f>
        <v>0</v>
      </c>
      <c r="Z73" s="153">
        <f>SUM('案件．要員情報'!CR74:CY74)</f>
        <v>0</v>
      </c>
      <c r="AA73" s="156">
        <f t="shared" si="4"/>
        <v>0.12575757575757576</v>
      </c>
    </row>
    <row r="74" spans="1:27" s="151" customFormat="1" ht="20.100000000000001" customHeight="1" x14ac:dyDescent="0.4">
      <c r="A74" s="377">
        <v>35</v>
      </c>
      <c r="B74" s="379" t="s">
        <v>46</v>
      </c>
      <c r="C74" s="379" t="s">
        <v>14</v>
      </c>
      <c r="D74" s="381" t="s">
        <v>752</v>
      </c>
      <c r="E74" s="405" t="s">
        <v>754</v>
      </c>
      <c r="F74" s="381" t="s">
        <v>753</v>
      </c>
      <c r="G74" s="416" t="s">
        <v>751</v>
      </c>
      <c r="H74" s="417"/>
      <c r="I74" s="417"/>
      <c r="J74" s="417"/>
      <c r="K74" s="417"/>
      <c r="L74" s="417"/>
      <c r="M74" s="417"/>
      <c r="N74" s="154" t="s">
        <v>24</v>
      </c>
      <c r="O74" s="150">
        <f>SUM('案件．要員情報'!O75:U75)</f>
        <v>0</v>
      </c>
      <c r="P74" s="150">
        <f>SUM('案件．要員情報'!V75:AA75)</f>
        <v>0</v>
      </c>
      <c r="Q74" s="150">
        <f>SUM('案件．要員情報'!AB75:AG75)</f>
        <v>0</v>
      </c>
      <c r="R74" s="150">
        <f>SUM('案件．要員情報'!AH75:AM75)</f>
        <v>0.16969696969696971</v>
      </c>
      <c r="S74" s="150">
        <f>SUM('案件．要員情報'!AN75:AU75)</f>
        <v>0</v>
      </c>
      <c r="T74" s="150">
        <f>SUM('案件．要員情報'!AV75:BC75)</f>
        <v>0</v>
      </c>
      <c r="U74" s="150">
        <f>SUM('案件．要員情報'!BD75:BK75)</f>
        <v>0</v>
      </c>
      <c r="V74" s="150">
        <f>SUM('案件．要員情報'!BL75:BS75)</f>
        <v>0</v>
      </c>
      <c r="W74" s="150">
        <f>SUM('案件．要員情報'!BT75:CA75)</f>
        <v>0</v>
      </c>
      <c r="X74" s="150">
        <f>SUM('案件．要員情報'!CB75:CI75)</f>
        <v>0</v>
      </c>
      <c r="Y74" s="150">
        <f>SUM('案件．要員情報'!CJ75:CQ75)</f>
        <v>0</v>
      </c>
      <c r="Z74" s="150">
        <f>SUM('案件．要員情報'!CR75:CY75)</f>
        <v>0</v>
      </c>
      <c r="AA74" s="213">
        <f t="shared" si="4"/>
        <v>0.16969696969696971</v>
      </c>
    </row>
    <row r="75" spans="1:27" s="151" customFormat="1" ht="20.100000000000001" customHeight="1" x14ac:dyDescent="0.4">
      <c r="A75" s="378"/>
      <c r="B75" s="380"/>
      <c r="C75" s="380"/>
      <c r="D75" s="382"/>
      <c r="E75" s="406"/>
      <c r="F75" s="382"/>
      <c r="G75" s="416"/>
      <c r="H75" s="418"/>
      <c r="I75" s="418"/>
      <c r="J75" s="418"/>
      <c r="K75" s="418"/>
      <c r="L75" s="418"/>
      <c r="M75" s="418"/>
      <c r="N75" s="155" t="s">
        <v>25</v>
      </c>
      <c r="O75" s="153">
        <f>SUM('案件．要員情報'!O76:U76)</f>
        <v>0</v>
      </c>
      <c r="P75" s="153">
        <f>SUM('案件．要員情報'!V76:AA76)</f>
        <v>0</v>
      </c>
      <c r="Q75" s="153">
        <f>SUM('案件．要員情報'!AB76:AG76)</f>
        <v>0</v>
      </c>
      <c r="R75" s="153">
        <f>SUM('案件．要員情報'!AH76:AM76)</f>
        <v>5.7575757575757572E-2</v>
      </c>
      <c r="S75" s="153">
        <f>SUM('案件．要員情報'!AN76:AU76)</f>
        <v>0</v>
      </c>
      <c r="T75" s="153">
        <f>SUM('案件．要員情報'!AV76:BC76)</f>
        <v>0</v>
      </c>
      <c r="U75" s="153">
        <f>SUM('案件．要員情報'!BD76:BK76)</f>
        <v>0</v>
      </c>
      <c r="V75" s="153">
        <f>SUM('案件．要員情報'!BL76:BS76)</f>
        <v>0</v>
      </c>
      <c r="W75" s="153">
        <f>SUM('案件．要員情報'!BT76:CA76)</f>
        <v>0</v>
      </c>
      <c r="X75" s="153">
        <f>SUM('案件．要員情報'!CB76:CI76)</f>
        <v>0</v>
      </c>
      <c r="Y75" s="153">
        <f>SUM('案件．要員情報'!CJ76:CQ76)</f>
        <v>0</v>
      </c>
      <c r="Z75" s="153">
        <f>SUM('案件．要員情報'!CR76:CY76)</f>
        <v>0</v>
      </c>
      <c r="AA75" s="156">
        <f t="shared" si="4"/>
        <v>5.7575757575757572E-2</v>
      </c>
    </row>
    <row r="76" spans="1:27" s="151" customFormat="1" ht="20.100000000000001" customHeight="1" x14ac:dyDescent="0.4">
      <c r="A76" s="377">
        <v>36</v>
      </c>
      <c r="B76" s="379" t="s">
        <v>46</v>
      </c>
      <c r="C76" s="379" t="s">
        <v>347</v>
      </c>
      <c r="D76" s="381" t="s">
        <v>430</v>
      </c>
      <c r="E76" s="405" t="s">
        <v>750</v>
      </c>
      <c r="F76" s="381" t="s">
        <v>755</v>
      </c>
      <c r="G76" s="416" t="s">
        <v>756</v>
      </c>
      <c r="H76" s="417"/>
      <c r="I76" s="417"/>
      <c r="J76" s="417"/>
      <c r="K76" s="417"/>
      <c r="L76" s="417"/>
      <c r="M76" s="417"/>
      <c r="N76" s="154" t="s">
        <v>24</v>
      </c>
      <c r="O76" s="150">
        <f>SUM('案件．要員情報'!O77:U77)</f>
        <v>0</v>
      </c>
      <c r="P76" s="150">
        <f>SUM('案件．要員情報'!V77:AA77)</f>
        <v>0</v>
      </c>
      <c r="Q76" s="150">
        <f>SUM('案件．要員情報'!AB77:AG77)</f>
        <v>0</v>
      </c>
      <c r="R76" s="150">
        <f>SUM('案件．要員情報'!AH77:AM77)</f>
        <v>9.0909090909090912E-2</v>
      </c>
      <c r="S76" s="150">
        <f>SUM('案件．要員情報'!AN77:AU77)</f>
        <v>0</v>
      </c>
      <c r="T76" s="150">
        <f>SUM('案件．要員情報'!AV77:BC77)</f>
        <v>0</v>
      </c>
      <c r="U76" s="150">
        <f>SUM('案件．要員情報'!BD77:BK77)</f>
        <v>0</v>
      </c>
      <c r="V76" s="150">
        <f>SUM('案件．要員情報'!BL77:BS77)</f>
        <v>0</v>
      </c>
      <c r="W76" s="150">
        <f>SUM('案件．要員情報'!BT77:CA77)</f>
        <v>0</v>
      </c>
      <c r="X76" s="150">
        <f>SUM('案件．要員情報'!CB77:CI77)</f>
        <v>0</v>
      </c>
      <c r="Y76" s="150">
        <f>SUM('案件．要員情報'!CJ77:CQ77)</f>
        <v>0</v>
      </c>
      <c r="Z76" s="150">
        <f>SUM('案件．要員情報'!CR77:CY77)</f>
        <v>0</v>
      </c>
      <c r="AA76" s="213">
        <f t="shared" si="4"/>
        <v>9.0909090909090912E-2</v>
      </c>
    </row>
    <row r="77" spans="1:27" s="151" customFormat="1" ht="20.100000000000001" customHeight="1" x14ac:dyDescent="0.4">
      <c r="A77" s="378"/>
      <c r="B77" s="380"/>
      <c r="C77" s="380"/>
      <c r="D77" s="382"/>
      <c r="E77" s="406"/>
      <c r="F77" s="382"/>
      <c r="G77" s="416"/>
      <c r="H77" s="418"/>
      <c r="I77" s="418"/>
      <c r="J77" s="418"/>
      <c r="K77" s="418"/>
      <c r="L77" s="418"/>
      <c r="M77" s="418"/>
      <c r="N77" s="155" t="s">
        <v>25</v>
      </c>
      <c r="O77" s="153">
        <f>SUM('案件．要員情報'!O78:U78)</f>
        <v>0</v>
      </c>
      <c r="P77" s="153">
        <f>SUM('案件．要員情報'!V78:AA78)</f>
        <v>0</v>
      </c>
      <c r="Q77" s="153">
        <f>SUM('案件．要員情報'!AB78:AG78)</f>
        <v>0</v>
      </c>
      <c r="R77" s="153">
        <f>SUM('案件．要員情報'!AH78:AM78)</f>
        <v>2.121212121212121E-2</v>
      </c>
      <c r="S77" s="153">
        <f>SUM('案件．要員情報'!AN78:AU78)</f>
        <v>0</v>
      </c>
      <c r="T77" s="153">
        <f>SUM('案件．要員情報'!AV78:BC78)</f>
        <v>0</v>
      </c>
      <c r="U77" s="153">
        <f>SUM('案件．要員情報'!BD78:BK78)</f>
        <v>0</v>
      </c>
      <c r="V77" s="153">
        <f>SUM('案件．要員情報'!BL78:BS78)</f>
        <v>0</v>
      </c>
      <c r="W77" s="153">
        <f>SUM('案件．要員情報'!BT78:CA78)</f>
        <v>0</v>
      </c>
      <c r="X77" s="153">
        <f>SUM('案件．要員情報'!CB78:CI78)</f>
        <v>0</v>
      </c>
      <c r="Y77" s="153">
        <f>SUM('案件．要員情報'!CJ78:CQ78)</f>
        <v>0</v>
      </c>
      <c r="Z77" s="153">
        <f>SUM('案件．要員情報'!CR78:CY78)</f>
        <v>0</v>
      </c>
      <c r="AA77" s="156">
        <f t="shared" si="4"/>
        <v>2.121212121212121E-2</v>
      </c>
    </row>
    <row r="78" spans="1:27" s="151" customFormat="1" ht="20.100000000000001" customHeight="1" x14ac:dyDescent="0.4">
      <c r="A78" s="377">
        <v>37</v>
      </c>
      <c r="B78" s="379" t="s">
        <v>47</v>
      </c>
      <c r="C78" s="379" t="s">
        <v>14</v>
      </c>
      <c r="D78" s="381" t="s">
        <v>482</v>
      </c>
      <c r="E78" s="405" t="s">
        <v>759</v>
      </c>
      <c r="F78" s="381"/>
      <c r="G78" s="416" t="s">
        <v>758</v>
      </c>
      <c r="H78" s="417"/>
      <c r="I78" s="417"/>
      <c r="J78" s="417"/>
      <c r="K78" s="417"/>
      <c r="L78" s="417"/>
      <c r="M78" s="417"/>
      <c r="N78" s="154" t="s">
        <v>24</v>
      </c>
      <c r="O78" s="150">
        <f>SUM('案件．要員情報'!O79:U79)</f>
        <v>0</v>
      </c>
      <c r="P78" s="150">
        <f>SUM('案件．要員情報'!V79:AA79)</f>
        <v>0</v>
      </c>
      <c r="Q78" s="150">
        <f>SUM('案件．要員情報'!AB79:AG79)</f>
        <v>0</v>
      </c>
      <c r="R78" s="150">
        <f>SUM('案件．要員情報'!AH79:AM79)</f>
        <v>0.16969696969696971</v>
      </c>
      <c r="S78" s="150">
        <f>SUM('案件．要員情報'!AN79:AU79)</f>
        <v>0</v>
      </c>
      <c r="T78" s="150">
        <f>SUM('案件．要員情報'!AV79:BC79)</f>
        <v>0</v>
      </c>
      <c r="U78" s="150">
        <f>SUM('案件．要員情報'!BD79:BK79)</f>
        <v>0</v>
      </c>
      <c r="V78" s="150">
        <f>SUM('案件．要員情報'!BL79:BS79)</f>
        <v>0</v>
      </c>
      <c r="W78" s="150">
        <f>SUM('案件．要員情報'!BT79:CA79)</f>
        <v>0</v>
      </c>
      <c r="X78" s="150">
        <f>SUM('案件．要員情報'!CB79:CI79)</f>
        <v>0</v>
      </c>
      <c r="Y78" s="150">
        <f>SUM('案件．要員情報'!CJ79:CQ79)</f>
        <v>0</v>
      </c>
      <c r="Z78" s="150">
        <f>SUM('案件．要員情報'!CR79:CY79)</f>
        <v>0</v>
      </c>
      <c r="AA78" s="213">
        <f t="shared" si="4"/>
        <v>0.16969696969696971</v>
      </c>
    </row>
    <row r="79" spans="1:27" s="151" customFormat="1" ht="20.100000000000001" customHeight="1" x14ac:dyDescent="0.4">
      <c r="A79" s="378"/>
      <c r="B79" s="380"/>
      <c r="C79" s="380"/>
      <c r="D79" s="382"/>
      <c r="E79" s="406"/>
      <c r="F79" s="382"/>
      <c r="G79" s="416"/>
      <c r="H79" s="418"/>
      <c r="I79" s="418"/>
      <c r="J79" s="418"/>
      <c r="K79" s="418"/>
      <c r="L79" s="418"/>
      <c r="M79" s="418"/>
      <c r="N79" s="155" t="s">
        <v>25</v>
      </c>
      <c r="O79" s="153">
        <f>SUM('案件．要員情報'!O80:U80)</f>
        <v>0</v>
      </c>
      <c r="P79" s="153">
        <f>SUM('案件．要員情報'!V80:AA80)</f>
        <v>0</v>
      </c>
      <c r="Q79" s="153">
        <f>SUM('案件．要員情報'!AB80:AG80)</f>
        <v>0</v>
      </c>
      <c r="R79" s="153">
        <f>SUM('案件．要員情報'!AH80:AM80)</f>
        <v>3.787878787878788E-2</v>
      </c>
      <c r="S79" s="153">
        <f>SUM('案件．要員情報'!AN80:AU80)</f>
        <v>0</v>
      </c>
      <c r="T79" s="153">
        <f>SUM('案件．要員情報'!AV80:BC80)</f>
        <v>0</v>
      </c>
      <c r="U79" s="153">
        <f>SUM('案件．要員情報'!BD80:BK80)</f>
        <v>0</v>
      </c>
      <c r="V79" s="153">
        <f>SUM('案件．要員情報'!BL80:BS80)</f>
        <v>0</v>
      </c>
      <c r="W79" s="153">
        <f>SUM('案件．要員情報'!BT80:CA80)</f>
        <v>0</v>
      </c>
      <c r="X79" s="153">
        <f>SUM('案件．要員情報'!CB80:CI80)</f>
        <v>0</v>
      </c>
      <c r="Y79" s="153">
        <f>SUM('案件．要員情報'!CJ80:CQ80)</f>
        <v>0</v>
      </c>
      <c r="Z79" s="153">
        <f>SUM('案件．要員情報'!CR80:CY80)</f>
        <v>0</v>
      </c>
      <c r="AA79" s="156">
        <f t="shared" si="4"/>
        <v>3.787878787878788E-2</v>
      </c>
    </row>
    <row r="80" spans="1:27" s="151" customFormat="1" ht="20.100000000000001" customHeight="1" x14ac:dyDescent="0.4">
      <c r="A80" s="377">
        <v>38</v>
      </c>
      <c r="B80" s="379" t="s">
        <v>47</v>
      </c>
      <c r="C80" s="379" t="s">
        <v>14</v>
      </c>
      <c r="D80" s="381" t="s">
        <v>481</v>
      </c>
      <c r="E80" s="405" t="s">
        <v>777</v>
      </c>
      <c r="F80" s="381"/>
      <c r="G80" s="416" t="s">
        <v>776</v>
      </c>
      <c r="H80" s="417"/>
      <c r="I80" s="417"/>
      <c r="J80" s="417"/>
      <c r="K80" s="417"/>
      <c r="L80" s="417"/>
      <c r="M80" s="417"/>
      <c r="N80" s="154" t="s">
        <v>24</v>
      </c>
      <c r="O80" s="150">
        <f>SUM('案件．要員情報'!O81:U81)</f>
        <v>0</v>
      </c>
      <c r="P80" s="150">
        <f>SUM('案件．要員情報'!V81:AA81)</f>
        <v>0</v>
      </c>
      <c r="Q80" s="150">
        <f>SUM('案件．要員情報'!AB81:AG81)</f>
        <v>0</v>
      </c>
      <c r="R80" s="150">
        <f>SUM('案件．要員情報'!AH81:AM81)</f>
        <v>4.8484848484848485E-2</v>
      </c>
      <c r="S80" s="150">
        <f>SUM('案件．要員情報'!AN81:AU81)</f>
        <v>0</v>
      </c>
      <c r="T80" s="150">
        <f>SUM('案件．要員情報'!AV81:BC81)</f>
        <v>0</v>
      </c>
      <c r="U80" s="150">
        <f>SUM('案件．要員情報'!BD81:BK81)</f>
        <v>0</v>
      </c>
      <c r="V80" s="150">
        <f>SUM('案件．要員情報'!BL81:BS81)</f>
        <v>0</v>
      </c>
      <c r="W80" s="150">
        <f>SUM('案件．要員情報'!BT81:CA81)</f>
        <v>0</v>
      </c>
      <c r="X80" s="150">
        <f>SUM('案件．要員情報'!CB81:CI81)</f>
        <v>0</v>
      </c>
      <c r="Y80" s="150">
        <f>SUM('案件．要員情報'!CJ81:CQ81)</f>
        <v>0</v>
      </c>
      <c r="Z80" s="150">
        <f>SUM('案件．要員情報'!CR81:CY81)</f>
        <v>0</v>
      </c>
      <c r="AA80" s="213">
        <f t="shared" si="4"/>
        <v>4.8484848484848485E-2</v>
      </c>
    </row>
    <row r="81" spans="1:27" s="151" customFormat="1" ht="20.100000000000001" customHeight="1" x14ac:dyDescent="0.4">
      <c r="A81" s="378"/>
      <c r="B81" s="380"/>
      <c r="C81" s="380"/>
      <c r="D81" s="382"/>
      <c r="E81" s="406"/>
      <c r="F81" s="382"/>
      <c r="G81" s="416"/>
      <c r="H81" s="418"/>
      <c r="I81" s="418"/>
      <c r="J81" s="418"/>
      <c r="K81" s="418"/>
      <c r="L81" s="418"/>
      <c r="M81" s="418"/>
      <c r="N81" s="155" t="s">
        <v>25</v>
      </c>
      <c r="O81" s="153">
        <f>SUM('案件．要員情報'!O82:U82)</f>
        <v>0</v>
      </c>
      <c r="P81" s="153">
        <f>SUM('案件．要員情報'!V82:AA82)</f>
        <v>0</v>
      </c>
      <c r="Q81" s="153">
        <f>SUM('案件．要員情報'!AB82:AG82)</f>
        <v>0</v>
      </c>
      <c r="R81" s="153">
        <f>SUM('案件．要員情報'!AH82:AM82)</f>
        <v>5.6060606060606061E-2</v>
      </c>
      <c r="S81" s="153">
        <f>SUM('案件．要員情報'!AN82:AU82)</f>
        <v>0</v>
      </c>
      <c r="T81" s="153">
        <f>SUM('案件．要員情報'!AV82:BC82)</f>
        <v>0</v>
      </c>
      <c r="U81" s="153">
        <f>SUM('案件．要員情報'!BD82:BK82)</f>
        <v>0</v>
      </c>
      <c r="V81" s="153">
        <f>SUM('案件．要員情報'!BL82:BS82)</f>
        <v>0</v>
      </c>
      <c r="W81" s="153">
        <f>SUM('案件．要員情報'!BT82:CA82)</f>
        <v>0</v>
      </c>
      <c r="X81" s="153">
        <f>SUM('案件．要員情報'!CB82:CI82)</f>
        <v>0</v>
      </c>
      <c r="Y81" s="153">
        <f>SUM('案件．要員情報'!CJ82:CQ82)</f>
        <v>0</v>
      </c>
      <c r="Z81" s="153">
        <f>SUM('案件．要員情報'!CR82:CY82)</f>
        <v>0</v>
      </c>
      <c r="AA81" s="156">
        <f t="shared" si="4"/>
        <v>5.6060606060606061E-2</v>
      </c>
    </row>
    <row r="82" spans="1:27" s="151" customFormat="1" ht="20.100000000000001" hidden="1" customHeight="1" outlineLevel="1" x14ac:dyDescent="0.4">
      <c r="A82" s="377">
        <v>39</v>
      </c>
      <c r="B82" s="379" t="s">
        <v>45</v>
      </c>
      <c r="C82" s="379" t="s">
        <v>346</v>
      </c>
      <c r="D82" s="381"/>
      <c r="E82" s="381"/>
      <c r="F82" s="381"/>
      <c r="G82" s="417"/>
      <c r="H82" s="417"/>
      <c r="I82" s="417"/>
      <c r="J82" s="417"/>
      <c r="K82" s="417"/>
      <c r="L82" s="417"/>
      <c r="M82" s="417"/>
      <c r="N82" s="154" t="s">
        <v>24</v>
      </c>
      <c r="O82" s="150">
        <f>SUM('案件．要員情報'!O83:U83)</f>
        <v>0</v>
      </c>
      <c r="P82" s="150">
        <f>SUM('案件．要員情報'!V83:AA83)</f>
        <v>0</v>
      </c>
      <c r="Q82" s="150">
        <f>SUM('案件．要員情報'!AB83:AG83)</f>
        <v>0</v>
      </c>
      <c r="R82" s="150">
        <f>SUM('案件．要員情報'!AH83:AM83)</f>
        <v>0</v>
      </c>
      <c r="S82" s="150">
        <f>SUM('案件．要員情報'!AN83:AU83)</f>
        <v>0</v>
      </c>
      <c r="T82" s="150">
        <f>SUM('案件．要員情報'!AV83:BC83)</f>
        <v>0</v>
      </c>
      <c r="U82" s="150">
        <f>SUM('案件．要員情報'!BD83:BK83)</f>
        <v>0</v>
      </c>
      <c r="V82" s="150">
        <f>SUM('案件．要員情報'!BL83:BS83)</f>
        <v>0</v>
      </c>
      <c r="W82" s="150">
        <f>SUM('案件．要員情報'!BT83:CA83)</f>
        <v>0</v>
      </c>
      <c r="X82" s="150">
        <f>SUM('案件．要員情報'!CB83:CI83)</f>
        <v>0</v>
      </c>
      <c r="Y82" s="150">
        <f>SUM('案件．要員情報'!CJ83:CQ83)</f>
        <v>0</v>
      </c>
      <c r="Z82" s="150">
        <f>SUM('案件．要員情報'!CR83:CY83)</f>
        <v>0</v>
      </c>
      <c r="AA82" s="213">
        <f t="shared" si="4"/>
        <v>0</v>
      </c>
    </row>
    <row r="83" spans="1:27" s="151" customFormat="1" ht="20.100000000000001" hidden="1" customHeight="1" outlineLevel="1" x14ac:dyDescent="0.4">
      <c r="A83" s="378"/>
      <c r="B83" s="380"/>
      <c r="C83" s="380"/>
      <c r="D83" s="382"/>
      <c r="E83" s="382"/>
      <c r="F83" s="382"/>
      <c r="G83" s="418"/>
      <c r="H83" s="418"/>
      <c r="I83" s="418"/>
      <c r="J83" s="418"/>
      <c r="K83" s="418"/>
      <c r="L83" s="418"/>
      <c r="M83" s="418"/>
      <c r="N83" s="155" t="s">
        <v>25</v>
      </c>
      <c r="O83" s="153">
        <f>SUM('案件．要員情報'!O84:U84)</f>
        <v>0</v>
      </c>
      <c r="P83" s="153">
        <f>SUM('案件．要員情報'!V84:AA84)</f>
        <v>0</v>
      </c>
      <c r="Q83" s="153">
        <f>SUM('案件．要員情報'!AB84:AG84)</f>
        <v>0</v>
      </c>
      <c r="R83" s="153">
        <f>SUM('案件．要員情報'!AH84:AM84)</f>
        <v>0</v>
      </c>
      <c r="S83" s="153">
        <f>SUM('案件．要員情報'!AN84:AU84)</f>
        <v>0</v>
      </c>
      <c r="T83" s="153">
        <f>SUM('案件．要員情報'!AV84:BC84)</f>
        <v>0</v>
      </c>
      <c r="U83" s="153">
        <f>SUM('案件．要員情報'!BD84:BK84)</f>
        <v>0</v>
      </c>
      <c r="V83" s="153">
        <f>SUM('案件．要員情報'!BL84:BS84)</f>
        <v>0</v>
      </c>
      <c r="W83" s="153">
        <f>SUM('案件．要員情報'!BT84:CA84)</f>
        <v>0</v>
      </c>
      <c r="X83" s="153">
        <f>SUM('案件．要員情報'!CB84:CI84)</f>
        <v>0</v>
      </c>
      <c r="Y83" s="153">
        <f>SUM('案件．要員情報'!CJ84:CQ84)</f>
        <v>0</v>
      </c>
      <c r="Z83" s="153">
        <f>SUM('案件．要員情報'!CR84:CY84)</f>
        <v>0</v>
      </c>
      <c r="AA83" s="156">
        <f t="shared" si="4"/>
        <v>0</v>
      </c>
    </row>
    <row r="84" spans="1:27" s="151" customFormat="1" ht="20.100000000000001" hidden="1" customHeight="1" outlineLevel="1" x14ac:dyDescent="0.4">
      <c r="A84" s="377">
        <v>40</v>
      </c>
      <c r="B84" s="379" t="s">
        <v>45</v>
      </c>
      <c r="C84" s="379" t="s">
        <v>346</v>
      </c>
      <c r="D84" s="381"/>
      <c r="E84" s="381"/>
      <c r="F84" s="381"/>
      <c r="G84" s="417"/>
      <c r="H84" s="417"/>
      <c r="I84" s="417"/>
      <c r="J84" s="417"/>
      <c r="K84" s="417"/>
      <c r="L84" s="417"/>
      <c r="M84" s="417"/>
      <c r="N84" s="154" t="s">
        <v>24</v>
      </c>
      <c r="O84" s="150">
        <f>SUM('案件．要員情報'!O85:U85)</f>
        <v>0</v>
      </c>
      <c r="P84" s="150">
        <f>SUM('案件．要員情報'!V85:AA85)</f>
        <v>0</v>
      </c>
      <c r="Q84" s="150">
        <f>SUM('案件．要員情報'!AB85:AG85)</f>
        <v>0</v>
      </c>
      <c r="R84" s="150">
        <f>SUM('案件．要員情報'!AH85:AM85)</f>
        <v>0</v>
      </c>
      <c r="S84" s="150">
        <f>SUM('案件．要員情報'!AN85:AU85)</f>
        <v>0</v>
      </c>
      <c r="T84" s="150">
        <f>SUM('案件．要員情報'!AV85:BC85)</f>
        <v>0</v>
      </c>
      <c r="U84" s="150">
        <f>SUM('案件．要員情報'!BD85:BK85)</f>
        <v>0</v>
      </c>
      <c r="V84" s="150">
        <f>SUM('案件．要員情報'!BL85:BS85)</f>
        <v>0</v>
      </c>
      <c r="W84" s="150">
        <f>SUM('案件．要員情報'!BT85:CA85)</f>
        <v>0</v>
      </c>
      <c r="X84" s="150">
        <f>SUM('案件．要員情報'!CB85:CI85)</f>
        <v>0</v>
      </c>
      <c r="Y84" s="150">
        <f>SUM('案件．要員情報'!CJ85:CQ85)</f>
        <v>0</v>
      </c>
      <c r="Z84" s="150">
        <f>SUM('案件．要員情報'!CR85:CY85)</f>
        <v>0</v>
      </c>
      <c r="AA84" s="213">
        <f t="shared" si="4"/>
        <v>0</v>
      </c>
    </row>
    <row r="85" spans="1:27" s="151" customFormat="1" ht="20.100000000000001" hidden="1" customHeight="1" outlineLevel="1" x14ac:dyDescent="0.4">
      <c r="A85" s="378"/>
      <c r="B85" s="380"/>
      <c r="C85" s="380"/>
      <c r="D85" s="382"/>
      <c r="E85" s="382"/>
      <c r="F85" s="382"/>
      <c r="G85" s="418"/>
      <c r="H85" s="418"/>
      <c r="I85" s="418"/>
      <c r="J85" s="418"/>
      <c r="K85" s="418"/>
      <c r="L85" s="418"/>
      <c r="M85" s="418"/>
      <c r="N85" s="155" t="s">
        <v>25</v>
      </c>
      <c r="O85" s="153">
        <f>SUM('案件．要員情報'!O86:U86)</f>
        <v>0</v>
      </c>
      <c r="P85" s="153">
        <f>SUM('案件．要員情報'!V86:AA86)</f>
        <v>0</v>
      </c>
      <c r="Q85" s="153">
        <f>SUM('案件．要員情報'!AB86:AG86)</f>
        <v>0</v>
      </c>
      <c r="R85" s="153">
        <f>SUM('案件．要員情報'!AH86:AM86)</f>
        <v>0</v>
      </c>
      <c r="S85" s="153">
        <f>SUM('案件．要員情報'!AN86:AU86)</f>
        <v>0</v>
      </c>
      <c r="T85" s="153">
        <f>SUM('案件．要員情報'!AV86:BC86)</f>
        <v>0</v>
      </c>
      <c r="U85" s="153">
        <f>SUM('案件．要員情報'!BD86:BK86)</f>
        <v>0</v>
      </c>
      <c r="V85" s="153">
        <f>SUM('案件．要員情報'!BL86:BS86)</f>
        <v>0</v>
      </c>
      <c r="W85" s="153">
        <f>SUM('案件．要員情報'!BT86:CA86)</f>
        <v>0</v>
      </c>
      <c r="X85" s="153">
        <f>SUM('案件．要員情報'!CB86:CI86)</f>
        <v>0</v>
      </c>
      <c r="Y85" s="153">
        <f>SUM('案件．要員情報'!CJ86:CQ86)</f>
        <v>0</v>
      </c>
      <c r="Z85" s="153">
        <f>SUM('案件．要員情報'!CR86:CY86)</f>
        <v>0</v>
      </c>
      <c r="AA85" s="156">
        <f t="shared" si="4"/>
        <v>0</v>
      </c>
    </row>
    <row r="86" spans="1:27" s="151" customFormat="1" ht="20.100000000000001" hidden="1" customHeight="1" outlineLevel="1" x14ac:dyDescent="0.4">
      <c r="A86" s="377">
        <v>41</v>
      </c>
      <c r="B86" s="379" t="s">
        <v>45</v>
      </c>
      <c r="C86" s="379" t="s">
        <v>346</v>
      </c>
      <c r="D86" s="381"/>
      <c r="E86" s="381"/>
      <c r="F86" s="381"/>
      <c r="G86" s="417"/>
      <c r="H86" s="417"/>
      <c r="I86" s="417"/>
      <c r="J86" s="417"/>
      <c r="K86" s="417"/>
      <c r="L86" s="417"/>
      <c r="M86" s="417"/>
      <c r="N86" s="154" t="s">
        <v>24</v>
      </c>
      <c r="O86" s="150">
        <f>SUM('案件．要員情報'!O87:U87)</f>
        <v>0</v>
      </c>
      <c r="P86" s="150">
        <f>SUM('案件．要員情報'!V87:AA87)</f>
        <v>0</v>
      </c>
      <c r="Q86" s="150">
        <f>SUM('案件．要員情報'!AB87:AG87)</f>
        <v>0</v>
      </c>
      <c r="R86" s="150">
        <f>SUM('案件．要員情報'!AH87:AM87)</f>
        <v>0</v>
      </c>
      <c r="S86" s="150">
        <f>SUM('案件．要員情報'!AN87:AU87)</f>
        <v>0</v>
      </c>
      <c r="T86" s="150">
        <f>SUM('案件．要員情報'!AV87:BC87)</f>
        <v>0</v>
      </c>
      <c r="U86" s="150">
        <f>SUM('案件．要員情報'!BD87:BK87)</f>
        <v>0</v>
      </c>
      <c r="V86" s="150">
        <f>SUM('案件．要員情報'!BL87:BS87)</f>
        <v>0</v>
      </c>
      <c r="W86" s="150">
        <f>SUM('案件．要員情報'!BT87:CA87)</f>
        <v>0</v>
      </c>
      <c r="X86" s="150">
        <f>SUM('案件．要員情報'!CB87:CI87)</f>
        <v>0</v>
      </c>
      <c r="Y86" s="150">
        <f>SUM('案件．要員情報'!CJ87:CQ87)</f>
        <v>0</v>
      </c>
      <c r="Z86" s="150">
        <f>SUM('案件．要員情報'!CR87:CY87)</f>
        <v>0</v>
      </c>
      <c r="AA86" s="213">
        <f t="shared" si="4"/>
        <v>0</v>
      </c>
    </row>
    <row r="87" spans="1:27" s="151" customFormat="1" ht="20.100000000000001" hidden="1" customHeight="1" outlineLevel="1" x14ac:dyDescent="0.4">
      <c r="A87" s="378"/>
      <c r="B87" s="380"/>
      <c r="C87" s="380"/>
      <c r="D87" s="382"/>
      <c r="E87" s="382"/>
      <c r="F87" s="382"/>
      <c r="G87" s="418"/>
      <c r="H87" s="418"/>
      <c r="I87" s="418"/>
      <c r="J87" s="418"/>
      <c r="K87" s="418"/>
      <c r="L87" s="418"/>
      <c r="M87" s="418"/>
      <c r="N87" s="155" t="s">
        <v>25</v>
      </c>
      <c r="O87" s="153">
        <f>SUM('案件．要員情報'!O88:U88)</f>
        <v>0</v>
      </c>
      <c r="P87" s="153">
        <f>SUM('案件．要員情報'!V88:AA88)</f>
        <v>0</v>
      </c>
      <c r="Q87" s="153">
        <f>SUM('案件．要員情報'!AB88:AG88)</f>
        <v>0</v>
      </c>
      <c r="R87" s="153">
        <f>SUM('案件．要員情報'!AH88:AM88)</f>
        <v>0</v>
      </c>
      <c r="S87" s="153">
        <f>SUM('案件．要員情報'!AN88:AU88)</f>
        <v>0</v>
      </c>
      <c r="T87" s="153">
        <f>SUM('案件．要員情報'!AV88:BC88)</f>
        <v>0</v>
      </c>
      <c r="U87" s="153">
        <f>SUM('案件．要員情報'!BD88:BK88)</f>
        <v>0</v>
      </c>
      <c r="V87" s="153">
        <f>SUM('案件．要員情報'!BL88:BS88)</f>
        <v>0</v>
      </c>
      <c r="W87" s="153">
        <f>SUM('案件．要員情報'!BT88:CA88)</f>
        <v>0</v>
      </c>
      <c r="X87" s="153">
        <f>SUM('案件．要員情報'!CB88:CI88)</f>
        <v>0</v>
      </c>
      <c r="Y87" s="153">
        <f>SUM('案件．要員情報'!CJ88:CQ88)</f>
        <v>0</v>
      </c>
      <c r="Z87" s="153">
        <f>SUM('案件．要員情報'!CR88:CY88)</f>
        <v>0</v>
      </c>
      <c r="AA87" s="156">
        <f t="shared" si="4"/>
        <v>0</v>
      </c>
    </row>
    <row r="88" spans="1:27" s="151" customFormat="1" ht="20.100000000000001" hidden="1" customHeight="1" outlineLevel="1" x14ac:dyDescent="0.4">
      <c r="A88" s="377">
        <v>42</v>
      </c>
      <c r="B88" s="379" t="s">
        <v>45</v>
      </c>
      <c r="C88" s="379" t="s">
        <v>346</v>
      </c>
      <c r="D88" s="381"/>
      <c r="E88" s="381"/>
      <c r="F88" s="381"/>
      <c r="G88" s="417"/>
      <c r="H88" s="417"/>
      <c r="I88" s="417"/>
      <c r="J88" s="417"/>
      <c r="K88" s="417"/>
      <c r="L88" s="417"/>
      <c r="M88" s="417"/>
      <c r="N88" s="154" t="s">
        <v>24</v>
      </c>
      <c r="O88" s="150">
        <f>SUM('案件．要員情報'!O89:U89)</f>
        <v>0</v>
      </c>
      <c r="P88" s="150">
        <f>SUM('案件．要員情報'!V89:AA89)</f>
        <v>0</v>
      </c>
      <c r="Q88" s="150">
        <f>SUM('案件．要員情報'!AB89:AG89)</f>
        <v>0</v>
      </c>
      <c r="R88" s="150">
        <f>SUM('案件．要員情報'!AH89:AM89)</f>
        <v>0</v>
      </c>
      <c r="S88" s="150">
        <f>SUM('案件．要員情報'!AN89:AU89)</f>
        <v>0</v>
      </c>
      <c r="T88" s="150">
        <f>SUM('案件．要員情報'!AV89:BC89)</f>
        <v>0</v>
      </c>
      <c r="U88" s="150">
        <f>SUM('案件．要員情報'!BD89:BK89)</f>
        <v>0</v>
      </c>
      <c r="V88" s="150">
        <f>SUM('案件．要員情報'!BL89:BS89)</f>
        <v>0</v>
      </c>
      <c r="W88" s="150">
        <f>SUM('案件．要員情報'!BT89:CA89)</f>
        <v>0</v>
      </c>
      <c r="X88" s="150">
        <f>SUM('案件．要員情報'!CB89:CI89)</f>
        <v>0</v>
      </c>
      <c r="Y88" s="150">
        <f>SUM('案件．要員情報'!CJ89:CQ89)</f>
        <v>0</v>
      </c>
      <c r="Z88" s="150">
        <f>SUM('案件．要員情報'!CR89:CY89)</f>
        <v>0</v>
      </c>
      <c r="AA88" s="213">
        <f t="shared" si="4"/>
        <v>0</v>
      </c>
    </row>
    <row r="89" spans="1:27" s="151" customFormat="1" ht="20.100000000000001" hidden="1" customHeight="1" outlineLevel="1" x14ac:dyDescent="0.4">
      <c r="A89" s="378"/>
      <c r="B89" s="380"/>
      <c r="C89" s="380"/>
      <c r="D89" s="382"/>
      <c r="E89" s="382"/>
      <c r="F89" s="382"/>
      <c r="G89" s="418"/>
      <c r="H89" s="418"/>
      <c r="I89" s="418"/>
      <c r="J89" s="418"/>
      <c r="K89" s="418"/>
      <c r="L89" s="418"/>
      <c r="M89" s="418"/>
      <c r="N89" s="155" t="s">
        <v>25</v>
      </c>
      <c r="O89" s="153">
        <f>SUM('案件．要員情報'!O90:U90)</f>
        <v>0</v>
      </c>
      <c r="P89" s="153">
        <f>SUM('案件．要員情報'!V90:AA90)</f>
        <v>0</v>
      </c>
      <c r="Q89" s="153">
        <f>SUM('案件．要員情報'!AB90:AG90)</f>
        <v>0</v>
      </c>
      <c r="R89" s="153">
        <f>SUM('案件．要員情報'!AH90:AM90)</f>
        <v>0</v>
      </c>
      <c r="S89" s="153">
        <f>SUM('案件．要員情報'!AN90:AU90)</f>
        <v>0</v>
      </c>
      <c r="T89" s="153">
        <f>SUM('案件．要員情報'!AV90:BC90)</f>
        <v>0</v>
      </c>
      <c r="U89" s="153">
        <f>SUM('案件．要員情報'!BD90:BK90)</f>
        <v>0</v>
      </c>
      <c r="V89" s="153">
        <f>SUM('案件．要員情報'!BL90:BS90)</f>
        <v>0</v>
      </c>
      <c r="W89" s="153">
        <f>SUM('案件．要員情報'!BT90:CA90)</f>
        <v>0</v>
      </c>
      <c r="X89" s="153">
        <f>SUM('案件．要員情報'!CB90:CI90)</f>
        <v>0</v>
      </c>
      <c r="Y89" s="153">
        <f>SUM('案件．要員情報'!CJ90:CQ90)</f>
        <v>0</v>
      </c>
      <c r="Z89" s="153">
        <f>SUM('案件．要員情報'!CR90:CY90)</f>
        <v>0</v>
      </c>
      <c r="AA89" s="156">
        <f t="shared" si="4"/>
        <v>0</v>
      </c>
    </row>
    <row r="90" spans="1:27" s="151" customFormat="1" ht="20.100000000000001" hidden="1" customHeight="1" outlineLevel="1" x14ac:dyDescent="0.4">
      <c r="A90" s="377">
        <v>43</v>
      </c>
      <c r="B90" s="379" t="s">
        <v>45</v>
      </c>
      <c r="C90" s="379" t="s">
        <v>346</v>
      </c>
      <c r="D90" s="381"/>
      <c r="E90" s="381"/>
      <c r="F90" s="381"/>
      <c r="G90" s="417"/>
      <c r="H90" s="417"/>
      <c r="I90" s="417"/>
      <c r="J90" s="417"/>
      <c r="K90" s="417"/>
      <c r="L90" s="417"/>
      <c r="M90" s="417"/>
      <c r="N90" s="154" t="s">
        <v>24</v>
      </c>
      <c r="O90" s="150">
        <f>SUM('案件．要員情報'!O91:U91)</f>
        <v>0</v>
      </c>
      <c r="P90" s="150">
        <f>SUM('案件．要員情報'!V91:AA91)</f>
        <v>0</v>
      </c>
      <c r="Q90" s="150">
        <f>SUM('案件．要員情報'!AB91:AG91)</f>
        <v>0</v>
      </c>
      <c r="R90" s="150">
        <f>SUM('案件．要員情報'!AH91:AM91)</f>
        <v>0</v>
      </c>
      <c r="S90" s="150">
        <f>SUM('案件．要員情報'!AN91:AU91)</f>
        <v>0</v>
      </c>
      <c r="T90" s="150">
        <f>SUM('案件．要員情報'!AV91:BC91)</f>
        <v>0</v>
      </c>
      <c r="U90" s="150">
        <f>SUM('案件．要員情報'!BD91:BK91)</f>
        <v>0</v>
      </c>
      <c r="V90" s="150">
        <f>SUM('案件．要員情報'!BL91:BS91)</f>
        <v>0</v>
      </c>
      <c r="W90" s="150">
        <f>SUM('案件．要員情報'!BT91:CA91)</f>
        <v>0</v>
      </c>
      <c r="X90" s="150">
        <f>SUM('案件．要員情報'!CB91:CI91)</f>
        <v>0</v>
      </c>
      <c r="Y90" s="150">
        <f>SUM('案件．要員情報'!CJ91:CQ91)</f>
        <v>0</v>
      </c>
      <c r="Z90" s="150">
        <f>SUM('案件．要員情報'!CR91:CY91)</f>
        <v>0</v>
      </c>
      <c r="AA90" s="213">
        <f t="shared" si="4"/>
        <v>0</v>
      </c>
    </row>
    <row r="91" spans="1:27" s="151" customFormat="1" ht="20.100000000000001" hidden="1" customHeight="1" outlineLevel="1" x14ac:dyDescent="0.4">
      <c r="A91" s="378"/>
      <c r="B91" s="380"/>
      <c r="C91" s="380"/>
      <c r="D91" s="382"/>
      <c r="E91" s="382"/>
      <c r="F91" s="382"/>
      <c r="G91" s="418"/>
      <c r="H91" s="418"/>
      <c r="I91" s="418"/>
      <c r="J91" s="418"/>
      <c r="K91" s="418"/>
      <c r="L91" s="418"/>
      <c r="M91" s="418"/>
      <c r="N91" s="155" t="s">
        <v>25</v>
      </c>
      <c r="O91" s="153">
        <f>SUM('案件．要員情報'!O92:U92)</f>
        <v>0</v>
      </c>
      <c r="P91" s="153">
        <f>SUM('案件．要員情報'!V92:AA92)</f>
        <v>0</v>
      </c>
      <c r="Q91" s="153">
        <f>SUM('案件．要員情報'!AB92:AG92)</f>
        <v>0</v>
      </c>
      <c r="R91" s="153">
        <f>SUM('案件．要員情報'!AH92:AM92)</f>
        <v>0</v>
      </c>
      <c r="S91" s="153">
        <f>SUM('案件．要員情報'!AN92:AU92)</f>
        <v>0</v>
      </c>
      <c r="T91" s="153">
        <f>SUM('案件．要員情報'!AV92:BC92)</f>
        <v>0</v>
      </c>
      <c r="U91" s="153">
        <f>SUM('案件．要員情報'!BD92:BK92)</f>
        <v>0</v>
      </c>
      <c r="V91" s="153">
        <f>SUM('案件．要員情報'!BL92:BS92)</f>
        <v>0</v>
      </c>
      <c r="W91" s="153">
        <f>SUM('案件．要員情報'!BT92:CA92)</f>
        <v>0</v>
      </c>
      <c r="X91" s="153">
        <f>SUM('案件．要員情報'!CB92:CI92)</f>
        <v>0</v>
      </c>
      <c r="Y91" s="153">
        <f>SUM('案件．要員情報'!CJ92:CQ92)</f>
        <v>0</v>
      </c>
      <c r="Z91" s="153">
        <f>SUM('案件．要員情報'!CR92:CY92)</f>
        <v>0</v>
      </c>
      <c r="AA91" s="156">
        <f t="shared" si="4"/>
        <v>0</v>
      </c>
    </row>
    <row r="92" spans="1:27" s="151" customFormat="1" ht="20.100000000000001" hidden="1" customHeight="1" outlineLevel="1" x14ac:dyDescent="0.4">
      <c r="A92" s="377">
        <v>44</v>
      </c>
      <c r="B92" s="379" t="s">
        <v>45</v>
      </c>
      <c r="C92" s="379" t="s">
        <v>346</v>
      </c>
      <c r="D92" s="381"/>
      <c r="E92" s="381"/>
      <c r="F92" s="381"/>
      <c r="G92" s="417"/>
      <c r="H92" s="417"/>
      <c r="I92" s="417"/>
      <c r="J92" s="417"/>
      <c r="K92" s="417"/>
      <c r="L92" s="417"/>
      <c r="M92" s="417"/>
      <c r="N92" s="154" t="s">
        <v>24</v>
      </c>
      <c r="O92" s="150">
        <f>SUM('案件．要員情報'!O93:U93)</f>
        <v>0</v>
      </c>
      <c r="P92" s="150">
        <f>SUM('案件．要員情報'!V93:AA93)</f>
        <v>0</v>
      </c>
      <c r="Q92" s="150">
        <f>SUM('案件．要員情報'!AB93:AG93)</f>
        <v>0</v>
      </c>
      <c r="R92" s="150">
        <f>SUM('案件．要員情報'!AH93:AM93)</f>
        <v>0</v>
      </c>
      <c r="S92" s="150">
        <f>SUM('案件．要員情報'!AN93:AU93)</f>
        <v>0</v>
      </c>
      <c r="T92" s="150">
        <f>SUM('案件．要員情報'!AV93:BC93)</f>
        <v>0</v>
      </c>
      <c r="U92" s="150">
        <f>SUM('案件．要員情報'!BD93:BK93)</f>
        <v>0</v>
      </c>
      <c r="V92" s="150">
        <f>SUM('案件．要員情報'!BL93:BS93)</f>
        <v>0</v>
      </c>
      <c r="W92" s="150">
        <f>SUM('案件．要員情報'!BT93:CA93)</f>
        <v>0</v>
      </c>
      <c r="X92" s="150">
        <f>SUM('案件．要員情報'!CB93:CI93)</f>
        <v>0</v>
      </c>
      <c r="Y92" s="150">
        <f>SUM('案件．要員情報'!CJ93:CQ93)</f>
        <v>0</v>
      </c>
      <c r="Z92" s="150">
        <f>SUM('案件．要員情報'!CR93:CY93)</f>
        <v>0</v>
      </c>
      <c r="AA92" s="213">
        <f t="shared" si="4"/>
        <v>0</v>
      </c>
    </row>
    <row r="93" spans="1:27" s="151" customFormat="1" ht="20.100000000000001" hidden="1" customHeight="1" outlineLevel="1" x14ac:dyDescent="0.4">
      <c r="A93" s="378"/>
      <c r="B93" s="380"/>
      <c r="C93" s="380"/>
      <c r="D93" s="382"/>
      <c r="E93" s="382"/>
      <c r="F93" s="382"/>
      <c r="G93" s="418"/>
      <c r="H93" s="418"/>
      <c r="I93" s="418"/>
      <c r="J93" s="418"/>
      <c r="K93" s="418"/>
      <c r="L93" s="418"/>
      <c r="M93" s="418"/>
      <c r="N93" s="155" t="s">
        <v>25</v>
      </c>
      <c r="O93" s="153">
        <f>SUM('案件．要員情報'!O94:U94)</f>
        <v>0</v>
      </c>
      <c r="P93" s="153">
        <f>SUM('案件．要員情報'!V94:AA94)</f>
        <v>0</v>
      </c>
      <c r="Q93" s="153">
        <f>SUM('案件．要員情報'!AB94:AG94)</f>
        <v>0</v>
      </c>
      <c r="R93" s="153">
        <f>SUM('案件．要員情報'!AH94:AM94)</f>
        <v>0</v>
      </c>
      <c r="S93" s="153">
        <f>SUM('案件．要員情報'!AN94:AU94)</f>
        <v>0</v>
      </c>
      <c r="T93" s="153">
        <f>SUM('案件．要員情報'!AV94:BC94)</f>
        <v>0</v>
      </c>
      <c r="U93" s="153">
        <f>SUM('案件．要員情報'!BD94:BK94)</f>
        <v>0</v>
      </c>
      <c r="V93" s="153">
        <f>SUM('案件．要員情報'!BL94:BS94)</f>
        <v>0</v>
      </c>
      <c r="W93" s="153">
        <f>SUM('案件．要員情報'!BT94:CA94)</f>
        <v>0</v>
      </c>
      <c r="X93" s="153">
        <f>SUM('案件．要員情報'!CB94:CI94)</f>
        <v>0</v>
      </c>
      <c r="Y93" s="153">
        <f>SUM('案件．要員情報'!CJ94:CQ94)</f>
        <v>0</v>
      </c>
      <c r="Z93" s="153">
        <f>SUM('案件．要員情報'!CR94:CY94)</f>
        <v>0</v>
      </c>
      <c r="AA93" s="156">
        <f t="shared" si="4"/>
        <v>0</v>
      </c>
    </row>
    <row r="94" spans="1:27" s="151" customFormat="1" ht="20.100000000000001" hidden="1" customHeight="1" outlineLevel="1" x14ac:dyDescent="0.4">
      <c r="A94" s="377">
        <v>45</v>
      </c>
      <c r="B94" s="379" t="s">
        <v>45</v>
      </c>
      <c r="C94" s="379" t="s">
        <v>346</v>
      </c>
      <c r="D94" s="381"/>
      <c r="E94" s="381"/>
      <c r="F94" s="381"/>
      <c r="G94" s="417"/>
      <c r="H94" s="417"/>
      <c r="I94" s="417"/>
      <c r="J94" s="417"/>
      <c r="K94" s="417"/>
      <c r="L94" s="417"/>
      <c r="M94" s="417"/>
      <c r="N94" s="154" t="s">
        <v>24</v>
      </c>
      <c r="O94" s="150">
        <f>SUM('案件．要員情報'!O95:U95)</f>
        <v>0</v>
      </c>
      <c r="P94" s="150">
        <f>SUM('案件．要員情報'!V95:AA95)</f>
        <v>0</v>
      </c>
      <c r="Q94" s="150">
        <f>SUM('案件．要員情報'!AB95:AG95)</f>
        <v>0</v>
      </c>
      <c r="R94" s="150">
        <f>SUM('案件．要員情報'!AH95:AM95)</f>
        <v>0</v>
      </c>
      <c r="S94" s="150">
        <f>SUM('案件．要員情報'!AN95:AU95)</f>
        <v>0</v>
      </c>
      <c r="T94" s="150">
        <f>SUM('案件．要員情報'!AV95:BC95)</f>
        <v>0</v>
      </c>
      <c r="U94" s="150">
        <f>SUM('案件．要員情報'!BD95:BK95)</f>
        <v>0</v>
      </c>
      <c r="V94" s="150">
        <f>SUM('案件．要員情報'!BL95:BS95)</f>
        <v>0</v>
      </c>
      <c r="W94" s="150">
        <f>SUM('案件．要員情報'!BT95:CA95)</f>
        <v>0</v>
      </c>
      <c r="X94" s="150">
        <f>SUM('案件．要員情報'!CB95:CI95)</f>
        <v>0</v>
      </c>
      <c r="Y94" s="150">
        <f>SUM('案件．要員情報'!CJ95:CQ95)</f>
        <v>0</v>
      </c>
      <c r="Z94" s="150">
        <f>SUM('案件．要員情報'!CR95:CY95)</f>
        <v>0</v>
      </c>
      <c r="AA94" s="213">
        <f t="shared" si="4"/>
        <v>0</v>
      </c>
    </row>
    <row r="95" spans="1:27" s="151" customFormat="1" ht="20.100000000000001" hidden="1" customHeight="1" outlineLevel="1" x14ac:dyDescent="0.4">
      <c r="A95" s="378"/>
      <c r="B95" s="380"/>
      <c r="C95" s="380"/>
      <c r="D95" s="382"/>
      <c r="E95" s="382"/>
      <c r="F95" s="382"/>
      <c r="G95" s="418"/>
      <c r="H95" s="418"/>
      <c r="I95" s="418"/>
      <c r="J95" s="418"/>
      <c r="K95" s="418"/>
      <c r="L95" s="418"/>
      <c r="M95" s="418"/>
      <c r="N95" s="155" t="s">
        <v>25</v>
      </c>
      <c r="O95" s="153">
        <f>SUM('案件．要員情報'!O96:U96)</f>
        <v>0</v>
      </c>
      <c r="P95" s="153">
        <f>SUM('案件．要員情報'!V96:AA96)</f>
        <v>0</v>
      </c>
      <c r="Q95" s="153">
        <f>SUM('案件．要員情報'!AB96:AG96)</f>
        <v>0</v>
      </c>
      <c r="R95" s="153">
        <f>SUM('案件．要員情報'!AH96:AM96)</f>
        <v>0</v>
      </c>
      <c r="S95" s="153">
        <f>SUM('案件．要員情報'!AN96:AU96)</f>
        <v>0</v>
      </c>
      <c r="T95" s="153">
        <f>SUM('案件．要員情報'!AV96:BC96)</f>
        <v>0</v>
      </c>
      <c r="U95" s="153">
        <f>SUM('案件．要員情報'!BD96:BK96)</f>
        <v>0</v>
      </c>
      <c r="V95" s="153">
        <f>SUM('案件．要員情報'!BL96:BS96)</f>
        <v>0</v>
      </c>
      <c r="W95" s="153">
        <f>SUM('案件．要員情報'!BT96:CA96)</f>
        <v>0</v>
      </c>
      <c r="X95" s="153">
        <f>SUM('案件．要員情報'!CB96:CI96)</f>
        <v>0</v>
      </c>
      <c r="Y95" s="153">
        <f>SUM('案件．要員情報'!CJ96:CQ96)</f>
        <v>0</v>
      </c>
      <c r="Z95" s="153">
        <f>SUM('案件．要員情報'!CR96:CY96)</f>
        <v>0</v>
      </c>
      <c r="AA95" s="156">
        <f t="shared" si="4"/>
        <v>0</v>
      </c>
    </row>
    <row r="96" spans="1:27" s="151" customFormat="1" ht="20.100000000000001" hidden="1" customHeight="1" outlineLevel="1" x14ac:dyDescent="0.4">
      <c r="A96" s="377">
        <v>46</v>
      </c>
      <c r="B96" s="379" t="s">
        <v>45</v>
      </c>
      <c r="C96" s="379" t="s">
        <v>346</v>
      </c>
      <c r="D96" s="381"/>
      <c r="E96" s="381"/>
      <c r="F96" s="381"/>
      <c r="G96" s="417"/>
      <c r="H96" s="417"/>
      <c r="I96" s="417"/>
      <c r="J96" s="417"/>
      <c r="K96" s="417"/>
      <c r="L96" s="417"/>
      <c r="M96" s="417"/>
      <c r="N96" s="154" t="s">
        <v>24</v>
      </c>
      <c r="O96" s="150">
        <f>SUM('案件．要員情報'!O97:U97)</f>
        <v>0</v>
      </c>
      <c r="P96" s="150">
        <f>SUM('案件．要員情報'!V97:AA97)</f>
        <v>0</v>
      </c>
      <c r="Q96" s="150">
        <f>SUM('案件．要員情報'!AB97:AG97)</f>
        <v>0</v>
      </c>
      <c r="R96" s="150">
        <f>SUM('案件．要員情報'!AH97:AM97)</f>
        <v>0</v>
      </c>
      <c r="S96" s="150">
        <f>SUM('案件．要員情報'!AN97:AU97)</f>
        <v>0</v>
      </c>
      <c r="T96" s="150">
        <f>SUM('案件．要員情報'!AV97:BC97)</f>
        <v>0</v>
      </c>
      <c r="U96" s="150">
        <f>SUM('案件．要員情報'!BD97:BK97)</f>
        <v>0</v>
      </c>
      <c r="V96" s="150">
        <f>SUM('案件．要員情報'!BL97:BS97)</f>
        <v>0</v>
      </c>
      <c r="W96" s="150">
        <f>SUM('案件．要員情報'!BT97:CA97)</f>
        <v>0</v>
      </c>
      <c r="X96" s="150">
        <f>SUM('案件．要員情報'!CB97:CI97)</f>
        <v>0</v>
      </c>
      <c r="Y96" s="150">
        <f>SUM('案件．要員情報'!CJ97:CQ97)</f>
        <v>0</v>
      </c>
      <c r="Z96" s="150">
        <f>SUM('案件．要員情報'!CR97:CY97)</f>
        <v>0</v>
      </c>
      <c r="AA96" s="213">
        <f t="shared" si="4"/>
        <v>0</v>
      </c>
    </row>
    <row r="97" spans="1:27" s="151" customFormat="1" ht="20.100000000000001" hidden="1" customHeight="1" outlineLevel="1" x14ac:dyDescent="0.4">
      <c r="A97" s="378"/>
      <c r="B97" s="380"/>
      <c r="C97" s="380"/>
      <c r="D97" s="382"/>
      <c r="E97" s="382"/>
      <c r="F97" s="382"/>
      <c r="G97" s="418"/>
      <c r="H97" s="418"/>
      <c r="I97" s="418"/>
      <c r="J97" s="418"/>
      <c r="K97" s="418"/>
      <c r="L97" s="418"/>
      <c r="M97" s="418"/>
      <c r="N97" s="155" t="s">
        <v>25</v>
      </c>
      <c r="O97" s="153">
        <f>SUM('案件．要員情報'!O98:U98)</f>
        <v>0</v>
      </c>
      <c r="P97" s="153">
        <f>SUM('案件．要員情報'!V98:AA98)</f>
        <v>0</v>
      </c>
      <c r="Q97" s="153">
        <f>SUM('案件．要員情報'!AB98:AG98)</f>
        <v>0</v>
      </c>
      <c r="R97" s="153">
        <f>SUM('案件．要員情報'!AH98:AM98)</f>
        <v>0</v>
      </c>
      <c r="S97" s="153">
        <f>SUM('案件．要員情報'!AN98:AU98)</f>
        <v>0</v>
      </c>
      <c r="T97" s="153">
        <f>SUM('案件．要員情報'!AV98:BC98)</f>
        <v>0</v>
      </c>
      <c r="U97" s="153">
        <f>SUM('案件．要員情報'!BD98:BK98)</f>
        <v>0</v>
      </c>
      <c r="V97" s="153">
        <f>SUM('案件．要員情報'!BL98:BS98)</f>
        <v>0</v>
      </c>
      <c r="W97" s="153">
        <f>SUM('案件．要員情報'!BT98:CA98)</f>
        <v>0</v>
      </c>
      <c r="X97" s="153">
        <f>SUM('案件．要員情報'!CB98:CI98)</f>
        <v>0</v>
      </c>
      <c r="Y97" s="153">
        <f>SUM('案件．要員情報'!CJ98:CQ98)</f>
        <v>0</v>
      </c>
      <c r="Z97" s="153">
        <f>SUM('案件．要員情報'!CR98:CY98)</f>
        <v>0</v>
      </c>
      <c r="AA97" s="156">
        <f t="shared" si="4"/>
        <v>0</v>
      </c>
    </row>
    <row r="98" spans="1:27" s="151" customFormat="1" ht="20.100000000000001" hidden="1" customHeight="1" outlineLevel="1" x14ac:dyDescent="0.4">
      <c r="A98" s="377">
        <v>47</v>
      </c>
      <c r="B98" s="379" t="s">
        <v>45</v>
      </c>
      <c r="C98" s="379" t="s">
        <v>346</v>
      </c>
      <c r="D98" s="381"/>
      <c r="E98" s="381"/>
      <c r="F98" s="381"/>
      <c r="G98" s="417"/>
      <c r="H98" s="417"/>
      <c r="I98" s="417"/>
      <c r="J98" s="417"/>
      <c r="K98" s="417"/>
      <c r="L98" s="417"/>
      <c r="M98" s="417"/>
      <c r="N98" s="154" t="s">
        <v>24</v>
      </c>
      <c r="O98" s="150">
        <f>SUM('案件．要員情報'!O99:U99)</f>
        <v>0</v>
      </c>
      <c r="P98" s="150">
        <f>SUM('案件．要員情報'!V99:AA99)</f>
        <v>0</v>
      </c>
      <c r="Q98" s="150">
        <f>SUM('案件．要員情報'!AB99:AG99)</f>
        <v>0</v>
      </c>
      <c r="R98" s="150">
        <f>SUM('案件．要員情報'!AH99:AM99)</f>
        <v>0</v>
      </c>
      <c r="S98" s="150">
        <f>SUM('案件．要員情報'!AN99:AU99)</f>
        <v>0</v>
      </c>
      <c r="T98" s="150">
        <f>SUM('案件．要員情報'!AV99:BC99)</f>
        <v>0</v>
      </c>
      <c r="U98" s="150">
        <f>SUM('案件．要員情報'!BD99:BK99)</f>
        <v>0</v>
      </c>
      <c r="V98" s="150">
        <f>SUM('案件．要員情報'!BL99:BS99)</f>
        <v>0</v>
      </c>
      <c r="W98" s="150">
        <f>SUM('案件．要員情報'!BT99:CA99)</f>
        <v>0</v>
      </c>
      <c r="X98" s="150">
        <f>SUM('案件．要員情報'!CB99:CI99)</f>
        <v>0</v>
      </c>
      <c r="Y98" s="150">
        <f>SUM('案件．要員情報'!CJ99:CQ99)</f>
        <v>0</v>
      </c>
      <c r="Z98" s="150">
        <f>SUM('案件．要員情報'!CR99:CY99)</f>
        <v>0</v>
      </c>
      <c r="AA98" s="213">
        <f t="shared" si="4"/>
        <v>0</v>
      </c>
    </row>
    <row r="99" spans="1:27" s="151" customFormat="1" ht="20.100000000000001" hidden="1" customHeight="1" outlineLevel="1" x14ac:dyDescent="0.4">
      <c r="A99" s="378"/>
      <c r="B99" s="380"/>
      <c r="C99" s="380"/>
      <c r="D99" s="382"/>
      <c r="E99" s="382"/>
      <c r="F99" s="382"/>
      <c r="G99" s="418"/>
      <c r="H99" s="418"/>
      <c r="I99" s="418"/>
      <c r="J99" s="418"/>
      <c r="K99" s="418"/>
      <c r="L99" s="418"/>
      <c r="M99" s="418"/>
      <c r="N99" s="155" t="s">
        <v>25</v>
      </c>
      <c r="O99" s="153">
        <f>SUM('案件．要員情報'!O100:U100)</f>
        <v>0</v>
      </c>
      <c r="P99" s="153">
        <f>SUM('案件．要員情報'!V100:AA100)</f>
        <v>0</v>
      </c>
      <c r="Q99" s="153">
        <f>SUM('案件．要員情報'!AB100:AG100)</f>
        <v>0</v>
      </c>
      <c r="R99" s="153">
        <f>SUM('案件．要員情報'!AH100:AM100)</f>
        <v>0</v>
      </c>
      <c r="S99" s="153">
        <f>SUM('案件．要員情報'!AN100:AU100)</f>
        <v>0</v>
      </c>
      <c r="T99" s="153">
        <f>SUM('案件．要員情報'!AV100:BC100)</f>
        <v>0</v>
      </c>
      <c r="U99" s="153">
        <f>SUM('案件．要員情報'!BD100:BK100)</f>
        <v>0</v>
      </c>
      <c r="V99" s="153">
        <f>SUM('案件．要員情報'!BL100:BS100)</f>
        <v>0</v>
      </c>
      <c r="W99" s="153">
        <f>SUM('案件．要員情報'!BT100:CA100)</f>
        <v>0</v>
      </c>
      <c r="X99" s="153">
        <f>SUM('案件．要員情報'!CB100:CI100)</f>
        <v>0</v>
      </c>
      <c r="Y99" s="153">
        <f>SUM('案件．要員情報'!CJ100:CQ100)</f>
        <v>0</v>
      </c>
      <c r="Z99" s="153">
        <f>SUM('案件．要員情報'!CR100:CY100)</f>
        <v>0</v>
      </c>
      <c r="AA99" s="156">
        <f t="shared" si="4"/>
        <v>0</v>
      </c>
    </row>
    <row r="100" spans="1:27" s="151" customFormat="1" ht="20.100000000000001" hidden="1" customHeight="1" outlineLevel="1" x14ac:dyDescent="0.4">
      <c r="A100" s="377">
        <v>48</v>
      </c>
      <c r="B100" s="379" t="s">
        <v>45</v>
      </c>
      <c r="C100" s="379" t="s">
        <v>346</v>
      </c>
      <c r="D100" s="381"/>
      <c r="E100" s="381"/>
      <c r="F100" s="381"/>
      <c r="G100" s="417"/>
      <c r="H100" s="417"/>
      <c r="I100" s="417"/>
      <c r="J100" s="417"/>
      <c r="K100" s="417"/>
      <c r="L100" s="417"/>
      <c r="M100" s="417"/>
      <c r="N100" s="154" t="s">
        <v>24</v>
      </c>
      <c r="O100" s="150">
        <f>SUM('案件．要員情報'!O101:U101)</f>
        <v>0</v>
      </c>
      <c r="P100" s="150">
        <f>SUM('案件．要員情報'!V101:AA101)</f>
        <v>0</v>
      </c>
      <c r="Q100" s="150">
        <f>SUM('案件．要員情報'!AB101:AG101)</f>
        <v>0</v>
      </c>
      <c r="R100" s="150">
        <f>SUM('案件．要員情報'!AH101:AM101)</f>
        <v>0</v>
      </c>
      <c r="S100" s="150">
        <f>SUM('案件．要員情報'!AN101:AU101)</f>
        <v>0</v>
      </c>
      <c r="T100" s="150">
        <f>SUM('案件．要員情報'!AV101:BC101)</f>
        <v>0</v>
      </c>
      <c r="U100" s="150">
        <f>SUM('案件．要員情報'!BD101:BK101)</f>
        <v>0</v>
      </c>
      <c r="V100" s="150">
        <f>SUM('案件．要員情報'!BL101:BS101)</f>
        <v>0</v>
      </c>
      <c r="W100" s="150">
        <f>SUM('案件．要員情報'!BT101:CA101)</f>
        <v>0</v>
      </c>
      <c r="X100" s="150">
        <f>SUM('案件．要員情報'!CB101:CI101)</f>
        <v>0</v>
      </c>
      <c r="Y100" s="150">
        <f>SUM('案件．要員情報'!CJ101:CQ101)</f>
        <v>0</v>
      </c>
      <c r="Z100" s="150">
        <f>SUM('案件．要員情報'!CR101:CY101)</f>
        <v>0</v>
      </c>
      <c r="AA100" s="213">
        <f t="shared" si="4"/>
        <v>0</v>
      </c>
    </row>
    <row r="101" spans="1:27" s="151" customFormat="1" ht="20.100000000000001" hidden="1" customHeight="1" outlineLevel="1" x14ac:dyDescent="0.4">
      <c r="A101" s="378"/>
      <c r="B101" s="380"/>
      <c r="C101" s="380"/>
      <c r="D101" s="382"/>
      <c r="E101" s="382"/>
      <c r="F101" s="382"/>
      <c r="G101" s="418"/>
      <c r="H101" s="418"/>
      <c r="I101" s="418"/>
      <c r="J101" s="418"/>
      <c r="K101" s="418"/>
      <c r="L101" s="418"/>
      <c r="M101" s="418"/>
      <c r="N101" s="155" t="s">
        <v>25</v>
      </c>
      <c r="O101" s="153">
        <f>SUM('案件．要員情報'!O102:U102)</f>
        <v>0</v>
      </c>
      <c r="P101" s="153">
        <f>SUM('案件．要員情報'!V102:AA102)</f>
        <v>0</v>
      </c>
      <c r="Q101" s="153">
        <f>SUM('案件．要員情報'!AB102:AG102)</f>
        <v>0</v>
      </c>
      <c r="R101" s="153">
        <f>SUM('案件．要員情報'!AH102:AM102)</f>
        <v>0</v>
      </c>
      <c r="S101" s="153">
        <f>SUM('案件．要員情報'!AN102:AU102)</f>
        <v>0</v>
      </c>
      <c r="T101" s="153">
        <f>SUM('案件．要員情報'!AV102:BC102)</f>
        <v>0</v>
      </c>
      <c r="U101" s="153">
        <f>SUM('案件．要員情報'!BD102:BK102)</f>
        <v>0</v>
      </c>
      <c r="V101" s="153">
        <f>SUM('案件．要員情報'!BL102:BS102)</f>
        <v>0</v>
      </c>
      <c r="W101" s="153">
        <f>SUM('案件．要員情報'!BT102:CA102)</f>
        <v>0</v>
      </c>
      <c r="X101" s="153">
        <f>SUM('案件．要員情報'!CB102:CI102)</f>
        <v>0</v>
      </c>
      <c r="Y101" s="153">
        <f>SUM('案件．要員情報'!CJ102:CQ102)</f>
        <v>0</v>
      </c>
      <c r="Z101" s="153">
        <f>SUM('案件．要員情報'!CR102:CY102)</f>
        <v>0</v>
      </c>
      <c r="AA101" s="156">
        <f t="shared" si="4"/>
        <v>0</v>
      </c>
    </row>
    <row r="102" spans="1:27" s="151" customFormat="1" ht="20.100000000000001" hidden="1" customHeight="1" outlineLevel="1" x14ac:dyDescent="0.4">
      <c r="A102" s="377">
        <v>49</v>
      </c>
      <c r="B102" s="379" t="s">
        <v>45</v>
      </c>
      <c r="C102" s="379" t="s">
        <v>346</v>
      </c>
      <c r="D102" s="381"/>
      <c r="E102" s="381"/>
      <c r="F102" s="381"/>
      <c r="G102" s="417"/>
      <c r="H102" s="417"/>
      <c r="I102" s="417"/>
      <c r="J102" s="417"/>
      <c r="K102" s="417"/>
      <c r="L102" s="417"/>
      <c r="M102" s="417"/>
      <c r="N102" s="154" t="s">
        <v>24</v>
      </c>
      <c r="O102" s="150">
        <f>SUM('案件．要員情報'!O103:U103)</f>
        <v>0</v>
      </c>
      <c r="P102" s="150">
        <f>SUM('案件．要員情報'!V103:AA103)</f>
        <v>0</v>
      </c>
      <c r="Q102" s="150">
        <f>SUM('案件．要員情報'!AB103:AG103)</f>
        <v>0</v>
      </c>
      <c r="R102" s="150">
        <f>SUM('案件．要員情報'!AH103:AM103)</f>
        <v>0</v>
      </c>
      <c r="S102" s="150">
        <f>SUM('案件．要員情報'!AN103:AU103)</f>
        <v>0</v>
      </c>
      <c r="T102" s="150">
        <f>SUM('案件．要員情報'!AV103:BC103)</f>
        <v>0</v>
      </c>
      <c r="U102" s="150">
        <f>SUM('案件．要員情報'!BD103:BK103)</f>
        <v>0</v>
      </c>
      <c r="V102" s="150">
        <f>SUM('案件．要員情報'!BL103:BS103)</f>
        <v>0</v>
      </c>
      <c r="W102" s="150">
        <f>SUM('案件．要員情報'!BT103:CA103)</f>
        <v>0</v>
      </c>
      <c r="X102" s="150">
        <f>SUM('案件．要員情報'!CB103:CI103)</f>
        <v>0</v>
      </c>
      <c r="Y102" s="150">
        <f>SUM('案件．要員情報'!CJ103:CQ103)</f>
        <v>0</v>
      </c>
      <c r="Z102" s="150">
        <f>SUM('案件．要員情報'!CR103:CY103)</f>
        <v>0</v>
      </c>
      <c r="AA102" s="213">
        <f t="shared" si="4"/>
        <v>0</v>
      </c>
    </row>
    <row r="103" spans="1:27" s="151" customFormat="1" ht="20.100000000000001" hidden="1" customHeight="1" outlineLevel="1" x14ac:dyDescent="0.4">
      <c r="A103" s="378"/>
      <c r="B103" s="380"/>
      <c r="C103" s="380"/>
      <c r="D103" s="382"/>
      <c r="E103" s="382"/>
      <c r="F103" s="382"/>
      <c r="G103" s="418"/>
      <c r="H103" s="418"/>
      <c r="I103" s="418"/>
      <c r="J103" s="418"/>
      <c r="K103" s="418"/>
      <c r="L103" s="418"/>
      <c r="M103" s="418"/>
      <c r="N103" s="155" t="s">
        <v>25</v>
      </c>
      <c r="O103" s="153">
        <f>SUM('案件．要員情報'!O104:U104)</f>
        <v>0</v>
      </c>
      <c r="P103" s="153">
        <f>SUM('案件．要員情報'!V104:AA104)</f>
        <v>0</v>
      </c>
      <c r="Q103" s="153">
        <f>SUM('案件．要員情報'!AB104:AG104)</f>
        <v>0</v>
      </c>
      <c r="R103" s="153">
        <f>SUM('案件．要員情報'!AH104:AM104)</f>
        <v>0</v>
      </c>
      <c r="S103" s="153">
        <f>SUM('案件．要員情報'!AN104:AU104)</f>
        <v>0</v>
      </c>
      <c r="T103" s="153">
        <f>SUM('案件．要員情報'!AV104:BC104)</f>
        <v>0</v>
      </c>
      <c r="U103" s="153">
        <f>SUM('案件．要員情報'!BD104:BK104)</f>
        <v>0</v>
      </c>
      <c r="V103" s="153">
        <f>SUM('案件．要員情報'!BL104:BS104)</f>
        <v>0</v>
      </c>
      <c r="W103" s="153">
        <f>SUM('案件．要員情報'!BT104:CA104)</f>
        <v>0</v>
      </c>
      <c r="X103" s="153">
        <f>SUM('案件．要員情報'!CB104:CI104)</f>
        <v>0</v>
      </c>
      <c r="Y103" s="153">
        <f>SUM('案件．要員情報'!CJ104:CQ104)</f>
        <v>0</v>
      </c>
      <c r="Z103" s="153">
        <f>SUM('案件．要員情報'!CR104:CY104)</f>
        <v>0</v>
      </c>
      <c r="AA103" s="156">
        <f t="shared" si="4"/>
        <v>0</v>
      </c>
    </row>
    <row r="104" spans="1:27" s="151" customFormat="1" ht="20.100000000000001" hidden="1" customHeight="1" outlineLevel="1" x14ac:dyDescent="0.4">
      <c r="A104" s="377">
        <v>50</v>
      </c>
      <c r="B104" s="379" t="s">
        <v>45</v>
      </c>
      <c r="C104" s="379" t="s">
        <v>346</v>
      </c>
      <c r="D104" s="381"/>
      <c r="E104" s="381"/>
      <c r="F104" s="381"/>
      <c r="G104" s="417"/>
      <c r="H104" s="417"/>
      <c r="I104" s="417"/>
      <c r="J104" s="417"/>
      <c r="K104" s="417"/>
      <c r="L104" s="417"/>
      <c r="M104" s="417"/>
      <c r="N104" s="154" t="s">
        <v>24</v>
      </c>
      <c r="O104" s="150">
        <f>SUM('案件．要員情報'!O105:U105)</f>
        <v>0</v>
      </c>
      <c r="P104" s="150">
        <f>SUM('案件．要員情報'!V105:AA105)</f>
        <v>0</v>
      </c>
      <c r="Q104" s="150">
        <f>SUM('案件．要員情報'!AB105:AG105)</f>
        <v>0</v>
      </c>
      <c r="R104" s="150">
        <f>SUM('案件．要員情報'!AH105:AM105)</f>
        <v>0</v>
      </c>
      <c r="S104" s="150">
        <f>SUM('案件．要員情報'!AN105:AU105)</f>
        <v>0</v>
      </c>
      <c r="T104" s="150">
        <f>SUM('案件．要員情報'!AV105:BC105)</f>
        <v>0</v>
      </c>
      <c r="U104" s="150">
        <f>SUM('案件．要員情報'!BD105:BK105)</f>
        <v>0</v>
      </c>
      <c r="V104" s="150">
        <f>SUM('案件．要員情報'!BL105:BS105)</f>
        <v>0</v>
      </c>
      <c r="W104" s="150">
        <f>SUM('案件．要員情報'!BT105:CA105)</f>
        <v>0</v>
      </c>
      <c r="X104" s="150">
        <f>SUM('案件．要員情報'!CB105:CI105)</f>
        <v>0</v>
      </c>
      <c r="Y104" s="150">
        <f>SUM('案件．要員情報'!CJ105:CQ105)</f>
        <v>0</v>
      </c>
      <c r="Z104" s="150">
        <f>SUM('案件．要員情報'!CR105:CY105)</f>
        <v>0</v>
      </c>
      <c r="AA104" s="213">
        <f t="shared" si="4"/>
        <v>0</v>
      </c>
    </row>
    <row r="105" spans="1:27" s="151" customFormat="1" ht="20.100000000000001" hidden="1" customHeight="1" outlineLevel="1" x14ac:dyDescent="0.4">
      <c r="A105" s="378"/>
      <c r="B105" s="380"/>
      <c r="C105" s="380"/>
      <c r="D105" s="382"/>
      <c r="E105" s="382"/>
      <c r="F105" s="382"/>
      <c r="G105" s="418"/>
      <c r="H105" s="418"/>
      <c r="I105" s="418"/>
      <c r="J105" s="418"/>
      <c r="K105" s="418"/>
      <c r="L105" s="418"/>
      <c r="M105" s="418"/>
      <c r="N105" s="155" t="s">
        <v>25</v>
      </c>
      <c r="O105" s="153">
        <f>SUM('案件．要員情報'!O106:U106)</f>
        <v>0</v>
      </c>
      <c r="P105" s="153">
        <f>SUM('案件．要員情報'!V106:AA106)</f>
        <v>0</v>
      </c>
      <c r="Q105" s="153">
        <f>SUM('案件．要員情報'!AB106:AG106)</f>
        <v>0</v>
      </c>
      <c r="R105" s="153">
        <f>SUM('案件．要員情報'!AH106:AM106)</f>
        <v>0</v>
      </c>
      <c r="S105" s="153">
        <f>SUM('案件．要員情報'!AN106:AU106)</f>
        <v>0</v>
      </c>
      <c r="T105" s="153">
        <f>SUM('案件．要員情報'!AV106:BC106)</f>
        <v>0</v>
      </c>
      <c r="U105" s="153">
        <f>SUM('案件．要員情報'!BD106:BK106)</f>
        <v>0</v>
      </c>
      <c r="V105" s="153">
        <f>SUM('案件．要員情報'!BL106:BS106)</f>
        <v>0</v>
      </c>
      <c r="W105" s="153">
        <f>SUM('案件．要員情報'!BT106:CA106)</f>
        <v>0</v>
      </c>
      <c r="X105" s="153">
        <f>SUM('案件．要員情報'!CB106:CI106)</f>
        <v>0</v>
      </c>
      <c r="Y105" s="153">
        <f>SUM('案件．要員情報'!CJ106:CQ106)</f>
        <v>0</v>
      </c>
      <c r="Z105" s="153">
        <f>SUM('案件．要員情報'!CR106:CY106)</f>
        <v>0</v>
      </c>
      <c r="AA105" s="156">
        <f t="shared" si="4"/>
        <v>0</v>
      </c>
    </row>
    <row r="106" spans="1:27" s="151" customFormat="1" ht="20.100000000000001" hidden="1" customHeight="1" outlineLevel="1" collapsed="1" x14ac:dyDescent="0.4">
      <c r="A106" s="377">
        <v>51</v>
      </c>
      <c r="B106" s="379" t="s">
        <v>45</v>
      </c>
      <c r="C106" s="379" t="s">
        <v>346</v>
      </c>
      <c r="D106" s="381"/>
      <c r="E106" s="381"/>
      <c r="F106" s="381"/>
      <c r="G106" s="417"/>
      <c r="H106" s="394"/>
      <c r="I106" s="394"/>
      <c r="J106" s="394"/>
      <c r="K106" s="396"/>
      <c r="L106" s="396"/>
      <c r="M106" s="369"/>
      <c r="N106" s="154" t="s">
        <v>24</v>
      </c>
      <c r="O106" s="150">
        <f>SUM('案件．要員情報'!O107:U107)</f>
        <v>0</v>
      </c>
      <c r="P106" s="150">
        <f>SUM('案件．要員情報'!V107:AA107)</f>
        <v>0</v>
      </c>
      <c r="Q106" s="150">
        <f>SUM('案件．要員情報'!AB107:AG107)</f>
        <v>0</v>
      </c>
      <c r="R106" s="150">
        <f>SUM('案件．要員情報'!AH107:AM107)</f>
        <v>0</v>
      </c>
      <c r="S106" s="150">
        <f>SUM('案件．要員情報'!AN107:AU107)</f>
        <v>0</v>
      </c>
      <c r="T106" s="150">
        <f>SUM('案件．要員情報'!AV107:BC107)</f>
        <v>0</v>
      </c>
      <c r="U106" s="150">
        <f>SUM('案件．要員情報'!BD107:BK107)</f>
        <v>0</v>
      </c>
      <c r="V106" s="150">
        <f>SUM('案件．要員情報'!BL107:BS107)</f>
        <v>0</v>
      </c>
      <c r="W106" s="150">
        <f>SUM('案件．要員情報'!BT107:CA107)</f>
        <v>0</v>
      </c>
      <c r="X106" s="150">
        <f>SUM('案件．要員情報'!CB107:CI107)</f>
        <v>0</v>
      </c>
      <c r="Y106" s="150">
        <f>SUM('案件．要員情報'!CJ107:CQ107)</f>
        <v>0</v>
      </c>
      <c r="Z106" s="150">
        <f>SUM('案件．要員情報'!CR107:CY107)</f>
        <v>0</v>
      </c>
      <c r="AA106" s="213">
        <f t="shared" si="4"/>
        <v>0</v>
      </c>
    </row>
    <row r="107" spans="1:27" s="151" customFormat="1" ht="20.100000000000001" hidden="1" customHeight="1" outlineLevel="1" x14ac:dyDescent="0.4">
      <c r="A107" s="378"/>
      <c r="B107" s="380"/>
      <c r="C107" s="380"/>
      <c r="D107" s="382"/>
      <c r="E107" s="382"/>
      <c r="F107" s="382"/>
      <c r="G107" s="418"/>
      <c r="H107" s="395"/>
      <c r="I107" s="395"/>
      <c r="J107" s="395"/>
      <c r="K107" s="397"/>
      <c r="L107" s="397"/>
      <c r="M107" s="370"/>
      <c r="N107" s="155" t="s">
        <v>25</v>
      </c>
      <c r="O107" s="153">
        <f>SUM('案件．要員情報'!O108:U108)</f>
        <v>0</v>
      </c>
      <c r="P107" s="153">
        <f>SUM('案件．要員情報'!V108:AA108)</f>
        <v>0</v>
      </c>
      <c r="Q107" s="153">
        <f>SUM('案件．要員情報'!AB108:AG108)</f>
        <v>0</v>
      </c>
      <c r="R107" s="153">
        <f>SUM('案件．要員情報'!AH108:AM108)</f>
        <v>0</v>
      </c>
      <c r="S107" s="153">
        <f>SUM('案件．要員情報'!AN108:AU108)</f>
        <v>0</v>
      </c>
      <c r="T107" s="153">
        <f>SUM('案件．要員情報'!AV108:BC108)</f>
        <v>0</v>
      </c>
      <c r="U107" s="153">
        <f>SUM('案件．要員情報'!BD108:BK108)</f>
        <v>0</v>
      </c>
      <c r="V107" s="153">
        <f>SUM('案件．要員情報'!BL108:BS108)</f>
        <v>0</v>
      </c>
      <c r="W107" s="153">
        <f>SUM('案件．要員情報'!BT108:CA108)</f>
        <v>0</v>
      </c>
      <c r="X107" s="153">
        <f>SUM('案件．要員情報'!CB108:CI108)</f>
        <v>0</v>
      </c>
      <c r="Y107" s="153">
        <f>SUM('案件．要員情報'!CJ108:CQ108)</f>
        <v>0</v>
      </c>
      <c r="Z107" s="153">
        <f>SUM('案件．要員情報'!CR108:CY108)</f>
        <v>0</v>
      </c>
      <c r="AA107" s="156">
        <f t="shared" si="4"/>
        <v>0</v>
      </c>
    </row>
    <row r="108" spans="1:27" s="151" customFormat="1" ht="20.100000000000001" hidden="1" customHeight="1" outlineLevel="1" x14ac:dyDescent="0.4">
      <c r="A108" s="377">
        <v>52</v>
      </c>
      <c r="B108" s="379" t="s">
        <v>45</v>
      </c>
      <c r="C108" s="379" t="s">
        <v>346</v>
      </c>
      <c r="D108" s="381"/>
      <c r="E108" s="381"/>
      <c r="F108" s="381"/>
      <c r="G108" s="417"/>
      <c r="H108" s="417"/>
      <c r="I108" s="417"/>
      <c r="J108" s="417"/>
      <c r="K108" s="417"/>
      <c r="L108" s="417"/>
      <c r="M108" s="417"/>
      <c r="N108" s="154" t="s">
        <v>24</v>
      </c>
      <c r="O108" s="150">
        <f>SUM('案件．要員情報'!O109:U109)</f>
        <v>0</v>
      </c>
      <c r="P108" s="150">
        <f>SUM('案件．要員情報'!V109:AA109)</f>
        <v>0</v>
      </c>
      <c r="Q108" s="150">
        <f>SUM('案件．要員情報'!AB109:AG109)</f>
        <v>0</v>
      </c>
      <c r="R108" s="150">
        <f>SUM('案件．要員情報'!AH109:AM109)</f>
        <v>0</v>
      </c>
      <c r="S108" s="150">
        <f>SUM('案件．要員情報'!AN109:AU109)</f>
        <v>0</v>
      </c>
      <c r="T108" s="150">
        <f>SUM('案件．要員情報'!AV109:BC109)</f>
        <v>0</v>
      </c>
      <c r="U108" s="150">
        <f>SUM('案件．要員情報'!BD109:BK109)</f>
        <v>0</v>
      </c>
      <c r="V108" s="150">
        <f>SUM('案件．要員情報'!BL109:BS109)</f>
        <v>0</v>
      </c>
      <c r="W108" s="150">
        <f>SUM('案件．要員情報'!BT109:CA109)</f>
        <v>0</v>
      </c>
      <c r="X108" s="150">
        <f>SUM('案件．要員情報'!CB109:CI109)</f>
        <v>0</v>
      </c>
      <c r="Y108" s="150">
        <f>SUM('案件．要員情報'!CJ109:CQ109)</f>
        <v>0</v>
      </c>
      <c r="Z108" s="150">
        <f>SUM('案件．要員情報'!CR109:CY109)</f>
        <v>0</v>
      </c>
      <c r="AA108" s="213">
        <f t="shared" si="4"/>
        <v>0</v>
      </c>
    </row>
    <row r="109" spans="1:27" s="151" customFormat="1" ht="20.100000000000001" hidden="1" customHeight="1" outlineLevel="1" x14ac:dyDescent="0.4">
      <c r="A109" s="378"/>
      <c r="B109" s="380"/>
      <c r="C109" s="380"/>
      <c r="D109" s="382"/>
      <c r="E109" s="382"/>
      <c r="F109" s="382"/>
      <c r="G109" s="418"/>
      <c r="H109" s="418"/>
      <c r="I109" s="418"/>
      <c r="J109" s="418"/>
      <c r="K109" s="418"/>
      <c r="L109" s="418"/>
      <c r="M109" s="418"/>
      <c r="N109" s="155" t="s">
        <v>25</v>
      </c>
      <c r="O109" s="153">
        <f>SUM('案件．要員情報'!O110:U110)</f>
        <v>0</v>
      </c>
      <c r="P109" s="153">
        <f>SUM('案件．要員情報'!V110:AA110)</f>
        <v>0</v>
      </c>
      <c r="Q109" s="153">
        <f>SUM('案件．要員情報'!AB110:AG110)</f>
        <v>0</v>
      </c>
      <c r="R109" s="153">
        <f>SUM('案件．要員情報'!AH110:AM110)</f>
        <v>0</v>
      </c>
      <c r="S109" s="153">
        <f>SUM('案件．要員情報'!AN110:AU110)</f>
        <v>0</v>
      </c>
      <c r="T109" s="153">
        <f>SUM('案件．要員情報'!AV110:BC110)</f>
        <v>0</v>
      </c>
      <c r="U109" s="153">
        <f>SUM('案件．要員情報'!BD110:BK110)</f>
        <v>0</v>
      </c>
      <c r="V109" s="153">
        <f>SUM('案件．要員情報'!BL110:BS110)</f>
        <v>0</v>
      </c>
      <c r="W109" s="153">
        <f>SUM('案件．要員情報'!BT110:CA110)</f>
        <v>0</v>
      </c>
      <c r="X109" s="153">
        <f>SUM('案件．要員情報'!CB110:CI110)</f>
        <v>0</v>
      </c>
      <c r="Y109" s="153">
        <f>SUM('案件．要員情報'!CJ110:CQ110)</f>
        <v>0</v>
      </c>
      <c r="Z109" s="153">
        <f>SUM('案件．要員情報'!CR110:CY110)</f>
        <v>0</v>
      </c>
      <c r="AA109" s="156">
        <f t="shared" si="4"/>
        <v>0</v>
      </c>
    </row>
    <row r="110" spans="1:27" s="151" customFormat="1" ht="20.100000000000001" hidden="1" customHeight="1" outlineLevel="1" x14ac:dyDescent="0.4">
      <c r="A110" s="377">
        <v>53</v>
      </c>
      <c r="B110" s="379" t="s">
        <v>45</v>
      </c>
      <c r="C110" s="379" t="s">
        <v>346</v>
      </c>
      <c r="D110" s="381"/>
      <c r="E110" s="381"/>
      <c r="F110" s="381"/>
      <c r="G110" s="417"/>
      <c r="H110" s="417"/>
      <c r="I110" s="417"/>
      <c r="J110" s="417"/>
      <c r="K110" s="417"/>
      <c r="L110" s="417"/>
      <c r="M110" s="417"/>
      <c r="N110" s="154" t="s">
        <v>24</v>
      </c>
      <c r="O110" s="150">
        <f>SUM('案件．要員情報'!O111:U111)</f>
        <v>0</v>
      </c>
      <c r="P110" s="150">
        <f>SUM('案件．要員情報'!V111:AA111)</f>
        <v>0</v>
      </c>
      <c r="Q110" s="150">
        <f>SUM('案件．要員情報'!AB111:AG111)</f>
        <v>0</v>
      </c>
      <c r="R110" s="150">
        <f>SUM('案件．要員情報'!AH111:AM111)</f>
        <v>0</v>
      </c>
      <c r="S110" s="150">
        <f>SUM('案件．要員情報'!AN111:AU111)</f>
        <v>0</v>
      </c>
      <c r="T110" s="150">
        <f>SUM('案件．要員情報'!AV111:BC111)</f>
        <v>0</v>
      </c>
      <c r="U110" s="150">
        <f>SUM('案件．要員情報'!BD111:BK111)</f>
        <v>0</v>
      </c>
      <c r="V110" s="150">
        <f>SUM('案件．要員情報'!BL111:BS111)</f>
        <v>0</v>
      </c>
      <c r="W110" s="150">
        <f>SUM('案件．要員情報'!BT111:CA111)</f>
        <v>0</v>
      </c>
      <c r="X110" s="150">
        <f>SUM('案件．要員情報'!CB111:CI111)</f>
        <v>0</v>
      </c>
      <c r="Y110" s="150">
        <f>SUM('案件．要員情報'!CJ111:CQ111)</f>
        <v>0</v>
      </c>
      <c r="Z110" s="150">
        <f>SUM('案件．要員情報'!CR111:CY111)</f>
        <v>0</v>
      </c>
      <c r="AA110" s="213">
        <f t="shared" si="4"/>
        <v>0</v>
      </c>
    </row>
    <row r="111" spans="1:27" s="151" customFormat="1" ht="20.100000000000001" hidden="1" customHeight="1" outlineLevel="1" x14ac:dyDescent="0.4">
      <c r="A111" s="378"/>
      <c r="B111" s="380"/>
      <c r="C111" s="380"/>
      <c r="D111" s="382"/>
      <c r="E111" s="382"/>
      <c r="F111" s="382"/>
      <c r="G111" s="418"/>
      <c r="H111" s="418"/>
      <c r="I111" s="418"/>
      <c r="J111" s="418"/>
      <c r="K111" s="418"/>
      <c r="L111" s="418"/>
      <c r="M111" s="418"/>
      <c r="N111" s="155" t="s">
        <v>25</v>
      </c>
      <c r="O111" s="153">
        <f>SUM('案件．要員情報'!O112:U112)</f>
        <v>0</v>
      </c>
      <c r="P111" s="153">
        <f>SUM('案件．要員情報'!V112:AA112)</f>
        <v>0</v>
      </c>
      <c r="Q111" s="153">
        <f>SUM('案件．要員情報'!AB112:AG112)</f>
        <v>0</v>
      </c>
      <c r="R111" s="153">
        <f>SUM('案件．要員情報'!AH112:AM112)</f>
        <v>0</v>
      </c>
      <c r="S111" s="153">
        <f>SUM('案件．要員情報'!AN112:AU112)</f>
        <v>0</v>
      </c>
      <c r="T111" s="153">
        <f>SUM('案件．要員情報'!AV112:BC112)</f>
        <v>0</v>
      </c>
      <c r="U111" s="153">
        <f>SUM('案件．要員情報'!BD112:BK112)</f>
        <v>0</v>
      </c>
      <c r="V111" s="153">
        <f>SUM('案件．要員情報'!BL112:BS112)</f>
        <v>0</v>
      </c>
      <c r="W111" s="153">
        <f>SUM('案件．要員情報'!BT112:CA112)</f>
        <v>0</v>
      </c>
      <c r="X111" s="153">
        <f>SUM('案件．要員情報'!CB112:CI112)</f>
        <v>0</v>
      </c>
      <c r="Y111" s="153">
        <f>SUM('案件．要員情報'!CJ112:CQ112)</f>
        <v>0</v>
      </c>
      <c r="Z111" s="153">
        <f>SUM('案件．要員情報'!CR112:CY112)</f>
        <v>0</v>
      </c>
      <c r="AA111" s="156">
        <f t="shared" si="4"/>
        <v>0</v>
      </c>
    </row>
    <row r="112" spans="1:27" s="151" customFormat="1" ht="20.100000000000001" hidden="1" customHeight="1" outlineLevel="1" x14ac:dyDescent="0.4">
      <c r="A112" s="377">
        <v>54</v>
      </c>
      <c r="B112" s="379" t="s">
        <v>45</v>
      </c>
      <c r="C112" s="379" t="s">
        <v>346</v>
      </c>
      <c r="D112" s="381"/>
      <c r="E112" s="381"/>
      <c r="F112" s="381"/>
      <c r="G112" s="417"/>
      <c r="H112" s="417"/>
      <c r="I112" s="417"/>
      <c r="J112" s="417"/>
      <c r="K112" s="417"/>
      <c r="L112" s="417"/>
      <c r="M112" s="417"/>
      <c r="N112" s="154" t="s">
        <v>24</v>
      </c>
      <c r="O112" s="150">
        <f>SUM('案件．要員情報'!O113:U113)</f>
        <v>0</v>
      </c>
      <c r="P112" s="150">
        <f>SUM('案件．要員情報'!V113:AA113)</f>
        <v>0</v>
      </c>
      <c r="Q112" s="150">
        <f>SUM('案件．要員情報'!AB113:AG113)</f>
        <v>0</v>
      </c>
      <c r="R112" s="150">
        <f>SUM('案件．要員情報'!AH113:AM113)</f>
        <v>0</v>
      </c>
      <c r="S112" s="150">
        <f>SUM('案件．要員情報'!AN113:AU113)</f>
        <v>0</v>
      </c>
      <c r="T112" s="150">
        <f>SUM('案件．要員情報'!AV113:BC113)</f>
        <v>0</v>
      </c>
      <c r="U112" s="150">
        <f>SUM('案件．要員情報'!BD113:BK113)</f>
        <v>0</v>
      </c>
      <c r="V112" s="150">
        <f>SUM('案件．要員情報'!BL113:BS113)</f>
        <v>0</v>
      </c>
      <c r="W112" s="150">
        <f>SUM('案件．要員情報'!BT113:CA113)</f>
        <v>0</v>
      </c>
      <c r="X112" s="150">
        <f>SUM('案件．要員情報'!CB113:CI113)</f>
        <v>0</v>
      </c>
      <c r="Y112" s="150">
        <f>SUM('案件．要員情報'!CJ113:CQ113)</f>
        <v>0</v>
      </c>
      <c r="Z112" s="150">
        <f>SUM('案件．要員情報'!CR113:CY113)</f>
        <v>0</v>
      </c>
      <c r="AA112" s="213">
        <f t="shared" si="4"/>
        <v>0</v>
      </c>
    </row>
    <row r="113" spans="1:27" s="151" customFormat="1" ht="20.100000000000001" hidden="1" customHeight="1" outlineLevel="1" x14ac:dyDescent="0.4">
      <c r="A113" s="378"/>
      <c r="B113" s="380"/>
      <c r="C113" s="380"/>
      <c r="D113" s="382"/>
      <c r="E113" s="382"/>
      <c r="F113" s="382"/>
      <c r="G113" s="418"/>
      <c r="H113" s="418"/>
      <c r="I113" s="418"/>
      <c r="J113" s="418"/>
      <c r="K113" s="418"/>
      <c r="L113" s="418"/>
      <c r="M113" s="418"/>
      <c r="N113" s="155" t="s">
        <v>25</v>
      </c>
      <c r="O113" s="153">
        <f>SUM('案件．要員情報'!O114:U114)</f>
        <v>0</v>
      </c>
      <c r="P113" s="153">
        <f>SUM('案件．要員情報'!V114:AA114)</f>
        <v>0</v>
      </c>
      <c r="Q113" s="153">
        <f>SUM('案件．要員情報'!AB114:AG114)</f>
        <v>0</v>
      </c>
      <c r="R113" s="153">
        <f>SUM('案件．要員情報'!AH114:AM114)</f>
        <v>0</v>
      </c>
      <c r="S113" s="153">
        <f>SUM('案件．要員情報'!AN114:AU114)</f>
        <v>0</v>
      </c>
      <c r="T113" s="153">
        <f>SUM('案件．要員情報'!AV114:BC114)</f>
        <v>0</v>
      </c>
      <c r="U113" s="153">
        <f>SUM('案件．要員情報'!BD114:BK114)</f>
        <v>0</v>
      </c>
      <c r="V113" s="153">
        <f>SUM('案件．要員情報'!BL114:BS114)</f>
        <v>0</v>
      </c>
      <c r="W113" s="153">
        <f>SUM('案件．要員情報'!BT114:CA114)</f>
        <v>0</v>
      </c>
      <c r="X113" s="153">
        <f>SUM('案件．要員情報'!CB114:CI114)</f>
        <v>0</v>
      </c>
      <c r="Y113" s="153">
        <f>SUM('案件．要員情報'!CJ114:CQ114)</f>
        <v>0</v>
      </c>
      <c r="Z113" s="153">
        <f>SUM('案件．要員情報'!CR114:CY114)</f>
        <v>0</v>
      </c>
      <c r="AA113" s="156">
        <f t="shared" si="4"/>
        <v>0</v>
      </c>
    </row>
    <row r="114" spans="1:27" s="151" customFormat="1" ht="20.100000000000001" hidden="1" customHeight="1" outlineLevel="1" x14ac:dyDescent="0.4">
      <c r="A114" s="377">
        <v>55</v>
      </c>
      <c r="B114" s="379" t="s">
        <v>45</v>
      </c>
      <c r="C114" s="379" t="s">
        <v>346</v>
      </c>
      <c r="D114" s="381"/>
      <c r="E114" s="381"/>
      <c r="F114" s="381"/>
      <c r="G114" s="417"/>
      <c r="H114" s="417"/>
      <c r="I114" s="417"/>
      <c r="J114" s="417"/>
      <c r="K114" s="417"/>
      <c r="L114" s="417"/>
      <c r="M114" s="417"/>
      <c r="N114" s="154" t="s">
        <v>24</v>
      </c>
      <c r="O114" s="150">
        <f>SUM('案件．要員情報'!O115:U115)</f>
        <v>0</v>
      </c>
      <c r="P114" s="150">
        <f>SUM('案件．要員情報'!V115:AA115)</f>
        <v>0</v>
      </c>
      <c r="Q114" s="150">
        <f>SUM('案件．要員情報'!AB115:AG115)</f>
        <v>0</v>
      </c>
      <c r="R114" s="150">
        <f>SUM('案件．要員情報'!AH115:AM115)</f>
        <v>0</v>
      </c>
      <c r="S114" s="150">
        <f>SUM('案件．要員情報'!AN115:AU115)</f>
        <v>0</v>
      </c>
      <c r="T114" s="150">
        <f>SUM('案件．要員情報'!AV115:BC115)</f>
        <v>0</v>
      </c>
      <c r="U114" s="150">
        <f>SUM('案件．要員情報'!BD115:BK115)</f>
        <v>0</v>
      </c>
      <c r="V114" s="150">
        <f>SUM('案件．要員情報'!BL115:BS115)</f>
        <v>0</v>
      </c>
      <c r="W114" s="150">
        <f>SUM('案件．要員情報'!BT115:CA115)</f>
        <v>0</v>
      </c>
      <c r="X114" s="150">
        <f>SUM('案件．要員情報'!CB115:CI115)</f>
        <v>0</v>
      </c>
      <c r="Y114" s="150">
        <f>SUM('案件．要員情報'!CJ115:CQ115)</f>
        <v>0</v>
      </c>
      <c r="Z114" s="150">
        <f>SUM('案件．要員情報'!CR115:CY115)</f>
        <v>0</v>
      </c>
      <c r="AA114" s="213">
        <f t="shared" si="4"/>
        <v>0</v>
      </c>
    </row>
    <row r="115" spans="1:27" s="151" customFormat="1" ht="20.100000000000001" hidden="1" customHeight="1" outlineLevel="1" x14ac:dyDescent="0.4">
      <c r="A115" s="378"/>
      <c r="B115" s="380"/>
      <c r="C115" s="380"/>
      <c r="D115" s="382"/>
      <c r="E115" s="382"/>
      <c r="F115" s="382"/>
      <c r="G115" s="418"/>
      <c r="H115" s="418"/>
      <c r="I115" s="418"/>
      <c r="J115" s="418"/>
      <c r="K115" s="418"/>
      <c r="L115" s="418"/>
      <c r="M115" s="418"/>
      <c r="N115" s="155" t="s">
        <v>25</v>
      </c>
      <c r="O115" s="153">
        <f>SUM('案件．要員情報'!O116:U116)</f>
        <v>0</v>
      </c>
      <c r="P115" s="153">
        <f>SUM('案件．要員情報'!V116:AA116)</f>
        <v>0</v>
      </c>
      <c r="Q115" s="153">
        <f>SUM('案件．要員情報'!AB116:AG116)</f>
        <v>0</v>
      </c>
      <c r="R115" s="153">
        <f>SUM('案件．要員情報'!AH116:AM116)</f>
        <v>0</v>
      </c>
      <c r="S115" s="153">
        <f>SUM('案件．要員情報'!AN116:AU116)</f>
        <v>0</v>
      </c>
      <c r="T115" s="153">
        <f>SUM('案件．要員情報'!AV116:BC116)</f>
        <v>0</v>
      </c>
      <c r="U115" s="153">
        <f>SUM('案件．要員情報'!BD116:BK116)</f>
        <v>0</v>
      </c>
      <c r="V115" s="153">
        <f>SUM('案件．要員情報'!BL116:BS116)</f>
        <v>0</v>
      </c>
      <c r="W115" s="153">
        <f>SUM('案件．要員情報'!BT116:CA116)</f>
        <v>0</v>
      </c>
      <c r="X115" s="153">
        <f>SUM('案件．要員情報'!CB116:CI116)</f>
        <v>0</v>
      </c>
      <c r="Y115" s="153">
        <f>SUM('案件．要員情報'!CJ116:CQ116)</f>
        <v>0</v>
      </c>
      <c r="Z115" s="153">
        <f>SUM('案件．要員情報'!CR116:CY116)</f>
        <v>0</v>
      </c>
      <c r="AA115" s="156">
        <f t="shared" si="4"/>
        <v>0</v>
      </c>
    </row>
    <row r="116" spans="1:27" s="151" customFormat="1" ht="20.100000000000001" hidden="1" customHeight="1" outlineLevel="1" x14ac:dyDescent="0.4">
      <c r="A116" s="377">
        <v>56</v>
      </c>
      <c r="B116" s="379" t="s">
        <v>45</v>
      </c>
      <c r="C116" s="379" t="s">
        <v>346</v>
      </c>
      <c r="D116" s="381"/>
      <c r="E116" s="381"/>
      <c r="F116" s="381"/>
      <c r="G116" s="417"/>
      <c r="H116" s="417"/>
      <c r="I116" s="417"/>
      <c r="J116" s="417"/>
      <c r="K116" s="417"/>
      <c r="L116" s="417"/>
      <c r="M116" s="417"/>
      <c r="N116" s="154" t="s">
        <v>24</v>
      </c>
      <c r="O116" s="150">
        <f>SUM('案件．要員情報'!O117:U117)</f>
        <v>0</v>
      </c>
      <c r="P116" s="150">
        <f>SUM('案件．要員情報'!V117:AA117)</f>
        <v>0</v>
      </c>
      <c r="Q116" s="150">
        <f>SUM('案件．要員情報'!AB117:AG117)</f>
        <v>0</v>
      </c>
      <c r="R116" s="150">
        <f>SUM('案件．要員情報'!AH117:AM117)</f>
        <v>0</v>
      </c>
      <c r="S116" s="150">
        <f>SUM('案件．要員情報'!AN117:AU117)</f>
        <v>0</v>
      </c>
      <c r="T116" s="150">
        <f>SUM('案件．要員情報'!AV117:BC117)</f>
        <v>0</v>
      </c>
      <c r="U116" s="150">
        <f>SUM('案件．要員情報'!BD117:BK117)</f>
        <v>0</v>
      </c>
      <c r="V116" s="150">
        <f>SUM('案件．要員情報'!BL117:BS117)</f>
        <v>0</v>
      </c>
      <c r="W116" s="150">
        <f>SUM('案件．要員情報'!BT117:CA117)</f>
        <v>0</v>
      </c>
      <c r="X116" s="150">
        <f>SUM('案件．要員情報'!CB117:CI117)</f>
        <v>0</v>
      </c>
      <c r="Y116" s="150">
        <f>SUM('案件．要員情報'!CJ117:CQ117)</f>
        <v>0</v>
      </c>
      <c r="Z116" s="150">
        <f>SUM('案件．要員情報'!CR117:CY117)</f>
        <v>0</v>
      </c>
      <c r="AA116" s="213">
        <f t="shared" si="4"/>
        <v>0</v>
      </c>
    </row>
    <row r="117" spans="1:27" s="151" customFormat="1" ht="20.100000000000001" hidden="1" customHeight="1" outlineLevel="1" x14ac:dyDescent="0.4">
      <c r="A117" s="378"/>
      <c r="B117" s="380"/>
      <c r="C117" s="380"/>
      <c r="D117" s="382"/>
      <c r="E117" s="382"/>
      <c r="F117" s="382"/>
      <c r="G117" s="418"/>
      <c r="H117" s="418"/>
      <c r="I117" s="418"/>
      <c r="J117" s="418"/>
      <c r="K117" s="418"/>
      <c r="L117" s="418"/>
      <c r="M117" s="418"/>
      <c r="N117" s="155" t="s">
        <v>25</v>
      </c>
      <c r="O117" s="153">
        <f>SUM('案件．要員情報'!O118:U118)</f>
        <v>0</v>
      </c>
      <c r="P117" s="153">
        <f>SUM('案件．要員情報'!V118:AA118)</f>
        <v>0</v>
      </c>
      <c r="Q117" s="153">
        <f>SUM('案件．要員情報'!AB118:AG118)</f>
        <v>0</v>
      </c>
      <c r="R117" s="153">
        <f>SUM('案件．要員情報'!AH118:AM118)</f>
        <v>0</v>
      </c>
      <c r="S117" s="153">
        <f>SUM('案件．要員情報'!AN118:AU118)</f>
        <v>0</v>
      </c>
      <c r="T117" s="153">
        <f>SUM('案件．要員情報'!AV118:BC118)</f>
        <v>0</v>
      </c>
      <c r="U117" s="153">
        <f>SUM('案件．要員情報'!BD118:BK118)</f>
        <v>0</v>
      </c>
      <c r="V117" s="153">
        <f>SUM('案件．要員情報'!BL118:BS118)</f>
        <v>0</v>
      </c>
      <c r="W117" s="153">
        <f>SUM('案件．要員情報'!BT118:CA118)</f>
        <v>0</v>
      </c>
      <c r="X117" s="153">
        <f>SUM('案件．要員情報'!CB118:CI118)</f>
        <v>0</v>
      </c>
      <c r="Y117" s="153">
        <f>SUM('案件．要員情報'!CJ118:CQ118)</f>
        <v>0</v>
      </c>
      <c r="Z117" s="153">
        <f>SUM('案件．要員情報'!CR118:CY118)</f>
        <v>0</v>
      </c>
      <c r="AA117" s="156">
        <f t="shared" si="4"/>
        <v>0</v>
      </c>
    </row>
    <row r="118" spans="1:27" s="151" customFormat="1" ht="20.100000000000001" hidden="1" customHeight="1" outlineLevel="1" x14ac:dyDescent="0.4">
      <c r="A118" s="377">
        <v>57</v>
      </c>
      <c r="B118" s="379" t="s">
        <v>45</v>
      </c>
      <c r="C118" s="379" t="s">
        <v>346</v>
      </c>
      <c r="D118" s="381"/>
      <c r="E118" s="381"/>
      <c r="F118" s="381"/>
      <c r="G118" s="417"/>
      <c r="H118" s="417"/>
      <c r="I118" s="417"/>
      <c r="J118" s="417"/>
      <c r="K118" s="417"/>
      <c r="L118" s="417"/>
      <c r="M118" s="417"/>
      <c r="N118" s="154" t="s">
        <v>24</v>
      </c>
      <c r="O118" s="150">
        <f>SUM('案件．要員情報'!O119:U119)</f>
        <v>0</v>
      </c>
      <c r="P118" s="150">
        <f>SUM('案件．要員情報'!V119:AA119)</f>
        <v>0</v>
      </c>
      <c r="Q118" s="150">
        <f>SUM('案件．要員情報'!AB119:AG119)</f>
        <v>0</v>
      </c>
      <c r="R118" s="150">
        <f>SUM('案件．要員情報'!AH119:AM119)</f>
        <v>0</v>
      </c>
      <c r="S118" s="150">
        <f>SUM('案件．要員情報'!AN119:AU119)</f>
        <v>0</v>
      </c>
      <c r="T118" s="150">
        <f>SUM('案件．要員情報'!AV119:BC119)</f>
        <v>0</v>
      </c>
      <c r="U118" s="150">
        <f>SUM('案件．要員情報'!BD119:BK119)</f>
        <v>0</v>
      </c>
      <c r="V118" s="150">
        <f>SUM('案件．要員情報'!BL119:BS119)</f>
        <v>0</v>
      </c>
      <c r="W118" s="150">
        <f>SUM('案件．要員情報'!BT119:CA119)</f>
        <v>0</v>
      </c>
      <c r="X118" s="150">
        <f>SUM('案件．要員情報'!CB119:CI119)</f>
        <v>0</v>
      </c>
      <c r="Y118" s="150">
        <f>SUM('案件．要員情報'!CJ119:CQ119)</f>
        <v>0</v>
      </c>
      <c r="Z118" s="150">
        <f>SUM('案件．要員情報'!CR119:CY119)</f>
        <v>0</v>
      </c>
      <c r="AA118" s="213">
        <f t="shared" si="4"/>
        <v>0</v>
      </c>
    </row>
    <row r="119" spans="1:27" s="151" customFormat="1" ht="20.100000000000001" hidden="1" customHeight="1" outlineLevel="1" x14ac:dyDescent="0.4">
      <c r="A119" s="378"/>
      <c r="B119" s="380"/>
      <c r="C119" s="380"/>
      <c r="D119" s="382"/>
      <c r="E119" s="382"/>
      <c r="F119" s="382"/>
      <c r="G119" s="418"/>
      <c r="H119" s="418"/>
      <c r="I119" s="418"/>
      <c r="J119" s="418"/>
      <c r="K119" s="418"/>
      <c r="L119" s="418"/>
      <c r="M119" s="418"/>
      <c r="N119" s="155" t="s">
        <v>25</v>
      </c>
      <c r="O119" s="153">
        <f>SUM('案件．要員情報'!O120:U120)</f>
        <v>0</v>
      </c>
      <c r="P119" s="153">
        <f>SUM('案件．要員情報'!V120:AA120)</f>
        <v>0</v>
      </c>
      <c r="Q119" s="153">
        <f>SUM('案件．要員情報'!AB120:AG120)</f>
        <v>0</v>
      </c>
      <c r="R119" s="153">
        <f>SUM('案件．要員情報'!AH120:AM120)</f>
        <v>0</v>
      </c>
      <c r="S119" s="153">
        <f>SUM('案件．要員情報'!AN120:AU120)</f>
        <v>0</v>
      </c>
      <c r="T119" s="153">
        <f>SUM('案件．要員情報'!AV120:BC120)</f>
        <v>0</v>
      </c>
      <c r="U119" s="153">
        <f>SUM('案件．要員情報'!BD120:BK120)</f>
        <v>0</v>
      </c>
      <c r="V119" s="153">
        <f>SUM('案件．要員情報'!BL120:BS120)</f>
        <v>0</v>
      </c>
      <c r="W119" s="153">
        <f>SUM('案件．要員情報'!BT120:CA120)</f>
        <v>0</v>
      </c>
      <c r="X119" s="153">
        <f>SUM('案件．要員情報'!CB120:CI120)</f>
        <v>0</v>
      </c>
      <c r="Y119" s="153">
        <f>SUM('案件．要員情報'!CJ120:CQ120)</f>
        <v>0</v>
      </c>
      <c r="Z119" s="153">
        <f>SUM('案件．要員情報'!CR120:CY120)</f>
        <v>0</v>
      </c>
      <c r="AA119" s="156">
        <f t="shared" si="4"/>
        <v>0</v>
      </c>
    </row>
    <row r="120" spans="1:27" s="151" customFormat="1" ht="20.100000000000001" hidden="1" customHeight="1" outlineLevel="1" x14ac:dyDescent="0.4">
      <c r="A120" s="377">
        <v>58</v>
      </c>
      <c r="B120" s="379" t="s">
        <v>45</v>
      </c>
      <c r="C120" s="379" t="s">
        <v>346</v>
      </c>
      <c r="D120" s="381"/>
      <c r="E120" s="381"/>
      <c r="F120" s="381"/>
      <c r="G120" s="417"/>
      <c r="H120" s="417"/>
      <c r="I120" s="417"/>
      <c r="J120" s="417"/>
      <c r="K120" s="417"/>
      <c r="L120" s="417"/>
      <c r="M120" s="417"/>
      <c r="N120" s="154" t="s">
        <v>24</v>
      </c>
      <c r="O120" s="150">
        <f>SUM('案件．要員情報'!O121:U121)</f>
        <v>0</v>
      </c>
      <c r="P120" s="150">
        <f>SUM('案件．要員情報'!V121:AA121)</f>
        <v>0</v>
      </c>
      <c r="Q120" s="150">
        <f>SUM('案件．要員情報'!AB121:AG121)</f>
        <v>0</v>
      </c>
      <c r="R120" s="150">
        <f>SUM('案件．要員情報'!AH121:AM121)</f>
        <v>0</v>
      </c>
      <c r="S120" s="150">
        <f>SUM('案件．要員情報'!AN121:AU121)</f>
        <v>0</v>
      </c>
      <c r="T120" s="150">
        <f>SUM('案件．要員情報'!AV121:BC121)</f>
        <v>0</v>
      </c>
      <c r="U120" s="150">
        <f>SUM('案件．要員情報'!BD121:BK121)</f>
        <v>0</v>
      </c>
      <c r="V120" s="150">
        <f>SUM('案件．要員情報'!BL121:BS121)</f>
        <v>0</v>
      </c>
      <c r="W120" s="150">
        <f>SUM('案件．要員情報'!BT121:CA121)</f>
        <v>0</v>
      </c>
      <c r="X120" s="150">
        <f>SUM('案件．要員情報'!CB121:CI121)</f>
        <v>0</v>
      </c>
      <c r="Y120" s="150">
        <f>SUM('案件．要員情報'!CJ121:CQ121)</f>
        <v>0</v>
      </c>
      <c r="Z120" s="150">
        <f>SUM('案件．要員情報'!CR121:CY121)</f>
        <v>0</v>
      </c>
      <c r="AA120" s="213">
        <f t="shared" si="4"/>
        <v>0</v>
      </c>
    </row>
    <row r="121" spans="1:27" s="151" customFormat="1" ht="20.100000000000001" hidden="1" customHeight="1" outlineLevel="1" x14ac:dyDescent="0.4">
      <c r="A121" s="378"/>
      <c r="B121" s="380"/>
      <c r="C121" s="380"/>
      <c r="D121" s="382"/>
      <c r="E121" s="382"/>
      <c r="F121" s="382"/>
      <c r="G121" s="418"/>
      <c r="H121" s="418"/>
      <c r="I121" s="418"/>
      <c r="J121" s="418"/>
      <c r="K121" s="418"/>
      <c r="L121" s="418"/>
      <c r="M121" s="418"/>
      <c r="N121" s="155" t="s">
        <v>25</v>
      </c>
      <c r="O121" s="153">
        <f>SUM('案件．要員情報'!O122:U122)</f>
        <v>0</v>
      </c>
      <c r="P121" s="153">
        <f>SUM('案件．要員情報'!V122:AA122)</f>
        <v>0</v>
      </c>
      <c r="Q121" s="153">
        <f>SUM('案件．要員情報'!AB122:AG122)</f>
        <v>0</v>
      </c>
      <c r="R121" s="153">
        <f>SUM('案件．要員情報'!AH122:AM122)</f>
        <v>0</v>
      </c>
      <c r="S121" s="153">
        <f>SUM('案件．要員情報'!AN122:AU122)</f>
        <v>0</v>
      </c>
      <c r="T121" s="153">
        <f>SUM('案件．要員情報'!AV122:BC122)</f>
        <v>0</v>
      </c>
      <c r="U121" s="153">
        <f>SUM('案件．要員情報'!BD122:BK122)</f>
        <v>0</v>
      </c>
      <c r="V121" s="153">
        <f>SUM('案件．要員情報'!BL122:BS122)</f>
        <v>0</v>
      </c>
      <c r="W121" s="153">
        <f>SUM('案件．要員情報'!BT122:CA122)</f>
        <v>0</v>
      </c>
      <c r="X121" s="153">
        <f>SUM('案件．要員情報'!CB122:CI122)</f>
        <v>0</v>
      </c>
      <c r="Y121" s="153">
        <f>SUM('案件．要員情報'!CJ122:CQ122)</f>
        <v>0</v>
      </c>
      <c r="Z121" s="153">
        <f>SUM('案件．要員情報'!CR122:CY122)</f>
        <v>0</v>
      </c>
      <c r="AA121" s="156">
        <f t="shared" si="4"/>
        <v>0</v>
      </c>
    </row>
    <row r="122" spans="1:27" s="151" customFormat="1" ht="20.100000000000001" hidden="1" customHeight="1" outlineLevel="1" x14ac:dyDescent="0.4">
      <c r="A122" s="377">
        <v>59</v>
      </c>
      <c r="B122" s="379" t="s">
        <v>45</v>
      </c>
      <c r="C122" s="379" t="s">
        <v>346</v>
      </c>
      <c r="D122" s="381"/>
      <c r="E122" s="381"/>
      <c r="F122" s="381"/>
      <c r="G122" s="417"/>
      <c r="H122" s="417"/>
      <c r="I122" s="417"/>
      <c r="J122" s="417"/>
      <c r="K122" s="417"/>
      <c r="L122" s="417"/>
      <c r="M122" s="417"/>
      <c r="N122" s="154" t="s">
        <v>24</v>
      </c>
      <c r="O122" s="150">
        <f>SUM('案件．要員情報'!O123:U123)</f>
        <v>0</v>
      </c>
      <c r="P122" s="150">
        <f>SUM('案件．要員情報'!V123:AA123)</f>
        <v>0</v>
      </c>
      <c r="Q122" s="150">
        <f>SUM('案件．要員情報'!AB123:AG123)</f>
        <v>0</v>
      </c>
      <c r="R122" s="150">
        <f>SUM('案件．要員情報'!AH123:AM123)</f>
        <v>0</v>
      </c>
      <c r="S122" s="150">
        <f>SUM('案件．要員情報'!AN123:AU123)</f>
        <v>0</v>
      </c>
      <c r="T122" s="150">
        <f>SUM('案件．要員情報'!AV123:BC123)</f>
        <v>0</v>
      </c>
      <c r="U122" s="150">
        <f>SUM('案件．要員情報'!BD123:BK123)</f>
        <v>0</v>
      </c>
      <c r="V122" s="150">
        <f>SUM('案件．要員情報'!BL123:BS123)</f>
        <v>0</v>
      </c>
      <c r="W122" s="150">
        <f>SUM('案件．要員情報'!BT123:CA123)</f>
        <v>0</v>
      </c>
      <c r="X122" s="150">
        <f>SUM('案件．要員情報'!CB123:CI123)</f>
        <v>0</v>
      </c>
      <c r="Y122" s="150">
        <f>SUM('案件．要員情報'!CJ123:CQ123)</f>
        <v>0</v>
      </c>
      <c r="Z122" s="150">
        <f>SUM('案件．要員情報'!CR123:CY123)</f>
        <v>0</v>
      </c>
      <c r="AA122" s="213">
        <f t="shared" si="4"/>
        <v>0</v>
      </c>
    </row>
    <row r="123" spans="1:27" s="151" customFormat="1" ht="20.100000000000001" hidden="1" customHeight="1" outlineLevel="1" x14ac:dyDescent="0.4">
      <c r="A123" s="378"/>
      <c r="B123" s="380"/>
      <c r="C123" s="380"/>
      <c r="D123" s="382"/>
      <c r="E123" s="382"/>
      <c r="F123" s="382"/>
      <c r="G123" s="418"/>
      <c r="H123" s="418"/>
      <c r="I123" s="418"/>
      <c r="J123" s="418"/>
      <c r="K123" s="418"/>
      <c r="L123" s="418"/>
      <c r="M123" s="418"/>
      <c r="N123" s="155" t="s">
        <v>25</v>
      </c>
      <c r="O123" s="153">
        <f>SUM('案件．要員情報'!O124:U124)</f>
        <v>0</v>
      </c>
      <c r="P123" s="153">
        <f>SUM('案件．要員情報'!V124:AA124)</f>
        <v>0</v>
      </c>
      <c r="Q123" s="153">
        <f>SUM('案件．要員情報'!AB124:AG124)</f>
        <v>0</v>
      </c>
      <c r="R123" s="153">
        <f>SUM('案件．要員情報'!AH124:AM124)</f>
        <v>0</v>
      </c>
      <c r="S123" s="153">
        <f>SUM('案件．要員情報'!AN124:AU124)</f>
        <v>0</v>
      </c>
      <c r="T123" s="153">
        <f>SUM('案件．要員情報'!AV124:BC124)</f>
        <v>0</v>
      </c>
      <c r="U123" s="153">
        <f>SUM('案件．要員情報'!BD124:BK124)</f>
        <v>0</v>
      </c>
      <c r="V123" s="153">
        <f>SUM('案件．要員情報'!BL124:BS124)</f>
        <v>0</v>
      </c>
      <c r="W123" s="153">
        <f>SUM('案件．要員情報'!BT124:CA124)</f>
        <v>0</v>
      </c>
      <c r="X123" s="153">
        <f>SUM('案件．要員情報'!CB124:CI124)</f>
        <v>0</v>
      </c>
      <c r="Y123" s="153">
        <f>SUM('案件．要員情報'!CJ124:CQ124)</f>
        <v>0</v>
      </c>
      <c r="Z123" s="153">
        <f>SUM('案件．要員情報'!CR124:CY124)</f>
        <v>0</v>
      </c>
      <c r="AA123" s="156">
        <f t="shared" si="4"/>
        <v>0</v>
      </c>
    </row>
    <row r="124" spans="1:27" s="151" customFormat="1" ht="20.100000000000001" hidden="1" customHeight="1" outlineLevel="1" x14ac:dyDescent="0.4">
      <c r="A124" s="377">
        <v>60</v>
      </c>
      <c r="B124" s="379" t="s">
        <v>45</v>
      </c>
      <c r="C124" s="379" t="s">
        <v>346</v>
      </c>
      <c r="D124" s="381"/>
      <c r="E124" s="381"/>
      <c r="F124" s="381"/>
      <c r="G124" s="417"/>
      <c r="H124" s="417"/>
      <c r="I124" s="417"/>
      <c r="J124" s="417"/>
      <c r="K124" s="417"/>
      <c r="L124" s="417"/>
      <c r="M124" s="417"/>
      <c r="N124" s="154" t="s">
        <v>24</v>
      </c>
      <c r="O124" s="150">
        <f>SUM('案件．要員情報'!O125:U125)</f>
        <v>0</v>
      </c>
      <c r="P124" s="150">
        <f>SUM('案件．要員情報'!V125:AA125)</f>
        <v>0</v>
      </c>
      <c r="Q124" s="150">
        <f>SUM('案件．要員情報'!AB125:AG125)</f>
        <v>0</v>
      </c>
      <c r="R124" s="150">
        <f>SUM('案件．要員情報'!AH125:AM125)</f>
        <v>0</v>
      </c>
      <c r="S124" s="150">
        <f>SUM('案件．要員情報'!AN125:AU125)</f>
        <v>0</v>
      </c>
      <c r="T124" s="150">
        <f>SUM('案件．要員情報'!AV125:BC125)</f>
        <v>0</v>
      </c>
      <c r="U124" s="150">
        <f>SUM('案件．要員情報'!BD125:BK125)</f>
        <v>0</v>
      </c>
      <c r="V124" s="150">
        <f>SUM('案件．要員情報'!BL125:BS125)</f>
        <v>0</v>
      </c>
      <c r="W124" s="150">
        <f>SUM('案件．要員情報'!BT125:CA125)</f>
        <v>0</v>
      </c>
      <c r="X124" s="150">
        <f>SUM('案件．要員情報'!CB125:CI125)</f>
        <v>0</v>
      </c>
      <c r="Y124" s="150">
        <f>SUM('案件．要員情報'!CJ125:CQ125)</f>
        <v>0</v>
      </c>
      <c r="Z124" s="150">
        <f>SUM('案件．要員情報'!CR125:CY125)</f>
        <v>0</v>
      </c>
      <c r="AA124" s="213">
        <f t="shared" ref="AA124:AA165" si="5">SUM(O124:Z124)</f>
        <v>0</v>
      </c>
    </row>
    <row r="125" spans="1:27" s="151" customFormat="1" ht="20.100000000000001" hidden="1" customHeight="1" outlineLevel="1" x14ac:dyDescent="0.4">
      <c r="A125" s="378"/>
      <c r="B125" s="380"/>
      <c r="C125" s="380"/>
      <c r="D125" s="382"/>
      <c r="E125" s="382"/>
      <c r="F125" s="382"/>
      <c r="G125" s="418"/>
      <c r="H125" s="418"/>
      <c r="I125" s="418"/>
      <c r="J125" s="418"/>
      <c r="K125" s="418"/>
      <c r="L125" s="418"/>
      <c r="M125" s="418"/>
      <c r="N125" s="155" t="s">
        <v>25</v>
      </c>
      <c r="O125" s="153">
        <f>SUM('案件．要員情報'!O126:U126)</f>
        <v>0</v>
      </c>
      <c r="P125" s="153">
        <f>SUM('案件．要員情報'!V126:AA126)</f>
        <v>0</v>
      </c>
      <c r="Q125" s="153">
        <f>SUM('案件．要員情報'!AB126:AG126)</f>
        <v>0</v>
      </c>
      <c r="R125" s="153">
        <f>SUM('案件．要員情報'!AH126:AM126)</f>
        <v>0</v>
      </c>
      <c r="S125" s="153">
        <f>SUM('案件．要員情報'!AN126:AU126)</f>
        <v>0</v>
      </c>
      <c r="T125" s="153">
        <f>SUM('案件．要員情報'!AV126:BC126)</f>
        <v>0</v>
      </c>
      <c r="U125" s="153">
        <f>SUM('案件．要員情報'!BD126:BK126)</f>
        <v>0</v>
      </c>
      <c r="V125" s="153">
        <f>SUM('案件．要員情報'!BL126:BS126)</f>
        <v>0</v>
      </c>
      <c r="W125" s="153">
        <f>SUM('案件．要員情報'!BT126:CA126)</f>
        <v>0</v>
      </c>
      <c r="X125" s="153">
        <f>SUM('案件．要員情報'!CB126:CI126)</f>
        <v>0</v>
      </c>
      <c r="Y125" s="153">
        <f>SUM('案件．要員情報'!CJ126:CQ126)</f>
        <v>0</v>
      </c>
      <c r="Z125" s="153">
        <f>SUM('案件．要員情報'!CR126:CY126)</f>
        <v>0</v>
      </c>
      <c r="AA125" s="156">
        <f t="shared" si="5"/>
        <v>0</v>
      </c>
    </row>
    <row r="126" spans="1:27" s="151" customFormat="1" ht="20.100000000000001" hidden="1" customHeight="1" outlineLevel="1" x14ac:dyDescent="0.4">
      <c r="A126" s="377">
        <v>61</v>
      </c>
      <c r="B126" s="379" t="s">
        <v>45</v>
      </c>
      <c r="C126" s="379" t="s">
        <v>346</v>
      </c>
      <c r="D126" s="381"/>
      <c r="E126" s="381"/>
      <c r="F126" s="381"/>
      <c r="G126" s="417"/>
      <c r="H126" s="417"/>
      <c r="I126" s="417"/>
      <c r="J126" s="417"/>
      <c r="K126" s="417"/>
      <c r="L126" s="417"/>
      <c r="M126" s="417"/>
      <c r="N126" s="154" t="s">
        <v>24</v>
      </c>
      <c r="O126" s="150">
        <f>SUM('案件．要員情報'!O127:U127)</f>
        <v>0</v>
      </c>
      <c r="P126" s="150">
        <f>SUM('案件．要員情報'!V127:AA127)</f>
        <v>0</v>
      </c>
      <c r="Q126" s="150">
        <f>SUM('案件．要員情報'!AB127:AG127)</f>
        <v>0</v>
      </c>
      <c r="R126" s="150">
        <f>SUM('案件．要員情報'!AH127:AM127)</f>
        <v>0</v>
      </c>
      <c r="S126" s="150">
        <f>SUM('案件．要員情報'!AN127:AU127)</f>
        <v>0</v>
      </c>
      <c r="T126" s="150">
        <f>SUM('案件．要員情報'!AV127:BC127)</f>
        <v>0</v>
      </c>
      <c r="U126" s="150">
        <f>SUM('案件．要員情報'!BD127:BK127)</f>
        <v>0</v>
      </c>
      <c r="V126" s="150">
        <f>SUM('案件．要員情報'!BL127:BS127)</f>
        <v>0</v>
      </c>
      <c r="W126" s="150">
        <f>SUM('案件．要員情報'!BT127:CA127)</f>
        <v>0</v>
      </c>
      <c r="X126" s="150">
        <f>SUM('案件．要員情報'!CB127:CI127)</f>
        <v>0</v>
      </c>
      <c r="Y126" s="150">
        <f>SUM('案件．要員情報'!CJ127:CQ127)</f>
        <v>0</v>
      </c>
      <c r="Z126" s="150">
        <f>SUM('案件．要員情報'!CR127:CY127)</f>
        <v>0</v>
      </c>
      <c r="AA126" s="213">
        <f t="shared" si="5"/>
        <v>0</v>
      </c>
    </row>
    <row r="127" spans="1:27" s="151" customFormat="1" ht="20.100000000000001" hidden="1" customHeight="1" outlineLevel="1" x14ac:dyDescent="0.4">
      <c r="A127" s="378"/>
      <c r="B127" s="380"/>
      <c r="C127" s="380"/>
      <c r="D127" s="382"/>
      <c r="E127" s="382"/>
      <c r="F127" s="382"/>
      <c r="G127" s="418"/>
      <c r="H127" s="418"/>
      <c r="I127" s="418"/>
      <c r="J127" s="418"/>
      <c r="K127" s="418"/>
      <c r="L127" s="418"/>
      <c r="M127" s="418"/>
      <c r="N127" s="155" t="s">
        <v>25</v>
      </c>
      <c r="O127" s="153">
        <f>SUM('案件．要員情報'!O128:U128)</f>
        <v>0</v>
      </c>
      <c r="P127" s="153">
        <f>SUM('案件．要員情報'!V128:AA128)</f>
        <v>0</v>
      </c>
      <c r="Q127" s="153">
        <f>SUM('案件．要員情報'!AB128:AG128)</f>
        <v>0</v>
      </c>
      <c r="R127" s="153">
        <f>SUM('案件．要員情報'!AH128:AM128)</f>
        <v>0</v>
      </c>
      <c r="S127" s="153">
        <f>SUM('案件．要員情報'!AN128:AU128)</f>
        <v>0</v>
      </c>
      <c r="T127" s="153">
        <f>SUM('案件．要員情報'!AV128:BC128)</f>
        <v>0</v>
      </c>
      <c r="U127" s="153">
        <f>SUM('案件．要員情報'!BD128:BK128)</f>
        <v>0</v>
      </c>
      <c r="V127" s="153">
        <f>SUM('案件．要員情報'!BL128:BS128)</f>
        <v>0</v>
      </c>
      <c r="W127" s="153">
        <f>SUM('案件．要員情報'!BT128:CA128)</f>
        <v>0</v>
      </c>
      <c r="X127" s="153">
        <f>SUM('案件．要員情報'!CB128:CI128)</f>
        <v>0</v>
      </c>
      <c r="Y127" s="153">
        <f>SUM('案件．要員情報'!CJ128:CQ128)</f>
        <v>0</v>
      </c>
      <c r="Z127" s="153">
        <f>SUM('案件．要員情報'!CR128:CY128)</f>
        <v>0</v>
      </c>
      <c r="AA127" s="156">
        <f t="shared" si="5"/>
        <v>0</v>
      </c>
    </row>
    <row r="128" spans="1:27" s="151" customFormat="1" ht="20.100000000000001" hidden="1" customHeight="1" outlineLevel="1" x14ac:dyDescent="0.4">
      <c r="A128" s="377">
        <v>62</v>
      </c>
      <c r="B128" s="379" t="s">
        <v>45</v>
      </c>
      <c r="C128" s="379" t="s">
        <v>346</v>
      </c>
      <c r="D128" s="381"/>
      <c r="E128" s="381"/>
      <c r="F128" s="381"/>
      <c r="G128" s="417"/>
      <c r="H128" s="417"/>
      <c r="I128" s="417"/>
      <c r="J128" s="417"/>
      <c r="K128" s="417"/>
      <c r="L128" s="417"/>
      <c r="M128" s="417"/>
      <c r="N128" s="154" t="s">
        <v>24</v>
      </c>
      <c r="O128" s="150">
        <f>SUM('案件．要員情報'!O129:U129)</f>
        <v>0</v>
      </c>
      <c r="P128" s="150">
        <f>SUM('案件．要員情報'!V129:AA129)</f>
        <v>0</v>
      </c>
      <c r="Q128" s="150">
        <f>SUM('案件．要員情報'!AB129:AG129)</f>
        <v>0</v>
      </c>
      <c r="R128" s="150">
        <f>SUM('案件．要員情報'!AH129:AM129)</f>
        <v>0</v>
      </c>
      <c r="S128" s="150">
        <f>SUM('案件．要員情報'!AN129:AU129)</f>
        <v>0</v>
      </c>
      <c r="T128" s="150">
        <f>SUM('案件．要員情報'!AV129:BC129)</f>
        <v>0</v>
      </c>
      <c r="U128" s="150">
        <f>SUM('案件．要員情報'!BD129:BK129)</f>
        <v>0</v>
      </c>
      <c r="V128" s="150">
        <f>SUM('案件．要員情報'!BL129:BS129)</f>
        <v>0</v>
      </c>
      <c r="W128" s="150">
        <f>SUM('案件．要員情報'!BT129:CA129)</f>
        <v>0</v>
      </c>
      <c r="X128" s="150">
        <f>SUM('案件．要員情報'!CB129:CI129)</f>
        <v>0</v>
      </c>
      <c r="Y128" s="150">
        <f>SUM('案件．要員情報'!CJ129:CQ129)</f>
        <v>0</v>
      </c>
      <c r="Z128" s="150">
        <f>SUM('案件．要員情報'!CR129:CY129)</f>
        <v>0</v>
      </c>
      <c r="AA128" s="213">
        <f t="shared" si="5"/>
        <v>0</v>
      </c>
    </row>
    <row r="129" spans="1:27" s="151" customFormat="1" ht="20.100000000000001" hidden="1" customHeight="1" outlineLevel="1" x14ac:dyDescent="0.4">
      <c r="A129" s="378"/>
      <c r="B129" s="380"/>
      <c r="C129" s="380"/>
      <c r="D129" s="382"/>
      <c r="E129" s="382"/>
      <c r="F129" s="382"/>
      <c r="G129" s="418"/>
      <c r="H129" s="418"/>
      <c r="I129" s="418"/>
      <c r="J129" s="418"/>
      <c r="K129" s="418"/>
      <c r="L129" s="418"/>
      <c r="M129" s="418"/>
      <c r="N129" s="155" t="s">
        <v>25</v>
      </c>
      <c r="O129" s="153">
        <f>SUM('案件．要員情報'!O130:U130)</f>
        <v>0</v>
      </c>
      <c r="P129" s="153">
        <f>SUM('案件．要員情報'!V130:AA130)</f>
        <v>0</v>
      </c>
      <c r="Q129" s="153">
        <f>SUM('案件．要員情報'!AB130:AG130)</f>
        <v>0</v>
      </c>
      <c r="R129" s="153">
        <f>SUM('案件．要員情報'!AH130:AM130)</f>
        <v>0</v>
      </c>
      <c r="S129" s="153">
        <f>SUM('案件．要員情報'!AN130:AU130)</f>
        <v>0</v>
      </c>
      <c r="T129" s="153">
        <f>SUM('案件．要員情報'!AV130:BC130)</f>
        <v>0</v>
      </c>
      <c r="U129" s="153">
        <f>SUM('案件．要員情報'!BD130:BK130)</f>
        <v>0</v>
      </c>
      <c r="V129" s="153">
        <f>SUM('案件．要員情報'!BL130:BS130)</f>
        <v>0</v>
      </c>
      <c r="W129" s="153">
        <f>SUM('案件．要員情報'!BT130:CA130)</f>
        <v>0</v>
      </c>
      <c r="X129" s="153">
        <f>SUM('案件．要員情報'!CB130:CI130)</f>
        <v>0</v>
      </c>
      <c r="Y129" s="153">
        <f>SUM('案件．要員情報'!CJ130:CQ130)</f>
        <v>0</v>
      </c>
      <c r="Z129" s="153">
        <f>SUM('案件．要員情報'!CR130:CY130)</f>
        <v>0</v>
      </c>
      <c r="AA129" s="156">
        <f t="shared" si="5"/>
        <v>0</v>
      </c>
    </row>
    <row r="130" spans="1:27" s="151" customFormat="1" ht="20.100000000000001" hidden="1" customHeight="1" outlineLevel="1" x14ac:dyDescent="0.4">
      <c r="A130" s="377">
        <v>63</v>
      </c>
      <c r="B130" s="379" t="s">
        <v>45</v>
      </c>
      <c r="C130" s="379" t="s">
        <v>346</v>
      </c>
      <c r="D130" s="381"/>
      <c r="E130" s="381"/>
      <c r="F130" s="381"/>
      <c r="G130" s="417"/>
      <c r="H130" s="417"/>
      <c r="I130" s="417"/>
      <c r="J130" s="417"/>
      <c r="K130" s="417"/>
      <c r="L130" s="417"/>
      <c r="M130" s="417"/>
      <c r="N130" s="154" t="s">
        <v>24</v>
      </c>
      <c r="O130" s="150">
        <f>SUM('案件．要員情報'!O131:U131)</f>
        <v>0</v>
      </c>
      <c r="P130" s="150">
        <f>SUM('案件．要員情報'!V131:AA131)</f>
        <v>0</v>
      </c>
      <c r="Q130" s="150">
        <f>SUM('案件．要員情報'!AB131:AG131)</f>
        <v>0</v>
      </c>
      <c r="R130" s="150">
        <f>SUM('案件．要員情報'!AH131:AM131)</f>
        <v>0</v>
      </c>
      <c r="S130" s="150">
        <f>SUM('案件．要員情報'!AN131:AU131)</f>
        <v>0</v>
      </c>
      <c r="T130" s="150">
        <f>SUM('案件．要員情報'!AV131:BC131)</f>
        <v>0</v>
      </c>
      <c r="U130" s="150">
        <f>SUM('案件．要員情報'!BD131:BK131)</f>
        <v>0</v>
      </c>
      <c r="V130" s="150">
        <f>SUM('案件．要員情報'!BL131:BS131)</f>
        <v>0</v>
      </c>
      <c r="W130" s="150">
        <f>SUM('案件．要員情報'!BT131:CA131)</f>
        <v>0</v>
      </c>
      <c r="X130" s="150">
        <f>SUM('案件．要員情報'!CB131:CI131)</f>
        <v>0</v>
      </c>
      <c r="Y130" s="150">
        <f>SUM('案件．要員情報'!CJ131:CQ131)</f>
        <v>0</v>
      </c>
      <c r="Z130" s="150">
        <f>SUM('案件．要員情報'!CR131:CY131)</f>
        <v>0</v>
      </c>
      <c r="AA130" s="213">
        <f t="shared" si="5"/>
        <v>0</v>
      </c>
    </row>
    <row r="131" spans="1:27" s="151" customFormat="1" ht="20.100000000000001" hidden="1" customHeight="1" outlineLevel="1" x14ac:dyDescent="0.4">
      <c r="A131" s="378"/>
      <c r="B131" s="380"/>
      <c r="C131" s="380"/>
      <c r="D131" s="382"/>
      <c r="E131" s="382"/>
      <c r="F131" s="382"/>
      <c r="G131" s="418"/>
      <c r="H131" s="418"/>
      <c r="I131" s="418"/>
      <c r="J131" s="418"/>
      <c r="K131" s="418"/>
      <c r="L131" s="418"/>
      <c r="M131" s="418"/>
      <c r="N131" s="155" t="s">
        <v>25</v>
      </c>
      <c r="O131" s="153">
        <f>SUM('案件．要員情報'!O132:U132)</f>
        <v>0</v>
      </c>
      <c r="P131" s="153">
        <f>SUM('案件．要員情報'!V132:AA132)</f>
        <v>0</v>
      </c>
      <c r="Q131" s="153">
        <f>SUM('案件．要員情報'!AB132:AG132)</f>
        <v>0</v>
      </c>
      <c r="R131" s="153">
        <f>SUM('案件．要員情報'!AH132:AM132)</f>
        <v>0</v>
      </c>
      <c r="S131" s="153">
        <f>SUM('案件．要員情報'!AN132:AU132)</f>
        <v>0</v>
      </c>
      <c r="T131" s="153">
        <f>SUM('案件．要員情報'!AV132:BC132)</f>
        <v>0</v>
      </c>
      <c r="U131" s="153">
        <f>SUM('案件．要員情報'!BD132:BK132)</f>
        <v>0</v>
      </c>
      <c r="V131" s="153">
        <f>SUM('案件．要員情報'!BL132:BS132)</f>
        <v>0</v>
      </c>
      <c r="W131" s="153">
        <f>SUM('案件．要員情報'!BT132:CA132)</f>
        <v>0</v>
      </c>
      <c r="X131" s="153">
        <f>SUM('案件．要員情報'!CB132:CI132)</f>
        <v>0</v>
      </c>
      <c r="Y131" s="153">
        <f>SUM('案件．要員情報'!CJ132:CQ132)</f>
        <v>0</v>
      </c>
      <c r="Z131" s="153">
        <f>SUM('案件．要員情報'!CR132:CY132)</f>
        <v>0</v>
      </c>
      <c r="AA131" s="156">
        <f t="shared" si="5"/>
        <v>0</v>
      </c>
    </row>
    <row r="132" spans="1:27" s="151" customFormat="1" ht="20.100000000000001" hidden="1" customHeight="1" outlineLevel="1" x14ac:dyDescent="0.4">
      <c r="A132" s="377">
        <v>64</v>
      </c>
      <c r="B132" s="379" t="s">
        <v>45</v>
      </c>
      <c r="C132" s="379" t="s">
        <v>346</v>
      </c>
      <c r="D132" s="381"/>
      <c r="E132" s="381"/>
      <c r="F132" s="381"/>
      <c r="G132" s="417"/>
      <c r="H132" s="417"/>
      <c r="I132" s="417"/>
      <c r="J132" s="417"/>
      <c r="K132" s="417"/>
      <c r="L132" s="417"/>
      <c r="M132" s="417"/>
      <c r="N132" s="154" t="s">
        <v>24</v>
      </c>
      <c r="O132" s="150">
        <f>SUM('案件．要員情報'!O133:U133)</f>
        <v>0</v>
      </c>
      <c r="P132" s="150">
        <f>SUM('案件．要員情報'!V133:AA133)</f>
        <v>0</v>
      </c>
      <c r="Q132" s="150">
        <f>SUM('案件．要員情報'!AB133:AG133)</f>
        <v>0</v>
      </c>
      <c r="R132" s="150">
        <f>SUM('案件．要員情報'!AH133:AM133)</f>
        <v>0</v>
      </c>
      <c r="S132" s="150">
        <f>SUM('案件．要員情報'!AN133:AU133)</f>
        <v>0</v>
      </c>
      <c r="T132" s="150">
        <f>SUM('案件．要員情報'!AV133:BC133)</f>
        <v>0</v>
      </c>
      <c r="U132" s="150">
        <f>SUM('案件．要員情報'!BD133:BK133)</f>
        <v>0</v>
      </c>
      <c r="V132" s="150">
        <f>SUM('案件．要員情報'!BL133:BS133)</f>
        <v>0</v>
      </c>
      <c r="W132" s="150">
        <f>SUM('案件．要員情報'!BT133:CA133)</f>
        <v>0</v>
      </c>
      <c r="X132" s="150">
        <f>SUM('案件．要員情報'!CB133:CI133)</f>
        <v>0</v>
      </c>
      <c r="Y132" s="150">
        <f>SUM('案件．要員情報'!CJ133:CQ133)</f>
        <v>0</v>
      </c>
      <c r="Z132" s="150">
        <f>SUM('案件．要員情報'!CR133:CY133)</f>
        <v>0</v>
      </c>
      <c r="AA132" s="213">
        <f t="shared" si="5"/>
        <v>0</v>
      </c>
    </row>
    <row r="133" spans="1:27" s="151" customFormat="1" ht="20.100000000000001" hidden="1" customHeight="1" outlineLevel="1" x14ac:dyDescent="0.4">
      <c r="A133" s="378"/>
      <c r="B133" s="380"/>
      <c r="C133" s="380"/>
      <c r="D133" s="382"/>
      <c r="E133" s="382"/>
      <c r="F133" s="382"/>
      <c r="G133" s="418"/>
      <c r="H133" s="418"/>
      <c r="I133" s="418"/>
      <c r="J133" s="418"/>
      <c r="K133" s="418"/>
      <c r="L133" s="418"/>
      <c r="M133" s="418"/>
      <c r="N133" s="155" t="s">
        <v>25</v>
      </c>
      <c r="O133" s="153">
        <f>SUM('案件．要員情報'!O134:U134)</f>
        <v>0</v>
      </c>
      <c r="P133" s="153">
        <f>SUM('案件．要員情報'!V134:AA134)</f>
        <v>0</v>
      </c>
      <c r="Q133" s="153">
        <f>SUM('案件．要員情報'!AB134:AG134)</f>
        <v>0</v>
      </c>
      <c r="R133" s="153">
        <f>SUM('案件．要員情報'!AH134:AM134)</f>
        <v>0</v>
      </c>
      <c r="S133" s="153">
        <f>SUM('案件．要員情報'!AN134:AU134)</f>
        <v>0</v>
      </c>
      <c r="T133" s="153">
        <f>SUM('案件．要員情報'!AV134:BC134)</f>
        <v>0</v>
      </c>
      <c r="U133" s="153">
        <f>SUM('案件．要員情報'!BD134:BK134)</f>
        <v>0</v>
      </c>
      <c r="V133" s="153">
        <f>SUM('案件．要員情報'!BL134:BS134)</f>
        <v>0</v>
      </c>
      <c r="W133" s="153">
        <f>SUM('案件．要員情報'!BT134:CA134)</f>
        <v>0</v>
      </c>
      <c r="X133" s="153">
        <f>SUM('案件．要員情報'!CB134:CI134)</f>
        <v>0</v>
      </c>
      <c r="Y133" s="153">
        <f>SUM('案件．要員情報'!CJ134:CQ134)</f>
        <v>0</v>
      </c>
      <c r="Z133" s="153">
        <f>SUM('案件．要員情報'!CR134:CY134)</f>
        <v>0</v>
      </c>
      <c r="AA133" s="156">
        <f t="shared" si="5"/>
        <v>0</v>
      </c>
    </row>
    <row r="134" spans="1:27" s="151" customFormat="1" ht="20.100000000000001" hidden="1" customHeight="1" outlineLevel="1" x14ac:dyDescent="0.4">
      <c r="A134" s="377">
        <v>65</v>
      </c>
      <c r="B134" s="379" t="s">
        <v>45</v>
      </c>
      <c r="C134" s="379" t="s">
        <v>346</v>
      </c>
      <c r="D134" s="381"/>
      <c r="E134" s="381"/>
      <c r="F134" s="381"/>
      <c r="G134" s="417"/>
      <c r="H134" s="417"/>
      <c r="I134" s="417"/>
      <c r="J134" s="417"/>
      <c r="K134" s="417"/>
      <c r="L134" s="417"/>
      <c r="M134" s="417"/>
      <c r="N134" s="154" t="s">
        <v>24</v>
      </c>
      <c r="O134" s="150">
        <f>SUM('案件．要員情報'!O135:U135)</f>
        <v>0</v>
      </c>
      <c r="P134" s="150">
        <f>SUM('案件．要員情報'!V135:AA135)</f>
        <v>0</v>
      </c>
      <c r="Q134" s="150">
        <f>SUM('案件．要員情報'!AB135:AG135)</f>
        <v>0</v>
      </c>
      <c r="R134" s="150">
        <f>SUM('案件．要員情報'!AH135:AM135)</f>
        <v>0</v>
      </c>
      <c r="S134" s="150">
        <f>SUM('案件．要員情報'!AN135:AU135)</f>
        <v>0</v>
      </c>
      <c r="T134" s="150">
        <f>SUM('案件．要員情報'!AV135:BC135)</f>
        <v>0</v>
      </c>
      <c r="U134" s="150">
        <f>SUM('案件．要員情報'!BD135:BK135)</f>
        <v>0</v>
      </c>
      <c r="V134" s="150">
        <f>SUM('案件．要員情報'!BL135:BS135)</f>
        <v>0</v>
      </c>
      <c r="W134" s="150">
        <f>SUM('案件．要員情報'!BT135:CA135)</f>
        <v>0</v>
      </c>
      <c r="X134" s="150">
        <f>SUM('案件．要員情報'!CB135:CI135)</f>
        <v>0</v>
      </c>
      <c r="Y134" s="150">
        <f>SUM('案件．要員情報'!CJ135:CQ135)</f>
        <v>0</v>
      </c>
      <c r="Z134" s="150">
        <f>SUM('案件．要員情報'!CR135:CY135)</f>
        <v>0</v>
      </c>
      <c r="AA134" s="213">
        <f t="shared" si="5"/>
        <v>0</v>
      </c>
    </row>
    <row r="135" spans="1:27" s="151" customFormat="1" ht="20.100000000000001" hidden="1" customHeight="1" outlineLevel="1" x14ac:dyDescent="0.4">
      <c r="A135" s="378"/>
      <c r="B135" s="380"/>
      <c r="C135" s="380"/>
      <c r="D135" s="382"/>
      <c r="E135" s="382"/>
      <c r="F135" s="382"/>
      <c r="G135" s="418"/>
      <c r="H135" s="418"/>
      <c r="I135" s="418"/>
      <c r="J135" s="418"/>
      <c r="K135" s="418"/>
      <c r="L135" s="418"/>
      <c r="M135" s="418"/>
      <c r="N135" s="155" t="s">
        <v>25</v>
      </c>
      <c r="O135" s="153">
        <f>SUM('案件．要員情報'!O136:U136)</f>
        <v>0</v>
      </c>
      <c r="P135" s="153">
        <f>SUM('案件．要員情報'!V136:AA136)</f>
        <v>0</v>
      </c>
      <c r="Q135" s="153">
        <f>SUM('案件．要員情報'!AB136:AG136)</f>
        <v>0</v>
      </c>
      <c r="R135" s="153">
        <f>SUM('案件．要員情報'!AH136:AM136)</f>
        <v>0</v>
      </c>
      <c r="S135" s="153">
        <f>SUM('案件．要員情報'!AN136:AU136)</f>
        <v>0</v>
      </c>
      <c r="T135" s="153">
        <f>SUM('案件．要員情報'!AV136:BC136)</f>
        <v>0</v>
      </c>
      <c r="U135" s="153">
        <f>SUM('案件．要員情報'!BD136:BK136)</f>
        <v>0</v>
      </c>
      <c r="V135" s="153">
        <f>SUM('案件．要員情報'!BL136:BS136)</f>
        <v>0</v>
      </c>
      <c r="W135" s="153">
        <f>SUM('案件．要員情報'!BT136:CA136)</f>
        <v>0</v>
      </c>
      <c r="X135" s="153">
        <f>SUM('案件．要員情報'!CB136:CI136)</f>
        <v>0</v>
      </c>
      <c r="Y135" s="153">
        <f>SUM('案件．要員情報'!CJ136:CQ136)</f>
        <v>0</v>
      </c>
      <c r="Z135" s="153">
        <f>SUM('案件．要員情報'!CR136:CY136)</f>
        <v>0</v>
      </c>
      <c r="AA135" s="156">
        <f t="shared" si="5"/>
        <v>0</v>
      </c>
    </row>
    <row r="136" spans="1:27" s="151" customFormat="1" ht="20.100000000000001" hidden="1" customHeight="1" outlineLevel="1" x14ac:dyDescent="0.4">
      <c r="A136" s="377">
        <v>66</v>
      </c>
      <c r="B136" s="379" t="s">
        <v>45</v>
      </c>
      <c r="C136" s="379" t="s">
        <v>346</v>
      </c>
      <c r="D136" s="381"/>
      <c r="E136" s="381"/>
      <c r="F136" s="381"/>
      <c r="G136" s="417"/>
      <c r="H136" s="417"/>
      <c r="I136" s="417"/>
      <c r="J136" s="417"/>
      <c r="K136" s="417"/>
      <c r="L136" s="417"/>
      <c r="M136" s="417"/>
      <c r="N136" s="154" t="s">
        <v>24</v>
      </c>
      <c r="O136" s="150">
        <f>SUM('案件．要員情報'!O137:U137)</f>
        <v>0</v>
      </c>
      <c r="P136" s="150">
        <f>SUM('案件．要員情報'!V137:AA137)</f>
        <v>0</v>
      </c>
      <c r="Q136" s="150">
        <f>SUM('案件．要員情報'!AB137:AG137)</f>
        <v>0</v>
      </c>
      <c r="R136" s="150">
        <f>SUM('案件．要員情報'!AH137:AM137)</f>
        <v>0</v>
      </c>
      <c r="S136" s="150">
        <f>SUM('案件．要員情報'!AN137:AU137)</f>
        <v>0</v>
      </c>
      <c r="T136" s="150">
        <f>SUM('案件．要員情報'!AV137:BC137)</f>
        <v>0</v>
      </c>
      <c r="U136" s="150">
        <f>SUM('案件．要員情報'!BD137:BK137)</f>
        <v>0</v>
      </c>
      <c r="V136" s="150">
        <f>SUM('案件．要員情報'!BL137:BS137)</f>
        <v>0</v>
      </c>
      <c r="W136" s="150">
        <f>SUM('案件．要員情報'!BT137:CA137)</f>
        <v>0</v>
      </c>
      <c r="X136" s="150">
        <f>SUM('案件．要員情報'!CB137:CI137)</f>
        <v>0</v>
      </c>
      <c r="Y136" s="150">
        <f>SUM('案件．要員情報'!CJ137:CQ137)</f>
        <v>0</v>
      </c>
      <c r="Z136" s="150">
        <f>SUM('案件．要員情報'!CR137:CY137)</f>
        <v>0</v>
      </c>
      <c r="AA136" s="213">
        <f t="shared" si="5"/>
        <v>0</v>
      </c>
    </row>
    <row r="137" spans="1:27" s="151" customFormat="1" ht="20.100000000000001" hidden="1" customHeight="1" outlineLevel="1" x14ac:dyDescent="0.4">
      <c r="A137" s="378"/>
      <c r="B137" s="380"/>
      <c r="C137" s="380"/>
      <c r="D137" s="382"/>
      <c r="E137" s="382"/>
      <c r="F137" s="382"/>
      <c r="G137" s="418"/>
      <c r="H137" s="418"/>
      <c r="I137" s="418"/>
      <c r="J137" s="418"/>
      <c r="K137" s="418"/>
      <c r="L137" s="418"/>
      <c r="M137" s="418"/>
      <c r="N137" s="155" t="s">
        <v>25</v>
      </c>
      <c r="O137" s="153">
        <f>SUM('案件．要員情報'!O138:U138)</f>
        <v>0</v>
      </c>
      <c r="P137" s="153">
        <f>SUM('案件．要員情報'!V138:AA138)</f>
        <v>0</v>
      </c>
      <c r="Q137" s="153">
        <f>SUM('案件．要員情報'!AB138:AG138)</f>
        <v>0</v>
      </c>
      <c r="R137" s="153">
        <f>SUM('案件．要員情報'!AH138:AM138)</f>
        <v>0</v>
      </c>
      <c r="S137" s="153">
        <f>SUM('案件．要員情報'!AN138:AU138)</f>
        <v>0</v>
      </c>
      <c r="T137" s="153">
        <f>SUM('案件．要員情報'!AV138:BC138)</f>
        <v>0</v>
      </c>
      <c r="U137" s="153">
        <f>SUM('案件．要員情報'!BD138:BK138)</f>
        <v>0</v>
      </c>
      <c r="V137" s="153">
        <f>SUM('案件．要員情報'!BL138:BS138)</f>
        <v>0</v>
      </c>
      <c r="W137" s="153">
        <f>SUM('案件．要員情報'!BT138:CA138)</f>
        <v>0</v>
      </c>
      <c r="X137" s="153">
        <f>SUM('案件．要員情報'!CB138:CI138)</f>
        <v>0</v>
      </c>
      <c r="Y137" s="153">
        <f>SUM('案件．要員情報'!CJ138:CQ138)</f>
        <v>0</v>
      </c>
      <c r="Z137" s="153">
        <f>SUM('案件．要員情報'!CR138:CY138)</f>
        <v>0</v>
      </c>
      <c r="AA137" s="156">
        <f t="shared" si="5"/>
        <v>0</v>
      </c>
    </row>
    <row r="138" spans="1:27" s="151" customFormat="1" ht="20.100000000000001" hidden="1" customHeight="1" outlineLevel="1" x14ac:dyDescent="0.4">
      <c r="A138" s="377">
        <v>67</v>
      </c>
      <c r="B138" s="379" t="s">
        <v>45</v>
      </c>
      <c r="C138" s="379" t="s">
        <v>346</v>
      </c>
      <c r="D138" s="381"/>
      <c r="E138" s="381"/>
      <c r="F138" s="381"/>
      <c r="G138" s="417"/>
      <c r="H138" s="417"/>
      <c r="I138" s="417"/>
      <c r="J138" s="417"/>
      <c r="K138" s="417"/>
      <c r="L138" s="417"/>
      <c r="M138" s="417"/>
      <c r="N138" s="154" t="s">
        <v>24</v>
      </c>
      <c r="O138" s="150">
        <f>SUM('案件．要員情報'!O139:U139)</f>
        <v>0</v>
      </c>
      <c r="P138" s="150">
        <f>SUM('案件．要員情報'!V139:AA139)</f>
        <v>0</v>
      </c>
      <c r="Q138" s="150">
        <f>SUM('案件．要員情報'!AB139:AG139)</f>
        <v>0</v>
      </c>
      <c r="R138" s="150">
        <f>SUM('案件．要員情報'!AH139:AM139)</f>
        <v>0</v>
      </c>
      <c r="S138" s="150">
        <f>SUM('案件．要員情報'!AN139:AU139)</f>
        <v>0</v>
      </c>
      <c r="T138" s="150">
        <f>SUM('案件．要員情報'!AV139:BC139)</f>
        <v>0</v>
      </c>
      <c r="U138" s="150">
        <f>SUM('案件．要員情報'!BD139:BK139)</f>
        <v>0</v>
      </c>
      <c r="V138" s="150">
        <f>SUM('案件．要員情報'!BL139:BS139)</f>
        <v>0</v>
      </c>
      <c r="W138" s="150">
        <f>SUM('案件．要員情報'!BT139:CA139)</f>
        <v>0</v>
      </c>
      <c r="X138" s="150">
        <f>SUM('案件．要員情報'!CB139:CI139)</f>
        <v>0</v>
      </c>
      <c r="Y138" s="150">
        <f>SUM('案件．要員情報'!CJ139:CQ139)</f>
        <v>0</v>
      </c>
      <c r="Z138" s="150">
        <f>SUM('案件．要員情報'!CR139:CY139)</f>
        <v>0</v>
      </c>
      <c r="AA138" s="213">
        <f t="shared" si="5"/>
        <v>0</v>
      </c>
    </row>
    <row r="139" spans="1:27" s="151" customFormat="1" ht="20.100000000000001" hidden="1" customHeight="1" outlineLevel="1" x14ac:dyDescent="0.4">
      <c r="A139" s="378"/>
      <c r="B139" s="380"/>
      <c r="C139" s="380"/>
      <c r="D139" s="382"/>
      <c r="E139" s="382"/>
      <c r="F139" s="382"/>
      <c r="G139" s="418"/>
      <c r="H139" s="418"/>
      <c r="I139" s="418"/>
      <c r="J139" s="418"/>
      <c r="K139" s="418"/>
      <c r="L139" s="418"/>
      <c r="M139" s="418"/>
      <c r="N139" s="155" t="s">
        <v>25</v>
      </c>
      <c r="O139" s="153">
        <f>SUM('案件．要員情報'!O140:U140)</f>
        <v>0</v>
      </c>
      <c r="P139" s="153">
        <f>SUM('案件．要員情報'!V140:AA140)</f>
        <v>0</v>
      </c>
      <c r="Q139" s="153">
        <f>SUM('案件．要員情報'!AB140:AG140)</f>
        <v>0</v>
      </c>
      <c r="R139" s="153">
        <f>SUM('案件．要員情報'!AH140:AM140)</f>
        <v>0</v>
      </c>
      <c r="S139" s="153">
        <f>SUM('案件．要員情報'!AN140:AU140)</f>
        <v>0</v>
      </c>
      <c r="T139" s="153">
        <f>SUM('案件．要員情報'!AV140:BC140)</f>
        <v>0</v>
      </c>
      <c r="U139" s="153">
        <f>SUM('案件．要員情報'!BD140:BK140)</f>
        <v>0</v>
      </c>
      <c r="V139" s="153">
        <f>SUM('案件．要員情報'!BL140:BS140)</f>
        <v>0</v>
      </c>
      <c r="W139" s="153">
        <f>SUM('案件．要員情報'!BT140:CA140)</f>
        <v>0</v>
      </c>
      <c r="X139" s="153">
        <f>SUM('案件．要員情報'!CB140:CI140)</f>
        <v>0</v>
      </c>
      <c r="Y139" s="153">
        <f>SUM('案件．要員情報'!CJ140:CQ140)</f>
        <v>0</v>
      </c>
      <c r="Z139" s="153">
        <f>SUM('案件．要員情報'!CR140:CY140)</f>
        <v>0</v>
      </c>
      <c r="AA139" s="156">
        <f t="shared" si="5"/>
        <v>0</v>
      </c>
    </row>
    <row r="140" spans="1:27" s="151" customFormat="1" ht="20.100000000000001" hidden="1" customHeight="1" outlineLevel="1" x14ac:dyDescent="0.4">
      <c r="A140" s="377">
        <v>68</v>
      </c>
      <c r="B140" s="379" t="s">
        <v>45</v>
      </c>
      <c r="C140" s="379" t="s">
        <v>346</v>
      </c>
      <c r="D140" s="381"/>
      <c r="E140" s="381"/>
      <c r="F140" s="381"/>
      <c r="G140" s="417"/>
      <c r="H140" s="417"/>
      <c r="I140" s="417"/>
      <c r="J140" s="417"/>
      <c r="K140" s="417"/>
      <c r="L140" s="417"/>
      <c r="M140" s="417"/>
      <c r="N140" s="154" t="s">
        <v>24</v>
      </c>
      <c r="O140" s="150">
        <f>SUM('案件．要員情報'!O141:U141)</f>
        <v>0</v>
      </c>
      <c r="P140" s="150">
        <f>SUM('案件．要員情報'!V141:AA141)</f>
        <v>0</v>
      </c>
      <c r="Q140" s="150">
        <f>SUM('案件．要員情報'!AB141:AG141)</f>
        <v>0</v>
      </c>
      <c r="R140" s="150">
        <f>SUM('案件．要員情報'!AH141:AM141)</f>
        <v>0</v>
      </c>
      <c r="S140" s="150">
        <f>SUM('案件．要員情報'!AN141:AU141)</f>
        <v>0</v>
      </c>
      <c r="T140" s="150">
        <f>SUM('案件．要員情報'!AV141:BC141)</f>
        <v>0</v>
      </c>
      <c r="U140" s="150">
        <f>SUM('案件．要員情報'!BD141:BK141)</f>
        <v>0</v>
      </c>
      <c r="V140" s="150">
        <f>SUM('案件．要員情報'!BL141:BS141)</f>
        <v>0</v>
      </c>
      <c r="W140" s="150">
        <f>SUM('案件．要員情報'!BT141:CA141)</f>
        <v>0</v>
      </c>
      <c r="X140" s="150">
        <f>SUM('案件．要員情報'!CB141:CI141)</f>
        <v>0</v>
      </c>
      <c r="Y140" s="150">
        <f>SUM('案件．要員情報'!CJ141:CQ141)</f>
        <v>0</v>
      </c>
      <c r="Z140" s="150">
        <f>SUM('案件．要員情報'!CR141:CY141)</f>
        <v>0</v>
      </c>
      <c r="AA140" s="213">
        <f t="shared" si="5"/>
        <v>0</v>
      </c>
    </row>
    <row r="141" spans="1:27" s="151" customFormat="1" ht="20.100000000000001" hidden="1" customHeight="1" outlineLevel="1" x14ac:dyDescent="0.4">
      <c r="A141" s="378"/>
      <c r="B141" s="380"/>
      <c r="C141" s="380"/>
      <c r="D141" s="382"/>
      <c r="E141" s="382"/>
      <c r="F141" s="382"/>
      <c r="G141" s="418"/>
      <c r="H141" s="418"/>
      <c r="I141" s="418"/>
      <c r="J141" s="418"/>
      <c r="K141" s="418"/>
      <c r="L141" s="418"/>
      <c r="M141" s="418"/>
      <c r="N141" s="155" t="s">
        <v>25</v>
      </c>
      <c r="O141" s="153">
        <f>SUM('案件．要員情報'!O142:U142)</f>
        <v>0</v>
      </c>
      <c r="P141" s="153">
        <f>SUM('案件．要員情報'!V142:AA142)</f>
        <v>0</v>
      </c>
      <c r="Q141" s="153">
        <f>SUM('案件．要員情報'!AB142:AG142)</f>
        <v>0</v>
      </c>
      <c r="R141" s="153">
        <f>SUM('案件．要員情報'!AH142:AM142)</f>
        <v>0</v>
      </c>
      <c r="S141" s="153">
        <f>SUM('案件．要員情報'!AN142:AU142)</f>
        <v>0</v>
      </c>
      <c r="T141" s="153">
        <f>SUM('案件．要員情報'!AV142:BC142)</f>
        <v>0</v>
      </c>
      <c r="U141" s="153">
        <f>SUM('案件．要員情報'!BD142:BK142)</f>
        <v>0</v>
      </c>
      <c r="V141" s="153">
        <f>SUM('案件．要員情報'!BL142:BS142)</f>
        <v>0</v>
      </c>
      <c r="W141" s="153">
        <f>SUM('案件．要員情報'!BT142:CA142)</f>
        <v>0</v>
      </c>
      <c r="X141" s="153">
        <f>SUM('案件．要員情報'!CB142:CI142)</f>
        <v>0</v>
      </c>
      <c r="Y141" s="153">
        <f>SUM('案件．要員情報'!CJ142:CQ142)</f>
        <v>0</v>
      </c>
      <c r="Z141" s="153">
        <f>SUM('案件．要員情報'!CR142:CY142)</f>
        <v>0</v>
      </c>
      <c r="AA141" s="156">
        <f t="shared" si="5"/>
        <v>0</v>
      </c>
    </row>
    <row r="142" spans="1:27" s="151" customFormat="1" ht="20.100000000000001" hidden="1" customHeight="1" outlineLevel="1" x14ac:dyDescent="0.4">
      <c r="A142" s="377">
        <v>69</v>
      </c>
      <c r="B142" s="379" t="s">
        <v>45</v>
      </c>
      <c r="C142" s="379" t="s">
        <v>346</v>
      </c>
      <c r="D142" s="381"/>
      <c r="E142" s="381"/>
      <c r="F142" s="381"/>
      <c r="G142" s="417"/>
      <c r="H142" s="417"/>
      <c r="I142" s="417"/>
      <c r="J142" s="417"/>
      <c r="K142" s="417"/>
      <c r="L142" s="417"/>
      <c r="M142" s="417"/>
      <c r="N142" s="154" t="s">
        <v>24</v>
      </c>
      <c r="O142" s="150">
        <f>SUM('案件．要員情報'!O143:U143)</f>
        <v>0</v>
      </c>
      <c r="P142" s="150">
        <f>SUM('案件．要員情報'!V143:AA143)</f>
        <v>0</v>
      </c>
      <c r="Q142" s="150">
        <f>SUM('案件．要員情報'!AB143:AG143)</f>
        <v>0</v>
      </c>
      <c r="R142" s="150">
        <f>SUM('案件．要員情報'!AH143:AM143)</f>
        <v>0</v>
      </c>
      <c r="S142" s="150">
        <f>SUM('案件．要員情報'!AN143:AU143)</f>
        <v>0</v>
      </c>
      <c r="T142" s="150">
        <f>SUM('案件．要員情報'!AV143:BC143)</f>
        <v>0</v>
      </c>
      <c r="U142" s="150">
        <f>SUM('案件．要員情報'!BD143:BK143)</f>
        <v>0</v>
      </c>
      <c r="V142" s="150">
        <f>SUM('案件．要員情報'!BL143:BS143)</f>
        <v>0</v>
      </c>
      <c r="W142" s="150">
        <f>SUM('案件．要員情報'!BT143:CA143)</f>
        <v>0</v>
      </c>
      <c r="X142" s="150">
        <f>SUM('案件．要員情報'!CB143:CI143)</f>
        <v>0</v>
      </c>
      <c r="Y142" s="150">
        <f>SUM('案件．要員情報'!CJ143:CQ143)</f>
        <v>0</v>
      </c>
      <c r="Z142" s="150">
        <f>SUM('案件．要員情報'!CR143:CY143)</f>
        <v>0</v>
      </c>
      <c r="AA142" s="213">
        <f t="shared" si="5"/>
        <v>0</v>
      </c>
    </row>
    <row r="143" spans="1:27" s="151" customFormat="1" ht="20.100000000000001" hidden="1" customHeight="1" outlineLevel="1" x14ac:dyDescent="0.4">
      <c r="A143" s="378"/>
      <c r="B143" s="380"/>
      <c r="C143" s="380"/>
      <c r="D143" s="382"/>
      <c r="E143" s="382"/>
      <c r="F143" s="382"/>
      <c r="G143" s="418"/>
      <c r="H143" s="418"/>
      <c r="I143" s="418"/>
      <c r="J143" s="418"/>
      <c r="K143" s="418"/>
      <c r="L143" s="418"/>
      <c r="M143" s="418"/>
      <c r="N143" s="155" t="s">
        <v>25</v>
      </c>
      <c r="O143" s="153">
        <f>SUM('案件．要員情報'!O144:U144)</f>
        <v>0</v>
      </c>
      <c r="P143" s="153">
        <f>SUM('案件．要員情報'!V144:AA144)</f>
        <v>0</v>
      </c>
      <c r="Q143" s="153">
        <f>SUM('案件．要員情報'!AB144:AG144)</f>
        <v>0</v>
      </c>
      <c r="R143" s="153">
        <f>SUM('案件．要員情報'!AH144:AM144)</f>
        <v>0</v>
      </c>
      <c r="S143" s="153">
        <f>SUM('案件．要員情報'!AN144:AU144)</f>
        <v>0</v>
      </c>
      <c r="T143" s="153">
        <f>SUM('案件．要員情報'!AV144:BC144)</f>
        <v>0</v>
      </c>
      <c r="U143" s="153">
        <f>SUM('案件．要員情報'!BD144:BK144)</f>
        <v>0</v>
      </c>
      <c r="V143" s="153">
        <f>SUM('案件．要員情報'!BL144:BS144)</f>
        <v>0</v>
      </c>
      <c r="W143" s="153">
        <f>SUM('案件．要員情報'!BT144:CA144)</f>
        <v>0</v>
      </c>
      <c r="X143" s="153">
        <f>SUM('案件．要員情報'!CB144:CI144)</f>
        <v>0</v>
      </c>
      <c r="Y143" s="153">
        <f>SUM('案件．要員情報'!CJ144:CQ144)</f>
        <v>0</v>
      </c>
      <c r="Z143" s="153">
        <f>SUM('案件．要員情報'!CR144:CY144)</f>
        <v>0</v>
      </c>
      <c r="AA143" s="156">
        <f t="shared" si="5"/>
        <v>0</v>
      </c>
    </row>
    <row r="144" spans="1:27" s="151" customFormat="1" ht="20.100000000000001" hidden="1" customHeight="1" outlineLevel="1" x14ac:dyDescent="0.4">
      <c r="A144" s="377">
        <v>70</v>
      </c>
      <c r="B144" s="379" t="s">
        <v>45</v>
      </c>
      <c r="C144" s="379" t="s">
        <v>346</v>
      </c>
      <c r="D144" s="381"/>
      <c r="E144" s="381"/>
      <c r="F144" s="381"/>
      <c r="G144" s="417"/>
      <c r="H144" s="417"/>
      <c r="I144" s="417"/>
      <c r="J144" s="417"/>
      <c r="K144" s="417"/>
      <c r="L144" s="417"/>
      <c r="M144" s="417"/>
      <c r="N144" s="154" t="s">
        <v>24</v>
      </c>
      <c r="O144" s="150">
        <f>SUM('案件．要員情報'!O145:U145)</f>
        <v>0</v>
      </c>
      <c r="P144" s="150">
        <f>SUM('案件．要員情報'!V145:AA145)</f>
        <v>0</v>
      </c>
      <c r="Q144" s="150">
        <f>SUM('案件．要員情報'!AB145:AG145)</f>
        <v>0</v>
      </c>
      <c r="R144" s="150">
        <f>SUM('案件．要員情報'!AH145:AM145)</f>
        <v>0</v>
      </c>
      <c r="S144" s="150">
        <f>SUM('案件．要員情報'!AN145:AU145)</f>
        <v>0</v>
      </c>
      <c r="T144" s="150">
        <f>SUM('案件．要員情報'!AV145:BC145)</f>
        <v>0</v>
      </c>
      <c r="U144" s="150">
        <f>SUM('案件．要員情報'!BD145:BK145)</f>
        <v>0</v>
      </c>
      <c r="V144" s="150">
        <f>SUM('案件．要員情報'!BL145:BS145)</f>
        <v>0</v>
      </c>
      <c r="W144" s="150">
        <f>SUM('案件．要員情報'!BT145:CA145)</f>
        <v>0</v>
      </c>
      <c r="X144" s="150">
        <f>SUM('案件．要員情報'!CB145:CI145)</f>
        <v>0</v>
      </c>
      <c r="Y144" s="150">
        <f>SUM('案件．要員情報'!CJ145:CQ145)</f>
        <v>0</v>
      </c>
      <c r="Z144" s="150">
        <f>SUM('案件．要員情報'!CR145:CY145)</f>
        <v>0</v>
      </c>
      <c r="AA144" s="213">
        <f t="shared" si="5"/>
        <v>0</v>
      </c>
    </row>
    <row r="145" spans="1:27" s="151" customFormat="1" ht="20.100000000000001" hidden="1" customHeight="1" outlineLevel="1" x14ac:dyDescent="0.4">
      <c r="A145" s="378"/>
      <c r="B145" s="380"/>
      <c r="C145" s="380"/>
      <c r="D145" s="382"/>
      <c r="E145" s="382"/>
      <c r="F145" s="382"/>
      <c r="G145" s="418"/>
      <c r="H145" s="418"/>
      <c r="I145" s="418"/>
      <c r="J145" s="418"/>
      <c r="K145" s="418"/>
      <c r="L145" s="418"/>
      <c r="M145" s="418"/>
      <c r="N145" s="155" t="s">
        <v>25</v>
      </c>
      <c r="O145" s="153">
        <f>SUM('案件．要員情報'!O146:U146)</f>
        <v>0</v>
      </c>
      <c r="P145" s="153">
        <f>SUM('案件．要員情報'!V146:AA146)</f>
        <v>0</v>
      </c>
      <c r="Q145" s="153">
        <f>SUM('案件．要員情報'!AB146:AG146)</f>
        <v>0</v>
      </c>
      <c r="R145" s="153">
        <f>SUM('案件．要員情報'!AH146:AM146)</f>
        <v>0</v>
      </c>
      <c r="S145" s="153">
        <f>SUM('案件．要員情報'!AN146:AU146)</f>
        <v>0</v>
      </c>
      <c r="T145" s="153">
        <f>SUM('案件．要員情報'!AV146:BC146)</f>
        <v>0</v>
      </c>
      <c r="U145" s="153">
        <f>SUM('案件．要員情報'!BD146:BK146)</f>
        <v>0</v>
      </c>
      <c r="V145" s="153">
        <f>SUM('案件．要員情報'!BL146:BS146)</f>
        <v>0</v>
      </c>
      <c r="W145" s="153">
        <f>SUM('案件．要員情報'!BT146:CA146)</f>
        <v>0</v>
      </c>
      <c r="X145" s="153">
        <f>SUM('案件．要員情報'!CB146:CI146)</f>
        <v>0</v>
      </c>
      <c r="Y145" s="153">
        <f>SUM('案件．要員情報'!CJ146:CQ146)</f>
        <v>0</v>
      </c>
      <c r="Z145" s="153">
        <f>SUM('案件．要員情報'!CR146:CY146)</f>
        <v>0</v>
      </c>
      <c r="AA145" s="156">
        <f t="shared" si="5"/>
        <v>0</v>
      </c>
    </row>
    <row r="146" spans="1:27" s="151" customFormat="1" ht="20.100000000000001" hidden="1" customHeight="1" outlineLevel="1" x14ac:dyDescent="0.4">
      <c r="A146" s="377">
        <v>71</v>
      </c>
      <c r="B146" s="379" t="s">
        <v>45</v>
      </c>
      <c r="C146" s="379" t="s">
        <v>346</v>
      </c>
      <c r="D146" s="381"/>
      <c r="E146" s="381"/>
      <c r="F146" s="381"/>
      <c r="G146" s="417"/>
      <c r="H146" s="417"/>
      <c r="I146" s="417"/>
      <c r="J146" s="417"/>
      <c r="K146" s="417"/>
      <c r="L146" s="417"/>
      <c r="M146" s="417"/>
      <c r="N146" s="154" t="s">
        <v>24</v>
      </c>
      <c r="O146" s="150">
        <f>SUM('案件．要員情報'!O147:U147)</f>
        <v>0</v>
      </c>
      <c r="P146" s="150">
        <f>SUM('案件．要員情報'!V147:AA147)</f>
        <v>0</v>
      </c>
      <c r="Q146" s="150">
        <f>SUM('案件．要員情報'!AB147:AG147)</f>
        <v>0</v>
      </c>
      <c r="R146" s="150">
        <f>SUM('案件．要員情報'!AH147:AM147)</f>
        <v>0</v>
      </c>
      <c r="S146" s="150">
        <f>SUM('案件．要員情報'!AN147:AU147)</f>
        <v>0</v>
      </c>
      <c r="T146" s="150">
        <f>SUM('案件．要員情報'!AV147:BC147)</f>
        <v>0</v>
      </c>
      <c r="U146" s="150">
        <f>SUM('案件．要員情報'!BD147:BK147)</f>
        <v>0</v>
      </c>
      <c r="V146" s="150">
        <f>SUM('案件．要員情報'!BL147:BS147)</f>
        <v>0</v>
      </c>
      <c r="W146" s="150">
        <f>SUM('案件．要員情報'!BT147:CA147)</f>
        <v>0</v>
      </c>
      <c r="X146" s="150">
        <f>SUM('案件．要員情報'!CB147:CI147)</f>
        <v>0</v>
      </c>
      <c r="Y146" s="150">
        <f>SUM('案件．要員情報'!CJ147:CQ147)</f>
        <v>0</v>
      </c>
      <c r="Z146" s="150">
        <f>SUM('案件．要員情報'!CR147:CY147)</f>
        <v>0</v>
      </c>
      <c r="AA146" s="213">
        <f t="shared" si="5"/>
        <v>0</v>
      </c>
    </row>
    <row r="147" spans="1:27" s="151" customFormat="1" ht="20.100000000000001" hidden="1" customHeight="1" outlineLevel="1" x14ac:dyDescent="0.4">
      <c r="A147" s="378"/>
      <c r="B147" s="380"/>
      <c r="C147" s="380"/>
      <c r="D147" s="382"/>
      <c r="E147" s="382"/>
      <c r="F147" s="382"/>
      <c r="G147" s="418"/>
      <c r="H147" s="418"/>
      <c r="I147" s="418"/>
      <c r="J147" s="418"/>
      <c r="K147" s="418"/>
      <c r="L147" s="418"/>
      <c r="M147" s="418"/>
      <c r="N147" s="155" t="s">
        <v>25</v>
      </c>
      <c r="O147" s="153">
        <f>SUM('案件．要員情報'!O148:U148)</f>
        <v>0</v>
      </c>
      <c r="P147" s="153">
        <f>SUM('案件．要員情報'!V148:AA148)</f>
        <v>0</v>
      </c>
      <c r="Q147" s="153">
        <f>SUM('案件．要員情報'!AB148:AG148)</f>
        <v>0</v>
      </c>
      <c r="R147" s="153">
        <f>SUM('案件．要員情報'!AH148:AM148)</f>
        <v>0</v>
      </c>
      <c r="S147" s="153">
        <f>SUM('案件．要員情報'!AN148:AU148)</f>
        <v>0</v>
      </c>
      <c r="T147" s="153">
        <f>SUM('案件．要員情報'!AV148:BC148)</f>
        <v>0</v>
      </c>
      <c r="U147" s="153">
        <f>SUM('案件．要員情報'!BD148:BK148)</f>
        <v>0</v>
      </c>
      <c r="V147" s="153">
        <f>SUM('案件．要員情報'!BL148:BS148)</f>
        <v>0</v>
      </c>
      <c r="W147" s="153">
        <f>SUM('案件．要員情報'!BT148:CA148)</f>
        <v>0</v>
      </c>
      <c r="X147" s="153">
        <f>SUM('案件．要員情報'!CB148:CI148)</f>
        <v>0</v>
      </c>
      <c r="Y147" s="153">
        <f>SUM('案件．要員情報'!CJ148:CQ148)</f>
        <v>0</v>
      </c>
      <c r="Z147" s="153">
        <f>SUM('案件．要員情報'!CR148:CY148)</f>
        <v>0</v>
      </c>
      <c r="AA147" s="156">
        <f t="shared" si="5"/>
        <v>0</v>
      </c>
    </row>
    <row r="148" spans="1:27" s="151" customFormat="1" ht="20.100000000000001" hidden="1" customHeight="1" outlineLevel="1" x14ac:dyDescent="0.4">
      <c r="A148" s="377">
        <v>72</v>
      </c>
      <c r="B148" s="379" t="s">
        <v>45</v>
      </c>
      <c r="C148" s="379" t="s">
        <v>346</v>
      </c>
      <c r="D148" s="381"/>
      <c r="E148" s="381"/>
      <c r="F148" s="381"/>
      <c r="G148" s="417"/>
      <c r="H148" s="417"/>
      <c r="I148" s="417"/>
      <c r="J148" s="417"/>
      <c r="K148" s="417"/>
      <c r="L148" s="417"/>
      <c r="M148" s="417"/>
      <c r="N148" s="154" t="s">
        <v>24</v>
      </c>
      <c r="O148" s="150">
        <f>SUM('案件．要員情報'!O149:U149)</f>
        <v>0</v>
      </c>
      <c r="P148" s="150">
        <f>SUM('案件．要員情報'!V149:AA149)</f>
        <v>0</v>
      </c>
      <c r="Q148" s="150">
        <f>SUM('案件．要員情報'!AB149:AG149)</f>
        <v>0</v>
      </c>
      <c r="R148" s="150">
        <f>SUM('案件．要員情報'!AH149:AM149)</f>
        <v>0</v>
      </c>
      <c r="S148" s="150">
        <f>SUM('案件．要員情報'!AN149:AU149)</f>
        <v>0</v>
      </c>
      <c r="T148" s="150">
        <f>SUM('案件．要員情報'!AV149:BC149)</f>
        <v>0</v>
      </c>
      <c r="U148" s="150">
        <f>SUM('案件．要員情報'!BD149:BK149)</f>
        <v>0</v>
      </c>
      <c r="V148" s="150">
        <f>SUM('案件．要員情報'!BL149:BS149)</f>
        <v>0</v>
      </c>
      <c r="W148" s="150">
        <f>SUM('案件．要員情報'!BT149:CA149)</f>
        <v>0</v>
      </c>
      <c r="X148" s="150">
        <f>SUM('案件．要員情報'!CB149:CI149)</f>
        <v>0</v>
      </c>
      <c r="Y148" s="150">
        <f>SUM('案件．要員情報'!CJ149:CQ149)</f>
        <v>0</v>
      </c>
      <c r="Z148" s="150">
        <f>SUM('案件．要員情報'!CR149:CY149)</f>
        <v>0</v>
      </c>
      <c r="AA148" s="213">
        <f t="shared" si="5"/>
        <v>0</v>
      </c>
    </row>
    <row r="149" spans="1:27" s="151" customFormat="1" ht="20.100000000000001" hidden="1" customHeight="1" outlineLevel="1" x14ac:dyDescent="0.4">
      <c r="A149" s="378"/>
      <c r="B149" s="380"/>
      <c r="C149" s="380"/>
      <c r="D149" s="382"/>
      <c r="E149" s="382"/>
      <c r="F149" s="382"/>
      <c r="G149" s="418"/>
      <c r="H149" s="418"/>
      <c r="I149" s="418"/>
      <c r="J149" s="418"/>
      <c r="K149" s="418"/>
      <c r="L149" s="418"/>
      <c r="M149" s="418"/>
      <c r="N149" s="155" t="s">
        <v>25</v>
      </c>
      <c r="O149" s="153">
        <f>SUM('案件．要員情報'!O150:U150)</f>
        <v>0</v>
      </c>
      <c r="P149" s="153">
        <f>SUM('案件．要員情報'!V150:AA150)</f>
        <v>0</v>
      </c>
      <c r="Q149" s="153">
        <f>SUM('案件．要員情報'!AB150:AG150)</f>
        <v>0</v>
      </c>
      <c r="R149" s="153">
        <f>SUM('案件．要員情報'!AH150:AM150)</f>
        <v>0</v>
      </c>
      <c r="S149" s="153">
        <f>SUM('案件．要員情報'!AN150:AU150)</f>
        <v>0</v>
      </c>
      <c r="T149" s="153">
        <f>SUM('案件．要員情報'!AV150:BC150)</f>
        <v>0</v>
      </c>
      <c r="U149" s="153">
        <f>SUM('案件．要員情報'!BD150:BK150)</f>
        <v>0</v>
      </c>
      <c r="V149" s="153">
        <f>SUM('案件．要員情報'!BL150:BS150)</f>
        <v>0</v>
      </c>
      <c r="W149" s="153">
        <f>SUM('案件．要員情報'!BT150:CA150)</f>
        <v>0</v>
      </c>
      <c r="X149" s="153">
        <f>SUM('案件．要員情報'!CB150:CI150)</f>
        <v>0</v>
      </c>
      <c r="Y149" s="153">
        <f>SUM('案件．要員情報'!CJ150:CQ150)</f>
        <v>0</v>
      </c>
      <c r="Z149" s="153">
        <f>SUM('案件．要員情報'!CR150:CY150)</f>
        <v>0</v>
      </c>
      <c r="AA149" s="156">
        <f t="shared" si="5"/>
        <v>0</v>
      </c>
    </row>
    <row r="150" spans="1:27" s="151" customFormat="1" ht="20.100000000000001" hidden="1" customHeight="1" outlineLevel="1" x14ac:dyDescent="0.4">
      <c r="A150" s="377">
        <v>73</v>
      </c>
      <c r="B150" s="379" t="s">
        <v>45</v>
      </c>
      <c r="C150" s="379" t="s">
        <v>346</v>
      </c>
      <c r="D150" s="381"/>
      <c r="E150" s="381"/>
      <c r="F150" s="381"/>
      <c r="G150" s="417"/>
      <c r="H150" s="417"/>
      <c r="I150" s="417"/>
      <c r="J150" s="417"/>
      <c r="K150" s="417"/>
      <c r="L150" s="417"/>
      <c r="M150" s="417"/>
      <c r="N150" s="154" t="s">
        <v>24</v>
      </c>
      <c r="O150" s="150">
        <f>SUM('案件．要員情報'!O151:U151)</f>
        <v>0</v>
      </c>
      <c r="P150" s="150">
        <f>SUM('案件．要員情報'!V151:AA151)</f>
        <v>0</v>
      </c>
      <c r="Q150" s="150">
        <f>SUM('案件．要員情報'!AB151:AG151)</f>
        <v>0</v>
      </c>
      <c r="R150" s="150">
        <f>SUM('案件．要員情報'!AH151:AM151)</f>
        <v>0</v>
      </c>
      <c r="S150" s="150">
        <f>SUM('案件．要員情報'!AN151:AU151)</f>
        <v>0</v>
      </c>
      <c r="T150" s="150">
        <f>SUM('案件．要員情報'!AV151:BC151)</f>
        <v>0</v>
      </c>
      <c r="U150" s="150">
        <f>SUM('案件．要員情報'!BD151:BK151)</f>
        <v>0</v>
      </c>
      <c r="V150" s="150">
        <f>SUM('案件．要員情報'!BL151:BS151)</f>
        <v>0</v>
      </c>
      <c r="W150" s="150">
        <f>SUM('案件．要員情報'!BT151:CA151)</f>
        <v>0</v>
      </c>
      <c r="X150" s="150">
        <f>SUM('案件．要員情報'!CB151:CI151)</f>
        <v>0</v>
      </c>
      <c r="Y150" s="150">
        <f>SUM('案件．要員情報'!CJ151:CQ151)</f>
        <v>0</v>
      </c>
      <c r="Z150" s="150">
        <f>SUM('案件．要員情報'!CR151:CY151)</f>
        <v>0</v>
      </c>
      <c r="AA150" s="213">
        <f t="shared" si="5"/>
        <v>0</v>
      </c>
    </row>
    <row r="151" spans="1:27" s="151" customFormat="1" ht="20.100000000000001" hidden="1" customHeight="1" outlineLevel="1" x14ac:dyDescent="0.4">
      <c r="A151" s="378"/>
      <c r="B151" s="380"/>
      <c r="C151" s="380"/>
      <c r="D151" s="382"/>
      <c r="E151" s="382"/>
      <c r="F151" s="382"/>
      <c r="G151" s="418"/>
      <c r="H151" s="418"/>
      <c r="I151" s="418"/>
      <c r="J151" s="418"/>
      <c r="K151" s="418"/>
      <c r="L151" s="418"/>
      <c r="M151" s="418"/>
      <c r="N151" s="155" t="s">
        <v>25</v>
      </c>
      <c r="O151" s="153">
        <f>SUM('案件．要員情報'!O152:U152)</f>
        <v>0</v>
      </c>
      <c r="P151" s="153">
        <f>SUM('案件．要員情報'!V152:AA152)</f>
        <v>0</v>
      </c>
      <c r="Q151" s="153">
        <f>SUM('案件．要員情報'!AB152:AG152)</f>
        <v>0</v>
      </c>
      <c r="R151" s="153">
        <f>SUM('案件．要員情報'!AH152:AM152)</f>
        <v>0</v>
      </c>
      <c r="S151" s="153">
        <f>SUM('案件．要員情報'!AN152:AU152)</f>
        <v>0</v>
      </c>
      <c r="T151" s="153">
        <f>SUM('案件．要員情報'!AV152:BC152)</f>
        <v>0</v>
      </c>
      <c r="U151" s="153">
        <f>SUM('案件．要員情報'!BD152:BK152)</f>
        <v>0</v>
      </c>
      <c r="V151" s="153">
        <f>SUM('案件．要員情報'!BL152:BS152)</f>
        <v>0</v>
      </c>
      <c r="W151" s="153">
        <f>SUM('案件．要員情報'!BT152:CA152)</f>
        <v>0</v>
      </c>
      <c r="X151" s="153">
        <f>SUM('案件．要員情報'!CB152:CI152)</f>
        <v>0</v>
      </c>
      <c r="Y151" s="153">
        <f>SUM('案件．要員情報'!CJ152:CQ152)</f>
        <v>0</v>
      </c>
      <c r="Z151" s="153">
        <f>SUM('案件．要員情報'!CR152:CY152)</f>
        <v>0</v>
      </c>
      <c r="AA151" s="156">
        <f t="shared" si="5"/>
        <v>0</v>
      </c>
    </row>
    <row r="152" spans="1:27" s="151" customFormat="1" ht="20.100000000000001" hidden="1" customHeight="1" outlineLevel="1" x14ac:dyDescent="0.4">
      <c r="A152" s="377">
        <v>74</v>
      </c>
      <c r="B152" s="379" t="s">
        <v>45</v>
      </c>
      <c r="C152" s="379" t="s">
        <v>346</v>
      </c>
      <c r="D152" s="381"/>
      <c r="E152" s="381"/>
      <c r="F152" s="381"/>
      <c r="G152" s="417"/>
      <c r="H152" s="417"/>
      <c r="I152" s="417"/>
      <c r="J152" s="417"/>
      <c r="K152" s="417"/>
      <c r="L152" s="417"/>
      <c r="M152" s="417"/>
      <c r="N152" s="154" t="s">
        <v>24</v>
      </c>
      <c r="O152" s="150">
        <f>SUM('案件．要員情報'!O153:U153)</f>
        <v>0</v>
      </c>
      <c r="P152" s="150">
        <f>SUM('案件．要員情報'!V153:AA153)</f>
        <v>0</v>
      </c>
      <c r="Q152" s="150">
        <f>SUM('案件．要員情報'!AB153:AG153)</f>
        <v>0</v>
      </c>
      <c r="R152" s="150">
        <f>SUM('案件．要員情報'!AH153:AM153)</f>
        <v>0</v>
      </c>
      <c r="S152" s="150">
        <f>SUM('案件．要員情報'!AN153:AU153)</f>
        <v>0</v>
      </c>
      <c r="T152" s="150">
        <f>SUM('案件．要員情報'!AV153:BC153)</f>
        <v>0</v>
      </c>
      <c r="U152" s="150">
        <f>SUM('案件．要員情報'!BD153:BK153)</f>
        <v>0</v>
      </c>
      <c r="V152" s="150">
        <f>SUM('案件．要員情報'!BL153:BS153)</f>
        <v>0</v>
      </c>
      <c r="W152" s="150">
        <f>SUM('案件．要員情報'!BT153:CA153)</f>
        <v>0</v>
      </c>
      <c r="X152" s="150">
        <f>SUM('案件．要員情報'!CB153:CI153)</f>
        <v>0</v>
      </c>
      <c r="Y152" s="150">
        <f>SUM('案件．要員情報'!CJ153:CQ153)</f>
        <v>0</v>
      </c>
      <c r="Z152" s="150">
        <f>SUM('案件．要員情報'!CR153:CY153)</f>
        <v>0</v>
      </c>
      <c r="AA152" s="213">
        <f t="shared" si="5"/>
        <v>0</v>
      </c>
    </row>
    <row r="153" spans="1:27" s="151" customFormat="1" ht="20.100000000000001" hidden="1" customHeight="1" outlineLevel="1" x14ac:dyDescent="0.4">
      <c r="A153" s="378"/>
      <c r="B153" s="380"/>
      <c r="C153" s="380"/>
      <c r="D153" s="382"/>
      <c r="E153" s="382"/>
      <c r="F153" s="382"/>
      <c r="G153" s="418"/>
      <c r="H153" s="418"/>
      <c r="I153" s="418"/>
      <c r="J153" s="418"/>
      <c r="K153" s="418"/>
      <c r="L153" s="418"/>
      <c r="M153" s="418"/>
      <c r="N153" s="155" t="s">
        <v>25</v>
      </c>
      <c r="O153" s="153">
        <f>SUM('案件．要員情報'!O154:U154)</f>
        <v>0</v>
      </c>
      <c r="P153" s="153">
        <f>SUM('案件．要員情報'!V154:AA154)</f>
        <v>0</v>
      </c>
      <c r="Q153" s="153">
        <f>SUM('案件．要員情報'!AB154:AG154)</f>
        <v>0</v>
      </c>
      <c r="R153" s="153">
        <f>SUM('案件．要員情報'!AH154:AM154)</f>
        <v>0</v>
      </c>
      <c r="S153" s="153">
        <f>SUM('案件．要員情報'!AN154:AU154)</f>
        <v>0</v>
      </c>
      <c r="T153" s="153">
        <f>SUM('案件．要員情報'!AV154:BC154)</f>
        <v>0</v>
      </c>
      <c r="U153" s="153">
        <f>SUM('案件．要員情報'!BD154:BK154)</f>
        <v>0</v>
      </c>
      <c r="V153" s="153">
        <f>SUM('案件．要員情報'!BL154:BS154)</f>
        <v>0</v>
      </c>
      <c r="W153" s="153">
        <f>SUM('案件．要員情報'!BT154:CA154)</f>
        <v>0</v>
      </c>
      <c r="X153" s="153">
        <f>SUM('案件．要員情報'!CB154:CI154)</f>
        <v>0</v>
      </c>
      <c r="Y153" s="153">
        <f>SUM('案件．要員情報'!CJ154:CQ154)</f>
        <v>0</v>
      </c>
      <c r="Z153" s="153">
        <f>SUM('案件．要員情報'!CR154:CY154)</f>
        <v>0</v>
      </c>
      <c r="AA153" s="156">
        <f t="shared" si="5"/>
        <v>0</v>
      </c>
    </row>
    <row r="154" spans="1:27" s="151" customFormat="1" ht="20.100000000000001" hidden="1" customHeight="1" outlineLevel="1" x14ac:dyDescent="0.4">
      <c r="A154" s="377">
        <v>75</v>
      </c>
      <c r="B154" s="379" t="s">
        <v>45</v>
      </c>
      <c r="C154" s="379" t="s">
        <v>346</v>
      </c>
      <c r="D154" s="381"/>
      <c r="E154" s="381"/>
      <c r="F154" s="381"/>
      <c r="G154" s="417"/>
      <c r="H154" s="417"/>
      <c r="I154" s="417"/>
      <c r="J154" s="417"/>
      <c r="K154" s="417"/>
      <c r="L154" s="417"/>
      <c r="M154" s="417"/>
      <c r="N154" s="154" t="s">
        <v>24</v>
      </c>
      <c r="O154" s="150">
        <f>SUM('案件．要員情報'!O155:U155)</f>
        <v>0</v>
      </c>
      <c r="P154" s="150">
        <f>SUM('案件．要員情報'!V155:AA155)</f>
        <v>0</v>
      </c>
      <c r="Q154" s="150">
        <f>SUM('案件．要員情報'!AB155:AG155)</f>
        <v>0</v>
      </c>
      <c r="R154" s="150">
        <f>SUM('案件．要員情報'!AH155:AM155)</f>
        <v>0</v>
      </c>
      <c r="S154" s="150">
        <f>SUM('案件．要員情報'!AN155:AU155)</f>
        <v>0</v>
      </c>
      <c r="T154" s="150">
        <f>SUM('案件．要員情報'!AV155:BC155)</f>
        <v>0</v>
      </c>
      <c r="U154" s="150">
        <f>SUM('案件．要員情報'!BD155:BK155)</f>
        <v>0</v>
      </c>
      <c r="V154" s="150">
        <f>SUM('案件．要員情報'!BL155:BS155)</f>
        <v>0</v>
      </c>
      <c r="W154" s="150">
        <f>SUM('案件．要員情報'!BT155:CA155)</f>
        <v>0</v>
      </c>
      <c r="X154" s="150">
        <f>SUM('案件．要員情報'!CB155:CI155)</f>
        <v>0</v>
      </c>
      <c r="Y154" s="150">
        <f>SUM('案件．要員情報'!CJ155:CQ155)</f>
        <v>0</v>
      </c>
      <c r="Z154" s="150">
        <f>SUM('案件．要員情報'!CR155:CY155)</f>
        <v>0</v>
      </c>
      <c r="AA154" s="213">
        <f t="shared" si="5"/>
        <v>0</v>
      </c>
    </row>
    <row r="155" spans="1:27" s="151" customFormat="1" ht="20.100000000000001" hidden="1" customHeight="1" outlineLevel="1" x14ac:dyDescent="0.4">
      <c r="A155" s="378"/>
      <c r="B155" s="380"/>
      <c r="C155" s="380"/>
      <c r="D155" s="382"/>
      <c r="E155" s="382"/>
      <c r="F155" s="382"/>
      <c r="G155" s="418"/>
      <c r="H155" s="418"/>
      <c r="I155" s="418"/>
      <c r="J155" s="418"/>
      <c r="K155" s="418"/>
      <c r="L155" s="418"/>
      <c r="M155" s="418"/>
      <c r="N155" s="155" t="s">
        <v>25</v>
      </c>
      <c r="O155" s="153">
        <f>SUM('案件．要員情報'!O156:U156)</f>
        <v>0</v>
      </c>
      <c r="P155" s="153">
        <f>SUM('案件．要員情報'!V156:AA156)</f>
        <v>0</v>
      </c>
      <c r="Q155" s="153">
        <f>SUM('案件．要員情報'!AB156:AG156)</f>
        <v>0</v>
      </c>
      <c r="R155" s="153">
        <f>SUM('案件．要員情報'!AH156:AM156)</f>
        <v>0</v>
      </c>
      <c r="S155" s="153">
        <f>SUM('案件．要員情報'!AN156:AU156)</f>
        <v>0</v>
      </c>
      <c r="T155" s="153">
        <f>SUM('案件．要員情報'!AV156:BC156)</f>
        <v>0</v>
      </c>
      <c r="U155" s="153">
        <f>SUM('案件．要員情報'!BD156:BK156)</f>
        <v>0</v>
      </c>
      <c r="V155" s="153">
        <f>SUM('案件．要員情報'!BL156:BS156)</f>
        <v>0</v>
      </c>
      <c r="W155" s="153">
        <f>SUM('案件．要員情報'!BT156:CA156)</f>
        <v>0</v>
      </c>
      <c r="X155" s="153">
        <f>SUM('案件．要員情報'!CB156:CI156)</f>
        <v>0</v>
      </c>
      <c r="Y155" s="153">
        <f>SUM('案件．要員情報'!CJ156:CQ156)</f>
        <v>0</v>
      </c>
      <c r="Z155" s="153">
        <f>SUM('案件．要員情報'!CR156:CY156)</f>
        <v>0</v>
      </c>
      <c r="AA155" s="156">
        <f t="shared" si="5"/>
        <v>0</v>
      </c>
    </row>
    <row r="156" spans="1:27" s="151" customFormat="1" ht="20.100000000000001" hidden="1" customHeight="1" outlineLevel="1" x14ac:dyDescent="0.4">
      <c r="A156" s="377">
        <v>76</v>
      </c>
      <c r="B156" s="379" t="s">
        <v>45</v>
      </c>
      <c r="C156" s="379" t="s">
        <v>346</v>
      </c>
      <c r="D156" s="381"/>
      <c r="E156" s="381"/>
      <c r="F156" s="381"/>
      <c r="G156" s="417"/>
      <c r="H156" s="417"/>
      <c r="I156" s="417"/>
      <c r="J156" s="417"/>
      <c r="K156" s="417"/>
      <c r="L156" s="417"/>
      <c r="M156" s="417"/>
      <c r="N156" s="154" t="s">
        <v>24</v>
      </c>
      <c r="O156" s="150">
        <f>SUM('案件．要員情報'!O157:U157)</f>
        <v>0</v>
      </c>
      <c r="P156" s="150">
        <f>SUM('案件．要員情報'!V157:AA157)</f>
        <v>0</v>
      </c>
      <c r="Q156" s="150">
        <f>SUM('案件．要員情報'!AB157:AG157)</f>
        <v>0</v>
      </c>
      <c r="R156" s="150">
        <f>SUM('案件．要員情報'!AH157:AM157)</f>
        <v>0</v>
      </c>
      <c r="S156" s="150">
        <f>SUM('案件．要員情報'!AN157:AU157)</f>
        <v>0</v>
      </c>
      <c r="T156" s="150">
        <f>SUM('案件．要員情報'!AV157:BC157)</f>
        <v>0</v>
      </c>
      <c r="U156" s="150">
        <f>SUM('案件．要員情報'!BD157:BK157)</f>
        <v>0</v>
      </c>
      <c r="V156" s="150">
        <f>SUM('案件．要員情報'!BL157:BS157)</f>
        <v>0</v>
      </c>
      <c r="W156" s="150">
        <f>SUM('案件．要員情報'!BT157:CA157)</f>
        <v>0</v>
      </c>
      <c r="X156" s="150">
        <f>SUM('案件．要員情報'!CB157:CI157)</f>
        <v>0</v>
      </c>
      <c r="Y156" s="150">
        <f>SUM('案件．要員情報'!CJ157:CQ157)</f>
        <v>0</v>
      </c>
      <c r="Z156" s="150">
        <f>SUM('案件．要員情報'!CR157:CY157)</f>
        <v>0</v>
      </c>
      <c r="AA156" s="213">
        <f t="shared" si="5"/>
        <v>0</v>
      </c>
    </row>
    <row r="157" spans="1:27" s="151" customFormat="1" ht="20.100000000000001" hidden="1" customHeight="1" outlineLevel="1" x14ac:dyDescent="0.4">
      <c r="A157" s="378"/>
      <c r="B157" s="380"/>
      <c r="C157" s="380"/>
      <c r="D157" s="382"/>
      <c r="E157" s="382"/>
      <c r="F157" s="382"/>
      <c r="G157" s="418"/>
      <c r="H157" s="418"/>
      <c r="I157" s="418"/>
      <c r="J157" s="418"/>
      <c r="K157" s="418"/>
      <c r="L157" s="418"/>
      <c r="M157" s="418"/>
      <c r="N157" s="155" t="s">
        <v>25</v>
      </c>
      <c r="O157" s="153">
        <f>SUM('案件．要員情報'!O158:U158)</f>
        <v>0</v>
      </c>
      <c r="P157" s="153">
        <f>SUM('案件．要員情報'!V158:AA158)</f>
        <v>0</v>
      </c>
      <c r="Q157" s="153">
        <f>SUM('案件．要員情報'!AB158:AG158)</f>
        <v>0</v>
      </c>
      <c r="R157" s="153">
        <f>SUM('案件．要員情報'!AH158:AM158)</f>
        <v>0</v>
      </c>
      <c r="S157" s="153">
        <f>SUM('案件．要員情報'!AN158:AU158)</f>
        <v>0</v>
      </c>
      <c r="T157" s="153">
        <f>SUM('案件．要員情報'!AV158:BC158)</f>
        <v>0</v>
      </c>
      <c r="U157" s="153">
        <f>SUM('案件．要員情報'!BD158:BK158)</f>
        <v>0</v>
      </c>
      <c r="V157" s="153">
        <f>SUM('案件．要員情報'!BL158:BS158)</f>
        <v>0</v>
      </c>
      <c r="W157" s="153">
        <f>SUM('案件．要員情報'!BT158:CA158)</f>
        <v>0</v>
      </c>
      <c r="X157" s="153">
        <f>SUM('案件．要員情報'!CB158:CI158)</f>
        <v>0</v>
      </c>
      <c r="Y157" s="153">
        <f>SUM('案件．要員情報'!CJ158:CQ158)</f>
        <v>0</v>
      </c>
      <c r="Z157" s="153">
        <f>SUM('案件．要員情報'!CR158:CY158)</f>
        <v>0</v>
      </c>
      <c r="AA157" s="156">
        <f t="shared" si="5"/>
        <v>0</v>
      </c>
    </row>
    <row r="158" spans="1:27" s="151" customFormat="1" ht="20.100000000000001" hidden="1" customHeight="1" outlineLevel="1" x14ac:dyDescent="0.4">
      <c r="A158" s="377">
        <v>77</v>
      </c>
      <c r="B158" s="379" t="s">
        <v>45</v>
      </c>
      <c r="C158" s="379" t="s">
        <v>346</v>
      </c>
      <c r="D158" s="381"/>
      <c r="E158" s="381"/>
      <c r="F158" s="381"/>
      <c r="G158" s="417"/>
      <c r="H158" s="417"/>
      <c r="I158" s="417"/>
      <c r="J158" s="417"/>
      <c r="K158" s="417"/>
      <c r="L158" s="417"/>
      <c r="M158" s="417"/>
      <c r="N158" s="154" t="s">
        <v>24</v>
      </c>
      <c r="O158" s="150">
        <f>SUM('案件．要員情報'!O159:U159)</f>
        <v>0</v>
      </c>
      <c r="P158" s="150">
        <f>SUM('案件．要員情報'!V159:AA159)</f>
        <v>0</v>
      </c>
      <c r="Q158" s="150">
        <f>SUM('案件．要員情報'!AB159:AG159)</f>
        <v>0</v>
      </c>
      <c r="R158" s="150">
        <f>SUM('案件．要員情報'!AH159:AM159)</f>
        <v>0</v>
      </c>
      <c r="S158" s="150">
        <f>SUM('案件．要員情報'!AN159:AU159)</f>
        <v>0</v>
      </c>
      <c r="T158" s="150">
        <f>SUM('案件．要員情報'!AV159:BC159)</f>
        <v>0</v>
      </c>
      <c r="U158" s="150">
        <f>SUM('案件．要員情報'!BD159:BK159)</f>
        <v>0</v>
      </c>
      <c r="V158" s="150">
        <f>SUM('案件．要員情報'!BL159:BS159)</f>
        <v>0</v>
      </c>
      <c r="W158" s="150">
        <f>SUM('案件．要員情報'!BT159:CA159)</f>
        <v>0</v>
      </c>
      <c r="X158" s="150">
        <f>SUM('案件．要員情報'!CB159:CI159)</f>
        <v>0</v>
      </c>
      <c r="Y158" s="150">
        <f>SUM('案件．要員情報'!CJ159:CQ159)</f>
        <v>0</v>
      </c>
      <c r="Z158" s="150">
        <f>SUM('案件．要員情報'!CR159:CY159)</f>
        <v>0</v>
      </c>
      <c r="AA158" s="213">
        <f t="shared" si="5"/>
        <v>0</v>
      </c>
    </row>
    <row r="159" spans="1:27" s="151" customFormat="1" ht="20.100000000000001" hidden="1" customHeight="1" outlineLevel="1" x14ac:dyDescent="0.4">
      <c r="A159" s="378"/>
      <c r="B159" s="380"/>
      <c r="C159" s="380"/>
      <c r="D159" s="382"/>
      <c r="E159" s="382"/>
      <c r="F159" s="382"/>
      <c r="G159" s="418"/>
      <c r="H159" s="418"/>
      <c r="I159" s="418"/>
      <c r="J159" s="418"/>
      <c r="K159" s="418"/>
      <c r="L159" s="418"/>
      <c r="M159" s="418"/>
      <c r="N159" s="155" t="s">
        <v>25</v>
      </c>
      <c r="O159" s="153">
        <f>SUM('案件．要員情報'!O160:U160)</f>
        <v>0</v>
      </c>
      <c r="P159" s="153">
        <f>SUM('案件．要員情報'!V160:AA160)</f>
        <v>0</v>
      </c>
      <c r="Q159" s="153">
        <f>SUM('案件．要員情報'!AB160:AG160)</f>
        <v>0</v>
      </c>
      <c r="R159" s="153">
        <f>SUM('案件．要員情報'!AH160:AM160)</f>
        <v>0</v>
      </c>
      <c r="S159" s="153">
        <f>SUM('案件．要員情報'!AN160:AU160)</f>
        <v>0</v>
      </c>
      <c r="T159" s="153">
        <f>SUM('案件．要員情報'!AV160:BC160)</f>
        <v>0</v>
      </c>
      <c r="U159" s="153">
        <f>SUM('案件．要員情報'!BD160:BK160)</f>
        <v>0</v>
      </c>
      <c r="V159" s="153">
        <f>SUM('案件．要員情報'!BL160:BS160)</f>
        <v>0</v>
      </c>
      <c r="W159" s="153">
        <f>SUM('案件．要員情報'!BT160:CA160)</f>
        <v>0</v>
      </c>
      <c r="X159" s="153">
        <f>SUM('案件．要員情報'!CB160:CI160)</f>
        <v>0</v>
      </c>
      <c r="Y159" s="153">
        <f>SUM('案件．要員情報'!CJ160:CQ160)</f>
        <v>0</v>
      </c>
      <c r="Z159" s="153">
        <f>SUM('案件．要員情報'!CR160:CY160)</f>
        <v>0</v>
      </c>
      <c r="AA159" s="156">
        <f t="shared" si="5"/>
        <v>0</v>
      </c>
    </row>
    <row r="160" spans="1:27" s="151" customFormat="1" ht="20.100000000000001" hidden="1" customHeight="1" outlineLevel="1" x14ac:dyDescent="0.4">
      <c r="A160" s="377">
        <v>78</v>
      </c>
      <c r="B160" s="379" t="s">
        <v>45</v>
      </c>
      <c r="C160" s="379" t="s">
        <v>346</v>
      </c>
      <c r="D160" s="381"/>
      <c r="E160" s="381"/>
      <c r="F160" s="381"/>
      <c r="G160" s="417"/>
      <c r="H160" s="417"/>
      <c r="I160" s="417"/>
      <c r="J160" s="417"/>
      <c r="K160" s="417"/>
      <c r="L160" s="417"/>
      <c r="M160" s="417"/>
      <c r="N160" s="154" t="s">
        <v>24</v>
      </c>
      <c r="O160" s="150">
        <f>SUM('案件．要員情報'!O161:U161)</f>
        <v>0</v>
      </c>
      <c r="P160" s="150">
        <f>SUM('案件．要員情報'!V161:AA161)</f>
        <v>0</v>
      </c>
      <c r="Q160" s="150">
        <f>SUM('案件．要員情報'!AB161:AG161)</f>
        <v>0</v>
      </c>
      <c r="R160" s="150">
        <f>SUM('案件．要員情報'!AH161:AM161)</f>
        <v>0</v>
      </c>
      <c r="S160" s="150">
        <f>SUM('案件．要員情報'!AN161:AU161)</f>
        <v>0</v>
      </c>
      <c r="T160" s="150">
        <f>SUM('案件．要員情報'!AV161:BC161)</f>
        <v>0</v>
      </c>
      <c r="U160" s="150">
        <f>SUM('案件．要員情報'!BD161:BK161)</f>
        <v>0</v>
      </c>
      <c r="V160" s="150">
        <f>SUM('案件．要員情報'!BL161:BS161)</f>
        <v>0</v>
      </c>
      <c r="W160" s="150">
        <f>SUM('案件．要員情報'!BT161:CA161)</f>
        <v>0</v>
      </c>
      <c r="X160" s="150">
        <f>SUM('案件．要員情報'!CB161:CI161)</f>
        <v>0</v>
      </c>
      <c r="Y160" s="150">
        <f>SUM('案件．要員情報'!CJ161:CQ161)</f>
        <v>0</v>
      </c>
      <c r="Z160" s="150">
        <f>SUM('案件．要員情報'!CR161:CY161)</f>
        <v>0</v>
      </c>
      <c r="AA160" s="213">
        <f t="shared" si="5"/>
        <v>0</v>
      </c>
    </row>
    <row r="161" spans="1:32" s="151" customFormat="1" ht="20.100000000000001" hidden="1" customHeight="1" outlineLevel="1" x14ac:dyDescent="0.4">
      <c r="A161" s="378"/>
      <c r="B161" s="380"/>
      <c r="C161" s="380"/>
      <c r="D161" s="382"/>
      <c r="E161" s="382"/>
      <c r="F161" s="382"/>
      <c r="G161" s="418"/>
      <c r="H161" s="418"/>
      <c r="I161" s="418"/>
      <c r="J161" s="418"/>
      <c r="K161" s="418"/>
      <c r="L161" s="418"/>
      <c r="M161" s="418"/>
      <c r="N161" s="155" t="s">
        <v>25</v>
      </c>
      <c r="O161" s="153">
        <f>SUM('案件．要員情報'!O162:U162)</f>
        <v>0</v>
      </c>
      <c r="P161" s="153">
        <f>SUM('案件．要員情報'!V162:AA162)</f>
        <v>0</v>
      </c>
      <c r="Q161" s="153">
        <f>SUM('案件．要員情報'!AB162:AG162)</f>
        <v>0</v>
      </c>
      <c r="R161" s="153">
        <f>SUM('案件．要員情報'!AH162:AM162)</f>
        <v>0</v>
      </c>
      <c r="S161" s="153">
        <f>SUM('案件．要員情報'!AN162:AU162)</f>
        <v>0</v>
      </c>
      <c r="T161" s="153">
        <f>SUM('案件．要員情報'!AV162:BC162)</f>
        <v>0</v>
      </c>
      <c r="U161" s="153">
        <f>SUM('案件．要員情報'!BD162:BK162)</f>
        <v>0</v>
      </c>
      <c r="V161" s="153">
        <f>SUM('案件．要員情報'!BL162:BS162)</f>
        <v>0</v>
      </c>
      <c r="W161" s="153">
        <f>SUM('案件．要員情報'!BT162:CA162)</f>
        <v>0</v>
      </c>
      <c r="X161" s="153">
        <f>SUM('案件．要員情報'!CB162:CI162)</f>
        <v>0</v>
      </c>
      <c r="Y161" s="153">
        <f>SUM('案件．要員情報'!CJ162:CQ162)</f>
        <v>0</v>
      </c>
      <c r="Z161" s="153">
        <f>SUM('案件．要員情報'!CR162:CY162)</f>
        <v>0</v>
      </c>
      <c r="AA161" s="156">
        <f t="shared" si="5"/>
        <v>0</v>
      </c>
    </row>
    <row r="162" spans="1:32" s="151" customFormat="1" ht="20.100000000000001" hidden="1" customHeight="1" outlineLevel="1" x14ac:dyDescent="0.4">
      <c r="A162" s="377">
        <v>79</v>
      </c>
      <c r="B162" s="379" t="s">
        <v>45</v>
      </c>
      <c r="C162" s="379" t="s">
        <v>346</v>
      </c>
      <c r="D162" s="381"/>
      <c r="E162" s="381"/>
      <c r="F162" s="381"/>
      <c r="G162" s="417"/>
      <c r="H162" s="417"/>
      <c r="I162" s="417"/>
      <c r="J162" s="417"/>
      <c r="K162" s="417"/>
      <c r="L162" s="417"/>
      <c r="M162" s="417"/>
      <c r="N162" s="154" t="s">
        <v>24</v>
      </c>
      <c r="O162" s="150">
        <f>SUM('案件．要員情報'!O163:U163)</f>
        <v>0</v>
      </c>
      <c r="P162" s="150">
        <f>SUM('案件．要員情報'!V163:AA163)</f>
        <v>0</v>
      </c>
      <c r="Q162" s="150">
        <f>SUM('案件．要員情報'!AB163:AG163)</f>
        <v>0</v>
      </c>
      <c r="R162" s="150">
        <f>SUM('案件．要員情報'!AH163:AM163)</f>
        <v>0</v>
      </c>
      <c r="S162" s="150">
        <f>SUM('案件．要員情報'!AN163:AU163)</f>
        <v>0</v>
      </c>
      <c r="T162" s="150">
        <f>SUM('案件．要員情報'!AV163:BC163)</f>
        <v>0</v>
      </c>
      <c r="U162" s="150">
        <f>SUM('案件．要員情報'!BD163:BK163)</f>
        <v>0</v>
      </c>
      <c r="V162" s="150">
        <f>SUM('案件．要員情報'!BL163:BS163)</f>
        <v>0</v>
      </c>
      <c r="W162" s="150">
        <f>SUM('案件．要員情報'!BT163:CA163)</f>
        <v>0</v>
      </c>
      <c r="X162" s="150">
        <f>SUM('案件．要員情報'!CB163:CI163)</f>
        <v>0</v>
      </c>
      <c r="Y162" s="150">
        <f>SUM('案件．要員情報'!CJ163:CQ163)</f>
        <v>0</v>
      </c>
      <c r="Z162" s="150">
        <f>SUM('案件．要員情報'!CR163:CY163)</f>
        <v>0</v>
      </c>
      <c r="AA162" s="213">
        <f t="shared" si="5"/>
        <v>0</v>
      </c>
    </row>
    <row r="163" spans="1:32" s="151" customFormat="1" ht="20.100000000000001" hidden="1" customHeight="1" outlineLevel="1" x14ac:dyDescent="0.4">
      <c r="A163" s="378"/>
      <c r="B163" s="380"/>
      <c r="C163" s="380"/>
      <c r="D163" s="382"/>
      <c r="E163" s="382"/>
      <c r="F163" s="382"/>
      <c r="G163" s="418"/>
      <c r="H163" s="418"/>
      <c r="I163" s="418"/>
      <c r="J163" s="418"/>
      <c r="K163" s="418"/>
      <c r="L163" s="418"/>
      <c r="M163" s="418"/>
      <c r="N163" s="155" t="s">
        <v>25</v>
      </c>
      <c r="O163" s="153">
        <f>SUM('案件．要員情報'!O164:U164)</f>
        <v>0</v>
      </c>
      <c r="P163" s="153">
        <f>SUM('案件．要員情報'!V164:AA164)</f>
        <v>0</v>
      </c>
      <c r="Q163" s="153">
        <f>SUM('案件．要員情報'!AB164:AG164)</f>
        <v>0</v>
      </c>
      <c r="R163" s="153">
        <f>SUM('案件．要員情報'!AH164:AM164)</f>
        <v>0</v>
      </c>
      <c r="S163" s="153">
        <f>SUM('案件．要員情報'!AN164:AU164)</f>
        <v>0</v>
      </c>
      <c r="T163" s="153">
        <f>SUM('案件．要員情報'!AV164:BC164)</f>
        <v>0</v>
      </c>
      <c r="U163" s="153">
        <f>SUM('案件．要員情報'!BD164:BK164)</f>
        <v>0</v>
      </c>
      <c r="V163" s="153">
        <f>SUM('案件．要員情報'!BL164:BS164)</f>
        <v>0</v>
      </c>
      <c r="W163" s="153">
        <f>SUM('案件．要員情報'!BT164:CA164)</f>
        <v>0</v>
      </c>
      <c r="X163" s="153">
        <f>SUM('案件．要員情報'!CB164:CI164)</f>
        <v>0</v>
      </c>
      <c r="Y163" s="153">
        <f>SUM('案件．要員情報'!CJ164:CQ164)</f>
        <v>0</v>
      </c>
      <c r="Z163" s="153">
        <f>SUM('案件．要員情報'!CR164:CY164)</f>
        <v>0</v>
      </c>
      <c r="AA163" s="156">
        <f t="shared" si="5"/>
        <v>0</v>
      </c>
    </row>
    <row r="164" spans="1:32" s="151" customFormat="1" ht="20.100000000000001" hidden="1" customHeight="1" outlineLevel="1" x14ac:dyDescent="0.4">
      <c r="A164" s="377">
        <v>80</v>
      </c>
      <c r="B164" s="379" t="s">
        <v>45</v>
      </c>
      <c r="C164" s="379" t="s">
        <v>346</v>
      </c>
      <c r="D164" s="381"/>
      <c r="E164" s="381"/>
      <c r="F164" s="381"/>
      <c r="G164" s="417"/>
      <c r="H164" s="417"/>
      <c r="I164" s="417"/>
      <c r="J164" s="417"/>
      <c r="K164" s="417"/>
      <c r="L164" s="417"/>
      <c r="M164" s="417"/>
      <c r="N164" s="154" t="s">
        <v>24</v>
      </c>
      <c r="O164" s="150">
        <f>SUM('案件．要員情報'!O165:U165)</f>
        <v>0</v>
      </c>
      <c r="P164" s="150">
        <f>SUM('案件．要員情報'!V165:AA165)</f>
        <v>0</v>
      </c>
      <c r="Q164" s="150">
        <f>SUM('案件．要員情報'!AB165:AG165)</f>
        <v>0</v>
      </c>
      <c r="R164" s="150">
        <f>SUM('案件．要員情報'!AH165:AM165)</f>
        <v>0</v>
      </c>
      <c r="S164" s="150">
        <f>SUM('案件．要員情報'!AN165:AU165)</f>
        <v>0</v>
      </c>
      <c r="T164" s="150">
        <f>SUM('案件．要員情報'!AV165:BC165)</f>
        <v>0</v>
      </c>
      <c r="U164" s="150">
        <f>SUM('案件．要員情報'!BD165:BK165)</f>
        <v>0</v>
      </c>
      <c r="V164" s="150">
        <f>SUM('案件．要員情報'!BL165:BS165)</f>
        <v>0</v>
      </c>
      <c r="W164" s="150">
        <f>SUM('案件．要員情報'!BT165:CA165)</f>
        <v>0</v>
      </c>
      <c r="X164" s="150">
        <f>SUM('案件．要員情報'!CB165:CI165)</f>
        <v>0</v>
      </c>
      <c r="Y164" s="150">
        <f>SUM('案件．要員情報'!CJ165:CQ165)</f>
        <v>0</v>
      </c>
      <c r="Z164" s="150">
        <f>SUM('案件．要員情報'!CR165:CY165)</f>
        <v>0</v>
      </c>
      <c r="AA164" s="213">
        <f t="shared" si="5"/>
        <v>0</v>
      </c>
    </row>
    <row r="165" spans="1:32" s="151" customFormat="1" ht="20.100000000000001" hidden="1" customHeight="1" outlineLevel="1" x14ac:dyDescent="0.4">
      <c r="A165" s="378"/>
      <c r="B165" s="380"/>
      <c r="C165" s="380"/>
      <c r="D165" s="382"/>
      <c r="E165" s="382"/>
      <c r="F165" s="382"/>
      <c r="G165" s="418"/>
      <c r="H165" s="418"/>
      <c r="I165" s="418"/>
      <c r="J165" s="418"/>
      <c r="K165" s="418"/>
      <c r="L165" s="418"/>
      <c r="M165" s="418"/>
      <c r="N165" s="155" t="s">
        <v>25</v>
      </c>
      <c r="O165" s="153">
        <f>SUM('案件．要員情報'!O166:U166)</f>
        <v>0</v>
      </c>
      <c r="P165" s="153">
        <f>SUM('案件．要員情報'!V166:AA166)</f>
        <v>0</v>
      </c>
      <c r="Q165" s="153">
        <f>SUM('案件．要員情報'!AB166:AG166)</f>
        <v>0</v>
      </c>
      <c r="R165" s="153">
        <f>SUM('案件．要員情報'!AH166:AM166)</f>
        <v>0</v>
      </c>
      <c r="S165" s="153">
        <f>SUM('案件．要員情報'!AN166:AU166)</f>
        <v>0</v>
      </c>
      <c r="T165" s="153">
        <f>SUM('案件．要員情報'!AV166:BC166)</f>
        <v>0</v>
      </c>
      <c r="U165" s="153">
        <f>SUM('案件．要員情報'!BD166:BK166)</f>
        <v>0</v>
      </c>
      <c r="V165" s="153">
        <f>SUM('案件．要員情報'!BL166:BS166)</f>
        <v>0</v>
      </c>
      <c r="W165" s="153">
        <f>SUM('案件．要員情報'!BT166:CA166)</f>
        <v>0</v>
      </c>
      <c r="X165" s="153">
        <f>SUM('案件．要員情報'!CB166:CI166)</f>
        <v>0</v>
      </c>
      <c r="Y165" s="153">
        <f>SUM('案件．要員情報'!CJ166:CQ166)</f>
        <v>0</v>
      </c>
      <c r="Z165" s="153">
        <f>SUM('案件．要員情報'!CR166:CY166)</f>
        <v>0</v>
      </c>
      <c r="AA165" s="156">
        <f t="shared" si="5"/>
        <v>0</v>
      </c>
    </row>
    <row r="166" spans="1:32" ht="20.100000000000001" customHeight="1" collapsed="1" x14ac:dyDescent="0.4">
      <c r="A166" s="427" t="s">
        <v>35</v>
      </c>
      <c r="B166" s="428"/>
      <c r="C166" s="428"/>
      <c r="D166" s="428"/>
      <c r="E166" s="428"/>
      <c r="F166" s="428"/>
      <c r="G166" s="429"/>
      <c r="H166" s="414"/>
      <c r="I166" s="414"/>
      <c r="J166" s="414"/>
      <c r="K166" s="99" t="s">
        <v>35</v>
      </c>
      <c r="L166" s="99"/>
      <c r="M166" s="100" t="s">
        <v>37</v>
      </c>
      <c r="N166" s="96" t="s">
        <v>24</v>
      </c>
      <c r="O166" s="216">
        <f t="shared" ref="O166:Z166" si="6">SUM(O6,O8,O10,O12,O14,O16,O18,O20,O22,O24,O26,O28,O30,O32,O34,O36,O38,O40,O42,O44,O46,O48,O50,O52,O54,O56,O58,O60,O62,O64,O66,O68,O70,O72,O74,O76,O78,O80,O82,O84,O86,O88,O90,O92,O94,O96,O98,O100,O102,O104)</f>
        <v>5.1041666666666661</v>
      </c>
      <c r="P166" s="216">
        <f t="shared" si="6"/>
        <v>3.6771929824561398</v>
      </c>
      <c r="Q166" s="216">
        <f t="shared" si="6"/>
        <v>4.3939393939393936</v>
      </c>
      <c r="R166" s="216">
        <f t="shared" si="6"/>
        <v>5.0545454545454538</v>
      </c>
      <c r="S166" s="216">
        <f t="shared" si="6"/>
        <v>0</v>
      </c>
      <c r="T166" s="216">
        <f t="shared" si="6"/>
        <v>0</v>
      </c>
      <c r="U166" s="216">
        <f t="shared" si="6"/>
        <v>0</v>
      </c>
      <c r="V166" s="216">
        <f t="shared" si="6"/>
        <v>0</v>
      </c>
      <c r="W166" s="216">
        <f t="shared" si="6"/>
        <v>0</v>
      </c>
      <c r="X166" s="216">
        <f t="shared" si="6"/>
        <v>0</v>
      </c>
      <c r="Y166" s="216">
        <f t="shared" si="6"/>
        <v>0</v>
      </c>
      <c r="Z166" s="216">
        <f t="shared" si="6"/>
        <v>0</v>
      </c>
      <c r="AA166" s="213">
        <f>SUM(O166:Z166)</f>
        <v>18.229844497607655</v>
      </c>
    </row>
    <row r="167" spans="1:32" ht="20.100000000000001" customHeight="1" x14ac:dyDescent="0.4">
      <c r="A167" s="430"/>
      <c r="B167" s="431"/>
      <c r="C167" s="431"/>
      <c r="D167" s="431"/>
      <c r="E167" s="431"/>
      <c r="F167" s="431"/>
      <c r="G167" s="432"/>
      <c r="H167" s="415"/>
      <c r="I167" s="415"/>
      <c r="J167" s="415"/>
      <c r="K167" s="101" t="s">
        <v>35</v>
      </c>
      <c r="L167" s="101"/>
      <c r="M167" s="102" t="s">
        <v>80</v>
      </c>
      <c r="N167" s="97" t="s">
        <v>25</v>
      </c>
      <c r="O167" s="103">
        <f t="shared" ref="O167:Z167" si="7">SUM(O7,O9,O11,O13,O15,O17,O19,O21,O23,O25,O27,O29,O31,O33,O35,O37,O39,O41,O43,O45,O47,O49,O51,O53,O55,O57,O59,O61,O63,O65,O67,O69,O71,O73,O75,O77,O79,O81,O83,O85,O87,O89,O91,O93,O95,O97,O99,O101,O103,O105)</f>
        <v>4.6708333333333325</v>
      </c>
      <c r="P167" s="103">
        <f t="shared" si="7"/>
        <v>3.3228070175438598</v>
      </c>
      <c r="Q167" s="103">
        <f t="shared" si="7"/>
        <v>4.0333333333333332</v>
      </c>
      <c r="R167" s="103">
        <f t="shared" si="7"/>
        <v>4.4363636363636365</v>
      </c>
      <c r="S167" s="103">
        <f t="shared" si="7"/>
        <v>0</v>
      </c>
      <c r="T167" s="103">
        <f t="shared" si="7"/>
        <v>0</v>
      </c>
      <c r="U167" s="103">
        <f t="shared" si="7"/>
        <v>0</v>
      </c>
      <c r="V167" s="103">
        <f t="shared" si="7"/>
        <v>0</v>
      </c>
      <c r="W167" s="103">
        <f t="shared" si="7"/>
        <v>0</v>
      </c>
      <c r="X167" s="103">
        <f t="shared" si="7"/>
        <v>0</v>
      </c>
      <c r="Y167" s="103">
        <f t="shared" si="7"/>
        <v>0</v>
      </c>
      <c r="Z167" s="103">
        <f t="shared" si="7"/>
        <v>0</v>
      </c>
      <c r="AA167" s="156">
        <f t="shared" ref="AA167" si="8">SUM(O167:Z167)</f>
        <v>16.463337320574162</v>
      </c>
    </row>
    <row r="169" spans="1:32" ht="20.100000000000001" customHeight="1" x14ac:dyDescent="0.4">
      <c r="A169" s="104" t="s">
        <v>29</v>
      </c>
    </row>
    <row r="170" spans="1:32" s="94" customFormat="1" ht="20.100000000000001" customHeight="1" x14ac:dyDescent="0.4">
      <c r="A170" s="425" t="s">
        <v>0</v>
      </c>
      <c r="B170" s="434" t="s">
        <v>86</v>
      </c>
      <c r="C170" s="434" t="s">
        <v>6</v>
      </c>
      <c r="D170" s="434" t="s">
        <v>158</v>
      </c>
      <c r="E170" s="434" t="s">
        <v>2</v>
      </c>
      <c r="F170" s="434" t="s">
        <v>159</v>
      </c>
      <c r="G170" s="421" t="s">
        <v>1</v>
      </c>
      <c r="H170" s="423" t="s">
        <v>168</v>
      </c>
      <c r="I170" s="423" t="s">
        <v>169</v>
      </c>
      <c r="J170" s="423" t="s">
        <v>25</v>
      </c>
      <c r="K170" s="425" t="s">
        <v>7</v>
      </c>
      <c r="L170" s="425" t="s">
        <v>8</v>
      </c>
      <c r="M170" s="425" t="s">
        <v>193</v>
      </c>
      <c r="N170" s="419" t="s">
        <v>5</v>
      </c>
      <c r="O170" s="420"/>
      <c r="P170" s="420"/>
      <c r="Q170" s="420"/>
      <c r="R170" s="420"/>
      <c r="S170" s="420"/>
      <c r="T170" s="420"/>
      <c r="U170" s="420"/>
      <c r="V170" s="420"/>
      <c r="W170" s="420"/>
      <c r="X170" s="420"/>
      <c r="Y170" s="420"/>
      <c r="Z170" s="420"/>
      <c r="AA170" s="86"/>
      <c r="AB170" s="86"/>
      <c r="AC170" s="86"/>
      <c r="AD170" s="86"/>
      <c r="AE170" s="86"/>
      <c r="AF170" s="86"/>
    </row>
    <row r="171" spans="1:32" s="94" customFormat="1" ht="20.100000000000001" customHeight="1" x14ac:dyDescent="0.4">
      <c r="A171" s="426"/>
      <c r="B171" s="434"/>
      <c r="C171" s="434"/>
      <c r="D171" s="434"/>
      <c r="E171" s="434"/>
      <c r="F171" s="434"/>
      <c r="G171" s="422"/>
      <c r="H171" s="424"/>
      <c r="I171" s="424"/>
      <c r="J171" s="424"/>
      <c r="K171" s="426"/>
      <c r="L171" s="426"/>
      <c r="M171" s="426"/>
      <c r="N171" s="157"/>
      <c r="O171" s="149" t="s">
        <v>194</v>
      </c>
      <c r="P171" s="149" t="s">
        <v>135</v>
      </c>
      <c r="Q171" s="149" t="s">
        <v>137</v>
      </c>
      <c r="R171" s="149" t="s">
        <v>138</v>
      </c>
      <c r="S171" s="149" t="s">
        <v>139</v>
      </c>
      <c r="T171" s="149" t="s">
        <v>140</v>
      </c>
      <c r="U171" s="158" t="s">
        <v>141</v>
      </c>
      <c r="V171" s="149" t="s">
        <v>142</v>
      </c>
      <c r="W171" s="149" t="s">
        <v>143</v>
      </c>
      <c r="X171" s="149" t="s">
        <v>144</v>
      </c>
      <c r="Y171" s="149" t="s">
        <v>30</v>
      </c>
      <c r="Z171" s="149" t="s">
        <v>145</v>
      </c>
      <c r="AA171" s="86"/>
      <c r="AB171" s="86"/>
      <c r="AC171" s="86"/>
      <c r="AD171" s="86"/>
      <c r="AE171" s="86"/>
      <c r="AF171" s="86"/>
    </row>
    <row r="172" spans="1:32" ht="20.100000000000001" customHeight="1" x14ac:dyDescent="0.4">
      <c r="A172" s="407">
        <v>1</v>
      </c>
      <c r="B172" s="407" t="s">
        <v>46</v>
      </c>
      <c r="C172" s="407" t="s">
        <v>28</v>
      </c>
      <c r="D172" s="409" t="s">
        <v>19</v>
      </c>
      <c r="E172" s="411" t="s">
        <v>26</v>
      </c>
      <c r="F172" s="409" t="s">
        <v>19</v>
      </c>
      <c r="G172" s="412" t="s">
        <v>84</v>
      </c>
      <c r="H172" s="414"/>
      <c r="I172" s="414"/>
      <c r="J172" s="399"/>
      <c r="K172" s="105"/>
      <c r="L172" s="105"/>
      <c r="M172" s="433" t="s">
        <v>178</v>
      </c>
      <c r="N172" s="96" t="s">
        <v>24</v>
      </c>
      <c r="O172" s="150">
        <f>SUM('案件．要員情報'!O174:U174)</f>
        <v>0.19999999999999998</v>
      </c>
      <c r="P172" s="150">
        <f>SUM('案件．要員情報'!V174:AA174)</f>
        <v>0.19999999999999998</v>
      </c>
      <c r="Q172" s="150">
        <f>SUM('案件．要員情報'!AB174:AG174)</f>
        <v>0.19999999999999998</v>
      </c>
      <c r="R172" s="150">
        <f>SUM('案件．要員情報'!AH174:AM174)</f>
        <v>0.19999999999999998</v>
      </c>
      <c r="S172" s="150">
        <f>SUM('案件．要員情報'!AN174:AU174)</f>
        <v>0</v>
      </c>
      <c r="T172" s="150">
        <f>SUM('案件．要員情報'!AV174:BC174)</f>
        <v>0</v>
      </c>
      <c r="U172" s="150">
        <f>SUM('案件．要員情報'!BD174:BK174)</f>
        <v>0</v>
      </c>
      <c r="V172" s="150">
        <f>SUM('案件．要員情報'!BL174:BS174)</f>
        <v>0</v>
      </c>
      <c r="W172" s="150">
        <f>SUM('案件．要員情報'!BT174:CA174)</f>
        <v>0</v>
      </c>
      <c r="X172" s="150">
        <f>SUM('案件．要員情報'!CB174:CI174)</f>
        <v>0</v>
      </c>
      <c r="Y172" s="150">
        <f>SUM('案件．要員情報'!CJ174:CQ174)</f>
        <v>0</v>
      </c>
      <c r="Z172" s="150">
        <f>SUM('案件．要員情報'!CR174:CY174)</f>
        <v>0</v>
      </c>
    </row>
    <row r="173" spans="1:32" ht="20.100000000000001" customHeight="1" x14ac:dyDescent="0.4">
      <c r="A173" s="408"/>
      <c r="B173" s="408"/>
      <c r="C173" s="408"/>
      <c r="D173" s="410"/>
      <c r="E173" s="410"/>
      <c r="F173" s="410"/>
      <c r="G173" s="413"/>
      <c r="H173" s="415"/>
      <c r="I173" s="415"/>
      <c r="J173" s="400"/>
      <c r="K173" s="106"/>
      <c r="L173" s="106"/>
      <c r="M173" s="393"/>
      <c r="N173" s="97" t="s">
        <v>25</v>
      </c>
      <c r="O173" s="153">
        <f>SUM('案件．要員情報'!O175:U175)</f>
        <v>0.19166666666666665</v>
      </c>
      <c r="P173" s="153">
        <f>SUM('案件．要員情報'!V175:AA175)</f>
        <v>0.15438596491228071</v>
      </c>
      <c r="Q173" s="153">
        <f>SUM('案件．要員情報'!AB175:AG175)</f>
        <v>0.1803030303030303</v>
      </c>
      <c r="R173" s="153">
        <f>SUM('案件．要員情報'!AH175:AM175)</f>
        <v>0.16818181818181818</v>
      </c>
      <c r="S173" s="153">
        <f>SUM('案件．要員情報'!AN175:AU175)</f>
        <v>0</v>
      </c>
      <c r="T173" s="153">
        <f>SUM('案件．要員情報'!AV175:BC175)</f>
        <v>0</v>
      </c>
      <c r="U173" s="153">
        <f>SUM('案件．要員情報'!BD175:BK175)</f>
        <v>0</v>
      </c>
      <c r="V173" s="153">
        <f>SUM('案件．要員情報'!BL175:BS175)</f>
        <v>0</v>
      </c>
      <c r="W173" s="153">
        <f>SUM('案件．要員情報'!BT175:CA175)</f>
        <v>0</v>
      </c>
      <c r="X173" s="153">
        <f>SUM('案件．要員情報'!CB175:CI175)</f>
        <v>0</v>
      </c>
      <c r="Y173" s="153">
        <f>SUM('案件．要員情報'!CJ175:CQ175)</f>
        <v>0</v>
      </c>
      <c r="Z173" s="153">
        <f>SUM('案件．要員情報'!CR175:CY175)</f>
        <v>0</v>
      </c>
    </row>
    <row r="174" spans="1:32" ht="20.100000000000001" customHeight="1" x14ac:dyDescent="0.4">
      <c r="A174" s="407">
        <v>2</v>
      </c>
      <c r="B174" s="407" t="s">
        <v>46</v>
      </c>
      <c r="C174" s="407" t="s">
        <v>28</v>
      </c>
      <c r="D174" s="409" t="s">
        <v>34</v>
      </c>
      <c r="E174" s="411" t="s">
        <v>26</v>
      </c>
      <c r="F174" s="409" t="s">
        <v>19</v>
      </c>
      <c r="G174" s="453" t="s">
        <v>160</v>
      </c>
      <c r="H174" s="414"/>
      <c r="I174" s="414"/>
      <c r="J174" s="399"/>
      <c r="K174" s="105"/>
      <c r="L174" s="105"/>
      <c r="M174" s="433" t="s">
        <v>38</v>
      </c>
      <c r="N174" s="96" t="s">
        <v>24</v>
      </c>
      <c r="O174" s="150">
        <f>SUM('案件．要員情報'!O176:U176)</f>
        <v>9.9999999999999992E-2</v>
      </c>
      <c r="P174" s="150">
        <f>SUM('案件．要員情報'!V176:AA176)</f>
        <v>8.4210526315789472E-2</v>
      </c>
      <c r="Q174" s="150">
        <f>SUM('案件．要員情報'!AB176:AG176)</f>
        <v>7.2727272727272724E-2</v>
      </c>
      <c r="R174" s="150">
        <f>SUM('案件．要員情報'!AH176:AM176)</f>
        <v>9.0909090909090912E-2</v>
      </c>
      <c r="S174" s="150">
        <f>SUM('案件．要員情報'!AN176:AU176)</f>
        <v>0</v>
      </c>
      <c r="T174" s="150">
        <f>SUM('案件．要員情報'!AV176:BC176)</f>
        <v>0</v>
      </c>
      <c r="U174" s="150">
        <f>SUM('案件．要員情報'!BD176:BK176)</f>
        <v>0</v>
      </c>
      <c r="V174" s="150">
        <f>SUM('案件．要員情報'!BL176:BS176)</f>
        <v>0</v>
      </c>
      <c r="W174" s="150">
        <f>SUM('案件．要員情報'!BT176:CA176)</f>
        <v>0</v>
      </c>
      <c r="X174" s="150">
        <f>SUM('案件．要員情報'!CB176:CI176)</f>
        <v>0</v>
      </c>
      <c r="Y174" s="150">
        <f>SUM('案件．要員情報'!CJ176:CQ176)</f>
        <v>0</v>
      </c>
      <c r="Z174" s="150">
        <f>SUM('案件．要員情報'!CR176:CY176)</f>
        <v>0</v>
      </c>
    </row>
    <row r="175" spans="1:32" ht="20.100000000000001" customHeight="1" x14ac:dyDescent="0.4">
      <c r="A175" s="408"/>
      <c r="B175" s="408"/>
      <c r="C175" s="408"/>
      <c r="D175" s="410"/>
      <c r="E175" s="410"/>
      <c r="F175" s="410"/>
      <c r="G175" s="413"/>
      <c r="H175" s="415"/>
      <c r="I175" s="415"/>
      <c r="J175" s="400"/>
      <c r="K175" s="106"/>
      <c r="L175" s="106"/>
      <c r="M175" s="393"/>
      <c r="N175" s="97" t="s">
        <v>25</v>
      </c>
      <c r="O175" s="153">
        <f>SUM('案件．要員情報'!O177:U177)</f>
        <v>7.0833333333333331E-2</v>
      </c>
      <c r="P175" s="153">
        <f>SUM('案件．要員情報'!V177:AA177)</f>
        <v>3.1578947368421054E-2</v>
      </c>
      <c r="Q175" s="153">
        <f>SUM('案件．要員情報'!AB177:AG177)</f>
        <v>6.0606060606060608E-2</v>
      </c>
      <c r="R175" s="153">
        <f>SUM('案件．要員情報'!AH177:AM177)</f>
        <v>6.0606060606060608E-2</v>
      </c>
      <c r="S175" s="153">
        <f>SUM('案件．要員情報'!AN177:AU177)</f>
        <v>0</v>
      </c>
      <c r="T175" s="153">
        <f>SUM('案件．要員情報'!AV177:BC177)</f>
        <v>0</v>
      </c>
      <c r="U175" s="153">
        <f>SUM('案件．要員情報'!BD177:BK177)</f>
        <v>0</v>
      </c>
      <c r="V175" s="153">
        <f>SUM('案件．要員情報'!BL177:BS177)</f>
        <v>0</v>
      </c>
      <c r="W175" s="153">
        <f>SUM('案件．要員情報'!BT177:CA177)</f>
        <v>0</v>
      </c>
      <c r="X175" s="153">
        <f>SUM('案件．要員情報'!CB177:CI177)</f>
        <v>0</v>
      </c>
      <c r="Y175" s="153">
        <f>SUM('案件．要員情報'!CJ177:CQ177)</f>
        <v>0</v>
      </c>
      <c r="Z175" s="153">
        <f>SUM('案件．要員情報'!CR177:CY177)</f>
        <v>0</v>
      </c>
    </row>
    <row r="176" spans="1:32" ht="20.100000000000001" customHeight="1" x14ac:dyDescent="0.4">
      <c r="A176" s="407">
        <v>3</v>
      </c>
      <c r="B176" s="407" t="s">
        <v>46</v>
      </c>
      <c r="C176" s="407" t="s">
        <v>28</v>
      </c>
      <c r="D176" s="409" t="s">
        <v>19</v>
      </c>
      <c r="E176" s="411" t="s">
        <v>26</v>
      </c>
      <c r="F176" s="409" t="s">
        <v>19</v>
      </c>
      <c r="G176" s="412" t="s">
        <v>32</v>
      </c>
      <c r="H176" s="414"/>
      <c r="I176" s="414"/>
      <c r="J176" s="399"/>
      <c r="K176" s="105"/>
      <c r="L176" s="105"/>
      <c r="M176" s="392" t="s">
        <v>161</v>
      </c>
      <c r="N176" s="96" t="s">
        <v>24</v>
      </c>
      <c r="O176" s="150">
        <f>SUM('案件．要員情報'!O178:U178)</f>
        <v>0.19999999999999998</v>
      </c>
      <c r="P176" s="150">
        <f>SUM('案件．要員情報'!V178:AA178)</f>
        <v>0.19999999999999998</v>
      </c>
      <c r="Q176" s="150">
        <f>SUM('案件．要員情報'!AB178:AG178)</f>
        <v>0.19999999999999998</v>
      </c>
      <c r="R176" s="150">
        <f>SUM('案件．要員情報'!AH178:AM178)</f>
        <v>0.19999999999999998</v>
      </c>
      <c r="S176" s="150">
        <f>SUM('案件．要員情報'!AN178:AU178)</f>
        <v>0</v>
      </c>
      <c r="T176" s="150">
        <f>SUM('案件．要員情報'!AV178:BC178)</f>
        <v>0</v>
      </c>
      <c r="U176" s="150">
        <f>SUM('案件．要員情報'!BD178:BK178)</f>
        <v>0</v>
      </c>
      <c r="V176" s="150">
        <f>SUM('案件．要員情報'!BL178:BS178)</f>
        <v>0</v>
      </c>
      <c r="W176" s="150">
        <f>SUM('案件．要員情報'!BT178:CA178)</f>
        <v>0</v>
      </c>
      <c r="X176" s="150">
        <f>SUM('案件．要員情報'!CB178:CI178)</f>
        <v>0</v>
      </c>
      <c r="Y176" s="150">
        <f>SUM('案件．要員情報'!CJ178:CQ178)</f>
        <v>0</v>
      </c>
      <c r="Z176" s="150">
        <f>SUM('案件．要員情報'!CR178:CY178)</f>
        <v>0</v>
      </c>
    </row>
    <row r="177" spans="1:32" ht="20.100000000000001" customHeight="1" x14ac:dyDescent="0.4">
      <c r="A177" s="408"/>
      <c r="B177" s="408"/>
      <c r="C177" s="408"/>
      <c r="D177" s="410"/>
      <c r="E177" s="410"/>
      <c r="F177" s="410"/>
      <c r="G177" s="413"/>
      <c r="H177" s="415"/>
      <c r="I177" s="415"/>
      <c r="J177" s="400"/>
      <c r="K177" s="106"/>
      <c r="L177" s="106"/>
      <c r="M177" s="393"/>
      <c r="N177" s="97" t="s">
        <v>25</v>
      </c>
      <c r="O177" s="153">
        <f>SUM('案件．要員情報'!O179:U179)</f>
        <v>0.19166666666666665</v>
      </c>
      <c r="P177" s="153">
        <f>SUM('案件．要員情報'!V179:AA179)</f>
        <v>0.15438596491228071</v>
      </c>
      <c r="Q177" s="153">
        <f>SUM('案件．要員情報'!AB179:AG179)</f>
        <v>0.1803030303030303</v>
      </c>
      <c r="R177" s="153">
        <f>SUM('案件．要員情報'!AH179:AM179)</f>
        <v>0.16515151515151516</v>
      </c>
      <c r="S177" s="153">
        <f>SUM('案件．要員情報'!AN179:AU179)</f>
        <v>0</v>
      </c>
      <c r="T177" s="153">
        <f>SUM('案件．要員情報'!AV179:BC179)</f>
        <v>0</v>
      </c>
      <c r="U177" s="153">
        <f>SUM('案件．要員情報'!BD179:BK179)</f>
        <v>0</v>
      </c>
      <c r="V177" s="153">
        <f>SUM('案件．要員情報'!BL179:BS179)</f>
        <v>0</v>
      </c>
      <c r="W177" s="153">
        <f>SUM('案件．要員情報'!BT179:CA179)</f>
        <v>0</v>
      </c>
      <c r="X177" s="153">
        <f>SUM('案件．要員情報'!CB179:CI179)</f>
        <v>0</v>
      </c>
      <c r="Y177" s="153">
        <f>SUM('案件．要員情報'!CJ179:CQ179)</f>
        <v>0</v>
      </c>
      <c r="Z177" s="153">
        <f>SUM('案件．要員情報'!CR179:CY179)</f>
        <v>0</v>
      </c>
    </row>
    <row r="178" spans="1:32" ht="27.75" customHeight="1" x14ac:dyDescent="0.4">
      <c r="A178" s="407">
        <v>4</v>
      </c>
      <c r="B178" s="407" t="s">
        <v>46</v>
      </c>
      <c r="C178" s="407" t="s">
        <v>28</v>
      </c>
      <c r="D178" s="409" t="s">
        <v>19</v>
      </c>
      <c r="E178" s="411" t="s">
        <v>26</v>
      </c>
      <c r="F178" s="409" t="s">
        <v>19</v>
      </c>
      <c r="G178" s="412" t="s">
        <v>33</v>
      </c>
      <c r="H178" s="414"/>
      <c r="I178" s="414"/>
      <c r="J178" s="399"/>
      <c r="K178" s="105"/>
      <c r="L178" s="105"/>
      <c r="M178" s="392" t="s">
        <v>40</v>
      </c>
      <c r="N178" s="96" t="s">
        <v>24</v>
      </c>
      <c r="O178" s="150">
        <f>SUM('案件．要員情報'!O180:U180)</f>
        <v>0</v>
      </c>
      <c r="P178" s="150">
        <f>SUM('案件．要員情報'!V180:AA180)</f>
        <v>0</v>
      </c>
      <c r="Q178" s="150">
        <f>SUM('案件．要員情報'!AB180:AG180)</f>
        <v>0</v>
      </c>
      <c r="R178" s="150">
        <f>SUM('案件．要員情報'!AH180:AM180)</f>
        <v>0</v>
      </c>
      <c r="S178" s="150">
        <f>SUM('案件．要員情報'!AN180:AU180)</f>
        <v>0</v>
      </c>
      <c r="T178" s="150">
        <f>SUM('案件．要員情報'!AV180:BC180)</f>
        <v>0</v>
      </c>
      <c r="U178" s="150">
        <f>SUM('案件．要員情報'!BD180:BK180)</f>
        <v>0</v>
      </c>
      <c r="V178" s="150">
        <f>SUM('案件．要員情報'!BL180:BS180)</f>
        <v>0</v>
      </c>
      <c r="W178" s="150">
        <f>SUM('案件．要員情報'!BT180:CA180)</f>
        <v>0</v>
      </c>
      <c r="X178" s="150">
        <f>SUM('案件．要員情報'!CB180:CI180)</f>
        <v>0</v>
      </c>
      <c r="Y178" s="150">
        <f>SUM('案件．要員情報'!CJ180:CQ180)</f>
        <v>0</v>
      </c>
      <c r="Z178" s="150">
        <f>SUM('案件．要員情報'!CR180:CY180)</f>
        <v>0</v>
      </c>
    </row>
    <row r="179" spans="1:32" ht="27.75" customHeight="1" x14ac:dyDescent="0.4">
      <c r="A179" s="408"/>
      <c r="B179" s="408"/>
      <c r="C179" s="408"/>
      <c r="D179" s="410"/>
      <c r="E179" s="410"/>
      <c r="F179" s="410"/>
      <c r="G179" s="413"/>
      <c r="H179" s="415"/>
      <c r="I179" s="415"/>
      <c r="J179" s="400"/>
      <c r="K179" s="106"/>
      <c r="L179" s="106"/>
      <c r="M179" s="393"/>
      <c r="N179" s="97" t="s">
        <v>25</v>
      </c>
      <c r="O179" s="153">
        <f>SUM('案件．要員情報'!O181:U181)</f>
        <v>0</v>
      </c>
      <c r="P179" s="153">
        <f>SUM('案件．要員情報'!V181:AA181)</f>
        <v>0</v>
      </c>
      <c r="Q179" s="153">
        <f>SUM('案件．要員情報'!AB181:AG181)</f>
        <v>0</v>
      </c>
      <c r="R179" s="153">
        <f>SUM('案件．要員情報'!AH181:AM181)</f>
        <v>0</v>
      </c>
      <c r="S179" s="153">
        <f>SUM('案件．要員情報'!AN181:AU181)</f>
        <v>0</v>
      </c>
      <c r="T179" s="153">
        <f>SUM('案件．要員情報'!AV181:BC181)</f>
        <v>0</v>
      </c>
      <c r="U179" s="153">
        <f>SUM('案件．要員情報'!BD181:BK181)</f>
        <v>0</v>
      </c>
      <c r="V179" s="153">
        <f>SUM('案件．要員情報'!BL181:BS181)</f>
        <v>0</v>
      </c>
      <c r="W179" s="153">
        <f>SUM('案件．要員情報'!BT181:CA181)</f>
        <v>0</v>
      </c>
      <c r="X179" s="153">
        <f>SUM('案件．要員情報'!CB181:CI181)</f>
        <v>0</v>
      </c>
      <c r="Y179" s="153">
        <f>SUM('案件．要員情報'!CJ181:CQ181)</f>
        <v>0</v>
      </c>
      <c r="Z179" s="153">
        <f>SUM('案件．要員情報'!CR181:CY181)</f>
        <v>0</v>
      </c>
    </row>
    <row r="180" spans="1:32" ht="20.100000000000001" customHeight="1" x14ac:dyDescent="0.4">
      <c r="A180" s="407">
        <v>5</v>
      </c>
      <c r="B180" s="407" t="s">
        <v>46</v>
      </c>
      <c r="C180" s="407" t="s">
        <v>28</v>
      </c>
      <c r="D180" s="409" t="s">
        <v>19</v>
      </c>
      <c r="E180" s="411" t="s">
        <v>26</v>
      </c>
      <c r="F180" s="409" t="s">
        <v>19</v>
      </c>
      <c r="G180" s="453" t="s">
        <v>39</v>
      </c>
      <c r="H180" s="414"/>
      <c r="I180" s="414"/>
      <c r="J180" s="399"/>
      <c r="K180" s="105"/>
      <c r="L180" s="105"/>
      <c r="M180" s="392"/>
      <c r="N180" s="96" t="s">
        <v>24</v>
      </c>
      <c r="O180" s="150">
        <f>SUM('案件．要員情報'!O182:U182)</f>
        <v>0.4</v>
      </c>
      <c r="P180" s="150">
        <f>SUM('案件．要員情報'!V182:AA182)</f>
        <v>0.32280701754385965</v>
      </c>
      <c r="Q180" s="150">
        <f>SUM('案件．要員情報'!AB182:AG182)</f>
        <v>0.43636363636363634</v>
      </c>
      <c r="R180" s="150">
        <f>SUM('案件．要員情報'!AH182:AM182)</f>
        <v>0.4</v>
      </c>
      <c r="S180" s="150">
        <f>SUM('案件．要員情報'!AN182:AU182)</f>
        <v>0</v>
      </c>
      <c r="T180" s="150">
        <f>SUM('案件．要員情報'!AV182:BC182)</f>
        <v>0</v>
      </c>
      <c r="U180" s="150">
        <f>SUM('案件．要員情報'!BD182:BK182)</f>
        <v>0</v>
      </c>
      <c r="V180" s="150">
        <f>SUM('案件．要員情報'!BL182:BS182)</f>
        <v>0</v>
      </c>
      <c r="W180" s="150">
        <f>SUM('案件．要員情報'!BT182:CA182)</f>
        <v>0</v>
      </c>
      <c r="X180" s="150">
        <f>SUM('案件．要員情報'!CB182:CI182)</f>
        <v>0</v>
      </c>
      <c r="Y180" s="150">
        <f>SUM('案件．要員情報'!CJ182:CQ182)</f>
        <v>0</v>
      </c>
      <c r="Z180" s="150">
        <f>SUM('案件．要員情報'!CR182:CY182)</f>
        <v>0</v>
      </c>
    </row>
    <row r="181" spans="1:32" ht="20.100000000000001" customHeight="1" x14ac:dyDescent="0.4">
      <c r="A181" s="408"/>
      <c r="B181" s="408"/>
      <c r="C181" s="408"/>
      <c r="D181" s="410"/>
      <c r="E181" s="410"/>
      <c r="F181" s="410"/>
      <c r="G181" s="454"/>
      <c r="H181" s="415"/>
      <c r="I181" s="415"/>
      <c r="J181" s="400"/>
      <c r="K181" s="106"/>
      <c r="L181" s="106"/>
      <c r="M181" s="393"/>
      <c r="N181" s="97" t="s">
        <v>25</v>
      </c>
      <c r="O181" s="153">
        <f>SUM('案件．要員情報'!O183:U183)</f>
        <v>0.4</v>
      </c>
      <c r="P181" s="153">
        <f>SUM('案件．要員情報'!V183:AA183)</f>
        <v>0.33333333333333331</v>
      </c>
      <c r="Q181" s="153">
        <f>SUM('案件．要員情報'!AB183:AG183)</f>
        <v>0.43636363636363634</v>
      </c>
      <c r="R181" s="153">
        <f>SUM('案件．要員情報'!AH183:AM183)</f>
        <v>0.31212121212121213</v>
      </c>
      <c r="S181" s="153">
        <f>SUM('案件．要員情報'!AN183:AU183)</f>
        <v>0</v>
      </c>
      <c r="T181" s="153">
        <f>SUM('案件．要員情報'!AV183:BC183)</f>
        <v>0</v>
      </c>
      <c r="U181" s="153">
        <f>SUM('案件．要員情報'!BD183:BK183)</f>
        <v>0</v>
      </c>
      <c r="V181" s="153">
        <f>SUM('案件．要員情報'!BL183:BS183)</f>
        <v>0</v>
      </c>
      <c r="W181" s="153">
        <f>SUM('案件．要員情報'!BT183:CA183)</f>
        <v>0</v>
      </c>
      <c r="X181" s="153">
        <f>SUM('案件．要員情報'!CB183:CI183)</f>
        <v>0</v>
      </c>
      <c r="Y181" s="153">
        <f>SUM('案件．要員情報'!CJ183:CQ183)</f>
        <v>0</v>
      </c>
      <c r="Z181" s="153">
        <f>SUM('案件．要員情報'!CR183:CY183)</f>
        <v>0</v>
      </c>
    </row>
    <row r="182" spans="1:32" ht="20.100000000000001" customHeight="1" x14ac:dyDescent="0.4">
      <c r="A182" s="407">
        <v>6</v>
      </c>
      <c r="B182" s="407" t="s">
        <v>46</v>
      </c>
      <c r="C182" s="407" t="s">
        <v>28</v>
      </c>
      <c r="D182" s="409" t="s">
        <v>19</v>
      </c>
      <c r="E182" s="411" t="s">
        <v>42</v>
      </c>
      <c r="F182" s="409" t="s">
        <v>19</v>
      </c>
      <c r="G182" s="453" t="s">
        <v>41</v>
      </c>
      <c r="H182" s="414"/>
      <c r="I182" s="414"/>
      <c r="J182" s="399"/>
      <c r="K182" s="105"/>
      <c r="L182" s="105"/>
      <c r="M182" s="392"/>
      <c r="N182" s="96" t="s">
        <v>24</v>
      </c>
      <c r="O182" s="150">
        <f>SUM('案件．要員情報'!O184:U184)</f>
        <v>0</v>
      </c>
      <c r="P182" s="150">
        <f>SUM('案件．要員情報'!V184:AA184)</f>
        <v>0</v>
      </c>
      <c r="Q182" s="150">
        <f>SUM('案件．要員情報'!AB184:AG184)</f>
        <v>0</v>
      </c>
      <c r="R182" s="150">
        <f>SUM('案件．要員情報'!AH184:AM184)</f>
        <v>0</v>
      </c>
      <c r="S182" s="150">
        <f>SUM('案件．要員情報'!AN184:AU184)</f>
        <v>0</v>
      </c>
      <c r="T182" s="150">
        <f>SUM('案件．要員情報'!AV184:BC184)</f>
        <v>0</v>
      </c>
      <c r="U182" s="150">
        <f>SUM('案件．要員情報'!BD184:BK184)</f>
        <v>0</v>
      </c>
      <c r="V182" s="150">
        <f>SUM('案件．要員情報'!BL184:BS184)</f>
        <v>0</v>
      </c>
      <c r="W182" s="150">
        <f>SUM('案件．要員情報'!BT184:CA184)</f>
        <v>0</v>
      </c>
      <c r="X182" s="150">
        <f>SUM('案件．要員情報'!CB184:CI184)</f>
        <v>0</v>
      </c>
      <c r="Y182" s="150">
        <f>SUM('案件．要員情報'!CJ184:CQ184)</f>
        <v>0</v>
      </c>
      <c r="Z182" s="150">
        <f>SUM('案件．要員情報'!CR184:CY184)</f>
        <v>0</v>
      </c>
    </row>
    <row r="183" spans="1:32" ht="20.100000000000001" customHeight="1" x14ac:dyDescent="0.4">
      <c r="A183" s="408"/>
      <c r="B183" s="408"/>
      <c r="C183" s="408"/>
      <c r="D183" s="410"/>
      <c r="E183" s="410"/>
      <c r="F183" s="410"/>
      <c r="G183" s="454"/>
      <c r="H183" s="415"/>
      <c r="I183" s="415"/>
      <c r="J183" s="400"/>
      <c r="K183" s="106"/>
      <c r="L183" s="106"/>
      <c r="M183" s="393"/>
      <c r="N183" s="97" t="s">
        <v>25</v>
      </c>
      <c r="O183" s="153">
        <f>SUM('案件．要員情報'!O185:U185)</f>
        <v>0</v>
      </c>
      <c r="P183" s="153">
        <f>SUM('案件．要員情報'!V185:AA185)</f>
        <v>0</v>
      </c>
      <c r="Q183" s="153">
        <f>SUM('案件．要員情報'!AB185:AG185)</f>
        <v>1.2121212121212121E-2</v>
      </c>
      <c r="R183" s="153">
        <f>SUM('案件．要員情報'!AH185:AM185)</f>
        <v>0</v>
      </c>
      <c r="S183" s="153">
        <f>SUM('案件．要員情報'!AN185:AU185)</f>
        <v>0</v>
      </c>
      <c r="T183" s="153">
        <f>SUM('案件．要員情報'!AV185:BC185)</f>
        <v>0</v>
      </c>
      <c r="U183" s="153">
        <f>SUM('案件．要員情報'!BD185:BK185)</f>
        <v>0</v>
      </c>
      <c r="V183" s="153">
        <f>SUM('案件．要員情報'!BL185:BS185)</f>
        <v>0</v>
      </c>
      <c r="W183" s="153">
        <f>SUM('案件．要員情報'!BT185:CA185)</f>
        <v>0</v>
      </c>
      <c r="X183" s="153">
        <f>SUM('案件．要員情報'!CB185:CI185)</f>
        <v>0</v>
      </c>
      <c r="Y183" s="153">
        <f>SUM('案件．要員情報'!CJ185:CQ185)</f>
        <v>0</v>
      </c>
      <c r="Z183" s="153">
        <f>SUM('案件．要員情報'!CR185:CY185)</f>
        <v>0</v>
      </c>
    </row>
    <row r="184" spans="1:32" ht="20.100000000000001" customHeight="1" x14ac:dyDescent="0.4">
      <c r="A184" s="427" t="s">
        <v>35</v>
      </c>
      <c r="B184" s="428"/>
      <c r="C184" s="428"/>
      <c r="D184" s="428"/>
      <c r="E184" s="428"/>
      <c r="F184" s="428"/>
      <c r="G184" s="429"/>
      <c r="H184" s="414"/>
      <c r="I184" s="414"/>
      <c r="J184" s="414"/>
      <c r="K184" s="99"/>
      <c r="L184" s="99"/>
      <c r="M184" s="100" t="s">
        <v>37</v>
      </c>
      <c r="N184" s="96" t="s">
        <v>24</v>
      </c>
      <c r="O184" s="95">
        <f>SUM(O172,O174,O176,O178,O180,O182)</f>
        <v>0.9</v>
      </c>
      <c r="P184" s="95">
        <f t="shared" ref="P184:Z185" si="9">SUM(P172,P174,P176,P178,P180,P182)</f>
        <v>0.80701754385964908</v>
      </c>
      <c r="Q184" s="95">
        <f t="shared" si="9"/>
        <v>0.90909090909090895</v>
      </c>
      <c r="R184" s="95">
        <f t="shared" si="9"/>
        <v>0.89090909090909087</v>
      </c>
      <c r="S184" s="95">
        <f t="shared" si="9"/>
        <v>0</v>
      </c>
      <c r="T184" s="95">
        <f t="shared" si="9"/>
        <v>0</v>
      </c>
      <c r="U184" s="95">
        <f t="shared" si="9"/>
        <v>0</v>
      </c>
      <c r="V184" s="95">
        <f t="shared" si="9"/>
        <v>0</v>
      </c>
      <c r="W184" s="95">
        <f t="shared" si="9"/>
        <v>0</v>
      </c>
      <c r="X184" s="95">
        <f t="shared" si="9"/>
        <v>0</v>
      </c>
      <c r="Y184" s="95">
        <f t="shared" si="9"/>
        <v>0</v>
      </c>
      <c r="Z184" s="95">
        <f>SUM(Z172,Z174,Z176,Z178,Z180,Z182)</f>
        <v>0</v>
      </c>
    </row>
    <row r="185" spans="1:32" ht="20.100000000000001" customHeight="1" x14ac:dyDescent="0.4">
      <c r="A185" s="430"/>
      <c r="B185" s="431"/>
      <c r="C185" s="431"/>
      <c r="D185" s="431"/>
      <c r="E185" s="431"/>
      <c r="F185" s="431"/>
      <c r="G185" s="432"/>
      <c r="H185" s="415"/>
      <c r="I185" s="415"/>
      <c r="J185" s="415"/>
      <c r="K185" s="101"/>
      <c r="L185" s="101"/>
      <c r="M185" s="102" t="s">
        <v>80</v>
      </c>
      <c r="N185" s="97" t="s">
        <v>25</v>
      </c>
      <c r="O185" s="103">
        <f>SUM(O173,O175,O177,O179,O181,O183)</f>
        <v>0.85416666666666663</v>
      </c>
      <c r="P185" s="103">
        <f t="shared" si="9"/>
        <v>0.67368421052631589</v>
      </c>
      <c r="Q185" s="103">
        <f t="shared" si="9"/>
        <v>0.86969696969696964</v>
      </c>
      <c r="R185" s="103">
        <f>SUM(R173,R175,R177,R179,R181,R183)</f>
        <v>0.70606060606060606</v>
      </c>
      <c r="S185" s="103">
        <f t="shared" si="9"/>
        <v>0</v>
      </c>
      <c r="T185" s="103">
        <f>SUM(T173,T175,T177,T179,T181,T183)</f>
        <v>0</v>
      </c>
      <c r="U185" s="103">
        <f t="shared" si="9"/>
        <v>0</v>
      </c>
      <c r="V185" s="103">
        <f t="shared" si="9"/>
        <v>0</v>
      </c>
      <c r="W185" s="103">
        <f t="shared" si="9"/>
        <v>0</v>
      </c>
      <c r="X185" s="103">
        <f t="shared" si="9"/>
        <v>0</v>
      </c>
      <c r="Y185" s="103">
        <f t="shared" si="9"/>
        <v>0</v>
      </c>
      <c r="Z185" s="103">
        <f t="shared" si="9"/>
        <v>0</v>
      </c>
      <c r="AA185" s="107">
        <f>SUM(O185:Z185)</f>
        <v>3.1036084529505583</v>
      </c>
    </row>
    <row r="187" spans="1:32" ht="20.100000000000001" customHeight="1" x14ac:dyDescent="0.4">
      <c r="M187" s="108" t="s">
        <v>195</v>
      </c>
      <c r="N187" s="109" t="s">
        <v>24</v>
      </c>
      <c r="O187" s="110">
        <f>SUM(O166,O184)</f>
        <v>6.0041666666666664</v>
      </c>
      <c r="P187" s="110">
        <f>SUM(P166,P184)</f>
        <v>4.4842105263157892</v>
      </c>
      <c r="Q187" s="110">
        <f t="shared" ref="O187:Z188" si="10">SUM(Q166,Q184)</f>
        <v>5.3030303030303028</v>
      </c>
      <c r="R187" s="110">
        <f t="shared" si="10"/>
        <v>5.9454545454545444</v>
      </c>
      <c r="S187" s="110">
        <f t="shared" si="10"/>
        <v>0</v>
      </c>
      <c r="T187" s="110">
        <f t="shared" si="10"/>
        <v>0</v>
      </c>
      <c r="U187" s="110">
        <f t="shared" si="10"/>
        <v>0</v>
      </c>
      <c r="V187" s="110">
        <f t="shared" si="10"/>
        <v>0</v>
      </c>
      <c r="W187" s="110">
        <f t="shared" si="10"/>
        <v>0</v>
      </c>
      <c r="X187" s="110">
        <f t="shared" si="10"/>
        <v>0</v>
      </c>
      <c r="Y187" s="110">
        <f t="shared" si="10"/>
        <v>0</v>
      </c>
      <c r="Z187" s="110">
        <f t="shared" si="10"/>
        <v>0</v>
      </c>
      <c r="AA187" s="213">
        <f>SUM(O187:Z187)</f>
        <v>21.736862041467301</v>
      </c>
    </row>
    <row r="188" spans="1:32" ht="20.100000000000001" customHeight="1" x14ac:dyDescent="0.4">
      <c r="M188" s="108" t="s">
        <v>196</v>
      </c>
      <c r="N188" s="111" t="s">
        <v>25</v>
      </c>
      <c r="O188" s="110">
        <f t="shared" si="10"/>
        <v>5.5249999999999995</v>
      </c>
      <c r="P188" s="110">
        <f>SUM(P167,P185)</f>
        <v>3.9964912280701759</v>
      </c>
      <c r="Q188" s="110">
        <f t="shared" si="10"/>
        <v>4.9030303030303024</v>
      </c>
      <c r="R188" s="110">
        <f t="shared" si="10"/>
        <v>5.1424242424242426</v>
      </c>
      <c r="S188" s="110">
        <f t="shared" si="10"/>
        <v>0</v>
      </c>
      <c r="T188" s="110">
        <f t="shared" si="10"/>
        <v>0</v>
      </c>
      <c r="U188" s="110">
        <f t="shared" si="10"/>
        <v>0</v>
      </c>
      <c r="V188" s="110">
        <f t="shared" si="10"/>
        <v>0</v>
      </c>
      <c r="W188" s="110">
        <f t="shared" si="10"/>
        <v>0</v>
      </c>
      <c r="X188" s="110">
        <f t="shared" si="10"/>
        <v>0</v>
      </c>
      <c r="Y188" s="110">
        <f t="shared" si="10"/>
        <v>0</v>
      </c>
      <c r="Z188" s="110">
        <f>SUM(Z167,Z185)</f>
        <v>0</v>
      </c>
      <c r="AA188" s="156">
        <f>SUM(O188:Z188)</f>
        <v>19.566945773524722</v>
      </c>
    </row>
    <row r="190" spans="1:32" ht="20.100000000000001" customHeight="1" x14ac:dyDescent="0.4">
      <c r="A190" s="104" t="s">
        <v>18</v>
      </c>
    </row>
    <row r="191" spans="1:32" s="94" customFormat="1" ht="20.100000000000001" customHeight="1" x14ac:dyDescent="0.4">
      <c r="A191" s="450" t="s">
        <v>0</v>
      </c>
      <c r="B191" s="457" t="s">
        <v>86</v>
      </c>
      <c r="C191" s="457" t="s">
        <v>6</v>
      </c>
      <c r="D191" s="457" t="s">
        <v>158</v>
      </c>
      <c r="E191" s="457" t="s">
        <v>2</v>
      </c>
      <c r="F191" s="457" t="s">
        <v>159</v>
      </c>
      <c r="G191" s="455" t="s">
        <v>1</v>
      </c>
      <c r="H191" s="448" t="s">
        <v>168</v>
      </c>
      <c r="I191" s="448" t="s">
        <v>169</v>
      </c>
      <c r="J191" s="448" t="s">
        <v>25</v>
      </c>
      <c r="K191" s="450" t="s">
        <v>7</v>
      </c>
      <c r="L191" s="450" t="s">
        <v>8</v>
      </c>
      <c r="M191" s="450" t="s">
        <v>193</v>
      </c>
      <c r="N191" s="446" t="s">
        <v>5</v>
      </c>
      <c r="O191" s="447"/>
      <c r="P191" s="447"/>
      <c r="Q191" s="447"/>
      <c r="R191" s="447"/>
      <c r="S191" s="447"/>
      <c r="T191" s="447"/>
      <c r="U191" s="447"/>
      <c r="V191" s="447"/>
      <c r="W191" s="447"/>
      <c r="X191" s="447"/>
      <c r="Y191" s="447"/>
      <c r="Z191" s="447"/>
      <c r="AA191" s="86"/>
      <c r="AB191" s="86"/>
      <c r="AC191" s="86"/>
      <c r="AD191" s="86"/>
      <c r="AE191" s="86"/>
      <c r="AF191" s="86"/>
    </row>
    <row r="192" spans="1:32" s="94" customFormat="1" ht="20.100000000000001" customHeight="1" x14ac:dyDescent="0.4">
      <c r="A192" s="451"/>
      <c r="B192" s="457"/>
      <c r="C192" s="457"/>
      <c r="D192" s="457"/>
      <c r="E192" s="457"/>
      <c r="F192" s="457"/>
      <c r="G192" s="456"/>
      <c r="H192" s="449"/>
      <c r="I192" s="449"/>
      <c r="J192" s="449"/>
      <c r="K192" s="451"/>
      <c r="L192" s="451"/>
      <c r="M192" s="451"/>
      <c r="N192" s="112"/>
      <c r="O192" s="113" t="s">
        <v>134</v>
      </c>
      <c r="P192" s="113" t="s">
        <v>135</v>
      </c>
      <c r="Q192" s="113" t="s">
        <v>137</v>
      </c>
      <c r="R192" s="113" t="s">
        <v>138</v>
      </c>
      <c r="S192" s="113" t="s">
        <v>139</v>
      </c>
      <c r="T192" s="113" t="s">
        <v>140</v>
      </c>
      <c r="U192" s="113" t="s">
        <v>141</v>
      </c>
      <c r="V192" s="113" t="s">
        <v>142</v>
      </c>
      <c r="W192" s="113" t="s">
        <v>143</v>
      </c>
      <c r="X192" s="113" t="s">
        <v>144</v>
      </c>
      <c r="Y192" s="113" t="s">
        <v>30</v>
      </c>
      <c r="Z192" s="113" t="s">
        <v>145</v>
      </c>
      <c r="AA192" s="86"/>
      <c r="AB192" s="86"/>
      <c r="AC192" s="86"/>
      <c r="AD192" s="86"/>
      <c r="AE192" s="86"/>
      <c r="AF192" s="86"/>
    </row>
    <row r="193" spans="1:32" ht="36" customHeight="1" x14ac:dyDescent="0.4">
      <c r="A193" s="407">
        <v>1</v>
      </c>
      <c r="B193" s="407" t="s">
        <v>46</v>
      </c>
      <c r="C193" s="407" t="s">
        <v>14</v>
      </c>
      <c r="D193" s="409" t="s">
        <v>19</v>
      </c>
      <c r="E193" s="411" t="s">
        <v>179</v>
      </c>
      <c r="F193" s="409" t="s">
        <v>19</v>
      </c>
      <c r="G193" s="412" t="s">
        <v>180</v>
      </c>
      <c r="H193" s="414">
        <v>0</v>
      </c>
      <c r="I193" s="414">
        <f>SUM(Y193:Y193)</f>
        <v>0</v>
      </c>
      <c r="J193" s="399">
        <f>SUM(Y194:Y194)</f>
        <v>0</v>
      </c>
      <c r="K193" s="114"/>
      <c r="L193" s="114"/>
      <c r="M193" s="452"/>
      <c r="N193" s="96" t="s">
        <v>24</v>
      </c>
      <c r="O193" s="150">
        <f>SUM('案件．要員情報'!O198:U198)</f>
        <v>0.99583333333333324</v>
      </c>
      <c r="P193" s="150">
        <f>SUM('案件．要員情報'!V198:AA198)</f>
        <v>0.84912280701754383</v>
      </c>
      <c r="Q193" s="150">
        <f>SUM('案件．要員情報'!AB198:AG198)</f>
        <v>0.21212121212121213</v>
      </c>
      <c r="R193" s="150">
        <f>SUM('案件．要員情報'!AH198:AM198)</f>
        <v>9.696969696969697E-2</v>
      </c>
      <c r="S193" s="150">
        <f>SUM('案件．要員情報'!AN198:AU198)</f>
        <v>0</v>
      </c>
      <c r="T193" s="150">
        <f>SUM('案件．要員情報'!AV198:BC198)</f>
        <v>0</v>
      </c>
      <c r="U193" s="150">
        <f>SUM('案件．要員情報'!BD198:BK198)</f>
        <v>0</v>
      </c>
      <c r="V193" s="150">
        <f>SUM('案件．要員情報'!BL198:BS198)</f>
        <v>0</v>
      </c>
      <c r="W193" s="150">
        <f>SUM('案件．要員情報'!BT198:CA198)</f>
        <v>0</v>
      </c>
      <c r="X193" s="150">
        <f>SUM('案件．要員情報'!CB198:CI198)</f>
        <v>0</v>
      </c>
      <c r="Y193" s="150">
        <f>SUM('案件．要員情報'!CJ198:CQ198)</f>
        <v>0</v>
      </c>
      <c r="Z193" s="150">
        <f>SUM('案件．要員情報'!CR198:CY198)</f>
        <v>0</v>
      </c>
    </row>
    <row r="194" spans="1:32" ht="15.75" x14ac:dyDescent="0.4">
      <c r="A194" s="408"/>
      <c r="B194" s="408"/>
      <c r="C194" s="408"/>
      <c r="D194" s="410"/>
      <c r="E194" s="410"/>
      <c r="F194" s="410"/>
      <c r="G194" s="413"/>
      <c r="H194" s="415"/>
      <c r="I194" s="415"/>
      <c r="J194" s="400"/>
      <c r="K194" s="115"/>
      <c r="L194" s="115"/>
      <c r="M194" s="393"/>
      <c r="N194" s="97" t="s">
        <v>25</v>
      </c>
      <c r="O194" s="153">
        <f>SUM('案件．要員情報'!O199:U199)</f>
        <v>0.28750000000000003</v>
      </c>
      <c r="P194" s="153">
        <f>SUM('案件．要員情報'!V199:AA199)</f>
        <v>0.39298245614035088</v>
      </c>
      <c r="Q194" s="153">
        <f>SUM('案件．要員情報'!AB199:AG199)</f>
        <v>0.17575757575757578</v>
      </c>
      <c r="R194" s="153">
        <f>SUM('案件．要員情報'!AH199:AM199)</f>
        <v>0.24848484848484853</v>
      </c>
      <c r="S194" s="153">
        <f>SUM('案件．要員情報'!AN199:AU199)</f>
        <v>0</v>
      </c>
      <c r="T194" s="153">
        <f>SUM('案件．要員情報'!AV199:BC199)</f>
        <v>0</v>
      </c>
      <c r="U194" s="153">
        <f>SUM('案件．要員情報'!BD199:BK199)</f>
        <v>0</v>
      </c>
      <c r="V194" s="153">
        <f>SUM('案件．要員情報'!BL199:BS199)</f>
        <v>0</v>
      </c>
      <c r="W194" s="153">
        <f>SUM('案件．要員情報'!BT199:CA199)</f>
        <v>0</v>
      </c>
      <c r="X194" s="153">
        <f>SUM('案件．要員情報'!CB199:CI199)</f>
        <v>0</v>
      </c>
      <c r="Y194" s="153">
        <f>SUM('案件．要員情報'!CJ199:CQ199)</f>
        <v>0</v>
      </c>
      <c r="Z194" s="153">
        <f>SUM('案件．要員情報'!CR199:CY199)</f>
        <v>0</v>
      </c>
    </row>
    <row r="195" spans="1:32" ht="20.100000000000001" customHeight="1" x14ac:dyDescent="0.4">
      <c r="A195" s="407">
        <v>2</v>
      </c>
      <c r="B195" s="407" t="s">
        <v>46</v>
      </c>
      <c r="C195" s="407" t="s">
        <v>14</v>
      </c>
      <c r="D195" s="409" t="s">
        <v>19</v>
      </c>
      <c r="E195" s="411" t="s">
        <v>199</v>
      </c>
      <c r="F195" s="409" t="s">
        <v>19</v>
      </c>
      <c r="G195" s="412" t="s">
        <v>181</v>
      </c>
      <c r="H195" s="414">
        <v>0</v>
      </c>
      <c r="I195" s="414">
        <f>SUM(Y195:Y195)</f>
        <v>0</v>
      </c>
      <c r="J195" s="399">
        <f>SUM(Y196:Y196)</f>
        <v>0</v>
      </c>
      <c r="K195" s="114"/>
      <c r="L195" s="114"/>
      <c r="M195" s="392"/>
      <c r="N195" s="96" t="s">
        <v>24</v>
      </c>
      <c r="O195" s="150">
        <f>SUM('案件．要員情報'!O200:U200)</f>
        <v>0</v>
      </c>
      <c r="P195" s="150">
        <f>SUM('案件．要員情報'!V200:AA200)</f>
        <v>0.66666666666666663</v>
      </c>
      <c r="Q195" s="150">
        <f>SUM('案件．要員情報'!AB200:AG200)</f>
        <v>0.48484848484848481</v>
      </c>
      <c r="R195" s="150">
        <f>SUM('案件．要員情報'!AH200:AM200)</f>
        <v>0.34545454545454546</v>
      </c>
      <c r="S195" s="150">
        <f>SUM('案件．要員情報'!AN200:AU200)</f>
        <v>0</v>
      </c>
      <c r="T195" s="150">
        <f>SUM('案件．要員情報'!AV200:BC200)</f>
        <v>0</v>
      </c>
      <c r="U195" s="150">
        <f>SUM('案件．要員情報'!BD200:BK200)</f>
        <v>0</v>
      </c>
      <c r="V195" s="150">
        <f>SUM('案件．要員情報'!BL200:BS200)</f>
        <v>0</v>
      </c>
      <c r="W195" s="150">
        <f>SUM('案件．要員情報'!BT200:CA200)</f>
        <v>0</v>
      </c>
      <c r="X195" s="150">
        <f>SUM('案件．要員情報'!CB200:CI200)</f>
        <v>0</v>
      </c>
      <c r="Y195" s="150">
        <f>SUM('案件．要員情報'!CJ200:CQ200)</f>
        <v>0</v>
      </c>
      <c r="Z195" s="150">
        <f>SUM('案件．要員情報'!CR200:CY200)</f>
        <v>0</v>
      </c>
    </row>
    <row r="196" spans="1:32" ht="15.75" x14ac:dyDescent="0.4">
      <c r="A196" s="408"/>
      <c r="B196" s="408"/>
      <c r="C196" s="408"/>
      <c r="D196" s="410"/>
      <c r="E196" s="410"/>
      <c r="F196" s="410"/>
      <c r="G196" s="413"/>
      <c r="H196" s="415"/>
      <c r="I196" s="415"/>
      <c r="J196" s="400"/>
      <c r="K196" s="115"/>
      <c r="L196" s="115"/>
      <c r="M196" s="393"/>
      <c r="N196" s="97" t="s">
        <v>25</v>
      </c>
      <c r="O196" s="153">
        <f>SUM('案件．要員情報'!O201:U201)</f>
        <v>0</v>
      </c>
      <c r="P196" s="153">
        <f>SUM('案件．要員情報'!V201:AA201)</f>
        <v>0.61052631578947369</v>
      </c>
      <c r="Q196" s="153">
        <f>SUM('案件．要員情報'!AB201:AG201)</f>
        <v>0.4181818181818181</v>
      </c>
      <c r="R196" s="153">
        <f>SUM('案件．要員情報'!AH201:AM201)</f>
        <v>6.363636363636363E-2</v>
      </c>
      <c r="S196" s="153">
        <f>SUM('案件．要員情報'!AN201:AU201)</f>
        <v>0</v>
      </c>
      <c r="T196" s="153">
        <f>SUM('案件．要員情報'!AV201:BC201)</f>
        <v>0</v>
      </c>
      <c r="U196" s="153">
        <f>SUM('案件．要員情報'!BD201:BK201)</f>
        <v>0</v>
      </c>
      <c r="V196" s="153">
        <f>SUM('案件．要員情報'!BL201:BS201)</f>
        <v>0</v>
      </c>
      <c r="W196" s="153">
        <f>SUM('案件．要員情報'!BT201:CA201)</f>
        <v>0</v>
      </c>
      <c r="X196" s="153">
        <f>SUM('案件．要員情報'!CB201:CI201)</f>
        <v>0</v>
      </c>
      <c r="Y196" s="153">
        <f>SUM('案件．要員情報'!CJ201:CQ201)</f>
        <v>0</v>
      </c>
      <c r="Z196" s="153">
        <f>SUM('案件．要員情報'!CR201:CY201)</f>
        <v>0</v>
      </c>
    </row>
    <row r="197" spans="1:32" ht="20.100000000000001" customHeight="1" x14ac:dyDescent="0.4">
      <c r="A197" s="407">
        <v>3</v>
      </c>
      <c r="B197" s="407" t="s">
        <v>46</v>
      </c>
      <c r="C197" s="407" t="s">
        <v>14</v>
      </c>
      <c r="D197" s="409" t="s">
        <v>19</v>
      </c>
      <c r="E197" s="411" t="s">
        <v>200</v>
      </c>
      <c r="F197" s="409" t="s">
        <v>19</v>
      </c>
      <c r="G197" s="412" t="s">
        <v>202</v>
      </c>
      <c r="H197" s="414">
        <v>0</v>
      </c>
      <c r="I197" s="414">
        <f>SUM(Y197:Y197)</f>
        <v>0</v>
      </c>
      <c r="J197" s="399">
        <f>SUM(Y198:Y198)</f>
        <v>0</v>
      </c>
      <c r="K197" s="114"/>
      <c r="L197" s="114"/>
      <c r="M197" s="392"/>
      <c r="N197" s="96" t="s">
        <v>24</v>
      </c>
      <c r="O197" s="150">
        <f>SUM('案件．要員情報'!O202:U202)</f>
        <v>0</v>
      </c>
      <c r="P197" s="150">
        <f>SUM('案件．要員情報'!V202:AA202)</f>
        <v>0</v>
      </c>
      <c r="Q197" s="150">
        <f>SUM('案件．要員情報'!AB202:AG202)</f>
        <v>0</v>
      </c>
      <c r="R197" s="150">
        <f>SUM('案件．要員情報'!AH202:AM202)</f>
        <v>0</v>
      </c>
      <c r="S197" s="150">
        <f>SUM('案件．要員情報'!AN202:AU202)</f>
        <v>0</v>
      </c>
      <c r="T197" s="150">
        <f>SUM('案件．要員情報'!AV202:BC202)</f>
        <v>0</v>
      </c>
      <c r="U197" s="150">
        <f>SUM('案件．要員情報'!BD202:BK202)</f>
        <v>0</v>
      </c>
      <c r="V197" s="150">
        <f>SUM('案件．要員情報'!BL202:BS202)</f>
        <v>0</v>
      </c>
      <c r="W197" s="150">
        <f>SUM('案件．要員情報'!BT202:CA202)</f>
        <v>0</v>
      </c>
      <c r="X197" s="150">
        <f>SUM('案件．要員情報'!CB202:CI202)</f>
        <v>0</v>
      </c>
      <c r="Y197" s="150">
        <f>SUM('案件．要員情報'!CJ202:CQ202)</f>
        <v>0</v>
      </c>
      <c r="Z197" s="150">
        <f>SUM('案件．要員情報'!CR202:CY202)</f>
        <v>0</v>
      </c>
    </row>
    <row r="198" spans="1:32" ht="15.75" x14ac:dyDescent="0.4">
      <c r="A198" s="408"/>
      <c r="B198" s="408"/>
      <c r="C198" s="408"/>
      <c r="D198" s="410"/>
      <c r="E198" s="410"/>
      <c r="F198" s="410"/>
      <c r="G198" s="413"/>
      <c r="H198" s="415"/>
      <c r="I198" s="415"/>
      <c r="J198" s="400"/>
      <c r="K198" s="115"/>
      <c r="L198" s="115"/>
      <c r="M198" s="393"/>
      <c r="N198" s="97" t="s">
        <v>25</v>
      </c>
      <c r="O198" s="153">
        <f>SUM('案件．要員情報'!O203:U203)</f>
        <v>0</v>
      </c>
      <c r="P198" s="153">
        <f>SUM('案件．要員情報'!V203:AA203)</f>
        <v>0</v>
      </c>
      <c r="Q198" s="153">
        <f>SUM('案件．要員情報'!AB203:AG203)</f>
        <v>0</v>
      </c>
      <c r="R198" s="153">
        <f>SUM('案件．要員情報'!AH203:AM203)</f>
        <v>0</v>
      </c>
      <c r="S198" s="153">
        <f>SUM('案件．要員情報'!AN203:AU203)</f>
        <v>0</v>
      </c>
      <c r="T198" s="153">
        <f>SUM('案件．要員情報'!AV203:BC203)</f>
        <v>0</v>
      </c>
      <c r="U198" s="153">
        <f>SUM('案件．要員情報'!BD203:BK203)</f>
        <v>0</v>
      </c>
      <c r="V198" s="153">
        <f>SUM('案件．要員情報'!BL203:BS203)</f>
        <v>0</v>
      </c>
      <c r="W198" s="153">
        <f>SUM('案件．要員情報'!BT203:CA203)</f>
        <v>0</v>
      </c>
      <c r="X198" s="153">
        <f>SUM('案件．要員情報'!CB203:CI203)</f>
        <v>0</v>
      </c>
      <c r="Y198" s="153">
        <f>SUM('案件．要員情報'!CJ203:CQ203)</f>
        <v>0</v>
      </c>
      <c r="Z198" s="153">
        <f>SUM('案件．要員情報'!CR203:CY203)</f>
        <v>0</v>
      </c>
    </row>
    <row r="199" spans="1:32" ht="15.75" x14ac:dyDescent="0.4">
      <c r="A199" s="407">
        <v>4</v>
      </c>
      <c r="B199" s="407" t="s">
        <v>46</v>
      </c>
      <c r="C199" s="407" t="s">
        <v>14</v>
      </c>
      <c r="D199" s="409" t="s">
        <v>19</v>
      </c>
      <c r="E199" s="409" t="s">
        <v>19</v>
      </c>
      <c r="F199" s="409" t="s">
        <v>19</v>
      </c>
      <c r="G199" s="412" t="s">
        <v>22</v>
      </c>
      <c r="H199" s="414">
        <v>0</v>
      </c>
      <c r="I199" s="414">
        <f>SUM(Y199:Y199)</f>
        <v>0</v>
      </c>
      <c r="J199" s="399">
        <f>SUM(Y200:Y200)</f>
        <v>0</v>
      </c>
      <c r="K199" s="105"/>
      <c r="L199" s="105"/>
      <c r="M199" s="439" t="s">
        <v>43</v>
      </c>
      <c r="N199" s="96" t="s">
        <v>24</v>
      </c>
      <c r="O199" s="150">
        <f>SUM('案件．要員情報'!O204:U204)</f>
        <v>0</v>
      </c>
      <c r="P199" s="150">
        <f>SUM('案件．要員情報'!V204:AA204)</f>
        <v>0</v>
      </c>
      <c r="Q199" s="150">
        <f>SUM('案件．要員情報'!AB204:AG204)</f>
        <v>0</v>
      </c>
      <c r="R199" s="150">
        <f>SUM('案件．要員情報'!AH204:AM204)</f>
        <v>0</v>
      </c>
      <c r="S199" s="150">
        <f>SUM('案件．要員情報'!AN204:AU204)</f>
        <v>0</v>
      </c>
      <c r="T199" s="150">
        <f>SUM('案件．要員情報'!AV204:BC204)</f>
        <v>0</v>
      </c>
      <c r="U199" s="150">
        <f>SUM('案件．要員情報'!BD204:BK204)</f>
        <v>0</v>
      </c>
      <c r="V199" s="150">
        <f>SUM('案件．要員情報'!BL204:BS204)</f>
        <v>0</v>
      </c>
      <c r="W199" s="150">
        <f>SUM('案件．要員情報'!BT204:CA204)</f>
        <v>0</v>
      </c>
      <c r="X199" s="150">
        <f>SUM('案件．要員情報'!CB204:CI204)</f>
        <v>0</v>
      </c>
      <c r="Y199" s="150">
        <f>SUM('案件．要員情報'!CJ204:CQ204)</f>
        <v>0</v>
      </c>
      <c r="Z199" s="150">
        <f>SUM('案件．要員情報'!CR204:CY204)</f>
        <v>0</v>
      </c>
    </row>
    <row r="200" spans="1:32" ht="15.75" x14ac:dyDescent="0.4">
      <c r="A200" s="408"/>
      <c r="B200" s="408"/>
      <c r="C200" s="408"/>
      <c r="D200" s="410"/>
      <c r="E200" s="410"/>
      <c r="F200" s="410"/>
      <c r="G200" s="413"/>
      <c r="H200" s="415"/>
      <c r="I200" s="415"/>
      <c r="J200" s="400"/>
      <c r="K200" s="106"/>
      <c r="L200" s="106"/>
      <c r="M200" s="393"/>
      <c r="N200" s="97" t="s">
        <v>25</v>
      </c>
      <c r="O200" s="153">
        <f>SUM('案件．要員情報'!O205:U205)</f>
        <v>0</v>
      </c>
      <c r="P200" s="153">
        <f>SUM('案件．要員情報'!V205:AA205)</f>
        <v>0</v>
      </c>
      <c r="Q200" s="153">
        <f>SUM('案件．要員情報'!AB205:AG205)</f>
        <v>0</v>
      </c>
      <c r="R200" s="153">
        <f>SUM('案件．要員情報'!AH205:AM205)</f>
        <v>0</v>
      </c>
      <c r="S200" s="153">
        <f>SUM('案件．要員情報'!AN205:AU205)</f>
        <v>0</v>
      </c>
      <c r="T200" s="153">
        <f>SUM('案件．要員情報'!AV205:BC205)</f>
        <v>0</v>
      </c>
      <c r="U200" s="153">
        <f>SUM('案件．要員情報'!BD205:BK205)</f>
        <v>0</v>
      </c>
      <c r="V200" s="153">
        <f>SUM('案件．要員情報'!BL205:BS205)</f>
        <v>0</v>
      </c>
      <c r="W200" s="153">
        <f>SUM('案件．要員情報'!BT205:CA205)</f>
        <v>0</v>
      </c>
      <c r="X200" s="153">
        <f>SUM('案件．要員情報'!CB205:CI205)</f>
        <v>0</v>
      </c>
      <c r="Y200" s="153">
        <f>SUM('案件．要員情報'!CJ205:CQ205)</f>
        <v>0</v>
      </c>
      <c r="Z200" s="153">
        <f>SUM('案件．要員情報'!CR205:CY205)</f>
        <v>0</v>
      </c>
    </row>
    <row r="201" spans="1:32" ht="20.100000000000001" customHeight="1" x14ac:dyDescent="0.4">
      <c r="A201" s="407">
        <v>5</v>
      </c>
      <c r="B201" s="407" t="s">
        <v>46</v>
      </c>
      <c r="C201" s="407" t="s">
        <v>14</v>
      </c>
      <c r="D201" s="409" t="s">
        <v>19</v>
      </c>
      <c r="E201" s="409" t="s">
        <v>19</v>
      </c>
      <c r="F201" s="409" t="s">
        <v>19</v>
      </c>
      <c r="G201" s="437" t="s">
        <v>23</v>
      </c>
      <c r="H201" s="414">
        <v>0</v>
      </c>
      <c r="I201" s="414">
        <f>SUM(Y201:Y201)</f>
        <v>0</v>
      </c>
      <c r="J201" s="399">
        <f>SUM(Y202:Y202)</f>
        <v>0</v>
      </c>
      <c r="K201" s="105"/>
      <c r="L201" s="105"/>
      <c r="M201" s="440" t="s">
        <v>19</v>
      </c>
      <c r="N201" s="96" t="s">
        <v>24</v>
      </c>
      <c r="O201" s="150">
        <f>SUM('案件．要員情報'!O206:U206)</f>
        <v>0</v>
      </c>
      <c r="P201" s="150">
        <f>SUM('案件．要員情報'!V206:AA206)</f>
        <v>0</v>
      </c>
      <c r="Q201" s="150">
        <f>SUM('案件．要員情報'!AB206:AG206)</f>
        <v>0</v>
      </c>
      <c r="R201" s="150">
        <f>SUM('案件．要員情報'!AH206:AM206)</f>
        <v>0</v>
      </c>
      <c r="S201" s="150">
        <f>SUM('案件．要員情報'!AN206:AU206)</f>
        <v>0</v>
      </c>
      <c r="T201" s="150">
        <f>SUM('案件．要員情報'!AV206:BC206)</f>
        <v>0</v>
      </c>
      <c r="U201" s="150">
        <f>SUM('案件．要員情報'!BD206:BK206)</f>
        <v>0</v>
      </c>
      <c r="V201" s="150">
        <f>SUM('案件．要員情報'!BL206:BS206)</f>
        <v>0</v>
      </c>
      <c r="W201" s="150">
        <f>SUM('案件．要員情報'!BT206:CA206)</f>
        <v>0</v>
      </c>
      <c r="X201" s="150">
        <f>SUM('案件．要員情報'!CB206:CI206)</f>
        <v>0</v>
      </c>
      <c r="Y201" s="150">
        <f>SUM('案件．要員情報'!CJ206:CQ206)</f>
        <v>0</v>
      </c>
      <c r="Z201" s="150">
        <f>SUM('案件．要員情報'!CR206:CY206)</f>
        <v>0</v>
      </c>
    </row>
    <row r="202" spans="1:32" ht="20.100000000000001" customHeight="1" x14ac:dyDescent="0.4">
      <c r="A202" s="408"/>
      <c r="B202" s="408"/>
      <c r="C202" s="408"/>
      <c r="D202" s="410"/>
      <c r="E202" s="410"/>
      <c r="F202" s="410"/>
      <c r="G202" s="438"/>
      <c r="H202" s="415"/>
      <c r="I202" s="415"/>
      <c r="J202" s="400"/>
      <c r="K202" s="106"/>
      <c r="L202" s="106"/>
      <c r="M202" s="393"/>
      <c r="N202" s="97" t="s">
        <v>25</v>
      </c>
      <c r="O202" s="153">
        <f>SUM('案件．要員情報'!O207:U207)</f>
        <v>1</v>
      </c>
      <c r="P202" s="153">
        <f>SUM('案件．要員情報'!V207:AA207)</f>
        <v>1</v>
      </c>
      <c r="Q202" s="153">
        <f>SUM('案件．要員情報'!AB207:AG207)</f>
        <v>0.5</v>
      </c>
      <c r="R202" s="153">
        <f>SUM('案件．要員情報'!AH207:AM207)</f>
        <v>0</v>
      </c>
      <c r="S202" s="153">
        <f>SUM('案件．要員情報'!AN207:AU207)</f>
        <v>0</v>
      </c>
      <c r="T202" s="153">
        <f>SUM('案件．要員情報'!AV207:BC207)</f>
        <v>0</v>
      </c>
      <c r="U202" s="153">
        <f>SUM('案件．要員情報'!BD207:BK207)</f>
        <v>0</v>
      </c>
      <c r="V202" s="153">
        <f>SUM('案件．要員情報'!BL207:BS207)</f>
        <v>0</v>
      </c>
      <c r="W202" s="153">
        <f>SUM('案件．要員情報'!BT207:CA207)</f>
        <v>0</v>
      </c>
      <c r="X202" s="153">
        <f>SUM('案件．要員情報'!CB207:CI207)</f>
        <v>0</v>
      </c>
      <c r="Y202" s="153">
        <f>SUM('案件．要員情報'!CJ207:CQ207)</f>
        <v>0</v>
      </c>
      <c r="Z202" s="153">
        <f>SUM('案件．要員情報'!CR207:CY207)</f>
        <v>0</v>
      </c>
    </row>
    <row r="203" spans="1:32" ht="20.100000000000001" customHeight="1" x14ac:dyDescent="0.4">
      <c r="A203" s="427" t="s">
        <v>35</v>
      </c>
      <c r="B203" s="428"/>
      <c r="C203" s="428"/>
      <c r="D203" s="428"/>
      <c r="E203" s="428"/>
      <c r="F203" s="428"/>
      <c r="G203" s="429"/>
      <c r="H203" s="414">
        <f>SUM(H193:H202)</f>
        <v>0</v>
      </c>
      <c r="I203" s="414">
        <f>SUM(I193:I202)</f>
        <v>0</v>
      </c>
      <c r="J203" s="414">
        <f>SUM(J193:J202)</f>
        <v>0</v>
      </c>
      <c r="K203" s="99"/>
      <c r="L203" s="99"/>
      <c r="M203" s="100" t="s">
        <v>37</v>
      </c>
      <c r="N203" s="96" t="s">
        <v>24</v>
      </c>
      <c r="O203" s="95">
        <f t="shared" ref="O203:Q204" si="11">SUM(O193,O195,O197,O199,O201)</f>
        <v>0.99583333333333324</v>
      </c>
      <c r="P203" s="95">
        <f t="shared" si="11"/>
        <v>1.5157894736842104</v>
      </c>
      <c r="Q203" s="95">
        <f t="shared" si="11"/>
        <v>0.69696969696969691</v>
      </c>
      <c r="R203" s="95">
        <f t="shared" ref="R203:Z203" si="12">SUM(R193,R195,R197,R199,R201)</f>
        <v>0.44242424242424244</v>
      </c>
      <c r="S203" s="95">
        <f t="shared" si="12"/>
        <v>0</v>
      </c>
      <c r="T203" s="95">
        <f t="shared" si="12"/>
        <v>0</v>
      </c>
      <c r="U203" s="95">
        <f t="shared" si="12"/>
        <v>0</v>
      </c>
      <c r="V203" s="95">
        <f t="shared" si="12"/>
        <v>0</v>
      </c>
      <c r="W203" s="95">
        <f t="shared" si="12"/>
        <v>0</v>
      </c>
      <c r="X203" s="95">
        <f t="shared" si="12"/>
        <v>0</v>
      </c>
      <c r="Y203" s="95">
        <f t="shared" si="12"/>
        <v>0</v>
      </c>
      <c r="Z203" s="95">
        <f t="shared" si="12"/>
        <v>0</v>
      </c>
    </row>
    <row r="204" spans="1:32" ht="20.100000000000001" customHeight="1" x14ac:dyDescent="0.4">
      <c r="A204" s="430"/>
      <c r="B204" s="431"/>
      <c r="C204" s="431"/>
      <c r="D204" s="431"/>
      <c r="E204" s="431"/>
      <c r="F204" s="431"/>
      <c r="G204" s="432"/>
      <c r="H204" s="415"/>
      <c r="I204" s="415"/>
      <c r="J204" s="415"/>
      <c r="K204" s="101"/>
      <c r="L204" s="101"/>
      <c r="M204" s="102" t="s">
        <v>80</v>
      </c>
      <c r="N204" s="97" t="s">
        <v>25</v>
      </c>
      <c r="O204" s="103">
        <f t="shared" si="11"/>
        <v>1.2875000000000001</v>
      </c>
      <c r="P204" s="103">
        <f t="shared" si="11"/>
        <v>2.0035087719298246</v>
      </c>
      <c r="Q204" s="103">
        <f t="shared" si="11"/>
        <v>1.0939393939393938</v>
      </c>
      <c r="R204" s="103">
        <f t="shared" ref="R204:Z204" si="13">SUM(R194,R196,R198,R200,R202)</f>
        <v>0.31212121212121213</v>
      </c>
      <c r="S204" s="103">
        <f t="shared" si="13"/>
        <v>0</v>
      </c>
      <c r="T204" s="103">
        <f t="shared" si="13"/>
        <v>0</v>
      </c>
      <c r="U204" s="103">
        <f t="shared" si="13"/>
        <v>0</v>
      </c>
      <c r="V204" s="103">
        <f t="shared" si="13"/>
        <v>0</v>
      </c>
      <c r="W204" s="103">
        <f t="shared" si="13"/>
        <v>0</v>
      </c>
      <c r="X204" s="103">
        <f t="shared" si="13"/>
        <v>0</v>
      </c>
      <c r="Y204" s="103">
        <f t="shared" si="13"/>
        <v>0</v>
      </c>
      <c r="Z204" s="103">
        <f t="shared" si="13"/>
        <v>0</v>
      </c>
      <c r="AB204" s="136"/>
      <c r="AC204" s="136"/>
    </row>
    <row r="205" spans="1:32" ht="20.100000000000001" customHeight="1" x14ac:dyDescent="0.4">
      <c r="M205" s="116"/>
      <c r="N205" s="117"/>
      <c r="O205" s="117"/>
      <c r="P205" s="117"/>
      <c r="Q205" s="117"/>
      <c r="R205" s="117"/>
      <c r="S205" s="117"/>
      <c r="T205" s="117"/>
      <c r="U205" s="117"/>
      <c r="V205" s="117"/>
      <c r="W205" s="117"/>
      <c r="X205" s="117"/>
      <c r="Y205" s="117"/>
      <c r="Z205" s="117"/>
    </row>
    <row r="206" spans="1:32" ht="30" customHeight="1" thickBot="1" x14ac:dyDescent="0.45">
      <c r="G206" s="118" t="s">
        <v>197</v>
      </c>
      <c r="H206" s="119">
        <f>SUM(H166,H184)</f>
        <v>0</v>
      </c>
      <c r="I206" s="119">
        <f>SUM(I166,I184)</f>
        <v>0</v>
      </c>
      <c r="K206" s="458" t="s">
        <v>198</v>
      </c>
      <c r="L206" s="458"/>
      <c r="M206" s="458"/>
      <c r="N206" s="109" t="s">
        <v>24</v>
      </c>
      <c r="O206" s="109">
        <f>SUM(O187,O203)</f>
        <v>7</v>
      </c>
      <c r="P206" s="109">
        <f>SUM(P187,P203)</f>
        <v>6</v>
      </c>
      <c r="Q206" s="109">
        <f t="shared" ref="Q206:Z206" si="14">SUM(Q187,Q203)</f>
        <v>6</v>
      </c>
      <c r="R206" s="109">
        <f t="shared" si="14"/>
        <v>6.3878787878787868</v>
      </c>
      <c r="S206" s="109">
        <f t="shared" si="14"/>
        <v>0</v>
      </c>
      <c r="T206" s="109">
        <f t="shared" si="14"/>
        <v>0</v>
      </c>
      <c r="U206" s="109">
        <f t="shared" si="14"/>
        <v>0</v>
      </c>
      <c r="V206" s="109">
        <f t="shared" si="14"/>
        <v>0</v>
      </c>
      <c r="W206" s="109">
        <f t="shared" si="14"/>
        <v>0</v>
      </c>
      <c r="X206" s="109">
        <f t="shared" si="14"/>
        <v>0</v>
      </c>
      <c r="Y206" s="109">
        <f t="shared" si="14"/>
        <v>0</v>
      </c>
      <c r="Z206" s="109">
        <f t="shared" si="14"/>
        <v>0</v>
      </c>
      <c r="AA206" s="213">
        <f>SUM(O206:Z206)</f>
        <v>25.387878787878787</v>
      </c>
    </row>
    <row r="207" spans="1:32" ht="30" customHeight="1" thickTop="1" thickBot="1" x14ac:dyDescent="0.45">
      <c r="G207" s="118" t="s">
        <v>82</v>
      </c>
      <c r="H207" s="120">
        <f>H203</f>
        <v>0</v>
      </c>
      <c r="I207" s="120">
        <f>I203</f>
        <v>0</v>
      </c>
      <c r="K207" s="458" t="s">
        <v>198</v>
      </c>
      <c r="L207" s="458"/>
      <c r="M207" s="458"/>
      <c r="N207" s="111" t="s">
        <v>25</v>
      </c>
      <c r="O207" s="109">
        <f>SUM(O188,O204)</f>
        <v>6.8125</v>
      </c>
      <c r="P207" s="109">
        <f>SUM(P188,P204)</f>
        <v>6</v>
      </c>
      <c r="Q207" s="109">
        <f t="shared" ref="Q207:Z207" si="15">SUM(Q188,Q204)</f>
        <v>5.9969696969696962</v>
      </c>
      <c r="R207" s="109">
        <f t="shared" si="15"/>
        <v>5.454545454545455</v>
      </c>
      <c r="S207" s="109">
        <f t="shared" si="15"/>
        <v>0</v>
      </c>
      <c r="T207" s="109">
        <f t="shared" si="15"/>
        <v>0</v>
      </c>
      <c r="U207" s="109">
        <f t="shared" si="15"/>
        <v>0</v>
      </c>
      <c r="V207" s="109">
        <f t="shared" si="15"/>
        <v>0</v>
      </c>
      <c r="W207" s="109">
        <f t="shared" si="15"/>
        <v>0</v>
      </c>
      <c r="X207" s="109">
        <f t="shared" si="15"/>
        <v>0</v>
      </c>
      <c r="Y207" s="109">
        <f t="shared" si="15"/>
        <v>0</v>
      </c>
      <c r="Z207" s="109">
        <f t="shared" si="15"/>
        <v>0</v>
      </c>
      <c r="AA207" s="156">
        <f>SUM(O207:Z207)</f>
        <v>24.264015151515153</v>
      </c>
      <c r="AC207" s="98"/>
      <c r="AD207" s="98"/>
    </row>
    <row r="208" spans="1:32" ht="20.100000000000001" customHeight="1" thickTop="1" x14ac:dyDescent="0.4">
      <c r="P208" s="121"/>
      <c r="Q208" s="121"/>
      <c r="R208" s="122"/>
      <c r="S208" s="122"/>
      <c r="T208" s="122"/>
      <c r="U208" s="122"/>
      <c r="V208" s="121"/>
      <c r="W208" s="121"/>
      <c r="X208" s="121"/>
      <c r="Y208" s="121"/>
      <c r="Z208" s="121"/>
      <c r="AA208" s="121"/>
      <c r="AB208" s="121"/>
      <c r="AC208" s="121"/>
      <c r="AD208" s="121"/>
      <c r="AE208" s="121"/>
      <c r="AF208" s="121"/>
    </row>
    <row r="209" spans="14:41" ht="20.100000000000001" customHeight="1" x14ac:dyDescent="0.4">
      <c r="O209" s="123"/>
      <c r="P209" s="124"/>
      <c r="Q209" s="124"/>
      <c r="R209" s="124"/>
      <c r="S209" s="124"/>
      <c r="T209" s="124"/>
      <c r="U209" s="124"/>
      <c r="V209" s="125"/>
      <c r="W209" s="125"/>
      <c r="X209" s="125"/>
      <c r="Y209" s="126"/>
      <c r="Z209" s="125"/>
      <c r="AA209" s="127"/>
      <c r="AB209" s="441"/>
      <c r="AC209" s="441"/>
      <c r="AD209" s="441"/>
      <c r="AE209" s="125"/>
      <c r="AF209" s="125"/>
      <c r="AG209" s="125"/>
      <c r="AH209" s="121"/>
    </row>
    <row r="210" spans="14:41" ht="20.100000000000001" customHeight="1" x14ac:dyDescent="0.4">
      <c r="N210" s="128"/>
      <c r="O210" s="129"/>
      <c r="P210" s="121"/>
      <c r="Q210" s="121"/>
      <c r="R210" s="121"/>
      <c r="S210" s="121"/>
      <c r="T210" s="121"/>
      <c r="U210" s="121"/>
      <c r="V210" s="130"/>
      <c r="W210" s="130"/>
      <c r="X210" s="130"/>
      <c r="Y210" s="128"/>
      <c r="Z210" s="130"/>
      <c r="AA210" s="131"/>
      <c r="AB210" s="442"/>
      <c r="AC210" s="442"/>
      <c r="AD210" s="442"/>
      <c r="AE210" s="130"/>
      <c r="AF210" s="130"/>
      <c r="AG210" s="130"/>
      <c r="AH210" s="121"/>
    </row>
    <row r="211" spans="14:41" ht="20.100000000000001" customHeight="1" x14ac:dyDescent="0.4">
      <c r="N211" s="132"/>
      <c r="O211" s="129"/>
      <c r="P211" s="121"/>
      <c r="Q211" s="121"/>
      <c r="R211" s="121"/>
      <c r="S211" s="121"/>
      <c r="T211" s="121"/>
      <c r="U211" s="121"/>
      <c r="V211" s="133"/>
      <c r="W211" s="133"/>
      <c r="X211" s="133"/>
      <c r="Y211" s="134"/>
      <c r="Z211" s="133"/>
      <c r="AA211" s="135"/>
      <c r="AB211" s="443"/>
      <c r="AC211" s="443"/>
      <c r="AD211" s="443"/>
      <c r="AE211" s="133"/>
      <c r="AF211" s="133"/>
      <c r="AG211" s="133"/>
      <c r="AH211" s="121"/>
    </row>
    <row r="212" spans="14:41" ht="20.100000000000001" customHeight="1" x14ac:dyDescent="0.4">
      <c r="O212" s="123"/>
      <c r="S212" s="137"/>
      <c r="T212" s="137"/>
      <c r="U212" s="137"/>
      <c r="V212" s="137"/>
      <c r="W212" s="137"/>
      <c r="X212" s="137"/>
      <c r="Y212" s="137"/>
    </row>
    <row r="213" spans="14:41" ht="20.100000000000001" customHeight="1" x14ac:dyDescent="0.4">
      <c r="O213" s="123"/>
      <c r="R213" s="137"/>
      <c r="S213" s="137"/>
      <c r="T213" s="137"/>
      <c r="U213" s="137"/>
      <c r="V213" s="137"/>
      <c r="W213" s="137"/>
      <c r="X213" s="137"/>
      <c r="Y213" s="137"/>
      <c r="AJ213" s="138"/>
      <c r="AK213" s="139"/>
      <c r="AL213" s="139"/>
      <c r="AM213" s="139"/>
      <c r="AN213" s="139"/>
      <c r="AO213" s="139"/>
    </row>
    <row r="214" spans="14:41" ht="20.100000000000001" customHeight="1" x14ac:dyDescent="0.4">
      <c r="O214" s="123"/>
      <c r="R214" s="137"/>
      <c r="S214" s="137"/>
      <c r="T214" s="137"/>
      <c r="U214" s="137"/>
      <c r="V214" s="137"/>
      <c r="W214" s="137"/>
      <c r="X214" s="137"/>
      <c r="Y214" s="137"/>
      <c r="AJ214" s="140"/>
      <c r="AK214" s="139"/>
      <c r="AL214" s="141"/>
      <c r="AM214" s="139"/>
      <c r="AN214" s="142"/>
      <c r="AO214" s="142"/>
    </row>
    <row r="215" spans="14:41" ht="20.100000000000001" customHeight="1" x14ac:dyDescent="0.4">
      <c r="O215" s="123"/>
      <c r="R215" s="137"/>
      <c r="S215" s="137"/>
      <c r="T215" s="137"/>
      <c r="U215" s="137"/>
      <c r="V215" s="137"/>
      <c r="W215" s="137"/>
      <c r="X215" s="137"/>
      <c r="Y215" s="137"/>
      <c r="AJ215" s="139"/>
      <c r="AK215" s="143"/>
      <c r="AL215" s="444"/>
      <c r="AM215" s="445"/>
      <c r="AN215" s="435"/>
      <c r="AO215" s="435"/>
    </row>
    <row r="216" spans="14:41" ht="20.100000000000001" customHeight="1" x14ac:dyDescent="0.4">
      <c r="O216" s="123"/>
      <c r="R216" s="137"/>
      <c r="S216" s="137"/>
      <c r="T216" s="137"/>
      <c r="U216" s="137"/>
      <c r="V216" s="137"/>
      <c r="W216" s="137"/>
      <c r="X216" s="137"/>
      <c r="Y216" s="137"/>
      <c r="AJ216" s="139"/>
      <c r="AK216" s="143"/>
      <c r="AL216" s="436"/>
      <c r="AM216" s="436"/>
      <c r="AN216" s="435"/>
      <c r="AO216" s="435"/>
    </row>
    <row r="217" spans="14:41" ht="20.100000000000001" customHeight="1" x14ac:dyDescent="0.4">
      <c r="O217" s="123"/>
      <c r="R217" s="137"/>
      <c r="S217" s="137"/>
      <c r="T217" s="137"/>
      <c r="U217" s="137"/>
      <c r="V217" s="137"/>
      <c r="W217" s="137"/>
      <c r="X217" s="137"/>
      <c r="Y217" s="137"/>
      <c r="AJ217" s="139"/>
      <c r="AK217" s="139"/>
      <c r="AL217" s="139"/>
      <c r="AM217" s="139"/>
      <c r="AN217" s="139"/>
      <c r="AO217" s="139"/>
    </row>
    <row r="218" spans="14:41" ht="20.100000000000001" customHeight="1" x14ac:dyDescent="0.4">
      <c r="O218" s="123"/>
      <c r="R218" s="137"/>
      <c r="S218" s="137"/>
      <c r="T218" s="137"/>
      <c r="U218" s="137"/>
      <c r="V218" s="137"/>
      <c r="W218" s="137"/>
      <c r="X218" s="137"/>
      <c r="Y218" s="137"/>
      <c r="Z218" s="139"/>
      <c r="AA218" s="139"/>
      <c r="AB218" s="139"/>
      <c r="AC218" s="139"/>
      <c r="AD218" s="139"/>
      <c r="AE218" s="139"/>
      <c r="AF218" s="139"/>
      <c r="AG218" s="139"/>
      <c r="AH218" s="138"/>
      <c r="AI218" s="138"/>
      <c r="AJ218" s="139"/>
      <c r="AK218" s="139"/>
      <c r="AL218" s="139"/>
      <c r="AM218" s="139"/>
    </row>
    <row r="219" spans="14:41" ht="20.100000000000001" customHeight="1" x14ac:dyDescent="0.4">
      <c r="O219" s="123"/>
      <c r="R219" s="137"/>
      <c r="S219" s="137"/>
      <c r="T219" s="124"/>
      <c r="U219" s="137"/>
      <c r="V219" s="137"/>
      <c r="W219" s="137"/>
      <c r="X219" s="137"/>
      <c r="Y219" s="137"/>
      <c r="Z219" s="139"/>
      <c r="AA219" s="139"/>
      <c r="AB219" s="139"/>
      <c r="AC219" s="139"/>
      <c r="AD219" s="139"/>
      <c r="AE219" s="139"/>
      <c r="AF219" s="139"/>
      <c r="AG219" s="139"/>
      <c r="AH219" s="140"/>
      <c r="AI219" s="139"/>
      <c r="AJ219" s="141"/>
      <c r="AK219" s="139"/>
      <c r="AL219" s="142"/>
      <c r="AM219" s="142"/>
    </row>
    <row r="220" spans="14:41" ht="20.100000000000001" customHeight="1" x14ac:dyDescent="0.4">
      <c r="O220" s="123"/>
      <c r="R220" s="137"/>
      <c r="S220" s="137"/>
      <c r="T220" s="121"/>
      <c r="U220" s="137"/>
      <c r="V220" s="137"/>
      <c r="W220" s="137"/>
      <c r="X220" s="137"/>
      <c r="Y220" s="137"/>
      <c r="Z220" s="139"/>
      <c r="AA220" s="139"/>
      <c r="AB220" s="139"/>
      <c r="AC220" s="139"/>
      <c r="AD220" s="139"/>
      <c r="AE220" s="139"/>
      <c r="AF220" s="139"/>
      <c r="AG220" s="139"/>
      <c r="AH220" s="139"/>
      <c r="AI220" s="143"/>
      <c r="AJ220" s="444"/>
      <c r="AK220" s="445"/>
      <c r="AL220" s="435"/>
      <c r="AM220" s="435"/>
    </row>
    <row r="221" spans="14:41" ht="20.100000000000001" customHeight="1" x14ac:dyDescent="0.4">
      <c r="O221" s="123"/>
      <c r="R221" s="137"/>
      <c r="S221" s="137"/>
      <c r="T221" s="121"/>
      <c r="U221" s="137"/>
      <c r="V221" s="137"/>
      <c r="W221" s="137"/>
      <c r="X221" s="137"/>
      <c r="Y221" s="137"/>
      <c r="Z221" s="139"/>
      <c r="AA221" s="139"/>
      <c r="AB221" s="139"/>
      <c r="AC221" s="139"/>
      <c r="AD221" s="139"/>
      <c r="AE221" s="139"/>
      <c r="AF221" s="139"/>
      <c r="AG221" s="139"/>
      <c r="AH221" s="139"/>
      <c r="AI221" s="143"/>
      <c r="AJ221" s="144"/>
      <c r="AK221" s="145"/>
      <c r="AL221" s="146"/>
      <c r="AM221" s="146"/>
    </row>
    <row r="222" spans="14:41" ht="20.100000000000001" customHeight="1" x14ac:dyDescent="0.4">
      <c r="O222" s="123"/>
      <c r="R222" s="137"/>
      <c r="S222" s="137"/>
      <c r="T222" s="147"/>
      <c r="U222" s="137"/>
      <c r="V222" s="137"/>
      <c r="W222" s="137"/>
      <c r="X222" s="137"/>
      <c r="Y222" s="137"/>
      <c r="Z222" s="139"/>
      <c r="AA222" s="139"/>
      <c r="AB222" s="139"/>
      <c r="AC222" s="139"/>
      <c r="AD222" s="139"/>
      <c r="AE222" s="139"/>
      <c r="AF222" s="139"/>
      <c r="AG222" s="139"/>
      <c r="AH222" s="139"/>
      <c r="AI222" s="143"/>
      <c r="AJ222" s="436"/>
      <c r="AK222" s="436"/>
      <c r="AL222" s="435"/>
      <c r="AM222" s="435"/>
    </row>
    <row r="223" spans="14:41" ht="20.100000000000001" customHeight="1" x14ac:dyDescent="0.4">
      <c r="O223" s="123"/>
      <c r="R223" s="137"/>
      <c r="S223" s="137"/>
      <c r="T223" s="147"/>
      <c r="U223" s="137"/>
      <c r="V223" s="137"/>
      <c r="W223" s="137"/>
      <c r="X223" s="137"/>
      <c r="Y223" s="137"/>
      <c r="Z223" s="139"/>
      <c r="AA223" s="139"/>
      <c r="AB223" s="139"/>
      <c r="AC223" s="139"/>
      <c r="AD223" s="139"/>
      <c r="AE223" s="139"/>
      <c r="AF223" s="139"/>
      <c r="AG223" s="139"/>
    </row>
    <row r="224" spans="14:41" ht="20.100000000000001" customHeight="1" x14ac:dyDescent="0.4">
      <c r="O224" s="123"/>
      <c r="Q224" s="140"/>
      <c r="R224" s="137"/>
      <c r="S224" s="137"/>
      <c r="T224" s="147"/>
      <c r="U224" s="137"/>
      <c r="V224" s="137"/>
      <c r="W224" s="137"/>
      <c r="X224" s="137"/>
      <c r="Y224" s="137"/>
      <c r="Z224" s="139"/>
      <c r="AA224" s="139"/>
      <c r="AB224" s="139"/>
      <c r="AC224" s="139"/>
      <c r="AD224" s="139"/>
      <c r="AE224" s="139"/>
      <c r="AF224" s="139"/>
      <c r="AG224" s="139"/>
    </row>
    <row r="225" spans="15:33" ht="20.100000000000001" customHeight="1" x14ac:dyDescent="0.4">
      <c r="O225" s="123"/>
      <c r="Q225" s="139"/>
      <c r="R225" s="137"/>
      <c r="S225" s="137"/>
      <c r="T225" s="147"/>
      <c r="U225" s="137"/>
      <c r="V225" s="137"/>
      <c r="W225" s="137"/>
      <c r="X225" s="137"/>
      <c r="Y225" s="137"/>
      <c r="Z225" s="139"/>
      <c r="AA225" s="139"/>
      <c r="AB225" s="139"/>
      <c r="AC225" s="139"/>
      <c r="AD225" s="139"/>
      <c r="AE225" s="139"/>
      <c r="AF225" s="139"/>
      <c r="AG225" s="139"/>
    </row>
    <row r="226" spans="15:33" ht="20.100000000000001" customHeight="1" x14ac:dyDescent="0.4">
      <c r="O226" s="123"/>
      <c r="Q226" s="139"/>
      <c r="R226" s="137"/>
      <c r="S226" s="137"/>
      <c r="T226" s="147"/>
      <c r="U226" s="137"/>
      <c r="V226" s="137"/>
      <c r="W226" s="137"/>
      <c r="X226" s="137"/>
      <c r="Y226" s="137"/>
      <c r="Z226" s="139"/>
      <c r="AA226" s="139"/>
      <c r="AB226" s="139"/>
      <c r="AC226" s="139"/>
      <c r="AD226" s="139"/>
      <c r="AE226" s="139"/>
      <c r="AF226" s="139"/>
      <c r="AG226" s="139"/>
    </row>
    <row r="227" spans="15:33" ht="20.100000000000001" customHeight="1" x14ac:dyDescent="0.4">
      <c r="O227" s="123"/>
      <c r="R227" s="137"/>
      <c r="S227" s="137"/>
      <c r="T227" s="147"/>
      <c r="U227" s="137"/>
      <c r="V227" s="137"/>
      <c r="W227" s="137"/>
      <c r="X227" s="137"/>
      <c r="Y227" s="137"/>
      <c r="Z227" s="139"/>
      <c r="AA227" s="139"/>
      <c r="AB227" s="139"/>
      <c r="AC227" s="139"/>
      <c r="AD227" s="139"/>
      <c r="AE227" s="139"/>
      <c r="AF227" s="139"/>
      <c r="AG227" s="139"/>
    </row>
    <row r="228" spans="15:33" ht="20.100000000000001" customHeight="1" x14ac:dyDescent="0.4">
      <c r="O228" s="123"/>
      <c r="S228" s="137"/>
      <c r="T228" s="137"/>
      <c r="U228" s="137"/>
      <c r="V228" s="137"/>
      <c r="W228" s="137"/>
      <c r="X228" s="137"/>
      <c r="Y228" s="139"/>
      <c r="Z228" s="139"/>
      <c r="AA228" s="139"/>
      <c r="AB228" s="139"/>
      <c r="AC228" s="139"/>
      <c r="AD228" s="139"/>
      <c r="AE228" s="139"/>
      <c r="AF228" s="139"/>
      <c r="AG228" s="139"/>
    </row>
    <row r="229" spans="15:33" ht="20.100000000000001" customHeight="1" x14ac:dyDescent="0.4">
      <c r="O229" s="123"/>
      <c r="R229" s="139"/>
      <c r="S229" s="137"/>
      <c r="T229" s="137"/>
      <c r="U229" s="137"/>
      <c r="V229" s="137"/>
      <c r="W229" s="137"/>
      <c r="X229" s="137"/>
      <c r="Y229" s="139"/>
      <c r="Z229" s="139"/>
      <c r="AA229" s="139"/>
      <c r="AB229" s="139"/>
      <c r="AC229" s="139"/>
      <c r="AD229" s="139"/>
      <c r="AE229" s="139"/>
      <c r="AF229" s="139"/>
      <c r="AG229" s="139"/>
    </row>
    <row r="230" spans="15:33" ht="20.100000000000001" customHeight="1" x14ac:dyDescent="0.4">
      <c r="O230" s="123"/>
      <c r="Q230" s="148"/>
      <c r="R230" s="140"/>
      <c r="S230" s="137"/>
      <c r="T230" s="137"/>
      <c r="U230" s="137"/>
      <c r="V230" s="137"/>
      <c r="W230" s="137"/>
      <c r="X230" s="137"/>
      <c r="Y230" s="139"/>
      <c r="Z230" s="139"/>
      <c r="AA230" s="139"/>
      <c r="AB230" s="139"/>
      <c r="AC230" s="139"/>
      <c r="AD230" s="139"/>
      <c r="AE230" s="139"/>
      <c r="AF230" s="139"/>
      <c r="AG230" s="139"/>
    </row>
    <row r="231" spans="15:33" ht="20.100000000000001" customHeight="1" x14ac:dyDescent="0.4">
      <c r="O231" s="123"/>
      <c r="R231" s="139"/>
      <c r="S231" s="137"/>
      <c r="T231" s="137"/>
      <c r="U231" s="137"/>
      <c r="V231" s="137"/>
      <c r="W231" s="137"/>
      <c r="X231" s="137"/>
      <c r="Y231" s="139"/>
      <c r="Z231" s="139"/>
      <c r="AA231" s="139"/>
      <c r="AB231" s="139"/>
      <c r="AC231" s="139"/>
      <c r="AD231" s="139"/>
      <c r="AE231" s="139"/>
      <c r="AF231" s="139"/>
      <c r="AG231" s="139"/>
    </row>
    <row r="232" spans="15:33" ht="20.100000000000001" customHeight="1" x14ac:dyDescent="0.4">
      <c r="O232" s="123"/>
      <c r="R232" s="139"/>
      <c r="S232" s="137"/>
      <c r="T232" s="137"/>
      <c r="U232" s="137"/>
      <c r="V232" s="137"/>
      <c r="W232" s="137"/>
      <c r="X232" s="137"/>
      <c r="Y232" s="139"/>
      <c r="Z232" s="139"/>
      <c r="AA232" s="139"/>
      <c r="AB232" s="139"/>
      <c r="AC232" s="139"/>
      <c r="AD232" s="139"/>
      <c r="AE232" s="139"/>
      <c r="AF232" s="139"/>
      <c r="AG232" s="139"/>
    </row>
    <row r="233" spans="15:33" ht="20.100000000000001" customHeight="1" x14ac:dyDescent="0.4">
      <c r="O233" s="123"/>
      <c r="R233" s="139"/>
      <c r="S233" s="137"/>
      <c r="T233" s="137"/>
      <c r="U233" s="137"/>
      <c r="V233" s="137"/>
    </row>
    <row r="234" spans="15:33" ht="20.100000000000001" customHeight="1" x14ac:dyDescent="0.4">
      <c r="O234" s="123"/>
      <c r="R234" s="139"/>
      <c r="S234" s="137"/>
      <c r="T234" s="137"/>
      <c r="U234" s="137"/>
      <c r="V234" s="137"/>
    </row>
    <row r="235" spans="15:33" ht="20.100000000000001" customHeight="1" x14ac:dyDescent="0.4">
      <c r="O235" s="123"/>
      <c r="R235" s="140"/>
      <c r="S235" s="137"/>
      <c r="T235" s="137"/>
      <c r="U235" s="137"/>
      <c r="V235" s="137"/>
    </row>
    <row r="236" spans="15:33" ht="20.100000000000001" customHeight="1" x14ac:dyDescent="0.4">
      <c r="R236" s="139"/>
      <c r="S236" s="137"/>
      <c r="T236" s="137"/>
      <c r="U236" s="137"/>
      <c r="V236" s="137"/>
    </row>
    <row r="237" spans="15:33" ht="20.100000000000001" customHeight="1" x14ac:dyDescent="0.4">
      <c r="R237" s="139"/>
      <c r="S237" s="137"/>
      <c r="T237" s="137"/>
      <c r="U237" s="137"/>
      <c r="V237" s="137"/>
    </row>
    <row r="238" spans="15:33" ht="20.100000000000001" customHeight="1" x14ac:dyDescent="0.4">
      <c r="S238" s="137"/>
      <c r="T238" s="137"/>
      <c r="U238" s="137"/>
      <c r="V238" s="137"/>
    </row>
    <row r="239" spans="15:33" ht="20.100000000000001" customHeight="1" x14ac:dyDescent="0.4">
      <c r="U239" s="137"/>
      <c r="V239" s="137"/>
    </row>
  </sheetData>
  <autoFilter ref="A1:AA167" xr:uid="{00000000-0001-0000-0100-000000000000}"/>
  <dataConsolidate/>
  <mergeCells count="1219">
    <mergeCell ref="J162:J163"/>
    <mergeCell ref="K162:K163"/>
    <mergeCell ref="L162:L163"/>
    <mergeCell ref="M162:M163"/>
    <mergeCell ref="A164:A165"/>
    <mergeCell ref="B164:B165"/>
    <mergeCell ref="C164:C165"/>
    <mergeCell ref="D164:D165"/>
    <mergeCell ref="E164:E165"/>
    <mergeCell ref="F164:F165"/>
    <mergeCell ref="G164:G165"/>
    <mergeCell ref="H164:H165"/>
    <mergeCell ref="I164:I165"/>
    <mergeCell ref="J164:J165"/>
    <mergeCell ref="K164:K165"/>
    <mergeCell ref="L164:L165"/>
    <mergeCell ref="M164:M165"/>
    <mergeCell ref="A162:A163"/>
    <mergeCell ref="B162:B163"/>
    <mergeCell ref="C162:C163"/>
    <mergeCell ref="D162:D163"/>
    <mergeCell ref="E162:E163"/>
    <mergeCell ref="F162:F163"/>
    <mergeCell ref="G162:G163"/>
    <mergeCell ref="H162:H163"/>
    <mergeCell ref="I162:I163"/>
    <mergeCell ref="J158:J159"/>
    <mergeCell ref="K158:K159"/>
    <mergeCell ref="L158:L159"/>
    <mergeCell ref="M158:M159"/>
    <mergeCell ref="A160:A161"/>
    <mergeCell ref="B160:B161"/>
    <mergeCell ref="C160:C161"/>
    <mergeCell ref="D160:D161"/>
    <mergeCell ref="E160:E161"/>
    <mergeCell ref="F160:F161"/>
    <mergeCell ref="G160:G161"/>
    <mergeCell ref="H160:H161"/>
    <mergeCell ref="I160:I161"/>
    <mergeCell ref="J160:J161"/>
    <mergeCell ref="K160:K161"/>
    <mergeCell ref="L160:L161"/>
    <mergeCell ref="M160:M161"/>
    <mergeCell ref="A158:A159"/>
    <mergeCell ref="B158:B159"/>
    <mergeCell ref="C158:C159"/>
    <mergeCell ref="D158:D159"/>
    <mergeCell ref="E158:E159"/>
    <mergeCell ref="F158:F159"/>
    <mergeCell ref="G158:G159"/>
    <mergeCell ref="H158:H159"/>
    <mergeCell ref="I158:I159"/>
    <mergeCell ref="J154:J155"/>
    <mergeCell ref="K154:K155"/>
    <mergeCell ref="L154:L155"/>
    <mergeCell ref="M154:M155"/>
    <mergeCell ref="A156:A157"/>
    <mergeCell ref="B156:B157"/>
    <mergeCell ref="C156:C157"/>
    <mergeCell ref="D156:D157"/>
    <mergeCell ref="E156:E157"/>
    <mergeCell ref="F156:F157"/>
    <mergeCell ref="G156:G157"/>
    <mergeCell ref="H156:H157"/>
    <mergeCell ref="I156:I157"/>
    <mergeCell ref="J156:J157"/>
    <mergeCell ref="K156:K157"/>
    <mergeCell ref="L156:L157"/>
    <mergeCell ref="M156:M157"/>
    <mergeCell ref="A154:A155"/>
    <mergeCell ref="B154:B155"/>
    <mergeCell ref="C154:C155"/>
    <mergeCell ref="D154:D155"/>
    <mergeCell ref="E154:E155"/>
    <mergeCell ref="F154:F155"/>
    <mergeCell ref="G154:G155"/>
    <mergeCell ref="H154:H155"/>
    <mergeCell ref="I154:I155"/>
    <mergeCell ref="J150:J151"/>
    <mergeCell ref="K150:K151"/>
    <mergeCell ref="L150:L151"/>
    <mergeCell ref="M150:M151"/>
    <mergeCell ref="A152:A153"/>
    <mergeCell ref="B152:B153"/>
    <mergeCell ref="C152:C153"/>
    <mergeCell ref="D152:D153"/>
    <mergeCell ref="E152:E153"/>
    <mergeCell ref="F152:F153"/>
    <mergeCell ref="G152:G153"/>
    <mergeCell ref="H152:H153"/>
    <mergeCell ref="I152:I153"/>
    <mergeCell ref="J152:J153"/>
    <mergeCell ref="K152:K153"/>
    <mergeCell ref="L152:L153"/>
    <mergeCell ref="M152:M153"/>
    <mergeCell ref="A150:A151"/>
    <mergeCell ref="B150:B151"/>
    <mergeCell ref="C150:C151"/>
    <mergeCell ref="D150:D151"/>
    <mergeCell ref="E150:E151"/>
    <mergeCell ref="F150:F151"/>
    <mergeCell ref="G150:G151"/>
    <mergeCell ref="H150:H151"/>
    <mergeCell ref="I150:I151"/>
    <mergeCell ref="J146:J147"/>
    <mergeCell ref="K146:K147"/>
    <mergeCell ref="L146:L147"/>
    <mergeCell ref="M146:M147"/>
    <mergeCell ref="A148:A149"/>
    <mergeCell ref="B148:B149"/>
    <mergeCell ref="C148:C149"/>
    <mergeCell ref="D148:D149"/>
    <mergeCell ref="E148:E149"/>
    <mergeCell ref="F148:F149"/>
    <mergeCell ref="G148:G149"/>
    <mergeCell ref="H148:H149"/>
    <mergeCell ref="I148:I149"/>
    <mergeCell ref="J148:J149"/>
    <mergeCell ref="K148:K149"/>
    <mergeCell ref="L148:L149"/>
    <mergeCell ref="M148:M149"/>
    <mergeCell ref="A146:A147"/>
    <mergeCell ref="B146:B147"/>
    <mergeCell ref="C146:C147"/>
    <mergeCell ref="D146:D147"/>
    <mergeCell ref="E146:E147"/>
    <mergeCell ref="F146:F147"/>
    <mergeCell ref="G146:G147"/>
    <mergeCell ref="H146:H147"/>
    <mergeCell ref="I146:I147"/>
    <mergeCell ref="J142:J143"/>
    <mergeCell ref="K142:K143"/>
    <mergeCell ref="L142:L143"/>
    <mergeCell ref="M142:M143"/>
    <mergeCell ref="A144:A145"/>
    <mergeCell ref="B144:B145"/>
    <mergeCell ref="C144:C145"/>
    <mergeCell ref="D144:D145"/>
    <mergeCell ref="E144:E145"/>
    <mergeCell ref="F144:F145"/>
    <mergeCell ref="G144:G145"/>
    <mergeCell ref="H144:H145"/>
    <mergeCell ref="I144:I145"/>
    <mergeCell ref="J144:J145"/>
    <mergeCell ref="K144:K145"/>
    <mergeCell ref="L144:L145"/>
    <mergeCell ref="M144:M145"/>
    <mergeCell ref="A142:A143"/>
    <mergeCell ref="B142:B143"/>
    <mergeCell ref="C142:C143"/>
    <mergeCell ref="D142:D143"/>
    <mergeCell ref="E142:E143"/>
    <mergeCell ref="F142:F143"/>
    <mergeCell ref="G142:G143"/>
    <mergeCell ref="H142:H143"/>
    <mergeCell ref="I142:I143"/>
    <mergeCell ref="J138:J139"/>
    <mergeCell ref="K138:K139"/>
    <mergeCell ref="L138:L139"/>
    <mergeCell ref="M138:M139"/>
    <mergeCell ref="A140:A141"/>
    <mergeCell ref="B140:B141"/>
    <mergeCell ref="C140:C141"/>
    <mergeCell ref="D140:D141"/>
    <mergeCell ref="E140:E141"/>
    <mergeCell ref="F140:F141"/>
    <mergeCell ref="G140:G141"/>
    <mergeCell ref="H140:H141"/>
    <mergeCell ref="I140:I141"/>
    <mergeCell ref="J140:J141"/>
    <mergeCell ref="K140:K141"/>
    <mergeCell ref="L140:L141"/>
    <mergeCell ref="M140:M141"/>
    <mergeCell ref="A138:A139"/>
    <mergeCell ref="B138:B139"/>
    <mergeCell ref="C138:C139"/>
    <mergeCell ref="D138:D139"/>
    <mergeCell ref="E138:E139"/>
    <mergeCell ref="F138:F139"/>
    <mergeCell ref="G138:G139"/>
    <mergeCell ref="H138:H139"/>
    <mergeCell ref="I138:I139"/>
    <mergeCell ref="J134:J135"/>
    <mergeCell ref="K134:K135"/>
    <mergeCell ref="L134:L135"/>
    <mergeCell ref="M134:M135"/>
    <mergeCell ref="A136:A137"/>
    <mergeCell ref="B136:B137"/>
    <mergeCell ref="C136:C137"/>
    <mergeCell ref="D136:D137"/>
    <mergeCell ref="E136:E137"/>
    <mergeCell ref="F136:F137"/>
    <mergeCell ref="G136:G137"/>
    <mergeCell ref="H136:H137"/>
    <mergeCell ref="I136:I137"/>
    <mergeCell ref="J136:J137"/>
    <mergeCell ref="K136:K137"/>
    <mergeCell ref="L136:L137"/>
    <mergeCell ref="M136:M137"/>
    <mergeCell ref="A134:A135"/>
    <mergeCell ref="B134:B135"/>
    <mergeCell ref="C134:C135"/>
    <mergeCell ref="D134:D135"/>
    <mergeCell ref="E134:E135"/>
    <mergeCell ref="F134:F135"/>
    <mergeCell ref="G134:G135"/>
    <mergeCell ref="H134:H135"/>
    <mergeCell ref="I134:I135"/>
    <mergeCell ref="J130:J131"/>
    <mergeCell ref="K130:K131"/>
    <mergeCell ref="L130:L131"/>
    <mergeCell ref="M130:M131"/>
    <mergeCell ref="A132:A133"/>
    <mergeCell ref="B132:B133"/>
    <mergeCell ref="C132:C133"/>
    <mergeCell ref="D132:D133"/>
    <mergeCell ref="E132:E133"/>
    <mergeCell ref="F132:F133"/>
    <mergeCell ref="G132:G133"/>
    <mergeCell ref="H132:H133"/>
    <mergeCell ref="I132:I133"/>
    <mergeCell ref="J132:J133"/>
    <mergeCell ref="K132:K133"/>
    <mergeCell ref="L132:L133"/>
    <mergeCell ref="M132:M133"/>
    <mergeCell ref="A130:A131"/>
    <mergeCell ref="B130:B131"/>
    <mergeCell ref="C130:C131"/>
    <mergeCell ref="D130:D131"/>
    <mergeCell ref="E130:E131"/>
    <mergeCell ref="F130:F131"/>
    <mergeCell ref="G130:G131"/>
    <mergeCell ref="H130:H131"/>
    <mergeCell ref="I130:I131"/>
    <mergeCell ref="J126:J127"/>
    <mergeCell ref="K126:K127"/>
    <mergeCell ref="L126:L127"/>
    <mergeCell ref="M126:M127"/>
    <mergeCell ref="A128:A129"/>
    <mergeCell ref="B128:B129"/>
    <mergeCell ref="C128:C129"/>
    <mergeCell ref="D128:D129"/>
    <mergeCell ref="E128:E129"/>
    <mergeCell ref="F128:F129"/>
    <mergeCell ref="G128:G129"/>
    <mergeCell ref="H128:H129"/>
    <mergeCell ref="I128:I129"/>
    <mergeCell ref="J128:J129"/>
    <mergeCell ref="K128:K129"/>
    <mergeCell ref="L128:L129"/>
    <mergeCell ref="M128:M129"/>
    <mergeCell ref="A126:A127"/>
    <mergeCell ref="B126:B127"/>
    <mergeCell ref="C126:C127"/>
    <mergeCell ref="D126:D127"/>
    <mergeCell ref="E126:E127"/>
    <mergeCell ref="F126:F127"/>
    <mergeCell ref="G126:G127"/>
    <mergeCell ref="H126:H127"/>
    <mergeCell ref="I126:I127"/>
    <mergeCell ref="J122:J123"/>
    <mergeCell ref="K122:K123"/>
    <mergeCell ref="L122:L123"/>
    <mergeCell ref="M122:M123"/>
    <mergeCell ref="A124:A125"/>
    <mergeCell ref="B124:B125"/>
    <mergeCell ref="C124:C125"/>
    <mergeCell ref="D124:D125"/>
    <mergeCell ref="E124:E125"/>
    <mergeCell ref="F124:F125"/>
    <mergeCell ref="G124:G125"/>
    <mergeCell ref="H124:H125"/>
    <mergeCell ref="I124:I125"/>
    <mergeCell ref="J124:J125"/>
    <mergeCell ref="K124:K125"/>
    <mergeCell ref="L124:L125"/>
    <mergeCell ref="M124:M125"/>
    <mergeCell ref="A122:A123"/>
    <mergeCell ref="B122:B123"/>
    <mergeCell ref="C122:C123"/>
    <mergeCell ref="D122:D123"/>
    <mergeCell ref="E122:E123"/>
    <mergeCell ref="F122:F123"/>
    <mergeCell ref="G122:G123"/>
    <mergeCell ref="H122:H123"/>
    <mergeCell ref="I122:I123"/>
    <mergeCell ref="J118:J119"/>
    <mergeCell ref="K118:K119"/>
    <mergeCell ref="L118:L119"/>
    <mergeCell ref="M118:M119"/>
    <mergeCell ref="A120:A121"/>
    <mergeCell ref="B120:B121"/>
    <mergeCell ref="C120:C121"/>
    <mergeCell ref="D120:D121"/>
    <mergeCell ref="E120:E121"/>
    <mergeCell ref="F120:F121"/>
    <mergeCell ref="G120:G121"/>
    <mergeCell ref="H120:H121"/>
    <mergeCell ref="I120:I121"/>
    <mergeCell ref="J120:J121"/>
    <mergeCell ref="K120:K121"/>
    <mergeCell ref="L120:L121"/>
    <mergeCell ref="M120:M121"/>
    <mergeCell ref="A118:A119"/>
    <mergeCell ref="B118:B119"/>
    <mergeCell ref="C118:C119"/>
    <mergeCell ref="D118:D119"/>
    <mergeCell ref="E118:E119"/>
    <mergeCell ref="F118:F119"/>
    <mergeCell ref="G118:G119"/>
    <mergeCell ref="H118:H119"/>
    <mergeCell ref="I118:I119"/>
    <mergeCell ref="J114:J115"/>
    <mergeCell ref="K114:K115"/>
    <mergeCell ref="L114:L115"/>
    <mergeCell ref="M114:M115"/>
    <mergeCell ref="A116:A117"/>
    <mergeCell ref="B116:B117"/>
    <mergeCell ref="C116:C117"/>
    <mergeCell ref="D116:D117"/>
    <mergeCell ref="E116:E117"/>
    <mergeCell ref="F116:F117"/>
    <mergeCell ref="G116:G117"/>
    <mergeCell ref="H116:H117"/>
    <mergeCell ref="I116:I117"/>
    <mergeCell ref="J116:J117"/>
    <mergeCell ref="K116:K117"/>
    <mergeCell ref="L116:L117"/>
    <mergeCell ref="M116:M117"/>
    <mergeCell ref="A114:A115"/>
    <mergeCell ref="B114:B115"/>
    <mergeCell ref="C114:C115"/>
    <mergeCell ref="D114:D115"/>
    <mergeCell ref="E114:E115"/>
    <mergeCell ref="F114:F115"/>
    <mergeCell ref="G114:G115"/>
    <mergeCell ref="H114:H115"/>
    <mergeCell ref="I114:I115"/>
    <mergeCell ref="J110:J111"/>
    <mergeCell ref="K110:K111"/>
    <mergeCell ref="L110:L111"/>
    <mergeCell ref="M110:M111"/>
    <mergeCell ref="A112:A113"/>
    <mergeCell ref="B112:B113"/>
    <mergeCell ref="C112:C113"/>
    <mergeCell ref="D112:D113"/>
    <mergeCell ref="E112:E113"/>
    <mergeCell ref="F112:F113"/>
    <mergeCell ref="G112:G113"/>
    <mergeCell ref="H112:H113"/>
    <mergeCell ref="I112:I113"/>
    <mergeCell ref="J112:J113"/>
    <mergeCell ref="K112:K113"/>
    <mergeCell ref="L112:L113"/>
    <mergeCell ref="M112:M113"/>
    <mergeCell ref="A110:A111"/>
    <mergeCell ref="B110:B111"/>
    <mergeCell ref="C110:C111"/>
    <mergeCell ref="D110:D111"/>
    <mergeCell ref="E110:E111"/>
    <mergeCell ref="F110:F111"/>
    <mergeCell ref="G110:G111"/>
    <mergeCell ref="H110:H111"/>
    <mergeCell ref="I110:I111"/>
    <mergeCell ref="J106:J107"/>
    <mergeCell ref="K106:K107"/>
    <mergeCell ref="L106:L107"/>
    <mergeCell ref="M106:M107"/>
    <mergeCell ref="A108:A109"/>
    <mergeCell ref="B108:B109"/>
    <mergeCell ref="C108:C109"/>
    <mergeCell ref="D108:D109"/>
    <mergeCell ref="E108:E109"/>
    <mergeCell ref="F108:F109"/>
    <mergeCell ref="G108:G109"/>
    <mergeCell ref="H108:H109"/>
    <mergeCell ref="I108:I109"/>
    <mergeCell ref="J108:J109"/>
    <mergeCell ref="K108:K109"/>
    <mergeCell ref="L108:L109"/>
    <mergeCell ref="M108:M109"/>
    <mergeCell ref="A106:A107"/>
    <mergeCell ref="B106:B107"/>
    <mergeCell ref="C106:C107"/>
    <mergeCell ref="D106:D107"/>
    <mergeCell ref="E106:E107"/>
    <mergeCell ref="F106:F107"/>
    <mergeCell ref="G106:G107"/>
    <mergeCell ref="H106:H107"/>
    <mergeCell ref="I106:I107"/>
    <mergeCell ref="J102:J103"/>
    <mergeCell ref="K102:K103"/>
    <mergeCell ref="L102:L103"/>
    <mergeCell ref="M102:M103"/>
    <mergeCell ref="A104:A105"/>
    <mergeCell ref="B104:B105"/>
    <mergeCell ref="C104:C105"/>
    <mergeCell ref="D104:D105"/>
    <mergeCell ref="E104:E105"/>
    <mergeCell ref="F104:F105"/>
    <mergeCell ref="G104:G105"/>
    <mergeCell ref="H104:H105"/>
    <mergeCell ref="I104:I105"/>
    <mergeCell ref="J104:J105"/>
    <mergeCell ref="K104:K105"/>
    <mergeCell ref="L104:L105"/>
    <mergeCell ref="M104:M105"/>
    <mergeCell ref="A102:A103"/>
    <mergeCell ref="B102:B103"/>
    <mergeCell ref="C102:C103"/>
    <mergeCell ref="D102:D103"/>
    <mergeCell ref="E102:E103"/>
    <mergeCell ref="F102:F103"/>
    <mergeCell ref="G102:G103"/>
    <mergeCell ref="H102:H103"/>
    <mergeCell ref="I102:I103"/>
    <mergeCell ref="J98:J99"/>
    <mergeCell ref="K98:K99"/>
    <mergeCell ref="L98:L99"/>
    <mergeCell ref="M98:M99"/>
    <mergeCell ref="A100:A101"/>
    <mergeCell ref="B100:B101"/>
    <mergeCell ref="C100:C101"/>
    <mergeCell ref="D100:D101"/>
    <mergeCell ref="E100:E101"/>
    <mergeCell ref="F100:F101"/>
    <mergeCell ref="G100:G101"/>
    <mergeCell ref="H100:H101"/>
    <mergeCell ref="I100:I101"/>
    <mergeCell ref="J100:J101"/>
    <mergeCell ref="K100:K101"/>
    <mergeCell ref="L100:L101"/>
    <mergeCell ref="M100:M101"/>
    <mergeCell ref="A98:A99"/>
    <mergeCell ref="B98:B99"/>
    <mergeCell ref="C98:C99"/>
    <mergeCell ref="D98:D99"/>
    <mergeCell ref="E98:E99"/>
    <mergeCell ref="F98:F99"/>
    <mergeCell ref="G98:G99"/>
    <mergeCell ref="H98:H99"/>
    <mergeCell ref="I98:I99"/>
    <mergeCell ref="J94:J95"/>
    <mergeCell ref="K94:K95"/>
    <mergeCell ref="L94:L95"/>
    <mergeCell ref="M94:M95"/>
    <mergeCell ref="A96:A97"/>
    <mergeCell ref="B96:B97"/>
    <mergeCell ref="C96:C97"/>
    <mergeCell ref="D96:D97"/>
    <mergeCell ref="E96:E97"/>
    <mergeCell ref="F96:F97"/>
    <mergeCell ref="G96:G97"/>
    <mergeCell ref="H96:H97"/>
    <mergeCell ref="I96:I97"/>
    <mergeCell ref="J96:J97"/>
    <mergeCell ref="K96:K97"/>
    <mergeCell ref="L96:L97"/>
    <mergeCell ref="M96:M97"/>
    <mergeCell ref="A94:A95"/>
    <mergeCell ref="B94:B95"/>
    <mergeCell ref="C94:C95"/>
    <mergeCell ref="D94:D95"/>
    <mergeCell ref="E94:E95"/>
    <mergeCell ref="F94:F95"/>
    <mergeCell ref="G94:G95"/>
    <mergeCell ref="H94:H95"/>
    <mergeCell ref="I94:I95"/>
    <mergeCell ref="J90:J91"/>
    <mergeCell ref="K90:K91"/>
    <mergeCell ref="L90:L91"/>
    <mergeCell ref="M90:M91"/>
    <mergeCell ref="A92:A93"/>
    <mergeCell ref="B92:B93"/>
    <mergeCell ref="C92:C93"/>
    <mergeCell ref="D92:D93"/>
    <mergeCell ref="E92:E93"/>
    <mergeCell ref="F92:F93"/>
    <mergeCell ref="G92:G93"/>
    <mergeCell ref="H92:H93"/>
    <mergeCell ref="I92:I93"/>
    <mergeCell ref="J92:J93"/>
    <mergeCell ref="K92:K93"/>
    <mergeCell ref="L92:L93"/>
    <mergeCell ref="M92:M93"/>
    <mergeCell ref="A90:A91"/>
    <mergeCell ref="B90:B91"/>
    <mergeCell ref="C90:C91"/>
    <mergeCell ref="D90:D91"/>
    <mergeCell ref="E90:E91"/>
    <mergeCell ref="F90:F91"/>
    <mergeCell ref="G90:G91"/>
    <mergeCell ref="H90:H91"/>
    <mergeCell ref="I90:I91"/>
    <mergeCell ref="J86:J87"/>
    <mergeCell ref="K86:K87"/>
    <mergeCell ref="L86:L87"/>
    <mergeCell ref="M86:M87"/>
    <mergeCell ref="A88:A89"/>
    <mergeCell ref="B88:B89"/>
    <mergeCell ref="C88:C89"/>
    <mergeCell ref="D88:D89"/>
    <mergeCell ref="E88:E89"/>
    <mergeCell ref="F88:F89"/>
    <mergeCell ref="G88:G89"/>
    <mergeCell ref="H88:H89"/>
    <mergeCell ref="I88:I89"/>
    <mergeCell ref="J88:J89"/>
    <mergeCell ref="K88:K89"/>
    <mergeCell ref="L88:L89"/>
    <mergeCell ref="M88:M89"/>
    <mergeCell ref="A86:A87"/>
    <mergeCell ref="B86:B87"/>
    <mergeCell ref="C86:C87"/>
    <mergeCell ref="D86:D87"/>
    <mergeCell ref="E86:E87"/>
    <mergeCell ref="F86:F87"/>
    <mergeCell ref="G86:G87"/>
    <mergeCell ref="J82:J83"/>
    <mergeCell ref="K82:K83"/>
    <mergeCell ref="L82:L83"/>
    <mergeCell ref="M82:M83"/>
    <mergeCell ref="A84:A85"/>
    <mergeCell ref="B84:B85"/>
    <mergeCell ref="C84:C85"/>
    <mergeCell ref="D84:D85"/>
    <mergeCell ref="E84:E85"/>
    <mergeCell ref="F84:F85"/>
    <mergeCell ref="G84:G85"/>
    <mergeCell ref="H84:H85"/>
    <mergeCell ref="I84:I85"/>
    <mergeCell ref="J84:J85"/>
    <mergeCell ref="K84:K85"/>
    <mergeCell ref="L84:L85"/>
    <mergeCell ref="M84:M85"/>
    <mergeCell ref="A82:A83"/>
    <mergeCell ref="B82:B83"/>
    <mergeCell ref="C82:C83"/>
    <mergeCell ref="D82:D83"/>
    <mergeCell ref="E82:E83"/>
    <mergeCell ref="F82:F83"/>
    <mergeCell ref="G82:G83"/>
    <mergeCell ref="H82:H83"/>
    <mergeCell ref="I82:I83"/>
    <mergeCell ref="J78:J79"/>
    <mergeCell ref="K78:K79"/>
    <mergeCell ref="L78:L79"/>
    <mergeCell ref="M78:M79"/>
    <mergeCell ref="A80:A81"/>
    <mergeCell ref="B80:B81"/>
    <mergeCell ref="C80:C81"/>
    <mergeCell ref="D80:D81"/>
    <mergeCell ref="E80:E81"/>
    <mergeCell ref="F80:F81"/>
    <mergeCell ref="G80:G81"/>
    <mergeCell ref="H80:H81"/>
    <mergeCell ref="I80:I81"/>
    <mergeCell ref="J80:J81"/>
    <mergeCell ref="K80:K81"/>
    <mergeCell ref="L80:L81"/>
    <mergeCell ref="M80:M81"/>
    <mergeCell ref="A78:A79"/>
    <mergeCell ref="B78:B79"/>
    <mergeCell ref="C78:C79"/>
    <mergeCell ref="D78:D79"/>
    <mergeCell ref="E78:E79"/>
    <mergeCell ref="F78:F79"/>
    <mergeCell ref="G78:G79"/>
    <mergeCell ref="H78:H79"/>
    <mergeCell ref="I78:I79"/>
    <mergeCell ref="J74:J75"/>
    <mergeCell ref="K74:K75"/>
    <mergeCell ref="L74:L75"/>
    <mergeCell ref="M74:M75"/>
    <mergeCell ref="A76:A77"/>
    <mergeCell ref="B76:B77"/>
    <mergeCell ref="C76:C77"/>
    <mergeCell ref="D76:D77"/>
    <mergeCell ref="E76:E77"/>
    <mergeCell ref="F76:F77"/>
    <mergeCell ref="G76:G77"/>
    <mergeCell ref="H76:H77"/>
    <mergeCell ref="I76:I77"/>
    <mergeCell ref="J76:J77"/>
    <mergeCell ref="K76:K77"/>
    <mergeCell ref="L76:L77"/>
    <mergeCell ref="M76:M77"/>
    <mergeCell ref="A74:A75"/>
    <mergeCell ref="B74:B75"/>
    <mergeCell ref="C74:C75"/>
    <mergeCell ref="D74:D75"/>
    <mergeCell ref="E74:E75"/>
    <mergeCell ref="F74:F75"/>
    <mergeCell ref="G74:G75"/>
    <mergeCell ref="H74:H75"/>
    <mergeCell ref="I74:I75"/>
    <mergeCell ref="M70:M71"/>
    <mergeCell ref="A72:A73"/>
    <mergeCell ref="B72:B73"/>
    <mergeCell ref="C72:C73"/>
    <mergeCell ref="D72:D73"/>
    <mergeCell ref="E72:E73"/>
    <mergeCell ref="F72:F73"/>
    <mergeCell ref="G72:G73"/>
    <mergeCell ref="H72:H73"/>
    <mergeCell ref="I72:I73"/>
    <mergeCell ref="J72:J73"/>
    <mergeCell ref="K72:K73"/>
    <mergeCell ref="L72:L73"/>
    <mergeCell ref="M72:M73"/>
    <mergeCell ref="A70:A71"/>
    <mergeCell ref="B70:B71"/>
    <mergeCell ref="C70:C71"/>
    <mergeCell ref="D70:D71"/>
    <mergeCell ref="E70:E71"/>
    <mergeCell ref="F70:F71"/>
    <mergeCell ref="G70:G71"/>
    <mergeCell ref="M66:M67"/>
    <mergeCell ref="A68:A69"/>
    <mergeCell ref="B68:B69"/>
    <mergeCell ref="C68:C69"/>
    <mergeCell ref="D68:D69"/>
    <mergeCell ref="E68:E69"/>
    <mergeCell ref="F68:F69"/>
    <mergeCell ref="G68:G69"/>
    <mergeCell ref="H68:H69"/>
    <mergeCell ref="I68:I69"/>
    <mergeCell ref="J68:J69"/>
    <mergeCell ref="K68:K69"/>
    <mergeCell ref="L68:L69"/>
    <mergeCell ref="M68:M69"/>
    <mergeCell ref="A66:A67"/>
    <mergeCell ref="B66:B67"/>
    <mergeCell ref="C66:C67"/>
    <mergeCell ref="D66:D67"/>
    <mergeCell ref="E66:E67"/>
    <mergeCell ref="M62:M63"/>
    <mergeCell ref="A64:A65"/>
    <mergeCell ref="B64:B65"/>
    <mergeCell ref="C64:C65"/>
    <mergeCell ref="D64:D65"/>
    <mergeCell ref="E64:E65"/>
    <mergeCell ref="F64:F65"/>
    <mergeCell ref="G64:G65"/>
    <mergeCell ref="H64:H65"/>
    <mergeCell ref="I64:I65"/>
    <mergeCell ref="J64:J65"/>
    <mergeCell ref="K64:K65"/>
    <mergeCell ref="L64:L65"/>
    <mergeCell ref="M64:M65"/>
    <mergeCell ref="A62:A63"/>
    <mergeCell ref="B62:B63"/>
    <mergeCell ref="C62:C63"/>
    <mergeCell ref="E60:E61"/>
    <mergeCell ref="F60:F61"/>
    <mergeCell ref="G60:G61"/>
    <mergeCell ref="H60:H61"/>
    <mergeCell ref="I60:I61"/>
    <mergeCell ref="F66:F67"/>
    <mergeCell ref="G66:G67"/>
    <mergeCell ref="H66:H67"/>
    <mergeCell ref="I66:I67"/>
    <mergeCell ref="K206:M206"/>
    <mergeCell ref="K207:M207"/>
    <mergeCell ref="M20:M21"/>
    <mergeCell ref="A50:A51"/>
    <mergeCell ref="B50:B51"/>
    <mergeCell ref="C50:C51"/>
    <mergeCell ref="D50:D51"/>
    <mergeCell ref="E50:E51"/>
    <mergeCell ref="F50:F51"/>
    <mergeCell ref="G50:G51"/>
    <mergeCell ref="H50:H51"/>
    <mergeCell ref="I50:I51"/>
    <mergeCell ref="J50:J51"/>
    <mergeCell ref="K50:K51"/>
    <mergeCell ref="L50:L51"/>
    <mergeCell ref="M50:M51"/>
    <mergeCell ref="A52:A53"/>
    <mergeCell ref="B52:B53"/>
    <mergeCell ref="C52:C53"/>
    <mergeCell ref="J54:J55"/>
    <mergeCell ref="K54:K55"/>
    <mergeCell ref="L54:L55"/>
    <mergeCell ref="M54:M55"/>
    <mergeCell ref="A56:A57"/>
    <mergeCell ref="I201:I202"/>
    <mergeCell ref="F195:F196"/>
    <mergeCell ref="F180:F181"/>
    <mergeCell ref="B174:B175"/>
    <mergeCell ref="C174:C175"/>
    <mergeCell ref="D174:D175"/>
    <mergeCell ref="E174:E175"/>
    <mergeCell ref="F174:F175"/>
    <mergeCell ref="G174:G175"/>
    <mergeCell ref="A184:G185"/>
    <mergeCell ref="H184:H185"/>
    <mergeCell ref="I184:I185"/>
    <mergeCell ref="H174:H175"/>
    <mergeCell ref="I174:I175"/>
    <mergeCell ref="M52:M53"/>
    <mergeCell ref="G195:G196"/>
    <mergeCell ref="M182:M183"/>
    <mergeCell ref="G180:G181"/>
    <mergeCell ref="H180:H181"/>
    <mergeCell ref="I180:I181"/>
    <mergeCell ref="J180:J181"/>
    <mergeCell ref="M180:M181"/>
    <mergeCell ref="M191:M192"/>
    <mergeCell ref="H195:H196"/>
    <mergeCell ref="I195:I196"/>
    <mergeCell ref="J195:J196"/>
    <mergeCell ref="M195:M196"/>
    <mergeCell ref="G56:G57"/>
    <mergeCell ref="H56:H57"/>
    <mergeCell ref="I56:I57"/>
    <mergeCell ref="J60:J61"/>
    <mergeCell ref="K60:K61"/>
    <mergeCell ref="L60:L61"/>
    <mergeCell ref="M60:M61"/>
    <mergeCell ref="G58:G59"/>
    <mergeCell ref="H58:H59"/>
    <mergeCell ref="I58:I59"/>
    <mergeCell ref="G62:G63"/>
    <mergeCell ref="G199:G200"/>
    <mergeCell ref="H199:H200"/>
    <mergeCell ref="I199:I200"/>
    <mergeCell ref="J199:J200"/>
    <mergeCell ref="H52:H53"/>
    <mergeCell ref="I52:I53"/>
    <mergeCell ref="J52:J53"/>
    <mergeCell ref="K52:K53"/>
    <mergeCell ref="L52:L53"/>
    <mergeCell ref="H62:H63"/>
    <mergeCell ref="I62:I63"/>
    <mergeCell ref="J62:J63"/>
    <mergeCell ref="K62:K63"/>
    <mergeCell ref="L62:L63"/>
    <mergeCell ref="H70:H71"/>
    <mergeCell ref="I70:I71"/>
    <mergeCell ref="J66:J67"/>
    <mergeCell ref="K66:K67"/>
    <mergeCell ref="L66:L67"/>
    <mergeCell ref="J70:J71"/>
    <mergeCell ref="K70:K71"/>
    <mergeCell ref="L70:L71"/>
    <mergeCell ref="H86:H87"/>
    <mergeCell ref="I86:I87"/>
    <mergeCell ref="J58:J59"/>
    <mergeCell ref="K58:K59"/>
    <mergeCell ref="L58:L59"/>
    <mergeCell ref="M58:M59"/>
    <mergeCell ref="A60:A61"/>
    <mergeCell ref="A195:A196"/>
    <mergeCell ref="B195:B196"/>
    <mergeCell ref="C195:C196"/>
    <mergeCell ref="D195:D196"/>
    <mergeCell ref="E195:E196"/>
    <mergeCell ref="B170:B171"/>
    <mergeCell ref="C170:C171"/>
    <mergeCell ref="A58:A59"/>
    <mergeCell ref="B58:B59"/>
    <mergeCell ref="C58:C59"/>
    <mergeCell ref="D58:D59"/>
    <mergeCell ref="E58:E59"/>
    <mergeCell ref="F58:F59"/>
    <mergeCell ref="B60:B61"/>
    <mergeCell ref="C60:C61"/>
    <mergeCell ref="D60:D61"/>
    <mergeCell ref="D62:D63"/>
    <mergeCell ref="E62:E63"/>
    <mergeCell ref="F62:F63"/>
    <mergeCell ref="G178:G179"/>
    <mergeCell ref="H178:H179"/>
    <mergeCell ref="I178:I179"/>
    <mergeCell ref="J178:J179"/>
    <mergeCell ref="J174:J175"/>
    <mergeCell ref="A182:A183"/>
    <mergeCell ref="B182:B183"/>
    <mergeCell ref="C182:C183"/>
    <mergeCell ref="D182:D183"/>
    <mergeCell ref="J56:J57"/>
    <mergeCell ref="K56:K57"/>
    <mergeCell ref="L56:L57"/>
    <mergeCell ref="M56:M57"/>
    <mergeCell ref="A54:A55"/>
    <mergeCell ref="B54:B55"/>
    <mergeCell ref="C54:C55"/>
    <mergeCell ref="D54:D55"/>
    <mergeCell ref="H54:H55"/>
    <mergeCell ref="I54:I55"/>
    <mergeCell ref="B56:B57"/>
    <mergeCell ref="C56:C57"/>
    <mergeCell ref="D56:D57"/>
    <mergeCell ref="E56:E57"/>
    <mergeCell ref="F56:F57"/>
    <mergeCell ref="D52:D53"/>
    <mergeCell ref="AJ220:AK220"/>
    <mergeCell ref="A193:A194"/>
    <mergeCell ref="B193:B194"/>
    <mergeCell ref="C193:C194"/>
    <mergeCell ref="A191:A192"/>
    <mergeCell ref="B191:B192"/>
    <mergeCell ref="C191:C192"/>
    <mergeCell ref="F191:F192"/>
    <mergeCell ref="A178:A179"/>
    <mergeCell ref="B178:B179"/>
    <mergeCell ref="C178:C179"/>
    <mergeCell ref="D178:D179"/>
    <mergeCell ref="E178:E179"/>
    <mergeCell ref="M178:M179"/>
    <mergeCell ref="G176:G177"/>
    <mergeCell ref="F178:F179"/>
    <mergeCell ref="AL220:AM220"/>
    <mergeCell ref="AJ222:AK222"/>
    <mergeCell ref="AL222:AM222"/>
    <mergeCell ref="AB209:AD209"/>
    <mergeCell ref="AB210:AD210"/>
    <mergeCell ref="AB211:AD211"/>
    <mergeCell ref="AL215:AM215"/>
    <mergeCell ref="N191:Z191"/>
    <mergeCell ref="I191:I192"/>
    <mergeCell ref="J191:J192"/>
    <mergeCell ref="K191:K192"/>
    <mergeCell ref="L191:L192"/>
    <mergeCell ref="I193:I194"/>
    <mergeCell ref="J193:J194"/>
    <mergeCell ref="M193:M194"/>
    <mergeCell ref="D180:D181"/>
    <mergeCell ref="E180:E181"/>
    <mergeCell ref="F182:F183"/>
    <mergeCell ref="G182:G183"/>
    <mergeCell ref="H182:H183"/>
    <mergeCell ref="I182:I183"/>
    <mergeCell ref="J182:J183"/>
    <mergeCell ref="D193:D194"/>
    <mergeCell ref="E193:E194"/>
    <mergeCell ref="F193:F194"/>
    <mergeCell ref="G193:G194"/>
    <mergeCell ref="H193:H194"/>
    <mergeCell ref="G191:G192"/>
    <mergeCell ref="H191:H192"/>
    <mergeCell ref="J184:J185"/>
    <mergeCell ref="D191:D192"/>
    <mergeCell ref="E191:E192"/>
    <mergeCell ref="AN215:AO215"/>
    <mergeCell ref="AL216:AM216"/>
    <mergeCell ref="AN216:AO216"/>
    <mergeCell ref="A201:A202"/>
    <mergeCell ref="B201:B202"/>
    <mergeCell ref="C201:C202"/>
    <mergeCell ref="D201:D202"/>
    <mergeCell ref="E201:E202"/>
    <mergeCell ref="A199:A200"/>
    <mergeCell ref="B199:B200"/>
    <mergeCell ref="C199:C200"/>
    <mergeCell ref="D199:D200"/>
    <mergeCell ref="E199:E200"/>
    <mergeCell ref="F201:F202"/>
    <mergeCell ref="G201:G202"/>
    <mergeCell ref="H201:H202"/>
    <mergeCell ref="M199:M200"/>
    <mergeCell ref="F199:F200"/>
    <mergeCell ref="A203:G204"/>
    <mergeCell ref="H203:H204"/>
    <mergeCell ref="I203:I204"/>
    <mergeCell ref="J203:J204"/>
    <mergeCell ref="J201:J202"/>
    <mergeCell ref="M201:M202"/>
    <mergeCell ref="E182:E183"/>
    <mergeCell ref="A180:A181"/>
    <mergeCell ref="B180:B181"/>
    <mergeCell ref="C180:C181"/>
    <mergeCell ref="A166:G167"/>
    <mergeCell ref="H166:H167"/>
    <mergeCell ref="I166:I167"/>
    <mergeCell ref="J166:J167"/>
    <mergeCell ref="M170:M171"/>
    <mergeCell ref="M174:M175"/>
    <mergeCell ref="A176:A177"/>
    <mergeCell ref="B176:B177"/>
    <mergeCell ref="C176:C177"/>
    <mergeCell ref="D176:D177"/>
    <mergeCell ref="E176:E177"/>
    <mergeCell ref="F176:F177"/>
    <mergeCell ref="M176:M177"/>
    <mergeCell ref="M172:M173"/>
    <mergeCell ref="A174:A175"/>
    <mergeCell ref="D170:D171"/>
    <mergeCell ref="E170:E171"/>
    <mergeCell ref="F170:F171"/>
    <mergeCell ref="I172:I173"/>
    <mergeCell ref="J172:J173"/>
    <mergeCell ref="H176:H177"/>
    <mergeCell ref="I176:I177"/>
    <mergeCell ref="J176:J177"/>
    <mergeCell ref="N170:Z170"/>
    <mergeCell ref="A172:A173"/>
    <mergeCell ref="B172:B173"/>
    <mergeCell ref="C172:C173"/>
    <mergeCell ref="D172:D173"/>
    <mergeCell ref="E172:E173"/>
    <mergeCell ref="F172:F173"/>
    <mergeCell ref="G172:G173"/>
    <mergeCell ref="H172:H173"/>
    <mergeCell ref="G170:G171"/>
    <mergeCell ref="H170:H171"/>
    <mergeCell ref="I170:I171"/>
    <mergeCell ref="J170:J171"/>
    <mergeCell ref="K170:K171"/>
    <mergeCell ref="L170:L171"/>
    <mergeCell ref="A170:A171"/>
    <mergeCell ref="M46:M47"/>
    <mergeCell ref="A48:A49"/>
    <mergeCell ref="B48:B49"/>
    <mergeCell ref="C48:C49"/>
    <mergeCell ref="D48:D49"/>
    <mergeCell ref="E48:E49"/>
    <mergeCell ref="L48:L49"/>
    <mergeCell ref="M48:M49"/>
    <mergeCell ref="I48:I49"/>
    <mergeCell ref="J48:J49"/>
    <mergeCell ref="K48:K49"/>
    <mergeCell ref="A46:A47"/>
    <mergeCell ref="B46:B47"/>
    <mergeCell ref="C46:C47"/>
    <mergeCell ref="D46:D47"/>
    <mergeCell ref="E46:E47"/>
    <mergeCell ref="F46:F47"/>
    <mergeCell ref="G46:G47"/>
    <mergeCell ref="H46:H47"/>
    <mergeCell ref="F48:F49"/>
    <mergeCell ref="G48:G49"/>
    <mergeCell ref="H48:H49"/>
    <mergeCell ref="I46:I47"/>
    <mergeCell ref="J46:J47"/>
    <mergeCell ref="K46:K47"/>
    <mergeCell ref="L46:L47"/>
    <mergeCell ref="F44:F45"/>
    <mergeCell ref="G44:G45"/>
    <mergeCell ref="H44:H45"/>
    <mergeCell ref="M42:M43"/>
    <mergeCell ref="A44:A45"/>
    <mergeCell ref="B44:B45"/>
    <mergeCell ref="C44:C45"/>
    <mergeCell ref="D44:D45"/>
    <mergeCell ref="E44:E45"/>
    <mergeCell ref="L44:L45"/>
    <mergeCell ref="M44:M45"/>
    <mergeCell ref="I44:I45"/>
    <mergeCell ref="J44:J45"/>
    <mergeCell ref="K44:K45"/>
    <mergeCell ref="A42:A43"/>
    <mergeCell ref="B42:B43"/>
    <mergeCell ref="C42:C43"/>
    <mergeCell ref="D42:D43"/>
    <mergeCell ref="E42:E43"/>
    <mergeCell ref="F42:F43"/>
    <mergeCell ref="G42:G43"/>
    <mergeCell ref="H42:H43"/>
    <mergeCell ref="I42:I43"/>
    <mergeCell ref="J42:J43"/>
    <mergeCell ref="K42:K43"/>
    <mergeCell ref="L42:L43"/>
    <mergeCell ref="A40:A41"/>
    <mergeCell ref="B40:B41"/>
    <mergeCell ref="C40:C41"/>
    <mergeCell ref="D40:D41"/>
    <mergeCell ref="E40:E41"/>
    <mergeCell ref="L40:L41"/>
    <mergeCell ref="M40:M41"/>
    <mergeCell ref="I40:I41"/>
    <mergeCell ref="J40:J41"/>
    <mergeCell ref="K40:K41"/>
    <mergeCell ref="F40:F41"/>
    <mergeCell ref="G40:G41"/>
    <mergeCell ref="H40:H41"/>
    <mergeCell ref="M34:M35"/>
    <mergeCell ref="M38:M39"/>
    <mergeCell ref="A36:A37"/>
    <mergeCell ref="B36:B37"/>
    <mergeCell ref="C36:C37"/>
    <mergeCell ref="D36:D37"/>
    <mergeCell ref="E36:E37"/>
    <mergeCell ref="L36:L37"/>
    <mergeCell ref="M36:M37"/>
    <mergeCell ref="I36:I37"/>
    <mergeCell ref="J36:J37"/>
    <mergeCell ref="K36:K37"/>
    <mergeCell ref="A34:A35"/>
    <mergeCell ref="B34:B35"/>
    <mergeCell ref="C34:C35"/>
    <mergeCell ref="D34:D35"/>
    <mergeCell ref="E34:E35"/>
    <mergeCell ref="M30:M31"/>
    <mergeCell ref="A32:A33"/>
    <mergeCell ref="B32:B33"/>
    <mergeCell ref="C32:C33"/>
    <mergeCell ref="D32:D33"/>
    <mergeCell ref="E32:E33"/>
    <mergeCell ref="L32:L33"/>
    <mergeCell ref="M32:M33"/>
    <mergeCell ref="I32:I33"/>
    <mergeCell ref="J32:J33"/>
    <mergeCell ref="K32:K33"/>
    <mergeCell ref="A30:A31"/>
    <mergeCell ref="B30:B31"/>
    <mergeCell ref="C30:C31"/>
    <mergeCell ref="D30:D31"/>
    <mergeCell ref="E30:E31"/>
    <mergeCell ref="F30:F31"/>
    <mergeCell ref="G30:G31"/>
    <mergeCell ref="H30:H31"/>
    <mergeCell ref="I30:I31"/>
    <mergeCell ref="J30:J31"/>
    <mergeCell ref="K30:K31"/>
    <mergeCell ref="L30:L31"/>
    <mergeCell ref="L24:L25"/>
    <mergeCell ref="G26:G27"/>
    <mergeCell ref="H26:H27"/>
    <mergeCell ref="F28:F29"/>
    <mergeCell ref="G28:G29"/>
    <mergeCell ref="H28:H29"/>
    <mergeCell ref="I26:I27"/>
    <mergeCell ref="J26:J27"/>
    <mergeCell ref="K26:K27"/>
    <mergeCell ref="L26:L27"/>
    <mergeCell ref="F34:F35"/>
    <mergeCell ref="I38:I39"/>
    <mergeCell ref="J38:J39"/>
    <mergeCell ref="K38:K39"/>
    <mergeCell ref="L38:L39"/>
    <mergeCell ref="F36:F37"/>
    <mergeCell ref="G36:G37"/>
    <mergeCell ref="H36:H37"/>
    <mergeCell ref="I34:I35"/>
    <mergeCell ref="J34:J35"/>
    <mergeCell ref="K34:K35"/>
    <mergeCell ref="L34:L35"/>
    <mergeCell ref="F38:F39"/>
    <mergeCell ref="G38:G39"/>
    <mergeCell ref="H38:H39"/>
    <mergeCell ref="G34:G35"/>
    <mergeCell ref="H34:H35"/>
    <mergeCell ref="M26:M27"/>
    <mergeCell ref="A28:A29"/>
    <mergeCell ref="B28:B29"/>
    <mergeCell ref="C28:C29"/>
    <mergeCell ref="D28:D29"/>
    <mergeCell ref="E28:E29"/>
    <mergeCell ref="L28:L29"/>
    <mergeCell ref="M28:M29"/>
    <mergeCell ref="I28:I29"/>
    <mergeCell ref="J28:J29"/>
    <mergeCell ref="K28:K29"/>
    <mergeCell ref="A26:A27"/>
    <mergeCell ref="B26:B27"/>
    <mergeCell ref="C26:C27"/>
    <mergeCell ref="D26:D27"/>
    <mergeCell ref="E26:E27"/>
    <mergeCell ref="F26:F27"/>
    <mergeCell ref="L12:L13"/>
    <mergeCell ref="L20:L21"/>
    <mergeCell ref="I20:I21"/>
    <mergeCell ref="J20:J21"/>
    <mergeCell ref="K20:K21"/>
    <mergeCell ref="A18:A19"/>
    <mergeCell ref="B18:B19"/>
    <mergeCell ref="F18:F19"/>
    <mergeCell ref="G18:G19"/>
    <mergeCell ref="A14:A15"/>
    <mergeCell ref="B14:B15"/>
    <mergeCell ref="F14:F15"/>
    <mergeCell ref="A8:A9"/>
    <mergeCell ref="B8:B9"/>
    <mergeCell ref="C8:C9"/>
    <mergeCell ref="D8:D9"/>
    <mergeCell ref="E8:E9"/>
    <mergeCell ref="L16:L17"/>
    <mergeCell ref="L14:L15"/>
    <mergeCell ref="A20:A21"/>
    <mergeCell ref="B20:B21"/>
    <mergeCell ref="C20:C21"/>
    <mergeCell ref="D20:D21"/>
    <mergeCell ref="E20:E21"/>
    <mergeCell ref="D10:D11"/>
    <mergeCell ref="D12:D13"/>
    <mergeCell ref="C10:C11"/>
    <mergeCell ref="C12:C13"/>
    <mergeCell ref="C16:C17"/>
    <mergeCell ref="C14:C15"/>
    <mergeCell ref="C18:C19"/>
    <mergeCell ref="L8:L9"/>
    <mergeCell ref="A197:A198"/>
    <mergeCell ref="B197:B198"/>
    <mergeCell ref="C197:C198"/>
    <mergeCell ref="D197:D198"/>
    <mergeCell ref="E197:E198"/>
    <mergeCell ref="F197:F198"/>
    <mergeCell ref="G197:G198"/>
    <mergeCell ref="H197:H198"/>
    <mergeCell ref="I197:I198"/>
    <mergeCell ref="E54:E55"/>
    <mergeCell ref="F54:F55"/>
    <mergeCell ref="G54:G55"/>
    <mergeCell ref="K8:K9"/>
    <mergeCell ref="F8:F9"/>
    <mergeCell ref="G8:G9"/>
    <mergeCell ref="J16:J17"/>
    <mergeCell ref="K16:K17"/>
    <mergeCell ref="K14:K15"/>
    <mergeCell ref="I12:I13"/>
    <mergeCell ref="J12:J13"/>
    <mergeCell ref="K12:K13"/>
    <mergeCell ref="A10:A11"/>
    <mergeCell ref="B10:B11"/>
    <mergeCell ref="F10:F11"/>
    <mergeCell ref="G10:G11"/>
    <mergeCell ref="H10:H11"/>
    <mergeCell ref="G12:G13"/>
    <mergeCell ref="A22:A23"/>
    <mergeCell ref="A24:A25"/>
    <mergeCell ref="B24:B25"/>
    <mergeCell ref="C24:C25"/>
    <mergeCell ref="D24:D25"/>
    <mergeCell ref="E52:E53"/>
    <mergeCell ref="F52:F53"/>
    <mergeCell ref="G52:G53"/>
    <mergeCell ref="H8:H9"/>
    <mergeCell ref="H14:H15"/>
    <mergeCell ref="H18:H19"/>
    <mergeCell ref="F16:F17"/>
    <mergeCell ref="G16:G17"/>
    <mergeCell ref="H16:H17"/>
    <mergeCell ref="F20:F21"/>
    <mergeCell ref="G20:G21"/>
    <mergeCell ref="H20:H21"/>
    <mergeCell ref="I18:I19"/>
    <mergeCell ref="I16:I17"/>
    <mergeCell ref="I24:I25"/>
    <mergeCell ref="A12:A13"/>
    <mergeCell ref="B12:B13"/>
    <mergeCell ref="G14:G15"/>
    <mergeCell ref="A16:A17"/>
    <mergeCell ref="B16:B17"/>
    <mergeCell ref="I14:I15"/>
    <mergeCell ref="B22:B23"/>
    <mergeCell ref="C22:C23"/>
    <mergeCell ref="D22:D23"/>
    <mergeCell ref="E22:E23"/>
    <mergeCell ref="F22:F23"/>
    <mergeCell ref="E24:E25"/>
    <mergeCell ref="A38:A39"/>
    <mergeCell ref="B38:B39"/>
    <mergeCell ref="C38:C39"/>
    <mergeCell ref="D38:D39"/>
    <mergeCell ref="E38:E39"/>
    <mergeCell ref="M197:M198"/>
    <mergeCell ref="F12:F13"/>
    <mergeCell ref="H12:H13"/>
    <mergeCell ref="I10:I11"/>
    <mergeCell ref="J10:J11"/>
    <mergeCell ref="K10:K11"/>
    <mergeCell ref="L10:L11"/>
    <mergeCell ref="M10:M11"/>
    <mergeCell ref="J197:J198"/>
    <mergeCell ref="M24:M25"/>
    <mergeCell ref="J24:J25"/>
    <mergeCell ref="K24:K25"/>
    <mergeCell ref="I22:I23"/>
    <mergeCell ref="L18:L19"/>
    <mergeCell ref="M18:M19"/>
    <mergeCell ref="K22:K23"/>
    <mergeCell ref="L22:L23"/>
    <mergeCell ref="M22:M23"/>
    <mergeCell ref="M14:M15"/>
    <mergeCell ref="J18:J19"/>
    <mergeCell ref="K18:K19"/>
    <mergeCell ref="J22:J23"/>
    <mergeCell ref="J14:J15"/>
    <mergeCell ref="M12:M13"/>
    <mergeCell ref="G22:G23"/>
    <mergeCell ref="H22:H23"/>
    <mergeCell ref="F24:F25"/>
    <mergeCell ref="G24:G25"/>
    <mergeCell ref="H24:H25"/>
    <mergeCell ref="F32:F33"/>
    <mergeCell ref="G32:G33"/>
    <mergeCell ref="H32:H33"/>
    <mergeCell ref="M8:M9"/>
    <mergeCell ref="I8:I9"/>
    <mergeCell ref="J8:J9"/>
    <mergeCell ref="M4:M5"/>
    <mergeCell ref="I6:I7"/>
    <mergeCell ref="N4:Z4"/>
    <mergeCell ref="A6:A7"/>
    <mergeCell ref="B6:B7"/>
    <mergeCell ref="C6:C7"/>
    <mergeCell ref="D6:D7"/>
    <mergeCell ref="E6:E7"/>
    <mergeCell ref="F6:F7"/>
    <mergeCell ref="G6:G7"/>
    <mergeCell ref="H6:H7"/>
    <mergeCell ref="G4:G5"/>
    <mergeCell ref="H4:H5"/>
    <mergeCell ref="I4:I5"/>
    <mergeCell ref="J4:J5"/>
    <mergeCell ref="K4:K5"/>
    <mergeCell ref="L4:L5"/>
    <mergeCell ref="A4:A5"/>
    <mergeCell ref="B4:B5"/>
    <mergeCell ref="C4:C5"/>
    <mergeCell ref="D4:D5"/>
    <mergeCell ref="E4:E5"/>
    <mergeCell ref="F4:F5"/>
    <mergeCell ref="K6:K7"/>
    <mergeCell ref="L6:L7"/>
    <mergeCell ref="M6:M7"/>
    <mergeCell ref="J6:J7"/>
  </mergeCells>
  <phoneticPr fontId="2"/>
  <dataValidations count="2">
    <dataValidation type="list" allowBlank="1" showInputMessage="1" showErrorMessage="1" sqref="B172:B183 B193:B202 B6:B165" xr:uid="{00000000-0002-0000-0100-000000000000}">
      <formula1>Status</formula1>
    </dataValidation>
    <dataValidation type="list" allowBlank="1" showInputMessage="1" showErrorMessage="1" sqref="C172:C183 C193:C202 C6:C14 C16:C18 C20:C165" xr:uid="{00000000-0002-0000-0100-000001000000}">
      <formula1>Division</formula1>
    </dataValidation>
  </dataValidations>
  <hyperlinks>
    <hyperlink ref="G201:G202" location="休暇!A1" display="休暇" xr:uid="{00000000-0004-0000-0100-000000000000}"/>
  </hyperlinks>
  <pageMargins left="0.7" right="0.7" top="0.75" bottom="0.75" header="0.3" footer="0.3"/>
  <pageSetup paperSize="9" orientation="portrait" verticalDpi="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DN284"/>
  <sheetViews>
    <sheetView showGridLines="0" zoomScale="85" zoomScaleNormal="85" workbookViewId="0">
      <pane xSplit="13" ySplit="6" topLeftCell="N7" activePane="bottomRight" state="frozen"/>
      <selection pane="topRight" activeCell="N1" sqref="N1"/>
      <selection pane="bottomLeft" activeCell="A7" sqref="A7"/>
      <selection pane="bottomRight"/>
    </sheetView>
  </sheetViews>
  <sheetFormatPr defaultColWidth="9" defaultRowHeight="20.100000000000001" customHeight="1" outlineLevelRow="1" outlineLevelCol="2" x14ac:dyDescent="0.4"/>
  <cols>
    <col min="1" max="1" width="4.625" style="1" customWidth="1"/>
    <col min="2" max="3" width="8.5" style="1" customWidth="1" outlineLevel="2"/>
    <col min="4" max="4" width="10.625" style="1" customWidth="1" outlineLevel="2"/>
    <col min="5" max="5" width="11.625" style="1" customWidth="1"/>
    <col min="6" max="6" width="11.625" style="1" customWidth="1" outlineLevel="1"/>
    <col min="7" max="7" width="58.875" style="9" customWidth="1" outlineLevel="1"/>
    <col min="8" max="9" width="6.75" style="1" customWidth="1"/>
    <col min="10" max="10" width="8.125" style="1" hidden="1" customWidth="1" outlineLevel="1"/>
    <col min="11" max="11" width="9.625" style="1" hidden="1" customWidth="1" outlineLevel="1"/>
    <col min="12" max="12" width="8.125" style="1" hidden="1" customWidth="1" outlineLevel="1"/>
    <col min="13" max="13" width="18.75" style="1" hidden="1" customWidth="1" collapsed="1"/>
    <col min="14" max="14" width="5.875" style="1" hidden="1" customWidth="1" outlineLevel="1"/>
    <col min="15" max="15" width="7" style="1" hidden="1" customWidth="1" outlineLevel="1"/>
    <col min="16" max="18" width="7.25" style="1" hidden="1" customWidth="1" outlineLevel="1"/>
    <col min="19" max="21" width="7" style="1" hidden="1" customWidth="1" outlineLevel="1"/>
    <col min="22" max="22" width="8.375" style="1" hidden="1" customWidth="1" outlineLevel="1" collapsed="1"/>
    <col min="23" max="23" width="8.375" style="1" hidden="1" customWidth="1" outlineLevel="1"/>
    <col min="24" max="26" width="7" style="1" hidden="1" customWidth="1" outlineLevel="1"/>
    <col min="27" max="27" width="7" style="199" hidden="1" customWidth="1" outlineLevel="1"/>
    <col min="28" max="28" width="8.375" style="1" hidden="1" customWidth="1" outlineLevel="1" collapsed="1"/>
    <col min="29" max="29" width="8.375" style="1" hidden="1" customWidth="1" outlineLevel="1"/>
    <col min="30" max="33" width="7" style="1" hidden="1" customWidth="1" outlineLevel="1"/>
    <col min="34" max="34" width="7.875" style="1" customWidth="1" collapsed="1"/>
    <col min="35" max="38" width="7.875" style="1" customWidth="1"/>
    <col min="39" max="39" width="7.875" style="199" customWidth="1"/>
    <col min="40" max="40" width="7" style="1" hidden="1" customWidth="1" outlineLevel="1" collapsed="1"/>
    <col min="41" max="44" width="7" style="1" hidden="1" customWidth="1" outlineLevel="1"/>
    <col min="45" max="47" width="7" style="199" hidden="1" customWidth="1" outlineLevel="1"/>
    <col min="48" max="52" width="7" style="1" hidden="1" customWidth="1" outlineLevel="1"/>
    <col min="53" max="54" width="7" style="199" hidden="1" customWidth="1" outlineLevel="1"/>
    <col min="55" max="60" width="7" style="1" hidden="1" customWidth="1" outlineLevel="1"/>
    <col min="61" max="63" width="7" style="199" hidden="1" customWidth="1" outlineLevel="1"/>
    <col min="64" max="68" width="7" style="1" hidden="1" customWidth="1" outlineLevel="1"/>
    <col min="69" max="71" width="7" style="199" hidden="1" customWidth="1" outlineLevel="1"/>
    <col min="72" max="72" width="7" style="1" hidden="1" customWidth="1" outlineLevel="1" collapsed="1"/>
    <col min="73" max="76" width="7" style="1" hidden="1" customWidth="1" outlineLevel="1"/>
    <col min="77" max="79" width="7" style="199" hidden="1" customWidth="1" outlineLevel="1"/>
    <col min="80" max="84" width="7" style="1" hidden="1" customWidth="1" outlineLevel="1"/>
    <col min="85" max="87" width="7" style="199" hidden="1" customWidth="1" outlineLevel="1"/>
    <col min="88" max="92" width="7" style="1" hidden="1" customWidth="1" outlineLevel="1"/>
    <col min="93" max="95" width="7" style="199" hidden="1" customWidth="1" outlineLevel="1"/>
    <col min="96" max="100" width="7" style="1" hidden="1" customWidth="1" outlineLevel="1"/>
    <col min="101" max="103" width="7" style="199" hidden="1" customWidth="1" outlineLevel="1"/>
    <col min="104" max="104" width="9" style="1" customWidth="1" collapsed="1"/>
    <col min="105" max="105" width="10.625" style="1" customWidth="1"/>
    <col min="106" max="16384" width="9" style="1"/>
  </cols>
  <sheetData>
    <row r="1" spans="1:107" ht="30" customHeight="1" x14ac:dyDescent="0.4">
      <c r="A1" s="22" t="s">
        <v>36</v>
      </c>
      <c r="B1" s="22"/>
      <c r="C1" s="22"/>
      <c r="D1" s="22"/>
      <c r="E1" s="22"/>
      <c r="F1" s="22"/>
      <c r="G1" s="22"/>
      <c r="H1" s="22"/>
      <c r="I1" s="22"/>
      <c r="J1" s="22"/>
      <c r="K1" s="22"/>
      <c r="L1" s="22"/>
      <c r="M1" s="22"/>
      <c r="N1" s="22"/>
      <c r="P1" s="227" t="s">
        <v>345</v>
      </c>
      <c r="Q1" s="217"/>
      <c r="R1" s="217"/>
      <c r="S1" s="228" t="s">
        <v>359</v>
      </c>
      <c r="U1" s="273"/>
      <c r="V1" s="22"/>
      <c r="W1" s="317" t="s">
        <v>527</v>
      </c>
      <c r="X1" s="217"/>
      <c r="Y1" s="316" t="s">
        <v>359</v>
      </c>
      <c r="AA1" s="324"/>
      <c r="AB1" s="22"/>
      <c r="AC1" s="317" t="s">
        <v>527</v>
      </c>
      <c r="AD1" s="217"/>
      <c r="AE1" s="316" t="s">
        <v>359</v>
      </c>
      <c r="AF1" s="199"/>
      <c r="AG1" s="324"/>
      <c r="AH1" s="22"/>
      <c r="AI1" s="317" t="s">
        <v>527</v>
      </c>
      <c r="AJ1" s="217"/>
      <c r="AK1" s="316" t="s">
        <v>359</v>
      </c>
      <c r="AL1" s="199"/>
      <c r="AM1" s="324"/>
      <c r="AN1" s="22"/>
      <c r="AO1" s="227" t="s">
        <v>332</v>
      </c>
      <c r="AP1" s="217"/>
      <c r="AQ1" s="217"/>
      <c r="AR1" s="228" t="s">
        <v>344</v>
      </c>
      <c r="AT1" s="218"/>
      <c r="AU1" s="22"/>
      <c r="AV1" s="22"/>
      <c r="AW1" s="227" t="s">
        <v>332</v>
      </c>
      <c r="AX1" s="217"/>
      <c r="AY1" s="217"/>
      <c r="AZ1" s="228" t="s">
        <v>344</v>
      </c>
      <c r="BB1" s="218"/>
      <c r="BC1" s="22"/>
      <c r="BD1" s="22"/>
      <c r="BE1" s="227" t="s">
        <v>332</v>
      </c>
      <c r="BF1" s="217"/>
      <c r="BG1" s="217"/>
      <c r="BH1" s="228" t="s">
        <v>344</v>
      </c>
      <c r="BJ1" s="218"/>
      <c r="BK1" s="22"/>
      <c r="BL1" s="22"/>
      <c r="BM1" s="227" t="s">
        <v>332</v>
      </c>
      <c r="BN1" s="217"/>
      <c r="BO1" s="217"/>
      <c r="BP1" s="228" t="s">
        <v>344</v>
      </c>
      <c r="BR1" s="218"/>
      <c r="BS1" s="22"/>
      <c r="BT1" s="22"/>
      <c r="BU1" s="227" t="s">
        <v>332</v>
      </c>
      <c r="BV1" s="217"/>
      <c r="BW1" s="217"/>
      <c r="BX1" s="228" t="s">
        <v>344</v>
      </c>
      <c r="BZ1" s="218"/>
      <c r="CA1" s="22"/>
      <c r="CB1" s="22"/>
      <c r="CC1" s="227" t="s">
        <v>332</v>
      </c>
      <c r="CD1" s="217"/>
      <c r="CE1" s="217"/>
      <c r="CF1" s="228" t="s">
        <v>344</v>
      </c>
      <c r="CH1" s="218"/>
      <c r="CI1" s="22"/>
      <c r="CJ1" s="22"/>
      <c r="CK1" s="227" t="s">
        <v>332</v>
      </c>
      <c r="CL1" s="217"/>
      <c r="CM1" s="217"/>
      <c r="CN1" s="228" t="s">
        <v>344</v>
      </c>
      <c r="CP1" s="218"/>
      <c r="CQ1" s="22"/>
      <c r="CR1" s="22"/>
      <c r="CS1" s="227" t="s">
        <v>332</v>
      </c>
      <c r="CT1" s="217"/>
      <c r="CU1" s="217"/>
      <c r="CV1" s="228" t="s">
        <v>344</v>
      </c>
      <c r="CX1" s="218"/>
      <c r="CY1" s="22"/>
      <c r="CZ1" s="274"/>
    </row>
    <row r="2" spans="1:107" ht="14.25" customHeight="1" thickBot="1" x14ac:dyDescent="0.45">
      <c r="P2" s="229" t="s">
        <v>358</v>
      </c>
      <c r="Q2" s="219"/>
      <c r="R2" s="219"/>
      <c r="S2" s="219"/>
      <c r="T2" s="219"/>
      <c r="U2" s="275"/>
      <c r="V2" s="199"/>
      <c r="W2" s="318" t="s">
        <v>343</v>
      </c>
      <c r="X2" s="219"/>
      <c r="Y2" s="219"/>
      <c r="Z2" s="219"/>
      <c r="AA2" s="220"/>
      <c r="AB2" s="199"/>
      <c r="AC2" s="318" t="s">
        <v>343</v>
      </c>
      <c r="AD2" s="219"/>
      <c r="AE2" s="219"/>
      <c r="AF2" s="219"/>
      <c r="AG2" s="220"/>
      <c r="AH2" s="199"/>
      <c r="AI2" s="318" t="s">
        <v>343</v>
      </c>
      <c r="AJ2" s="219"/>
      <c r="AK2" s="219"/>
      <c r="AL2" s="219"/>
      <c r="AM2" s="220"/>
      <c r="AN2" s="199"/>
      <c r="AO2" s="229" t="s">
        <v>343</v>
      </c>
      <c r="AP2" s="219"/>
      <c r="AQ2" s="219"/>
      <c r="AR2" s="219"/>
      <c r="AS2" s="219"/>
      <c r="AT2" s="220"/>
      <c r="AV2" s="199"/>
      <c r="AW2" s="229" t="s">
        <v>343</v>
      </c>
      <c r="AX2" s="219"/>
      <c r="AY2" s="219"/>
      <c r="AZ2" s="219"/>
      <c r="BA2" s="219"/>
      <c r="BB2" s="220"/>
      <c r="BC2" s="199"/>
      <c r="BD2" s="199"/>
      <c r="BE2" s="229" t="s">
        <v>343</v>
      </c>
      <c r="BF2" s="219"/>
      <c r="BG2" s="219"/>
      <c r="BH2" s="219"/>
      <c r="BI2" s="219"/>
      <c r="BJ2" s="220"/>
      <c r="BL2" s="199"/>
      <c r="BM2" s="229" t="s">
        <v>343</v>
      </c>
      <c r="BN2" s="219"/>
      <c r="BO2" s="219"/>
      <c r="BP2" s="219"/>
      <c r="BQ2" s="219"/>
      <c r="BR2" s="220"/>
      <c r="BT2" s="199"/>
      <c r="BU2" s="229" t="s">
        <v>343</v>
      </c>
      <c r="BV2" s="219"/>
      <c r="BW2" s="219"/>
      <c r="BX2" s="219"/>
      <c r="BY2" s="219"/>
      <c r="BZ2" s="220"/>
      <c r="CB2" s="199"/>
      <c r="CC2" s="229" t="s">
        <v>343</v>
      </c>
      <c r="CD2" s="219"/>
      <c r="CE2" s="219"/>
      <c r="CF2" s="219"/>
      <c r="CG2" s="219"/>
      <c r="CH2" s="220"/>
      <c r="CJ2" s="199"/>
      <c r="CK2" s="229" t="s">
        <v>343</v>
      </c>
      <c r="CL2" s="219"/>
      <c r="CM2" s="219"/>
      <c r="CN2" s="219"/>
      <c r="CO2" s="219"/>
      <c r="CP2" s="220"/>
      <c r="CR2" s="199"/>
      <c r="CS2" s="229" t="s">
        <v>343</v>
      </c>
      <c r="CT2" s="219"/>
      <c r="CU2" s="219"/>
      <c r="CV2" s="219"/>
      <c r="CW2" s="219"/>
      <c r="CX2" s="220"/>
      <c r="CZ2" s="274"/>
    </row>
    <row r="3" spans="1:107" ht="20.100000000000001" customHeight="1" x14ac:dyDescent="0.4">
      <c r="A3" s="7" t="s">
        <v>17</v>
      </c>
      <c r="U3" s="276"/>
      <c r="AH3" s="195"/>
      <c r="AI3" s="195"/>
      <c r="AK3" s="195"/>
    </row>
    <row r="4" spans="1:107" s="2" customFormat="1" ht="20.100000000000001" customHeight="1" x14ac:dyDescent="0.4">
      <c r="A4" s="518" t="s">
        <v>0</v>
      </c>
      <c r="B4" s="531" t="s">
        <v>86</v>
      </c>
      <c r="C4" s="531" t="s">
        <v>6</v>
      </c>
      <c r="D4" s="531" t="s">
        <v>158</v>
      </c>
      <c r="E4" s="531" t="s">
        <v>2</v>
      </c>
      <c r="F4" s="531" t="s">
        <v>159</v>
      </c>
      <c r="G4" s="527" t="s">
        <v>1</v>
      </c>
      <c r="H4" s="513" t="s">
        <v>168</v>
      </c>
      <c r="I4" s="513" t="s">
        <v>169</v>
      </c>
      <c r="J4" s="513" t="s">
        <v>9</v>
      </c>
      <c r="K4" s="518" t="s">
        <v>7</v>
      </c>
      <c r="L4" s="518" t="s">
        <v>8</v>
      </c>
      <c r="M4" s="518" t="s">
        <v>4</v>
      </c>
      <c r="N4" s="530" t="s">
        <v>5</v>
      </c>
      <c r="O4" s="512"/>
      <c r="P4" s="512"/>
      <c r="Q4" s="512"/>
      <c r="R4" s="512"/>
      <c r="S4" s="512"/>
      <c r="T4" s="512"/>
      <c r="U4" s="512"/>
      <c r="V4" s="512"/>
      <c r="W4" s="512"/>
      <c r="X4" s="512"/>
      <c r="Y4" s="512"/>
      <c r="Z4" s="512"/>
      <c r="AA4" s="512"/>
      <c r="AB4" s="512"/>
      <c r="AC4" s="512"/>
      <c r="AD4" s="512"/>
      <c r="AE4" s="512"/>
      <c r="AF4" s="512"/>
      <c r="AG4" s="512"/>
      <c r="AH4" s="512"/>
      <c r="AI4" s="512"/>
      <c r="AJ4" s="512"/>
      <c r="AK4" s="512"/>
      <c r="AL4" s="512"/>
      <c r="AM4" s="512"/>
      <c r="AN4" s="512"/>
      <c r="AO4" s="512"/>
      <c r="AP4" s="512"/>
      <c r="AQ4" s="512"/>
      <c r="AR4" s="512"/>
      <c r="AS4" s="512"/>
      <c r="AT4" s="512"/>
      <c r="AU4" s="512"/>
      <c r="AV4" s="512"/>
      <c r="AW4" s="512"/>
      <c r="AX4" s="512"/>
      <c r="AY4" s="512"/>
      <c r="AZ4" s="512"/>
      <c r="BA4" s="512"/>
      <c r="BB4" s="512"/>
      <c r="BC4" s="512"/>
      <c r="BD4" s="512"/>
      <c r="BE4" s="512"/>
      <c r="BF4" s="512"/>
      <c r="BG4" s="512"/>
      <c r="BH4" s="512"/>
      <c r="BI4" s="512"/>
      <c r="BJ4" s="512"/>
      <c r="BK4" s="512"/>
      <c r="BL4" s="512"/>
      <c r="BM4" s="512"/>
      <c r="BN4" s="512"/>
      <c r="BO4" s="512"/>
      <c r="BP4" s="512"/>
      <c r="BQ4" s="512"/>
      <c r="BR4" s="512"/>
      <c r="BS4" s="512"/>
      <c r="BT4" s="512"/>
      <c r="BU4" s="512"/>
      <c r="BV4" s="512"/>
      <c r="BW4" s="512"/>
      <c r="BX4" s="512"/>
      <c r="BY4" s="512"/>
      <c r="BZ4" s="512"/>
      <c r="CA4" s="512"/>
      <c r="CB4" s="512"/>
      <c r="CC4" s="512"/>
      <c r="CD4" s="512"/>
      <c r="CE4" s="512"/>
      <c r="CF4" s="512"/>
      <c r="CG4" s="512"/>
      <c r="CH4" s="512"/>
      <c r="CI4" s="512"/>
      <c r="CJ4" s="512"/>
      <c r="CK4" s="512"/>
      <c r="CL4" s="512"/>
      <c r="CM4" s="512"/>
      <c r="CN4" s="512"/>
      <c r="CO4" s="512"/>
      <c r="CP4" s="512"/>
      <c r="CQ4" s="512"/>
      <c r="CR4" s="512"/>
      <c r="CS4" s="512"/>
      <c r="CT4" s="512"/>
      <c r="CU4" s="512"/>
      <c r="CV4" s="512"/>
      <c r="CW4" s="512"/>
      <c r="CX4" s="512"/>
      <c r="CY4" s="512"/>
      <c r="CZ4" s="280"/>
    </row>
    <row r="5" spans="1:107" s="2" customFormat="1" ht="20.100000000000001" customHeight="1" x14ac:dyDescent="0.4">
      <c r="A5" s="519"/>
      <c r="B5" s="531"/>
      <c r="C5" s="531"/>
      <c r="D5" s="531"/>
      <c r="E5" s="531"/>
      <c r="F5" s="531"/>
      <c r="G5" s="528"/>
      <c r="H5" s="514"/>
      <c r="I5" s="514"/>
      <c r="J5" s="514"/>
      <c r="K5" s="519"/>
      <c r="L5" s="519"/>
      <c r="M5" s="519"/>
      <c r="N5" s="530" t="s">
        <v>134</v>
      </c>
      <c r="O5" s="512"/>
      <c r="P5" s="512"/>
      <c r="Q5" s="512"/>
      <c r="R5" s="512"/>
      <c r="S5" s="512"/>
      <c r="T5" s="512"/>
      <c r="U5" s="512"/>
      <c r="V5" s="511" t="s">
        <v>135</v>
      </c>
      <c r="W5" s="512"/>
      <c r="X5" s="512"/>
      <c r="Y5" s="512"/>
      <c r="Z5" s="512"/>
      <c r="AA5" s="512"/>
      <c r="AB5" s="511" t="s">
        <v>137</v>
      </c>
      <c r="AC5" s="512"/>
      <c r="AD5" s="512"/>
      <c r="AE5" s="512"/>
      <c r="AF5" s="512"/>
      <c r="AG5" s="512"/>
      <c r="AH5" s="511" t="s">
        <v>138</v>
      </c>
      <c r="AI5" s="512"/>
      <c r="AJ5" s="512"/>
      <c r="AK5" s="512"/>
      <c r="AL5" s="512"/>
      <c r="AM5" s="512"/>
      <c r="AN5" s="511" t="s">
        <v>139</v>
      </c>
      <c r="AO5" s="512"/>
      <c r="AP5" s="512"/>
      <c r="AQ5" s="512"/>
      <c r="AR5" s="512"/>
      <c r="AS5" s="512"/>
      <c r="AT5" s="512"/>
      <c r="AU5" s="512"/>
      <c r="AV5" s="511" t="s">
        <v>140</v>
      </c>
      <c r="AW5" s="512"/>
      <c r="AX5" s="512"/>
      <c r="AY5" s="512"/>
      <c r="AZ5" s="512"/>
      <c r="BA5" s="512"/>
      <c r="BB5" s="512"/>
      <c r="BC5" s="512"/>
      <c r="BD5" s="511" t="s">
        <v>141</v>
      </c>
      <c r="BE5" s="512"/>
      <c r="BF5" s="512"/>
      <c r="BG5" s="512"/>
      <c r="BH5" s="512"/>
      <c r="BI5" s="512"/>
      <c r="BJ5" s="512"/>
      <c r="BK5" s="512"/>
      <c r="BL5" s="511" t="s">
        <v>142</v>
      </c>
      <c r="BM5" s="512"/>
      <c r="BN5" s="512"/>
      <c r="BO5" s="512"/>
      <c r="BP5" s="512"/>
      <c r="BQ5" s="512"/>
      <c r="BR5" s="512"/>
      <c r="BS5" s="512"/>
      <c r="BT5" s="511" t="s">
        <v>143</v>
      </c>
      <c r="BU5" s="512"/>
      <c r="BV5" s="512"/>
      <c r="BW5" s="512"/>
      <c r="BX5" s="512"/>
      <c r="BY5" s="512"/>
      <c r="BZ5" s="512"/>
      <c r="CA5" s="512"/>
      <c r="CB5" s="511" t="s">
        <v>144</v>
      </c>
      <c r="CC5" s="512"/>
      <c r="CD5" s="512"/>
      <c r="CE5" s="512"/>
      <c r="CF5" s="512"/>
      <c r="CG5" s="512"/>
      <c r="CH5" s="512"/>
      <c r="CI5" s="512"/>
      <c r="CJ5" s="511" t="s">
        <v>30</v>
      </c>
      <c r="CK5" s="512"/>
      <c r="CL5" s="512"/>
      <c r="CM5" s="512"/>
      <c r="CN5" s="512"/>
      <c r="CO5" s="512"/>
      <c r="CP5" s="512"/>
      <c r="CQ5" s="512"/>
      <c r="CR5" s="511" t="s">
        <v>145</v>
      </c>
      <c r="CS5" s="512"/>
      <c r="CT5" s="512"/>
      <c r="CU5" s="512"/>
      <c r="CV5" s="512"/>
      <c r="CW5" s="512"/>
      <c r="CX5" s="512"/>
      <c r="CY5" s="512"/>
      <c r="CZ5" s="280"/>
    </row>
    <row r="6" spans="1:107" s="2" customFormat="1" ht="20.100000000000001" customHeight="1" x14ac:dyDescent="0.4">
      <c r="A6" s="520"/>
      <c r="B6" s="531"/>
      <c r="C6" s="531"/>
      <c r="D6" s="531"/>
      <c r="E6" s="531"/>
      <c r="F6" s="531"/>
      <c r="G6" s="529"/>
      <c r="H6" s="515"/>
      <c r="I6" s="515"/>
      <c r="J6" s="515"/>
      <c r="K6" s="520"/>
      <c r="L6" s="520"/>
      <c r="M6" s="520"/>
      <c r="N6" s="5"/>
      <c r="O6" s="5" t="s">
        <v>176</v>
      </c>
      <c r="P6" s="5" t="s">
        <v>414</v>
      </c>
      <c r="Q6" s="5" t="s">
        <v>174</v>
      </c>
      <c r="R6" s="16" t="s">
        <v>415</v>
      </c>
      <c r="S6" s="16" t="s">
        <v>416</v>
      </c>
      <c r="T6" s="16" t="s">
        <v>417</v>
      </c>
      <c r="U6" s="16" t="s">
        <v>418</v>
      </c>
      <c r="V6" s="5" t="s">
        <v>176</v>
      </c>
      <c r="W6" s="5" t="s">
        <v>414</v>
      </c>
      <c r="X6" s="5" t="s">
        <v>174</v>
      </c>
      <c r="Y6" s="16" t="s">
        <v>416</v>
      </c>
      <c r="Z6" s="16" t="s">
        <v>417</v>
      </c>
      <c r="AA6" s="16" t="s">
        <v>418</v>
      </c>
      <c r="AB6" s="214" t="s">
        <v>163</v>
      </c>
      <c r="AC6" s="5" t="s">
        <v>414</v>
      </c>
      <c r="AD6" s="5" t="s">
        <v>174</v>
      </c>
      <c r="AE6" s="16" t="s">
        <v>416</v>
      </c>
      <c r="AF6" s="16" t="s">
        <v>417</v>
      </c>
      <c r="AG6" s="16" t="s">
        <v>418</v>
      </c>
      <c r="AH6" s="214" t="s">
        <v>163</v>
      </c>
      <c r="AI6" s="5" t="s">
        <v>414</v>
      </c>
      <c r="AJ6" s="5" t="s">
        <v>174</v>
      </c>
      <c r="AK6" s="16" t="s">
        <v>416</v>
      </c>
      <c r="AL6" s="16" t="s">
        <v>417</v>
      </c>
      <c r="AM6" s="16" t="s">
        <v>418</v>
      </c>
      <c r="AN6" s="71" t="s">
        <v>176</v>
      </c>
      <c r="AO6" s="5" t="s">
        <v>171</v>
      </c>
      <c r="AP6" s="5" t="s">
        <v>172</v>
      </c>
      <c r="AQ6" s="16" t="s">
        <v>173</v>
      </c>
      <c r="AR6" s="16" t="s">
        <v>174</v>
      </c>
      <c r="AS6" s="16" t="s">
        <v>167</v>
      </c>
      <c r="AT6" s="16" t="s">
        <v>335</v>
      </c>
      <c r="AU6" s="72" t="s">
        <v>349</v>
      </c>
      <c r="AV6" s="71" t="s">
        <v>176</v>
      </c>
      <c r="AW6" s="5" t="s">
        <v>171</v>
      </c>
      <c r="AX6" s="5" t="s">
        <v>172</v>
      </c>
      <c r="AY6" s="16" t="s">
        <v>173</v>
      </c>
      <c r="AZ6" s="16" t="s">
        <v>174</v>
      </c>
      <c r="BA6" s="16" t="s">
        <v>167</v>
      </c>
      <c r="BB6" s="16" t="s">
        <v>335</v>
      </c>
      <c r="BC6" s="72" t="s">
        <v>349</v>
      </c>
      <c r="BD6" s="214" t="s">
        <v>176</v>
      </c>
      <c r="BE6" s="5" t="s">
        <v>171</v>
      </c>
      <c r="BF6" s="5" t="s">
        <v>172</v>
      </c>
      <c r="BG6" s="16" t="s">
        <v>173</v>
      </c>
      <c r="BH6" s="16" t="s">
        <v>174</v>
      </c>
      <c r="BI6" s="16" t="s">
        <v>167</v>
      </c>
      <c r="BJ6" s="16" t="s">
        <v>335</v>
      </c>
      <c r="BK6" s="72" t="s">
        <v>349</v>
      </c>
      <c r="BL6" s="214" t="s">
        <v>176</v>
      </c>
      <c r="BM6" s="5" t="s">
        <v>171</v>
      </c>
      <c r="BN6" s="5" t="s">
        <v>172</v>
      </c>
      <c r="BO6" s="16" t="s">
        <v>173</v>
      </c>
      <c r="BP6" s="16" t="s">
        <v>174</v>
      </c>
      <c r="BQ6" s="16" t="s">
        <v>167</v>
      </c>
      <c r="BR6" s="16" t="s">
        <v>335</v>
      </c>
      <c r="BS6" s="72" t="s">
        <v>349</v>
      </c>
      <c r="BT6" s="71" t="s">
        <v>176</v>
      </c>
      <c r="BU6" s="5" t="s">
        <v>171</v>
      </c>
      <c r="BV6" s="5" t="s">
        <v>172</v>
      </c>
      <c r="BW6" s="16" t="s">
        <v>173</v>
      </c>
      <c r="BX6" s="16" t="s">
        <v>174</v>
      </c>
      <c r="BY6" s="16" t="s">
        <v>167</v>
      </c>
      <c r="BZ6" s="16" t="s">
        <v>335</v>
      </c>
      <c r="CA6" s="72" t="s">
        <v>349</v>
      </c>
      <c r="CB6" s="71" t="s">
        <v>176</v>
      </c>
      <c r="CC6" s="5" t="s">
        <v>171</v>
      </c>
      <c r="CD6" s="5" t="s">
        <v>172</v>
      </c>
      <c r="CE6" s="16" t="s">
        <v>173</v>
      </c>
      <c r="CF6" s="16" t="s">
        <v>174</v>
      </c>
      <c r="CG6" s="16" t="s">
        <v>167</v>
      </c>
      <c r="CH6" s="16" t="s">
        <v>335</v>
      </c>
      <c r="CI6" s="72" t="s">
        <v>349</v>
      </c>
      <c r="CJ6" s="71" t="s">
        <v>176</v>
      </c>
      <c r="CK6" s="5" t="s">
        <v>171</v>
      </c>
      <c r="CL6" s="5" t="s">
        <v>172</v>
      </c>
      <c r="CM6" s="16" t="s">
        <v>173</v>
      </c>
      <c r="CN6" s="16" t="s">
        <v>174</v>
      </c>
      <c r="CO6" s="16" t="s">
        <v>167</v>
      </c>
      <c r="CP6" s="16" t="s">
        <v>335</v>
      </c>
      <c r="CQ6" s="72" t="s">
        <v>349</v>
      </c>
      <c r="CR6" s="71" t="s">
        <v>176</v>
      </c>
      <c r="CS6" s="5" t="s">
        <v>171</v>
      </c>
      <c r="CT6" s="5" t="s">
        <v>172</v>
      </c>
      <c r="CU6" s="16" t="s">
        <v>173</v>
      </c>
      <c r="CV6" s="16" t="s">
        <v>174</v>
      </c>
      <c r="CW6" s="16" t="s">
        <v>167</v>
      </c>
      <c r="CX6" s="16" t="s">
        <v>335</v>
      </c>
      <c r="CY6" s="16" t="s">
        <v>349</v>
      </c>
      <c r="CZ6" s="280"/>
    </row>
    <row r="7" spans="1:107" ht="26.25" customHeight="1" x14ac:dyDescent="0.4">
      <c r="A7" s="379">
        <v>1</v>
      </c>
      <c r="B7" s="379" t="s">
        <v>46</v>
      </c>
      <c r="C7" s="379" t="s">
        <v>14</v>
      </c>
      <c r="D7" s="381" t="s">
        <v>425</v>
      </c>
      <c r="E7" s="381" t="s">
        <v>422</v>
      </c>
      <c r="F7" s="381" t="s">
        <v>423</v>
      </c>
      <c r="G7" s="525" t="s">
        <v>424</v>
      </c>
      <c r="H7" s="489">
        <f>SUM(AH7:AM7)</f>
        <v>0.30303030303030304</v>
      </c>
      <c r="I7" s="489">
        <f>SUM(AH8:AM8)</f>
        <v>0.11818181818181819</v>
      </c>
      <c r="J7" s="12"/>
      <c r="K7" s="13"/>
      <c r="L7" s="13"/>
      <c r="M7" s="523"/>
      <c r="N7" s="17" t="s">
        <v>88</v>
      </c>
      <c r="O7" s="187">
        <f t="shared" ref="O7:U24" si="0">(0)/120</f>
        <v>0</v>
      </c>
      <c r="P7" s="187">
        <f>(0)/120</f>
        <v>0</v>
      </c>
      <c r="Q7" s="187">
        <f>(15)/120</f>
        <v>0.125</v>
      </c>
      <c r="R7" s="187">
        <f>(12.5)/120</f>
        <v>0.10416666666666667</v>
      </c>
      <c r="S7" s="187">
        <f>(12.5)/120</f>
        <v>0.10416666666666667</v>
      </c>
      <c r="T7" s="187">
        <f>(15)/120</f>
        <v>0.125</v>
      </c>
      <c r="U7" s="82">
        <f t="shared" ref="Q7:U21" si="1">(0)/120</f>
        <v>0</v>
      </c>
      <c r="V7" s="19">
        <f t="shared" ref="V7:AA16" si="2">(0)/142.5</f>
        <v>0</v>
      </c>
      <c r="W7" s="187">
        <f t="shared" si="2"/>
        <v>0</v>
      </c>
      <c r="X7" s="187">
        <f>(10)/142.5</f>
        <v>7.0175438596491224E-2</v>
      </c>
      <c r="Y7" s="187">
        <f t="shared" si="2"/>
        <v>0</v>
      </c>
      <c r="Z7" s="187">
        <f>(10)/142.5</f>
        <v>7.0175438596491224E-2</v>
      </c>
      <c r="AA7" s="187">
        <f>(10)/142.5</f>
        <v>7.0175438596491224E-2</v>
      </c>
      <c r="AB7" s="73">
        <f>(0)/165</f>
        <v>0</v>
      </c>
      <c r="AC7" s="187">
        <f>(0)/165</f>
        <v>0</v>
      </c>
      <c r="AD7" s="187">
        <f>(10)/165</f>
        <v>6.0606060606060608E-2</v>
      </c>
      <c r="AE7" s="187">
        <f>(15)/165</f>
        <v>9.0909090909090912E-2</v>
      </c>
      <c r="AF7" s="187">
        <f>(5)/165</f>
        <v>3.0303030303030304E-2</v>
      </c>
      <c r="AG7" s="187">
        <f>(15)/165</f>
        <v>9.0909090909090912E-2</v>
      </c>
      <c r="AH7" s="73">
        <f t="shared" ref="AH7:AM49" si="3">(0)/165</f>
        <v>0</v>
      </c>
      <c r="AI7" s="187">
        <f t="shared" ref="AI7:AM7" si="4">(10)/165</f>
        <v>6.0606060606060608E-2</v>
      </c>
      <c r="AJ7" s="187">
        <f t="shared" si="4"/>
        <v>6.0606060606060608E-2</v>
      </c>
      <c r="AK7" s="187">
        <f t="shared" si="4"/>
        <v>6.0606060606060608E-2</v>
      </c>
      <c r="AL7" s="187">
        <f t="shared" si="4"/>
        <v>6.0606060606060608E-2</v>
      </c>
      <c r="AM7" s="187">
        <f t="shared" si="4"/>
        <v>6.0606060606060608E-2</v>
      </c>
      <c r="AN7" s="73">
        <f t="shared" ref="AN7:AN16" si="5">0/157.5</f>
        <v>0</v>
      </c>
      <c r="AO7" s="187">
        <f t="shared" ref="AO7:AR22" si="6">0/157.5</f>
        <v>0</v>
      </c>
      <c r="AP7" s="187">
        <f t="shared" si="6"/>
        <v>0</v>
      </c>
      <c r="AQ7" s="187">
        <f t="shared" si="6"/>
        <v>0</v>
      </c>
      <c r="AR7" s="187">
        <f t="shared" si="6"/>
        <v>0</v>
      </c>
      <c r="AS7" s="187">
        <f t="shared" ref="AS7:AU22" si="7">0/165</f>
        <v>0</v>
      </c>
      <c r="AT7" s="187">
        <f t="shared" si="7"/>
        <v>0</v>
      </c>
      <c r="AU7" s="221">
        <f t="shared" si="7"/>
        <v>0</v>
      </c>
      <c r="AV7" s="222">
        <f>0/172.5</f>
        <v>0</v>
      </c>
      <c r="AW7" s="10">
        <f>0/172.5</f>
        <v>0</v>
      </c>
      <c r="AX7" s="187">
        <f t="shared" ref="AX7:BC22" si="8">0/172.5</f>
        <v>0</v>
      </c>
      <c r="AY7" s="187">
        <f t="shared" si="8"/>
        <v>0</v>
      </c>
      <c r="AZ7" s="187">
        <f t="shared" si="8"/>
        <v>0</v>
      </c>
      <c r="BA7" s="187">
        <f t="shared" si="8"/>
        <v>0</v>
      </c>
      <c r="BB7" s="187">
        <f t="shared" si="8"/>
        <v>0</v>
      </c>
      <c r="BC7" s="17">
        <f>0/172.5</f>
        <v>0</v>
      </c>
      <c r="BD7" s="19">
        <f t="shared" ref="BD7:BE16" si="9">0/142.5</f>
        <v>0</v>
      </c>
      <c r="BE7" s="10">
        <f t="shared" si="9"/>
        <v>0</v>
      </c>
      <c r="BF7" s="187">
        <f t="shared" ref="BF7:BH22" si="10">0/142.5</f>
        <v>0</v>
      </c>
      <c r="BG7" s="187">
        <f t="shared" si="10"/>
        <v>0</v>
      </c>
      <c r="BH7" s="187">
        <f t="shared" si="10"/>
        <v>0</v>
      </c>
      <c r="BI7" s="187">
        <f t="shared" ref="BI7:BK22" si="11">0/172.5</f>
        <v>0</v>
      </c>
      <c r="BJ7" s="187">
        <f t="shared" si="11"/>
        <v>0</v>
      </c>
      <c r="BK7" s="17">
        <f>0/172.5</f>
        <v>0</v>
      </c>
      <c r="BL7" s="19">
        <f t="shared" ref="BL7:BP16" si="12">0/142.5</f>
        <v>0</v>
      </c>
      <c r="BM7" s="10">
        <f t="shared" si="12"/>
        <v>0</v>
      </c>
      <c r="BN7" s="187">
        <f t="shared" si="12"/>
        <v>0</v>
      </c>
      <c r="BO7" s="187">
        <f t="shared" si="12"/>
        <v>0</v>
      </c>
      <c r="BP7" s="187">
        <f t="shared" si="12"/>
        <v>0</v>
      </c>
      <c r="BQ7" s="187">
        <f t="shared" ref="BQ7:BS22" si="13">0/172.5</f>
        <v>0</v>
      </c>
      <c r="BR7" s="187">
        <f t="shared" si="13"/>
        <v>0</v>
      </c>
      <c r="BS7" s="17">
        <f>0/172.5</f>
        <v>0</v>
      </c>
      <c r="BT7" s="19">
        <f t="shared" ref="BT7:CB8" si="14">0/157.5</f>
        <v>0</v>
      </c>
      <c r="BU7" s="10">
        <f t="shared" si="14"/>
        <v>0</v>
      </c>
      <c r="BV7" s="187">
        <f t="shared" si="14"/>
        <v>0</v>
      </c>
      <c r="BW7" s="187">
        <f t="shared" si="14"/>
        <v>0</v>
      </c>
      <c r="BX7" s="187">
        <f t="shared" si="14"/>
        <v>0</v>
      </c>
      <c r="BY7" s="187">
        <f t="shared" ref="BY7:CA22" si="15">0/172.5</f>
        <v>0</v>
      </c>
      <c r="BZ7" s="187">
        <f t="shared" si="15"/>
        <v>0</v>
      </c>
      <c r="CA7" s="17">
        <f>0/172.5</f>
        <v>0</v>
      </c>
      <c r="CB7" s="73">
        <f t="shared" si="14"/>
        <v>0</v>
      </c>
      <c r="CC7" s="187">
        <f t="shared" ref="CC7:CF22" si="16">0/157.5</f>
        <v>0</v>
      </c>
      <c r="CD7" s="187">
        <f t="shared" si="16"/>
        <v>0</v>
      </c>
      <c r="CE7" s="187">
        <f t="shared" si="16"/>
        <v>0</v>
      </c>
      <c r="CF7" s="187">
        <f t="shared" si="16"/>
        <v>0</v>
      </c>
      <c r="CG7" s="187">
        <f t="shared" ref="CG7:CI22" si="17">0/172.5</f>
        <v>0</v>
      </c>
      <c r="CH7" s="187">
        <f t="shared" si="17"/>
        <v>0</v>
      </c>
      <c r="CI7" s="17">
        <f>0/172.5</f>
        <v>0</v>
      </c>
      <c r="CJ7" s="19">
        <f t="shared" ref="CJ7:CN16" si="18">0/157.5</f>
        <v>0</v>
      </c>
      <c r="CK7" s="10">
        <f t="shared" si="18"/>
        <v>0</v>
      </c>
      <c r="CL7" s="187">
        <f t="shared" si="18"/>
        <v>0</v>
      </c>
      <c r="CM7" s="187">
        <f t="shared" si="18"/>
        <v>0</v>
      </c>
      <c r="CN7" s="187">
        <f t="shared" si="18"/>
        <v>0</v>
      </c>
      <c r="CO7" s="187">
        <f t="shared" ref="CO7:CQ22" si="19">0/172.5</f>
        <v>0</v>
      </c>
      <c r="CP7" s="187">
        <f t="shared" si="19"/>
        <v>0</v>
      </c>
      <c r="CQ7" s="17">
        <f>0/172.5</f>
        <v>0</v>
      </c>
      <c r="CR7" s="19">
        <f t="shared" ref="CR7:CV16" si="20">0/142.5</f>
        <v>0</v>
      </c>
      <c r="CS7" s="10">
        <f t="shared" si="20"/>
        <v>0</v>
      </c>
      <c r="CT7" s="10">
        <f t="shared" si="20"/>
        <v>0</v>
      </c>
      <c r="CU7" s="10">
        <f t="shared" si="20"/>
        <v>0</v>
      </c>
      <c r="CV7" s="10">
        <f t="shared" si="20"/>
        <v>0</v>
      </c>
      <c r="CW7" s="187">
        <f t="shared" ref="CW7:CY22" si="21">0/172.5</f>
        <v>0</v>
      </c>
      <c r="CX7" s="187">
        <f t="shared" si="21"/>
        <v>0</v>
      </c>
      <c r="CY7" s="17">
        <f>0/172.5</f>
        <v>0</v>
      </c>
      <c r="CZ7" s="278"/>
    </row>
    <row r="8" spans="1:107" ht="26.25" customHeight="1" x14ac:dyDescent="0.4">
      <c r="A8" s="380"/>
      <c r="B8" s="380"/>
      <c r="C8" s="380"/>
      <c r="D8" s="382"/>
      <c r="E8" s="382"/>
      <c r="F8" s="382"/>
      <c r="G8" s="526"/>
      <c r="H8" s="490"/>
      <c r="I8" s="490"/>
      <c r="J8" s="14"/>
      <c r="K8" s="15"/>
      <c r="L8" s="15"/>
      <c r="M8" s="524"/>
      <c r="N8" s="11" t="s">
        <v>89</v>
      </c>
      <c r="O8" s="207">
        <f>(0)/120</f>
        <v>0</v>
      </c>
      <c r="P8" s="207">
        <f>(0)/120</f>
        <v>0</v>
      </c>
      <c r="Q8" s="207">
        <f>(2+4)/120</f>
        <v>0.05</v>
      </c>
      <c r="R8" s="207">
        <f>(0+6+4)/120</f>
        <v>8.3333333333333329E-2</v>
      </c>
      <c r="S8" s="207">
        <f>(0+6)/120</f>
        <v>0.05</v>
      </c>
      <c r="T8" s="207">
        <f>(2+4+7+4)/120</f>
        <v>0.14166666666666666</v>
      </c>
      <c r="U8" s="49">
        <f>(0+10)/120</f>
        <v>8.3333333333333329E-2</v>
      </c>
      <c r="V8" s="57">
        <f t="shared" si="2"/>
        <v>0</v>
      </c>
      <c r="W8" s="207">
        <f t="shared" si="2"/>
        <v>0</v>
      </c>
      <c r="X8" s="207">
        <f>(0+6+4+2+1)/142.5</f>
        <v>9.1228070175438603E-2</v>
      </c>
      <c r="Y8" s="207">
        <f t="shared" ref="Y8:Y32" si="22">(0)/142.5</f>
        <v>0</v>
      </c>
      <c r="Z8" s="207">
        <f>(0+6+2)/142.5</f>
        <v>5.6140350877192984E-2</v>
      </c>
      <c r="AA8" s="207">
        <f>(0+3+2+2)/142.5</f>
        <v>4.912280701754386E-2</v>
      </c>
      <c r="AB8" s="57">
        <f>(0)/165</f>
        <v>0</v>
      </c>
      <c r="AC8" s="207">
        <f>(0+6+4)/165</f>
        <v>6.0606060606060608E-2</v>
      </c>
      <c r="AD8" s="207">
        <f>(0+6+1)/165</f>
        <v>4.2424242424242427E-2</v>
      </c>
      <c r="AE8" s="207">
        <f>(6+4)/165</f>
        <v>6.0606060606060608E-2</v>
      </c>
      <c r="AF8" s="207">
        <f>(0+2.5)/165</f>
        <v>1.5151515151515152E-2</v>
      </c>
      <c r="AG8" s="207">
        <f>(9+2+3)/165</f>
        <v>8.4848484848484854E-2</v>
      </c>
      <c r="AH8" s="57">
        <f t="shared" si="3"/>
        <v>0</v>
      </c>
      <c r="AI8" s="207">
        <f t="shared" si="3"/>
        <v>0</v>
      </c>
      <c r="AJ8" s="207">
        <f t="shared" si="3"/>
        <v>0</v>
      </c>
      <c r="AK8" s="207">
        <f>(1.5+2.5+6)/165</f>
        <v>6.0606060606060608E-2</v>
      </c>
      <c r="AL8" s="207">
        <f>(1.5+1)/165</f>
        <v>1.5151515151515152E-2</v>
      </c>
      <c r="AM8" s="207">
        <f>(3+4)/165</f>
        <v>4.2424242424242427E-2</v>
      </c>
      <c r="AN8" s="57">
        <f t="shared" si="5"/>
        <v>0</v>
      </c>
      <c r="AO8" s="207">
        <f t="shared" si="6"/>
        <v>0</v>
      </c>
      <c r="AP8" s="207">
        <f t="shared" si="6"/>
        <v>0</v>
      </c>
      <c r="AQ8" s="207">
        <f>0/157.5</f>
        <v>0</v>
      </c>
      <c r="AR8" s="207">
        <f>0/157.5</f>
        <v>0</v>
      </c>
      <c r="AS8" s="207">
        <f t="shared" si="7"/>
        <v>0</v>
      </c>
      <c r="AT8" s="207">
        <f t="shared" si="7"/>
        <v>0</v>
      </c>
      <c r="AU8" s="49">
        <f t="shared" si="7"/>
        <v>0</v>
      </c>
      <c r="AV8" s="63">
        <f>0/172.5</f>
        <v>0</v>
      </c>
      <c r="AW8" s="59">
        <f>0/172.5</f>
        <v>0</v>
      </c>
      <c r="AX8" s="59">
        <f>0/172.5</f>
        <v>0</v>
      </c>
      <c r="AY8" s="59">
        <f>0/172.5</f>
        <v>0</v>
      </c>
      <c r="AZ8" s="208">
        <f>0/172.5</f>
        <v>0</v>
      </c>
      <c r="BA8" s="208">
        <f>0/172.5</f>
        <v>0</v>
      </c>
      <c r="BB8" s="208">
        <f>0/172.5</f>
        <v>0</v>
      </c>
      <c r="BC8" s="64">
        <f>0/172.5</f>
        <v>0</v>
      </c>
      <c r="BD8" s="63">
        <f t="shared" si="9"/>
        <v>0</v>
      </c>
      <c r="BE8" s="59">
        <f t="shared" si="9"/>
        <v>0</v>
      </c>
      <c r="BF8" s="208">
        <f t="shared" si="10"/>
        <v>0</v>
      </c>
      <c r="BG8" s="208">
        <f t="shared" si="10"/>
        <v>0</v>
      </c>
      <c r="BH8" s="208">
        <f t="shared" si="10"/>
        <v>0</v>
      </c>
      <c r="BI8" s="208">
        <f>0/172.5</f>
        <v>0</v>
      </c>
      <c r="BJ8" s="208">
        <f>0/172.5</f>
        <v>0</v>
      </c>
      <c r="BK8" s="64">
        <f>0/172.5</f>
        <v>0</v>
      </c>
      <c r="BL8" s="63">
        <f t="shared" si="12"/>
        <v>0</v>
      </c>
      <c r="BM8" s="59">
        <f t="shared" si="12"/>
        <v>0</v>
      </c>
      <c r="BN8" s="208">
        <f t="shared" si="12"/>
        <v>0</v>
      </c>
      <c r="BO8" s="208">
        <f t="shared" si="12"/>
        <v>0</v>
      </c>
      <c r="BP8" s="208">
        <f t="shared" si="12"/>
        <v>0</v>
      </c>
      <c r="BQ8" s="208">
        <f>0/172.5</f>
        <v>0</v>
      </c>
      <c r="BR8" s="208">
        <f>0/172.5</f>
        <v>0</v>
      </c>
      <c r="BS8" s="64">
        <f>0/172.5</f>
        <v>0</v>
      </c>
      <c r="BT8" s="63">
        <f t="shared" si="14"/>
        <v>0</v>
      </c>
      <c r="BU8" s="59">
        <f t="shared" si="14"/>
        <v>0</v>
      </c>
      <c r="BV8" s="59">
        <f t="shared" si="14"/>
        <v>0</v>
      </c>
      <c r="BW8" s="59">
        <f t="shared" si="14"/>
        <v>0</v>
      </c>
      <c r="BX8" s="59">
        <f t="shared" si="14"/>
        <v>0</v>
      </c>
      <c r="BY8" s="208">
        <f>0/172.5</f>
        <v>0</v>
      </c>
      <c r="BZ8" s="208">
        <f>0/172.5</f>
        <v>0</v>
      </c>
      <c r="CA8" s="64">
        <f>0/172.5</f>
        <v>0</v>
      </c>
      <c r="CB8" s="63">
        <f t="shared" si="14"/>
        <v>0</v>
      </c>
      <c r="CC8" s="59">
        <f>0/157.5</f>
        <v>0</v>
      </c>
      <c r="CD8" s="208">
        <f t="shared" si="16"/>
        <v>0</v>
      </c>
      <c r="CE8" s="208">
        <f t="shared" si="16"/>
        <v>0</v>
      </c>
      <c r="CF8" s="208">
        <f t="shared" si="16"/>
        <v>0</v>
      </c>
      <c r="CG8" s="208">
        <f>0/172.5</f>
        <v>0</v>
      </c>
      <c r="CH8" s="208">
        <f>0/172.5</f>
        <v>0</v>
      </c>
      <c r="CI8" s="64">
        <f>0/172.5</f>
        <v>0</v>
      </c>
      <c r="CJ8" s="63">
        <f t="shared" si="18"/>
        <v>0</v>
      </c>
      <c r="CK8" s="59">
        <f t="shared" si="18"/>
        <v>0</v>
      </c>
      <c r="CL8" s="208">
        <f t="shared" si="18"/>
        <v>0</v>
      </c>
      <c r="CM8" s="208">
        <f t="shared" si="18"/>
        <v>0</v>
      </c>
      <c r="CN8" s="208">
        <f t="shared" si="18"/>
        <v>0</v>
      </c>
      <c r="CO8" s="208">
        <f>0/172.5</f>
        <v>0</v>
      </c>
      <c r="CP8" s="208">
        <f>0/172.5</f>
        <v>0</v>
      </c>
      <c r="CQ8" s="64">
        <f>0/172.5</f>
        <v>0</v>
      </c>
      <c r="CR8" s="63">
        <f t="shared" si="20"/>
        <v>0</v>
      </c>
      <c r="CS8" s="59">
        <f t="shared" si="20"/>
        <v>0</v>
      </c>
      <c r="CT8" s="59">
        <f t="shared" si="20"/>
        <v>0</v>
      </c>
      <c r="CU8" s="59">
        <f t="shared" si="20"/>
        <v>0</v>
      </c>
      <c r="CV8" s="59">
        <f t="shared" si="20"/>
        <v>0</v>
      </c>
      <c r="CW8" s="208">
        <f>0/172.5</f>
        <v>0</v>
      </c>
      <c r="CX8" s="208">
        <f>0/172.5</f>
        <v>0</v>
      </c>
      <c r="CY8" s="64">
        <f>0/172.5</f>
        <v>0</v>
      </c>
      <c r="CZ8" s="278"/>
    </row>
    <row r="9" spans="1:107" ht="26.25" hidden="1" customHeight="1" outlineLevel="1" x14ac:dyDescent="0.4">
      <c r="A9" s="379">
        <v>2</v>
      </c>
      <c r="B9" s="379" t="s">
        <v>47</v>
      </c>
      <c r="C9" s="379" t="s">
        <v>14</v>
      </c>
      <c r="D9" s="381" t="s">
        <v>426</v>
      </c>
      <c r="E9" s="381" t="s">
        <v>427</v>
      </c>
      <c r="F9" s="381"/>
      <c r="G9" s="525" t="s">
        <v>428</v>
      </c>
      <c r="H9" s="489">
        <f>SUM(V9:AA9)</f>
        <v>0</v>
      </c>
      <c r="I9" s="489">
        <f>SUM(V10:AA10)</f>
        <v>0</v>
      </c>
      <c r="J9" s="12"/>
      <c r="K9" s="13"/>
      <c r="L9" s="13"/>
      <c r="M9" s="516"/>
      <c r="N9" s="10" t="s">
        <v>88</v>
      </c>
      <c r="O9" s="187">
        <f>(2.5)/120</f>
        <v>2.0833333333333332E-2</v>
      </c>
      <c r="P9" s="187">
        <f t="shared" si="0"/>
        <v>0</v>
      </c>
      <c r="Q9" s="187">
        <f>(2.5)/120</f>
        <v>2.0833333333333332E-2</v>
      </c>
      <c r="R9" s="187">
        <f t="shared" si="1"/>
        <v>0</v>
      </c>
      <c r="S9" s="187">
        <f t="shared" si="1"/>
        <v>0</v>
      </c>
      <c r="T9" s="187">
        <f t="shared" si="1"/>
        <v>0</v>
      </c>
      <c r="U9" s="82">
        <f t="shared" si="1"/>
        <v>0</v>
      </c>
      <c r="V9" s="19">
        <f t="shared" si="2"/>
        <v>0</v>
      </c>
      <c r="W9" s="187">
        <f t="shared" si="2"/>
        <v>0</v>
      </c>
      <c r="X9" s="187">
        <f t="shared" ref="X9:X16" si="23">(0)/142.5</f>
        <v>0</v>
      </c>
      <c r="Y9" s="187">
        <f t="shared" si="22"/>
        <v>0</v>
      </c>
      <c r="Z9" s="187">
        <f t="shared" ref="Z9:AA24" si="24">(0)/142.5</f>
        <v>0</v>
      </c>
      <c r="AA9" s="187">
        <f t="shared" si="24"/>
        <v>0</v>
      </c>
      <c r="AB9" s="73">
        <f t="shared" ref="AB9:AB16" si="25">0/165</f>
        <v>0</v>
      </c>
      <c r="AC9" s="187">
        <f t="shared" ref="AC9:AG22" si="26">0/165</f>
        <v>0</v>
      </c>
      <c r="AD9" s="187">
        <f t="shared" si="26"/>
        <v>0</v>
      </c>
      <c r="AE9" s="187">
        <f t="shared" si="26"/>
        <v>0</v>
      </c>
      <c r="AF9" s="187">
        <f t="shared" si="26"/>
        <v>0</v>
      </c>
      <c r="AG9" s="221">
        <f t="shared" si="26"/>
        <v>0</v>
      </c>
      <c r="AH9" s="73">
        <f t="shared" si="3"/>
        <v>0</v>
      </c>
      <c r="AI9" s="187">
        <f t="shared" si="3"/>
        <v>0</v>
      </c>
      <c r="AJ9" s="187">
        <f t="shared" si="3"/>
        <v>0</v>
      </c>
      <c r="AK9" s="187">
        <f t="shared" si="3"/>
        <v>0</v>
      </c>
      <c r="AL9" s="187">
        <f t="shared" si="3"/>
        <v>0</v>
      </c>
      <c r="AM9" s="187">
        <f t="shared" si="3"/>
        <v>0</v>
      </c>
      <c r="AN9" s="73">
        <f t="shared" si="5"/>
        <v>0</v>
      </c>
      <c r="AO9" s="187">
        <f t="shared" si="6"/>
        <v>0</v>
      </c>
      <c r="AP9" s="187">
        <f t="shared" si="6"/>
        <v>0</v>
      </c>
      <c r="AQ9" s="187">
        <f t="shared" si="6"/>
        <v>0</v>
      </c>
      <c r="AR9" s="187">
        <f t="shared" si="6"/>
        <v>0</v>
      </c>
      <c r="AS9" s="187">
        <f t="shared" si="7"/>
        <v>0</v>
      </c>
      <c r="AT9" s="187">
        <f t="shared" si="7"/>
        <v>0</v>
      </c>
      <c r="AU9" s="221">
        <f t="shared" si="7"/>
        <v>0</v>
      </c>
      <c r="AV9" s="222">
        <f t="shared" ref="AV9:BC40" si="27">0/172.5</f>
        <v>0</v>
      </c>
      <c r="AW9" s="187">
        <f t="shared" si="27"/>
        <v>0</v>
      </c>
      <c r="AX9" s="187">
        <f t="shared" si="8"/>
        <v>0</v>
      </c>
      <c r="AY9" s="187">
        <f t="shared" si="8"/>
        <v>0</v>
      </c>
      <c r="AZ9" s="187">
        <f t="shared" si="8"/>
        <v>0</v>
      </c>
      <c r="BA9" s="187">
        <f t="shared" si="8"/>
        <v>0</v>
      </c>
      <c r="BB9" s="187">
        <f t="shared" si="8"/>
        <v>0</v>
      </c>
      <c r="BC9" s="17">
        <f t="shared" si="8"/>
        <v>0</v>
      </c>
      <c r="BD9" s="19">
        <f t="shared" si="9"/>
        <v>0</v>
      </c>
      <c r="BE9" s="187">
        <f t="shared" si="9"/>
        <v>0</v>
      </c>
      <c r="BF9" s="187">
        <f t="shared" si="10"/>
        <v>0</v>
      </c>
      <c r="BG9" s="187">
        <f t="shared" si="10"/>
        <v>0</v>
      </c>
      <c r="BH9" s="187">
        <f t="shared" si="10"/>
        <v>0</v>
      </c>
      <c r="BI9" s="187">
        <f t="shared" si="11"/>
        <v>0</v>
      </c>
      <c r="BJ9" s="187">
        <f t="shared" si="11"/>
        <v>0</v>
      </c>
      <c r="BK9" s="17">
        <f t="shared" si="11"/>
        <v>0</v>
      </c>
      <c r="BL9" s="19">
        <f t="shared" si="12"/>
        <v>0</v>
      </c>
      <c r="BM9" s="187">
        <f t="shared" si="12"/>
        <v>0</v>
      </c>
      <c r="BN9" s="187">
        <f t="shared" si="12"/>
        <v>0</v>
      </c>
      <c r="BO9" s="187">
        <f t="shared" si="12"/>
        <v>0</v>
      </c>
      <c r="BP9" s="187">
        <f t="shared" si="12"/>
        <v>0</v>
      </c>
      <c r="BQ9" s="187">
        <f t="shared" si="13"/>
        <v>0</v>
      </c>
      <c r="BR9" s="187">
        <f t="shared" si="13"/>
        <v>0</v>
      </c>
      <c r="BS9" s="17">
        <f t="shared" si="13"/>
        <v>0</v>
      </c>
      <c r="BT9" s="19">
        <f t="shared" ref="BT9:BX18" si="28">0/157.5</f>
        <v>0</v>
      </c>
      <c r="BU9" s="187">
        <f t="shared" si="28"/>
        <v>0</v>
      </c>
      <c r="BV9" s="187">
        <f t="shared" si="28"/>
        <v>0</v>
      </c>
      <c r="BW9" s="187">
        <f t="shared" si="28"/>
        <v>0</v>
      </c>
      <c r="BX9" s="187">
        <f t="shared" si="28"/>
        <v>0</v>
      </c>
      <c r="BY9" s="187">
        <f t="shared" si="15"/>
        <v>0</v>
      </c>
      <c r="BZ9" s="187">
        <f t="shared" si="15"/>
        <v>0</v>
      </c>
      <c r="CA9" s="17">
        <f t="shared" si="15"/>
        <v>0</v>
      </c>
      <c r="CB9" s="73">
        <f t="shared" ref="CB9:CF40" si="29">0/157.5</f>
        <v>0</v>
      </c>
      <c r="CC9" s="187">
        <f t="shared" si="16"/>
        <v>0</v>
      </c>
      <c r="CD9" s="187">
        <f t="shared" si="16"/>
        <v>0</v>
      </c>
      <c r="CE9" s="187">
        <f t="shared" si="16"/>
        <v>0</v>
      </c>
      <c r="CF9" s="187">
        <f t="shared" si="16"/>
        <v>0</v>
      </c>
      <c r="CG9" s="187">
        <f t="shared" si="17"/>
        <v>0</v>
      </c>
      <c r="CH9" s="187">
        <f t="shared" si="17"/>
        <v>0</v>
      </c>
      <c r="CI9" s="17">
        <f t="shared" si="17"/>
        <v>0</v>
      </c>
      <c r="CJ9" s="19">
        <f t="shared" si="18"/>
        <v>0</v>
      </c>
      <c r="CK9" s="187">
        <f t="shared" si="18"/>
        <v>0</v>
      </c>
      <c r="CL9" s="187">
        <f t="shared" si="18"/>
        <v>0</v>
      </c>
      <c r="CM9" s="187">
        <f t="shared" si="18"/>
        <v>0</v>
      </c>
      <c r="CN9" s="187">
        <f t="shared" si="18"/>
        <v>0</v>
      </c>
      <c r="CO9" s="187">
        <f t="shared" si="19"/>
        <v>0</v>
      </c>
      <c r="CP9" s="187">
        <f t="shared" si="19"/>
        <v>0</v>
      </c>
      <c r="CQ9" s="17">
        <f t="shared" si="19"/>
        <v>0</v>
      </c>
      <c r="CR9" s="19">
        <f t="shared" si="20"/>
        <v>0</v>
      </c>
      <c r="CS9" s="187">
        <f t="shared" si="20"/>
        <v>0</v>
      </c>
      <c r="CT9" s="187">
        <f t="shared" si="20"/>
        <v>0</v>
      </c>
      <c r="CU9" s="187">
        <f t="shared" si="20"/>
        <v>0</v>
      </c>
      <c r="CV9" s="187">
        <f t="shared" si="20"/>
        <v>0</v>
      </c>
      <c r="CW9" s="187">
        <f t="shared" si="21"/>
        <v>0</v>
      </c>
      <c r="CX9" s="187">
        <f t="shared" si="21"/>
        <v>0</v>
      </c>
      <c r="CY9" s="17">
        <f t="shared" si="21"/>
        <v>0</v>
      </c>
      <c r="CZ9" s="278"/>
    </row>
    <row r="10" spans="1:107" ht="26.25" hidden="1" customHeight="1" outlineLevel="1" x14ac:dyDescent="0.4">
      <c r="A10" s="380"/>
      <c r="B10" s="380"/>
      <c r="C10" s="380"/>
      <c r="D10" s="382"/>
      <c r="E10" s="382"/>
      <c r="F10" s="382"/>
      <c r="G10" s="526"/>
      <c r="H10" s="490"/>
      <c r="I10" s="490"/>
      <c r="J10" s="14"/>
      <c r="K10" s="15"/>
      <c r="L10" s="15"/>
      <c r="M10" s="517"/>
      <c r="N10" s="11" t="s">
        <v>89</v>
      </c>
      <c r="O10" s="39">
        <f>(1+1)/120</f>
        <v>1.6666666666666666E-2</v>
      </c>
      <c r="P10" s="207">
        <f t="shared" si="0"/>
        <v>0</v>
      </c>
      <c r="Q10" s="207">
        <f>(1+0.5)/120</f>
        <v>1.2500000000000001E-2</v>
      </c>
      <c r="R10" s="207">
        <f t="shared" si="1"/>
        <v>0</v>
      </c>
      <c r="S10" s="207">
        <f t="shared" si="1"/>
        <v>0</v>
      </c>
      <c r="T10" s="207">
        <f t="shared" si="1"/>
        <v>0</v>
      </c>
      <c r="U10" s="49">
        <f t="shared" si="1"/>
        <v>0</v>
      </c>
      <c r="V10" s="57">
        <f t="shared" si="2"/>
        <v>0</v>
      </c>
      <c r="W10" s="207">
        <f t="shared" si="2"/>
        <v>0</v>
      </c>
      <c r="X10" s="207">
        <f t="shared" si="23"/>
        <v>0</v>
      </c>
      <c r="Y10" s="207">
        <f t="shared" si="22"/>
        <v>0</v>
      </c>
      <c r="Z10" s="207">
        <f t="shared" si="24"/>
        <v>0</v>
      </c>
      <c r="AA10" s="207">
        <f t="shared" si="24"/>
        <v>0</v>
      </c>
      <c r="AB10" s="57">
        <f t="shared" si="25"/>
        <v>0</v>
      </c>
      <c r="AC10" s="207">
        <f t="shared" ref="AC10:AC16" si="30">0/165</f>
        <v>0</v>
      </c>
      <c r="AD10" s="207">
        <f t="shared" si="26"/>
        <v>0</v>
      </c>
      <c r="AE10" s="207">
        <f t="shared" si="26"/>
        <v>0</v>
      </c>
      <c r="AF10" s="207">
        <f t="shared" si="26"/>
        <v>0</v>
      </c>
      <c r="AG10" s="49">
        <f t="shared" si="26"/>
        <v>0</v>
      </c>
      <c r="AH10" s="57">
        <f t="shared" si="3"/>
        <v>0</v>
      </c>
      <c r="AI10" s="207">
        <f t="shared" si="3"/>
        <v>0</v>
      </c>
      <c r="AJ10" s="207">
        <f t="shared" si="3"/>
        <v>0</v>
      </c>
      <c r="AK10" s="207">
        <f t="shared" si="3"/>
        <v>0</v>
      </c>
      <c r="AL10" s="207">
        <f t="shared" si="3"/>
        <v>0</v>
      </c>
      <c r="AM10" s="207">
        <f t="shared" si="3"/>
        <v>0</v>
      </c>
      <c r="AN10" s="57">
        <f t="shared" si="5"/>
        <v>0</v>
      </c>
      <c r="AO10" s="207">
        <f t="shared" si="6"/>
        <v>0</v>
      </c>
      <c r="AP10" s="207">
        <f t="shared" si="6"/>
        <v>0</v>
      </c>
      <c r="AQ10" s="207">
        <f>0/157.5</f>
        <v>0</v>
      </c>
      <c r="AR10" s="207">
        <f>0/157.5</f>
        <v>0</v>
      </c>
      <c r="AS10" s="207">
        <f t="shared" si="7"/>
        <v>0</v>
      </c>
      <c r="AT10" s="207">
        <f t="shared" si="7"/>
        <v>0</v>
      </c>
      <c r="AU10" s="49">
        <f t="shared" si="7"/>
        <v>0</v>
      </c>
      <c r="AV10" s="63">
        <f t="shared" si="27"/>
        <v>0</v>
      </c>
      <c r="AW10" s="208">
        <f t="shared" si="27"/>
        <v>0</v>
      </c>
      <c r="AX10" s="208">
        <f t="shared" si="8"/>
        <v>0</v>
      </c>
      <c r="AY10" s="208">
        <f t="shared" si="8"/>
        <v>0</v>
      </c>
      <c r="AZ10" s="208">
        <f t="shared" si="8"/>
        <v>0</v>
      </c>
      <c r="BA10" s="208">
        <f t="shared" si="8"/>
        <v>0</v>
      </c>
      <c r="BB10" s="208">
        <f t="shared" si="8"/>
        <v>0</v>
      </c>
      <c r="BC10" s="64">
        <f t="shared" si="8"/>
        <v>0</v>
      </c>
      <c r="BD10" s="63">
        <f t="shared" si="9"/>
        <v>0</v>
      </c>
      <c r="BE10" s="208">
        <f t="shared" si="9"/>
        <v>0</v>
      </c>
      <c r="BF10" s="208">
        <f t="shared" si="10"/>
        <v>0</v>
      </c>
      <c r="BG10" s="208">
        <f t="shared" si="10"/>
        <v>0</v>
      </c>
      <c r="BH10" s="208">
        <f t="shared" si="10"/>
        <v>0</v>
      </c>
      <c r="BI10" s="208">
        <f t="shared" si="11"/>
        <v>0</v>
      </c>
      <c r="BJ10" s="208">
        <f t="shared" si="11"/>
        <v>0</v>
      </c>
      <c r="BK10" s="64">
        <f t="shared" si="11"/>
        <v>0</v>
      </c>
      <c r="BL10" s="63">
        <f t="shared" si="12"/>
        <v>0</v>
      </c>
      <c r="BM10" s="208">
        <f t="shared" si="12"/>
        <v>0</v>
      </c>
      <c r="BN10" s="208">
        <f t="shared" si="12"/>
        <v>0</v>
      </c>
      <c r="BO10" s="208">
        <f t="shared" si="12"/>
        <v>0</v>
      </c>
      <c r="BP10" s="208">
        <f t="shared" si="12"/>
        <v>0</v>
      </c>
      <c r="BQ10" s="208">
        <f t="shared" si="13"/>
        <v>0</v>
      </c>
      <c r="BR10" s="208">
        <f t="shared" si="13"/>
        <v>0</v>
      </c>
      <c r="BS10" s="64">
        <f t="shared" si="13"/>
        <v>0</v>
      </c>
      <c r="BT10" s="63">
        <f t="shared" si="28"/>
        <v>0</v>
      </c>
      <c r="BU10" s="208">
        <f t="shared" si="28"/>
        <v>0</v>
      </c>
      <c r="BV10" s="208">
        <f t="shared" si="28"/>
        <v>0</v>
      </c>
      <c r="BW10" s="208">
        <f t="shared" si="28"/>
        <v>0</v>
      </c>
      <c r="BX10" s="208">
        <f t="shared" si="28"/>
        <v>0</v>
      </c>
      <c r="BY10" s="208">
        <f t="shared" si="15"/>
        <v>0</v>
      </c>
      <c r="BZ10" s="208">
        <f t="shared" si="15"/>
        <v>0</v>
      </c>
      <c r="CA10" s="64">
        <f t="shared" si="15"/>
        <v>0</v>
      </c>
      <c r="CB10" s="63">
        <f t="shared" si="29"/>
        <v>0</v>
      </c>
      <c r="CC10" s="208">
        <f t="shared" si="16"/>
        <v>0</v>
      </c>
      <c r="CD10" s="208">
        <f t="shared" si="16"/>
        <v>0</v>
      </c>
      <c r="CE10" s="208">
        <f t="shared" si="16"/>
        <v>0</v>
      </c>
      <c r="CF10" s="208">
        <f t="shared" si="16"/>
        <v>0</v>
      </c>
      <c r="CG10" s="208">
        <f t="shared" si="17"/>
        <v>0</v>
      </c>
      <c r="CH10" s="208">
        <f t="shared" si="17"/>
        <v>0</v>
      </c>
      <c r="CI10" s="64">
        <f t="shared" si="17"/>
        <v>0</v>
      </c>
      <c r="CJ10" s="63">
        <f t="shared" si="18"/>
        <v>0</v>
      </c>
      <c r="CK10" s="208">
        <f t="shared" si="18"/>
        <v>0</v>
      </c>
      <c r="CL10" s="208">
        <f t="shared" si="18"/>
        <v>0</v>
      </c>
      <c r="CM10" s="208">
        <f t="shared" si="18"/>
        <v>0</v>
      </c>
      <c r="CN10" s="208">
        <f t="shared" si="18"/>
        <v>0</v>
      </c>
      <c r="CO10" s="208">
        <f t="shared" si="19"/>
        <v>0</v>
      </c>
      <c r="CP10" s="208">
        <f t="shared" si="19"/>
        <v>0</v>
      </c>
      <c r="CQ10" s="64">
        <f t="shared" si="19"/>
        <v>0</v>
      </c>
      <c r="CR10" s="63">
        <f t="shared" si="20"/>
        <v>0</v>
      </c>
      <c r="CS10" s="208">
        <f t="shared" si="20"/>
        <v>0</v>
      </c>
      <c r="CT10" s="208">
        <f t="shared" si="20"/>
        <v>0</v>
      </c>
      <c r="CU10" s="208">
        <f t="shared" si="20"/>
        <v>0</v>
      </c>
      <c r="CV10" s="208">
        <f t="shared" si="20"/>
        <v>0</v>
      </c>
      <c r="CW10" s="208">
        <f t="shared" si="21"/>
        <v>0</v>
      </c>
      <c r="CX10" s="208">
        <f t="shared" si="21"/>
        <v>0</v>
      </c>
      <c r="CY10" s="64">
        <f t="shared" si="21"/>
        <v>0</v>
      </c>
      <c r="CZ10" s="278"/>
      <c r="DC10" s="50"/>
    </row>
    <row r="11" spans="1:107" ht="26.25" hidden="1" customHeight="1" outlineLevel="1" x14ac:dyDescent="0.4">
      <c r="A11" s="379">
        <v>3</v>
      </c>
      <c r="B11" s="379" t="s">
        <v>47</v>
      </c>
      <c r="C11" s="379" t="s">
        <v>14</v>
      </c>
      <c r="D11" s="381" t="s">
        <v>430</v>
      </c>
      <c r="E11" s="381" t="s">
        <v>431</v>
      </c>
      <c r="F11" s="381" t="s">
        <v>429</v>
      </c>
      <c r="G11" s="525" t="s">
        <v>432</v>
      </c>
      <c r="H11" s="489">
        <f t="shared" ref="H11" si="31">SUM(V11:AA11)</f>
        <v>0</v>
      </c>
      <c r="I11" s="489">
        <f t="shared" ref="I11" si="32">SUM(V12:AA12)</f>
        <v>0</v>
      </c>
      <c r="J11" s="12"/>
      <c r="K11" s="13"/>
      <c r="L11" s="13"/>
      <c r="M11" s="283"/>
      <c r="N11" s="48" t="s">
        <v>24</v>
      </c>
      <c r="O11" s="187">
        <f>(4)/120</f>
        <v>3.3333333333333333E-2</v>
      </c>
      <c r="P11" s="187">
        <f t="shared" si="0"/>
        <v>0</v>
      </c>
      <c r="Q11" s="187">
        <f>(38)/120</f>
        <v>0.31666666666666665</v>
      </c>
      <c r="R11" s="187">
        <f t="shared" si="1"/>
        <v>0</v>
      </c>
      <c r="S11" s="187">
        <f t="shared" si="1"/>
        <v>0</v>
      </c>
      <c r="T11" s="187">
        <f t="shared" si="1"/>
        <v>0</v>
      </c>
      <c r="U11" s="82">
        <f>(38)/120</f>
        <v>0.31666666666666665</v>
      </c>
      <c r="V11" s="19">
        <f t="shared" si="2"/>
        <v>0</v>
      </c>
      <c r="W11" s="187">
        <f t="shared" si="2"/>
        <v>0</v>
      </c>
      <c r="X11" s="187">
        <f t="shared" si="23"/>
        <v>0</v>
      </c>
      <c r="Y11" s="187">
        <f t="shared" si="22"/>
        <v>0</v>
      </c>
      <c r="Z11" s="187">
        <f t="shared" si="24"/>
        <v>0</v>
      </c>
      <c r="AA11" s="187">
        <f t="shared" si="24"/>
        <v>0</v>
      </c>
      <c r="AB11" s="73">
        <f t="shared" si="25"/>
        <v>0</v>
      </c>
      <c r="AC11" s="187">
        <f t="shared" si="30"/>
        <v>0</v>
      </c>
      <c r="AD11" s="187">
        <f t="shared" si="26"/>
        <v>0</v>
      </c>
      <c r="AE11" s="187">
        <f t="shared" si="26"/>
        <v>0</v>
      </c>
      <c r="AF11" s="187">
        <f t="shared" si="26"/>
        <v>0</v>
      </c>
      <c r="AG11" s="221">
        <f t="shared" si="26"/>
        <v>0</v>
      </c>
      <c r="AH11" s="73">
        <f t="shared" si="3"/>
        <v>0</v>
      </c>
      <c r="AI11" s="187">
        <f t="shared" si="3"/>
        <v>0</v>
      </c>
      <c r="AJ11" s="187">
        <f t="shared" si="3"/>
        <v>0</v>
      </c>
      <c r="AK11" s="187">
        <f t="shared" si="3"/>
        <v>0</v>
      </c>
      <c r="AL11" s="187">
        <f t="shared" si="3"/>
        <v>0</v>
      </c>
      <c r="AM11" s="187">
        <f t="shared" si="3"/>
        <v>0</v>
      </c>
      <c r="AN11" s="73">
        <f t="shared" si="5"/>
        <v>0</v>
      </c>
      <c r="AO11" s="187">
        <f t="shared" si="6"/>
        <v>0</v>
      </c>
      <c r="AP11" s="187">
        <f t="shared" si="6"/>
        <v>0</v>
      </c>
      <c r="AQ11" s="187">
        <f t="shared" si="6"/>
        <v>0</v>
      </c>
      <c r="AR11" s="187">
        <f t="shared" si="6"/>
        <v>0</v>
      </c>
      <c r="AS11" s="187">
        <f t="shared" si="7"/>
        <v>0</v>
      </c>
      <c r="AT11" s="187">
        <f t="shared" si="7"/>
        <v>0</v>
      </c>
      <c r="AU11" s="221">
        <f t="shared" si="7"/>
        <v>0</v>
      </c>
      <c r="AV11" s="222">
        <f t="shared" si="27"/>
        <v>0</v>
      </c>
      <c r="AW11" s="187">
        <f t="shared" si="27"/>
        <v>0</v>
      </c>
      <c r="AX11" s="187">
        <f t="shared" si="8"/>
        <v>0</v>
      </c>
      <c r="AY11" s="187">
        <f t="shared" si="8"/>
        <v>0</v>
      </c>
      <c r="AZ11" s="187">
        <f t="shared" si="8"/>
        <v>0</v>
      </c>
      <c r="BA11" s="187">
        <f t="shared" si="8"/>
        <v>0</v>
      </c>
      <c r="BB11" s="187">
        <f t="shared" si="8"/>
        <v>0</v>
      </c>
      <c r="BC11" s="17">
        <f t="shared" si="8"/>
        <v>0</v>
      </c>
      <c r="BD11" s="19">
        <f t="shared" si="9"/>
        <v>0</v>
      </c>
      <c r="BE11" s="187">
        <f t="shared" si="9"/>
        <v>0</v>
      </c>
      <c r="BF11" s="187">
        <f t="shared" si="10"/>
        <v>0</v>
      </c>
      <c r="BG11" s="187">
        <f t="shared" si="10"/>
        <v>0</v>
      </c>
      <c r="BH11" s="187">
        <f t="shared" si="10"/>
        <v>0</v>
      </c>
      <c r="BI11" s="187">
        <f t="shared" si="11"/>
        <v>0</v>
      </c>
      <c r="BJ11" s="187">
        <f t="shared" si="11"/>
        <v>0</v>
      </c>
      <c r="BK11" s="17">
        <f t="shared" si="11"/>
        <v>0</v>
      </c>
      <c r="BL11" s="19">
        <f t="shared" si="12"/>
        <v>0</v>
      </c>
      <c r="BM11" s="187">
        <f t="shared" si="12"/>
        <v>0</v>
      </c>
      <c r="BN11" s="187">
        <f t="shared" si="12"/>
        <v>0</v>
      </c>
      <c r="BO11" s="187">
        <f t="shared" si="12"/>
        <v>0</v>
      </c>
      <c r="BP11" s="187">
        <f t="shared" si="12"/>
        <v>0</v>
      </c>
      <c r="BQ11" s="187">
        <f t="shared" si="13"/>
        <v>0</v>
      </c>
      <c r="BR11" s="187">
        <f t="shared" si="13"/>
        <v>0</v>
      </c>
      <c r="BS11" s="17">
        <f t="shared" si="13"/>
        <v>0</v>
      </c>
      <c r="BT11" s="19">
        <f t="shared" si="28"/>
        <v>0</v>
      </c>
      <c r="BU11" s="187">
        <f t="shared" si="28"/>
        <v>0</v>
      </c>
      <c r="BV11" s="187">
        <f t="shared" si="28"/>
        <v>0</v>
      </c>
      <c r="BW11" s="187">
        <f t="shared" si="28"/>
        <v>0</v>
      </c>
      <c r="BX11" s="187">
        <f t="shared" si="28"/>
        <v>0</v>
      </c>
      <c r="BY11" s="187">
        <f t="shared" si="15"/>
        <v>0</v>
      </c>
      <c r="BZ11" s="187">
        <f t="shared" si="15"/>
        <v>0</v>
      </c>
      <c r="CA11" s="17">
        <f t="shared" si="15"/>
        <v>0</v>
      </c>
      <c r="CB11" s="73">
        <f t="shared" si="29"/>
        <v>0</v>
      </c>
      <c r="CC11" s="187">
        <f t="shared" si="16"/>
        <v>0</v>
      </c>
      <c r="CD11" s="187">
        <f t="shared" si="16"/>
        <v>0</v>
      </c>
      <c r="CE11" s="187">
        <f t="shared" si="16"/>
        <v>0</v>
      </c>
      <c r="CF11" s="187">
        <f t="shared" si="16"/>
        <v>0</v>
      </c>
      <c r="CG11" s="187">
        <f t="shared" si="17"/>
        <v>0</v>
      </c>
      <c r="CH11" s="187">
        <f t="shared" si="17"/>
        <v>0</v>
      </c>
      <c r="CI11" s="17">
        <f t="shared" si="17"/>
        <v>0</v>
      </c>
      <c r="CJ11" s="19">
        <f t="shared" si="18"/>
        <v>0</v>
      </c>
      <c r="CK11" s="187">
        <f t="shared" si="18"/>
        <v>0</v>
      </c>
      <c r="CL11" s="187">
        <f t="shared" si="18"/>
        <v>0</v>
      </c>
      <c r="CM11" s="187">
        <f t="shared" si="18"/>
        <v>0</v>
      </c>
      <c r="CN11" s="187">
        <f t="shared" si="18"/>
        <v>0</v>
      </c>
      <c r="CO11" s="187">
        <f t="shared" si="19"/>
        <v>0</v>
      </c>
      <c r="CP11" s="187">
        <f t="shared" si="19"/>
        <v>0</v>
      </c>
      <c r="CQ11" s="17">
        <f t="shared" si="19"/>
        <v>0</v>
      </c>
      <c r="CR11" s="19">
        <f t="shared" si="20"/>
        <v>0</v>
      </c>
      <c r="CS11" s="187">
        <f t="shared" si="20"/>
        <v>0</v>
      </c>
      <c r="CT11" s="187">
        <f t="shared" si="20"/>
        <v>0</v>
      </c>
      <c r="CU11" s="187">
        <f t="shared" si="20"/>
        <v>0</v>
      </c>
      <c r="CV11" s="187">
        <f t="shared" si="20"/>
        <v>0</v>
      </c>
      <c r="CW11" s="187">
        <f t="shared" si="21"/>
        <v>0</v>
      </c>
      <c r="CX11" s="187">
        <f t="shared" si="21"/>
        <v>0</v>
      </c>
      <c r="CY11" s="17">
        <f t="shared" si="21"/>
        <v>0</v>
      </c>
      <c r="CZ11" s="278"/>
    </row>
    <row r="12" spans="1:107" ht="26.25" hidden="1" customHeight="1" outlineLevel="1" x14ac:dyDescent="0.4">
      <c r="A12" s="380"/>
      <c r="B12" s="380"/>
      <c r="C12" s="380"/>
      <c r="D12" s="382"/>
      <c r="E12" s="382"/>
      <c r="F12" s="382"/>
      <c r="G12" s="526"/>
      <c r="H12" s="490"/>
      <c r="I12" s="490"/>
      <c r="J12" s="14"/>
      <c r="K12" s="15"/>
      <c r="L12" s="15"/>
      <c r="M12" s="284"/>
      <c r="N12" s="39" t="s">
        <v>25</v>
      </c>
      <c r="O12" s="207">
        <f>(0+1)/120</f>
        <v>8.3333333333333332E-3</v>
      </c>
      <c r="P12" s="207">
        <f t="shared" si="0"/>
        <v>0</v>
      </c>
      <c r="Q12" s="207">
        <f>(3+20+14)/120</f>
        <v>0.30833333333333335</v>
      </c>
      <c r="R12" s="207">
        <f t="shared" si="1"/>
        <v>0</v>
      </c>
      <c r="S12" s="207">
        <f t="shared" si="1"/>
        <v>0</v>
      </c>
      <c r="T12" s="207">
        <f>(0)/120</f>
        <v>0</v>
      </c>
      <c r="U12" s="49">
        <f>(3.5+19.5+13)/120</f>
        <v>0.3</v>
      </c>
      <c r="V12" s="57">
        <f t="shared" si="2"/>
        <v>0</v>
      </c>
      <c r="W12" s="207">
        <f t="shared" si="2"/>
        <v>0</v>
      </c>
      <c r="X12" s="207">
        <f t="shared" si="23"/>
        <v>0</v>
      </c>
      <c r="Y12" s="207">
        <f t="shared" si="22"/>
        <v>0</v>
      </c>
      <c r="Z12" s="207">
        <f t="shared" si="24"/>
        <v>0</v>
      </c>
      <c r="AA12" s="207">
        <f t="shared" si="24"/>
        <v>0</v>
      </c>
      <c r="AB12" s="57">
        <f t="shared" si="25"/>
        <v>0</v>
      </c>
      <c r="AC12" s="207">
        <f t="shared" si="30"/>
        <v>0</v>
      </c>
      <c r="AD12" s="207">
        <f t="shared" si="26"/>
        <v>0</v>
      </c>
      <c r="AE12" s="207">
        <f t="shared" si="26"/>
        <v>0</v>
      </c>
      <c r="AF12" s="207">
        <f t="shared" si="26"/>
        <v>0</v>
      </c>
      <c r="AG12" s="49">
        <f t="shared" si="26"/>
        <v>0</v>
      </c>
      <c r="AH12" s="57">
        <f t="shared" si="3"/>
        <v>0</v>
      </c>
      <c r="AI12" s="207">
        <f t="shared" si="3"/>
        <v>0</v>
      </c>
      <c r="AJ12" s="207">
        <f t="shared" si="3"/>
        <v>0</v>
      </c>
      <c r="AK12" s="207">
        <f t="shared" si="3"/>
        <v>0</v>
      </c>
      <c r="AL12" s="207">
        <f t="shared" si="3"/>
        <v>0</v>
      </c>
      <c r="AM12" s="207">
        <f t="shared" si="3"/>
        <v>0</v>
      </c>
      <c r="AN12" s="57">
        <f t="shared" si="5"/>
        <v>0</v>
      </c>
      <c r="AO12" s="207">
        <f t="shared" si="6"/>
        <v>0</v>
      </c>
      <c r="AP12" s="207">
        <f t="shared" si="6"/>
        <v>0</v>
      </c>
      <c r="AQ12" s="207">
        <f>0/157.5</f>
        <v>0</v>
      </c>
      <c r="AR12" s="207">
        <f>0/157.5</f>
        <v>0</v>
      </c>
      <c r="AS12" s="207">
        <f t="shared" si="7"/>
        <v>0</v>
      </c>
      <c r="AT12" s="207">
        <f t="shared" si="7"/>
        <v>0</v>
      </c>
      <c r="AU12" s="49">
        <f t="shared" si="7"/>
        <v>0</v>
      </c>
      <c r="AV12" s="63">
        <f t="shared" si="27"/>
        <v>0</v>
      </c>
      <c r="AW12" s="208">
        <f t="shared" si="27"/>
        <v>0</v>
      </c>
      <c r="AX12" s="208">
        <f t="shared" si="8"/>
        <v>0</v>
      </c>
      <c r="AY12" s="208">
        <f t="shared" si="8"/>
        <v>0</v>
      </c>
      <c r="AZ12" s="208">
        <f t="shared" si="8"/>
        <v>0</v>
      </c>
      <c r="BA12" s="208">
        <f t="shared" si="8"/>
        <v>0</v>
      </c>
      <c r="BB12" s="208">
        <f t="shared" si="8"/>
        <v>0</v>
      </c>
      <c r="BC12" s="64">
        <f t="shared" si="8"/>
        <v>0</v>
      </c>
      <c r="BD12" s="63">
        <f t="shared" si="9"/>
        <v>0</v>
      </c>
      <c r="BE12" s="208">
        <f t="shared" si="9"/>
        <v>0</v>
      </c>
      <c r="BF12" s="208">
        <f t="shared" si="10"/>
        <v>0</v>
      </c>
      <c r="BG12" s="208">
        <f t="shared" si="10"/>
        <v>0</v>
      </c>
      <c r="BH12" s="208">
        <f t="shared" si="10"/>
        <v>0</v>
      </c>
      <c r="BI12" s="208">
        <f t="shared" si="11"/>
        <v>0</v>
      </c>
      <c r="BJ12" s="208">
        <f t="shared" si="11"/>
        <v>0</v>
      </c>
      <c r="BK12" s="64">
        <f t="shared" si="11"/>
        <v>0</v>
      </c>
      <c r="BL12" s="63">
        <f t="shared" si="12"/>
        <v>0</v>
      </c>
      <c r="BM12" s="208">
        <f t="shared" si="12"/>
        <v>0</v>
      </c>
      <c r="BN12" s="208">
        <f t="shared" si="12"/>
        <v>0</v>
      </c>
      <c r="BO12" s="208">
        <f t="shared" si="12"/>
        <v>0</v>
      </c>
      <c r="BP12" s="208">
        <f t="shared" si="12"/>
        <v>0</v>
      </c>
      <c r="BQ12" s="208">
        <f t="shared" si="13"/>
        <v>0</v>
      </c>
      <c r="BR12" s="208">
        <f t="shared" si="13"/>
        <v>0</v>
      </c>
      <c r="BS12" s="64">
        <f t="shared" si="13"/>
        <v>0</v>
      </c>
      <c r="BT12" s="63">
        <f t="shared" si="28"/>
        <v>0</v>
      </c>
      <c r="BU12" s="208">
        <f t="shared" si="28"/>
        <v>0</v>
      </c>
      <c r="BV12" s="208">
        <f t="shared" si="28"/>
        <v>0</v>
      </c>
      <c r="BW12" s="208">
        <f t="shared" si="28"/>
        <v>0</v>
      </c>
      <c r="BX12" s="208">
        <f t="shared" si="28"/>
        <v>0</v>
      </c>
      <c r="BY12" s="208">
        <f t="shared" si="15"/>
        <v>0</v>
      </c>
      <c r="BZ12" s="208">
        <f t="shared" si="15"/>
        <v>0</v>
      </c>
      <c r="CA12" s="64">
        <f t="shared" si="15"/>
        <v>0</v>
      </c>
      <c r="CB12" s="63">
        <f t="shared" si="29"/>
        <v>0</v>
      </c>
      <c r="CC12" s="208">
        <f t="shared" si="16"/>
        <v>0</v>
      </c>
      <c r="CD12" s="208">
        <f t="shared" si="16"/>
        <v>0</v>
      </c>
      <c r="CE12" s="208">
        <f t="shared" si="16"/>
        <v>0</v>
      </c>
      <c r="CF12" s="208">
        <f t="shared" si="16"/>
        <v>0</v>
      </c>
      <c r="CG12" s="208">
        <f t="shared" si="17"/>
        <v>0</v>
      </c>
      <c r="CH12" s="208">
        <f t="shared" si="17"/>
        <v>0</v>
      </c>
      <c r="CI12" s="64">
        <f t="shared" si="17"/>
        <v>0</v>
      </c>
      <c r="CJ12" s="63">
        <f t="shared" si="18"/>
        <v>0</v>
      </c>
      <c r="CK12" s="208">
        <f t="shared" si="18"/>
        <v>0</v>
      </c>
      <c r="CL12" s="208">
        <f t="shared" si="18"/>
        <v>0</v>
      </c>
      <c r="CM12" s="208">
        <f t="shared" si="18"/>
        <v>0</v>
      </c>
      <c r="CN12" s="208">
        <f t="shared" si="18"/>
        <v>0</v>
      </c>
      <c r="CO12" s="208">
        <f t="shared" si="19"/>
        <v>0</v>
      </c>
      <c r="CP12" s="208">
        <f t="shared" si="19"/>
        <v>0</v>
      </c>
      <c r="CQ12" s="64">
        <f t="shared" si="19"/>
        <v>0</v>
      </c>
      <c r="CR12" s="63">
        <f t="shared" si="20"/>
        <v>0</v>
      </c>
      <c r="CS12" s="208">
        <f t="shared" si="20"/>
        <v>0</v>
      </c>
      <c r="CT12" s="208">
        <f t="shared" si="20"/>
        <v>0</v>
      </c>
      <c r="CU12" s="208">
        <f t="shared" si="20"/>
        <v>0</v>
      </c>
      <c r="CV12" s="208">
        <f t="shared" si="20"/>
        <v>0</v>
      </c>
      <c r="CW12" s="208">
        <f t="shared" si="21"/>
        <v>0</v>
      </c>
      <c r="CX12" s="208">
        <f t="shared" si="21"/>
        <v>0</v>
      </c>
      <c r="CY12" s="64">
        <f t="shared" si="21"/>
        <v>0</v>
      </c>
      <c r="CZ12" s="278"/>
    </row>
    <row r="13" spans="1:107" ht="26.25" hidden="1" customHeight="1" outlineLevel="1" collapsed="1" x14ac:dyDescent="0.4">
      <c r="A13" s="379">
        <v>4</v>
      </c>
      <c r="B13" s="379" t="s">
        <v>47</v>
      </c>
      <c r="C13" s="379" t="s">
        <v>14</v>
      </c>
      <c r="D13" s="381" t="s">
        <v>433</v>
      </c>
      <c r="E13" s="381" t="s">
        <v>434</v>
      </c>
      <c r="F13" s="381" t="s">
        <v>429</v>
      </c>
      <c r="G13" s="525" t="s">
        <v>435</v>
      </c>
      <c r="H13" s="489">
        <f t="shared" ref="H13" si="33">SUM(AH13:AM13)</f>
        <v>0</v>
      </c>
      <c r="I13" s="489">
        <f t="shared" ref="I13" si="34">SUM(AH14:AM14)</f>
        <v>0</v>
      </c>
      <c r="J13" s="12"/>
      <c r="K13" s="13"/>
      <c r="L13" s="13"/>
      <c r="M13" s="285"/>
      <c r="N13" s="48" t="s">
        <v>24</v>
      </c>
      <c r="O13" s="187">
        <f>(5)/120</f>
        <v>4.1666666666666664E-2</v>
      </c>
      <c r="P13" s="187">
        <f t="shared" si="0"/>
        <v>0</v>
      </c>
      <c r="Q13" s="187">
        <f t="shared" si="1"/>
        <v>0</v>
      </c>
      <c r="R13" s="187">
        <f>(35)/120</f>
        <v>0.29166666666666669</v>
      </c>
      <c r="S13" s="187">
        <f>(30)/120</f>
        <v>0.25</v>
      </c>
      <c r="T13" s="187">
        <f t="shared" si="1"/>
        <v>0</v>
      </c>
      <c r="U13" s="82">
        <f t="shared" si="1"/>
        <v>0</v>
      </c>
      <c r="V13" s="19">
        <f t="shared" si="2"/>
        <v>0</v>
      </c>
      <c r="W13" s="187">
        <f t="shared" si="2"/>
        <v>0</v>
      </c>
      <c r="X13" s="187">
        <f t="shared" si="2"/>
        <v>0</v>
      </c>
      <c r="Y13" s="187">
        <f t="shared" si="2"/>
        <v>0</v>
      </c>
      <c r="Z13" s="187">
        <f t="shared" si="2"/>
        <v>0</v>
      </c>
      <c r="AA13" s="187">
        <f t="shared" si="2"/>
        <v>0</v>
      </c>
      <c r="AB13" s="73">
        <f>(5)/165</f>
        <v>3.0303030303030304E-2</v>
      </c>
      <c r="AC13" s="187">
        <f>(0)/165</f>
        <v>0</v>
      </c>
      <c r="AD13" s="187">
        <f>(20)/165</f>
        <v>0.12121212121212122</v>
      </c>
      <c r="AE13" s="187">
        <f t="shared" ref="AE13:AF14" si="35">(0)/165</f>
        <v>0</v>
      </c>
      <c r="AF13" s="187">
        <f t="shared" si="35"/>
        <v>0</v>
      </c>
      <c r="AG13" s="187">
        <f>(25)/165</f>
        <v>0.15151515151515152</v>
      </c>
      <c r="AH13" s="73">
        <f t="shared" si="3"/>
        <v>0</v>
      </c>
      <c r="AI13" s="187">
        <f t="shared" si="3"/>
        <v>0</v>
      </c>
      <c r="AJ13" s="187">
        <f t="shared" si="3"/>
        <v>0</v>
      </c>
      <c r="AK13" s="187">
        <f t="shared" si="3"/>
        <v>0</v>
      </c>
      <c r="AL13" s="187">
        <f t="shared" si="3"/>
        <v>0</v>
      </c>
      <c r="AM13" s="187">
        <f t="shared" si="3"/>
        <v>0</v>
      </c>
      <c r="AN13" s="73">
        <f t="shared" si="5"/>
        <v>0</v>
      </c>
      <c r="AO13" s="187">
        <f t="shared" si="6"/>
        <v>0</v>
      </c>
      <c r="AP13" s="187">
        <f t="shared" si="6"/>
        <v>0</v>
      </c>
      <c r="AQ13" s="187">
        <f t="shared" si="6"/>
        <v>0</v>
      </c>
      <c r="AR13" s="187">
        <f t="shared" si="6"/>
        <v>0</v>
      </c>
      <c r="AS13" s="187">
        <f t="shared" si="7"/>
        <v>0</v>
      </c>
      <c r="AT13" s="187">
        <f t="shared" si="7"/>
        <v>0</v>
      </c>
      <c r="AU13" s="221">
        <f t="shared" si="7"/>
        <v>0</v>
      </c>
      <c r="AV13" s="222">
        <f t="shared" si="27"/>
        <v>0</v>
      </c>
      <c r="AW13" s="187">
        <f t="shared" si="27"/>
        <v>0</v>
      </c>
      <c r="AX13" s="187">
        <f t="shared" si="8"/>
        <v>0</v>
      </c>
      <c r="AY13" s="187">
        <f t="shared" si="8"/>
        <v>0</v>
      </c>
      <c r="AZ13" s="187">
        <f t="shared" si="8"/>
        <v>0</v>
      </c>
      <c r="BA13" s="187">
        <f t="shared" si="8"/>
        <v>0</v>
      </c>
      <c r="BB13" s="187">
        <f t="shared" si="8"/>
        <v>0</v>
      </c>
      <c r="BC13" s="17">
        <f t="shared" si="8"/>
        <v>0</v>
      </c>
      <c r="BD13" s="19">
        <f t="shared" si="9"/>
        <v>0</v>
      </c>
      <c r="BE13" s="187">
        <f t="shared" si="9"/>
        <v>0</v>
      </c>
      <c r="BF13" s="187">
        <f t="shared" si="10"/>
        <v>0</v>
      </c>
      <c r="BG13" s="187">
        <f t="shared" si="10"/>
        <v>0</v>
      </c>
      <c r="BH13" s="187">
        <f t="shared" si="10"/>
        <v>0</v>
      </c>
      <c r="BI13" s="187">
        <f t="shared" si="11"/>
        <v>0</v>
      </c>
      <c r="BJ13" s="187">
        <f t="shared" si="11"/>
        <v>0</v>
      </c>
      <c r="BK13" s="17">
        <f t="shared" si="11"/>
        <v>0</v>
      </c>
      <c r="BL13" s="19">
        <f t="shared" si="12"/>
        <v>0</v>
      </c>
      <c r="BM13" s="187">
        <f t="shared" si="12"/>
        <v>0</v>
      </c>
      <c r="BN13" s="187">
        <f t="shared" si="12"/>
        <v>0</v>
      </c>
      <c r="BO13" s="187">
        <f t="shared" si="12"/>
        <v>0</v>
      </c>
      <c r="BP13" s="187">
        <f t="shared" si="12"/>
        <v>0</v>
      </c>
      <c r="BQ13" s="187">
        <f t="shared" si="13"/>
        <v>0</v>
      </c>
      <c r="BR13" s="187">
        <f t="shared" si="13"/>
        <v>0</v>
      </c>
      <c r="BS13" s="17">
        <f t="shared" si="13"/>
        <v>0</v>
      </c>
      <c r="BT13" s="19">
        <f t="shared" si="28"/>
        <v>0</v>
      </c>
      <c r="BU13" s="187">
        <f t="shared" si="28"/>
        <v>0</v>
      </c>
      <c r="BV13" s="187">
        <f t="shared" si="28"/>
        <v>0</v>
      </c>
      <c r="BW13" s="187">
        <f t="shared" si="28"/>
        <v>0</v>
      </c>
      <c r="BX13" s="187">
        <f t="shared" si="28"/>
        <v>0</v>
      </c>
      <c r="BY13" s="187">
        <f t="shared" si="15"/>
        <v>0</v>
      </c>
      <c r="BZ13" s="187">
        <f t="shared" si="15"/>
        <v>0</v>
      </c>
      <c r="CA13" s="17">
        <f t="shared" si="15"/>
        <v>0</v>
      </c>
      <c r="CB13" s="73">
        <f t="shared" si="29"/>
        <v>0</v>
      </c>
      <c r="CC13" s="187">
        <f t="shared" si="16"/>
        <v>0</v>
      </c>
      <c r="CD13" s="187">
        <f t="shared" si="16"/>
        <v>0</v>
      </c>
      <c r="CE13" s="187">
        <f t="shared" si="16"/>
        <v>0</v>
      </c>
      <c r="CF13" s="187">
        <f t="shared" si="16"/>
        <v>0</v>
      </c>
      <c r="CG13" s="187">
        <f t="shared" si="17"/>
        <v>0</v>
      </c>
      <c r="CH13" s="187">
        <f t="shared" si="17"/>
        <v>0</v>
      </c>
      <c r="CI13" s="17">
        <f t="shared" si="17"/>
        <v>0</v>
      </c>
      <c r="CJ13" s="19">
        <f t="shared" si="18"/>
        <v>0</v>
      </c>
      <c r="CK13" s="187">
        <f t="shared" si="18"/>
        <v>0</v>
      </c>
      <c r="CL13" s="187">
        <f t="shared" si="18"/>
        <v>0</v>
      </c>
      <c r="CM13" s="187">
        <f t="shared" si="18"/>
        <v>0</v>
      </c>
      <c r="CN13" s="187">
        <f t="shared" si="18"/>
        <v>0</v>
      </c>
      <c r="CO13" s="187">
        <f t="shared" si="19"/>
        <v>0</v>
      </c>
      <c r="CP13" s="187">
        <f t="shared" si="19"/>
        <v>0</v>
      </c>
      <c r="CQ13" s="17">
        <f t="shared" si="19"/>
        <v>0</v>
      </c>
      <c r="CR13" s="19">
        <f t="shared" si="20"/>
        <v>0</v>
      </c>
      <c r="CS13" s="187">
        <f t="shared" si="20"/>
        <v>0</v>
      </c>
      <c r="CT13" s="187">
        <f t="shared" si="20"/>
        <v>0</v>
      </c>
      <c r="CU13" s="187">
        <f t="shared" si="20"/>
        <v>0</v>
      </c>
      <c r="CV13" s="187">
        <f t="shared" si="20"/>
        <v>0</v>
      </c>
      <c r="CW13" s="187">
        <f t="shared" si="21"/>
        <v>0</v>
      </c>
      <c r="CX13" s="187">
        <f t="shared" si="21"/>
        <v>0</v>
      </c>
      <c r="CY13" s="17">
        <f t="shared" si="21"/>
        <v>0</v>
      </c>
      <c r="CZ13" s="278"/>
    </row>
    <row r="14" spans="1:107" ht="26.25" hidden="1" customHeight="1" outlineLevel="1" x14ac:dyDescent="0.4">
      <c r="A14" s="380"/>
      <c r="B14" s="380"/>
      <c r="C14" s="380"/>
      <c r="D14" s="382"/>
      <c r="E14" s="382"/>
      <c r="F14" s="382"/>
      <c r="G14" s="526"/>
      <c r="H14" s="490"/>
      <c r="I14" s="490"/>
      <c r="J14" s="14"/>
      <c r="K14" s="15"/>
      <c r="L14" s="15"/>
      <c r="M14" s="284"/>
      <c r="N14" s="39" t="s">
        <v>25</v>
      </c>
      <c r="O14" s="39">
        <f>(1.5+2+1+1.25)/120</f>
        <v>4.791666666666667E-2</v>
      </c>
      <c r="P14" s="207">
        <f t="shared" si="0"/>
        <v>0</v>
      </c>
      <c r="Q14" s="207">
        <f t="shared" si="1"/>
        <v>0</v>
      </c>
      <c r="R14" s="207">
        <f>(3.5+15.5+7.5+7.5)/120</f>
        <v>0.28333333333333333</v>
      </c>
      <c r="S14" s="207">
        <f>(7+3.5+11.5+4)/120</f>
        <v>0.21666666666666667</v>
      </c>
      <c r="T14" s="207">
        <f t="shared" si="1"/>
        <v>0</v>
      </c>
      <c r="U14" s="49">
        <f>(0)/120</f>
        <v>0</v>
      </c>
      <c r="V14" s="57">
        <f t="shared" si="2"/>
        <v>0</v>
      </c>
      <c r="W14" s="207">
        <f t="shared" si="2"/>
        <v>0</v>
      </c>
      <c r="X14" s="207">
        <f t="shared" si="2"/>
        <v>0</v>
      </c>
      <c r="Y14" s="207">
        <f t="shared" si="2"/>
        <v>0</v>
      </c>
      <c r="Z14" s="207">
        <f t="shared" si="2"/>
        <v>0</v>
      </c>
      <c r="AA14" s="207">
        <f t="shared" si="2"/>
        <v>0</v>
      </c>
      <c r="AB14" s="57">
        <f>(1+2+1+1+0.5)/165</f>
        <v>3.3333333333333333E-2</v>
      </c>
      <c r="AC14" s="207">
        <f>(0)/165</f>
        <v>0</v>
      </c>
      <c r="AD14" s="207">
        <f>(1+16.5)/165</f>
        <v>0.10606060606060606</v>
      </c>
      <c r="AE14" s="207">
        <f t="shared" si="35"/>
        <v>0</v>
      </c>
      <c r="AF14" s="207">
        <f t="shared" si="35"/>
        <v>0</v>
      </c>
      <c r="AG14" s="207">
        <f>(2+9.5+9)/165</f>
        <v>0.12424242424242424</v>
      </c>
      <c r="AH14" s="57">
        <f t="shared" si="3"/>
        <v>0</v>
      </c>
      <c r="AI14" s="207">
        <f t="shared" si="3"/>
        <v>0</v>
      </c>
      <c r="AJ14" s="207">
        <f t="shared" si="3"/>
        <v>0</v>
      </c>
      <c r="AK14" s="207">
        <f t="shared" si="3"/>
        <v>0</v>
      </c>
      <c r="AL14" s="207">
        <f t="shared" si="3"/>
        <v>0</v>
      </c>
      <c r="AM14" s="207">
        <f t="shared" si="3"/>
        <v>0</v>
      </c>
      <c r="AN14" s="57">
        <f t="shared" si="5"/>
        <v>0</v>
      </c>
      <c r="AO14" s="207">
        <f t="shared" si="6"/>
        <v>0</v>
      </c>
      <c r="AP14" s="207">
        <f t="shared" si="6"/>
        <v>0</v>
      </c>
      <c r="AQ14" s="207">
        <f>0/157.5</f>
        <v>0</v>
      </c>
      <c r="AR14" s="207">
        <f>0/157.5</f>
        <v>0</v>
      </c>
      <c r="AS14" s="207">
        <f t="shared" si="7"/>
        <v>0</v>
      </c>
      <c r="AT14" s="207">
        <f t="shared" si="7"/>
        <v>0</v>
      </c>
      <c r="AU14" s="49">
        <f t="shared" si="7"/>
        <v>0</v>
      </c>
      <c r="AV14" s="63">
        <f t="shared" si="27"/>
        <v>0</v>
      </c>
      <c r="AW14" s="208">
        <f t="shared" si="27"/>
        <v>0</v>
      </c>
      <c r="AX14" s="208">
        <f t="shared" si="8"/>
        <v>0</v>
      </c>
      <c r="AY14" s="208">
        <f t="shared" si="8"/>
        <v>0</v>
      </c>
      <c r="AZ14" s="208">
        <f t="shared" si="8"/>
        <v>0</v>
      </c>
      <c r="BA14" s="208">
        <f t="shared" si="8"/>
        <v>0</v>
      </c>
      <c r="BB14" s="208">
        <f t="shared" si="8"/>
        <v>0</v>
      </c>
      <c r="BC14" s="64">
        <f t="shared" si="8"/>
        <v>0</v>
      </c>
      <c r="BD14" s="63">
        <f t="shared" si="9"/>
        <v>0</v>
      </c>
      <c r="BE14" s="208">
        <f t="shared" si="9"/>
        <v>0</v>
      </c>
      <c r="BF14" s="208">
        <f t="shared" si="10"/>
        <v>0</v>
      </c>
      <c r="BG14" s="208">
        <f t="shared" si="10"/>
        <v>0</v>
      </c>
      <c r="BH14" s="208">
        <f t="shared" si="10"/>
        <v>0</v>
      </c>
      <c r="BI14" s="208">
        <f t="shared" si="11"/>
        <v>0</v>
      </c>
      <c r="BJ14" s="208">
        <f t="shared" si="11"/>
        <v>0</v>
      </c>
      <c r="BK14" s="64">
        <f t="shared" si="11"/>
        <v>0</v>
      </c>
      <c r="BL14" s="63">
        <f t="shared" si="12"/>
        <v>0</v>
      </c>
      <c r="BM14" s="208">
        <f t="shared" si="12"/>
        <v>0</v>
      </c>
      <c r="BN14" s="208">
        <f t="shared" si="12"/>
        <v>0</v>
      </c>
      <c r="BO14" s="208">
        <f t="shared" si="12"/>
        <v>0</v>
      </c>
      <c r="BP14" s="208">
        <f t="shared" si="12"/>
        <v>0</v>
      </c>
      <c r="BQ14" s="208">
        <f t="shared" si="13"/>
        <v>0</v>
      </c>
      <c r="BR14" s="208">
        <f t="shared" si="13"/>
        <v>0</v>
      </c>
      <c r="BS14" s="64">
        <f t="shared" si="13"/>
        <v>0</v>
      </c>
      <c r="BT14" s="63">
        <f t="shared" si="28"/>
        <v>0</v>
      </c>
      <c r="BU14" s="208">
        <f t="shared" si="28"/>
        <v>0</v>
      </c>
      <c r="BV14" s="208">
        <f t="shared" si="28"/>
        <v>0</v>
      </c>
      <c r="BW14" s="208">
        <f t="shared" si="28"/>
        <v>0</v>
      </c>
      <c r="BX14" s="208">
        <f t="shared" si="28"/>
        <v>0</v>
      </c>
      <c r="BY14" s="208">
        <f t="shared" si="15"/>
        <v>0</v>
      </c>
      <c r="BZ14" s="208">
        <f t="shared" si="15"/>
        <v>0</v>
      </c>
      <c r="CA14" s="64">
        <f t="shared" si="15"/>
        <v>0</v>
      </c>
      <c r="CB14" s="63">
        <f t="shared" si="29"/>
        <v>0</v>
      </c>
      <c r="CC14" s="208">
        <f t="shared" si="16"/>
        <v>0</v>
      </c>
      <c r="CD14" s="208">
        <f t="shared" si="16"/>
        <v>0</v>
      </c>
      <c r="CE14" s="208">
        <f t="shared" si="16"/>
        <v>0</v>
      </c>
      <c r="CF14" s="208">
        <f t="shared" si="16"/>
        <v>0</v>
      </c>
      <c r="CG14" s="208">
        <f t="shared" si="17"/>
        <v>0</v>
      </c>
      <c r="CH14" s="208">
        <f t="shared" si="17"/>
        <v>0</v>
      </c>
      <c r="CI14" s="64">
        <f t="shared" si="17"/>
        <v>0</v>
      </c>
      <c r="CJ14" s="63">
        <f t="shared" si="18"/>
        <v>0</v>
      </c>
      <c r="CK14" s="208">
        <f t="shared" si="18"/>
        <v>0</v>
      </c>
      <c r="CL14" s="208">
        <f t="shared" si="18"/>
        <v>0</v>
      </c>
      <c r="CM14" s="208">
        <f t="shared" si="18"/>
        <v>0</v>
      </c>
      <c r="CN14" s="208">
        <f t="shared" si="18"/>
        <v>0</v>
      </c>
      <c r="CO14" s="208">
        <f t="shared" si="19"/>
        <v>0</v>
      </c>
      <c r="CP14" s="208">
        <f t="shared" si="19"/>
        <v>0</v>
      </c>
      <c r="CQ14" s="64">
        <f t="shared" si="19"/>
        <v>0</v>
      </c>
      <c r="CR14" s="63">
        <f t="shared" si="20"/>
        <v>0</v>
      </c>
      <c r="CS14" s="208">
        <f t="shared" si="20"/>
        <v>0</v>
      </c>
      <c r="CT14" s="208">
        <f t="shared" si="20"/>
        <v>0</v>
      </c>
      <c r="CU14" s="208">
        <f t="shared" si="20"/>
        <v>0</v>
      </c>
      <c r="CV14" s="208">
        <f t="shared" si="20"/>
        <v>0</v>
      </c>
      <c r="CW14" s="208">
        <f t="shared" si="21"/>
        <v>0</v>
      </c>
      <c r="CX14" s="208">
        <f t="shared" si="21"/>
        <v>0</v>
      </c>
      <c r="CY14" s="64">
        <f t="shared" si="21"/>
        <v>0</v>
      </c>
      <c r="CZ14" s="278"/>
    </row>
    <row r="15" spans="1:107" ht="26.25" hidden="1" customHeight="1" outlineLevel="1" x14ac:dyDescent="0.4">
      <c r="A15" s="379">
        <v>5</v>
      </c>
      <c r="B15" s="379" t="s">
        <v>46</v>
      </c>
      <c r="C15" s="379" t="s">
        <v>347</v>
      </c>
      <c r="D15" s="381" t="s">
        <v>348</v>
      </c>
      <c r="E15" s="381" t="s">
        <v>436</v>
      </c>
      <c r="F15" s="381" t="s">
        <v>437</v>
      </c>
      <c r="G15" s="525" t="s">
        <v>438</v>
      </c>
      <c r="H15" s="489">
        <f t="shared" ref="H15" si="36">SUM(AH15:AM15)</f>
        <v>0</v>
      </c>
      <c r="I15" s="489">
        <f t="shared" ref="I15" si="37">SUM(AH16:AM16)</f>
        <v>0</v>
      </c>
      <c r="J15" s="286"/>
      <c r="K15" s="288"/>
      <c r="L15" s="288"/>
      <c r="M15" s="290"/>
      <c r="N15" s="48" t="s">
        <v>24</v>
      </c>
      <c r="O15" s="187">
        <f>(5)/120</f>
        <v>4.1666666666666664E-2</v>
      </c>
      <c r="P15" s="187">
        <f t="shared" si="0"/>
        <v>0</v>
      </c>
      <c r="Q15" s="187">
        <f t="shared" si="1"/>
        <v>0</v>
      </c>
      <c r="R15" s="187">
        <f t="shared" si="1"/>
        <v>0</v>
      </c>
      <c r="S15" s="187">
        <f>(15)/120</f>
        <v>0.125</v>
      </c>
      <c r="T15" s="187">
        <f>(25)/120</f>
        <v>0.20833333333333334</v>
      </c>
      <c r="U15" s="82">
        <f t="shared" si="1"/>
        <v>0</v>
      </c>
      <c r="V15" s="19">
        <f t="shared" si="2"/>
        <v>0</v>
      </c>
      <c r="W15" s="187">
        <f t="shared" si="2"/>
        <v>0</v>
      </c>
      <c r="X15" s="187">
        <f t="shared" si="23"/>
        <v>0</v>
      </c>
      <c r="Y15" s="187">
        <f t="shared" si="22"/>
        <v>0</v>
      </c>
      <c r="Z15" s="187">
        <f t="shared" si="24"/>
        <v>0</v>
      </c>
      <c r="AA15" s="187">
        <f t="shared" si="24"/>
        <v>0</v>
      </c>
      <c r="AB15" s="73">
        <f t="shared" si="25"/>
        <v>0</v>
      </c>
      <c r="AC15" s="187">
        <f t="shared" si="30"/>
        <v>0</v>
      </c>
      <c r="AD15" s="187">
        <f t="shared" si="26"/>
        <v>0</v>
      </c>
      <c r="AE15" s="187">
        <f t="shared" si="26"/>
        <v>0</v>
      </c>
      <c r="AF15" s="187">
        <f t="shared" si="26"/>
        <v>0</v>
      </c>
      <c r="AG15" s="221">
        <f t="shared" si="26"/>
        <v>0</v>
      </c>
      <c r="AH15" s="73">
        <f t="shared" si="3"/>
        <v>0</v>
      </c>
      <c r="AI15" s="187">
        <f t="shared" si="3"/>
        <v>0</v>
      </c>
      <c r="AJ15" s="187">
        <f t="shared" si="3"/>
        <v>0</v>
      </c>
      <c r="AK15" s="187">
        <f t="shared" si="3"/>
        <v>0</v>
      </c>
      <c r="AL15" s="187">
        <f t="shared" si="3"/>
        <v>0</v>
      </c>
      <c r="AM15" s="187">
        <f t="shared" si="3"/>
        <v>0</v>
      </c>
      <c r="AN15" s="73">
        <f t="shared" si="5"/>
        <v>0</v>
      </c>
      <c r="AO15" s="187">
        <f t="shared" si="6"/>
        <v>0</v>
      </c>
      <c r="AP15" s="187">
        <f t="shared" si="6"/>
        <v>0</v>
      </c>
      <c r="AQ15" s="187">
        <f t="shared" si="6"/>
        <v>0</v>
      </c>
      <c r="AR15" s="187">
        <f t="shared" si="6"/>
        <v>0</v>
      </c>
      <c r="AS15" s="187">
        <f t="shared" si="7"/>
        <v>0</v>
      </c>
      <c r="AT15" s="187">
        <f t="shared" si="7"/>
        <v>0</v>
      </c>
      <c r="AU15" s="221">
        <f t="shared" si="7"/>
        <v>0</v>
      </c>
      <c r="AV15" s="222">
        <f t="shared" si="27"/>
        <v>0</v>
      </c>
      <c r="AW15" s="187">
        <f t="shared" si="27"/>
        <v>0</v>
      </c>
      <c r="AX15" s="187">
        <f t="shared" si="8"/>
        <v>0</v>
      </c>
      <c r="AY15" s="187">
        <f t="shared" si="8"/>
        <v>0</v>
      </c>
      <c r="AZ15" s="187">
        <f t="shared" si="8"/>
        <v>0</v>
      </c>
      <c r="BA15" s="187">
        <f t="shared" si="8"/>
        <v>0</v>
      </c>
      <c r="BB15" s="187">
        <f t="shared" si="8"/>
        <v>0</v>
      </c>
      <c r="BC15" s="17">
        <f t="shared" si="8"/>
        <v>0</v>
      </c>
      <c r="BD15" s="19">
        <f t="shared" si="9"/>
        <v>0</v>
      </c>
      <c r="BE15" s="187">
        <f t="shared" si="9"/>
        <v>0</v>
      </c>
      <c r="BF15" s="187">
        <f t="shared" si="10"/>
        <v>0</v>
      </c>
      <c r="BG15" s="187">
        <f t="shared" si="10"/>
        <v>0</v>
      </c>
      <c r="BH15" s="187">
        <f t="shared" si="10"/>
        <v>0</v>
      </c>
      <c r="BI15" s="187">
        <f t="shared" si="11"/>
        <v>0</v>
      </c>
      <c r="BJ15" s="187">
        <f t="shared" si="11"/>
        <v>0</v>
      </c>
      <c r="BK15" s="17">
        <f t="shared" si="11"/>
        <v>0</v>
      </c>
      <c r="BL15" s="19">
        <f t="shared" si="12"/>
        <v>0</v>
      </c>
      <c r="BM15" s="187">
        <f t="shared" si="12"/>
        <v>0</v>
      </c>
      <c r="BN15" s="187">
        <f t="shared" si="12"/>
        <v>0</v>
      </c>
      <c r="BO15" s="187">
        <f t="shared" si="12"/>
        <v>0</v>
      </c>
      <c r="BP15" s="187">
        <f t="shared" si="12"/>
        <v>0</v>
      </c>
      <c r="BQ15" s="187">
        <f t="shared" si="13"/>
        <v>0</v>
      </c>
      <c r="BR15" s="187">
        <f t="shared" si="13"/>
        <v>0</v>
      </c>
      <c r="BS15" s="17">
        <f t="shared" si="13"/>
        <v>0</v>
      </c>
      <c r="BT15" s="19">
        <f t="shared" si="28"/>
        <v>0</v>
      </c>
      <c r="BU15" s="187">
        <f t="shared" si="28"/>
        <v>0</v>
      </c>
      <c r="BV15" s="187">
        <f t="shared" si="28"/>
        <v>0</v>
      </c>
      <c r="BW15" s="187">
        <f t="shared" si="28"/>
        <v>0</v>
      </c>
      <c r="BX15" s="187">
        <f t="shared" si="28"/>
        <v>0</v>
      </c>
      <c r="BY15" s="187">
        <f t="shared" si="15"/>
        <v>0</v>
      </c>
      <c r="BZ15" s="187">
        <f t="shared" si="15"/>
        <v>0</v>
      </c>
      <c r="CA15" s="17">
        <f t="shared" si="15"/>
        <v>0</v>
      </c>
      <c r="CB15" s="73">
        <f t="shared" si="29"/>
        <v>0</v>
      </c>
      <c r="CC15" s="187">
        <f t="shared" si="16"/>
        <v>0</v>
      </c>
      <c r="CD15" s="187">
        <f t="shared" si="16"/>
        <v>0</v>
      </c>
      <c r="CE15" s="187">
        <f t="shared" si="16"/>
        <v>0</v>
      </c>
      <c r="CF15" s="187">
        <f t="shared" si="16"/>
        <v>0</v>
      </c>
      <c r="CG15" s="187">
        <f t="shared" si="17"/>
        <v>0</v>
      </c>
      <c r="CH15" s="187">
        <f t="shared" si="17"/>
        <v>0</v>
      </c>
      <c r="CI15" s="17">
        <f t="shared" si="17"/>
        <v>0</v>
      </c>
      <c r="CJ15" s="19">
        <f t="shared" si="18"/>
        <v>0</v>
      </c>
      <c r="CK15" s="187">
        <f t="shared" si="18"/>
        <v>0</v>
      </c>
      <c r="CL15" s="187">
        <f t="shared" si="18"/>
        <v>0</v>
      </c>
      <c r="CM15" s="187">
        <f t="shared" si="18"/>
        <v>0</v>
      </c>
      <c r="CN15" s="187">
        <f t="shared" si="18"/>
        <v>0</v>
      </c>
      <c r="CO15" s="187">
        <f t="shared" si="19"/>
        <v>0</v>
      </c>
      <c r="CP15" s="187">
        <f t="shared" si="19"/>
        <v>0</v>
      </c>
      <c r="CQ15" s="17">
        <f t="shared" si="19"/>
        <v>0</v>
      </c>
      <c r="CR15" s="19">
        <f t="shared" si="20"/>
        <v>0</v>
      </c>
      <c r="CS15" s="187">
        <f t="shared" si="20"/>
        <v>0</v>
      </c>
      <c r="CT15" s="187">
        <f t="shared" si="20"/>
        <v>0</v>
      </c>
      <c r="CU15" s="187">
        <f t="shared" si="20"/>
        <v>0</v>
      </c>
      <c r="CV15" s="187">
        <f t="shared" si="20"/>
        <v>0</v>
      </c>
      <c r="CW15" s="187">
        <f t="shared" si="21"/>
        <v>0</v>
      </c>
      <c r="CX15" s="187">
        <f t="shared" si="21"/>
        <v>0</v>
      </c>
      <c r="CY15" s="17">
        <f t="shared" si="21"/>
        <v>0</v>
      </c>
      <c r="CZ15" s="278"/>
    </row>
    <row r="16" spans="1:107" ht="26.25" hidden="1" customHeight="1" outlineLevel="1" x14ac:dyDescent="0.4">
      <c r="A16" s="380"/>
      <c r="B16" s="380"/>
      <c r="C16" s="380"/>
      <c r="D16" s="382"/>
      <c r="E16" s="382"/>
      <c r="F16" s="382"/>
      <c r="G16" s="526"/>
      <c r="H16" s="490"/>
      <c r="I16" s="490"/>
      <c r="J16" s="287"/>
      <c r="K16" s="289"/>
      <c r="L16" s="289"/>
      <c r="M16" s="291"/>
      <c r="N16" s="39" t="s">
        <v>25</v>
      </c>
      <c r="O16" s="207">
        <f>(0+3+1+0.75+1.25)/120</f>
        <v>0.05</v>
      </c>
      <c r="P16" s="207">
        <f t="shared" si="0"/>
        <v>0</v>
      </c>
      <c r="Q16" s="207">
        <f t="shared" si="1"/>
        <v>0</v>
      </c>
      <c r="R16" s="207">
        <f>(0)/120</f>
        <v>0</v>
      </c>
      <c r="S16" s="207">
        <f>(0+10+1+3.5)/120</f>
        <v>0.12083333333333333</v>
      </c>
      <c r="T16" s="207">
        <f>(5+6.5+4+2.5)/120</f>
        <v>0.15</v>
      </c>
      <c r="U16" s="49">
        <f t="shared" si="1"/>
        <v>0</v>
      </c>
      <c r="V16" s="57">
        <f t="shared" si="2"/>
        <v>0</v>
      </c>
      <c r="W16" s="207">
        <f t="shared" si="2"/>
        <v>0</v>
      </c>
      <c r="X16" s="207">
        <f t="shared" si="23"/>
        <v>0</v>
      </c>
      <c r="Y16" s="207">
        <f t="shared" si="22"/>
        <v>0</v>
      </c>
      <c r="Z16" s="207">
        <f t="shared" si="24"/>
        <v>0</v>
      </c>
      <c r="AA16" s="207">
        <f t="shared" si="24"/>
        <v>0</v>
      </c>
      <c r="AB16" s="57">
        <f t="shared" si="25"/>
        <v>0</v>
      </c>
      <c r="AC16" s="207">
        <f t="shared" si="30"/>
        <v>0</v>
      </c>
      <c r="AD16" s="207">
        <f t="shared" si="26"/>
        <v>0</v>
      </c>
      <c r="AE16" s="207">
        <f t="shared" si="26"/>
        <v>0</v>
      </c>
      <c r="AF16" s="207">
        <f t="shared" si="26"/>
        <v>0</v>
      </c>
      <c r="AG16" s="49">
        <f t="shared" si="26"/>
        <v>0</v>
      </c>
      <c r="AH16" s="57">
        <f t="shared" si="3"/>
        <v>0</v>
      </c>
      <c r="AI16" s="207">
        <f t="shared" si="3"/>
        <v>0</v>
      </c>
      <c r="AJ16" s="207">
        <f t="shared" si="3"/>
        <v>0</v>
      </c>
      <c r="AK16" s="207">
        <f t="shared" si="3"/>
        <v>0</v>
      </c>
      <c r="AL16" s="207">
        <f t="shared" si="3"/>
        <v>0</v>
      </c>
      <c r="AM16" s="207">
        <f t="shared" si="3"/>
        <v>0</v>
      </c>
      <c r="AN16" s="57">
        <f t="shared" si="5"/>
        <v>0</v>
      </c>
      <c r="AO16" s="207">
        <f t="shared" si="6"/>
        <v>0</v>
      </c>
      <c r="AP16" s="207">
        <f t="shared" si="6"/>
        <v>0</v>
      </c>
      <c r="AQ16" s="207">
        <f>0/157.5</f>
        <v>0</v>
      </c>
      <c r="AR16" s="207">
        <f>0/157.5</f>
        <v>0</v>
      </c>
      <c r="AS16" s="207">
        <f t="shared" si="7"/>
        <v>0</v>
      </c>
      <c r="AT16" s="207">
        <f t="shared" si="7"/>
        <v>0</v>
      </c>
      <c r="AU16" s="49">
        <f t="shared" si="7"/>
        <v>0</v>
      </c>
      <c r="AV16" s="63">
        <f t="shared" si="27"/>
        <v>0</v>
      </c>
      <c r="AW16" s="208">
        <f t="shared" si="27"/>
        <v>0</v>
      </c>
      <c r="AX16" s="208">
        <f t="shared" si="8"/>
        <v>0</v>
      </c>
      <c r="AY16" s="208">
        <f t="shared" si="8"/>
        <v>0</v>
      </c>
      <c r="AZ16" s="208">
        <f t="shared" si="8"/>
        <v>0</v>
      </c>
      <c r="BA16" s="208">
        <f t="shared" si="8"/>
        <v>0</v>
      </c>
      <c r="BB16" s="208">
        <f t="shared" si="8"/>
        <v>0</v>
      </c>
      <c r="BC16" s="64">
        <f t="shared" si="8"/>
        <v>0</v>
      </c>
      <c r="BD16" s="63">
        <f t="shared" si="9"/>
        <v>0</v>
      </c>
      <c r="BE16" s="208">
        <f t="shared" si="9"/>
        <v>0</v>
      </c>
      <c r="BF16" s="208">
        <f t="shared" si="10"/>
        <v>0</v>
      </c>
      <c r="BG16" s="208">
        <f t="shared" si="10"/>
        <v>0</v>
      </c>
      <c r="BH16" s="208">
        <f t="shared" si="10"/>
        <v>0</v>
      </c>
      <c r="BI16" s="208">
        <f t="shared" si="11"/>
        <v>0</v>
      </c>
      <c r="BJ16" s="208">
        <f t="shared" si="11"/>
        <v>0</v>
      </c>
      <c r="BK16" s="64">
        <f t="shared" si="11"/>
        <v>0</v>
      </c>
      <c r="BL16" s="63">
        <f t="shared" si="12"/>
        <v>0</v>
      </c>
      <c r="BM16" s="208">
        <f t="shared" si="12"/>
        <v>0</v>
      </c>
      <c r="BN16" s="208">
        <f t="shared" si="12"/>
        <v>0</v>
      </c>
      <c r="BO16" s="208">
        <f t="shared" si="12"/>
        <v>0</v>
      </c>
      <c r="BP16" s="208">
        <f t="shared" si="12"/>
        <v>0</v>
      </c>
      <c r="BQ16" s="208">
        <f t="shared" si="13"/>
        <v>0</v>
      </c>
      <c r="BR16" s="208">
        <f t="shared" si="13"/>
        <v>0</v>
      </c>
      <c r="BS16" s="64">
        <f t="shared" si="13"/>
        <v>0</v>
      </c>
      <c r="BT16" s="63">
        <f t="shared" si="28"/>
        <v>0</v>
      </c>
      <c r="BU16" s="208">
        <f t="shared" si="28"/>
        <v>0</v>
      </c>
      <c r="BV16" s="208">
        <f t="shared" si="28"/>
        <v>0</v>
      </c>
      <c r="BW16" s="208">
        <f t="shared" si="28"/>
        <v>0</v>
      </c>
      <c r="BX16" s="208">
        <f t="shared" si="28"/>
        <v>0</v>
      </c>
      <c r="BY16" s="208">
        <f t="shared" si="15"/>
        <v>0</v>
      </c>
      <c r="BZ16" s="208">
        <f t="shared" si="15"/>
        <v>0</v>
      </c>
      <c r="CA16" s="64">
        <f t="shared" si="15"/>
        <v>0</v>
      </c>
      <c r="CB16" s="63">
        <f t="shared" si="29"/>
        <v>0</v>
      </c>
      <c r="CC16" s="208">
        <f t="shared" si="16"/>
        <v>0</v>
      </c>
      <c r="CD16" s="208">
        <f t="shared" si="16"/>
        <v>0</v>
      </c>
      <c r="CE16" s="208">
        <f t="shared" si="16"/>
        <v>0</v>
      </c>
      <c r="CF16" s="208">
        <f t="shared" si="16"/>
        <v>0</v>
      </c>
      <c r="CG16" s="208">
        <f t="shared" si="17"/>
        <v>0</v>
      </c>
      <c r="CH16" s="208">
        <f t="shared" si="17"/>
        <v>0</v>
      </c>
      <c r="CI16" s="64">
        <f t="shared" si="17"/>
        <v>0</v>
      </c>
      <c r="CJ16" s="63">
        <f t="shared" si="18"/>
        <v>0</v>
      </c>
      <c r="CK16" s="208">
        <f t="shared" si="18"/>
        <v>0</v>
      </c>
      <c r="CL16" s="208">
        <f t="shared" si="18"/>
        <v>0</v>
      </c>
      <c r="CM16" s="208">
        <f t="shared" si="18"/>
        <v>0</v>
      </c>
      <c r="CN16" s="208">
        <f t="shared" si="18"/>
        <v>0</v>
      </c>
      <c r="CO16" s="208">
        <f t="shared" si="19"/>
        <v>0</v>
      </c>
      <c r="CP16" s="208">
        <f t="shared" si="19"/>
        <v>0</v>
      </c>
      <c r="CQ16" s="64">
        <f t="shared" si="19"/>
        <v>0</v>
      </c>
      <c r="CR16" s="63">
        <f t="shared" si="20"/>
        <v>0</v>
      </c>
      <c r="CS16" s="208">
        <f t="shared" si="20"/>
        <v>0</v>
      </c>
      <c r="CT16" s="208">
        <f t="shared" si="20"/>
        <v>0</v>
      </c>
      <c r="CU16" s="208">
        <f t="shared" si="20"/>
        <v>0</v>
      </c>
      <c r="CV16" s="208">
        <f t="shared" si="20"/>
        <v>0</v>
      </c>
      <c r="CW16" s="208">
        <f t="shared" si="21"/>
        <v>0</v>
      </c>
      <c r="CX16" s="208">
        <f t="shared" si="21"/>
        <v>0</v>
      </c>
      <c r="CY16" s="64">
        <f t="shared" si="21"/>
        <v>0</v>
      </c>
      <c r="CZ16" s="278"/>
    </row>
    <row r="17" spans="1:104" ht="26.25" hidden="1" customHeight="1" outlineLevel="1" collapsed="1" x14ac:dyDescent="0.4">
      <c r="A17" s="379">
        <v>6</v>
      </c>
      <c r="B17" s="379" t="s">
        <v>47</v>
      </c>
      <c r="C17" s="379" t="s">
        <v>14</v>
      </c>
      <c r="D17" s="381" t="s">
        <v>439</v>
      </c>
      <c r="E17" s="381" t="s">
        <v>440</v>
      </c>
      <c r="F17" s="381" t="s">
        <v>441</v>
      </c>
      <c r="G17" s="525" t="s">
        <v>442</v>
      </c>
      <c r="H17" s="489">
        <f t="shared" ref="H17" si="38">SUM(AH17:AM17)</f>
        <v>0</v>
      </c>
      <c r="I17" s="489">
        <f t="shared" ref="I17" si="39">SUM(AH18:AM18)</f>
        <v>0</v>
      </c>
      <c r="J17" s="286"/>
      <c r="K17" s="288"/>
      <c r="L17" s="288"/>
      <c r="M17" s="292"/>
      <c r="N17" s="48" t="s">
        <v>24</v>
      </c>
      <c r="O17" s="187">
        <f>(2)/120</f>
        <v>1.6666666666666666E-2</v>
      </c>
      <c r="P17" s="187">
        <f t="shared" si="0"/>
        <v>0</v>
      </c>
      <c r="Q17" s="187">
        <f>(3)/120</f>
        <v>2.5000000000000001E-2</v>
      </c>
      <c r="R17" s="187">
        <f t="shared" si="1"/>
        <v>0</v>
      </c>
      <c r="S17" s="187">
        <f t="shared" si="1"/>
        <v>0</v>
      </c>
      <c r="T17" s="187">
        <f t="shared" si="1"/>
        <v>0</v>
      </c>
      <c r="U17" s="82">
        <f t="shared" si="1"/>
        <v>0</v>
      </c>
      <c r="V17" s="19">
        <f>(3)/142.5</f>
        <v>2.1052631578947368E-2</v>
      </c>
      <c r="W17" s="187">
        <f t="shared" ref="W17:AA45" si="40">(0)/142.5</f>
        <v>0</v>
      </c>
      <c r="X17" s="187">
        <f>(5)/142.5</f>
        <v>3.5087719298245612E-2</v>
      </c>
      <c r="Y17" s="187">
        <f t="shared" si="22"/>
        <v>0</v>
      </c>
      <c r="Z17" s="187">
        <f t="shared" si="24"/>
        <v>0</v>
      </c>
      <c r="AA17" s="187">
        <f t="shared" si="24"/>
        <v>0</v>
      </c>
      <c r="AB17" s="73">
        <f>(5)/165</f>
        <v>3.0303030303030304E-2</v>
      </c>
      <c r="AC17" s="187">
        <f>(0)/165</f>
        <v>0</v>
      </c>
      <c r="AD17" s="187">
        <f>(5)/165</f>
        <v>3.0303030303030304E-2</v>
      </c>
      <c r="AE17" s="187">
        <f t="shared" ref="AE17:AG18" si="41">(0)/165</f>
        <v>0</v>
      </c>
      <c r="AF17" s="187">
        <f t="shared" si="41"/>
        <v>0</v>
      </c>
      <c r="AG17" s="187">
        <f t="shared" si="41"/>
        <v>0</v>
      </c>
      <c r="AH17" s="73">
        <f t="shared" si="3"/>
        <v>0</v>
      </c>
      <c r="AI17" s="187">
        <f t="shared" si="3"/>
        <v>0</v>
      </c>
      <c r="AJ17" s="187">
        <f t="shared" si="3"/>
        <v>0</v>
      </c>
      <c r="AK17" s="187">
        <f t="shared" si="3"/>
        <v>0</v>
      </c>
      <c r="AL17" s="187">
        <f t="shared" si="3"/>
        <v>0</v>
      </c>
      <c r="AM17" s="187">
        <f t="shared" si="3"/>
        <v>0</v>
      </c>
      <c r="AN17" s="73">
        <f t="shared" ref="AN17:AR48" si="42">0/157.5</f>
        <v>0</v>
      </c>
      <c r="AO17" s="187">
        <f t="shared" si="6"/>
        <v>0</v>
      </c>
      <c r="AP17" s="187">
        <f t="shared" si="6"/>
        <v>0</v>
      </c>
      <c r="AQ17" s="187">
        <f t="shared" si="6"/>
        <v>0</v>
      </c>
      <c r="AR17" s="187">
        <f t="shared" si="6"/>
        <v>0</v>
      </c>
      <c r="AS17" s="187">
        <f t="shared" si="7"/>
        <v>0</v>
      </c>
      <c r="AT17" s="187">
        <f t="shared" si="7"/>
        <v>0</v>
      </c>
      <c r="AU17" s="221">
        <f t="shared" si="7"/>
        <v>0</v>
      </c>
      <c r="AV17" s="222">
        <f t="shared" si="27"/>
        <v>0</v>
      </c>
      <c r="AW17" s="187">
        <f t="shared" si="27"/>
        <v>0</v>
      </c>
      <c r="AX17" s="187">
        <f t="shared" si="8"/>
        <v>0</v>
      </c>
      <c r="AY17" s="187">
        <f t="shared" si="8"/>
        <v>0</v>
      </c>
      <c r="AZ17" s="187">
        <f t="shared" si="8"/>
        <v>0</v>
      </c>
      <c r="BA17" s="187">
        <f t="shared" si="8"/>
        <v>0</v>
      </c>
      <c r="BB17" s="187">
        <f t="shared" si="8"/>
        <v>0</v>
      </c>
      <c r="BC17" s="17">
        <f t="shared" si="8"/>
        <v>0</v>
      </c>
      <c r="BD17" s="19">
        <f t="shared" ref="BD17:BH48" si="43">0/142.5</f>
        <v>0</v>
      </c>
      <c r="BE17" s="187">
        <f t="shared" si="43"/>
        <v>0</v>
      </c>
      <c r="BF17" s="187">
        <f t="shared" si="10"/>
        <v>0</v>
      </c>
      <c r="BG17" s="187">
        <f t="shared" si="10"/>
        <v>0</v>
      </c>
      <c r="BH17" s="187">
        <f t="shared" si="10"/>
        <v>0</v>
      </c>
      <c r="BI17" s="187">
        <f t="shared" si="11"/>
        <v>0</v>
      </c>
      <c r="BJ17" s="187">
        <f t="shared" si="11"/>
        <v>0</v>
      </c>
      <c r="BK17" s="17">
        <f t="shared" si="11"/>
        <v>0</v>
      </c>
      <c r="BL17" s="19">
        <f t="shared" ref="BL17:BP26" si="44">0/142.5</f>
        <v>0</v>
      </c>
      <c r="BM17" s="187">
        <f t="shared" si="44"/>
        <v>0</v>
      </c>
      <c r="BN17" s="187">
        <f t="shared" si="44"/>
        <v>0</v>
      </c>
      <c r="BO17" s="187">
        <f t="shared" si="44"/>
        <v>0</v>
      </c>
      <c r="BP17" s="187">
        <f t="shared" si="44"/>
        <v>0</v>
      </c>
      <c r="BQ17" s="187">
        <f t="shared" si="13"/>
        <v>0</v>
      </c>
      <c r="BR17" s="187">
        <f t="shared" si="13"/>
        <v>0</v>
      </c>
      <c r="BS17" s="17">
        <f t="shared" si="13"/>
        <v>0</v>
      </c>
      <c r="BT17" s="19">
        <f t="shared" si="28"/>
        <v>0</v>
      </c>
      <c r="BU17" s="187">
        <f t="shared" si="28"/>
        <v>0</v>
      </c>
      <c r="BV17" s="187">
        <f t="shared" si="28"/>
        <v>0</v>
      </c>
      <c r="BW17" s="187">
        <f t="shared" si="28"/>
        <v>0</v>
      </c>
      <c r="BX17" s="187">
        <f t="shared" si="28"/>
        <v>0</v>
      </c>
      <c r="BY17" s="187">
        <f t="shared" si="15"/>
        <v>0</v>
      </c>
      <c r="BZ17" s="187">
        <f t="shared" si="15"/>
        <v>0</v>
      </c>
      <c r="CA17" s="17">
        <f t="shared" si="15"/>
        <v>0</v>
      </c>
      <c r="CB17" s="73">
        <f t="shared" si="29"/>
        <v>0</v>
      </c>
      <c r="CC17" s="187">
        <f t="shared" si="16"/>
        <v>0</v>
      </c>
      <c r="CD17" s="187">
        <f t="shared" si="16"/>
        <v>0</v>
      </c>
      <c r="CE17" s="187">
        <f t="shared" si="16"/>
        <v>0</v>
      </c>
      <c r="CF17" s="187">
        <f t="shared" si="16"/>
        <v>0</v>
      </c>
      <c r="CG17" s="187">
        <f t="shared" si="17"/>
        <v>0</v>
      </c>
      <c r="CH17" s="187">
        <f t="shared" si="17"/>
        <v>0</v>
      </c>
      <c r="CI17" s="17">
        <f t="shared" si="17"/>
        <v>0</v>
      </c>
      <c r="CJ17" s="19">
        <f t="shared" ref="CJ17:CN26" si="45">0/157.5</f>
        <v>0</v>
      </c>
      <c r="CK17" s="187">
        <f t="shared" si="45"/>
        <v>0</v>
      </c>
      <c r="CL17" s="187">
        <f t="shared" si="45"/>
        <v>0</v>
      </c>
      <c r="CM17" s="187">
        <f t="shared" si="45"/>
        <v>0</v>
      </c>
      <c r="CN17" s="187">
        <f t="shared" si="45"/>
        <v>0</v>
      </c>
      <c r="CO17" s="187">
        <f t="shared" si="19"/>
        <v>0</v>
      </c>
      <c r="CP17" s="187">
        <f t="shared" si="19"/>
        <v>0</v>
      </c>
      <c r="CQ17" s="17">
        <f t="shared" si="19"/>
        <v>0</v>
      </c>
      <c r="CR17" s="19">
        <f t="shared" ref="CR17:CV26" si="46">0/142.5</f>
        <v>0</v>
      </c>
      <c r="CS17" s="187">
        <f t="shared" si="46"/>
        <v>0</v>
      </c>
      <c r="CT17" s="187">
        <f t="shared" si="46"/>
        <v>0</v>
      </c>
      <c r="CU17" s="187">
        <f t="shared" si="46"/>
        <v>0</v>
      </c>
      <c r="CV17" s="187">
        <f t="shared" si="46"/>
        <v>0</v>
      </c>
      <c r="CW17" s="187">
        <f t="shared" si="21"/>
        <v>0</v>
      </c>
      <c r="CX17" s="187">
        <f t="shared" si="21"/>
        <v>0</v>
      </c>
      <c r="CY17" s="17">
        <f t="shared" si="21"/>
        <v>0</v>
      </c>
      <c r="CZ17" s="278"/>
    </row>
    <row r="18" spans="1:104" ht="26.25" hidden="1" customHeight="1" outlineLevel="1" collapsed="1" x14ac:dyDescent="0.4">
      <c r="A18" s="380"/>
      <c r="B18" s="380"/>
      <c r="C18" s="380"/>
      <c r="D18" s="382"/>
      <c r="E18" s="382"/>
      <c r="F18" s="382"/>
      <c r="G18" s="526"/>
      <c r="H18" s="490"/>
      <c r="I18" s="490"/>
      <c r="J18" s="287"/>
      <c r="K18" s="289"/>
      <c r="L18" s="289"/>
      <c r="M18" s="293"/>
      <c r="N18" s="39" t="s">
        <v>25</v>
      </c>
      <c r="O18" s="207">
        <f>(0+1)/120</f>
        <v>8.3333333333333332E-3</v>
      </c>
      <c r="P18" s="207">
        <f t="shared" si="0"/>
        <v>0</v>
      </c>
      <c r="Q18" s="207">
        <f>(1+1)/120</f>
        <v>1.6666666666666666E-2</v>
      </c>
      <c r="R18" s="207">
        <f t="shared" si="1"/>
        <v>0</v>
      </c>
      <c r="S18" s="207">
        <f t="shared" si="1"/>
        <v>0</v>
      </c>
      <c r="T18" s="207">
        <f t="shared" si="1"/>
        <v>0</v>
      </c>
      <c r="U18" s="49">
        <f t="shared" si="1"/>
        <v>0</v>
      </c>
      <c r="V18" s="57">
        <f>(1.5)/142.5</f>
        <v>1.0526315789473684E-2</v>
      </c>
      <c r="W18" s="207">
        <f t="shared" si="40"/>
        <v>0</v>
      </c>
      <c r="X18" s="207">
        <f>(3)/142.5</f>
        <v>2.1052631578947368E-2</v>
      </c>
      <c r="Y18" s="207">
        <f t="shared" si="22"/>
        <v>0</v>
      </c>
      <c r="Z18" s="207">
        <f t="shared" si="24"/>
        <v>0</v>
      </c>
      <c r="AA18" s="207">
        <f t="shared" si="24"/>
        <v>0</v>
      </c>
      <c r="AB18" s="57">
        <f>(1)/165</f>
        <v>6.0606060606060606E-3</v>
      </c>
      <c r="AC18" s="207">
        <f>(0)/165</f>
        <v>0</v>
      </c>
      <c r="AD18" s="207">
        <f>(2+3)/165</f>
        <v>3.0303030303030304E-2</v>
      </c>
      <c r="AE18" s="207">
        <f t="shared" si="41"/>
        <v>0</v>
      </c>
      <c r="AF18" s="207">
        <f t="shared" si="41"/>
        <v>0</v>
      </c>
      <c r="AG18" s="207">
        <f t="shared" si="41"/>
        <v>0</v>
      </c>
      <c r="AH18" s="57">
        <f t="shared" si="3"/>
        <v>0</v>
      </c>
      <c r="AI18" s="207">
        <f t="shared" si="3"/>
        <v>0</v>
      </c>
      <c r="AJ18" s="207">
        <f t="shared" si="3"/>
        <v>0</v>
      </c>
      <c r="AK18" s="207">
        <f t="shared" si="3"/>
        <v>0</v>
      </c>
      <c r="AL18" s="207">
        <f t="shared" si="3"/>
        <v>0</v>
      </c>
      <c r="AM18" s="207">
        <f t="shared" si="3"/>
        <v>0</v>
      </c>
      <c r="AN18" s="57">
        <f t="shared" si="42"/>
        <v>0</v>
      </c>
      <c r="AO18" s="207">
        <f t="shared" si="6"/>
        <v>0</v>
      </c>
      <c r="AP18" s="207">
        <f t="shared" si="6"/>
        <v>0</v>
      </c>
      <c r="AQ18" s="207">
        <f t="shared" si="6"/>
        <v>0</v>
      </c>
      <c r="AR18" s="207">
        <f t="shared" si="6"/>
        <v>0</v>
      </c>
      <c r="AS18" s="207">
        <f t="shared" si="7"/>
        <v>0</v>
      </c>
      <c r="AT18" s="207">
        <f t="shared" si="7"/>
        <v>0</v>
      </c>
      <c r="AU18" s="49">
        <f t="shared" si="7"/>
        <v>0</v>
      </c>
      <c r="AV18" s="63">
        <f t="shared" si="27"/>
        <v>0</v>
      </c>
      <c r="AW18" s="208">
        <f t="shared" si="27"/>
        <v>0</v>
      </c>
      <c r="AX18" s="208">
        <f t="shared" si="8"/>
        <v>0</v>
      </c>
      <c r="AY18" s="208">
        <f t="shared" si="8"/>
        <v>0</v>
      </c>
      <c r="AZ18" s="208">
        <f t="shared" si="8"/>
        <v>0</v>
      </c>
      <c r="BA18" s="208">
        <f t="shared" si="8"/>
        <v>0</v>
      </c>
      <c r="BB18" s="208">
        <f t="shared" si="8"/>
        <v>0</v>
      </c>
      <c r="BC18" s="64">
        <f t="shared" si="8"/>
        <v>0</v>
      </c>
      <c r="BD18" s="63">
        <f t="shared" si="43"/>
        <v>0</v>
      </c>
      <c r="BE18" s="208">
        <f t="shared" si="43"/>
        <v>0</v>
      </c>
      <c r="BF18" s="208">
        <f t="shared" si="10"/>
        <v>0</v>
      </c>
      <c r="BG18" s="208">
        <f t="shared" si="10"/>
        <v>0</v>
      </c>
      <c r="BH18" s="208">
        <f t="shared" si="10"/>
        <v>0</v>
      </c>
      <c r="BI18" s="208">
        <f t="shared" si="11"/>
        <v>0</v>
      </c>
      <c r="BJ18" s="208">
        <f t="shared" si="11"/>
        <v>0</v>
      </c>
      <c r="BK18" s="64">
        <f t="shared" si="11"/>
        <v>0</v>
      </c>
      <c r="BL18" s="63">
        <f t="shared" si="44"/>
        <v>0</v>
      </c>
      <c r="BM18" s="208">
        <f t="shared" si="44"/>
        <v>0</v>
      </c>
      <c r="BN18" s="208">
        <f t="shared" si="44"/>
        <v>0</v>
      </c>
      <c r="BO18" s="208">
        <f t="shared" si="44"/>
        <v>0</v>
      </c>
      <c r="BP18" s="208">
        <f t="shared" si="44"/>
        <v>0</v>
      </c>
      <c r="BQ18" s="208">
        <f t="shared" si="13"/>
        <v>0</v>
      </c>
      <c r="BR18" s="208">
        <f t="shared" si="13"/>
        <v>0</v>
      </c>
      <c r="BS18" s="64">
        <f t="shared" si="13"/>
        <v>0</v>
      </c>
      <c r="BT18" s="63">
        <f t="shared" si="28"/>
        <v>0</v>
      </c>
      <c r="BU18" s="208">
        <f t="shared" si="28"/>
        <v>0</v>
      </c>
      <c r="BV18" s="208">
        <f t="shared" si="28"/>
        <v>0</v>
      </c>
      <c r="BW18" s="208">
        <f t="shared" si="28"/>
        <v>0</v>
      </c>
      <c r="BX18" s="208">
        <f t="shared" si="28"/>
        <v>0</v>
      </c>
      <c r="BY18" s="208">
        <f t="shared" si="15"/>
        <v>0</v>
      </c>
      <c r="BZ18" s="208">
        <f t="shared" si="15"/>
        <v>0</v>
      </c>
      <c r="CA18" s="64">
        <f t="shared" si="15"/>
        <v>0</v>
      </c>
      <c r="CB18" s="63">
        <f t="shared" si="29"/>
        <v>0</v>
      </c>
      <c r="CC18" s="208">
        <f t="shared" si="16"/>
        <v>0</v>
      </c>
      <c r="CD18" s="208">
        <f t="shared" si="16"/>
        <v>0</v>
      </c>
      <c r="CE18" s="208">
        <f t="shared" si="16"/>
        <v>0</v>
      </c>
      <c r="CF18" s="208">
        <f t="shared" si="16"/>
        <v>0</v>
      </c>
      <c r="CG18" s="208">
        <f t="shared" si="17"/>
        <v>0</v>
      </c>
      <c r="CH18" s="208">
        <f t="shared" si="17"/>
        <v>0</v>
      </c>
      <c r="CI18" s="64">
        <f t="shared" si="17"/>
        <v>0</v>
      </c>
      <c r="CJ18" s="63">
        <f t="shared" si="45"/>
        <v>0</v>
      </c>
      <c r="CK18" s="208">
        <f t="shared" si="45"/>
        <v>0</v>
      </c>
      <c r="CL18" s="208">
        <f t="shared" si="45"/>
        <v>0</v>
      </c>
      <c r="CM18" s="208">
        <f t="shared" si="45"/>
        <v>0</v>
      </c>
      <c r="CN18" s="208">
        <f t="shared" si="45"/>
        <v>0</v>
      </c>
      <c r="CO18" s="208">
        <f t="shared" si="19"/>
        <v>0</v>
      </c>
      <c r="CP18" s="208">
        <f t="shared" si="19"/>
        <v>0</v>
      </c>
      <c r="CQ18" s="64">
        <f t="shared" si="19"/>
        <v>0</v>
      </c>
      <c r="CR18" s="63">
        <f t="shared" si="46"/>
        <v>0</v>
      </c>
      <c r="CS18" s="208">
        <f t="shared" si="46"/>
        <v>0</v>
      </c>
      <c r="CT18" s="208">
        <f t="shared" si="46"/>
        <v>0</v>
      </c>
      <c r="CU18" s="208">
        <f t="shared" si="46"/>
        <v>0</v>
      </c>
      <c r="CV18" s="208">
        <f t="shared" si="46"/>
        <v>0</v>
      </c>
      <c r="CW18" s="208">
        <f t="shared" si="21"/>
        <v>0</v>
      </c>
      <c r="CX18" s="208">
        <f t="shared" si="21"/>
        <v>0</v>
      </c>
      <c r="CY18" s="64">
        <f t="shared" si="21"/>
        <v>0</v>
      </c>
      <c r="CZ18" s="278"/>
    </row>
    <row r="19" spans="1:104" ht="26.25" hidden="1" customHeight="1" outlineLevel="1" x14ac:dyDescent="0.4">
      <c r="A19" s="379">
        <v>7</v>
      </c>
      <c r="B19" s="379" t="s">
        <v>47</v>
      </c>
      <c r="C19" s="379" t="s">
        <v>347</v>
      </c>
      <c r="D19" s="381" t="s">
        <v>348</v>
      </c>
      <c r="E19" s="381" t="s">
        <v>443</v>
      </c>
      <c r="F19" s="381" t="s">
        <v>444</v>
      </c>
      <c r="G19" s="525" t="s">
        <v>445</v>
      </c>
      <c r="H19" s="489">
        <f t="shared" ref="H19" si="47">SUM(AH19:AM19)</f>
        <v>0</v>
      </c>
      <c r="I19" s="489">
        <f t="shared" ref="I19" si="48">SUM(AH20:AM20)</f>
        <v>0</v>
      </c>
      <c r="J19" s="286"/>
      <c r="K19" s="288"/>
      <c r="L19" s="288"/>
      <c r="M19" s="290"/>
      <c r="N19" s="48" t="s">
        <v>24</v>
      </c>
      <c r="O19" s="187">
        <f>(12)/120</f>
        <v>0.1</v>
      </c>
      <c r="P19" s="187">
        <f t="shared" si="0"/>
        <v>0</v>
      </c>
      <c r="Q19" s="187">
        <f t="shared" si="1"/>
        <v>0</v>
      </c>
      <c r="R19" s="187">
        <f>(25)/120</f>
        <v>0.20833333333333334</v>
      </c>
      <c r="S19" s="187">
        <f t="shared" si="1"/>
        <v>0</v>
      </c>
      <c r="T19" s="187">
        <f t="shared" si="1"/>
        <v>0</v>
      </c>
      <c r="U19" s="82">
        <f>(15)/120</f>
        <v>0.125</v>
      </c>
      <c r="V19" s="19">
        <f t="shared" ref="V19:V24" si="49">(0)/142.5</f>
        <v>0</v>
      </c>
      <c r="W19" s="187">
        <f t="shared" si="40"/>
        <v>0</v>
      </c>
      <c r="X19" s="187">
        <f t="shared" ref="X19:X24" si="50">(0)/142.5</f>
        <v>0</v>
      </c>
      <c r="Y19" s="187">
        <f t="shared" si="22"/>
        <v>0</v>
      </c>
      <c r="Z19" s="187">
        <f t="shared" si="24"/>
        <v>0</v>
      </c>
      <c r="AA19" s="187">
        <f t="shared" si="24"/>
        <v>0</v>
      </c>
      <c r="AB19" s="73">
        <f t="shared" ref="AB19:AG36" si="51">0/165</f>
        <v>0</v>
      </c>
      <c r="AC19" s="187">
        <f t="shared" si="51"/>
        <v>0</v>
      </c>
      <c r="AD19" s="187">
        <f t="shared" si="26"/>
        <v>0</v>
      </c>
      <c r="AE19" s="187">
        <f t="shared" si="26"/>
        <v>0</v>
      </c>
      <c r="AF19" s="187">
        <f t="shared" si="26"/>
        <v>0</v>
      </c>
      <c r="AG19" s="221">
        <f t="shared" si="26"/>
        <v>0</v>
      </c>
      <c r="AH19" s="73">
        <f t="shared" si="3"/>
        <v>0</v>
      </c>
      <c r="AI19" s="187">
        <f t="shared" si="3"/>
        <v>0</v>
      </c>
      <c r="AJ19" s="187">
        <f t="shared" si="3"/>
        <v>0</v>
      </c>
      <c r="AK19" s="187">
        <f t="shared" si="3"/>
        <v>0</v>
      </c>
      <c r="AL19" s="187">
        <f t="shared" si="3"/>
        <v>0</v>
      </c>
      <c r="AM19" s="187">
        <f t="shared" si="3"/>
        <v>0</v>
      </c>
      <c r="AN19" s="73">
        <f t="shared" si="42"/>
        <v>0</v>
      </c>
      <c r="AO19" s="187">
        <f t="shared" si="6"/>
        <v>0</v>
      </c>
      <c r="AP19" s="187">
        <f t="shared" si="6"/>
        <v>0</v>
      </c>
      <c r="AQ19" s="187">
        <f t="shared" si="6"/>
        <v>0</v>
      </c>
      <c r="AR19" s="187">
        <f t="shared" si="6"/>
        <v>0</v>
      </c>
      <c r="AS19" s="187">
        <f t="shared" si="7"/>
        <v>0</v>
      </c>
      <c r="AT19" s="187">
        <f t="shared" si="7"/>
        <v>0</v>
      </c>
      <c r="AU19" s="221">
        <f t="shared" si="7"/>
        <v>0</v>
      </c>
      <c r="AV19" s="222">
        <f t="shared" si="27"/>
        <v>0</v>
      </c>
      <c r="AW19" s="187">
        <f t="shared" si="27"/>
        <v>0</v>
      </c>
      <c r="AX19" s="187">
        <f t="shared" si="8"/>
        <v>0</v>
      </c>
      <c r="AY19" s="187">
        <f t="shared" si="8"/>
        <v>0</v>
      </c>
      <c r="AZ19" s="187">
        <f t="shared" si="8"/>
        <v>0</v>
      </c>
      <c r="BA19" s="187">
        <f t="shared" si="8"/>
        <v>0</v>
      </c>
      <c r="BB19" s="187">
        <f t="shared" si="8"/>
        <v>0</v>
      </c>
      <c r="BC19" s="17">
        <f t="shared" si="8"/>
        <v>0</v>
      </c>
      <c r="BD19" s="19">
        <f t="shared" si="43"/>
        <v>0</v>
      </c>
      <c r="BE19" s="187">
        <f t="shared" si="43"/>
        <v>0</v>
      </c>
      <c r="BF19" s="187">
        <f t="shared" si="10"/>
        <v>0</v>
      </c>
      <c r="BG19" s="187">
        <f t="shared" si="10"/>
        <v>0</v>
      </c>
      <c r="BH19" s="187">
        <f t="shared" si="10"/>
        <v>0</v>
      </c>
      <c r="BI19" s="187">
        <f t="shared" si="11"/>
        <v>0</v>
      </c>
      <c r="BJ19" s="187">
        <f t="shared" si="11"/>
        <v>0</v>
      </c>
      <c r="BK19" s="17">
        <f t="shared" si="11"/>
        <v>0</v>
      </c>
      <c r="BL19" s="19">
        <f t="shared" si="44"/>
        <v>0</v>
      </c>
      <c r="BM19" s="187">
        <f t="shared" si="44"/>
        <v>0</v>
      </c>
      <c r="BN19" s="187">
        <f t="shared" si="44"/>
        <v>0</v>
      </c>
      <c r="BO19" s="187">
        <f t="shared" si="44"/>
        <v>0</v>
      </c>
      <c r="BP19" s="187">
        <f t="shared" si="44"/>
        <v>0</v>
      </c>
      <c r="BQ19" s="187">
        <f t="shared" si="13"/>
        <v>0</v>
      </c>
      <c r="BR19" s="187">
        <f t="shared" si="13"/>
        <v>0</v>
      </c>
      <c r="BS19" s="17">
        <f t="shared" si="13"/>
        <v>0</v>
      </c>
      <c r="BT19" s="19">
        <f t="shared" ref="BT19:BX28" si="52">0/157.5</f>
        <v>0</v>
      </c>
      <c r="BU19" s="187">
        <f t="shared" si="52"/>
        <v>0</v>
      </c>
      <c r="BV19" s="187">
        <f t="shared" si="52"/>
        <v>0</v>
      </c>
      <c r="BW19" s="187">
        <f t="shared" si="52"/>
        <v>0</v>
      </c>
      <c r="BX19" s="187">
        <f t="shared" si="52"/>
        <v>0</v>
      </c>
      <c r="BY19" s="187">
        <f t="shared" si="15"/>
        <v>0</v>
      </c>
      <c r="BZ19" s="187">
        <f t="shared" si="15"/>
        <v>0</v>
      </c>
      <c r="CA19" s="17">
        <f t="shared" si="15"/>
        <v>0</v>
      </c>
      <c r="CB19" s="73">
        <f t="shared" si="29"/>
        <v>0</v>
      </c>
      <c r="CC19" s="187">
        <f t="shared" si="16"/>
        <v>0</v>
      </c>
      <c r="CD19" s="187">
        <f t="shared" si="16"/>
        <v>0</v>
      </c>
      <c r="CE19" s="187">
        <f t="shared" si="16"/>
        <v>0</v>
      </c>
      <c r="CF19" s="187">
        <f t="shared" si="16"/>
        <v>0</v>
      </c>
      <c r="CG19" s="187">
        <f t="shared" si="17"/>
        <v>0</v>
      </c>
      <c r="CH19" s="187">
        <f t="shared" si="17"/>
        <v>0</v>
      </c>
      <c r="CI19" s="17">
        <f t="shared" si="17"/>
        <v>0</v>
      </c>
      <c r="CJ19" s="19">
        <f t="shared" si="45"/>
        <v>0</v>
      </c>
      <c r="CK19" s="187">
        <f t="shared" si="45"/>
        <v>0</v>
      </c>
      <c r="CL19" s="187">
        <f t="shared" si="45"/>
        <v>0</v>
      </c>
      <c r="CM19" s="187">
        <f t="shared" si="45"/>
        <v>0</v>
      </c>
      <c r="CN19" s="187">
        <f t="shared" si="45"/>
        <v>0</v>
      </c>
      <c r="CO19" s="187">
        <f t="shared" si="19"/>
        <v>0</v>
      </c>
      <c r="CP19" s="187">
        <f t="shared" si="19"/>
        <v>0</v>
      </c>
      <c r="CQ19" s="17">
        <f t="shared" si="19"/>
        <v>0</v>
      </c>
      <c r="CR19" s="19">
        <f t="shared" si="46"/>
        <v>0</v>
      </c>
      <c r="CS19" s="187">
        <f t="shared" si="46"/>
        <v>0</v>
      </c>
      <c r="CT19" s="187">
        <f t="shared" si="46"/>
        <v>0</v>
      </c>
      <c r="CU19" s="187">
        <f t="shared" si="46"/>
        <v>0</v>
      </c>
      <c r="CV19" s="187">
        <f t="shared" si="46"/>
        <v>0</v>
      </c>
      <c r="CW19" s="187">
        <f t="shared" si="21"/>
        <v>0</v>
      </c>
      <c r="CX19" s="187">
        <f t="shared" si="21"/>
        <v>0</v>
      </c>
      <c r="CY19" s="17">
        <f t="shared" si="21"/>
        <v>0</v>
      </c>
      <c r="CZ19" s="278"/>
    </row>
    <row r="20" spans="1:104" ht="26.25" hidden="1" customHeight="1" outlineLevel="1" x14ac:dyDescent="0.4">
      <c r="A20" s="380"/>
      <c r="B20" s="380"/>
      <c r="C20" s="380"/>
      <c r="D20" s="382"/>
      <c r="E20" s="382"/>
      <c r="F20" s="382"/>
      <c r="G20" s="526"/>
      <c r="H20" s="490"/>
      <c r="I20" s="490"/>
      <c r="J20" s="287"/>
      <c r="K20" s="289"/>
      <c r="L20" s="289"/>
      <c r="M20" s="291"/>
      <c r="N20" s="39" t="s">
        <v>25</v>
      </c>
      <c r="O20" s="39">
        <f>(1+4.75+0.5)/120</f>
        <v>5.2083333333333336E-2</v>
      </c>
      <c r="P20" s="207">
        <f t="shared" si="0"/>
        <v>0</v>
      </c>
      <c r="Q20" s="207">
        <f t="shared" si="1"/>
        <v>0</v>
      </c>
      <c r="R20" s="207">
        <f>(3.5+16+6+2.5)/120</f>
        <v>0.23333333333333334</v>
      </c>
      <c r="S20" s="207">
        <f t="shared" si="1"/>
        <v>0</v>
      </c>
      <c r="T20" s="207">
        <f>(0)/120</f>
        <v>0</v>
      </c>
      <c r="U20" s="49">
        <f>(3.5+9+2)/120</f>
        <v>0.12083333333333333</v>
      </c>
      <c r="V20" s="57">
        <f t="shared" si="49"/>
        <v>0</v>
      </c>
      <c r="W20" s="207">
        <f t="shared" si="40"/>
        <v>0</v>
      </c>
      <c r="X20" s="207">
        <f t="shared" si="50"/>
        <v>0</v>
      </c>
      <c r="Y20" s="207">
        <f t="shared" si="22"/>
        <v>0</v>
      </c>
      <c r="Z20" s="207">
        <f t="shared" si="24"/>
        <v>0</v>
      </c>
      <c r="AA20" s="207">
        <f t="shared" si="24"/>
        <v>0</v>
      </c>
      <c r="AB20" s="57">
        <f t="shared" si="51"/>
        <v>0</v>
      </c>
      <c r="AC20" s="207">
        <f t="shared" si="51"/>
        <v>0</v>
      </c>
      <c r="AD20" s="207">
        <f t="shared" si="26"/>
        <v>0</v>
      </c>
      <c r="AE20" s="207">
        <f t="shared" si="26"/>
        <v>0</v>
      </c>
      <c r="AF20" s="207">
        <f t="shared" si="26"/>
        <v>0</v>
      </c>
      <c r="AG20" s="49">
        <f t="shared" si="26"/>
        <v>0</v>
      </c>
      <c r="AH20" s="57">
        <f t="shared" si="3"/>
        <v>0</v>
      </c>
      <c r="AI20" s="207">
        <f t="shared" si="3"/>
        <v>0</v>
      </c>
      <c r="AJ20" s="207">
        <f t="shared" si="3"/>
        <v>0</v>
      </c>
      <c r="AK20" s="207">
        <f t="shared" si="3"/>
        <v>0</v>
      </c>
      <c r="AL20" s="207">
        <f t="shared" si="3"/>
        <v>0</v>
      </c>
      <c r="AM20" s="207">
        <f t="shared" si="3"/>
        <v>0</v>
      </c>
      <c r="AN20" s="57">
        <f t="shared" si="42"/>
        <v>0</v>
      </c>
      <c r="AO20" s="207">
        <f t="shared" si="6"/>
        <v>0</v>
      </c>
      <c r="AP20" s="207">
        <f t="shared" si="6"/>
        <v>0</v>
      </c>
      <c r="AQ20" s="207">
        <f t="shared" si="6"/>
        <v>0</v>
      </c>
      <c r="AR20" s="207">
        <f t="shared" si="6"/>
        <v>0</v>
      </c>
      <c r="AS20" s="207">
        <f t="shared" si="7"/>
        <v>0</v>
      </c>
      <c r="AT20" s="207">
        <f t="shared" si="7"/>
        <v>0</v>
      </c>
      <c r="AU20" s="49">
        <f t="shared" si="7"/>
        <v>0</v>
      </c>
      <c r="AV20" s="63">
        <f t="shared" si="27"/>
        <v>0</v>
      </c>
      <c r="AW20" s="208">
        <f t="shared" si="27"/>
        <v>0</v>
      </c>
      <c r="AX20" s="208">
        <f t="shared" si="8"/>
        <v>0</v>
      </c>
      <c r="AY20" s="208">
        <f t="shared" si="8"/>
        <v>0</v>
      </c>
      <c r="AZ20" s="208">
        <f t="shared" si="8"/>
        <v>0</v>
      </c>
      <c r="BA20" s="208">
        <f t="shared" si="8"/>
        <v>0</v>
      </c>
      <c r="BB20" s="208">
        <f t="shared" si="8"/>
        <v>0</v>
      </c>
      <c r="BC20" s="64">
        <f t="shared" si="8"/>
        <v>0</v>
      </c>
      <c r="BD20" s="63">
        <f t="shared" si="43"/>
        <v>0</v>
      </c>
      <c r="BE20" s="208">
        <f t="shared" si="43"/>
        <v>0</v>
      </c>
      <c r="BF20" s="208">
        <f t="shared" si="10"/>
        <v>0</v>
      </c>
      <c r="BG20" s="208">
        <f t="shared" si="10"/>
        <v>0</v>
      </c>
      <c r="BH20" s="208">
        <f t="shared" si="10"/>
        <v>0</v>
      </c>
      <c r="BI20" s="208">
        <f t="shared" si="11"/>
        <v>0</v>
      </c>
      <c r="BJ20" s="208">
        <f t="shared" si="11"/>
        <v>0</v>
      </c>
      <c r="BK20" s="64">
        <f t="shared" si="11"/>
        <v>0</v>
      </c>
      <c r="BL20" s="63">
        <f t="shared" si="44"/>
        <v>0</v>
      </c>
      <c r="BM20" s="208">
        <f t="shared" si="44"/>
        <v>0</v>
      </c>
      <c r="BN20" s="208">
        <f t="shared" si="44"/>
        <v>0</v>
      </c>
      <c r="BO20" s="208">
        <f t="shared" si="44"/>
        <v>0</v>
      </c>
      <c r="BP20" s="208">
        <f t="shared" si="44"/>
        <v>0</v>
      </c>
      <c r="BQ20" s="208">
        <f t="shared" si="13"/>
        <v>0</v>
      </c>
      <c r="BR20" s="208">
        <f t="shared" si="13"/>
        <v>0</v>
      </c>
      <c r="BS20" s="64">
        <f t="shared" si="13"/>
        <v>0</v>
      </c>
      <c r="BT20" s="63">
        <f t="shared" si="52"/>
        <v>0</v>
      </c>
      <c r="BU20" s="208">
        <f t="shared" si="52"/>
        <v>0</v>
      </c>
      <c r="BV20" s="208">
        <f t="shared" si="52"/>
        <v>0</v>
      </c>
      <c r="BW20" s="208">
        <f t="shared" si="52"/>
        <v>0</v>
      </c>
      <c r="BX20" s="208">
        <f t="shared" si="52"/>
        <v>0</v>
      </c>
      <c r="BY20" s="208">
        <f t="shared" si="15"/>
        <v>0</v>
      </c>
      <c r="BZ20" s="208">
        <f t="shared" si="15"/>
        <v>0</v>
      </c>
      <c r="CA20" s="64">
        <f t="shared" si="15"/>
        <v>0</v>
      </c>
      <c r="CB20" s="63">
        <f t="shared" si="29"/>
        <v>0</v>
      </c>
      <c r="CC20" s="208">
        <f t="shared" si="16"/>
        <v>0</v>
      </c>
      <c r="CD20" s="208">
        <f t="shared" si="16"/>
        <v>0</v>
      </c>
      <c r="CE20" s="208">
        <f t="shared" si="16"/>
        <v>0</v>
      </c>
      <c r="CF20" s="208">
        <f t="shared" si="16"/>
        <v>0</v>
      </c>
      <c r="CG20" s="208">
        <f t="shared" si="17"/>
        <v>0</v>
      </c>
      <c r="CH20" s="208">
        <f t="shared" si="17"/>
        <v>0</v>
      </c>
      <c r="CI20" s="64">
        <f t="shared" si="17"/>
        <v>0</v>
      </c>
      <c r="CJ20" s="63">
        <f t="shared" si="45"/>
        <v>0</v>
      </c>
      <c r="CK20" s="208">
        <f t="shared" si="45"/>
        <v>0</v>
      </c>
      <c r="CL20" s="208">
        <f t="shared" si="45"/>
        <v>0</v>
      </c>
      <c r="CM20" s="208">
        <f t="shared" si="45"/>
        <v>0</v>
      </c>
      <c r="CN20" s="208">
        <f t="shared" si="45"/>
        <v>0</v>
      </c>
      <c r="CO20" s="208">
        <f t="shared" si="19"/>
        <v>0</v>
      </c>
      <c r="CP20" s="208">
        <f t="shared" si="19"/>
        <v>0</v>
      </c>
      <c r="CQ20" s="64">
        <f t="shared" si="19"/>
        <v>0</v>
      </c>
      <c r="CR20" s="63">
        <f t="shared" si="46"/>
        <v>0</v>
      </c>
      <c r="CS20" s="208">
        <f t="shared" si="46"/>
        <v>0</v>
      </c>
      <c r="CT20" s="208">
        <f t="shared" si="46"/>
        <v>0</v>
      </c>
      <c r="CU20" s="208">
        <f t="shared" si="46"/>
        <v>0</v>
      </c>
      <c r="CV20" s="208">
        <f t="shared" si="46"/>
        <v>0</v>
      </c>
      <c r="CW20" s="208">
        <f t="shared" si="21"/>
        <v>0</v>
      </c>
      <c r="CX20" s="208">
        <f t="shared" si="21"/>
        <v>0</v>
      </c>
      <c r="CY20" s="64">
        <f t="shared" si="21"/>
        <v>0</v>
      </c>
      <c r="CZ20" s="278"/>
    </row>
    <row r="21" spans="1:104" ht="26.25" hidden="1" customHeight="1" outlineLevel="1" x14ac:dyDescent="0.4">
      <c r="A21" s="379">
        <v>8</v>
      </c>
      <c r="B21" s="379" t="s">
        <v>47</v>
      </c>
      <c r="C21" s="379" t="s">
        <v>347</v>
      </c>
      <c r="D21" s="381" t="s">
        <v>348</v>
      </c>
      <c r="E21" s="381" t="s">
        <v>446</v>
      </c>
      <c r="F21" s="381" t="s">
        <v>447</v>
      </c>
      <c r="G21" s="525" t="s">
        <v>448</v>
      </c>
      <c r="H21" s="489">
        <f t="shared" ref="H21" si="53">SUM(AH21:AM21)</f>
        <v>0</v>
      </c>
      <c r="I21" s="489">
        <f t="shared" ref="I21" si="54">SUM(AH22:AM22)</f>
        <v>0</v>
      </c>
      <c r="J21" s="497"/>
      <c r="K21" s="491"/>
      <c r="L21" s="491"/>
      <c r="M21" s="493"/>
      <c r="N21" s="48" t="s">
        <v>24</v>
      </c>
      <c r="O21" s="187">
        <f>(5)/120</f>
        <v>4.1666666666666664E-2</v>
      </c>
      <c r="P21" s="187">
        <f t="shared" si="0"/>
        <v>0</v>
      </c>
      <c r="Q21" s="187">
        <f t="shared" si="1"/>
        <v>0</v>
      </c>
      <c r="R21" s="187">
        <f t="shared" si="1"/>
        <v>0</v>
      </c>
      <c r="S21" s="187">
        <f t="shared" si="1"/>
        <v>0</v>
      </c>
      <c r="T21" s="187">
        <f>(30)/120</f>
        <v>0.25</v>
      </c>
      <c r="U21" s="82">
        <f t="shared" si="1"/>
        <v>0</v>
      </c>
      <c r="V21" s="19">
        <f t="shared" si="49"/>
        <v>0</v>
      </c>
      <c r="W21" s="187">
        <f t="shared" si="40"/>
        <v>0</v>
      </c>
      <c r="X21" s="187">
        <f t="shared" si="50"/>
        <v>0</v>
      </c>
      <c r="Y21" s="187">
        <f t="shared" si="22"/>
        <v>0</v>
      </c>
      <c r="Z21" s="187">
        <f t="shared" si="24"/>
        <v>0</v>
      </c>
      <c r="AA21" s="187">
        <f t="shared" si="24"/>
        <v>0</v>
      </c>
      <c r="AB21" s="73">
        <f t="shared" si="51"/>
        <v>0</v>
      </c>
      <c r="AC21" s="187">
        <f t="shared" si="51"/>
        <v>0</v>
      </c>
      <c r="AD21" s="187">
        <f t="shared" si="26"/>
        <v>0</v>
      </c>
      <c r="AE21" s="187">
        <f t="shared" si="26"/>
        <v>0</v>
      </c>
      <c r="AF21" s="187">
        <f t="shared" si="26"/>
        <v>0</v>
      </c>
      <c r="AG21" s="221">
        <f t="shared" si="26"/>
        <v>0</v>
      </c>
      <c r="AH21" s="73">
        <f t="shared" si="3"/>
        <v>0</v>
      </c>
      <c r="AI21" s="187">
        <f t="shared" si="3"/>
        <v>0</v>
      </c>
      <c r="AJ21" s="187">
        <f t="shared" si="3"/>
        <v>0</v>
      </c>
      <c r="AK21" s="187">
        <f t="shared" si="3"/>
        <v>0</v>
      </c>
      <c r="AL21" s="187">
        <f t="shared" si="3"/>
        <v>0</v>
      </c>
      <c r="AM21" s="187">
        <f t="shared" si="3"/>
        <v>0</v>
      </c>
      <c r="AN21" s="73">
        <f t="shared" si="42"/>
        <v>0</v>
      </c>
      <c r="AO21" s="187">
        <f t="shared" si="6"/>
        <v>0</v>
      </c>
      <c r="AP21" s="187">
        <f t="shared" si="6"/>
        <v>0</v>
      </c>
      <c r="AQ21" s="187">
        <f t="shared" si="6"/>
        <v>0</v>
      </c>
      <c r="AR21" s="187">
        <f t="shared" si="6"/>
        <v>0</v>
      </c>
      <c r="AS21" s="187">
        <f t="shared" si="7"/>
        <v>0</v>
      </c>
      <c r="AT21" s="187">
        <f t="shared" si="7"/>
        <v>0</v>
      </c>
      <c r="AU21" s="221">
        <f t="shared" si="7"/>
        <v>0</v>
      </c>
      <c r="AV21" s="222">
        <f t="shared" si="27"/>
        <v>0</v>
      </c>
      <c r="AW21" s="187">
        <f t="shared" si="27"/>
        <v>0</v>
      </c>
      <c r="AX21" s="187">
        <f t="shared" si="8"/>
        <v>0</v>
      </c>
      <c r="AY21" s="187">
        <f t="shared" si="8"/>
        <v>0</v>
      </c>
      <c r="AZ21" s="187">
        <f t="shared" si="8"/>
        <v>0</v>
      </c>
      <c r="BA21" s="187">
        <f t="shared" si="8"/>
        <v>0</v>
      </c>
      <c r="BB21" s="187">
        <f t="shared" si="8"/>
        <v>0</v>
      </c>
      <c r="BC21" s="17">
        <f t="shared" si="8"/>
        <v>0</v>
      </c>
      <c r="BD21" s="19">
        <f t="shared" si="43"/>
        <v>0</v>
      </c>
      <c r="BE21" s="187">
        <f t="shared" si="43"/>
        <v>0</v>
      </c>
      <c r="BF21" s="187">
        <f t="shared" si="10"/>
        <v>0</v>
      </c>
      <c r="BG21" s="187">
        <f t="shared" si="10"/>
        <v>0</v>
      </c>
      <c r="BH21" s="187">
        <f t="shared" si="10"/>
        <v>0</v>
      </c>
      <c r="BI21" s="187">
        <f t="shared" si="11"/>
        <v>0</v>
      </c>
      <c r="BJ21" s="187">
        <f t="shared" si="11"/>
        <v>0</v>
      </c>
      <c r="BK21" s="17">
        <f t="shared" si="11"/>
        <v>0</v>
      </c>
      <c r="BL21" s="19">
        <f t="shared" si="44"/>
        <v>0</v>
      </c>
      <c r="BM21" s="187">
        <f t="shared" si="44"/>
        <v>0</v>
      </c>
      <c r="BN21" s="187">
        <f t="shared" si="44"/>
        <v>0</v>
      </c>
      <c r="BO21" s="187">
        <f t="shared" si="44"/>
        <v>0</v>
      </c>
      <c r="BP21" s="187">
        <f t="shared" si="44"/>
        <v>0</v>
      </c>
      <c r="BQ21" s="187">
        <f t="shared" si="13"/>
        <v>0</v>
      </c>
      <c r="BR21" s="187">
        <f t="shared" si="13"/>
        <v>0</v>
      </c>
      <c r="BS21" s="17">
        <f t="shared" si="13"/>
        <v>0</v>
      </c>
      <c r="BT21" s="19">
        <f t="shared" si="52"/>
        <v>0</v>
      </c>
      <c r="BU21" s="187">
        <f t="shared" si="52"/>
        <v>0</v>
      </c>
      <c r="BV21" s="187">
        <f t="shared" si="52"/>
        <v>0</v>
      </c>
      <c r="BW21" s="187">
        <f t="shared" si="52"/>
        <v>0</v>
      </c>
      <c r="BX21" s="187">
        <f t="shared" si="52"/>
        <v>0</v>
      </c>
      <c r="BY21" s="187">
        <f t="shared" si="15"/>
        <v>0</v>
      </c>
      <c r="BZ21" s="187">
        <f t="shared" si="15"/>
        <v>0</v>
      </c>
      <c r="CA21" s="17">
        <f t="shared" si="15"/>
        <v>0</v>
      </c>
      <c r="CB21" s="73">
        <f t="shared" si="29"/>
        <v>0</v>
      </c>
      <c r="CC21" s="187">
        <f t="shared" si="16"/>
        <v>0</v>
      </c>
      <c r="CD21" s="187">
        <f t="shared" si="16"/>
        <v>0</v>
      </c>
      <c r="CE21" s="187">
        <f t="shared" si="16"/>
        <v>0</v>
      </c>
      <c r="CF21" s="187">
        <f t="shared" si="16"/>
        <v>0</v>
      </c>
      <c r="CG21" s="187">
        <f t="shared" si="17"/>
        <v>0</v>
      </c>
      <c r="CH21" s="187">
        <f t="shared" si="17"/>
        <v>0</v>
      </c>
      <c r="CI21" s="17">
        <f t="shared" si="17"/>
        <v>0</v>
      </c>
      <c r="CJ21" s="19">
        <f t="shared" si="45"/>
        <v>0</v>
      </c>
      <c r="CK21" s="187">
        <f t="shared" si="45"/>
        <v>0</v>
      </c>
      <c r="CL21" s="187">
        <f t="shared" si="45"/>
        <v>0</v>
      </c>
      <c r="CM21" s="187">
        <f t="shared" si="45"/>
        <v>0</v>
      </c>
      <c r="CN21" s="187">
        <f t="shared" si="45"/>
        <v>0</v>
      </c>
      <c r="CO21" s="187">
        <f t="shared" si="19"/>
        <v>0</v>
      </c>
      <c r="CP21" s="187">
        <f t="shared" si="19"/>
        <v>0</v>
      </c>
      <c r="CQ21" s="17">
        <f t="shared" si="19"/>
        <v>0</v>
      </c>
      <c r="CR21" s="19">
        <f t="shared" si="46"/>
        <v>0</v>
      </c>
      <c r="CS21" s="187">
        <f t="shared" si="46"/>
        <v>0</v>
      </c>
      <c r="CT21" s="187">
        <f t="shared" si="46"/>
        <v>0</v>
      </c>
      <c r="CU21" s="187">
        <f t="shared" si="46"/>
        <v>0</v>
      </c>
      <c r="CV21" s="187">
        <f t="shared" si="46"/>
        <v>0</v>
      </c>
      <c r="CW21" s="187">
        <f t="shared" si="21"/>
        <v>0</v>
      </c>
      <c r="CX21" s="187">
        <f t="shared" si="21"/>
        <v>0</v>
      </c>
      <c r="CY21" s="17">
        <f t="shared" si="21"/>
        <v>0</v>
      </c>
      <c r="CZ21" s="278"/>
    </row>
    <row r="22" spans="1:104" ht="26.25" hidden="1" customHeight="1" outlineLevel="1" x14ac:dyDescent="0.4">
      <c r="A22" s="380"/>
      <c r="B22" s="380"/>
      <c r="C22" s="380"/>
      <c r="D22" s="382"/>
      <c r="E22" s="382"/>
      <c r="F22" s="382"/>
      <c r="G22" s="526"/>
      <c r="H22" s="490"/>
      <c r="I22" s="490"/>
      <c r="J22" s="498"/>
      <c r="K22" s="492"/>
      <c r="L22" s="492"/>
      <c r="M22" s="494"/>
      <c r="N22" s="39" t="s">
        <v>25</v>
      </c>
      <c r="O22" s="39">
        <f>(1.5+3.75+1+0.75)/120</f>
        <v>5.8333333333333334E-2</v>
      </c>
      <c r="P22" s="207">
        <f t="shared" si="0"/>
        <v>0</v>
      </c>
      <c r="Q22" s="207">
        <f t="shared" si="0"/>
        <v>0</v>
      </c>
      <c r="R22" s="207">
        <f t="shared" si="0"/>
        <v>0</v>
      </c>
      <c r="S22" s="207">
        <f>(0+1)/120</f>
        <v>8.3333333333333332E-3</v>
      </c>
      <c r="T22" s="207">
        <f>(0+13.5+6+2.5)/120</f>
        <v>0.18333333333333332</v>
      </c>
      <c r="U22" s="49">
        <f t="shared" si="0"/>
        <v>0</v>
      </c>
      <c r="V22" s="57">
        <f t="shared" si="49"/>
        <v>0</v>
      </c>
      <c r="W22" s="207">
        <f t="shared" si="40"/>
        <v>0</v>
      </c>
      <c r="X22" s="207">
        <f t="shared" si="50"/>
        <v>0</v>
      </c>
      <c r="Y22" s="207">
        <f t="shared" si="22"/>
        <v>0</v>
      </c>
      <c r="Z22" s="207">
        <f t="shared" si="24"/>
        <v>0</v>
      </c>
      <c r="AA22" s="207">
        <f t="shared" si="24"/>
        <v>0</v>
      </c>
      <c r="AB22" s="57">
        <f t="shared" si="51"/>
        <v>0</v>
      </c>
      <c r="AC22" s="207">
        <f t="shared" si="51"/>
        <v>0</v>
      </c>
      <c r="AD22" s="207">
        <f t="shared" si="26"/>
        <v>0</v>
      </c>
      <c r="AE22" s="207">
        <f t="shared" si="26"/>
        <v>0</v>
      </c>
      <c r="AF22" s="207">
        <f t="shared" si="26"/>
        <v>0</v>
      </c>
      <c r="AG22" s="49">
        <f t="shared" si="26"/>
        <v>0</v>
      </c>
      <c r="AH22" s="57">
        <f t="shared" si="3"/>
        <v>0</v>
      </c>
      <c r="AI22" s="207">
        <f t="shared" si="3"/>
        <v>0</v>
      </c>
      <c r="AJ22" s="207">
        <f t="shared" si="3"/>
        <v>0</v>
      </c>
      <c r="AK22" s="207">
        <f t="shared" si="3"/>
        <v>0</v>
      </c>
      <c r="AL22" s="207">
        <f t="shared" si="3"/>
        <v>0</v>
      </c>
      <c r="AM22" s="207">
        <f t="shared" si="3"/>
        <v>0</v>
      </c>
      <c r="AN22" s="57">
        <f t="shared" si="42"/>
        <v>0</v>
      </c>
      <c r="AO22" s="207">
        <f t="shared" si="6"/>
        <v>0</v>
      </c>
      <c r="AP22" s="207">
        <f t="shared" si="6"/>
        <v>0</v>
      </c>
      <c r="AQ22" s="207">
        <f t="shared" si="6"/>
        <v>0</v>
      </c>
      <c r="AR22" s="207">
        <f t="shared" si="6"/>
        <v>0</v>
      </c>
      <c r="AS22" s="207">
        <f t="shared" si="7"/>
        <v>0</v>
      </c>
      <c r="AT22" s="207">
        <f t="shared" si="7"/>
        <v>0</v>
      </c>
      <c r="AU22" s="49">
        <f t="shared" si="7"/>
        <v>0</v>
      </c>
      <c r="AV22" s="63">
        <f t="shared" si="27"/>
        <v>0</v>
      </c>
      <c r="AW22" s="208">
        <f t="shared" si="27"/>
        <v>0</v>
      </c>
      <c r="AX22" s="208">
        <f t="shared" si="8"/>
        <v>0</v>
      </c>
      <c r="AY22" s="208">
        <f t="shared" si="8"/>
        <v>0</v>
      </c>
      <c r="AZ22" s="208">
        <f t="shared" si="8"/>
        <v>0</v>
      </c>
      <c r="BA22" s="208">
        <f t="shared" si="8"/>
        <v>0</v>
      </c>
      <c r="BB22" s="208">
        <f t="shared" si="8"/>
        <v>0</v>
      </c>
      <c r="BC22" s="64">
        <f t="shared" si="8"/>
        <v>0</v>
      </c>
      <c r="BD22" s="63">
        <f t="shared" si="43"/>
        <v>0</v>
      </c>
      <c r="BE22" s="208">
        <f t="shared" si="43"/>
        <v>0</v>
      </c>
      <c r="BF22" s="208">
        <f t="shared" si="10"/>
        <v>0</v>
      </c>
      <c r="BG22" s="208">
        <f t="shared" si="10"/>
        <v>0</v>
      </c>
      <c r="BH22" s="208">
        <f t="shared" si="10"/>
        <v>0</v>
      </c>
      <c r="BI22" s="208">
        <f t="shared" si="11"/>
        <v>0</v>
      </c>
      <c r="BJ22" s="208">
        <f t="shared" si="11"/>
        <v>0</v>
      </c>
      <c r="BK22" s="64">
        <f t="shared" si="11"/>
        <v>0</v>
      </c>
      <c r="BL22" s="63">
        <f t="shared" si="44"/>
        <v>0</v>
      </c>
      <c r="BM22" s="208">
        <f t="shared" si="44"/>
        <v>0</v>
      </c>
      <c r="BN22" s="208">
        <f t="shared" si="44"/>
        <v>0</v>
      </c>
      <c r="BO22" s="208">
        <f t="shared" si="44"/>
        <v>0</v>
      </c>
      <c r="BP22" s="208">
        <f t="shared" si="44"/>
        <v>0</v>
      </c>
      <c r="BQ22" s="208">
        <f t="shared" si="13"/>
        <v>0</v>
      </c>
      <c r="BR22" s="208">
        <f t="shared" si="13"/>
        <v>0</v>
      </c>
      <c r="BS22" s="64">
        <f t="shared" si="13"/>
        <v>0</v>
      </c>
      <c r="BT22" s="63">
        <f t="shared" si="52"/>
        <v>0</v>
      </c>
      <c r="BU22" s="208">
        <f t="shared" si="52"/>
        <v>0</v>
      </c>
      <c r="BV22" s="208">
        <f t="shared" si="52"/>
        <v>0</v>
      </c>
      <c r="BW22" s="208">
        <f t="shared" si="52"/>
        <v>0</v>
      </c>
      <c r="BX22" s="208">
        <f t="shared" si="52"/>
        <v>0</v>
      </c>
      <c r="BY22" s="208">
        <f t="shared" si="15"/>
        <v>0</v>
      </c>
      <c r="BZ22" s="208">
        <f t="shared" si="15"/>
        <v>0</v>
      </c>
      <c r="CA22" s="64">
        <f t="shared" si="15"/>
        <v>0</v>
      </c>
      <c r="CB22" s="63">
        <f t="shared" si="29"/>
        <v>0</v>
      </c>
      <c r="CC22" s="208">
        <f t="shared" si="16"/>
        <v>0</v>
      </c>
      <c r="CD22" s="208">
        <f t="shared" si="16"/>
        <v>0</v>
      </c>
      <c r="CE22" s="208">
        <f t="shared" si="16"/>
        <v>0</v>
      </c>
      <c r="CF22" s="208">
        <f t="shared" si="16"/>
        <v>0</v>
      </c>
      <c r="CG22" s="208">
        <f t="shared" si="17"/>
        <v>0</v>
      </c>
      <c r="CH22" s="208">
        <f t="shared" si="17"/>
        <v>0</v>
      </c>
      <c r="CI22" s="64">
        <f t="shared" si="17"/>
        <v>0</v>
      </c>
      <c r="CJ22" s="63">
        <f t="shared" si="45"/>
        <v>0</v>
      </c>
      <c r="CK22" s="208">
        <f t="shared" si="45"/>
        <v>0</v>
      </c>
      <c r="CL22" s="208">
        <f t="shared" si="45"/>
        <v>0</v>
      </c>
      <c r="CM22" s="208">
        <f t="shared" si="45"/>
        <v>0</v>
      </c>
      <c r="CN22" s="208">
        <f t="shared" si="45"/>
        <v>0</v>
      </c>
      <c r="CO22" s="208">
        <f t="shared" si="19"/>
        <v>0</v>
      </c>
      <c r="CP22" s="208">
        <f t="shared" si="19"/>
        <v>0</v>
      </c>
      <c r="CQ22" s="64">
        <f t="shared" si="19"/>
        <v>0</v>
      </c>
      <c r="CR22" s="63">
        <f t="shared" si="46"/>
        <v>0</v>
      </c>
      <c r="CS22" s="208">
        <f t="shared" si="46"/>
        <v>0</v>
      </c>
      <c r="CT22" s="208">
        <f t="shared" si="46"/>
        <v>0</v>
      </c>
      <c r="CU22" s="208">
        <f t="shared" si="46"/>
        <v>0</v>
      </c>
      <c r="CV22" s="208">
        <f t="shared" si="46"/>
        <v>0</v>
      </c>
      <c r="CW22" s="208">
        <f t="shared" si="21"/>
        <v>0</v>
      </c>
      <c r="CX22" s="208">
        <f t="shared" si="21"/>
        <v>0</v>
      </c>
      <c r="CY22" s="64">
        <f t="shared" si="21"/>
        <v>0</v>
      </c>
      <c r="CZ22" s="278"/>
    </row>
    <row r="23" spans="1:104" ht="26.25" hidden="1" customHeight="1" outlineLevel="1" x14ac:dyDescent="0.4">
      <c r="A23" s="379">
        <v>9</v>
      </c>
      <c r="B23" s="379" t="s">
        <v>47</v>
      </c>
      <c r="C23" s="379" t="s">
        <v>347</v>
      </c>
      <c r="D23" s="381" t="s">
        <v>348</v>
      </c>
      <c r="E23" s="381" t="s">
        <v>471</v>
      </c>
      <c r="F23" s="381"/>
      <c r="G23" s="402" t="s">
        <v>473</v>
      </c>
      <c r="H23" s="489">
        <f t="shared" ref="H23" si="55">SUM(AH23:AM23)</f>
        <v>0</v>
      </c>
      <c r="I23" s="489">
        <f t="shared" ref="I23" si="56">SUM(AH24:AM24)</f>
        <v>0</v>
      </c>
      <c r="J23" s="497"/>
      <c r="K23" s="491"/>
      <c r="L23" s="491"/>
      <c r="M23" s="493"/>
      <c r="N23" s="48" t="s">
        <v>24</v>
      </c>
      <c r="O23" s="187">
        <f>(5)/120</f>
        <v>4.1666666666666664E-2</v>
      </c>
      <c r="P23" s="187">
        <f t="shared" si="0"/>
        <v>0</v>
      </c>
      <c r="Q23" s="187">
        <f>(6.5)/120</f>
        <v>5.4166666666666669E-2</v>
      </c>
      <c r="R23" s="187">
        <f t="shared" si="0"/>
        <v>0</v>
      </c>
      <c r="S23" s="187">
        <f>(11.5)/120</f>
        <v>9.583333333333334E-2</v>
      </c>
      <c r="T23" s="187">
        <f t="shared" si="0"/>
        <v>0</v>
      </c>
      <c r="U23" s="82">
        <f>(2)/120</f>
        <v>1.6666666666666666E-2</v>
      </c>
      <c r="V23" s="19">
        <f t="shared" si="49"/>
        <v>0</v>
      </c>
      <c r="W23" s="187">
        <f t="shared" si="40"/>
        <v>0</v>
      </c>
      <c r="X23" s="187">
        <f t="shared" si="50"/>
        <v>0</v>
      </c>
      <c r="Y23" s="187">
        <f t="shared" si="22"/>
        <v>0</v>
      </c>
      <c r="Z23" s="187">
        <f t="shared" si="24"/>
        <v>0</v>
      </c>
      <c r="AA23" s="187">
        <f t="shared" si="24"/>
        <v>0</v>
      </c>
      <c r="AB23" s="73">
        <f t="shared" si="51"/>
        <v>0</v>
      </c>
      <c r="AC23" s="187">
        <f t="shared" si="51"/>
        <v>0</v>
      </c>
      <c r="AD23" s="187">
        <f t="shared" si="51"/>
        <v>0</v>
      </c>
      <c r="AE23" s="187">
        <f t="shared" si="51"/>
        <v>0</v>
      </c>
      <c r="AF23" s="187">
        <f t="shared" si="51"/>
        <v>0</v>
      </c>
      <c r="AG23" s="221">
        <f t="shared" si="51"/>
        <v>0</v>
      </c>
      <c r="AH23" s="73">
        <f t="shared" si="3"/>
        <v>0</v>
      </c>
      <c r="AI23" s="187">
        <f t="shared" si="3"/>
        <v>0</v>
      </c>
      <c r="AJ23" s="187">
        <f t="shared" si="3"/>
        <v>0</v>
      </c>
      <c r="AK23" s="187">
        <f t="shared" si="3"/>
        <v>0</v>
      </c>
      <c r="AL23" s="187">
        <f t="shared" si="3"/>
        <v>0</v>
      </c>
      <c r="AM23" s="187">
        <f t="shared" si="3"/>
        <v>0</v>
      </c>
      <c r="AN23" s="73">
        <f t="shared" si="42"/>
        <v>0</v>
      </c>
      <c r="AO23" s="187">
        <f t="shared" si="42"/>
        <v>0</v>
      </c>
      <c r="AP23" s="187">
        <f t="shared" si="42"/>
        <v>0</v>
      </c>
      <c r="AQ23" s="187">
        <f t="shared" si="42"/>
        <v>0</v>
      </c>
      <c r="AR23" s="187">
        <f t="shared" si="42"/>
        <v>0</v>
      </c>
      <c r="AS23" s="187">
        <f t="shared" ref="AS23:AU54" si="57">0/165</f>
        <v>0</v>
      </c>
      <c r="AT23" s="187">
        <f t="shared" si="57"/>
        <v>0</v>
      </c>
      <c r="AU23" s="221">
        <f t="shared" si="57"/>
        <v>0</v>
      </c>
      <c r="AV23" s="222">
        <f t="shared" si="27"/>
        <v>0</v>
      </c>
      <c r="AW23" s="187">
        <f t="shared" si="27"/>
        <v>0</v>
      </c>
      <c r="AX23" s="187">
        <f t="shared" si="27"/>
        <v>0</v>
      </c>
      <c r="AY23" s="187">
        <f t="shared" si="27"/>
        <v>0</v>
      </c>
      <c r="AZ23" s="187">
        <f t="shared" si="27"/>
        <v>0</v>
      </c>
      <c r="BA23" s="187">
        <f t="shared" si="27"/>
        <v>0</v>
      </c>
      <c r="BB23" s="187">
        <f t="shared" si="27"/>
        <v>0</v>
      </c>
      <c r="BC23" s="17">
        <f t="shared" si="27"/>
        <v>0</v>
      </c>
      <c r="BD23" s="19">
        <f t="shared" si="43"/>
        <v>0</v>
      </c>
      <c r="BE23" s="187">
        <f t="shared" si="43"/>
        <v>0</v>
      </c>
      <c r="BF23" s="187">
        <f t="shared" si="43"/>
        <v>0</v>
      </c>
      <c r="BG23" s="187">
        <f t="shared" si="43"/>
        <v>0</v>
      </c>
      <c r="BH23" s="187">
        <f t="shared" si="43"/>
        <v>0</v>
      </c>
      <c r="BI23" s="187">
        <f t="shared" ref="BI23:BK54" si="58">0/172.5</f>
        <v>0</v>
      </c>
      <c r="BJ23" s="187">
        <f t="shared" si="58"/>
        <v>0</v>
      </c>
      <c r="BK23" s="17">
        <f t="shared" si="58"/>
        <v>0</v>
      </c>
      <c r="BL23" s="19">
        <f t="shared" si="44"/>
        <v>0</v>
      </c>
      <c r="BM23" s="187">
        <f t="shared" si="44"/>
        <v>0</v>
      </c>
      <c r="BN23" s="187">
        <f t="shared" si="44"/>
        <v>0</v>
      </c>
      <c r="BO23" s="187">
        <f t="shared" si="44"/>
        <v>0</v>
      </c>
      <c r="BP23" s="187">
        <f t="shared" si="44"/>
        <v>0</v>
      </c>
      <c r="BQ23" s="187">
        <f t="shared" ref="BQ23:BS54" si="59">0/172.5</f>
        <v>0</v>
      </c>
      <c r="BR23" s="187">
        <f t="shared" si="59"/>
        <v>0</v>
      </c>
      <c r="BS23" s="17">
        <f t="shared" si="59"/>
        <v>0</v>
      </c>
      <c r="BT23" s="19">
        <f t="shared" si="52"/>
        <v>0</v>
      </c>
      <c r="BU23" s="187">
        <f t="shared" si="52"/>
        <v>0</v>
      </c>
      <c r="BV23" s="187">
        <f t="shared" si="52"/>
        <v>0</v>
      </c>
      <c r="BW23" s="187">
        <f t="shared" si="52"/>
        <v>0</v>
      </c>
      <c r="BX23" s="187">
        <f t="shared" si="52"/>
        <v>0</v>
      </c>
      <c r="BY23" s="187">
        <f t="shared" ref="BY23:CA54" si="60">0/172.5</f>
        <v>0</v>
      </c>
      <c r="BZ23" s="187">
        <f t="shared" si="60"/>
        <v>0</v>
      </c>
      <c r="CA23" s="17">
        <f t="shared" si="60"/>
        <v>0</v>
      </c>
      <c r="CB23" s="73">
        <f t="shared" si="29"/>
        <v>0</v>
      </c>
      <c r="CC23" s="187">
        <f t="shared" si="29"/>
        <v>0</v>
      </c>
      <c r="CD23" s="187">
        <f t="shared" si="29"/>
        <v>0</v>
      </c>
      <c r="CE23" s="187">
        <f t="shared" si="29"/>
        <v>0</v>
      </c>
      <c r="CF23" s="187">
        <f t="shared" si="29"/>
        <v>0</v>
      </c>
      <c r="CG23" s="187">
        <f t="shared" ref="CG23:CI54" si="61">0/172.5</f>
        <v>0</v>
      </c>
      <c r="CH23" s="187">
        <f t="shared" si="61"/>
        <v>0</v>
      </c>
      <c r="CI23" s="17">
        <f t="shared" si="61"/>
        <v>0</v>
      </c>
      <c r="CJ23" s="19">
        <f t="shared" si="45"/>
        <v>0</v>
      </c>
      <c r="CK23" s="187">
        <f t="shared" si="45"/>
        <v>0</v>
      </c>
      <c r="CL23" s="187">
        <f t="shared" si="45"/>
        <v>0</v>
      </c>
      <c r="CM23" s="187">
        <f t="shared" si="45"/>
        <v>0</v>
      </c>
      <c r="CN23" s="187">
        <f t="shared" si="45"/>
        <v>0</v>
      </c>
      <c r="CO23" s="187">
        <f t="shared" ref="CO23:CQ54" si="62">0/172.5</f>
        <v>0</v>
      </c>
      <c r="CP23" s="187">
        <f t="shared" si="62"/>
        <v>0</v>
      </c>
      <c r="CQ23" s="17">
        <f t="shared" si="62"/>
        <v>0</v>
      </c>
      <c r="CR23" s="19">
        <f t="shared" si="46"/>
        <v>0</v>
      </c>
      <c r="CS23" s="187">
        <f t="shared" si="46"/>
        <v>0</v>
      </c>
      <c r="CT23" s="187">
        <f t="shared" si="46"/>
        <v>0</v>
      </c>
      <c r="CU23" s="187">
        <f t="shared" si="46"/>
        <v>0</v>
      </c>
      <c r="CV23" s="187">
        <f t="shared" si="46"/>
        <v>0</v>
      </c>
      <c r="CW23" s="187">
        <f t="shared" ref="CW23:CY54" si="63">0/172.5</f>
        <v>0</v>
      </c>
      <c r="CX23" s="187">
        <f t="shared" si="63"/>
        <v>0</v>
      </c>
      <c r="CY23" s="17">
        <f t="shared" si="63"/>
        <v>0</v>
      </c>
      <c r="CZ23" s="278"/>
    </row>
    <row r="24" spans="1:104" ht="26.25" hidden="1" customHeight="1" outlineLevel="1" x14ac:dyDescent="0.4">
      <c r="A24" s="380"/>
      <c r="B24" s="380"/>
      <c r="C24" s="380"/>
      <c r="D24" s="382"/>
      <c r="E24" s="382"/>
      <c r="F24" s="382"/>
      <c r="G24" s="403"/>
      <c r="H24" s="490"/>
      <c r="I24" s="490"/>
      <c r="J24" s="498"/>
      <c r="K24" s="492"/>
      <c r="L24" s="492"/>
      <c r="M24" s="494"/>
      <c r="N24" s="39" t="s">
        <v>25</v>
      </c>
      <c r="O24" s="207">
        <f>(0+3+0.5+0.75)/120</f>
        <v>3.5416666666666666E-2</v>
      </c>
      <c r="P24" s="207">
        <f t="shared" si="0"/>
        <v>0</v>
      </c>
      <c r="Q24" s="207">
        <f>(0+2+2+2)/120</f>
        <v>0.05</v>
      </c>
      <c r="R24" s="207">
        <f>(0)/120</f>
        <v>0</v>
      </c>
      <c r="S24" s="207">
        <f>(0+9.5+2)/120</f>
        <v>9.583333333333334E-2</v>
      </c>
      <c r="T24" s="207">
        <f t="shared" si="0"/>
        <v>0</v>
      </c>
      <c r="U24" s="49">
        <f>(0+2)/120</f>
        <v>1.6666666666666666E-2</v>
      </c>
      <c r="V24" s="57">
        <f t="shared" si="49"/>
        <v>0</v>
      </c>
      <c r="W24" s="207">
        <f t="shared" si="40"/>
        <v>0</v>
      </c>
      <c r="X24" s="207">
        <f t="shared" si="50"/>
        <v>0</v>
      </c>
      <c r="Y24" s="207">
        <f t="shared" si="22"/>
        <v>0</v>
      </c>
      <c r="Z24" s="207">
        <f t="shared" si="24"/>
        <v>0</v>
      </c>
      <c r="AA24" s="207">
        <f t="shared" si="24"/>
        <v>0</v>
      </c>
      <c r="AB24" s="57">
        <f t="shared" si="51"/>
        <v>0</v>
      </c>
      <c r="AC24" s="207">
        <f t="shared" si="51"/>
        <v>0</v>
      </c>
      <c r="AD24" s="207">
        <f t="shared" si="51"/>
        <v>0</v>
      </c>
      <c r="AE24" s="207">
        <f t="shared" si="51"/>
        <v>0</v>
      </c>
      <c r="AF24" s="207">
        <f t="shared" si="51"/>
        <v>0</v>
      </c>
      <c r="AG24" s="49">
        <f t="shared" si="51"/>
        <v>0</v>
      </c>
      <c r="AH24" s="57">
        <f t="shared" si="3"/>
        <v>0</v>
      </c>
      <c r="AI24" s="207">
        <f t="shared" si="3"/>
        <v>0</v>
      </c>
      <c r="AJ24" s="207">
        <f t="shared" si="3"/>
        <v>0</v>
      </c>
      <c r="AK24" s="207">
        <f t="shared" si="3"/>
        <v>0</v>
      </c>
      <c r="AL24" s="207">
        <f t="shared" si="3"/>
        <v>0</v>
      </c>
      <c r="AM24" s="207">
        <f t="shared" si="3"/>
        <v>0</v>
      </c>
      <c r="AN24" s="57">
        <f t="shared" si="42"/>
        <v>0</v>
      </c>
      <c r="AO24" s="207">
        <f t="shared" si="42"/>
        <v>0</v>
      </c>
      <c r="AP24" s="207">
        <f t="shared" si="42"/>
        <v>0</v>
      </c>
      <c r="AQ24" s="207">
        <f t="shared" si="42"/>
        <v>0</v>
      </c>
      <c r="AR24" s="207">
        <f t="shared" si="42"/>
        <v>0</v>
      </c>
      <c r="AS24" s="207">
        <f t="shared" si="57"/>
        <v>0</v>
      </c>
      <c r="AT24" s="207">
        <f t="shared" si="57"/>
        <v>0</v>
      </c>
      <c r="AU24" s="49">
        <f t="shared" si="57"/>
        <v>0</v>
      </c>
      <c r="AV24" s="63">
        <f t="shared" si="27"/>
        <v>0</v>
      </c>
      <c r="AW24" s="208">
        <f t="shared" si="27"/>
        <v>0</v>
      </c>
      <c r="AX24" s="208">
        <f t="shared" si="27"/>
        <v>0</v>
      </c>
      <c r="AY24" s="208">
        <f t="shared" si="27"/>
        <v>0</v>
      </c>
      <c r="AZ24" s="208">
        <f t="shared" si="27"/>
        <v>0</v>
      </c>
      <c r="BA24" s="208">
        <f t="shared" si="27"/>
        <v>0</v>
      </c>
      <c r="BB24" s="208">
        <f t="shared" si="27"/>
        <v>0</v>
      </c>
      <c r="BC24" s="64">
        <f t="shared" si="27"/>
        <v>0</v>
      </c>
      <c r="BD24" s="63">
        <f t="shared" si="43"/>
        <v>0</v>
      </c>
      <c r="BE24" s="208">
        <f t="shared" si="43"/>
        <v>0</v>
      </c>
      <c r="BF24" s="208">
        <f t="shared" si="43"/>
        <v>0</v>
      </c>
      <c r="BG24" s="208">
        <f t="shared" si="43"/>
        <v>0</v>
      </c>
      <c r="BH24" s="208">
        <f t="shared" si="43"/>
        <v>0</v>
      </c>
      <c r="BI24" s="208">
        <f t="shared" si="58"/>
        <v>0</v>
      </c>
      <c r="BJ24" s="208">
        <f t="shared" si="58"/>
        <v>0</v>
      </c>
      <c r="BK24" s="64">
        <f t="shared" si="58"/>
        <v>0</v>
      </c>
      <c r="BL24" s="63">
        <f t="shared" si="44"/>
        <v>0</v>
      </c>
      <c r="BM24" s="208">
        <f t="shared" si="44"/>
        <v>0</v>
      </c>
      <c r="BN24" s="208">
        <f t="shared" si="44"/>
        <v>0</v>
      </c>
      <c r="BO24" s="208">
        <f t="shared" si="44"/>
        <v>0</v>
      </c>
      <c r="BP24" s="208">
        <f t="shared" si="44"/>
        <v>0</v>
      </c>
      <c r="BQ24" s="208">
        <f t="shared" si="59"/>
        <v>0</v>
      </c>
      <c r="BR24" s="208">
        <f t="shared" si="59"/>
        <v>0</v>
      </c>
      <c r="BS24" s="64">
        <f t="shared" si="59"/>
        <v>0</v>
      </c>
      <c r="BT24" s="63">
        <f t="shared" si="52"/>
        <v>0</v>
      </c>
      <c r="BU24" s="208">
        <f t="shared" si="52"/>
        <v>0</v>
      </c>
      <c r="BV24" s="208">
        <f t="shared" si="52"/>
        <v>0</v>
      </c>
      <c r="BW24" s="208">
        <f t="shared" si="52"/>
        <v>0</v>
      </c>
      <c r="BX24" s="208">
        <f t="shared" si="52"/>
        <v>0</v>
      </c>
      <c r="BY24" s="208">
        <f t="shared" si="60"/>
        <v>0</v>
      </c>
      <c r="BZ24" s="208">
        <f t="shared" si="60"/>
        <v>0</v>
      </c>
      <c r="CA24" s="64">
        <f t="shared" si="60"/>
        <v>0</v>
      </c>
      <c r="CB24" s="63">
        <f t="shared" si="29"/>
        <v>0</v>
      </c>
      <c r="CC24" s="208">
        <f t="shared" si="29"/>
        <v>0</v>
      </c>
      <c r="CD24" s="208">
        <f t="shared" si="29"/>
        <v>0</v>
      </c>
      <c r="CE24" s="208">
        <f t="shared" si="29"/>
        <v>0</v>
      </c>
      <c r="CF24" s="208">
        <f t="shared" si="29"/>
        <v>0</v>
      </c>
      <c r="CG24" s="208">
        <f t="shared" si="61"/>
        <v>0</v>
      </c>
      <c r="CH24" s="208">
        <f t="shared" si="61"/>
        <v>0</v>
      </c>
      <c r="CI24" s="64">
        <f t="shared" si="61"/>
        <v>0</v>
      </c>
      <c r="CJ24" s="63">
        <f t="shared" si="45"/>
        <v>0</v>
      </c>
      <c r="CK24" s="208">
        <f t="shared" si="45"/>
        <v>0</v>
      </c>
      <c r="CL24" s="208">
        <f t="shared" si="45"/>
        <v>0</v>
      </c>
      <c r="CM24" s="208">
        <f t="shared" si="45"/>
        <v>0</v>
      </c>
      <c r="CN24" s="208">
        <f t="shared" si="45"/>
        <v>0</v>
      </c>
      <c r="CO24" s="208">
        <f t="shared" si="62"/>
        <v>0</v>
      </c>
      <c r="CP24" s="208">
        <f t="shared" si="62"/>
        <v>0</v>
      </c>
      <c r="CQ24" s="64">
        <f t="shared" si="62"/>
        <v>0</v>
      </c>
      <c r="CR24" s="63">
        <f t="shared" si="46"/>
        <v>0</v>
      </c>
      <c r="CS24" s="208">
        <f t="shared" si="46"/>
        <v>0</v>
      </c>
      <c r="CT24" s="208">
        <f t="shared" si="46"/>
        <v>0</v>
      </c>
      <c r="CU24" s="208">
        <f t="shared" si="46"/>
        <v>0</v>
      </c>
      <c r="CV24" s="208">
        <f t="shared" si="46"/>
        <v>0</v>
      </c>
      <c r="CW24" s="208">
        <f t="shared" si="63"/>
        <v>0</v>
      </c>
      <c r="CX24" s="208">
        <f t="shared" si="63"/>
        <v>0</v>
      </c>
      <c r="CY24" s="64">
        <f t="shared" si="63"/>
        <v>0</v>
      </c>
      <c r="CZ24" s="278"/>
    </row>
    <row r="25" spans="1:104" ht="26.25" hidden="1" customHeight="1" outlineLevel="1" collapsed="1" x14ac:dyDescent="0.4">
      <c r="A25" s="379">
        <v>10</v>
      </c>
      <c r="B25" s="379" t="s">
        <v>46</v>
      </c>
      <c r="C25" s="379" t="s">
        <v>14</v>
      </c>
      <c r="D25" s="381" t="s">
        <v>482</v>
      </c>
      <c r="E25" s="381" t="s">
        <v>479</v>
      </c>
      <c r="F25" s="381" t="s">
        <v>477</v>
      </c>
      <c r="G25" s="404" t="s">
        <v>475</v>
      </c>
      <c r="H25" s="489">
        <f t="shared" ref="H25" si="64">SUM(AH25:AM25)</f>
        <v>0</v>
      </c>
      <c r="I25" s="489">
        <f t="shared" ref="I25" si="65">SUM(AH26:AM26)</f>
        <v>0</v>
      </c>
      <c r="J25" s="497"/>
      <c r="K25" s="491"/>
      <c r="L25" s="491"/>
      <c r="M25" s="493"/>
      <c r="N25" s="48" t="s">
        <v>24</v>
      </c>
      <c r="O25" s="187">
        <f>(7)/120</f>
        <v>5.8333333333333334E-2</v>
      </c>
      <c r="P25" s="187">
        <f t="shared" ref="P25:U36" si="66">(0)/120</f>
        <v>0</v>
      </c>
      <c r="Q25" s="187">
        <f>(45)/120</f>
        <v>0.375</v>
      </c>
      <c r="R25" s="187">
        <f t="shared" si="66"/>
        <v>0</v>
      </c>
      <c r="S25" s="187">
        <f t="shared" si="66"/>
        <v>0</v>
      </c>
      <c r="T25" s="187">
        <f t="shared" si="66"/>
        <v>0</v>
      </c>
      <c r="U25" s="82">
        <f>(45)/120</f>
        <v>0.375</v>
      </c>
      <c r="V25" s="19">
        <f>(3)/142.5</f>
        <v>2.1052631578947368E-2</v>
      </c>
      <c r="W25" s="187">
        <f t="shared" si="40"/>
        <v>0</v>
      </c>
      <c r="X25" s="187">
        <f>(15)/142.5</f>
        <v>0.10526315789473684</v>
      </c>
      <c r="Y25" s="187">
        <f t="shared" si="22"/>
        <v>0</v>
      </c>
      <c r="Z25" s="187">
        <f t="shared" ref="Z25:Z32" si="67">(0)/142.5</f>
        <v>0</v>
      </c>
      <c r="AA25" s="187">
        <f>(15)/142.5</f>
        <v>0.10526315789473684</v>
      </c>
      <c r="AB25" s="73">
        <f>(0)/165</f>
        <v>0</v>
      </c>
      <c r="AC25" s="187">
        <f>(0)/165</f>
        <v>0</v>
      </c>
      <c r="AD25" s="187">
        <f t="shared" ref="AD25:AG26" si="68">(0)/165</f>
        <v>0</v>
      </c>
      <c r="AE25" s="187">
        <f t="shared" si="68"/>
        <v>0</v>
      </c>
      <c r="AF25" s="187">
        <f t="shared" si="68"/>
        <v>0</v>
      </c>
      <c r="AG25" s="187">
        <f t="shared" si="68"/>
        <v>0</v>
      </c>
      <c r="AH25" s="73">
        <f t="shared" si="3"/>
        <v>0</v>
      </c>
      <c r="AI25" s="187">
        <f t="shared" si="3"/>
        <v>0</v>
      </c>
      <c r="AJ25" s="187">
        <f t="shared" si="3"/>
        <v>0</v>
      </c>
      <c r="AK25" s="187">
        <f t="shared" si="3"/>
        <v>0</v>
      </c>
      <c r="AL25" s="187">
        <f t="shared" si="3"/>
        <v>0</v>
      </c>
      <c r="AM25" s="187">
        <f t="shared" si="3"/>
        <v>0</v>
      </c>
      <c r="AN25" s="73">
        <f t="shared" si="42"/>
        <v>0</v>
      </c>
      <c r="AO25" s="187">
        <f t="shared" si="42"/>
        <v>0</v>
      </c>
      <c r="AP25" s="187">
        <f t="shared" si="42"/>
        <v>0</v>
      </c>
      <c r="AQ25" s="187">
        <f t="shared" si="42"/>
        <v>0</v>
      </c>
      <c r="AR25" s="187">
        <f t="shared" si="42"/>
        <v>0</v>
      </c>
      <c r="AS25" s="187">
        <f t="shared" si="57"/>
        <v>0</v>
      </c>
      <c r="AT25" s="187">
        <f t="shared" si="57"/>
        <v>0</v>
      </c>
      <c r="AU25" s="221">
        <f t="shared" si="57"/>
        <v>0</v>
      </c>
      <c r="AV25" s="222">
        <f t="shared" si="27"/>
        <v>0</v>
      </c>
      <c r="AW25" s="187">
        <f t="shared" si="27"/>
        <v>0</v>
      </c>
      <c r="AX25" s="187">
        <f t="shared" si="27"/>
        <v>0</v>
      </c>
      <c r="AY25" s="187">
        <f t="shared" si="27"/>
        <v>0</v>
      </c>
      <c r="AZ25" s="187">
        <f t="shared" si="27"/>
        <v>0</v>
      </c>
      <c r="BA25" s="187">
        <f t="shared" si="27"/>
        <v>0</v>
      </c>
      <c r="BB25" s="187">
        <f t="shared" si="27"/>
        <v>0</v>
      </c>
      <c r="BC25" s="17">
        <f t="shared" si="27"/>
        <v>0</v>
      </c>
      <c r="BD25" s="19">
        <f t="shared" si="43"/>
        <v>0</v>
      </c>
      <c r="BE25" s="187">
        <f t="shared" si="43"/>
        <v>0</v>
      </c>
      <c r="BF25" s="187">
        <f t="shared" si="43"/>
        <v>0</v>
      </c>
      <c r="BG25" s="187">
        <f t="shared" si="43"/>
        <v>0</v>
      </c>
      <c r="BH25" s="187">
        <f t="shared" si="43"/>
        <v>0</v>
      </c>
      <c r="BI25" s="187">
        <f t="shared" si="58"/>
        <v>0</v>
      </c>
      <c r="BJ25" s="187">
        <f t="shared" si="58"/>
        <v>0</v>
      </c>
      <c r="BK25" s="17">
        <f t="shared" si="58"/>
        <v>0</v>
      </c>
      <c r="BL25" s="19">
        <f t="shared" si="44"/>
        <v>0</v>
      </c>
      <c r="BM25" s="187">
        <f t="shared" si="44"/>
        <v>0</v>
      </c>
      <c r="BN25" s="187">
        <f t="shared" si="44"/>
        <v>0</v>
      </c>
      <c r="BO25" s="187">
        <f t="shared" si="44"/>
        <v>0</v>
      </c>
      <c r="BP25" s="187">
        <f t="shared" si="44"/>
        <v>0</v>
      </c>
      <c r="BQ25" s="187">
        <f t="shared" si="59"/>
        <v>0</v>
      </c>
      <c r="BR25" s="187">
        <f t="shared" si="59"/>
        <v>0</v>
      </c>
      <c r="BS25" s="17">
        <f t="shared" si="59"/>
        <v>0</v>
      </c>
      <c r="BT25" s="19">
        <f t="shared" si="52"/>
        <v>0</v>
      </c>
      <c r="BU25" s="187">
        <f t="shared" si="52"/>
        <v>0</v>
      </c>
      <c r="BV25" s="187">
        <f t="shared" si="52"/>
        <v>0</v>
      </c>
      <c r="BW25" s="187">
        <f t="shared" si="52"/>
        <v>0</v>
      </c>
      <c r="BX25" s="187">
        <f t="shared" si="52"/>
        <v>0</v>
      </c>
      <c r="BY25" s="187">
        <f t="shared" si="60"/>
        <v>0</v>
      </c>
      <c r="BZ25" s="187">
        <f t="shared" si="60"/>
        <v>0</v>
      </c>
      <c r="CA25" s="17">
        <f t="shared" si="60"/>
        <v>0</v>
      </c>
      <c r="CB25" s="73">
        <f t="shared" si="29"/>
        <v>0</v>
      </c>
      <c r="CC25" s="187">
        <f t="shared" si="29"/>
        <v>0</v>
      </c>
      <c r="CD25" s="187">
        <f t="shared" si="29"/>
        <v>0</v>
      </c>
      <c r="CE25" s="187">
        <f t="shared" si="29"/>
        <v>0</v>
      </c>
      <c r="CF25" s="187">
        <f t="shared" si="29"/>
        <v>0</v>
      </c>
      <c r="CG25" s="187">
        <f t="shared" si="61"/>
        <v>0</v>
      </c>
      <c r="CH25" s="187">
        <f t="shared" si="61"/>
        <v>0</v>
      </c>
      <c r="CI25" s="17">
        <f t="shared" si="61"/>
        <v>0</v>
      </c>
      <c r="CJ25" s="19">
        <f t="shared" si="45"/>
        <v>0</v>
      </c>
      <c r="CK25" s="187">
        <f t="shared" si="45"/>
        <v>0</v>
      </c>
      <c r="CL25" s="187">
        <f t="shared" si="45"/>
        <v>0</v>
      </c>
      <c r="CM25" s="187">
        <f t="shared" si="45"/>
        <v>0</v>
      </c>
      <c r="CN25" s="187">
        <f t="shared" si="45"/>
        <v>0</v>
      </c>
      <c r="CO25" s="187">
        <f t="shared" si="62"/>
        <v>0</v>
      </c>
      <c r="CP25" s="187">
        <f t="shared" si="62"/>
        <v>0</v>
      </c>
      <c r="CQ25" s="17">
        <f t="shared" si="62"/>
        <v>0</v>
      </c>
      <c r="CR25" s="19">
        <f t="shared" si="46"/>
        <v>0</v>
      </c>
      <c r="CS25" s="187">
        <f t="shared" si="46"/>
        <v>0</v>
      </c>
      <c r="CT25" s="187">
        <f t="shared" si="46"/>
        <v>0</v>
      </c>
      <c r="CU25" s="187">
        <f t="shared" si="46"/>
        <v>0</v>
      </c>
      <c r="CV25" s="187">
        <f t="shared" si="46"/>
        <v>0</v>
      </c>
      <c r="CW25" s="187">
        <f t="shared" si="63"/>
        <v>0</v>
      </c>
      <c r="CX25" s="187">
        <f t="shared" si="63"/>
        <v>0</v>
      </c>
      <c r="CY25" s="17">
        <f t="shared" si="63"/>
        <v>0</v>
      </c>
      <c r="CZ25" s="278"/>
    </row>
    <row r="26" spans="1:104" ht="26.25" hidden="1" customHeight="1" outlineLevel="1" x14ac:dyDescent="0.4">
      <c r="A26" s="380"/>
      <c r="B26" s="380"/>
      <c r="C26" s="380"/>
      <c r="D26" s="382"/>
      <c r="E26" s="382"/>
      <c r="F26" s="382"/>
      <c r="G26" s="404"/>
      <c r="H26" s="490"/>
      <c r="I26" s="490"/>
      <c r="J26" s="498"/>
      <c r="K26" s="492"/>
      <c r="L26" s="492"/>
      <c r="M26" s="494"/>
      <c r="N26" s="39" t="s">
        <v>25</v>
      </c>
      <c r="O26" s="207">
        <f>(0+1.5+1+1+1.5)/120</f>
        <v>4.1666666666666664E-2</v>
      </c>
      <c r="P26" s="207">
        <f t="shared" si="66"/>
        <v>0</v>
      </c>
      <c r="Q26" s="207">
        <f>(0+8+11.5+19+6.5)/120</f>
        <v>0.375</v>
      </c>
      <c r="R26" s="207">
        <f t="shared" si="66"/>
        <v>0</v>
      </c>
      <c r="S26" s="207">
        <f t="shared" si="66"/>
        <v>0</v>
      </c>
      <c r="T26" s="207">
        <f>(0)/120</f>
        <v>0</v>
      </c>
      <c r="U26" s="49">
        <f>(0+6+13.5+17+6.5)/120</f>
        <v>0.35833333333333334</v>
      </c>
      <c r="V26" s="57">
        <f>(0+1+2)/142.5</f>
        <v>2.1052631578947368E-2</v>
      </c>
      <c r="W26" s="207">
        <f t="shared" si="40"/>
        <v>0</v>
      </c>
      <c r="X26" s="207">
        <f>(6+4.5+4)/142.5</f>
        <v>0.10175438596491228</v>
      </c>
      <c r="Y26" s="207">
        <f t="shared" si="22"/>
        <v>0</v>
      </c>
      <c r="Z26" s="207">
        <f t="shared" si="67"/>
        <v>0</v>
      </c>
      <c r="AA26" s="207">
        <f>(4+2)/142.5</f>
        <v>4.2105263157894736E-2</v>
      </c>
      <c r="AB26" s="57">
        <f>(0)/165</f>
        <v>0</v>
      </c>
      <c r="AC26" s="207">
        <f>(0)/165</f>
        <v>0</v>
      </c>
      <c r="AD26" s="207">
        <f t="shared" si="68"/>
        <v>0</v>
      </c>
      <c r="AE26" s="207">
        <f t="shared" si="68"/>
        <v>0</v>
      </c>
      <c r="AF26" s="207">
        <f t="shared" si="68"/>
        <v>0</v>
      </c>
      <c r="AG26" s="207">
        <f t="shared" si="68"/>
        <v>0</v>
      </c>
      <c r="AH26" s="57">
        <f t="shared" si="3"/>
        <v>0</v>
      </c>
      <c r="AI26" s="207">
        <f t="shared" si="3"/>
        <v>0</v>
      </c>
      <c r="AJ26" s="207">
        <f t="shared" si="3"/>
        <v>0</v>
      </c>
      <c r="AK26" s="207">
        <f t="shared" si="3"/>
        <v>0</v>
      </c>
      <c r="AL26" s="207">
        <f t="shared" si="3"/>
        <v>0</v>
      </c>
      <c r="AM26" s="207">
        <f t="shared" si="3"/>
        <v>0</v>
      </c>
      <c r="AN26" s="57">
        <f t="shared" si="42"/>
        <v>0</v>
      </c>
      <c r="AO26" s="207">
        <f t="shared" si="42"/>
        <v>0</v>
      </c>
      <c r="AP26" s="207">
        <f t="shared" si="42"/>
        <v>0</v>
      </c>
      <c r="AQ26" s="207">
        <f t="shared" si="42"/>
        <v>0</v>
      </c>
      <c r="AR26" s="207">
        <f t="shared" si="42"/>
        <v>0</v>
      </c>
      <c r="AS26" s="207">
        <f t="shared" si="57"/>
        <v>0</v>
      </c>
      <c r="AT26" s="207">
        <f t="shared" si="57"/>
        <v>0</v>
      </c>
      <c r="AU26" s="49">
        <f t="shared" si="57"/>
        <v>0</v>
      </c>
      <c r="AV26" s="63">
        <f t="shared" si="27"/>
        <v>0</v>
      </c>
      <c r="AW26" s="208">
        <f t="shared" si="27"/>
        <v>0</v>
      </c>
      <c r="AX26" s="208">
        <f t="shared" si="27"/>
        <v>0</v>
      </c>
      <c r="AY26" s="208">
        <f t="shared" si="27"/>
        <v>0</v>
      </c>
      <c r="AZ26" s="208">
        <f t="shared" si="27"/>
        <v>0</v>
      </c>
      <c r="BA26" s="208">
        <f t="shared" si="27"/>
        <v>0</v>
      </c>
      <c r="BB26" s="208">
        <f t="shared" si="27"/>
        <v>0</v>
      </c>
      <c r="BC26" s="64">
        <f t="shared" si="27"/>
        <v>0</v>
      </c>
      <c r="BD26" s="63">
        <f t="shared" si="43"/>
        <v>0</v>
      </c>
      <c r="BE26" s="208">
        <f t="shared" si="43"/>
        <v>0</v>
      </c>
      <c r="BF26" s="208">
        <f t="shared" si="43"/>
        <v>0</v>
      </c>
      <c r="BG26" s="208">
        <f t="shared" si="43"/>
        <v>0</v>
      </c>
      <c r="BH26" s="208">
        <f t="shared" si="43"/>
        <v>0</v>
      </c>
      <c r="BI26" s="208">
        <f t="shared" si="58"/>
        <v>0</v>
      </c>
      <c r="BJ26" s="208">
        <f t="shared" si="58"/>
        <v>0</v>
      </c>
      <c r="BK26" s="64">
        <f t="shared" si="58"/>
        <v>0</v>
      </c>
      <c r="BL26" s="63">
        <f t="shared" si="44"/>
        <v>0</v>
      </c>
      <c r="BM26" s="208">
        <f t="shared" si="44"/>
        <v>0</v>
      </c>
      <c r="BN26" s="208">
        <f t="shared" si="44"/>
        <v>0</v>
      </c>
      <c r="BO26" s="208">
        <f t="shared" si="44"/>
        <v>0</v>
      </c>
      <c r="BP26" s="208">
        <f t="shared" si="44"/>
        <v>0</v>
      </c>
      <c r="BQ26" s="208">
        <f t="shared" si="59"/>
        <v>0</v>
      </c>
      <c r="BR26" s="208">
        <f t="shared" si="59"/>
        <v>0</v>
      </c>
      <c r="BS26" s="64">
        <f t="shared" si="59"/>
        <v>0</v>
      </c>
      <c r="BT26" s="63">
        <f t="shared" si="52"/>
        <v>0</v>
      </c>
      <c r="BU26" s="208">
        <f t="shared" si="52"/>
        <v>0</v>
      </c>
      <c r="BV26" s="208">
        <f t="shared" si="52"/>
        <v>0</v>
      </c>
      <c r="BW26" s="208">
        <f t="shared" si="52"/>
        <v>0</v>
      </c>
      <c r="BX26" s="208">
        <f t="shared" si="52"/>
        <v>0</v>
      </c>
      <c r="BY26" s="208">
        <f t="shared" si="60"/>
        <v>0</v>
      </c>
      <c r="BZ26" s="208">
        <f t="shared" si="60"/>
        <v>0</v>
      </c>
      <c r="CA26" s="64">
        <f t="shared" si="60"/>
        <v>0</v>
      </c>
      <c r="CB26" s="63">
        <f t="shared" si="29"/>
        <v>0</v>
      </c>
      <c r="CC26" s="208">
        <f t="shared" si="29"/>
        <v>0</v>
      </c>
      <c r="CD26" s="208">
        <f t="shared" si="29"/>
        <v>0</v>
      </c>
      <c r="CE26" s="208">
        <f t="shared" si="29"/>
        <v>0</v>
      </c>
      <c r="CF26" s="208">
        <f t="shared" si="29"/>
        <v>0</v>
      </c>
      <c r="CG26" s="208">
        <f t="shared" si="61"/>
        <v>0</v>
      </c>
      <c r="CH26" s="208">
        <f t="shared" si="61"/>
        <v>0</v>
      </c>
      <c r="CI26" s="64">
        <f t="shared" si="61"/>
        <v>0</v>
      </c>
      <c r="CJ26" s="63">
        <f t="shared" si="45"/>
        <v>0</v>
      </c>
      <c r="CK26" s="208">
        <f t="shared" si="45"/>
        <v>0</v>
      </c>
      <c r="CL26" s="208">
        <f t="shared" si="45"/>
        <v>0</v>
      </c>
      <c r="CM26" s="208">
        <f t="shared" si="45"/>
        <v>0</v>
      </c>
      <c r="CN26" s="208">
        <f t="shared" si="45"/>
        <v>0</v>
      </c>
      <c r="CO26" s="208">
        <f t="shared" si="62"/>
        <v>0</v>
      </c>
      <c r="CP26" s="208">
        <f t="shared" si="62"/>
        <v>0</v>
      </c>
      <c r="CQ26" s="64">
        <f t="shared" si="62"/>
        <v>0</v>
      </c>
      <c r="CR26" s="63">
        <f t="shared" si="46"/>
        <v>0</v>
      </c>
      <c r="CS26" s="208">
        <f t="shared" si="46"/>
        <v>0</v>
      </c>
      <c r="CT26" s="208">
        <f t="shared" si="46"/>
        <v>0</v>
      </c>
      <c r="CU26" s="208">
        <f t="shared" si="46"/>
        <v>0</v>
      </c>
      <c r="CV26" s="208">
        <f t="shared" si="46"/>
        <v>0</v>
      </c>
      <c r="CW26" s="208">
        <f t="shared" si="63"/>
        <v>0</v>
      </c>
      <c r="CX26" s="208">
        <f t="shared" si="63"/>
        <v>0</v>
      </c>
      <c r="CY26" s="64">
        <f t="shared" si="63"/>
        <v>0</v>
      </c>
      <c r="CZ26" s="278"/>
    </row>
    <row r="27" spans="1:104" ht="26.25" hidden="1" customHeight="1" outlineLevel="1" x14ac:dyDescent="0.4">
      <c r="A27" s="379">
        <v>11</v>
      </c>
      <c r="B27" s="379" t="s">
        <v>47</v>
      </c>
      <c r="C27" s="379" t="s">
        <v>14</v>
      </c>
      <c r="D27" s="381" t="s">
        <v>481</v>
      </c>
      <c r="E27" s="381" t="s">
        <v>480</v>
      </c>
      <c r="F27" s="381"/>
      <c r="G27" s="404" t="s">
        <v>476</v>
      </c>
      <c r="H27" s="489">
        <f t="shared" ref="H27" si="69">SUM(AH27:AM27)</f>
        <v>0</v>
      </c>
      <c r="I27" s="489">
        <f t="shared" ref="I27" si="70">SUM(AH28:AM28)</f>
        <v>0</v>
      </c>
      <c r="J27" s="497"/>
      <c r="K27" s="491"/>
      <c r="L27" s="491"/>
      <c r="M27" s="493"/>
      <c r="N27" s="48" t="s">
        <v>24</v>
      </c>
      <c r="O27" s="187">
        <f>(3)/120</f>
        <v>2.5000000000000001E-2</v>
      </c>
      <c r="P27" s="187">
        <f t="shared" si="66"/>
        <v>0</v>
      </c>
      <c r="Q27" s="187">
        <f t="shared" si="66"/>
        <v>0</v>
      </c>
      <c r="R27" s="187">
        <f t="shared" si="66"/>
        <v>0</v>
      </c>
      <c r="S27" s="187">
        <f>(6)/120</f>
        <v>0.05</v>
      </c>
      <c r="T27" s="187">
        <f>(9)/120</f>
        <v>7.4999999999999997E-2</v>
      </c>
      <c r="U27" s="82">
        <f t="shared" si="66"/>
        <v>0</v>
      </c>
      <c r="V27" s="19">
        <f t="shared" ref="V27:V32" si="71">(0)/142.5</f>
        <v>0</v>
      </c>
      <c r="W27" s="187">
        <f t="shared" si="40"/>
        <v>0</v>
      </c>
      <c r="X27" s="187">
        <f t="shared" ref="X27:X32" si="72">(0)/142.5</f>
        <v>0</v>
      </c>
      <c r="Y27" s="187">
        <f t="shared" si="22"/>
        <v>0</v>
      </c>
      <c r="Z27" s="187">
        <f t="shared" si="67"/>
        <v>0</v>
      </c>
      <c r="AA27" s="187">
        <f t="shared" ref="AA27:AA32" si="73">(0)/142.5</f>
        <v>0</v>
      </c>
      <c r="AB27" s="73">
        <f t="shared" si="51"/>
        <v>0</v>
      </c>
      <c r="AC27" s="187">
        <f t="shared" si="51"/>
        <v>0</v>
      </c>
      <c r="AD27" s="187">
        <f t="shared" si="51"/>
        <v>0</v>
      </c>
      <c r="AE27" s="187">
        <f t="shared" si="51"/>
        <v>0</v>
      </c>
      <c r="AF27" s="187">
        <f t="shared" si="51"/>
        <v>0</v>
      </c>
      <c r="AG27" s="221">
        <f t="shared" si="51"/>
        <v>0</v>
      </c>
      <c r="AH27" s="73">
        <f t="shared" si="3"/>
        <v>0</v>
      </c>
      <c r="AI27" s="187">
        <f t="shared" si="3"/>
        <v>0</v>
      </c>
      <c r="AJ27" s="187">
        <f t="shared" si="3"/>
        <v>0</v>
      </c>
      <c r="AK27" s="187">
        <f t="shared" si="3"/>
        <v>0</v>
      </c>
      <c r="AL27" s="187">
        <f t="shared" si="3"/>
        <v>0</v>
      </c>
      <c r="AM27" s="187">
        <f t="shared" si="3"/>
        <v>0</v>
      </c>
      <c r="AN27" s="73">
        <f t="shared" si="42"/>
        <v>0</v>
      </c>
      <c r="AO27" s="187">
        <f t="shared" si="42"/>
        <v>0</v>
      </c>
      <c r="AP27" s="187">
        <f t="shared" si="42"/>
        <v>0</v>
      </c>
      <c r="AQ27" s="187">
        <f t="shared" si="42"/>
        <v>0</v>
      </c>
      <c r="AR27" s="187">
        <f t="shared" si="42"/>
        <v>0</v>
      </c>
      <c r="AS27" s="187">
        <f t="shared" si="57"/>
        <v>0</v>
      </c>
      <c r="AT27" s="187">
        <f t="shared" si="57"/>
        <v>0</v>
      </c>
      <c r="AU27" s="221">
        <f t="shared" si="57"/>
        <v>0</v>
      </c>
      <c r="AV27" s="222">
        <f t="shared" si="27"/>
        <v>0</v>
      </c>
      <c r="AW27" s="187">
        <f t="shared" si="27"/>
        <v>0</v>
      </c>
      <c r="AX27" s="187">
        <f t="shared" si="27"/>
        <v>0</v>
      </c>
      <c r="AY27" s="187">
        <f t="shared" si="27"/>
        <v>0</v>
      </c>
      <c r="AZ27" s="187">
        <f t="shared" si="27"/>
        <v>0</v>
      </c>
      <c r="BA27" s="187">
        <f t="shared" si="27"/>
        <v>0</v>
      </c>
      <c r="BB27" s="187">
        <f t="shared" si="27"/>
        <v>0</v>
      </c>
      <c r="BC27" s="17">
        <f t="shared" si="27"/>
        <v>0</v>
      </c>
      <c r="BD27" s="19">
        <f t="shared" si="43"/>
        <v>0</v>
      </c>
      <c r="BE27" s="187">
        <f t="shared" si="43"/>
        <v>0</v>
      </c>
      <c r="BF27" s="187">
        <f t="shared" si="43"/>
        <v>0</v>
      </c>
      <c r="BG27" s="187">
        <f t="shared" si="43"/>
        <v>0</v>
      </c>
      <c r="BH27" s="187">
        <f t="shared" si="43"/>
        <v>0</v>
      </c>
      <c r="BI27" s="187">
        <f t="shared" si="58"/>
        <v>0</v>
      </c>
      <c r="BJ27" s="187">
        <f t="shared" si="58"/>
        <v>0</v>
      </c>
      <c r="BK27" s="17">
        <f t="shared" si="58"/>
        <v>0</v>
      </c>
      <c r="BL27" s="19">
        <f t="shared" ref="BL27:BP36" si="74">0/142.5</f>
        <v>0</v>
      </c>
      <c r="BM27" s="187">
        <f t="shared" si="74"/>
        <v>0</v>
      </c>
      <c r="BN27" s="187">
        <f t="shared" si="74"/>
        <v>0</v>
      </c>
      <c r="BO27" s="187">
        <f t="shared" si="74"/>
        <v>0</v>
      </c>
      <c r="BP27" s="187">
        <f t="shared" si="74"/>
        <v>0</v>
      </c>
      <c r="BQ27" s="187">
        <f t="shared" si="59"/>
        <v>0</v>
      </c>
      <c r="BR27" s="187">
        <f t="shared" si="59"/>
        <v>0</v>
      </c>
      <c r="BS27" s="17">
        <f t="shared" si="59"/>
        <v>0</v>
      </c>
      <c r="BT27" s="19">
        <f t="shared" si="52"/>
        <v>0</v>
      </c>
      <c r="BU27" s="187">
        <f t="shared" si="52"/>
        <v>0</v>
      </c>
      <c r="BV27" s="187">
        <f t="shared" si="52"/>
        <v>0</v>
      </c>
      <c r="BW27" s="187">
        <f t="shared" si="52"/>
        <v>0</v>
      </c>
      <c r="BX27" s="187">
        <f t="shared" si="52"/>
        <v>0</v>
      </c>
      <c r="BY27" s="187">
        <f t="shared" si="60"/>
        <v>0</v>
      </c>
      <c r="BZ27" s="187">
        <f t="shared" si="60"/>
        <v>0</v>
      </c>
      <c r="CA27" s="17">
        <f t="shared" si="60"/>
        <v>0</v>
      </c>
      <c r="CB27" s="73">
        <f t="shared" si="29"/>
        <v>0</v>
      </c>
      <c r="CC27" s="187">
        <f t="shared" si="29"/>
        <v>0</v>
      </c>
      <c r="CD27" s="187">
        <f t="shared" si="29"/>
        <v>0</v>
      </c>
      <c r="CE27" s="187">
        <f t="shared" si="29"/>
        <v>0</v>
      </c>
      <c r="CF27" s="187">
        <f t="shared" si="29"/>
        <v>0</v>
      </c>
      <c r="CG27" s="187">
        <f t="shared" si="61"/>
        <v>0</v>
      </c>
      <c r="CH27" s="187">
        <f t="shared" si="61"/>
        <v>0</v>
      </c>
      <c r="CI27" s="17">
        <f t="shared" si="61"/>
        <v>0</v>
      </c>
      <c r="CJ27" s="19">
        <f t="shared" ref="CJ27:CN36" si="75">0/157.5</f>
        <v>0</v>
      </c>
      <c r="CK27" s="187">
        <f t="shared" si="75"/>
        <v>0</v>
      </c>
      <c r="CL27" s="187">
        <f t="shared" si="75"/>
        <v>0</v>
      </c>
      <c r="CM27" s="187">
        <f t="shared" si="75"/>
        <v>0</v>
      </c>
      <c r="CN27" s="187">
        <f t="shared" si="75"/>
        <v>0</v>
      </c>
      <c r="CO27" s="187">
        <f t="shared" si="62"/>
        <v>0</v>
      </c>
      <c r="CP27" s="187">
        <f t="shared" si="62"/>
        <v>0</v>
      </c>
      <c r="CQ27" s="17">
        <f t="shared" si="62"/>
        <v>0</v>
      </c>
      <c r="CR27" s="19">
        <f t="shared" ref="CR27:CV36" si="76">0/142.5</f>
        <v>0</v>
      </c>
      <c r="CS27" s="187">
        <f t="shared" si="76"/>
        <v>0</v>
      </c>
      <c r="CT27" s="187">
        <f t="shared" si="76"/>
        <v>0</v>
      </c>
      <c r="CU27" s="187">
        <f t="shared" si="76"/>
        <v>0</v>
      </c>
      <c r="CV27" s="187">
        <f t="shared" si="76"/>
        <v>0</v>
      </c>
      <c r="CW27" s="187">
        <f t="shared" si="63"/>
        <v>0</v>
      </c>
      <c r="CX27" s="187">
        <f t="shared" si="63"/>
        <v>0</v>
      </c>
      <c r="CY27" s="17">
        <f t="shared" si="63"/>
        <v>0</v>
      </c>
      <c r="CZ27" s="278"/>
    </row>
    <row r="28" spans="1:104" ht="26.25" hidden="1" customHeight="1" outlineLevel="1" x14ac:dyDescent="0.4">
      <c r="A28" s="380"/>
      <c r="B28" s="380"/>
      <c r="C28" s="380"/>
      <c r="D28" s="382"/>
      <c r="E28" s="382"/>
      <c r="F28" s="382"/>
      <c r="G28" s="404"/>
      <c r="H28" s="490"/>
      <c r="I28" s="490"/>
      <c r="J28" s="498"/>
      <c r="K28" s="492"/>
      <c r="L28" s="492"/>
      <c r="M28" s="494"/>
      <c r="N28" s="39" t="s">
        <v>25</v>
      </c>
      <c r="O28" s="207">
        <f>(0+1)/120</f>
        <v>8.3333333333333332E-3</v>
      </c>
      <c r="P28" s="207">
        <f t="shared" si="66"/>
        <v>0</v>
      </c>
      <c r="Q28" s="207">
        <f t="shared" si="66"/>
        <v>0</v>
      </c>
      <c r="R28" s="207">
        <f>(0)/120</f>
        <v>0</v>
      </c>
      <c r="S28" s="207">
        <f>(0+5.5)/120</f>
        <v>4.583333333333333E-2</v>
      </c>
      <c r="T28" s="207">
        <f>(0+8+1.5)/120</f>
        <v>7.9166666666666663E-2</v>
      </c>
      <c r="U28" s="49">
        <f t="shared" si="66"/>
        <v>0</v>
      </c>
      <c r="V28" s="57">
        <f t="shared" si="71"/>
        <v>0</v>
      </c>
      <c r="W28" s="207">
        <f t="shared" si="40"/>
        <v>0</v>
      </c>
      <c r="X28" s="207">
        <f t="shared" si="72"/>
        <v>0</v>
      </c>
      <c r="Y28" s="207">
        <f t="shared" si="22"/>
        <v>0</v>
      </c>
      <c r="Z28" s="207">
        <f t="shared" si="67"/>
        <v>0</v>
      </c>
      <c r="AA28" s="207">
        <f t="shared" si="73"/>
        <v>0</v>
      </c>
      <c r="AB28" s="57">
        <f t="shared" si="51"/>
        <v>0</v>
      </c>
      <c r="AC28" s="207">
        <f t="shared" si="51"/>
        <v>0</v>
      </c>
      <c r="AD28" s="207">
        <f t="shared" si="51"/>
        <v>0</v>
      </c>
      <c r="AE28" s="207">
        <f t="shared" si="51"/>
        <v>0</v>
      </c>
      <c r="AF28" s="207">
        <f t="shared" si="51"/>
        <v>0</v>
      </c>
      <c r="AG28" s="49">
        <f t="shared" si="51"/>
        <v>0</v>
      </c>
      <c r="AH28" s="57">
        <f t="shared" si="3"/>
        <v>0</v>
      </c>
      <c r="AI28" s="207">
        <f t="shared" si="3"/>
        <v>0</v>
      </c>
      <c r="AJ28" s="207">
        <f t="shared" si="3"/>
        <v>0</v>
      </c>
      <c r="AK28" s="207">
        <f t="shared" si="3"/>
        <v>0</v>
      </c>
      <c r="AL28" s="207">
        <f t="shared" si="3"/>
        <v>0</v>
      </c>
      <c r="AM28" s="207">
        <f t="shared" si="3"/>
        <v>0</v>
      </c>
      <c r="AN28" s="57">
        <f t="shared" si="42"/>
        <v>0</v>
      </c>
      <c r="AO28" s="207">
        <f t="shared" si="42"/>
        <v>0</v>
      </c>
      <c r="AP28" s="207">
        <f t="shared" si="42"/>
        <v>0</v>
      </c>
      <c r="AQ28" s="207">
        <f t="shared" si="42"/>
        <v>0</v>
      </c>
      <c r="AR28" s="207">
        <f t="shared" si="42"/>
        <v>0</v>
      </c>
      <c r="AS28" s="207">
        <f t="shared" si="57"/>
        <v>0</v>
      </c>
      <c r="AT28" s="207">
        <f t="shared" si="57"/>
        <v>0</v>
      </c>
      <c r="AU28" s="49">
        <f t="shared" si="57"/>
        <v>0</v>
      </c>
      <c r="AV28" s="63">
        <f t="shared" si="27"/>
        <v>0</v>
      </c>
      <c r="AW28" s="208">
        <f t="shared" si="27"/>
        <v>0</v>
      </c>
      <c r="AX28" s="208">
        <f t="shared" si="27"/>
        <v>0</v>
      </c>
      <c r="AY28" s="208">
        <f t="shared" si="27"/>
        <v>0</v>
      </c>
      <c r="AZ28" s="208">
        <f t="shared" si="27"/>
        <v>0</v>
      </c>
      <c r="BA28" s="208">
        <f t="shared" si="27"/>
        <v>0</v>
      </c>
      <c r="BB28" s="208">
        <f t="shared" si="27"/>
        <v>0</v>
      </c>
      <c r="BC28" s="64">
        <f t="shared" si="27"/>
        <v>0</v>
      </c>
      <c r="BD28" s="63">
        <f t="shared" si="43"/>
        <v>0</v>
      </c>
      <c r="BE28" s="208">
        <f t="shared" si="43"/>
        <v>0</v>
      </c>
      <c r="BF28" s="208">
        <f t="shared" si="43"/>
        <v>0</v>
      </c>
      <c r="BG28" s="208">
        <f t="shared" si="43"/>
        <v>0</v>
      </c>
      <c r="BH28" s="208">
        <f t="shared" si="43"/>
        <v>0</v>
      </c>
      <c r="BI28" s="208">
        <f t="shared" si="58"/>
        <v>0</v>
      </c>
      <c r="BJ28" s="208">
        <f t="shared" si="58"/>
        <v>0</v>
      </c>
      <c r="BK28" s="64">
        <f t="shared" si="58"/>
        <v>0</v>
      </c>
      <c r="BL28" s="63">
        <f t="shared" si="74"/>
        <v>0</v>
      </c>
      <c r="BM28" s="208">
        <f t="shared" si="74"/>
        <v>0</v>
      </c>
      <c r="BN28" s="208">
        <f t="shared" si="74"/>
        <v>0</v>
      </c>
      <c r="BO28" s="208">
        <f t="shared" si="74"/>
        <v>0</v>
      </c>
      <c r="BP28" s="208">
        <f t="shared" si="74"/>
        <v>0</v>
      </c>
      <c r="BQ28" s="208">
        <f t="shared" si="59"/>
        <v>0</v>
      </c>
      <c r="BR28" s="208">
        <f t="shared" si="59"/>
        <v>0</v>
      </c>
      <c r="BS28" s="64">
        <f t="shared" si="59"/>
        <v>0</v>
      </c>
      <c r="BT28" s="63">
        <f t="shared" si="52"/>
        <v>0</v>
      </c>
      <c r="BU28" s="208">
        <f t="shared" si="52"/>
        <v>0</v>
      </c>
      <c r="BV28" s="208">
        <f t="shared" si="52"/>
        <v>0</v>
      </c>
      <c r="BW28" s="208">
        <f t="shared" si="52"/>
        <v>0</v>
      </c>
      <c r="BX28" s="208">
        <f t="shared" si="52"/>
        <v>0</v>
      </c>
      <c r="BY28" s="208">
        <f t="shared" si="60"/>
        <v>0</v>
      </c>
      <c r="BZ28" s="208">
        <f t="shared" si="60"/>
        <v>0</v>
      </c>
      <c r="CA28" s="64">
        <f t="shared" si="60"/>
        <v>0</v>
      </c>
      <c r="CB28" s="63">
        <f t="shared" si="29"/>
        <v>0</v>
      </c>
      <c r="CC28" s="208">
        <f t="shared" si="29"/>
        <v>0</v>
      </c>
      <c r="CD28" s="208">
        <f t="shared" si="29"/>
        <v>0</v>
      </c>
      <c r="CE28" s="208">
        <f t="shared" si="29"/>
        <v>0</v>
      </c>
      <c r="CF28" s="208">
        <f t="shared" si="29"/>
        <v>0</v>
      </c>
      <c r="CG28" s="208">
        <f t="shared" si="61"/>
        <v>0</v>
      </c>
      <c r="CH28" s="208">
        <f t="shared" si="61"/>
        <v>0</v>
      </c>
      <c r="CI28" s="64">
        <f t="shared" si="61"/>
        <v>0</v>
      </c>
      <c r="CJ28" s="63">
        <f t="shared" si="75"/>
        <v>0</v>
      </c>
      <c r="CK28" s="208">
        <f t="shared" si="75"/>
        <v>0</v>
      </c>
      <c r="CL28" s="208">
        <f t="shared" si="75"/>
        <v>0</v>
      </c>
      <c r="CM28" s="208">
        <f t="shared" si="75"/>
        <v>0</v>
      </c>
      <c r="CN28" s="208">
        <f t="shared" si="75"/>
        <v>0</v>
      </c>
      <c r="CO28" s="208">
        <f t="shared" si="62"/>
        <v>0</v>
      </c>
      <c r="CP28" s="208">
        <f t="shared" si="62"/>
        <v>0</v>
      </c>
      <c r="CQ28" s="64">
        <f t="shared" si="62"/>
        <v>0</v>
      </c>
      <c r="CR28" s="63">
        <f t="shared" si="76"/>
        <v>0</v>
      </c>
      <c r="CS28" s="208">
        <f t="shared" si="76"/>
        <v>0</v>
      </c>
      <c r="CT28" s="208">
        <f t="shared" si="76"/>
        <v>0</v>
      </c>
      <c r="CU28" s="208">
        <f t="shared" si="76"/>
        <v>0</v>
      </c>
      <c r="CV28" s="208">
        <f t="shared" si="76"/>
        <v>0</v>
      </c>
      <c r="CW28" s="208">
        <f t="shared" si="63"/>
        <v>0</v>
      </c>
      <c r="CX28" s="208">
        <f t="shared" si="63"/>
        <v>0</v>
      </c>
      <c r="CY28" s="64">
        <f t="shared" si="63"/>
        <v>0</v>
      </c>
      <c r="CZ28" s="278"/>
    </row>
    <row r="29" spans="1:104" ht="26.25" hidden="1" customHeight="1" outlineLevel="1" x14ac:dyDescent="0.4">
      <c r="A29" s="379">
        <v>12</v>
      </c>
      <c r="B29" s="379" t="s">
        <v>47</v>
      </c>
      <c r="C29" s="379" t="s">
        <v>14</v>
      </c>
      <c r="D29" s="381" t="s">
        <v>481</v>
      </c>
      <c r="E29" s="381" t="s">
        <v>478</v>
      </c>
      <c r="F29" s="381"/>
      <c r="G29" s="404" t="s">
        <v>474</v>
      </c>
      <c r="H29" s="489">
        <f t="shared" ref="H29" si="77">SUM(AH29:AM29)</f>
        <v>0</v>
      </c>
      <c r="I29" s="489">
        <f t="shared" ref="I29" si="78">SUM(AH30:AM30)</f>
        <v>0</v>
      </c>
      <c r="J29" s="497"/>
      <c r="K29" s="491"/>
      <c r="L29" s="491"/>
      <c r="M29" s="493"/>
      <c r="N29" s="48" t="s">
        <v>24</v>
      </c>
      <c r="O29" s="187">
        <f>(3)/120</f>
        <v>2.5000000000000001E-2</v>
      </c>
      <c r="P29" s="187">
        <f t="shared" si="66"/>
        <v>0</v>
      </c>
      <c r="Q29" s="187">
        <f t="shared" si="66"/>
        <v>0</v>
      </c>
      <c r="R29" s="187">
        <f t="shared" si="66"/>
        <v>0</v>
      </c>
      <c r="S29" s="187">
        <f t="shared" si="66"/>
        <v>0</v>
      </c>
      <c r="T29" s="187">
        <f>(5)/120</f>
        <v>4.1666666666666664E-2</v>
      </c>
      <c r="U29" s="82">
        <f t="shared" si="66"/>
        <v>0</v>
      </c>
      <c r="V29" s="19">
        <f t="shared" si="71"/>
        <v>0</v>
      </c>
      <c r="W29" s="187">
        <f t="shared" si="40"/>
        <v>0</v>
      </c>
      <c r="X29" s="187">
        <f t="shared" si="72"/>
        <v>0</v>
      </c>
      <c r="Y29" s="187">
        <f t="shared" si="22"/>
        <v>0</v>
      </c>
      <c r="Z29" s="187">
        <f t="shared" si="67"/>
        <v>0</v>
      </c>
      <c r="AA29" s="187">
        <f t="shared" si="73"/>
        <v>0</v>
      </c>
      <c r="AB29" s="73">
        <f t="shared" si="51"/>
        <v>0</v>
      </c>
      <c r="AC29" s="187">
        <f t="shared" si="51"/>
        <v>0</v>
      </c>
      <c r="AD29" s="187">
        <f t="shared" si="51"/>
        <v>0</v>
      </c>
      <c r="AE29" s="187">
        <f t="shared" si="51"/>
        <v>0</v>
      </c>
      <c r="AF29" s="187">
        <f t="shared" si="51"/>
        <v>0</v>
      </c>
      <c r="AG29" s="221">
        <f t="shared" si="51"/>
        <v>0</v>
      </c>
      <c r="AH29" s="73">
        <f t="shared" si="3"/>
        <v>0</v>
      </c>
      <c r="AI29" s="187">
        <f t="shared" si="3"/>
        <v>0</v>
      </c>
      <c r="AJ29" s="187">
        <f t="shared" si="3"/>
        <v>0</v>
      </c>
      <c r="AK29" s="187">
        <f t="shared" si="3"/>
        <v>0</v>
      </c>
      <c r="AL29" s="187">
        <f t="shared" si="3"/>
        <v>0</v>
      </c>
      <c r="AM29" s="187">
        <f t="shared" si="3"/>
        <v>0</v>
      </c>
      <c r="AN29" s="73">
        <f t="shared" si="42"/>
        <v>0</v>
      </c>
      <c r="AO29" s="187">
        <f t="shared" si="42"/>
        <v>0</v>
      </c>
      <c r="AP29" s="187">
        <f t="shared" si="42"/>
        <v>0</v>
      </c>
      <c r="AQ29" s="187">
        <f t="shared" si="42"/>
        <v>0</v>
      </c>
      <c r="AR29" s="187">
        <f t="shared" si="42"/>
        <v>0</v>
      </c>
      <c r="AS29" s="187">
        <f t="shared" si="57"/>
        <v>0</v>
      </c>
      <c r="AT29" s="187">
        <f t="shared" si="57"/>
        <v>0</v>
      </c>
      <c r="AU29" s="221">
        <f t="shared" si="57"/>
        <v>0</v>
      </c>
      <c r="AV29" s="222">
        <f t="shared" si="27"/>
        <v>0</v>
      </c>
      <c r="AW29" s="187">
        <f t="shared" si="27"/>
        <v>0</v>
      </c>
      <c r="AX29" s="187">
        <f t="shared" si="27"/>
        <v>0</v>
      </c>
      <c r="AY29" s="187">
        <f t="shared" si="27"/>
        <v>0</v>
      </c>
      <c r="AZ29" s="187">
        <f t="shared" si="27"/>
        <v>0</v>
      </c>
      <c r="BA29" s="187">
        <f t="shared" si="27"/>
        <v>0</v>
      </c>
      <c r="BB29" s="187">
        <f t="shared" si="27"/>
        <v>0</v>
      </c>
      <c r="BC29" s="17">
        <f t="shared" si="27"/>
        <v>0</v>
      </c>
      <c r="BD29" s="19">
        <f t="shared" si="43"/>
        <v>0</v>
      </c>
      <c r="BE29" s="187">
        <f t="shared" si="43"/>
        <v>0</v>
      </c>
      <c r="BF29" s="187">
        <f t="shared" si="43"/>
        <v>0</v>
      </c>
      <c r="BG29" s="187">
        <f t="shared" si="43"/>
        <v>0</v>
      </c>
      <c r="BH29" s="187">
        <f t="shared" si="43"/>
        <v>0</v>
      </c>
      <c r="BI29" s="187">
        <f t="shared" si="58"/>
        <v>0</v>
      </c>
      <c r="BJ29" s="187">
        <f t="shared" si="58"/>
        <v>0</v>
      </c>
      <c r="BK29" s="17">
        <f t="shared" si="58"/>
        <v>0</v>
      </c>
      <c r="BL29" s="19">
        <f t="shared" si="74"/>
        <v>0</v>
      </c>
      <c r="BM29" s="187">
        <f t="shared" si="74"/>
        <v>0</v>
      </c>
      <c r="BN29" s="187">
        <f t="shared" si="74"/>
        <v>0</v>
      </c>
      <c r="BO29" s="187">
        <f t="shared" si="74"/>
        <v>0</v>
      </c>
      <c r="BP29" s="187">
        <f t="shared" si="74"/>
        <v>0</v>
      </c>
      <c r="BQ29" s="187">
        <f t="shared" si="59"/>
        <v>0</v>
      </c>
      <c r="BR29" s="187">
        <f t="shared" si="59"/>
        <v>0</v>
      </c>
      <c r="BS29" s="17">
        <f t="shared" si="59"/>
        <v>0</v>
      </c>
      <c r="BT29" s="19">
        <f t="shared" ref="BT29:BX38" si="79">0/157.5</f>
        <v>0</v>
      </c>
      <c r="BU29" s="187">
        <f t="shared" si="79"/>
        <v>0</v>
      </c>
      <c r="BV29" s="187">
        <f t="shared" si="79"/>
        <v>0</v>
      </c>
      <c r="BW29" s="187">
        <f t="shared" si="79"/>
        <v>0</v>
      </c>
      <c r="BX29" s="187">
        <f t="shared" si="79"/>
        <v>0</v>
      </c>
      <c r="BY29" s="187">
        <f t="shared" si="60"/>
        <v>0</v>
      </c>
      <c r="BZ29" s="187">
        <f t="shared" si="60"/>
        <v>0</v>
      </c>
      <c r="CA29" s="17">
        <f t="shared" si="60"/>
        <v>0</v>
      </c>
      <c r="CB29" s="73">
        <f t="shared" si="29"/>
        <v>0</v>
      </c>
      <c r="CC29" s="187">
        <f t="shared" si="29"/>
        <v>0</v>
      </c>
      <c r="CD29" s="187">
        <f t="shared" si="29"/>
        <v>0</v>
      </c>
      <c r="CE29" s="187">
        <f t="shared" si="29"/>
        <v>0</v>
      </c>
      <c r="CF29" s="187">
        <f t="shared" si="29"/>
        <v>0</v>
      </c>
      <c r="CG29" s="187">
        <f t="shared" si="61"/>
        <v>0</v>
      </c>
      <c r="CH29" s="187">
        <f t="shared" si="61"/>
        <v>0</v>
      </c>
      <c r="CI29" s="17">
        <f t="shared" si="61"/>
        <v>0</v>
      </c>
      <c r="CJ29" s="19">
        <f t="shared" si="75"/>
        <v>0</v>
      </c>
      <c r="CK29" s="187">
        <f t="shared" si="75"/>
        <v>0</v>
      </c>
      <c r="CL29" s="187">
        <f t="shared" si="75"/>
        <v>0</v>
      </c>
      <c r="CM29" s="187">
        <f t="shared" si="75"/>
        <v>0</v>
      </c>
      <c r="CN29" s="187">
        <f t="shared" si="75"/>
        <v>0</v>
      </c>
      <c r="CO29" s="187">
        <f t="shared" si="62"/>
        <v>0</v>
      </c>
      <c r="CP29" s="187">
        <f t="shared" si="62"/>
        <v>0</v>
      </c>
      <c r="CQ29" s="17">
        <f t="shared" si="62"/>
        <v>0</v>
      </c>
      <c r="CR29" s="19">
        <f t="shared" si="76"/>
        <v>0</v>
      </c>
      <c r="CS29" s="187">
        <f t="shared" si="76"/>
        <v>0</v>
      </c>
      <c r="CT29" s="187">
        <f t="shared" si="76"/>
        <v>0</v>
      </c>
      <c r="CU29" s="187">
        <f t="shared" si="76"/>
        <v>0</v>
      </c>
      <c r="CV29" s="187">
        <f t="shared" si="76"/>
        <v>0</v>
      </c>
      <c r="CW29" s="187">
        <f t="shared" si="63"/>
        <v>0</v>
      </c>
      <c r="CX29" s="187">
        <f t="shared" si="63"/>
        <v>0</v>
      </c>
      <c r="CY29" s="17">
        <f t="shared" si="63"/>
        <v>0</v>
      </c>
      <c r="CZ29" s="278"/>
    </row>
    <row r="30" spans="1:104" ht="26.25" hidden="1" customHeight="1" outlineLevel="1" x14ac:dyDescent="0.4">
      <c r="A30" s="380"/>
      <c r="B30" s="380"/>
      <c r="C30" s="380"/>
      <c r="D30" s="382"/>
      <c r="E30" s="382"/>
      <c r="F30" s="382"/>
      <c r="G30" s="404"/>
      <c r="H30" s="490"/>
      <c r="I30" s="490"/>
      <c r="J30" s="498"/>
      <c r="K30" s="492"/>
      <c r="L30" s="492"/>
      <c r="M30" s="494"/>
      <c r="N30" s="39" t="s">
        <v>25</v>
      </c>
      <c r="O30" s="207">
        <f>(0+1+1)/120</f>
        <v>1.6666666666666666E-2</v>
      </c>
      <c r="P30" s="207">
        <f t="shared" si="66"/>
        <v>0</v>
      </c>
      <c r="Q30" s="207">
        <f t="shared" si="66"/>
        <v>0</v>
      </c>
      <c r="R30" s="207">
        <f t="shared" si="66"/>
        <v>0</v>
      </c>
      <c r="S30" s="207">
        <f>(0)/120</f>
        <v>0</v>
      </c>
      <c r="T30" s="207">
        <f>(0+2.5+2)/120</f>
        <v>3.7499999999999999E-2</v>
      </c>
      <c r="U30" s="49">
        <f t="shared" si="66"/>
        <v>0</v>
      </c>
      <c r="V30" s="57">
        <f t="shared" si="71"/>
        <v>0</v>
      </c>
      <c r="W30" s="207">
        <f t="shared" si="40"/>
        <v>0</v>
      </c>
      <c r="X30" s="207">
        <f t="shared" si="72"/>
        <v>0</v>
      </c>
      <c r="Y30" s="207">
        <f t="shared" si="22"/>
        <v>0</v>
      </c>
      <c r="Z30" s="207">
        <f t="shared" si="67"/>
        <v>0</v>
      </c>
      <c r="AA30" s="207">
        <f t="shared" si="73"/>
        <v>0</v>
      </c>
      <c r="AB30" s="57">
        <f t="shared" si="51"/>
        <v>0</v>
      </c>
      <c r="AC30" s="207">
        <f t="shared" si="51"/>
        <v>0</v>
      </c>
      <c r="AD30" s="207">
        <f t="shared" si="51"/>
        <v>0</v>
      </c>
      <c r="AE30" s="207">
        <f t="shared" si="51"/>
        <v>0</v>
      </c>
      <c r="AF30" s="207">
        <f t="shared" si="51"/>
        <v>0</v>
      </c>
      <c r="AG30" s="49">
        <f t="shared" si="51"/>
        <v>0</v>
      </c>
      <c r="AH30" s="57">
        <f t="shared" si="3"/>
        <v>0</v>
      </c>
      <c r="AI30" s="207">
        <f t="shared" si="3"/>
        <v>0</v>
      </c>
      <c r="AJ30" s="207">
        <f t="shared" si="3"/>
        <v>0</v>
      </c>
      <c r="AK30" s="207">
        <f t="shared" si="3"/>
        <v>0</v>
      </c>
      <c r="AL30" s="207">
        <f t="shared" si="3"/>
        <v>0</v>
      </c>
      <c r="AM30" s="207">
        <f t="shared" si="3"/>
        <v>0</v>
      </c>
      <c r="AN30" s="57">
        <f t="shared" si="42"/>
        <v>0</v>
      </c>
      <c r="AO30" s="207">
        <f t="shared" si="42"/>
        <v>0</v>
      </c>
      <c r="AP30" s="207">
        <f t="shared" si="42"/>
        <v>0</v>
      </c>
      <c r="AQ30" s="207">
        <f t="shared" si="42"/>
        <v>0</v>
      </c>
      <c r="AR30" s="207">
        <f t="shared" si="42"/>
        <v>0</v>
      </c>
      <c r="AS30" s="207">
        <f t="shared" si="57"/>
        <v>0</v>
      </c>
      <c r="AT30" s="207">
        <f t="shared" si="57"/>
        <v>0</v>
      </c>
      <c r="AU30" s="49">
        <f t="shared" si="57"/>
        <v>0</v>
      </c>
      <c r="AV30" s="63">
        <f t="shared" si="27"/>
        <v>0</v>
      </c>
      <c r="AW30" s="208">
        <f t="shared" si="27"/>
        <v>0</v>
      </c>
      <c r="AX30" s="208">
        <f t="shared" si="27"/>
        <v>0</v>
      </c>
      <c r="AY30" s="208">
        <f t="shared" si="27"/>
        <v>0</v>
      </c>
      <c r="AZ30" s="208">
        <f t="shared" si="27"/>
        <v>0</v>
      </c>
      <c r="BA30" s="208">
        <f t="shared" si="27"/>
        <v>0</v>
      </c>
      <c r="BB30" s="208">
        <f t="shared" si="27"/>
        <v>0</v>
      </c>
      <c r="BC30" s="64">
        <f t="shared" si="27"/>
        <v>0</v>
      </c>
      <c r="BD30" s="63">
        <f t="shared" si="43"/>
        <v>0</v>
      </c>
      <c r="BE30" s="208">
        <f t="shared" si="43"/>
        <v>0</v>
      </c>
      <c r="BF30" s="208">
        <f t="shared" si="43"/>
        <v>0</v>
      </c>
      <c r="BG30" s="208">
        <f t="shared" si="43"/>
        <v>0</v>
      </c>
      <c r="BH30" s="208">
        <f t="shared" si="43"/>
        <v>0</v>
      </c>
      <c r="BI30" s="208">
        <f t="shared" si="58"/>
        <v>0</v>
      </c>
      <c r="BJ30" s="208">
        <f t="shared" si="58"/>
        <v>0</v>
      </c>
      <c r="BK30" s="64">
        <f t="shared" si="58"/>
        <v>0</v>
      </c>
      <c r="BL30" s="63">
        <f t="shared" si="74"/>
        <v>0</v>
      </c>
      <c r="BM30" s="208">
        <f t="shared" si="74"/>
        <v>0</v>
      </c>
      <c r="BN30" s="208">
        <f t="shared" si="74"/>
        <v>0</v>
      </c>
      <c r="BO30" s="208">
        <f t="shared" si="74"/>
        <v>0</v>
      </c>
      <c r="BP30" s="208">
        <f t="shared" si="74"/>
        <v>0</v>
      </c>
      <c r="BQ30" s="208">
        <f t="shared" si="59"/>
        <v>0</v>
      </c>
      <c r="BR30" s="208">
        <f t="shared" si="59"/>
        <v>0</v>
      </c>
      <c r="BS30" s="64">
        <f t="shared" si="59"/>
        <v>0</v>
      </c>
      <c r="BT30" s="63">
        <f t="shared" si="79"/>
        <v>0</v>
      </c>
      <c r="BU30" s="208">
        <f t="shared" si="79"/>
        <v>0</v>
      </c>
      <c r="BV30" s="208">
        <f t="shared" si="79"/>
        <v>0</v>
      </c>
      <c r="BW30" s="208">
        <f t="shared" si="79"/>
        <v>0</v>
      </c>
      <c r="BX30" s="208">
        <f t="shared" si="79"/>
        <v>0</v>
      </c>
      <c r="BY30" s="208">
        <f t="shared" si="60"/>
        <v>0</v>
      </c>
      <c r="BZ30" s="208">
        <f t="shared" si="60"/>
        <v>0</v>
      </c>
      <c r="CA30" s="64">
        <f t="shared" si="60"/>
        <v>0</v>
      </c>
      <c r="CB30" s="63">
        <f t="shared" si="29"/>
        <v>0</v>
      </c>
      <c r="CC30" s="208">
        <f t="shared" si="29"/>
        <v>0</v>
      </c>
      <c r="CD30" s="208">
        <f t="shared" si="29"/>
        <v>0</v>
      </c>
      <c r="CE30" s="208">
        <f t="shared" si="29"/>
        <v>0</v>
      </c>
      <c r="CF30" s="208">
        <f t="shared" si="29"/>
        <v>0</v>
      </c>
      <c r="CG30" s="208">
        <f t="shared" si="61"/>
        <v>0</v>
      </c>
      <c r="CH30" s="208">
        <f t="shared" si="61"/>
        <v>0</v>
      </c>
      <c r="CI30" s="64">
        <f t="shared" si="61"/>
        <v>0</v>
      </c>
      <c r="CJ30" s="63">
        <f t="shared" si="75"/>
        <v>0</v>
      </c>
      <c r="CK30" s="208">
        <f t="shared" si="75"/>
        <v>0</v>
      </c>
      <c r="CL30" s="208">
        <f t="shared" si="75"/>
        <v>0</v>
      </c>
      <c r="CM30" s="208">
        <f t="shared" si="75"/>
        <v>0</v>
      </c>
      <c r="CN30" s="208">
        <f t="shared" si="75"/>
        <v>0</v>
      </c>
      <c r="CO30" s="208">
        <f t="shared" si="62"/>
        <v>0</v>
      </c>
      <c r="CP30" s="208">
        <f t="shared" si="62"/>
        <v>0</v>
      </c>
      <c r="CQ30" s="64">
        <f t="shared" si="62"/>
        <v>0</v>
      </c>
      <c r="CR30" s="63">
        <f t="shared" si="76"/>
        <v>0</v>
      </c>
      <c r="CS30" s="208">
        <f t="shared" si="76"/>
        <v>0</v>
      </c>
      <c r="CT30" s="208">
        <f t="shared" si="76"/>
        <v>0</v>
      </c>
      <c r="CU30" s="208">
        <f t="shared" si="76"/>
        <v>0</v>
      </c>
      <c r="CV30" s="208">
        <f t="shared" si="76"/>
        <v>0</v>
      </c>
      <c r="CW30" s="208">
        <f t="shared" si="63"/>
        <v>0</v>
      </c>
      <c r="CX30" s="208">
        <f t="shared" si="63"/>
        <v>0</v>
      </c>
      <c r="CY30" s="64">
        <f t="shared" si="63"/>
        <v>0</v>
      </c>
      <c r="CZ30" s="278"/>
    </row>
    <row r="31" spans="1:104" ht="26.25" hidden="1" customHeight="1" outlineLevel="1" collapsed="1" x14ac:dyDescent="0.4">
      <c r="A31" s="379">
        <v>13</v>
      </c>
      <c r="B31" s="379" t="s">
        <v>47</v>
      </c>
      <c r="C31" s="379" t="s">
        <v>347</v>
      </c>
      <c r="D31" s="381" t="s">
        <v>348</v>
      </c>
      <c r="E31" s="381" t="s">
        <v>506</v>
      </c>
      <c r="F31" s="381" t="s">
        <v>514</v>
      </c>
      <c r="G31" s="416" t="s">
        <v>507</v>
      </c>
      <c r="H31" s="489">
        <f t="shared" ref="H31" si="80">SUM(AH31:AM31)</f>
        <v>0</v>
      </c>
      <c r="I31" s="489">
        <f t="shared" ref="I31" si="81">SUM(AH32:AM32)</f>
        <v>0</v>
      </c>
      <c r="J31" s="497"/>
      <c r="K31" s="491"/>
      <c r="L31" s="491"/>
      <c r="M31" s="493"/>
      <c r="N31" s="48" t="s">
        <v>24</v>
      </c>
      <c r="O31" s="187">
        <f>(4)/120</f>
        <v>3.3333333333333333E-2</v>
      </c>
      <c r="P31" s="187">
        <f t="shared" si="66"/>
        <v>0</v>
      </c>
      <c r="Q31" s="187">
        <f t="shared" si="66"/>
        <v>0</v>
      </c>
      <c r="R31" s="187">
        <f>(20)/120</f>
        <v>0.16666666666666666</v>
      </c>
      <c r="S31" s="187">
        <f>(30)/120</f>
        <v>0.25</v>
      </c>
      <c r="T31" s="187">
        <f>(20)/120</f>
        <v>0.16666666666666666</v>
      </c>
      <c r="U31" s="82">
        <f t="shared" si="66"/>
        <v>0</v>
      </c>
      <c r="V31" s="19">
        <f t="shared" si="71"/>
        <v>0</v>
      </c>
      <c r="W31" s="187">
        <f t="shared" si="40"/>
        <v>0</v>
      </c>
      <c r="X31" s="187">
        <f t="shared" si="72"/>
        <v>0</v>
      </c>
      <c r="Y31" s="187">
        <f t="shared" si="22"/>
        <v>0</v>
      </c>
      <c r="Z31" s="187">
        <f t="shared" si="67"/>
        <v>0</v>
      </c>
      <c r="AA31" s="187">
        <f t="shared" si="73"/>
        <v>0</v>
      </c>
      <c r="AB31" s="73">
        <f t="shared" si="51"/>
        <v>0</v>
      </c>
      <c r="AC31" s="187">
        <f t="shared" si="51"/>
        <v>0</v>
      </c>
      <c r="AD31" s="187">
        <f t="shared" si="51"/>
        <v>0</v>
      </c>
      <c r="AE31" s="187">
        <f t="shared" si="51"/>
        <v>0</v>
      </c>
      <c r="AF31" s="187">
        <f t="shared" si="51"/>
        <v>0</v>
      </c>
      <c r="AG31" s="221">
        <f t="shared" si="51"/>
        <v>0</v>
      </c>
      <c r="AH31" s="73">
        <f t="shared" si="3"/>
        <v>0</v>
      </c>
      <c r="AI31" s="187">
        <f t="shared" si="3"/>
        <v>0</v>
      </c>
      <c r="AJ31" s="187">
        <f t="shared" si="3"/>
        <v>0</v>
      </c>
      <c r="AK31" s="187">
        <f t="shared" si="3"/>
        <v>0</v>
      </c>
      <c r="AL31" s="187">
        <f t="shared" si="3"/>
        <v>0</v>
      </c>
      <c r="AM31" s="187">
        <f t="shared" si="3"/>
        <v>0</v>
      </c>
      <c r="AN31" s="73">
        <f t="shared" si="42"/>
        <v>0</v>
      </c>
      <c r="AO31" s="187">
        <f t="shared" si="42"/>
        <v>0</v>
      </c>
      <c r="AP31" s="187">
        <f t="shared" si="42"/>
        <v>0</v>
      </c>
      <c r="AQ31" s="187">
        <f t="shared" si="42"/>
        <v>0</v>
      </c>
      <c r="AR31" s="187">
        <f t="shared" si="42"/>
        <v>0</v>
      </c>
      <c r="AS31" s="187">
        <f t="shared" si="57"/>
        <v>0</v>
      </c>
      <c r="AT31" s="187">
        <f t="shared" si="57"/>
        <v>0</v>
      </c>
      <c r="AU31" s="221">
        <f t="shared" si="57"/>
        <v>0</v>
      </c>
      <c r="AV31" s="222">
        <f t="shared" si="27"/>
        <v>0</v>
      </c>
      <c r="AW31" s="187">
        <f t="shared" si="27"/>
        <v>0</v>
      </c>
      <c r="AX31" s="187">
        <f t="shared" si="27"/>
        <v>0</v>
      </c>
      <c r="AY31" s="187">
        <f t="shared" si="27"/>
        <v>0</v>
      </c>
      <c r="AZ31" s="187">
        <f t="shared" si="27"/>
        <v>0</v>
      </c>
      <c r="BA31" s="187">
        <f t="shared" si="27"/>
        <v>0</v>
      </c>
      <c r="BB31" s="187">
        <f t="shared" si="27"/>
        <v>0</v>
      </c>
      <c r="BC31" s="17">
        <f t="shared" si="27"/>
        <v>0</v>
      </c>
      <c r="BD31" s="19">
        <f t="shared" si="43"/>
        <v>0</v>
      </c>
      <c r="BE31" s="187">
        <f t="shared" si="43"/>
        <v>0</v>
      </c>
      <c r="BF31" s="187">
        <f t="shared" si="43"/>
        <v>0</v>
      </c>
      <c r="BG31" s="187">
        <f t="shared" si="43"/>
        <v>0</v>
      </c>
      <c r="BH31" s="187">
        <f t="shared" si="43"/>
        <v>0</v>
      </c>
      <c r="BI31" s="187">
        <f t="shared" si="58"/>
        <v>0</v>
      </c>
      <c r="BJ31" s="187">
        <f t="shared" si="58"/>
        <v>0</v>
      </c>
      <c r="BK31" s="17">
        <f t="shared" si="58"/>
        <v>0</v>
      </c>
      <c r="BL31" s="19">
        <f t="shared" si="74"/>
        <v>0</v>
      </c>
      <c r="BM31" s="187">
        <f t="shared" si="74"/>
        <v>0</v>
      </c>
      <c r="BN31" s="187">
        <f t="shared" si="74"/>
        <v>0</v>
      </c>
      <c r="BO31" s="187">
        <f t="shared" si="74"/>
        <v>0</v>
      </c>
      <c r="BP31" s="187">
        <f t="shared" si="74"/>
        <v>0</v>
      </c>
      <c r="BQ31" s="187">
        <f t="shared" si="59"/>
        <v>0</v>
      </c>
      <c r="BR31" s="187">
        <f t="shared" si="59"/>
        <v>0</v>
      </c>
      <c r="BS31" s="17">
        <f t="shared" si="59"/>
        <v>0</v>
      </c>
      <c r="BT31" s="19">
        <f t="shared" si="79"/>
        <v>0</v>
      </c>
      <c r="BU31" s="187">
        <f t="shared" si="79"/>
        <v>0</v>
      </c>
      <c r="BV31" s="187">
        <f t="shared" si="79"/>
        <v>0</v>
      </c>
      <c r="BW31" s="187">
        <f t="shared" si="79"/>
        <v>0</v>
      </c>
      <c r="BX31" s="187">
        <f t="shared" si="79"/>
        <v>0</v>
      </c>
      <c r="BY31" s="187">
        <f t="shared" si="60"/>
        <v>0</v>
      </c>
      <c r="BZ31" s="187">
        <f t="shared" si="60"/>
        <v>0</v>
      </c>
      <c r="CA31" s="17">
        <f t="shared" si="60"/>
        <v>0</v>
      </c>
      <c r="CB31" s="73">
        <f t="shared" si="29"/>
        <v>0</v>
      </c>
      <c r="CC31" s="187">
        <f t="shared" si="29"/>
        <v>0</v>
      </c>
      <c r="CD31" s="187">
        <f t="shared" si="29"/>
        <v>0</v>
      </c>
      <c r="CE31" s="187">
        <f t="shared" si="29"/>
        <v>0</v>
      </c>
      <c r="CF31" s="187">
        <f t="shared" si="29"/>
        <v>0</v>
      </c>
      <c r="CG31" s="187">
        <f t="shared" si="61"/>
        <v>0</v>
      </c>
      <c r="CH31" s="187">
        <f t="shared" si="61"/>
        <v>0</v>
      </c>
      <c r="CI31" s="17">
        <f t="shared" si="61"/>
        <v>0</v>
      </c>
      <c r="CJ31" s="19">
        <f t="shared" si="75"/>
        <v>0</v>
      </c>
      <c r="CK31" s="187">
        <f t="shared" si="75"/>
        <v>0</v>
      </c>
      <c r="CL31" s="187">
        <f t="shared" si="75"/>
        <v>0</v>
      </c>
      <c r="CM31" s="187">
        <f t="shared" si="75"/>
        <v>0</v>
      </c>
      <c r="CN31" s="187">
        <f t="shared" si="75"/>
        <v>0</v>
      </c>
      <c r="CO31" s="187">
        <f t="shared" si="62"/>
        <v>0</v>
      </c>
      <c r="CP31" s="187">
        <f t="shared" si="62"/>
        <v>0</v>
      </c>
      <c r="CQ31" s="17">
        <f t="shared" si="62"/>
        <v>0</v>
      </c>
      <c r="CR31" s="19">
        <f t="shared" si="76"/>
        <v>0</v>
      </c>
      <c r="CS31" s="187">
        <f t="shared" si="76"/>
        <v>0</v>
      </c>
      <c r="CT31" s="187">
        <f t="shared" si="76"/>
        <v>0</v>
      </c>
      <c r="CU31" s="187">
        <f t="shared" si="76"/>
        <v>0</v>
      </c>
      <c r="CV31" s="187">
        <f t="shared" si="76"/>
        <v>0</v>
      </c>
      <c r="CW31" s="187">
        <f t="shared" si="63"/>
        <v>0</v>
      </c>
      <c r="CX31" s="187">
        <f t="shared" si="63"/>
        <v>0</v>
      </c>
      <c r="CY31" s="17">
        <f t="shared" si="63"/>
        <v>0</v>
      </c>
      <c r="CZ31" s="278"/>
    </row>
    <row r="32" spans="1:104" ht="26.25" hidden="1" customHeight="1" outlineLevel="1" x14ac:dyDescent="0.4">
      <c r="A32" s="380"/>
      <c r="B32" s="380"/>
      <c r="C32" s="380"/>
      <c r="D32" s="382"/>
      <c r="E32" s="382"/>
      <c r="F32" s="382"/>
      <c r="G32" s="416"/>
      <c r="H32" s="490"/>
      <c r="I32" s="490"/>
      <c r="J32" s="498"/>
      <c r="K32" s="492"/>
      <c r="L32" s="492"/>
      <c r="M32" s="494"/>
      <c r="N32" s="39" t="s">
        <v>25</v>
      </c>
      <c r="O32" s="207">
        <f>(0+4.5+3.25)/120</f>
        <v>6.458333333333334E-2</v>
      </c>
      <c r="P32" s="207">
        <f t="shared" si="66"/>
        <v>0</v>
      </c>
      <c r="Q32" s="207">
        <f t="shared" si="66"/>
        <v>0</v>
      </c>
      <c r="R32" s="207">
        <f>(0+5+9.5)/120</f>
        <v>0.12083333333333333</v>
      </c>
      <c r="S32" s="207">
        <f>(0+15+20)/120</f>
        <v>0.29166666666666669</v>
      </c>
      <c r="T32" s="207">
        <f>(0+6+7)/120</f>
        <v>0.10833333333333334</v>
      </c>
      <c r="U32" s="49">
        <f t="shared" si="66"/>
        <v>0</v>
      </c>
      <c r="V32" s="57">
        <f t="shared" si="71"/>
        <v>0</v>
      </c>
      <c r="W32" s="207">
        <f t="shared" si="40"/>
        <v>0</v>
      </c>
      <c r="X32" s="207">
        <f t="shared" si="72"/>
        <v>0</v>
      </c>
      <c r="Y32" s="207">
        <f t="shared" si="22"/>
        <v>0</v>
      </c>
      <c r="Z32" s="207">
        <f t="shared" si="67"/>
        <v>0</v>
      </c>
      <c r="AA32" s="207">
        <f t="shared" si="73"/>
        <v>0</v>
      </c>
      <c r="AB32" s="57">
        <f t="shared" si="51"/>
        <v>0</v>
      </c>
      <c r="AC32" s="207">
        <f t="shared" si="51"/>
        <v>0</v>
      </c>
      <c r="AD32" s="207">
        <f t="shared" si="51"/>
        <v>0</v>
      </c>
      <c r="AE32" s="207">
        <f t="shared" si="51"/>
        <v>0</v>
      </c>
      <c r="AF32" s="207">
        <f t="shared" si="51"/>
        <v>0</v>
      </c>
      <c r="AG32" s="49">
        <f t="shared" si="51"/>
        <v>0</v>
      </c>
      <c r="AH32" s="57">
        <f t="shared" si="3"/>
        <v>0</v>
      </c>
      <c r="AI32" s="207">
        <f t="shared" si="3"/>
        <v>0</v>
      </c>
      <c r="AJ32" s="207">
        <f t="shared" si="3"/>
        <v>0</v>
      </c>
      <c r="AK32" s="207">
        <f t="shared" si="3"/>
        <v>0</v>
      </c>
      <c r="AL32" s="207">
        <f t="shared" si="3"/>
        <v>0</v>
      </c>
      <c r="AM32" s="207">
        <f t="shared" si="3"/>
        <v>0</v>
      </c>
      <c r="AN32" s="57">
        <f t="shared" si="42"/>
        <v>0</v>
      </c>
      <c r="AO32" s="207">
        <f t="shared" si="42"/>
        <v>0</v>
      </c>
      <c r="AP32" s="207">
        <f t="shared" si="42"/>
        <v>0</v>
      </c>
      <c r="AQ32" s="207">
        <f t="shared" si="42"/>
        <v>0</v>
      </c>
      <c r="AR32" s="207">
        <f t="shared" si="42"/>
        <v>0</v>
      </c>
      <c r="AS32" s="207">
        <f t="shared" si="57"/>
        <v>0</v>
      </c>
      <c r="AT32" s="207">
        <f t="shared" si="57"/>
        <v>0</v>
      </c>
      <c r="AU32" s="49">
        <f t="shared" si="57"/>
        <v>0</v>
      </c>
      <c r="AV32" s="63">
        <f t="shared" si="27"/>
        <v>0</v>
      </c>
      <c r="AW32" s="208">
        <f t="shared" si="27"/>
        <v>0</v>
      </c>
      <c r="AX32" s="208">
        <f t="shared" si="27"/>
        <v>0</v>
      </c>
      <c r="AY32" s="208">
        <f t="shared" si="27"/>
        <v>0</v>
      </c>
      <c r="AZ32" s="208">
        <f t="shared" si="27"/>
        <v>0</v>
      </c>
      <c r="BA32" s="208">
        <f t="shared" si="27"/>
        <v>0</v>
      </c>
      <c r="BB32" s="208">
        <f t="shared" si="27"/>
        <v>0</v>
      </c>
      <c r="BC32" s="64">
        <f t="shared" si="27"/>
        <v>0</v>
      </c>
      <c r="BD32" s="63">
        <f t="shared" si="43"/>
        <v>0</v>
      </c>
      <c r="BE32" s="208">
        <f t="shared" si="43"/>
        <v>0</v>
      </c>
      <c r="BF32" s="208">
        <f t="shared" si="43"/>
        <v>0</v>
      </c>
      <c r="BG32" s="208">
        <f t="shared" si="43"/>
        <v>0</v>
      </c>
      <c r="BH32" s="208">
        <f t="shared" si="43"/>
        <v>0</v>
      </c>
      <c r="BI32" s="208">
        <f t="shared" si="58"/>
        <v>0</v>
      </c>
      <c r="BJ32" s="208">
        <f t="shared" si="58"/>
        <v>0</v>
      </c>
      <c r="BK32" s="64">
        <f t="shared" si="58"/>
        <v>0</v>
      </c>
      <c r="BL32" s="63">
        <f t="shared" si="74"/>
        <v>0</v>
      </c>
      <c r="BM32" s="208">
        <f t="shared" si="74"/>
        <v>0</v>
      </c>
      <c r="BN32" s="208">
        <f t="shared" si="74"/>
        <v>0</v>
      </c>
      <c r="BO32" s="208">
        <f t="shared" si="74"/>
        <v>0</v>
      </c>
      <c r="BP32" s="208">
        <f t="shared" si="74"/>
        <v>0</v>
      </c>
      <c r="BQ32" s="208">
        <f t="shared" si="59"/>
        <v>0</v>
      </c>
      <c r="BR32" s="208">
        <f t="shared" si="59"/>
        <v>0</v>
      </c>
      <c r="BS32" s="64">
        <f t="shared" si="59"/>
        <v>0</v>
      </c>
      <c r="BT32" s="63">
        <f t="shared" si="79"/>
        <v>0</v>
      </c>
      <c r="BU32" s="208">
        <f t="shared" si="79"/>
        <v>0</v>
      </c>
      <c r="BV32" s="208">
        <f t="shared" si="79"/>
        <v>0</v>
      </c>
      <c r="BW32" s="208">
        <f t="shared" si="79"/>
        <v>0</v>
      </c>
      <c r="BX32" s="208">
        <f t="shared" si="79"/>
        <v>0</v>
      </c>
      <c r="BY32" s="208">
        <f t="shared" si="60"/>
        <v>0</v>
      </c>
      <c r="BZ32" s="208">
        <f t="shared" si="60"/>
        <v>0</v>
      </c>
      <c r="CA32" s="64">
        <f t="shared" si="60"/>
        <v>0</v>
      </c>
      <c r="CB32" s="63">
        <f t="shared" si="29"/>
        <v>0</v>
      </c>
      <c r="CC32" s="208">
        <f t="shared" si="29"/>
        <v>0</v>
      </c>
      <c r="CD32" s="208">
        <f t="shared" si="29"/>
        <v>0</v>
      </c>
      <c r="CE32" s="208">
        <f t="shared" si="29"/>
        <v>0</v>
      </c>
      <c r="CF32" s="208">
        <f t="shared" si="29"/>
        <v>0</v>
      </c>
      <c r="CG32" s="208">
        <f t="shared" si="61"/>
        <v>0</v>
      </c>
      <c r="CH32" s="208">
        <f t="shared" si="61"/>
        <v>0</v>
      </c>
      <c r="CI32" s="64">
        <f t="shared" si="61"/>
        <v>0</v>
      </c>
      <c r="CJ32" s="63">
        <f t="shared" si="75"/>
        <v>0</v>
      </c>
      <c r="CK32" s="208">
        <f t="shared" si="75"/>
        <v>0</v>
      </c>
      <c r="CL32" s="208">
        <f t="shared" si="75"/>
        <v>0</v>
      </c>
      <c r="CM32" s="208">
        <f t="shared" si="75"/>
        <v>0</v>
      </c>
      <c r="CN32" s="208">
        <f t="shared" si="75"/>
        <v>0</v>
      </c>
      <c r="CO32" s="208">
        <f t="shared" si="62"/>
        <v>0</v>
      </c>
      <c r="CP32" s="208">
        <f t="shared" si="62"/>
        <v>0</v>
      </c>
      <c r="CQ32" s="64">
        <f t="shared" si="62"/>
        <v>0</v>
      </c>
      <c r="CR32" s="63">
        <f t="shared" si="76"/>
        <v>0</v>
      </c>
      <c r="CS32" s="208">
        <f t="shared" si="76"/>
        <v>0</v>
      </c>
      <c r="CT32" s="208">
        <f t="shared" si="76"/>
        <v>0</v>
      </c>
      <c r="CU32" s="208">
        <f t="shared" si="76"/>
        <v>0</v>
      </c>
      <c r="CV32" s="208">
        <f t="shared" si="76"/>
        <v>0</v>
      </c>
      <c r="CW32" s="208">
        <f t="shared" si="63"/>
        <v>0</v>
      </c>
      <c r="CX32" s="208">
        <f t="shared" si="63"/>
        <v>0</v>
      </c>
      <c r="CY32" s="64">
        <f t="shared" si="63"/>
        <v>0</v>
      </c>
      <c r="CZ32" s="278"/>
    </row>
    <row r="33" spans="1:104" ht="26.25" hidden="1" customHeight="1" outlineLevel="1" collapsed="1" x14ac:dyDescent="0.4">
      <c r="A33" s="379">
        <v>14</v>
      </c>
      <c r="B33" s="379" t="s">
        <v>47</v>
      </c>
      <c r="C33" s="379" t="s">
        <v>14</v>
      </c>
      <c r="D33" s="381" t="s">
        <v>433</v>
      </c>
      <c r="E33" s="381" t="s">
        <v>509</v>
      </c>
      <c r="F33" s="381" t="s">
        <v>429</v>
      </c>
      <c r="G33" s="404" t="s">
        <v>508</v>
      </c>
      <c r="H33" s="489">
        <f t="shared" ref="H33" si="82">SUM(AH33:AM33)</f>
        <v>0</v>
      </c>
      <c r="I33" s="489">
        <f t="shared" ref="I33" si="83">SUM(AH34:AM34)</f>
        <v>0</v>
      </c>
      <c r="J33" s="497"/>
      <c r="K33" s="491"/>
      <c r="L33" s="491"/>
      <c r="M33" s="493"/>
      <c r="N33" s="48" t="s">
        <v>24</v>
      </c>
      <c r="O33" s="187">
        <f>(5)/120</f>
        <v>4.1666666666666664E-2</v>
      </c>
      <c r="P33" s="187">
        <f t="shared" si="66"/>
        <v>0</v>
      </c>
      <c r="Q33" s="187">
        <f t="shared" si="66"/>
        <v>0</v>
      </c>
      <c r="R33" s="187">
        <f t="shared" si="66"/>
        <v>0</v>
      </c>
      <c r="S33" s="187">
        <f>(7)/120</f>
        <v>5.8333333333333334E-2</v>
      </c>
      <c r="T33" s="187">
        <f>(30)/120</f>
        <v>0.25</v>
      </c>
      <c r="U33" s="82">
        <f t="shared" si="66"/>
        <v>0</v>
      </c>
      <c r="V33" s="19">
        <f>(5)/142.5</f>
        <v>3.5087719298245612E-2</v>
      </c>
      <c r="W33" s="187">
        <f t="shared" si="40"/>
        <v>0</v>
      </c>
      <c r="X33" s="187">
        <f>(10)/142.5</f>
        <v>7.0175438596491224E-2</v>
      </c>
      <c r="Y33" s="187">
        <f>(25)/142.5</f>
        <v>0.17543859649122806</v>
      </c>
      <c r="Z33" s="187">
        <f>(25)/142.5</f>
        <v>0.17543859649122806</v>
      </c>
      <c r="AA33" s="187">
        <f>(25)/142.5</f>
        <v>0.17543859649122806</v>
      </c>
      <c r="AB33" s="73">
        <f>(5)/165</f>
        <v>3.0303030303030304E-2</v>
      </c>
      <c r="AC33" s="187">
        <f>(0)/165</f>
        <v>0</v>
      </c>
      <c r="AD33" s="187">
        <f t="shared" ref="AD33:AG34" si="84">(0)/165</f>
        <v>0</v>
      </c>
      <c r="AE33" s="187">
        <f t="shared" si="84"/>
        <v>0</v>
      </c>
      <c r="AF33" s="187">
        <f>(5)/165</f>
        <v>3.0303030303030304E-2</v>
      </c>
      <c r="AG33" s="187">
        <f t="shared" si="84"/>
        <v>0</v>
      </c>
      <c r="AH33" s="73">
        <f t="shared" si="3"/>
        <v>0</v>
      </c>
      <c r="AI33" s="187">
        <f t="shared" si="3"/>
        <v>0</v>
      </c>
      <c r="AJ33" s="187">
        <f t="shared" si="3"/>
        <v>0</v>
      </c>
      <c r="AK33" s="187">
        <f t="shared" si="3"/>
        <v>0</v>
      </c>
      <c r="AL33" s="187">
        <f t="shared" si="3"/>
        <v>0</v>
      </c>
      <c r="AM33" s="187">
        <f t="shared" si="3"/>
        <v>0</v>
      </c>
      <c r="AN33" s="73">
        <f t="shared" si="42"/>
        <v>0</v>
      </c>
      <c r="AO33" s="187">
        <f t="shared" si="42"/>
        <v>0</v>
      </c>
      <c r="AP33" s="187">
        <f t="shared" si="42"/>
        <v>0</v>
      </c>
      <c r="AQ33" s="187">
        <f t="shared" si="42"/>
        <v>0</v>
      </c>
      <c r="AR33" s="187">
        <f t="shared" si="42"/>
        <v>0</v>
      </c>
      <c r="AS33" s="187">
        <f t="shared" si="57"/>
        <v>0</v>
      </c>
      <c r="AT33" s="187">
        <f t="shared" si="57"/>
        <v>0</v>
      </c>
      <c r="AU33" s="221">
        <f t="shared" si="57"/>
        <v>0</v>
      </c>
      <c r="AV33" s="222">
        <f t="shared" si="27"/>
        <v>0</v>
      </c>
      <c r="AW33" s="187">
        <f t="shared" si="27"/>
        <v>0</v>
      </c>
      <c r="AX33" s="187">
        <f t="shared" si="27"/>
        <v>0</v>
      </c>
      <c r="AY33" s="187">
        <f t="shared" si="27"/>
        <v>0</v>
      </c>
      <c r="AZ33" s="187">
        <f t="shared" si="27"/>
        <v>0</v>
      </c>
      <c r="BA33" s="187">
        <f t="shared" si="27"/>
        <v>0</v>
      </c>
      <c r="BB33" s="187">
        <f t="shared" si="27"/>
        <v>0</v>
      </c>
      <c r="BC33" s="17">
        <f t="shared" si="27"/>
        <v>0</v>
      </c>
      <c r="BD33" s="19">
        <f t="shared" si="43"/>
        <v>0</v>
      </c>
      <c r="BE33" s="187">
        <f t="shared" si="43"/>
        <v>0</v>
      </c>
      <c r="BF33" s="187">
        <f t="shared" si="43"/>
        <v>0</v>
      </c>
      <c r="BG33" s="187">
        <f t="shared" si="43"/>
        <v>0</v>
      </c>
      <c r="BH33" s="187">
        <f t="shared" si="43"/>
        <v>0</v>
      </c>
      <c r="BI33" s="187">
        <f t="shared" si="58"/>
        <v>0</v>
      </c>
      <c r="BJ33" s="187">
        <f t="shared" si="58"/>
        <v>0</v>
      </c>
      <c r="BK33" s="17">
        <f t="shared" si="58"/>
        <v>0</v>
      </c>
      <c r="BL33" s="19">
        <f t="shared" si="74"/>
        <v>0</v>
      </c>
      <c r="BM33" s="187">
        <f t="shared" si="74"/>
        <v>0</v>
      </c>
      <c r="BN33" s="187">
        <f t="shared" si="74"/>
        <v>0</v>
      </c>
      <c r="BO33" s="187">
        <f t="shared" si="74"/>
        <v>0</v>
      </c>
      <c r="BP33" s="187">
        <f t="shared" si="74"/>
        <v>0</v>
      </c>
      <c r="BQ33" s="187">
        <f t="shared" si="59"/>
        <v>0</v>
      </c>
      <c r="BR33" s="187">
        <f t="shared" si="59"/>
        <v>0</v>
      </c>
      <c r="BS33" s="17">
        <f t="shared" si="59"/>
        <v>0</v>
      </c>
      <c r="BT33" s="19">
        <f t="shared" si="79"/>
        <v>0</v>
      </c>
      <c r="BU33" s="187">
        <f t="shared" si="79"/>
        <v>0</v>
      </c>
      <c r="BV33" s="187">
        <f t="shared" si="79"/>
        <v>0</v>
      </c>
      <c r="BW33" s="187">
        <f t="shared" si="79"/>
        <v>0</v>
      </c>
      <c r="BX33" s="187">
        <f t="shared" si="79"/>
        <v>0</v>
      </c>
      <c r="BY33" s="187">
        <f t="shared" si="60"/>
        <v>0</v>
      </c>
      <c r="BZ33" s="187">
        <f t="shared" si="60"/>
        <v>0</v>
      </c>
      <c r="CA33" s="17">
        <f t="shared" si="60"/>
        <v>0</v>
      </c>
      <c r="CB33" s="73">
        <f t="shared" si="29"/>
        <v>0</v>
      </c>
      <c r="CC33" s="187">
        <f t="shared" si="29"/>
        <v>0</v>
      </c>
      <c r="CD33" s="187">
        <f t="shared" si="29"/>
        <v>0</v>
      </c>
      <c r="CE33" s="187">
        <f t="shared" si="29"/>
        <v>0</v>
      </c>
      <c r="CF33" s="187">
        <f t="shared" si="29"/>
        <v>0</v>
      </c>
      <c r="CG33" s="187">
        <f t="shared" si="61"/>
        <v>0</v>
      </c>
      <c r="CH33" s="187">
        <f t="shared" si="61"/>
        <v>0</v>
      </c>
      <c r="CI33" s="17">
        <f t="shared" si="61"/>
        <v>0</v>
      </c>
      <c r="CJ33" s="19">
        <f t="shared" si="75"/>
        <v>0</v>
      </c>
      <c r="CK33" s="187">
        <f t="shared" si="75"/>
        <v>0</v>
      </c>
      <c r="CL33" s="187">
        <f t="shared" si="75"/>
        <v>0</v>
      </c>
      <c r="CM33" s="187">
        <f t="shared" si="75"/>
        <v>0</v>
      </c>
      <c r="CN33" s="187">
        <f t="shared" si="75"/>
        <v>0</v>
      </c>
      <c r="CO33" s="187">
        <f t="shared" si="62"/>
        <v>0</v>
      </c>
      <c r="CP33" s="187">
        <f t="shared" si="62"/>
        <v>0</v>
      </c>
      <c r="CQ33" s="17">
        <f t="shared" si="62"/>
        <v>0</v>
      </c>
      <c r="CR33" s="19">
        <f t="shared" si="76"/>
        <v>0</v>
      </c>
      <c r="CS33" s="187">
        <f t="shared" si="76"/>
        <v>0</v>
      </c>
      <c r="CT33" s="187">
        <f t="shared" si="76"/>
        <v>0</v>
      </c>
      <c r="CU33" s="187">
        <f t="shared" si="76"/>
        <v>0</v>
      </c>
      <c r="CV33" s="187">
        <f t="shared" si="76"/>
        <v>0</v>
      </c>
      <c r="CW33" s="187">
        <f t="shared" si="63"/>
        <v>0</v>
      </c>
      <c r="CX33" s="187">
        <f t="shared" si="63"/>
        <v>0</v>
      </c>
      <c r="CY33" s="17">
        <f t="shared" si="63"/>
        <v>0</v>
      </c>
      <c r="CZ33" s="278"/>
    </row>
    <row r="34" spans="1:104" ht="26.25" hidden="1" customHeight="1" outlineLevel="1" x14ac:dyDescent="0.4">
      <c r="A34" s="380"/>
      <c r="B34" s="380"/>
      <c r="C34" s="380"/>
      <c r="D34" s="382"/>
      <c r="E34" s="382"/>
      <c r="F34" s="382"/>
      <c r="G34" s="404"/>
      <c r="H34" s="490"/>
      <c r="I34" s="490"/>
      <c r="J34" s="498"/>
      <c r="K34" s="492"/>
      <c r="L34" s="492"/>
      <c r="M34" s="494"/>
      <c r="N34" s="39" t="s">
        <v>25</v>
      </c>
      <c r="O34" s="207">
        <f>(0+1+5)/120</f>
        <v>0.05</v>
      </c>
      <c r="P34" s="207">
        <f t="shared" si="66"/>
        <v>0</v>
      </c>
      <c r="Q34" s="207">
        <f t="shared" si="66"/>
        <v>0</v>
      </c>
      <c r="R34" s="207">
        <f t="shared" si="66"/>
        <v>0</v>
      </c>
      <c r="S34" s="207">
        <f>(0+5)/120</f>
        <v>4.1666666666666664E-2</v>
      </c>
      <c r="T34" s="207">
        <f>(0+3+24)/120</f>
        <v>0.22500000000000001</v>
      </c>
      <c r="U34" s="49">
        <f t="shared" si="66"/>
        <v>0</v>
      </c>
      <c r="V34" s="57">
        <f>(3+5.5)/142.5</f>
        <v>5.9649122807017542E-2</v>
      </c>
      <c r="W34" s="207">
        <f t="shared" si="40"/>
        <v>0</v>
      </c>
      <c r="X34" s="207">
        <f>(11.5)/142.5</f>
        <v>8.0701754385964913E-2</v>
      </c>
      <c r="Y34" s="207">
        <f>(18+5.5)/142.5</f>
        <v>0.1649122807017544</v>
      </c>
      <c r="Z34" s="207">
        <f>(12+10)/142.5</f>
        <v>0.15438596491228071</v>
      </c>
      <c r="AA34" s="207">
        <f>(18+5)/142.5</f>
        <v>0.16140350877192983</v>
      </c>
      <c r="AB34" s="57">
        <f>(1.5+1.5)/165</f>
        <v>1.8181818181818181E-2</v>
      </c>
      <c r="AC34" s="207">
        <f>(0)/165</f>
        <v>0</v>
      </c>
      <c r="AD34" s="207">
        <f t="shared" si="84"/>
        <v>0</v>
      </c>
      <c r="AE34" s="207">
        <f t="shared" si="84"/>
        <v>0</v>
      </c>
      <c r="AF34" s="207">
        <f>(3)/165</f>
        <v>1.8181818181818181E-2</v>
      </c>
      <c r="AG34" s="207">
        <f t="shared" si="84"/>
        <v>0</v>
      </c>
      <c r="AH34" s="57">
        <f t="shared" si="3"/>
        <v>0</v>
      </c>
      <c r="AI34" s="207">
        <f t="shared" si="3"/>
        <v>0</v>
      </c>
      <c r="AJ34" s="207">
        <f t="shared" si="3"/>
        <v>0</v>
      </c>
      <c r="AK34" s="207">
        <f t="shared" si="3"/>
        <v>0</v>
      </c>
      <c r="AL34" s="207">
        <f t="shared" si="3"/>
        <v>0</v>
      </c>
      <c r="AM34" s="207">
        <f t="shared" si="3"/>
        <v>0</v>
      </c>
      <c r="AN34" s="57">
        <f t="shared" si="42"/>
        <v>0</v>
      </c>
      <c r="AO34" s="207">
        <f t="shared" si="42"/>
        <v>0</v>
      </c>
      <c r="AP34" s="207">
        <f t="shared" si="42"/>
        <v>0</v>
      </c>
      <c r="AQ34" s="207">
        <f t="shared" si="42"/>
        <v>0</v>
      </c>
      <c r="AR34" s="207">
        <f t="shared" si="42"/>
        <v>0</v>
      </c>
      <c r="AS34" s="207">
        <f t="shared" si="57"/>
        <v>0</v>
      </c>
      <c r="AT34" s="207">
        <f t="shared" si="57"/>
        <v>0</v>
      </c>
      <c r="AU34" s="49">
        <f t="shared" si="57"/>
        <v>0</v>
      </c>
      <c r="AV34" s="63">
        <f t="shared" si="27"/>
        <v>0</v>
      </c>
      <c r="AW34" s="208">
        <f t="shared" si="27"/>
        <v>0</v>
      </c>
      <c r="AX34" s="208">
        <f t="shared" si="27"/>
        <v>0</v>
      </c>
      <c r="AY34" s="208">
        <f t="shared" si="27"/>
        <v>0</v>
      </c>
      <c r="AZ34" s="208">
        <f t="shared" si="27"/>
        <v>0</v>
      </c>
      <c r="BA34" s="208">
        <f t="shared" si="27"/>
        <v>0</v>
      </c>
      <c r="BB34" s="208">
        <f t="shared" si="27"/>
        <v>0</v>
      </c>
      <c r="BC34" s="64">
        <f t="shared" si="27"/>
        <v>0</v>
      </c>
      <c r="BD34" s="63">
        <f t="shared" si="43"/>
        <v>0</v>
      </c>
      <c r="BE34" s="208">
        <f t="shared" si="43"/>
        <v>0</v>
      </c>
      <c r="BF34" s="208">
        <f t="shared" si="43"/>
        <v>0</v>
      </c>
      <c r="BG34" s="208">
        <f t="shared" si="43"/>
        <v>0</v>
      </c>
      <c r="BH34" s="208">
        <f t="shared" si="43"/>
        <v>0</v>
      </c>
      <c r="BI34" s="208">
        <f t="shared" si="58"/>
        <v>0</v>
      </c>
      <c r="BJ34" s="208">
        <f t="shared" si="58"/>
        <v>0</v>
      </c>
      <c r="BK34" s="64">
        <f t="shared" si="58"/>
        <v>0</v>
      </c>
      <c r="BL34" s="63">
        <f t="shared" si="74"/>
        <v>0</v>
      </c>
      <c r="BM34" s="208">
        <f t="shared" si="74"/>
        <v>0</v>
      </c>
      <c r="BN34" s="208">
        <f t="shared" si="74"/>
        <v>0</v>
      </c>
      <c r="BO34" s="208">
        <f t="shared" si="74"/>
        <v>0</v>
      </c>
      <c r="BP34" s="208">
        <f t="shared" si="74"/>
        <v>0</v>
      </c>
      <c r="BQ34" s="208">
        <f t="shared" si="59"/>
        <v>0</v>
      </c>
      <c r="BR34" s="208">
        <f t="shared" si="59"/>
        <v>0</v>
      </c>
      <c r="BS34" s="64">
        <f t="shared" si="59"/>
        <v>0</v>
      </c>
      <c r="BT34" s="63">
        <f t="shared" si="79"/>
        <v>0</v>
      </c>
      <c r="BU34" s="208">
        <f t="shared" si="79"/>
        <v>0</v>
      </c>
      <c r="BV34" s="208">
        <f t="shared" si="79"/>
        <v>0</v>
      </c>
      <c r="BW34" s="208">
        <f t="shared" si="79"/>
        <v>0</v>
      </c>
      <c r="BX34" s="208">
        <f t="shared" si="79"/>
        <v>0</v>
      </c>
      <c r="BY34" s="208">
        <f t="shared" si="60"/>
        <v>0</v>
      </c>
      <c r="BZ34" s="208">
        <f t="shared" si="60"/>
        <v>0</v>
      </c>
      <c r="CA34" s="64">
        <f t="shared" si="60"/>
        <v>0</v>
      </c>
      <c r="CB34" s="63">
        <f t="shared" si="29"/>
        <v>0</v>
      </c>
      <c r="CC34" s="208">
        <f t="shared" si="29"/>
        <v>0</v>
      </c>
      <c r="CD34" s="208">
        <f t="shared" si="29"/>
        <v>0</v>
      </c>
      <c r="CE34" s="208">
        <f t="shared" si="29"/>
        <v>0</v>
      </c>
      <c r="CF34" s="208">
        <f t="shared" si="29"/>
        <v>0</v>
      </c>
      <c r="CG34" s="208">
        <f t="shared" si="61"/>
        <v>0</v>
      </c>
      <c r="CH34" s="208">
        <f t="shared" si="61"/>
        <v>0</v>
      </c>
      <c r="CI34" s="64">
        <f t="shared" si="61"/>
        <v>0</v>
      </c>
      <c r="CJ34" s="63">
        <f t="shared" si="75"/>
        <v>0</v>
      </c>
      <c r="CK34" s="208">
        <f t="shared" si="75"/>
        <v>0</v>
      </c>
      <c r="CL34" s="208">
        <f t="shared" si="75"/>
        <v>0</v>
      </c>
      <c r="CM34" s="208">
        <f t="shared" si="75"/>
        <v>0</v>
      </c>
      <c r="CN34" s="208">
        <f t="shared" si="75"/>
        <v>0</v>
      </c>
      <c r="CO34" s="208">
        <f t="shared" si="62"/>
        <v>0</v>
      </c>
      <c r="CP34" s="208">
        <f t="shared" si="62"/>
        <v>0</v>
      </c>
      <c r="CQ34" s="64">
        <f t="shared" si="62"/>
        <v>0</v>
      </c>
      <c r="CR34" s="63">
        <f t="shared" si="76"/>
        <v>0</v>
      </c>
      <c r="CS34" s="208">
        <f t="shared" si="76"/>
        <v>0</v>
      </c>
      <c r="CT34" s="208">
        <f t="shared" si="76"/>
        <v>0</v>
      </c>
      <c r="CU34" s="208">
        <f t="shared" si="76"/>
        <v>0</v>
      </c>
      <c r="CV34" s="208">
        <f t="shared" si="76"/>
        <v>0</v>
      </c>
      <c r="CW34" s="208">
        <f t="shared" si="63"/>
        <v>0</v>
      </c>
      <c r="CX34" s="208">
        <f t="shared" si="63"/>
        <v>0</v>
      </c>
      <c r="CY34" s="64">
        <f t="shared" si="63"/>
        <v>0</v>
      </c>
      <c r="CZ34" s="278"/>
    </row>
    <row r="35" spans="1:104" ht="26.25" hidden="1" customHeight="1" outlineLevel="1" collapsed="1" x14ac:dyDescent="0.4">
      <c r="A35" s="379">
        <v>15</v>
      </c>
      <c r="B35" s="379" t="s">
        <v>47</v>
      </c>
      <c r="C35" s="379" t="s">
        <v>14</v>
      </c>
      <c r="D35" s="381" t="s">
        <v>513</v>
      </c>
      <c r="E35" s="381" t="s">
        <v>511</v>
      </c>
      <c r="F35" s="381"/>
      <c r="G35" s="383" t="s">
        <v>512</v>
      </c>
      <c r="H35" s="489">
        <f t="shared" ref="H35" si="85">SUM(AH35:AM35)</f>
        <v>0</v>
      </c>
      <c r="I35" s="489">
        <f t="shared" ref="I35" si="86">SUM(AH36:AM36)</f>
        <v>0</v>
      </c>
      <c r="J35" s="497"/>
      <c r="K35" s="491"/>
      <c r="L35" s="491"/>
      <c r="M35" s="493"/>
      <c r="N35" s="48" t="s">
        <v>24</v>
      </c>
      <c r="O35" s="187">
        <f>(1.5)/120</f>
        <v>1.2500000000000001E-2</v>
      </c>
      <c r="P35" s="187">
        <f t="shared" si="66"/>
        <v>0</v>
      </c>
      <c r="Q35" s="187">
        <f t="shared" si="66"/>
        <v>0</v>
      </c>
      <c r="R35" s="187">
        <f t="shared" si="66"/>
        <v>0</v>
      </c>
      <c r="S35" s="187">
        <f t="shared" si="66"/>
        <v>0</v>
      </c>
      <c r="T35" s="187">
        <f t="shared" si="66"/>
        <v>0</v>
      </c>
      <c r="U35" s="82">
        <f t="shared" si="66"/>
        <v>0</v>
      </c>
      <c r="V35" s="19">
        <f>(0)/142.5</f>
        <v>0</v>
      </c>
      <c r="W35" s="187">
        <f t="shared" si="40"/>
        <v>0</v>
      </c>
      <c r="X35" s="187">
        <f t="shared" ref="X35:AA36" si="87">(0)/142.5</f>
        <v>0</v>
      </c>
      <c r="Y35" s="187">
        <f t="shared" si="87"/>
        <v>0</v>
      </c>
      <c r="Z35" s="187">
        <f t="shared" si="87"/>
        <v>0</v>
      </c>
      <c r="AA35" s="187">
        <f t="shared" si="87"/>
        <v>0</v>
      </c>
      <c r="AB35" s="73">
        <f t="shared" si="51"/>
        <v>0</v>
      </c>
      <c r="AC35" s="187">
        <f t="shared" si="51"/>
        <v>0</v>
      </c>
      <c r="AD35" s="187">
        <f t="shared" si="51"/>
        <v>0</v>
      </c>
      <c r="AE35" s="187">
        <f t="shared" si="51"/>
        <v>0</v>
      </c>
      <c r="AF35" s="187">
        <f t="shared" si="51"/>
        <v>0</v>
      </c>
      <c r="AG35" s="221">
        <f t="shared" si="51"/>
        <v>0</v>
      </c>
      <c r="AH35" s="73">
        <f t="shared" si="3"/>
        <v>0</v>
      </c>
      <c r="AI35" s="187">
        <f t="shared" si="3"/>
        <v>0</v>
      </c>
      <c r="AJ35" s="187">
        <f t="shared" si="3"/>
        <v>0</v>
      </c>
      <c r="AK35" s="187">
        <f t="shared" si="3"/>
        <v>0</v>
      </c>
      <c r="AL35" s="187">
        <f t="shared" si="3"/>
        <v>0</v>
      </c>
      <c r="AM35" s="187">
        <f t="shared" si="3"/>
        <v>0</v>
      </c>
      <c r="AN35" s="73">
        <f t="shared" si="42"/>
        <v>0</v>
      </c>
      <c r="AO35" s="187">
        <f t="shared" si="42"/>
        <v>0</v>
      </c>
      <c r="AP35" s="187">
        <f t="shared" si="42"/>
        <v>0</v>
      </c>
      <c r="AQ35" s="187">
        <f t="shared" si="42"/>
        <v>0</v>
      </c>
      <c r="AR35" s="187">
        <f t="shared" si="42"/>
        <v>0</v>
      </c>
      <c r="AS35" s="187">
        <f t="shared" si="57"/>
        <v>0</v>
      </c>
      <c r="AT35" s="187">
        <f t="shared" si="57"/>
        <v>0</v>
      </c>
      <c r="AU35" s="221">
        <f t="shared" si="57"/>
        <v>0</v>
      </c>
      <c r="AV35" s="222">
        <f t="shared" si="27"/>
        <v>0</v>
      </c>
      <c r="AW35" s="187">
        <f t="shared" si="27"/>
        <v>0</v>
      </c>
      <c r="AX35" s="187">
        <f t="shared" si="27"/>
        <v>0</v>
      </c>
      <c r="AY35" s="187">
        <f t="shared" si="27"/>
        <v>0</v>
      </c>
      <c r="AZ35" s="187">
        <f t="shared" si="27"/>
        <v>0</v>
      </c>
      <c r="BA35" s="187">
        <f t="shared" si="27"/>
        <v>0</v>
      </c>
      <c r="BB35" s="187">
        <f t="shared" si="27"/>
        <v>0</v>
      </c>
      <c r="BC35" s="17">
        <f t="shared" si="27"/>
        <v>0</v>
      </c>
      <c r="BD35" s="19">
        <f t="shared" si="43"/>
        <v>0</v>
      </c>
      <c r="BE35" s="187">
        <f t="shared" si="43"/>
        <v>0</v>
      </c>
      <c r="BF35" s="187">
        <f t="shared" si="43"/>
        <v>0</v>
      </c>
      <c r="BG35" s="187">
        <f t="shared" si="43"/>
        <v>0</v>
      </c>
      <c r="BH35" s="187">
        <f t="shared" si="43"/>
        <v>0</v>
      </c>
      <c r="BI35" s="187">
        <f t="shared" si="58"/>
        <v>0</v>
      </c>
      <c r="BJ35" s="187">
        <f t="shared" si="58"/>
        <v>0</v>
      </c>
      <c r="BK35" s="17">
        <f t="shared" si="58"/>
        <v>0</v>
      </c>
      <c r="BL35" s="19">
        <f t="shared" si="74"/>
        <v>0</v>
      </c>
      <c r="BM35" s="187">
        <f t="shared" si="74"/>
        <v>0</v>
      </c>
      <c r="BN35" s="187">
        <f t="shared" si="74"/>
        <v>0</v>
      </c>
      <c r="BO35" s="187">
        <f t="shared" si="74"/>
        <v>0</v>
      </c>
      <c r="BP35" s="187">
        <f t="shared" si="74"/>
        <v>0</v>
      </c>
      <c r="BQ35" s="187">
        <f t="shared" si="59"/>
        <v>0</v>
      </c>
      <c r="BR35" s="187">
        <f t="shared" si="59"/>
        <v>0</v>
      </c>
      <c r="BS35" s="17">
        <f t="shared" si="59"/>
        <v>0</v>
      </c>
      <c r="BT35" s="19">
        <f t="shared" si="79"/>
        <v>0</v>
      </c>
      <c r="BU35" s="187">
        <f t="shared" si="79"/>
        <v>0</v>
      </c>
      <c r="BV35" s="187">
        <f t="shared" si="79"/>
        <v>0</v>
      </c>
      <c r="BW35" s="187">
        <f t="shared" si="79"/>
        <v>0</v>
      </c>
      <c r="BX35" s="187">
        <f t="shared" si="79"/>
        <v>0</v>
      </c>
      <c r="BY35" s="187">
        <f t="shared" si="60"/>
        <v>0</v>
      </c>
      <c r="BZ35" s="187">
        <f t="shared" si="60"/>
        <v>0</v>
      </c>
      <c r="CA35" s="17">
        <f t="shared" si="60"/>
        <v>0</v>
      </c>
      <c r="CB35" s="73">
        <f t="shared" si="29"/>
        <v>0</v>
      </c>
      <c r="CC35" s="187">
        <f t="shared" si="29"/>
        <v>0</v>
      </c>
      <c r="CD35" s="187">
        <f t="shared" si="29"/>
        <v>0</v>
      </c>
      <c r="CE35" s="187">
        <f t="shared" si="29"/>
        <v>0</v>
      </c>
      <c r="CF35" s="187">
        <f t="shared" si="29"/>
        <v>0</v>
      </c>
      <c r="CG35" s="187">
        <f t="shared" si="61"/>
        <v>0</v>
      </c>
      <c r="CH35" s="187">
        <f t="shared" si="61"/>
        <v>0</v>
      </c>
      <c r="CI35" s="17">
        <f t="shared" si="61"/>
        <v>0</v>
      </c>
      <c r="CJ35" s="19">
        <f t="shared" si="75"/>
        <v>0</v>
      </c>
      <c r="CK35" s="187">
        <f t="shared" si="75"/>
        <v>0</v>
      </c>
      <c r="CL35" s="187">
        <f t="shared" si="75"/>
        <v>0</v>
      </c>
      <c r="CM35" s="187">
        <f t="shared" si="75"/>
        <v>0</v>
      </c>
      <c r="CN35" s="187">
        <f t="shared" si="75"/>
        <v>0</v>
      </c>
      <c r="CO35" s="187">
        <f t="shared" si="62"/>
        <v>0</v>
      </c>
      <c r="CP35" s="187">
        <f t="shared" si="62"/>
        <v>0</v>
      </c>
      <c r="CQ35" s="17">
        <f t="shared" si="62"/>
        <v>0</v>
      </c>
      <c r="CR35" s="19">
        <f t="shared" si="76"/>
        <v>0</v>
      </c>
      <c r="CS35" s="187">
        <f t="shared" si="76"/>
        <v>0</v>
      </c>
      <c r="CT35" s="187">
        <f t="shared" si="76"/>
        <v>0</v>
      </c>
      <c r="CU35" s="187">
        <f t="shared" si="76"/>
        <v>0</v>
      </c>
      <c r="CV35" s="187">
        <f t="shared" si="76"/>
        <v>0</v>
      </c>
      <c r="CW35" s="187">
        <f t="shared" si="63"/>
        <v>0</v>
      </c>
      <c r="CX35" s="187">
        <f t="shared" si="63"/>
        <v>0</v>
      </c>
      <c r="CY35" s="17">
        <f t="shared" si="63"/>
        <v>0</v>
      </c>
      <c r="CZ35" s="278"/>
    </row>
    <row r="36" spans="1:104" ht="26.25" hidden="1" customHeight="1" outlineLevel="1" x14ac:dyDescent="0.4">
      <c r="A36" s="380"/>
      <c r="B36" s="380"/>
      <c r="C36" s="380"/>
      <c r="D36" s="382"/>
      <c r="E36" s="382"/>
      <c r="F36" s="382"/>
      <c r="G36" s="384"/>
      <c r="H36" s="490"/>
      <c r="I36" s="490"/>
      <c r="J36" s="498"/>
      <c r="K36" s="492"/>
      <c r="L36" s="492"/>
      <c r="M36" s="494"/>
      <c r="N36" s="39" t="s">
        <v>25</v>
      </c>
      <c r="O36" s="207">
        <f>(0+0.5)/120</f>
        <v>4.1666666666666666E-3</v>
      </c>
      <c r="P36" s="207">
        <f t="shared" si="66"/>
        <v>0</v>
      </c>
      <c r="Q36" s="207">
        <f t="shared" si="66"/>
        <v>0</v>
      </c>
      <c r="R36" s="207">
        <f t="shared" si="66"/>
        <v>0</v>
      </c>
      <c r="S36" s="207">
        <f t="shared" si="66"/>
        <v>0</v>
      </c>
      <c r="T36" s="207">
        <f t="shared" si="66"/>
        <v>0</v>
      </c>
      <c r="U36" s="49">
        <f t="shared" si="66"/>
        <v>0</v>
      </c>
      <c r="V36" s="57">
        <f>(0)/142.5</f>
        <v>0</v>
      </c>
      <c r="W36" s="207">
        <f t="shared" si="40"/>
        <v>0</v>
      </c>
      <c r="X36" s="207">
        <f t="shared" si="87"/>
        <v>0</v>
      </c>
      <c r="Y36" s="207">
        <f t="shared" si="87"/>
        <v>0</v>
      </c>
      <c r="Z36" s="207">
        <f t="shared" si="87"/>
        <v>0</v>
      </c>
      <c r="AA36" s="207">
        <f t="shared" si="87"/>
        <v>0</v>
      </c>
      <c r="AB36" s="57">
        <f t="shared" si="51"/>
        <v>0</v>
      </c>
      <c r="AC36" s="207">
        <f t="shared" si="51"/>
        <v>0</v>
      </c>
      <c r="AD36" s="207">
        <f t="shared" si="51"/>
        <v>0</v>
      </c>
      <c r="AE36" s="207">
        <f t="shared" si="51"/>
        <v>0</v>
      </c>
      <c r="AF36" s="207">
        <f t="shared" si="51"/>
        <v>0</v>
      </c>
      <c r="AG36" s="49">
        <f t="shared" si="51"/>
        <v>0</v>
      </c>
      <c r="AH36" s="57">
        <f t="shared" si="3"/>
        <v>0</v>
      </c>
      <c r="AI36" s="207">
        <f t="shared" si="3"/>
        <v>0</v>
      </c>
      <c r="AJ36" s="207">
        <f t="shared" si="3"/>
        <v>0</v>
      </c>
      <c r="AK36" s="207">
        <f t="shared" si="3"/>
        <v>0</v>
      </c>
      <c r="AL36" s="207">
        <f t="shared" si="3"/>
        <v>0</v>
      </c>
      <c r="AM36" s="207">
        <f t="shared" si="3"/>
        <v>0</v>
      </c>
      <c r="AN36" s="57">
        <f t="shared" si="42"/>
        <v>0</v>
      </c>
      <c r="AO36" s="207">
        <f t="shared" si="42"/>
        <v>0</v>
      </c>
      <c r="AP36" s="207">
        <f t="shared" si="42"/>
        <v>0</v>
      </c>
      <c r="AQ36" s="207">
        <f t="shared" si="42"/>
        <v>0</v>
      </c>
      <c r="AR36" s="207">
        <f t="shared" si="42"/>
        <v>0</v>
      </c>
      <c r="AS36" s="207">
        <f t="shared" si="57"/>
        <v>0</v>
      </c>
      <c r="AT36" s="207">
        <f t="shared" si="57"/>
        <v>0</v>
      </c>
      <c r="AU36" s="49">
        <f t="shared" si="57"/>
        <v>0</v>
      </c>
      <c r="AV36" s="63">
        <f t="shared" si="27"/>
        <v>0</v>
      </c>
      <c r="AW36" s="208">
        <f t="shared" si="27"/>
        <v>0</v>
      </c>
      <c r="AX36" s="208">
        <f t="shared" si="27"/>
        <v>0</v>
      </c>
      <c r="AY36" s="208">
        <f t="shared" si="27"/>
        <v>0</v>
      </c>
      <c r="AZ36" s="208">
        <f t="shared" si="27"/>
        <v>0</v>
      </c>
      <c r="BA36" s="208">
        <f t="shared" si="27"/>
        <v>0</v>
      </c>
      <c r="BB36" s="208">
        <f t="shared" si="27"/>
        <v>0</v>
      </c>
      <c r="BC36" s="64">
        <f t="shared" si="27"/>
        <v>0</v>
      </c>
      <c r="BD36" s="63">
        <f t="shared" si="43"/>
        <v>0</v>
      </c>
      <c r="BE36" s="208">
        <f t="shared" si="43"/>
        <v>0</v>
      </c>
      <c r="BF36" s="208">
        <f t="shared" si="43"/>
        <v>0</v>
      </c>
      <c r="BG36" s="208">
        <f t="shared" si="43"/>
        <v>0</v>
      </c>
      <c r="BH36" s="208">
        <f t="shared" si="43"/>
        <v>0</v>
      </c>
      <c r="BI36" s="208">
        <f t="shared" si="58"/>
        <v>0</v>
      </c>
      <c r="BJ36" s="208">
        <f t="shared" si="58"/>
        <v>0</v>
      </c>
      <c r="BK36" s="64">
        <f t="shared" si="58"/>
        <v>0</v>
      </c>
      <c r="BL36" s="63">
        <f t="shared" si="74"/>
        <v>0</v>
      </c>
      <c r="BM36" s="208">
        <f t="shared" si="74"/>
        <v>0</v>
      </c>
      <c r="BN36" s="208">
        <f t="shared" si="74"/>
        <v>0</v>
      </c>
      <c r="BO36" s="208">
        <f t="shared" si="74"/>
        <v>0</v>
      </c>
      <c r="BP36" s="208">
        <f t="shared" si="74"/>
        <v>0</v>
      </c>
      <c r="BQ36" s="208">
        <f t="shared" si="59"/>
        <v>0</v>
      </c>
      <c r="BR36" s="208">
        <f t="shared" si="59"/>
        <v>0</v>
      </c>
      <c r="BS36" s="64">
        <f t="shared" si="59"/>
        <v>0</v>
      </c>
      <c r="BT36" s="63">
        <f t="shared" si="79"/>
        <v>0</v>
      </c>
      <c r="BU36" s="208">
        <f t="shared" si="79"/>
        <v>0</v>
      </c>
      <c r="BV36" s="208">
        <f t="shared" si="79"/>
        <v>0</v>
      </c>
      <c r="BW36" s="208">
        <f t="shared" si="79"/>
        <v>0</v>
      </c>
      <c r="BX36" s="208">
        <f t="shared" si="79"/>
        <v>0</v>
      </c>
      <c r="BY36" s="208">
        <f t="shared" si="60"/>
        <v>0</v>
      </c>
      <c r="BZ36" s="208">
        <f t="shared" si="60"/>
        <v>0</v>
      </c>
      <c r="CA36" s="64">
        <f t="shared" si="60"/>
        <v>0</v>
      </c>
      <c r="CB36" s="63">
        <f t="shared" si="29"/>
        <v>0</v>
      </c>
      <c r="CC36" s="208">
        <f t="shared" si="29"/>
        <v>0</v>
      </c>
      <c r="CD36" s="208">
        <f t="shared" si="29"/>
        <v>0</v>
      </c>
      <c r="CE36" s="208">
        <f t="shared" si="29"/>
        <v>0</v>
      </c>
      <c r="CF36" s="208">
        <f t="shared" si="29"/>
        <v>0</v>
      </c>
      <c r="CG36" s="208">
        <f t="shared" si="61"/>
        <v>0</v>
      </c>
      <c r="CH36" s="208">
        <f t="shared" si="61"/>
        <v>0</v>
      </c>
      <c r="CI36" s="64">
        <f t="shared" si="61"/>
        <v>0</v>
      </c>
      <c r="CJ36" s="63">
        <f t="shared" si="75"/>
        <v>0</v>
      </c>
      <c r="CK36" s="208">
        <f t="shared" si="75"/>
        <v>0</v>
      </c>
      <c r="CL36" s="208">
        <f t="shared" si="75"/>
        <v>0</v>
      </c>
      <c r="CM36" s="208">
        <f t="shared" si="75"/>
        <v>0</v>
      </c>
      <c r="CN36" s="208">
        <f t="shared" si="75"/>
        <v>0</v>
      </c>
      <c r="CO36" s="208">
        <f t="shared" si="62"/>
        <v>0</v>
      </c>
      <c r="CP36" s="208">
        <f t="shared" si="62"/>
        <v>0</v>
      </c>
      <c r="CQ36" s="64">
        <f t="shared" si="62"/>
        <v>0</v>
      </c>
      <c r="CR36" s="63">
        <f t="shared" si="76"/>
        <v>0</v>
      </c>
      <c r="CS36" s="208">
        <f t="shared" si="76"/>
        <v>0</v>
      </c>
      <c r="CT36" s="208">
        <f t="shared" si="76"/>
        <v>0</v>
      </c>
      <c r="CU36" s="208">
        <f t="shared" si="76"/>
        <v>0</v>
      </c>
      <c r="CV36" s="208">
        <f t="shared" si="76"/>
        <v>0</v>
      </c>
      <c r="CW36" s="208">
        <f t="shared" si="63"/>
        <v>0</v>
      </c>
      <c r="CX36" s="208">
        <f t="shared" si="63"/>
        <v>0</v>
      </c>
      <c r="CY36" s="64">
        <f t="shared" si="63"/>
        <v>0</v>
      </c>
      <c r="CZ36" s="278"/>
    </row>
    <row r="37" spans="1:104" ht="26.25" hidden="1" customHeight="1" outlineLevel="1" collapsed="1" x14ac:dyDescent="0.4">
      <c r="A37" s="379">
        <v>16</v>
      </c>
      <c r="B37" s="379" t="s">
        <v>47</v>
      </c>
      <c r="C37" s="379" t="s">
        <v>14</v>
      </c>
      <c r="D37" s="381" t="s">
        <v>513</v>
      </c>
      <c r="E37" s="381" t="s">
        <v>533</v>
      </c>
      <c r="F37" s="381" t="s">
        <v>534</v>
      </c>
      <c r="G37" s="404" t="s">
        <v>532</v>
      </c>
      <c r="H37" s="489">
        <f t="shared" ref="H37" si="88">SUM(AH37:AM37)</f>
        <v>0</v>
      </c>
      <c r="I37" s="489">
        <f t="shared" ref="I37" si="89">SUM(AH38:AM38)</f>
        <v>0</v>
      </c>
      <c r="J37" s="497"/>
      <c r="K37" s="491"/>
      <c r="L37" s="491"/>
      <c r="M37" s="493"/>
      <c r="N37" s="48" t="s">
        <v>24</v>
      </c>
      <c r="O37" s="187">
        <f t="shared" ref="O37:U54" si="90">0/127.5</f>
        <v>0</v>
      </c>
      <c r="P37" s="187">
        <f t="shared" si="90"/>
        <v>0</v>
      </c>
      <c r="Q37" s="187">
        <f t="shared" si="90"/>
        <v>0</v>
      </c>
      <c r="R37" s="187">
        <f t="shared" si="90"/>
        <v>0</v>
      </c>
      <c r="S37" s="187">
        <f t="shared" si="90"/>
        <v>0</v>
      </c>
      <c r="T37" s="187">
        <f t="shared" si="90"/>
        <v>0</v>
      </c>
      <c r="U37" s="82">
        <f t="shared" si="90"/>
        <v>0</v>
      </c>
      <c r="V37" s="19">
        <f>(23)/142.5</f>
        <v>0.16140350877192983</v>
      </c>
      <c r="W37" s="187">
        <f t="shared" si="40"/>
        <v>0</v>
      </c>
      <c r="X37" s="187">
        <f>(50)/142.5</f>
        <v>0.35087719298245612</v>
      </c>
      <c r="Y37" s="187">
        <f>(30)/142.5</f>
        <v>0.21052631578947367</v>
      </c>
      <c r="Z37" s="187">
        <f>(20)/142.5</f>
        <v>0.14035087719298245</v>
      </c>
      <c r="AA37" s="187">
        <f>(70)/142.5</f>
        <v>0.49122807017543857</v>
      </c>
      <c r="AB37" s="73">
        <f>(14)/165</f>
        <v>8.4848484848484854E-2</v>
      </c>
      <c r="AC37" s="187">
        <f>(0)/165</f>
        <v>0</v>
      </c>
      <c r="AD37" s="187">
        <f>(65)/165</f>
        <v>0.39393939393939392</v>
      </c>
      <c r="AE37" s="187">
        <f t="shared" ref="AD37:AG48" si="91">(0)/165</f>
        <v>0</v>
      </c>
      <c r="AF37" s="187">
        <f t="shared" si="91"/>
        <v>0</v>
      </c>
      <c r="AG37" s="187">
        <f>(45)/165</f>
        <v>0.27272727272727271</v>
      </c>
      <c r="AH37" s="73">
        <f t="shared" si="3"/>
        <v>0</v>
      </c>
      <c r="AI37" s="187">
        <f t="shared" si="3"/>
        <v>0</v>
      </c>
      <c r="AJ37" s="187">
        <f t="shared" si="3"/>
        <v>0</v>
      </c>
      <c r="AK37" s="187">
        <f t="shared" si="3"/>
        <v>0</v>
      </c>
      <c r="AL37" s="187">
        <f t="shared" si="3"/>
        <v>0</v>
      </c>
      <c r="AM37" s="187">
        <f t="shared" si="3"/>
        <v>0</v>
      </c>
      <c r="AN37" s="73">
        <f t="shared" si="42"/>
        <v>0</v>
      </c>
      <c r="AO37" s="187">
        <f t="shared" si="42"/>
        <v>0</v>
      </c>
      <c r="AP37" s="187">
        <f t="shared" si="42"/>
        <v>0</v>
      </c>
      <c r="AQ37" s="187">
        <f t="shared" si="42"/>
        <v>0</v>
      </c>
      <c r="AR37" s="187">
        <f t="shared" si="42"/>
        <v>0</v>
      </c>
      <c r="AS37" s="187">
        <f t="shared" si="57"/>
        <v>0</v>
      </c>
      <c r="AT37" s="187">
        <f t="shared" si="57"/>
        <v>0</v>
      </c>
      <c r="AU37" s="221">
        <f t="shared" si="57"/>
        <v>0</v>
      </c>
      <c r="AV37" s="222">
        <f t="shared" si="27"/>
        <v>0</v>
      </c>
      <c r="AW37" s="187">
        <f t="shared" si="27"/>
        <v>0</v>
      </c>
      <c r="AX37" s="187">
        <f t="shared" si="27"/>
        <v>0</v>
      </c>
      <c r="AY37" s="187">
        <f t="shared" si="27"/>
        <v>0</v>
      </c>
      <c r="AZ37" s="187">
        <f t="shared" si="27"/>
        <v>0</v>
      </c>
      <c r="BA37" s="187">
        <f t="shared" si="27"/>
        <v>0</v>
      </c>
      <c r="BB37" s="187">
        <f t="shared" si="27"/>
        <v>0</v>
      </c>
      <c r="BC37" s="17">
        <f t="shared" si="27"/>
        <v>0</v>
      </c>
      <c r="BD37" s="19">
        <f t="shared" si="43"/>
        <v>0</v>
      </c>
      <c r="BE37" s="187">
        <f t="shared" si="43"/>
        <v>0</v>
      </c>
      <c r="BF37" s="187">
        <f t="shared" si="43"/>
        <v>0</v>
      </c>
      <c r="BG37" s="187">
        <f t="shared" si="43"/>
        <v>0</v>
      </c>
      <c r="BH37" s="187">
        <f t="shared" si="43"/>
        <v>0</v>
      </c>
      <c r="BI37" s="187">
        <f t="shared" si="58"/>
        <v>0</v>
      </c>
      <c r="BJ37" s="187">
        <f t="shared" si="58"/>
        <v>0</v>
      </c>
      <c r="BK37" s="17">
        <f t="shared" si="58"/>
        <v>0</v>
      </c>
      <c r="BL37" s="19">
        <f t="shared" ref="BL37:BP46" si="92">0/142.5</f>
        <v>0</v>
      </c>
      <c r="BM37" s="187">
        <f t="shared" si="92"/>
        <v>0</v>
      </c>
      <c r="BN37" s="187">
        <f t="shared" si="92"/>
        <v>0</v>
      </c>
      <c r="BO37" s="187">
        <f t="shared" si="92"/>
        <v>0</v>
      </c>
      <c r="BP37" s="187">
        <f t="shared" si="92"/>
        <v>0</v>
      </c>
      <c r="BQ37" s="187">
        <f t="shared" si="59"/>
        <v>0</v>
      </c>
      <c r="BR37" s="187">
        <f t="shared" si="59"/>
        <v>0</v>
      </c>
      <c r="BS37" s="17">
        <f t="shared" si="59"/>
        <v>0</v>
      </c>
      <c r="BT37" s="19">
        <f t="shared" si="79"/>
        <v>0</v>
      </c>
      <c r="BU37" s="187">
        <f t="shared" si="79"/>
        <v>0</v>
      </c>
      <c r="BV37" s="187">
        <f t="shared" si="79"/>
        <v>0</v>
      </c>
      <c r="BW37" s="187">
        <f t="shared" si="79"/>
        <v>0</v>
      </c>
      <c r="BX37" s="187">
        <f t="shared" si="79"/>
        <v>0</v>
      </c>
      <c r="BY37" s="187">
        <f t="shared" si="60"/>
        <v>0</v>
      </c>
      <c r="BZ37" s="187">
        <f t="shared" si="60"/>
        <v>0</v>
      </c>
      <c r="CA37" s="17">
        <f t="shared" si="60"/>
        <v>0</v>
      </c>
      <c r="CB37" s="73">
        <f t="shared" si="29"/>
        <v>0</v>
      </c>
      <c r="CC37" s="187">
        <f t="shared" si="29"/>
        <v>0</v>
      </c>
      <c r="CD37" s="187">
        <f t="shared" si="29"/>
        <v>0</v>
      </c>
      <c r="CE37" s="187">
        <f t="shared" si="29"/>
        <v>0</v>
      </c>
      <c r="CF37" s="187">
        <f t="shared" si="29"/>
        <v>0</v>
      </c>
      <c r="CG37" s="187">
        <f t="shared" si="61"/>
        <v>0</v>
      </c>
      <c r="CH37" s="187">
        <f t="shared" si="61"/>
        <v>0</v>
      </c>
      <c r="CI37" s="17">
        <f t="shared" si="61"/>
        <v>0</v>
      </c>
      <c r="CJ37" s="19">
        <f t="shared" ref="CJ37:CN46" si="93">0/157.5</f>
        <v>0</v>
      </c>
      <c r="CK37" s="187">
        <f t="shared" si="93"/>
        <v>0</v>
      </c>
      <c r="CL37" s="187">
        <f t="shared" si="93"/>
        <v>0</v>
      </c>
      <c r="CM37" s="187">
        <f t="shared" si="93"/>
        <v>0</v>
      </c>
      <c r="CN37" s="187">
        <f t="shared" si="93"/>
        <v>0</v>
      </c>
      <c r="CO37" s="187">
        <f t="shared" si="62"/>
        <v>0</v>
      </c>
      <c r="CP37" s="187">
        <f t="shared" si="62"/>
        <v>0</v>
      </c>
      <c r="CQ37" s="17">
        <f t="shared" si="62"/>
        <v>0</v>
      </c>
      <c r="CR37" s="19">
        <f t="shared" ref="CR37:CV46" si="94">0/142.5</f>
        <v>0</v>
      </c>
      <c r="CS37" s="187">
        <f t="shared" si="94"/>
        <v>0</v>
      </c>
      <c r="CT37" s="187">
        <f t="shared" si="94"/>
        <v>0</v>
      </c>
      <c r="CU37" s="187">
        <f t="shared" si="94"/>
        <v>0</v>
      </c>
      <c r="CV37" s="187">
        <f t="shared" si="94"/>
        <v>0</v>
      </c>
      <c r="CW37" s="187">
        <f t="shared" si="63"/>
        <v>0</v>
      </c>
      <c r="CX37" s="187">
        <f t="shared" si="63"/>
        <v>0</v>
      </c>
      <c r="CY37" s="17">
        <f t="shared" si="63"/>
        <v>0</v>
      </c>
      <c r="CZ37" s="278"/>
    </row>
    <row r="38" spans="1:104" ht="26.25" hidden="1" customHeight="1" outlineLevel="1" x14ac:dyDescent="0.4">
      <c r="A38" s="380"/>
      <c r="B38" s="380"/>
      <c r="C38" s="380"/>
      <c r="D38" s="382"/>
      <c r="E38" s="382"/>
      <c r="F38" s="382"/>
      <c r="G38" s="404"/>
      <c r="H38" s="490"/>
      <c r="I38" s="490"/>
      <c r="J38" s="498"/>
      <c r="K38" s="492"/>
      <c r="L38" s="492"/>
      <c r="M38" s="494"/>
      <c r="N38" s="39" t="s">
        <v>25</v>
      </c>
      <c r="O38" s="207">
        <f t="shared" si="90"/>
        <v>0</v>
      </c>
      <c r="P38" s="207">
        <f t="shared" si="90"/>
        <v>0</v>
      </c>
      <c r="Q38" s="207">
        <f t="shared" si="90"/>
        <v>0</v>
      </c>
      <c r="R38" s="207">
        <f t="shared" si="90"/>
        <v>0</v>
      </c>
      <c r="S38" s="207">
        <f t="shared" si="90"/>
        <v>0</v>
      </c>
      <c r="T38" s="207">
        <f t="shared" si="90"/>
        <v>0</v>
      </c>
      <c r="U38" s="49">
        <f t="shared" si="90"/>
        <v>0</v>
      </c>
      <c r="V38" s="57">
        <f>(0+4.5+8+6.5)/142.5</f>
        <v>0.13333333333333333</v>
      </c>
      <c r="W38" s="207">
        <f t="shared" si="40"/>
        <v>0</v>
      </c>
      <c r="X38" s="207">
        <f>(0+6+20+14+4)/142.5</f>
        <v>0.30877192982456142</v>
      </c>
      <c r="Y38" s="207">
        <f>(0+14.5+17.5)/142.5</f>
        <v>0.22456140350877193</v>
      </c>
      <c r="Z38" s="207">
        <f>(0+11+8)/142.5</f>
        <v>0.13333333333333333</v>
      </c>
      <c r="AA38" s="207">
        <f>(0+18+27.5+21.5+4)/142.5</f>
        <v>0.49824561403508771</v>
      </c>
      <c r="AB38" s="57">
        <f>(2+3.5+4+3)/165</f>
        <v>7.575757575757576E-2</v>
      </c>
      <c r="AC38" s="207">
        <f t="shared" ref="AC38:AF52" si="95">(0)/165</f>
        <v>0</v>
      </c>
      <c r="AD38" s="207">
        <f>(10+17.5+32+5)/165</f>
        <v>0.39090909090909093</v>
      </c>
      <c r="AE38" s="207">
        <f t="shared" si="91"/>
        <v>0</v>
      </c>
      <c r="AF38" s="207">
        <f t="shared" si="91"/>
        <v>0</v>
      </c>
      <c r="AG38" s="207">
        <f>(8+15+13.5+3)/165</f>
        <v>0.23939393939393938</v>
      </c>
      <c r="AH38" s="57">
        <f t="shared" si="3"/>
        <v>0</v>
      </c>
      <c r="AI38" s="207">
        <f t="shared" si="3"/>
        <v>0</v>
      </c>
      <c r="AJ38" s="207">
        <f t="shared" si="3"/>
        <v>0</v>
      </c>
      <c r="AK38" s="207">
        <f t="shared" si="3"/>
        <v>0</v>
      </c>
      <c r="AL38" s="207">
        <f t="shared" si="3"/>
        <v>0</v>
      </c>
      <c r="AM38" s="207">
        <f t="shared" si="3"/>
        <v>0</v>
      </c>
      <c r="AN38" s="57">
        <f t="shared" si="42"/>
        <v>0</v>
      </c>
      <c r="AO38" s="207">
        <f t="shared" si="42"/>
        <v>0</v>
      </c>
      <c r="AP38" s="207">
        <f t="shared" si="42"/>
        <v>0</v>
      </c>
      <c r="AQ38" s="207">
        <f t="shared" si="42"/>
        <v>0</v>
      </c>
      <c r="AR38" s="207">
        <f t="shared" si="42"/>
        <v>0</v>
      </c>
      <c r="AS38" s="207">
        <f t="shared" si="57"/>
        <v>0</v>
      </c>
      <c r="AT38" s="207">
        <f t="shared" si="57"/>
        <v>0</v>
      </c>
      <c r="AU38" s="49">
        <f t="shared" si="57"/>
        <v>0</v>
      </c>
      <c r="AV38" s="63">
        <f t="shared" si="27"/>
        <v>0</v>
      </c>
      <c r="AW38" s="208">
        <f t="shared" si="27"/>
        <v>0</v>
      </c>
      <c r="AX38" s="208">
        <f t="shared" si="27"/>
        <v>0</v>
      </c>
      <c r="AY38" s="208">
        <f t="shared" si="27"/>
        <v>0</v>
      </c>
      <c r="AZ38" s="208">
        <f t="shared" si="27"/>
        <v>0</v>
      </c>
      <c r="BA38" s="208">
        <f t="shared" si="27"/>
        <v>0</v>
      </c>
      <c r="BB38" s="208">
        <f t="shared" si="27"/>
        <v>0</v>
      </c>
      <c r="BC38" s="64">
        <f t="shared" si="27"/>
        <v>0</v>
      </c>
      <c r="BD38" s="63">
        <f t="shared" si="43"/>
        <v>0</v>
      </c>
      <c r="BE38" s="208">
        <f t="shared" si="43"/>
        <v>0</v>
      </c>
      <c r="BF38" s="208">
        <f t="shared" si="43"/>
        <v>0</v>
      </c>
      <c r="BG38" s="208">
        <f t="shared" si="43"/>
        <v>0</v>
      </c>
      <c r="BH38" s="208">
        <f t="shared" si="43"/>
        <v>0</v>
      </c>
      <c r="BI38" s="208">
        <f t="shared" si="58"/>
        <v>0</v>
      </c>
      <c r="BJ38" s="208">
        <f t="shared" si="58"/>
        <v>0</v>
      </c>
      <c r="BK38" s="64">
        <f t="shared" si="58"/>
        <v>0</v>
      </c>
      <c r="BL38" s="63">
        <f t="shared" si="92"/>
        <v>0</v>
      </c>
      <c r="BM38" s="208">
        <f t="shared" si="92"/>
        <v>0</v>
      </c>
      <c r="BN38" s="208">
        <f t="shared" si="92"/>
        <v>0</v>
      </c>
      <c r="BO38" s="208">
        <f t="shared" si="92"/>
        <v>0</v>
      </c>
      <c r="BP38" s="208">
        <f t="shared" si="92"/>
        <v>0</v>
      </c>
      <c r="BQ38" s="208">
        <f t="shared" si="59"/>
        <v>0</v>
      </c>
      <c r="BR38" s="208">
        <f t="shared" si="59"/>
        <v>0</v>
      </c>
      <c r="BS38" s="64">
        <f t="shared" si="59"/>
        <v>0</v>
      </c>
      <c r="BT38" s="63">
        <f t="shared" si="79"/>
        <v>0</v>
      </c>
      <c r="BU38" s="208">
        <f t="shared" si="79"/>
        <v>0</v>
      </c>
      <c r="BV38" s="208">
        <f t="shared" si="79"/>
        <v>0</v>
      </c>
      <c r="BW38" s="208">
        <f t="shared" si="79"/>
        <v>0</v>
      </c>
      <c r="BX38" s="208">
        <f t="shared" si="79"/>
        <v>0</v>
      </c>
      <c r="BY38" s="208">
        <f t="shared" si="60"/>
        <v>0</v>
      </c>
      <c r="BZ38" s="208">
        <f t="shared" si="60"/>
        <v>0</v>
      </c>
      <c r="CA38" s="64">
        <f t="shared" si="60"/>
        <v>0</v>
      </c>
      <c r="CB38" s="63">
        <f t="shared" si="29"/>
        <v>0</v>
      </c>
      <c r="CC38" s="208">
        <f t="shared" si="29"/>
        <v>0</v>
      </c>
      <c r="CD38" s="208">
        <f t="shared" si="29"/>
        <v>0</v>
      </c>
      <c r="CE38" s="208">
        <f t="shared" si="29"/>
        <v>0</v>
      </c>
      <c r="CF38" s="208">
        <f t="shared" si="29"/>
        <v>0</v>
      </c>
      <c r="CG38" s="208">
        <f t="shared" si="61"/>
        <v>0</v>
      </c>
      <c r="CH38" s="208">
        <f t="shared" si="61"/>
        <v>0</v>
      </c>
      <c r="CI38" s="64">
        <f t="shared" si="61"/>
        <v>0</v>
      </c>
      <c r="CJ38" s="63">
        <f t="shared" si="93"/>
        <v>0</v>
      </c>
      <c r="CK38" s="208">
        <f t="shared" si="93"/>
        <v>0</v>
      </c>
      <c r="CL38" s="208">
        <f t="shared" si="93"/>
        <v>0</v>
      </c>
      <c r="CM38" s="208">
        <f t="shared" si="93"/>
        <v>0</v>
      </c>
      <c r="CN38" s="208">
        <f t="shared" si="93"/>
        <v>0</v>
      </c>
      <c r="CO38" s="208">
        <f t="shared" si="62"/>
        <v>0</v>
      </c>
      <c r="CP38" s="208">
        <f t="shared" si="62"/>
        <v>0</v>
      </c>
      <c r="CQ38" s="64">
        <f t="shared" si="62"/>
        <v>0</v>
      </c>
      <c r="CR38" s="63">
        <f t="shared" si="94"/>
        <v>0</v>
      </c>
      <c r="CS38" s="208">
        <f t="shared" si="94"/>
        <v>0</v>
      </c>
      <c r="CT38" s="208">
        <f t="shared" si="94"/>
        <v>0</v>
      </c>
      <c r="CU38" s="208">
        <f t="shared" si="94"/>
        <v>0</v>
      </c>
      <c r="CV38" s="208">
        <f t="shared" si="94"/>
        <v>0</v>
      </c>
      <c r="CW38" s="208">
        <f t="shared" si="63"/>
        <v>0</v>
      </c>
      <c r="CX38" s="208">
        <f t="shared" si="63"/>
        <v>0</v>
      </c>
      <c r="CY38" s="64">
        <f t="shared" si="63"/>
        <v>0</v>
      </c>
      <c r="CZ38" s="278"/>
    </row>
    <row r="39" spans="1:104" ht="26.25" customHeight="1" collapsed="1" x14ac:dyDescent="0.4">
      <c r="A39" s="379">
        <v>17</v>
      </c>
      <c r="B39" s="379" t="s">
        <v>47</v>
      </c>
      <c r="C39" s="379" t="s">
        <v>14</v>
      </c>
      <c r="D39" s="381" t="s">
        <v>430</v>
      </c>
      <c r="E39" s="381" t="s">
        <v>536</v>
      </c>
      <c r="F39" s="381" t="s">
        <v>429</v>
      </c>
      <c r="G39" s="404" t="s">
        <v>535</v>
      </c>
      <c r="H39" s="489">
        <f t="shared" ref="H39" si="96">SUM(AH39:AM39)</f>
        <v>0.35151515151515156</v>
      </c>
      <c r="I39" s="489">
        <f t="shared" ref="I39" si="97">SUM(AH40:AM40)</f>
        <v>0.35454545454545455</v>
      </c>
      <c r="J39" s="497"/>
      <c r="K39" s="491"/>
      <c r="L39" s="491"/>
      <c r="M39" s="493"/>
      <c r="N39" s="48" t="s">
        <v>24</v>
      </c>
      <c r="O39" s="187">
        <f t="shared" si="90"/>
        <v>0</v>
      </c>
      <c r="P39" s="187">
        <f t="shared" si="90"/>
        <v>0</v>
      </c>
      <c r="Q39" s="187">
        <f t="shared" si="90"/>
        <v>0</v>
      </c>
      <c r="R39" s="187">
        <f t="shared" si="90"/>
        <v>0</v>
      </c>
      <c r="S39" s="187">
        <f t="shared" si="90"/>
        <v>0</v>
      </c>
      <c r="T39" s="187">
        <f t="shared" si="90"/>
        <v>0</v>
      </c>
      <c r="U39" s="82">
        <f t="shared" si="90"/>
        <v>0</v>
      </c>
      <c r="V39" s="19">
        <f>(12)/142.5</f>
        <v>8.4210526315789472E-2</v>
      </c>
      <c r="W39" s="187">
        <f t="shared" si="40"/>
        <v>0</v>
      </c>
      <c r="X39" s="187">
        <f>(0)/142.5</f>
        <v>0</v>
      </c>
      <c r="Y39" s="187">
        <f>(30)/142.5</f>
        <v>0.21052631578947367</v>
      </c>
      <c r="Z39" s="187">
        <f>(30)/142.5</f>
        <v>0.21052631578947367</v>
      </c>
      <c r="AA39" s="187">
        <f>(0)/142.5</f>
        <v>0</v>
      </c>
      <c r="AB39" s="73">
        <f>(7)/165</f>
        <v>4.2424242424242427E-2</v>
      </c>
      <c r="AC39" s="187">
        <f t="shared" si="95"/>
        <v>0</v>
      </c>
      <c r="AD39" s="187">
        <f>(20)/165</f>
        <v>0.12121212121212122</v>
      </c>
      <c r="AE39" s="187">
        <f>(20)/165</f>
        <v>0.12121212121212122</v>
      </c>
      <c r="AF39" s="187">
        <f>(20)/165</f>
        <v>0.12121212121212122</v>
      </c>
      <c r="AG39" s="187">
        <f t="shared" si="91"/>
        <v>0</v>
      </c>
      <c r="AH39" s="73">
        <f>(8)/165</f>
        <v>4.8484848484848485E-2</v>
      </c>
      <c r="AI39" s="187">
        <f t="shared" si="3"/>
        <v>0</v>
      </c>
      <c r="AJ39" s="187">
        <f t="shared" si="3"/>
        <v>0</v>
      </c>
      <c r="AK39" s="187">
        <f>(30)/165</f>
        <v>0.18181818181818182</v>
      </c>
      <c r="AL39" s="187">
        <f t="shared" ref="AL39" si="98">(20)/165</f>
        <v>0.12121212121212122</v>
      </c>
      <c r="AM39" s="187">
        <f t="shared" si="3"/>
        <v>0</v>
      </c>
      <c r="AN39" s="73">
        <f t="shared" si="42"/>
        <v>0</v>
      </c>
      <c r="AO39" s="187">
        <f t="shared" si="42"/>
        <v>0</v>
      </c>
      <c r="AP39" s="187">
        <f t="shared" si="42"/>
        <v>0</v>
      </c>
      <c r="AQ39" s="187">
        <f t="shared" si="42"/>
        <v>0</v>
      </c>
      <c r="AR39" s="187">
        <f t="shared" si="42"/>
        <v>0</v>
      </c>
      <c r="AS39" s="187">
        <f t="shared" si="57"/>
        <v>0</v>
      </c>
      <c r="AT39" s="187">
        <f t="shared" si="57"/>
        <v>0</v>
      </c>
      <c r="AU39" s="221">
        <f t="shared" si="57"/>
        <v>0</v>
      </c>
      <c r="AV39" s="222">
        <f t="shared" si="27"/>
        <v>0</v>
      </c>
      <c r="AW39" s="187">
        <f t="shared" si="27"/>
        <v>0</v>
      </c>
      <c r="AX39" s="187">
        <f t="shared" si="27"/>
        <v>0</v>
      </c>
      <c r="AY39" s="187">
        <f t="shared" si="27"/>
        <v>0</v>
      </c>
      <c r="AZ39" s="187">
        <f t="shared" si="27"/>
        <v>0</v>
      </c>
      <c r="BA39" s="187">
        <f t="shared" si="27"/>
        <v>0</v>
      </c>
      <c r="BB39" s="187">
        <f t="shared" si="27"/>
        <v>0</v>
      </c>
      <c r="BC39" s="17">
        <f t="shared" si="27"/>
        <v>0</v>
      </c>
      <c r="BD39" s="19">
        <f t="shared" si="43"/>
        <v>0</v>
      </c>
      <c r="BE39" s="187">
        <f t="shared" si="43"/>
        <v>0</v>
      </c>
      <c r="BF39" s="187">
        <f t="shared" si="43"/>
        <v>0</v>
      </c>
      <c r="BG39" s="187">
        <f t="shared" si="43"/>
        <v>0</v>
      </c>
      <c r="BH39" s="187">
        <f t="shared" si="43"/>
        <v>0</v>
      </c>
      <c r="BI39" s="187">
        <f t="shared" si="58"/>
        <v>0</v>
      </c>
      <c r="BJ39" s="187">
        <f t="shared" si="58"/>
        <v>0</v>
      </c>
      <c r="BK39" s="17">
        <f t="shared" si="58"/>
        <v>0</v>
      </c>
      <c r="BL39" s="19">
        <f t="shared" si="92"/>
        <v>0</v>
      </c>
      <c r="BM39" s="187">
        <f t="shared" si="92"/>
        <v>0</v>
      </c>
      <c r="BN39" s="187">
        <f t="shared" si="92"/>
        <v>0</v>
      </c>
      <c r="BO39" s="187">
        <f t="shared" si="92"/>
        <v>0</v>
      </c>
      <c r="BP39" s="187">
        <f t="shared" si="92"/>
        <v>0</v>
      </c>
      <c r="BQ39" s="187">
        <f t="shared" si="59"/>
        <v>0</v>
      </c>
      <c r="BR39" s="187">
        <f t="shared" si="59"/>
        <v>0</v>
      </c>
      <c r="BS39" s="17">
        <f t="shared" si="59"/>
        <v>0</v>
      </c>
      <c r="BT39" s="19">
        <f t="shared" ref="BT39:BX48" si="99">0/157.5</f>
        <v>0</v>
      </c>
      <c r="BU39" s="187">
        <f t="shared" si="99"/>
        <v>0</v>
      </c>
      <c r="BV39" s="187">
        <f t="shared" si="99"/>
        <v>0</v>
      </c>
      <c r="BW39" s="187">
        <f t="shared" si="99"/>
        <v>0</v>
      </c>
      <c r="BX39" s="187">
        <f t="shared" si="99"/>
        <v>0</v>
      </c>
      <c r="BY39" s="187">
        <f t="shared" si="60"/>
        <v>0</v>
      </c>
      <c r="BZ39" s="187">
        <f t="shared" si="60"/>
        <v>0</v>
      </c>
      <c r="CA39" s="17">
        <f t="shared" si="60"/>
        <v>0</v>
      </c>
      <c r="CB39" s="73">
        <f t="shared" si="29"/>
        <v>0</v>
      </c>
      <c r="CC39" s="187">
        <f t="shared" si="29"/>
        <v>0</v>
      </c>
      <c r="CD39" s="187">
        <f t="shared" si="29"/>
        <v>0</v>
      </c>
      <c r="CE39" s="187">
        <f t="shared" si="29"/>
        <v>0</v>
      </c>
      <c r="CF39" s="187">
        <f t="shared" si="29"/>
        <v>0</v>
      </c>
      <c r="CG39" s="187">
        <f t="shared" si="61"/>
        <v>0</v>
      </c>
      <c r="CH39" s="187">
        <f t="shared" si="61"/>
        <v>0</v>
      </c>
      <c r="CI39" s="17">
        <f t="shared" si="61"/>
        <v>0</v>
      </c>
      <c r="CJ39" s="19">
        <f t="shared" si="93"/>
        <v>0</v>
      </c>
      <c r="CK39" s="187">
        <f t="shared" si="93"/>
        <v>0</v>
      </c>
      <c r="CL39" s="187">
        <f t="shared" si="93"/>
        <v>0</v>
      </c>
      <c r="CM39" s="187">
        <f t="shared" si="93"/>
        <v>0</v>
      </c>
      <c r="CN39" s="187">
        <f t="shared" si="93"/>
        <v>0</v>
      </c>
      <c r="CO39" s="187">
        <f t="shared" si="62"/>
        <v>0</v>
      </c>
      <c r="CP39" s="187">
        <f t="shared" si="62"/>
        <v>0</v>
      </c>
      <c r="CQ39" s="17">
        <f t="shared" si="62"/>
        <v>0</v>
      </c>
      <c r="CR39" s="19">
        <f t="shared" si="94"/>
        <v>0</v>
      </c>
      <c r="CS39" s="187">
        <f t="shared" si="94"/>
        <v>0</v>
      </c>
      <c r="CT39" s="187">
        <f t="shared" si="94"/>
        <v>0</v>
      </c>
      <c r="CU39" s="187">
        <f t="shared" si="94"/>
        <v>0</v>
      </c>
      <c r="CV39" s="187">
        <f t="shared" si="94"/>
        <v>0</v>
      </c>
      <c r="CW39" s="187">
        <f t="shared" si="63"/>
        <v>0</v>
      </c>
      <c r="CX39" s="187">
        <f t="shared" si="63"/>
        <v>0</v>
      </c>
      <c r="CY39" s="17">
        <f t="shared" si="63"/>
        <v>0</v>
      </c>
      <c r="CZ39" s="278"/>
    </row>
    <row r="40" spans="1:104" ht="26.25" customHeight="1" x14ac:dyDescent="0.4">
      <c r="A40" s="380"/>
      <c r="B40" s="380"/>
      <c r="C40" s="380"/>
      <c r="D40" s="382"/>
      <c r="E40" s="382"/>
      <c r="F40" s="382"/>
      <c r="G40" s="404"/>
      <c r="H40" s="490"/>
      <c r="I40" s="490"/>
      <c r="J40" s="498"/>
      <c r="K40" s="492"/>
      <c r="L40" s="492"/>
      <c r="M40" s="494"/>
      <c r="N40" s="39" t="s">
        <v>25</v>
      </c>
      <c r="O40" s="207">
        <f t="shared" si="90"/>
        <v>0</v>
      </c>
      <c r="P40" s="207">
        <f t="shared" si="90"/>
        <v>0</v>
      </c>
      <c r="Q40" s="207">
        <f t="shared" si="90"/>
        <v>0</v>
      </c>
      <c r="R40" s="207">
        <f t="shared" si="90"/>
        <v>0</v>
      </c>
      <c r="S40" s="207">
        <f t="shared" si="90"/>
        <v>0</v>
      </c>
      <c r="T40" s="207">
        <f t="shared" si="90"/>
        <v>0</v>
      </c>
      <c r="U40" s="49">
        <f t="shared" si="90"/>
        <v>0</v>
      </c>
      <c r="V40" s="57">
        <f>(0+5+1.5+1.5)/142.5</f>
        <v>5.6140350877192984E-2</v>
      </c>
      <c r="W40" s="207">
        <f t="shared" si="40"/>
        <v>0</v>
      </c>
      <c r="X40" s="207">
        <f>(0)/142.5</f>
        <v>0</v>
      </c>
      <c r="Y40" s="207">
        <f>(0+24+3)/142.5</f>
        <v>0.18947368421052632</v>
      </c>
      <c r="Z40" s="207">
        <f>(0+20+6+3)/142.5</f>
        <v>0.20350877192982456</v>
      </c>
      <c r="AA40" s="207">
        <f>(0)/142.5</f>
        <v>0</v>
      </c>
      <c r="AB40" s="57">
        <f>(2.5+2+2)/165</f>
        <v>3.9393939393939391E-2</v>
      </c>
      <c r="AC40" s="207">
        <f t="shared" si="95"/>
        <v>0</v>
      </c>
      <c r="AD40" s="207">
        <f>(3.5+3+2.5)/165</f>
        <v>5.4545454545454543E-2</v>
      </c>
      <c r="AE40" s="207">
        <f>(0+6+13)/165</f>
        <v>0.11515151515151516</v>
      </c>
      <c r="AF40" s="207">
        <f>(5.5+1.5+3+6)/165</f>
        <v>9.696969696969697E-2</v>
      </c>
      <c r="AG40" s="207">
        <f t="shared" si="91"/>
        <v>0</v>
      </c>
      <c r="AH40" s="57">
        <f>(1+4+2)/165</f>
        <v>4.2424242424242427E-2</v>
      </c>
      <c r="AI40" s="207">
        <f t="shared" si="3"/>
        <v>0</v>
      </c>
      <c r="AJ40" s="207">
        <f t="shared" si="3"/>
        <v>0</v>
      </c>
      <c r="AK40" s="207">
        <f>(6+24.5+8)/165</f>
        <v>0.23333333333333334</v>
      </c>
      <c r="AL40" s="207">
        <f>(1+4+4+4)/165</f>
        <v>7.8787878787878782E-2</v>
      </c>
      <c r="AM40" s="207">
        <f t="shared" si="3"/>
        <v>0</v>
      </c>
      <c r="AN40" s="57">
        <f t="shared" si="42"/>
        <v>0</v>
      </c>
      <c r="AO40" s="207">
        <f t="shared" si="42"/>
        <v>0</v>
      </c>
      <c r="AP40" s="207">
        <f t="shared" si="42"/>
        <v>0</v>
      </c>
      <c r="AQ40" s="207">
        <f t="shared" si="42"/>
        <v>0</v>
      </c>
      <c r="AR40" s="207">
        <f t="shared" si="42"/>
        <v>0</v>
      </c>
      <c r="AS40" s="207">
        <f t="shared" si="57"/>
        <v>0</v>
      </c>
      <c r="AT40" s="207">
        <f t="shared" si="57"/>
        <v>0</v>
      </c>
      <c r="AU40" s="49">
        <f t="shared" si="57"/>
        <v>0</v>
      </c>
      <c r="AV40" s="63">
        <f t="shared" si="27"/>
        <v>0</v>
      </c>
      <c r="AW40" s="208">
        <f t="shared" si="27"/>
        <v>0</v>
      </c>
      <c r="AX40" s="208">
        <f t="shared" si="27"/>
        <v>0</v>
      </c>
      <c r="AY40" s="208">
        <f t="shared" si="27"/>
        <v>0</v>
      </c>
      <c r="AZ40" s="208">
        <f t="shared" si="27"/>
        <v>0</v>
      </c>
      <c r="BA40" s="208">
        <f t="shared" si="27"/>
        <v>0</v>
      </c>
      <c r="BB40" s="208">
        <f t="shared" si="27"/>
        <v>0</v>
      </c>
      <c r="BC40" s="64">
        <f t="shared" si="27"/>
        <v>0</v>
      </c>
      <c r="BD40" s="63">
        <f t="shared" si="43"/>
        <v>0</v>
      </c>
      <c r="BE40" s="208">
        <f t="shared" si="43"/>
        <v>0</v>
      </c>
      <c r="BF40" s="208">
        <f t="shared" si="43"/>
        <v>0</v>
      </c>
      <c r="BG40" s="208">
        <f t="shared" si="43"/>
        <v>0</v>
      </c>
      <c r="BH40" s="208">
        <f t="shared" si="43"/>
        <v>0</v>
      </c>
      <c r="BI40" s="208">
        <f t="shared" si="58"/>
        <v>0</v>
      </c>
      <c r="BJ40" s="208">
        <f t="shared" si="58"/>
        <v>0</v>
      </c>
      <c r="BK40" s="64">
        <f t="shared" si="58"/>
        <v>0</v>
      </c>
      <c r="BL40" s="63">
        <f t="shared" si="92"/>
        <v>0</v>
      </c>
      <c r="BM40" s="208">
        <f t="shared" si="92"/>
        <v>0</v>
      </c>
      <c r="BN40" s="208">
        <f t="shared" si="92"/>
        <v>0</v>
      </c>
      <c r="BO40" s="208">
        <f t="shared" si="92"/>
        <v>0</v>
      </c>
      <c r="BP40" s="208">
        <f t="shared" si="92"/>
        <v>0</v>
      </c>
      <c r="BQ40" s="208">
        <f t="shared" si="59"/>
        <v>0</v>
      </c>
      <c r="BR40" s="208">
        <f t="shared" si="59"/>
        <v>0</v>
      </c>
      <c r="BS40" s="64">
        <f t="shared" si="59"/>
        <v>0</v>
      </c>
      <c r="BT40" s="63">
        <f t="shared" si="99"/>
        <v>0</v>
      </c>
      <c r="BU40" s="208">
        <f t="shared" si="99"/>
        <v>0</v>
      </c>
      <c r="BV40" s="208">
        <f t="shared" si="99"/>
        <v>0</v>
      </c>
      <c r="BW40" s="208">
        <f t="shared" si="99"/>
        <v>0</v>
      </c>
      <c r="BX40" s="208">
        <f t="shared" si="99"/>
        <v>0</v>
      </c>
      <c r="BY40" s="208">
        <f t="shared" si="60"/>
        <v>0</v>
      </c>
      <c r="BZ40" s="208">
        <f t="shared" si="60"/>
        <v>0</v>
      </c>
      <c r="CA40" s="64">
        <f t="shared" si="60"/>
        <v>0</v>
      </c>
      <c r="CB40" s="63">
        <f t="shared" si="29"/>
        <v>0</v>
      </c>
      <c r="CC40" s="208">
        <f t="shared" si="29"/>
        <v>0</v>
      </c>
      <c r="CD40" s="208">
        <f t="shared" si="29"/>
        <v>0</v>
      </c>
      <c r="CE40" s="208">
        <f t="shared" si="29"/>
        <v>0</v>
      </c>
      <c r="CF40" s="208">
        <f t="shared" si="29"/>
        <v>0</v>
      </c>
      <c r="CG40" s="208">
        <f t="shared" si="61"/>
        <v>0</v>
      </c>
      <c r="CH40" s="208">
        <f t="shared" si="61"/>
        <v>0</v>
      </c>
      <c r="CI40" s="64">
        <f t="shared" si="61"/>
        <v>0</v>
      </c>
      <c r="CJ40" s="63">
        <f t="shared" si="93"/>
        <v>0</v>
      </c>
      <c r="CK40" s="208">
        <f t="shared" si="93"/>
        <v>0</v>
      </c>
      <c r="CL40" s="208">
        <f t="shared" si="93"/>
        <v>0</v>
      </c>
      <c r="CM40" s="208">
        <f t="shared" si="93"/>
        <v>0</v>
      </c>
      <c r="CN40" s="208">
        <f t="shared" si="93"/>
        <v>0</v>
      </c>
      <c r="CO40" s="208">
        <f t="shared" si="62"/>
        <v>0</v>
      </c>
      <c r="CP40" s="208">
        <f t="shared" si="62"/>
        <v>0</v>
      </c>
      <c r="CQ40" s="64">
        <f t="shared" si="62"/>
        <v>0</v>
      </c>
      <c r="CR40" s="63">
        <f t="shared" si="94"/>
        <v>0</v>
      </c>
      <c r="CS40" s="208">
        <f t="shared" si="94"/>
        <v>0</v>
      </c>
      <c r="CT40" s="208">
        <f t="shared" si="94"/>
        <v>0</v>
      </c>
      <c r="CU40" s="208">
        <f t="shared" si="94"/>
        <v>0</v>
      </c>
      <c r="CV40" s="208">
        <f t="shared" si="94"/>
        <v>0</v>
      </c>
      <c r="CW40" s="208">
        <f t="shared" si="63"/>
        <v>0</v>
      </c>
      <c r="CX40" s="208">
        <f t="shared" si="63"/>
        <v>0</v>
      </c>
      <c r="CY40" s="64">
        <f t="shared" si="63"/>
        <v>0</v>
      </c>
      <c r="CZ40" s="278"/>
    </row>
    <row r="41" spans="1:104" ht="26.25" customHeight="1" x14ac:dyDescent="0.4">
      <c r="A41" s="379">
        <v>18</v>
      </c>
      <c r="B41" s="379" t="s">
        <v>46</v>
      </c>
      <c r="C41" s="379" t="s">
        <v>14</v>
      </c>
      <c r="D41" s="381" t="s">
        <v>550</v>
      </c>
      <c r="E41" s="381" t="s">
        <v>548</v>
      </c>
      <c r="F41" s="381"/>
      <c r="G41" s="404" t="s">
        <v>551</v>
      </c>
      <c r="H41" s="489">
        <f t="shared" ref="H41" si="100">SUM(AH41:AM41)</f>
        <v>0.98787878787878791</v>
      </c>
      <c r="I41" s="489">
        <f t="shared" ref="I41" si="101">SUM(AH42:AM42)</f>
        <v>1.2000000000000002</v>
      </c>
      <c r="J41" s="497"/>
      <c r="K41" s="491"/>
      <c r="L41" s="491"/>
      <c r="M41" s="493"/>
      <c r="N41" s="48" t="s">
        <v>24</v>
      </c>
      <c r="O41" s="187">
        <f t="shared" si="90"/>
        <v>0</v>
      </c>
      <c r="P41" s="187">
        <f t="shared" si="90"/>
        <v>0</v>
      </c>
      <c r="Q41" s="187">
        <f t="shared" si="90"/>
        <v>0</v>
      </c>
      <c r="R41" s="187">
        <f t="shared" si="90"/>
        <v>0</v>
      </c>
      <c r="S41" s="187">
        <f t="shared" si="90"/>
        <v>0</v>
      </c>
      <c r="T41" s="187">
        <f t="shared" si="90"/>
        <v>0</v>
      </c>
      <c r="U41" s="82">
        <f t="shared" si="90"/>
        <v>0</v>
      </c>
      <c r="V41" s="19">
        <f>(8)/142.5</f>
        <v>5.6140350877192984E-2</v>
      </c>
      <c r="W41" s="187">
        <f t="shared" si="40"/>
        <v>0</v>
      </c>
      <c r="X41" s="187">
        <f>(0)/142.5</f>
        <v>0</v>
      </c>
      <c r="Y41" s="187">
        <f>(35)/142.5</f>
        <v>0.24561403508771928</v>
      </c>
      <c r="Z41" s="187">
        <f>(35)/142.5</f>
        <v>0.24561403508771928</v>
      </c>
      <c r="AA41" s="187">
        <f>(0)/142.5</f>
        <v>0</v>
      </c>
      <c r="AB41" s="73">
        <f>(12)/165</f>
        <v>7.2727272727272724E-2</v>
      </c>
      <c r="AC41" s="187">
        <f>(50)/165</f>
        <v>0.30303030303030304</v>
      </c>
      <c r="AD41" s="187">
        <f t="shared" si="91"/>
        <v>0</v>
      </c>
      <c r="AE41" s="187">
        <f>(110)/165</f>
        <v>0.66666666666666663</v>
      </c>
      <c r="AF41" s="187">
        <f>(100)/165</f>
        <v>0.60606060606060608</v>
      </c>
      <c r="AG41" s="187">
        <f t="shared" si="91"/>
        <v>0</v>
      </c>
      <c r="AH41" s="73">
        <f>(8)/165</f>
        <v>4.8484848484848485E-2</v>
      </c>
      <c r="AI41" s="187">
        <f t="shared" ref="AI41" si="102">(20)/165</f>
        <v>0.12121212121212122</v>
      </c>
      <c r="AJ41" s="187">
        <f t="shared" si="3"/>
        <v>0</v>
      </c>
      <c r="AK41" s="187">
        <f>(50)/165</f>
        <v>0.30303030303030304</v>
      </c>
      <c r="AL41" s="187">
        <f>(85)/165</f>
        <v>0.51515151515151514</v>
      </c>
      <c r="AM41" s="187">
        <f t="shared" si="3"/>
        <v>0</v>
      </c>
      <c r="AN41" s="73">
        <f t="shared" si="42"/>
        <v>0</v>
      </c>
      <c r="AO41" s="187">
        <f t="shared" si="42"/>
        <v>0</v>
      </c>
      <c r="AP41" s="187">
        <f t="shared" si="42"/>
        <v>0</v>
      </c>
      <c r="AQ41" s="187">
        <f t="shared" si="42"/>
        <v>0</v>
      </c>
      <c r="AR41" s="187">
        <f t="shared" si="42"/>
        <v>0</v>
      </c>
      <c r="AS41" s="187">
        <f t="shared" si="57"/>
        <v>0</v>
      </c>
      <c r="AT41" s="187">
        <f t="shared" si="57"/>
        <v>0</v>
      </c>
      <c r="AU41" s="221">
        <f t="shared" si="57"/>
        <v>0</v>
      </c>
      <c r="AV41" s="222">
        <f t="shared" ref="AV41:BC72" si="103">0/172.5</f>
        <v>0</v>
      </c>
      <c r="AW41" s="187">
        <f t="shared" si="103"/>
        <v>0</v>
      </c>
      <c r="AX41" s="187">
        <f t="shared" si="103"/>
        <v>0</v>
      </c>
      <c r="AY41" s="187">
        <f t="shared" si="103"/>
        <v>0</v>
      </c>
      <c r="AZ41" s="187">
        <f t="shared" si="103"/>
        <v>0</v>
      </c>
      <c r="BA41" s="187">
        <f t="shared" si="103"/>
        <v>0</v>
      </c>
      <c r="BB41" s="187">
        <f t="shared" si="103"/>
        <v>0</v>
      </c>
      <c r="BC41" s="17">
        <f t="shared" si="103"/>
        <v>0</v>
      </c>
      <c r="BD41" s="19">
        <f t="shared" si="43"/>
        <v>0</v>
      </c>
      <c r="BE41" s="187">
        <f t="shared" si="43"/>
        <v>0</v>
      </c>
      <c r="BF41" s="187">
        <f t="shared" si="43"/>
        <v>0</v>
      </c>
      <c r="BG41" s="187">
        <f t="shared" si="43"/>
        <v>0</v>
      </c>
      <c r="BH41" s="187">
        <f t="shared" si="43"/>
        <v>0</v>
      </c>
      <c r="BI41" s="187">
        <f t="shared" si="58"/>
        <v>0</v>
      </c>
      <c r="BJ41" s="187">
        <f t="shared" si="58"/>
        <v>0</v>
      </c>
      <c r="BK41" s="17">
        <f t="shared" si="58"/>
        <v>0</v>
      </c>
      <c r="BL41" s="19">
        <f t="shared" si="92"/>
        <v>0</v>
      </c>
      <c r="BM41" s="187">
        <f t="shared" si="92"/>
        <v>0</v>
      </c>
      <c r="BN41" s="187">
        <f t="shared" si="92"/>
        <v>0</v>
      </c>
      <c r="BO41" s="187">
        <f t="shared" si="92"/>
        <v>0</v>
      </c>
      <c r="BP41" s="187">
        <f t="shared" si="92"/>
        <v>0</v>
      </c>
      <c r="BQ41" s="187">
        <f t="shared" si="59"/>
        <v>0</v>
      </c>
      <c r="BR41" s="187">
        <f t="shared" si="59"/>
        <v>0</v>
      </c>
      <c r="BS41" s="17">
        <f t="shared" si="59"/>
        <v>0</v>
      </c>
      <c r="BT41" s="19">
        <f t="shared" si="99"/>
        <v>0</v>
      </c>
      <c r="BU41" s="187">
        <f t="shared" si="99"/>
        <v>0</v>
      </c>
      <c r="BV41" s="187">
        <f t="shared" si="99"/>
        <v>0</v>
      </c>
      <c r="BW41" s="187">
        <f t="shared" si="99"/>
        <v>0</v>
      </c>
      <c r="BX41" s="187">
        <f t="shared" si="99"/>
        <v>0</v>
      </c>
      <c r="BY41" s="187">
        <f t="shared" si="60"/>
        <v>0</v>
      </c>
      <c r="BZ41" s="187">
        <f t="shared" si="60"/>
        <v>0</v>
      </c>
      <c r="CA41" s="17">
        <f t="shared" si="60"/>
        <v>0</v>
      </c>
      <c r="CB41" s="73">
        <f t="shared" ref="CB41:CF72" si="104">0/157.5</f>
        <v>0</v>
      </c>
      <c r="CC41" s="187">
        <f t="shared" si="104"/>
        <v>0</v>
      </c>
      <c r="CD41" s="187">
        <f t="shared" si="104"/>
        <v>0</v>
      </c>
      <c r="CE41" s="187">
        <f t="shared" si="104"/>
        <v>0</v>
      </c>
      <c r="CF41" s="187">
        <f t="shared" si="104"/>
        <v>0</v>
      </c>
      <c r="CG41" s="187">
        <f t="shared" si="61"/>
        <v>0</v>
      </c>
      <c r="CH41" s="187">
        <f t="shared" si="61"/>
        <v>0</v>
      </c>
      <c r="CI41" s="17">
        <f t="shared" si="61"/>
        <v>0</v>
      </c>
      <c r="CJ41" s="19">
        <f t="shared" si="93"/>
        <v>0</v>
      </c>
      <c r="CK41" s="187">
        <f t="shared" si="93"/>
        <v>0</v>
      </c>
      <c r="CL41" s="187">
        <f t="shared" si="93"/>
        <v>0</v>
      </c>
      <c r="CM41" s="187">
        <f t="shared" si="93"/>
        <v>0</v>
      </c>
      <c r="CN41" s="187">
        <f t="shared" si="93"/>
        <v>0</v>
      </c>
      <c r="CO41" s="187">
        <f t="shared" si="62"/>
        <v>0</v>
      </c>
      <c r="CP41" s="187">
        <f t="shared" si="62"/>
        <v>0</v>
      </c>
      <c r="CQ41" s="17">
        <f t="shared" si="62"/>
        <v>0</v>
      </c>
      <c r="CR41" s="19">
        <f t="shared" si="94"/>
        <v>0</v>
      </c>
      <c r="CS41" s="187">
        <f t="shared" si="94"/>
        <v>0</v>
      </c>
      <c r="CT41" s="187">
        <f t="shared" si="94"/>
        <v>0</v>
      </c>
      <c r="CU41" s="187">
        <f t="shared" si="94"/>
        <v>0</v>
      </c>
      <c r="CV41" s="187">
        <f t="shared" si="94"/>
        <v>0</v>
      </c>
      <c r="CW41" s="187">
        <f t="shared" si="63"/>
        <v>0</v>
      </c>
      <c r="CX41" s="187">
        <f t="shared" si="63"/>
        <v>0</v>
      </c>
      <c r="CY41" s="17">
        <f t="shared" si="63"/>
        <v>0</v>
      </c>
      <c r="CZ41" s="278"/>
    </row>
    <row r="42" spans="1:104" ht="26.25" customHeight="1" x14ac:dyDescent="0.4">
      <c r="A42" s="380"/>
      <c r="B42" s="380"/>
      <c r="C42" s="380"/>
      <c r="D42" s="382"/>
      <c r="E42" s="382"/>
      <c r="F42" s="382"/>
      <c r="G42" s="404"/>
      <c r="H42" s="490"/>
      <c r="I42" s="490"/>
      <c r="J42" s="498"/>
      <c r="K42" s="492"/>
      <c r="L42" s="492"/>
      <c r="M42" s="494"/>
      <c r="N42" s="39" t="s">
        <v>25</v>
      </c>
      <c r="O42" s="207">
        <f t="shared" si="90"/>
        <v>0</v>
      </c>
      <c r="P42" s="207">
        <f t="shared" si="90"/>
        <v>0</v>
      </c>
      <c r="Q42" s="207">
        <f t="shared" si="90"/>
        <v>0</v>
      </c>
      <c r="R42" s="207">
        <f t="shared" si="90"/>
        <v>0</v>
      </c>
      <c r="S42" s="207">
        <f t="shared" si="90"/>
        <v>0</v>
      </c>
      <c r="T42" s="207">
        <f t="shared" si="90"/>
        <v>0</v>
      </c>
      <c r="U42" s="49">
        <f t="shared" si="90"/>
        <v>0</v>
      </c>
      <c r="V42" s="57">
        <f>(0+6.5+4.5)/142.5</f>
        <v>7.7192982456140355E-2</v>
      </c>
      <c r="W42" s="207">
        <f t="shared" si="40"/>
        <v>0</v>
      </c>
      <c r="X42" s="207">
        <f>(0)/142.5</f>
        <v>0</v>
      </c>
      <c r="Y42" s="207">
        <f>(0+12+12)/142.5</f>
        <v>0.16842105263157894</v>
      </c>
      <c r="Z42" s="207">
        <f>(0+13+13+4)/142.5</f>
        <v>0.21052631578947367</v>
      </c>
      <c r="AA42" s="207">
        <f>(0)/142.5</f>
        <v>0</v>
      </c>
      <c r="AB42" s="57">
        <f>(1+5+6+3.5)/165</f>
        <v>9.3939393939393934E-2</v>
      </c>
      <c r="AC42" s="207">
        <f>(0+9.5+15+9.5)/165</f>
        <v>0.20606060606060606</v>
      </c>
      <c r="AD42" s="207">
        <f t="shared" si="91"/>
        <v>0</v>
      </c>
      <c r="AE42" s="207">
        <f>(18+26.5+30.5+23.5+12.5)/165</f>
        <v>0.67272727272727273</v>
      </c>
      <c r="AF42" s="207">
        <f>(9+21.5+30+26.5+19.5)/165</f>
        <v>0.6454545454545455</v>
      </c>
      <c r="AG42" s="207">
        <f t="shared" si="91"/>
        <v>0</v>
      </c>
      <c r="AH42" s="57">
        <f>(1+2+3.5+0.5+1)/165</f>
        <v>4.8484848484848485E-2</v>
      </c>
      <c r="AI42" s="207">
        <f>(2+2+4+6+3)/165</f>
        <v>0.10303030303030303</v>
      </c>
      <c r="AJ42" s="207">
        <f t="shared" si="3"/>
        <v>0</v>
      </c>
      <c r="AK42" s="207">
        <f>(0+6.5+12.5+24+18.5)/165</f>
        <v>0.37272727272727274</v>
      </c>
      <c r="AL42" s="207">
        <f>(5+28+27.5+30+21)/165</f>
        <v>0.67575757575757578</v>
      </c>
      <c r="AM42" s="207">
        <f t="shared" si="3"/>
        <v>0</v>
      </c>
      <c r="AN42" s="57">
        <f t="shared" si="42"/>
        <v>0</v>
      </c>
      <c r="AO42" s="207">
        <f t="shared" si="42"/>
        <v>0</v>
      </c>
      <c r="AP42" s="207">
        <f t="shared" si="42"/>
        <v>0</v>
      </c>
      <c r="AQ42" s="207">
        <f t="shared" si="42"/>
        <v>0</v>
      </c>
      <c r="AR42" s="207">
        <f t="shared" si="42"/>
        <v>0</v>
      </c>
      <c r="AS42" s="207">
        <f t="shared" si="57"/>
        <v>0</v>
      </c>
      <c r="AT42" s="207">
        <f t="shared" si="57"/>
        <v>0</v>
      </c>
      <c r="AU42" s="49">
        <f t="shared" si="57"/>
        <v>0</v>
      </c>
      <c r="AV42" s="63">
        <f t="shared" si="103"/>
        <v>0</v>
      </c>
      <c r="AW42" s="208">
        <f t="shared" si="103"/>
        <v>0</v>
      </c>
      <c r="AX42" s="208">
        <f t="shared" si="103"/>
        <v>0</v>
      </c>
      <c r="AY42" s="208">
        <f t="shared" si="103"/>
        <v>0</v>
      </c>
      <c r="AZ42" s="208">
        <f t="shared" si="103"/>
        <v>0</v>
      </c>
      <c r="BA42" s="208">
        <f t="shared" si="103"/>
        <v>0</v>
      </c>
      <c r="BB42" s="208">
        <f t="shared" si="103"/>
        <v>0</v>
      </c>
      <c r="BC42" s="64">
        <f t="shared" si="103"/>
        <v>0</v>
      </c>
      <c r="BD42" s="63">
        <f t="shared" si="43"/>
        <v>0</v>
      </c>
      <c r="BE42" s="208">
        <f t="shared" si="43"/>
        <v>0</v>
      </c>
      <c r="BF42" s="208">
        <f t="shared" si="43"/>
        <v>0</v>
      </c>
      <c r="BG42" s="208">
        <f t="shared" si="43"/>
        <v>0</v>
      </c>
      <c r="BH42" s="208">
        <f t="shared" si="43"/>
        <v>0</v>
      </c>
      <c r="BI42" s="208">
        <f t="shared" si="58"/>
        <v>0</v>
      </c>
      <c r="BJ42" s="208">
        <f t="shared" si="58"/>
        <v>0</v>
      </c>
      <c r="BK42" s="64">
        <f t="shared" si="58"/>
        <v>0</v>
      </c>
      <c r="BL42" s="63">
        <f t="shared" si="92"/>
        <v>0</v>
      </c>
      <c r="BM42" s="208">
        <f t="shared" si="92"/>
        <v>0</v>
      </c>
      <c r="BN42" s="208">
        <f t="shared" si="92"/>
        <v>0</v>
      </c>
      <c r="BO42" s="208">
        <f t="shared" si="92"/>
        <v>0</v>
      </c>
      <c r="BP42" s="208">
        <f t="shared" si="92"/>
        <v>0</v>
      </c>
      <c r="BQ42" s="208">
        <f t="shared" si="59"/>
        <v>0</v>
      </c>
      <c r="BR42" s="208">
        <f t="shared" si="59"/>
        <v>0</v>
      </c>
      <c r="BS42" s="64">
        <f t="shared" si="59"/>
        <v>0</v>
      </c>
      <c r="BT42" s="63">
        <f t="shared" si="99"/>
        <v>0</v>
      </c>
      <c r="BU42" s="208">
        <f t="shared" si="99"/>
        <v>0</v>
      </c>
      <c r="BV42" s="208">
        <f t="shared" si="99"/>
        <v>0</v>
      </c>
      <c r="BW42" s="208">
        <f t="shared" si="99"/>
        <v>0</v>
      </c>
      <c r="BX42" s="208">
        <f t="shared" si="99"/>
        <v>0</v>
      </c>
      <c r="BY42" s="208">
        <f t="shared" si="60"/>
        <v>0</v>
      </c>
      <c r="BZ42" s="208">
        <f t="shared" si="60"/>
        <v>0</v>
      </c>
      <c r="CA42" s="64">
        <f t="shared" si="60"/>
        <v>0</v>
      </c>
      <c r="CB42" s="63">
        <f t="shared" si="104"/>
        <v>0</v>
      </c>
      <c r="CC42" s="208">
        <f t="shared" si="104"/>
        <v>0</v>
      </c>
      <c r="CD42" s="208">
        <f t="shared" si="104"/>
        <v>0</v>
      </c>
      <c r="CE42" s="208">
        <f t="shared" si="104"/>
        <v>0</v>
      </c>
      <c r="CF42" s="208">
        <f t="shared" si="104"/>
        <v>0</v>
      </c>
      <c r="CG42" s="208">
        <f t="shared" si="61"/>
        <v>0</v>
      </c>
      <c r="CH42" s="208">
        <f t="shared" si="61"/>
        <v>0</v>
      </c>
      <c r="CI42" s="64">
        <f t="shared" si="61"/>
        <v>0</v>
      </c>
      <c r="CJ42" s="63">
        <f t="shared" si="93"/>
        <v>0</v>
      </c>
      <c r="CK42" s="208">
        <f t="shared" si="93"/>
        <v>0</v>
      </c>
      <c r="CL42" s="208">
        <f t="shared" si="93"/>
        <v>0</v>
      </c>
      <c r="CM42" s="208">
        <f t="shared" si="93"/>
        <v>0</v>
      </c>
      <c r="CN42" s="208">
        <f t="shared" si="93"/>
        <v>0</v>
      </c>
      <c r="CO42" s="208">
        <f t="shared" si="62"/>
        <v>0</v>
      </c>
      <c r="CP42" s="208">
        <f t="shared" si="62"/>
        <v>0</v>
      </c>
      <c r="CQ42" s="64">
        <f t="shared" si="62"/>
        <v>0</v>
      </c>
      <c r="CR42" s="63">
        <f t="shared" si="94"/>
        <v>0</v>
      </c>
      <c r="CS42" s="208">
        <f t="shared" si="94"/>
        <v>0</v>
      </c>
      <c r="CT42" s="208">
        <f t="shared" si="94"/>
        <v>0</v>
      </c>
      <c r="CU42" s="208">
        <f t="shared" si="94"/>
        <v>0</v>
      </c>
      <c r="CV42" s="208">
        <f t="shared" si="94"/>
        <v>0</v>
      </c>
      <c r="CW42" s="208">
        <f t="shared" si="63"/>
        <v>0</v>
      </c>
      <c r="CX42" s="208">
        <f t="shared" si="63"/>
        <v>0</v>
      </c>
      <c r="CY42" s="64">
        <f t="shared" si="63"/>
        <v>0</v>
      </c>
      <c r="CZ42" s="278"/>
    </row>
    <row r="43" spans="1:104" ht="26.25" hidden="1" customHeight="1" outlineLevel="1" collapsed="1" x14ac:dyDescent="0.4">
      <c r="A43" s="379">
        <v>19</v>
      </c>
      <c r="B43" s="379" t="s">
        <v>47</v>
      </c>
      <c r="C43" s="379" t="s">
        <v>347</v>
      </c>
      <c r="D43" s="381" t="s">
        <v>554</v>
      </c>
      <c r="E43" s="381" t="s">
        <v>549</v>
      </c>
      <c r="F43" s="381" t="s">
        <v>553</v>
      </c>
      <c r="G43" s="404" t="s">
        <v>552</v>
      </c>
      <c r="H43" s="489">
        <f t="shared" ref="H43" si="105">SUM(AH43:AM43)</f>
        <v>0</v>
      </c>
      <c r="I43" s="489">
        <f t="shared" ref="I43" si="106">SUM(AH44:AM44)</f>
        <v>0</v>
      </c>
      <c r="J43" s="497"/>
      <c r="K43" s="491"/>
      <c r="L43" s="491"/>
      <c r="M43" s="493"/>
      <c r="N43" s="48" t="s">
        <v>24</v>
      </c>
      <c r="O43" s="187">
        <f t="shared" si="90"/>
        <v>0</v>
      </c>
      <c r="P43" s="187">
        <f t="shared" si="90"/>
        <v>0</v>
      </c>
      <c r="Q43" s="187">
        <f t="shared" si="90"/>
        <v>0</v>
      </c>
      <c r="R43" s="187">
        <f t="shared" si="90"/>
        <v>0</v>
      </c>
      <c r="S43" s="187">
        <f t="shared" si="90"/>
        <v>0</v>
      </c>
      <c r="T43" s="187">
        <f t="shared" si="90"/>
        <v>0</v>
      </c>
      <c r="U43" s="82">
        <f t="shared" si="90"/>
        <v>0</v>
      </c>
      <c r="V43" s="19">
        <f>(5)/142.5</f>
        <v>3.5087719298245612E-2</v>
      </c>
      <c r="W43" s="187">
        <f t="shared" si="40"/>
        <v>0</v>
      </c>
      <c r="X43" s="187">
        <f>(7.5)/142.5</f>
        <v>5.2631578947368418E-2</v>
      </c>
      <c r="Y43" s="187">
        <f>(0)/142.5</f>
        <v>0</v>
      </c>
      <c r="Z43" s="187">
        <f>(0)/142.5</f>
        <v>0</v>
      </c>
      <c r="AA43" s="187">
        <f>(7.5)/142.5</f>
        <v>5.2631578947368418E-2</v>
      </c>
      <c r="AB43" s="73">
        <f>(2)/165</f>
        <v>1.2121212121212121E-2</v>
      </c>
      <c r="AC43" s="187">
        <f t="shared" si="95"/>
        <v>0</v>
      </c>
      <c r="AD43" s="187">
        <f>(3)/165</f>
        <v>1.8181818181818181E-2</v>
      </c>
      <c r="AE43" s="187">
        <f t="shared" si="91"/>
        <v>0</v>
      </c>
      <c r="AF43" s="187">
        <f t="shared" si="91"/>
        <v>0</v>
      </c>
      <c r="AG43" s="187">
        <f>(5)/165</f>
        <v>3.0303030303030304E-2</v>
      </c>
      <c r="AH43" s="73">
        <f t="shared" si="3"/>
        <v>0</v>
      </c>
      <c r="AI43" s="187">
        <f t="shared" si="3"/>
        <v>0</v>
      </c>
      <c r="AJ43" s="187">
        <f t="shared" si="3"/>
        <v>0</v>
      </c>
      <c r="AK43" s="187">
        <f t="shared" si="3"/>
        <v>0</v>
      </c>
      <c r="AL43" s="187">
        <f t="shared" si="3"/>
        <v>0</v>
      </c>
      <c r="AM43" s="187">
        <f t="shared" si="3"/>
        <v>0</v>
      </c>
      <c r="AN43" s="73">
        <f t="shared" si="42"/>
        <v>0</v>
      </c>
      <c r="AO43" s="187">
        <f t="shared" si="42"/>
        <v>0</v>
      </c>
      <c r="AP43" s="187">
        <f t="shared" si="42"/>
        <v>0</v>
      </c>
      <c r="AQ43" s="187">
        <f t="shared" si="42"/>
        <v>0</v>
      </c>
      <c r="AR43" s="187">
        <f t="shared" si="42"/>
        <v>0</v>
      </c>
      <c r="AS43" s="187">
        <f t="shared" si="57"/>
        <v>0</v>
      </c>
      <c r="AT43" s="187">
        <f t="shared" si="57"/>
        <v>0</v>
      </c>
      <c r="AU43" s="221">
        <f t="shared" si="57"/>
        <v>0</v>
      </c>
      <c r="AV43" s="222">
        <f t="shared" si="103"/>
        <v>0</v>
      </c>
      <c r="AW43" s="187">
        <f t="shared" si="103"/>
        <v>0</v>
      </c>
      <c r="AX43" s="187">
        <f t="shared" si="103"/>
        <v>0</v>
      </c>
      <c r="AY43" s="187">
        <f t="shared" si="103"/>
        <v>0</v>
      </c>
      <c r="AZ43" s="187">
        <f t="shared" si="103"/>
        <v>0</v>
      </c>
      <c r="BA43" s="187">
        <f t="shared" si="103"/>
        <v>0</v>
      </c>
      <c r="BB43" s="187">
        <f t="shared" si="103"/>
        <v>0</v>
      </c>
      <c r="BC43" s="17">
        <f t="shared" si="103"/>
        <v>0</v>
      </c>
      <c r="BD43" s="19">
        <f t="shared" si="43"/>
        <v>0</v>
      </c>
      <c r="BE43" s="187">
        <f t="shared" si="43"/>
        <v>0</v>
      </c>
      <c r="BF43" s="187">
        <f t="shared" si="43"/>
        <v>0</v>
      </c>
      <c r="BG43" s="187">
        <f t="shared" si="43"/>
        <v>0</v>
      </c>
      <c r="BH43" s="187">
        <f t="shared" si="43"/>
        <v>0</v>
      </c>
      <c r="BI43" s="187">
        <f t="shared" si="58"/>
        <v>0</v>
      </c>
      <c r="BJ43" s="187">
        <f t="shared" si="58"/>
        <v>0</v>
      </c>
      <c r="BK43" s="17">
        <f t="shared" si="58"/>
        <v>0</v>
      </c>
      <c r="BL43" s="19">
        <f t="shared" si="92"/>
        <v>0</v>
      </c>
      <c r="BM43" s="187">
        <f t="shared" si="92"/>
        <v>0</v>
      </c>
      <c r="BN43" s="187">
        <f t="shared" si="92"/>
        <v>0</v>
      </c>
      <c r="BO43" s="187">
        <f t="shared" si="92"/>
        <v>0</v>
      </c>
      <c r="BP43" s="187">
        <f t="shared" si="92"/>
        <v>0</v>
      </c>
      <c r="BQ43" s="187">
        <f t="shared" si="59"/>
        <v>0</v>
      </c>
      <c r="BR43" s="187">
        <f t="shared" si="59"/>
        <v>0</v>
      </c>
      <c r="BS43" s="17">
        <f t="shared" si="59"/>
        <v>0</v>
      </c>
      <c r="BT43" s="19">
        <f t="shared" si="99"/>
        <v>0</v>
      </c>
      <c r="BU43" s="187">
        <f t="shared" si="99"/>
        <v>0</v>
      </c>
      <c r="BV43" s="187">
        <f t="shared" si="99"/>
        <v>0</v>
      </c>
      <c r="BW43" s="187">
        <f t="shared" si="99"/>
        <v>0</v>
      </c>
      <c r="BX43" s="187">
        <f t="shared" si="99"/>
        <v>0</v>
      </c>
      <c r="BY43" s="187">
        <f t="shared" si="60"/>
        <v>0</v>
      </c>
      <c r="BZ43" s="187">
        <f t="shared" si="60"/>
        <v>0</v>
      </c>
      <c r="CA43" s="17">
        <f t="shared" si="60"/>
        <v>0</v>
      </c>
      <c r="CB43" s="73">
        <f t="shared" si="104"/>
        <v>0</v>
      </c>
      <c r="CC43" s="187">
        <f t="shared" si="104"/>
        <v>0</v>
      </c>
      <c r="CD43" s="187">
        <f t="shared" si="104"/>
        <v>0</v>
      </c>
      <c r="CE43" s="187">
        <f t="shared" si="104"/>
        <v>0</v>
      </c>
      <c r="CF43" s="187">
        <f t="shared" si="104"/>
        <v>0</v>
      </c>
      <c r="CG43" s="187">
        <f t="shared" si="61"/>
        <v>0</v>
      </c>
      <c r="CH43" s="187">
        <f t="shared" si="61"/>
        <v>0</v>
      </c>
      <c r="CI43" s="17">
        <f t="shared" si="61"/>
        <v>0</v>
      </c>
      <c r="CJ43" s="19">
        <f t="shared" si="93"/>
        <v>0</v>
      </c>
      <c r="CK43" s="187">
        <f t="shared" si="93"/>
        <v>0</v>
      </c>
      <c r="CL43" s="187">
        <f t="shared" si="93"/>
        <v>0</v>
      </c>
      <c r="CM43" s="187">
        <f t="shared" si="93"/>
        <v>0</v>
      </c>
      <c r="CN43" s="187">
        <f t="shared" si="93"/>
        <v>0</v>
      </c>
      <c r="CO43" s="187">
        <f t="shared" si="62"/>
        <v>0</v>
      </c>
      <c r="CP43" s="187">
        <f t="shared" si="62"/>
        <v>0</v>
      </c>
      <c r="CQ43" s="17">
        <f t="shared" si="62"/>
        <v>0</v>
      </c>
      <c r="CR43" s="19">
        <f t="shared" si="94"/>
        <v>0</v>
      </c>
      <c r="CS43" s="187">
        <f t="shared" si="94"/>
        <v>0</v>
      </c>
      <c r="CT43" s="187">
        <f t="shared" si="94"/>
        <v>0</v>
      </c>
      <c r="CU43" s="187">
        <f t="shared" si="94"/>
        <v>0</v>
      </c>
      <c r="CV43" s="187">
        <f t="shared" si="94"/>
        <v>0</v>
      </c>
      <c r="CW43" s="187">
        <f t="shared" si="63"/>
        <v>0</v>
      </c>
      <c r="CX43" s="187">
        <f t="shared" si="63"/>
        <v>0</v>
      </c>
      <c r="CY43" s="17">
        <f t="shared" si="63"/>
        <v>0</v>
      </c>
      <c r="CZ43" s="278"/>
    </row>
    <row r="44" spans="1:104" ht="26.25" hidden="1" customHeight="1" outlineLevel="1" x14ac:dyDescent="0.4">
      <c r="A44" s="380"/>
      <c r="B44" s="380"/>
      <c r="C44" s="380"/>
      <c r="D44" s="382"/>
      <c r="E44" s="382"/>
      <c r="F44" s="382"/>
      <c r="G44" s="404"/>
      <c r="H44" s="490"/>
      <c r="I44" s="490"/>
      <c r="J44" s="498"/>
      <c r="K44" s="492"/>
      <c r="L44" s="492"/>
      <c r="M44" s="494"/>
      <c r="N44" s="39" t="s">
        <v>25</v>
      </c>
      <c r="O44" s="207">
        <f t="shared" si="90"/>
        <v>0</v>
      </c>
      <c r="P44" s="207">
        <f t="shared" si="90"/>
        <v>0</v>
      </c>
      <c r="Q44" s="207">
        <f t="shared" si="90"/>
        <v>0</v>
      </c>
      <c r="R44" s="207">
        <f t="shared" si="90"/>
        <v>0</v>
      </c>
      <c r="S44" s="207">
        <f t="shared" si="90"/>
        <v>0</v>
      </c>
      <c r="T44" s="207">
        <f t="shared" si="90"/>
        <v>0</v>
      </c>
      <c r="U44" s="49">
        <f t="shared" si="90"/>
        <v>0</v>
      </c>
      <c r="V44" s="57">
        <f>(0+3)/142.5</f>
        <v>2.1052631578947368E-2</v>
      </c>
      <c r="W44" s="207">
        <f t="shared" si="40"/>
        <v>0</v>
      </c>
      <c r="X44" s="207">
        <f>(1+4+1)/142.5</f>
        <v>4.2105263157894736E-2</v>
      </c>
      <c r="Y44" s="207">
        <f>(0)/142.5</f>
        <v>0</v>
      </c>
      <c r="Z44" s="207">
        <f>(0)/142.5</f>
        <v>0</v>
      </c>
      <c r="AA44" s="207">
        <f>(0+4+2)/142.5</f>
        <v>4.2105263157894736E-2</v>
      </c>
      <c r="AB44" s="57">
        <f>(1)/165</f>
        <v>6.0606060606060606E-3</v>
      </c>
      <c r="AC44" s="207">
        <f t="shared" si="95"/>
        <v>0</v>
      </c>
      <c r="AD44" s="207">
        <f>(4)/165</f>
        <v>2.4242424242424242E-2</v>
      </c>
      <c r="AE44" s="207">
        <f t="shared" si="91"/>
        <v>0</v>
      </c>
      <c r="AF44" s="207">
        <f t="shared" si="91"/>
        <v>0</v>
      </c>
      <c r="AG44" s="207">
        <f>(4+1)/165</f>
        <v>3.0303030303030304E-2</v>
      </c>
      <c r="AH44" s="57">
        <f t="shared" si="3"/>
        <v>0</v>
      </c>
      <c r="AI44" s="207">
        <f t="shared" si="3"/>
        <v>0</v>
      </c>
      <c r="AJ44" s="207">
        <f t="shared" si="3"/>
        <v>0</v>
      </c>
      <c r="AK44" s="207">
        <f t="shared" si="3"/>
        <v>0</v>
      </c>
      <c r="AL44" s="207">
        <f t="shared" si="3"/>
        <v>0</v>
      </c>
      <c r="AM44" s="207">
        <f t="shared" si="3"/>
        <v>0</v>
      </c>
      <c r="AN44" s="57">
        <f t="shared" si="42"/>
        <v>0</v>
      </c>
      <c r="AO44" s="207">
        <f t="shared" si="42"/>
        <v>0</v>
      </c>
      <c r="AP44" s="207">
        <f t="shared" si="42"/>
        <v>0</v>
      </c>
      <c r="AQ44" s="207">
        <f t="shared" si="42"/>
        <v>0</v>
      </c>
      <c r="AR44" s="207">
        <f t="shared" si="42"/>
        <v>0</v>
      </c>
      <c r="AS44" s="207">
        <f t="shared" si="57"/>
        <v>0</v>
      </c>
      <c r="AT44" s="207">
        <f t="shared" si="57"/>
        <v>0</v>
      </c>
      <c r="AU44" s="49">
        <f t="shared" si="57"/>
        <v>0</v>
      </c>
      <c r="AV44" s="63">
        <f t="shared" si="103"/>
        <v>0</v>
      </c>
      <c r="AW44" s="208">
        <f t="shared" si="103"/>
        <v>0</v>
      </c>
      <c r="AX44" s="208">
        <f t="shared" si="103"/>
        <v>0</v>
      </c>
      <c r="AY44" s="208">
        <f t="shared" si="103"/>
        <v>0</v>
      </c>
      <c r="AZ44" s="208">
        <f t="shared" si="103"/>
        <v>0</v>
      </c>
      <c r="BA44" s="208">
        <f t="shared" si="103"/>
        <v>0</v>
      </c>
      <c r="BB44" s="208">
        <f t="shared" si="103"/>
        <v>0</v>
      </c>
      <c r="BC44" s="64">
        <f t="shared" si="103"/>
        <v>0</v>
      </c>
      <c r="BD44" s="63">
        <f t="shared" si="43"/>
        <v>0</v>
      </c>
      <c r="BE44" s="208">
        <f t="shared" si="43"/>
        <v>0</v>
      </c>
      <c r="BF44" s="208">
        <f t="shared" si="43"/>
        <v>0</v>
      </c>
      <c r="BG44" s="208">
        <f t="shared" si="43"/>
        <v>0</v>
      </c>
      <c r="BH44" s="208">
        <f t="shared" si="43"/>
        <v>0</v>
      </c>
      <c r="BI44" s="208">
        <f t="shared" si="58"/>
        <v>0</v>
      </c>
      <c r="BJ44" s="208">
        <f t="shared" si="58"/>
        <v>0</v>
      </c>
      <c r="BK44" s="64">
        <f t="shared" si="58"/>
        <v>0</v>
      </c>
      <c r="BL44" s="63">
        <f t="shared" si="92"/>
        <v>0</v>
      </c>
      <c r="BM44" s="208">
        <f t="shared" si="92"/>
        <v>0</v>
      </c>
      <c r="BN44" s="208">
        <f t="shared" si="92"/>
        <v>0</v>
      </c>
      <c r="BO44" s="208">
        <f t="shared" si="92"/>
        <v>0</v>
      </c>
      <c r="BP44" s="208">
        <f t="shared" si="92"/>
        <v>0</v>
      </c>
      <c r="BQ44" s="208">
        <f t="shared" si="59"/>
        <v>0</v>
      </c>
      <c r="BR44" s="208">
        <f t="shared" si="59"/>
        <v>0</v>
      </c>
      <c r="BS44" s="64">
        <f t="shared" si="59"/>
        <v>0</v>
      </c>
      <c r="BT44" s="63">
        <f t="shared" si="99"/>
        <v>0</v>
      </c>
      <c r="BU44" s="208">
        <f t="shared" si="99"/>
        <v>0</v>
      </c>
      <c r="BV44" s="208">
        <f t="shared" si="99"/>
        <v>0</v>
      </c>
      <c r="BW44" s="208">
        <f t="shared" si="99"/>
        <v>0</v>
      </c>
      <c r="BX44" s="208">
        <f t="shared" si="99"/>
        <v>0</v>
      </c>
      <c r="BY44" s="208">
        <f t="shared" si="60"/>
        <v>0</v>
      </c>
      <c r="BZ44" s="208">
        <f t="shared" si="60"/>
        <v>0</v>
      </c>
      <c r="CA44" s="64">
        <f t="shared" si="60"/>
        <v>0</v>
      </c>
      <c r="CB44" s="63">
        <f t="shared" si="104"/>
        <v>0</v>
      </c>
      <c r="CC44" s="208">
        <f t="shared" si="104"/>
        <v>0</v>
      </c>
      <c r="CD44" s="208">
        <f t="shared" si="104"/>
        <v>0</v>
      </c>
      <c r="CE44" s="208">
        <f t="shared" si="104"/>
        <v>0</v>
      </c>
      <c r="CF44" s="208">
        <f t="shared" si="104"/>
        <v>0</v>
      </c>
      <c r="CG44" s="208">
        <f t="shared" si="61"/>
        <v>0</v>
      </c>
      <c r="CH44" s="208">
        <f t="shared" si="61"/>
        <v>0</v>
      </c>
      <c r="CI44" s="64">
        <f t="shared" si="61"/>
        <v>0</v>
      </c>
      <c r="CJ44" s="63">
        <f t="shared" si="93"/>
        <v>0</v>
      </c>
      <c r="CK44" s="208">
        <f t="shared" si="93"/>
        <v>0</v>
      </c>
      <c r="CL44" s="208">
        <f t="shared" si="93"/>
        <v>0</v>
      </c>
      <c r="CM44" s="208">
        <f t="shared" si="93"/>
        <v>0</v>
      </c>
      <c r="CN44" s="208">
        <f t="shared" si="93"/>
        <v>0</v>
      </c>
      <c r="CO44" s="208">
        <f t="shared" si="62"/>
        <v>0</v>
      </c>
      <c r="CP44" s="208">
        <f t="shared" si="62"/>
        <v>0</v>
      </c>
      <c r="CQ44" s="64">
        <f t="shared" si="62"/>
        <v>0</v>
      </c>
      <c r="CR44" s="63">
        <f t="shared" si="94"/>
        <v>0</v>
      </c>
      <c r="CS44" s="208">
        <f t="shared" si="94"/>
        <v>0</v>
      </c>
      <c r="CT44" s="208">
        <f t="shared" si="94"/>
        <v>0</v>
      </c>
      <c r="CU44" s="208">
        <f t="shared" si="94"/>
        <v>0</v>
      </c>
      <c r="CV44" s="208">
        <f t="shared" si="94"/>
        <v>0</v>
      </c>
      <c r="CW44" s="208">
        <f t="shared" si="63"/>
        <v>0</v>
      </c>
      <c r="CX44" s="208">
        <f t="shared" si="63"/>
        <v>0</v>
      </c>
      <c r="CY44" s="64">
        <f t="shared" si="63"/>
        <v>0</v>
      </c>
      <c r="CZ44" s="278"/>
    </row>
    <row r="45" spans="1:104" ht="26.25" hidden="1" customHeight="1" outlineLevel="1" collapsed="1" x14ac:dyDescent="0.4">
      <c r="A45" s="379">
        <v>20</v>
      </c>
      <c r="B45" s="379" t="s">
        <v>47</v>
      </c>
      <c r="C45" s="379" t="s">
        <v>14</v>
      </c>
      <c r="D45" s="381" t="s">
        <v>554</v>
      </c>
      <c r="E45" s="381" t="s">
        <v>561</v>
      </c>
      <c r="F45" s="381" t="s">
        <v>429</v>
      </c>
      <c r="G45" s="404" t="s">
        <v>562</v>
      </c>
      <c r="H45" s="489">
        <f t="shared" ref="H45" si="107">SUM(AH45:AM45)</f>
        <v>0</v>
      </c>
      <c r="I45" s="489">
        <f t="shared" ref="I45" si="108">SUM(AH46:AM46)</f>
        <v>0</v>
      </c>
      <c r="J45" s="497"/>
      <c r="K45" s="491"/>
      <c r="L45" s="491"/>
      <c r="M45" s="493"/>
      <c r="N45" s="48" t="s">
        <v>24</v>
      </c>
      <c r="O45" s="187">
        <f t="shared" si="90"/>
        <v>0</v>
      </c>
      <c r="P45" s="187">
        <f t="shared" si="90"/>
        <v>0</v>
      </c>
      <c r="Q45" s="187">
        <f t="shared" si="90"/>
        <v>0</v>
      </c>
      <c r="R45" s="187">
        <f t="shared" si="90"/>
        <v>0</v>
      </c>
      <c r="S45" s="187">
        <f t="shared" si="90"/>
        <v>0</v>
      </c>
      <c r="T45" s="187">
        <f t="shared" si="90"/>
        <v>0</v>
      </c>
      <c r="U45" s="82">
        <f t="shared" si="90"/>
        <v>0</v>
      </c>
      <c r="V45" s="19">
        <f t="shared" ref="V45:AA48" si="109">(0)/142.5</f>
        <v>0</v>
      </c>
      <c r="W45" s="187">
        <f t="shared" si="40"/>
        <v>0</v>
      </c>
      <c r="X45" s="187">
        <f t="shared" si="40"/>
        <v>0</v>
      </c>
      <c r="Y45" s="187">
        <f t="shared" si="40"/>
        <v>0</v>
      </c>
      <c r="Z45" s="187">
        <f t="shared" si="40"/>
        <v>0</v>
      </c>
      <c r="AA45" s="187">
        <f t="shared" si="40"/>
        <v>0</v>
      </c>
      <c r="AB45" s="73">
        <f>(5)/165</f>
        <v>3.0303030303030304E-2</v>
      </c>
      <c r="AC45" s="187">
        <f t="shared" si="95"/>
        <v>0</v>
      </c>
      <c r="AD45" s="187">
        <f t="shared" si="91"/>
        <v>0</v>
      </c>
      <c r="AE45" s="187">
        <f t="shared" si="91"/>
        <v>0</v>
      </c>
      <c r="AF45" s="187">
        <f t="shared" ref="AF45" si="110">(15)/165</f>
        <v>9.0909090909090912E-2</v>
      </c>
      <c r="AG45" s="187">
        <f t="shared" si="91"/>
        <v>0</v>
      </c>
      <c r="AH45" s="73">
        <f t="shared" si="3"/>
        <v>0</v>
      </c>
      <c r="AI45" s="187">
        <f t="shared" si="3"/>
        <v>0</v>
      </c>
      <c r="AJ45" s="187">
        <f t="shared" si="3"/>
        <v>0</v>
      </c>
      <c r="AK45" s="187">
        <f t="shared" si="3"/>
        <v>0</v>
      </c>
      <c r="AL45" s="187">
        <f t="shared" si="3"/>
        <v>0</v>
      </c>
      <c r="AM45" s="187">
        <f t="shared" si="3"/>
        <v>0</v>
      </c>
      <c r="AN45" s="73">
        <f t="shared" si="42"/>
        <v>0</v>
      </c>
      <c r="AO45" s="187">
        <f t="shared" si="42"/>
        <v>0</v>
      </c>
      <c r="AP45" s="187">
        <f t="shared" si="42"/>
        <v>0</v>
      </c>
      <c r="AQ45" s="187">
        <f t="shared" si="42"/>
        <v>0</v>
      </c>
      <c r="AR45" s="187">
        <f t="shared" si="42"/>
        <v>0</v>
      </c>
      <c r="AS45" s="187">
        <f t="shared" si="57"/>
        <v>0</v>
      </c>
      <c r="AT45" s="187">
        <f t="shared" si="57"/>
        <v>0</v>
      </c>
      <c r="AU45" s="221">
        <f t="shared" si="57"/>
        <v>0</v>
      </c>
      <c r="AV45" s="222">
        <f t="shared" si="103"/>
        <v>0</v>
      </c>
      <c r="AW45" s="187">
        <f t="shared" si="103"/>
        <v>0</v>
      </c>
      <c r="AX45" s="187">
        <f t="shared" si="103"/>
        <v>0</v>
      </c>
      <c r="AY45" s="187">
        <f t="shared" si="103"/>
        <v>0</v>
      </c>
      <c r="AZ45" s="187">
        <f t="shared" si="103"/>
        <v>0</v>
      </c>
      <c r="BA45" s="187">
        <f t="shared" si="103"/>
        <v>0</v>
      </c>
      <c r="BB45" s="187">
        <f t="shared" si="103"/>
        <v>0</v>
      </c>
      <c r="BC45" s="17">
        <f t="shared" si="103"/>
        <v>0</v>
      </c>
      <c r="BD45" s="19">
        <f t="shared" si="43"/>
        <v>0</v>
      </c>
      <c r="BE45" s="187">
        <f t="shared" si="43"/>
        <v>0</v>
      </c>
      <c r="BF45" s="187">
        <f t="shared" si="43"/>
        <v>0</v>
      </c>
      <c r="BG45" s="187">
        <f t="shared" si="43"/>
        <v>0</v>
      </c>
      <c r="BH45" s="187">
        <f t="shared" si="43"/>
        <v>0</v>
      </c>
      <c r="BI45" s="187">
        <f t="shared" si="58"/>
        <v>0</v>
      </c>
      <c r="BJ45" s="187">
        <f t="shared" si="58"/>
        <v>0</v>
      </c>
      <c r="BK45" s="17">
        <f t="shared" si="58"/>
        <v>0</v>
      </c>
      <c r="BL45" s="19">
        <f t="shared" si="92"/>
        <v>0</v>
      </c>
      <c r="BM45" s="187">
        <f t="shared" si="92"/>
        <v>0</v>
      </c>
      <c r="BN45" s="187">
        <f t="shared" si="92"/>
        <v>0</v>
      </c>
      <c r="BO45" s="187">
        <f t="shared" si="92"/>
        <v>0</v>
      </c>
      <c r="BP45" s="187">
        <f t="shared" si="92"/>
        <v>0</v>
      </c>
      <c r="BQ45" s="187">
        <f t="shared" si="59"/>
        <v>0</v>
      </c>
      <c r="BR45" s="187">
        <f t="shared" si="59"/>
        <v>0</v>
      </c>
      <c r="BS45" s="17">
        <f t="shared" si="59"/>
        <v>0</v>
      </c>
      <c r="BT45" s="19">
        <f t="shared" si="99"/>
        <v>0</v>
      </c>
      <c r="BU45" s="187">
        <f t="shared" si="99"/>
        <v>0</v>
      </c>
      <c r="BV45" s="187">
        <f t="shared" si="99"/>
        <v>0</v>
      </c>
      <c r="BW45" s="187">
        <f t="shared" si="99"/>
        <v>0</v>
      </c>
      <c r="BX45" s="187">
        <f t="shared" si="99"/>
        <v>0</v>
      </c>
      <c r="BY45" s="187">
        <f t="shared" si="60"/>
        <v>0</v>
      </c>
      <c r="BZ45" s="187">
        <f t="shared" si="60"/>
        <v>0</v>
      </c>
      <c r="CA45" s="17">
        <f t="shared" si="60"/>
        <v>0</v>
      </c>
      <c r="CB45" s="73">
        <f t="shared" si="104"/>
        <v>0</v>
      </c>
      <c r="CC45" s="187">
        <f t="shared" si="104"/>
        <v>0</v>
      </c>
      <c r="CD45" s="187">
        <f t="shared" si="104"/>
        <v>0</v>
      </c>
      <c r="CE45" s="187">
        <f t="shared" si="104"/>
        <v>0</v>
      </c>
      <c r="CF45" s="187">
        <f t="shared" si="104"/>
        <v>0</v>
      </c>
      <c r="CG45" s="187">
        <f t="shared" si="61"/>
        <v>0</v>
      </c>
      <c r="CH45" s="187">
        <f t="shared" si="61"/>
        <v>0</v>
      </c>
      <c r="CI45" s="17">
        <f t="shared" si="61"/>
        <v>0</v>
      </c>
      <c r="CJ45" s="19">
        <f t="shared" si="93"/>
        <v>0</v>
      </c>
      <c r="CK45" s="187">
        <f t="shared" si="93"/>
        <v>0</v>
      </c>
      <c r="CL45" s="187">
        <f t="shared" si="93"/>
        <v>0</v>
      </c>
      <c r="CM45" s="187">
        <f t="shared" si="93"/>
        <v>0</v>
      </c>
      <c r="CN45" s="187">
        <f t="shared" si="93"/>
        <v>0</v>
      </c>
      <c r="CO45" s="187">
        <f t="shared" si="62"/>
        <v>0</v>
      </c>
      <c r="CP45" s="187">
        <f t="shared" si="62"/>
        <v>0</v>
      </c>
      <c r="CQ45" s="17">
        <f t="shared" si="62"/>
        <v>0</v>
      </c>
      <c r="CR45" s="19">
        <f t="shared" si="94"/>
        <v>0</v>
      </c>
      <c r="CS45" s="187">
        <f t="shared" si="94"/>
        <v>0</v>
      </c>
      <c r="CT45" s="187">
        <f t="shared" si="94"/>
        <v>0</v>
      </c>
      <c r="CU45" s="187">
        <f t="shared" si="94"/>
        <v>0</v>
      </c>
      <c r="CV45" s="187">
        <f t="shared" si="94"/>
        <v>0</v>
      </c>
      <c r="CW45" s="187">
        <f t="shared" si="63"/>
        <v>0</v>
      </c>
      <c r="CX45" s="187">
        <f t="shared" si="63"/>
        <v>0</v>
      </c>
      <c r="CY45" s="17">
        <f t="shared" si="63"/>
        <v>0</v>
      </c>
      <c r="CZ45" s="278"/>
    </row>
    <row r="46" spans="1:104" ht="26.25" hidden="1" customHeight="1" outlineLevel="1" x14ac:dyDescent="0.4">
      <c r="A46" s="380"/>
      <c r="B46" s="380"/>
      <c r="C46" s="380"/>
      <c r="D46" s="382"/>
      <c r="E46" s="382"/>
      <c r="F46" s="382"/>
      <c r="G46" s="404"/>
      <c r="H46" s="490"/>
      <c r="I46" s="490"/>
      <c r="J46" s="498"/>
      <c r="K46" s="492"/>
      <c r="L46" s="492"/>
      <c r="M46" s="494"/>
      <c r="N46" s="39" t="s">
        <v>25</v>
      </c>
      <c r="O46" s="207">
        <f t="shared" si="90"/>
        <v>0</v>
      </c>
      <c r="P46" s="207">
        <f t="shared" si="90"/>
        <v>0</v>
      </c>
      <c r="Q46" s="207">
        <f t="shared" si="90"/>
        <v>0</v>
      </c>
      <c r="R46" s="207">
        <f t="shared" si="90"/>
        <v>0</v>
      </c>
      <c r="S46" s="207">
        <f t="shared" si="90"/>
        <v>0</v>
      </c>
      <c r="T46" s="207">
        <f t="shared" si="90"/>
        <v>0</v>
      </c>
      <c r="U46" s="49">
        <f t="shared" si="90"/>
        <v>0</v>
      </c>
      <c r="V46" s="57">
        <f t="shared" si="109"/>
        <v>0</v>
      </c>
      <c r="W46" s="207">
        <f t="shared" ref="W46:AA46" si="111">(0)/142.5</f>
        <v>0</v>
      </c>
      <c r="X46" s="207">
        <f t="shared" si="111"/>
        <v>0</v>
      </c>
      <c r="Y46" s="207">
        <f t="shared" si="111"/>
        <v>0</v>
      </c>
      <c r="Z46" s="207">
        <f t="shared" si="111"/>
        <v>0</v>
      </c>
      <c r="AA46" s="207">
        <f t="shared" si="111"/>
        <v>0</v>
      </c>
      <c r="AB46" s="57">
        <f>(3+3+3)/165</f>
        <v>5.4545454545454543E-2</v>
      </c>
      <c r="AC46" s="207">
        <f t="shared" si="95"/>
        <v>0</v>
      </c>
      <c r="AD46" s="207">
        <f t="shared" si="91"/>
        <v>0</v>
      </c>
      <c r="AE46" s="207">
        <f t="shared" si="91"/>
        <v>0</v>
      </c>
      <c r="AF46" s="207">
        <f>(3+2.5+0.5)/165</f>
        <v>3.6363636363636362E-2</v>
      </c>
      <c r="AG46" s="207">
        <f t="shared" si="91"/>
        <v>0</v>
      </c>
      <c r="AH46" s="57">
        <f t="shared" si="3"/>
        <v>0</v>
      </c>
      <c r="AI46" s="207">
        <f t="shared" si="3"/>
        <v>0</v>
      </c>
      <c r="AJ46" s="207">
        <f t="shared" si="3"/>
        <v>0</v>
      </c>
      <c r="AK46" s="207">
        <f t="shared" si="3"/>
        <v>0</v>
      </c>
      <c r="AL46" s="207">
        <f t="shared" si="3"/>
        <v>0</v>
      </c>
      <c r="AM46" s="207">
        <f t="shared" si="3"/>
        <v>0</v>
      </c>
      <c r="AN46" s="57">
        <f t="shared" si="42"/>
        <v>0</v>
      </c>
      <c r="AO46" s="207">
        <f t="shared" si="42"/>
        <v>0</v>
      </c>
      <c r="AP46" s="207">
        <f t="shared" si="42"/>
        <v>0</v>
      </c>
      <c r="AQ46" s="207">
        <f t="shared" si="42"/>
        <v>0</v>
      </c>
      <c r="AR46" s="207">
        <f t="shared" si="42"/>
        <v>0</v>
      </c>
      <c r="AS46" s="207">
        <f t="shared" si="57"/>
        <v>0</v>
      </c>
      <c r="AT46" s="207">
        <f t="shared" si="57"/>
        <v>0</v>
      </c>
      <c r="AU46" s="49">
        <f t="shared" si="57"/>
        <v>0</v>
      </c>
      <c r="AV46" s="63">
        <f t="shared" si="103"/>
        <v>0</v>
      </c>
      <c r="AW46" s="208">
        <f t="shared" si="103"/>
        <v>0</v>
      </c>
      <c r="AX46" s="208">
        <f t="shared" si="103"/>
        <v>0</v>
      </c>
      <c r="AY46" s="208">
        <f t="shared" si="103"/>
        <v>0</v>
      </c>
      <c r="AZ46" s="208">
        <f t="shared" si="103"/>
        <v>0</v>
      </c>
      <c r="BA46" s="208">
        <f t="shared" si="103"/>
        <v>0</v>
      </c>
      <c r="BB46" s="208">
        <f t="shared" si="103"/>
        <v>0</v>
      </c>
      <c r="BC46" s="64">
        <f t="shared" si="103"/>
        <v>0</v>
      </c>
      <c r="BD46" s="63">
        <f t="shared" si="43"/>
        <v>0</v>
      </c>
      <c r="BE46" s="208">
        <f t="shared" si="43"/>
        <v>0</v>
      </c>
      <c r="BF46" s="208">
        <f t="shared" si="43"/>
        <v>0</v>
      </c>
      <c r="BG46" s="208">
        <f t="shared" si="43"/>
        <v>0</v>
      </c>
      <c r="BH46" s="208">
        <f t="shared" si="43"/>
        <v>0</v>
      </c>
      <c r="BI46" s="208">
        <f t="shared" si="58"/>
        <v>0</v>
      </c>
      <c r="BJ46" s="208">
        <f t="shared" si="58"/>
        <v>0</v>
      </c>
      <c r="BK46" s="64">
        <f t="shared" si="58"/>
        <v>0</v>
      </c>
      <c r="BL46" s="63">
        <f t="shared" si="92"/>
        <v>0</v>
      </c>
      <c r="BM46" s="208">
        <f t="shared" si="92"/>
        <v>0</v>
      </c>
      <c r="BN46" s="208">
        <f t="shared" si="92"/>
        <v>0</v>
      </c>
      <c r="BO46" s="208">
        <f t="shared" si="92"/>
        <v>0</v>
      </c>
      <c r="BP46" s="208">
        <f t="shared" si="92"/>
        <v>0</v>
      </c>
      <c r="BQ46" s="208">
        <f t="shared" si="59"/>
        <v>0</v>
      </c>
      <c r="BR46" s="208">
        <f t="shared" si="59"/>
        <v>0</v>
      </c>
      <c r="BS46" s="64">
        <f t="shared" si="59"/>
        <v>0</v>
      </c>
      <c r="BT46" s="63">
        <f t="shared" si="99"/>
        <v>0</v>
      </c>
      <c r="BU46" s="208">
        <f t="shared" si="99"/>
        <v>0</v>
      </c>
      <c r="BV46" s="208">
        <f t="shared" si="99"/>
        <v>0</v>
      </c>
      <c r="BW46" s="208">
        <f t="shared" si="99"/>
        <v>0</v>
      </c>
      <c r="BX46" s="208">
        <f t="shared" si="99"/>
        <v>0</v>
      </c>
      <c r="BY46" s="208">
        <f t="shared" si="60"/>
        <v>0</v>
      </c>
      <c r="BZ46" s="208">
        <f t="shared" si="60"/>
        <v>0</v>
      </c>
      <c r="CA46" s="64">
        <f t="shared" si="60"/>
        <v>0</v>
      </c>
      <c r="CB46" s="63">
        <f t="shared" si="104"/>
        <v>0</v>
      </c>
      <c r="CC46" s="208">
        <f t="shared" si="104"/>
        <v>0</v>
      </c>
      <c r="CD46" s="208">
        <f t="shared" si="104"/>
        <v>0</v>
      </c>
      <c r="CE46" s="208">
        <f t="shared" si="104"/>
        <v>0</v>
      </c>
      <c r="CF46" s="208">
        <f t="shared" si="104"/>
        <v>0</v>
      </c>
      <c r="CG46" s="208">
        <f t="shared" si="61"/>
        <v>0</v>
      </c>
      <c r="CH46" s="208">
        <f t="shared" si="61"/>
        <v>0</v>
      </c>
      <c r="CI46" s="64">
        <f t="shared" si="61"/>
        <v>0</v>
      </c>
      <c r="CJ46" s="63">
        <f t="shared" si="93"/>
        <v>0</v>
      </c>
      <c r="CK46" s="208">
        <f t="shared" si="93"/>
        <v>0</v>
      </c>
      <c r="CL46" s="208">
        <f t="shared" si="93"/>
        <v>0</v>
      </c>
      <c r="CM46" s="208">
        <f t="shared" si="93"/>
        <v>0</v>
      </c>
      <c r="CN46" s="208">
        <f t="shared" si="93"/>
        <v>0</v>
      </c>
      <c r="CO46" s="208">
        <f t="shared" si="62"/>
        <v>0</v>
      </c>
      <c r="CP46" s="208">
        <f t="shared" si="62"/>
        <v>0</v>
      </c>
      <c r="CQ46" s="64">
        <f t="shared" si="62"/>
        <v>0</v>
      </c>
      <c r="CR46" s="63">
        <f t="shared" si="94"/>
        <v>0</v>
      </c>
      <c r="CS46" s="208">
        <f t="shared" si="94"/>
        <v>0</v>
      </c>
      <c r="CT46" s="208">
        <f t="shared" si="94"/>
        <v>0</v>
      </c>
      <c r="CU46" s="208">
        <f t="shared" si="94"/>
        <v>0</v>
      </c>
      <c r="CV46" s="208">
        <f t="shared" si="94"/>
        <v>0</v>
      </c>
      <c r="CW46" s="208">
        <f t="shared" si="63"/>
        <v>0</v>
      </c>
      <c r="CX46" s="208">
        <f t="shared" si="63"/>
        <v>0</v>
      </c>
      <c r="CY46" s="64">
        <f t="shared" si="63"/>
        <v>0</v>
      </c>
      <c r="CZ46" s="278"/>
    </row>
    <row r="47" spans="1:104" ht="26.25" hidden="1" customHeight="1" outlineLevel="1" collapsed="1" x14ac:dyDescent="0.4">
      <c r="A47" s="379">
        <v>21</v>
      </c>
      <c r="B47" s="379" t="s">
        <v>47</v>
      </c>
      <c r="C47" s="379" t="s">
        <v>14</v>
      </c>
      <c r="D47" s="381" t="s">
        <v>481</v>
      </c>
      <c r="E47" s="381" t="s">
        <v>574</v>
      </c>
      <c r="F47" s="381"/>
      <c r="G47" s="404" t="s">
        <v>575</v>
      </c>
      <c r="H47" s="489">
        <f t="shared" ref="H47" si="112">SUM(AH47:AM47)</f>
        <v>0</v>
      </c>
      <c r="I47" s="489">
        <f t="shared" ref="I47" si="113">SUM(AH48:AM48)</f>
        <v>0</v>
      </c>
      <c r="J47" s="497"/>
      <c r="K47" s="491"/>
      <c r="L47" s="491"/>
      <c r="M47" s="493"/>
      <c r="N47" s="48" t="s">
        <v>24</v>
      </c>
      <c r="O47" s="187">
        <f t="shared" si="90"/>
        <v>0</v>
      </c>
      <c r="P47" s="187">
        <f t="shared" si="90"/>
        <v>0</v>
      </c>
      <c r="Q47" s="187">
        <f t="shared" si="90"/>
        <v>0</v>
      </c>
      <c r="R47" s="187">
        <f t="shared" si="90"/>
        <v>0</v>
      </c>
      <c r="S47" s="187">
        <f t="shared" si="90"/>
        <v>0</v>
      </c>
      <c r="T47" s="187">
        <f t="shared" si="90"/>
        <v>0</v>
      </c>
      <c r="U47" s="82">
        <f t="shared" si="90"/>
        <v>0</v>
      </c>
      <c r="V47" s="19">
        <f t="shared" si="109"/>
        <v>0</v>
      </c>
      <c r="W47" s="187">
        <f t="shared" si="109"/>
        <v>0</v>
      </c>
      <c r="X47" s="187">
        <f t="shared" si="109"/>
        <v>0</v>
      </c>
      <c r="Y47" s="187">
        <f t="shared" si="109"/>
        <v>0</v>
      </c>
      <c r="Z47" s="187">
        <f t="shared" si="109"/>
        <v>0</v>
      </c>
      <c r="AA47" s="187">
        <f t="shared" si="109"/>
        <v>0</v>
      </c>
      <c r="AB47" s="73">
        <f>(0)/165</f>
        <v>0</v>
      </c>
      <c r="AC47" s="187">
        <f t="shared" si="95"/>
        <v>0</v>
      </c>
      <c r="AD47" s="187">
        <f>(10)/165</f>
        <v>6.0606060606060608E-2</v>
      </c>
      <c r="AE47" s="187">
        <f t="shared" si="91"/>
        <v>0</v>
      </c>
      <c r="AF47" s="187">
        <f t="shared" si="91"/>
        <v>0</v>
      </c>
      <c r="AG47" s="187">
        <f>(15)/165</f>
        <v>9.0909090909090912E-2</v>
      </c>
      <c r="AH47" s="73">
        <f t="shared" si="3"/>
        <v>0</v>
      </c>
      <c r="AI47" s="187">
        <f t="shared" si="3"/>
        <v>0</v>
      </c>
      <c r="AJ47" s="187">
        <f t="shared" si="3"/>
        <v>0</v>
      </c>
      <c r="AK47" s="187">
        <f t="shared" si="3"/>
        <v>0</v>
      </c>
      <c r="AL47" s="187">
        <f t="shared" si="3"/>
        <v>0</v>
      </c>
      <c r="AM47" s="187">
        <f t="shared" si="3"/>
        <v>0</v>
      </c>
      <c r="AN47" s="73">
        <f t="shared" si="42"/>
        <v>0</v>
      </c>
      <c r="AO47" s="187">
        <f t="shared" si="42"/>
        <v>0</v>
      </c>
      <c r="AP47" s="187">
        <f t="shared" si="42"/>
        <v>0</v>
      </c>
      <c r="AQ47" s="187">
        <f t="shared" si="42"/>
        <v>0</v>
      </c>
      <c r="AR47" s="187">
        <f t="shared" si="42"/>
        <v>0</v>
      </c>
      <c r="AS47" s="187">
        <f t="shared" si="57"/>
        <v>0</v>
      </c>
      <c r="AT47" s="187">
        <f t="shared" si="57"/>
        <v>0</v>
      </c>
      <c r="AU47" s="221">
        <f t="shared" si="57"/>
        <v>0</v>
      </c>
      <c r="AV47" s="222">
        <f t="shared" si="103"/>
        <v>0</v>
      </c>
      <c r="AW47" s="187">
        <f t="shared" si="103"/>
        <v>0</v>
      </c>
      <c r="AX47" s="187">
        <f t="shared" si="103"/>
        <v>0</v>
      </c>
      <c r="AY47" s="187">
        <f t="shared" si="103"/>
        <v>0</v>
      </c>
      <c r="AZ47" s="187">
        <f t="shared" si="103"/>
        <v>0</v>
      </c>
      <c r="BA47" s="187">
        <f t="shared" si="103"/>
        <v>0</v>
      </c>
      <c r="BB47" s="187">
        <f t="shared" si="103"/>
        <v>0</v>
      </c>
      <c r="BC47" s="17">
        <f t="shared" si="103"/>
        <v>0</v>
      </c>
      <c r="BD47" s="19">
        <f t="shared" si="43"/>
        <v>0</v>
      </c>
      <c r="BE47" s="187">
        <f t="shared" si="43"/>
        <v>0</v>
      </c>
      <c r="BF47" s="187">
        <f t="shared" si="43"/>
        <v>0</v>
      </c>
      <c r="BG47" s="187">
        <f t="shared" si="43"/>
        <v>0</v>
      </c>
      <c r="BH47" s="187">
        <f t="shared" si="43"/>
        <v>0</v>
      </c>
      <c r="BI47" s="187">
        <f t="shared" si="58"/>
        <v>0</v>
      </c>
      <c r="BJ47" s="187">
        <f t="shared" si="58"/>
        <v>0</v>
      </c>
      <c r="BK47" s="17">
        <f t="shared" si="58"/>
        <v>0</v>
      </c>
      <c r="BL47" s="19">
        <f t="shared" ref="BL47:BP56" si="114">0/142.5</f>
        <v>0</v>
      </c>
      <c r="BM47" s="187">
        <f t="shared" si="114"/>
        <v>0</v>
      </c>
      <c r="BN47" s="187">
        <f t="shared" si="114"/>
        <v>0</v>
      </c>
      <c r="BO47" s="187">
        <f t="shared" si="114"/>
        <v>0</v>
      </c>
      <c r="BP47" s="187">
        <f t="shared" si="114"/>
        <v>0</v>
      </c>
      <c r="BQ47" s="187">
        <f t="shared" si="59"/>
        <v>0</v>
      </c>
      <c r="BR47" s="187">
        <f t="shared" si="59"/>
        <v>0</v>
      </c>
      <c r="BS47" s="17">
        <f t="shared" si="59"/>
        <v>0</v>
      </c>
      <c r="BT47" s="19">
        <f t="shared" si="99"/>
        <v>0</v>
      </c>
      <c r="BU47" s="187">
        <f t="shared" si="99"/>
        <v>0</v>
      </c>
      <c r="BV47" s="187">
        <f t="shared" si="99"/>
        <v>0</v>
      </c>
      <c r="BW47" s="187">
        <f t="shared" si="99"/>
        <v>0</v>
      </c>
      <c r="BX47" s="187">
        <f t="shared" si="99"/>
        <v>0</v>
      </c>
      <c r="BY47" s="187">
        <f t="shared" si="60"/>
        <v>0</v>
      </c>
      <c r="BZ47" s="187">
        <f t="shared" si="60"/>
        <v>0</v>
      </c>
      <c r="CA47" s="17">
        <f t="shared" si="60"/>
        <v>0</v>
      </c>
      <c r="CB47" s="73">
        <f t="shared" si="104"/>
        <v>0</v>
      </c>
      <c r="CC47" s="187">
        <f t="shared" si="104"/>
        <v>0</v>
      </c>
      <c r="CD47" s="187">
        <f t="shared" si="104"/>
        <v>0</v>
      </c>
      <c r="CE47" s="187">
        <f t="shared" si="104"/>
        <v>0</v>
      </c>
      <c r="CF47" s="187">
        <f t="shared" si="104"/>
        <v>0</v>
      </c>
      <c r="CG47" s="187">
        <f t="shared" si="61"/>
        <v>0</v>
      </c>
      <c r="CH47" s="187">
        <f t="shared" si="61"/>
        <v>0</v>
      </c>
      <c r="CI47" s="17">
        <f t="shared" si="61"/>
        <v>0</v>
      </c>
      <c r="CJ47" s="19">
        <f t="shared" ref="CJ47:CN56" si="115">0/157.5</f>
        <v>0</v>
      </c>
      <c r="CK47" s="187">
        <f t="shared" si="115"/>
        <v>0</v>
      </c>
      <c r="CL47" s="187">
        <f t="shared" si="115"/>
        <v>0</v>
      </c>
      <c r="CM47" s="187">
        <f t="shared" si="115"/>
        <v>0</v>
      </c>
      <c r="CN47" s="187">
        <f t="shared" si="115"/>
        <v>0</v>
      </c>
      <c r="CO47" s="187">
        <f t="shared" si="62"/>
        <v>0</v>
      </c>
      <c r="CP47" s="187">
        <f t="shared" si="62"/>
        <v>0</v>
      </c>
      <c r="CQ47" s="17">
        <f t="shared" si="62"/>
        <v>0</v>
      </c>
      <c r="CR47" s="19">
        <f t="shared" ref="CR47:CV56" si="116">0/142.5</f>
        <v>0</v>
      </c>
      <c r="CS47" s="187">
        <f t="shared" si="116"/>
        <v>0</v>
      </c>
      <c r="CT47" s="187">
        <f t="shared" si="116"/>
        <v>0</v>
      </c>
      <c r="CU47" s="187">
        <f t="shared" si="116"/>
        <v>0</v>
      </c>
      <c r="CV47" s="187">
        <f t="shared" si="116"/>
        <v>0</v>
      </c>
      <c r="CW47" s="187">
        <f t="shared" si="63"/>
        <v>0</v>
      </c>
      <c r="CX47" s="187">
        <f t="shared" si="63"/>
        <v>0</v>
      </c>
      <c r="CY47" s="17">
        <f t="shared" si="63"/>
        <v>0</v>
      </c>
      <c r="CZ47" s="278"/>
    </row>
    <row r="48" spans="1:104" ht="26.25" hidden="1" customHeight="1" outlineLevel="1" x14ac:dyDescent="0.4">
      <c r="A48" s="380"/>
      <c r="B48" s="380"/>
      <c r="C48" s="380"/>
      <c r="D48" s="382"/>
      <c r="E48" s="382"/>
      <c r="F48" s="382"/>
      <c r="G48" s="404"/>
      <c r="H48" s="490"/>
      <c r="I48" s="490"/>
      <c r="J48" s="498"/>
      <c r="K48" s="492"/>
      <c r="L48" s="492"/>
      <c r="M48" s="494"/>
      <c r="N48" s="39" t="s">
        <v>25</v>
      </c>
      <c r="O48" s="207">
        <f t="shared" si="90"/>
        <v>0</v>
      </c>
      <c r="P48" s="207">
        <f t="shared" si="90"/>
        <v>0</v>
      </c>
      <c r="Q48" s="207">
        <f t="shared" si="90"/>
        <v>0</v>
      </c>
      <c r="R48" s="207">
        <f t="shared" si="90"/>
        <v>0</v>
      </c>
      <c r="S48" s="207">
        <f t="shared" si="90"/>
        <v>0</v>
      </c>
      <c r="T48" s="207">
        <f t="shared" si="90"/>
        <v>0</v>
      </c>
      <c r="U48" s="49">
        <f t="shared" si="90"/>
        <v>0</v>
      </c>
      <c r="V48" s="57">
        <f t="shared" si="109"/>
        <v>0</v>
      </c>
      <c r="W48" s="207">
        <f t="shared" si="109"/>
        <v>0</v>
      </c>
      <c r="X48" s="207">
        <f t="shared" si="109"/>
        <v>0</v>
      </c>
      <c r="Y48" s="207">
        <f t="shared" si="109"/>
        <v>0</v>
      </c>
      <c r="Z48" s="207">
        <f t="shared" si="109"/>
        <v>0</v>
      </c>
      <c r="AA48" s="207">
        <f t="shared" si="109"/>
        <v>0</v>
      </c>
      <c r="AB48" s="57">
        <f>(0)/165</f>
        <v>0</v>
      </c>
      <c r="AC48" s="207">
        <f t="shared" si="95"/>
        <v>0</v>
      </c>
      <c r="AD48" s="207">
        <f>(1+8)/165</f>
        <v>5.4545454545454543E-2</v>
      </c>
      <c r="AE48" s="207">
        <f t="shared" si="91"/>
        <v>0</v>
      </c>
      <c r="AF48" s="207">
        <f t="shared" si="91"/>
        <v>0</v>
      </c>
      <c r="AG48" s="207">
        <f>(4+7)/165</f>
        <v>6.6666666666666666E-2</v>
      </c>
      <c r="AH48" s="57">
        <f t="shared" si="3"/>
        <v>0</v>
      </c>
      <c r="AI48" s="207">
        <f t="shared" si="3"/>
        <v>0</v>
      </c>
      <c r="AJ48" s="207">
        <f t="shared" si="3"/>
        <v>0</v>
      </c>
      <c r="AK48" s="207">
        <f t="shared" si="3"/>
        <v>0</v>
      </c>
      <c r="AL48" s="207">
        <f t="shared" si="3"/>
        <v>0</v>
      </c>
      <c r="AM48" s="207">
        <f t="shared" si="3"/>
        <v>0</v>
      </c>
      <c r="AN48" s="57">
        <f t="shared" si="42"/>
        <v>0</v>
      </c>
      <c r="AO48" s="207">
        <f t="shared" si="42"/>
        <v>0</v>
      </c>
      <c r="AP48" s="207">
        <f t="shared" si="42"/>
        <v>0</v>
      </c>
      <c r="AQ48" s="207">
        <f t="shared" si="42"/>
        <v>0</v>
      </c>
      <c r="AR48" s="207">
        <f t="shared" si="42"/>
        <v>0</v>
      </c>
      <c r="AS48" s="207">
        <f t="shared" si="57"/>
        <v>0</v>
      </c>
      <c r="AT48" s="207">
        <f t="shared" si="57"/>
        <v>0</v>
      </c>
      <c r="AU48" s="49">
        <f t="shared" si="57"/>
        <v>0</v>
      </c>
      <c r="AV48" s="63">
        <f t="shared" si="103"/>
        <v>0</v>
      </c>
      <c r="AW48" s="208">
        <f t="shared" si="103"/>
        <v>0</v>
      </c>
      <c r="AX48" s="208">
        <f t="shared" si="103"/>
        <v>0</v>
      </c>
      <c r="AY48" s="208">
        <f t="shared" si="103"/>
        <v>0</v>
      </c>
      <c r="AZ48" s="208">
        <f t="shared" si="103"/>
        <v>0</v>
      </c>
      <c r="BA48" s="208">
        <f t="shared" si="103"/>
        <v>0</v>
      </c>
      <c r="BB48" s="208">
        <f t="shared" si="103"/>
        <v>0</v>
      </c>
      <c r="BC48" s="64">
        <f t="shared" si="103"/>
        <v>0</v>
      </c>
      <c r="BD48" s="63">
        <f t="shared" si="43"/>
        <v>0</v>
      </c>
      <c r="BE48" s="208">
        <f t="shared" si="43"/>
        <v>0</v>
      </c>
      <c r="BF48" s="208">
        <f t="shared" si="43"/>
        <v>0</v>
      </c>
      <c r="BG48" s="208">
        <f t="shared" si="43"/>
        <v>0</v>
      </c>
      <c r="BH48" s="208">
        <f t="shared" si="43"/>
        <v>0</v>
      </c>
      <c r="BI48" s="208">
        <f t="shared" si="58"/>
        <v>0</v>
      </c>
      <c r="BJ48" s="208">
        <f t="shared" si="58"/>
        <v>0</v>
      </c>
      <c r="BK48" s="64">
        <f t="shared" si="58"/>
        <v>0</v>
      </c>
      <c r="BL48" s="63">
        <f t="shared" si="114"/>
        <v>0</v>
      </c>
      <c r="BM48" s="208">
        <f t="shared" si="114"/>
        <v>0</v>
      </c>
      <c r="BN48" s="208">
        <f t="shared" si="114"/>
        <v>0</v>
      </c>
      <c r="BO48" s="208">
        <f t="shared" si="114"/>
        <v>0</v>
      </c>
      <c r="BP48" s="208">
        <f t="shared" si="114"/>
        <v>0</v>
      </c>
      <c r="BQ48" s="208">
        <f t="shared" si="59"/>
        <v>0</v>
      </c>
      <c r="BR48" s="208">
        <f t="shared" si="59"/>
        <v>0</v>
      </c>
      <c r="BS48" s="64">
        <f t="shared" si="59"/>
        <v>0</v>
      </c>
      <c r="BT48" s="63">
        <f t="shared" si="99"/>
        <v>0</v>
      </c>
      <c r="BU48" s="208">
        <f t="shared" si="99"/>
        <v>0</v>
      </c>
      <c r="BV48" s="208">
        <f t="shared" si="99"/>
        <v>0</v>
      </c>
      <c r="BW48" s="208">
        <f t="shared" si="99"/>
        <v>0</v>
      </c>
      <c r="BX48" s="208">
        <f t="shared" si="99"/>
        <v>0</v>
      </c>
      <c r="BY48" s="208">
        <f t="shared" si="60"/>
        <v>0</v>
      </c>
      <c r="BZ48" s="208">
        <f t="shared" si="60"/>
        <v>0</v>
      </c>
      <c r="CA48" s="64">
        <f t="shared" si="60"/>
        <v>0</v>
      </c>
      <c r="CB48" s="63">
        <f t="shared" si="104"/>
        <v>0</v>
      </c>
      <c r="CC48" s="208">
        <f t="shared" si="104"/>
        <v>0</v>
      </c>
      <c r="CD48" s="208">
        <f t="shared" si="104"/>
        <v>0</v>
      </c>
      <c r="CE48" s="208">
        <f t="shared" si="104"/>
        <v>0</v>
      </c>
      <c r="CF48" s="208">
        <f t="shared" si="104"/>
        <v>0</v>
      </c>
      <c r="CG48" s="208">
        <f t="shared" si="61"/>
        <v>0</v>
      </c>
      <c r="CH48" s="208">
        <f t="shared" si="61"/>
        <v>0</v>
      </c>
      <c r="CI48" s="64">
        <f t="shared" si="61"/>
        <v>0</v>
      </c>
      <c r="CJ48" s="63">
        <f t="shared" si="115"/>
        <v>0</v>
      </c>
      <c r="CK48" s="208">
        <f t="shared" si="115"/>
        <v>0</v>
      </c>
      <c r="CL48" s="208">
        <f t="shared" si="115"/>
        <v>0</v>
      </c>
      <c r="CM48" s="208">
        <f t="shared" si="115"/>
        <v>0</v>
      </c>
      <c r="CN48" s="208">
        <f t="shared" si="115"/>
        <v>0</v>
      </c>
      <c r="CO48" s="208">
        <f t="shared" si="62"/>
        <v>0</v>
      </c>
      <c r="CP48" s="208">
        <f t="shared" si="62"/>
        <v>0</v>
      </c>
      <c r="CQ48" s="64">
        <f t="shared" si="62"/>
        <v>0</v>
      </c>
      <c r="CR48" s="63">
        <f t="shared" si="116"/>
        <v>0</v>
      </c>
      <c r="CS48" s="208">
        <f t="shared" si="116"/>
        <v>0</v>
      </c>
      <c r="CT48" s="208">
        <f t="shared" si="116"/>
        <v>0</v>
      </c>
      <c r="CU48" s="208">
        <f t="shared" si="116"/>
        <v>0</v>
      </c>
      <c r="CV48" s="208">
        <f t="shared" si="116"/>
        <v>0</v>
      </c>
      <c r="CW48" s="208">
        <f t="shared" si="63"/>
        <v>0</v>
      </c>
      <c r="CX48" s="208">
        <f t="shared" si="63"/>
        <v>0</v>
      </c>
      <c r="CY48" s="64">
        <f t="shared" si="63"/>
        <v>0</v>
      </c>
      <c r="CZ48" s="278"/>
    </row>
    <row r="49" spans="1:104" ht="26.25" customHeight="1" collapsed="1" x14ac:dyDescent="0.4">
      <c r="A49" s="379">
        <v>22</v>
      </c>
      <c r="B49" s="379" t="s">
        <v>47</v>
      </c>
      <c r="C49" s="379" t="s">
        <v>14</v>
      </c>
      <c r="D49" s="381" t="s">
        <v>608</v>
      </c>
      <c r="E49" s="381" t="s">
        <v>606</v>
      </c>
      <c r="F49" s="381"/>
      <c r="G49" s="404" t="s">
        <v>607</v>
      </c>
      <c r="H49" s="489">
        <f t="shared" ref="H49" si="117">SUM(AH49:AM49)</f>
        <v>0.41212121212121211</v>
      </c>
      <c r="I49" s="489">
        <f t="shared" ref="I49" si="118">SUM(AH50:AM50)</f>
        <v>0.48636363636363633</v>
      </c>
      <c r="J49" s="497"/>
      <c r="K49" s="491"/>
      <c r="L49" s="491"/>
      <c r="M49" s="493"/>
      <c r="N49" s="48" t="s">
        <v>24</v>
      </c>
      <c r="O49" s="187">
        <f t="shared" si="90"/>
        <v>0</v>
      </c>
      <c r="P49" s="187">
        <f t="shared" si="90"/>
        <v>0</v>
      </c>
      <c r="Q49" s="187">
        <f t="shared" si="90"/>
        <v>0</v>
      </c>
      <c r="R49" s="187">
        <f t="shared" si="90"/>
        <v>0</v>
      </c>
      <c r="S49" s="187">
        <f t="shared" si="90"/>
        <v>0</v>
      </c>
      <c r="T49" s="187">
        <f t="shared" si="90"/>
        <v>0</v>
      </c>
      <c r="U49" s="82">
        <f t="shared" si="90"/>
        <v>0</v>
      </c>
      <c r="V49" s="19">
        <f t="shared" ref="V49:Z56" si="119">0/142.5</f>
        <v>0</v>
      </c>
      <c r="W49" s="187">
        <f t="shared" si="119"/>
        <v>0</v>
      </c>
      <c r="X49" s="187">
        <f t="shared" si="119"/>
        <v>0</v>
      </c>
      <c r="Y49" s="187">
        <f t="shared" si="119"/>
        <v>0</v>
      </c>
      <c r="Z49" s="187">
        <f t="shared" si="119"/>
        <v>0</v>
      </c>
      <c r="AA49" s="187">
        <f t="shared" ref="AA49:AA57" si="120">0/165</f>
        <v>0</v>
      </c>
      <c r="AB49" s="73">
        <f>(9)/165</f>
        <v>5.4545454545454543E-2</v>
      </c>
      <c r="AC49" s="187">
        <f>(30)/165</f>
        <v>0.18181818181818182</v>
      </c>
      <c r="AD49" s="187">
        <f t="shared" si="95"/>
        <v>0</v>
      </c>
      <c r="AE49" s="187">
        <f t="shared" si="95"/>
        <v>0</v>
      </c>
      <c r="AF49" s="187">
        <f t="shared" si="95"/>
        <v>0</v>
      </c>
      <c r="AG49" s="187">
        <f>(33)/165</f>
        <v>0.2</v>
      </c>
      <c r="AH49" s="73">
        <f>(8)/165</f>
        <v>4.8484848484848485E-2</v>
      </c>
      <c r="AI49" s="187">
        <f>(30)/165</f>
        <v>0.18181818181818182</v>
      </c>
      <c r="AJ49" s="187">
        <f t="shared" si="3"/>
        <v>0</v>
      </c>
      <c r="AK49" s="187">
        <f t="shared" ref="AI49:AM64" si="121">(0)/165</f>
        <v>0</v>
      </c>
      <c r="AL49" s="187">
        <f t="shared" si="121"/>
        <v>0</v>
      </c>
      <c r="AM49" s="187">
        <f>(30)/165</f>
        <v>0.18181818181818182</v>
      </c>
      <c r="AN49" s="73">
        <f t="shared" ref="AN49:AR80" si="122">0/157.5</f>
        <v>0</v>
      </c>
      <c r="AO49" s="187">
        <f t="shared" si="122"/>
        <v>0</v>
      </c>
      <c r="AP49" s="187">
        <f t="shared" si="122"/>
        <v>0</v>
      </c>
      <c r="AQ49" s="187">
        <f t="shared" si="122"/>
        <v>0</v>
      </c>
      <c r="AR49" s="187">
        <f t="shared" si="122"/>
        <v>0</v>
      </c>
      <c r="AS49" s="187">
        <f t="shared" si="57"/>
        <v>0</v>
      </c>
      <c r="AT49" s="187">
        <f t="shared" si="57"/>
        <v>0</v>
      </c>
      <c r="AU49" s="221">
        <f t="shared" si="57"/>
        <v>0</v>
      </c>
      <c r="AV49" s="222">
        <f t="shared" si="103"/>
        <v>0</v>
      </c>
      <c r="AW49" s="187">
        <f t="shared" si="103"/>
        <v>0</v>
      </c>
      <c r="AX49" s="187">
        <f t="shared" si="103"/>
        <v>0</v>
      </c>
      <c r="AY49" s="187">
        <f t="shared" si="103"/>
        <v>0</v>
      </c>
      <c r="AZ49" s="187">
        <f t="shared" si="103"/>
        <v>0</v>
      </c>
      <c r="BA49" s="187">
        <f t="shared" si="103"/>
        <v>0</v>
      </c>
      <c r="BB49" s="187">
        <f t="shared" si="103"/>
        <v>0</v>
      </c>
      <c r="BC49" s="17">
        <f t="shared" si="103"/>
        <v>0</v>
      </c>
      <c r="BD49" s="19">
        <f t="shared" ref="BD49:BH80" si="123">0/142.5</f>
        <v>0</v>
      </c>
      <c r="BE49" s="187">
        <f t="shared" si="123"/>
        <v>0</v>
      </c>
      <c r="BF49" s="187">
        <f t="shared" si="123"/>
        <v>0</v>
      </c>
      <c r="BG49" s="187">
        <f t="shared" si="123"/>
        <v>0</v>
      </c>
      <c r="BH49" s="187">
        <f t="shared" si="123"/>
        <v>0</v>
      </c>
      <c r="BI49" s="187">
        <f t="shared" si="58"/>
        <v>0</v>
      </c>
      <c r="BJ49" s="187">
        <f t="shared" si="58"/>
        <v>0</v>
      </c>
      <c r="BK49" s="17">
        <f t="shared" si="58"/>
        <v>0</v>
      </c>
      <c r="BL49" s="19">
        <f t="shared" si="114"/>
        <v>0</v>
      </c>
      <c r="BM49" s="187">
        <f t="shared" si="114"/>
        <v>0</v>
      </c>
      <c r="BN49" s="187">
        <f t="shared" si="114"/>
        <v>0</v>
      </c>
      <c r="BO49" s="187">
        <f t="shared" si="114"/>
        <v>0</v>
      </c>
      <c r="BP49" s="187">
        <f t="shared" si="114"/>
        <v>0</v>
      </c>
      <c r="BQ49" s="187">
        <f t="shared" si="59"/>
        <v>0</v>
      </c>
      <c r="BR49" s="187">
        <f t="shared" si="59"/>
        <v>0</v>
      </c>
      <c r="BS49" s="17">
        <f t="shared" si="59"/>
        <v>0</v>
      </c>
      <c r="BT49" s="19">
        <f t="shared" ref="BT49:BX58" si="124">0/157.5</f>
        <v>0</v>
      </c>
      <c r="BU49" s="187">
        <f t="shared" si="124"/>
        <v>0</v>
      </c>
      <c r="BV49" s="187">
        <f t="shared" si="124"/>
        <v>0</v>
      </c>
      <c r="BW49" s="187">
        <f t="shared" si="124"/>
        <v>0</v>
      </c>
      <c r="BX49" s="187">
        <f t="shared" si="124"/>
        <v>0</v>
      </c>
      <c r="BY49" s="187">
        <f t="shared" si="60"/>
        <v>0</v>
      </c>
      <c r="BZ49" s="187">
        <f t="shared" si="60"/>
        <v>0</v>
      </c>
      <c r="CA49" s="17">
        <f t="shared" si="60"/>
        <v>0</v>
      </c>
      <c r="CB49" s="73">
        <f t="shared" si="104"/>
        <v>0</v>
      </c>
      <c r="CC49" s="187">
        <f t="shared" si="104"/>
        <v>0</v>
      </c>
      <c r="CD49" s="187">
        <f t="shared" si="104"/>
        <v>0</v>
      </c>
      <c r="CE49" s="187">
        <f t="shared" si="104"/>
        <v>0</v>
      </c>
      <c r="CF49" s="187">
        <f t="shared" si="104"/>
        <v>0</v>
      </c>
      <c r="CG49" s="187">
        <f t="shared" si="61"/>
        <v>0</v>
      </c>
      <c r="CH49" s="187">
        <f t="shared" si="61"/>
        <v>0</v>
      </c>
      <c r="CI49" s="17">
        <f t="shared" si="61"/>
        <v>0</v>
      </c>
      <c r="CJ49" s="19">
        <f t="shared" si="115"/>
        <v>0</v>
      </c>
      <c r="CK49" s="187">
        <f t="shared" si="115"/>
        <v>0</v>
      </c>
      <c r="CL49" s="187">
        <f t="shared" si="115"/>
        <v>0</v>
      </c>
      <c r="CM49" s="187">
        <f t="shared" si="115"/>
        <v>0</v>
      </c>
      <c r="CN49" s="187">
        <f t="shared" si="115"/>
        <v>0</v>
      </c>
      <c r="CO49" s="187">
        <f t="shared" si="62"/>
        <v>0</v>
      </c>
      <c r="CP49" s="187">
        <f t="shared" si="62"/>
        <v>0</v>
      </c>
      <c r="CQ49" s="17">
        <f t="shared" si="62"/>
        <v>0</v>
      </c>
      <c r="CR49" s="19">
        <f t="shared" si="116"/>
        <v>0</v>
      </c>
      <c r="CS49" s="187">
        <f t="shared" si="116"/>
        <v>0</v>
      </c>
      <c r="CT49" s="187">
        <f t="shared" si="116"/>
        <v>0</v>
      </c>
      <c r="CU49" s="187">
        <f t="shared" si="116"/>
        <v>0</v>
      </c>
      <c r="CV49" s="187">
        <f t="shared" si="116"/>
        <v>0</v>
      </c>
      <c r="CW49" s="187">
        <f t="shared" si="63"/>
        <v>0</v>
      </c>
      <c r="CX49" s="187">
        <f t="shared" si="63"/>
        <v>0</v>
      </c>
      <c r="CY49" s="17">
        <f t="shared" si="63"/>
        <v>0</v>
      </c>
      <c r="CZ49" s="278"/>
    </row>
    <row r="50" spans="1:104" ht="26.25" customHeight="1" x14ac:dyDescent="0.4">
      <c r="A50" s="380"/>
      <c r="B50" s="380"/>
      <c r="C50" s="380"/>
      <c r="D50" s="382"/>
      <c r="E50" s="382"/>
      <c r="F50" s="382"/>
      <c r="G50" s="404"/>
      <c r="H50" s="490"/>
      <c r="I50" s="490"/>
      <c r="J50" s="498"/>
      <c r="K50" s="492"/>
      <c r="L50" s="492"/>
      <c r="M50" s="494"/>
      <c r="N50" s="39" t="s">
        <v>25</v>
      </c>
      <c r="O50" s="207">
        <f t="shared" si="90"/>
        <v>0</v>
      </c>
      <c r="P50" s="207">
        <f t="shared" si="90"/>
        <v>0</v>
      </c>
      <c r="Q50" s="207">
        <f t="shared" si="90"/>
        <v>0</v>
      </c>
      <c r="R50" s="207">
        <f t="shared" si="90"/>
        <v>0</v>
      </c>
      <c r="S50" s="207">
        <f t="shared" si="90"/>
        <v>0</v>
      </c>
      <c r="T50" s="207">
        <f t="shared" si="90"/>
        <v>0</v>
      </c>
      <c r="U50" s="49">
        <f t="shared" si="90"/>
        <v>0</v>
      </c>
      <c r="V50" s="57">
        <f t="shared" si="119"/>
        <v>0</v>
      </c>
      <c r="W50" s="18">
        <f t="shared" si="119"/>
        <v>0</v>
      </c>
      <c r="X50" s="18">
        <f t="shared" si="119"/>
        <v>0</v>
      </c>
      <c r="Y50" s="18">
        <f t="shared" si="119"/>
        <v>0</v>
      </c>
      <c r="Z50" s="18">
        <f t="shared" si="119"/>
        <v>0</v>
      </c>
      <c r="AA50" s="18">
        <f t="shared" si="120"/>
        <v>0</v>
      </c>
      <c r="AB50" s="57">
        <f>(3.5+2.5+1)/165</f>
        <v>4.2424242424242427E-2</v>
      </c>
      <c r="AC50" s="207">
        <f>(4.5+12+13)/165</f>
        <v>0.1787878787878788</v>
      </c>
      <c r="AD50" s="207">
        <f t="shared" si="95"/>
        <v>0</v>
      </c>
      <c r="AE50" s="207">
        <f t="shared" si="95"/>
        <v>0</v>
      </c>
      <c r="AF50" s="207">
        <f t="shared" si="95"/>
        <v>0</v>
      </c>
      <c r="AG50" s="207">
        <f>(3+18.5+11.5)/165</f>
        <v>0.2</v>
      </c>
      <c r="AH50" s="57">
        <f>(1+1+5+2.5)/165</f>
        <v>5.7575757575757579E-2</v>
      </c>
      <c r="AI50" s="207">
        <f>(4.5+5+5.5+11.5+7.5)/165</f>
        <v>0.20606060606060606</v>
      </c>
      <c r="AJ50" s="207">
        <f t="shared" si="121"/>
        <v>0</v>
      </c>
      <c r="AK50" s="207">
        <f t="shared" si="121"/>
        <v>0</v>
      </c>
      <c r="AL50" s="207">
        <f t="shared" si="121"/>
        <v>0</v>
      </c>
      <c r="AM50" s="207">
        <f>(4+5+8.5+12+7.25)/165</f>
        <v>0.22272727272727272</v>
      </c>
      <c r="AN50" s="57">
        <f t="shared" si="122"/>
        <v>0</v>
      </c>
      <c r="AO50" s="207">
        <f t="shared" si="122"/>
        <v>0</v>
      </c>
      <c r="AP50" s="207">
        <f t="shared" si="122"/>
        <v>0</v>
      </c>
      <c r="AQ50" s="207">
        <f t="shared" si="122"/>
        <v>0</v>
      </c>
      <c r="AR50" s="207">
        <f t="shared" si="122"/>
        <v>0</v>
      </c>
      <c r="AS50" s="207">
        <f t="shared" si="57"/>
        <v>0</v>
      </c>
      <c r="AT50" s="207">
        <f t="shared" si="57"/>
        <v>0</v>
      </c>
      <c r="AU50" s="49">
        <f t="shared" si="57"/>
        <v>0</v>
      </c>
      <c r="AV50" s="63">
        <f t="shared" si="103"/>
        <v>0</v>
      </c>
      <c r="AW50" s="208">
        <f t="shared" si="103"/>
        <v>0</v>
      </c>
      <c r="AX50" s="208">
        <f t="shared" si="103"/>
        <v>0</v>
      </c>
      <c r="AY50" s="208">
        <f t="shared" si="103"/>
        <v>0</v>
      </c>
      <c r="AZ50" s="208">
        <f t="shared" si="103"/>
        <v>0</v>
      </c>
      <c r="BA50" s="208">
        <f t="shared" si="103"/>
        <v>0</v>
      </c>
      <c r="BB50" s="208">
        <f t="shared" si="103"/>
        <v>0</v>
      </c>
      <c r="BC50" s="64">
        <f t="shared" si="103"/>
        <v>0</v>
      </c>
      <c r="BD50" s="63">
        <f t="shared" si="123"/>
        <v>0</v>
      </c>
      <c r="BE50" s="208">
        <f t="shared" si="123"/>
        <v>0</v>
      </c>
      <c r="BF50" s="208">
        <f t="shared" si="123"/>
        <v>0</v>
      </c>
      <c r="BG50" s="208">
        <f t="shared" si="123"/>
        <v>0</v>
      </c>
      <c r="BH50" s="208">
        <f t="shared" si="123"/>
        <v>0</v>
      </c>
      <c r="BI50" s="208">
        <f t="shared" si="58"/>
        <v>0</v>
      </c>
      <c r="BJ50" s="208">
        <f t="shared" si="58"/>
        <v>0</v>
      </c>
      <c r="BK50" s="64">
        <f t="shared" si="58"/>
        <v>0</v>
      </c>
      <c r="BL50" s="63">
        <f t="shared" si="114"/>
        <v>0</v>
      </c>
      <c r="BM50" s="208">
        <f t="shared" si="114"/>
        <v>0</v>
      </c>
      <c r="BN50" s="208">
        <f t="shared" si="114"/>
        <v>0</v>
      </c>
      <c r="BO50" s="208">
        <f t="shared" si="114"/>
        <v>0</v>
      </c>
      <c r="BP50" s="208">
        <f t="shared" si="114"/>
        <v>0</v>
      </c>
      <c r="BQ50" s="208">
        <f t="shared" si="59"/>
        <v>0</v>
      </c>
      <c r="BR50" s="208">
        <f t="shared" si="59"/>
        <v>0</v>
      </c>
      <c r="BS50" s="64">
        <f t="shared" si="59"/>
        <v>0</v>
      </c>
      <c r="BT50" s="63">
        <f t="shared" si="124"/>
        <v>0</v>
      </c>
      <c r="BU50" s="208">
        <f t="shared" si="124"/>
        <v>0</v>
      </c>
      <c r="BV50" s="208">
        <f t="shared" si="124"/>
        <v>0</v>
      </c>
      <c r="BW50" s="208">
        <f t="shared" si="124"/>
        <v>0</v>
      </c>
      <c r="BX50" s="208">
        <f t="shared" si="124"/>
        <v>0</v>
      </c>
      <c r="BY50" s="208">
        <f t="shared" si="60"/>
        <v>0</v>
      </c>
      <c r="BZ50" s="208">
        <f t="shared" si="60"/>
        <v>0</v>
      </c>
      <c r="CA50" s="64">
        <f t="shared" si="60"/>
        <v>0</v>
      </c>
      <c r="CB50" s="63">
        <f t="shared" si="104"/>
        <v>0</v>
      </c>
      <c r="CC50" s="208">
        <f t="shared" si="104"/>
        <v>0</v>
      </c>
      <c r="CD50" s="208">
        <f t="shared" si="104"/>
        <v>0</v>
      </c>
      <c r="CE50" s="208">
        <f t="shared" si="104"/>
        <v>0</v>
      </c>
      <c r="CF50" s="208">
        <f t="shared" si="104"/>
        <v>0</v>
      </c>
      <c r="CG50" s="208">
        <f t="shared" si="61"/>
        <v>0</v>
      </c>
      <c r="CH50" s="208">
        <f t="shared" si="61"/>
        <v>0</v>
      </c>
      <c r="CI50" s="64">
        <f t="shared" si="61"/>
        <v>0</v>
      </c>
      <c r="CJ50" s="63">
        <f t="shared" si="115"/>
        <v>0</v>
      </c>
      <c r="CK50" s="208">
        <f t="shared" si="115"/>
        <v>0</v>
      </c>
      <c r="CL50" s="208">
        <f t="shared" si="115"/>
        <v>0</v>
      </c>
      <c r="CM50" s="208">
        <f t="shared" si="115"/>
        <v>0</v>
      </c>
      <c r="CN50" s="208">
        <f t="shared" si="115"/>
        <v>0</v>
      </c>
      <c r="CO50" s="208">
        <f t="shared" si="62"/>
        <v>0</v>
      </c>
      <c r="CP50" s="208">
        <f t="shared" si="62"/>
        <v>0</v>
      </c>
      <c r="CQ50" s="64">
        <f t="shared" si="62"/>
        <v>0</v>
      </c>
      <c r="CR50" s="63">
        <f t="shared" si="116"/>
        <v>0</v>
      </c>
      <c r="CS50" s="208">
        <f t="shared" si="116"/>
        <v>0</v>
      </c>
      <c r="CT50" s="208">
        <f t="shared" si="116"/>
        <v>0</v>
      </c>
      <c r="CU50" s="208">
        <f t="shared" si="116"/>
        <v>0</v>
      </c>
      <c r="CV50" s="208">
        <f t="shared" si="116"/>
        <v>0</v>
      </c>
      <c r="CW50" s="208">
        <f t="shared" si="63"/>
        <v>0</v>
      </c>
      <c r="CX50" s="208">
        <f t="shared" si="63"/>
        <v>0</v>
      </c>
      <c r="CY50" s="64">
        <f t="shared" si="63"/>
        <v>0</v>
      </c>
      <c r="CZ50" s="278"/>
    </row>
    <row r="51" spans="1:104" ht="26.25" customHeight="1" collapsed="1" x14ac:dyDescent="0.4">
      <c r="A51" s="379">
        <v>23</v>
      </c>
      <c r="B51" s="379" t="s">
        <v>47</v>
      </c>
      <c r="C51" s="379" t="s">
        <v>14</v>
      </c>
      <c r="D51" s="381" t="s">
        <v>634</v>
      </c>
      <c r="E51" s="381" t="s">
        <v>633</v>
      </c>
      <c r="F51" s="381"/>
      <c r="G51" s="404" t="s">
        <v>635</v>
      </c>
      <c r="H51" s="489">
        <f t="shared" ref="H51" si="125">SUM(AH51:AM51)</f>
        <v>0.35151515151515156</v>
      </c>
      <c r="I51" s="489">
        <f t="shared" ref="I51" si="126">SUM(AH52:AM52)</f>
        <v>0.40303030303030302</v>
      </c>
      <c r="J51" s="497"/>
      <c r="K51" s="491"/>
      <c r="L51" s="491"/>
      <c r="M51" s="493"/>
      <c r="N51" s="48" t="s">
        <v>24</v>
      </c>
      <c r="O51" s="187">
        <f t="shared" si="90"/>
        <v>0</v>
      </c>
      <c r="P51" s="187">
        <f t="shared" si="90"/>
        <v>0</v>
      </c>
      <c r="Q51" s="187">
        <f t="shared" si="90"/>
        <v>0</v>
      </c>
      <c r="R51" s="187">
        <f t="shared" si="90"/>
        <v>0</v>
      </c>
      <c r="S51" s="187">
        <f t="shared" si="90"/>
        <v>0</v>
      </c>
      <c r="T51" s="187">
        <f t="shared" si="90"/>
        <v>0</v>
      </c>
      <c r="U51" s="82">
        <f t="shared" si="90"/>
        <v>0</v>
      </c>
      <c r="V51" s="19">
        <f t="shared" si="119"/>
        <v>0</v>
      </c>
      <c r="W51" s="187">
        <f t="shared" si="119"/>
        <v>0</v>
      </c>
      <c r="X51" s="187">
        <f t="shared" si="119"/>
        <v>0</v>
      </c>
      <c r="Y51" s="187">
        <f t="shared" si="119"/>
        <v>0</v>
      </c>
      <c r="Z51" s="187">
        <f t="shared" si="119"/>
        <v>0</v>
      </c>
      <c r="AA51" s="187">
        <f t="shared" si="120"/>
        <v>0</v>
      </c>
      <c r="AB51" s="73">
        <f>(5)/165</f>
        <v>3.0303030303030304E-2</v>
      </c>
      <c r="AC51" s="187">
        <f t="shared" si="95"/>
        <v>0</v>
      </c>
      <c r="AD51" s="187">
        <f>(5)/165</f>
        <v>3.0303030303030304E-2</v>
      </c>
      <c r="AE51" s="187">
        <f t="shared" si="95"/>
        <v>0</v>
      </c>
      <c r="AF51" s="187">
        <f t="shared" si="95"/>
        <v>0</v>
      </c>
      <c r="AG51" s="187">
        <f>(10)/165</f>
        <v>6.0606060606060608E-2</v>
      </c>
      <c r="AH51" s="73">
        <f>(8)/165</f>
        <v>4.8484848484848485E-2</v>
      </c>
      <c r="AI51" s="187">
        <f t="shared" ref="AH51:AM66" si="127">(0)/165</f>
        <v>0</v>
      </c>
      <c r="AJ51" s="187">
        <f t="shared" ref="AJ51" si="128">(30)/165</f>
        <v>0.18181818181818182</v>
      </c>
      <c r="AK51" s="187">
        <f t="shared" si="121"/>
        <v>0</v>
      </c>
      <c r="AL51" s="187">
        <f t="shared" si="121"/>
        <v>0</v>
      </c>
      <c r="AM51" s="187">
        <f>(20)/165</f>
        <v>0.12121212121212122</v>
      </c>
      <c r="AN51" s="73">
        <f t="shared" si="122"/>
        <v>0</v>
      </c>
      <c r="AO51" s="187">
        <f t="shared" si="122"/>
        <v>0</v>
      </c>
      <c r="AP51" s="187">
        <f t="shared" si="122"/>
        <v>0</v>
      </c>
      <c r="AQ51" s="187">
        <f t="shared" si="122"/>
        <v>0</v>
      </c>
      <c r="AR51" s="187">
        <f t="shared" si="122"/>
        <v>0</v>
      </c>
      <c r="AS51" s="187">
        <f t="shared" si="57"/>
        <v>0</v>
      </c>
      <c r="AT51" s="187">
        <f t="shared" si="57"/>
        <v>0</v>
      </c>
      <c r="AU51" s="221">
        <f t="shared" si="57"/>
        <v>0</v>
      </c>
      <c r="AV51" s="222">
        <f t="shared" ref="AV51:BC52" si="129">0/172.5</f>
        <v>0</v>
      </c>
      <c r="AW51" s="187">
        <f t="shared" si="129"/>
        <v>0</v>
      </c>
      <c r="AX51" s="187">
        <f t="shared" si="129"/>
        <v>0</v>
      </c>
      <c r="AY51" s="187">
        <f t="shared" si="129"/>
        <v>0</v>
      </c>
      <c r="AZ51" s="187">
        <f t="shared" si="129"/>
        <v>0</v>
      </c>
      <c r="BA51" s="187">
        <f t="shared" si="129"/>
        <v>0</v>
      </c>
      <c r="BB51" s="187">
        <f t="shared" si="129"/>
        <v>0</v>
      </c>
      <c r="BC51" s="17">
        <f t="shared" si="129"/>
        <v>0</v>
      </c>
      <c r="BD51" s="19">
        <f t="shared" si="123"/>
        <v>0</v>
      </c>
      <c r="BE51" s="187">
        <f t="shared" si="123"/>
        <v>0</v>
      </c>
      <c r="BF51" s="187">
        <f t="shared" si="123"/>
        <v>0</v>
      </c>
      <c r="BG51" s="187">
        <f t="shared" si="123"/>
        <v>0</v>
      </c>
      <c r="BH51" s="187">
        <f t="shared" si="123"/>
        <v>0</v>
      </c>
      <c r="BI51" s="187">
        <f t="shared" si="58"/>
        <v>0</v>
      </c>
      <c r="BJ51" s="187">
        <f t="shared" si="58"/>
        <v>0</v>
      </c>
      <c r="BK51" s="17">
        <f t="shared" si="58"/>
        <v>0</v>
      </c>
      <c r="BL51" s="19">
        <f t="shared" si="114"/>
        <v>0</v>
      </c>
      <c r="BM51" s="187">
        <f t="shared" si="114"/>
        <v>0</v>
      </c>
      <c r="BN51" s="187">
        <f t="shared" si="114"/>
        <v>0</v>
      </c>
      <c r="BO51" s="187">
        <f t="shared" si="114"/>
        <v>0</v>
      </c>
      <c r="BP51" s="187">
        <f t="shared" si="114"/>
        <v>0</v>
      </c>
      <c r="BQ51" s="187">
        <f t="shared" si="59"/>
        <v>0</v>
      </c>
      <c r="BR51" s="187">
        <f t="shared" si="59"/>
        <v>0</v>
      </c>
      <c r="BS51" s="17">
        <f t="shared" si="59"/>
        <v>0</v>
      </c>
      <c r="BT51" s="19">
        <f t="shared" si="124"/>
        <v>0</v>
      </c>
      <c r="BU51" s="187">
        <f t="shared" si="124"/>
        <v>0</v>
      </c>
      <c r="BV51" s="187">
        <f t="shared" si="124"/>
        <v>0</v>
      </c>
      <c r="BW51" s="187">
        <f t="shared" si="124"/>
        <v>0</v>
      </c>
      <c r="BX51" s="187">
        <f t="shared" si="124"/>
        <v>0</v>
      </c>
      <c r="BY51" s="187">
        <f t="shared" si="60"/>
        <v>0</v>
      </c>
      <c r="BZ51" s="187">
        <f t="shared" si="60"/>
        <v>0</v>
      </c>
      <c r="CA51" s="17">
        <f t="shared" si="60"/>
        <v>0</v>
      </c>
      <c r="CB51" s="73">
        <f t="shared" si="104"/>
        <v>0</v>
      </c>
      <c r="CC51" s="187">
        <f t="shared" si="104"/>
        <v>0</v>
      </c>
      <c r="CD51" s="187">
        <f t="shared" si="104"/>
        <v>0</v>
      </c>
      <c r="CE51" s="187">
        <f t="shared" si="104"/>
        <v>0</v>
      </c>
      <c r="CF51" s="187">
        <f t="shared" si="104"/>
        <v>0</v>
      </c>
      <c r="CG51" s="187">
        <f t="shared" si="61"/>
        <v>0</v>
      </c>
      <c r="CH51" s="187">
        <f t="shared" si="61"/>
        <v>0</v>
      </c>
      <c r="CI51" s="17">
        <f t="shared" si="61"/>
        <v>0</v>
      </c>
      <c r="CJ51" s="19">
        <f t="shared" si="115"/>
        <v>0</v>
      </c>
      <c r="CK51" s="187">
        <f t="shared" si="115"/>
        <v>0</v>
      </c>
      <c r="CL51" s="187">
        <f t="shared" si="115"/>
        <v>0</v>
      </c>
      <c r="CM51" s="187">
        <f t="shared" si="115"/>
        <v>0</v>
      </c>
      <c r="CN51" s="187">
        <f t="shared" si="115"/>
        <v>0</v>
      </c>
      <c r="CO51" s="187">
        <f t="shared" si="62"/>
        <v>0</v>
      </c>
      <c r="CP51" s="187">
        <f t="shared" si="62"/>
        <v>0</v>
      </c>
      <c r="CQ51" s="17">
        <f t="shared" si="62"/>
        <v>0</v>
      </c>
      <c r="CR51" s="19">
        <f t="shared" si="116"/>
        <v>0</v>
      </c>
      <c r="CS51" s="187">
        <f t="shared" si="116"/>
        <v>0</v>
      </c>
      <c r="CT51" s="187">
        <f t="shared" si="116"/>
        <v>0</v>
      </c>
      <c r="CU51" s="187">
        <f t="shared" si="116"/>
        <v>0</v>
      </c>
      <c r="CV51" s="187">
        <f t="shared" si="116"/>
        <v>0</v>
      </c>
      <c r="CW51" s="187">
        <f t="shared" si="63"/>
        <v>0</v>
      </c>
      <c r="CX51" s="187">
        <f t="shared" si="63"/>
        <v>0</v>
      </c>
      <c r="CY51" s="17">
        <f t="shared" si="63"/>
        <v>0</v>
      </c>
      <c r="CZ51" s="278"/>
    </row>
    <row r="52" spans="1:104" ht="26.25" customHeight="1" x14ac:dyDescent="0.4">
      <c r="A52" s="380"/>
      <c r="B52" s="380"/>
      <c r="C52" s="380"/>
      <c r="D52" s="382"/>
      <c r="E52" s="382"/>
      <c r="F52" s="382"/>
      <c r="G52" s="404"/>
      <c r="H52" s="490"/>
      <c r="I52" s="490"/>
      <c r="J52" s="498"/>
      <c r="K52" s="492"/>
      <c r="L52" s="492"/>
      <c r="M52" s="494"/>
      <c r="N52" s="39" t="s">
        <v>25</v>
      </c>
      <c r="O52" s="207">
        <f t="shared" si="90"/>
        <v>0</v>
      </c>
      <c r="P52" s="207">
        <f t="shared" si="90"/>
        <v>0</v>
      </c>
      <c r="Q52" s="207">
        <f t="shared" si="90"/>
        <v>0</v>
      </c>
      <c r="R52" s="207">
        <f t="shared" si="90"/>
        <v>0</v>
      </c>
      <c r="S52" s="207">
        <f t="shared" si="90"/>
        <v>0</v>
      </c>
      <c r="T52" s="207">
        <f t="shared" si="90"/>
        <v>0</v>
      </c>
      <c r="U52" s="49">
        <f t="shared" si="90"/>
        <v>0</v>
      </c>
      <c r="V52" s="57">
        <f t="shared" si="119"/>
        <v>0</v>
      </c>
      <c r="W52" s="18">
        <f t="shared" si="119"/>
        <v>0</v>
      </c>
      <c r="X52" s="18">
        <f t="shared" si="119"/>
        <v>0</v>
      </c>
      <c r="Y52" s="18">
        <f t="shared" si="119"/>
        <v>0</v>
      </c>
      <c r="Z52" s="18">
        <f t="shared" si="119"/>
        <v>0</v>
      </c>
      <c r="AA52" s="18">
        <f t="shared" si="120"/>
        <v>0</v>
      </c>
      <c r="AB52" s="57">
        <f>(3)/165</f>
        <v>1.8181818181818181E-2</v>
      </c>
      <c r="AC52" s="207">
        <f t="shared" si="95"/>
        <v>0</v>
      </c>
      <c r="AD52" s="207">
        <f>(7)/165</f>
        <v>4.2424242424242427E-2</v>
      </c>
      <c r="AE52" s="207">
        <f t="shared" si="95"/>
        <v>0</v>
      </c>
      <c r="AF52" s="207">
        <f t="shared" si="95"/>
        <v>0</v>
      </c>
      <c r="AG52" s="207">
        <f>(8)/165</f>
        <v>4.8484848484848485E-2</v>
      </c>
      <c r="AH52" s="57">
        <f>(2.5+3.5+0.5)/165</f>
        <v>3.9393939393939391E-2</v>
      </c>
      <c r="AI52" s="207">
        <f t="shared" si="121"/>
        <v>0</v>
      </c>
      <c r="AJ52" s="207">
        <f>(6+11+18+5.5)/165</f>
        <v>0.24545454545454545</v>
      </c>
      <c r="AK52" s="207">
        <f t="shared" si="121"/>
        <v>0</v>
      </c>
      <c r="AL52" s="207">
        <f t="shared" si="121"/>
        <v>0</v>
      </c>
      <c r="AM52" s="207">
        <f>(3+8+8.5)/165</f>
        <v>0.11818181818181818</v>
      </c>
      <c r="AN52" s="57">
        <f t="shared" si="122"/>
        <v>0</v>
      </c>
      <c r="AO52" s="207">
        <f t="shared" si="122"/>
        <v>0</v>
      </c>
      <c r="AP52" s="207">
        <f t="shared" si="122"/>
        <v>0</v>
      </c>
      <c r="AQ52" s="207">
        <f t="shared" si="122"/>
        <v>0</v>
      </c>
      <c r="AR52" s="207">
        <f t="shared" si="122"/>
        <v>0</v>
      </c>
      <c r="AS52" s="207">
        <f t="shared" si="57"/>
        <v>0</v>
      </c>
      <c r="AT52" s="207">
        <f t="shared" si="57"/>
        <v>0</v>
      </c>
      <c r="AU52" s="49">
        <f t="shared" si="57"/>
        <v>0</v>
      </c>
      <c r="AV52" s="63">
        <f t="shared" si="129"/>
        <v>0</v>
      </c>
      <c r="AW52" s="208">
        <f t="shared" si="129"/>
        <v>0</v>
      </c>
      <c r="AX52" s="208">
        <f t="shared" si="129"/>
        <v>0</v>
      </c>
      <c r="AY52" s="208">
        <f t="shared" si="129"/>
        <v>0</v>
      </c>
      <c r="AZ52" s="208">
        <f t="shared" si="129"/>
        <v>0</v>
      </c>
      <c r="BA52" s="208">
        <f t="shared" si="129"/>
        <v>0</v>
      </c>
      <c r="BB52" s="208">
        <f t="shared" si="129"/>
        <v>0</v>
      </c>
      <c r="BC52" s="64">
        <f t="shared" si="129"/>
        <v>0</v>
      </c>
      <c r="BD52" s="63">
        <f t="shared" si="123"/>
        <v>0</v>
      </c>
      <c r="BE52" s="208">
        <f t="shared" si="123"/>
        <v>0</v>
      </c>
      <c r="BF52" s="208">
        <f t="shared" si="123"/>
        <v>0</v>
      </c>
      <c r="BG52" s="208">
        <f t="shared" si="123"/>
        <v>0</v>
      </c>
      <c r="BH52" s="208">
        <f t="shared" si="123"/>
        <v>0</v>
      </c>
      <c r="BI52" s="208">
        <f t="shared" si="58"/>
        <v>0</v>
      </c>
      <c r="BJ52" s="208">
        <f t="shared" si="58"/>
        <v>0</v>
      </c>
      <c r="BK52" s="64">
        <f t="shared" si="58"/>
        <v>0</v>
      </c>
      <c r="BL52" s="63">
        <f t="shared" si="114"/>
        <v>0</v>
      </c>
      <c r="BM52" s="208">
        <f t="shared" si="114"/>
        <v>0</v>
      </c>
      <c r="BN52" s="208">
        <f t="shared" si="114"/>
        <v>0</v>
      </c>
      <c r="BO52" s="208">
        <f t="shared" si="114"/>
        <v>0</v>
      </c>
      <c r="BP52" s="208">
        <f t="shared" si="114"/>
        <v>0</v>
      </c>
      <c r="BQ52" s="208">
        <f t="shared" si="59"/>
        <v>0</v>
      </c>
      <c r="BR52" s="208">
        <f t="shared" si="59"/>
        <v>0</v>
      </c>
      <c r="BS52" s="64">
        <f t="shared" si="59"/>
        <v>0</v>
      </c>
      <c r="BT52" s="63">
        <f t="shared" si="124"/>
        <v>0</v>
      </c>
      <c r="BU52" s="208">
        <f t="shared" si="124"/>
        <v>0</v>
      </c>
      <c r="BV52" s="208">
        <f t="shared" si="124"/>
        <v>0</v>
      </c>
      <c r="BW52" s="208">
        <f t="shared" si="124"/>
        <v>0</v>
      </c>
      <c r="BX52" s="208">
        <f t="shared" si="124"/>
        <v>0</v>
      </c>
      <c r="BY52" s="208">
        <f t="shared" si="60"/>
        <v>0</v>
      </c>
      <c r="BZ52" s="208">
        <f t="shared" si="60"/>
        <v>0</v>
      </c>
      <c r="CA52" s="64">
        <f t="shared" si="60"/>
        <v>0</v>
      </c>
      <c r="CB52" s="63">
        <f t="shared" si="104"/>
        <v>0</v>
      </c>
      <c r="CC52" s="208">
        <f t="shared" si="104"/>
        <v>0</v>
      </c>
      <c r="CD52" s="208">
        <f t="shared" si="104"/>
        <v>0</v>
      </c>
      <c r="CE52" s="208">
        <f t="shared" si="104"/>
        <v>0</v>
      </c>
      <c r="CF52" s="208">
        <f t="shared" si="104"/>
        <v>0</v>
      </c>
      <c r="CG52" s="208">
        <f t="shared" si="61"/>
        <v>0</v>
      </c>
      <c r="CH52" s="208">
        <f t="shared" si="61"/>
        <v>0</v>
      </c>
      <c r="CI52" s="64">
        <f t="shared" si="61"/>
        <v>0</v>
      </c>
      <c r="CJ52" s="63">
        <f t="shared" si="115"/>
        <v>0</v>
      </c>
      <c r="CK52" s="208">
        <f t="shared" si="115"/>
        <v>0</v>
      </c>
      <c r="CL52" s="208">
        <f t="shared" si="115"/>
        <v>0</v>
      </c>
      <c r="CM52" s="208">
        <f t="shared" si="115"/>
        <v>0</v>
      </c>
      <c r="CN52" s="208">
        <f t="shared" si="115"/>
        <v>0</v>
      </c>
      <c r="CO52" s="208">
        <f t="shared" si="62"/>
        <v>0</v>
      </c>
      <c r="CP52" s="208">
        <f t="shared" si="62"/>
        <v>0</v>
      </c>
      <c r="CQ52" s="64">
        <f t="shared" si="62"/>
        <v>0</v>
      </c>
      <c r="CR52" s="63">
        <f t="shared" si="116"/>
        <v>0</v>
      </c>
      <c r="CS52" s="208">
        <f t="shared" si="116"/>
        <v>0</v>
      </c>
      <c r="CT52" s="208">
        <f t="shared" si="116"/>
        <v>0</v>
      </c>
      <c r="CU52" s="208">
        <f t="shared" si="116"/>
        <v>0</v>
      </c>
      <c r="CV52" s="208">
        <f t="shared" si="116"/>
        <v>0</v>
      </c>
      <c r="CW52" s="208">
        <f t="shared" si="63"/>
        <v>0</v>
      </c>
      <c r="CX52" s="208">
        <f t="shared" si="63"/>
        <v>0</v>
      </c>
      <c r="CY52" s="64">
        <f t="shared" si="63"/>
        <v>0</v>
      </c>
      <c r="CZ52" s="278"/>
    </row>
    <row r="53" spans="1:104" ht="26.25" customHeight="1" collapsed="1" x14ac:dyDescent="0.4">
      <c r="A53" s="379">
        <v>24</v>
      </c>
      <c r="B53" s="379" t="s">
        <v>47</v>
      </c>
      <c r="C53" s="379" t="s">
        <v>347</v>
      </c>
      <c r="D53" s="381" t="s">
        <v>554</v>
      </c>
      <c r="E53" s="405" t="s">
        <v>660</v>
      </c>
      <c r="F53" s="381"/>
      <c r="G53" s="404" t="s">
        <v>661</v>
      </c>
      <c r="H53" s="489">
        <f t="shared" ref="H53" si="130">SUM(AH53:AM53)</f>
        <v>0.15151515151515152</v>
      </c>
      <c r="I53" s="489">
        <f t="shared" ref="I53" si="131">SUM(AH54:AM54)</f>
        <v>0.12575757575757576</v>
      </c>
      <c r="J53" s="497"/>
      <c r="K53" s="491"/>
      <c r="L53" s="491"/>
      <c r="M53" s="493"/>
      <c r="N53" s="48" t="s">
        <v>24</v>
      </c>
      <c r="O53" s="187">
        <f t="shared" si="90"/>
        <v>0</v>
      </c>
      <c r="P53" s="187">
        <f t="shared" si="90"/>
        <v>0</v>
      </c>
      <c r="Q53" s="187">
        <f t="shared" si="90"/>
        <v>0</v>
      </c>
      <c r="R53" s="187">
        <f t="shared" si="90"/>
        <v>0</v>
      </c>
      <c r="S53" s="187">
        <f t="shared" si="90"/>
        <v>0</v>
      </c>
      <c r="T53" s="187">
        <f t="shared" si="90"/>
        <v>0</v>
      </c>
      <c r="U53" s="82">
        <f t="shared" si="90"/>
        <v>0</v>
      </c>
      <c r="V53" s="19">
        <f t="shared" si="119"/>
        <v>0</v>
      </c>
      <c r="W53" s="187">
        <f t="shared" si="119"/>
        <v>0</v>
      </c>
      <c r="X53" s="187">
        <f t="shared" si="119"/>
        <v>0</v>
      </c>
      <c r="Y53" s="187">
        <f t="shared" si="119"/>
        <v>0</v>
      </c>
      <c r="Z53" s="187">
        <f t="shared" si="119"/>
        <v>0</v>
      </c>
      <c r="AA53" s="187">
        <f t="shared" si="120"/>
        <v>0</v>
      </c>
      <c r="AB53" s="19">
        <f t="shared" ref="AB53:AG80" si="132">0/165</f>
        <v>0</v>
      </c>
      <c r="AC53" s="187">
        <f t="shared" si="132"/>
        <v>0</v>
      </c>
      <c r="AD53" s="249">
        <f t="shared" si="132"/>
        <v>0</v>
      </c>
      <c r="AE53" s="187">
        <f t="shared" si="132"/>
        <v>0</v>
      </c>
      <c r="AF53" s="187">
        <f t="shared" si="132"/>
        <v>0</v>
      </c>
      <c r="AG53" s="187">
        <f t="shared" si="132"/>
        <v>0</v>
      </c>
      <c r="AH53" s="73">
        <f>(5)/165</f>
        <v>3.0303030303030304E-2</v>
      </c>
      <c r="AI53" s="187">
        <f>(10)/165</f>
        <v>6.0606060606060608E-2</v>
      </c>
      <c r="AJ53" s="187">
        <f t="shared" si="127"/>
        <v>0</v>
      </c>
      <c r="AK53" s="187">
        <f t="shared" si="127"/>
        <v>0</v>
      </c>
      <c r="AL53" s="187">
        <f t="shared" si="127"/>
        <v>0</v>
      </c>
      <c r="AM53" s="187">
        <f>(10)/165</f>
        <v>6.0606060606060608E-2</v>
      </c>
      <c r="AN53" s="73">
        <f t="shared" si="122"/>
        <v>0</v>
      </c>
      <c r="AO53" s="187">
        <f t="shared" si="122"/>
        <v>0</v>
      </c>
      <c r="AP53" s="187">
        <f t="shared" si="122"/>
        <v>0</v>
      </c>
      <c r="AQ53" s="187">
        <f t="shared" si="122"/>
        <v>0</v>
      </c>
      <c r="AR53" s="187">
        <f t="shared" si="122"/>
        <v>0</v>
      </c>
      <c r="AS53" s="187">
        <f t="shared" si="57"/>
        <v>0</v>
      </c>
      <c r="AT53" s="187">
        <f t="shared" si="57"/>
        <v>0</v>
      </c>
      <c r="AU53" s="221">
        <f t="shared" si="57"/>
        <v>0</v>
      </c>
      <c r="AV53" s="222">
        <f t="shared" si="103"/>
        <v>0</v>
      </c>
      <c r="AW53" s="187">
        <f t="shared" si="103"/>
        <v>0</v>
      </c>
      <c r="AX53" s="187">
        <f t="shared" si="103"/>
        <v>0</v>
      </c>
      <c r="AY53" s="187">
        <f t="shared" si="103"/>
        <v>0</v>
      </c>
      <c r="AZ53" s="187">
        <f t="shared" si="103"/>
        <v>0</v>
      </c>
      <c r="BA53" s="187">
        <f t="shared" si="103"/>
        <v>0</v>
      </c>
      <c r="BB53" s="187">
        <f t="shared" si="103"/>
        <v>0</v>
      </c>
      <c r="BC53" s="17">
        <f t="shared" si="103"/>
        <v>0</v>
      </c>
      <c r="BD53" s="19">
        <f t="shared" si="123"/>
        <v>0</v>
      </c>
      <c r="BE53" s="187">
        <f t="shared" si="123"/>
        <v>0</v>
      </c>
      <c r="BF53" s="187">
        <f t="shared" si="123"/>
        <v>0</v>
      </c>
      <c r="BG53" s="187">
        <f t="shared" si="123"/>
        <v>0</v>
      </c>
      <c r="BH53" s="187">
        <f t="shared" si="123"/>
        <v>0</v>
      </c>
      <c r="BI53" s="187">
        <f t="shared" si="58"/>
        <v>0</v>
      </c>
      <c r="BJ53" s="187">
        <f t="shared" si="58"/>
        <v>0</v>
      </c>
      <c r="BK53" s="17">
        <f t="shared" si="58"/>
        <v>0</v>
      </c>
      <c r="BL53" s="19">
        <f t="shared" si="114"/>
        <v>0</v>
      </c>
      <c r="BM53" s="187">
        <f t="shared" si="114"/>
        <v>0</v>
      </c>
      <c r="BN53" s="187">
        <f t="shared" si="114"/>
        <v>0</v>
      </c>
      <c r="BO53" s="187">
        <f t="shared" si="114"/>
        <v>0</v>
      </c>
      <c r="BP53" s="187">
        <f t="shared" si="114"/>
        <v>0</v>
      </c>
      <c r="BQ53" s="187">
        <f t="shared" si="59"/>
        <v>0</v>
      </c>
      <c r="BR53" s="187">
        <f t="shared" si="59"/>
        <v>0</v>
      </c>
      <c r="BS53" s="17">
        <f t="shared" si="59"/>
        <v>0</v>
      </c>
      <c r="BT53" s="19">
        <f t="shared" si="124"/>
        <v>0</v>
      </c>
      <c r="BU53" s="187">
        <f t="shared" si="124"/>
        <v>0</v>
      </c>
      <c r="BV53" s="187">
        <f t="shared" si="124"/>
        <v>0</v>
      </c>
      <c r="BW53" s="187">
        <f t="shared" si="124"/>
        <v>0</v>
      </c>
      <c r="BX53" s="187">
        <f t="shared" si="124"/>
        <v>0</v>
      </c>
      <c r="BY53" s="187">
        <f t="shared" si="60"/>
        <v>0</v>
      </c>
      <c r="BZ53" s="187">
        <f t="shared" si="60"/>
        <v>0</v>
      </c>
      <c r="CA53" s="17">
        <f t="shared" si="60"/>
        <v>0</v>
      </c>
      <c r="CB53" s="73">
        <f t="shared" si="104"/>
        <v>0</v>
      </c>
      <c r="CC53" s="187">
        <f t="shared" si="104"/>
        <v>0</v>
      </c>
      <c r="CD53" s="187">
        <f t="shared" si="104"/>
        <v>0</v>
      </c>
      <c r="CE53" s="187">
        <f t="shared" si="104"/>
        <v>0</v>
      </c>
      <c r="CF53" s="187">
        <f t="shared" si="104"/>
        <v>0</v>
      </c>
      <c r="CG53" s="187">
        <f t="shared" si="61"/>
        <v>0</v>
      </c>
      <c r="CH53" s="187">
        <f t="shared" si="61"/>
        <v>0</v>
      </c>
      <c r="CI53" s="17">
        <f t="shared" si="61"/>
        <v>0</v>
      </c>
      <c r="CJ53" s="19">
        <f t="shared" si="115"/>
        <v>0</v>
      </c>
      <c r="CK53" s="187">
        <f t="shared" si="115"/>
        <v>0</v>
      </c>
      <c r="CL53" s="187">
        <f t="shared" si="115"/>
        <v>0</v>
      </c>
      <c r="CM53" s="187">
        <f t="shared" si="115"/>
        <v>0</v>
      </c>
      <c r="CN53" s="187">
        <f t="shared" si="115"/>
        <v>0</v>
      </c>
      <c r="CO53" s="187">
        <f t="shared" si="62"/>
        <v>0</v>
      </c>
      <c r="CP53" s="187">
        <f t="shared" si="62"/>
        <v>0</v>
      </c>
      <c r="CQ53" s="17">
        <f t="shared" si="62"/>
        <v>0</v>
      </c>
      <c r="CR53" s="19">
        <f t="shared" si="116"/>
        <v>0</v>
      </c>
      <c r="CS53" s="187">
        <f t="shared" si="116"/>
        <v>0</v>
      </c>
      <c r="CT53" s="187">
        <f t="shared" si="116"/>
        <v>0</v>
      </c>
      <c r="CU53" s="187">
        <f t="shared" si="116"/>
        <v>0</v>
      </c>
      <c r="CV53" s="187">
        <f t="shared" si="116"/>
        <v>0</v>
      </c>
      <c r="CW53" s="187">
        <f t="shared" si="63"/>
        <v>0</v>
      </c>
      <c r="CX53" s="187">
        <f t="shared" si="63"/>
        <v>0</v>
      </c>
      <c r="CY53" s="17">
        <f t="shared" si="63"/>
        <v>0</v>
      </c>
      <c r="CZ53" s="278"/>
    </row>
    <row r="54" spans="1:104" ht="26.25" customHeight="1" x14ac:dyDescent="0.4">
      <c r="A54" s="380"/>
      <c r="B54" s="380"/>
      <c r="C54" s="380"/>
      <c r="D54" s="382"/>
      <c r="E54" s="406"/>
      <c r="F54" s="382"/>
      <c r="G54" s="404"/>
      <c r="H54" s="490"/>
      <c r="I54" s="490"/>
      <c r="J54" s="498"/>
      <c r="K54" s="492"/>
      <c r="L54" s="492"/>
      <c r="M54" s="494"/>
      <c r="N54" s="39" t="s">
        <v>25</v>
      </c>
      <c r="O54" s="207">
        <f t="shared" si="90"/>
        <v>0</v>
      </c>
      <c r="P54" s="207">
        <f t="shared" si="90"/>
        <v>0</v>
      </c>
      <c r="Q54" s="207">
        <f t="shared" si="90"/>
        <v>0</v>
      </c>
      <c r="R54" s="207">
        <f t="shared" si="90"/>
        <v>0</v>
      </c>
      <c r="S54" s="207">
        <f t="shared" si="90"/>
        <v>0</v>
      </c>
      <c r="T54" s="207">
        <f t="shared" si="90"/>
        <v>0</v>
      </c>
      <c r="U54" s="49">
        <f t="shared" ref="O54:U86" si="133">0/127.5</f>
        <v>0</v>
      </c>
      <c r="V54" s="57">
        <f t="shared" si="119"/>
        <v>0</v>
      </c>
      <c r="W54" s="18">
        <f t="shared" si="119"/>
        <v>0</v>
      </c>
      <c r="X54" s="18">
        <f t="shared" si="119"/>
        <v>0</v>
      </c>
      <c r="Y54" s="18">
        <f t="shared" si="119"/>
        <v>0</v>
      </c>
      <c r="Z54" s="18">
        <f t="shared" si="119"/>
        <v>0</v>
      </c>
      <c r="AA54" s="18">
        <f t="shared" si="120"/>
        <v>0</v>
      </c>
      <c r="AB54" s="42">
        <f t="shared" si="132"/>
        <v>0</v>
      </c>
      <c r="AC54" s="52">
        <f t="shared" si="132"/>
        <v>0</v>
      </c>
      <c r="AD54" s="207">
        <f t="shared" si="132"/>
        <v>0</v>
      </c>
      <c r="AE54" s="207">
        <f t="shared" si="132"/>
        <v>0</v>
      </c>
      <c r="AF54" s="207">
        <f t="shared" si="132"/>
        <v>0</v>
      </c>
      <c r="AG54" s="18">
        <f t="shared" si="132"/>
        <v>0</v>
      </c>
      <c r="AH54" s="57">
        <f>(3.25)/165</f>
        <v>1.9696969696969695E-2</v>
      </c>
      <c r="AI54" s="207">
        <f>(8.5)/165</f>
        <v>5.1515151515151514E-2</v>
      </c>
      <c r="AJ54" s="207">
        <f t="shared" si="121"/>
        <v>0</v>
      </c>
      <c r="AK54" s="207">
        <f t="shared" si="121"/>
        <v>0</v>
      </c>
      <c r="AL54" s="207">
        <f t="shared" si="121"/>
        <v>0</v>
      </c>
      <c r="AM54" s="207">
        <f>(9)/165</f>
        <v>5.4545454545454543E-2</v>
      </c>
      <c r="AN54" s="57">
        <f t="shared" si="122"/>
        <v>0</v>
      </c>
      <c r="AO54" s="207">
        <f t="shared" si="122"/>
        <v>0</v>
      </c>
      <c r="AP54" s="207">
        <f t="shared" si="122"/>
        <v>0</v>
      </c>
      <c r="AQ54" s="207">
        <f t="shared" si="122"/>
        <v>0</v>
      </c>
      <c r="AR54" s="207">
        <f t="shared" si="122"/>
        <v>0</v>
      </c>
      <c r="AS54" s="207">
        <f t="shared" si="57"/>
        <v>0</v>
      </c>
      <c r="AT54" s="207">
        <f t="shared" si="57"/>
        <v>0</v>
      </c>
      <c r="AU54" s="49">
        <f t="shared" si="57"/>
        <v>0</v>
      </c>
      <c r="AV54" s="63">
        <f t="shared" si="103"/>
        <v>0</v>
      </c>
      <c r="AW54" s="208">
        <f t="shared" si="103"/>
        <v>0</v>
      </c>
      <c r="AX54" s="208">
        <f t="shared" si="103"/>
        <v>0</v>
      </c>
      <c r="AY54" s="208">
        <f t="shared" si="103"/>
        <v>0</v>
      </c>
      <c r="AZ54" s="208">
        <f t="shared" si="103"/>
        <v>0</v>
      </c>
      <c r="BA54" s="208">
        <f t="shared" si="103"/>
        <v>0</v>
      </c>
      <c r="BB54" s="208">
        <f t="shared" si="103"/>
        <v>0</v>
      </c>
      <c r="BC54" s="64">
        <f t="shared" si="103"/>
        <v>0</v>
      </c>
      <c r="BD54" s="63">
        <f t="shared" si="123"/>
        <v>0</v>
      </c>
      <c r="BE54" s="208">
        <f t="shared" si="123"/>
        <v>0</v>
      </c>
      <c r="BF54" s="208">
        <f t="shared" si="123"/>
        <v>0</v>
      </c>
      <c r="BG54" s="208">
        <f t="shared" si="123"/>
        <v>0</v>
      </c>
      <c r="BH54" s="208">
        <f t="shared" si="123"/>
        <v>0</v>
      </c>
      <c r="BI54" s="208">
        <f t="shared" si="58"/>
        <v>0</v>
      </c>
      <c r="BJ54" s="208">
        <f t="shared" si="58"/>
        <v>0</v>
      </c>
      <c r="BK54" s="64">
        <f t="shared" si="58"/>
        <v>0</v>
      </c>
      <c r="BL54" s="63">
        <f t="shared" si="114"/>
        <v>0</v>
      </c>
      <c r="BM54" s="208">
        <f t="shared" si="114"/>
        <v>0</v>
      </c>
      <c r="BN54" s="208">
        <f t="shared" si="114"/>
        <v>0</v>
      </c>
      <c r="BO54" s="208">
        <f t="shared" si="114"/>
        <v>0</v>
      </c>
      <c r="BP54" s="208">
        <f t="shared" si="114"/>
        <v>0</v>
      </c>
      <c r="BQ54" s="208">
        <f t="shared" si="59"/>
        <v>0</v>
      </c>
      <c r="BR54" s="208">
        <f t="shared" si="59"/>
        <v>0</v>
      </c>
      <c r="BS54" s="64">
        <f t="shared" si="59"/>
        <v>0</v>
      </c>
      <c r="BT54" s="63">
        <f t="shared" si="124"/>
        <v>0</v>
      </c>
      <c r="BU54" s="208">
        <f t="shared" si="124"/>
        <v>0</v>
      </c>
      <c r="BV54" s="208">
        <f t="shared" si="124"/>
        <v>0</v>
      </c>
      <c r="BW54" s="208">
        <f t="shared" si="124"/>
        <v>0</v>
      </c>
      <c r="BX54" s="208">
        <f t="shared" si="124"/>
        <v>0</v>
      </c>
      <c r="BY54" s="208">
        <f t="shared" si="60"/>
        <v>0</v>
      </c>
      <c r="BZ54" s="208">
        <f t="shared" si="60"/>
        <v>0</v>
      </c>
      <c r="CA54" s="64">
        <f t="shared" si="60"/>
        <v>0</v>
      </c>
      <c r="CB54" s="63">
        <f t="shared" si="104"/>
        <v>0</v>
      </c>
      <c r="CC54" s="208">
        <f t="shared" si="104"/>
        <v>0</v>
      </c>
      <c r="CD54" s="208">
        <f t="shared" si="104"/>
        <v>0</v>
      </c>
      <c r="CE54" s="208">
        <f t="shared" si="104"/>
        <v>0</v>
      </c>
      <c r="CF54" s="208">
        <f t="shared" si="104"/>
        <v>0</v>
      </c>
      <c r="CG54" s="208">
        <f t="shared" si="61"/>
        <v>0</v>
      </c>
      <c r="CH54" s="208">
        <f t="shared" si="61"/>
        <v>0</v>
      </c>
      <c r="CI54" s="64">
        <f t="shared" si="61"/>
        <v>0</v>
      </c>
      <c r="CJ54" s="63">
        <f t="shared" si="115"/>
        <v>0</v>
      </c>
      <c r="CK54" s="208">
        <f t="shared" si="115"/>
        <v>0</v>
      </c>
      <c r="CL54" s="208">
        <f t="shared" si="115"/>
        <v>0</v>
      </c>
      <c r="CM54" s="208">
        <f t="shared" si="115"/>
        <v>0</v>
      </c>
      <c r="CN54" s="208">
        <f t="shared" si="115"/>
        <v>0</v>
      </c>
      <c r="CO54" s="208">
        <f t="shared" si="62"/>
        <v>0</v>
      </c>
      <c r="CP54" s="208">
        <f t="shared" si="62"/>
        <v>0</v>
      </c>
      <c r="CQ54" s="64">
        <f t="shared" si="62"/>
        <v>0</v>
      </c>
      <c r="CR54" s="63">
        <f t="shared" si="116"/>
        <v>0</v>
      </c>
      <c r="CS54" s="208">
        <f t="shared" si="116"/>
        <v>0</v>
      </c>
      <c r="CT54" s="208">
        <f t="shared" si="116"/>
        <v>0</v>
      </c>
      <c r="CU54" s="208">
        <f t="shared" si="116"/>
        <v>0</v>
      </c>
      <c r="CV54" s="208">
        <f t="shared" si="116"/>
        <v>0</v>
      </c>
      <c r="CW54" s="208">
        <f t="shared" si="63"/>
        <v>0</v>
      </c>
      <c r="CX54" s="208">
        <f t="shared" si="63"/>
        <v>0</v>
      </c>
      <c r="CY54" s="64">
        <f t="shared" si="63"/>
        <v>0</v>
      </c>
      <c r="CZ54" s="278"/>
    </row>
    <row r="55" spans="1:104" ht="26.25" customHeight="1" collapsed="1" x14ac:dyDescent="0.4">
      <c r="A55" s="379">
        <v>25</v>
      </c>
      <c r="B55" s="379" t="s">
        <v>47</v>
      </c>
      <c r="C55" s="379" t="s">
        <v>347</v>
      </c>
      <c r="D55" s="381" t="s">
        <v>348</v>
      </c>
      <c r="E55" s="405" t="s">
        <v>662</v>
      </c>
      <c r="F55" s="381"/>
      <c r="G55" s="404" t="s">
        <v>663</v>
      </c>
      <c r="H55" s="489">
        <f t="shared" ref="H55" si="134">SUM(AH55:AM55)</f>
        <v>0.15151515151515152</v>
      </c>
      <c r="I55" s="489">
        <f t="shared" ref="I55" si="135">SUM(AH56:AM56)</f>
        <v>0.10757575757575756</v>
      </c>
      <c r="J55" s="497"/>
      <c r="K55" s="491"/>
      <c r="L55" s="491"/>
      <c r="M55" s="493"/>
      <c r="N55" s="48" t="s">
        <v>24</v>
      </c>
      <c r="O55" s="187">
        <f t="shared" si="133"/>
        <v>0</v>
      </c>
      <c r="P55" s="187">
        <f t="shared" si="133"/>
        <v>0</v>
      </c>
      <c r="Q55" s="187">
        <f t="shared" si="133"/>
        <v>0</v>
      </c>
      <c r="R55" s="187">
        <f t="shared" si="133"/>
        <v>0</v>
      </c>
      <c r="S55" s="187">
        <f t="shared" si="133"/>
        <v>0</v>
      </c>
      <c r="T55" s="187">
        <f t="shared" si="133"/>
        <v>0</v>
      </c>
      <c r="U55" s="82">
        <f t="shared" si="133"/>
        <v>0</v>
      </c>
      <c r="V55" s="19">
        <f t="shared" si="119"/>
        <v>0</v>
      </c>
      <c r="W55" s="187">
        <f t="shared" si="119"/>
        <v>0</v>
      </c>
      <c r="X55" s="187">
        <f t="shared" si="119"/>
        <v>0</v>
      </c>
      <c r="Y55" s="187">
        <f t="shared" si="119"/>
        <v>0</v>
      </c>
      <c r="Z55" s="187">
        <f t="shared" si="119"/>
        <v>0</v>
      </c>
      <c r="AA55" s="187">
        <f t="shared" si="120"/>
        <v>0</v>
      </c>
      <c r="AB55" s="19">
        <f t="shared" si="132"/>
        <v>0</v>
      </c>
      <c r="AC55" s="187">
        <f t="shared" si="132"/>
        <v>0</v>
      </c>
      <c r="AD55" s="249">
        <f t="shared" si="132"/>
        <v>0</v>
      </c>
      <c r="AE55" s="187">
        <f t="shared" si="132"/>
        <v>0</v>
      </c>
      <c r="AF55" s="187">
        <f t="shared" si="132"/>
        <v>0</v>
      </c>
      <c r="AG55" s="187">
        <f t="shared" si="132"/>
        <v>0</v>
      </c>
      <c r="AH55" s="73">
        <f>(5)/165</f>
        <v>3.0303030303030304E-2</v>
      </c>
      <c r="AI55" s="187">
        <f t="shared" si="127"/>
        <v>0</v>
      </c>
      <c r="AJ55" s="187">
        <f>(10)/165</f>
        <v>6.0606060606060608E-2</v>
      </c>
      <c r="AK55" s="187">
        <f t="shared" si="127"/>
        <v>0</v>
      </c>
      <c r="AL55" s="187">
        <f t="shared" si="127"/>
        <v>0</v>
      </c>
      <c r="AM55" s="187">
        <f>(10)/165</f>
        <v>6.0606060606060608E-2</v>
      </c>
      <c r="AN55" s="73">
        <f t="shared" si="122"/>
        <v>0</v>
      </c>
      <c r="AO55" s="187">
        <f t="shared" si="122"/>
        <v>0</v>
      </c>
      <c r="AP55" s="187">
        <f t="shared" si="122"/>
        <v>0</v>
      </c>
      <c r="AQ55" s="187">
        <f t="shared" si="122"/>
        <v>0</v>
      </c>
      <c r="AR55" s="187">
        <f t="shared" si="122"/>
        <v>0</v>
      </c>
      <c r="AS55" s="187">
        <f t="shared" ref="AS55:AU86" si="136">0/165</f>
        <v>0</v>
      </c>
      <c r="AT55" s="187">
        <f t="shared" si="136"/>
        <v>0</v>
      </c>
      <c r="AU55" s="221">
        <f t="shared" si="136"/>
        <v>0</v>
      </c>
      <c r="AV55" s="222">
        <f t="shared" si="103"/>
        <v>0</v>
      </c>
      <c r="AW55" s="187">
        <f t="shared" si="103"/>
        <v>0</v>
      </c>
      <c r="AX55" s="187">
        <f t="shared" si="103"/>
        <v>0</v>
      </c>
      <c r="AY55" s="187">
        <f t="shared" si="103"/>
        <v>0</v>
      </c>
      <c r="AZ55" s="187">
        <f t="shared" si="103"/>
        <v>0</v>
      </c>
      <c r="BA55" s="187">
        <f t="shared" si="103"/>
        <v>0</v>
      </c>
      <c r="BB55" s="187">
        <f t="shared" si="103"/>
        <v>0</v>
      </c>
      <c r="BC55" s="17">
        <f t="shared" si="103"/>
        <v>0</v>
      </c>
      <c r="BD55" s="19">
        <f t="shared" si="123"/>
        <v>0</v>
      </c>
      <c r="BE55" s="187">
        <f t="shared" si="123"/>
        <v>0</v>
      </c>
      <c r="BF55" s="187">
        <f t="shared" si="123"/>
        <v>0</v>
      </c>
      <c r="BG55" s="187">
        <f t="shared" si="123"/>
        <v>0</v>
      </c>
      <c r="BH55" s="187">
        <f t="shared" si="123"/>
        <v>0</v>
      </c>
      <c r="BI55" s="187">
        <f t="shared" ref="BI55:BK86" si="137">0/172.5</f>
        <v>0</v>
      </c>
      <c r="BJ55" s="187">
        <f t="shared" si="137"/>
        <v>0</v>
      </c>
      <c r="BK55" s="17">
        <f t="shared" si="137"/>
        <v>0</v>
      </c>
      <c r="BL55" s="19">
        <f t="shared" si="114"/>
        <v>0</v>
      </c>
      <c r="BM55" s="187">
        <f t="shared" si="114"/>
        <v>0</v>
      </c>
      <c r="BN55" s="187">
        <f t="shared" si="114"/>
        <v>0</v>
      </c>
      <c r="BO55" s="187">
        <f t="shared" si="114"/>
        <v>0</v>
      </c>
      <c r="BP55" s="187">
        <f t="shared" si="114"/>
        <v>0</v>
      </c>
      <c r="BQ55" s="187">
        <f t="shared" ref="BQ55:BS86" si="138">0/172.5</f>
        <v>0</v>
      </c>
      <c r="BR55" s="187">
        <f t="shared" si="138"/>
        <v>0</v>
      </c>
      <c r="BS55" s="17">
        <f t="shared" si="138"/>
        <v>0</v>
      </c>
      <c r="BT55" s="19">
        <f t="shared" si="124"/>
        <v>0</v>
      </c>
      <c r="BU55" s="187">
        <f t="shared" si="124"/>
        <v>0</v>
      </c>
      <c r="BV55" s="187">
        <f t="shared" si="124"/>
        <v>0</v>
      </c>
      <c r="BW55" s="187">
        <f t="shared" si="124"/>
        <v>0</v>
      </c>
      <c r="BX55" s="187">
        <f t="shared" si="124"/>
        <v>0</v>
      </c>
      <c r="BY55" s="187">
        <f t="shared" ref="BY55:CA86" si="139">0/172.5</f>
        <v>0</v>
      </c>
      <c r="BZ55" s="187">
        <f t="shared" si="139"/>
        <v>0</v>
      </c>
      <c r="CA55" s="17">
        <f t="shared" si="139"/>
        <v>0</v>
      </c>
      <c r="CB55" s="73">
        <f t="shared" si="104"/>
        <v>0</v>
      </c>
      <c r="CC55" s="187">
        <f t="shared" si="104"/>
        <v>0</v>
      </c>
      <c r="CD55" s="187">
        <f t="shared" si="104"/>
        <v>0</v>
      </c>
      <c r="CE55" s="187">
        <f t="shared" si="104"/>
        <v>0</v>
      </c>
      <c r="CF55" s="187">
        <f t="shared" si="104"/>
        <v>0</v>
      </c>
      <c r="CG55" s="187">
        <f t="shared" ref="CG55:CI86" si="140">0/172.5</f>
        <v>0</v>
      </c>
      <c r="CH55" s="187">
        <f t="shared" si="140"/>
        <v>0</v>
      </c>
      <c r="CI55" s="17">
        <f t="shared" si="140"/>
        <v>0</v>
      </c>
      <c r="CJ55" s="19">
        <f t="shared" si="115"/>
        <v>0</v>
      </c>
      <c r="CK55" s="187">
        <f t="shared" si="115"/>
        <v>0</v>
      </c>
      <c r="CL55" s="187">
        <f t="shared" si="115"/>
        <v>0</v>
      </c>
      <c r="CM55" s="187">
        <f t="shared" si="115"/>
        <v>0</v>
      </c>
      <c r="CN55" s="187">
        <f t="shared" si="115"/>
        <v>0</v>
      </c>
      <c r="CO55" s="187">
        <f t="shared" ref="CO55:CQ86" si="141">0/172.5</f>
        <v>0</v>
      </c>
      <c r="CP55" s="187">
        <f t="shared" si="141"/>
        <v>0</v>
      </c>
      <c r="CQ55" s="17">
        <f t="shared" si="141"/>
        <v>0</v>
      </c>
      <c r="CR55" s="19">
        <f t="shared" si="116"/>
        <v>0</v>
      </c>
      <c r="CS55" s="187">
        <f t="shared" si="116"/>
        <v>0</v>
      </c>
      <c r="CT55" s="187">
        <f t="shared" si="116"/>
        <v>0</v>
      </c>
      <c r="CU55" s="187">
        <f t="shared" si="116"/>
        <v>0</v>
      </c>
      <c r="CV55" s="187">
        <f t="shared" si="116"/>
        <v>0</v>
      </c>
      <c r="CW55" s="187">
        <f t="shared" ref="CW55:CY86" si="142">0/172.5</f>
        <v>0</v>
      </c>
      <c r="CX55" s="187">
        <f t="shared" si="142"/>
        <v>0</v>
      </c>
      <c r="CY55" s="17">
        <f t="shared" si="142"/>
        <v>0</v>
      </c>
      <c r="CZ55" s="278"/>
    </row>
    <row r="56" spans="1:104" ht="26.25" customHeight="1" x14ac:dyDescent="0.4">
      <c r="A56" s="380"/>
      <c r="B56" s="380"/>
      <c r="C56" s="380"/>
      <c r="D56" s="382"/>
      <c r="E56" s="406"/>
      <c r="F56" s="382"/>
      <c r="G56" s="404"/>
      <c r="H56" s="490"/>
      <c r="I56" s="490"/>
      <c r="J56" s="498"/>
      <c r="K56" s="492"/>
      <c r="L56" s="492"/>
      <c r="M56" s="494"/>
      <c r="N56" s="39" t="s">
        <v>25</v>
      </c>
      <c r="O56" s="207">
        <f t="shared" si="133"/>
        <v>0</v>
      </c>
      <c r="P56" s="207">
        <f t="shared" si="133"/>
        <v>0</v>
      </c>
      <c r="Q56" s="207">
        <f t="shared" si="133"/>
        <v>0</v>
      </c>
      <c r="R56" s="207">
        <f t="shared" si="133"/>
        <v>0</v>
      </c>
      <c r="S56" s="207">
        <f t="shared" si="133"/>
        <v>0</v>
      </c>
      <c r="T56" s="207">
        <f t="shared" si="133"/>
        <v>0</v>
      </c>
      <c r="U56" s="49">
        <f t="shared" si="133"/>
        <v>0</v>
      </c>
      <c r="V56" s="57">
        <f t="shared" si="119"/>
        <v>0</v>
      </c>
      <c r="W56" s="18">
        <f t="shared" si="119"/>
        <v>0</v>
      </c>
      <c r="X56" s="18">
        <f t="shared" si="119"/>
        <v>0</v>
      </c>
      <c r="Y56" s="18">
        <f t="shared" si="119"/>
        <v>0</v>
      </c>
      <c r="Z56" s="18">
        <f t="shared" si="119"/>
        <v>0</v>
      </c>
      <c r="AA56" s="18">
        <f t="shared" si="120"/>
        <v>0</v>
      </c>
      <c r="AB56" s="42">
        <f t="shared" si="132"/>
        <v>0</v>
      </c>
      <c r="AC56" s="52">
        <f t="shared" si="132"/>
        <v>0</v>
      </c>
      <c r="AD56" s="207">
        <f t="shared" si="132"/>
        <v>0</v>
      </c>
      <c r="AE56" s="207">
        <f t="shared" si="132"/>
        <v>0</v>
      </c>
      <c r="AF56" s="207">
        <f t="shared" si="132"/>
        <v>0</v>
      </c>
      <c r="AG56" s="18">
        <f t="shared" si="132"/>
        <v>0</v>
      </c>
      <c r="AH56" s="57">
        <f>(3.75+1.5)/165</f>
        <v>3.1818181818181815E-2</v>
      </c>
      <c r="AI56" s="207">
        <f t="shared" si="121"/>
        <v>0</v>
      </c>
      <c r="AJ56" s="207">
        <f>(8.5+2)/165</f>
        <v>6.363636363636363E-2</v>
      </c>
      <c r="AK56" s="207">
        <f t="shared" si="121"/>
        <v>0</v>
      </c>
      <c r="AL56" s="207">
        <f t="shared" si="121"/>
        <v>0</v>
      </c>
      <c r="AM56" s="207">
        <f>(0+2)/165</f>
        <v>1.2121212121212121E-2</v>
      </c>
      <c r="AN56" s="57">
        <f t="shared" si="122"/>
        <v>0</v>
      </c>
      <c r="AO56" s="207">
        <f t="shared" si="122"/>
        <v>0</v>
      </c>
      <c r="AP56" s="207">
        <f t="shared" si="122"/>
        <v>0</v>
      </c>
      <c r="AQ56" s="207">
        <f t="shared" si="122"/>
        <v>0</v>
      </c>
      <c r="AR56" s="207">
        <f t="shared" si="122"/>
        <v>0</v>
      </c>
      <c r="AS56" s="207">
        <f t="shared" si="136"/>
        <v>0</v>
      </c>
      <c r="AT56" s="207">
        <f t="shared" si="136"/>
        <v>0</v>
      </c>
      <c r="AU56" s="49">
        <f t="shared" si="136"/>
        <v>0</v>
      </c>
      <c r="AV56" s="63">
        <f t="shared" si="103"/>
        <v>0</v>
      </c>
      <c r="AW56" s="208">
        <f t="shared" si="103"/>
        <v>0</v>
      </c>
      <c r="AX56" s="208">
        <f t="shared" si="103"/>
        <v>0</v>
      </c>
      <c r="AY56" s="208">
        <f t="shared" si="103"/>
        <v>0</v>
      </c>
      <c r="AZ56" s="208">
        <f t="shared" si="103"/>
        <v>0</v>
      </c>
      <c r="BA56" s="208">
        <f t="shared" si="103"/>
        <v>0</v>
      </c>
      <c r="BB56" s="208">
        <f t="shared" si="103"/>
        <v>0</v>
      </c>
      <c r="BC56" s="64">
        <f t="shared" si="103"/>
        <v>0</v>
      </c>
      <c r="BD56" s="63">
        <f t="shared" si="123"/>
        <v>0</v>
      </c>
      <c r="BE56" s="208">
        <f t="shared" si="123"/>
        <v>0</v>
      </c>
      <c r="BF56" s="208">
        <f t="shared" si="123"/>
        <v>0</v>
      </c>
      <c r="BG56" s="208">
        <f t="shared" si="123"/>
        <v>0</v>
      </c>
      <c r="BH56" s="208">
        <f t="shared" si="123"/>
        <v>0</v>
      </c>
      <c r="BI56" s="208">
        <f t="shared" si="137"/>
        <v>0</v>
      </c>
      <c r="BJ56" s="208">
        <f t="shared" si="137"/>
        <v>0</v>
      </c>
      <c r="BK56" s="64">
        <f t="shared" si="137"/>
        <v>0</v>
      </c>
      <c r="BL56" s="63">
        <f t="shared" si="114"/>
        <v>0</v>
      </c>
      <c r="BM56" s="208">
        <f t="shared" si="114"/>
        <v>0</v>
      </c>
      <c r="BN56" s="208">
        <f t="shared" si="114"/>
        <v>0</v>
      </c>
      <c r="BO56" s="208">
        <f t="shared" si="114"/>
        <v>0</v>
      </c>
      <c r="BP56" s="208">
        <f t="shared" si="114"/>
        <v>0</v>
      </c>
      <c r="BQ56" s="208">
        <f t="shared" si="138"/>
        <v>0</v>
      </c>
      <c r="BR56" s="208">
        <f t="shared" si="138"/>
        <v>0</v>
      </c>
      <c r="BS56" s="64">
        <f t="shared" si="138"/>
        <v>0</v>
      </c>
      <c r="BT56" s="63">
        <f t="shared" si="124"/>
        <v>0</v>
      </c>
      <c r="BU56" s="208">
        <f t="shared" si="124"/>
        <v>0</v>
      </c>
      <c r="BV56" s="208">
        <f t="shared" si="124"/>
        <v>0</v>
      </c>
      <c r="BW56" s="208">
        <f t="shared" si="124"/>
        <v>0</v>
      </c>
      <c r="BX56" s="208">
        <f t="shared" si="124"/>
        <v>0</v>
      </c>
      <c r="BY56" s="208">
        <f t="shared" si="139"/>
        <v>0</v>
      </c>
      <c r="BZ56" s="208">
        <f t="shared" si="139"/>
        <v>0</v>
      </c>
      <c r="CA56" s="64">
        <f t="shared" si="139"/>
        <v>0</v>
      </c>
      <c r="CB56" s="63">
        <f t="shared" si="104"/>
        <v>0</v>
      </c>
      <c r="CC56" s="208">
        <f t="shared" si="104"/>
        <v>0</v>
      </c>
      <c r="CD56" s="208">
        <f t="shared" si="104"/>
        <v>0</v>
      </c>
      <c r="CE56" s="208">
        <f t="shared" si="104"/>
        <v>0</v>
      </c>
      <c r="CF56" s="208">
        <f t="shared" si="104"/>
        <v>0</v>
      </c>
      <c r="CG56" s="208">
        <f t="shared" si="140"/>
        <v>0</v>
      </c>
      <c r="CH56" s="208">
        <f t="shared" si="140"/>
        <v>0</v>
      </c>
      <c r="CI56" s="64">
        <f t="shared" si="140"/>
        <v>0</v>
      </c>
      <c r="CJ56" s="63">
        <f t="shared" si="115"/>
        <v>0</v>
      </c>
      <c r="CK56" s="208">
        <f t="shared" si="115"/>
        <v>0</v>
      </c>
      <c r="CL56" s="208">
        <f t="shared" si="115"/>
        <v>0</v>
      </c>
      <c r="CM56" s="208">
        <f t="shared" si="115"/>
        <v>0</v>
      </c>
      <c r="CN56" s="208">
        <f t="shared" si="115"/>
        <v>0</v>
      </c>
      <c r="CO56" s="208">
        <f t="shared" si="141"/>
        <v>0</v>
      </c>
      <c r="CP56" s="208">
        <f t="shared" si="141"/>
        <v>0</v>
      </c>
      <c r="CQ56" s="64">
        <f t="shared" si="141"/>
        <v>0</v>
      </c>
      <c r="CR56" s="63">
        <f t="shared" si="116"/>
        <v>0</v>
      </c>
      <c r="CS56" s="208">
        <f t="shared" si="116"/>
        <v>0</v>
      </c>
      <c r="CT56" s="208">
        <f t="shared" si="116"/>
        <v>0</v>
      </c>
      <c r="CU56" s="208">
        <f t="shared" si="116"/>
        <v>0</v>
      </c>
      <c r="CV56" s="208">
        <f t="shared" si="116"/>
        <v>0</v>
      </c>
      <c r="CW56" s="208">
        <f t="shared" si="142"/>
        <v>0</v>
      </c>
      <c r="CX56" s="208">
        <f t="shared" si="142"/>
        <v>0</v>
      </c>
      <c r="CY56" s="64">
        <f t="shared" si="142"/>
        <v>0</v>
      </c>
      <c r="CZ56" s="278"/>
    </row>
    <row r="57" spans="1:104" ht="26.25" customHeight="1" collapsed="1" x14ac:dyDescent="0.4">
      <c r="A57" s="379">
        <v>26</v>
      </c>
      <c r="B57" s="379" t="s">
        <v>47</v>
      </c>
      <c r="C57" s="379" t="s">
        <v>14</v>
      </c>
      <c r="D57" s="381" t="s">
        <v>664</v>
      </c>
      <c r="E57" s="405" t="s">
        <v>665</v>
      </c>
      <c r="F57" s="381"/>
      <c r="G57" s="404" t="s">
        <v>666</v>
      </c>
      <c r="H57" s="489">
        <f t="shared" ref="H57" si="143">SUM(AH57:AM57)</f>
        <v>0.27272727272727271</v>
      </c>
      <c r="I57" s="489">
        <f t="shared" ref="I57" si="144">SUM(AH58:AM58)</f>
        <v>0.20303030303030301</v>
      </c>
      <c r="J57" s="497"/>
      <c r="K57" s="491"/>
      <c r="L57" s="491"/>
      <c r="M57" s="493"/>
      <c r="N57" s="48" t="s">
        <v>24</v>
      </c>
      <c r="O57" s="187">
        <f t="shared" si="133"/>
        <v>0</v>
      </c>
      <c r="P57" s="187">
        <f t="shared" si="133"/>
        <v>0</v>
      </c>
      <c r="Q57" s="187">
        <f t="shared" si="133"/>
        <v>0</v>
      </c>
      <c r="R57" s="187">
        <f t="shared" si="133"/>
        <v>0</v>
      </c>
      <c r="S57" s="187">
        <f t="shared" si="133"/>
        <v>0</v>
      </c>
      <c r="T57" s="187">
        <f t="shared" si="133"/>
        <v>0</v>
      </c>
      <c r="U57" s="82">
        <f t="shared" si="133"/>
        <v>0</v>
      </c>
      <c r="V57" s="19">
        <f t="shared" ref="V57:Z88" si="145">0/142.5</f>
        <v>0</v>
      </c>
      <c r="W57" s="187">
        <f t="shared" si="145"/>
        <v>0</v>
      </c>
      <c r="X57" s="187">
        <f t="shared" si="145"/>
        <v>0</v>
      </c>
      <c r="Y57" s="187">
        <f t="shared" si="145"/>
        <v>0</v>
      </c>
      <c r="Z57" s="187">
        <f t="shared" si="145"/>
        <v>0</v>
      </c>
      <c r="AA57" s="187">
        <f t="shared" si="120"/>
        <v>0</v>
      </c>
      <c r="AB57" s="19">
        <f t="shared" si="132"/>
        <v>0</v>
      </c>
      <c r="AC57" s="187">
        <f t="shared" si="132"/>
        <v>0</v>
      </c>
      <c r="AD57" s="249">
        <f t="shared" si="132"/>
        <v>0</v>
      </c>
      <c r="AE57" s="187">
        <f t="shared" si="132"/>
        <v>0</v>
      </c>
      <c r="AF57" s="187">
        <f t="shared" si="132"/>
        <v>0</v>
      </c>
      <c r="AG57" s="187">
        <f t="shared" si="132"/>
        <v>0</v>
      </c>
      <c r="AH57" s="73">
        <f>(5)/165</f>
        <v>3.0303030303030304E-2</v>
      </c>
      <c r="AI57" s="187">
        <f t="shared" si="127"/>
        <v>0</v>
      </c>
      <c r="AJ57" s="187">
        <f t="shared" ref="AJ57" si="146">(30)/165</f>
        <v>0.18181818181818182</v>
      </c>
      <c r="AK57" s="187">
        <f t="shared" si="127"/>
        <v>0</v>
      </c>
      <c r="AL57" s="187">
        <f t="shared" si="127"/>
        <v>0</v>
      </c>
      <c r="AM57" s="187">
        <f>(10)/165</f>
        <v>6.0606060606060608E-2</v>
      </c>
      <c r="AN57" s="73">
        <f t="shared" si="122"/>
        <v>0</v>
      </c>
      <c r="AO57" s="187">
        <f t="shared" si="122"/>
        <v>0</v>
      </c>
      <c r="AP57" s="187">
        <f t="shared" si="122"/>
        <v>0</v>
      </c>
      <c r="AQ57" s="187">
        <f t="shared" si="122"/>
        <v>0</v>
      </c>
      <c r="AR57" s="187">
        <f t="shared" si="122"/>
        <v>0</v>
      </c>
      <c r="AS57" s="187">
        <f t="shared" si="136"/>
        <v>0</v>
      </c>
      <c r="AT57" s="187">
        <f t="shared" si="136"/>
        <v>0</v>
      </c>
      <c r="AU57" s="221">
        <f t="shared" si="136"/>
        <v>0</v>
      </c>
      <c r="AV57" s="222">
        <f t="shared" si="103"/>
        <v>0</v>
      </c>
      <c r="AW57" s="187">
        <f t="shared" si="103"/>
        <v>0</v>
      </c>
      <c r="AX57" s="187">
        <f t="shared" si="103"/>
        <v>0</v>
      </c>
      <c r="AY57" s="187">
        <f t="shared" si="103"/>
        <v>0</v>
      </c>
      <c r="AZ57" s="187">
        <f t="shared" si="103"/>
        <v>0</v>
      </c>
      <c r="BA57" s="187">
        <f t="shared" si="103"/>
        <v>0</v>
      </c>
      <c r="BB57" s="187">
        <f t="shared" si="103"/>
        <v>0</v>
      </c>
      <c r="BC57" s="17">
        <f t="shared" si="103"/>
        <v>0</v>
      </c>
      <c r="BD57" s="19">
        <f t="shared" si="123"/>
        <v>0</v>
      </c>
      <c r="BE57" s="187">
        <f t="shared" si="123"/>
        <v>0</v>
      </c>
      <c r="BF57" s="187">
        <f t="shared" si="123"/>
        <v>0</v>
      </c>
      <c r="BG57" s="187">
        <f t="shared" si="123"/>
        <v>0</v>
      </c>
      <c r="BH57" s="187">
        <f t="shared" si="123"/>
        <v>0</v>
      </c>
      <c r="BI57" s="187">
        <f t="shared" si="137"/>
        <v>0</v>
      </c>
      <c r="BJ57" s="187">
        <f t="shared" si="137"/>
        <v>0</v>
      </c>
      <c r="BK57" s="17">
        <f t="shared" si="137"/>
        <v>0</v>
      </c>
      <c r="BL57" s="19">
        <f t="shared" ref="BL57:BP66" si="147">0/142.5</f>
        <v>0</v>
      </c>
      <c r="BM57" s="187">
        <f t="shared" si="147"/>
        <v>0</v>
      </c>
      <c r="BN57" s="187">
        <f t="shared" si="147"/>
        <v>0</v>
      </c>
      <c r="BO57" s="187">
        <f t="shared" si="147"/>
        <v>0</v>
      </c>
      <c r="BP57" s="187">
        <f t="shared" si="147"/>
        <v>0</v>
      </c>
      <c r="BQ57" s="187">
        <f t="shared" si="138"/>
        <v>0</v>
      </c>
      <c r="BR57" s="187">
        <f t="shared" si="138"/>
        <v>0</v>
      </c>
      <c r="BS57" s="17">
        <f t="shared" si="138"/>
        <v>0</v>
      </c>
      <c r="BT57" s="19">
        <f t="shared" si="124"/>
        <v>0</v>
      </c>
      <c r="BU57" s="187">
        <f t="shared" si="124"/>
        <v>0</v>
      </c>
      <c r="BV57" s="187">
        <f t="shared" si="124"/>
        <v>0</v>
      </c>
      <c r="BW57" s="187">
        <f t="shared" si="124"/>
        <v>0</v>
      </c>
      <c r="BX57" s="187">
        <f t="shared" si="124"/>
        <v>0</v>
      </c>
      <c r="BY57" s="187">
        <f t="shared" si="139"/>
        <v>0</v>
      </c>
      <c r="BZ57" s="187">
        <f t="shared" si="139"/>
        <v>0</v>
      </c>
      <c r="CA57" s="17">
        <f t="shared" si="139"/>
        <v>0</v>
      </c>
      <c r="CB57" s="73">
        <f t="shared" si="104"/>
        <v>0</v>
      </c>
      <c r="CC57" s="187">
        <f t="shared" si="104"/>
        <v>0</v>
      </c>
      <c r="CD57" s="187">
        <f t="shared" si="104"/>
        <v>0</v>
      </c>
      <c r="CE57" s="187">
        <f t="shared" si="104"/>
        <v>0</v>
      </c>
      <c r="CF57" s="187">
        <f t="shared" si="104"/>
        <v>0</v>
      </c>
      <c r="CG57" s="187">
        <f t="shared" si="140"/>
        <v>0</v>
      </c>
      <c r="CH57" s="187">
        <f t="shared" si="140"/>
        <v>0</v>
      </c>
      <c r="CI57" s="17">
        <f t="shared" si="140"/>
        <v>0</v>
      </c>
      <c r="CJ57" s="19">
        <f t="shared" ref="CJ57:CN66" si="148">0/157.5</f>
        <v>0</v>
      </c>
      <c r="CK57" s="187">
        <f t="shared" si="148"/>
        <v>0</v>
      </c>
      <c r="CL57" s="187">
        <f t="shared" si="148"/>
        <v>0</v>
      </c>
      <c r="CM57" s="187">
        <f t="shared" si="148"/>
        <v>0</v>
      </c>
      <c r="CN57" s="187">
        <f t="shared" si="148"/>
        <v>0</v>
      </c>
      <c r="CO57" s="187">
        <f t="shared" si="141"/>
        <v>0</v>
      </c>
      <c r="CP57" s="187">
        <f t="shared" si="141"/>
        <v>0</v>
      </c>
      <c r="CQ57" s="17">
        <f t="shared" si="141"/>
        <v>0</v>
      </c>
      <c r="CR57" s="19">
        <f t="shared" ref="CR57:CV66" si="149">0/142.5</f>
        <v>0</v>
      </c>
      <c r="CS57" s="187">
        <f t="shared" si="149"/>
        <v>0</v>
      </c>
      <c r="CT57" s="187">
        <f t="shared" si="149"/>
        <v>0</v>
      </c>
      <c r="CU57" s="187">
        <f t="shared" si="149"/>
        <v>0</v>
      </c>
      <c r="CV57" s="187">
        <f t="shared" si="149"/>
        <v>0</v>
      </c>
      <c r="CW57" s="187">
        <f t="shared" si="142"/>
        <v>0</v>
      </c>
      <c r="CX57" s="187">
        <f t="shared" si="142"/>
        <v>0</v>
      </c>
      <c r="CY57" s="17">
        <f t="shared" si="142"/>
        <v>0</v>
      </c>
      <c r="CZ57" s="278"/>
    </row>
    <row r="58" spans="1:104" ht="26.25" customHeight="1" x14ac:dyDescent="0.4">
      <c r="A58" s="380"/>
      <c r="B58" s="380"/>
      <c r="C58" s="380"/>
      <c r="D58" s="382"/>
      <c r="E58" s="406"/>
      <c r="F58" s="382"/>
      <c r="G58" s="404"/>
      <c r="H58" s="490"/>
      <c r="I58" s="490"/>
      <c r="J58" s="498"/>
      <c r="K58" s="492"/>
      <c r="L58" s="492"/>
      <c r="M58" s="494"/>
      <c r="N58" s="39" t="s">
        <v>25</v>
      </c>
      <c r="O58" s="207">
        <f t="shared" si="133"/>
        <v>0</v>
      </c>
      <c r="P58" s="207">
        <f t="shared" si="133"/>
        <v>0</v>
      </c>
      <c r="Q58" s="207">
        <f t="shared" si="133"/>
        <v>0</v>
      </c>
      <c r="R58" s="207">
        <f t="shared" si="133"/>
        <v>0</v>
      </c>
      <c r="S58" s="207">
        <f t="shared" si="133"/>
        <v>0</v>
      </c>
      <c r="T58" s="207">
        <f t="shared" si="133"/>
        <v>0</v>
      </c>
      <c r="U58" s="49">
        <f t="shared" si="133"/>
        <v>0</v>
      </c>
      <c r="V58" s="57">
        <f t="shared" si="145"/>
        <v>0</v>
      </c>
      <c r="W58" s="18">
        <f t="shared" si="145"/>
        <v>0</v>
      </c>
      <c r="X58" s="18">
        <f t="shared" si="145"/>
        <v>0</v>
      </c>
      <c r="Y58" s="18">
        <f t="shared" si="145"/>
        <v>0</v>
      </c>
      <c r="Z58" s="18">
        <f t="shared" si="145"/>
        <v>0</v>
      </c>
      <c r="AA58" s="18">
        <f t="shared" ref="AA58:AA80" si="150">0/165</f>
        <v>0</v>
      </c>
      <c r="AB58" s="42">
        <f t="shared" si="132"/>
        <v>0</v>
      </c>
      <c r="AC58" s="52">
        <f t="shared" si="132"/>
        <v>0</v>
      </c>
      <c r="AD58" s="207">
        <f t="shared" si="132"/>
        <v>0</v>
      </c>
      <c r="AE58" s="207">
        <f t="shared" si="132"/>
        <v>0</v>
      </c>
      <c r="AF58" s="207">
        <f t="shared" si="132"/>
        <v>0</v>
      </c>
      <c r="AG58" s="18">
        <f t="shared" si="132"/>
        <v>0</v>
      </c>
      <c r="AH58" s="57">
        <f>(1+1)/165</f>
        <v>1.2121212121212121E-2</v>
      </c>
      <c r="AI58" s="207">
        <f t="shared" si="121"/>
        <v>0</v>
      </c>
      <c r="AJ58" s="207">
        <f>(13+9.5)/165</f>
        <v>0.13636363636363635</v>
      </c>
      <c r="AK58" s="207">
        <f t="shared" si="121"/>
        <v>0</v>
      </c>
      <c r="AL58" s="207">
        <f t="shared" si="121"/>
        <v>0</v>
      </c>
      <c r="AM58" s="207">
        <f>(7+2)/165</f>
        <v>5.4545454545454543E-2</v>
      </c>
      <c r="AN58" s="57">
        <f t="shared" si="122"/>
        <v>0</v>
      </c>
      <c r="AO58" s="207">
        <f t="shared" si="122"/>
        <v>0</v>
      </c>
      <c r="AP58" s="207">
        <f t="shared" si="122"/>
        <v>0</v>
      </c>
      <c r="AQ58" s="207">
        <f t="shared" si="122"/>
        <v>0</v>
      </c>
      <c r="AR58" s="207">
        <f t="shared" si="122"/>
        <v>0</v>
      </c>
      <c r="AS58" s="207">
        <f t="shared" si="136"/>
        <v>0</v>
      </c>
      <c r="AT58" s="207">
        <f t="shared" si="136"/>
        <v>0</v>
      </c>
      <c r="AU58" s="49">
        <f t="shared" si="136"/>
        <v>0</v>
      </c>
      <c r="AV58" s="63">
        <f t="shared" si="103"/>
        <v>0</v>
      </c>
      <c r="AW58" s="208">
        <f t="shared" si="103"/>
        <v>0</v>
      </c>
      <c r="AX58" s="208">
        <f t="shared" si="103"/>
        <v>0</v>
      </c>
      <c r="AY58" s="208">
        <f t="shared" si="103"/>
        <v>0</v>
      </c>
      <c r="AZ58" s="208">
        <f t="shared" si="103"/>
        <v>0</v>
      </c>
      <c r="BA58" s="208">
        <f t="shared" si="103"/>
        <v>0</v>
      </c>
      <c r="BB58" s="208">
        <f t="shared" si="103"/>
        <v>0</v>
      </c>
      <c r="BC58" s="64">
        <f t="shared" si="103"/>
        <v>0</v>
      </c>
      <c r="BD58" s="63">
        <f t="shared" si="123"/>
        <v>0</v>
      </c>
      <c r="BE58" s="208">
        <f t="shared" si="123"/>
        <v>0</v>
      </c>
      <c r="BF58" s="208">
        <f t="shared" si="123"/>
        <v>0</v>
      </c>
      <c r="BG58" s="208">
        <f t="shared" si="123"/>
        <v>0</v>
      </c>
      <c r="BH58" s="208">
        <f t="shared" si="123"/>
        <v>0</v>
      </c>
      <c r="BI58" s="208">
        <f t="shared" si="137"/>
        <v>0</v>
      </c>
      <c r="BJ58" s="208">
        <f t="shared" si="137"/>
        <v>0</v>
      </c>
      <c r="BK58" s="64">
        <f t="shared" si="137"/>
        <v>0</v>
      </c>
      <c r="BL58" s="63">
        <f t="shared" si="147"/>
        <v>0</v>
      </c>
      <c r="BM58" s="208">
        <f t="shared" si="147"/>
        <v>0</v>
      </c>
      <c r="BN58" s="208">
        <f t="shared" si="147"/>
        <v>0</v>
      </c>
      <c r="BO58" s="208">
        <f t="shared" si="147"/>
        <v>0</v>
      </c>
      <c r="BP58" s="208">
        <f t="shared" si="147"/>
        <v>0</v>
      </c>
      <c r="BQ58" s="208">
        <f t="shared" si="138"/>
        <v>0</v>
      </c>
      <c r="BR58" s="208">
        <f t="shared" si="138"/>
        <v>0</v>
      </c>
      <c r="BS58" s="64">
        <f t="shared" si="138"/>
        <v>0</v>
      </c>
      <c r="BT58" s="63">
        <f t="shared" si="124"/>
        <v>0</v>
      </c>
      <c r="BU58" s="208">
        <f t="shared" si="124"/>
        <v>0</v>
      </c>
      <c r="BV58" s="208">
        <f t="shared" si="124"/>
        <v>0</v>
      </c>
      <c r="BW58" s="208">
        <f t="shared" si="124"/>
        <v>0</v>
      </c>
      <c r="BX58" s="208">
        <f t="shared" si="124"/>
        <v>0</v>
      </c>
      <c r="BY58" s="208">
        <f t="shared" si="139"/>
        <v>0</v>
      </c>
      <c r="BZ58" s="208">
        <f t="shared" si="139"/>
        <v>0</v>
      </c>
      <c r="CA58" s="64">
        <f t="shared" si="139"/>
        <v>0</v>
      </c>
      <c r="CB58" s="63">
        <f t="shared" si="104"/>
        <v>0</v>
      </c>
      <c r="CC58" s="208">
        <f t="shared" si="104"/>
        <v>0</v>
      </c>
      <c r="CD58" s="208">
        <f t="shared" si="104"/>
        <v>0</v>
      </c>
      <c r="CE58" s="208">
        <f t="shared" si="104"/>
        <v>0</v>
      </c>
      <c r="CF58" s="208">
        <f t="shared" si="104"/>
        <v>0</v>
      </c>
      <c r="CG58" s="208">
        <f t="shared" si="140"/>
        <v>0</v>
      </c>
      <c r="CH58" s="208">
        <f t="shared" si="140"/>
        <v>0</v>
      </c>
      <c r="CI58" s="64">
        <f t="shared" si="140"/>
        <v>0</v>
      </c>
      <c r="CJ58" s="63">
        <f t="shared" si="148"/>
        <v>0</v>
      </c>
      <c r="CK58" s="208">
        <f t="shared" si="148"/>
        <v>0</v>
      </c>
      <c r="CL58" s="208">
        <f t="shared" si="148"/>
        <v>0</v>
      </c>
      <c r="CM58" s="208">
        <f t="shared" si="148"/>
        <v>0</v>
      </c>
      <c r="CN58" s="208">
        <f t="shared" si="148"/>
        <v>0</v>
      </c>
      <c r="CO58" s="208">
        <f t="shared" si="141"/>
        <v>0</v>
      </c>
      <c r="CP58" s="208">
        <f t="shared" si="141"/>
        <v>0</v>
      </c>
      <c r="CQ58" s="64">
        <f t="shared" si="141"/>
        <v>0</v>
      </c>
      <c r="CR58" s="63">
        <f t="shared" si="149"/>
        <v>0</v>
      </c>
      <c r="CS58" s="208">
        <f t="shared" si="149"/>
        <v>0</v>
      </c>
      <c r="CT58" s="208">
        <f t="shared" si="149"/>
        <v>0</v>
      </c>
      <c r="CU58" s="208">
        <f t="shared" si="149"/>
        <v>0</v>
      </c>
      <c r="CV58" s="208">
        <f t="shared" si="149"/>
        <v>0</v>
      </c>
      <c r="CW58" s="208">
        <f t="shared" si="142"/>
        <v>0</v>
      </c>
      <c r="CX58" s="208">
        <f t="shared" si="142"/>
        <v>0</v>
      </c>
      <c r="CY58" s="64">
        <f t="shared" si="142"/>
        <v>0</v>
      </c>
      <c r="CZ58" s="278"/>
    </row>
    <row r="59" spans="1:104" ht="26.25" customHeight="1" x14ac:dyDescent="0.4">
      <c r="A59" s="379">
        <v>27</v>
      </c>
      <c r="B59" s="379" t="s">
        <v>47</v>
      </c>
      <c r="C59" s="379" t="s">
        <v>14</v>
      </c>
      <c r="D59" s="381" t="s">
        <v>482</v>
      </c>
      <c r="E59" s="405" t="s">
        <v>667</v>
      </c>
      <c r="F59" s="381"/>
      <c r="G59" s="404" t="s">
        <v>668</v>
      </c>
      <c r="H59" s="489">
        <f t="shared" ref="H59" si="151">SUM(AH59:AM59)</f>
        <v>0.21212121212121213</v>
      </c>
      <c r="I59" s="489">
        <f t="shared" ref="I59" si="152">SUM(AH60:AM60)</f>
        <v>0.13030303030303031</v>
      </c>
      <c r="J59" s="497"/>
      <c r="K59" s="491"/>
      <c r="L59" s="491"/>
      <c r="M59" s="493"/>
      <c r="N59" s="48" t="s">
        <v>24</v>
      </c>
      <c r="O59" s="187">
        <f t="shared" si="133"/>
        <v>0</v>
      </c>
      <c r="P59" s="187">
        <f t="shared" si="133"/>
        <v>0</v>
      </c>
      <c r="Q59" s="187">
        <f t="shared" si="133"/>
        <v>0</v>
      </c>
      <c r="R59" s="187">
        <f t="shared" si="133"/>
        <v>0</v>
      </c>
      <c r="S59" s="187">
        <f t="shared" si="133"/>
        <v>0</v>
      </c>
      <c r="T59" s="187">
        <f t="shared" si="133"/>
        <v>0</v>
      </c>
      <c r="U59" s="82">
        <f t="shared" si="133"/>
        <v>0</v>
      </c>
      <c r="V59" s="19">
        <f t="shared" si="145"/>
        <v>0</v>
      </c>
      <c r="W59" s="187">
        <f t="shared" si="145"/>
        <v>0</v>
      </c>
      <c r="X59" s="187">
        <f t="shared" si="145"/>
        <v>0</v>
      </c>
      <c r="Y59" s="187">
        <f t="shared" si="145"/>
        <v>0</v>
      </c>
      <c r="Z59" s="187">
        <f t="shared" si="145"/>
        <v>0</v>
      </c>
      <c r="AA59" s="187">
        <f t="shared" si="150"/>
        <v>0</v>
      </c>
      <c r="AB59" s="19">
        <f t="shared" si="132"/>
        <v>0</v>
      </c>
      <c r="AC59" s="187">
        <f t="shared" si="132"/>
        <v>0</v>
      </c>
      <c r="AD59" s="249">
        <f t="shared" si="132"/>
        <v>0</v>
      </c>
      <c r="AE59" s="187">
        <f t="shared" si="132"/>
        <v>0</v>
      </c>
      <c r="AF59" s="187">
        <f t="shared" si="132"/>
        <v>0</v>
      </c>
      <c r="AG59" s="187">
        <f t="shared" si="132"/>
        <v>0</v>
      </c>
      <c r="AH59" s="73">
        <f>(5)/165</f>
        <v>3.0303030303030304E-2</v>
      </c>
      <c r="AI59" s="187">
        <f t="shared" si="127"/>
        <v>0</v>
      </c>
      <c r="AJ59" s="187">
        <f t="shared" ref="AJ59" si="153">(20)/165</f>
        <v>0.12121212121212122</v>
      </c>
      <c r="AK59" s="187">
        <f t="shared" si="127"/>
        <v>0</v>
      </c>
      <c r="AL59" s="187">
        <f t="shared" si="127"/>
        <v>0</v>
      </c>
      <c r="AM59" s="187">
        <f>(10)/165</f>
        <v>6.0606060606060608E-2</v>
      </c>
      <c r="AN59" s="73">
        <f t="shared" si="122"/>
        <v>0</v>
      </c>
      <c r="AO59" s="187">
        <f t="shared" si="122"/>
        <v>0</v>
      </c>
      <c r="AP59" s="187">
        <f t="shared" si="122"/>
        <v>0</v>
      </c>
      <c r="AQ59" s="187">
        <f t="shared" si="122"/>
        <v>0</v>
      </c>
      <c r="AR59" s="187">
        <f t="shared" si="122"/>
        <v>0</v>
      </c>
      <c r="AS59" s="187">
        <f t="shared" si="136"/>
        <v>0</v>
      </c>
      <c r="AT59" s="187">
        <f t="shared" si="136"/>
        <v>0</v>
      </c>
      <c r="AU59" s="221">
        <f t="shared" si="136"/>
        <v>0</v>
      </c>
      <c r="AV59" s="222">
        <f t="shared" si="103"/>
        <v>0</v>
      </c>
      <c r="AW59" s="187">
        <f t="shared" si="103"/>
        <v>0</v>
      </c>
      <c r="AX59" s="187">
        <f t="shared" si="103"/>
        <v>0</v>
      </c>
      <c r="AY59" s="187">
        <f t="shared" si="103"/>
        <v>0</v>
      </c>
      <c r="AZ59" s="187">
        <f t="shared" si="103"/>
        <v>0</v>
      </c>
      <c r="BA59" s="187">
        <f t="shared" si="103"/>
        <v>0</v>
      </c>
      <c r="BB59" s="187">
        <f t="shared" si="103"/>
        <v>0</v>
      </c>
      <c r="BC59" s="17">
        <f t="shared" si="103"/>
        <v>0</v>
      </c>
      <c r="BD59" s="19">
        <f t="shared" si="123"/>
        <v>0</v>
      </c>
      <c r="BE59" s="187">
        <f t="shared" si="123"/>
        <v>0</v>
      </c>
      <c r="BF59" s="187">
        <f t="shared" si="123"/>
        <v>0</v>
      </c>
      <c r="BG59" s="187">
        <f t="shared" si="123"/>
        <v>0</v>
      </c>
      <c r="BH59" s="187">
        <f t="shared" si="123"/>
        <v>0</v>
      </c>
      <c r="BI59" s="187">
        <f t="shared" si="137"/>
        <v>0</v>
      </c>
      <c r="BJ59" s="187">
        <f t="shared" si="137"/>
        <v>0</v>
      </c>
      <c r="BK59" s="17">
        <f t="shared" si="137"/>
        <v>0</v>
      </c>
      <c r="BL59" s="19">
        <f t="shared" si="147"/>
        <v>0</v>
      </c>
      <c r="BM59" s="187">
        <f t="shared" si="147"/>
        <v>0</v>
      </c>
      <c r="BN59" s="187">
        <f t="shared" si="147"/>
        <v>0</v>
      </c>
      <c r="BO59" s="187">
        <f t="shared" si="147"/>
        <v>0</v>
      </c>
      <c r="BP59" s="187">
        <f t="shared" si="147"/>
        <v>0</v>
      </c>
      <c r="BQ59" s="187">
        <f t="shared" si="138"/>
        <v>0</v>
      </c>
      <c r="BR59" s="187">
        <f t="shared" si="138"/>
        <v>0</v>
      </c>
      <c r="BS59" s="17">
        <f t="shared" si="138"/>
        <v>0</v>
      </c>
      <c r="BT59" s="19">
        <f t="shared" ref="BT59:BX68" si="154">0/157.5</f>
        <v>0</v>
      </c>
      <c r="BU59" s="187">
        <f t="shared" si="154"/>
        <v>0</v>
      </c>
      <c r="BV59" s="187">
        <f t="shared" si="154"/>
        <v>0</v>
      </c>
      <c r="BW59" s="187">
        <f t="shared" si="154"/>
        <v>0</v>
      </c>
      <c r="BX59" s="187">
        <f t="shared" si="154"/>
        <v>0</v>
      </c>
      <c r="BY59" s="187">
        <f t="shared" si="139"/>
        <v>0</v>
      </c>
      <c r="BZ59" s="187">
        <f t="shared" si="139"/>
        <v>0</v>
      </c>
      <c r="CA59" s="17">
        <f t="shared" si="139"/>
        <v>0</v>
      </c>
      <c r="CB59" s="73">
        <f t="shared" si="104"/>
        <v>0</v>
      </c>
      <c r="CC59" s="187">
        <f t="shared" si="104"/>
        <v>0</v>
      </c>
      <c r="CD59" s="187">
        <f t="shared" si="104"/>
        <v>0</v>
      </c>
      <c r="CE59" s="187">
        <f t="shared" si="104"/>
        <v>0</v>
      </c>
      <c r="CF59" s="187">
        <f t="shared" si="104"/>
        <v>0</v>
      </c>
      <c r="CG59" s="187">
        <f t="shared" si="140"/>
        <v>0</v>
      </c>
      <c r="CH59" s="187">
        <f t="shared" si="140"/>
        <v>0</v>
      </c>
      <c r="CI59" s="17">
        <f t="shared" si="140"/>
        <v>0</v>
      </c>
      <c r="CJ59" s="19">
        <f t="shared" si="148"/>
        <v>0</v>
      </c>
      <c r="CK59" s="187">
        <f t="shared" si="148"/>
        <v>0</v>
      </c>
      <c r="CL59" s="187">
        <f t="shared" si="148"/>
        <v>0</v>
      </c>
      <c r="CM59" s="187">
        <f t="shared" si="148"/>
        <v>0</v>
      </c>
      <c r="CN59" s="187">
        <f t="shared" si="148"/>
        <v>0</v>
      </c>
      <c r="CO59" s="187">
        <f t="shared" si="141"/>
        <v>0</v>
      </c>
      <c r="CP59" s="187">
        <f t="shared" si="141"/>
        <v>0</v>
      </c>
      <c r="CQ59" s="17">
        <f t="shared" si="141"/>
        <v>0</v>
      </c>
      <c r="CR59" s="19">
        <f t="shared" si="149"/>
        <v>0</v>
      </c>
      <c r="CS59" s="187">
        <f t="shared" si="149"/>
        <v>0</v>
      </c>
      <c r="CT59" s="187">
        <f t="shared" si="149"/>
        <v>0</v>
      </c>
      <c r="CU59" s="187">
        <f t="shared" si="149"/>
        <v>0</v>
      </c>
      <c r="CV59" s="187">
        <f t="shared" si="149"/>
        <v>0</v>
      </c>
      <c r="CW59" s="187">
        <f t="shared" si="142"/>
        <v>0</v>
      </c>
      <c r="CX59" s="187">
        <f t="shared" si="142"/>
        <v>0</v>
      </c>
      <c r="CY59" s="17">
        <f t="shared" si="142"/>
        <v>0</v>
      </c>
      <c r="CZ59" s="278"/>
    </row>
    <row r="60" spans="1:104" ht="26.25" customHeight="1" x14ac:dyDescent="0.4">
      <c r="A60" s="380"/>
      <c r="B60" s="380"/>
      <c r="C60" s="380"/>
      <c r="D60" s="382"/>
      <c r="E60" s="406"/>
      <c r="F60" s="382"/>
      <c r="G60" s="404"/>
      <c r="H60" s="490"/>
      <c r="I60" s="490"/>
      <c r="J60" s="498"/>
      <c r="K60" s="492"/>
      <c r="L60" s="492"/>
      <c r="M60" s="494"/>
      <c r="N60" s="39" t="s">
        <v>25</v>
      </c>
      <c r="O60" s="207">
        <f t="shared" si="133"/>
        <v>0</v>
      </c>
      <c r="P60" s="207">
        <f t="shared" si="133"/>
        <v>0</v>
      </c>
      <c r="Q60" s="207">
        <f t="shared" si="133"/>
        <v>0</v>
      </c>
      <c r="R60" s="207">
        <f t="shared" si="133"/>
        <v>0</v>
      </c>
      <c r="S60" s="207">
        <f t="shared" si="133"/>
        <v>0</v>
      </c>
      <c r="T60" s="207">
        <f t="shared" si="133"/>
        <v>0</v>
      </c>
      <c r="U60" s="49">
        <f t="shared" si="133"/>
        <v>0</v>
      </c>
      <c r="V60" s="57">
        <f t="shared" si="145"/>
        <v>0</v>
      </c>
      <c r="W60" s="18">
        <f t="shared" si="145"/>
        <v>0</v>
      </c>
      <c r="X60" s="18">
        <f t="shared" si="145"/>
        <v>0</v>
      </c>
      <c r="Y60" s="18">
        <f t="shared" si="145"/>
        <v>0</v>
      </c>
      <c r="Z60" s="18">
        <f t="shared" si="145"/>
        <v>0</v>
      </c>
      <c r="AA60" s="18">
        <f t="shared" si="150"/>
        <v>0</v>
      </c>
      <c r="AB60" s="42">
        <f t="shared" si="132"/>
        <v>0</v>
      </c>
      <c r="AC60" s="52">
        <f t="shared" si="132"/>
        <v>0</v>
      </c>
      <c r="AD60" s="207">
        <f t="shared" si="132"/>
        <v>0</v>
      </c>
      <c r="AE60" s="207">
        <f t="shared" si="132"/>
        <v>0</v>
      </c>
      <c r="AF60" s="207">
        <f t="shared" si="132"/>
        <v>0</v>
      </c>
      <c r="AG60" s="18">
        <f t="shared" si="132"/>
        <v>0</v>
      </c>
      <c r="AH60" s="57">
        <f>(1+0.5)/165</f>
        <v>9.0909090909090905E-3</v>
      </c>
      <c r="AI60" s="207">
        <f>(1.5)/165</f>
        <v>9.0909090909090905E-3</v>
      </c>
      <c r="AJ60" s="207">
        <f>(11.5)/165</f>
        <v>6.9696969696969702E-2</v>
      </c>
      <c r="AK60" s="207">
        <f t="shared" si="121"/>
        <v>0</v>
      </c>
      <c r="AL60" s="207">
        <f t="shared" si="121"/>
        <v>0</v>
      </c>
      <c r="AM60" s="207">
        <f>(7)/165</f>
        <v>4.2424242424242427E-2</v>
      </c>
      <c r="AN60" s="57">
        <f t="shared" si="122"/>
        <v>0</v>
      </c>
      <c r="AO60" s="207">
        <f t="shared" si="122"/>
        <v>0</v>
      </c>
      <c r="AP60" s="207">
        <f t="shared" si="122"/>
        <v>0</v>
      </c>
      <c r="AQ60" s="207">
        <f t="shared" si="122"/>
        <v>0</v>
      </c>
      <c r="AR60" s="207">
        <f t="shared" si="122"/>
        <v>0</v>
      </c>
      <c r="AS60" s="207">
        <f t="shared" si="136"/>
        <v>0</v>
      </c>
      <c r="AT60" s="207">
        <f t="shared" si="136"/>
        <v>0</v>
      </c>
      <c r="AU60" s="49">
        <f t="shared" si="136"/>
        <v>0</v>
      </c>
      <c r="AV60" s="63">
        <f t="shared" si="103"/>
        <v>0</v>
      </c>
      <c r="AW60" s="208">
        <f t="shared" si="103"/>
        <v>0</v>
      </c>
      <c r="AX60" s="208">
        <f t="shared" si="103"/>
        <v>0</v>
      </c>
      <c r="AY60" s="208">
        <f t="shared" si="103"/>
        <v>0</v>
      </c>
      <c r="AZ60" s="208">
        <f t="shared" si="103"/>
        <v>0</v>
      </c>
      <c r="BA60" s="208">
        <f t="shared" si="103"/>
        <v>0</v>
      </c>
      <c r="BB60" s="208">
        <f t="shared" si="103"/>
        <v>0</v>
      </c>
      <c r="BC60" s="64">
        <f t="shared" si="103"/>
        <v>0</v>
      </c>
      <c r="BD60" s="63">
        <f t="shared" si="123"/>
        <v>0</v>
      </c>
      <c r="BE60" s="208">
        <f t="shared" si="123"/>
        <v>0</v>
      </c>
      <c r="BF60" s="208">
        <f t="shared" si="123"/>
        <v>0</v>
      </c>
      <c r="BG60" s="208">
        <f t="shared" si="123"/>
        <v>0</v>
      </c>
      <c r="BH60" s="208">
        <f t="shared" si="123"/>
        <v>0</v>
      </c>
      <c r="BI60" s="208">
        <f t="shared" si="137"/>
        <v>0</v>
      </c>
      <c r="BJ60" s="208">
        <f t="shared" si="137"/>
        <v>0</v>
      </c>
      <c r="BK60" s="64">
        <f t="shared" si="137"/>
        <v>0</v>
      </c>
      <c r="BL60" s="63">
        <f t="shared" si="147"/>
        <v>0</v>
      </c>
      <c r="BM60" s="208">
        <f t="shared" si="147"/>
        <v>0</v>
      </c>
      <c r="BN60" s="208">
        <f t="shared" si="147"/>
        <v>0</v>
      </c>
      <c r="BO60" s="208">
        <f t="shared" si="147"/>
        <v>0</v>
      </c>
      <c r="BP60" s="208">
        <f t="shared" si="147"/>
        <v>0</v>
      </c>
      <c r="BQ60" s="208">
        <f t="shared" si="138"/>
        <v>0</v>
      </c>
      <c r="BR60" s="208">
        <f t="shared" si="138"/>
        <v>0</v>
      </c>
      <c r="BS60" s="64">
        <f t="shared" si="138"/>
        <v>0</v>
      </c>
      <c r="BT60" s="63">
        <f t="shared" si="154"/>
        <v>0</v>
      </c>
      <c r="BU60" s="208">
        <f t="shared" si="154"/>
        <v>0</v>
      </c>
      <c r="BV60" s="208">
        <f t="shared" si="154"/>
        <v>0</v>
      </c>
      <c r="BW60" s="208">
        <f t="shared" si="154"/>
        <v>0</v>
      </c>
      <c r="BX60" s="208">
        <f t="shared" si="154"/>
        <v>0</v>
      </c>
      <c r="BY60" s="208">
        <f t="shared" si="139"/>
        <v>0</v>
      </c>
      <c r="BZ60" s="208">
        <f t="shared" si="139"/>
        <v>0</v>
      </c>
      <c r="CA60" s="64">
        <f t="shared" si="139"/>
        <v>0</v>
      </c>
      <c r="CB60" s="63">
        <f t="shared" si="104"/>
        <v>0</v>
      </c>
      <c r="CC60" s="208">
        <f t="shared" si="104"/>
        <v>0</v>
      </c>
      <c r="CD60" s="208">
        <f t="shared" si="104"/>
        <v>0</v>
      </c>
      <c r="CE60" s="208">
        <f t="shared" si="104"/>
        <v>0</v>
      </c>
      <c r="CF60" s="208">
        <f t="shared" si="104"/>
        <v>0</v>
      </c>
      <c r="CG60" s="208">
        <f t="shared" si="140"/>
        <v>0</v>
      </c>
      <c r="CH60" s="208">
        <f t="shared" si="140"/>
        <v>0</v>
      </c>
      <c r="CI60" s="64">
        <f t="shared" si="140"/>
        <v>0</v>
      </c>
      <c r="CJ60" s="63">
        <f t="shared" si="148"/>
        <v>0</v>
      </c>
      <c r="CK60" s="208">
        <f t="shared" si="148"/>
        <v>0</v>
      </c>
      <c r="CL60" s="208">
        <f t="shared" si="148"/>
        <v>0</v>
      </c>
      <c r="CM60" s="208">
        <f t="shared" si="148"/>
        <v>0</v>
      </c>
      <c r="CN60" s="208">
        <f t="shared" si="148"/>
        <v>0</v>
      </c>
      <c r="CO60" s="208">
        <f t="shared" si="141"/>
        <v>0</v>
      </c>
      <c r="CP60" s="208">
        <f t="shared" si="141"/>
        <v>0</v>
      </c>
      <c r="CQ60" s="64">
        <f t="shared" si="141"/>
        <v>0</v>
      </c>
      <c r="CR60" s="63">
        <f t="shared" si="149"/>
        <v>0</v>
      </c>
      <c r="CS60" s="208">
        <f t="shared" si="149"/>
        <v>0</v>
      </c>
      <c r="CT60" s="208">
        <f t="shared" si="149"/>
        <v>0</v>
      </c>
      <c r="CU60" s="208">
        <f t="shared" si="149"/>
        <v>0</v>
      </c>
      <c r="CV60" s="208">
        <f t="shared" si="149"/>
        <v>0</v>
      </c>
      <c r="CW60" s="208">
        <f t="shared" si="142"/>
        <v>0</v>
      </c>
      <c r="CX60" s="208">
        <f t="shared" si="142"/>
        <v>0</v>
      </c>
      <c r="CY60" s="64">
        <f t="shared" si="142"/>
        <v>0</v>
      </c>
      <c r="CZ60" s="278"/>
    </row>
    <row r="61" spans="1:104" ht="26.25" customHeight="1" collapsed="1" x14ac:dyDescent="0.4">
      <c r="A61" s="379">
        <v>28</v>
      </c>
      <c r="B61" s="379" t="s">
        <v>47</v>
      </c>
      <c r="C61" s="379" t="s">
        <v>14</v>
      </c>
      <c r="D61" s="381" t="s">
        <v>669</v>
      </c>
      <c r="E61" s="405" t="s">
        <v>670</v>
      </c>
      <c r="F61" s="381"/>
      <c r="G61" s="404" t="s">
        <v>671</v>
      </c>
      <c r="H61" s="489">
        <f t="shared" ref="H61" si="155">SUM(AH61:AM61)</f>
        <v>0.15151515151515152</v>
      </c>
      <c r="I61" s="489">
        <f t="shared" ref="I61" si="156">SUM(AH62:AM62)</f>
        <v>0.12121212121212122</v>
      </c>
      <c r="J61" s="497"/>
      <c r="K61" s="491"/>
      <c r="L61" s="491"/>
      <c r="M61" s="493"/>
      <c r="N61" s="48" t="s">
        <v>24</v>
      </c>
      <c r="O61" s="187">
        <f t="shared" si="133"/>
        <v>0</v>
      </c>
      <c r="P61" s="187">
        <f t="shared" si="133"/>
        <v>0</v>
      </c>
      <c r="Q61" s="187">
        <f t="shared" si="133"/>
        <v>0</v>
      </c>
      <c r="R61" s="187">
        <f t="shared" si="133"/>
        <v>0</v>
      </c>
      <c r="S61" s="187">
        <f t="shared" si="133"/>
        <v>0</v>
      </c>
      <c r="T61" s="187">
        <f t="shared" si="133"/>
        <v>0</v>
      </c>
      <c r="U61" s="82">
        <f t="shared" si="133"/>
        <v>0</v>
      </c>
      <c r="V61" s="19">
        <f t="shared" si="145"/>
        <v>0</v>
      </c>
      <c r="W61" s="187">
        <f t="shared" si="145"/>
        <v>0</v>
      </c>
      <c r="X61" s="187">
        <f t="shared" si="145"/>
        <v>0</v>
      </c>
      <c r="Y61" s="187">
        <f t="shared" si="145"/>
        <v>0</v>
      </c>
      <c r="Z61" s="187">
        <f t="shared" si="145"/>
        <v>0</v>
      </c>
      <c r="AA61" s="187">
        <f t="shared" si="150"/>
        <v>0</v>
      </c>
      <c r="AB61" s="19">
        <f t="shared" si="132"/>
        <v>0</v>
      </c>
      <c r="AC61" s="187">
        <f t="shared" si="132"/>
        <v>0</v>
      </c>
      <c r="AD61" s="249">
        <f t="shared" si="132"/>
        <v>0</v>
      </c>
      <c r="AE61" s="187">
        <f t="shared" si="132"/>
        <v>0</v>
      </c>
      <c r="AF61" s="187">
        <f t="shared" si="132"/>
        <v>0</v>
      </c>
      <c r="AG61" s="187">
        <f t="shared" si="132"/>
        <v>0</v>
      </c>
      <c r="AH61" s="73">
        <f>(5)/165</f>
        <v>3.0303030303030304E-2</v>
      </c>
      <c r="AI61" s="187">
        <f>(20)/165</f>
        <v>0.12121212121212122</v>
      </c>
      <c r="AJ61" s="187">
        <f t="shared" si="127"/>
        <v>0</v>
      </c>
      <c r="AK61" s="187">
        <f t="shared" si="127"/>
        <v>0</v>
      </c>
      <c r="AL61" s="187">
        <f t="shared" si="127"/>
        <v>0</v>
      </c>
      <c r="AM61" s="187">
        <f t="shared" si="127"/>
        <v>0</v>
      </c>
      <c r="AN61" s="73">
        <f t="shared" si="122"/>
        <v>0</v>
      </c>
      <c r="AO61" s="187">
        <f t="shared" si="122"/>
        <v>0</v>
      </c>
      <c r="AP61" s="187">
        <f t="shared" si="122"/>
        <v>0</v>
      </c>
      <c r="AQ61" s="187">
        <f t="shared" si="122"/>
        <v>0</v>
      </c>
      <c r="AR61" s="187">
        <f t="shared" si="122"/>
        <v>0</v>
      </c>
      <c r="AS61" s="187">
        <f t="shared" si="136"/>
        <v>0</v>
      </c>
      <c r="AT61" s="187">
        <f t="shared" si="136"/>
        <v>0</v>
      </c>
      <c r="AU61" s="221">
        <f t="shared" si="136"/>
        <v>0</v>
      </c>
      <c r="AV61" s="222">
        <f t="shared" si="103"/>
        <v>0</v>
      </c>
      <c r="AW61" s="187">
        <f t="shared" si="103"/>
        <v>0</v>
      </c>
      <c r="AX61" s="187">
        <f t="shared" si="103"/>
        <v>0</v>
      </c>
      <c r="AY61" s="187">
        <f t="shared" si="103"/>
        <v>0</v>
      </c>
      <c r="AZ61" s="187">
        <f t="shared" si="103"/>
        <v>0</v>
      </c>
      <c r="BA61" s="187">
        <f t="shared" si="103"/>
        <v>0</v>
      </c>
      <c r="BB61" s="187">
        <f t="shared" si="103"/>
        <v>0</v>
      </c>
      <c r="BC61" s="17">
        <f t="shared" si="103"/>
        <v>0</v>
      </c>
      <c r="BD61" s="19">
        <f t="shared" si="123"/>
        <v>0</v>
      </c>
      <c r="BE61" s="187">
        <f t="shared" si="123"/>
        <v>0</v>
      </c>
      <c r="BF61" s="187">
        <f t="shared" si="123"/>
        <v>0</v>
      </c>
      <c r="BG61" s="187">
        <f t="shared" si="123"/>
        <v>0</v>
      </c>
      <c r="BH61" s="187">
        <f t="shared" si="123"/>
        <v>0</v>
      </c>
      <c r="BI61" s="187">
        <f t="shared" si="137"/>
        <v>0</v>
      </c>
      <c r="BJ61" s="187">
        <f t="shared" si="137"/>
        <v>0</v>
      </c>
      <c r="BK61" s="17">
        <f t="shared" si="137"/>
        <v>0</v>
      </c>
      <c r="BL61" s="19">
        <f t="shared" si="147"/>
        <v>0</v>
      </c>
      <c r="BM61" s="187">
        <f t="shared" si="147"/>
        <v>0</v>
      </c>
      <c r="BN61" s="187">
        <f t="shared" si="147"/>
        <v>0</v>
      </c>
      <c r="BO61" s="187">
        <f t="shared" si="147"/>
        <v>0</v>
      </c>
      <c r="BP61" s="187">
        <f t="shared" si="147"/>
        <v>0</v>
      </c>
      <c r="BQ61" s="187">
        <f t="shared" si="138"/>
        <v>0</v>
      </c>
      <c r="BR61" s="187">
        <f t="shared" si="138"/>
        <v>0</v>
      </c>
      <c r="BS61" s="17">
        <f t="shared" si="138"/>
        <v>0</v>
      </c>
      <c r="BT61" s="19">
        <f t="shared" si="154"/>
        <v>0</v>
      </c>
      <c r="BU61" s="187">
        <f t="shared" si="154"/>
        <v>0</v>
      </c>
      <c r="BV61" s="187">
        <f t="shared" si="154"/>
        <v>0</v>
      </c>
      <c r="BW61" s="187">
        <f t="shared" si="154"/>
        <v>0</v>
      </c>
      <c r="BX61" s="187">
        <f t="shared" si="154"/>
        <v>0</v>
      </c>
      <c r="BY61" s="187">
        <f t="shared" si="139"/>
        <v>0</v>
      </c>
      <c r="BZ61" s="187">
        <f t="shared" si="139"/>
        <v>0</v>
      </c>
      <c r="CA61" s="17">
        <f t="shared" si="139"/>
        <v>0</v>
      </c>
      <c r="CB61" s="73">
        <f t="shared" si="104"/>
        <v>0</v>
      </c>
      <c r="CC61" s="187">
        <f t="shared" si="104"/>
        <v>0</v>
      </c>
      <c r="CD61" s="187">
        <f t="shared" si="104"/>
        <v>0</v>
      </c>
      <c r="CE61" s="187">
        <f t="shared" si="104"/>
        <v>0</v>
      </c>
      <c r="CF61" s="187">
        <f t="shared" si="104"/>
        <v>0</v>
      </c>
      <c r="CG61" s="187">
        <f t="shared" si="140"/>
        <v>0</v>
      </c>
      <c r="CH61" s="187">
        <f t="shared" si="140"/>
        <v>0</v>
      </c>
      <c r="CI61" s="17">
        <f t="shared" si="140"/>
        <v>0</v>
      </c>
      <c r="CJ61" s="19">
        <f t="shared" si="148"/>
        <v>0</v>
      </c>
      <c r="CK61" s="187">
        <f t="shared" si="148"/>
        <v>0</v>
      </c>
      <c r="CL61" s="187">
        <f t="shared" si="148"/>
        <v>0</v>
      </c>
      <c r="CM61" s="187">
        <f t="shared" si="148"/>
        <v>0</v>
      </c>
      <c r="CN61" s="187">
        <f t="shared" si="148"/>
        <v>0</v>
      </c>
      <c r="CO61" s="187">
        <f t="shared" si="141"/>
        <v>0</v>
      </c>
      <c r="CP61" s="187">
        <f t="shared" si="141"/>
        <v>0</v>
      </c>
      <c r="CQ61" s="17">
        <f t="shared" si="141"/>
        <v>0</v>
      </c>
      <c r="CR61" s="19">
        <f t="shared" si="149"/>
        <v>0</v>
      </c>
      <c r="CS61" s="187">
        <f t="shared" si="149"/>
        <v>0</v>
      </c>
      <c r="CT61" s="187">
        <f t="shared" si="149"/>
        <v>0</v>
      </c>
      <c r="CU61" s="187">
        <f t="shared" si="149"/>
        <v>0</v>
      </c>
      <c r="CV61" s="187">
        <f t="shared" si="149"/>
        <v>0</v>
      </c>
      <c r="CW61" s="187">
        <f t="shared" si="142"/>
        <v>0</v>
      </c>
      <c r="CX61" s="187">
        <f t="shared" si="142"/>
        <v>0</v>
      </c>
      <c r="CY61" s="17">
        <f t="shared" si="142"/>
        <v>0</v>
      </c>
      <c r="CZ61" s="278"/>
    </row>
    <row r="62" spans="1:104" ht="26.25" customHeight="1" x14ac:dyDescent="0.4">
      <c r="A62" s="380"/>
      <c r="B62" s="380"/>
      <c r="C62" s="380"/>
      <c r="D62" s="382"/>
      <c r="E62" s="406"/>
      <c r="F62" s="382"/>
      <c r="G62" s="404"/>
      <c r="H62" s="490"/>
      <c r="I62" s="490"/>
      <c r="J62" s="498"/>
      <c r="K62" s="492"/>
      <c r="L62" s="492"/>
      <c r="M62" s="494"/>
      <c r="N62" s="39" t="s">
        <v>25</v>
      </c>
      <c r="O62" s="207">
        <f t="shared" si="133"/>
        <v>0</v>
      </c>
      <c r="P62" s="207">
        <f t="shared" si="133"/>
        <v>0</v>
      </c>
      <c r="Q62" s="207">
        <f t="shared" si="133"/>
        <v>0</v>
      </c>
      <c r="R62" s="207">
        <f t="shared" si="133"/>
        <v>0</v>
      </c>
      <c r="S62" s="207">
        <f t="shared" si="133"/>
        <v>0</v>
      </c>
      <c r="T62" s="207">
        <f t="shared" si="133"/>
        <v>0</v>
      </c>
      <c r="U62" s="49">
        <f t="shared" si="133"/>
        <v>0</v>
      </c>
      <c r="V62" s="57">
        <f t="shared" si="145"/>
        <v>0</v>
      </c>
      <c r="W62" s="18">
        <f t="shared" si="145"/>
        <v>0</v>
      </c>
      <c r="X62" s="18">
        <f t="shared" si="145"/>
        <v>0</v>
      </c>
      <c r="Y62" s="18">
        <f t="shared" si="145"/>
        <v>0</v>
      </c>
      <c r="Z62" s="18">
        <f t="shared" si="145"/>
        <v>0</v>
      </c>
      <c r="AA62" s="18">
        <f t="shared" si="150"/>
        <v>0</v>
      </c>
      <c r="AB62" s="42">
        <f t="shared" si="132"/>
        <v>0</v>
      </c>
      <c r="AC62" s="52">
        <f t="shared" si="132"/>
        <v>0</v>
      </c>
      <c r="AD62" s="207">
        <f t="shared" si="132"/>
        <v>0</v>
      </c>
      <c r="AE62" s="207">
        <f t="shared" si="132"/>
        <v>0</v>
      </c>
      <c r="AF62" s="207">
        <f t="shared" si="132"/>
        <v>0</v>
      </c>
      <c r="AG62" s="18">
        <f t="shared" si="132"/>
        <v>0</v>
      </c>
      <c r="AH62" s="57">
        <f>(2.5+1)/165</f>
        <v>2.1212121212121213E-2</v>
      </c>
      <c r="AI62" s="207">
        <f>(8+8.5)/165</f>
        <v>0.1</v>
      </c>
      <c r="AJ62" s="207">
        <f t="shared" si="121"/>
        <v>0</v>
      </c>
      <c r="AK62" s="207">
        <f t="shared" si="121"/>
        <v>0</v>
      </c>
      <c r="AL62" s="207">
        <f t="shared" si="121"/>
        <v>0</v>
      </c>
      <c r="AM62" s="207">
        <f t="shared" si="121"/>
        <v>0</v>
      </c>
      <c r="AN62" s="57">
        <f t="shared" si="122"/>
        <v>0</v>
      </c>
      <c r="AO62" s="207">
        <f t="shared" si="122"/>
        <v>0</v>
      </c>
      <c r="AP62" s="207">
        <f t="shared" si="122"/>
        <v>0</v>
      </c>
      <c r="AQ62" s="207">
        <f t="shared" si="122"/>
        <v>0</v>
      </c>
      <c r="AR62" s="207">
        <f t="shared" si="122"/>
        <v>0</v>
      </c>
      <c r="AS62" s="207">
        <f t="shared" si="136"/>
        <v>0</v>
      </c>
      <c r="AT62" s="207">
        <f t="shared" si="136"/>
        <v>0</v>
      </c>
      <c r="AU62" s="49">
        <f t="shared" si="136"/>
        <v>0</v>
      </c>
      <c r="AV62" s="63">
        <f t="shared" si="103"/>
        <v>0</v>
      </c>
      <c r="AW62" s="208">
        <f t="shared" si="103"/>
        <v>0</v>
      </c>
      <c r="AX62" s="208">
        <f t="shared" si="103"/>
        <v>0</v>
      </c>
      <c r="AY62" s="208">
        <f t="shared" si="103"/>
        <v>0</v>
      </c>
      <c r="AZ62" s="208">
        <f t="shared" si="103"/>
        <v>0</v>
      </c>
      <c r="BA62" s="208">
        <f t="shared" si="103"/>
        <v>0</v>
      </c>
      <c r="BB62" s="208">
        <f t="shared" si="103"/>
        <v>0</v>
      </c>
      <c r="BC62" s="64">
        <f t="shared" si="103"/>
        <v>0</v>
      </c>
      <c r="BD62" s="63">
        <f t="shared" si="123"/>
        <v>0</v>
      </c>
      <c r="BE62" s="208">
        <f t="shared" si="123"/>
        <v>0</v>
      </c>
      <c r="BF62" s="208">
        <f t="shared" si="123"/>
        <v>0</v>
      </c>
      <c r="BG62" s="208">
        <f t="shared" si="123"/>
        <v>0</v>
      </c>
      <c r="BH62" s="208">
        <f t="shared" si="123"/>
        <v>0</v>
      </c>
      <c r="BI62" s="208">
        <f t="shared" si="137"/>
        <v>0</v>
      </c>
      <c r="BJ62" s="208">
        <f t="shared" si="137"/>
        <v>0</v>
      </c>
      <c r="BK62" s="64">
        <f t="shared" si="137"/>
        <v>0</v>
      </c>
      <c r="BL62" s="63">
        <f t="shared" si="147"/>
        <v>0</v>
      </c>
      <c r="BM62" s="208">
        <f t="shared" si="147"/>
        <v>0</v>
      </c>
      <c r="BN62" s="208">
        <f t="shared" si="147"/>
        <v>0</v>
      </c>
      <c r="BO62" s="208">
        <f t="shared" si="147"/>
        <v>0</v>
      </c>
      <c r="BP62" s="208">
        <f t="shared" si="147"/>
        <v>0</v>
      </c>
      <c r="BQ62" s="208">
        <f t="shared" si="138"/>
        <v>0</v>
      </c>
      <c r="BR62" s="208">
        <f t="shared" si="138"/>
        <v>0</v>
      </c>
      <c r="BS62" s="64">
        <f t="shared" si="138"/>
        <v>0</v>
      </c>
      <c r="BT62" s="63">
        <f t="shared" si="154"/>
        <v>0</v>
      </c>
      <c r="BU62" s="208">
        <f t="shared" si="154"/>
        <v>0</v>
      </c>
      <c r="BV62" s="208">
        <f t="shared" si="154"/>
        <v>0</v>
      </c>
      <c r="BW62" s="208">
        <f t="shared" si="154"/>
        <v>0</v>
      </c>
      <c r="BX62" s="208">
        <f t="shared" si="154"/>
        <v>0</v>
      </c>
      <c r="BY62" s="208">
        <f t="shared" si="139"/>
        <v>0</v>
      </c>
      <c r="BZ62" s="208">
        <f t="shared" si="139"/>
        <v>0</v>
      </c>
      <c r="CA62" s="64">
        <f t="shared" si="139"/>
        <v>0</v>
      </c>
      <c r="CB62" s="63">
        <f t="shared" si="104"/>
        <v>0</v>
      </c>
      <c r="CC62" s="208">
        <f t="shared" si="104"/>
        <v>0</v>
      </c>
      <c r="CD62" s="208">
        <f t="shared" si="104"/>
        <v>0</v>
      </c>
      <c r="CE62" s="208">
        <f t="shared" si="104"/>
        <v>0</v>
      </c>
      <c r="CF62" s="208">
        <f t="shared" si="104"/>
        <v>0</v>
      </c>
      <c r="CG62" s="208">
        <f t="shared" si="140"/>
        <v>0</v>
      </c>
      <c r="CH62" s="208">
        <f t="shared" si="140"/>
        <v>0</v>
      </c>
      <c r="CI62" s="64">
        <f t="shared" si="140"/>
        <v>0</v>
      </c>
      <c r="CJ62" s="63">
        <f t="shared" si="148"/>
        <v>0</v>
      </c>
      <c r="CK62" s="208">
        <f t="shared" si="148"/>
        <v>0</v>
      </c>
      <c r="CL62" s="208">
        <f t="shared" si="148"/>
        <v>0</v>
      </c>
      <c r="CM62" s="208">
        <f t="shared" si="148"/>
        <v>0</v>
      </c>
      <c r="CN62" s="208">
        <f t="shared" si="148"/>
        <v>0</v>
      </c>
      <c r="CO62" s="208">
        <f t="shared" si="141"/>
        <v>0</v>
      </c>
      <c r="CP62" s="208">
        <f t="shared" si="141"/>
        <v>0</v>
      </c>
      <c r="CQ62" s="64">
        <f t="shared" si="141"/>
        <v>0</v>
      </c>
      <c r="CR62" s="63">
        <f t="shared" si="149"/>
        <v>0</v>
      </c>
      <c r="CS62" s="208">
        <f t="shared" si="149"/>
        <v>0</v>
      </c>
      <c r="CT62" s="208">
        <f t="shared" si="149"/>
        <v>0</v>
      </c>
      <c r="CU62" s="208">
        <f t="shared" si="149"/>
        <v>0</v>
      </c>
      <c r="CV62" s="208">
        <f t="shared" si="149"/>
        <v>0</v>
      </c>
      <c r="CW62" s="208">
        <f t="shared" si="142"/>
        <v>0</v>
      </c>
      <c r="CX62" s="208">
        <f t="shared" si="142"/>
        <v>0</v>
      </c>
      <c r="CY62" s="64">
        <f t="shared" si="142"/>
        <v>0</v>
      </c>
      <c r="CZ62" s="278"/>
    </row>
    <row r="63" spans="1:104" ht="26.25" customHeight="1" collapsed="1" x14ac:dyDescent="0.4">
      <c r="A63" s="379">
        <v>29</v>
      </c>
      <c r="B63" s="379" t="s">
        <v>46</v>
      </c>
      <c r="C63" s="379" t="s">
        <v>14</v>
      </c>
      <c r="D63" s="381" t="s">
        <v>672</v>
      </c>
      <c r="E63" s="405" t="s">
        <v>673</v>
      </c>
      <c r="F63" s="381"/>
      <c r="G63" s="404" t="s">
        <v>674</v>
      </c>
      <c r="H63" s="489">
        <f t="shared" ref="H63" si="157">SUM(AH63:AM63)</f>
        <v>0.29090909090909089</v>
      </c>
      <c r="I63" s="489">
        <f t="shared" ref="I63" si="158">SUM(AH64:AM64)</f>
        <v>0.29545454545454547</v>
      </c>
      <c r="J63" s="497"/>
      <c r="K63" s="491"/>
      <c r="L63" s="491"/>
      <c r="M63" s="493"/>
      <c r="N63" s="48" t="s">
        <v>24</v>
      </c>
      <c r="O63" s="187">
        <f t="shared" si="133"/>
        <v>0</v>
      </c>
      <c r="P63" s="187">
        <f t="shared" si="133"/>
        <v>0</v>
      </c>
      <c r="Q63" s="187">
        <f t="shared" si="133"/>
        <v>0</v>
      </c>
      <c r="R63" s="187">
        <f t="shared" si="133"/>
        <v>0</v>
      </c>
      <c r="S63" s="187">
        <f t="shared" si="133"/>
        <v>0</v>
      </c>
      <c r="T63" s="187">
        <f t="shared" si="133"/>
        <v>0</v>
      </c>
      <c r="U63" s="82">
        <f t="shared" si="133"/>
        <v>0</v>
      </c>
      <c r="V63" s="19">
        <f t="shared" si="145"/>
        <v>0</v>
      </c>
      <c r="W63" s="187">
        <f t="shared" si="145"/>
        <v>0</v>
      </c>
      <c r="X63" s="187">
        <f t="shared" si="145"/>
        <v>0</v>
      </c>
      <c r="Y63" s="187">
        <f t="shared" si="145"/>
        <v>0</v>
      </c>
      <c r="Z63" s="187">
        <f t="shared" si="145"/>
        <v>0</v>
      </c>
      <c r="AA63" s="187">
        <f t="shared" si="150"/>
        <v>0</v>
      </c>
      <c r="AB63" s="19">
        <f t="shared" si="132"/>
        <v>0</v>
      </c>
      <c r="AC63" s="187">
        <f t="shared" si="132"/>
        <v>0</v>
      </c>
      <c r="AD63" s="249">
        <f t="shared" si="132"/>
        <v>0</v>
      </c>
      <c r="AE63" s="187">
        <f t="shared" si="132"/>
        <v>0</v>
      </c>
      <c r="AF63" s="187">
        <f t="shared" si="132"/>
        <v>0</v>
      </c>
      <c r="AG63" s="187">
        <f t="shared" si="132"/>
        <v>0</v>
      </c>
      <c r="AH63" s="73">
        <f>(8)/165</f>
        <v>4.8484848484848485E-2</v>
      </c>
      <c r="AI63" s="187">
        <f>(20)/165</f>
        <v>0.12121212121212122</v>
      </c>
      <c r="AJ63" s="187">
        <f>(20)/165</f>
        <v>0.12121212121212122</v>
      </c>
      <c r="AK63" s="187">
        <f t="shared" si="127"/>
        <v>0</v>
      </c>
      <c r="AL63" s="187">
        <f t="shared" si="127"/>
        <v>0</v>
      </c>
      <c r="AM63" s="187">
        <f t="shared" si="127"/>
        <v>0</v>
      </c>
      <c r="AN63" s="73">
        <f t="shared" si="122"/>
        <v>0</v>
      </c>
      <c r="AO63" s="187">
        <f t="shared" si="122"/>
        <v>0</v>
      </c>
      <c r="AP63" s="187">
        <f t="shared" si="122"/>
        <v>0</v>
      </c>
      <c r="AQ63" s="187">
        <f t="shared" si="122"/>
        <v>0</v>
      </c>
      <c r="AR63" s="187">
        <f t="shared" si="122"/>
        <v>0</v>
      </c>
      <c r="AS63" s="187">
        <f t="shared" si="136"/>
        <v>0</v>
      </c>
      <c r="AT63" s="187">
        <f t="shared" si="136"/>
        <v>0</v>
      </c>
      <c r="AU63" s="221">
        <f t="shared" si="136"/>
        <v>0</v>
      </c>
      <c r="AV63" s="222">
        <f t="shared" si="103"/>
        <v>0</v>
      </c>
      <c r="AW63" s="187">
        <f t="shared" si="103"/>
        <v>0</v>
      </c>
      <c r="AX63" s="187">
        <f t="shared" si="103"/>
        <v>0</v>
      </c>
      <c r="AY63" s="187">
        <f t="shared" si="103"/>
        <v>0</v>
      </c>
      <c r="AZ63" s="187">
        <f t="shared" si="103"/>
        <v>0</v>
      </c>
      <c r="BA63" s="187">
        <f t="shared" si="103"/>
        <v>0</v>
      </c>
      <c r="BB63" s="187">
        <f t="shared" si="103"/>
        <v>0</v>
      </c>
      <c r="BC63" s="17">
        <f t="shared" si="103"/>
        <v>0</v>
      </c>
      <c r="BD63" s="19">
        <f t="shared" si="123"/>
        <v>0</v>
      </c>
      <c r="BE63" s="187">
        <f t="shared" si="123"/>
        <v>0</v>
      </c>
      <c r="BF63" s="187">
        <f t="shared" si="123"/>
        <v>0</v>
      </c>
      <c r="BG63" s="187">
        <f t="shared" si="123"/>
        <v>0</v>
      </c>
      <c r="BH63" s="187">
        <f t="shared" si="123"/>
        <v>0</v>
      </c>
      <c r="BI63" s="187">
        <f t="shared" si="137"/>
        <v>0</v>
      </c>
      <c r="BJ63" s="187">
        <f t="shared" si="137"/>
        <v>0</v>
      </c>
      <c r="BK63" s="17">
        <f t="shared" si="137"/>
        <v>0</v>
      </c>
      <c r="BL63" s="19">
        <f t="shared" si="147"/>
        <v>0</v>
      </c>
      <c r="BM63" s="187">
        <f t="shared" si="147"/>
        <v>0</v>
      </c>
      <c r="BN63" s="187">
        <f t="shared" si="147"/>
        <v>0</v>
      </c>
      <c r="BO63" s="187">
        <f t="shared" si="147"/>
        <v>0</v>
      </c>
      <c r="BP63" s="187">
        <f t="shared" si="147"/>
        <v>0</v>
      </c>
      <c r="BQ63" s="187">
        <f t="shared" si="138"/>
        <v>0</v>
      </c>
      <c r="BR63" s="187">
        <f t="shared" si="138"/>
        <v>0</v>
      </c>
      <c r="BS63" s="17">
        <f t="shared" si="138"/>
        <v>0</v>
      </c>
      <c r="BT63" s="19">
        <f t="shared" si="154"/>
        <v>0</v>
      </c>
      <c r="BU63" s="187">
        <f t="shared" si="154"/>
        <v>0</v>
      </c>
      <c r="BV63" s="187">
        <f t="shared" si="154"/>
        <v>0</v>
      </c>
      <c r="BW63" s="187">
        <f t="shared" si="154"/>
        <v>0</v>
      </c>
      <c r="BX63" s="187">
        <f t="shared" si="154"/>
        <v>0</v>
      </c>
      <c r="BY63" s="187">
        <f t="shared" si="139"/>
        <v>0</v>
      </c>
      <c r="BZ63" s="187">
        <f t="shared" si="139"/>
        <v>0</v>
      </c>
      <c r="CA63" s="17">
        <f t="shared" si="139"/>
        <v>0</v>
      </c>
      <c r="CB63" s="73">
        <f t="shared" si="104"/>
        <v>0</v>
      </c>
      <c r="CC63" s="187">
        <f t="shared" si="104"/>
        <v>0</v>
      </c>
      <c r="CD63" s="187">
        <f t="shared" si="104"/>
        <v>0</v>
      </c>
      <c r="CE63" s="187">
        <f t="shared" si="104"/>
        <v>0</v>
      </c>
      <c r="CF63" s="187">
        <f t="shared" si="104"/>
        <v>0</v>
      </c>
      <c r="CG63" s="187">
        <f t="shared" si="140"/>
        <v>0</v>
      </c>
      <c r="CH63" s="187">
        <f t="shared" si="140"/>
        <v>0</v>
      </c>
      <c r="CI63" s="17">
        <f t="shared" si="140"/>
        <v>0</v>
      </c>
      <c r="CJ63" s="19">
        <f t="shared" si="148"/>
        <v>0</v>
      </c>
      <c r="CK63" s="187">
        <f t="shared" si="148"/>
        <v>0</v>
      </c>
      <c r="CL63" s="187">
        <f t="shared" si="148"/>
        <v>0</v>
      </c>
      <c r="CM63" s="187">
        <f t="shared" si="148"/>
        <v>0</v>
      </c>
      <c r="CN63" s="187">
        <f t="shared" si="148"/>
        <v>0</v>
      </c>
      <c r="CO63" s="187">
        <f t="shared" si="141"/>
        <v>0</v>
      </c>
      <c r="CP63" s="187">
        <f t="shared" si="141"/>
        <v>0</v>
      </c>
      <c r="CQ63" s="17">
        <f t="shared" si="141"/>
        <v>0</v>
      </c>
      <c r="CR63" s="19">
        <f t="shared" si="149"/>
        <v>0</v>
      </c>
      <c r="CS63" s="187">
        <f t="shared" si="149"/>
        <v>0</v>
      </c>
      <c r="CT63" s="187">
        <f t="shared" si="149"/>
        <v>0</v>
      </c>
      <c r="CU63" s="187">
        <f t="shared" si="149"/>
        <v>0</v>
      </c>
      <c r="CV63" s="187">
        <f t="shared" si="149"/>
        <v>0</v>
      </c>
      <c r="CW63" s="187">
        <f t="shared" si="142"/>
        <v>0</v>
      </c>
      <c r="CX63" s="187">
        <f t="shared" si="142"/>
        <v>0</v>
      </c>
      <c r="CY63" s="17">
        <f t="shared" si="142"/>
        <v>0</v>
      </c>
      <c r="CZ63" s="278"/>
    </row>
    <row r="64" spans="1:104" ht="26.25" customHeight="1" x14ac:dyDescent="0.4">
      <c r="A64" s="380"/>
      <c r="B64" s="380"/>
      <c r="C64" s="380"/>
      <c r="D64" s="382"/>
      <c r="E64" s="406"/>
      <c r="F64" s="382"/>
      <c r="G64" s="404"/>
      <c r="H64" s="490"/>
      <c r="I64" s="490"/>
      <c r="J64" s="498"/>
      <c r="K64" s="492"/>
      <c r="L64" s="492"/>
      <c r="M64" s="494"/>
      <c r="N64" s="39" t="s">
        <v>25</v>
      </c>
      <c r="O64" s="207">
        <f t="shared" si="133"/>
        <v>0</v>
      </c>
      <c r="P64" s="207">
        <f t="shared" si="133"/>
        <v>0</v>
      </c>
      <c r="Q64" s="207">
        <f t="shared" si="133"/>
        <v>0</v>
      </c>
      <c r="R64" s="207">
        <f t="shared" si="133"/>
        <v>0</v>
      </c>
      <c r="S64" s="207">
        <f t="shared" si="133"/>
        <v>0</v>
      </c>
      <c r="T64" s="207">
        <f t="shared" si="133"/>
        <v>0</v>
      </c>
      <c r="U64" s="49">
        <f t="shared" si="133"/>
        <v>0</v>
      </c>
      <c r="V64" s="57">
        <f t="shared" si="145"/>
        <v>0</v>
      </c>
      <c r="W64" s="18">
        <f t="shared" si="145"/>
        <v>0</v>
      </c>
      <c r="X64" s="18">
        <f t="shared" si="145"/>
        <v>0</v>
      </c>
      <c r="Y64" s="18">
        <f t="shared" si="145"/>
        <v>0</v>
      </c>
      <c r="Z64" s="18">
        <f t="shared" si="145"/>
        <v>0</v>
      </c>
      <c r="AA64" s="18">
        <f t="shared" si="150"/>
        <v>0</v>
      </c>
      <c r="AB64" s="42">
        <f t="shared" si="132"/>
        <v>0</v>
      </c>
      <c r="AC64" s="52">
        <f t="shared" si="132"/>
        <v>0</v>
      </c>
      <c r="AD64" s="207">
        <f t="shared" si="132"/>
        <v>0</v>
      </c>
      <c r="AE64" s="207">
        <f t="shared" si="132"/>
        <v>0</v>
      </c>
      <c r="AF64" s="207">
        <f t="shared" si="132"/>
        <v>0</v>
      </c>
      <c r="AG64" s="18">
        <f t="shared" si="132"/>
        <v>0</v>
      </c>
      <c r="AH64" s="57">
        <f>(0+5)/165</f>
        <v>3.0303030303030304E-2</v>
      </c>
      <c r="AI64" s="207">
        <f>(1+4+8.25)/165</f>
        <v>8.0303030303030307E-2</v>
      </c>
      <c r="AJ64" s="207">
        <f>(0+4+18.25)/165</f>
        <v>0.13484848484848486</v>
      </c>
      <c r="AK64" s="207">
        <f t="shared" si="121"/>
        <v>0</v>
      </c>
      <c r="AL64" s="207">
        <f t="shared" si="121"/>
        <v>0</v>
      </c>
      <c r="AM64" s="207">
        <f>(0+8.25)/165</f>
        <v>0.05</v>
      </c>
      <c r="AN64" s="57">
        <f t="shared" si="122"/>
        <v>0</v>
      </c>
      <c r="AO64" s="207">
        <f t="shared" si="122"/>
        <v>0</v>
      </c>
      <c r="AP64" s="207">
        <f t="shared" si="122"/>
        <v>0</v>
      </c>
      <c r="AQ64" s="207">
        <f t="shared" si="122"/>
        <v>0</v>
      </c>
      <c r="AR64" s="207">
        <f t="shared" si="122"/>
        <v>0</v>
      </c>
      <c r="AS64" s="207">
        <f t="shared" si="136"/>
        <v>0</v>
      </c>
      <c r="AT64" s="207">
        <f t="shared" si="136"/>
        <v>0</v>
      </c>
      <c r="AU64" s="49">
        <f t="shared" si="136"/>
        <v>0</v>
      </c>
      <c r="AV64" s="63">
        <f t="shared" si="103"/>
        <v>0</v>
      </c>
      <c r="AW64" s="208">
        <f t="shared" si="103"/>
        <v>0</v>
      </c>
      <c r="AX64" s="208">
        <f t="shared" si="103"/>
        <v>0</v>
      </c>
      <c r="AY64" s="208">
        <f t="shared" si="103"/>
        <v>0</v>
      </c>
      <c r="AZ64" s="208">
        <f t="shared" si="103"/>
        <v>0</v>
      </c>
      <c r="BA64" s="208">
        <f t="shared" si="103"/>
        <v>0</v>
      </c>
      <c r="BB64" s="208">
        <f t="shared" si="103"/>
        <v>0</v>
      </c>
      <c r="BC64" s="64">
        <f t="shared" si="103"/>
        <v>0</v>
      </c>
      <c r="BD64" s="63">
        <f t="shared" si="123"/>
        <v>0</v>
      </c>
      <c r="BE64" s="208">
        <f t="shared" si="123"/>
        <v>0</v>
      </c>
      <c r="BF64" s="208">
        <f t="shared" si="123"/>
        <v>0</v>
      </c>
      <c r="BG64" s="208">
        <f t="shared" si="123"/>
        <v>0</v>
      </c>
      <c r="BH64" s="208">
        <f t="shared" si="123"/>
        <v>0</v>
      </c>
      <c r="BI64" s="208">
        <f t="shared" si="137"/>
        <v>0</v>
      </c>
      <c r="BJ64" s="208">
        <f t="shared" si="137"/>
        <v>0</v>
      </c>
      <c r="BK64" s="64">
        <f t="shared" si="137"/>
        <v>0</v>
      </c>
      <c r="BL64" s="63">
        <f t="shared" si="147"/>
        <v>0</v>
      </c>
      <c r="BM64" s="208">
        <f t="shared" si="147"/>
        <v>0</v>
      </c>
      <c r="BN64" s="208">
        <f t="shared" si="147"/>
        <v>0</v>
      </c>
      <c r="BO64" s="208">
        <f t="shared" si="147"/>
        <v>0</v>
      </c>
      <c r="BP64" s="208">
        <f t="shared" si="147"/>
        <v>0</v>
      </c>
      <c r="BQ64" s="208">
        <f t="shared" si="138"/>
        <v>0</v>
      </c>
      <c r="BR64" s="208">
        <f t="shared" si="138"/>
        <v>0</v>
      </c>
      <c r="BS64" s="64">
        <f t="shared" si="138"/>
        <v>0</v>
      </c>
      <c r="BT64" s="63">
        <f t="shared" si="154"/>
        <v>0</v>
      </c>
      <c r="BU64" s="208">
        <f t="shared" si="154"/>
        <v>0</v>
      </c>
      <c r="BV64" s="208">
        <f t="shared" si="154"/>
        <v>0</v>
      </c>
      <c r="BW64" s="208">
        <f t="shared" si="154"/>
        <v>0</v>
      </c>
      <c r="BX64" s="208">
        <f t="shared" si="154"/>
        <v>0</v>
      </c>
      <c r="BY64" s="208">
        <f t="shared" si="139"/>
        <v>0</v>
      </c>
      <c r="BZ64" s="208">
        <f t="shared" si="139"/>
        <v>0</v>
      </c>
      <c r="CA64" s="64">
        <f t="shared" si="139"/>
        <v>0</v>
      </c>
      <c r="CB64" s="63">
        <f t="shared" si="104"/>
        <v>0</v>
      </c>
      <c r="CC64" s="208">
        <f t="shared" si="104"/>
        <v>0</v>
      </c>
      <c r="CD64" s="208">
        <f t="shared" si="104"/>
        <v>0</v>
      </c>
      <c r="CE64" s="208">
        <f t="shared" si="104"/>
        <v>0</v>
      </c>
      <c r="CF64" s="208">
        <f t="shared" si="104"/>
        <v>0</v>
      </c>
      <c r="CG64" s="208">
        <f t="shared" si="140"/>
        <v>0</v>
      </c>
      <c r="CH64" s="208">
        <f t="shared" si="140"/>
        <v>0</v>
      </c>
      <c r="CI64" s="64">
        <f t="shared" si="140"/>
        <v>0</v>
      </c>
      <c r="CJ64" s="63">
        <f t="shared" si="148"/>
        <v>0</v>
      </c>
      <c r="CK64" s="208">
        <f t="shared" si="148"/>
        <v>0</v>
      </c>
      <c r="CL64" s="208">
        <f t="shared" si="148"/>
        <v>0</v>
      </c>
      <c r="CM64" s="208">
        <f t="shared" si="148"/>
        <v>0</v>
      </c>
      <c r="CN64" s="208">
        <f t="shared" si="148"/>
        <v>0</v>
      </c>
      <c r="CO64" s="208">
        <f t="shared" si="141"/>
        <v>0</v>
      </c>
      <c r="CP64" s="208">
        <f t="shared" si="141"/>
        <v>0</v>
      </c>
      <c r="CQ64" s="64">
        <f t="shared" si="141"/>
        <v>0</v>
      </c>
      <c r="CR64" s="63">
        <f t="shared" si="149"/>
        <v>0</v>
      </c>
      <c r="CS64" s="208">
        <f t="shared" si="149"/>
        <v>0</v>
      </c>
      <c r="CT64" s="208">
        <f t="shared" si="149"/>
        <v>0</v>
      </c>
      <c r="CU64" s="208">
        <f t="shared" si="149"/>
        <v>0</v>
      </c>
      <c r="CV64" s="208">
        <f t="shared" si="149"/>
        <v>0</v>
      </c>
      <c r="CW64" s="208">
        <f t="shared" si="142"/>
        <v>0</v>
      </c>
      <c r="CX64" s="208">
        <f t="shared" si="142"/>
        <v>0</v>
      </c>
      <c r="CY64" s="64">
        <f t="shared" si="142"/>
        <v>0</v>
      </c>
      <c r="CZ64" s="278"/>
    </row>
    <row r="65" spans="1:104" ht="26.25" customHeight="1" collapsed="1" x14ac:dyDescent="0.4">
      <c r="A65" s="379">
        <v>30</v>
      </c>
      <c r="B65" s="379" t="s">
        <v>47</v>
      </c>
      <c r="C65" s="379" t="s">
        <v>347</v>
      </c>
      <c r="D65" s="381" t="s">
        <v>426</v>
      </c>
      <c r="E65" s="405" t="s">
        <v>675</v>
      </c>
      <c r="F65" s="381" t="s">
        <v>721</v>
      </c>
      <c r="G65" s="404" t="s">
        <v>722</v>
      </c>
      <c r="H65" s="489">
        <f t="shared" ref="H65" si="159">SUM(AH65:AM65)</f>
        <v>0.27272727272727271</v>
      </c>
      <c r="I65" s="489">
        <f t="shared" ref="I65" si="160">SUM(AH66:AM66)</f>
        <v>7.7272727272727271E-2</v>
      </c>
      <c r="J65" s="497"/>
      <c r="K65" s="491"/>
      <c r="L65" s="491"/>
      <c r="M65" s="493"/>
      <c r="N65" s="48" t="s">
        <v>24</v>
      </c>
      <c r="O65" s="187">
        <f t="shared" si="133"/>
        <v>0</v>
      </c>
      <c r="P65" s="187">
        <f t="shared" si="133"/>
        <v>0</v>
      </c>
      <c r="Q65" s="187">
        <f t="shared" si="133"/>
        <v>0</v>
      </c>
      <c r="R65" s="187">
        <f t="shared" si="133"/>
        <v>0</v>
      </c>
      <c r="S65" s="187">
        <f t="shared" si="133"/>
        <v>0</v>
      </c>
      <c r="T65" s="187">
        <f t="shared" si="133"/>
        <v>0</v>
      </c>
      <c r="U65" s="82">
        <f t="shared" si="133"/>
        <v>0</v>
      </c>
      <c r="V65" s="19">
        <f t="shared" si="145"/>
        <v>0</v>
      </c>
      <c r="W65" s="187">
        <f t="shared" si="145"/>
        <v>0</v>
      </c>
      <c r="X65" s="187">
        <f t="shared" si="145"/>
        <v>0</v>
      </c>
      <c r="Y65" s="187">
        <f t="shared" si="145"/>
        <v>0</v>
      </c>
      <c r="Z65" s="187">
        <f t="shared" si="145"/>
        <v>0</v>
      </c>
      <c r="AA65" s="187">
        <f t="shared" si="150"/>
        <v>0</v>
      </c>
      <c r="AB65" s="19">
        <f t="shared" si="132"/>
        <v>0</v>
      </c>
      <c r="AC65" s="187">
        <f t="shared" si="132"/>
        <v>0</v>
      </c>
      <c r="AD65" s="249">
        <f t="shared" si="132"/>
        <v>0</v>
      </c>
      <c r="AE65" s="187">
        <f t="shared" si="132"/>
        <v>0</v>
      </c>
      <c r="AF65" s="187">
        <f t="shared" si="132"/>
        <v>0</v>
      </c>
      <c r="AG65" s="187">
        <f t="shared" si="132"/>
        <v>0</v>
      </c>
      <c r="AH65" s="73">
        <f>(5)/165</f>
        <v>3.0303030303030304E-2</v>
      </c>
      <c r="AI65" s="187">
        <f>(20)/165</f>
        <v>0.12121212121212122</v>
      </c>
      <c r="AJ65" s="187">
        <f t="shared" si="127"/>
        <v>0</v>
      </c>
      <c r="AK65" s="187">
        <f t="shared" si="127"/>
        <v>0</v>
      </c>
      <c r="AL65" s="187">
        <f>(20)/165</f>
        <v>0.12121212121212122</v>
      </c>
      <c r="AM65" s="187">
        <f t="shared" si="127"/>
        <v>0</v>
      </c>
      <c r="AN65" s="73">
        <f t="shared" si="122"/>
        <v>0</v>
      </c>
      <c r="AO65" s="187">
        <f t="shared" si="122"/>
        <v>0</v>
      </c>
      <c r="AP65" s="187">
        <f t="shared" si="122"/>
        <v>0</v>
      </c>
      <c r="AQ65" s="187">
        <f t="shared" si="122"/>
        <v>0</v>
      </c>
      <c r="AR65" s="187">
        <f t="shared" si="122"/>
        <v>0</v>
      </c>
      <c r="AS65" s="187">
        <f t="shared" si="136"/>
        <v>0</v>
      </c>
      <c r="AT65" s="187">
        <f t="shared" si="136"/>
        <v>0</v>
      </c>
      <c r="AU65" s="221">
        <f t="shared" si="136"/>
        <v>0</v>
      </c>
      <c r="AV65" s="222">
        <f t="shared" si="103"/>
        <v>0</v>
      </c>
      <c r="AW65" s="187">
        <f t="shared" si="103"/>
        <v>0</v>
      </c>
      <c r="AX65" s="187">
        <f t="shared" si="103"/>
        <v>0</v>
      </c>
      <c r="AY65" s="187">
        <f t="shared" si="103"/>
        <v>0</v>
      </c>
      <c r="AZ65" s="187">
        <f t="shared" si="103"/>
        <v>0</v>
      </c>
      <c r="BA65" s="187">
        <f t="shared" si="103"/>
        <v>0</v>
      </c>
      <c r="BB65" s="187">
        <f t="shared" si="103"/>
        <v>0</v>
      </c>
      <c r="BC65" s="17">
        <f t="shared" si="103"/>
        <v>0</v>
      </c>
      <c r="BD65" s="19">
        <f t="shared" si="123"/>
        <v>0</v>
      </c>
      <c r="BE65" s="187">
        <f t="shared" si="123"/>
        <v>0</v>
      </c>
      <c r="BF65" s="187">
        <f t="shared" si="123"/>
        <v>0</v>
      </c>
      <c r="BG65" s="187">
        <f t="shared" si="123"/>
        <v>0</v>
      </c>
      <c r="BH65" s="187">
        <f t="shared" si="123"/>
        <v>0</v>
      </c>
      <c r="BI65" s="187">
        <f t="shared" si="137"/>
        <v>0</v>
      </c>
      <c r="BJ65" s="187">
        <f t="shared" si="137"/>
        <v>0</v>
      </c>
      <c r="BK65" s="17">
        <f t="shared" si="137"/>
        <v>0</v>
      </c>
      <c r="BL65" s="19">
        <f t="shared" si="147"/>
        <v>0</v>
      </c>
      <c r="BM65" s="187">
        <f t="shared" si="147"/>
        <v>0</v>
      </c>
      <c r="BN65" s="187">
        <f t="shared" si="147"/>
        <v>0</v>
      </c>
      <c r="BO65" s="187">
        <f t="shared" si="147"/>
        <v>0</v>
      </c>
      <c r="BP65" s="187">
        <f t="shared" si="147"/>
        <v>0</v>
      </c>
      <c r="BQ65" s="187">
        <f t="shared" si="138"/>
        <v>0</v>
      </c>
      <c r="BR65" s="187">
        <f t="shared" si="138"/>
        <v>0</v>
      </c>
      <c r="BS65" s="17">
        <f t="shared" si="138"/>
        <v>0</v>
      </c>
      <c r="BT65" s="19">
        <f t="shared" si="154"/>
        <v>0</v>
      </c>
      <c r="BU65" s="187">
        <f t="shared" si="154"/>
        <v>0</v>
      </c>
      <c r="BV65" s="187">
        <f t="shared" si="154"/>
        <v>0</v>
      </c>
      <c r="BW65" s="187">
        <f t="shared" si="154"/>
        <v>0</v>
      </c>
      <c r="BX65" s="187">
        <f t="shared" si="154"/>
        <v>0</v>
      </c>
      <c r="BY65" s="187">
        <f t="shared" si="139"/>
        <v>0</v>
      </c>
      <c r="BZ65" s="187">
        <f t="shared" si="139"/>
        <v>0</v>
      </c>
      <c r="CA65" s="17">
        <f t="shared" si="139"/>
        <v>0</v>
      </c>
      <c r="CB65" s="73">
        <f t="shared" si="104"/>
        <v>0</v>
      </c>
      <c r="CC65" s="187">
        <f t="shared" si="104"/>
        <v>0</v>
      </c>
      <c r="CD65" s="187">
        <f t="shared" si="104"/>
        <v>0</v>
      </c>
      <c r="CE65" s="187">
        <f t="shared" si="104"/>
        <v>0</v>
      </c>
      <c r="CF65" s="187">
        <f t="shared" si="104"/>
        <v>0</v>
      </c>
      <c r="CG65" s="187">
        <f t="shared" si="140"/>
        <v>0</v>
      </c>
      <c r="CH65" s="187">
        <f t="shared" si="140"/>
        <v>0</v>
      </c>
      <c r="CI65" s="17">
        <f t="shared" si="140"/>
        <v>0</v>
      </c>
      <c r="CJ65" s="19">
        <f t="shared" si="148"/>
        <v>0</v>
      </c>
      <c r="CK65" s="187">
        <f t="shared" si="148"/>
        <v>0</v>
      </c>
      <c r="CL65" s="187">
        <f t="shared" si="148"/>
        <v>0</v>
      </c>
      <c r="CM65" s="187">
        <f t="shared" si="148"/>
        <v>0</v>
      </c>
      <c r="CN65" s="187">
        <f t="shared" si="148"/>
        <v>0</v>
      </c>
      <c r="CO65" s="187">
        <f t="shared" si="141"/>
        <v>0</v>
      </c>
      <c r="CP65" s="187">
        <f t="shared" si="141"/>
        <v>0</v>
      </c>
      <c r="CQ65" s="17">
        <f t="shared" si="141"/>
        <v>0</v>
      </c>
      <c r="CR65" s="19">
        <f t="shared" si="149"/>
        <v>0</v>
      </c>
      <c r="CS65" s="187">
        <f t="shared" si="149"/>
        <v>0</v>
      </c>
      <c r="CT65" s="187">
        <f t="shared" si="149"/>
        <v>0</v>
      </c>
      <c r="CU65" s="187">
        <f t="shared" si="149"/>
        <v>0</v>
      </c>
      <c r="CV65" s="187">
        <f t="shared" si="149"/>
        <v>0</v>
      </c>
      <c r="CW65" s="187">
        <f t="shared" si="142"/>
        <v>0</v>
      </c>
      <c r="CX65" s="187">
        <f t="shared" si="142"/>
        <v>0</v>
      </c>
      <c r="CY65" s="17">
        <f t="shared" si="142"/>
        <v>0</v>
      </c>
      <c r="CZ65" s="278"/>
    </row>
    <row r="66" spans="1:104" ht="26.25" customHeight="1" x14ac:dyDescent="0.4">
      <c r="A66" s="380"/>
      <c r="B66" s="380"/>
      <c r="C66" s="380"/>
      <c r="D66" s="382"/>
      <c r="E66" s="406"/>
      <c r="F66" s="382"/>
      <c r="G66" s="404"/>
      <c r="H66" s="490"/>
      <c r="I66" s="490"/>
      <c r="J66" s="498"/>
      <c r="K66" s="492"/>
      <c r="L66" s="492"/>
      <c r="M66" s="494"/>
      <c r="N66" s="39" t="s">
        <v>25</v>
      </c>
      <c r="O66" s="207">
        <f t="shared" si="133"/>
        <v>0</v>
      </c>
      <c r="P66" s="207">
        <f t="shared" si="133"/>
        <v>0</v>
      </c>
      <c r="Q66" s="207">
        <f t="shared" si="133"/>
        <v>0</v>
      </c>
      <c r="R66" s="207">
        <f t="shared" si="133"/>
        <v>0</v>
      </c>
      <c r="S66" s="207">
        <f t="shared" si="133"/>
        <v>0</v>
      </c>
      <c r="T66" s="207">
        <f t="shared" si="133"/>
        <v>0</v>
      </c>
      <c r="U66" s="49">
        <f t="shared" si="133"/>
        <v>0</v>
      </c>
      <c r="V66" s="57">
        <f t="shared" si="145"/>
        <v>0</v>
      </c>
      <c r="W66" s="18">
        <f t="shared" si="145"/>
        <v>0</v>
      </c>
      <c r="X66" s="18">
        <f t="shared" si="145"/>
        <v>0</v>
      </c>
      <c r="Y66" s="18">
        <f t="shared" si="145"/>
        <v>0</v>
      </c>
      <c r="Z66" s="18">
        <f t="shared" si="145"/>
        <v>0</v>
      </c>
      <c r="AA66" s="18">
        <f t="shared" si="150"/>
        <v>0</v>
      </c>
      <c r="AB66" s="42">
        <f t="shared" si="132"/>
        <v>0</v>
      </c>
      <c r="AC66" s="52">
        <f t="shared" si="132"/>
        <v>0</v>
      </c>
      <c r="AD66" s="207">
        <f t="shared" si="132"/>
        <v>0</v>
      </c>
      <c r="AE66" s="207">
        <f t="shared" si="132"/>
        <v>0</v>
      </c>
      <c r="AF66" s="207">
        <f t="shared" si="132"/>
        <v>0</v>
      </c>
      <c r="AG66" s="18">
        <f t="shared" si="132"/>
        <v>0</v>
      </c>
      <c r="AH66" s="57">
        <f>(0+1.75+0.5)/165</f>
        <v>1.3636363636363636E-2</v>
      </c>
      <c r="AI66" s="207">
        <f>(2+4+1)/165</f>
        <v>4.2424242424242427E-2</v>
      </c>
      <c r="AJ66" s="207">
        <f t="shared" si="127"/>
        <v>0</v>
      </c>
      <c r="AK66" s="207">
        <f t="shared" si="127"/>
        <v>0</v>
      </c>
      <c r="AL66" s="207">
        <f>(1+2+0.5)/165</f>
        <v>2.1212121212121213E-2</v>
      </c>
      <c r="AM66" s="207">
        <f t="shared" si="127"/>
        <v>0</v>
      </c>
      <c r="AN66" s="57">
        <f t="shared" si="122"/>
        <v>0</v>
      </c>
      <c r="AO66" s="207">
        <f t="shared" si="122"/>
        <v>0</v>
      </c>
      <c r="AP66" s="207">
        <f t="shared" si="122"/>
        <v>0</v>
      </c>
      <c r="AQ66" s="207">
        <f t="shared" si="122"/>
        <v>0</v>
      </c>
      <c r="AR66" s="207">
        <f t="shared" si="122"/>
        <v>0</v>
      </c>
      <c r="AS66" s="207">
        <f t="shared" si="136"/>
        <v>0</v>
      </c>
      <c r="AT66" s="207">
        <f t="shared" si="136"/>
        <v>0</v>
      </c>
      <c r="AU66" s="49">
        <f t="shared" si="136"/>
        <v>0</v>
      </c>
      <c r="AV66" s="63">
        <f t="shared" si="103"/>
        <v>0</v>
      </c>
      <c r="AW66" s="208">
        <f t="shared" si="103"/>
        <v>0</v>
      </c>
      <c r="AX66" s="208">
        <f t="shared" si="103"/>
        <v>0</v>
      </c>
      <c r="AY66" s="208">
        <f t="shared" si="103"/>
        <v>0</v>
      </c>
      <c r="AZ66" s="208">
        <f t="shared" si="103"/>
        <v>0</v>
      </c>
      <c r="BA66" s="208">
        <f t="shared" si="103"/>
        <v>0</v>
      </c>
      <c r="BB66" s="208">
        <f t="shared" si="103"/>
        <v>0</v>
      </c>
      <c r="BC66" s="64">
        <f t="shared" si="103"/>
        <v>0</v>
      </c>
      <c r="BD66" s="63">
        <f t="shared" si="123"/>
        <v>0</v>
      </c>
      <c r="BE66" s="208">
        <f t="shared" si="123"/>
        <v>0</v>
      </c>
      <c r="BF66" s="208">
        <f t="shared" si="123"/>
        <v>0</v>
      </c>
      <c r="BG66" s="208">
        <f t="shared" si="123"/>
        <v>0</v>
      </c>
      <c r="BH66" s="208">
        <f t="shared" si="123"/>
        <v>0</v>
      </c>
      <c r="BI66" s="208">
        <f t="shared" si="137"/>
        <v>0</v>
      </c>
      <c r="BJ66" s="208">
        <f t="shared" si="137"/>
        <v>0</v>
      </c>
      <c r="BK66" s="64">
        <f t="shared" si="137"/>
        <v>0</v>
      </c>
      <c r="BL66" s="63">
        <f t="shared" si="147"/>
        <v>0</v>
      </c>
      <c r="BM66" s="208">
        <f t="shared" si="147"/>
        <v>0</v>
      </c>
      <c r="BN66" s="208">
        <f t="shared" si="147"/>
        <v>0</v>
      </c>
      <c r="BO66" s="208">
        <f t="shared" si="147"/>
        <v>0</v>
      </c>
      <c r="BP66" s="208">
        <f t="shared" si="147"/>
        <v>0</v>
      </c>
      <c r="BQ66" s="208">
        <f t="shared" si="138"/>
        <v>0</v>
      </c>
      <c r="BR66" s="208">
        <f t="shared" si="138"/>
        <v>0</v>
      </c>
      <c r="BS66" s="64">
        <f t="shared" si="138"/>
        <v>0</v>
      </c>
      <c r="BT66" s="63">
        <f t="shared" si="154"/>
        <v>0</v>
      </c>
      <c r="BU66" s="208">
        <f t="shared" si="154"/>
        <v>0</v>
      </c>
      <c r="BV66" s="208">
        <f t="shared" si="154"/>
        <v>0</v>
      </c>
      <c r="BW66" s="208">
        <f t="shared" si="154"/>
        <v>0</v>
      </c>
      <c r="BX66" s="208">
        <f t="shared" si="154"/>
        <v>0</v>
      </c>
      <c r="BY66" s="208">
        <f t="shared" si="139"/>
        <v>0</v>
      </c>
      <c r="BZ66" s="208">
        <f t="shared" si="139"/>
        <v>0</v>
      </c>
      <c r="CA66" s="64">
        <f t="shared" si="139"/>
        <v>0</v>
      </c>
      <c r="CB66" s="63">
        <f t="shared" si="104"/>
        <v>0</v>
      </c>
      <c r="CC66" s="208">
        <f t="shared" si="104"/>
        <v>0</v>
      </c>
      <c r="CD66" s="208">
        <f t="shared" si="104"/>
        <v>0</v>
      </c>
      <c r="CE66" s="208">
        <f t="shared" si="104"/>
        <v>0</v>
      </c>
      <c r="CF66" s="208">
        <f t="shared" si="104"/>
        <v>0</v>
      </c>
      <c r="CG66" s="208">
        <f t="shared" si="140"/>
        <v>0</v>
      </c>
      <c r="CH66" s="208">
        <f t="shared" si="140"/>
        <v>0</v>
      </c>
      <c r="CI66" s="64">
        <f t="shared" si="140"/>
        <v>0</v>
      </c>
      <c r="CJ66" s="63">
        <f t="shared" si="148"/>
        <v>0</v>
      </c>
      <c r="CK66" s="208">
        <f t="shared" si="148"/>
        <v>0</v>
      </c>
      <c r="CL66" s="208">
        <f t="shared" si="148"/>
        <v>0</v>
      </c>
      <c r="CM66" s="208">
        <f t="shared" si="148"/>
        <v>0</v>
      </c>
      <c r="CN66" s="208">
        <f t="shared" si="148"/>
        <v>0</v>
      </c>
      <c r="CO66" s="208">
        <f t="shared" si="141"/>
        <v>0</v>
      </c>
      <c r="CP66" s="208">
        <f t="shared" si="141"/>
        <v>0</v>
      </c>
      <c r="CQ66" s="64">
        <f t="shared" si="141"/>
        <v>0</v>
      </c>
      <c r="CR66" s="63">
        <f t="shared" si="149"/>
        <v>0</v>
      </c>
      <c r="CS66" s="208">
        <f t="shared" si="149"/>
        <v>0</v>
      </c>
      <c r="CT66" s="208">
        <f t="shared" si="149"/>
        <v>0</v>
      </c>
      <c r="CU66" s="208">
        <f t="shared" si="149"/>
        <v>0</v>
      </c>
      <c r="CV66" s="208">
        <f t="shared" si="149"/>
        <v>0</v>
      </c>
      <c r="CW66" s="208">
        <f t="shared" si="142"/>
        <v>0</v>
      </c>
      <c r="CX66" s="208">
        <f t="shared" si="142"/>
        <v>0</v>
      </c>
      <c r="CY66" s="64">
        <f t="shared" si="142"/>
        <v>0</v>
      </c>
      <c r="CZ66" s="278"/>
    </row>
    <row r="67" spans="1:104" ht="26.25" customHeight="1" x14ac:dyDescent="0.4">
      <c r="A67" s="379">
        <v>31</v>
      </c>
      <c r="B67" s="379" t="s">
        <v>47</v>
      </c>
      <c r="C67" s="379" t="s">
        <v>347</v>
      </c>
      <c r="D67" s="381" t="s">
        <v>433</v>
      </c>
      <c r="E67" s="405" t="s">
        <v>677</v>
      </c>
      <c r="F67" s="381" t="s">
        <v>713</v>
      </c>
      <c r="G67" s="404" t="s">
        <v>717</v>
      </c>
      <c r="H67" s="489">
        <f t="shared" ref="H67" si="161">SUM(AH67:AM67)</f>
        <v>0.15151515151515152</v>
      </c>
      <c r="I67" s="489">
        <f t="shared" ref="I67" si="162">SUM(AH68:AM68)</f>
        <v>9.2424242424242423E-2</v>
      </c>
      <c r="J67" s="497"/>
      <c r="K67" s="491"/>
      <c r="L67" s="491"/>
      <c r="M67" s="493"/>
      <c r="N67" s="48" t="s">
        <v>88</v>
      </c>
      <c r="O67" s="187">
        <f t="shared" si="133"/>
        <v>0</v>
      </c>
      <c r="P67" s="187">
        <f t="shared" si="133"/>
        <v>0</v>
      </c>
      <c r="Q67" s="187">
        <f t="shared" si="133"/>
        <v>0</v>
      </c>
      <c r="R67" s="187">
        <f t="shared" si="133"/>
        <v>0</v>
      </c>
      <c r="S67" s="187">
        <f t="shared" si="133"/>
        <v>0</v>
      </c>
      <c r="T67" s="187">
        <f t="shared" si="133"/>
        <v>0</v>
      </c>
      <c r="U67" s="82">
        <f t="shared" si="133"/>
        <v>0</v>
      </c>
      <c r="V67" s="19">
        <f t="shared" si="145"/>
        <v>0</v>
      </c>
      <c r="W67" s="187">
        <f t="shared" si="145"/>
        <v>0</v>
      </c>
      <c r="X67" s="187">
        <f t="shared" si="145"/>
        <v>0</v>
      </c>
      <c r="Y67" s="187">
        <f t="shared" si="145"/>
        <v>0</v>
      </c>
      <c r="Z67" s="187">
        <f t="shared" si="145"/>
        <v>0</v>
      </c>
      <c r="AA67" s="187">
        <f t="shared" si="150"/>
        <v>0</v>
      </c>
      <c r="AB67" s="19">
        <f t="shared" si="132"/>
        <v>0</v>
      </c>
      <c r="AC67" s="187">
        <f t="shared" si="132"/>
        <v>0</v>
      </c>
      <c r="AD67" s="249">
        <f t="shared" si="132"/>
        <v>0</v>
      </c>
      <c r="AE67" s="187">
        <f t="shared" si="132"/>
        <v>0</v>
      </c>
      <c r="AF67" s="187">
        <f t="shared" si="132"/>
        <v>0</v>
      </c>
      <c r="AG67" s="187">
        <f t="shared" si="132"/>
        <v>0</v>
      </c>
      <c r="AH67" s="73">
        <f>(5)/165</f>
        <v>3.0303030303030304E-2</v>
      </c>
      <c r="AI67" s="187">
        <f t="shared" ref="AI67:AM82" si="163">(0)/165</f>
        <v>0</v>
      </c>
      <c r="AJ67" s="187">
        <f>(10)/165</f>
        <v>6.0606060606060608E-2</v>
      </c>
      <c r="AK67" s="187">
        <f t="shared" si="163"/>
        <v>0</v>
      </c>
      <c r="AL67" s="187">
        <f t="shared" si="163"/>
        <v>0</v>
      </c>
      <c r="AM67" s="187">
        <f>(10)/165</f>
        <v>6.0606060606060608E-2</v>
      </c>
      <c r="AN67" s="73">
        <f t="shared" si="122"/>
        <v>0</v>
      </c>
      <c r="AO67" s="187">
        <f t="shared" si="122"/>
        <v>0</v>
      </c>
      <c r="AP67" s="187">
        <f t="shared" si="122"/>
        <v>0</v>
      </c>
      <c r="AQ67" s="187">
        <f t="shared" si="122"/>
        <v>0</v>
      </c>
      <c r="AR67" s="187">
        <f t="shared" si="122"/>
        <v>0</v>
      </c>
      <c r="AS67" s="187">
        <f t="shared" si="136"/>
        <v>0</v>
      </c>
      <c r="AT67" s="187">
        <f t="shared" si="136"/>
        <v>0</v>
      </c>
      <c r="AU67" s="221">
        <f t="shared" si="136"/>
        <v>0</v>
      </c>
      <c r="AV67" s="222">
        <f t="shared" si="103"/>
        <v>0</v>
      </c>
      <c r="AW67" s="187">
        <f t="shared" si="103"/>
        <v>0</v>
      </c>
      <c r="AX67" s="187">
        <f t="shared" si="103"/>
        <v>0</v>
      </c>
      <c r="AY67" s="187">
        <f t="shared" si="103"/>
        <v>0</v>
      </c>
      <c r="AZ67" s="187">
        <f t="shared" si="103"/>
        <v>0</v>
      </c>
      <c r="BA67" s="187">
        <f t="shared" si="103"/>
        <v>0</v>
      </c>
      <c r="BB67" s="187">
        <f t="shared" si="103"/>
        <v>0</v>
      </c>
      <c r="BC67" s="17">
        <f t="shared" si="103"/>
        <v>0</v>
      </c>
      <c r="BD67" s="19">
        <f t="shared" si="123"/>
        <v>0</v>
      </c>
      <c r="BE67" s="187">
        <f t="shared" si="123"/>
        <v>0</v>
      </c>
      <c r="BF67" s="187">
        <f t="shared" si="123"/>
        <v>0</v>
      </c>
      <c r="BG67" s="187">
        <f t="shared" si="123"/>
        <v>0</v>
      </c>
      <c r="BH67" s="187">
        <f t="shared" si="123"/>
        <v>0</v>
      </c>
      <c r="BI67" s="187">
        <f t="shared" si="137"/>
        <v>0</v>
      </c>
      <c r="BJ67" s="187">
        <f t="shared" si="137"/>
        <v>0</v>
      </c>
      <c r="BK67" s="17">
        <f t="shared" si="137"/>
        <v>0</v>
      </c>
      <c r="BL67" s="19">
        <f t="shared" ref="BL67:BP76" si="164">0/142.5</f>
        <v>0</v>
      </c>
      <c r="BM67" s="187">
        <f t="shared" si="164"/>
        <v>0</v>
      </c>
      <c r="BN67" s="187">
        <f t="shared" si="164"/>
        <v>0</v>
      </c>
      <c r="BO67" s="187">
        <f t="shared" si="164"/>
        <v>0</v>
      </c>
      <c r="BP67" s="187">
        <f t="shared" si="164"/>
        <v>0</v>
      </c>
      <c r="BQ67" s="187">
        <f t="shared" si="138"/>
        <v>0</v>
      </c>
      <c r="BR67" s="187">
        <f t="shared" si="138"/>
        <v>0</v>
      </c>
      <c r="BS67" s="17">
        <f t="shared" si="138"/>
        <v>0</v>
      </c>
      <c r="BT67" s="19">
        <f t="shared" si="154"/>
        <v>0</v>
      </c>
      <c r="BU67" s="187">
        <f t="shared" si="154"/>
        <v>0</v>
      </c>
      <c r="BV67" s="187">
        <f t="shared" si="154"/>
        <v>0</v>
      </c>
      <c r="BW67" s="187">
        <f t="shared" si="154"/>
        <v>0</v>
      </c>
      <c r="BX67" s="187">
        <f t="shared" si="154"/>
        <v>0</v>
      </c>
      <c r="BY67" s="187">
        <f t="shared" si="139"/>
        <v>0</v>
      </c>
      <c r="BZ67" s="187">
        <f t="shared" si="139"/>
        <v>0</v>
      </c>
      <c r="CA67" s="17">
        <f t="shared" si="139"/>
        <v>0</v>
      </c>
      <c r="CB67" s="73">
        <f t="shared" si="104"/>
        <v>0</v>
      </c>
      <c r="CC67" s="187">
        <f t="shared" si="104"/>
        <v>0</v>
      </c>
      <c r="CD67" s="187">
        <f t="shared" si="104"/>
        <v>0</v>
      </c>
      <c r="CE67" s="187">
        <f t="shared" si="104"/>
        <v>0</v>
      </c>
      <c r="CF67" s="187">
        <f t="shared" si="104"/>
        <v>0</v>
      </c>
      <c r="CG67" s="187">
        <f t="shared" si="140"/>
        <v>0</v>
      </c>
      <c r="CH67" s="187">
        <f t="shared" si="140"/>
        <v>0</v>
      </c>
      <c r="CI67" s="17">
        <f t="shared" si="140"/>
        <v>0</v>
      </c>
      <c r="CJ67" s="19">
        <f t="shared" ref="CJ67:CN76" si="165">0/157.5</f>
        <v>0</v>
      </c>
      <c r="CK67" s="187">
        <f t="shared" si="165"/>
        <v>0</v>
      </c>
      <c r="CL67" s="187">
        <f t="shared" si="165"/>
        <v>0</v>
      </c>
      <c r="CM67" s="187">
        <f t="shared" si="165"/>
        <v>0</v>
      </c>
      <c r="CN67" s="187">
        <f t="shared" si="165"/>
        <v>0</v>
      </c>
      <c r="CO67" s="187">
        <f t="shared" si="141"/>
        <v>0</v>
      </c>
      <c r="CP67" s="187">
        <f t="shared" si="141"/>
        <v>0</v>
      </c>
      <c r="CQ67" s="17">
        <f t="shared" si="141"/>
        <v>0</v>
      </c>
      <c r="CR67" s="19">
        <f t="shared" ref="CR67:CV76" si="166">0/142.5</f>
        <v>0</v>
      </c>
      <c r="CS67" s="187">
        <f t="shared" si="166"/>
        <v>0</v>
      </c>
      <c r="CT67" s="187">
        <f t="shared" si="166"/>
        <v>0</v>
      </c>
      <c r="CU67" s="187">
        <f t="shared" si="166"/>
        <v>0</v>
      </c>
      <c r="CV67" s="187">
        <f t="shared" si="166"/>
        <v>0</v>
      </c>
      <c r="CW67" s="187">
        <f t="shared" si="142"/>
        <v>0</v>
      </c>
      <c r="CX67" s="187">
        <f t="shared" si="142"/>
        <v>0</v>
      </c>
      <c r="CY67" s="17">
        <f t="shared" si="142"/>
        <v>0</v>
      </c>
      <c r="CZ67" s="278"/>
    </row>
    <row r="68" spans="1:104" ht="26.25" customHeight="1" x14ac:dyDescent="0.4">
      <c r="A68" s="380"/>
      <c r="B68" s="380"/>
      <c r="C68" s="380"/>
      <c r="D68" s="382"/>
      <c r="E68" s="406"/>
      <c r="F68" s="382"/>
      <c r="G68" s="404"/>
      <c r="H68" s="490"/>
      <c r="I68" s="490"/>
      <c r="J68" s="498"/>
      <c r="K68" s="492"/>
      <c r="L68" s="492"/>
      <c r="M68" s="494"/>
      <c r="N68" s="39" t="s">
        <v>89</v>
      </c>
      <c r="O68" s="207">
        <f t="shared" si="133"/>
        <v>0</v>
      </c>
      <c r="P68" s="207">
        <f t="shared" si="133"/>
        <v>0</v>
      </c>
      <c r="Q68" s="207">
        <f t="shared" si="133"/>
        <v>0</v>
      </c>
      <c r="R68" s="207">
        <f t="shared" si="133"/>
        <v>0</v>
      </c>
      <c r="S68" s="207">
        <f t="shared" si="133"/>
        <v>0</v>
      </c>
      <c r="T68" s="207">
        <f t="shared" si="133"/>
        <v>0</v>
      </c>
      <c r="U68" s="49">
        <f t="shared" si="133"/>
        <v>0</v>
      </c>
      <c r="V68" s="57">
        <f t="shared" si="145"/>
        <v>0</v>
      </c>
      <c r="W68" s="18">
        <f t="shared" si="145"/>
        <v>0</v>
      </c>
      <c r="X68" s="18">
        <f t="shared" si="145"/>
        <v>0</v>
      </c>
      <c r="Y68" s="18">
        <f t="shared" si="145"/>
        <v>0</v>
      </c>
      <c r="Z68" s="18">
        <f t="shared" si="145"/>
        <v>0</v>
      </c>
      <c r="AA68" s="18">
        <f t="shared" si="150"/>
        <v>0</v>
      </c>
      <c r="AB68" s="42">
        <f t="shared" si="132"/>
        <v>0</v>
      </c>
      <c r="AC68" s="52">
        <f t="shared" si="132"/>
        <v>0</v>
      </c>
      <c r="AD68" s="207">
        <f t="shared" si="132"/>
        <v>0</v>
      </c>
      <c r="AE68" s="207">
        <f t="shared" si="132"/>
        <v>0</v>
      </c>
      <c r="AF68" s="207">
        <f t="shared" si="132"/>
        <v>0</v>
      </c>
      <c r="AG68" s="18">
        <f t="shared" si="132"/>
        <v>0</v>
      </c>
      <c r="AH68" s="57">
        <f>(0.5+1.75)/165</f>
        <v>1.3636363636363636E-2</v>
      </c>
      <c r="AI68" s="207">
        <f t="shared" si="163"/>
        <v>0</v>
      </c>
      <c r="AJ68" s="207">
        <f>(0+4)/165</f>
        <v>2.4242424242424242E-2</v>
      </c>
      <c r="AK68" s="207">
        <f t="shared" si="163"/>
        <v>0</v>
      </c>
      <c r="AL68" s="207">
        <f t="shared" si="163"/>
        <v>0</v>
      </c>
      <c r="AM68" s="207">
        <f>(4+5)/165</f>
        <v>5.4545454545454543E-2</v>
      </c>
      <c r="AN68" s="57">
        <f t="shared" si="122"/>
        <v>0</v>
      </c>
      <c r="AO68" s="207">
        <f t="shared" si="122"/>
        <v>0</v>
      </c>
      <c r="AP68" s="207">
        <f t="shared" si="122"/>
        <v>0</v>
      </c>
      <c r="AQ68" s="207">
        <f t="shared" si="122"/>
        <v>0</v>
      </c>
      <c r="AR68" s="207">
        <f t="shared" si="122"/>
        <v>0</v>
      </c>
      <c r="AS68" s="207">
        <f t="shared" si="136"/>
        <v>0</v>
      </c>
      <c r="AT68" s="207">
        <f t="shared" si="136"/>
        <v>0</v>
      </c>
      <c r="AU68" s="49">
        <f t="shared" si="136"/>
        <v>0</v>
      </c>
      <c r="AV68" s="63">
        <f t="shared" si="103"/>
        <v>0</v>
      </c>
      <c r="AW68" s="208">
        <f t="shared" si="103"/>
        <v>0</v>
      </c>
      <c r="AX68" s="208">
        <f t="shared" si="103"/>
        <v>0</v>
      </c>
      <c r="AY68" s="208">
        <f t="shared" si="103"/>
        <v>0</v>
      </c>
      <c r="AZ68" s="208">
        <f t="shared" si="103"/>
        <v>0</v>
      </c>
      <c r="BA68" s="208">
        <f t="shared" si="103"/>
        <v>0</v>
      </c>
      <c r="BB68" s="208">
        <f t="shared" si="103"/>
        <v>0</v>
      </c>
      <c r="BC68" s="64">
        <f t="shared" si="103"/>
        <v>0</v>
      </c>
      <c r="BD68" s="63">
        <f t="shared" si="123"/>
        <v>0</v>
      </c>
      <c r="BE68" s="208">
        <f t="shared" si="123"/>
        <v>0</v>
      </c>
      <c r="BF68" s="208">
        <f t="shared" si="123"/>
        <v>0</v>
      </c>
      <c r="BG68" s="208">
        <f t="shared" si="123"/>
        <v>0</v>
      </c>
      <c r="BH68" s="208">
        <f t="shared" si="123"/>
        <v>0</v>
      </c>
      <c r="BI68" s="208">
        <f t="shared" si="137"/>
        <v>0</v>
      </c>
      <c r="BJ68" s="208">
        <f t="shared" si="137"/>
        <v>0</v>
      </c>
      <c r="BK68" s="64">
        <f t="shared" si="137"/>
        <v>0</v>
      </c>
      <c r="BL68" s="63">
        <f t="shared" si="164"/>
        <v>0</v>
      </c>
      <c r="BM68" s="208">
        <f t="shared" si="164"/>
        <v>0</v>
      </c>
      <c r="BN68" s="208">
        <f t="shared" si="164"/>
        <v>0</v>
      </c>
      <c r="BO68" s="208">
        <f t="shared" si="164"/>
        <v>0</v>
      </c>
      <c r="BP68" s="208">
        <f t="shared" si="164"/>
        <v>0</v>
      </c>
      <c r="BQ68" s="208">
        <f t="shared" si="138"/>
        <v>0</v>
      </c>
      <c r="BR68" s="208">
        <f t="shared" si="138"/>
        <v>0</v>
      </c>
      <c r="BS68" s="64">
        <f t="shared" si="138"/>
        <v>0</v>
      </c>
      <c r="BT68" s="63">
        <f t="shared" si="154"/>
        <v>0</v>
      </c>
      <c r="BU68" s="208">
        <f t="shared" si="154"/>
        <v>0</v>
      </c>
      <c r="BV68" s="208">
        <f t="shared" si="154"/>
        <v>0</v>
      </c>
      <c r="BW68" s="208">
        <f t="shared" si="154"/>
        <v>0</v>
      </c>
      <c r="BX68" s="208">
        <f t="shared" si="154"/>
        <v>0</v>
      </c>
      <c r="BY68" s="208">
        <f t="shared" si="139"/>
        <v>0</v>
      </c>
      <c r="BZ68" s="208">
        <f t="shared" si="139"/>
        <v>0</v>
      </c>
      <c r="CA68" s="64">
        <f t="shared" si="139"/>
        <v>0</v>
      </c>
      <c r="CB68" s="63">
        <f t="shared" si="104"/>
        <v>0</v>
      </c>
      <c r="CC68" s="208">
        <f t="shared" si="104"/>
        <v>0</v>
      </c>
      <c r="CD68" s="208">
        <f t="shared" si="104"/>
        <v>0</v>
      </c>
      <c r="CE68" s="208">
        <f t="shared" si="104"/>
        <v>0</v>
      </c>
      <c r="CF68" s="208">
        <f t="shared" si="104"/>
        <v>0</v>
      </c>
      <c r="CG68" s="208">
        <f t="shared" si="140"/>
        <v>0</v>
      </c>
      <c r="CH68" s="208">
        <f t="shared" si="140"/>
        <v>0</v>
      </c>
      <c r="CI68" s="64">
        <f t="shared" si="140"/>
        <v>0</v>
      </c>
      <c r="CJ68" s="63">
        <f t="shared" si="165"/>
        <v>0</v>
      </c>
      <c r="CK68" s="208">
        <f t="shared" si="165"/>
        <v>0</v>
      </c>
      <c r="CL68" s="208">
        <f t="shared" si="165"/>
        <v>0</v>
      </c>
      <c r="CM68" s="208">
        <f t="shared" si="165"/>
        <v>0</v>
      </c>
      <c r="CN68" s="208">
        <f t="shared" si="165"/>
        <v>0</v>
      </c>
      <c r="CO68" s="208">
        <f t="shared" si="141"/>
        <v>0</v>
      </c>
      <c r="CP68" s="208">
        <f t="shared" si="141"/>
        <v>0</v>
      </c>
      <c r="CQ68" s="64">
        <f t="shared" si="141"/>
        <v>0</v>
      </c>
      <c r="CR68" s="63">
        <f t="shared" si="166"/>
        <v>0</v>
      </c>
      <c r="CS68" s="208">
        <f t="shared" si="166"/>
        <v>0</v>
      </c>
      <c r="CT68" s="208">
        <f t="shared" si="166"/>
        <v>0</v>
      </c>
      <c r="CU68" s="208">
        <f t="shared" si="166"/>
        <v>0</v>
      </c>
      <c r="CV68" s="208">
        <f t="shared" si="166"/>
        <v>0</v>
      </c>
      <c r="CW68" s="208">
        <f t="shared" si="142"/>
        <v>0</v>
      </c>
      <c r="CX68" s="208">
        <f t="shared" si="142"/>
        <v>0</v>
      </c>
      <c r="CY68" s="64">
        <f t="shared" si="142"/>
        <v>0</v>
      </c>
      <c r="CZ68" s="278"/>
    </row>
    <row r="69" spans="1:104" ht="26.25" customHeight="1" x14ac:dyDescent="0.4">
      <c r="A69" s="379">
        <v>32</v>
      </c>
      <c r="B69" s="379" t="s">
        <v>47</v>
      </c>
      <c r="C69" s="379" t="s">
        <v>347</v>
      </c>
      <c r="D69" s="381" t="s">
        <v>348</v>
      </c>
      <c r="E69" s="405" t="s">
        <v>729</v>
      </c>
      <c r="F69" s="381" t="s">
        <v>714</v>
      </c>
      <c r="G69" s="416" t="s">
        <v>718</v>
      </c>
      <c r="H69" s="489">
        <f t="shared" ref="H69" si="167">SUM(AH69:AM69)</f>
        <v>0.15151515151515152</v>
      </c>
      <c r="I69" s="489">
        <f t="shared" ref="I69" si="168">SUM(AH70:AM70)</f>
        <v>0.14393939393939392</v>
      </c>
      <c r="J69" s="497"/>
      <c r="K69" s="491"/>
      <c r="L69" s="491"/>
      <c r="M69" s="493"/>
      <c r="N69" s="48" t="s">
        <v>88</v>
      </c>
      <c r="O69" s="187">
        <f t="shared" si="133"/>
        <v>0</v>
      </c>
      <c r="P69" s="187">
        <f t="shared" si="133"/>
        <v>0</v>
      </c>
      <c r="Q69" s="187">
        <f t="shared" si="133"/>
        <v>0</v>
      </c>
      <c r="R69" s="187">
        <f t="shared" si="133"/>
        <v>0</v>
      </c>
      <c r="S69" s="187">
        <f t="shared" si="133"/>
        <v>0</v>
      </c>
      <c r="T69" s="187">
        <f t="shared" si="133"/>
        <v>0</v>
      </c>
      <c r="U69" s="82">
        <f t="shared" si="133"/>
        <v>0</v>
      </c>
      <c r="V69" s="19">
        <f t="shared" si="145"/>
        <v>0</v>
      </c>
      <c r="W69" s="187">
        <f t="shared" si="145"/>
        <v>0</v>
      </c>
      <c r="X69" s="187">
        <f t="shared" si="145"/>
        <v>0</v>
      </c>
      <c r="Y69" s="187">
        <f t="shared" si="145"/>
        <v>0</v>
      </c>
      <c r="Z69" s="187">
        <f t="shared" si="145"/>
        <v>0</v>
      </c>
      <c r="AA69" s="187">
        <f t="shared" si="150"/>
        <v>0</v>
      </c>
      <c r="AB69" s="19">
        <f t="shared" si="132"/>
        <v>0</v>
      </c>
      <c r="AC69" s="187">
        <f t="shared" si="132"/>
        <v>0</v>
      </c>
      <c r="AD69" s="249">
        <f t="shared" si="132"/>
        <v>0</v>
      </c>
      <c r="AE69" s="187">
        <f t="shared" si="132"/>
        <v>0</v>
      </c>
      <c r="AF69" s="187">
        <f t="shared" si="132"/>
        <v>0</v>
      </c>
      <c r="AG69" s="187">
        <f t="shared" si="132"/>
        <v>0</v>
      </c>
      <c r="AH69" s="73">
        <f>(5)/165</f>
        <v>3.0303030303030304E-2</v>
      </c>
      <c r="AI69" s="187">
        <f t="shared" si="163"/>
        <v>0</v>
      </c>
      <c r="AJ69" s="187">
        <f t="shared" si="163"/>
        <v>0</v>
      </c>
      <c r="AK69" s="187">
        <f t="shared" si="163"/>
        <v>0</v>
      </c>
      <c r="AL69" s="187">
        <f t="shared" si="163"/>
        <v>0</v>
      </c>
      <c r="AM69" s="187">
        <f>(20)/165</f>
        <v>0.12121212121212122</v>
      </c>
      <c r="AN69" s="73">
        <f t="shared" si="122"/>
        <v>0</v>
      </c>
      <c r="AO69" s="187">
        <f t="shared" si="122"/>
        <v>0</v>
      </c>
      <c r="AP69" s="187">
        <f t="shared" si="122"/>
        <v>0</v>
      </c>
      <c r="AQ69" s="187">
        <f t="shared" si="122"/>
        <v>0</v>
      </c>
      <c r="AR69" s="187">
        <f t="shared" si="122"/>
        <v>0</v>
      </c>
      <c r="AS69" s="187">
        <f t="shared" si="136"/>
        <v>0</v>
      </c>
      <c r="AT69" s="187">
        <f t="shared" si="136"/>
        <v>0</v>
      </c>
      <c r="AU69" s="221">
        <f t="shared" si="136"/>
        <v>0</v>
      </c>
      <c r="AV69" s="222">
        <f t="shared" si="103"/>
        <v>0</v>
      </c>
      <c r="AW69" s="187">
        <f t="shared" si="103"/>
        <v>0</v>
      </c>
      <c r="AX69" s="187">
        <f t="shared" si="103"/>
        <v>0</v>
      </c>
      <c r="AY69" s="187">
        <f t="shared" si="103"/>
        <v>0</v>
      </c>
      <c r="AZ69" s="187">
        <f t="shared" si="103"/>
        <v>0</v>
      </c>
      <c r="BA69" s="187">
        <f t="shared" si="103"/>
        <v>0</v>
      </c>
      <c r="BB69" s="187">
        <f t="shared" si="103"/>
        <v>0</v>
      </c>
      <c r="BC69" s="17">
        <f t="shared" si="103"/>
        <v>0</v>
      </c>
      <c r="BD69" s="19">
        <f t="shared" si="123"/>
        <v>0</v>
      </c>
      <c r="BE69" s="187">
        <f t="shared" si="123"/>
        <v>0</v>
      </c>
      <c r="BF69" s="187">
        <f t="shared" si="123"/>
        <v>0</v>
      </c>
      <c r="BG69" s="187">
        <f t="shared" si="123"/>
        <v>0</v>
      </c>
      <c r="BH69" s="187">
        <f t="shared" si="123"/>
        <v>0</v>
      </c>
      <c r="BI69" s="187">
        <f t="shared" si="137"/>
        <v>0</v>
      </c>
      <c r="BJ69" s="187">
        <f t="shared" si="137"/>
        <v>0</v>
      </c>
      <c r="BK69" s="17">
        <f t="shared" si="137"/>
        <v>0</v>
      </c>
      <c r="BL69" s="19">
        <f t="shared" si="164"/>
        <v>0</v>
      </c>
      <c r="BM69" s="187">
        <f t="shared" si="164"/>
        <v>0</v>
      </c>
      <c r="BN69" s="187">
        <f t="shared" si="164"/>
        <v>0</v>
      </c>
      <c r="BO69" s="187">
        <f t="shared" si="164"/>
        <v>0</v>
      </c>
      <c r="BP69" s="187">
        <f t="shared" si="164"/>
        <v>0</v>
      </c>
      <c r="BQ69" s="187">
        <f t="shared" si="138"/>
        <v>0</v>
      </c>
      <c r="BR69" s="187">
        <f t="shared" si="138"/>
        <v>0</v>
      </c>
      <c r="BS69" s="17">
        <f t="shared" si="138"/>
        <v>0</v>
      </c>
      <c r="BT69" s="19">
        <f t="shared" ref="BT69:BX78" si="169">0/157.5</f>
        <v>0</v>
      </c>
      <c r="BU69" s="187">
        <f t="shared" si="169"/>
        <v>0</v>
      </c>
      <c r="BV69" s="187">
        <f t="shared" si="169"/>
        <v>0</v>
      </c>
      <c r="BW69" s="187">
        <f t="shared" si="169"/>
        <v>0</v>
      </c>
      <c r="BX69" s="187">
        <f t="shared" si="169"/>
        <v>0</v>
      </c>
      <c r="BY69" s="187">
        <f t="shared" si="139"/>
        <v>0</v>
      </c>
      <c r="BZ69" s="187">
        <f t="shared" si="139"/>
        <v>0</v>
      </c>
      <c r="CA69" s="17">
        <f t="shared" si="139"/>
        <v>0</v>
      </c>
      <c r="CB69" s="73">
        <f t="shared" si="104"/>
        <v>0</v>
      </c>
      <c r="CC69" s="187">
        <f t="shared" si="104"/>
        <v>0</v>
      </c>
      <c r="CD69" s="187">
        <f t="shared" si="104"/>
        <v>0</v>
      </c>
      <c r="CE69" s="187">
        <f t="shared" si="104"/>
        <v>0</v>
      </c>
      <c r="CF69" s="187">
        <f t="shared" si="104"/>
        <v>0</v>
      </c>
      <c r="CG69" s="187">
        <f t="shared" si="140"/>
        <v>0</v>
      </c>
      <c r="CH69" s="187">
        <f t="shared" si="140"/>
        <v>0</v>
      </c>
      <c r="CI69" s="17">
        <f t="shared" si="140"/>
        <v>0</v>
      </c>
      <c r="CJ69" s="19">
        <f t="shared" si="165"/>
        <v>0</v>
      </c>
      <c r="CK69" s="187">
        <f t="shared" si="165"/>
        <v>0</v>
      </c>
      <c r="CL69" s="187">
        <f t="shared" si="165"/>
        <v>0</v>
      </c>
      <c r="CM69" s="187">
        <f t="shared" si="165"/>
        <v>0</v>
      </c>
      <c r="CN69" s="187">
        <f t="shared" si="165"/>
        <v>0</v>
      </c>
      <c r="CO69" s="187">
        <f t="shared" si="141"/>
        <v>0</v>
      </c>
      <c r="CP69" s="187">
        <f t="shared" si="141"/>
        <v>0</v>
      </c>
      <c r="CQ69" s="17">
        <f t="shared" si="141"/>
        <v>0</v>
      </c>
      <c r="CR69" s="19">
        <f t="shared" si="166"/>
        <v>0</v>
      </c>
      <c r="CS69" s="187">
        <f t="shared" si="166"/>
        <v>0</v>
      </c>
      <c r="CT69" s="187">
        <f t="shared" si="166"/>
        <v>0</v>
      </c>
      <c r="CU69" s="187">
        <f t="shared" si="166"/>
        <v>0</v>
      </c>
      <c r="CV69" s="187">
        <f t="shared" si="166"/>
        <v>0</v>
      </c>
      <c r="CW69" s="187">
        <f t="shared" si="142"/>
        <v>0</v>
      </c>
      <c r="CX69" s="187">
        <f t="shared" si="142"/>
        <v>0</v>
      </c>
      <c r="CY69" s="17">
        <f t="shared" si="142"/>
        <v>0</v>
      </c>
      <c r="CZ69" s="278"/>
    </row>
    <row r="70" spans="1:104" ht="26.25" customHeight="1" x14ac:dyDescent="0.4">
      <c r="A70" s="380"/>
      <c r="B70" s="380"/>
      <c r="C70" s="380"/>
      <c r="D70" s="382"/>
      <c r="E70" s="406"/>
      <c r="F70" s="382"/>
      <c r="G70" s="416"/>
      <c r="H70" s="490"/>
      <c r="I70" s="490"/>
      <c r="J70" s="498"/>
      <c r="K70" s="492"/>
      <c r="L70" s="492"/>
      <c r="M70" s="494"/>
      <c r="N70" s="39" t="s">
        <v>89</v>
      </c>
      <c r="O70" s="207">
        <f t="shared" si="133"/>
        <v>0</v>
      </c>
      <c r="P70" s="207">
        <f t="shared" si="133"/>
        <v>0</v>
      </c>
      <c r="Q70" s="207">
        <f t="shared" si="133"/>
        <v>0</v>
      </c>
      <c r="R70" s="207">
        <f t="shared" si="133"/>
        <v>0</v>
      </c>
      <c r="S70" s="207">
        <f t="shared" si="133"/>
        <v>0</v>
      </c>
      <c r="T70" s="207">
        <f t="shared" si="133"/>
        <v>0</v>
      </c>
      <c r="U70" s="49">
        <f t="shared" si="133"/>
        <v>0</v>
      </c>
      <c r="V70" s="57">
        <f t="shared" si="145"/>
        <v>0</v>
      </c>
      <c r="W70" s="18">
        <f t="shared" si="145"/>
        <v>0</v>
      </c>
      <c r="X70" s="18">
        <f t="shared" si="145"/>
        <v>0</v>
      </c>
      <c r="Y70" s="18">
        <f t="shared" si="145"/>
        <v>0</v>
      </c>
      <c r="Z70" s="18">
        <f t="shared" si="145"/>
        <v>0</v>
      </c>
      <c r="AA70" s="18">
        <f t="shared" si="150"/>
        <v>0</v>
      </c>
      <c r="AB70" s="42">
        <f t="shared" si="132"/>
        <v>0</v>
      </c>
      <c r="AC70" s="52">
        <f t="shared" si="132"/>
        <v>0</v>
      </c>
      <c r="AD70" s="207">
        <f t="shared" si="132"/>
        <v>0</v>
      </c>
      <c r="AE70" s="207">
        <f t="shared" si="132"/>
        <v>0</v>
      </c>
      <c r="AF70" s="207">
        <f t="shared" si="132"/>
        <v>0</v>
      </c>
      <c r="AG70" s="18">
        <f t="shared" si="132"/>
        <v>0</v>
      </c>
      <c r="AH70" s="57">
        <f>(0+2+1.5+1.5)/165</f>
        <v>3.0303030303030304E-2</v>
      </c>
      <c r="AI70" s="207">
        <f>(0+1)/165</f>
        <v>6.0606060606060606E-3</v>
      </c>
      <c r="AJ70" s="207">
        <f t="shared" si="163"/>
        <v>0</v>
      </c>
      <c r="AK70" s="207">
        <f t="shared" si="163"/>
        <v>0</v>
      </c>
      <c r="AL70" s="207">
        <f t="shared" si="163"/>
        <v>0</v>
      </c>
      <c r="AM70" s="207">
        <f>(0+8.5+6+3.25)/165</f>
        <v>0.10757575757575757</v>
      </c>
      <c r="AN70" s="57">
        <f t="shared" si="122"/>
        <v>0</v>
      </c>
      <c r="AO70" s="207">
        <f t="shared" si="122"/>
        <v>0</v>
      </c>
      <c r="AP70" s="207">
        <f t="shared" si="122"/>
        <v>0</v>
      </c>
      <c r="AQ70" s="207">
        <f t="shared" si="122"/>
        <v>0</v>
      </c>
      <c r="AR70" s="207">
        <f t="shared" si="122"/>
        <v>0</v>
      </c>
      <c r="AS70" s="207">
        <f t="shared" si="136"/>
        <v>0</v>
      </c>
      <c r="AT70" s="207">
        <f t="shared" si="136"/>
        <v>0</v>
      </c>
      <c r="AU70" s="49">
        <f t="shared" si="136"/>
        <v>0</v>
      </c>
      <c r="AV70" s="63">
        <f t="shared" si="103"/>
        <v>0</v>
      </c>
      <c r="AW70" s="208">
        <f t="shared" si="103"/>
        <v>0</v>
      </c>
      <c r="AX70" s="208">
        <f t="shared" si="103"/>
        <v>0</v>
      </c>
      <c r="AY70" s="208">
        <f t="shared" si="103"/>
        <v>0</v>
      </c>
      <c r="AZ70" s="208">
        <f t="shared" si="103"/>
        <v>0</v>
      </c>
      <c r="BA70" s="208">
        <f t="shared" si="103"/>
        <v>0</v>
      </c>
      <c r="BB70" s="208">
        <f t="shared" si="103"/>
        <v>0</v>
      </c>
      <c r="BC70" s="64">
        <f t="shared" si="103"/>
        <v>0</v>
      </c>
      <c r="BD70" s="63">
        <f t="shared" si="123"/>
        <v>0</v>
      </c>
      <c r="BE70" s="208">
        <f t="shared" si="123"/>
        <v>0</v>
      </c>
      <c r="BF70" s="208">
        <f t="shared" si="123"/>
        <v>0</v>
      </c>
      <c r="BG70" s="208">
        <f t="shared" si="123"/>
        <v>0</v>
      </c>
      <c r="BH70" s="208">
        <f t="shared" si="123"/>
        <v>0</v>
      </c>
      <c r="BI70" s="208">
        <f t="shared" si="137"/>
        <v>0</v>
      </c>
      <c r="BJ70" s="208">
        <f t="shared" si="137"/>
        <v>0</v>
      </c>
      <c r="BK70" s="64">
        <f t="shared" si="137"/>
        <v>0</v>
      </c>
      <c r="BL70" s="63">
        <f t="shared" si="164"/>
        <v>0</v>
      </c>
      <c r="BM70" s="208">
        <f t="shared" si="164"/>
        <v>0</v>
      </c>
      <c r="BN70" s="208">
        <f t="shared" si="164"/>
        <v>0</v>
      </c>
      <c r="BO70" s="208">
        <f t="shared" si="164"/>
        <v>0</v>
      </c>
      <c r="BP70" s="208">
        <f t="shared" si="164"/>
        <v>0</v>
      </c>
      <c r="BQ70" s="208">
        <f t="shared" si="138"/>
        <v>0</v>
      </c>
      <c r="BR70" s="208">
        <f t="shared" si="138"/>
        <v>0</v>
      </c>
      <c r="BS70" s="64">
        <f t="shared" si="138"/>
        <v>0</v>
      </c>
      <c r="BT70" s="63">
        <f t="shared" si="169"/>
        <v>0</v>
      </c>
      <c r="BU70" s="208">
        <f t="shared" si="169"/>
        <v>0</v>
      </c>
      <c r="BV70" s="208">
        <f t="shared" si="169"/>
        <v>0</v>
      </c>
      <c r="BW70" s="208">
        <f t="shared" si="169"/>
        <v>0</v>
      </c>
      <c r="BX70" s="208">
        <f t="shared" si="169"/>
        <v>0</v>
      </c>
      <c r="BY70" s="208">
        <f t="shared" si="139"/>
        <v>0</v>
      </c>
      <c r="BZ70" s="208">
        <f t="shared" si="139"/>
        <v>0</v>
      </c>
      <c r="CA70" s="64">
        <f t="shared" si="139"/>
        <v>0</v>
      </c>
      <c r="CB70" s="63">
        <f t="shared" si="104"/>
        <v>0</v>
      </c>
      <c r="CC70" s="208">
        <f t="shared" si="104"/>
        <v>0</v>
      </c>
      <c r="CD70" s="208">
        <f t="shared" si="104"/>
        <v>0</v>
      </c>
      <c r="CE70" s="208">
        <f t="shared" si="104"/>
        <v>0</v>
      </c>
      <c r="CF70" s="208">
        <f t="shared" si="104"/>
        <v>0</v>
      </c>
      <c r="CG70" s="208">
        <f t="shared" si="140"/>
        <v>0</v>
      </c>
      <c r="CH70" s="208">
        <f t="shared" si="140"/>
        <v>0</v>
      </c>
      <c r="CI70" s="64">
        <f t="shared" si="140"/>
        <v>0</v>
      </c>
      <c r="CJ70" s="63">
        <f t="shared" si="165"/>
        <v>0</v>
      </c>
      <c r="CK70" s="208">
        <f t="shared" si="165"/>
        <v>0</v>
      </c>
      <c r="CL70" s="208">
        <f t="shared" si="165"/>
        <v>0</v>
      </c>
      <c r="CM70" s="208">
        <f t="shared" si="165"/>
        <v>0</v>
      </c>
      <c r="CN70" s="208">
        <f t="shared" si="165"/>
        <v>0</v>
      </c>
      <c r="CO70" s="208">
        <f t="shared" si="141"/>
        <v>0</v>
      </c>
      <c r="CP70" s="208">
        <f t="shared" si="141"/>
        <v>0</v>
      </c>
      <c r="CQ70" s="64">
        <f t="shared" si="141"/>
        <v>0</v>
      </c>
      <c r="CR70" s="63">
        <f t="shared" si="166"/>
        <v>0</v>
      </c>
      <c r="CS70" s="208">
        <f t="shared" si="166"/>
        <v>0</v>
      </c>
      <c r="CT70" s="208">
        <f t="shared" si="166"/>
        <v>0</v>
      </c>
      <c r="CU70" s="208">
        <f t="shared" si="166"/>
        <v>0</v>
      </c>
      <c r="CV70" s="208">
        <f t="shared" si="166"/>
        <v>0</v>
      </c>
      <c r="CW70" s="208">
        <f t="shared" si="142"/>
        <v>0</v>
      </c>
      <c r="CX70" s="208">
        <f t="shared" si="142"/>
        <v>0</v>
      </c>
      <c r="CY70" s="64">
        <f t="shared" si="142"/>
        <v>0</v>
      </c>
      <c r="CZ70" s="278"/>
    </row>
    <row r="71" spans="1:104" ht="26.25" customHeight="1" x14ac:dyDescent="0.4">
      <c r="A71" s="379">
        <v>33</v>
      </c>
      <c r="B71" s="379" t="s">
        <v>46</v>
      </c>
      <c r="C71" s="379" t="s">
        <v>347</v>
      </c>
      <c r="D71" s="381" t="s">
        <v>430</v>
      </c>
      <c r="E71" s="405" t="s">
        <v>730</v>
      </c>
      <c r="F71" s="381" t="s">
        <v>715</v>
      </c>
      <c r="G71" s="416" t="s">
        <v>719</v>
      </c>
      <c r="H71" s="489">
        <f t="shared" ref="H71" si="170">SUM(AH71:AM71)</f>
        <v>0.21212121212121213</v>
      </c>
      <c r="I71" s="489">
        <f t="shared" ref="I71" si="171">SUM(AH72:AM72)</f>
        <v>0.27878787878787881</v>
      </c>
      <c r="J71" s="497"/>
      <c r="K71" s="491"/>
      <c r="L71" s="491"/>
      <c r="M71" s="493"/>
      <c r="N71" s="48" t="s">
        <v>24</v>
      </c>
      <c r="O71" s="187">
        <f t="shared" si="133"/>
        <v>0</v>
      </c>
      <c r="P71" s="187">
        <f t="shared" si="133"/>
        <v>0</v>
      </c>
      <c r="Q71" s="187">
        <f t="shared" si="133"/>
        <v>0</v>
      </c>
      <c r="R71" s="187">
        <f t="shared" si="133"/>
        <v>0</v>
      </c>
      <c r="S71" s="187">
        <f t="shared" si="133"/>
        <v>0</v>
      </c>
      <c r="T71" s="187">
        <f t="shared" si="133"/>
        <v>0</v>
      </c>
      <c r="U71" s="82">
        <f t="shared" si="133"/>
        <v>0</v>
      </c>
      <c r="V71" s="19">
        <f t="shared" si="145"/>
        <v>0</v>
      </c>
      <c r="W71" s="187">
        <f t="shared" si="145"/>
        <v>0</v>
      </c>
      <c r="X71" s="187">
        <f t="shared" si="145"/>
        <v>0</v>
      </c>
      <c r="Y71" s="187">
        <f t="shared" si="145"/>
        <v>0</v>
      </c>
      <c r="Z71" s="187">
        <f t="shared" si="145"/>
        <v>0</v>
      </c>
      <c r="AA71" s="187">
        <f t="shared" si="150"/>
        <v>0</v>
      </c>
      <c r="AB71" s="19">
        <f t="shared" si="132"/>
        <v>0</v>
      </c>
      <c r="AC71" s="187">
        <f t="shared" si="132"/>
        <v>0</v>
      </c>
      <c r="AD71" s="249">
        <f t="shared" si="132"/>
        <v>0</v>
      </c>
      <c r="AE71" s="187">
        <f t="shared" si="132"/>
        <v>0</v>
      </c>
      <c r="AF71" s="187">
        <f t="shared" si="132"/>
        <v>0</v>
      </c>
      <c r="AG71" s="187">
        <f t="shared" si="132"/>
        <v>0</v>
      </c>
      <c r="AH71" s="73">
        <f>(5)/165</f>
        <v>3.0303030303030304E-2</v>
      </c>
      <c r="AI71" s="187">
        <f>(20)/165</f>
        <v>0.12121212121212122</v>
      </c>
      <c r="AJ71" s="187">
        <f t="shared" si="163"/>
        <v>0</v>
      </c>
      <c r="AK71" s="187">
        <f>(10)/165</f>
        <v>6.0606060606060608E-2</v>
      </c>
      <c r="AL71" s="187">
        <f t="shared" si="163"/>
        <v>0</v>
      </c>
      <c r="AM71" s="187">
        <f t="shared" si="163"/>
        <v>0</v>
      </c>
      <c r="AN71" s="73">
        <f t="shared" si="122"/>
        <v>0</v>
      </c>
      <c r="AO71" s="187">
        <f t="shared" si="122"/>
        <v>0</v>
      </c>
      <c r="AP71" s="187">
        <f t="shared" si="122"/>
        <v>0</v>
      </c>
      <c r="AQ71" s="187">
        <f t="shared" si="122"/>
        <v>0</v>
      </c>
      <c r="AR71" s="187">
        <f t="shared" si="122"/>
        <v>0</v>
      </c>
      <c r="AS71" s="187">
        <f t="shared" si="136"/>
        <v>0</v>
      </c>
      <c r="AT71" s="187">
        <f t="shared" si="136"/>
        <v>0</v>
      </c>
      <c r="AU71" s="221">
        <f t="shared" si="136"/>
        <v>0</v>
      </c>
      <c r="AV71" s="222">
        <f t="shared" si="103"/>
        <v>0</v>
      </c>
      <c r="AW71" s="187">
        <f t="shared" si="103"/>
        <v>0</v>
      </c>
      <c r="AX71" s="187">
        <f t="shared" si="103"/>
        <v>0</v>
      </c>
      <c r="AY71" s="187">
        <f t="shared" si="103"/>
        <v>0</v>
      </c>
      <c r="AZ71" s="187">
        <f t="shared" si="103"/>
        <v>0</v>
      </c>
      <c r="BA71" s="187">
        <f t="shared" si="103"/>
        <v>0</v>
      </c>
      <c r="BB71" s="187">
        <f t="shared" si="103"/>
        <v>0</v>
      </c>
      <c r="BC71" s="17">
        <f t="shared" si="103"/>
        <v>0</v>
      </c>
      <c r="BD71" s="19">
        <f t="shared" si="123"/>
        <v>0</v>
      </c>
      <c r="BE71" s="187">
        <f t="shared" si="123"/>
        <v>0</v>
      </c>
      <c r="BF71" s="187">
        <f t="shared" si="123"/>
        <v>0</v>
      </c>
      <c r="BG71" s="187">
        <f t="shared" si="123"/>
        <v>0</v>
      </c>
      <c r="BH71" s="187">
        <f t="shared" si="123"/>
        <v>0</v>
      </c>
      <c r="BI71" s="187">
        <f t="shared" si="137"/>
        <v>0</v>
      </c>
      <c r="BJ71" s="187">
        <f t="shared" si="137"/>
        <v>0</v>
      </c>
      <c r="BK71" s="17">
        <f t="shared" si="137"/>
        <v>0</v>
      </c>
      <c r="BL71" s="19">
        <f t="shared" si="164"/>
        <v>0</v>
      </c>
      <c r="BM71" s="187">
        <f t="shared" si="164"/>
        <v>0</v>
      </c>
      <c r="BN71" s="187">
        <f t="shared" si="164"/>
        <v>0</v>
      </c>
      <c r="BO71" s="187">
        <f t="shared" si="164"/>
        <v>0</v>
      </c>
      <c r="BP71" s="187">
        <f t="shared" si="164"/>
        <v>0</v>
      </c>
      <c r="BQ71" s="187">
        <f t="shared" si="138"/>
        <v>0</v>
      </c>
      <c r="BR71" s="187">
        <f t="shared" si="138"/>
        <v>0</v>
      </c>
      <c r="BS71" s="17">
        <f t="shared" si="138"/>
        <v>0</v>
      </c>
      <c r="BT71" s="19">
        <f t="shared" si="169"/>
        <v>0</v>
      </c>
      <c r="BU71" s="187">
        <f t="shared" si="169"/>
        <v>0</v>
      </c>
      <c r="BV71" s="187">
        <f t="shared" si="169"/>
        <v>0</v>
      </c>
      <c r="BW71" s="187">
        <f t="shared" si="169"/>
        <v>0</v>
      </c>
      <c r="BX71" s="187">
        <f t="shared" si="169"/>
        <v>0</v>
      </c>
      <c r="BY71" s="187">
        <f t="shared" si="139"/>
        <v>0</v>
      </c>
      <c r="BZ71" s="187">
        <f t="shared" si="139"/>
        <v>0</v>
      </c>
      <c r="CA71" s="17">
        <f t="shared" si="139"/>
        <v>0</v>
      </c>
      <c r="CB71" s="73">
        <f t="shared" si="104"/>
        <v>0</v>
      </c>
      <c r="CC71" s="187">
        <f t="shared" si="104"/>
        <v>0</v>
      </c>
      <c r="CD71" s="187">
        <f t="shared" si="104"/>
        <v>0</v>
      </c>
      <c r="CE71" s="187">
        <f t="shared" si="104"/>
        <v>0</v>
      </c>
      <c r="CF71" s="187">
        <f t="shared" si="104"/>
        <v>0</v>
      </c>
      <c r="CG71" s="187">
        <f t="shared" si="140"/>
        <v>0</v>
      </c>
      <c r="CH71" s="187">
        <f t="shared" si="140"/>
        <v>0</v>
      </c>
      <c r="CI71" s="17">
        <f t="shared" si="140"/>
        <v>0</v>
      </c>
      <c r="CJ71" s="19">
        <f t="shared" si="165"/>
        <v>0</v>
      </c>
      <c r="CK71" s="187">
        <f t="shared" si="165"/>
        <v>0</v>
      </c>
      <c r="CL71" s="187">
        <f t="shared" si="165"/>
        <v>0</v>
      </c>
      <c r="CM71" s="187">
        <f t="shared" si="165"/>
        <v>0</v>
      </c>
      <c r="CN71" s="187">
        <f t="shared" si="165"/>
        <v>0</v>
      </c>
      <c r="CO71" s="187">
        <f t="shared" si="141"/>
        <v>0</v>
      </c>
      <c r="CP71" s="187">
        <f t="shared" si="141"/>
        <v>0</v>
      </c>
      <c r="CQ71" s="17">
        <f t="shared" si="141"/>
        <v>0</v>
      </c>
      <c r="CR71" s="19">
        <f t="shared" si="166"/>
        <v>0</v>
      </c>
      <c r="CS71" s="187">
        <f t="shared" si="166"/>
        <v>0</v>
      </c>
      <c r="CT71" s="187">
        <f t="shared" si="166"/>
        <v>0</v>
      </c>
      <c r="CU71" s="187">
        <f t="shared" si="166"/>
        <v>0</v>
      </c>
      <c r="CV71" s="187">
        <f t="shared" si="166"/>
        <v>0</v>
      </c>
      <c r="CW71" s="187">
        <f t="shared" si="142"/>
        <v>0</v>
      </c>
      <c r="CX71" s="187">
        <f t="shared" si="142"/>
        <v>0</v>
      </c>
      <c r="CY71" s="17">
        <f t="shared" si="142"/>
        <v>0</v>
      </c>
      <c r="CZ71" s="278"/>
    </row>
    <row r="72" spans="1:104" ht="26.25" customHeight="1" x14ac:dyDescent="0.4">
      <c r="A72" s="380"/>
      <c r="B72" s="380"/>
      <c r="C72" s="380"/>
      <c r="D72" s="382"/>
      <c r="E72" s="406"/>
      <c r="F72" s="382"/>
      <c r="G72" s="416"/>
      <c r="H72" s="490"/>
      <c r="I72" s="490"/>
      <c r="J72" s="498"/>
      <c r="K72" s="492"/>
      <c r="L72" s="492"/>
      <c r="M72" s="494"/>
      <c r="N72" s="39" t="s">
        <v>25</v>
      </c>
      <c r="O72" s="207">
        <f t="shared" si="133"/>
        <v>0</v>
      </c>
      <c r="P72" s="207">
        <f t="shared" si="133"/>
        <v>0</v>
      </c>
      <c r="Q72" s="207">
        <f t="shared" si="133"/>
        <v>0</v>
      </c>
      <c r="R72" s="207">
        <f t="shared" si="133"/>
        <v>0</v>
      </c>
      <c r="S72" s="207">
        <f t="shared" si="133"/>
        <v>0</v>
      </c>
      <c r="T72" s="207">
        <f t="shared" si="133"/>
        <v>0</v>
      </c>
      <c r="U72" s="49">
        <f t="shared" si="133"/>
        <v>0</v>
      </c>
      <c r="V72" s="57">
        <f t="shared" si="145"/>
        <v>0</v>
      </c>
      <c r="W72" s="18">
        <f t="shared" si="145"/>
        <v>0</v>
      </c>
      <c r="X72" s="18">
        <f t="shared" si="145"/>
        <v>0</v>
      </c>
      <c r="Y72" s="18">
        <f t="shared" si="145"/>
        <v>0</v>
      </c>
      <c r="Z72" s="18">
        <f t="shared" si="145"/>
        <v>0</v>
      </c>
      <c r="AA72" s="18">
        <f t="shared" si="150"/>
        <v>0</v>
      </c>
      <c r="AB72" s="42">
        <f t="shared" si="132"/>
        <v>0</v>
      </c>
      <c r="AC72" s="52">
        <f t="shared" si="132"/>
        <v>0</v>
      </c>
      <c r="AD72" s="207">
        <f t="shared" si="132"/>
        <v>0</v>
      </c>
      <c r="AE72" s="207">
        <f t="shared" si="132"/>
        <v>0</v>
      </c>
      <c r="AF72" s="207">
        <f t="shared" si="132"/>
        <v>0</v>
      </c>
      <c r="AG72" s="18">
        <f t="shared" si="132"/>
        <v>0</v>
      </c>
      <c r="AH72" s="57">
        <f>(0+2+2.5+1.5)/165</f>
        <v>3.6363636363636362E-2</v>
      </c>
      <c r="AI72" s="207">
        <f>(0+12.5+9.5+2.5)/165</f>
        <v>0.1484848484848485</v>
      </c>
      <c r="AJ72" s="207">
        <f t="shared" si="163"/>
        <v>0</v>
      </c>
      <c r="AK72" s="207">
        <f>(0+10+4+1.5)/165</f>
        <v>9.3939393939393934E-2</v>
      </c>
      <c r="AL72" s="207">
        <f t="shared" si="163"/>
        <v>0</v>
      </c>
      <c r="AM72" s="207">
        <f t="shared" si="163"/>
        <v>0</v>
      </c>
      <c r="AN72" s="57">
        <f t="shared" si="122"/>
        <v>0</v>
      </c>
      <c r="AO72" s="207">
        <f t="shared" si="122"/>
        <v>0</v>
      </c>
      <c r="AP72" s="207">
        <f t="shared" si="122"/>
        <v>0</v>
      </c>
      <c r="AQ72" s="207">
        <f t="shared" si="122"/>
        <v>0</v>
      </c>
      <c r="AR72" s="207">
        <f t="shared" si="122"/>
        <v>0</v>
      </c>
      <c r="AS72" s="207">
        <f t="shared" si="136"/>
        <v>0</v>
      </c>
      <c r="AT72" s="207">
        <f t="shared" si="136"/>
        <v>0</v>
      </c>
      <c r="AU72" s="49">
        <f t="shared" si="136"/>
        <v>0</v>
      </c>
      <c r="AV72" s="63">
        <f t="shared" si="103"/>
        <v>0</v>
      </c>
      <c r="AW72" s="208">
        <f t="shared" si="103"/>
        <v>0</v>
      </c>
      <c r="AX72" s="208">
        <f t="shared" si="103"/>
        <v>0</v>
      </c>
      <c r="AY72" s="208">
        <f t="shared" si="103"/>
        <v>0</v>
      </c>
      <c r="AZ72" s="208">
        <f t="shared" si="103"/>
        <v>0</v>
      </c>
      <c r="BA72" s="208">
        <f t="shared" si="103"/>
        <v>0</v>
      </c>
      <c r="BB72" s="208">
        <f t="shared" ref="BB72" si="172">0/172.5</f>
        <v>0</v>
      </c>
      <c r="BC72" s="64">
        <f t="shared" si="103"/>
        <v>0</v>
      </c>
      <c r="BD72" s="63">
        <f t="shared" si="123"/>
        <v>0</v>
      </c>
      <c r="BE72" s="208">
        <f t="shared" si="123"/>
        <v>0</v>
      </c>
      <c r="BF72" s="208">
        <f t="shared" si="123"/>
        <v>0</v>
      </c>
      <c r="BG72" s="208">
        <f t="shared" si="123"/>
        <v>0</v>
      </c>
      <c r="BH72" s="208">
        <f t="shared" si="123"/>
        <v>0</v>
      </c>
      <c r="BI72" s="208">
        <f t="shared" si="137"/>
        <v>0</v>
      </c>
      <c r="BJ72" s="208">
        <f t="shared" si="137"/>
        <v>0</v>
      </c>
      <c r="BK72" s="64">
        <f t="shared" si="137"/>
        <v>0</v>
      </c>
      <c r="BL72" s="63">
        <f t="shared" si="164"/>
        <v>0</v>
      </c>
      <c r="BM72" s="208">
        <f t="shared" si="164"/>
        <v>0</v>
      </c>
      <c r="BN72" s="208">
        <f t="shared" si="164"/>
        <v>0</v>
      </c>
      <c r="BO72" s="208">
        <f t="shared" si="164"/>
        <v>0</v>
      </c>
      <c r="BP72" s="208">
        <f t="shared" si="164"/>
        <v>0</v>
      </c>
      <c r="BQ72" s="208">
        <f t="shared" si="138"/>
        <v>0</v>
      </c>
      <c r="BR72" s="208">
        <f t="shared" si="138"/>
        <v>0</v>
      </c>
      <c r="BS72" s="64">
        <f t="shared" si="138"/>
        <v>0</v>
      </c>
      <c r="BT72" s="63">
        <f t="shared" si="169"/>
        <v>0</v>
      </c>
      <c r="BU72" s="208">
        <f t="shared" si="169"/>
        <v>0</v>
      </c>
      <c r="BV72" s="208">
        <f t="shared" si="169"/>
        <v>0</v>
      </c>
      <c r="BW72" s="208">
        <f t="shared" si="169"/>
        <v>0</v>
      </c>
      <c r="BX72" s="208">
        <f t="shared" si="169"/>
        <v>0</v>
      </c>
      <c r="BY72" s="208">
        <f t="shared" si="139"/>
        <v>0</v>
      </c>
      <c r="BZ72" s="208">
        <f t="shared" si="139"/>
        <v>0</v>
      </c>
      <c r="CA72" s="64">
        <f t="shared" si="139"/>
        <v>0</v>
      </c>
      <c r="CB72" s="63">
        <f t="shared" si="104"/>
        <v>0</v>
      </c>
      <c r="CC72" s="208">
        <f t="shared" si="104"/>
        <v>0</v>
      </c>
      <c r="CD72" s="208">
        <f t="shared" si="104"/>
        <v>0</v>
      </c>
      <c r="CE72" s="208">
        <f t="shared" si="104"/>
        <v>0</v>
      </c>
      <c r="CF72" s="208">
        <f t="shared" si="104"/>
        <v>0</v>
      </c>
      <c r="CG72" s="208">
        <f t="shared" si="140"/>
        <v>0</v>
      </c>
      <c r="CH72" s="208">
        <f t="shared" si="140"/>
        <v>0</v>
      </c>
      <c r="CI72" s="64">
        <f t="shared" si="140"/>
        <v>0</v>
      </c>
      <c r="CJ72" s="63">
        <f t="shared" si="165"/>
        <v>0</v>
      </c>
      <c r="CK72" s="208">
        <f t="shared" si="165"/>
        <v>0</v>
      </c>
      <c r="CL72" s="208">
        <f t="shared" si="165"/>
        <v>0</v>
      </c>
      <c r="CM72" s="208">
        <f t="shared" si="165"/>
        <v>0</v>
      </c>
      <c r="CN72" s="208">
        <f t="shared" si="165"/>
        <v>0</v>
      </c>
      <c r="CO72" s="208">
        <f t="shared" si="141"/>
        <v>0</v>
      </c>
      <c r="CP72" s="208">
        <f t="shared" si="141"/>
        <v>0</v>
      </c>
      <c r="CQ72" s="64">
        <f t="shared" si="141"/>
        <v>0</v>
      </c>
      <c r="CR72" s="63">
        <f t="shared" si="166"/>
        <v>0</v>
      </c>
      <c r="CS72" s="208">
        <f t="shared" si="166"/>
        <v>0</v>
      </c>
      <c r="CT72" s="208">
        <f t="shared" si="166"/>
        <v>0</v>
      </c>
      <c r="CU72" s="208">
        <f t="shared" si="166"/>
        <v>0</v>
      </c>
      <c r="CV72" s="208">
        <f t="shared" si="166"/>
        <v>0</v>
      </c>
      <c r="CW72" s="208">
        <f t="shared" si="142"/>
        <v>0</v>
      </c>
      <c r="CX72" s="208">
        <f t="shared" si="142"/>
        <v>0</v>
      </c>
      <c r="CY72" s="64">
        <f t="shared" si="142"/>
        <v>0</v>
      </c>
      <c r="CZ72" s="278"/>
    </row>
    <row r="73" spans="1:104" ht="26.25" customHeight="1" x14ac:dyDescent="0.4">
      <c r="A73" s="379">
        <v>34</v>
      </c>
      <c r="B73" s="379" t="s">
        <v>47</v>
      </c>
      <c r="C73" s="379" t="s">
        <v>347</v>
      </c>
      <c r="D73" s="381" t="s">
        <v>426</v>
      </c>
      <c r="E73" s="405" t="s">
        <v>731</v>
      </c>
      <c r="F73" s="381" t="s">
        <v>716</v>
      </c>
      <c r="G73" s="416" t="s">
        <v>720</v>
      </c>
      <c r="H73" s="489">
        <f t="shared" ref="H73" si="173">SUM(AH73:AM73)</f>
        <v>0.15151515151515152</v>
      </c>
      <c r="I73" s="489">
        <f t="shared" ref="I73" si="174">SUM(AH74:AM74)</f>
        <v>0.12575757575757576</v>
      </c>
      <c r="J73" s="497"/>
      <c r="K73" s="491"/>
      <c r="L73" s="491"/>
      <c r="M73" s="493"/>
      <c r="N73" s="48" t="s">
        <v>24</v>
      </c>
      <c r="O73" s="187">
        <f t="shared" si="133"/>
        <v>0</v>
      </c>
      <c r="P73" s="187">
        <f t="shared" si="133"/>
        <v>0</v>
      </c>
      <c r="Q73" s="187">
        <f t="shared" si="133"/>
        <v>0</v>
      </c>
      <c r="R73" s="187">
        <f t="shared" si="133"/>
        <v>0</v>
      </c>
      <c r="S73" s="187">
        <f t="shared" si="133"/>
        <v>0</v>
      </c>
      <c r="T73" s="187">
        <f t="shared" si="133"/>
        <v>0</v>
      </c>
      <c r="U73" s="82">
        <f t="shared" si="133"/>
        <v>0</v>
      </c>
      <c r="V73" s="19">
        <f t="shared" si="145"/>
        <v>0</v>
      </c>
      <c r="W73" s="187">
        <f t="shared" si="145"/>
        <v>0</v>
      </c>
      <c r="X73" s="187">
        <f t="shared" si="145"/>
        <v>0</v>
      </c>
      <c r="Y73" s="187">
        <f t="shared" si="145"/>
        <v>0</v>
      </c>
      <c r="Z73" s="187">
        <f t="shared" si="145"/>
        <v>0</v>
      </c>
      <c r="AA73" s="187">
        <f t="shared" si="150"/>
        <v>0</v>
      </c>
      <c r="AB73" s="19">
        <f t="shared" si="132"/>
        <v>0</v>
      </c>
      <c r="AC73" s="187">
        <f t="shared" si="132"/>
        <v>0</v>
      </c>
      <c r="AD73" s="249">
        <f t="shared" si="132"/>
        <v>0</v>
      </c>
      <c r="AE73" s="187">
        <f t="shared" si="132"/>
        <v>0</v>
      </c>
      <c r="AF73" s="187">
        <f t="shared" si="132"/>
        <v>0</v>
      </c>
      <c r="AG73" s="187">
        <f t="shared" si="132"/>
        <v>0</v>
      </c>
      <c r="AH73" s="73">
        <f>(5)/165</f>
        <v>3.0303030303030304E-2</v>
      </c>
      <c r="AI73" s="187">
        <f t="shared" si="163"/>
        <v>0</v>
      </c>
      <c r="AJ73" s="187">
        <f>(10)/165</f>
        <v>6.0606060606060608E-2</v>
      </c>
      <c r="AK73" s="187">
        <f>(10)/165</f>
        <v>6.0606060606060608E-2</v>
      </c>
      <c r="AL73" s="187">
        <f t="shared" si="163"/>
        <v>0</v>
      </c>
      <c r="AM73" s="187">
        <f t="shared" si="163"/>
        <v>0</v>
      </c>
      <c r="AN73" s="73">
        <f t="shared" si="122"/>
        <v>0</v>
      </c>
      <c r="AO73" s="187">
        <f t="shared" si="122"/>
        <v>0</v>
      </c>
      <c r="AP73" s="187">
        <f t="shared" si="122"/>
        <v>0</v>
      </c>
      <c r="AQ73" s="187">
        <f t="shared" si="122"/>
        <v>0</v>
      </c>
      <c r="AR73" s="187">
        <f t="shared" si="122"/>
        <v>0</v>
      </c>
      <c r="AS73" s="187">
        <f t="shared" si="136"/>
        <v>0</v>
      </c>
      <c r="AT73" s="187">
        <f t="shared" si="136"/>
        <v>0</v>
      </c>
      <c r="AU73" s="221">
        <f t="shared" si="136"/>
        <v>0</v>
      </c>
      <c r="AV73" s="222">
        <f t="shared" ref="AV73:BC106" si="175">0/172.5</f>
        <v>0</v>
      </c>
      <c r="AW73" s="187">
        <f t="shared" si="175"/>
        <v>0</v>
      </c>
      <c r="AX73" s="187">
        <f t="shared" si="175"/>
        <v>0</v>
      </c>
      <c r="AY73" s="187">
        <f t="shared" si="175"/>
        <v>0</v>
      </c>
      <c r="AZ73" s="187">
        <f t="shared" si="175"/>
        <v>0</v>
      </c>
      <c r="BA73" s="187">
        <f t="shared" si="175"/>
        <v>0</v>
      </c>
      <c r="BB73" s="187">
        <f t="shared" si="175"/>
        <v>0</v>
      </c>
      <c r="BC73" s="17">
        <f t="shared" si="175"/>
        <v>0</v>
      </c>
      <c r="BD73" s="19">
        <f t="shared" si="123"/>
        <v>0</v>
      </c>
      <c r="BE73" s="187">
        <f t="shared" si="123"/>
        <v>0</v>
      </c>
      <c r="BF73" s="187">
        <f t="shared" si="123"/>
        <v>0</v>
      </c>
      <c r="BG73" s="187">
        <f t="shared" si="123"/>
        <v>0</v>
      </c>
      <c r="BH73" s="187">
        <f t="shared" si="123"/>
        <v>0</v>
      </c>
      <c r="BI73" s="187">
        <f t="shared" si="137"/>
        <v>0</v>
      </c>
      <c r="BJ73" s="187">
        <f t="shared" si="137"/>
        <v>0</v>
      </c>
      <c r="BK73" s="17">
        <f t="shared" si="137"/>
        <v>0</v>
      </c>
      <c r="BL73" s="19">
        <f t="shared" si="164"/>
        <v>0</v>
      </c>
      <c r="BM73" s="187">
        <f t="shared" si="164"/>
        <v>0</v>
      </c>
      <c r="BN73" s="187">
        <f t="shared" si="164"/>
        <v>0</v>
      </c>
      <c r="BO73" s="187">
        <f t="shared" si="164"/>
        <v>0</v>
      </c>
      <c r="BP73" s="187">
        <f t="shared" si="164"/>
        <v>0</v>
      </c>
      <c r="BQ73" s="187">
        <f t="shared" si="138"/>
        <v>0</v>
      </c>
      <c r="BR73" s="187">
        <f t="shared" si="138"/>
        <v>0</v>
      </c>
      <c r="BS73" s="17">
        <f t="shared" si="138"/>
        <v>0</v>
      </c>
      <c r="BT73" s="19">
        <f t="shared" si="169"/>
        <v>0</v>
      </c>
      <c r="BU73" s="187">
        <f t="shared" si="169"/>
        <v>0</v>
      </c>
      <c r="BV73" s="187">
        <f t="shared" si="169"/>
        <v>0</v>
      </c>
      <c r="BW73" s="187">
        <f t="shared" si="169"/>
        <v>0</v>
      </c>
      <c r="BX73" s="187">
        <f t="shared" si="169"/>
        <v>0</v>
      </c>
      <c r="BY73" s="187">
        <f t="shared" si="139"/>
        <v>0</v>
      </c>
      <c r="BZ73" s="187">
        <f t="shared" si="139"/>
        <v>0</v>
      </c>
      <c r="CA73" s="17">
        <f t="shared" si="139"/>
        <v>0</v>
      </c>
      <c r="CB73" s="73">
        <f t="shared" ref="CB73:CF106" si="176">0/157.5</f>
        <v>0</v>
      </c>
      <c r="CC73" s="187">
        <f t="shared" si="176"/>
        <v>0</v>
      </c>
      <c r="CD73" s="187">
        <f t="shared" si="176"/>
        <v>0</v>
      </c>
      <c r="CE73" s="187">
        <f t="shared" si="176"/>
        <v>0</v>
      </c>
      <c r="CF73" s="187">
        <f t="shared" si="176"/>
        <v>0</v>
      </c>
      <c r="CG73" s="187">
        <f t="shared" si="140"/>
        <v>0</v>
      </c>
      <c r="CH73" s="187">
        <f t="shared" si="140"/>
        <v>0</v>
      </c>
      <c r="CI73" s="17">
        <f t="shared" si="140"/>
        <v>0</v>
      </c>
      <c r="CJ73" s="19">
        <f t="shared" si="165"/>
        <v>0</v>
      </c>
      <c r="CK73" s="187">
        <f t="shared" si="165"/>
        <v>0</v>
      </c>
      <c r="CL73" s="187">
        <f t="shared" si="165"/>
        <v>0</v>
      </c>
      <c r="CM73" s="187">
        <f t="shared" si="165"/>
        <v>0</v>
      </c>
      <c r="CN73" s="187">
        <f t="shared" si="165"/>
        <v>0</v>
      </c>
      <c r="CO73" s="187">
        <f t="shared" si="141"/>
        <v>0</v>
      </c>
      <c r="CP73" s="187">
        <f t="shared" si="141"/>
        <v>0</v>
      </c>
      <c r="CQ73" s="17">
        <f t="shared" si="141"/>
        <v>0</v>
      </c>
      <c r="CR73" s="19">
        <f t="shared" si="166"/>
        <v>0</v>
      </c>
      <c r="CS73" s="187">
        <f t="shared" si="166"/>
        <v>0</v>
      </c>
      <c r="CT73" s="187">
        <f t="shared" si="166"/>
        <v>0</v>
      </c>
      <c r="CU73" s="187">
        <f t="shared" si="166"/>
        <v>0</v>
      </c>
      <c r="CV73" s="187">
        <f t="shared" si="166"/>
        <v>0</v>
      </c>
      <c r="CW73" s="187">
        <f t="shared" si="142"/>
        <v>0</v>
      </c>
      <c r="CX73" s="187">
        <f t="shared" si="142"/>
        <v>0</v>
      </c>
      <c r="CY73" s="17">
        <f t="shared" si="142"/>
        <v>0</v>
      </c>
      <c r="CZ73" s="278"/>
    </row>
    <row r="74" spans="1:104" ht="26.25" customHeight="1" x14ac:dyDescent="0.4">
      <c r="A74" s="380"/>
      <c r="B74" s="380"/>
      <c r="C74" s="380"/>
      <c r="D74" s="382"/>
      <c r="E74" s="406"/>
      <c r="F74" s="382"/>
      <c r="G74" s="416"/>
      <c r="H74" s="490"/>
      <c r="I74" s="490"/>
      <c r="J74" s="498"/>
      <c r="K74" s="492"/>
      <c r="L74" s="492"/>
      <c r="M74" s="494"/>
      <c r="N74" s="39" t="s">
        <v>25</v>
      </c>
      <c r="O74" s="207">
        <f t="shared" si="133"/>
        <v>0</v>
      </c>
      <c r="P74" s="207">
        <f t="shared" si="133"/>
        <v>0</v>
      </c>
      <c r="Q74" s="207">
        <f t="shared" si="133"/>
        <v>0</v>
      </c>
      <c r="R74" s="207">
        <f t="shared" si="133"/>
        <v>0</v>
      </c>
      <c r="S74" s="207">
        <f t="shared" si="133"/>
        <v>0</v>
      </c>
      <c r="T74" s="207">
        <f t="shared" si="133"/>
        <v>0</v>
      </c>
      <c r="U74" s="49">
        <f t="shared" si="133"/>
        <v>0</v>
      </c>
      <c r="V74" s="57">
        <f t="shared" si="145"/>
        <v>0</v>
      </c>
      <c r="W74" s="18">
        <f t="shared" si="145"/>
        <v>0</v>
      </c>
      <c r="X74" s="18">
        <f t="shared" si="145"/>
        <v>0</v>
      </c>
      <c r="Y74" s="18">
        <f t="shared" si="145"/>
        <v>0</v>
      </c>
      <c r="Z74" s="18">
        <f t="shared" si="145"/>
        <v>0</v>
      </c>
      <c r="AA74" s="18">
        <f t="shared" si="150"/>
        <v>0</v>
      </c>
      <c r="AB74" s="42">
        <f t="shared" si="132"/>
        <v>0</v>
      </c>
      <c r="AC74" s="52">
        <f t="shared" si="132"/>
        <v>0</v>
      </c>
      <c r="AD74" s="207">
        <f t="shared" si="132"/>
        <v>0</v>
      </c>
      <c r="AE74" s="207">
        <f t="shared" si="132"/>
        <v>0</v>
      </c>
      <c r="AF74" s="207">
        <f t="shared" si="132"/>
        <v>0</v>
      </c>
      <c r="AG74" s="18">
        <f t="shared" si="132"/>
        <v>0</v>
      </c>
      <c r="AH74" s="57">
        <f>(0+1+2.5+1.5)/165</f>
        <v>3.0303030303030304E-2</v>
      </c>
      <c r="AI74" s="207">
        <f t="shared" si="163"/>
        <v>0</v>
      </c>
      <c r="AJ74" s="207">
        <f>(0+1+10+3.25)/165</f>
        <v>8.6363636363636365E-2</v>
      </c>
      <c r="AK74" s="207">
        <f>(0+1.5)/165</f>
        <v>9.0909090909090905E-3</v>
      </c>
      <c r="AL74" s="207">
        <f t="shared" si="163"/>
        <v>0</v>
      </c>
      <c r="AM74" s="207">
        <f t="shared" si="163"/>
        <v>0</v>
      </c>
      <c r="AN74" s="57">
        <f t="shared" si="122"/>
        <v>0</v>
      </c>
      <c r="AO74" s="207">
        <f t="shared" si="122"/>
        <v>0</v>
      </c>
      <c r="AP74" s="207">
        <f t="shared" si="122"/>
        <v>0</v>
      </c>
      <c r="AQ74" s="207">
        <f t="shared" si="122"/>
        <v>0</v>
      </c>
      <c r="AR74" s="207">
        <f t="shared" si="122"/>
        <v>0</v>
      </c>
      <c r="AS74" s="207">
        <f t="shared" si="136"/>
        <v>0</v>
      </c>
      <c r="AT74" s="207">
        <f t="shared" si="136"/>
        <v>0</v>
      </c>
      <c r="AU74" s="49">
        <f t="shared" si="136"/>
        <v>0</v>
      </c>
      <c r="AV74" s="63">
        <f t="shared" si="175"/>
        <v>0</v>
      </c>
      <c r="AW74" s="208">
        <f t="shared" si="175"/>
        <v>0</v>
      </c>
      <c r="AX74" s="208">
        <f t="shared" si="175"/>
        <v>0</v>
      </c>
      <c r="AY74" s="208">
        <f t="shared" si="175"/>
        <v>0</v>
      </c>
      <c r="AZ74" s="208">
        <f t="shared" si="175"/>
        <v>0</v>
      </c>
      <c r="BA74" s="208">
        <f t="shared" si="175"/>
        <v>0</v>
      </c>
      <c r="BB74" s="208">
        <f t="shared" si="175"/>
        <v>0</v>
      </c>
      <c r="BC74" s="64">
        <f t="shared" si="175"/>
        <v>0</v>
      </c>
      <c r="BD74" s="63">
        <f t="shared" si="123"/>
        <v>0</v>
      </c>
      <c r="BE74" s="208">
        <f t="shared" si="123"/>
        <v>0</v>
      </c>
      <c r="BF74" s="208">
        <f t="shared" si="123"/>
        <v>0</v>
      </c>
      <c r="BG74" s="208">
        <f t="shared" si="123"/>
        <v>0</v>
      </c>
      <c r="BH74" s="208">
        <f t="shared" si="123"/>
        <v>0</v>
      </c>
      <c r="BI74" s="208">
        <f t="shared" si="137"/>
        <v>0</v>
      </c>
      <c r="BJ74" s="208">
        <f t="shared" si="137"/>
        <v>0</v>
      </c>
      <c r="BK74" s="64">
        <f t="shared" si="137"/>
        <v>0</v>
      </c>
      <c r="BL74" s="63">
        <f t="shared" si="164"/>
        <v>0</v>
      </c>
      <c r="BM74" s="208">
        <f t="shared" si="164"/>
        <v>0</v>
      </c>
      <c r="BN74" s="208">
        <f t="shared" si="164"/>
        <v>0</v>
      </c>
      <c r="BO74" s="208">
        <f t="shared" si="164"/>
        <v>0</v>
      </c>
      <c r="BP74" s="208">
        <f t="shared" si="164"/>
        <v>0</v>
      </c>
      <c r="BQ74" s="208">
        <f t="shared" si="138"/>
        <v>0</v>
      </c>
      <c r="BR74" s="208">
        <f t="shared" si="138"/>
        <v>0</v>
      </c>
      <c r="BS74" s="64">
        <f t="shared" si="138"/>
        <v>0</v>
      </c>
      <c r="BT74" s="63">
        <f t="shared" si="169"/>
        <v>0</v>
      </c>
      <c r="BU74" s="208">
        <f t="shared" si="169"/>
        <v>0</v>
      </c>
      <c r="BV74" s="208">
        <f t="shared" si="169"/>
        <v>0</v>
      </c>
      <c r="BW74" s="208">
        <f t="shared" si="169"/>
        <v>0</v>
      </c>
      <c r="BX74" s="208">
        <f t="shared" si="169"/>
        <v>0</v>
      </c>
      <c r="BY74" s="208">
        <f t="shared" si="139"/>
        <v>0</v>
      </c>
      <c r="BZ74" s="208">
        <f t="shared" si="139"/>
        <v>0</v>
      </c>
      <c r="CA74" s="64">
        <f t="shared" si="139"/>
        <v>0</v>
      </c>
      <c r="CB74" s="63">
        <f t="shared" si="176"/>
        <v>0</v>
      </c>
      <c r="CC74" s="208">
        <f t="shared" si="176"/>
        <v>0</v>
      </c>
      <c r="CD74" s="208">
        <f t="shared" si="176"/>
        <v>0</v>
      </c>
      <c r="CE74" s="208">
        <f t="shared" si="176"/>
        <v>0</v>
      </c>
      <c r="CF74" s="208">
        <f t="shared" si="176"/>
        <v>0</v>
      </c>
      <c r="CG74" s="208">
        <f t="shared" si="140"/>
        <v>0</v>
      </c>
      <c r="CH74" s="208">
        <f t="shared" si="140"/>
        <v>0</v>
      </c>
      <c r="CI74" s="64">
        <f t="shared" si="140"/>
        <v>0</v>
      </c>
      <c r="CJ74" s="63">
        <f t="shared" si="165"/>
        <v>0</v>
      </c>
      <c r="CK74" s="208">
        <f t="shared" si="165"/>
        <v>0</v>
      </c>
      <c r="CL74" s="208">
        <f t="shared" si="165"/>
        <v>0</v>
      </c>
      <c r="CM74" s="208">
        <f t="shared" si="165"/>
        <v>0</v>
      </c>
      <c r="CN74" s="208">
        <f t="shared" si="165"/>
        <v>0</v>
      </c>
      <c r="CO74" s="208">
        <f t="shared" si="141"/>
        <v>0</v>
      </c>
      <c r="CP74" s="208">
        <f t="shared" si="141"/>
        <v>0</v>
      </c>
      <c r="CQ74" s="64">
        <f t="shared" si="141"/>
        <v>0</v>
      </c>
      <c r="CR74" s="63">
        <f t="shared" si="166"/>
        <v>0</v>
      </c>
      <c r="CS74" s="208">
        <f t="shared" si="166"/>
        <v>0</v>
      </c>
      <c r="CT74" s="208">
        <f t="shared" si="166"/>
        <v>0</v>
      </c>
      <c r="CU74" s="208">
        <f t="shared" si="166"/>
        <v>0</v>
      </c>
      <c r="CV74" s="208">
        <f t="shared" si="166"/>
        <v>0</v>
      </c>
      <c r="CW74" s="208">
        <f t="shared" si="142"/>
        <v>0</v>
      </c>
      <c r="CX74" s="208">
        <f t="shared" si="142"/>
        <v>0</v>
      </c>
      <c r="CY74" s="64">
        <f t="shared" si="142"/>
        <v>0</v>
      </c>
      <c r="CZ74" s="278"/>
    </row>
    <row r="75" spans="1:104" ht="26.25" customHeight="1" x14ac:dyDescent="0.4">
      <c r="A75" s="379">
        <v>35</v>
      </c>
      <c r="B75" s="379" t="s">
        <v>46</v>
      </c>
      <c r="C75" s="379" t="s">
        <v>14</v>
      </c>
      <c r="D75" s="381" t="s">
        <v>752</v>
      </c>
      <c r="E75" s="405" t="s">
        <v>754</v>
      </c>
      <c r="F75" s="381" t="s">
        <v>753</v>
      </c>
      <c r="G75" s="416" t="s">
        <v>751</v>
      </c>
      <c r="H75" s="489">
        <f t="shared" ref="H75" si="177">SUM(AH75:AM75)</f>
        <v>0.16969696969696971</v>
      </c>
      <c r="I75" s="489">
        <f t="shared" ref="I75" si="178">SUM(AH76:AM76)</f>
        <v>5.7575757575757572E-2</v>
      </c>
      <c r="J75" s="497"/>
      <c r="K75" s="491"/>
      <c r="L75" s="491"/>
      <c r="M75" s="495"/>
      <c r="N75" s="48" t="s">
        <v>24</v>
      </c>
      <c r="O75" s="187">
        <f t="shared" si="133"/>
        <v>0</v>
      </c>
      <c r="P75" s="187">
        <f t="shared" si="133"/>
        <v>0</v>
      </c>
      <c r="Q75" s="187">
        <f t="shared" si="133"/>
        <v>0</v>
      </c>
      <c r="R75" s="187">
        <f t="shared" si="133"/>
        <v>0</v>
      </c>
      <c r="S75" s="187">
        <f t="shared" si="133"/>
        <v>0</v>
      </c>
      <c r="T75" s="187">
        <f t="shared" si="133"/>
        <v>0</v>
      </c>
      <c r="U75" s="82">
        <f t="shared" si="133"/>
        <v>0</v>
      </c>
      <c r="V75" s="19">
        <f t="shared" si="145"/>
        <v>0</v>
      </c>
      <c r="W75" s="187">
        <f t="shared" si="145"/>
        <v>0</v>
      </c>
      <c r="X75" s="187">
        <f t="shared" si="145"/>
        <v>0</v>
      </c>
      <c r="Y75" s="187">
        <f t="shared" si="145"/>
        <v>0</v>
      </c>
      <c r="Z75" s="187">
        <f t="shared" si="145"/>
        <v>0</v>
      </c>
      <c r="AA75" s="187">
        <f t="shared" si="150"/>
        <v>0</v>
      </c>
      <c r="AB75" s="19">
        <f t="shared" si="132"/>
        <v>0</v>
      </c>
      <c r="AC75" s="187">
        <f t="shared" si="132"/>
        <v>0</v>
      </c>
      <c r="AD75" s="249">
        <f t="shared" si="132"/>
        <v>0</v>
      </c>
      <c r="AE75" s="187">
        <f t="shared" si="132"/>
        <v>0</v>
      </c>
      <c r="AF75" s="187">
        <f t="shared" si="132"/>
        <v>0</v>
      </c>
      <c r="AG75" s="187">
        <f t="shared" si="132"/>
        <v>0</v>
      </c>
      <c r="AH75" s="73">
        <f>(8)/165</f>
        <v>4.8484848484848485E-2</v>
      </c>
      <c r="AI75" s="187">
        <f t="shared" si="163"/>
        <v>0</v>
      </c>
      <c r="AJ75" s="187">
        <f>(10)/165</f>
        <v>6.0606060606060608E-2</v>
      </c>
      <c r="AK75" s="187">
        <f t="shared" si="163"/>
        <v>0</v>
      </c>
      <c r="AL75" s="187">
        <f t="shared" si="163"/>
        <v>0</v>
      </c>
      <c r="AM75" s="187">
        <f>(10)/165</f>
        <v>6.0606060606060608E-2</v>
      </c>
      <c r="AN75" s="73">
        <f t="shared" si="122"/>
        <v>0</v>
      </c>
      <c r="AO75" s="187">
        <f t="shared" si="122"/>
        <v>0</v>
      </c>
      <c r="AP75" s="187">
        <f t="shared" si="122"/>
        <v>0</v>
      </c>
      <c r="AQ75" s="187">
        <f t="shared" si="122"/>
        <v>0</v>
      </c>
      <c r="AR75" s="187">
        <f t="shared" si="122"/>
        <v>0</v>
      </c>
      <c r="AS75" s="187">
        <f t="shared" si="136"/>
        <v>0</v>
      </c>
      <c r="AT75" s="187">
        <f t="shared" si="136"/>
        <v>0</v>
      </c>
      <c r="AU75" s="221">
        <f t="shared" si="136"/>
        <v>0</v>
      </c>
      <c r="AV75" s="222">
        <f t="shared" si="175"/>
        <v>0</v>
      </c>
      <c r="AW75" s="187">
        <f t="shared" si="175"/>
        <v>0</v>
      </c>
      <c r="AX75" s="187">
        <f t="shared" si="175"/>
        <v>0</v>
      </c>
      <c r="AY75" s="187">
        <f t="shared" si="175"/>
        <v>0</v>
      </c>
      <c r="AZ75" s="187">
        <f t="shared" si="175"/>
        <v>0</v>
      </c>
      <c r="BA75" s="187">
        <f t="shared" si="175"/>
        <v>0</v>
      </c>
      <c r="BB75" s="187">
        <f t="shared" si="175"/>
        <v>0</v>
      </c>
      <c r="BC75" s="17">
        <f t="shared" si="175"/>
        <v>0</v>
      </c>
      <c r="BD75" s="19">
        <f t="shared" si="123"/>
        <v>0</v>
      </c>
      <c r="BE75" s="187">
        <f t="shared" si="123"/>
        <v>0</v>
      </c>
      <c r="BF75" s="187">
        <f t="shared" si="123"/>
        <v>0</v>
      </c>
      <c r="BG75" s="187">
        <f t="shared" si="123"/>
        <v>0</v>
      </c>
      <c r="BH75" s="187">
        <f t="shared" si="123"/>
        <v>0</v>
      </c>
      <c r="BI75" s="187">
        <f t="shared" si="137"/>
        <v>0</v>
      </c>
      <c r="BJ75" s="187">
        <f t="shared" si="137"/>
        <v>0</v>
      </c>
      <c r="BK75" s="17">
        <f t="shared" si="137"/>
        <v>0</v>
      </c>
      <c r="BL75" s="19">
        <f t="shared" si="164"/>
        <v>0</v>
      </c>
      <c r="BM75" s="187">
        <f t="shared" si="164"/>
        <v>0</v>
      </c>
      <c r="BN75" s="187">
        <f t="shared" si="164"/>
        <v>0</v>
      </c>
      <c r="BO75" s="187">
        <f t="shared" si="164"/>
        <v>0</v>
      </c>
      <c r="BP75" s="187">
        <f t="shared" si="164"/>
        <v>0</v>
      </c>
      <c r="BQ75" s="187">
        <f t="shared" si="138"/>
        <v>0</v>
      </c>
      <c r="BR75" s="187">
        <f t="shared" si="138"/>
        <v>0</v>
      </c>
      <c r="BS75" s="17">
        <f t="shared" si="138"/>
        <v>0</v>
      </c>
      <c r="BT75" s="19">
        <f t="shared" si="169"/>
        <v>0</v>
      </c>
      <c r="BU75" s="187">
        <f t="shared" si="169"/>
        <v>0</v>
      </c>
      <c r="BV75" s="187">
        <f t="shared" si="169"/>
        <v>0</v>
      </c>
      <c r="BW75" s="187">
        <f t="shared" si="169"/>
        <v>0</v>
      </c>
      <c r="BX75" s="187">
        <f t="shared" si="169"/>
        <v>0</v>
      </c>
      <c r="BY75" s="187">
        <f t="shared" si="139"/>
        <v>0</v>
      </c>
      <c r="BZ75" s="187">
        <f t="shared" si="139"/>
        <v>0</v>
      </c>
      <c r="CA75" s="17">
        <f t="shared" si="139"/>
        <v>0</v>
      </c>
      <c r="CB75" s="73">
        <f t="shared" si="176"/>
        <v>0</v>
      </c>
      <c r="CC75" s="187">
        <f t="shared" si="176"/>
        <v>0</v>
      </c>
      <c r="CD75" s="187">
        <f t="shared" si="176"/>
        <v>0</v>
      </c>
      <c r="CE75" s="187">
        <f t="shared" si="176"/>
        <v>0</v>
      </c>
      <c r="CF75" s="187">
        <f t="shared" si="176"/>
        <v>0</v>
      </c>
      <c r="CG75" s="187">
        <f t="shared" si="140"/>
        <v>0</v>
      </c>
      <c r="CH75" s="187">
        <f t="shared" si="140"/>
        <v>0</v>
      </c>
      <c r="CI75" s="17">
        <f t="shared" si="140"/>
        <v>0</v>
      </c>
      <c r="CJ75" s="19">
        <f t="shared" si="165"/>
        <v>0</v>
      </c>
      <c r="CK75" s="187">
        <f t="shared" si="165"/>
        <v>0</v>
      </c>
      <c r="CL75" s="187">
        <f t="shared" si="165"/>
        <v>0</v>
      </c>
      <c r="CM75" s="187">
        <f t="shared" si="165"/>
        <v>0</v>
      </c>
      <c r="CN75" s="187">
        <f t="shared" si="165"/>
        <v>0</v>
      </c>
      <c r="CO75" s="187">
        <f t="shared" si="141"/>
        <v>0</v>
      </c>
      <c r="CP75" s="187">
        <f t="shared" si="141"/>
        <v>0</v>
      </c>
      <c r="CQ75" s="17">
        <f t="shared" si="141"/>
        <v>0</v>
      </c>
      <c r="CR75" s="19">
        <f t="shared" si="166"/>
        <v>0</v>
      </c>
      <c r="CS75" s="187">
        <f t="shared" si="166"/>
        <v>0</v>
      </c>
      <c r="CT75" s="187">
        <f t="shared" si="166"/>
        <v>0</v>
      </c>
      <c r="CU75" s="187">
        <f t="shared" si="166"/>
        <v>0</v>
      </c>
      <c r="CV75" s="187">
        <f t="shared" si="166"/>
        <v>0</v>
      </c>
      <c r="CW75" s="187">
        <f t="shared" si="142"/>
        <v>0</v>
      </c>
      <c r="CX75" s="187">
        <f t="shared" si="142"/>
        <v>0</v>
      </c>
      <c r="CY75" s="17">
        <f t="shared" si="142"/>
        <v>0</v>
      </c>
      <c r="CZ75" s="278"/>
    </row>
    <row r="76" spans="1:104" ht="26.25" customHeight="1" x14ac:dyDescent="0.4">
      <c r="A76" s="380"/>
      <c r="B76" s="380"/>
      <c r="C76" s="380"/>
      <c r="D76" s="382"/>
      <c r="E76" s="406"/>
      <c r="F76" s="382"/>
      <c r="G76" s="416"/>
      <c r="H76" s="490"/>
      <c r="I76" s="490"/>
      <c r="J76" s="498"/>
      <c r="K76" s="492"/>
      <c r="L76" s="492"/>
      <c r="M76" s="496"/>
      <c r="N76" s="39" t="s">
        <v>25</v>
      </c>
      <c r="O76" s="207">
        <f t="shared" si="133"/>
        <v>0</v>
      </c>
      <c r="P76" s="207">
        <f t="shared" si="133"/>
        <v>0</v>
      </c>
      <c r="Q76" s="207">
        <f t="shared" si="133"/>
        <v>0</v>
      </c>
      <c r="R76" s="207">
        <f t="shared" si="133"/>
        <v>0</v>
      </c>
      <c r="S76" s="207">
        <f t="shared" si="133"/>
        <v>0</v>
      </c>
      <c r="T76" s="207">
        <f t="shared" si="133"/>
        <v>0</v>
      </c>
      <c r="U76" s="49">
        <f t="shared" si="133"/>
        <v>0</v>
      </c>
      <c r="V76" s="57">
        <f t="shared" si="145"/>
        <v>0</v>
      </c>
      <c r="W76" s="18">
        <f t="shared" si="145"/>
        <v>0</v>
      </c>
      <c r="X76" s="18">
        <f t="shared" si="145"/>
        <v>0</v>
      </c>
      <c r="Y76" s="18">
        <f t="shared" si="145"/>
        <v>0</v>
      </c>
      <c r="Z76" s="18">
        <f t="shared" si="145"/>
        <v>0</v>
      </c>
      <c r="AA76" s="18">
        <f t="shared" si="150"/>
        <v>0</v>
      </c>
      <c r="AB76" s="42">
        <f t="shared" si="132"/>
        <v>0</v>
      </c>
      <c r="AC76" s="52">
        <f t="shared" si="132"/>
        <v>0</v>
      </c>
      <c r="AD76" s="207">
        <f t="shared" si="132"/>
        <v>0</v>
      </c>
      <c r="AE76" s="207">
        <f t="shared" si="132"/>
        <v>0</v>
      </c>
      <c r="AF76" s="207">
        <f t="shared" si="132"/>
        <v>0</v>
      </c>
      <c r="AG76" s="18">
        <f t="shared" si="132"/>
        <v>0</v>
      </c>
      <c r="AH76" s="57">
        <f>(0.5+1)/165</f>
        <v>9.0909090909090905E-3</v>
      </c>
      <c r="AI76" s="207">
        <f t="shared" si="163"/>
        <v>0</v>
      </c>
      <c r="AJ76" s="207">
        <f>(0+4)/165</f>
        <v>2.4242424242424242E-2</v>
      </c>
      <c r="AK76" s="207">
        <f t="shared" si="163"/>
        <v>0</v>
      </c>
      <c r="AL76" s="207">
        <f t="shared" si="163"/>
        <v>0</v>
      </c>
      <c r="AM76" s="207">
        <f>(0+4)/165</f>
        <v>2.4242424242424242E-2</v>
      </c>
      <c r="AN76" s="57">
        <f t="shared" si="122"/>
        <v>0</v>
      </c>
      <c r="AO76" s="207">
        <f t="shared" si="122"/>
        <v>0</v>
      </c>
      <c r="AP76" s="207">
        <f t="shared" si="122"/>
        <v>0</v>
      </c>
      <c r="AQ76" s="207">
        <f t="shared" si="122"/>
        <v>0</v>
      </c>
      <c r="AR76" s="207">
        <f t="shared" si="122"/>
        <v>0</v>
      </c>
      <c r="AS76" s="207">
        <f t="shared" si="136"/>
        <v>0</v>
      </c>
      <c r="AT76" s="207">
        <f t="shared" si="136"/>
        <v>0</v>
      </c>
      <c r="AU76" s="49">
        <f t="shared" si="136"/>
        <v>0</v>
      </c>
      <c r="AV76" s="63">
        <f t="shared" si="175"/>
        <v>0</v>
      </c>
      <c r="AW76" s="208">
        <f t="shared" si="175"/>
        <v>0</v>
      </c>
      <c r="AX76" s="208">
        <f t="shared" si="175"/>
        <v>0</v>
      </c>
      <c r="AY76" s="208">
        <f t="shared" si="175"/>
        <v>0</v>
      </c>
      <c r="AZ76" s="208">
        <f t="shared" si="175"/>
        <v>0</v>
      </c>
      <c r="BA76" s="208">
        <f t="shared" si="175"/>
        <v>0</v>
      </c>
      <c r="BB76" s="208">
        <f t="shared" si="175"/>
        <v>0</v>
      </c>
      <c r="BC76" s="64">
        <f t="shared" si="175"/>
        <v>0</v>
      </c>
      <c r="BD76" s="63">
        <f t="shared" si="123"/>
        <v>0</v>
      </c>
      <c r="BE76" s="208">
        <f t="shared" si="123"/>
        <v>0</v>
      </c>
      <c r="BF76" s="208">
        <f t="shared" si="123"/>
        <v>0</v>
      </c>
      <c r="BG76" s="208">
        <f t="shared" si="123"/>
        <v>0</v>
      </c>
      <c r="BH76" s="208">
        <f t="shared" si="123"/>
        <v>0</v>
      </c>
      <c r="BI76" s="208">
        <f t="shared" si="137"/>
        <v>0</v>
      </c>
      <c r="BJ76" s="208">
        <f t="shared" si="137"/>
        <v>0</v>
      </c>
      <c r="BK76" s="64">
        <f t="shared" si="137"/>
        <v>0</v>
      </c>
      <c r="BL76" s="63">
        <f t="shared" si="164"/>
        <v>0</v>
      </c>
      <c r="BM76" s="208">
        <f t="shared" si="164"/>
        <v>0</v>
      </c>
      <c r="BN76" s="208">
        <f t="shared" si="164"/>
        <v>0</v>
      </c>
      <c r="BO76" s="208">
        <f t="shared" si="164"/>
        <v>0</v>
      </c>
      <c r="BP76" s="208">
        <f t="shared" si="164"/>
        <v>0</v>
      </c>
      <c r="BQ76" s="208">
        <f t="shared" si="138"/>
        <v>0</v>
      </c>
      <c r="BR76" s="208">
        <f t="shared" si="138"/>
        <v>0</v>
      </c>
      <c r="BS76" s="64">
        <f t="shared" si="138"/>
        <v>0</v>
      </c>
      <c r="BT76" s="63">
        <f t="shared" si="169"/>
        <v>0</v>
      </c>
      <c r="BU76" s="208">
        <f t="shared" si="169"/>
        <v>0</v>
      </c>
      <c r="BV76" s="208">
        <f t="shared" si="169"/>
        <v>0</v>
      </c>
      <c r="BW76" s="208">
        <f t="shared" si="169"/>
        <v>0</v>
      </c>
      <c r="BX76" s="208">
        <f t="shared" si="169"/>
        <v>0</v>
      </c>
      <c r="BY76" s="208">
        <f t="shared" si="139"/>
        <v>0</v>
      </c>
      <c r="BZ76" s="208">
        <f t="shared" si="139"/>
        <v>0</v>
      </c>
      <c r="CA76" s="64">
        <f t="shared" si="139"/>
        <v>0</v>
      </c>
      <c r="CB76" s="63">
        <f t="shared" si="176"/>
        <v>0</v>
      </c>
      <c r="CC76" s="208">
        <f t="shared" si="176"/>
        <v>0</v>
      </c>
      <c r="CD76" s="208">
        <f t="shared" si="176"/>
        <v>0</v>
      </c>
      <c r="CE76" s="208">
        <f t="shared" si="176"/>
        <v>0</v>
      </c>
      <c r="CF76" s="208">
        <f t="shared" si="176"/>
        <v>0</v>
      </c>
      <c r="CG76" s="208">
        <f t="shared" si="140"/>
        <v>0</v>
      </c>
      <c r="CH76" s="208">
        <f t="shared" si="140"/>
        <v>0</v>
      </c>
      <c r="CI76" s="64">
        <f t="shared" si="140"/>
        <v>0</v>
      </c>
      <c r="CJ76" s="63">
        <f t="shared" si="165"/>
        <v>0</v>
      </c>
      <c r="CK76" s="208">
        <f t="shared" si="165"/>
        <v>0</v>
      </c>
      <c r="CL76" s="208">
        <f t="shared" si="165"/>
        <v>0</v>
      </c>
      <c r="CM76" s="208">
        <f t="shared" si="165"/>
        <v>0</v>
      </c>
      <c r="CN76" s="208">
        <f t="shared" si="165"/>
        <v>0</v>
      </c>
      <c r="CO76" s="208">
        <f t="shared" si="141"/>
        <v>0</v>
      </c>
      <c r="CP76" s="208">
        <f t="shared" si="141"/>
        <v>0</v>
      </c>
      <c r="CQ76" s="64">
        <f t="shared" si="141"/>
        <v>0</v>
      </c>
      <c r="CR76" s="63">
        <f t="shared" si="166"/>
        <v>0</v>
      </c>
      <c r="CS76" s="208">
        <f t="shared" si="166"/>
        <v>0</v>
      </c>
      <c r="CT76" s="208">
        <f t="shared" si="166"/>
        <v>0</v>
      </c>
      <c r="CU76" s="208">
        <f t="shared" si="166"/>
        <v>0</v>
      </c>
      <c r="CV76" s="208">
        <f t="shared" si="166"/>
        <v>0</v>
      </c>
      <c r="CW76" s="208">
        <f t="shared" si="142"/>
        <v>0</v>
      </c>
      <c r="CX76" s="208">
        <f t="shared" si="142"/>
        <v>0</v>
      </c>
      <c r="CY76" s="64">
        <f t="shared" si="142"/>
        <v>0</v>
      </c>
      <c r="CZ76" s="278"/>
    </row>
    <row r="77" spans="1:104" ht="26.25" customHeight="1" x14ac:dyDescent="0.4">
      <c r="A77" s="379">
        <v>36</v>
      </c>
      <c r="B77" s="379" t="s">
        <v>46</v>
      </c>
      <c r="C77" s="379" t="s">
        <v>347</v>
      </c>
      <c r="D77" s="381" t="s">
        <v>430</v>
      </c>
      <c r="E77" s="405" t="s">
        <v>750</v>
      </c>
      <c r="F77" s="381" t="s">
        <v>755</v>
      </c>
      <c r="G77" s="416" t="s">
        <v>756</v>
      </c>
      <c r="H77" s="489">
        <f t="shared" ref="H77" si="179">SUM(AH77:AM77)</f>
        <v>9.0909090909090912E-2</v>
      </c>
      <c r="I77" s="489">
        <f t="shared" ref="I77" si="180">SUM(AH78:AM78)</f>
        <v>2.121212121212121E-2</v>
      </c>
      <c r="J77" s="497"/>
      <c r="K77" s="491"/>
      <c r="L77" s="491"/>
      <c r="M77" s="493"/>
      <c r="N77" s="48" t="s">
        <v>24</v>
      </c>
      <c r="O77" s="187">
        <f t="shared" si="133"/>
        <v>0</v>
      </c>
      <c r="P77" s="187">
        <f t="shared" si="133"/>
        <v>0</v>
      </c>
      <c r="Q77" s="187">
        <f t="shared" si="133"/>
        <v>0</v>
      </c>
      <c r="R77" s="187">
        <f t="shared" si="133"/>
        <v>0</v>
      </c>
      <c r="S77" s="187">
        <f t="shared" si="133"/>
        <v>0</v>
      </c>
      <c r="T77" s="187">
        <f t="shared" si="133"/>
        <v>0</v>
      </c>
      <c r="U77" s="82">
        <f t="shared" si="133"/>
        <v>0</v>
      </c>
      <c r="V77" s="19">
        <f t="shared" si="145"/>
        <v>0</v>
      </c>
      <c r="W77" s="187">
        <f t="shared" si="145"/>
        <v>0</v>
      </c>
      <c r="X77" s="187">
        <f t="shared" si="145"/>
        <v>0</v>
      </c>
      <c r="Y77" s="187">
        <f t="shared" si="145"/>
        <v>0</v>
      </c>
      <c r="Z77" s="187">
        <f t="shared" si="145"/>
        <v>0</v>
      </c>
      <c r="AA77" s="187">
        <f t="shared" si="150"/>
        <v>0</v>
      </c>
      <c r="AB77" s="19">
        <f t="shared" si="132"/>
        <v>0</v>
      </c>
      <c r="AC77" s="187">
        <f t="shared" si="132"/>
        <v>0</v>
      </c>
      <c r="AD77" s="249">
        <f t="shared" si="132"/>
        <v>0</v>
      </c>
      <c r="AE77" s="187">
        <f t="shared" si="132"/>
        <v>0</v>
      </c>
      <c r="AF77" s="187">
        <f t="shared" si="132"/>
        <v>0</v>
      </c>
      <c r="AG77" s="187">
        <f t="shared" si="132"/>
        <v>0</v>
      </c>
      <c r="AH77" s="73">
        <f>(5)/165</f>
        <v>3.0303030303030304E-2</v>
      </c>
      <c r="AI77" s="187">
        <f t="shared" si="163"/>
        <v>0</v>
      </c>
      <c r="AJ77" s="187">
        <f t="shared" si="163"/>
        <v>0</v>
      </c>
      <c r="AK77" s="187">
        <f t="shared" si="163"/>
        <v>0</v>
      </c>
      <c r="AL77" s="187">
        <f>(10)/165</f>
        <v>6.0606060606060608E-2</v>
      </c>
      <c r="AM77" s="187">
        <f t="shared" si="163"/>
        <v>0</v>
      </c>
      <c r="AN77" s="73">
        <f t="shared" si="122"/>
        <v>0</v>
      </c>
      <c r="AO77" s="187">
        <f t="shared" si="122"/>
        <v>0</v>
      </c>
      <c r="AP77" s="187">
        <f t="shared" si="122"/>
        <v>0</v>
      </c>
      <c r="AQ77" s="187">
        <f t="shared" si="122"/>
        <v>0</v>
      </c>
      <c r="AR77" s="187">
        <f t="shared" si="122"/>
        <v>0</v>
      </c>
      <c r="AS77" s="187">
        <f t="shared" si="136"/>
        <v>0</v>
      </c>
      <c r="AT77" s="187">
        <f t="shared" si="136"/>
        <v>0</v>
      </c>
      <c r="AU77" s="221">
        <f t="shared" si="136"/>
        <v>0</v>
      </c>
      <c r="AV77" s="222">
        <f t="shared" si="175"/>
        <v>0</v>
      </c>
      <c r="AW77" s="187">
        <f t="shared" si="175"/>
        <v>0</v>
      </c>
      <c r="AX77" s="187">
        <f t="shared" si="175"/>
        <v>0</v>
      </c>
      <c r="AY77" s="187">
        <f t="shared" si="175"/>
        <v>0</v>
      </c>
      <c r="AZ77" s="187">
        <f t="shared" si="175"/>
        <v>0</v>
      </c>
      <c r="BA77" s="187">
        <f t="shared" si="175"/>
        <v>0</v>
      </c>
      <c r="BB77" s="187">
        <f t="shared" si="175"/>
        <v>0</v>
      </c>
      <c r="BC77" s="17">
        <f t="shared" si="175"/>
        <v>0</v>
      </c>
      <c r="BD77" s="19">
        <f t="shared" si="123"/>
        <v>0</v>
      </c>
      <c r="BE77" s="187">
        <f t="shared" si="123"/>
        <v>0</v>
      </c>
      <c r="BF77" s="187">
        <f t="shared" si="123"/>
        <v>0</v>
      </c>
      <c r="BG77" s="187">
        <f t="shared" si="123"/>
        <v>0</v>
      </c>
      <c r="BH77" s="187">
        <f t="shared" si="123"/>
        <v>0</v>
      </c>
      <c r="BI77" s="187">
        <f t="shared" si="137"/>
        <v>0</v>
      </c>
      <c r="BJ77" s="187">
        <f t="shared" si="137"/>
        <v>0</v>
      </c>
      <c r="BK77" s="17">
        <f t="shared" si="137"/>
        <v>0</v>
      </c>
      <c r="BL77" s="19">
        <f t="shared" ref="BL77:BP86" si="181">0/142.5</f>
        <v>0</v>
      </c>
      <c r="BM77" s="187">
        <f t="shared" si="181"/>
        <v>0</v>
      </c>
      <c r="BN77" s="187">
        <f t="shared" si="181"/>
        <v>0</v>
      </c>
      <c r="BO77" s="187">
        <f t="shared" si="181"/>
        <v>0</v>
      </c>
      <c r="BP77" s="187">
        <f t="shared" si="181"/>
        <v>0</v>
      </c>
      <c r="BQ77" s="187">
        <f t="shared" si="138"/>
        <v>0</v>
      </c>
      <c r="BR77" s="187">
        <f t="shared" si="138"/>
        <v>0</v>
      </c>
      <c r="BS77" s="17">
        <f t="shared" si="138"/>
        <v>0</v>
      </c>
      <c r="BT77" s="19">
        <f t="shared" si="169"/>
        <v>0</v>
      </c>
      <c r="BU77" s="187">
        <f t="shared" si="169"/>
        <v>0</v>
      </c>
      <c r="BV77" s="187">
        <f t="shared" si="169"/>
        <v>0</v>
      </c>
      <c r="BW77" s="187">
        <f t="shared" si="169"/>
        <v>0</v>
      </c>
      <c r="BX77" s="187">
        <f t="shared" si="169"/>
        <v>0</v>
      </c>
      <c r="BY77" s="187">
        <f t="shared" si="139"/>
        <v>0</v>
      </c>
      <c r="BZ77" s="187">
        <f t="shared" si="139"/>
        <v>0</v>
      </c>
      <c r="CA77" s="17">
        <f t="shared" si="139"/>
        <v>0</v>
      </c>
      <c r="CB77" s="73">
        <f t="shared" si="176"/>
        <v>0</v>
      </c>
      <c r="CC77" s="187">
        <f t="shared" si="176"/>
        <v>0</v>
      </c>
      <c r="CD77" s="187">
        <f t="shared" si="176"/>
        <v>0</v>
      </c>
      <c r="CE77" s="187">
        <f t="shared" si="176"/>
        <v>0</v>
      </c>
      <c r="CF77" s="187">
        <f t="shared" si="176"/>
        <v>0</v>
      </c>
      <c r="CG77" s="187">
        <f t="shared" si="140"/>
        <v>0</v>
      </c>
      <c r="CH77" s="187">
        <f t="shared" si="140"/>
        <v>0</v>
      </c>
      <c r="CI77" s="17">
        <f t="shared" si="140"/>
        <v>0</v>
      </c>
      <c r="CJ77" s="19">
        <f t="shared" ref="CJ77:CN86" si="182">0/157.5</f>
        <v>0</v>
      </c>
      <c r="CK77" s="187">
        <f t="shared" si="182"/>
        <v>0</v>
      </c>
      <c r="CL77" s="187">
        <f t="shared" si="182"/>
        <v>0</v>
      </c>
      <c r="CM77" s="187">
        <f t="shared" si="182"/>
        <v>0</v>
      </c>
      <c r="CN77" s="187">
        <f t="shared" si="182"/>
        <v>0</v>
      </c>
      <c r="CO77" s="187">
        <f t="shared" si="141"/>
        <v>0</v>
      </c>
      <c r="CP77" s="187">
        <f t="shared" si="141"/>
        <v>0</v>
      </c>
      <c r="CQ77" s="17">
        <f t="shared" si="141"/>
        <v>0</v>
      </c>
      <c r="CR77" s="19">
        <f t="shared" ref="CR77:CV86" si="183">0/142.5</f>
        <v>0</v>
      </c>
      <c r="CS77" s="187">
        <f t="shared" si="183"/>
        <v>0</v>
      </c>
      <c r="CT77" s="187">
        <f t="shared" si="183"/>
        <v>0</v>
      </c>
      <c r="CU77" s="187">
        <f t="shared" si="183"/>
        <v>0</v>
      </c>
      <c r="CV77" s="187">
        <f t="shared" si="183"/>
        <v>0</v>
      </c>
      <c r="CW77" s="187">
        <f t="shared" si="142"/>
        <v>0</v>
      </c>
      <c r="CX77" s="187">
        <f t="shared" si="142"/>
        <v>0</v>
      </c>
      <c r="CY77" s="17">
        <f t="shared" si="142"/>
        <v>0</v>
      </c>
      <c r="CZ77" s="278"/>
    </row>
    <row r="78" spans="1:104" ht="26.25" customHeight="1" x14ac:dyDescent="0.4">
      <c r="A78" s="380"/>
      <c r="B78" s="380"/>
      <c r="C78" s="380"/>
      <c r="D78" s="382"/>
      <c r="E78" s="406"/>
      <c r="F78" s="382"/>
      <c r="G78" s="416"/>
      <c r="H78" s="490"/>
      <c r="I78" s="490"/>
      <c r="J78" s="498"/>
      <c r="K78" s="492"/>
      <c r="L78" s="492"/>
      <c r="M78" s="494"/>
      <c r="N78" s="39" t="s">
        <v>25</v>
      </c>
      <c r="O78" s="207">
        <f t="shared" si="133"/>
        <v>0</v>
      </c>
      <c r="P78" s="207">
        <f t="shared" si="133"/>
        <v>0</v>
      </c>
      <c r="Q78" s="207">
        <f t="shared" si="133"/>
        <v>0</v>
      </c>
      <c r="R78" s="207">
        <f t="shared" si="133"/>
        <v>0</v>
      </c>
      <c r="S78" s="207">
        <f t="shared" si="133"/>
        <v>0</v>
      </c>
      <c r="T78" s="207">
        <f t="shared" si="133"/>
        <v>0</v>
      </c>
      <c r="U78" s="49">
        <f t="shared" si="133"/>
        <v>0</v>
      </c>
      <c r="V78" s="57">
        <f t="shared" si="145"/>
        <v>0</v>
      </c>
      <c r="W78" s="18">
        <f t="shared" si="145"/>
        <v>0</v>
      </c>
      <c r="X78" s="18">
        <f t="shared" si="145"/>
        <v>0</v>
      </c>
      <c r="Y78" s="18">
        <f t="shared" si="145"/>
        <v>0</v>
      </c>
      <c r="Z78" s="18">
        <f t="shared" si="145"/>
        <v>0</v>
      </c>
      <c r="AA78" s="18">
        <f t="shared" si="150"/>
        <v>0</v>
      </c>
      <c r="AB78" s="42">
        <f t="shared" si="132"/>
        <v>0</v>
      </c>
      <c r="AC78" s="52">
        <f t="shared" si="132"/>
        <v>0</v>
      </c>
      <c r="AD78" s="207">
        <f t="shared" si="132"/>
        <v>0</v>
      </c>
      <c r="AE78" s="207">
        <f t="shared" si="132"/>
        <v>0</v>
      </c>
      <c r="AF78" s="207">
        <f t="shared" si="132"/>
        <v>0</v>
      </c>
      <c r="AG78" s="18">
        <f t="shared" si="132"/>
        <v>0</v>
      </c>
      <c r="AH78" s="57">
        <f>(1+1)/165</f>
        <v>1.2121212121212121E-2</v>
      </c>
      <c r="AI78" s="207">
        <f t="shared" si="163"/>
        <v>0</v>
      </c>
      <c r="AJ78" s="207">
        <f t="shared" si="163"/>
        <v>0</v>
      </c>
      <c r="AK78" s="207">
        <f>(0+1.5)/165</f>
        <v>9.0909090909090905E-3</v>
      </c>
      <c r="AL78" s="207">
        <f t="shared" si="163"/>
        <v>0</v>
      </c>
      <c r="AM78" s="207">
        <f t="shared" si="163"/>
        <v>0</v>
      </c>
      <c r="AN78" s="57">
        <f t="shared" si="122"/>
        <v>0</v>
      </c>
      <c r="AO78" s="207">
        <f t="shared" si="122"/>
        <v>0</v>
      </c>
      <c r="AP78" s="207">
        <f t="shared" si="122"/>
        <v>0</v>
      </c>
      <c r="AQ78" s="207">
        <f t="shared" si="122"/>
        <v>0</v>
      </c>
      <c r="AR78" s="207">
        <f t="shared" si="122"/>
        <v>0</v>
      </c>
      <c r="AS78" s="207">
        <f t="shared" si="136"/>
        <v>0</v>
      </c>
      <c r="AT78" s="207">
        <f t="shared" si="136"/>
        <v>0</v>
      </c>
      <c r="AU78" s="49">
        <f t="shared" si="136"/>
        <v>0</v>
      </c>
      <c r="AV78" s="63">
        <f t="shared" si="175"/>
        <v>0</v>
      </c>
      <c r="AW78" s="208">
        <f t="shared" si="175"/>
        <v>0</v>
      </c>
      <c r="AX78" s="208">
        <f t="shared" si="175"/>
        <v>0</v>
      </c>
      <c r="AY78" s="208">
        <f t="shared" si="175"/>
        <v>0</v>
      </c>
      <c r="AZ78" s="208">
        <f t="shared" si="175"/>
        <v>0</v>
      </c>
      <c r="BA78" s="208">
        <f t="shared" si="175"/>
        <v>0</v>
      </c>
      <c r="BB78" s="208">
        <f t="shared" si="175"/>
        <v>0</v>
      </c>
      <c r="BC78" s="64">
        <f t="shared" si="175"/>
        <v>0</v>
      </c>
      <c r="BD78" s="63">
        <f t="shared" si="123"/>
        <v>0</v>
      </c>
      <c r="BE78" s="208">
        <f t="shared" si="123"/>
        <v>0</v>
      </c>
      <c r="BF78" s="208">
        <f t="shared" si="123"/>
        <v>0</v>
      </c>
      <c r="BG78" s="208">
        <f t="shared" si="123"/>
        <v>0</v>
      </c>
      <c r="BH78" s="208">
        <f t="shared" si="123"/>
        <v>0</v>
      </c>
      <c r="BI78" s="208">
        <f t="shared" si="137"/>
        <v>0</v>
      </c>
      <c r="BJ78" s="208">
        <f t="shared" si="137"/>
        <v>0</v>
      </c>
      <c r="BK78" s="64">
        <f t="shared" si="137"/>
        <v>0</v>
      </c>
      <c r="BL78" s="63">
        <f t="shared" si="181"/>
        <v>0</v>
      </c>
      <c r="BM78" s="208">
        <f t="shared" si="181"/>
        <v>0</v>
      </c>
      <c r="BN78" s="208">
        <f t="shared" si="181"/>
        <v>0</v>
      </c>
      <c r="BO78" s="208">
        <f t="shared" si="181"/>
        <v>0</v>
      </c>
      <c r="BP78" s="208">
        <f t="shared" si="181"/>
        <v>0</v>
      </c>
      <c r="BQ78" s="208">
        <f t="shared" si="138"/>
        <v>0</v>
      </c>
      <c r="BR78" s="208">
        <f t="shared" si="138"/>
        <v>0</v>
      </c>
      <c r="BS78" s="64">
        <f t="shared" si="138"/>
        <v>0</v>
      </c>
      <c r="BT78" s="63">
        <f t="shared" si="169"/>
        <v>0</v>
      </c>
      <c r="BU78" s="208">
        <f t="shared" si="169"/>
        <v>0</v>
      </c>
      <c r="BV78" s="208">
        <f t="shared" si="169"/>
        <v>0</v>
      </c>
      <c r="BW78" s="208">
        <f t="shared" si="169"/>
        <v>0</v>
      </c>
      <c r="BX78" s="208">
        <f t="shared" si="169"/>
        <v>0</v>
      </c>
      <c r="BY78" s="208">
        <f t="shared" si="139"/>
        <v>0</v>
      </c>
      <c r="BZ78" s="208">
        <f t="shared" si="139"/>
        <v>0</v>
      </c>
      <c r="CA78" s="64">
        <f t="shared" si="139"/>
        <v>0</v>
      </c>
      <c r="CB78" s="63">
        <f t="shared" si="176"/>
        <v>0</v>
      </c>
      <c r="CC78" s="208">
        <f t="shared" si="176"/>
        <v>0</v>
      </c>
      <c r="CD78" s="208">
        <f t="shared" si="176"/>
        <v>0</v>
      </c>
      <c r="CE78" s="208">
        <f t="shared" si="176"/>
        <v>0</v>
      </c>
      <c r="CF78" s="208">
        <f t="shared" si="176"/>
        <v>0</v>
      </c>
      <c r="CG78" s="208">
        <f t="shared" si="140"/>
        <v>0</v>
      </c>
      <c r="CH78" s="208">
        <f t="shared" si="140"/>
        <v>0</v>
      </c>
      <c r="CI78" s="64">
        <f t="shared" si="140"/>
        <v>0</v>
      </c>
      <c r="CJ78" s="63">
        <f t="shared" si="182"/>
        <v>0</v>
      </c>
      <c r="CK78" s="208">
        <f t="shared" si="182"/>
        <v>0</v>
      </c>
      <c r="CL78" s="208">
        <f t="shared" si="182"/>
        <v>0</v>
      </c>
      <c r="CM78" s="208">
        <f t="shared" si="182"/>
        <v>0</v>
      </c>
      <c r="CN78" s="208">
        <f t="shared" si="182"/>
        <v>0</v>
      </c>
      <c r="CO78" s="208">
        <f t="shared" si="141"/>
        <v>0</v>
      </c>
      <c r="CP78" s="208">
        <f t="shared" si="141"/>
        <v>0</v>
      </c>
      <c r="CQ78" s="64">
        <f t="shared" si="141"/>
        <v>0</v>
      </c>
      <c r="CR78" s="63">
        <f t="shared" si="183"/>
        <v>0</v>
      </c>
      <c r="CS78" s="208">
        <f t="shared" si="183"/>
        <v>0</v>
      </c>
      <c r="CT78" s="208">
        <f t="shared" si="183"/>
        <v>0</v>
      </c>
      <c r="CU78" s="208">
        <f t="shared" si="183"/>
        <v>0</v>
      </c>
      <c r="CV78" s="208">
        <f t="shared" si="183"/>
        <v>0</v>
      </c>
      <c r="CW78" s="208">
        <f t="shared" si="142"/>
        <v>0</v>
      </c>
      <c r="CX78" s="208">
        <f t="shared" si="142"/>
        <v>0</v>
      </c>
      <c r="CY78" s="64">
        <f t="shared" si="142"/>
        <v>0</v>
      </c>
      <c r="CZ78" s="278"/>
    </row>
    <row r="79" spans="1:104" ht="26.25" customHeight="1" x14ac:dyDescent="0.4">
      <c r="A79" s="379">
        <v>37</v>
      </c>
      <c r="B79" s="379" t="s">
        <v>47</v>
      </c>
      <c r="C79" s="379" t="s">
        <v>14</v>
      </c>
      <c r="D79" s="381" t="s">
        <v>482</v>
      </c>
      <c r="E79" s="405" t="s">
        <v>759</v>
      </c>
      <c r="F79" s="381"/>
      <c r="G79" s="416" t="s">
        <v>758</v>
      </c>
      <c r="H79" s="489">
        <f t="shared" ref="H79" si="184">SUM(AH79:AM79)</f>
        <v>0.16969696969696971</v>
      </c>
      <c r="I79" s="489">
        <f t="shared" ref="I79" si="185">SUM(AH80:AM80)</f>
        <v>3.787878787878788E-2</v>
      </c>
      <c r="J79" s="497"/>
      <c r="K79" s="491"/>
      <c r="L79" s="491"/>
      <c r="M79" s="493"/>
      <c r="N79" s="48" t="s">
        <v>24</v>
      </c>
      <c r="O79" s="187">
        <f t="shared" si="133"/>
        <v>0</v>
      </c>
      <c r="P79" s="187">
        <f t="shared" si="133"/>
        <v>0</v>
      </c>
      <c r="Q79" s="187">
        <f t="shared" si="133"/>
        <v>0</v>
      </c>
      <c r="R79" s="187">
        <f t="shared" si="133"/>
        <v>0</v>
      </c>
      <c r="S79" s="187">
        <f t="shared" si="133"/>
        <v>0</v>
      </c>
      <c r="T79" s="187">
        <f t="shared" si="133"/>
        <v>0</v>
      </c>
      <c r="U79" s="82">
        <f t="shared" si="133"/>
        <v>0</v>
      </c>
      <c r="V79" s="19">
        <f t="shared" si="145"/>
        <v>0</v>
      </c>
      <c r="W79" s="187">
        <f t="shared" si="145"/>
        <v>0</v>
      </c>
      <c r="X79" s="187">
        <f t="shared" si="145"/>
        <v>0</v>
      </c>
      <c r="Y79" s="187">
        <f t="shared" si="145"/>
        <v>0</v>
      </c>
      <c r="Z79" s="187">
        <f t="shared" si="145"/>
        <v>0</v>
      </c>
      <c r="AA79" s="187">
        <f t="shared" si="150"/>
        <v>0</v>
      </c>
      <c r="AB79" s="19">
        <f t="shared" si="132"/>
        <v>0</v>
      </c>
      <c r="AC79" s="187">
        <f t="shared" si="132"/>
        <v>0</v>
      </c>
      <c r="AD79" s="249">
        <f t="shared" si="132"/>
        <v>0</v>
      </c>
      <c r="AE79" s="187">
        <f t="shared" si="132"/>
        <v>0</v>
      </c>
      <c r="AF79" s="187">
        <f t="shared" si="132"/>
        <v>0</v>
      </c>
      <c r="AG79" s="187">
        <f t="shared" si="132"/>
        <v>0</v>
      </c>
      <c r="AH79" s="73">
        <f>(8)/165</f>
        <v>4.8484848484848485E-2</v>
      </c>
      <c r="AI79" s="187">
        <f t="shared" ref="AI79:AJ79" si="186">(10)/165</f>
        <v>6.0606060606060608E-2</v>
      </c>
      <c r="AJ79" s="187">
        <f t="shared" si="186"/>
        <v>6.0606060606060608E-2</v>
      </c>
      <c r="AK79" s="187">
        <f t="shared" si="163"/>
        <v>0</v>
      </c>
      <c r="AL79" s="187">
        <f t="shared" si="163"/>
        <v>0</v>
      </c>
      <c r="AM79" s="187">
        <f t="shared" si="163"/>
        <v>0</v>
      </c>
      <c r="AN79" s="73">
        <f t="shared" si="122"/>
        <v>0</v>
      </c>
      <c r="AO79" s="187">
        <f t="shared" si="122"/>
        <v>0</v>
      </c>
      <c r="AP79" s="187">
        <f t="shared" si="122"/>
        <v>0</v>
      </c>
      <c r="AQ79" s="187">
        <f t="shared" si="122"/>
        <v>0</v>
      </c>
      <c r="AR79" s="187">
        <f t="shared" si="122"/>
        <v>0</v>
      </c>
      <c r="AS79" s="187">
        <f t="shared" si="136"/>
        <v>0</v>
      </c>
      <c r="AT79" s="187">
        <f t="shared" si="136"/>
        <v>0</v>
      </c>
      <c r="AU79" s="221">
        <f t="shared" si="136"/>
        <v>0</v>
      </c>
      <c r="AV79" s="222">
        <f t="shared" si="175"/>
        <v>0</v>
      </c>
      <c r="AW79" s="187">
        <f t="shared" si="175"/>
        <v>0</v>
      </c>
      <c r="AX79" s="187">
        <f t="shared" si="175"/>
        <v>0</v>
      </c>
      <c r="AY79" s="187">
        <f t="shared" si="175"/>
        <v>0</v>
      </c>
      <c r="AZ79" s="187">
        <f t="shared" si="175"/>
        <v>0</v>
      </c>
      <c r="BA79" s="187">
        <f t="shared" si="175"/>
        <v>0</v>
      </c>
      <c r="BB79" s="187">
        <f t="shared" si="175"/>
        <v>0</v>
      </c>
      <c r="BC79" s="17">
        <f t="shared" si="175"/>
        <v>0</v>
      </c>
      <c r="BD79" s="19">
        <f t="shared" si="123"/>
        <v>0</v>
      </c>
      <c r="BE79" s="187">
        <f t="shared" si="123"/>
        <v>0</v>
      </c>
      <c r="BF79" s="187">
        <f t="shared" si="123"/>
        <v>0</v>
      </c>
      <c r="BG79" s="187">
        <f t="shared" si="123"/>
        <v>0</v>
      </c>
      <c r="BH79" s="187">
        <f t="shared" si="123"/>
        <v>0</v>
      </c>
      <c r="BI79" s="187">
        <f t="shared" si="137"/>
        <v>0</v>
      </c>
      <c r="BJ79" s="187">
        <f t="shared" si="137"/>
        <v>0</v>
      </c>
      <c r="BK79" s="17">
        <f t="shared" si="137"/>
        <v>0</v>
      </c>
      <c r="BL79" s="19">
        <f t="shared" si="181"/>
        <v>0</v>
      </c>
      <c r="BM79" s="187">
        <f t="shared" si="181"/>
        <v>0</v>
      </c>
      <c r="BN79" s="187">
        <f t="shared" si="181"/>
        <v>0</v>
      </c>
      <c r="BO79" s="187">
        <f t="shared" si="181"/>
        <v>0</v>
      </c>
      <c r="BP79" s="187">
        <f t="shared" si="181"/>
        <v>0</v>
      </c>
      <c r="BQ79" s="187">
        <f t="shared" si="138"/>
        <v>0</v>
      </c>
      <c r="BR79" s="187">
        <f t="shared" si="138"/>
        <v>0</v>
      </c>
      <c r="BS79" s="17">
        <f t="shared" si="138"/>
        <v>0</v>
      </c>
      <c r="BT79" s="19">
        <f t="shared" ref="BT79:BX88" si="187">0/157.5</f>
        <v>0</v>
      </c>
      <c r="BU79" s="187">
        <f t="shared" si="187"/>
        <v>0</v>
      </c>
      <c r="BV79" s="187">
        <f t="shared" si="187"/>
        <v>0</v>
      </c>
      <c r="BW79" s="187">
        <f t="shared" si="187"/>
        <v>0</v>
      </c>
      <c r="BX79" s="187">
        <f t="shared" si="187"/>
        <v>0</v>
      </c>
      <c r="BY79" s="187">
        <f t="shared" si="139"/>
        <v>0</v>
      </c>
      <c r="BZ79" s="187">
        <f t="shared" si="139"/>
        <v>0</v>
      </c>
      <c r="CA79" s="17">
        <f t="shared" si="139"/>
        <v>0</v>
      </c>
      <c r="CB79" s="73">
        <f t="shared" si="176"/>
        <v>0</v>
      </c>
      <c r="CC79" s="187">
        <f t="shared" si="176"/>
        <v>0</v>
      </c>
      <c r="CD79" s="187">
        <f t="shared" si="176"/>
        <v>0</v>
      </c>
      <c r="CE79" s="187">
        <f t="shared" si="176"/>
        <v>0</v>
      </c>
      <c r="CF79" s="187">
        <f t="shared" si="176"/>
        <v>0</v>
      </c>
      <c r="CG79" s="187">
        <f t="shared" si="140"/>
        <v>0</v>
      </c>
      <c r="CH79" s="187">
        <f t="shared" si="140"/>
        <v>0</v>
      </c>
      <c r="CI79" s="17">
        <f t="shared" si="140"/>
        <v>0</v>
      </c>
      <c r="CJ79" s="19">
        <f t="shared" si="182"/>
        <v>0</v>
      </c>
      <c r="CK79" s="187">
        <f t="shared" si="182"/>
        <v>0</v>
      </c>
      <c r="CL79" s="187">
        <f t="shared" si="182"/>
        <v>0</v>
      </c>
      <c r="CM79" s="187">
        <f t="shared" si="182"/>
        <v>0</v>
      </c>
      <c r="CN79" s="187">
        <f t="shared" si="182"/>
        <v>0</v>
      </c>
      <c r="CO79" s="187">
        <f t="shared" si="141"/>
        <v>0</v>
      </c>
      <c r="CP79" s="187">
        <f t="shared" si="141"/>
        <v>0</v>
      </c>
      <c r="CQ79" s="17">
        <f t="shared" si="141"/>
        <v>0</v>
      </c>
      <c r="CR79" s="19">
        <f t="shared" si="183"/>
        <v>0</v>
      </c>
      <c r="CS79" s="187">
        <f t="shared" si="183"/>
        <v>0</v>
      </c>
      <c r="CT79" s="187">
        <f t="shared" si="183"/>
        <v>0</v>
      </c>
      <c r="CU79" s="187">
        <f t="shared" si="183"/>
        <v>0</v>
      </c>
      <c r="CV79" s="187">
        <f t="shared" si="183"/>
        <v>0</v>
      </c>
      <c r="CW79" s="187">
        <f t="shared" si="142"/>
        <v>0</v>
      </c>
      <c r="CX79" s="187">
        <f t="shared" si="142"/>
        <v>0</v>
      </c>
      <c r="CY79" s="17">
        <f t="shared" si="142"/>
        <v>0</v>
      </c>
      <c r="CZ79" s="278"/>
    </row>
    <row r="80" spans="1:104" ht="26.25" customHeight="1" x14ac:dyDescent="0.4">
      <c r="A80" s="380"/>
      <c r="B80" s="380"/>
      <c r="C80" s="380"/>
      <c r="D80" s="382"/>
      <c r="E80" s="406"/>
      <c r="F80" s="382"/>
      <c r="G80" s="416"/>
      <c r="H80" s="490"/>
      <c r="I80" s="490"/>
      <c r="J80" s="498"/>
      <c r="K80" s="492"/>
      <c r="L80" s="492"/>
      <c r="M80" s="494"/>
      <c r="N80" s="39" t="s">
        <v>25</v>
      </c>
      <c r="O80" s="207">
        <f t="shared" si="133"/>
        <v>0</v>
      </c>
      <c r="P80" s="207">
        <f t="shared" si="133"/>
        <v>0</v>
      </c>
      <c r="Q80" s="207">
        <f t="shared" si="133"/>
        <v>0</v>
      </c>
      <c r="R80" s="207">
        <f t="shared" si="133"/>
        <v>0</v>
      </c>
      <c r="S80" s="207">
        <f t="shared" si="133"/>
        <v>0</v>
      </c>
      <c r="T80" s="207">
        <f t="shared" si="133"/>
        <v>0</v>
      </c>
      <c r="U80" s="49">
        <f t="shared" si="133"/>
        <v>0</v>
      </c>
      <c r="V80" s="57">
        <f t="shared" si="145"/>
        <v>0</v>
      </c>
      <c r="W80" s="18">
        <f t="shared" si="145"/>
        <v>0</v>
      </c>
      <c r="X80" s="18">
        <f t="shared" si="145"/>
        <v>0</v>
      </c>
      <c r="Y80" s="18">
        <f t="shared" si="145"/>
        <v>0</v>
      </c>
      <c r="Z80" s="18">
        <f t="shared" si="145"/>
        <v>0</v>
      </c>
      <c r="AA80" s="18">
        <f t="shared" si="150"/>
        <v>0</v>
      </c>
      <c r="AB80" s="42">
        <f t="shared" si="132"/>
        <v>0</v>
      </c>
      <c r="AC80" s="52">
        <f t="shared" si="132"/>
        <v>0</v>
      </c>
      <c r="AD80" s="207">
        <f t="shared" si="132"/>
        <v>0</v>
      </c>
      <c r="AE80" s="207">
        <f t="shared" si="132"/>
        <v>0</v>
      </c>
      <c r="AF80" s="207">
        <f t="shared" si="132"/>
        <v>0</v>
      </c>
      <c r="AG80" s="18">
        <f t="shared" si="132"/>
        <v>0</v>
      </c>
      <c r="AH80" s="57">
        <f>(0+1)/165</f>
        <v>6.0606060606060606E-3</v>
      </c>
      <c r="AI80" s="207">
        <f t="shared" si="163"/>
        <v>0</v>
      </c>
      <c r="AJ80" s="207">
        <f>(0+3)/165</f>
        <v>1.8181818181818181E-2</v>
      </c>
      <c r="AK80" s="207">
        <f t="shared" si="163"/>
        <v>0</v>
      </c>
      <c r="AL80" s="207">
        <f t="shared" si="163"/>
        <v>0</v>
      </c>
      <c r="AM80" s="207">
        <f>(0+2.25)/165</f>
        <v>1.3636363636363636E-2</v>
      </c>
      <c r="AN80" s="57">
        <f t="shared" si="122"/>
        <v>0</v>
      </c>
      <c r="AO80" s="207">
        <f t="shared" si="122"/>
        <v>0</v>
      </c>
      <c r="AP80" s="207">
        <f t="shared" si="122"/>
        <v>0</v>
      </c>
      <c r="AQ80" s="207">
        <f t="shared" si="122"/>
        <v>0</v>
      </c>
      <c r="AR80" s="207">
        <f t="shared" si="122"/>
        <v>0</v>
      </c>
      <c r="AS80" s="207">
        <f t="shared" si="136"/>
        <v>0</v>
      </c>
      <c r="AT80" s="207">
        <f t="shared" si="136"/>
        <v>0</v>
      </c>
      <c r="AU80" s="49">
        <f t="shared" si="136"/>
        <v>0</v>
      </c>
      <c r="AV80" s="63">
        <f t="shared" si="175"/>
        <v>0</v>
      </c>
      <c r="AW80" s="208">
        <f t="shared" si="175"/>
        <v>0</v>
      </c>
      <c r="AX80" s="208">
        <f t="shared" si="175"/>
        <v>0</v>
      </c>
      <c r="AY80" s="208">
        <f t="shared" si="175"/>
        <v>0</v>
      </c>
      <c r="AZ80" s="208">
        <f t="shared" si="175"/>
        <v>0</v>
      </c>
      <c r="BA80" s="208">
        <f t="shared" si="175"/>
        <v>0</v>
      </c>
      <c r="BB80" s="208">
        <f t="shared" si="175"/>
        <v>0</v>
      </c>
      <c r="BC80" s="64">
        <f t="shared" si="175"/>
        <v>0</v>
      </c>
      <c r="BD80" s="63">
        <f t="shared" si="123"/>
        <v>0</v>
      </c>
      <c r="BE80" s="208">
        <f t="shared" si="123"/>
        <v>0</v>
      </c>
      <c r="BF80" s="208">
        <f t="shared" si="123"/>
        <v>0</v>
      </c>
      <c r="BG80" s="208">
        <f t="shared" si="123"/>
        <v>0</v>
      </c>
      <c r="BH80" s="208">
        <f t="shared" si="123"/>
        <v>0</v>
      </c>
      <c r="BI80" s="208">
        <f t="shared" si="137"/>
        <v>0</v>
      </c>
      <c r="BJ80" s="208">
        <f t="shared" si="137"/>
        <v>0</v>
      </c>
      <c r="BK80" s="64">
        <f t="shared" si="137"/>
        <v>0</v>
      </c>
      <c r="BL80" s="63">
        <f t="shared" si="181"/>
        <v>0</v>
      </c>
      <c r="BM80" s="208">
        <f t="shared" si="181"/>
        <v>0</v>
      </c>
      <c r="BN80" s="208">
        <f t="shared" si="181"/>
        <v>0</v>
      </c>
      <c r="BO80" s="208">
        <f t="shared" si="181"/>
        <v>0</v>
      </c>
      <c r="BP80" s="208">
        <f t="shared" si="181"/>
        <v>0</v>
      </c>
      <c r="BQ80" s="208">
        <f t="shared" si="138"/>
        <v>0</v>
      </c>
      <c r="BR80" s="208">
        <f t="shared" si="138"/>
        <v>0</v>
      </c>
      <c r="BS80" s="64">
        <f t="shared" si="138"/>
        <v>0</v>
      </c>
      <c r="BT80" s="63">
        <f t="shared" si="187"/>
        <v>0</v>
      </c>
      <c r="BU80" s="208">
        <f t="shared" si="187"/>
        <v>0</v>
      </c>
      <c r="BV80" s="208">
        <f t="shared" si="187"/>
        <v>0</v>
      </c>
      <c r="BW80" s="208">
        <f t="shared" si="187"/>
        <v>0</v>
      </c>
      <c r="BX80" s="208">
        <f t="shared" si="187"/>
        <v>0</v>
      </c>
      <c r="BY80" s="208">
        <f t="shared" si="139"/>
        <v>0</v>
      </c>
      <c r="BZ80" s="208">
        <f t="shared" si="139"/>
        <v>0</v>
      </c>
      <c r="CA80" s="64">
        <f t="shared" si="139"/>
        <v>0</v>
      </c>
      <c r="CB80" s="63">
        <f t="shared" si="176"/>
        <v>0</v>
      </c>
      <c r="CC80" s="208">
        <f t="shared" si="176"/>
        <v>0</v>
      </c>
      <c r="CD80" s="208">
        <f t="shared" si="176"/>
        <v>0</v>
      </c>
      <c r="CE80" s="208">
        <f t="shared" si="176"/>
        <v>0</v>
      </c>
      <c r="CF80" s="208">
        <f t="shared" si="176"/>
        <v>0</v>
      </c>
      <c r="CG80" s="208">
        <f t="shared" si="140"/>
        <v>0</v>
      </c>
      <c r="CH80" s="208">
        <f t="shared" si="140"/>
        <v>0</v>
      </c>
      <c r="CI80" s="64">
        <f t="shared" si="140"/>
        <v>0</v>
      </c>
      <c r="CJ80" s="63">
        <f t="shared" si="182"/>
        <v>0</v>
      </c>
      <c r="CK80" s="208">
        <f t="shared" si="182"/>
        <v>0</v>
      </c>
      <c r="CL80" s="208">
        <f t="shared" si="182"/>
        <v>0</v>
      </c>
      <c r="CM80" s="208">
        <f t="shared" si="182"/>
        <v>0</v>
      </c>
      <c r="CN80" s="208">
        <f t="shared" si="182"/>
        <v>0</v>
      </c>
      <c r="CO80" s="208">
        <f t="shared" si="141"/>
        <v>0</v>
      </c>
      <c r="CP80" s="208">
        <f t="shared" si="141"/>
        <v>0</v>
      </c>
      <c r="CQ80" s="64">
        <f t="shared" si="141"/>
        <v>0</v>
      </c>
      <c r="CR80" s="63">
        <f t="shared" si="183"/>
        <v>0</v>
      </c>
      <c r="CS80" s="208">
        <f t="shared" si="183"/>
        <v>0</v>
      </c>
      <c r="CT80" s="208">
        <f t="shared" si="183"/>
        <v>0</v>
      </c>
      <c r="CU80" s="208">
        <f t="shared" si="183"/>
        <v>0</v>
      </c>
      <c r="CV80" s="208">
        <f t="shared" si="183"/>
        <v>0</v>
      </c>
      <c r="CW80" s="208">
        <f t="shared" si="142"/>
        <v>0</v>
      </c>
      <c r="CX80" s="208">
        <f t="shared" si="142"/>
        <v>0</v>
      </c>
      <c r="CY80" s="64">
        <f t="shared" si="142"/>
        <v>0</v>
      </c>
      <c r="CZ80" s="278"/>
    </row>
    <row r="81" spans="1:104" ht="26.25" customHeight="1" collapsed="1" x14ac:dyDescent="0.4">
      <c r="A81" s="379">
        <v>38</v>
      </c>
      <c r="B81" s="379" t="s">
        <v>47</v>
      </c>
      <c r="C81" s="379" t="s">
        <v>14</v>
      </c>
      <c r="D81" s="381" t="s">
        <v>783</v>
      </c>
      <c r="E81" s="405" t="s">
        <v>784</v>
      </c>
      <c r="F81" s="381"/>
      <c r="G81" s="416" t="s">
        <v>785</v>
      </c>
      <c r="H81" s="489">
        <f t="shared" ref="H81" si="188">SUM(AH81:AM81)</f>
        <v>4.8484848484848485E-2</v>
      </c>
      <c r="I81" s="489">
        <f t="shared" ref="I81" si="189">SUM(AH82:AM82)</f>
        <v>5.6060606060606061E-2</v>
      </c>
      <c r="J81" s="497"/>
      <c r="K81" s="491"/>
      <c r="L81" s="491"/>
      <c r="M81" s="493"/>
      <c r="N81" s="48" t="s">
        <v>24</v>
      </c>
      <c r="O81" s="187">
        <f t="shared" si="133"/>
        <v>0</v>
      </c>
      <c r="P81" s="187">
        <f t="shared" si="133"/>
        <v>0</v>
      </c>
      <c r="Q81" s="187">
        <f t="shared" si="133"/>
        <v>0</v>
      </c>
      <c r="R81" s="187">
        <f t="shared" si="133"/>
        <v>0</v>
      </c>
      <c r="S81" s="187">
        <f t="shared" si="133"/>
        <v>0</v>
      </c>
      <c r="T81" s="187">
        <f t="shared" si="133"/>
        <v>0</v>
      </c>
      <c r="U81" s="82">
        <f t="shared" si="133"/>
        <v>0</v>
      </c>
      <c r="V81" s="19">
        <f t="shared" si="145"/>
        <v>0</v>
      </c>
      <c r="W81" s="187">
        <f t="shared" si="145"/>
        <v>0</v>
      </c>
      <c r="X81" s="187">
        <f t="shared" si="145"/>
        <v>0</v>
      </c>
      <c r="Y81" s="187">
        <f t="shared" si="145"/>
        <v>0</v>
      </c>
      <c r="Z81" s="187">
        <f t="shared" si="145"/>
        <v>0</v>
      </c>
      <c r="AA81" s="187">
        <f t="shared" ref="AA81:AG106" si="190">0/165</f>
        <v>0</v>
      </c>
      <c r="AB81" s="19">
        <f t="shared" si="190"/>
        <v>0</v>
      </c>
      <c r="AC81" s="187">
        <f t="shared" si="190"/>
        <v>0</v>
      </c>
      <c r="AD81" s="249">
        <f t="shared" si="190"/>
        <v>0</v>
      </c>
      <c r="AE81" s="187">
        <f t="shared" si="190"/>
        <v>0</v>
      </c>
      <c r="AF81" s="187">
        <f t="shared" si="190"/>
        <v>0</v>
      </c>
      <c r="AG81" s="187">
        <f t="shared" si="190"/>
        <v>0</v>
      </c>
      <c r="AH81" s="73">
        <f>(8)/165</f>
        <v>4.8484848484848485E-2</v>
      </c>
      <c r="AI81" s="187">
        <f t="shared" si="163"/>
        <v>0</v>
      </c>
      <c r="AJ81" s="187">
        <f t="shared" si="163"/>
        <v>0</v>
      </c>
      <c r="AK81" s="187">
        <f t="shared" si="163"/>
        <v>0</v>
      </c>
      <c r="AL81" s="187">
        <f t="shared" si="163"/>
        <v>0</v>
      </c>
      <c r="AM81" s="187">
        <f t="shared" si="163"/>
        <v>0</v>
      </c>
      <c r="AN81" s="73">
        <f t="shared" ref="AN81:AR106" si="191">0/157.5</f>
        <v>0</v>
      </c>
      <c r="AO81" s="187">
        <f t="shared" si="191"/>
        <v>0</v>
      </c>
      <c r="AP81" s="187">
        <f t="shared" si="191"/>
        <v>0</v>
      </c>
      <c r="AQ81" s="187">
        <f t="shared" si="191"/>
        <v>0</v>
      </c>
      <c r="AR81" s="187">
        <f t="shared" si="191"/>
        <v>0</v>
      </c>
      <c r="AS81" s="187">
        <f t="shared" si="136"/>
        <v>0</v>
      </c>
      <c r="AT81" s="187">
        <f t="shared" si="136"/>
        <v>0</v>
      </c>
      <c r="AU81" s="221">
        <f t="shared" si="136"/>
        <v>0</v>
      </c>
      <c r="AV81" s="222">
        <f t="shared" si="175"/>
        <v>0</v>
      </c>
      <c r="AW81" s="187">
        <f t="shared" si="175"/>
        <v>0</v>
      </c>
      <c r="AX81" s="187">
        <f t="shared" si="175"/>
        <v>0</v>
      </c>
      <c r="AY81" s="187">
        <f t="shared" si="175"/>
        <v>0</v>
      </c>
      <c r="AZ81" s="187">
        <f t="shared" si="175"/>
        <v>0</v>
      </c>
      <c r="BA81" s="187">
        <f t="shared" si="175"/>
        <v>0</v>
      </c>
      <c r="BB81" s="187">
        <f t="shared" si="175"/>
        <v>0</v>
      </c>
      <c r="BC81" s="17">
        <f t="shared" si="175"/>
        <v>0</v>
      </c>
      <c r="BD81" s="19">
        <f t="shared" ref="BD81:BH106" si="192">0/142.5</f>
        <v>0</v>
      </c>
      <c r="BE81" s="187">
        <f t="shared" si="192"/>
        <v>0</v>
      </c>
      <c r="BF81" s="187">
        <f t="shared" si="192"/>
        <v>0</v>
      </c>
      <c r="BG81" s="187">
        <f t="shared" si="192"/>
        <v>0</v>
      </c>
      <c r="BH81" s="187">
        <f t="shared" si="192"/>
        <v>0</v>
      </c>
      <c r="BI81" s="187">
        <f t="shared" si="137"/>
        <v>0</v>
      </c>
      <c r="BJ81" s="187">
        <f t="shared" si="137"/>
        <v>0</v>
      </c>
      <c r="BK81" s="17">
        <f t="shared" si="137"/>
        <v>0</v>
      </c>
      <c r="BL81" s="19">
        <f t="shared" si="181"/>
        <v>0</v>
      </c>
      <c r="BM81" s="187">
        <f t="shared" si="181"/>
        <v>0</v>
      </c>
      <c r="BN81" s="187">
        <f t="shared" si="181"/>
        <v>0</v>
      </c>
      <c r="BO81" s="187">
        <f t="shared" si="181"/>
        <v>0</v>
      </c>
      <c r="BP81" s="187">
        <f t="shared" si="181"/>
        <v>0</v>
      </c>
      <c r="BQ81" s="187">
        <f t="shared" si="138"/>
        <v>0</v>
      </c>
      <c r="BR81" s="187">
        <f t="shared" si="138"/>
        <v>0</v>
      </c>
      <c r="BS81" s="17">
        <f t="shared" si="138"/>
        <v>0</v>
      </c>
      <c r="BT81" s="19">
        <f t="shared" si="187"/>
        <v>0</v>
      </c>
      <c r="BU81" s="187">
        <f t="shared" si="187"/>
        <v>0</v>
      </c>
      <c r="BV81" s="187">
        <f t="shared" si="187"/>
        <v>0</v>
      </c>
      <c r="BW81" s="187">
        <f t="shared" si="187"/>
        <v>0</v>
      </c>
      <c r="BX81" s="187">
        <f t="shared" si="187"/>
        <v>0</v>
      </c>
      <c r="BY81" s="187">
        <f t="shared" si="139"/>
        <v>0</v>
      </c>
      <c r="BZ81" s="187">
        <f t="shared" si="139"/>
        <v>0</v>
      </c>
      <c r="CA81" s="17">
        <f t="shared" si="139"/>
        <v>0</v>
      </c>
      <c r="CB81" s="73">
        <f t="shared" si="176"/>
        <v>0</v>
      </c>
      <c r="CC81" s="187">
        <f t="shared" si="176"/>
        <v>0</v>
      </c>
      <c r="CD81" s="187">
        <f t="shared" si="176"/>
        <v>0</v>
      </c>
      <c r="CE81" s="187">
        <f t="shared" si="176"/>
        <v>0</v>
      </c>
      <c r="CF81" s="187">
        <f t="shared" si="176"/>
        <v>0</v>
      </c>
      <c r="CG81" s="187">
        <f t="shared" si="140"/>
        <v>0</v>
      </c>
      <c r="CH81" s="187">
        <f t="shared" si="140"/>
        <v>0</v>
      </c>
      <c r="CI81" s="17">
        <f t="shared" si="140"/>
        <v>0</v>
      </c>
      <c r="CJ81" s="19">
        <f t="shared" si="182"/>
        <v>0</v>
      </c>
      <c r="CK81" s="187">
        <f t="shared" si="182"/>
        <v>0</v>
      </c>
      <c r="CL81" s="187">
        <f t="shared" si="182"/>
        <v>0</v>
      </c>
      <c r="CM81" s="187">
        <f t="shared" si="182"/>
        <v>0</v>
      </c>
      <c r="CN81" s="187">
        <f t="shared" si="182"/>
        <v>0</v>
      </c>
      <c r="CO81" s="187">
        <f t="shared" si="141"/>
        <v>0</v>
      </c>
      <c r="CP81" s="187">
        <f t="shared" si="141"/>
        <v>0</v>
      </c>
      <c r="CQ81" s="17">
        <f t="shared" si="141"/>
        <v>0</v>
      </c>
      <c r="CR81" s="19">
        <f t="shared" si="183"/>
        <v>0</v>
      </c>
      <c r="CS81" s="187">
        <f t="shared" si="183"/>
        <v>0</v>
      </c>
      <c r="CT81" s="187">
        <f t="shared" si="183"/>
        <v>0</v>
      </c>
      <c r="CU81" s="187">
        <f t="shared" si="183"/>
        <v>0</v>
      </c>
      <c r="CV81" s="187">
        <f t="shared" si="183"/>
        <v>0</v>
      </c>
      <c r="CW81" s="187">
        <f t="shared" si="142"/>
        <v>0</v>
      </c>
      <c r="CX81" s="187">
        <f t="shared" si="142"/>
        <v>0</v>
      </c>
      <c r="CY81" s="17">
        <f t="shared" si="142"/>
        <v>0</v>
      </c>
      <c r="CZ81" s="278"/>
    </row>
    <row r="82" spans="1:104" ht="26.25" customHeight="1" x14ac:dyDescent="0.4">
      <c r="A82" s="380"/>
      <c r="B82" s="380"/>
      <c r="C82" s="380"/>
      <c r="D82" s="382"/>
      <c r="E82" s="406"/>
      <c r="F82" s="382"/>
      <c r="G82" s="416"/>
      <c r="H82" s="490"/>
      <c r="I82" s="490"/>
      <c r="J82" s="498"/>
      <c r="K82" s="492"/>
      <c r="L82" s="492"/>
      <c r="M82" s="494"/>
      <c r="N82" s="39" t="s">
        <v>25</v>
      </c>
      <c r="O82" s="207">
        <f t="shared" si="133"/>
        <v>0</v>
      </c>
      <c r="P82" s="207">
        <f t="shared" si="133"/>
        <v>0</v>
      </c>
      <c r="Q82" s="207">
        <f t="shared" si="133"/>
        <v>0</v>
      </c>
      <c r="R82" s="207">
        <f t="shared" si="133"/>
        <v>0</v>
      </c>
      <c r="S82" s="207">
        <f t="shared" si="133"/>
        <v>0</v>
      </c>
      <c r="T82" s="207">
        <f t="shared" si="133"/>
        <v>0</v>
      </c>
      <c r="U82" s="49">
        <f t="shared" si="133"/>
        <v>0</v>
      </c>
      <c r="V82" s="57">
        <f t="shared" si="145"/>
        <v>0</v>
      </c>
      <c r="W82" s="18">
        <f t="shared" si="145"/>
        <v>0</v>
      </c>
      <c r="X82" s="18">
        <f t="shared" si="145"/>
        <v>0</v>
      </c>
      <c r="Y82" s="18">
        <f t="shared" si="145"/>
        <v>0</v>
      </c>
      <c r="Z82" s="18">
        <f t="shared" si="145"/>
        <v>0</v>
      </c>
      <c r="AA82" s="18">
        <f t="shared" si="190"/>
        <v>0</v>
      </c>
      <c r="AB82" s="42">
        <f t="shared" si="190"/>
        <v>0</v>
      </c>
      <c r="AC82" s="52">
        <f t="shared" si="190"/>
        <v>0</v>
      </c>
      <c r="AD82" s="207">
        <f t="shared" si="190"/>
        <v>0</v>
      </c>
      <c r="AE82" s="207">
        <f t="shared" si="190"/>
        <v>0</v>
      </c>
      <c r="AF82" s="207">
        <f t="shared" si="190"/>
        <v>0</v>
      </c>
      <c r="AG82" s="18">
        <f t="shared" si="190"/>
        <v>0</v>
      </c>
      <c r="AH82" s="57">
        <f>(0+2.5)/165</f>
        <v>1.5151515151515152E-2</v>
      </c>
      <c r="AI82" s="207">
        <f>(0+6.75)/165</f>
        <v>4.0909090909090909E-2</v>
      </c>
      <c r="AJ82" s="207">
        <f t="shared" si="163"/>
        <v>0</v>
      </c>
      <c r="AK82" s="207">
        <f t="shared" si="163"/>
        <v>0</v>
      </c>
      <c r="AL82" s="207">
        <f t="shared" si="163"/>
        <v>0</v>
      </c>
      <c r="AM82" s="207">
        <f t="shared" si="163"/>
        <v>0</v>
      </c>
      <c r="AN82" s="57">
        <f t="shared" si="191"/>
        <v>0</v>
      </c>
      <c r="AO82" s="207">
        <f t="shared" si="191"/>
        <v>0</v>
      </c>
      <c r="AP82" s="207">
        <f t="shared" si="191"/>
        <v>0</v>
      </c>
      <c r="AQ82" s="207">
        <f t="shared" si="191"/>
        <v>0</v>
      </c>
      <c r="AR82" s="207">
        <f t="shared" si="191"/>
        <v>0</v>
      </c>
      <c r="AS82" s="207">
        <f t="shared" si="136"/>
        <v>0</v>
      </c>
      <c r="AT82" s="207">
        <f t="shared" si="136"/>
        <v>0</v>
      </c>
      <c r="AU82" s="49">
        <f t="shared" si="136"/>
        <v>0</v>
      </c>
      <c r="AV82" s="63">
        <f t="shared" si="175"/>
        <v>0</v>
      </c>
      <c r="AW82" s="208">
        <f t="shared" si="175"/>
        <v>0</v>
      </c>
      <c r="AX82" s="208">
        <f t="shared" si="175"/>
        <v>0</v>
      </c>
      <c r="AY82" s="208">
        <f t="shared" si="175"/>
        <v>0</v>
      </c>
      <c r="AZ82" s="208">
        <f t="shared" si="175"/>
        <v>0</v>
      </c>
      <c r="BA82" s="208">
        <f t="shared" si="175"/>
        <v>0</v>
      </c>
      <c r="BB82" s="208">
        <f t="shared" si="175"/>
        <v>0</v>
      </c>
      <c r="BC82" s="64">
        <f t="shared" si="175"/>
        <v>0</v>
      </c>
      <c r="BD82" s="63">
        <f t="shared" si="192"/>
        <v>0</v>
      </c>
      <c r="BE82" s="208">
        <f t="shared" si="192"/>
        <v>0</v>
      </c>
      <c r="BF82" s="208">
        <f t="shared" si="192"/>
        <v>0</v>
      </c>
      <c r="BG82" s="208">
        <f t="shared" si="192"/>
        <v>0</v>
      </c>
      <c r="BH82" s="208">
        <f t="shared" si="192"/>
        <v>0</v>
      </c>
      <c r="BI82" s="208">
        <f t="shared" si="137"/>
        <v>0</v>
      </c>
      <c r="BJ82" s="208">
        <f t="shared" si="137"/>
        <v>0</v>
      </c>
      <c r="BK82" s="64">
        <f t="shared" si="137"/>
        <v>0</v>
      </c>
      <c r="BL82" s="63">
        <f t="shared" si="181"/>
        <v>0</v>
      </c>
      <c r="BM82" s="208">
        <f t="shared" si="181"/>
        <v>0</v>
      </c>
      <c r="BN82" s="208">
        <f t="shared" si="181"/>
        <v>0</v>
      </c>
      <c r="BO82" s="208">
        <f t="shared" si="181"/>
        <v>0</v>
      </c>
      <c r="BP82" s="208">
        <f t="shared" si="181"/>
        <v>0</v>
      </c>
      <c r="BQ82" s="208">
        <f t="shared" si="138"/>
        <v>0</v>
      </c>
      <c r="BR82" s="208">
        <f t="shared" si="138"/>
        <v>0</v>
      </c>
      <c r="BS82" s="64">
        <f t="shared" si="138"/>
        <v>0</v>
      </c>
      <c r="BT82" s="63">
        <f t="shared" si="187"/>
        <v>0</v>
      </c>
      <c r="BU82" s="208">
        <f t="shared" si="187"/>
        <v>0</v>
      </c>
      <c r="BV82" s="208">
        <f t="shared" si="187"/>
        <v>0</v>
      </c>
      <c r="BW82" s="208">
        <f t="shared" si="187"/>
        <v>0</v>
      </c>
      <c r="BX82" s="208">
        <f t="shared" si="187"/>
        <v>0</v>
      </c>
      <c r="BY82" s="208">
        <f t="shared" si="139"/>
        <v>0</v>
      </c>
      <c r="BZ82" s="208">
        <f t="shared" si="139"/>
        <v>0</v>
      </c>
      <c r="CA82" s="64">
        <f t="shared" si="139"/>
        <v>0</v>
      </c>
      <c r="CB82" s="63">
        <f t="shared" si="176"/>
        <v>0</v>
      </c>
      <c r="CC82" s="208">
        <f t="shared" si="176"/>
        <v>0</v>
      </c>
      <c r="CD82" s="208">
        <f t="shared" si="176"/>
        <v>0</v>
      </c>
      <c r="CE82" s="208">
        <f t="shared" si="176"/>
        <v>0</v>
      </c>
      <c r="CF82" s="208">
        <f t="shared" si="176"/>
        <v>0</v>
      </c>
      <c r="CG82" s="208">
        <f t="shared" si="140"/>
        <v>0</v>
      </c>
      <c r="CH82" s="208">
        <f t="shared" si="140"/>
        <v>0</v>
      </c>
      <c r="CI82" s="64">
        <f t="shared" si="140"/>
        <v>0</v>
      </c>
      <c r="CJ82" s="63">
        <f t="shared" si="182"/>
        <v>0</v>
      </c>
      <c r="CK82" s="208">
        <f t="shared" si="182"/>
        <v>0</v>
      </c>
      <c r="CL82" s="208">
        <f t="shared" si="182"/>
        <v>0</v>
      </c>
      <c r="CM82" s="208">
        <f t="shared" si="182"/>
        <v>0</v>
      </c>
      <c r="CN82" s="208">
        <f t="shared" si="182"/>
        <v>0</v>
      </c>
      <c r="CO82" s="208">
        <f t="shared" si="141"/>
        <v>0</v>
      </c>
      <c r="CP82" s="208">
        <f t="shared" si="141"/>
        <v>0</v>
      </c>
      <c r="CQ82" s="64">
        <f t="shared" si="141"/>
        <v>0</v>
      </c>
      <c r="CR82" s="63">
        <f t="shared" si="183"/>
        <v>0</v>
      </c>
      <c r="CS82" s="208">
        <f t="shared" si="183"/>
        <v>0</v>
      </c>
      <c r="CT82" s="208">
        <f t="shared" si="183"/>
        <v>0</v>
      </c>
      <c r="CU82" s="208">
        <f t="shared" si="183"/>
        <v>0</v>
      </c>
      <c r="CV82" s="208">
        <f t="shared" si="183"/>
        <v>0</v>
      </c>
      <c r="CW82" s="208">
        <f t="shared" si="142"/>
        <v>0</v>
      </c>
      <c r="CX82" s="208">
        <f t="shared" si="142"/>
        <v>0</v>
      </c>
      <c r="CY82" s="64">
        <f t="shared" si="142"/>
        <v>0</v>
      </c>
      <c r="CZ82" s="278"/>
    </row>
    <row r="83" spans="1:104" ht="26.25" hidden="1" customHeight="1" outlineLevel="1" x14ac:dyDescent="0.4">
      <c r="A83" s="379">
        <v>39</v>
      </c>
      <c r="B83" s="379" t="s">
        <v>45</v>
      </c>
      <c r="C83" s="379" t="s">
        <v>346</v>
      </c>
      <c r="D83" s="381"/>
      <c r="E83" s="381"/>
      <c r="F83" s="381"/>
      <c r="G83" s="416"/>
      <c r="H83" s="489">
        <f t="shared" ref="H83" si="193">SUM(BT83:CA83)</f>
        <v>0</v>
      </c>
      <c r="I83" s="489">
        <f t="shared" ref="I83" si="194">SUM(BT84:CA84)</f>
        <v>0</v>
      </c>
      <c r="J83" s="497"/>
      <c r="K83" s="491"/>
      <c r="L83" s="491"/>
      <c r="M83" s="493"/>
      <c r="N83" s="48" t="s">
        <v>24</v>
      </c>
      <c r="O83" s="187">
        <f t="shared" si="133"/>
        <v>0</v>
      </c>
      <c r="P83" s="187">
        <f t="shared" si="133"/>
        <v>0</v>
      </c>
      <c r="Q83" s="187">
        <f t="shared" si="133"/>
        <v>0</v>
      </c>
      <c r="R83" s="187">
        <f t="shared" si="133"/>
        <v>0</v>
      </c>
      <c r="S83" s="187">
        <f t="shared" si="133"/>
        <v>0</v>
      </c>
      <c r="T83" s="187">
        <f t="shared" si="133"/>
        <v>0</v>
      </c>
      <c r="U83" s="82">
        <f t="shared" si="133"/>
        <v>0</v>
      </c>
      <c r="V83" s="19">
        <f t="shared" si="145"/>
        <v>0</v>
      </c>
      <c r="W83" s="187">
        <f t="shared" si="145"/>
        <v>0</v>
      </c>
      <c r="X83" s="187">
        <f t="shared" si="145"/>
        <v>0</v>
      </c>
      <c r="Y83" s="187">
        <f t="shared" si="145"/>
        <v>0</v>
      </c>
      <c r="Z83" s="187">
        <f t="shared" si="145"/>
        <v>0</v>
      </c>
      <c r="AA83" s="187">
        <f t="shared" si="190"/>
        <v>0</v>
      </c>
      <c r="AB83" s="19">
        <f t="shared" si="190"/>
        <v>0</v>
      </c>
      <c r="AC83" s="187">
        <f t="shared" si="190"/>
        <v>0</v>
      </c>
      <c r="AD83" s="249">
        <f t="shared" si="190"/>
        <v>0</v>
      </c>
      <c r="AE83" s="187">
        <f t="shared" si="190"/>
        <v>0</v>
      </c>
      <c r="AF83" s="187">
        <f t="shared" si="190"/>
        <v>0</v>
      </c>
      <c r="AG83" s="187">
        <f t="shared" si="190"/>
        <v>0</v>
      </c>
      <c r="AH83" s="19">
        <f t="shared" ref="AH83:AL106" si="195">0/150</f>
        <v>0</v>
      </c>
      <c r="AI83" s="187">
        <f t="shared" si="195"/>
        <v>0</v>
      </c>
      <c r="AJ83" s="187">
        <f t="shared" ref="AJ83:AK88" si="196">0/150</f>
        <v>0</v>
      </c>
      <c r="AK83" s="187">
        <f t="shared" si="196"/>
        <v>0</v>
      </c>
      <c r="AL83" s="187">
        <f t="shared" si="195"/>
        <v>0</v>
      </c>
      <c r="AM83" s="187">
        <f t="shared" ref="AM83:AM86" si="197">0/165</f>
        <v>0</v>
      </c>
      <c r="AN83" s="19">
        <f t="shared" si="191"/>
        <v>0</v>
      </c>
      <c r="AO83" s="187">
        <f t="shared" si="191"/>
        <v>0</v>
      </c>
      <c r="AP83" s="187">
        <f t="shared" si="191"/>
        <v>0</v>
      </c>
      <c r="AQ83" s="187">
        <f t="shared" si="191"/>
        <v>0</v>
      </c>
      <c r="AR83" s="187">
        <f t="shared" si="191"/>
        <v>0</v>
      </c>
      <c r="AS83" s="187">
        <f t="shared" si="136"/>
        <v>0</v>
      </c>
      <c r="AT83" s="187">
        <f t="shared" si="136"/>
        <v>0</v>
      </c>
      <c r="AU83" s="187">
        <f t="shared" si="136"/>
        <v>0</v>
      </c>
      <c r="AV83" s="73">
        <f t="shared" si="175"/>
        <v>0</v>
      </c>
      <c r="AW83" s="187">
        <f t="shared" si="175"/>
        <v>0</v>
      </c>
      <c r="AX83" s="187">
        <f t="shared" si="175"/>
        <v>0</v>
      </c>
      <c r="AY83" s="187">
        <f t="shared" si="175"/>
        <v>0</v>
      </c>
      <c r="AZ83" s="187">
        <f t="shared" si="175"/>
        <v>0</v>
      </c>
      <c r="BA83" s="187">
        <f t="shared" si="175"/>
        <v>0</v>
      </c>
      <c r="BB83" s="187">
        <f t="shared" si="175"/>
        <v>0</v>
      </c>
      <c r="BC83" s="187">
        <f t="shared" si="175"/>
        <v>0</v>
      </c>
      <c r="BD83" s="19">
        <f t="shared" si="192"/>
        <v>0</v>
      </c>
      <c r="BE83" s="187">
        <f t="shared" si="192"/>
        <v>0</v>
      </c>
      <c r="BF83" s="187">
        <f t="shared" si="192"/>
        <v>0</v>
      </c>
      <c r="BG83" s="187">
        <f t="shared" si="192"/>
        <v>0</v>
      </c>
      <c r="BH83" s="187">
        <f t="shared" si="192"/>
        <v>0</v>
      </c>
      <c r="BI83" s="187">
        <f t="shared" si="137"/>
        <v>0</v>
      </c>
      <c r="BJ83" s="187">
        <f t="shared" si="137"/>
        <v>0</v>
      </c>
      <c r="BK83" s="187">
        <f t="shared" si="137"/>
        <v>0</v>
      </c>
      <c r="BL83" s="223">
        <f t="shared" si="181"/>
        <v>0</v>
      </c>
      <c r="BM83" s="249">
        <f t="shared" si="181"/>
        <v>0</v>
      </c>
      <c r="BN83" s="249">
        <f t="shared" si="181"/>
        <v>0</v>
      </c>
      <c r="BO83" s="249">
        <f t="shared" si="181"/>
        <v>0</v>
      </c>
      <c r="BP83" s="249">
        <f t="shared" si="181"/>
        <v>0</v>
      </c>
      <c r="BQ83" s="187">
        <f t="shared" si="138"/>
        <v>0</v>
      </c>
      <c r="BR83" s="187">
        <f t="shared" si="138"/>
        <v>0</v>
      </c>
      <c r="BS83" s="187">
        <f t="shared" si="138"/>
        <v>0</v>
      </c>
      <c r="BT83" s="73">
        <f t="shared" si="187"/>
        <v>0</v>
      </c>
      <c r="BU83" s="187">
        <f t="shared" si="187"/>
        <v>0</v>
      </c>
      <c r="BV83" s="187">
        <f t="shared" si="187"/>
        <v>0</v>
      </c>
      <c r="BW83" s="187">
        <f t="shared" si="187"/>
        <v>0</v>
      </c>
      <c r="BX83" s="187">
        <f t="shared" si="187"/>
        <v>0</v>
      </c>
      <c r="BY83" s="187">
        <f t="shared" si="139"/>
        <v>0</v>
      </c>
      <c r="BZ83" s="187">
        <f t="shared" si="139"/>
        <v>0</v>
      </c>
      <c r="CA83" s="187">
        <f t="shared" si="139"/>
        <v>0</v>
      </c>
      <c r="CB83" s="73">
        <f t="shared" si="176"/>
        <v>0</v>
      </c>
      <c r="CC83" s="187">
        <f t="shared" si="176"/>
        <v>0</v>
      </c>
      <c r="CD83" s="187">
        <f t="shared" si="176"/>
        <v>0</v>
      </c>
      <c r="CE83" s="187">
        <f t="shared" si="176"/>
        <v>0</v>
      </c>
      <c r="CF83" s="187">
        <f t="shared" si="176"/>
        <v>0</v>
      </c>
      <c r="CG83" s="187">
        <f t="shared" si="140"/>
        <v>0</v>
      </c>
      <c r="CH83" s="187">
        <f t="shared" si="140"/>
        <v>0</v>
      </c>
      <c r="CI83" s="187">
        <f t="shared" si="140"/>
        <v>0</v>
      </c>
      <c r="CJ83" s="73">
        <f t="shared" si="182"/>
        <v>0</v>
      </c>
      <c r="CK83" s="187">
        <f t="shared" si="182"/>
        <v>0</v>
      </c>
      <c r="CL83" s="187">
        <f t="shared" si="182"/>
        <v>0</v>
      </c>
      <c r="CM83" s="187">
        <f t="shared" si="182"/>
        <v>0</v>
      </c>
      <c r="CN83" s="187">
        <f t="shared" si="182"/>
        <v>0</v>
      </c>
      <c r="CO83" s="187">
        <f t="shared" si="141"/>
        <v>0</v>
      </c>
      <c r="CP83" s="187">
        <f t="shared" si="141"/>
        <v>0</v>
      </c>
      <c r="CQ83" s="187">
        <f t="shared" si="141"/>
        <v>0</v>
      </c>
      <c r="CR83" s="73">
        <f t="shared" si="183"/>
        <v>0</v>
      </c>
      <c r="CS83" s="187">
        <f t="shared" si="183"/>
        <v>0</v>
      </c>
      <c r="CT83" s="187">
        <f t="shared" si="183"/>
        <v>0</v>
      </c>
      <c r="CU83" s="187">
        <f t="shared" si="183"/>
        <v>0</v>
      </c>
      <c r="CV83" s="187">
        <f t="shared" si="183"/>
        <v>0</v>
      </c>
      <c r="CW83" s="187">
        <f t="shared" si="142"/>
        <v>0</v>
      </c>
      <c r="CX83" s="187">
        <f t="shared" si="142"/>
        <v>0</v>
      </c>
      <c r="CY83" s="187">
        <f t="shared" si="142"/>
        <v>0</v>
      </c>
      <c r="CZ83" s="199"/>
    </row>
    <row r="84" spans="1:104" ht="26.25" hidden="1" customHeight="1" outlineLevel="1" x14ac:dyDescent="0.4">
      <c r="A84" s="380"/>
      <c r="B84" s="380"/>
      <c r="C84" s="380"/>
      <c r="D84" s="382"/>
      <c r="E84" s="382"/>
      <c r="F84" s="382"/>
      <c r="G84" s="416"/>
      <c r="H84" s="490"/>
      <c r="I84" s="490"/>
      <c r="J84" s="498"/>
      <c r="K84" s="492"/>
      <c r="L84" s="492"/>
      <c r="M84" s="494"/>
      <c r="N84" s="39" t="s">
        <v>25</v>
      </c>
      <c r="O84" s="207">
        <f t="shared" si="133"/>
        <v>0</v>
      </c>
      <c r="P84" s="207">
        <f t="shared" si="133"/>
        <v>0</v>
      </c>
      <c r="Q84" s="207">
        <f t="shared" si="133"/>
        <v>0</v>
      </c>
      <c r="R84" s="207">
        <f t="shared" si="133"/>
        <v>0</v>
      </c>
      <c r="S84" s="207">
        <f t="shared" si="133"/>
        <v>0</v>
      </c>
      <c r="T84" s="207">
        <f t="shared" si="133"/>
        <v>0</v>
      </c>
      <c r="U84" s="49">
        <f t="shared" si="133"/>
        <v>0</v>
      </c>
      <c r="V84" s="57">
        <f t="shared" si="145"/>
        <v>0</v>
      </c>
      <c r="W84" s="18">
        <f t="shared" si="145"/>
        <v>0</v>
      </c>
      <c r="X84" s="18">
        <f t="shared" si="145"/>
        <v>0</v>
      </c>
      <c r="Y84" s="18">
        <f t="shared" si="145"/>
        <v>0</v>
      </c>
      <c r="Z84" s="18">
        <f t="shared" si="145"/>
        <v>0</v>
      </c>
      <c r="AA84" s="18">
        <f t="shared" si="190"/>
        <v>0</v>
      </c>
      <c r="AB84" s="42">
        <f t="shared" si="190"/>
        <v>0</v>
      </c>
      <c r="AC84" s="52">
        <f t="shared" si="190"/>
        <v>0</v>
      </c>
      <c r="AD84" s="207">
        <f t="shared" si="190"/>
        <v>0</v>
      </c>
      <c r="AE84" s="207">
        <f t="shared" si="190"/>
        <v>0</v>
      </c>
      <c r="AF84" s="207">
        <f t="shared" si="190"/>
        <v>0</v>
      </c>
      <c r="AG84" s="18">
        <f t="shared" si="190"/>
        <v>0</v>
      </c>
      <c r="AH84" s="51">
        <f t="shared" si="195"/>
        <v>0</v>
      </c>
      <c r="AI84" s="52">
        <f t="shared" si="195"/>
        <v>0</v>
      </c>
      <c r="AJ84" s="52">
        <f t="shared" si="196"/>
        <v>0</v>
      </c>
      <c r="AK84" s="52">
        <f t="shared" si="196"/>
        <v>0</v>
      </c>
      <c r="AL84" s="52">
        <f t="shared" si="195"/>
        <v>0</v>
      </c>
      <c r="AM84" s="18">
        <f t="shared" si="197"/>
        <v>0</v>
      </c>
      <c r="AN84" s="42">
        <f t="shared" si="191"/>
        <v>0</v>
      </c>
      <c r="AO84" s="207">
        <f t="shared" si="191"/>
        <v>0</v>
      </c>
      <c r="AP84" s="207">
        <f t="shared" si="191"/>
        <v>0</v>
      </c>
      <c r="AQ84" s="207">
        <f t="shared" si="191"/>
        <v>0</v>
      </c>
      <c r="AR84" s="207">
        <f t="shared" si="191"/>
        <v>0</v>
      </c>
      <c r="AS84" s="207">
        <f t="shared" si="136"/>
        <v>0</v>
      </c>
      <c r="AT84" s="207">
        <f t="shared" si="136"/>
        <v>0</v>
      </c>
      <c r="AU84" s="18">
        <f t="shared" si="136"/>
        <v>0</v>
      </c>
      <c r="AV84" s="42">
        <f t="shared" si="175"/>
        <v>0</v>
      </c>
      <c r="AW84" s="207">
        <f t="shared" si="175"/>
        <v>0</v>
      </c>
      <c r="AX84" s="207">
        <f t="shared" si="175"/>
        <v>0</v>
      </c>
      <c r="AY84" s="207">
        <f t="shared" si="175"/>
        <v>0</v>
      </c>
      <c r="AZ84" s="207">
        <f t="shared" si="175"/>
        <v>0</v>
      </c>
      <c r="BA84" s="207">
        <f t="shared" si="175"/>
        <v>0</v>
      </c>
      <c r="BB84" s="207">
        <f t="shared" si="175"/>
        <v>0</v>
      </c>
      <c r="BC84" s="18">
        <f t="shared" si="175"/>
        <v>0</v>
      </c>
      <c r="BD84" s="42">
        <f t="shared" si="192"/>
        <v>0</v>
      </c>
      <c r="BE84" s="207">
        <f t="shared" si="192"/>
        <v>0</v>
      </c>
      <c r="BF84" s="207">
        <f t="shared" si="192"/>
        <v>0</v>
      </c>
      <c r="BG84" s="207">
        <f t="shared" si="192"/>
        <v>0</v>
      </c>
      <c r="BH84" s="207">
        <f t="shared" si="192"/>
        <v>0</v>
      </c>
      <c r="BI84" s="207">
        <f t="shared" si="137"/>
        <v>0</v>
      </c>
      <c r="BJ84" s="207">
        <f t="shared" si="137"/>
        <v>0</v>
      </c>
      <c r="BK84" s="18">
        <f t="shared" si="137"/>
        <v>0</v>
      </c>
      <c r="BL84" s="20">
        <f t="shared" si="181"/>
        <v>0</v>
      </c>
      <c r="BM84" s="207">
        <f t="shared" si="181"/>
        <v>0</v>
      </c>
      <c r="BN84" s="207">
        <f t="shared" si="181"/>
        <v>0</v>
      </c>
      <c r="BO84" s="207">
        <f t="shared" si="181"/>
        <v>0</v>
      </c>
      <c r="BP84" s="207">
        <f t="shared" si="181"/>
        <v>0</v>
      </c>
      <c r="BQ84" s="207">
        <f t="shared" si="138"/>
        <v>0</v>
      </c>
      <c r="BR84" s="207">
        <f t="shared" si="138"/>
        <v>0</v>
      </c>
      <c r="BS84" s="18">
        <f t="shared" si="138"/>
        <v>0</v>
      </c>
      <c r="BT84" s="224">
        <f t="shared" si="187"/>
        <v>0</v>
      </c>
      <c r="BU84" s="207">
        <f t="shared" si="187"/>
        <v>0</v>
      </c>
      <c r="BV84" s="207">
        <f t="shared" si="187"/>
        <v>0</v>
      </c>
      <c r="BW84" s="207">
        <f t="shared" si="187"/>
        <v>0</v>
      </c>
      <c r="BX84" s="207">
        <f t="shared" si="187"/>
        <v>0</v>
      </c>
      <c r="BY84" s="207">
        <f t="shared" si="139"/>
        <v>0</v>
      </c>
      <c r="BZ84" s="207">
        <f t="shared" si="139"/>
        <v>0</v>
      </c>
      <c r="CA84" s="18">
        <f t="shared" si="139"/>
        <v>0</v>
      </c>
      <c r="CB84" s="224">
        <f t="shared" si="176"/>
        <v>0</v>
      </c>
      <c r="CC84" s="250">
        <f t="shared" si="176"/>
        <v>0</v>
      </c>
      <c r="CD84" s="250">
        <f t="shared" si="176"/>
        <v>0</v>
      </c>
      <c r="CE84" s="250">
        <f t="shared" si="176"/>
        <v>0</v>
      </c>
      <c r="CF84" s="250">
        <f t="shared" si="176"/>
        <v>0</v>
      </c>
      <c r="CG84" s="207">
        <f t="shared" si="140"/>
        <v>0</v>
      </c>
      <c r="CH84" s="207">
        <f t="shared" si="140"/>
        <v>0</v>
      </c>
      <c r="CI84" s="18">
        <f t="shared" si="140"/>
        <v>0</v>
      </c>
      <c r="CJ84" s="224">
        <f t="shared" si="182"/>
        <v>0</v>
      </c>
      <c r="CK84" s="207">
        <f t="shared" si="182"/>
        <v>0</v>
      </c>
      <c r="CL84" s="207">
        <f t="shared" si="182"/>
        <v>0</v>
      </c>
      <c r="CM84" s="207">
        <f t="shared" si="182"/>
        <v>0</v>
      </c>
      <c r="CN84" s="207">
        <f t="shared" si="182"/>
        <v>0</v>
      </c>
      <c r="CO84" s="207">
        <f t="shared" si="141"/>
        <v>0</v>
      </c>
      <c r="CP84" s="207">
        <f t="shared" si="141"/>
        <v>0</v>
      </c>
      <c r="CQ84" s="18">
        <f t="shared" si="141"/>
        <v>0</v>
      </c>
      <c r="CR84" s="42">
        <f t="shared" si="183"/>
        <v>0</v>
      </c>
      <c r="CS84" s="207">
        <f t="shared" si="183"/>
        <v>0</v>
      </c>
      <c r="CT84" s="207">
        <f t="shared" si="183"/>
        <v>0</v>
      </c>
      <c r="CU84" s="207">
        <f t="shared" si="183"/>
        <v>0</v>
      </c>
      <c r="CV84" s="207">
        <f t="shared" si="183"/>
        <v>0</v>
      </c>
      <c r="CW84" s="207">
        <f t="shared" si="142"/>
        <v>0</v>
      </c>
      <c r="CX84" s="207">
        <f t="shared" si="142"/>
        <v>0</v>
      </c>
      <c r="CY84" s="207">
        <f t="shared" si="142"/>
        <v>0</v>
      </c>
      <c r="CZ84" s="199"/>
    </row>
    <row r="85" spans="1:104" ht="26.25" hidden="1" customHeight="1" outlineLevel="1" x14ac:dyDescent="0.4">
      <c r="A85" s="379">
        <v>40</v>
      </c>
      <c r="B85" s="379" t="s">
        <v>45</v>
      </c>
      <c r="C85" s="379" t="s">
        <v>346</v>
      </c>
      <c r="D85" s="381"/>
      <c r="E85" s="381"/>
      <c r="F85" s="381"/>
      <c r="G85" s="416"/>
      <c r="H85" s="489">
        <f t="shared" ref="H85" si="198">SUM(BT85:CA85)</f>
        <v>0</v>
      </c>
      <c r="I85" s="489">
        <f t="shared" ref="I85" si="199">SUM(BT86:CA86)</f>
        <v>0</v>
      </c>
      <c r="J85" s="497"/>
      <c r="K85" s="491"/>
      <c r="L85" s="491"/>
      <c r="M85" s="493"/>
      <c r="N85" s="48" t="s">
        <v>24</v>
      </c>
      <c r="O85" s="187">
        <f t="shared" si="133"/>
        <v>0</v>
      </c>
      <c r="P85" s="187">
        <f t="shared" si="133"/>
        <v>0</v>
      </c>
      <c r="Q85" s="187">
        <f t="shared" si="133"/>
        <v>0</v>
      </c>
      <c r="R85" s="187">
        <f t="shared" si="133"/>
        <v>0</v>
      </c>
      <c r="S85" s="187">
        <f t="shared" si="133"/>
        <v>0</v>
      </c>
      <c r="T85" s="187">
        <f t="shared" si="133"/>
        <v>0</v>
      </c>
      <c r="U85" s="82">
        <f t="shared" si="133"/>
        <v>0</v>
      </c>
      <c r="V85" s="19">
        <f t="shared" si="145"/>
        <v>0</v>
      </c>
      <c r="W85" s="187">
        <f t="shared" si="145"/>
        <v>0</v>
      </c>
      <c r="X85" s="187">
        <f t="shared" si="145"/>
        <v>0</v>
      </c>
      <c r="Y85" s="187">
        <f t="shared" si="145"/>
        <v>0</v>
      </c>
      <c r="Z85" s="187">
        <f t="shared" si="145"/>
        <v>0</v>
      </c>
      <c r="AA85" s="187">
        <f t="shared" si="190"/>
        <v>0</v>
      </c>
      <c r="AB85" s="19">
        <f t="shared" si="190"/>
        <v>0</v>
      </c>
      <c r="AC85" s="187">
        <f t="shared" si="190"/>
        <v>0</v>
      </c>
      <c r="AD85" s="249">
        <f t="shared" si="190"/>
        <v>0</v>
      </c>
      <c r="AE85" s="187">
        <f t="shared" si="190"/>
        <v>0</v>
      </c>
      <c r="AF85" s="187">
        <f t="shared" si="190"/>
        <v>0</v>
      </c>
      <c r="AG85" s="187">
        <f t="shared" si="190"/>
        <v>0</v>
      </c>
      <c r="AH85" s="19">
        <f t="shared" si="195"/>
        <v>0</v>
      </c>
      <c r="AI85" s="187">
        <f t="shared" si="195"/>
        <v>0</v>
      </c>
      <c r="AJ85" s="187">
        <f t="shared" si="196"/>
        <v>0</v>
      </c>
      <c r="AK85" s="187">
        <f t="shared" si="196"/>
        <v>0</v>
      </c>
      <c r="AL85" s="187">
        <f t="shared" si="195"/>
        <v>0</v>
      </c>
      <c r="AM85" s="187">
        <f t="shared" si="197"/>
        <v>0</v>
      </c>
      <c r="AN85" s="19">
        <f t="shared" si="191"/>
        <v>0</v>
      </c>
      <c r="AO85" s="187">
        <f t="shared" si="191"/>
        <v>0</v>
      </c>
      <c r="AP85" s="187">
        <f t="shared" si="191"/>
        <v>0</v>
      </c>
      <c r="AQ85" s="187">
        <f t="shared" si="191"/>
        <v>0</v>
      </c>
      <c r="AR85" s="187">
        <f t="shared" si="191"/>
        <v>0</v>
      </c>
      <c r="AS85" s="187">
        <f t="shared" si="136"/>
        <v>0</v>
      </c>
      <c r="AT85" s="187">
        <f t="shared" si="136"/>
        <v>0</v>
      </c>
      <c r="AU85" s="187">
        <f t="shared" si="136"/>
        <v>0</v>
      </c>
      <c r="AV85" s="73">
        <f t="shared" si="175"/>
        <v>0</v>
      </c>
      <c r="AW85" s="187">
        <f t="shared" si="175"/>
        <v>0</v>
      </c>
      <c r="AX85" s="187">
        <f t="shared" si="175"/>
        <v>0</v>
      </c>
      <c r="AY85" s="187">
        <f t="shared" si="175"/>
        <v>0</v>
      </c>
      <c r="AZ85" s="187">
        <f t="shared" si="175"/>
        <v>0</v>
      </c>
      <c r="BA85" s="187">
        <f t="shared" si="175"/>
        <v>0</v>
      </c>
      <c r="BB85" s="187">
        <f t="shared" si="175"/>
        <v>0</v>
      </c>
      <c r="BC85" s="187">
        <f t="shared" si="175"/>
        <v>0</v>
      </c>
      <c r="BD85" s="19">
        <f t="shared" si="192"/>
        <v>0</v>
      </c>
      <c r="BE85" s="187">
        <f t="shared" si="192"/>
        <v>0</v>
      </c>
      <c r="BF85" s="187">
        <f t="shared" si="192"/>
        <v>0</v>
      </c>
      <c r="BG85" s="187">
        <f t="shared" si="192"/>
        <v>0</v>
      </c>
      <c r="BH85" s="187">
        <f t="shared" si="192"/>
        <v>0</v>
      </c>
      <c r="BI85" s="187">
        <f t="shared" si="137"/>
        <v>0</v>
      </c>
      <c r="BJ85" s="187">
        <f t="shared" si="137"/>
        <v>0</v>
      </c>
      <c r="BK85" s="187">
        <f t="shared" si="137"/>
        <v>0</v>
      </c>
      <c r="BL85" s="223">
        <f t="shared" si="181"/>
        <v>0</v>
      </c>
      <c r="BM85" s="249">
        <f t="shared" si="181"/>
        <v>0</v>
      </c>
      <c r="BN85" s="249">
        <f t="shared" si="181"/>
        <v>0</v>
      </c>
      <c r="BO85" s="249">
        <f t="shared" si="181"/>
        <v>0</v>
      </c>
      <c r="BP85" s="249">
        <f t="shared" si="181"/>
        <v>0</v>
      </c>
      <c r="BQ85" s="187">
        <f t="shared" si="138"/>
        <v>0</v>
      </c>
      <c r="BR85" s="187">
        <f t="shared" si="138"/>
        <v>0</v>
      </c>
      <c r="BS85" s="187">
        <f t="shared" si="138"/>
        <v>0</v>
      </c>
      <c r="BT85" s="73">
        <f t="shared" si="187"/>
        <v>0</v>
      </c>
      <c r="BU85" s="187">
        <f t="shared" si="187"/>
        <v>0</v>
      </c>
      <c r="BV85" s="187">
        <f t="shared" si="187"/>
        <v>0</v>
      </c>
      <c r="BW85" s="187">
        <f t="shared" si="187"/>
        <v>0</v>
      </c>
      <c r="BX85" s="187">
        <f t="shared" si="187"/>
        <v>0</v>
      </c>
      <c r="BY85" s="187">
        <f t="shared" si="139"/>
        <v>0</v>
      </c>
      <c r="BZ85" s="187">
        <f t="shared" si="139"/>
        <v>0</v>
      </c>
      <c r="CA85" s="187">
        <f t="shared" si="139"/>
        <v>0</v>
      </c>
      <c r="CB85" s="73">
        <f t="shared" si="176"/>
        <v>0</v>
      </c>
      <c r="CC85" s="187">
        <f t="shared" si="176"/>
        <v>0</v>
      </c>
      <c r="CD85" s="187">
        <f t="shared" si="176"/>
        <v>0</v>
      </c>
      <c r="CE85" s="187">
        <f t="shared" si="176"/>
        <v>0</v>
      </c>
      <c r="CF85" s="187">
        <f t="shared" si="176"/>
        <v>0</v>
      </c>
      <c r="CG85" s="187">
        <f t="shared" si="140"/>
        <v>0</v>
      </c>
      <c r="CH85" s="187">
        <f t="shared" si="140"/>
        <v>0</v>
      </c>
      <c r="CI85" s="187">
        <f t="shared" si="140"/>
        <v>0</v>
      </c>
      <c r="CJ85" s="73">
        <f t="shared" si="182"/>
        <v>0</v>
      </c>
      <c r="CK85" s="187">
        <f t="shared" si="182"/>
        <v>0</v>
      </c>
      <c r="CL85" s="187">
        <f t="shared" si="182"/>
        <v>0</v>
      </c>
      <c r="CM85" s="187">
        <f t="shared" si="182"/>
        <v>0</v>
      </c>
      <c r="CN85" s="187">
        <f t="shared" si="182"/>
        <v>0</v>
      </c>
      <c r="CO85" s="187">
        <f t="shared" si="141"/>
        <v>0</v>
      </c>
      <c r="CP85" s="187">
        <f t="shared" si="141"/>
        <v>0</v>
      </c>
      <c r="CQ85" s="187">
        <f t="shared" si="141"/>
        <v>0</v>
      </c>
      <c r="CR85" s="73">
        <f t="shared" si="183"/>
        <v>0</v>
      </c>
      <c r="CS85" s="187">
        <f t="shared" si="183"/>
        <v>0</v>
      </c>
      <c r="CT85" s="187">
        <f t="shared" si="183"/>
        <v>0</v>
      </c>
      <c r="CU85" s="187">
        <f t="shared" si="183"/>
        <v>0</v>
      </c>
      <c r="CV85" s="187">
        <f t="shared" si="183"/>
        <v>0</v>
      </c>
      <c r="CW85" s="187">
        <f t="shared" si="142"/>
        <v>0</v>
      </c>
      <c r="CX85" s="187">
        <f t="shared" si="142"/>
        <v>0</v>
      </c>
      <c r="CY85" s="187">
        <f t="shared" si="142"/>
        <v>0</v>
      </c>
      <c r="CZ85" s="199"/>
    </row>
    <row r="86" spans="1:104" ht="26.25" hidden="1" customHeight="1" outlineLevel="1" x14ac:dyDescent="0.4">
      <c r="A86" s="380"/>
      <c r="B86" s="380"/>
      <c r="C86" s="380"/>
      <c r="D86" s="382"/>
      <c r="E86" s="382"/>
      <c r="F86" s="382"/>
      <c r="G86" s="416"/>
      <c r="H86" s="490"/>
      <c r="I86" s="490"/>
      <c r="J86" s="498"/>
      <c r="K86" s="492"/>
      <c r="L86" s="492"/>
      <c r="M86" s="494"/>
      <c r="N86" s="39" t="s">
        <v>25</v>
      </c>
      <c r="O86" s="207">
        <f t="shared" si="133"/>
        <v>0</v>
      </c>
      <c r="P86" s="207">
        <f t="shared" si="133"/>
        <v>0</v>
      </c>
      <c r="Q86" s="207">
        <f t="shared" si="133"/>
        <v>0</v>
      </c>
      <c r="R86" s="207">
        <f t="shared" si="133"/>
        <v>0</v>
      </c>
      <c r="S86" s="207">
        <f t="shared" si="133"/>
        <v>0</v>
      </c>
      <c r="T86" s="207">
        <f t="shared" si="133"/>
        <v>0</v>
      </c>
      <c r="U86" s="49">
        <f t="shared" ref="O86:U106" si="200">0/127.5</f>
        <v>0</v>
      </c>
      <c r="V86" s="57">
        <f t="shared" si="145"/>
        <v>0</v>
      </c>
      <c r="W86" s="18">
        <f t="shared" si="145"/>
        <v>0</v>
      </c>
      <c r="X86" s="18">
        <f t="shared" si="145"/>
        <v>0</v>
      </c>
      <c r="Y86" s="18">
        <f t="shared" si="145"/>
        <v>0</v>
      </c>
      <c r="Z86" s="18">
        <f t="shared" si="145"/>
        <v>0</v>
      </c>
      <c r="AA86" s="18">
        <f t="shared" si="190"/>
        <v>0</v>
      </c>
      <c r="AB86" s="42">
        <f t="shared" si="190"/>
        <v>0</v>
      </c>
      <c r="AC86" s="52">
        <f t="shared" si="190"/>
        <v>0</v>
      </c>
      <c r="AD86" s="207">
        <f t="shared" si="190"/>
        <v>0</v>
      </c>
      <c r="AE86" s="207">
        <f t="shared" si="190"/>
        <v>0</v>
      </c>
      <c r="AF86" s="207">
        <f t="shared" si="190"/>
        <v>0</v>
      </c>
      <c r="AG86" s="18">
        <f t="shared" si="190"/>
        <v>0</v>
      </c>
      <c r="AH86" s="51">
        <f t="shared" si="195"/>
        <v>0</v>
      </c>
      <c r="AI86" s="52">
        <f t="shared" si="195"/>
        <v>0</v>
      </c>
      <c r="AJ86" s="52">
        <f t="shared" si="196"/>
        <v>0</v>
      </c>
      <c r="AK86" s="52">
        <f t="shared" si="196"/>
        <v>0</v>
      </c>
      <c r="AL86" s="52">
        <f t="shared" si="195"/>
        <v>0</v>
      </c>
      <c r="AM86" s="18">
        <f t="shared" si="197"/>
        <v>0</v>
      </c>
      <c r="AN86" s="42">
        <f t="shared" si="191"/>
        <v>0</v>
      </c>
      <c r="AO86" s="207">
        <f t="shared" si="191"/>
        <v>0</v>
      </c>
      <c r="AP86" s="207">
        <f t="shared" si="191"/>
        <v>0</v>
      </c>
      <c r="AQ86" s="207">
        <f t="shared" si="191"/>
        <v>0</v>
      </c>
      <c r="AR86" s="207">
        <f t="shared" si="191"/>
        <v>0</v>
      </c>
      <c r="AS86" s="207">
        <f t="shared" si="136"/>
        <v>0</v>
      </c>
      <c r="AT86" s="207">
        <f t="shared" si="136"/>
        <v>0</v>
      </c>
      <c r="AU86" s="18">
        <f t="shared" si="136"/>
        <v>0</v>
      </c>
      <c r="AV86" s="42">
        <f t="shared" si="175"/>
        <v>0</v>
      </c>
      <c r="AW86" s="207">
        <f t="shared" si="175"/>
        <v>0</v>
      </c>
      <c r="AX86" s="207">
        <f t="shared" si="175"/>
        <v>0</v>
      </c>
      <c r="AY86" s="207">
        <f t="shared" si="175"/>
        <v>0</v>
      </c>
      <c r="AZ86" s="207">
        <f t="shared" si="175"/>
        <v>0</v>
      </c>
      <c r="BA86" s="207">
        <f t="shared" si="175"/>
        <v>0</v>
      </c>
      <c r="BB86" s="207">
        <f t="shared" si="175"/>
        <v>0</v>
      </c>
      <c r="BC86" s="18">
        <f t="shared" si="175"/>
        <v>0</v>
      </c>
      <c r="BD86" s="42">
        <f t="shared" si="192"/>
        <v>0</v>
      </c>
      <c r="BE86" s="207">
        <f t="shared" si="192"/>
        <v>0</v>
      </c>
      <c r="BF86" s="207">
        <f t="shared" si="192"/>
        <v>0</v>
      </c>
      <c r="BG86" s="207">
        <f t="shared" si="192"/>
        <v>0</v>
      </c>
      <c r="BH86" s="207">
        <f t="shared" si="192"/>
        <v>0</v>
      </c>
      <c r="BI86" s="207">
        <f t="shared" si="137"/>
        <v>0</v>
      </c>
      <c r="BJ86" s="207">
        <f t="shared" si="137"/>
        <v>0</v>
      </c>
      <c r="BK86" s="18">
        <f t="shared" si="137"/>
        <v>0</v>
      </c>
      <c r="BL86" s="20">
        <f t="shared" si="181"/>
        <v>0</v>
      </c>
      <c r="BM86" s="207">
        <f t="shared" si="181"/>
        <v>0</v>
      </c>
      <c r="BN86" s="207">
        <f t="shared" si="181"/>
        <v>0</v>
      </c>
      <c r="BO86" s="207">
        <f t="shared" si="181"/>
        <v>0</v>
      </c>
      <c r="BP86" s="207">
        <f t="shared" si="181"/>
        <v>0</v>
      </c>
      <c r="BQ86" s="207">
        <f t="shared" si="138"/>
        <v>0</v>
      </c>
      <c r="BR86" s="207">
        <f t="shared" si="138"/>
        <v>0</v>
      </c>
      <c r="BS86" s="18">
        <f t="shared" si="138"/>
        <v>0</v>
      </c>
      <c r="BT86" s="224">
        <f t="shared" si="187"/>
        <v>0</v>
      </c>
      <c r="BU86" s="207">
        <f t="shared" si="187"/>
        <v>0</v>
      </c>
      <c r="BV86" s="207">
        <f t="shared" si="187"/>
        <v>0</v>
      </c>
      <c r="BW86" s="207">
        <f t="shared" si="187"/>
        <v>0</v>
      </c>
      <c r="BX86" s="207">
        <f t="shared" si="187"/>
        <v>0</v>
      </c>
      <c r="BY86" s="207">
        <f t="shared" si="139"/>
        <v>0</v>
      </c>
      <c r="BZ86" s="207">
        <f t="shared" si="139"/>
        <v>0</v>
      </c>
      <c r="CA86" s="18">
        <f t="shared" si="139"/>
        <v>0</v>
      </c>
      <c r="CB86" s="224">
        <f t="shared" si="176"/>
        <v>0</v>
      </c>
      <c r="CC86" s="250">
        <f t="shared" si="176"/>
        <v>0</v>
      </c>
      <c r="CD86" s="250">
        <f t="shared" si="176"/>
        <v>0</v>
      </c>
      <c r="CE86" s="250">
        <f t="shared" si="176"/>
        <v>0</v>
      </c>
      <c r="CF86" s="250">
        <f t="shared" si="176"/>
        <v>0</v>
      </c>
      <c r="CG86" s="207">
        <f t="shared" si="140"/>
        <v>0</v>
      </c>
      <c r="CH86" s="207">
        <f t="shared" si="140"/>
        <v>0</v>
      </c>
      <c r="CI86" s="18">
        <f t="shared" si="140"/>
        <v>0</v>
      </c>
      <c r="CJ86" s="224">
        <f t="shared" si="182"/>
        <v>0</v>
      </c>
      <c r="CK86" s="207">
        <f t="shared" si="182"/>
        <v>0</v>
      </c>
      <c r="CL86" s="207">
        <f t="shared" si="182"/>
        <v>0</v>
      </c>
      <c r="CM86" s="207">
        <f t="shared" si="182"/>
        <v>0</v>
      </c>
      <c r="CN86" s="207">
        <f t="shared" si="182"/>
        <v>0</v>
      </c>
      <c r="CO86" s="207">
        <f t="shared" si="141"/>
        <v>0</v>
      </c>
      <c r="CP86" s="207">
        <f t="shared" si="141"/>
        <v>0</v>
      </c>
      <c r="CQ86" s="18">
        <f t="shared" si="141"/>
        <v>0</v>
      </c>
      <c r="CR86" s="42">
        <f t="shared" si="183"/>
        <v>0</v>
      </c>
      <c r="CS86" s="207">
        <f t="shared" si="183"/>
        <v>0</v>
      </c>
      <c r="CT86" s="207">
        <f t="shared" si="183"/>
        <v>0</v>
      </c>
      <c r="CU86" s="207">
        <f t="shared" si="183"/>
        <v>0</v>
      </c>
      <c r="CV86" s="207">
        <f t="shared" si="183"/>
        <v>0</v>
      </c>
      <c r="CW86" s="207">
        <f t="shared" si="142"/>
        <v>0</v>
      </c>
      <c r="CX86" s="207">
        <f t="shared" si="142"/>
        <v>0</v>
      </c>
      <c r="CY86" s="207">
        <f t="shared" si="142"/>
        <v>0</v>
      </c>
      <c r="CZ86" s="199"/>
    </row>
    <row r="87" spans="1:104" ht="26.25" hidden="1" customHeight="1" outlineLevel="1" collapsed="1" x14ac:dyDescent="0.4">
      <c r="A87" s="379">
        <v>41</v>
      </c>
      <c r="B87" s="379" t="s">
        <v>45</v>
      </c>
      <c r="C87" s="379" t="s">
        <v>346</v>
      </c>
      <c r="D87" s="381"/>
      <c r="E87" s="381"/>
      <c r="F87" s="381"/>
      <c r="G87" s="416"/>
      <c r="H87" s="489">
        <f t="shared" ref="H87" si="201">SUM(BT87:CA87)</f>
        <v>0</v>
      </c>
      <c r="I87" s="489">
        <f t="shared" ref="I87" si="202">SUM(BT88:CA88)</f>
        <v>0</v>
      </c>
      <c r="J87" s="497"/>
      <c r="K87" s="491"/>
      <c r="L87" s="491"/>
      <c r="M87" s="493"/>
      <c r="N87" s="48" t="s">
        <v>24</v>
      </c>
      <c r="O87" s="187">
        <f t="shared" si="200"/>
        <v>0</v>
      </c>
      <c r="P87" s="187">
        <f t="shared" si="200"/>
        <v>0</v>
      </c>
      <c r="Q87" s="187">
        <f t="shared" si="200"/>
        <v>0</v>
      </c>
      <c r="R87" s="187">
        <f t="shared" si="200"/>
        <v>0</v>
      </c>
      <c r="S87" s="187">
        <f t="shared" si="200"/>
        <v>0</v>
      </c>
      <c r="T87" s="187">
        <f t="shared" si="200"/>
        <v>0</v>
      </c>
      <c r="U87" s="82">
        <f t="shared" si="200"/>
        <v>0</v>
      </c>
      <c r="V87" s="19">
        <f t="shared" si="145"/>
        <v>0</v>
      </c>
      <c r="W87" s="187">
        <f t="shared" si="145"/>
        <v>0</v>
      </c>
      <c r="X87" s="187">
        <f t="shared" si="145"/>
        <v>0</v>
      </c>
      <c r="Y87" s="187">
        <f t="shared" si="145"/>
        <v>0</v>
      </c>
      <c r="Z87" s="187">
        <f t="shared" si="145"/>
        <v>0</v>
      </c>
      <c r="AA87" s="187">
        <f t="shared" si="190"/>
        <v>0</v>
      </c>
      <c r="AB87" s="19">
        <f t="shared" si="190"/>
        <v>0</v>
      </c>
      <c r="AC87" s="187">
        <f t="shared" si="190"/>
        <v>0</v>
      </c>
      <c r="AD87" s="249">
        <f t="shared" si="190"/>
        <v>0</v>
      </c>
      <c r="AE87" s="187">
        <f t="shared" si="190"/>
        <v>0</v>
      </c>
      <c r="AF87" s="187">
        <f t="shared" si="190"/>
        <v>0</v>
      </c>
      <c r="AG87" s="187">
        <f t="shared" si="190"/>
        <v>0</v>
      </c>
      <c r="AH87" s="19">
        <f t="shared" si="195"/>
        <v>0</v>
      </c>
      <c r="AI87" s="187">
        <f t="shared" si="195"/>
        <v>0</v>
      </c>
      <c r="AJ87" s="187">
        <f t="shared" si="196"/>
        <v>0</v>
      </c>
      <c r="AK87" s="187">
        <f t="shared" si="196"/>
        <v>0</v>
      </c>
      <c r="AL87" s="187">
        <f t="shared" si="195"/>
        <v>0</v>
      </c>
      <c r="AM87" s="187">
        <f t="shared" ref="AM87:AM106" si="203">0/165</f>
        <v>0</v>
      </c>
      <c r="AN87" s="19">
        <f t="shared" si="191"/>
        <v>0</v>
      </c>
      <c r="AO87" s="187">
        <f t="shared" si="191"/>
        <v>0</v>
      </c>
      <c r="AP87" s="187">
        <f t="shared" si="191"/>
        <v>0</v>
      </c>
      <c r="AQ87" s="187">
        <f t="shared" si="191"/>
        <v>0</v>
      </c>
      <c r="AR87" s="187">
        <f t="shared" si="191"/>
        <v>0</v>
      </c>
      <c r="AS87" s="187">
        <f t="shared" ref="AS87:AU106" si="204">0/165</f>
        <v>0</v>
      </c>
      <c r="AT87" s="187">
        <f t="shared" si="204"/>
        <v>0</v>
      </c>
      <c r="AU87" s="187">
        <f t="shared" si="204"/>
        <v>0</v>
      </c>
      <c r="AV87" s="73">
        <f t="shared" si="175"/>
        <v>0</v>
      </c>
      <c r="AW87" s="187">
        <f t="shared" si="175"/>
        <v>0</v>
      </c>
      <c r="AX87" s="187">
        <f t="shared" si="175"/>
        <v>0</v>
      </c>
      <c r="AY87" s="187">
        <f t="shared" si="175"/>
        <v>0</v>
      </c>
      <c r="AZ87" s="187">
        <f t="shared" si="175"/>
        <v>0</v>
      </c>
      <c r="BA87" s="187">
        <f t="shared" si="175"/>
        <v>0</v>
      </c>
      <c r="BB87" s="187">
        <f t="shared" si="175"/>
        <v>0</v>
      </c>
      <c r="BC87" s="187">
        <f t="shared" si="175"/>
        <v>0</v>
      </c>
      <c r="BD87" s="19">
        <f t="shared" si="192"/>
        <v>0</v>
      </c>
      <c r="BE87" s="187">
        <f t="shared" si="192"/>
        <v>0</v>
      </c>
      <c r="BF87" s="187">
        <f t="shared" si="192"/>
        <v>0</v>
      </c>
      <c r="BG87" s="187">
        <f t="shared" si="192"/>
        <v>0</v>
      </c>
      <c r="BH87" s="187">
        <f t="shared" si="192"/>
        <v>0</v>
      </c>
      <c r="BI87" s="187">
        <f t="shared" ref="BI87:BK106" si="205">0/172.5</f>
        <v>0</v>
      </c>
      <c r="BJ87" s="187">
        <f t="shared" si="205"/>
        <v>0</v>
      </c>
      <c r="BK87" s="187">
        <f t="shared" si="205"/>
        <v>0</v>
      </c>
      <c r="BL87" s="223">
        <f t="shared" ref="BL87:BP96" si="206">0/142.5</f>
        <v>0</v>
      </c>
      <c r="BM87" s="249">
        <f t="shared" si="206"/>
        <v>0</v>
      </c>
      <c r="BN87" s="249">
        <f t="shared" si="206"/>
        <v>0</v>
      </c>
      <c r="BO87" s="249">
        <f t="shared" si="206"/>
        <v>0</v>
      </c>
      <c r="BP87" s="249">
        <f t="shared" si="206"/>
        <v>0</v>
      </c>
      <c r="BQ87" s="187">
        <f t="shared" ref="BQ87:BS106" si="207">0/172.5</f>
        <v>0</v>
      </c>
      <c r="BR87" s="187">
        <f t="shared" si="207"/>
        <v>0</v>
      </c>
      <c r="BS87" s="187">
        <f t="shared" si="207"/>
        <v>0</v>
      </c>
      <c r="BT87" s="73">
        <f t="shared" si="187"/>
        <v>0</v>
      </c>
      <c r="BU87" s="187">
        <f t="shared" si="187"/>
        <v>0</v>
      </c>
      <c r="BV87" s="187">
        <f t="shared" si="187"/>
        <v>0</v>
      </c>
      <c r="BW87" s="187">
        <f t="shared" si="187"/>
        <v>0</v>
      </c>
      <c r="BX87" s="187">
        <f t="shared" si="187"/>
        <v>0</v>
      </c>
      <c r="BY87" s="187">
        <f t="shared" ref="BY87:CA106" si="208">0/172.5</f>
        <v>0</v>
      </c>
      <c r="BZ87" s="187">
        <f t="shared" si="208"/>
        <v>0</v>
      </c>
      <c r="CA87" s="187">
        <f t="shared" si="208"/>
        <v>0</v>
      </c>
      <c r="CB87" s="73">
        <f t="shared" si="176"/>
        <v>0</v>
      </c>
      <c r="CC87" s="187">
        <f t="shared" si="176"/>
        <v>0</v>
      </c>
      <c r="CD87" s="187">
        <f t="shared" si="176"/>
        <v>0</v>
      </c>
      <c r="CE87" s="187">
        <f t="shared" si="176"/>
        <v>0</v>
      </c>
      <c r="CF87" s="187">
        <f t="shared" si="176"/>
        <v>0</v>
      </c>
      <c r="CG87" s="187">
        <f t="shared" ref="CG87:CI106" si="209">0/172.5</f>
        <v>0</v>
      </c>
      <c r="CH87" s="187">
        <f t="shared" si="209"/>
        <v>0</v>
      </c>
      <c r="CI87" s="187">
        <f t="shared" si="209"/>
        <v>0</v>
      </c>
      <c r="CJ87" s="73">
        <f t="shared" ref="CJ87:CN96" si="210">0/157.5</f>
        <v>0</v>
      </c>
      <c r="CK87" s="187">
        <f t="shared" si="210"/>
        <v>0</v>
      </c>
      <c r="CL87" s="187">
        <f t="shared" si="210"/>
        <v>0</v>
      </c>
      <c r="CM87" s="187">
        <f t="shared" si="210"/>
        <v>0</v>
      </c>
      <c r="CN87" s="187">
        <f t="shared" si="210"/>
        <v>0</v>
      </c>
      <c r="CO87" s="187">
        <f t="shared" ref="CO87:CQ106" si="211">0/172.5</f>
        <v>0</v>
      </c>
      <c r="CP87" s="187">
        <f t="shared" si="211"/>
        <v>0</v>
      </c>
      <c r="CQ87" s="187">
        <f t="shared" si="211"/>
        <v>0</v>
      </c>
      <c r="CR87" s="73">
        <f t="shared" ref="CR87:CV96" si="212">0/142.5</f>
        <v>0</v>
      </c>
      <c r="CS87" s="187">
        <f t="shared" si="212"/>
        <v>0</v>
      </c>
      <c r="CT87" s="187">
        <f t="shared" si="212"/>
        <v>0</v>
      </c>
      <c r="CU87" s="187">
        <f t="shared" si="212"/>
        <v>0</v>
      </c>
      <c r="CV87" s="187">
        <f t="shared" si="212"/>
        <v>0</v>
      </c>
      <c r="CW87" s="187">
        <f t="shared" ref="CW87:CY106" si="213">0/172.5</f>
        <v>0</v>
      </c>
      <c r="CX87" s="187">
        <f t="shared" si="213"/>
        <v>0</v>
      </c>
      <c r="CY87" s="187">
        <f t="shared" si="213"/>
        <v>0</v>
      </c>
      <c r="CZ87" s="199"/>
    </row>
    <row r="88" spans="1:104" ht="26.25" hidden="1" customHeight="1" outlineLevel="1" x14ac:dyDescent="0.4">
      <c r="A88" s="380"/>
      <c r="B88" s="380"/>
      <c r="C88" s="380"/>
      <c r="D88" s="382"/>
      <c r="E88" s="382"/>
      <c r="F88" s="382"/>
      <c r="G88" s="416"/>
      <c r="H88" s="490"/>
      <c r="I88" s="490"/>
      <c r="J88" s="498"/>
      <c r="K88" s="492"/>
      <c r="L88" s="492"/>
      <c r="M88" s="494"/>
      <c r="N88" s="39" t="s">
        <v>25</v>
      </c>
      <c r="O88" s="207">
        <f t="shared" si="200"/>
        <v>0</v>
      </c>
      <c r="P88" s="207">
        <f t="shared" si="200"/>
        <v>0</v>
      </c>
      <c r="Q88" s="207">
        <f t="shared" si="200"/>
        <v>0</v>
      </c>
      <c r="R88" s="207">
        <f t="shared" si="200"/>
        <v>0</v>
      </c>
      <c r="S88" s="207">
        <f t="shared" si="200"/>
        <v>0</v>
      </c>
      <c r="T88" s="207">
        <f t="shared" si="200"/>
        <v>0</v>
      </c>
      <c r="U88" s="49">
        <f t="shared" si="200"/>
        <v>0</v>
      </c>
      <c r="V88" s="57">
        <f t="shared" si="145"/>
        <v>0</v>
      </c>
      <c r="W88" s="18">
        <f t="shared" si="145"/>
        <v>0</v>
      </c>
      <c r="X88" s="18">
        <f t="shared" si="145"/>
        <v>0</v>
      </c>
      <c r="Y88" s="18">
        <f t="shared" si="145"/>
        <v>0</v>
      </c>
      <c r="Z88" s="18">
        <f t="shared" si="145"/>
        <v>0</v>
      </c>
      <c r="AA88" s="18">
        <f t="shared" ref="AA88:AA106" si="214">0/165</f>
        <v>0</v>
      </c>
      <c r="AB88" s="42">
        <f t="shared" si="190"/>
        <v>0</v>
      </c>
      <c r="AC88" s="52">
        <f t="shared" si="190"/>
        <v>0</v>
      </c>
      <c r="AD88" s="207">
        <f t="shared" si="190"/>
        <v>0</v>
      </c>
      <c r="AE88" s="207">
        <f t="shared" si="190"/>
        <v>0</v>
      </c>
      <c r="AF88" s="207">
        <f t="shared" si="190"/>
        <v>0</v>
      </c>
      <c r="AG88" s="18">
        <f t="shared" si="190"/>
        <v>0</v>
      </c>
      <c r="AH88" s="51">
        <f t="shared" si="195"/>
        <v>0</v>
      </c>
      <c r="AI88" s="52">
        <f t="shared" si="195"/>
        <v>0</v>
      </c>
      <c r="AJ88" s="52">
        <f t="shared" si="196"/>
        <v>0</v>
      </c>
      <c r="AK88" s="52">
        <f t="shared" si="196"/>
        <v>0</v>
      </c>
      <c r="AL88" s="52">
        <f t="shared" si="195"/>
        <v>0</v>
      </c>
      <c r="AM88" s="18">
        <f t="shared" si="203"/>
        <v>0</v>
      </c>
      <c r="AN88" s="42">
        <f t="shared" si="191"/>
        <v>0</v>
      </c>
      <c r="AO88" s="207">
        <f t="shared" si="191"/>
        <v>0</v>
      </c>
      <c r="AP88" s="207">
        <f t="shared" si="191"/>
        <v>0</v>
      </c>
      <c r="AQ88" s="207">
        <f t="shared" si="191"/>
        <v>0</v>
      </c>
      <c r="AR88" s="207">
        <f t="shared" si="191"/>
        <v>0</v>
      </c>
      <c r="AS88" s="207">
        <f t="shared" si="204"/>
        <v>0</v>
      </c>
      <c r="AT88" s="207">
        <f t="shared" si="204"/>
        <v>0</v>
      </c>
      <c r="AU88" s="18">
        <f t="shared" si="204"/>
        <v>0</v>
      </c>
      <c r="AV88" s="42">
        <f t="shared" si="175"/>
        <v>0</v>
      </c>
      <c r="AW88" s="207">
        <f t="shared" si="175"/>
        <v>0</v>
      </c>
      <c r="AX88" s="207">
        <f t="shared" si="175"/>
        <v>0</v>
      </c>
      <c r="AY88" s="207">
        <f t="shared" si="175"/>
        <v>0</v>
      </c>
      <c r="AZ88" s="207">
        <f t="shared" si="175"/>
        <v>0</v>
      </c>
      <c r="BA88" s="207">
        <f t="shared" si="175"/>
        <v>0</v>
      </c>
      <c r="BB88" s="207">
        <f t="shared" si="175"/>
        <v>0</v>
      </c>
      <c r="BC88" s="18">
        <f t="shared" si="175"/>
        <v>0</v>
      </c>
      <c r="BD88" s="42">
        <f t="shared" si="192"/>
        <v>0</v>
      </c>
      <c r="BE88" s="207">
        <f t="shared" si="192"/>
        <v>0</v>
      </c>
      <c r="BF88" s="207">
        <f t="shared" si="192"/>
        <v>0</v>
      </c>
      <c r="BG88" s="207">
        <f t="shared" si="192"/>
        <v>0</v>
      </c>
      <c r="BH88" s="207">
        <f t="shared" si="192"/>
        <v>0</v>
      </c>
      <c r="BI88" s="207">
        <f t="shared" si="205"/>
        <v>0</v>
      </c>
      <c r="BJ88" s="207">
        <f t="shared" si="205"/>
        <v>0</v>
      </c>
      <c r="BK88" s="18">
        <f t="shared" si="205"/>
        <v>0</v>
      </c>
      <c r="BL88" s="20">
        <f t="shared" si="206"/>
        <v>0</v>
      </c>
      <c r="BM88" s="207">
        <f t="shared" si="206"/>
        <v>0</v>
      </c>
      <c r="BN88" s="207">
        <f t="shared" si="206"/>
        <v>0</v>
      </c>
      <c r="BO88" s="207">
        <f t="shared" si="206"/>
        <v>0</v>
      </c>
      <c r="BP88" s="207">
        <f t="shared" si="206"/>
        <v>0</v>
      </c>
      <c r="BQ88" s="207">
        <f t="shared" si="207"/>
        <v>0</v>
      </c>
      <c r="BR88" s="207">
        <f t="shared" si="207"/>
        <v>0</v>
      </c>
      <c r="BS88" s="18">
        <f t="shared" si="207"/>
        <v>0</v>
      </c>
      <c r="BT88" s="224">
        <f t="shared" si="187"/>
        <v>0</v>
      </c>
      <c r="BU88" s="207">
        <f t="shared" si="187"/>
        <v>0</v>
      </c>
      <c r="BV88" s="207">
        <f t="shared" si="187"/>
        <v>0</v>
      </c>
      <c r="BW88" s="207">
        <f t="shared" si="187"/>
        <v>0</v>
      </c>
      <c r="BX88" s="207">
        <f t="shared" si="187"/>
        <v>0</v>
      </c>
      <c r="BY88" s="207">
        <f t="shared" si="208"/>
        <v>0</v>
      </c>
      <c r="BZ88" s="207">
        <f t="shared" si="208"/>
        <v>0</v>
      </c>
      <c r="CA88" s="18">
        <f t="shared" si="208"/>
        <v>0</v>
      </c>
      <c r="CB88" s="224">
        <f t="shared" si="176"/>
        <v>0</v>
      </c>
      <c r="CC88" s="250">
        <f t="shared" si="176"/>
        <v>0</v>
      </c>
      <c r="CD88" s="250">
        <f t="shared" si="176"/>
        <v>0</v>
      </c>
      <c r="CE88" s="250">
        <f t="shared" si="176"/>
        <v>0</v>
      </c>
      <c r="CF88" s="250">
        <f t="shared" si="176"/>
        <v>0</v>
      </c>
      <c r="CG88" s="207">
        <f t="shared" si="209"/>
        <v>0</v>
      </c>
      <c r="CH88" s="207">
        <f t="shared" si="209"/>
        <v>0</v>
      </c>
      <c r="CI88" s="18">
        <f t="shared" si="209"/>
        <v>0</v>
      </c>
      <c r="CJ88" s="224">
        <f t="shared" si="210"/>
        <v>0</v>
      </c>
      <c r="CK88" s="207">
        <f t="shared" si="210"/>
        <v>0</v>
      </c>
      <c r="CL88" s="207">
        <f t="shared" si="210"/>
        <v>0</v>
      </c>
      <c r="CM88" s="207">
        <f t="shared" si="210"/>
        <v>0</v>
      </c>
      <c r="CN88" s="207">
        <f t="shared" si="210"/>
        <v>0</v>
      </c>
      <c r="CO88" s="207">
        <f t="shared" si="211"/>
        <v>0</v>
      </c>
      <c r="CP88" s="207">
        <f t="shared" si="211"/>
        <v>0</v>
      </c>
      <c r="CQ88" s="18">
        <f t="shared" si="211"/>
        <v>0</v>
      </c>
      <c r="CR88" s="42">
        <f t="shared" si="212"/>
        <v>0</v>
      </c>
      <c r="CS88" s="207">
        <f t="shared" si="212"/>
        <v>0</v>
      </c>
      <c r="CT88" s="207">
        <f t="shared" si="212"/>
        <v>0</v>
      </c>
      <c r="CU88" s="207">
        <f t="shared" si="212"/>
        <v>0</v>
      </c>
      <c r="CV88" s="207">
        <f t="shared" si="212"/>
        <v>0</v>
      </c>
      <c r="CW88" s="207">
        <f t="shared" si="213"/>
        <v>0</v>
      </c>
      <c r="CX88" s="207">
        <f t="shared" si="213"/>
        <v>0</v>
      </c>
      <c r="CY88" s="207">
        <f t="shared" si="213"/>
        <v>0</v>
      </c>
      <c r="CZ88" s="199"/>
    </row>
    <row r="89" spans="1:104" ht="26.25" hidden="1" customHeight="1" outlineLevel="1" collapsed="1" x14ac:dyDescent="0.4">
      <c r="A89" s="379">
        <v>42</v>
      </c>
      <c r="B89" s="379" t="s">
        <v>45</v>
      </c>
      <c r="C89" s="379" t="s">
        <v>346</v>
      </c>
      <c r="D89" s="381"/>
      <c r="E89" s="381"/>
      <c r="F89" s="381"/>
      <c r="G89" s="416"/>
      <c r="H89" s="489">
        <f t="shared" ref="H89" si="215">SUM(BT89:CA89)</f>
        <v>0</v>
      </c>
      <c r="I89" s="489">
        <f t="shared" ref="I89" si="216">SUM(BT90:CA90)</f>
        <v>0</v>
      </c>
      <c r="J89" s="497"/>
      <c r="K89" s="491"/>
      <c r="L89" s="491"/>
      <c r="M89" s="493"/>
      <c r="N89" s="48" t="s">
        <v>24</v>
      </c>
      <c r="O89" s="187">
        <f t="shared" si="200"/>
        <v>0</v>
      </c>
      <c r="P89" s="187">
        <f t="shared" si="200"/>
        <v>0</v>
      </c>
      <c r="Q89" s="187">
        <f t="shared" si="200"/>
        <v>0</v>
      </c>
      <c r="R89" s="187">
        <f t="shared" si="200"/>
        <v>0</v>
      </c>
      <c r="S89" s="187">
        <f t="shared" si="200"/>
        <v>0</v>
      </c>
      <c r="T89" s="187">
        <f t="shared" si="200"/>
        <v>0</v>
      </c>
      <c r="U89" s="82">
        <f t="shared" si="200"/>
        <v>0</v>
      </c>
      <c r="V89" s="19">
        <f t="shared" ref="V89:Z106" si="217">0/142.5</f>
        <v>0</v>
      </c>
      <c r="W89" s="187">
        <f t="shared" si="217"/>
        <v>0</v>
      </c>
      <c r="X89" s="187">
        <f t="shared" si="217"/>
        <v>0</v>
      </c>
      <c r="Y89" s="187">
        <f t="shared" si="217"/>
        <v>0</v>
      </c>
      <c r="Z89" s="187">
        <f t="shared" si="217"/>
        <v>0</v>
      </c>
      <c r="AA89" s="187">
        <f t="shared" si="214"/>
        <v>0</v>
      </c>
      <c r="AB89" s="19">
        <f t="shared" si="190"/>
        <v>0</v>
      </c>
      <c r="AC89" s="187">
        <f t="shared" si="190"/>
        <v>0</v>
      </c>
      <c r="AD89" s="249">
        <f t="shared" si="190"/>
        <v>0</v>
      </c>
      <c r="AE89" s="187">
        <f t="shared" si="190"/>
        <v>0</v>
      </c>
      <c r="AF89" s="187">
        <f t="shared" si="190"/>
        <v>0</v>
      </c>
      <c r="AG89" s="187">
        <f t="shared" si="190"/>
        <v>0</v>
      </c>
      <c r="AH89" s="19">
        <f t="shared" si="195"/>
        <v>0</v>
      </c>
      <c r="AI89" s="187">
        <f t="shared" si="195"/>
        <v>0</v>
      </c>
      <c r="AJ89" s="187">
        <f t="shared" si="195"/>
        <v>0</v>
      </c>
      <c r="AK89" s="187">
        <f t="shared" si="195"/>
        <v>0</v>
      </c>
      <c r="AL89" s="187">
        <f t="shared" si="195"/>
        <v>0</v>
      </c>
      <c r="AM89" s="187">
        <f t="shared" si="203"/>
        <v>0</v>
      </c>
      <c r="AN89" s="19">
        <f t="shared" si="191"/>
        <v>0</v>
      </c>
      <c r="AO89" s="187">
        <f t="shared" si="191"/>
        <v>0</v>
      </c>
      <c r="AP89" s="187">
        <f t="shared" si="191"/>
        <v>0</v>
      </c>
      <c r="AQ89" s="187">
        <f t="shared" si="191"/>
        <v>0</v>
      </c>
      <c r="AR89" s="187">
        <f t="shared" si="191"/>
        <v>0</v>
      </c>
      <c r="AS89" s="187">
        <f t="shared" si="204"/>
        <v>0</v>
      </c>
      <c r="AT89" s="187">
        <f t="shared" si="204"/>
        <v>0</v>
      </c>
      <c r="AU89" s="187">
        <f t="shared" si="204"/>
        <v>0</v>
      </c>
      <c r="AV89" s="73">
        <f t="shared" si="175"/>
        <v>0</v>
      </c>
      <c r="AW89" s="187">
        <f t="shared" si="175"/>
        <v>0</v>
      </c>
      <c r="AX89" s="187">
        <f t="shared" si="175"/>
        <v>0</v>
      </c>
      <c r="AY89" s="187">
        <f t="shared" si="175"/>
        <v>0</v>
      </c>
      <c r="AZ89" s="187">
        <f t="shared" si="175"/>
        <v>0</v>
      </c>
      <c r="BA89" s="187">
        <f t="shared" si="175"/>
        <v>0</v>
      </c>
      <c r="BB89" s="187">
        <f t="shared" si="175"/>
        <v>0</v>
      </c>
      <c r="BC89" s="187">
        <f t="shared" si="175"/>
        <v>0</v>
      </c>
      <c r="BD89" s="19">
        <f t="shared" si="192"/>
        <v>0</v>
      </c>
      <c r="BE89" s="187">
        <f t="shared" si="192"/>
        <v>0</v>
      </c>
      <c r="BF89" s="187">
        <f t="shared" si="192"/>
        <v>0</v>
      </c>
      <c r="BG89" s="187">
        <f t="shared" si="192"/>
        <v>0</v>
      </c>
      <c r="BH89" s="187">
        <f t="shared" si="192"/>
        <v>0</v>
      </c>
      <c r="BI89" s="187">
        <f t="shared" si="205"/>
        <v>0</v>
      </c>
      <c r="BJ89" s="187">
        <f t="shared" si="205"/>
        <v>0</v>
      </c>
      <c r="BK89" s="187">
        <f t="shared" si="205"/>
        <v>0</v>
      </c>
      <c r="BL89" s="223">
        <f t="shared" si="206"/>
        <v>0</v>
      </c>
      <c r="BM89" s="249">
        <f t="shared" si="206"/>
        <v>0</v>
      </c>
      <c r="BN89" s="249">
        <f t="shared" si="206"/>
        <v>0</v>
      </c>
      <c r="BO89" s="249">
        <f t="shared" si="206"/>
        <v>0</v>
      </c>
      <c r="BP89" s="249">
        <f t="shared" si="206"/>
        <v>0</v>
      </c>
      <c r="BQ89" s="187">
        <f t="shared" si="207"/>
        <v>0</v>
      </c>
      <c r="BR89" s="187">
        <f t="shared" si="207"/>
        <v>0</v>
      </c>
      <c r="BS89" s="187">
        <f t="shared" si="207"/>
        <v>0</v>
      </c>
      <c r="BT89" s="73">
        <f t="shared" ref="BT89:BX98" si="218">0/157.5</f>
        <v>0</v>
      </c>
      <c r="BU89" s="187">
        <f t="shared" si="218"/>
        <v>0</v>
      </c>
      <c r="BV89" s="187">
        <f t="shared" si="218"/>
        <v>0</v>
      </c>
      <c r="BW89" s="187">
        <f t="shared" si="218"/>
        <v>0</v>
      </c>
      <c r="BX89" s="187">
        <f t="shared" si="218"/>
        <v>0</v>
      </c>
      <c r="BY89" s="187">
        <f t="shared" si="208"/>
        <v>0</v>
      </c>
      <c r="BZ89" s="187">
        <f t="shared" si="208"/>
        <v>0</v>
      </c>
      <c r="CA89" s="187">
        <f t="shared" si="208"/>
        <v>0</v>
      </c>
      <c r="CB89" s="73">
        <f t="shared" si="176"/>
        <v>0</v>
      </c>
      <c r="CC89" s="187">
        <f t="shared" si="176"/>
        <v>0</v>
      </c>
      <c r="CD89" s="187">
        <f t="shared" si="176"/>
        <v>0</v>
      </c>
      <c r="CE89" s="187">
        <f t="shared" si="176"/>
        <v>0</v>
      </c>
      <c r="CF89" s="187">
        <f t="shared" si="176"/>
        <v>0</v>
      </c>
      <c r="CG89" s="187">
        <f t="shared" si="209"/>
        <v>0</v>
      </c>
      <c r="CH89" s="187">
        <f t="shared" si="209"/>
        <v>0</v>
      </c>
      <c r="CI89" s="187">
        <f t="shared" si="209"/>
        <v>0</v>
      </c>
      <c r="CJ89" s="73">
        <f t="shared" si="210"/>
        <v>0</v>
      </c>
      <c r="CK89" s="187">
        <f t="shared" si="210"/>
        <v>0</v>
      </c>
      <c r="CL89" s="187">
        <f t="shared" si="210"/>
        <v>0</v>
      </c>
      <c r="CM89" s="187">
        <f t="shared" si="210"/>
        <v>0</v>
      </c>
      <c r="CN89" s="187">
        <f t="shared" si="210"/>
        <v>0</v>
      </c>
      <c r="CO89" s="187">
        <f t="shared" si="211"/>
        <v>0</v>
      </c>
      <c r="CP89" s="187">
        <f t="shared" si="211"/>
        <v>0</v>
      </c>
      <c r="CQ89" s="187">
        <f t="shared" si="211"/>
        <v>0</v>
      </c>
      <c r="CR89" s="73">
        <f t="shared" si="212"/>
        <v>0</v>
      </c>
      <c r="CS89" s="187">
        <f t="shared" si="212"/>
        <v>0</v>
      </c>
      <c r="CT89" s="187">
        <f t="shared" si="212"/>
        <v>0</v>
      </c>
      <c r="CU89" s="187">
        <f t="shared" si="212"/>
        <v>0</v>
      </c>
      <c r="CV89" s="187">
        <f t="shared" si="212"/>
        <v>0</v>
      </c>
      <c r="CW89" s="187">
        <f t="shared" si="213"/>
        <v>0</v>
      </c>
      <c r="CX89" s="187">
        <f t="shared" si="213"/>
        <v>0</v>
      </c>
      <c r="CY89" s="187">
        <f t="shared" si="213"/>
        <v>0</v>
      </c>
      <c r="CZ89" s="199"/>
    </row>
    <row r="90" spans="1:104" ht="26.25" hidden="1" customHeight="1" outlineLevel="1" x14ac:dyDescent="0.4">
      <c r="A90" s="380"/>
      <c r="B90" s="380"/>
      <c r="C90" s="380"/>
      <c r="D90" s="382"/>
      <c r="E90" s="382"/>
      <c r="F90" s="382"/>
      <c r="G90" s="416"/>
      <c r="H90" s="490"/>
      <c r="I90" s="490"/>
      <c r="J90" s="498"/>
      <c r="K90" s="492"/>
      <c r="L90" s="492"/>
      <c r="M90" s="494"/>
      <c r="N90" s="39" t="s">
        <v>25</v>
      </c>
      <c r="O90" s="207">
        <f t="shared" si="200"/>
        <v>0</v>
      </c>
      <c r="P90" s="207">
        <f t="shared" si="200"/>
        <v>0</v>
      </c>
      <c r="Q90" s="207">
        <f t="shared" si="200"/>
        <v>0</v>
      </c>
      <c r="R90" s="207">
        <f t="shared" si="200"/>
        <v>0</v>
      </c>
      <c r="S90" s="207">
        <f t="shared" si="200"/>
        <v>0</v>
      </c>
      <c r="T90" s="207">
        <f t="shared" si="200"/>
        <v>0</v>
      </c>
      <c r="U90" s="49">
        <f t="shared" si="200"/>
        <v>0</v>
      </c>
      <c r="V90" s="57">
        <f t="shared" si="217"/>
        <v>0</v>
      </c>
      <c r="W90" s="18">
        <f t="shared" si="217"/>
        <v>0</v>
      </c>
      <c r="X90" s="18">
        <f t="shared" si="217"/>
        <v>0</v>
      </c>
      <c r="Y90" s="18">
        <f t="shared" si="217"/>
        <v>0</v>
      </c>
      <c r="Z90" s="18">
        <f t="shared" si="217"/>
        <v>0</v>
      </c>
      <c r="AA90" s="18">
        <f t="shared" si="214"/>
        <v>0</v>
      </c>
      <c r="AB90" s="42">
        <f t="shared" si="190"/>
        <v>0</v>
      </c>
      <c r="AC90" s="52">
        <f t="shared" si="190"/>
        <v>0</v>
      </c>
      <c r="AD90" s="207">
        <f t="shared" si="190"/>
        <v>0</v>
      </c>
      <c r="AE90" s="207">
        <f t="shared" si="190"/>
        <v>0</v>
      </c>
      <c r="AF90" s="207">
        <f t="shared" si="190"/>
        <v>0</v>
      </c>
      <c r="AG90" s="18">
        <f t="shared" si="190"/>
        <v>0</v>
      </c>
      <c r="AH90" s="51">
        <f t="shared" si="195"/>
        <v>0</v>
      </c>
      <c r="AI90" s="52">
        <f t="shared" si="195"/>
        <v>0</v>
      </c>
      <c r="AJ90" s="52">
        <f t="shared" si="195"/>
        <v>0</v>
      </c>
      <c r="AK90" s="52">
        <f t="shared" si="195"/>
        <v>0</v>
      </c>
      <c r="AL90" s="52">
        <f t="shared" si="195"/>
        <v>0</v>
      </c>
      <c r="AM90" s="18">
        <f t="shared" si="203"/>
        <v>0</v>
      </c>
      <c r="AN90" s="42">
        <f t="shared" si="191"/>
        <v>0</v>
      </c>
      <c r="AO90" s="207">
        <f t="shared" si="191"/>
        <v>0</v>
      </c>
      <c r="AP90" s="207">
        <f t="shared" si="191"/>
        <v>0</v>
      </c>
      <c r="AQ90" s="207">
        <f t="shared" si="191"/>
        <v>0</v>
      </c>
      <c r="AR90" s="207">
        <f t="shared" si="191"/>
        <v>0</v>
      </c>
      <c r="AS90" s="207">
        <f t="shared" si="204"/>
        <v>0</v>
      </c>
      <c r="AT90" s="207">
        <f t="shared" si="204"/>
        <v>0</v>
      </c>
      <c r="AU90" s="18">
        <f t="shared" si="204"/>
        <v>0</v>
      </c>
      <c r="AV90" s="42">
        <f t="shared" si="175"/>
        <v>0</v>
      </c>
      <c r="AW90" s="207">
        <f t="shared" si="175"/>
        <v>0</v>
      </c>
      <c r="AX90" s="207">
        <f t="shared" si="175"/>
        <v>0</v>
      </c>
      <c r="AY90" s="207">
        <f t="shared" si="175"/>
        <v>0</v>
      </c>
      <c r="AZ90" s="207">
        <f t="shared" si="175"/>
        <v>0</v>
      </c>
      <c r="BA90" s="207">
        <f t="shared" si="175"/>
        <v>0</v>
      </c>
      <c r="BB90" s="207">
        <f t="shared" ref="BB90:BB106" si="219">0/172.5</f>
        <v>0</v>
      </c>
      <c r="BC90" s="18">
        <f t="shared" si="175"/>
        <v>0</v>
      </c>
      <c r="BD90" s="42">
        <f t="shared" si="192"/>
        <v>0</v>
      </c>
      <c r="BE90" s="207">
        <f t="shared" si="192"/>
        <v>0</v>
      </c>
      <c r="BF90" s="207">
        <f t="shared" si="192"/>
        <v>0</v>
      </c>
      <c r="BG90" s="207">
        <f t="shared" si="192"/>
        <v>0</v>
      </c>
      <c r="BH90" s="207">
        <f t="shared" si="192"/>
        <v>0</v>
      </c>
      <c r="BI90" s="207">
        <f t="shared" si="205"/>
        <v>0</v>
      </c>
      <c r="BJ90" s="207">
        <f t="shared" si="205"/>
        <v>0</v>
      </c>
      <c r="BK90" s="18">
        <f t="shared" si="205"/>
        <v>0</v>
      </c>
      <c r="BL90" s="20">
        <f t="shared" si="206"/>
        <v>0</v>
      </c>
      <c r="BM90" s="207">
        <f t="shared" si="206"/>
        <v>0</v>
      </c>
      <c r="BN90" s="207">
        <f t="shared" si="206"/>
        <v>0</v>
      </c>
      <c r="BO90" s="207">
        <f t="shared" si="206"/>
        <v>0</v>
      </c>
      <c r="BP90" s="207">
        <f t="shared" si="206"/>
        <v>0</v>
      </c>
      <c r="BQ90" s="207">
        <f t="shared" si="207"/>
        <v>0</v>
      </c>
      <c r="BR90" s="207">
        <f t="shared" si="207"/>
        <v>0</v>
      </c>
      <c r="BS90" s="18">
        <f t="shared" si="207"/>
        <v>0</v>
      </c>
      <c r="BT90" s="224">
        <f t="shared" si="218"/>
        <v>0</v>
      </c>
      <c r="BU90" s="207">
        <f t="shared" si="218"/>
        <v>0</v>
      </c>
      <c r="BV90" s="207">
        <f t="shared" si="218"/>
        <v>0</v>
      </c>
      <c r="BW90" s="207">
        <f t="shared" si="218"/>
        <v>0</v>
      </c>
      <c r="BX90" s="207">
        <f t="shared" si="218"/>
        <v>0</v>
      </c>
      <c r="BY90" s="207">
        <f t="shared" si="208"/>
        <v>0</v>
      </c>
      <c r="BZ90" s="207">
        <f t="shared" si="208"/>
        <v>0</v>
      </c>
      <c r="CA90" s="18">
        <f t="shared" si="208"/>
        <v>0</v>
      </c>
      <c r="CB90" s="224">
        <f t="shared" si="176"/>
        <v>0</v>
      </c>
      <c r="CC90" s="250">
        <f t="shared" si="176"/>
        <v>0</v>
      </c>
      <c r="CD90" s="250">
        <f t="shared" si="176"/>
        <v>0</v>
      </c>
      <c r="CE90" s="250">
        <f t="shared" si="176"/>
        <v>0</v>
      </c>
      <c r="CF90" s="250">
        <f t="shared" si="176"/>
        <v>0</v>
      </c>
      <c r="CG90" s="207">
        <f t="shared" si="209"/>
        <v>0</v>
      </c>
      <c r="CH90" s="207">
        <f t="shared" si="209"/>
        <v>0</v>
      </c>
      <c r="CI90" s="18">
        <f t="shared" si="209"/>
        <v>0</v>
      </c>
      <c r="CJ90" s="224">
        <f t="shared" si="210"/>
        <v>0</v>
      </c>
      <c r="CK90" s="207">
        <f t="shared" si="210"/>
        <v>0</v>
      </c>
      <c r="CL90" s="207">
        <f t="shared" si="210"/>
        <v>0</v>
      </c>
      <c r="CM90" s="207">
        <f t="shared" si="210"/>
        <v>0</v>
      </c>
      <c r="CN90" s="207">
        <f t="shared" si="210"/>
        <v>0</v>
      </c>
      <c r="CO90" s="207">
        <f t="shared" si="211"/>
        <v>0</v>
      </c>
      <c r="CP90" s="207">
        <f t="shared" si="211"/>
        <v>0</v>
      </c>
      <c r="CQ90" s="18">
        <f t="shared" si="211"/>
        <v>0</v>
      </c>
      <c r="CR90" s="42">
        <f t="shared" si="212"/>
        <v>0</v>
      </c>
      <c r="CS90" s="207">
        <f t="shared" si="212"/>
        <v>0</v>
      </c>
      <c r="CT90" s="207">
        <f t="shared" si="212"/>
        <v>0</v>
      </c>
      <c r="CU90" s="207">
        <f t="shared" si="212"/>
        <v>0</v>
      </c>
      <c r="CV90" s="207">
        <f t="shared" si="212"/>
        <v>0</v>
      </c>
      <c r="CW90" s="207">
        <f t="shared" si="213"/>
        <v>0</v>
      </c>
      <c r="CX90" s="207">
        <f t="shared" si="213"/>
        <v>0</v>
      </c>
      <c r="CY90" s="207">
        <f t="shared" si="213"/>
        <v>0</v>
      </c>
      <c r="CZ90" s="199"/>
    </row>
    <row r="91" spans="1:104" ht="26.25" hidden="1" customHeight="1" outlineLevel="1" collapsed="1" x14ac:dyDescent="0.4">
      <c r="A91" s="379">
        <v>43</v>
      </c>
      <c r="B91" s="379" t="s">
        <v>45</v>
      </c>
      <c r="C91" s="379" t="s">
        <v>346</v>
      </c>
      <c r="D91" s="381"/>
      <c r="E91" s="381"/>
      <c r="F91" s="381"/>
      <c r="G91" s="416"/>
      <c r="H91" s="489">
        <f t="shared" ref="H91" si="220">SUM(BT91:CA91)</f>
        <v>0</v>
      </c>
      <c r="I91" s="489">
        <f t="shared" ref="I91" si="221">SUM(BT92:CA92)</f>
        <v>0</v>
      </c>
      <c r="J91" s="497"/>
      <c r="K91" s="491"/>
      <c r="L91" s="491"/>
      <c r="M91" s="493"/>
      <c r="N91" s="48" t="s">
        <v>24</v>
      </c>
      <c r="O91" s="187">
        <f t="shared" si="200"/>
        <v>0</v>
      </c>
      <c r="P91" s="187">
        <f t="shared" si="200"/>
        <v>0</v>
      </c>
      <c r="Q91" s="187">
        <f t="shared" si="200"/>
        <v>0</v>
      </c>
      <c r="R91" s="187">
        <f t="shared" si="200"/>
        <v>0</v>
      </c>
      <c r="S91" s="187">
        <f t="shared" si="200"/>
        <v>0</v>
      </c>
      <c r="T91" s="187">
        <f t="shared" si="200"/>
        <v>0</v>
      </c>
      <c r="U91" s="82">
        <f t="shared" si="200"/>
        <v>0</v>
      </c>
      <c r="V91" s="19">
        <f t="shared" si="217"/>
        <v>0</v>
      </c>
      <c r="W91" s="187">
        <f t="shared" si="217"/>
        <v>0</v>
      </c>
      <c r="X91" s="187">
        <f t="shared" si="217"/>
        <v>0</v>
      </c>
      <c r="Y91" s="187">
        <f t="shared" si="217"/>
        <v>0</v>
      </c>
      <c r="Z91" s="187">
        <f t="shared" si="217"/>
        <v>0</v>
      </c>
      <c r="AA91" s="187">
        <f t="shared" si="214"/>
        <v>0</v>
      </c>
      <c r="AB91" s="19">
        <f t="shared" si="190"/>
        <v>0</v>
      </c>
      <c r="AC91" s="187">
        <f t="shared" si="190"/>
        <v>0</v>
      </c>
      <c r="AD91" s="249">
        <f t="shared" si="190"/>
        <v>0</v>
      </c>
      <c r="AE91" s="187">
        <f t="shared" si="190"/>
        <v>0</v>
      </c>
      <c r="AF91" s="187">
        <f t="shared" si="190"/>
        <v>0</v>
      </c>
      <c r="AG91" s="187">
        <f t="shared" si="190"/>
        <v>0</v>
      </c>
      <c r="AH91" s="19">
        <f t="shared" si="195"/>
        <v>0</v>
      </c>
      <c r="AI91" s="187">
        <f t="shared" si="195"/>
        <v>0</v>
      </c>
      <c r="AJ91" s="187">
        <f t="shared" si="195"/>
        <v>0</v>
      </c>
      <c r="AK91" s="187">
        <f t="shared" si="195"/>
        <v>0</v>
      </c>
      <c r="AL91" s="187">
        <f t="shared" si="195"/>
        <v>0</v>
      </c>
      <c r="AM91" s="187">
        <f t="shared" si="203"/>
        <v>0</v>
      </c>
      <c r="AN91" s="19">
        <f t="shared" si="191"/>
        <v>0</v>
      </c>
      <c r="AO91" s="187">
        <f t="shared" si="191"/>
        <v>0</v>
      </c>
      <c r="AP91" s="187">
        <f t="shared" si="191"/>
        <v>0</v>
      </c>
      <c r="AQ91" s="187">
        <f t="shared" si="191"/>
        <v>0</v>
      </c>
      <c r="AR91" s="187">
        <f t="shared" si="191"/>
        <v>0</v>
      </c>
      <c r="AS91" s="187">
        <f t="shared" si="204"/>
        <v>0</v>
      </c>
      <c r="AT91" s="187">
        <f t="shared" si="204"/>
        <v>0</v>
      </c>
      <c r="AU91" s="187">
        <f t="shared" si="204"/>
        <v>0</v>
      </c>
      <c r="AV91" s="73">
        <f t="shared" si="175"/>
        <v>0</v>
      </c>
      <c r="AW91" s="187">
        <f t="shared" si="175"/>
        <v>0</v>
      </c>
      <c r="AX91" s="187">
        <f t="shared" si="175"/>
        <v>0</v>
      </c>
      <c r="AY91" s="187">
        <f t="shared" si="175"/>
        <v>0</v>
      </c>
      <c r="AZ91" s="187">
        <f t="shared" si="175"/>
        <v>0</v>
      </c>
      <c r="BA91" s="187">
        <f t="shared" si="175"/>
        <v>0</v>
      </c>
      <c r="BB91" s="187">
        <f t="shared" si="219"/>
        <v>0</v>
      </c>
      <c r="BC91" s="187">
        <f t="shared" si="175"/>
        <v>0</v>
      </c>
      <c r="BD91" s="19">
        <f t="shared" si="192"/>
        <v>0</v>
      </c>
      <c r="BE91" s="187">
        <f t="shared" si="192"/>
        <v>0</v>
      </c>
      <c r="BF91" s="187">
        <f t="shared" si="192"/>
        <v>0</v>
      </c>
      <c r="BG91" s="187">
        <f t="shared" si="192"/>
        <v>0</v>
      </c>
      <c r="BH91" s="187">
        <f t="shared" si="192"/>
        <v>0</v>
      </c>
      <c r="BI91" s="187">
        <f t="shared" si="205"/>
        <v>0</v>
      </c>
      <c r="BJ91" s="187">
        <f t="shared" si="205"/>
        <v>0</v>
      </c>
      <c r="BK91" s="187">
        <f t="shared" si="205"/>
        <v>0</v>
      </c>
      <c r="BL91" s="223">
        <f t="shared" si="206"/>
        <v>0</v>
      </c>
      <c r="BM91" s="249">
        <f t="shared" si="206"/>
        <v>0</v>
      </c>
      <c r="BN91" s="249">
        <f t="shared" si="206"/>
        <v>0</v>
      </c>
      <c r="BO91" s="249">
        <f t="shared" si="206"/>
        <v>0</v>
      </c>
      <c r="BP91" s="249">
        <f t="shared" si="206"/>
        <v>0</v>
      </c>
      <c r="BQ91" s="187">
        <f t="shared" si="207"/>
        <v>0</v>
      </c>
      <c r="BR91" s="187">
        <f t="shared" si="207"/>
        <v>0</v>
      </c>
      <c r="BS91" s="187">
        <f t="shared" si="207"/>
        <v>0</v>
      </c>
      <c r="BT91" s="73">
        <f t="shared" si="218"/>
        <v>0</v>
      </c>
      <c r="BU91" s="187">
        <f t="shared" si="218"/>
        <v>0</v>
      </c>
      <c r="BV91" s="187">
        <f t="shared" si="218"/>
        <v>0</v>
      </c>
      <c r="BW91" s="187">
        <f t="shared" si="218"/>
        <v>0</v>
      </c>
      <c r="BX91" s="187">
        <f t="shared" si="218"/>
        <v>0</v>
      </c>
      <c r="BY91" s="187">
        <f t="shared" si="208"/>
        <v>0</v>
      </c>
      <c r="BZ91" s="187">
        <f t="shared" si="208"/>
        <v>0</v>
      </c>
      <c r="CA91" s="187">
        <f t="shared" si="208"/>
        <v>0</v>
      </c>
      <c r="CB91" s="73">
        <f t="shared" si="176"/>
        <v>0</v>
      </c>
      <c r="CC91" s="187">
        <f t="shared" si="176"/>
        <v>0</v>
      </c>
      <c r="CD91" s="187">
        <f t="shared" si="176"/>
        <v>0</v>
      </c>
      <c r="CE91" s="187">
        <f t="shared" si="176"/>
        <v>0</v>
      </c>
      <c r="CF91" s="187">
        <f t="shared" si="176"/>
        <v>0</v>
      </c>
      <c r="CG91" s="187">
        <f t="shared" si="209"/>
        <v>0</v>
      </c>
      <c r="CH91" s="187">
        <f t="shared" si="209"/>
        <v>0</v>
      </c>
      <c r="CI91" s="187">
        <f t="shared" si="209"/>
        <v>0</v>
      </c>
      <c r="CJ91" s="73">
        <f t="shared" si="210"/>
        <v>0</v>
      </c>
      <c r="CK91" s="187">
        <f t="shared" si="210"/>
        <v>0</v>
      </c>
      <c r="CL91" s="187">
        <f t="shared" si="210"/>
        <v>0</v>
      </c>
      <c r="CM91" s="187">
        <f t="shared" si="210"/>
        <v>0</v>
      </c>
      <c r="CN91" s="187">
        <f t="shared" si="210"/>
        <v>0</v>
      </c>
      <c r="CO91" s="187">
        <f t="shared" si="211"/>
        <v>0</v>
      </c>
      <c r="CP91" s="187">
        <f t="shared" si="211"/>
        <v>0</v>
      </c>
      <c r="CQ91" s="187">
        <f t="shared" si="211"/>
        <v>0</v>
      </c>
      <c r="CR91" s="73">
        <f t="shared" si="212"/>
        <v>0</v>
      </c>
      <c r="CS91" s="187">
        <f t="shared" si="212"/>
        <v>0</v>
      </c>
      <c r="CT91" s="187">
        <f t="shared" si="212"/>
        <v>0</v>
      </c>
      <c r="CU91" s="187">
        <f t="shared" si="212"/>
        <v>0</v>
      </c>
      <c r="CV91" s="187">
        <f t="shared" si="212"/>
        <v>0</v>
      </c>
      <c r="CW91" s="187">
        <f t="shared" si="213"/>
        <v>0</v>
      </c>
      <c r="CX91" s="187">
        <f t="shared" si="213"/>
        <v>0</v>
      </c>
      <c r="CY91" s="187">
        <f t="shared" si="213"/>
        <v>0</v>
      </c>
      <c r="CZ91" s="199"/>
    </row>
    <row r="92" spans="1:104" ht="26.25" hidden="1" customHeight="1" outlineLevel="1" x14ac:dyDescent="0.4">
      <c r="A92" s="380"/>
      <c r="B92" s="380"/>
      <c r="C92" s="380"/>
      <c r="D92" s="382"/>
      <c r="E92" s="382"/>
      <c r="F92" s="382"/>
      <c r="G92" s="416"/>
      <c r="H92" s="490"/>
      <c r="I92" s="490"/>
      <c r="J92" s="498"/>
      <c r="K92" s="492"/>
      <c r="L92" s="492"/>
      <c r="M92" s="494"/>
      <c r="N92" s="39" t="s">
        <v>25</v>
      </c>
      <c r="O92" s="207">
        <f t="shared" si="200"/>
        <v>0</v>
      </c>
      <c r="P92" s="207">
        <f t="shared" si="200"/>
        <v>0</v>
      </c>
      <c r="Q92" s="207">
        <f t="shared" si="200"/>
        <v>0</v>
      </c>
      <c r="R92" s="207">
        <f t="shared" si="200"/>
        <v>0</v>
      </c>
      <c r="S92" s="207">
        <f t="shared" si="200"/>
        <v>0</v>
      </c>
      <c r="T92" s="207">
        <f t="shared" si="200"/>
        <v>0</v>
      </c>
      <c r="U92" s="49">
        <f t="shared" si="200"/>
        <v>0</v>
      </c>
      <c r="V92" s="57">
        <f t="shared" si="217"/>
        <v>0</v>
      </c>
      <c r="W92" s="18">
        <f t="shared" si="217"/>
        <v>0</v>
      </c>
      <c r="X92" s="18">
        <f t="shared" si="217"/>
        <v>0</v>
      </c>
      <c r="Y92" s="18">
        <f t="shared" si="217"/>
        <v>0</v>
      </c>
      <c r="Z92" s="18">
        <f t="shared" si="217"/>
        <v>0</v>
      </c>
      <c r="AA92" s="18">
        <f t="shared" si="214"/>
        <v>0</v>
      </c>
      <c r="AB92" s="42">
        <f t="shared" si="190"/>
        <v>0</v>
      </c>
      <c r="AC92" s="52">
        <f t="shared" si="190"/>
        <v>0</v>
      </c>
      <c r="AD92" s="207">
        <f t="shared" si="190"/>
        <v>0</v>
      </c>
      <c r="AE92" s="207">
        <f t="shared" si="190"/>
        <v>0</v>
      </c>
      <c r="AF92" s="207">
        <f t="shared" si="190"/>
        <v>0</v>
      </c>
      <c r="AG92" s="18">
        <f t="shared" si="190"/>
        <v>0</v>
      </c>
      <c r="AH92" s="51">
        <f t="shared" si="195"/>
        <v>0</v>
      </c>
      <c r="AI92" s="52">
        <f t="shared" si="195"/>
        <v>0</v>
      </c>
      <c r="AJ92" s="52">
        <f t="shared" si="195"/>
        <v>0</v>
      </c>
      <c r="AK92" s="52">
        <f t="shared" si="195"/>
        <v>0</v>
      </c>
      <c r="AL92" s="52">
        <f t="shared" si="195"/>
        <v>0</v>
      </c>
      <c r="AM92" s="18">
        <f t="shared" si="203"/>
        <v>0</v>
      </c>
      <c r="AN92" s="42">
        <f t="shared" si="191"/>
        <v>0</v>
      </c>
      <c r="AO92" s="207">
        <f t="shared" si="191"/>
        <v>0</v>
      </c>
      <c r="AP92" s="207">
        <f t="shared" si="191"/>
        <v>0</v>
      </c>
      <c r="AQ92" s="207">
        <f t="shared" si="191"/>
        <v>0</v>
      </c>
      <c r="AR92" s="207">
        <f t="shared" si="191"/>
        <v>0</v>
      </c>
      <c r="AS92" s="207">
        <f t="shared" si="204"/>
        <v>0</v>
      </c>
      <c r="AT92" s="207">
        <f t="shared" si="204"/>
        <v>0</v>
      </c>
      <c r="AU92" s="18">
        <f t="shared" si="204"/>
        <v>0</v>
      </c>
      <c r="AV92" s="42">
        <f t="shared" si="175"/>
        <v>0</v>
      </c>
      <c r="AW92" s="207">
        <f t="shared" si="175"/>
        <v>0</v>
      </c>
      <c r="AX92" s="207">
        <f t="shared" si="175"/>
        <v>0</v>
      </c>
      <c r="AY92" s="207">
        <f t="shared" si="175"/>
        <v>0</v>
      </c>
      <c r="AZ92" s="207">
        <f t="shared" si="175"/>
        <v>0</v>
      </c>
      <c r="BA92" s="207">
        <f t="shared" si="175"/>
        <v>0</v>
      </c>
      <c r="BB92" s="207">
        <f t="shared" si="219"/>
        <v>0</v>
      </c>
      <c r="BC92" s="18">
        <f t="shared" si="175"/>
        <v>0</v>
      </c>
      <c r="BD92" s="42">
        <f t="shared" si="192"/>
        <v>0</v>
      </c>
      <c r="BE92" s="207">
        <f t="shared" si="192"/>
        <v>0</v>
      </c>
      <c r="BF92" s="207">
        <f t="shared" si="192"/>
        <v>0</v>
      </c>
      <c r="BG92" s="207">
        <f t="shared" si="192"/>
        <v>0</v>
      </c>
      <c r="BH92" s="207">
        <f t="shared" si="192"/>
        <v>0</v>
      </c>
      <c r="BI92" s="207">
        <f t="shared" si="205"/>
        <v>0</v>
      </c>
      <c r="BJ92" s="207">
        <f t="shared" si="205"/>
        <v>0</v>
      </c>
      <c r="BK92" s="18">
        <f t="shared" si="205"/>
        <v>0</v>
      </c>
      <c r="BL92" s="20">
        <f t="shared" si="206"/>
        <v>0</v>
      </c>
      <c r="BM92" s="207">
        <f t="shared" si="206"/>
        <v>0</v>
      </c>
      <c r="BN92" s="207">
        <f t="shared" si="206"/>
        <v>0</v>
      </c>
      <c r="BO92" s="207">
        <f t="shared" si="206"/>
        <v>0</v>
      </c>
      <c r="BP92" s="207">
        <f t="shared" si="206"/>
        <v>0</v>
      </c>
      <c r="BQ92" s="207">
        <f t="shared" si="207"/>
        <v>0</v>
      </c>
      <c r="BR92" s="207">
        <f t="shared" si="207"/>
        <v>0</v>
      </c>
      <c r="BS92" s="18">
        <f t="shared" si="207"/>
        <v>0</v>
      </c>
      <c r="BT92" s="224">
        <f t="shared" si="218"/>
        <v>0</v>
      </c>
      <c r="BU92" s="207">
        <f t="shared" si="218"/>
        <v>0</v>
      </c>
      <c r="BV92" s="207">
        <f t="shared" si="218"/>
        <v>0</v>
      </c>
      <c r="BW92" s="207">
        <f t="shared" si="218"/>
        <v>0</v>
      </c>
      <c r="BX92" s="207">
        <f t="shared" si="218"/>
        <v>0</v>
      </c>
      <c r="BY92" s="207">
        <f t="shared" si="208"/>
        <v>0</v>
      </c>
      <c r="BZ92" s="207">
        <f t="shared" si="208"/>
        <v>0</v>
      </c>
      <c r="CA92" s="18">
        <f t="shared" si="208"/>
        <v>0</v>
      </c>
      <c r="CB92" s="224">
        <f t="shared" si="176"/>
        <v>0</v>
      </c>
      <c r="CC92" s="250">
        <f t="shared" si="176"/>
        <v>0</v>
      </c>
      <c r="CD92" s="250">
        <f t="shared" si="176"/>
        <v>0</v>
      </c>
      <c r="CE92" s="250">
        <f t="shared" si="176"/>
        <v>0</v>
      </c>
      <c r="CF92" s="250">
        <f t="shared" si="176"/>
        <v>0</v>
      </c>
      <c r="CG92" s="207">
        <f t="shared" si="209"/>
        <v>0</v>
      </c>
      <c r="CH92" s="207">
        <f t="shared" si="209"/>
        <v>0</v>
      </c>
      <c r="CI92" s="18">
        <f t="shared" si="209"/>
        <v>0</v>
      </c>
      <c r="CJ92" s="224">
        <f t="shared" si="210"/>
        <v>0</v>
      </c>
      <c r="CK92" s="207">
        <f t="shared" si="210"/>
        <v>0</v>
      </c>
      <c r="CL92" s="207">
        <f t="shared" si="210"/>
        <v>0</v>
      </c>
      <c r="CM92" s="207">
        <f t="shared" si="210"/>
        <v>0</v>
      </c>
      <c r="CN92" s="207">
        <f t="shared" si="210"/>
        <v>0</v>
      </c>
      <c r="CO92" s="207">
        <f t="shared" si="211"/>
        <v>0</v>
      </c>
      <c r="CP92" s="207">
        <f t="shared" si="211"/>
        <v>0</v>
      </c>
      <c r="CQ92" s="18">
        <f t="shared" si="211"/>
        <v>0</v>
      </c>
      <c r="CR92" s="42">
        <f t="shared" si="212"/>
        <v>0</v>
      </c>
      <c r="CS92" s="207">
        <f t="shared" si="212"/>
        <v>0</v>
      </c>
      <c r="CT92" s="207">
        <f t="shared" si="212"/>
        <v>0</v>
      </c>
      <c r="CU92" s="207">
        <f t="shared" si="212"/>
        <v>0</v>
      </c>
      <c r="CV92" s="207">
        <f t="shared" si="212"/>
        <v>0</v>
      </c>
      <c r="CW92" s="207">
        <f t="shared" si="213"/>
        <v>0</v>
      </c>
      <c r="CX92" s="207">
        <f t="shared" si="213"/>
        <v>0</v>
      </c>
      <c r="CY92" s="207">
        <f t="shared" si="213"/>
        <v>0</v>
      </c>
      <c r="CZ92" s="199"/>
    </row>
    <row r="93" spans="1:104" ht="26.25" hidden="1" customHeight="1" outlineLevel="1" x14ac:dyDescent="0.4">
      <c r="A93" s="379">
        <v>44</v>
      </c>
      <c r="B93" s="379" t="s">
        <v>45</v>
      </c>
      <c r="C93" s="379" t="s">
        <v>346</v>
      </c>
      <c r="D93" s="381"/>
      <c r="E93" s="381"/>
      <c r="F93" s="381"/>
      <c r="G93" s="416"/>
      <c r="H93" s="489">
        <f t="shared" ref="H93" si="222">SUM(BT93:CA93)</f>
        <v>0</v>
      </c>
      <c r="I93" s="489">
        <f t="shared" ref="I93" si="223">SUM(BT94:CA94)</f>
        <v>0</v>
      </c>
      <c r="J93" s="497"/>
      <c r="K93" s="491"/>
      <c r="L93" s="491"/>
      <c r="M93" s="493"/>
      <c r="N93" s="48" t="s">
        <v>24</v>
      </c>
      <c r="O93" s="187">
        <f t="shared" si="200"/>
        <v>0</v>
      </c>
      <c r="P93" s="187">
        <f t="shared" si="200"/>
        <v>0</v>
      </c>
      <c r="Q93" s="187">
        <f t="shared" si="200"/>
        <v>0</v>
      </c>
      <c r="R93" s="187">
        <f t="shared" si="200"/>
        <v>0</v>
      </c>
      <c r="S93" s="187">
        <f t="shared" si="200"/>
        <v>0</v>
      </c>
      <c r="T93" s="187">
        <f t="shared" si="200"/>
        <v>0</v>
      </c>
      <c r="U93" s="82">
        <f t="shared" si="200"/>
        <v>0</v>
      </c>
      <c r="V93" s="19">
        <f t="shared" si="217"/>
        <v>0</v>
      </c>
      <c r="W93" s="187">
        <f t="shared" si="217"/>
        <v>0</v>
      </c>
      <c r="X93" s="187">
        <f t="shared" si="217"/>
        <v>0</v>
      </c>
      <c r="Y93" s="187">
        <f t="shared" si="217"/>
        <v>0</v>
      </c>
      <c r="Z93" s="187">
        <f t="shared" si="217"/>
        <v>0</v>
      </c>
      <c r="AA93" s="187">
        <f t="shared" si="214"/>
        <v>0</v>
      </c>
      <c r="AB93" s="19">
        <f t="shared" si="190"/>
        <v>0</v>
      </c>
      <c r="AC93" s="187">
        <f t="shared" si="190"/>
        <v>0</v>
      </c>
      <c r="AD93" s="249">
        <f t="shared" si="190"/>
        <v>0</v>
      </c>
      <c r="AE93" s="187">
        <f t="shared" si="190"/>
        <v>0</v>
      </c>
      <c r="AF93" s="187">
        <f t="shared" si="190"/>
        <v>0</v>
      </c>
      <c r="AG93" s="187">
        <f t="shared" si="190"/>
        <v>0</v>
      </c>
      <c r="AH93" s="19">
        <f t="shared" si="195"/>
        <v>0</v>
      </c>
      <c r="AI93" s="187">
        <f t="shared" si="195"/>
        <v>0</v>
      </c>
      <c r="AJ93" s="187">
        <f t="shared" si="195"/>
        <v>0</v>
      </c>
      <c r="AK93" s="187">
        <f t="shared" si="195"/>
        <v>0</v>
      </c>
      <c r="AL93" s="187">
        <f t="shared" si="195"/>
        <v>0</v>
      </c>
      <c r="AM93" s="187">
        <f t="shared" si="203"/>
        <v>0</v>
      </c>
      <c r="AN93" s="19">
        <f t="shared" si="191"/>
        <v>0</v>
      </c>
      <c r="AO93" s="187">
        <f t="shared" si="191"/>
        <v>0</v>
      </c>
      <c r="AP93" s="187">
        <f t="shared" si="191"/>
        <v>0</v>
      </c>
      <c r="AQ93" s="187">
        <f t="shared" si="191"/>
        <v>0</v>
      </c>
      <c r="AR93" s="187">
        <f t="shared" si="191"/>
        <v>0</v>
      </c>
      <c r="AS93" s="187">
        <f t="shared" si="204"/>
        <v>0</v>
      </c>
      <c r="AT93" s="187">
        <f t="shared" si="204"/>
        <v>0</v>
      </c>
      <c r="AU93" s="187">
        <f t="shared" si="204"/>
        <v>0</v>
      </c>
      <c r="AV93" s="73">
        <f t="shared" si="175"/>
        <v>0</v>
      </c>
      <c r="AW93" s="187">
        <f t="shared" si="175"/>
        <v>0</v>
      </c>
      <c r="AX93" s="187">
        <f t="shared" si="175"/>
        <v>0</v>
      </c>
      <c r="AY93" s="187">
        <f t="shared" si="175"/>
        <v>0</v>
      </c>
      <c r="AZ93" s="187">
        <f t="shared" si="175"/>
        <v>0</v>
      </c>
      <c r="BA93" s="187">
        <f t="shared" si="175"/>
        <v>0</v>
      </c>
      <c r="BB93" s="187">
        <f t="shared" si="219"/>
        <v>0</v>
      </c>
      <c r="BC93" s="187">
        <f t="shared" si="175"/>
        <v>0</v>
      </c>
      <c r="BD93" s="19">
        <f t="shared" si="192"/>
        <v>0</v>
      </c>
      <c r="BE93" s="187">
        <f t="shared" si="192"/>
        <v>0</v>
      </c>
      <c r="BF93" s="187">
        <f t="shared" si="192"/>
        <v>0</v>
      </c>
      <c r="BG93" s="187">
        <f t="shared" si="192"/>
        <v>0</v>
      </c>
      <c r="BH93" s="187">
        <f t="shared" si="192"/>
        <v>0</v>
      </c>
      <c r="BI93" s="187">
        <f t="shared" si="205"/>
        <v>0</v>
      </c>
      <c r="BJ93" s="187">
        <f t="shared" si="205"/>
        <v>0</v>
      </c>
      <c r="BK93" s="187">
        <f t="shared" si="205"/>
        <v>0</v>
      </c>
      <c r="BL93" s="223">
        <f t="shared" si="206"/>
        <v>0</v>
      </c>
      <c r="BM93" s="249">
        <f t="shared" si="206"/>
        <v>0</v>
      </c>
      <c r="BN93" s="249">
        <f t="shared" si="206"/>
        <v>0</v>
      </c>
      <c r="BO93" s="249">
        <f t="shared" si="206"/>
        <v>0</v>
      </c>
      <c r="BP93" s="249">
        <f t="shared" si="206"/>
        <v>0</v>
      </c>
      <c r="BQ93" s="187">
        <f t="shared" si="207"/>
        <v>0</v>
      </c>
      <c r="BR93" s="187">
        <f t="shared" si="207"/>
        <v>0</v>
      </c>
      <c r="BS93" s="187">
        <f t="shared" si="207"/>
        <v>0</v>
      </c>
      <c r="BT93" s="73">
        <f t="shared" si="218"/>
        <v>0</v>
      </c>
      <c r="BU93" s="187">
        <f t="shared" si="218"/>
        <v>0</v>
      </c>
      <c r="BV93" s="187">
        <f t="shared" si="218"/>
        <v>0</v>
      </c>
      <c r="BW93" s="187">
        <f t="shared" si="218"/>
        <v>0</v>
      </c>
      <c r="BX93" s="187">
        <f t="shared" si="218"/>
        <v>0</v>
      </c>
      <c r="BY93" s="187">
        <f t="shared" si="208"/>
        <v>0</v>
      </c>
      <c r="BZ93" s="187">
        <f t="shared" si="208"/>
        <v>0</v>
      </c>
      <c r="CA93" s="187">
        <f t="shared" si="208"/>
        <v>0</v>
      </c>
      <c r="CB93" s="73">
        <f t="shared" si="176"/>
        <v>0</v>
      </c>
      <c r="CC93" s="187">
        <f t="shared" si="176"/>
        <v>0</v>
      </c>
      <c r="CD93" s="187">
        <f t="shared" si="176"/>
        <v>0</v>
      </c>
      <c r="CE93" s="187">
        <f t="shared" si="176"/>
        <v>0</v>
      </c>
      <c r="CF93" s="187">
        <f t="shared" si="176"/>
        <v>0</v>
      </c>
      <c r="CG93" s="187">
        <f t="shared" si="209"/>
        <v>0</v>
      </c>
      <c r="CH93" s="187">
        <f t="shared" si="209"/>
        <v>0</v>
      </c>
      <c r="CI93" s="187">
        <f t="shared" si="209"/>
        <v>0</v>
      </c>
      <c r="CJ93" s="73">
        <f t="shared" si="210"/>
        <v>0</v>
      </c>
      <c r="CK93" s="187">
        <f t="shared" si="210"/>
        <v>0</v>
      </c>
      <c r="CL93" s="187">
        <f t="shared" si="210"/>
        <v>0</v>
      </c>
      <c r="CM93" s="187">
        <f t="shared" si="210"/>
        <v>0</v>
      </c>
      <c r="CN93" s="187">
        <f t="shared" si="210"/>
        <v>0</v>
      </c>
      <c r="CO93" s="187">
        <f t="shared" si="211"/>
        <v>0</v>
      </c>
      <c r="CP93" s="187">
        <f t="shared" si="211"/>
        <v>0</v>
      </c>
      <c r="CQ93" s="187">
        <f t="shared" si="211"/>
        <v>0</v>
      </c>
      <c r="CR93" s="73">
        <f t="shared" si="212"/>
        <v>0</v>
      </c>
      <c r="CS93" s="187">
        <f t="shared" si="212"/>
        <v>0</v>
      </c>
      <c r="CT93" s="187">
        <f t="shared" si="212"/>
        <v>0</v>
      </c>
      <c r="CU93" s="187">
        <f t="shared" si="212"/>
        <v>0</v>
      </c>
      <c r="CV93" s="187">
        <f t="shared" si="212"/>
        <v>0</v>
      </c>
      <c r="CW93" s="187">
        <f t="shared" si="213"/>
        <v>0</v>
      </c>
      <c r="CX93" s="187">
        <f t="shared" si="213"/>
        <v>0</v>
      </c>
      <c r="CY93" s="187">
        <f t="shared" si="213"/>
        <v>0</v>
      </c>
      <c r="CZ93" s="199"/>
    </row>
    <row r="94" spans="1:104" ht="26.25" hidden="1" customHeight="1" outlineLevel="1" x14ac:dyDescent="0.4">
      <c r="A94" s="380"/>
      <c r="B94" s="380"/>
      <c r="C94" s="380"/>
      <c r="D94" s="382"/>
      <c r="E94" s="382"/>
      <c r="F94" s="382"/>
      <c r="G94" s="416"/>
      <c r="H94" s="490"/>
      <c r="I94" s="490"/>
      <c r="J94" s="498"/>
      <c r="K94" s="492"/>
      <c r="L94" s="492"/>
      <c r="M94" s="494"/>
      <c r="N94" s="39" t="s">
        <v>25</v>
      </c>
      <c r="O94" s="207">
        <f t="shared" si="200"/>
        <v>0</v>
      </c>
      <c r="P94" s="207">
        <f t="shared" si="200"/>
        <v>0</v>
      </c>
      <c r="Q94" s="207">
        <f t="shared" si="200"/>
        <v>0</v>
      </c>
      <c r="R94" s="207">
        <f t="shared" si="200"/>
        <v>0</v>
      </c>
      <c r="S94" s="207">
        <f t="shared" si="200"/>
        <v>0</v>
      </c>
      <c r="T94" s="207">
        <f t="shared" si="200"/>
        <v>0</v>
      </c>
      <c r="U94" s="49">
        <f t="shared" si="200"/>
        <v>0</v>
      </c>
      <c r="V94" s="57">
        <f t="shared" si="217"/>
        <v>0</v>
      </c>
      <c r="W94" s="18">
        <f t="shared" si="217"/>
        <v>0</v>
      </c>
      <c r="X94" s="18">
        <f t="shared" si="217"/>
        <v>0</v>
      </c>
      <c r="Y94" s="18">
        <f t="shared" si="217"/>
        <v>0</v>
      </c>
      <c r="Z94" s="18">
        <f t="shared" si="217"/>
        <v>0</v>
      </c>
      <c r="AA94" s="18">
        <f t="shared" si="214"/>
        <v>0</v>
      </c>
      <c r="AB94" s="42">
        <f t="shared" si="190"/>
        <v>0</v>
      </c>
      <c r="AC94" s="52">
        <f t="shared" si="190"/>
        <v>0</v>
      </c>
      <c r="AD94" s="207">
        <f t="shared" si="190"/>
        <v>0</v>
      </c>
      <c r="AE94" s="207">
        <f t="shared" si="190"/>
        <v>0</v>
      </c>
      <c r="AF94" s="207">
        <f t="shared" si="190"/>
        <v>0</v>
      </c>
      <c r="AG94" s="18">
        <f t="shared" si="190"/>
        <v>0</v>
      </c>
      <c r="AH94" s="51">
        <f t="shared" si="195"/>
        <v>0</v>
      </c>
      <c r="AI94" s="52">
        <f t="shared" si="195"/>
        <v>0</v>
      </c>
      <c r="AJ94" s="52">
        <f t="shared" si="195"/>
        <v>0</v>
      </c>
      <c r="AK94" s="52">
        <f t="shared" si="195"/>
        <v>0</v>
      </c>
      <c r="AL94" s="52">
        <f t="shared" si="195"/>
        <v>0</v>
      </c>
      <c r="AM94" s="18">
        <f t="shared" si="203"/>
        <v>0</v>
      </c>
      <c r="AN94" s="42">
        <f t="shared" si="191"/>
        <v>0</v>
      </c>
      <c r="AO94" s="207">
        <f t="shared" si="191"/>
        <v>0</v>
      </c>
      <c r="AP94" s="207">
        <f t="shared" si="191"/>
        <v>0</v>
      </c>
      <c r="AQ94" s="207">
        <f t="shared" si="191"/>
        <v>0</v>
      </c>
      <c r="AR94" s="207">
        <f t="shared" si="191"/>
        <v>0</v>
      </c>
      <c r="AS94" s="207">
        <f t="shared" si="204"/>
        <v>0</v>
      </c>
      <c r="AT94" s="207">
        <f t="shared" si="204"/>
        <v>0</v>
      </c>
      <c r="AU94" s="18">
        <f t="shared" si="204"/>
        <v>0</v>
      </c>
      <c r="AV94" s="42">
        <f t="shared" si="175"/>
        <v>0</v>
      </c>
      <c r="AW94" s="207">
        <f t="shared" si="175"/>
        <v>0</v>
      </c>
      <c r="AX94" s="207">
        <f t="shared" si="175"/>
        <v>0</v>
      </c>
      <c r="AY94" s="207">
        <f t="shared" si="175"/>
        <v>0</v>
      </c>
      <c r="AZ94" s="207">
        <f t="shared" si="175"/>
        <v>0</v>
      </c>
      <c r="BA94" s="207">
        <f t="shared" si="175"/>
        <v>0</v>
      </c>
      <c r="BB94" s="207">
        <f t="shared" si="219"/>
        <v>0</v>
      </c>
      <c r="BC94" s="18">
        <f t="shared" si="175"/>
        <v>0</v>
      </c>
      <c r="BD94" s="42">
        <f t="shared" si="192"/>
        <v>0</v>
      </c>
      <c r="BE94" s="207">
        <f t="shared" si="192"/>
        <v>0</v>
      </c>
      <c r="BF94" s="207">
        <f t="shared" si="192"/>
        <v>0</v>
      </c>
      <c r="BG94" s="207">
        <f t="shared" si="192"/>
        <v>0</v>
      </c>
      <c r="BH94" s="207">
        <f t="shared" si="192"/>
        <v>0</v>
      </c>
      <c r="BI94" s="207">
        <f t="shared" si="205"/>
        <v>0</v>
      </c>
      <c r="BJ94" s="207">
        <f t="shared" si="205"/>
        <v>0</v>
      </c>
      <c r="BK94" s="18">
        <f t="shared" si="205"/>
        <v>0</v>
      </c>
      <c r="BL94" s="20">
        <f t="shared" si="206"/>
        <v>0</v>
      </c>
      <c r="BM94" s="207">
        <f t="shared" si="206"/>
        <v>0</v>
      </c>
      <c r="BN94" s="207">
        <f t="shared" si="206"/>
        <v>0</v>
      </c>
      <c r="BO94" s="207">
        <f t="shared" si="206"/>
        <v>0</v>
      </c>
      <c r="BP94" s="207">
        <f t="shared" si="206"/>
        <v>0</v>
      </c>
      <c r="BQ94" s="207">
        <f t="shared" si="207"/>
        <v>0</v>
      </c>
      <c r="BR94" s="207">
        <f t="shared" si="207"/>
        <v>0</v>
      </c>
      <c r="BS94" s="18">
        <f t="shared" si="207"/>
        <v>0</v>
      </c>
      <c r="BT94" s="224">
        <f t="shared" si="218"/>
        <v>0</v>
      </c>
      <c r="BU94" s="207">
        <f t="shared" si="218"/>
        <v>0</v>
      </c>
      <c r="BV94" s="207">
        <f t="shared" si="218"/>
        <v>0</v>
      </c>
      <c r="BW94" s="207">
        <f t="shared" si="218"/>
        <v>0</v>
      </c>
      <c r="BX94" s="207">
        <f t="shared" si="218"/>
        <v>0</v>
      </c>
      <c r="BY94" s="207">
        <f t="shared" si="208"/>
        <v>0</v>
      </c>
      <c r="BZ94" s="207">
        <f t="shared" si="208"/>
        <v>0</v>
      </c>
      <c r="CA94" s="18">
        <f t="shared" si="208"/>
        <v>0</v>
      </c>
      <c r="CB94" s="224">
        <f t="shared" si="176"/>
        <v>0</v>
      </c>
      <c r="CC94" s="250">
        <f t="shared" si="176"/>
        <v>0</v>
      </c>
      <c r="CD94" s="250">
        <f t="shared" si="176"/>
        <v>0</v>
      </c>
      <c r="CE94" s="250">
        <f t="shared" si="176"/>
        <v>0</v>
      </c>
      <c r="CF94" s="250">
        <f t="shared" si="176"/>
        <v>0</v>
      </c>
      <c r="CG94" s="207">
        <f t="shared" si="209"/>
        <v>0</v>
      </c>
      <c r="CH94" s="207">
        <f t="shared" si="209"/>
        <v>0</v>
      </c>
      <c r="CI94" s="18">
        <f t="shared" si="209"/>
        <v>0</v>
      </c>
      <c r="CJ94" s="224">
        <f t="shared" si="210"/>
        <v>0</v>
      </c>
      <c r="CK94" s="207">
        <f t="shared" si="210"/>
        <v>0</v>
      </c>
      <c r="CL94" s="207">
        <f t="shared" si="210"/>
        <v>0</v>
      </c>
      <c r="CM94" s="207">
        <f t="shared" si="210"/>
        <v>0</v>
      </c>
      <c r="CN94" s="207">
        <f t="shared" si="210"/>
        <v>0</v>
      </c>
      <c r="CO94" s="207">
        <f t="shared" si="211"/>
        <v>0</v>
      </c>
      <c r="CP94" s="207">
        <f t="shared" si="211"/>
        <v>0</v>
      </c>
      <c r="CQ94" s="18">
        <f t="shared" si="211"/>
        <v>0</v>
      </c>
      <c r="CR94" s="42">
        <f t="shared" si="212"/>
        <v>0</v>
      </c>
      <c r="CS94" s="207">
        <f t="shared" si="212"/>
        <v>0</v>
      </c>
      <c r="CT94" s="207">
        <f t="shared" si="212"/>
        <v>0</v>
      </c>
      <c r="CU94" s="207">
        <f t="shared" si="212"/>
        <v>0</v>
      </c>
      <c r="CV94" s="207">
        <f t="shared" si="212"/>
        <v>0</v>
      </c>
      <c r="CW94" s="207">
        <f t="shared" si="213"/>
        <v>0</v>
      </c>
      <c r="CX94" s="207">
        <f t="shared" si="213"/>
        <v>0</v>
      </c>
      <c r="CY94" s="207">
        <f t="shared" si="213"/>
        <v>0</v>
      </c>
      <c r="CZ94" s="199"/>
    </row>
    <row r="95" spans="1:104" ht="26.25" hidden="1" customHeight="1" outlineLevel="1" collapsed="1" x14ac:dyDescent="0.4">
      <c r="A95" s="379">
        <v>45</v>
      </c>
      <c r="B95" s="379" t="s">
        <v>45</v>
      </c>
      <c r="C95" s="379" t="s">
        <v>346</v>
      </c>
      <c r="D95" s="381"/>
      <c r="E95" s="381"/>
      <c r="F95" s="381"/>
      <c r="G95" s="416"/>
      <c r="H95" s="489">
        <f t="shared" ref="H95" si="224">SUM(BT95:CA95)</f>
        <v>0</v>
      </c>
      <c r="I95" s="489">
        <f t="shared" ref="I95" si="225">SUM(BT96:CA96)</f>
        <v>0</v>
      </c>
      <c r="J95" s="497"/>
      <c r="K95" s="491"/>
      <c r="L95" s="491"/>
      <c r="M95" s="493"/>
      <c r="N95" s="48" t="s">
        <v>24</v>
      </c>
      <c r="O95" s="187">
        <f t="shared" si="200"/>
        <v>0</v>
      </c>
      <c r="P95" s="187">
        <f t="shared" si="200"/>
        <v>0</v>
      </c>
      <c r="Q95" s="187">
        <f t="shared" si="200"/>
        <v>0</v>
      </c>
      <c r="R95" s="187">
        <f t="shared" si="200"/>
        <v>0</v>
      </c>
      <c r="S95" s="187">
        <f t="shared" si="200"/>
        <v>0</v>
      </c>
      <c r="T95" s="187">
        <f t="shared" si="200"/>
        <v>0</v>
      </c>
      <c r="U95" s="82">
        <f t="shared" si="200"/>
        <v>0</v>
      </c>
      <c r="V95" s="19">
        <f t="shared" si="217"/>
        <v>0</v>
      </c>
      <c r="W95" s="187">
        <f t="shared" si="217"/>
        <v>0</v>
      </c>
      <c r="X95" s="187">
        <f t="shared" si="217"/>
        <v>0</v>
      </c>
      <c r="Y95" s="187">
        <f t="shared" si="217"/>
        <v>0</v>
      </c>
      <c r="Z95" s="187">
        <f t="shared" si="217"/>
        <v>0</v>
      </c>
      <c r="AA95" s="187">
        <f t="shared" si="214"/>
        <v>0</v>
      </c>
      <c r="AB95" s="19">
        <f t="shared" si="190"/>
        <v>0</v>
      </c>
      <c r="AC95" s="187">
        <f t="shared" si="190"/>
        <v>0</v>
      </c>
      <c r="AD95" s="249">
        <f t="shared" si="190"/>
        <v>0</v>
      </c>
      <c r="AE95" s="187">
        <f t="shared" si="190"/>
        <v>0</v>
      </c>
      <c r="AF95" s="187">
        <f t="shared" si="190"/>
        <v>0</v>
      </c>
      <c r="AG95" s="187">
        <f t="shared" si="190"/>
        <v>0</v>
      </c>
      <c r="AH95" s="19">
        <f t="shared" si="195"/>
        <v>0</v>
      </c>
      <c r="AI95" s="187">
        <f t="shared" si="195"/>
        <v>0</v>
      </c>
      <c r="AJ95" s="187">
        <f t="shared" si="195"/>
        <v>0</v>
      </c>
      <c r="AK95" s="187">
        <f t="shared" si="195"/>
        <v>0</v>
      </c>
      <c r="AL95" s="187">
        <f t="shared" si="195"/>
        <v>0</v>
      </c>
      <c r="AM95" s="187">
        <f t="shared" si="203"/>
        <v>0</v>
      </c>
      <c r="AN95" s="19">
        <f t="shared" si="191"/>
        <v>0</v>
      </c>
      <c r="AO95" s="187">
        <f t="shared" si="191"/>
        <v>0</v>
      </c>
      <c r="AP95" s="187">
        <f t="shared" si="191"/>
        <v>0</v>
      </c>
      <c r="AQ95" s="187">
        <f t="shared" si="191"/>
        <v>0</v>
      </c>
      <c r="AR95" s="187">
        <f t="shared" si="191"/>
        <v>0</v>
      </c>
      <c r="AS95" s="187">
        <f t="shared" si="204"/>
        <v>0</v>
      </c>
      <c r="AT95" s="187">
        <f t="shared" si="204"/>
        <v>0</v>
      </c>
      <c r="AU95" s="187">
        <f t="shared" si="204"/>
        <v>0</v>
      </c>
      <c r="AV95" s="73">
        <f t="shared" si="175"/>
        <v>0</v>
      </c>
      <c r="AW95" s="187">
        <f t="shared" si="175"/>
        <v>0</v>
      </c>
      <c r="AX95" s="187">
        <f t="shared" si="175"/>
        <v>0</v>
      </c>
      <c r="AY95" s="187">
        <f t="shared" si="175"/>
        <v>0</v>
      </c>
      <c r="AZ95" s="187">
        <f t="shared" si="175"/>
        <v>0</v>
      </c>
      <c r="BA95" s="187">
        <f t="shared" si="175"/>
        <v>0</v>
      </c>
      <c r="BB95" s="187">
        <f t="shared" si="219"/>
        <v>0</v>
      </c>
      <c r="BC95" s="187">
        <f t="shared" si="175"/>
        <v>0</v>
      </c>
      <c r="BD95" s="19">
        <f t="shared" si="192"/>
        <v>0</v>
      </c>
      <c r="BE95" s="187">
        <f t="shared" si="192"/>
        <v>0</v>
      </c>
      <c r="BF95" s="187">
        <f t="shared" si="192"/>
        <v>0</v>
      </c>
      <c r="BG95" s="187">
        <f t="shared" si="192"/>
        <v>0</v>
      </c>
      <c r="BH95" s="187">
        <f t="shared" si="192"/>
        <v>0</v>
      </c>
      <c r="BI95" s="187">
        <f t="shared" si="205"/>
        <v>0</v>
      </c>
      <c r="BJ95" s="187">
        <f t="shared" si="205"/>
        <v>0</v>
      </c>
      <c r="BK95" s="187">
        <f t="shared" si="205"/>
        <v>0</v>
      </c>
      <c r="BL95" s="223">
        <f t="shared" si="206"/>
        <v>0</v>
      </c>
      <c r="BM95" s="249">
        <f t="shared" si="206"/>
        <v>0</v>
      </c>
      <c r="BN95" s="249">
        <f t="shared" si="206"/>
        <v>0</v>
      </c>
      <c r="BO95" s="249">
        <f t="shared" si="206"/>
        <v>0</v>
      </c>
      <c r="BP95" s="249">
        <f t="shared" si="206"/>
        <v>0</v>
      </c>
      <c r="BQ95" s="187">
        <f t="shared" si="207"/>
        <v>0</v>
      </c>
      <c r="BR95" s="187">
        <f t="shared" si="207"/>
        <v>0</v>
      </c>
      <c r="BS95" s="187">
        <f t="shared" si="207"/>
        <v>0</v>
      </c>
      <c r="BT95" s="73">
        <f t="shared" si="218"/>
        <v>0</v>
      </c>
      <c r="BU95" s="187">
        <f t="shared" si="218"/>
        <v>0</v>
      </c>
      <c r="BV95" s="187">
        <f t="shared" si="218"/>
        <v>0</v>
      </c>
      <c r="BW95" s="187">
        <f t="shared" si="218"/>
        <v>0</v>
      </c>
      <c r="BX95" s="187">
        <f t="shared" si="218"/>
        <v>0</v>
      </c>
      <c r="BY95" s="187">
        <f t="shared" si="208"/>
        <v>0</v>
      </c>
      <c r="BZ95" s="187">
        <f t="shared" si="208"/>
        <v>0</v>
      </c>
      <c r="CA95" s="187">
        <f t="shared" si="208"/>
        <v>0</v>
      </c>
      <c r="CB95" s="73">
        <f t="shared" si="176"/>
        <v>0</v>
      </c>
      <c r="CC95" s="187">
        <f t="shared" si="176"/>
        <v>0</v>
      </c>
      <c r="CD95" s="187">
        <f t="shared" si="176"/>
        <v>0</v>
      </c>
      <c r="CE95" s="187">
        <f t="shared" si="176"/>
        <v>0</v>
      </c>
      <c r="CF95" s="187">
        <f t="shared" si="176"/>
        <v>0</v>
      </c>
      <c r="CG95" s="187">
        <f t="shared" si="209"/>
        <v>0</v>
      </c>
      <c r="CH95" s="187">
        <f t="shared" si="209"/>
        <v>0</v>
      </c>
      <c r="CI95" s="187">
        <f t="shared" si="209"/>
        <v>0</v>
      </c>
      <c r="CJ95" s="73">
        <f t="shared" si="210"/>
        <v>0</v>
      </c>
      <c r="CK95" s="187">
        <f t="shared" si="210"/>
        <v>0</v>
      </c>
      <c r="CL95" s="187">
        <f t="shared" si="210"/>
        <v>0</v>
      </c>
      <c r="CM95" s="187">
        <f t="shared" si="210"/>
        <v>0</v>
      </c>
      <c r="CN95" s="187">
        <f t="shared" si="210"/>
        <v>0</v>
      </c>
      <c r="CO95" s="187">
        <f t="shared" si="211"/>
        <v>0</v>
      </c>
      <c r="CP95" s="187">
        <f t="shared" si="211"/>
        <v>0</v>
      </c>
      <c r="CQ95" s="187">
        <f t="shared" si="211"/>
        <v>0</v>
      </c>
      <c r="CR95" s="73">
        <f t="shared" si="212"/>
        <v>0</v>
      </c>
      <c r="CS95" s="187">
        <f t="shared" si="212"/>
        <v>0</v>
      </c>
      <c r="CT95" s="187">
        <f t="shared" si="212"/>
        <v>0</v>
      </c>
      <c r="CU95" s="187">
        <f t="shared" si="212"/>
        <v>0</v>
      </c>
      <c r="CV95" s="187">
        <f t="shared" si="212"/>
        <v>0</v>
      </c>
      <c r="CW95" s="187">
        <f t="shared" si="213"/>
        <v>0</v>
      </c>
      <c r="CX95" s="187">
        <f t="shared" si="213"/>
        <v>0</v>
      </c>
      <c r="CY95" s="187">
        <f t="shared" si="213"/>
        <v>0</v>
      </c>
      <c r="CZ95" s="199"/>
    </row>
    <row r="96" spans="1:104" ht="26.25" hidden="1" customHeight="1" outlineLevel="1" x14ac:dyDescent="0.4">
      <c r="A96" s="380"/>
      <c r="B96" s="380"/>
      <c r="C96" s="380"/>
      <c r="D96" s="382"/>
      <c r="E96" s="382"/>
      <c r="F96" s="382"/>
      <c r="G96" s="416"/>
      <c r="H96" s="490"/>
      <c r="I96" s="490"/>
      <c r="J96" s="498"/>
      <c r="K96" s="492"/>
      <c r="L96" s="492"/>
      <c r="M96" s="494"/>
      <c r="N96" s="39" t="s">
        <v>25</v>
      </c>
      <c r="O96" s="207">
        <f t="shared" si="200"/>
        <v>0</v>
      </c>
      <c r="P96" s="207">
        <f t="shared" si="200"/>
        <v>0</v>
      </c>
      <c r="Q96" s="207">
        <f t="shared" si="200"/>
        <v>0</v>
      </c>
      <c r="R96" s="207">
        <f t="shared" si="200"/>
        <v>0</v>
      </c>
      <c r="S96" s="207">
        <f t="shared" si="200"/>
        <v>0</v>
      </c>
      <c r="T96" s="207">
        <f t="shared" si="200"/>
        <v>0</v>
      </c>
      <c r="U96" s="49">
        <f t="shared" si="200"/>
        <v>0</v>
      </c>
      <c r="V96" s="57">
        <f t="shared" si="217"/>
        <v>0</v>
      </c>
      <c r="W96" s="18">
        <f t="shared" si="217"/>
        <v>0</v>
      </c>
      <c r="X96" s="18">
        <f t="shared" si="217"/>
        <v>0</v>
      </c>
      <c r="Y96" s="18">
        <f t="shared" si="217"/>
        <v>0</v>
      </c>
      <c r="Z96" s="18">
        <f t="shared" si="217"/>
        <v>0</v>
      </c>
      <c r="AA96" s="18">
        <f t="shared" si="214"/>
        <v>0</v>
      </c>
      <c r="AB96" s="42">
        <f t="shared" si="190"/>
        <v>0</v>
      </c>
      <c r="AC96" s="52">
        <f t="shared" si="190"/>
        <v>0</v>
      </c>
      <c r="AD96" s="207">
        <f t="shared" si="190"/>
        <v>0</v>
      </c>
      <c r="AE96" s="207">
        <f t="shared" si="190"/>
        <v>0</v>
      </c>
      <c r="AF96" s="207">
        <f t="shared" si="190"/>
        <v>0</v>
      </c>
      <c r="AG96" s="18">
        <f t="shared" si="190"/>
        <v>0</v>
      </c>
      <c r="AH96" s="51">
        <f t="shared" si="195"/>
        <v>0</v>
      </c>
      <c r="AI96" s="52">
        <f t="shared" si="195"/>
        <v>0</v>
      </c>
      <c r="AJ96" s="52">
        <f t="shared" si="195"/>
        <v>0</v>
      </c>
      <c r="AK96" s="52">
        <f t="shared" si="195"/>
        <v>0</v>
      </c>
      <c r="AL96" s="52">
        <f t="shared" si="195"/>
        <v>0</v>
      </c>
      <c r="AM96" s="18">
        <f t="shared" si="203"/>
        <v>0</v>
      </c>
      <c r="AN96" s="42">
        <f t="shared" si="191"/>
        <v>0</v>
      </c>
      <c r="AO96" s="207">
        <f t="shared" si="191"/>
        <v>0</v>
      </c>
      <c r="AP96" s="207">
        <f t="shared" si="191"/>
        <v>0</v>
      </c>
      <c r="AQ96" s="207">
        <f t="shared" si="191"/>
        <v>0</v>
      </c>
      <c r="AR96" s="207">
        <f t="shared" si="191"/>
        <v>0</v>
      </c>
      <c r="AS96" s="207">
        <f t="shared" si="204"/>
        <v>0</v>
      </c>
      <c r="AT96" s="207">
        <f t="shared" si="204"/>
        <v>0</v>
      </c>
      <c r="AU96" s="18">
        <f t="shared" si="204"/>
        <v>0</v>
      </c>
      <c r="AV96" s="42">
        <f t="shared" si="175"/>
        <v>0</v>
      </c>
      <c r="AW96" s="207">
        <f t="shared" si="175"/>
        <v>0</v>
      </c>
      <c r="AX96" s="207">
        <f t="shared" si="175"/>
        <v>0</v>
      </c>
      <c r="AY96" s="207">
        <f t="shared" si="175"/>
        <v>0</v>
      </c>
      <c r="AZ96" s="207">
        <f t="shared" si="175"/>
        <v>0</v>
      </c>
      <c r="BA96" s="207">
        <f t="shared" si="175"/>
        <v>0</v>
      </c>
      <c r="BB96" s="207">
        <f t="shared" si="219"/>
        <v>0</v>
      </c>
      <c r="BC96" s="18">
        <f t="shared" si="175"/>
        <v>0</v>
      </c>
      <c r="BD96" s="42">
        <f t="shared" si="192"/>
        <v>0</v>
      </c>
      <c r="BE96" s="207">
        <f t="shared" si="192"/>
        <v>0</v>
      </c>
      <c r="BF96" s="207">
        <f t="shared" si="192"/>
        <v>0</v>
      </c>
      <c r="BG96" s="207">
        <f t="shared" si="192"/>
        <v>0</v>
      </c>
      <c r="BH96" s="207">
        <f t="shared" si="192"/>
        <v>0</v>
      </c>
      <c r="BI96" s="207">
        <f t="shared" si="205"/>
        <v>0</v>
      </c>
      <c r="BJ96" s="207">
        <f t="shared" si="205"/>
        <v>0</v>
      </c>
      <c r="BK96" s="18">
        <f t="shared" si="205"/>
        <v>0</v>
      </c>
      <c r="BL96" s="20">
        <f t="shared" si="206"/>
        <v>0</v>
      </c>
      <c r="BM96" s="207">
        <f t="shared" si="206"/>
        <v>0</v>
      </c>
      <c r="BN96" s="207">
        <f t="shared" si="206"/>
        <v>0</v>
      </c>
      <c r="BO96" s="207">
        <f t="shared" si="206"/>
        <v>0</v>
      </c>
      <c r="BP96" s="207">
        <f t="shared" si="206"/>
        <v>0</v>
      </c>
      <c r="BQ96" s="207">
        <f t="shared" si="207"/>
        <v>0</v>
      </c>
      <c r="BR96" s="207">
        <f t="shared" si="207"/>
        <v>0</v>
      </c>
      <c r="BS96" s="18">
        <f t="shared" si="207"/>
        <v>0</v>
      </c>
      <c r="BT96" s="224">
        <f t="shared" si="218"/>
        <v>0</v>
      </c>
      <c r="BU96" s="207">
        <f t="shared" si="218"/>
        <v>0</v>
      </c>
      <c r="BV96" s="207">
        <f t="shared" si="218"/>
        <v>0</v>
      </c>
      <c r="BW96" s="207">
        <f t="shared" si="218"/>
        <v>0</v>
      </c>
      <c r="BX96" s="207">
        <f t="shared" si="218"/>
        <v>0</v>
      </c>
      <c r="BY96" s="207">
        <f t="shared" si="208"/>
        <v>0</v>
      </c>
      <c r="BZ96" s="207">
        <f t="shared" si="208"/>
        <v>0</v>
      </c>
      <c r="CA96" s="18">
        <f t="shared" si="208"/>
        <v>0</v>
      </c>
      <c r="CB96" s="224">
        <f t="shared" si="176"/>
        <v>0</v>
      </c>
      <c r="CC96" s="250">
        <f t="shared" si="176"/>
        <v>0</v>
      </c>
      <c r="CD96" s="250">
        <f t="shared" si="176"/>
        <v>0</v>
      </c>
      <c r="CE96" s="250">
        <f t="shared" si="176"/>
        <v>0</v>
      </c>
      <c r="CF96" s="250">
        <f t="shared" si="176"/>
        <v>0</v>
      </c>
      <c r="CG96" s="207">
        <f t="shared" si="209"/>
        <v>0</v>
      </c>
      <c r="CH96" s="207">
        <f t="shared" si="209"/>
        <v>0</v>
      </c>
      <c r="CI96" s="18">
        <f t="shared" si="209"/>
        <v>0</v>
      </c>
      <c r="CJ96" s="224">
        <f t="shared" si="210"/>
        <v>0</v>
      </c>
      <c r="CK96" s="207">
        <f t="shared" si="210"/>
        <v>0</v>
      </c>
      <c r="CL96" s="207">
        <f t="shared" si="210"/>
        <v>0</v>
      </c>
      <c r="CM96" s="207">
        <f t="shared" si="210"/>
        <v>0</v>
      </c>
      <c r="CN96" s="207">
        <f t="shared" si="210"/>
        <v>0</v>
      </c>
      <c r="CO96" s="207">
        <f t="shared" si="211"/>
        <v>0</v>
      </c>
      <c r="CP96" s="207">
        <f t="shared" si="211"/>
        <v>0</v>
      </c>
      <c r="CQ96" s="18">
        <f t="shared" si="211"/>
        <v>0</v>
      </c>
      <c r="CR96" s="42">
        <f t="shared" si="212"/>
        <v>0</v>
      </c>
      <c r="CS96" s="207">
        <f t="shared" si="212"/>
        <v>0</v>
      </c>
      <c r="CT96" s="207">
        <f t="shared" si="212"/>
        <v>0</v>
      </c>
      <c r="CU96" s="207">
        <f t="shared" si="212"/>
        <v>0</v>
      </c>
      <c r="CV96" s="207">
        <f t="shared" si="212"/>
        <v>0</v>
      </c>
      <c r="CW96" s="207">
        <f t="shared" si="213"/>
        <v>0</v>
      </c>
      <c r="CX96" s="207">
        <f t="shared" si="213"/>
        <v>0</v>
      </c>
      <c r="CY96" s="207">
        <f t="shared" si="213"/>
        <v>0</v>
      </c>
      <c r="CZ96" s="199"/>
    </row>
    <row r="97" spans="1:104" ht="26.25" hidden="1" customHeight="1" outlineLevel="1" x14ac:dyDescent="0.4">
      <c r="A97" s="379">
        <v>46</v>
      </c>
      <c r="B97" s="379" t="s">
        <v>45</v>
      </c>
      <c r="C97" s="379" t="s">
        <v>346</v>
      </c>
      <c r="D97" s="381"/>
      <c r="E97" s="381"/>
      <c r="F97" s="381"/>
      <c r="G97" s="416"/>
      <c r="H97" s="489">
        <f t="shared" ref="H97" si="226">SUM(BT97:CA97)</f>
        <v>0</v>
      </c>
      <c r="I97" s="489">
        <f t="shared" ref="I97" si="227">SUM(BT98:CA98)</f>
        <v>0</v>
      </c>
      <c r="J97" s="497"/>
      <c r="K97" s="491"/>
      <c r="L97" s="491"/>
      <c r="M97" s="493"/>
      <c r="N97" s="48" t="s">
        <v>24</v>
      </c>
      <c r="O97" s="187">
        <f t="shared" si="200"/>
        <v>0</v>
      </c>
      <c r="P97" s="187">
        <f t="shared" si="200"/>
        <v>0</v>
      </c>
      <c r="Q97" s="187">
        <f t="shared" si="200"/>
        <v>0</v>
      </c>
      <c r="R97" s="187">
        <f t="shared" si="200"/>
        <v>0</v>
      </c>
      <c r="S97" s="187">
        <f t="shared" si="200"/>
        <v>0</v>
      </c>
      <c r="T97" s="187">
        <f t="shared" si="200"/>
        <v>0</v>
      </c>
      <c r="U97" s="82">
        <f t="shared" si="200"/>
        <v>0</v>
      </c>
      <c r="V97" s="19">
        <f t="shared" si="217"/>
        <v>0</v>
      </c>
      <c r="W97" s="187">
        <f t="shared" si="217"/>
        <v>0</v>
      </c>
      <c r="X97" s="187">
        <f t="shared" si="217"/>
        <v>0</v>
      </c>
      <c r="Y97" s="187">
        <f t="shared" si="217"/>
        <v>0</v>
      </c>
      <c r="Z97" s="187">
        <f t="shared" si="217"/>
        <v>0</v>
      </c>
      <c r="AA97" s="187">
        <f t="shared" si="214"/>
        <v>0</v>
      </c>
      <c r="AB97" s="19">
        <f t="shared" si="190"/>
        <v>0</v>
      </c>
      <c r="AC97" s="187">
        <f t="shared" si="190"/>
        <v>0</v>
      </c>
      <c r="AD97" s="249">
        <f t="shared" si="190"/>
        <v>0</v>
      </c>
      <c r="AE97" s="187">
        <f t="shared" si="190"/>
        <v>0</v>
      </c>
      <c r="AF97" s="187">
        <f t="shared" si="190"/>
        <v>0</v>
      </c>
      <c r="AG97" s="187">
        <f t="shared" si="190"/>
        <v>0</v>
      </c>
      <c r="AH97" s="19">
        <f t="shared" si="195"/>
        <v>0</v>
      </c>
      <c r="AI97" s="187">
        <f t="shared" si="195"/>
        <v>0</v>
      </c>
      <c r="AJ97" s="187">
        <f t="shared" si="195"/>
        <v>0</v>
      </c>
      <c r="AK97" s="187">
        <f t="shared" si="195"/>
        <v>0</v>
      </c>
      <c r="AL97" s="187">
        <f t="shared" si="195"/>
        <v>0</v>
      </c>
      <c r="AM97" s="187">
        <f t="shared" si="203"/>
        <v>0</v>
      </c>
      <c r="AN97" s="19">
        <f t="shared" si="191"/>
        <v>0</v>
      </c>
      <c r="AO97" s="187">
        <f t="shared" si="191"/>
        <v>0</v>
      </c>
      <c r="AP97" s="187">
        <f t="shared" si="191"/>
        <v>0</v>
      </c>
      <c r="AQ97" s="187">
        <f t="shared" si="191"/>
        <v>0</v>
      </c>
      <c r="AR97" s="187">
        <f t="shared" si="191"/>
        <v>0</v>
      </c>
      <c r="AS97" s="187">
        <f t="shared" si="204"/>
        <v>0</v>
      </c>
      <c r="AT97" s="187">
        <f t="shared" si="204"/>
        <v>0</v>
      </c>
      <c r="AU97" s="187">
        <f t="shared" si="204"/>
        <v>0</v>
      </c>
      <c r="AV97" s="73">
        <f t="shared" si="175"/>
        <v>0</v>
      </c>
      <c r="AW97" s="187">
        <f t="shared" si="175"/>
        <v>0</v>
      </c>
      <c r="AX97" s="187">
        <f t="shared" si="175"/>
        <v>0</v>
      </c>
      <c r="AY97" s="187">
        <f t="shared" si="175"/>
        <v>0</v>
      </c>
      <c r="AZ97" s="187">
        <f t="shared" si="175"/>
        <v>0</v>
      </c>
      <c r="BA97" s="187">
        <f t="shared" si="175"/>
        <v>0</v>
      </c>
      <c r="BB97" s="187">
        <f t="shared" si="219"/>
        <v>0</v>
      </c>
      <c r="BC97" s="187">
        <f t="shared" si="175"/>
        <v>0</v>
      </c>
      <c r="BD97" s="19">
        <f t="shared" si="192"/>
        <v>0</v>
      </c>
      <c r="BE97" s="187">
        <f t="shared" si="192"/>
        <v>0</v>
      </c>
      <c r="BF97" s="187">
        <f t="shared" si="192"/>
        <v>0</v>
      </c>
      <c r="BG97" s="187">
        <f t="shared" si="192"/>
        <v>0</v>
      </c>
      <c r="BH97" s="187">
        <f t="shared" si="192"/>
        <v>0</v>
      </c>
      <c r="BI97" s="187">
        <f t="shared" si="205"/>
        <v>0</v>
      </c>
      <c r="BJ97" s="187">
        <f t="shared" si="205"/>
        <v>0</v>
      </c>
      <c r="BK97" s="187">
        <f t="shared" si="205"/>
        <v>0</v>
      </c>
      <c r="BL97" s="223">
        <f t="shared" ref="BL97:BP112" si="228">0/142.5</f>
        <v>0</v>
      </c>
      <c r="BM97" s="249">
        <f t="shared" si="228"/>
        <v>0</v>
      </c>
      <c r="BN97" s="249">
        <f t="shared" si="228"/>
        <v>0</v>
      </c>
      <c r="BO97" s="249">
        <f t="shared" si="228"/>
        <v>0</v>
      </c>
      <c r="BP97" s="249">
        <f t="shared" si="228"/>
        <v>0</v>
      </c>
      <c r="BQ97" s="187">
        <f t="shared" si="207"/>
        <v>0</v>
      </c>
      <c r="BR97" s="187">
        <f t="shared" si="207"/>
        <v>0</v>
      </c>
      <c r="BS97" s="187">
        <f t="shared" si="207"/>
        <v>0</v>
      </c>
      <c r="BT97" s="73">
        <f t="shared" si="218"/>
        <v>0</v>
      </c>
      <c r="BU97" s="187">
        <f t="shared" si="218"/>
        <v>0</v>
      </c>
      <c r="BV97" s="187">
        <f t="shared" si="218"/>
        <v>0</v>
      </c>
      <c r="BW97" s="187">
        <f t="shared" si="218"/>
        <v>0</v>
      </c>
      <c r="BX97" s="187">
        <f t="shared" si="218"/>
        <v>0</v>
      </c>
      <c r="BY97" s="187">
        <f t="shared" si="208"/>
        <v>0</v>
      </c>
      <c r="BZ97" s="187">
        <f t="shared" si="208"/>
        <v>0</v>
      </c>
      <c r="CA97" s="187">
        <f t="shared" si="208"/>
        <v>0</v>
      </c>
      <c r="CB97" s="73">
        <f t="shared" si="176"/>
        <v>0</v>
      </c>
      <c r="CC97" s="187">
        <f t="shared" si="176"/>
        <v>0</v>
      </c>
      <c r="CD97" s="187">
        <f t="shared" si="176"/>
        <v>0</v>
      </c>
      <c r="CE97" s="187">
        <f t="shared" si="176"/>
        <v>0</v>
      </c>
      <c r="CF97" s="187">
        <f t="shared" si="176"/>
        <v>0</v>
      </c>
      <c r="CG97" s="187">
        <f t="shared" si="209"/>
        <v>0</v>
      </c>
      <c r="CH97" s="187">
        <f t="shared" si="209"/>
        <v>0</v>
      </c>
      <c r="CI97" s="187">
        <f t="shared" si="209"/>
        <v>0</v>
      </c>
      <c r="CJ97" s="73">
        <f t="shared" ref="CJ97:CN112" si="229">0/157.5</f>
        <v>0</v>
      </c>
      <c r="CK97" s="187">
        <f t="shared" si="229"/>
        <v>0</v>
      </c>
      <c r="CL97" s="187">
        <f t="shared" si="229"/>
        <v>0</v>
      </c>
      <c r="CM97" s="187">
        <f t="shared" si="229"/>
        <v>0</v>
      </c>
      <c r="CN97" s="187">
        <f t="shared" si="229"/>
        <v>0</v>
      </c>
      <c r="CO97" s="187">
        <f t="shared" si="211"/>
        <v>0</v>
      </c>
      <c r="CP97" s="187">
        <f t="shared" si="211"/>
        <v>0</v>
      </c>
      <c r="CQ97" s="187">
        <f t="shared" si="211"/>
        <v>0</v>
      </c>
      <c r="CR97" s="73">
        <f t="shared" ref="CR97:CV112" si="230">0/142.5</f>
        <v>0</v>
      </c>
      <c r="CS97" s="187">
        <f t="shared" si="230"/>
        <v>0</v>
      </c>
      <c r="CT97" s="187">
        <f t="shared" si="230"/>
        <v>0</v>
      </c>
      <c r="CU97" s="187">
        <f t="shared" si="230"/>
        <v>0</v>
      </c>
      <c r="CV97" s="187">
        <f t="shared" si="230"/>
        <v>0</v>
      </c>
      <c r="CW97" s="187">
        <f t="shared" si="213"/>
        <v>0</v>
      </c>
      <c r="CX97" s="187">
        <f t="shared" si="213"/>
        <v>0</v>
      </c>
      <c r="CY97" s="187">
        <f t="shared" si="213"/>
        <v>0</v>
      </c>
      <c r="CZ97" s="199"/>
    </row>
    <row r="98" spans="1:104" ht="26.25" hidden="1" customHeight="1" outlineLevel="1" x14ac:dyDescent="0.4">
      <c r="A98" s="380"/>
      <c r="B98" s="380"/>
      <c r="C98" s="380"/>
      <c r="D98" s="382"/>
      <c r="E98" s="382"/>
      <c r="F98" s="382"/>
      <c r="G98" s="416"/>
      <c r="H98" s="490"/>
      <c r="I98" s="490"/>
      <c r="J98" s="498"/>
      <c r="K98" s="492"/>
      <c r="L98" s="492"/>
      <c r="M98" s="494"/>
      <c r="N98" s="39" t="s">
        <v>25</v>
      </c>
      <c r="O98" s="207">
        <f t="shared" si="200"/>
        <v>0</v>
      </c>
      <c r="P98" s="207">
        <f t="shared" si="200"/>
        <v>0</v>
      </c>
      <c r="Q98" s="207">
        <f t="shared" si="200"/>
        <v>0</v>
      </c>
      <c r="R98" s="207">
        <f t="shared" si="200"/>
        <v>0</v>
      </c>
      <c r="S98" s="207">
        <f t="shared" si="200"/>
        <v>0</v>
      </c>
      <c r="T98" s="207">
        <f t="shared" si="200"/>
        <v>0</v>
      </c>
      <c r="U98" s="49">
        <f t="shared" si="200"/>
        <v>0</v>
      </c>
      <c r="V98" s="57">
        <f t="shared" si="217"/>
        <v>0</v>
      </c>
      <c r="W98" s="18">
        <f t="shared" si="217"/>
        <v>0</v>
      </c>
      <c r="X98" s="18">
        <f t="shared" si="217"/>
        <v>0</v>
      </c>
      <c r="Y98" s="18">
        <f t="shared" si="217"/>
        <v>0</v>
      </c>
      <c r="Z98" s="18">
        <f t="shared" si="217"/>
        <v>0</v>
      </c>
      <c r="AA98" s="18">
        <f t="shared" si="214"/>
        <v>0</v>
      </c>
      <c r="AB98" s="42">
        <f t="shared" si="190"/>
        <v>0</v>
      </c>
      <c r="AC98" s="52">
        <f t="shared" si="190"/>
        <v>0</v>
      </c>
      <c r="AD98" s="207">
        <f t="shared" si="190"/>
        <v>0</v>
      </c>
      <c r="AE98" s="207">
        <f t="shared" si="190"/>
        <v>0</v>
      </c>
      <c r="AF98" s="207">
        <f t="shared" si="190"/>
        <v>0</v>
      </c>
      <c r="AG98" s="18">
        <f t="shared" si="190"/>
        <v>0</v>
      </c>
      <c r="AH98" s="51">
        <f t="shared" si="195"/>
        <v>0</v>
      </c>
      <c r="AI98" s="52">
        <f t="shared" si="195"/>
        <v>0</v>
      </c>
      <c r="AJ98" s="52">
        <f t="shared" si="195"/>
        <v>0</v>
      </c>
      <c r="AK98" s="52">
        <f t="shared" si="195"/>
        <v>0</v>
      </c>
      <c r="AL98" s="52">
        <f t="shared" si="195"/>
        <v>0</v>
      </c>
      <c r="AM98" s="18">
        <f t="shared" si="203"/>
        <v>0</v>
      </c>
      <c r="AN98" s="42">
        <f t="shared" si="191"/>
        <v>0</v>
      </c>
      <c r="AO98" s="207">
        <f t="shared" si="191"/>
        <v>0</v>
      </c>
      <c r="AP98" s="207">
        <f t="shared" si="191"/>
        <v>0</v>
      </c>
      <c r="AQ98" s="207">
        <f t="shared" si="191"/>
        <v>0</v>
      </c>
      <c r="AR98" s="207">
        <f t="shared" si="191"/>
        <v>0</v>
      </c>
      <c r="AS98" s="207">
        <f t="shared" si="204"/>
        <v>0</v>
      </c>
      <c r="AT98" s="207">
        <f t="shared" si="204"/>
        <v>0</v>
      </c>
      <c r="AU98" s="18">
        <f t="shared" si="204"/>
        <v>0</v>
      </c>
      <c r="AV98" s="42">
        <f t="shared" si="175"/>
        <v>0</v>
      </c>
      <c r="AW98" s="207">
        <f t="shared" si="175"/>
        <v>0</v>
      </c>
      <c r="AX98" s="207">
        <f t="shared" si="175"/>
        <v>0</v>
      </c>
      <c r="AY98" s="207">
        <f t="shared" si="175"/>
        <v>0</v>
      </c>
      <c r="AZ98" s="207">
        <f t="shared" si="175"/>
        <v>0</v>
      </c>
      <c r="BA98" s="207">
        <f t="shared" si="175"/>
        <v>0</v>
      </c>
      <c r="BB98" s="207">
        <f t="shared" si="219"/>
        <v>0</v>
      </c>
      <c r="BC98" s="18">
        <f t="shared" si="175"/>
        <v>0</v>
      </c>
      <c r="BD98" s="42">
        <f t="shared" si="192"/>
        <v>0</v>
      </c>
      <c r="BE98" s="207">
        <f t="shared" si="192"/>
        <v>0</v>
      </c>
      <c r="BF98" s="207">
        <f t="shared" si="192"/>
        <v>0</v>
      </c>
      <c r="BG98" s="207">
        <f t="shared" si="192"/>
        <v>0</v>
      </c>
      <c r="BH98" s="207">
        <f t="shared" si="192"/>
        <v>0</v>
      </c>
      <c r="BI98" s="207">
        <f t="shared" si="205"/>
        <v>0</v>
      </c>
      <c r="BJ98" s="207">
        <f t="shared" si="205"/>
        <v>0</v>
      </c>
      <c r="BK98" s="18">
        <f t="shared" si="205"/>
        <v>0</v>
      </c>
      <c r="BL98" s="20">
        <f t="shared" si="228"/>
        <v>0</v>
      </c>
      <c r="BM98" s="207">
        <f t="shared" si="228"/>
        <v>0</v>
      </c>
      <c r="BN98" s="207">
        <f t="shared" si="228"/>
        <v>0</v>
      </c>
      <c r="BO98" s="207">
        <f t="shared" si="228"/>
        <v>0</v>
      </c>
      <c r="BP98" s="207">
        <f t="shared" si="228"/>
        <v>0</v>
      </c>
      <c r="BQ98" s="207">
        <f t="shared" si="207"/>
        <v>0</v>
      </c>
      <c r="BR98" s="207">
        <f t="shared" si="207"/>
        <v>0</v>
      </c>
      <c r="BS98" s="18">
        <f t="shared" si="207"/>
        <v>0</v>
      </c>
      <c r="BT98" s="224">
        <f t="shared" si="218"/>
        <v>0</v>
      </c>
      <c r="BU98" s="207">
        <f t="shared" si="218"/>
        <v>0</v>
      </c>
      <c r="BV98" s="207">
        <f t="shared" si="218"/>
        <v>0</v>
      </c>
      <c r="BW98" s="207">
        <f t="shared" si="218"/>
        <v>0</v>
      </c>
      <c r="BX98" s="207">
        <f t="shared" si="218"/>
        <v>0</v>
      </c>
      <c r="BY98" s="207">
        <f t="shared" si="208"/>
        <v>0</v>
      </c>
      <c r="BZ98" s="207">
        <f t="shared" si="208"/>
        <v>0</v>
      </c>
      <c r="CA98" s="18">
        <f t="shared" si="208"/>
        <v>0</v>
      </c>
      <c r="CB98" s="224">
        <f t="shared" si="176"/>
        <v>0</v>
      </c>
      <c r="CC98" s="250">
        <f t="shared" si="176"/>
        <v>0</v>
      </c>
      <c r="CD98" s="250">
        <f t="shared" si="176"/>
        <v>0</v>
      </c>
      <c r="CE98" s="250">
        <f t="shared" si="176"/>
        <v>0</v>
      </c>
      <c r="CF98" s="250">
        <f t="shared" si="176"/>
        <v>0</v>
      </c>
      <c r="CG98" s="207">
        <f t="shared" si="209"/>
        <v>0</v>
      </c>
      <c r="CH98" s="207">
        <f t="shared" si="209"/>
        <v>0</v>
      </c>
      <c r="CI98" s="18">
        <f t="shared" si="209"/>
        <v>0</v>
      </c>
      <c r="CJ98" s="224">
        <f t="shared" si="229"/>
        <v>0</v>
      </c>
      <c r="CK98" s="207">
        <f t="shared" si="229"/>
        <v>0</v>
      </c>
      <c r="CL98" s="207">
        <f t="shared" si="229"/>
        <v>0</v>
      </c>
      <c r="CM98" s="207">
        <f t="shared" si="229"/>
        <v>0</v>
      </c>
      <c r="CN98" s="207">
        <f t="shared" si="229"/>
        <v>0</v>
      </c>
      <c r="CO98" s="207">
        <f t="shared" si="211"/>
        <v>0</v>
      </c>
      <c r="CP98" s="207">
        <f t="shared" si="211"/>
        <v>0</v>
      </c>
      <c r="CQ98" s="18">
        <f t="shared" si="211"/>
        <v>0</v>
      </c>
      <c r="CR98" s="42">
        <f t="shared" si="230"/>
        <v>0</v>
      </c>
      <c r="CS98" s="207">
        <f t="shared" si="230"/>
        <v>0</v>
      </c>
      <c r="CT98" s="207">
        <f t="shared" si="230"/>
        <v>0</v>
      </c>
      <c r="CU98" s="207">
        <f t="shared" si="230"/>
        <v>0</v>
      </c>
      <c r="CV98" s="207">
        <f t="shared" si="230"/>
        <v>0</v>
      </c>
      <c r="CW98" s="207">
        <f t="shared" si="213"/>
        <v>0</v>
      </c>
      <c r="CX98" s="207">
        <f t="shared" si="213"/>
        <v>0</v>
      </c>
      <c r="CY98" s="207">
        <f t="shared" si="213"/>
        <v>0</v>
      </c>
      <c r="CZ98" s="199"/>
    </row>
    <row r="99" spans="1:104" ht="26.25" hidden="1" customHeight="1" outlineLevel="1" collapsed="1" x14ac:dyDescent="0.4">
      <c r="A99" s="379">
        <v>47</v>
      </c>
      <c r="B99" s="379" t="s">
        <v>45</v>
      </c>
      <c r="C99" s="379" t="s">
        <v>346</v>
      </c>
      <c r="D99" s="381"/>
      <c r="E99" s="381"/>
      <c r="F99" s="381"/>
      <c r="G99" s="416"/>
      <c r="H99" s="489">
        <f t="shared" ref="H99" si="231">SUM(BT99:CA99)</f>
        <v>0</v>
      </c>
      <c r="I99" s="489">
        <f t="shared" ref="I99" si="232">SUM(BT100:CA100)</f>
        <v>0</v>
      </c>
      <c r="J99" s="497"/>
      <c r="K99" s="491"/>
      <c r="L99" s="491"/>
      <c r="M99" s="493"/>
      <c r="N99" s="48" t="s">
        <v>24</v>
      </c>
      <c r="O99" s="187">
        <f t="shared" si="200"/>
        <v>0</v>
      </c>
      <c r="P99" s="187">
        <f t="shared" si="200"/>
        <v>0</v>
      </c>
      <c r="Q99" s="187">
        <f t="shared" si="200"/>
        <v>0</v>
      </c>
      <c r="R99" s="187">
        <f t="shared" si="200"/>
        <v>0</v>
      </c>
      <c r="S99" s="187">
        <f t="shared" si="200"/>
        <v>0</v>
      </c>
      <c r="T99" s="187">
        <f t="shared" si="200"/>
        <v>0</v>
      </c>
      <c r="U99" s="82">
        <f t="shared" si="200"/>
        <v>0</v>
      </c>
      <c r="V99" s="19">
        <f t="shared" si="217"/>
        <v>0</v>
      </c>
      <c r="W99" s="187">
        <f t="shared" si="217"/>
        <v>0</v>
      </c>
      <c r="X99" s="187">
        <f t="shared" si="217"/>
        <v>0</v>
      </c>
      <c r="Y99" s="187">
        <f t="shared" si="217"/>
        <v>0</v>
      </c>
      <c r="Z99" s="187">
        <f t="shared" si="217"/>
        <v>0</v>
      </c>
      <c r="AA99" s="187">
        <f t="shared" si="214"/>
        <v>0</v>
      </c>
      <c r="AB99" s="19">
        <f t="shared" si="190"/>
        <v>0</v>
      </c>
      <c r="AC99" s="187">
        <f t="shared" si="190"/>
        <v>0</v>
      </c>
      <c r="AD99" s="249">
        <f t="shared" si="190"/>
        <v>0</v>
      </c>
      <c r="AE99" s="187">
        <f t="shared" si="190"/>
        <v>0</v>
      </c>
      <c r="AF99" s="187">
        <f t="shared" si="190"/>
        <v>0</v>
      </c>
      <c r="AG99" s="187">
        <f t="shared" si="190"/>
        <v>0</v>
      </c>
      <c r="AH99" s="19">
        <f t="shared" si="195"/>
        <v>0</v>
      </c>
      <c r="AI99" s="187">
        <f t="shared" si="195"/>
        <v>0</v>
      </c>
      <c r="AJ99" s="187">
        <f t="shared" si="195"/>
        <v>0</v>
      </c>
      <c r="AK99" s="187">
        <f t="shared" si="195"/>
        <v>0</v>
      </c>
      <c r="AL99" s="187">
        <f t="shared" si="195"/>
        <v>0</v>
      </c>
      <c r="AM99" s="187">
        <f t="shared" si="203"/>
        <v>0</v>
      </c>
      <c r="AN99" s="19">
        <f t="shared" si="191"/>
        <v>0</v>
      </c>
      <c r="AO99" s="187">
        <f t="shared" si="191"/>
        <v>0</v>
      </c>
      <c r="AP99" s="187">
        <f t="shared" si="191"/>
        <v>0</v>
      </c>
      <c r="AQ99" s="187">
        <f t="shared" si="191"/>
        <v>0</v>
      </c>
      <c r="AR99" s="187">
        <f t="shared" si="191"/>
        <v>0</v>
      </c>
      <c r="AS99" s="187">
        <f t="shared" si="204"/>
        <v>0</v>
      </c>
      <c r="AT99" s="187">
        <f t="shared" si="204"/>
        <v>0</v>
      </c>
      <c r="AU99" s="187">
        <f t="shared" si="204"/>
        <v>0</v>
      </c>
      <c r="AV99" s="73">
        <f t="shared" si="175"/>
        <v>0</v>
      </c>
      <c r="AW99" s="187">
        <f t="shared" si="175"/>
        <v>0</v>
      </c>
      <c r="AX99" s="187">
        <f t="shared" si="175"/>
        <v>0</v>
      </c>
      <c r="AY99" s="187">
        <f t="shared" si="175"/>
        <v>0</v>
      </c>
      <c r="AZ99" s="187">
        <f t="shared" si="175"/>
        <v>0</v>
      </c>
      <c r="BA99" s="187">
        <f t="shared" si="175"/>
        <v>0</v>
      </c>
      <c r="BB99" s="187">
        <f t="shared" si="219"/>
        <v>0</v>
      </c>
      <c r="BC99" s="187">
        <f t="shared" si="175"/>
        <v>0</v>
      </c>
      <c r="BD99" s="19">
        <f t="shared" si="192"/>
        <v>0</v>
      </c>
      <c r="BE99" s="187">
        <f t="shared" si="192"/>
        <v>0</v>
      </c>
      <c r="BF99" s="187">
        <f t="shared" si="192"/>
        <v>0</v>
      </c>
      <c r="BG99" s="187">
        <f t="shared" si="192"/>
        <v>0</v>
      </c>
      <c r="BH99" s="187">
        <f t="shared" si="192"/>
        <v>0</v>
      </c>
      <c r="BI99" s="187">
        <f t="shared" si="205"/>
        <v>0</v>
      </c>
      <c r="BJ99" s="187">
        <f t="shared" si="205"/>
        <v>0</v>
      </c>
      <c r="BK99" s="187">
        <f t="shared" si="205"/>
        <v>0</v>
      </c>
      <c r="BL99" s="223">
        <f t="shared" si="228"/>
        <v>0</v>
      </c>
      <c r="BM99" s="249">
        <f t="shared" si="228"/>
        <v>0</v>
      </c>
      <c r="BN99" s="249">
        <f t="shared" si="228"/>
        <v>0</v>
      </c>
      <c r="BO99" s="249">
        <f t="shared" si="228"/>
        <v>0</v>
      </c>
      <c r="BP99" s="249">
        <f t="shared" si="228"/>
        <v>0</v>
      </c>
      <c r="BQ99" s="187">
        <f t="shared" si="207"/>
        <v>0</v>
      </c>
      <c r="BR99" s="187">
        <f t="shared" si="207"/>
        <v>0</v>
      </c>
      <c r="BS99" s="187">
        <f t="shared" si="207"/>
        <v>0</v>
      </c>
      <c r="BT99" s="73">
        <f t="shared" ref="BT99:BX114" si="233">0/157.5</f>
        <v>0</v>
      </c>
      <c r="BU99" s="187">
        <f t="shared" si="233"/>
        <v>0</v>
      </c>
      <c r="BV99" s="187">
        <f t="shared" si="233"/>
        <v>0</v>
      </c>
      <c r="BW99" s="187">
        <f t="shared" si="233"/>
        <v>0</v>
      </c>
      <c r="BX99" s="187">
        <f t="shared" si="233"/>
        <v>0</v>
      </c>
      <c r="BY99" s="187">
        <f t="shared" si="208"/>
        <v>0</v>
      </c>
      <c r="BZ99" s="187">
        <f t="shared" si="208"/>
        <v>0</v>
      </c>
      <c r="CA99" s="187">
        <f t="shared" si="208"/>
        <v>0</v>
      </c>
      <c r="CB99" s="73">
        <f t="shared" si="176"/>
        <v>0</v>
      </c>
      <c r="CC99" s="187">
        <f t="shared" si="176"/>
        <v>0</v>
      </c>
      <c r="CD99" s="187">
        <f t="shared" si="176"/>
        <v>0</v>
      </c>
      <c r="CE99" s="187">
        <f t="shared" si="176"/>
        <v>0</v>
      </c>
      <c r="CF99" s="187">
        <f t="shared" si="176"/>
        <v>0</v>
      </c>
      <c r="CG99" s="187">
        <f t="shared" si="209"/>
        <v>0</v>
      </c>
      <c r="CH99" s="187">
        <f t="shared" si="209"/>
        <v>0</v>
      </c>
      <c r="CI99" s="187">
        <f t="shared" si="209"/>
        <v>0</v>
      </c>
      <c r="CJ99" s="73">
        <f t="shared" si="229"/>
        <v>0</v>
      </c>
      <c r="CK99" s="187">
        <f t="shared" si="229"/>
        <v>0</v>
      </c>
      <c r="CL99" s="187">
        <f t="shared" si="229"/>
        <v>0</v>
      </c>
      <c r="CM99" s="187">
        <f t="shared" si="229"/>
        <v>0</v>
      </c>
      <c r="CN99" s="187">
        <f t="shared" si="229"/>
        <v>0</v>
      </c>
      <c r="CO99" s="187">
        <f t="shared" si="211"/>
        <v>0</v>
      </c>
      <c r="CP99" s="187">
        <f t="shared" si="211"/>
        <v>0</v>
      </c>
      <c r="CQ99" s="187">
        <f t="shared" si="211"/>
        <v>0</v>
      </c>
      <c r="CR99" s="73">
        <f t="shared" si="230"/>
        <v>0</v>
      </c>
      <c r="CS99" s="187">
        <f t="shared" si="230"/>
        <v>0</v>
      </c>
      <c r="CT99" s="187">
        <f t="shared" si="230"/>
        <v>0</v>
      </c>
      <c r="CU99" s="187">
        <f t="shared" si="230"/>
        <v>0</v>
      </c>
      <c r="CV99" s="187">
        <f t="shared" si="230"/>
        <v>0</v>
      </c>
      <c r="CW99" s="187">
        <f t="shared" si="213"/>
        <v>0</v>
      </c>
      <c r="CX99" s="187">
        <f t="shared" si="213"/>
        <v>0</v>
      </c>
      <c r="CY99" s="187">
        <f t="shared" si="213"/>
        <v>0</v>
      </c>
      <c r="CZ99" s="199"/>
    </row>
    <row r="100" spans="1:104" ht="26.25" hidden="1" customHeight="1" outlineLevel="1" x14ac:dyDescent="0.4">
      <c r="A100" s="380"/>
      <c r="B100" s="380"/>
      <c r="C100" s="380"/>
      <c r="D100" s="382"/>
      <c r="E100" s="382"/>
      <c r="F100" s="382"/>
      <c r="G100" s="416"/>
      <c r="H100" s="490"/>
      <c r="I100" s="490"/>
      <c r="J100" s="498"/>
      <c r="K100" s="492"/>
      <c r="L100" s="492"/>
      <c r="M100" s="494"/>
      <c r="N100" s="39" t="s">
        <v>25</v>
      </c>
      <c r="O100" s="207">
        <f t="shared" si="200"/>
        <v>0</v>
      </c>
      <c r="P100" s="207">
        <f t="shared" si="200"/>
        <v>0</v>
      </c>
      <c r="Q100" s="207">
        <f t="shared" si="200"/>
        <v>0</v>
      </c>
      <c r="R100" s="207">
        <f t="shared" si="200"/>
        <v>0</v>
      </c>
      <c r="S100" s="207">
        <f t="shared" si="200"/>
        <v>0</v>
      </c>
      <c r="T100" s="207">
        <f t="shared" si="200"/>
        <v>0</v>
      </c>
      <c r="U100" s="49">
        <f t="shared" si="200"/>
        <v>0</v>
      </c>
      <c r="V100" s="57">
        <f t="shared" si="217"/>
        <v>0</v>
      </c>
      <c r="W100" s="18">
        <f t="shared" si="217"/>
        <v>0</v>
      </c>
      <c r="X100" s="18">
        <f t="shared" si="217"/>
        <v>0</v>
      </c>
      <c r="Y100" s="18">
        <f t="shared" si="217"/>
        <v>0</v>
      </c>
      <c r="Z100" s="18">
        <f t="shared" si="217"/>
        <v>0</v>
      </c>
      <c r="AA100" s="18">
        <f t="shared" si="214"/>
        <v>0</v>
      </c>
      <c r="AB100" s="42">
        <f t="shared" si="190"/>
        <v>0</v>
      </c>
      <c r="AC100" s="52">
        <f t="shared" si="190"/>
        <v>0</v>
      </c>
      <c r="AD100" s="207">
        <f t="shared" si="190"/>
        <v>0</v>
      </c>
      <c r="AE100" s="207">
        <f t="shared" si="190"/>
        <v>0</v>
      </c>
      <c r="AF100" s="207">
        <f t="shared" si="190"/>
        <v>0</v>
      </c>
      <c r="AG100" s="18">
        <f t="shared" si="190"/>
        <v>0</v>
      </c>
      <c r="AH100" s="51">
        <f t="shared" si="195"/>
        <v>0</v>
      </c>
      <c r="AI100" s="52">
        <f t="shared" si="195"/>
        <v>0</v>
      </c>
      <c r="AJ100" s="52">
        <f t="shared" si="195"/>
        <v>0</v>
      </c>
      <c r="AK100" s="52">
        <f t="shared" si="195"/>
        <v>0</v>
      </c>
      <c r="AL100" s="52">
        <f t="shared" si="195"/>
        <v>0</v>
      </c>
      <c r="AM100" s="18">
        <f t="shared" si="203"/>
        <v>0</v>
      </c>
      <c r="AN100" s="42">
        <f t="shared" si="191"/>
        <v>0</v>
      </c>
      <c r="AO100" s="207">
        <f t="shared" si="191"/>
        <v>0</v>
      </c>
      <c r="AP100" s="207">
        <f t="shared" si="191"/>
        <v>0</v>
      </c>
      <c r="AQ100" s="207">
        <f t="shared" si="191"/>
        <v>0</v>
      </c>
      <c r="AR100" s="207">
        <f t="shared" si="191"/>
        <v>0</v>
      </c>
      <c r="AS100" s="207">
        <f t="shared" si="204"/>
        <v>0</v>
      </c>
      <c r="AT100" s="207">
        <f t="shared" si="204"/>
        <v>0</v>
      </c>
      <c r="AU100" s="18">
        <f t="shared" si="204"/>
        <v>0</v>
      </c>
      <c r="AV100" s="42">
        <f t="shared" si="175"/>
        <v>0</v>
      </c>
      <c r="AW100" s="207">
        <f t="shared" si="175"/>
        <v>0</v>
      </c>
      <c r="AX100" s="207">
        <f t="shared" si="175"/>
        <v>0</v>
      </c>
      <c r="AY100" s="207">
        <f t="shared" si="175"/>
        <v>0</v>
      </c>
      <c r="AZ100" s="207">
        <f t="shared" si="175"/>
        <v>0</v>
      </c>
      <c r="BA100" s="207">
        <f t="shared" si="175"/>
        <v>0</v>
      </c>
      <c r="BB100" s="207">
        <f t="shared" si="219"/>
        <v>0</v>
      </c>
      <c r="BC100" s="18">
        <f t="shared" si="175"/>
        <v>0</v>
      </c>
      <c r="BD100" s="42">
        <f t="shared" si="192"/>
        <v>0</v>
      </c>
      <c r="BE100" s="207">
        <f t="shared" si="192"/>
        <v>0</v>
      </c>
      <c r="BF100" s="207">
        <f t="shared" si="192"/>
        <v>0</v>
      </c>
      <c r="BG100" s="207">
        <f t="shared" si="192"/>
        <v>0</v>
      </c>
      <c r="BH100" s="207">
        <f t="shared" si="192"/>
        <v>0</v>
      </c>
      <c r="BI100" s="207">
        <f t="shared" si="205"/>
        <v>0</v>
      </c>
      <c r="BJ100" s="207">
        <f t="shared" si="205"/>
        <v>0</v>
      </c>
      <c r="BK100" s="18">
        <f t="shared" si="205"/>
        <v>0</v>
      </c>
      <c r="BL100" s="20">
        <f t="shared" si="228"/>
        <v>0</v>
      </c>
      <c r="BM100" s="207">
        <f t="shared" si="228"/>
        <v>0</v>
      </c>
      <c r="BN100" s="207">
        <f t="shared" si="228"/>
        <v>0</v>
      </c>
      <c r="BO100" s="207">
        <f t="shared" si="228"/>
        <v>0</v>
      </c>
      <c r="BP100" s="207">
        <f t="shared" si="228"/>
        <v>0</v>
      </c>
      <c r="BQ100" s="207">
        <f t="shared" si="207"/>
        <v>0</v>
      </c>
      <c r="BR100" s="207">
        <f t="shared" si="207"/>
        <v>0</v>
      </c>
      <c r="BS100" s="18">
        <f t="shared" si="207"/>
        <v>0</v>
      </c>
      <c r="BT100" s="224">
        <f t="shared" si="233"/>
        <v>0</v>
      </c>
      <c r="BU100" s="207">
        <f t="shared" si="233"/>
        <v>0</v>
      </c>
      <c r="BV100" s="207">
        <f t="shared" si="233"/>
        <v>0</v>
      </c>
      <c r="BW100" s="207">
        <f t="shared" si="233"/>
        <v>0</v>
      </c>
      <c r="BX100" s="207">
        <f t="shared" si="233"/>
        <v>0</v>
      </c>
      <c r="BY100" s="207">
        <f t="shared" si="208"/>
        <v>0</v>
      </c>
      <c r="BZ100" s="207">
        <f t="shared" si="208"/>
        <v>0</v>
      </c>
      <c r="CA100" s="18">
        <f t="shared" si="208"/>
        <v>0</v>
      </c>
      <c r="CB100" s="224">
        <f t="shared" si="176"/>
        <v>0</v>
      </c>
      <c r="CC100" s="250">
        <f t="shared" si="176"/>
        <v>0</v>
      </c>
      <c r="CD100" s="250">
        <f t="shared" si="176"/>
        <v>0</v>
      </c>
      <c r="CE100" s="250">
        <f t="shared" si="176"/>
        <v>0</v>
      </c>
      <c r="CF100" s="250">
        <f t="shared" si="176"/>
        <v>0</v>
      </c>
      <c r="CG100" s="207">
        <f t="shared" si="209"/>
        <v>0</v>
      </c>
      <c r="CH100" s="207">
        <f t="shared" si="209"/>
        <v>0</v>
      </c>
      <c r="CI100" s="18">
        <f t="shared" si="209"/>
        <v>0</v>
      </c>
      <c r="CJ100" s="224">
        <f t="shared" si="229"/>
        <v>0</v>
      </c>
      <c r="CK100" s="207">
        <f t="shared" si="229"/>
        <v>0</v>
      </c>
      <c r="CL100" s="207">
        <f t="shared" si="229"/>
        <v>0</v>
      </c>
      <c r="CM100" s="207">
        <f t="shared" si="229"/>
        <v>0</v>
      </c>
      <c r="CN100" s="207">
        <f t="shared" si="229"/>
        <v>0</v>
      </c>
      <c r="CO100" s="207">
        <f t="shared" si="211"/>
        <v>0</v>
      </c>
      <c r="CP100" s="207">
        <f t="shared" si="211"/>
        <v>0</v>
      </c>
      <c r="CQ100" s="18">
        <f t="shared" si="211"/>
        <v>0</v>
      </c>
      <c r="CR100" s="42">
        <f t="shared" si="230"/>
        <v>0</v>
      </c>
      <c r="CS100" s="207">
        <f t="shared" si="230"/>
        <v>0</v>
      </c>
      <c r="CT100" s="207">
        <f t="shared" si="230"/>
        <v>0</v>
      </c>
      <c r="CU100" s="207">
        <f t="shared" si="230"/>
        <v>0</v>
      </c>
      <c r="CV100" s="207">
        <f t="shared" si="230"/>
        <v>0</v>
      </c>
      <c r="CW100" s="207">
        <f t="shared" si="213"/>
        <v>0</v>
      </c>
      <c r="CX100" s="207">
        <f t="shared" si="213"/>
        <v>0</v>
      </c>
      <c r="CY100" s="207">
        <f t="shared" si="213"/>
        <v>0</v>
      </c>
      <c r="CZ100" s="199"/>
    </row>
    <row r="101" spans="1:104" ht="26.25" hidden="1" customHeight="1" outlineLevel="1" collapsed="1" x14ac:dyDescent="0.4">
      <c r="A101" s="379">
        <v>48</v>
      </c>
      <c r="B101" s="379" t="s">
        <v>45</v>
      </c>
      <c r="C101" s="379" t="s">
        <v>346</v>
      </c>
      <c r="D101" s="381"/>
      <c r="E101" s="381"/>
      <c r="F101" s="381"/>
      <c r="G101" s="416"/>
      <c r="H101" s="489">
        <f t="shared" ref="H101" si="234">SUM(BT101:CA101)</f>
        <v>0</v>
      </c>
      <c r="I101" s="489">
        <f t="shared" ref="I101" si="235">SUM(BT102:CA102)</f>
        <v>0</v>
      </c>
      <c r="J101" s="497"/>
      <c r="K101" s="491"/>
      <c r="L101" s="491"/>
      <c r="M101" s="493"/>
      <c r="N101" s="48" t="s">
        <v>24</v>
      </c>
      <c r="O101" s="187">
        <f t="shared" si="200"/>
        <v>0</v>
      </c>
      <c r="P101" s="187">
        <f t="shared" si="200"/>
        <v>0</v>
      </c>
      <c r="Q101" s="187">
        <f t="shared" si="200"/>
        <v>0</v>
      </c>
      <c r="R101" s="187">
        <f t="shared" si="200"/>
        <v>0</v>
      </c>
      <c r="S101" s="187">
        <f t="shared" si="200"/>
        <v>0</v>
      </c>
      <c r="T101" s="187">
        <f t="shared" si="200"/>
        <v>0</v>
      </c>
      <c r="U101" s="82">
        <f t="shared" si="200"/>
        <v>0</v>
      </c>
      <c r="V101" s="19">
        <f t="shared" si="217"/>
        <v>0</v>
      </c>
      <c r="W101" s="187">
        <f t="shared" si="217"/>
        <v>0</v>
      </c>
      <c r="X101" s="187">
        <f t="shared" si="217"/>
        <v>0</v>
      </c>
      <c r="Y101" s="187">
        <f t="shared" si="217"/>
        <v>0</v>
      </c>
      <c r="Z101" s="187">
        <f t="shared" si="217"/>
        <v>0</v>
      </c>
      <c r="AA101" s="187">
        <f t="shared" si="214"/>
        <v>0</v>
      </c>
      <c r="AB101" s="19">
        <f t="shared" si="190"/>
        <v>0</v>
      </c>
      <c r="AC101" s="187">
        <f t="shared" si="190"/>
        <v>0</v>
      </c>
      <c r="AD101" s="249">
        <f t="shared" si="190"/>
        <v>0</v>
      </c>
      <c r="AE101" s="187">
        <f t="shared" si="190"/>
        <v>0</v>
      </c>
      <c r="AF101" s="187">
        <f t="shared" si="190"/>
        <v>0</v>
      </c>
      <c r="AG101" s="187">
        <f t="shared" si="190"/>
        <v>0</v>
      </c>
      <c r="AH101" s="19">
        <f t="shared" si="195"/>
        <v>0</v>
      </c>
      <c r="AI101" s="187">
        <f t="shared" si="195"/>
        <v>0</v>
      </c>
      <c r="AJ101" s="187">
        <f t="shared" si="195"/>
        <v>0</v>
      </c>
      <c r="AK101" s="187">
        <f t="shared" si="195"/>
        <v>0</v>
      </c>
      <c r="AL101" s="187">
        <f t="shared" si="195"/>
        <v>0</v>
      </c>
      <c r="AM101" s="187">
        <f t="shared" si="203"/>
        <v>0</v>
      </c>
      <c r="AN101" s="19">
        <f t="shared" si="191"/>
        <v>0</v>
      </c>
      <c r="AO101" s="187">
        <f t="shared" si="191"/>
        <v>0</v>
      </c>
      <c r="AP101" s="187">
        <f t="shared" si="191"/>
        <v>0</v>
      </c>
      <c r="AQ101" s="187">
        <f t="shared" si="191"/>
        <v>0</v>
      </c>
      <c r="AR101" s="187">
        <f t="shared" si="191"/>
        <v>0</v>
      </c>
      <c r="AS101" s="187">
        <f t="shared" si="204"/>
        <v>0</v>
      </c>
      <c r="AT101" s="187">
        <f t="shared" si="204"/>
        <v>0</v>
      </c>
      <c r="AU101" s="187">
        <f t="shared" si="204"/>
        <v>0</v>
      </c>
      <c r="AV101" s="73">
        <f t="shared" si="175"/>
        <v>0</v>
      </c>
      <c r="AW101" s="187">
        <f t="shared" si="175"/>
        <v>0</v>
      </c>
      <c r="AX101" s="187">
        <f t="shared" si="175"/>
        <v>0</v>
      </c>
      <c r="AY101" s="187">
        <f t="shared" si="175"/>
        <v>0</v>
      </c>
      <c r="AZ101" s="187">
        <f t="shared" si="175"/>
        <v>0</v>
      </c>
      <c r="BA101" s="187">
        <f t="shared" si="175"/>
        <v>0</v>
      </c>
      <c r="BB101" s="187">
        <f t="shared" si="219"/>
        <v>0</v>
      </c>
      <c r="BC101" s="187">
        <f t="shared" si="175"/>
        <v>0</v>
      </c>
      <c r="BD101" s="19">
        <f t="shared" si="192"/>
        <v>0</v>
      </c>
      <c r="BE101" s="187">
        <f t="shared" si="192"/>
        <v>0</v>
      </c>
      <c r="BF101" s="187">
        <f t="shared" si="192"/>
        <v>0</v>
      </c>
      <c r="BG101" s="187">
        <f t="shared" si="192"/>
        <v>0</v>
      </c>
      <c r="BH101" s="187">
        <f t="shared" si="192"/>
        <v>0</v>
      </c>
      <c r="BI101" s="187">
        <f t="shared" si="205"/>
        <v>0</v>
      </c>
      <c r="BJ101" s="187">
        <f t="shared" si="205"/>
        <v>0</v>
      </c>
      <c r="BK101" s="187">
        <f t="shared" si="205"/>
        <v>0</v>
      </c>
      <c r="BL101" s="223">
        <f t="shared" si="228"/>
        <v>0</v>
      </c>
      <c r="BM101" s="249">
        <f t="shared" si="228"/>
        <v>0</v>
      </c>
      <c r="BN101" s="249">
        <f t="shared" si="228"/>
        <v>0</v>
      </c>
      <c r="BO101" s="249">
        <f t="shared" si="228"/>
        <v>0</v>
      </c>
      <c r="BP101" s="249">
        <f t="shared" si="228"/>
        <v>0</v>
      </c>
      <c r="BQ101" s="187">
        <f t="shared" si="207"/>
        <v>0</v>
      </c>
      <c r="BR101" s="187">
        <f t="shared" si="207"/>
        <v>0</v>
      </c>
      <c r="BS101" s="187">
        <f t="shared" si="207"/>
        <v>0</v>
      </c>
      <c r="BT101" s="73">
        <f t="shared" si="233"/>
        <v>0</v>
      </c>
      <c r="BU101" s="187">
        <f t="shared" si="233"/>
        <v>0</v>
      </c>
      <c r="BV101" s="187">
        <f t="shared" si="233"/>
        <v>0</v>
      </c>
      <c r="BW101" s="187">
        <f t="shared" si="233"/>
        <v>0</v>
      </c>
      <c r="BX101" s="187">
        <f t="shared" si="233"/>
        <v>0</v>
      </c>
      <c r="BY101" s="187">
        <f t="shared" si="208"/>
        <v>0</v>
      </c>
      <c r="BZ101" s="187">
        <f t="shared" si="208"/>
        <v>0</v>
      </c>
      <c r="CA101" s="187">
        <f t="shared" si="208"/>
        <v>0</v>
      </c>
      <c r="CB101" s="73">
        <f t="shared" si="176"/>
        <v>0</v>
      </c>
      <c r="CC101" s="187">
        <f t="shared" si="176"/>
        <v>0</v>
      </c>
      <c r="CD101" s="187">
        <f t="shared" si="176"/>
        <v>0</v>
      </c>
      <c r="CE101" s="187">
        <f t="shared" si="176"/>
        <v>0</v>
      </c>
      <c r="CF101" s="187">
        <f t="shared" si="176"/>
        <v>0</v>
      </c>
      <c r="CG101" s="187">
        <f t="shared" si="209"/>
        <v>0</v>
      </c>
      <c r="CH101" s="187">
        <f t="shared" si="209"/>
        <v>0</v>
      </c>
      <c r="CI101" s="187">
        <f t="shared" si="209"/>
        <v>0</v>
      </c>
      <c r="CJ101" s="73">
        <f t="shared" si="229"/>
        <v>0</v>
      </c>
      <c r="CK101" s="187">
        <f t="shared" si="229"/>
        <v>0</v>
      </c>
      <c r="CL101" s="187">
        <f t="shared" si="229"/>
        <v>0</v>
      </c>
      <c r="CM101" s="187">
        <f t="shared" si="229"/>
        <v>0</v>
      </c>
      <c r="CN101" s="187">
        <f t="shared" si="229"/>
        <v>0</v>
      </c>
      <c r="CO101" s="187">
        <f t="shared" si="211"/>
        <v>0</v>
      </c>
      <c r="CP101" s="187">
        <f t="shared" si="211"/>
        <v>0</v>
      </c>
      <c r="CQ101" s="187">
        <f t="shared" si="211"/>
        <v>0</v>
      </c>
      <c r="CR101" s="73">
        <f t="shared" si="230"/>
        <v>0</v>
      </c>
      <c r="CS101" s="187">
        <f t="shared" si="230"/>
        <v>0</v>
      </c>
      <c r="CT101" s="187">
        <f t="shared" si="230"/>
        <v>0</v>
      </c>
      <c r="CU101" s="187">
        <f t="shared" si="230"/>
        <v>0</v>
      </c>
      <c r="CV101" s="187">
        <f t="shared" si="230"/>
        <v>0</v>
      </c>
      <c r="CW101" s="187">
        <f t="shared" si="213"/>
        <v>0</v>
      </c>
      <c r="CX101" s="187">
        <f t="shared" si="213"/>
        <v>0</v>
      </c>
      <c r="CY101" s="187">
        <f t="shared" si="213"/>
        <v>0</v>
      </c>
      <c r="CZ101" s="199"/>
    </row>
    <row r="102" spans="1:104" ht="26.25" hidden="1" customHeight="1" outlineLevel="1" x14ac:dyDescent="0.4">
      <c r="A102" s="380"/>
      <c r="B102" s="380"/>
      <c r="C102" s="380"/>
      <c r="D102" s="382"/>
      <c r="E102" s="382"/>
      <c r="F102" s="382"/>
      <c r="G102" s="416"/>
      <c r="H102" s="490"/>
      <c r="I102" s="490"/>
      <c r="J102" s="498"/>
      <c r="K102" s="492"/>
      <c r="L102" s="492"/>
      <c r="M102" s="494"/>
      <c r="N102" s="39" t="s">
        <v>25</v>
      </c>
      <c r="O102" s="207">
        <f t="shared" si="200"/>
        <v>0</v>
      </c>
      <c r="P102" s="207">
        <f t="shared" si="200"/>
        <v>0</v>
      </c>
      <c r="Q102" s="207">
        <f t="shared" si="200"/>
        <v>0</v>
      </c>
      <c r="R102" s="207">
        <f t="shared" si="200"/>
        <v>0</v>
      </c>
      <c r="S102" s="207">
        <f t="shared" si="200"/>
        <v>0</v>
      </c>
      <c r="T102" s="207">
        <f t="shared" si="200"/>
        <v>0</v>
      </c>
      <c r="U102" s="49">
        <f t="shared" si="200"/>
        <v>0</v>
      </c>
      <c r="V102" s="57">
        <f t="shared" si="217"/>
        <v>0</v>
      </c>
      <c r="W102" s="18">
        <f t="shared" si="217"/>
        <v>0</v>
      </c>
      <c r="X102" s="18">
        <f t="shared" si="217"/>
        <v>0</v>
      </c>
      <c r="Y102" s="18">
        <f t="shared" si="217"/>
        <v>0</v>
      </c>
      <c r="Z102" s="18">
        <f t="shared" si="217"/>
        <v>0</v>
      </c>
      <c r="AA102" s="18">
        <f t="shared" si="214"/>
        <v>0</v>
      </c>
      <c r="AB102" s="42">
        <f t="shared" si="190"/>
        <v>0</v>
      </c>
      <c r="AC102" s="52">
        <f t="shared" si="190"/>
        <v>0</v>
      </c>
      <c r="AD102" s="207">
        <f t="shared" si="190"/>
        <v>0</v>
      </c>
      <c r="AE102" s="207">
        <f t="shared" si="190"/>
        <v>0</v>
      </c>
      <c r="AF102" s="207">
        <f t="shared" si="190"/>
        <v>0</v>
      </c>
      <c r="AG102" s="18">
        <f t="shared" si="190"/>
        <v>0</v>
      </c>
      <c r="AH102" s="51">
        <f t="shared" si="195"/>
        <v>0</v>
      </c>
      <c r="AI102" s="52">
        <f t="shared" si="195"/>
        <v>0</v>
      </c>
      <c r="AJ102" s="52">
        <f t="shared" si="195"/>
        <v>0</v>
      </c>
      <c r="AK102" s="52">
        <f t="shared" si="195"/>
        <v>0</v>
      </c>
      <c r="AL102" s="52">
        <f t="shared" si="195"/>
        <v>0</v>
      </c>
      <c r="AM102" s="18">
        <f t="shared" si="203"/>
        <v>0</v>
      </c>
      <c r="AN102" s="42">
        <f t="shared" si="191"/>
        <v>0</v>
      </c>
      <c r="AO102" s="207">
        <f t="shared" si="191"/>
        <v>0</v>
      </c>
      <c r="AP102" s="207">
        <f t="shared" si="191"/>
        <v>0</v>
      </c>
      <c r="AQ102" s="207">
        <f t="shared" si="191"/>
        <v>0</v>
      </c>
      <c r="AR102" s="207">
        <f t="shared" si="191"/>
        <v>0</v>
      </c>
      <c r="AS102" s="207">
        <f t="shared" si="204"/>
        <v>0</v>
      </c>
      <c r="AT102" s="207">
        <f t="shared" si="204"/>
        <v>0</v>
      </c>
      <c r="AU102" s="18">
        <f t="shared" si="204"/>
        <v>0</v>
      </c>
      <c r="AV102" s="42">
        <f t="shared" si="175"/>
        <v>0</v>
      </c>
      <c r="AW102" s="207">
        <f t="shared" si="175"/>
        <v>0</v>
      </c>
      <c r="AX102" s="207">
        <f t="shared" si="175"/>
        <v>0</v>
      </c>
      <c r="AY102" s="207">
        <f t="shared" si="175"/>
        <v>0</v>
      </c>
      <c r="AZ102" s="207">
        <f t="shared" si="175"/>
        <v>0</v>
      </c>
      <c r="BA102" s="207">
        <f t="shared" si="175"/>
        <v>0</v>
      </c>
      <c r="BB102" s="207">
        <f t="shared" si="219"/>
        <v>0</v>
      </c>
      <c r="BC102" s="18">
        <f t="shared" si="175"/>
        <v>0</v>
      </c>
      <c r="BD102" s="42">
        <f t="shared" si="192"/>
        <v>0</v>
      </c>
      <c r="BE102" s="207">
        <f t="shared" si="192"/>
        <v>0</v>
      </c>
      <c r="BF102" s="207">
        <f t="shared" si="192"/>
        <v>0</v>
      </c>
      <c r="BG102" s="207">
        <f t="shared" si="192"/>
        <v>0</v>
      </c>
      <c r="BH102" s="207">
        <f t="shared" si="192"/>
        <v>0</v>
      </c>
      <c r="BI102" s="207">
        <f t="shared" si="205"/>
        <v>0</v>
      </c>
      <c r="BJ102" s="207">
        <f t="shared" si="205"/>
        <v>0</v>
      </c>
      <c r="BK102" s="18">
        <f t="shared" si="205"/>
        <v>0</v>
      </c>
      <c r="BL102" s="20">
        <f t="shared" si="228"/>
        <v>0</v>
      </c>
      <c r="BM102" s="207">
        <f t="shared" si="228"/>
        <v>0</v>
      </c>
      <c r="BN102" s="207">
        <f t="shared" si="228"/>
        <v>0</v>
      </c>
      <c r="BO102" s="207">
        <f t="shared" si="228"/>
        <v>0</v>
      </c>
      <c r="BP102" s="207">
        <f t="shared" si="228"/>
        <v>0</v>
      </c>
      <c r="BQ102" s="207">
        <f t="shared" si="207"/>
        <v>0</v>
      </c>
      <c r="BR102" s="207">
        <f t="shared" si="207"/>
        <v>0</v>
      </c>
      <c r="BS102" s="18">
        <f t="shared" si="207"/>
        <v>0</v>
      </c>
      <c r="BT102" s="224">
        <f t="shared" si="233"/>
        <v>0</v>
      </c>
      <c r="BU102" s="207">
        <f t="shared" si="233"/>
        <v>0</v>
      </c>
      <c r="BV102" s="207">
        <f t="shared" si="233"/>
        <v>0</v>
      </c>
      <c r="BW102" s="207">
        <f t="shared" si="233"/>
        <v>0</v>
      </c>
      <c r="BX102" s="207">
        <f t="shared" si="233"/>
        <v>0</v>
      </c>
      <c r="BY102" s="207">
        <f t="shared" si="208"/>
        <v>0</v>
      </c>
      <c r="BZ102" s="207">
        <f t="shared" si="208"/>
        <v>0</v>
      </c>
      <c r="CA102" s="18">
        <f t="shared" si="208"/>
        <v>0</v>
      </c>
      <c r="CB102" s="224">
        <f t="shared" si="176"/>
        <v>0</v>
      </c>
      <c r="CC102" s="250">
        <f t="shared" si="176"/>
        <v>0</v>
      </c>
      <c r="CD102" s="250">
        <f t="shared" si="176"/>
        <v>0</v>
      </c>
      <c r="CE102" s="250">
        <f t="shared" si="176"/>
        <v>0</v>
      </c>
      <c r="CF102" s="250">
        <f t="shared" si="176"/>
        <v>0</v>
      </c>
      <c r="CG102" s="207">
        <f t="shared" si="209"/>
        <v>0</v>
      </c>
      <c r="CH102" s="207">
        <f t="shared" si="209"/>
        <v>0</v>
      </c>
      <c r="CI102" s="18">
        <f t="shared" si="209"/>
        <v>0</v>
      </c>
      <c r="CJ102" s="224">
        <f t="shared" si="229"/>
        <v>0</v>
      </c>
      <c r="CK102" s="207">
        <f t="shared" si="229"/>
        <v>0</v>
      </c>
      <c r="CL102" s="207">
        <f t="shared" si="229"/>
        <v>0</v>
      </c>
      <c r="CM102" s="207">
        <f t="shared" si="229"/>
        <v>0</v>
      </c>
      <c r="CN102" s="207">
        <f t="shared" si="229"/>
        <v>0</v>
      </c>
      <c r="CO102" s="207">
        <f t="shared" si="211"/>
        <v>0</v>
      </c>
      <c r="CP102" s="207">
        <f t="shared" si="211"/>
        <v>0</v>
      </c>
      <c r="CQ102" s="18">
        <f t="shared" si="211"/>
        <v>0</v>
      </c>
      <c r="CR102" s="42">
        <f t="shared" si="230"/>
        <v>0</v>
      </c>
      <c r="CS102" s="207">
        <f t="shared" si="230"/>
        <v>0</v>
      </c>
      <c r="CT102" s="207">
        <f t="shared" si="230"/>
        <v>0</v>
      </c>
      <c r="CU102" s="207">
        <f t="shared" si="230"/>
        <v>0</v>
      </c>
      <c r="CV102" s="207">
        <f t="shared" si="230"/>
        <v>0</v>
      </c>
      <c r="CW102" s="207">
        <f t="shared" si="213"/>
        <v>0</v>
      </c>
      <c r="CX102" s="207">
        <f t="shared" si="213"/>
        <v>0</v>
      </c>
      <c r="CY102" s="207">
        <f t="shared" si="213"/>
        <v>0</v>
      </c>
      <c r="CZ102" s="199"/>
    </row>
    <row r="103" spans="1:104" ht="26.25" hidden="1" customHeight="1" outlineLevel="1" collapsed="1" x14ac:dyDescent="0.4">
      <c r="A103" s="379">
        <v>49</v>
      </c>
      <c r="B103" s="379" t="s">
        <v>45</v>
      </c>
      <c r="C103" s="379" t="s">
        <v>346</v>
      </c>
      <c r="D103" s="381"/>
      <c r="E103" s="381"/>
      <c r="F103" s="381"/>
      <c r="G103" s="416"/>
      <c r="H103" s="489">
        <f t="shared" ref="H103" si="236">SUM(BT103:CA103)</f>
        <v>0</v>
      </c>
      <c r="I103" s="489">
        <f t="shared" ref="I103" si="237">SUM(BT104:CA104)</f>
        <v>0</v>
      </c>
      <c r="J103" s="497"/>
      <c r="K103" s="491"/>
      <c r="L103" s="491"/>
      <c r="M103" s="493"/>
      <c r="N103" s="48" t="s">
        <v>24</v>
      </c>
      <c r="O103" s="187">
        <f t="shared" si="200"/>
        <v>0</v>
      </c>
      <c r="P103" s="187">
        <f t="shared" si="200"/>
        <v>0</v>
      </c>
      <c r="Q103" s="187">
        <f t="shared" si="200"/>
        <v>0</v>
      </c>
      <c r="R103" s="187">
        <f t="shared" si="200"/>
        <v>0</v>
      </c>
      <c r="S103" s="187">
        <f t="shared" si="200"/>
        <v>0</v>
      </c>
      <c r="T103" s="187">
        <f t="shared" si="200"/>
        <v>0</v>
      </c>
      <c r="U103" s="82">
        <f t="shared" si="200"/>
        <v>0</v>
      </c>
      <c r="V103" s="19">
        <f t="shared" si="217"/>
        <v>0</v>
      </c>
      <c r="W103" s="187">
        <f t="shared" si="217"/>
        <v>0</v>
      </c>
      <c r="X103" s="187">
        <f t="shared" si="217"/>
        <v>0</v>
      </c>
      <c r="Y103" s="187">
        <f t="shared" si="217"/>
        <v>0</v>
      </c>
      <c r="Z103" s="187">
        <f t="shared" si="217"/>
        <v>0</v>
      </c>
      <c r="AA103" s="187">
        <f t="shared" si="214"/>
        <v>0</v>
      </c>
      <c r="AB103" s="19">
        <f t="shared" si="190"/>
        <v>0</v>
      </c>
      <c r="AC103" s="187">
        <f t="shared" si="190"/>
        <v>0</v>
      </c>
      <c r="AD103" s="249">
        <f t="shared" si="190"/>
        <v>0</v>
      </c>
      <c r="AE103" s="187">
        <f t="shared" si="190"/>
        <v>0</v>
      </c>
      <c r="AF103" s="187">
        <f t="shared" si="190"/>
        <v>0</v>
      </c>
      <c r="AG103" s="187">
        <f t="shared" si="190"/>
        <v>0</v>
      </c>
      <c r="AH103" s="19">
        <f t="shared" si="195"/>
        <v>0</v>
      </c>
      <c r="AI103" s="187">
        <f t="shared" si="195"/>
        <v>0</v>
      </c>
      <c r="AJ103" s="187">
        <f t="shared" si="195"/>
        <v>0</v>
      </c>
      <c r="AK103" s="187">
        <f t="shared" si="195"/>
        <v>0</v>
      </c>
      <c r="AL103" s="187">
        <f t="shared" si="195"/>
        <v>0</v>
      </c>
      <c r="AM103" s="187">
        <f t="shared" si="203"/>
        <v>0</v>
      </c>
      <c r="AN103" s="19">
        <f t="shared" si="191"/>
        <v>0</v>
      </c>
      <c r="AO103" s="187">
        <f t="shared" si="191"/>
        <v>0</v>
      </c>
      <c r="AP103" s="187">
        <f t="shared" si="191"/>
        <v>0</v>
      </c>
      <c r="AQ103" s="187">
        <f t="shared" si="191"/>
        <v>0</v>
      </c>
      <c r="AR103" s="187">
        <f t="shared" si="191"/>
        <v>0</v>
      </c>
      <c r="AS103" s="187">
        <f t="shared" si="204"/>
        <v>0</v>
      </c>
      <c r="AT103" s="187">
        <f t="shared" si="204"/>
        <v>0</v>
      </c>
      <c r="AU103" s="187">
        <f t="shared" si="204"/>
        <v>0</v>
      </c>
      <c r="AV103" s="73">
        <f t="shared" si="175"/>
        <v>0</v>
      </c>
      <c r="AW103" s="187">
        <f t="shared" si="175"/>
        <v>0</v>
      </c>
      <c r="AX103" s="187">
        <f t="shared" si="175"/>
        <v>0</v>
      </c>
      <c r="AY103" s="187">
        <f t="shared" si="175"/>
        <v>0</v>
      </c>
      <c r="AZ103" s="187">
        <f t="shared" si="175"/>
        <v>0</v>
      </c>
      <c r="BA103" s="187">
        <f t="shared" si="175"/>
        <v>0</v>
      </c>
      <c r="BB103" s="187">
        <f t="shared" si="219"/>
        <v>0</v>
      </c>
      <c r="BC103" s="187">
        <f t="shared" si="175"/>
        <v>0</v>
      </c>
      <c r="BD103" s="19">
        <f t="shared" si="192"/>
        <v>0</v>
      </c>
      <c r="BE103" s="187">
        <f t="shared" si="192"/>
        <v>0</v>
      </c>
      <c r="BF103" s="187">
        <f t="shared" si="192"/>
        <v>0</v>
      </c>
      <c r="BG103" s="187">
        <f t="shared" si="192"/>
        <v>0</v>
      </c>
      <c r="BH103" s="187">
        <f t="shared" si="192"/>
        <v>0</v>
      </c>
      <c r="BI103" s="187">
        <f t="shared" si="205"/>
        <v>0</v>
      </c>
      <c r="BJ103" s="187">
        <f t="shared" si="205"/>
        <v>0</v>
      </c>
      <c r="BK103" s="187">
        <f t="shared" si="205"/>
        <v>0</v>
      </c>
      <c r="BL103" s="223">
        <f t="shared" si="228"/>
        <v>0</v>
      </c>
      <c r="BM103" s="249">
        <f t="shared" si="228"/>
        <v>0</v>
      </c>
      <c r="BN103" s="249">
        <f t="shared" si="228"/>
        <v>0</v>
      </c>
      <c r="BO103" s="249">
        <f t="shared" si="228"/>
        <v>0</v>
      </c>
      <c r="BP103" s="249">
        <f t="shared" si="228"/>
        <v>0</v>
      </c>
      <c r="BQ103" s="187">
        <f t="shared" si="207"/>
        <v>0</v>
      </c>
      <c r="BR103" s="187">
        <f t="shared" si="207"/>
        <v>0</v>
      </c>
      <c r="BS103" s="187">
        <f t="shared" si="207"/>
        <v>0</v>
      </c>
      <c r="BT103" s="73">
        <f t="shared" si="233"/>
        <v>0</v>
      </c>
      <c r="BU103" s="187">
        <f t="shared" si="233"/>
        <v>0</v>
      </c>
      <c r="BV103" s="187">
        <f t="shared" si="233"/>
        <v>0</v>
      </c>
      <c r="BW103" s="187">
        <f t="shared" si="233"/>
        <v>0</v>
      </c>
      <c r="BX103" s="187">
        <f t="shared" si="233"/>
        <v>0</v>
      </c>
      <c r="BY103" s="187">
        <f t="shared" si="208"/>
        <v>0</v>
      </c>
      <c r="BZ103" s="187">
        <f t="shared" si="208"/>
        <v>0</v>
      </c>
      <c r="CA103" s="187">
        <f t="shared" si="208"/>
        <v>0</v>
      </c>
      <c r="CB103" s="73">
        <f t="shared" si="176"/>
        <v>0</v>
      </c>
      <c r="CC103" s="187">
        <f t="shared" si="176"/>
        <v>0</v>
      </c>
      <c r="CD103" s="187">
        <f t="shared" si="176"/>
        <v>0</v>
      </c>
      <c r="CE103" s="187">
        <f t="shared" si="176"/>
        <v>0</v>
      </c>
      <c r="CF103" s="187">
        <f t="shared" si="176"/>
        <v>0</v>
      </c>
      <c r="CG103" s="187">
        <f t="shared" si="209"/>
        <v>0</v>
      </c>
      <c r="CH103" s="187">
        <f t="shared" si="209"/>
        <v>0</v>
      </c>
      <c r="CI103" s="187">
        <f t="shared" si="209"/>
        <v>0</v>
      </c>
      <c r="CJ103" s="73">
        <f t="shared" si="229"/>
        <v>0</v>
      </c>
      <c r="CK103" s="187">
        <f t="shared" si="229"/>
        <v>0</v>
      </c>
      <c r="CL103" s="187">
        <f t="shared" si="229"/>
        <v>0</v>
      </c>
      <c r="CM103" s="187">
        <f t="shared" si="229"/>
        <v>0</v>
      </c>
      <c r="CN103" s="187">
        <f t="shared" si="229"/>
        <v>0</v>
      </c>
      <c r="CO103" s="187">
        <f t="shared" si="211"/>
        <v>0</v>
      </c>
      <c r="CP103" s="187">
        <f t="shared" si="211"/>
        <v>0</v>
      </c>
      <c r="CQ103" s="187">
        <f t="shared" si="211"/>
        <v>0</v>
      </c>
      <c r="CR103" s="73">
        <f t="shared" si="230"/>
        <v>0</v>
      </c>
      <c r="CS103" s="187">
        <f t="shared" si="230"/>
        <v>0</v>
      </c>
      <c r="CT103" s="187">
        <f t="shared" si="230"/>
        <v>0</v>
      </c>
      <c r="CU103" s="187">
        <f t="shared" si="230"/>
        <v>0</v>
      </c>
      <c r="CV103" s="187">
        <f t="shared" si="230"/>
        <v>0</v>
      </c>
      <c r="CW103" s="187">
        <f t="shared" si="213"/>
        <v>0</v>
      </c>
      <c r="CX103" s="187">
        <f t="shared" si="213"/>
        <v>0</v>
      </c>
      <c r="CY103" s="187">
        <f t="shared" si="213"/>
        <v>0</v>
      </c>
      <c r="CZ103" s="199"/>
    </row>
    <row r="104" spans="1:104" ht="26.25" hidden="1" customHeight="1" outlineLevel="1" x14ac:dyDescent="0.4">
      <c r="A104" s="380"/>
      <c r="B104" s="380"/>
      <c r="C104" s="380"/>
      <c r="D104" s="382"/>
      <c r="E104" s="382"/>
      <c r="F104" s="382"/>
      <c r="G104" s="416"/>
      <c r="H104" s="490"/>
      <c r="I104" s="490"/>
      <c r="J104" s="498"/>
      <c r="K104" s="492"/>
      <c r="L104" s="492"/>
      <c r="M104" s="494"/>
      <c r="N104" s="39" t="s">
        <v>25</v>
      </c>
      <c r="O104" s="207">
        <f t="shared" si="200"/>
        <v>0</v>
      </c>
      <c r="P104" s="207">
        <f t="shared" si="200"/>
        <v>0</v>
      </c>
      <c r="Q104" s="207">
        <f t="shared" si="200"/>
        <v>0</v>
      </c>
      <c r="R104" s="207">
        <f t="shared" si="200"/>
        <v>0</v>
      </c>
      <c r="S104" s="207">
        <f t="shared" si="200"/>
        <v>0</v>
      </c>
      <c r="T104" s="207">
        <f t="shared" si="200"/>
        <v>0</v>
      </c>
      <c r="U104" s="49">
        <f t="shared" si="200"/>
        <v>0</v>
      </c>
      <c r="V104" s="57">
        <f t="shared" si="217"/>
        <v>0</v>
      </c>
      <c r="W104" s="18">
        <f t="shared" si="217"/>
        <v>0</v>
      </c>
      <c r="X104" s="18">
        <f t="shared" si="217"/>
        <v>0</v>
      </c>
      <c r="Y104" s="18">
        <f t="shared" si="217"/>
        <v>0</v>
      </c>
      <c r="Z104" s="18">
        <f t="shared" si="217"/>
        <v>0</v>
      </c>
      <c r="AA104" s="18">
        <f t="shared" si="214"/>
        <v>0</v>
      </c>
      <c r="AB104" s="42">
        <f t="shared" si="190"/>
        <v>0</v>
      </c>
      <c r="AC104" s="52">
        <f t="shared" si="190"/>
        <v>0</v>
      </c>
      <c r="AD104" s="207">
        <f t="shared" si="190"/>
        <v>0</v>
      </c>
      <c r="AE104" s="207">
        <f t="shared" si="190"/>
        <v>0</v>
      </c>
      <c r="AF104" s="207">
        <f t="shared" si="190"/>
        <v>0</v>
      </c>
      <c r="AG104" s="18">
        <f t="shared" si="190"/>
        <v>0</v>
      </c>
      <c r="AH104" s="51">
        <f t="shared" si="195"/>
        <v>0</v>
      </c>
      <c r="AI104" s="52">
        <f t="shared" si="195"/>
        <v>0</v>
      </c>
      <c r="AJ104" s="52">
        <f t="shared" si="195"/>
        <v>0</v>
      </c>
      <c r="AK104" s="52">
        <f t="shared" si="195"/>
        <v>0</v>
      </c>
      <c r="AL104" s="52">
        <f t="shared" si="195"/>
        <v>0</v>
      </c>
      <c r="AM104" s="18">
        <f t="shared" si="203"/>
        <v>0</v>
      </c>
      <c r="AN104" s="42">
        <f t="shared" si="191"/>
        <v>0</v>
      </c>
      <c r="AO104" s="207">
        <f t="shared" si="191"/>
        <v>0</v>
      </c>
      <c r="AP104" s="207">
        <f t="shared" si="191"/>
        <v>0</v>
      </c>
      <c r="AQ104" s="207">
        <f t="shared" si="191"/>
        <v>0</v>
      </c>
      <c r="AR104" s="207">
        <f t="shared" si="191"/>
        <v>0</v>
      </c>
      <c r="AS104" s="207">
        <f t="shared" si="204"/>
        <v>0</v>
      </c>
      <c r="AT104" s="207">
        <f t="shared" si="204"/>
        <v>0</v>
      </c>
      <c r="AU104" s="18">
        <f t="shared" si="204"/>
        <v>0</v>
      </c>
      <c r="AV104" s="42">
        <f t="shared" si="175"/>
        <v>0</v>
      </c>
      <c r="AW104" s="207">
        <f t="shared" si="175"/>
        <v>0</v>
      </c>
      <c r="AX104" s="207">
        <f t="shared" si="175"/>
        <v>0</v>
      </c>
      <c r="AY104" s="207">
        <f t="shared" si="175"/>
        <v>0</v>
      </c>
      <c r="AZ104" s="207">
        <f t="shared" si="175"/>
        <v>0</v>
      </c>
      <c r="BA104" s="207">
        <f t="shared" si="175"/>
        <v>0</v>
      </c>
      <c r="BB104" s="207">
        <f t="shared" si="219"/>
        <v>0</v>
      </c>
      <c r="BC104" s="18">
        <f t="shared" si="175"/>
        <v>0</v>
      </c>
      <c r="BD104" s="42">
        <f t="shared" si="192"/>
        <v>0</v>
      </c>
      <c r="BE104" s="207">
        <f t="shared" si="192"/>
        <v>0</v>
      </c>
      <c r="BF104" s="207">
        <f t="shared" si="192"/>
        <v>0</v>
      </c>
      <c r="BG104" s="207">
        <f t="shared" si="192"/>
        <v>0</v>
      </c>
      <c r="BH104" s="207">
        <f t="shared" si="192"/>
        <v>0</v>
      </c>
      <c r="BI104" s="207">
        <f t="shared" si="205"/>
        <v>0</v>
      </c>
      <c r="BJ104" s="207">
        <f t="shared" si="205"/>
        <v>0</v>
      </c>
      <c r="BK104" s="18">
        <f t="shared" si="205"/>
        <v>0</v>
      </c>
      <c r="BL104" s="20">
        <f t="shared" si="228"/>
        <v>0</v>
      </c>
      <c r="BM104" s="207">
        <f t="shared" si="228"/>
        <v>0</v>
      </c>
      <c r="BN104" s="207">
        <f t="shared" si="228"/>
        <v>0</v>
      </c>
      <c r="BO104" s="207">
        <f t="shared" si="228"/>
        <v>0</v>
      </c>
      <c r="BP104" s="207">
        <f t="shared" si="228"/>
        <v>0</v>
      </c>
      <c r="BQ104" s="207">
        <f t="shared" si="207"/>
        <v>0</v>
      </c>
      <c r="BR104" s="207">
        <f t="shared" si="207"/>
        <v>0</v>
      </c>
      <c r="BS104" s="18">
        <f t="shared" si="207"/>
        <v>0</v>
      </c>
      <c r="BT104" s="224">
        <f t="shared" si="233"/>
        <v>0</v>
      </c>
      <c r="BU104" s="207">
        <f t="shared" si="233"/>
        <v>0</v>
      </c>
      <c r="BV104" s="207">
        <f t="shared" si="233"/>
        <v>0</v>
      </c>
      <c r="BW104" s="207">
        <f t="shared" si="233"/>
        <v>0</v>
      </c>
      <c r="BX104" s="207">
        <f t="shared" si="233"/>
        <v>0</v>
      </c>
      <c r="BY104" s="207">
        <f t="shared" si="208"/>
        <v>0</v>
      </c>
      <c r="BZ104" s="207">
        <f t="shared" si="208"/>
        <v>0</v>
      </c>
      <c r="CA104" s="18">
        <f t="shared" si="208"/>
        <v>0</v>
      </c>
      <c r="CB104" s="224">
        <f t="shared" si="176"/>
        <v>0</v>
      </c>
      <c r="CC104" s="250">
        <f t="shared" si="176"/>
        <v>0</v>
      </c>
      <c r="CD104" s="250">
        <f t="shared" si="176"/>
        <v>0</v>
      </c>
      <c r="CE104" s="250">
        <f t="shared" si="176"/>
        <v>0</v>
      </c>
      <c r="CF104" s="250">
        <f t="shared" si="176"/>
        <v>0</v>
      </c>
      <c r="CG104" s="207">
        <f t="shared" si="209"/>
        <v>0</v>
      </c>
      <c r="CH104" s="207">
        <f t="shared" si="209"/>
        <v>0</v>
      </c>
      <c r="CI104" s="18">
        <f t="shared" si="209"/>
        <v>0</v>
      </c>
      <c r="CJ104" s="224">
        <f t="shared" si="229"/>
        <v>0</v>
      </c>
      <c r="CK104" s="207">
        <f t="shared" si="229"/>
        <v>0</v>
      </c>
      <c r="CL104" s="207">
        <f t="shared" si="229"/>
        <v>0</v>
      </c>
      <c r="CM104" s="207">
        <f t="shared" si="229"/>
        <v>0</v>
      </c>
      <c r="CN104" s="207">
        <f t="shared" si="229"/>
        <v>0</v>
      </c>
      <c r="CO104" s="207">
        <f t="shared" si="211"/>
        <v>0</v>
      </c>
      <c r="CP104" s="207">
        <f t="shared" si="211"/>
        <v>0</v>
      </c>
      <c r="CQ104" s="18">
        <f t="shared" si="211"/>
        <v>0</v>
      </c>
      <c r="CR104" s="42">
        <f t="shared" si="230"/>
        <v>0</v>
      </c>
      <c r="CS104" s="207">
        <f t="shared" si="230"/>
        <v>0</v>
      </c>
      <c r="CT104" s="207">
        <f t="shared" si="230"/>
        <v>0</v>
      </c>
      <c r="CU104" s="207">
        <f t="shared" si="230"/>
        <v>0</v>
      </c>
      <c r="CV104" s="207">
        <f t="shared" si="230"/>
        <v>0</v>
      </c>
      <c r="CW104" s="207">
        <f t="shared" si="213"/>
        <v>0</v>
      </c>
      <c r="CX104" s="207">
        <f t="shared" si="213"/>
        <v>0</v>
      </c>
      <c r="CY104" s="207">
        <f t="shared" si="213"/>
        <v>0</v>
      </c>
      <c r="CZ104" s="199"/>
    </row>
    <row r="105" spans="1:104" ht="26.25" hidden="1" customHeight="1" outlineLevel="1" collapsed="1" x14ac:dyDescent="0.4">
      <c r="A105" s="379">
        <v>50</v>
      </c>
      <c r="B105" s="379" t="s">
        <v>45</v>
      </c>
      <c r="C105" s="379" t="s">
        <v>346</v>
      </c>
      <c r="D105" s="381"/>
      <c r="E105" s="381"/>
      <c r="F105" s="381"/>
      <c r="G105" s="416"/>
      <c r="H105" s="489">
        <f t="shared" ref="H105" si="238">SUM(BT105:CA105)</f>
        <v>0</v>
      </c>
      <c r="I105" s="489">
        <f t="shared" ref="I105" si="239">SUM(BT106:CA106)</f>
        <v>0</v>
      </c>
      <c r="J105" s="497"/>
      <c r="K105" s="491"/>
      <c r="L105" s="491"/>
      <c r="M105" s="493"/>
      <c r="N105" s="48" t="s">
        <v>24</v>
      </c>
      <c r="O105" s="187">
        <f t="shared" si="200"/>
        <v>0</v>
      </c>
      <c r="P105" s="187">
        <f t="shared" si="200"/>
        <v>0</v>
      </c>
      <c r="Q105" s="187">
        <f t="shared" si="200"/>
        <v>0</v>
      </c>
      <c r="R105" s="187">
        <f t="shared" si="200"/>
        <v>0</v>
      </c>
      <c r="S105" s="187">
        <f t="shared" si="200"/>
        <v>0</v>
      </c>
      <c r="T105" s="187">
        <f t="shared" si="200"/>
        <v>0</v>
      </c>
      <c r="U105" s="82">
        <f t="shared" si="200"/>
        <v>0</v>
      </c>
      <c r="V105" s="19">
        <f t="shared" si="217"/>
        <v>0</v>
      </c>
      <c r="W105" s="187">
        <f t="shared" si="217"/>
        <v>0</v>
      </c>
      <c r="X105" s="187">
        <f t="shared" si="217"/>
        <v>0</v>
      </c>
      <c r="Y105" s="187">
        <f t="shared" si="217"/>
        <v>0</v>
      </c>
      <c r="Z105" s="187">
        <f t="shared" si="217"/>
        <v>0</v>
      </c>
      <c r="AA105" s="187">
        <f t="shared" si="214"/>
        <v>0</v>
      </c>
      <c r="AB105" s="19">
        <f t="shared" si="190"/>
        <v>0</v>
      </c>
      <c r="AC105" s="187">
        <f t="shared" si="190"/>
        <v>0</v>
      </c>
      <c r="AD105" s="249">
        <f t="shared" si="190"/>
        <v>0</v>
      </c>
      <c r="AE105" s="187">
        <f t="shared" si="190"/>
        <v>0</v>
      </c>
      <c r="AF105" s="187">
        <f t="shared" si="190"/>
        <v>0</v>
      </c>
      <c r="AG105" s="187">
        <f t="shared" si="190"/>
        <v>0</v>
      </c>
      <c r="AH105" s="19">
        <f t="shared" si="195"/>
        <v>0</v>
      </c>
      <c r="AI105" s="187">
        <f t="shared" si="195"/>
        <v>0</v>
      </c>
      <c r="AJ105" s="187">
        <f t="shared" si="195"/>
        <v>0</v>
      </c>
      <c r="AK105" s="187">
        <f t="shared" si="195"/>
        <v>0</v>
      </c>
      <c r="AL105" s="187">
        <f t="shared" si="195"/>
        <v>0</v>
      </c>
      <c r="AM105" s="187">
        <f t="shared" si="203"/>
        <v>0</v>
      </c>
      <c r="AN105" s="19">
        <f t="shared" si="191"/>
        <v>0</v>
      </c>
      <c r="AO105" s="187">
        <f t="shared" si="191"/>
        <v>0</v>
      </c>
      <c r="AP105" s="187">
        <f t="shared" si="191"/>
        <v>0</v>
      </c>
      <c r="AQ105" s="187">
        <f t="shared" si="191"/>
        <v>0</v>
      </c>
      <c r="AR105" s="187">
        <f t="shared" si="191"/>
        <v>0</v>
      </c>
      <c r="AS105" s="187">
        <f t="shared" si="204"/>
        <v>0</v>
      </c>
      <c r="AT105" s="187">
        <f t="shared" si="204"/>
        <v>0</v>
      </c>
      <c r="AU105" s="187">
        <f t="shared" si="204"/>
        <v>0</v>
      </c>
      <c r="AV105" s="73">
        <f t="shared" si="175"/>
        <v>0</v>
      </c>
      <c r="AW105" s="187">
        <f t="shared" si="175"/>
        <v>0</v>
      </c>
      <c r="AX105" s="187">
        <f t="shared" si="175"/>
        <v>0</v>
      </c>
      <c r="AY105" s="187">
        <f t="shared" si="175"/>
        <v>0</v>
      </c>
      <c r="AZ105" s="187">
        <f t="shared" si="175"/>
        <v>0</v>
      </c>
      <c r="BA105" s="187">
        <f t="shared" si="175"/>
        <v>0</v>
      </c>
      <c r="BB105" s="187">
        <f t="shared" si="219"/>
        <v>0</v>
      </c>
      <c r="BC105" s="187">
        <f t="shared" si="175"/>
        <v>0</v>
      </c>
      <c r="BD105" s="19">
        <f t="shared" si="192"/>
        <v>0</v>
      </c>
      <c r="BE105" s="187">
        <f t="shared" si="192"/>
        <v>0</v>
      </c>
      <c r="BF105" s="187">
        <f t="shared" si="192"/>
        <v>0</v>
      </c>
      <c r="BG105" s="187">
        <f t="shared" si="192"/>
        <v>0</v>
      </c>
      <c r="BH105" s="187">
        <f t="shared" si="192"/>
        <v>0</v>
      </c>
      <c r="BI105" s="187">
        <f t="shared" si="205"/>
        <v>0</v>
      </c>
      <c r="BJ105" s="187">
        <f t="shared" si="205"/>
        <v>0</v>
      </c>
      <c r="BK105" s="187">
        <f t="shared" si="205"/>
        <v>0</v>
      </c>
      <c r="BL105" s="223">
        <f t="shared" si="228"/>
        <v>0</v>
      </c>
      <c r="BM105" s="249">
        <f t="shared" si="228"/>
        <v>0</v>
      </c>
      <c r="BN105" s="249">
        <f t="shared" si="228"/>
        <v>0</v>
      </c>
      <c r="BO105" s="249">
        <f t="shared" si="228"/>
        <v>0</v>
      </c>
      <c r="BP105" s="249">
        <f t="shared" si="228"/>
        <v>0</v>
      </c>
      <c r="BQ105" s="187">
        <f t="shared" si="207"/>
        <v>0</v>
      </c>
      <c r="BR105" s="187">
        <f t="shared" si="207"/>
        <v>0</v>
      </c>
      <c r="BS105" s="187">
        <f t="shared" si="207"/>
        <v>0</v>
      </c>
      <c r="BT105" s="73">
        <f t="shared" si="233"/>
        <v>0</v>
      </c>
      <c r="BU105" s="187">
        <f t="shared" si="233"/>
        <v>0</v>
      </c>
      <c r="BV105" s="187">
        <f t="shared" si="233"/>
        <v>0</v>
      </c>
      <c r="BW105" s="187">
        <f t="shared" si="233"/>
        <v>0</v>
      </c>
      <c r="BX105" s="187">
        <f t="shared" si="233"/>
        <v>0</v>
      </c>
      <c r="BY105" s="187">
        <f t="shared" si="208"/>
        <v>0</v>
      </c>
      <c r="BZ105" s="187">
        <f t="shared" si="208"/>
        <v>0</v>
      </c>
      <c r="CA105" s="187">
        <f t="shared" si="208"/>
        <v>0</v>
      </c>
      <c r="CB105" s="73">
        <f t="shared" si="176"/>
        <v>0</v>
      </c>
      <c r="CC105" s="187">
        <f t="shared" si="176"/>
        <v>0</v>
      </c>
      <c r="CD105" s="187">
        <f t="shared" si="176"/>
        <v>0</v>
      </c>
      <c r="CE105" s="187">
        <f t="shared" si="176"/>
        <v>0</v>
      </c>
      <c r="CF105" s="187">
        <f t="shared" si="176"/>
        <v>0</v>
      </c>
      <c r="CG105" s="187">
        <f t="shared" si="209"/>
        <v>0</v>
      </c>
      <c r="CH105" s="187">
        <f t="shared" si="209"/>
        <v>0</v>
      </c>
      <c r="CI105" s="187">
        <f t="shared" si="209"/>
        <v>0</v>
      </c>
      <c r="CJ105" s="73">
        <f t="shared" si="229"/>
        <v>0</v>
      </c>
      <c r="CK105" s="187">
        <f t="shared" si="229"/>
        <v>0</v>
      </c>
      <c r="CL105" s="187">
        <f t="shared" si="229"/>
        <v>0</v>
      </c>
      <c r="CM105" s="187">
        <f t="shared" si="229"/>
        <v>0</v>
      </c>
      <c r="CN105" s="187">
        <f t="shared" si="229"/>
        <v>0</v>
      </c>
      <c r="CO105" s="187">
        <f t="shared" si="211"/>
        <v>0</v>
      </c>
      <c r="CP105" s="187">
        <f t="shared" si="211"/>
        <v>0</v>
      </c>
      <c r="CQ105" s="187">
        <f t="shared" si="211"/>
        <v>0</v>
      </c>
      <c r="CR105" s="73">
        <f t="shared" si="230"/>
        <v>0</v>
      </c>
      <c r="CS105" s="187">
        <f t="shared" si="230"/>
        <v>0</v>
      </c>
      <c r="CT105" s="187">
        <f t="shared" si="230"/>
        <v>0</v>
      </c>
      <c r="CU105" s="187">
        <f t="shared" si="230"/>
        <v>0</v>
      </c>
      <c r="CV105" s="187">
        <f t="shared" si="230"/>
        <v>0</v>
      </c>
      <c r="CW105" s="187">
        <f t="shared" si="213"/>
        <v>0</v>
      </c>
      <c r="CX105" s="187">
        <f t="shared" si="213"/>
        <v>0</v>
      </c>
      <c r="CY105" s="187">
        <f t="shared" si="213"/>
        <v>0</v>
      </c>
      <c r="CZ105" s="199"/>
    </row>
    <row r="106" spans="1:104" ht="26.25" hidden="1" customHeight="1" outlineLevel="1" x14ac:dyDescent="0.4">
      <c r="A106" s="380"/>
      <c r="B106" s="380"/>
      <c r="C106" s="380"/>
      <c r="D106" s="382"/>
      <c r="E106" s="382"/>
      <c r="F106" s="382"/>
      <c r="G106" s="416"/>
      <c r="H106" s="490"/>
      <c r="I106" s="490"/>
      <c r="J106" s="498"/>
      <c r="K106" s="492"/>
      <c r="L106" s="492"/>
      <c r="M106" s="494"/>
      <c r="N106" s="39" t="s">
        <v>25</v>
      </c>
      <c r="O106" s="207">
        <f t="shared" si="200"/>
        <v>0</v>
      </c>
      <c r="P106" s="207">
        <f t="shared" si="200"/>
        <v>0</v>
      </c>
      <c r="Q106" s="207">
        <f t="shared" si="200"/>
        <v>0</v>
      </c>
      <c r="R106" s="207">
        <f t="shared" si="200"/>
        <v>0</v>
      </c>
      <c r="S106" s="207">
        <f t="shared" si="200"/>
        <v>0</v>
      </c>
      <c r="T106" s="207">
        <f t="shared" si="200"/>
        <v>0</v>
      </c>
      <c r="U106" s="49">
        <f t="shared" si="200"/>
        <v>0</v>
      </c>
      <c r="V106" s="57">
        <f t="shared" si="217"/>
        <v>0</v>
      </c>
      <c r="W106" s="18">
        <f t="shared" si="217"/>
        <v>0</v>
      </c>
      <c r="X106" s="18">
        <f t="shared" si="217"/>
        <v>0</v>
      </c>
      <c r="Y106" s="18">
        <f t="shared" si="217"/>
        <v>0</v>
      </c>
      <c r="Z106" s="18">
        <f t="shared" si="217"/>
        <v>0</v>
      </c>
      <c r="AA106" s="18">
        <f t="shared" si="214"/>
        <v>0</v>
      </c>
      <c r="AB106" s="42">
        <f t="shared" si="190"/>
        <v>0</v>
      </c>
      <c r="AC106" s="52">
        <f t="shared" si="190"/>
        <v>0</v>
      </c>
      <c r="AD106" s="207">
        <f t="shared" si="190"/>
        <v>0</v>
      </c>
      <c r="AE106" s="207">
        <f t="shared" si="190"/>
        <v>0</v>
      </c>
      <c r="AF106" s="207">
        <f t="shared" si="190"/>
        <v>0</v>
      </c>
      <c r="AG106" s="18">
        <f t="shared" si="190"/>
        <v>0</v>
      </c>
      <c r="AH106" s="51">
        <f t="shared" si="195"/>
        <v>0</v>
      </c>
      <c r="AI106" s="52">
        <f t="shared" si="195"/>
        <v>0</v>
      </c>
      <c r="AJ106" s="52">
        <f t="shared" si="195"/>
        <v>0</v>
      </c>
      <c r="AK106" s="52">
        <f t="shared" si="195"/>
        <v>0</v>
      </c>
      <c r="AL106" s="52">
        <f t="shared" si="195"/>
        <v>0</v>
      </c>
      <c r="AM106" s="18">
        <f t="shared" si="203"/>
        <v>0</v>
      </c>
      <c r="AN106" s="42">
        <f t="shared" si="191"/>
        <v>0</v>
      </c>
      <c r="AO106" s="207">
        <f t="shared" si="191"/>
        <v>0</v>
      </c>
      <c r="AP106" s="207">
        <f t="shared" si="191"/>
        <v>0</v>
      </c>
      <c r="AQ106" s="207">
        <f t="shared" si="191"/>
        <v>0</v>
      </c>
      <c r="AR106" s="207">
        <f t="shared" si="191"/>
        <v>0</v>
      </c>
      <c r="AS106" s="207">
        <f t="shared" si="204"/>
        <v>0</v>
      </c>
      <c r="AT106" s="207">
        <f t="shared" si="204"/>
        <v>0</v>
      </c>
      <c r="AU106" s="18">
        <f t="shared" si="204"/>
        <v>0</v>
      </c>
      <c r="AV106" s="42">
        <f t="shared" si="175"/>
        <v>0</v>
      </c>
      <c r="AW106" s="207">
        <f t="shared" si="175"/>
        <v>0</v>
      </c>
      <c r="AX106" s="207">
        <f t="shared" si="175"/>
        <v>0</v>
      </c>
      <c r="AY106" s="207">
        <f t="shared" si="175"/>
        <v>0</v>
      </c>
      <c r="AZ106" s="207">
        <f t="shared" si="175"/>
        <v>0</v>
      </c>
      <c r="BA106" s="207">
        <f t="shared" si="175"/>
        <v>0</v>
      </c>
      <c r="BB106" s="207">
        <f t="shared" si="219"/>
        <v>0</v>
      </c>
      <c r="BC106" s="18">
        <f t="shared" si="175"/>
        <v>0</v>
      </c>
      <c r="BD106" s="42">
        <f t="shared" si="192"/>
        <v>0</v>
      </c>
      <c r="BE106" s="207">
        <f t="shared" si="192"/>
        <v>0</v>
      </c>
      <c r="BF106" s="207">
        <f t="shared" si="192"/>
        <v>0</v>
      </c>
      <c r="BG106" s="207">
        <f t="shared" si="192"/>
        <v>0</v>
      </c>
      <c r="BH106" s="207">
        <f t="shared" si="192"/>
        <v>0</v>
      </c>
      <c r="BI106" s="207">
        <f t="shared" si="205"/>
        <v>0</v>
      </c>
      <c r="BJ106" s="207">
        <f t="shared" si="205"/>
        <v>0</v>
      </c>
      <c r="BK106" s="18">
        <f t="shared" si="205"/>
        <v>0</v>
      </c>
      <c r="BL106" s="20">
        <f t="shared" si="228"/>
        <v>0</v>
      </c>
      <c r="BM106" s="207">
        <f t="shared" si="228"/>
        <v>0</v>
      </c>
      <c r="BN106" s="207">
        <f t="shared" si="228"/>
        <v>0</v>
      </c>
      <c r="BO106" s="207">
        <f t="shared" si="228"/>
        <v>0</v>
      </c>
      <c r="BP106" s="207">
        <f t="shared" si="228"/>
        <v>0</v>
      </c>
      <c r="BQ106" s="207">
        <f t="shared" si="207"/>
        <v>0</v>
      </c>
      <c r="BR106" s="207">
        <f t="shared" si="207"/>
        <v>0</v>
      </c>
      <c r="BS106" s="18">
        <f t="shared" si="207"/>
        <v>0</v>
      </c>
      <c r="BT106" s="224">
        <f t="shared" si="233"/>
        <v>0</v>
      </c>
      <c r="BU106" s="207">
        <f t="shared" si="233"/>
        <v>0</v>
      </c>
      <c r="BV106" s="207">
        <f t="shared" si="233"/>
        <v>0</v>
      </c>
      <c r="BW106" s="207">
        <f t="shared" si="233"/>
        <v>0</v>
      </c>
      <c r="BX106" s="207">
        <f t="shared" si="233"/>
        <v>0</v>
      </c>
      <c r="BY106" s="207">
        <f t="shared" si="208"/>
        <v>0</v>
      </c>
      <c r="BZ106" s="207">
        <f t="shared" si="208"/>
        <v>0</v>
      </c>
      <c r="CA106" s="18">
        <f t="shared" si="208"/>
        <v>0</v>
      </c>
      <c r="CB106" s="224">
        <f t="shared" si="176"/>
        <v>0</v>
      </c>
      <c r="CC106" s="250">
        <f t="shared" si="176"/>
        <v>0</v>
      </c>
      <c r="CD106" s="250">
        <f t="shared" si="176"/>
        <v>0</v>
      </c>
      <c r="CE106" s="250">
        <f t="shared" si="176"/>
        <v>0</v>
      </c>
      <c r="CF106" s="250">
        <f t="shared" si="176"/>
        <v>0</v>
      </c>
      <c r="CG106" s="207">
        <f t="shared" si="209"/>
        <v>0</v>
      </c>
      <c r="CH106" s="207">
        <f t="shared" si="209"/>
        <v>0</v>
      </c>
      <c r="CI106" s="18">
        <f t="shared" si="209"/>
        <v>0</v>
      </c>
      <c r="CJ106" s="224">
        <f t="shared" si="229"/>
        <v>0</v>
      </c>
      <c r="CK106" s="207">
        <f t="shared" si="229"/>
        <v>0</v>
      </c>
      <c r="CL106" s="207">
        <f t="shared" si="229"/>
        <v>0</v>
      </c>
      <c r="CM106" s="207">
        <f t="shared" si="229"/>
        <v>0</v>
      </c>
      <c r="CN106" s="207">
        <f t="shared" si="229"/>
        <v>0</v>
      </c>
      <c r="CO106" s="207">
        <f t="shared" si="211"/>
        <v>0</v>
      </c>
      <c r="CP106" s="207">
        <f t="shared" si="211"/>
        <v>0</v>
      </c>
      <c r="CQ106" s="18">
        <f t="shared" si="211"/>
        <v>0</v>
      </c>
      <c r="CR106" s="42">
        <f t="shared" si="230"/>
        <v>0</v>
      </c>
      <c r="CS106" s="207">
        <f t="shared" si="230"/>
        <v>0</v>
      </c>
      <c r="CT106" s="207">
        <f t="shared" si="230"/>
        <v>0</v>
      </c>
      <c r="CU106" s="207">
        <f t="shared" si="230"/>
        <v>0</v>
      </c>
      <c r="CV106" s="207">
        <f t="shared" si="230"/>
        <v>0</v>
      </c>
      <c r="CW106" s="207">
        <f t="shared" si="213"/>
        <v>0</v>
      </c>
      <c r="CX106" s="207">
        <f t="shared" si="213"/>
        <v>0</v>
      </c>
      <c r="CY106" s="207">
        <f t="shared" si="213"/>
        <v>0</v>
      </c>
      <c r="CZ106" s="199"/>
    </row>
    <row r="107" spans="1:104" s="199" customFormat="1" ht="26.25" hidden="1" customHeight="1" outlineLevel="1" x14ac:dyDescent="0.4">
      <c r="A107" s="379">
        <v>51</v>
      </c>
      <c r="B107" s="379" t="s">
        <v>45</v>
      </c>
      <c r="C107" s="379" t="s">
        <v>346</v>
      </c>
      <c r="D107" s="381"/>
      <c r="E107" s="381"/>
      <c r="F107" s="381"/>
      <c r="G107" s="416"/>
      <c r="H107" s="489">
        <f t="shared" ref="H107" si="240">SUM(BT107:CA107)</f>
        <v>0</v>
      </c>
      <c r="I107" s="489">
        <f t="shared" ref="I107" si="241">SUM(BT108:CA108)</f>
        <v>0</v>
      </c>
      <c r="J107" s="497"/>
      <c r="K107" s="491"/>
      <c r="L107" s="491"/>
      <c r="M107" s="493"/>
      <c r="N107" s="48" t="s">
        <v>24</v>
      </c>
      <c r="O107" s="187">
        <f t="shared" ref="O107:U135" si="242">0/127.5</f>
        <v>0</v>
      </c>
      <c r="P107" s="187">
        <f t="shared" si="242"/>
        <v>0</v>
      </c>
      <c r="Q107" s="187">
        <f t="shared" si="242"/>
        <v>0</v>
      </c>
      <c r="R107" s="187">
        <f t="shared" si="242"/>
        <v>0</v>
      </c>
      <c r="S107" s="187">
        <f t="shared" si="242"/>
        <v>0</v>
      </c>
      <c r="T107" s="187">
        <f t="shared" si="242"/>
        <v>0</v>
      </c>
      <c r="U107" s="82">
        <f t="shared" si="242"/>
        <v>0</v>
      </c>
      <c r="V107" s="19">
        <f t="shared" ref="V107:Z138" si="243">0/142.5</f>
        <v>0</v>
      </c>
      <c r="W107" s="187">
        <f t="shared" si="243"/>
        <v>0</v>
      </c>
      <c r="X107" s="187">
        <f t="shared" si="243"/>
        <v>0</v>
      </c>
      <c r="Y107" s="187">
        <f t="shared" si="243"/>
        <v>0</v>
      </c>
      <c r="Z107" s="187">
        <f t="shared" si="243"/>
        <v>0</v>
      </c>
      <c r="AA107" s="187">
        <f t="shared" ref="AA107:AG129" si="244">0/165</f>
        <v>0</v>
      </c>
      <c r="AB107" s="19">
        <f t="shared" si="244"/>
        <v>0</v>
      </c>
      <c r="AC107" s="187">
        <f t="shared" si="244"/>
        <v>0</v>
      </c>
      <c r="AD107" s="249">
        <f t="shared" si="244"/>
        <v>0</v>
      </c>
      <c r="AE107" s="187">
        <f t="shared" si="244"/>
        <v>0</v>
      </c>
      <c r="AF107" s="187">
        <f t="shared" si="244"/>
        <v>0</v>
      </c>
      <c r="AG107" s="187">
        <f t="shared" si="244"/>
        <v>0</v>
      </c>
      <c r="AH107" s="19">
        <f t="shared" ref="AH107:AL122" si="245">0/150</f>
        <v>0</v>
      </c>
      <c r="AI107" s="187">
        <f t="shared" si="245"/>
        <v>0</v>
      </c>
      <c r="AJ107" s="187">
        <f t="shared" si="245"/>
        <v>0</v>
      </c>
      <c r="AK107" s="187">
        <f t="shared" si="245"/>
        <v>0</v>
      </c>
      <c r="AL107" s="187">
        <f t="shared" si="245"/>
        <v>0</v>
      </c>
      <c r="AM107" s="187">
        <f t="shared" ref="AM107:AM138" si="246">0/165</f>
        <v>0</v>
      </c>
      <c r="AN107" s="19">
        <f t="shared" ref="AN107:AR138" si="247">0/157.5</f>
        <v>0</v>
      </c>
      <c r="AO107" s="187">
        <f t="shared" si="247"/>
        <v>0</v>
      </c>
      <c r="AP107" s="187">
        <f t="shared" si="247"/>
        <v>0</v>
      </c>
      <c r="AQ107" s="187">
        <f t="shared" si="247"/>
        <v>0</v>
      </c>
      <c r="AR107" s="187">
        <f t="shared" si="247"/>
        <v>0</v>
      </c>
      <c r="AS107" s="187">
        <f t="shared" ref="AS107:AU138" si="248">0/165</f>
        <v>0</v>
      </c>
      <c r="AT107" s="187">
        <f t="shared" si="248"/>
        <v>0</v>
      </c>
      <c r="AU107" s="187">
        <f t="shared" si="248"/>
        <v>0</v>
      </c>
      <c r="AV107" s="73">
        <f t="shared" ref="AV107:BC138" si="249">0/172.5</f>
        <v>0</v>
      </c>
      <c r="AW107" s="187">
        <f t="shared" si="249"/>
        <v>0</v>
      </c>
      <c r="AX107" s="187">
        <f t="shared" si="249"/>
        <v>0</v>
      </c>
      <c r="AY107" s="187">
        <f t="shared" si="249"/>
        <v>0</v>
      </c>
      <c r="AZ107" s="187">
        <f t="shared" si="249"/>
        <v>0</v>
      </c>
      <c r="BA107" s="187">
        <f t="shared" si="249"/>
        <v>0</v>
      </c>
      <c r="BB107" s="187">
        <f t="shared" si="249"/>
        <v>0</v>
      </c>
      <c r="BC107" s="187">
        <f t="shared" si="249"/>
        <v>0</v>
      </c>
      <c r="BD107" s="19">
        <f t="shared" ref="BD107:BH138" si="250">0/142.5</f>
        <v>0</v>
      </c>
      <c r="BE107" s="187">
        <f t="shared" si="250"/>
        <v>0</v>
      </c>
      <c r="BF107" s="187">
        <f t="shared" si="250"/>
        <v>0</v>
      </c>
      <c r="BG107" s="187">
        <f t="shared" si="250"/>
        <v>0</v>
      </c>
      <c r="BH107" s="187">
        <f t="shared" si="250"/>
        <v>0</v>
      </c>
      <c r="BI107" s="187">
        <f t="shared" ref="BI107:BK138" si="251">0/172.5</f>
        <v>0</v>
      </c>
      <c r="BJ107" s="187">
        <f t="shared" si="251"/>
        <v>0</v>
      </c>
      <c r="BK107" s="187">
        <f t="shared" si="251"/>
        <v>0</v>
      </c>
      <c r="BL107" s="223">
        <f t="shared" si="228"/>
        <v>0</v>
      </c>
      <c r="BM107" s="249">
        <f t="shared" si="228"/>
        <v>0</v>
      </c>
      <c r="BN107" s="249">
        <f t="shared" si="228"/>
        <v>0</v>
      </c>
      <c r="BO107" s="249">
        <f t="shared" si="228"/>
        <v>0</v>
      </c>
      <c r="BP107" s="249">
        <f t="shared" si="228"/>
        <v>0</v>
      </c>
      <c r="BQ107" s="187">
        <f t="shared" ref="BQ107:BS138" si="252">0/172.5</f>
        <v>0</v>
      </c>
      <c r="BR107" s="187">
        <f t="shared" si="252"/>
        <v>0</v>
      </c>
      <c r="BS107" s="187">
        <f t="shared" si="252"/>
        <v>0</v>
      </c>
      <c r="BT107" s="73">
        <f t="shared" si="233"/>
        <v>0</v>
      </c>
      <c r="BU107" s="187">
        <f t="shared" si="233"/>
        <v>0</v>
      </c>
      <c r="BV107" s="187">
        <f t="shared" si="233"/>
        <v>0</v>
      </c>
      <c r="BW107" s="187">
        <f t="shared" si="233"/>
        <v>0</v>
      </c>
      <c r="BX107" s="187">
        <f t="shared" si="233"/>
        <v>0</v>
      </c>
      <c r="BY107" s="187">
        <f t="shared" ref="BY107:CA138" si="253">0/172.5</f>
        <v>0</v>
      </c>
      <c r="BZ107" s="187">
        <f t="shared" si="253"/>
        <v>0</v>
      </c>
      <c r="CA107" s="187">
        <f t="shared" si="253"/>
        <v>0</v>
      </c>
      <c r="CB107" s="73">
        <f t="shared" ref="CB107:CF138" si="254">0/157.5</f>
        <v>0</v>
      </c>
      <c r="CC107" s="187">
        <f t="shared" si="254"/>
        <v>0</v>
      </c>
      <c r="CD107" s="187">
        <f t="shared" si="254"/>
        <v>0</v>
      </c>
      <c r="CE107" s="187">
        <f t="shared" si="254"/>
        <v>0</v>
      </c>
      <c r="CF107" s="187">
        <f t="shared" si="254"/>
        <v>0</v>
      </c>
      <c r="CG107" s="187">
        <f t="shared" ref="CG107:CI138" si="255">0/172.5</f>
        <v>0</v>
      </c>
      <c r="CH107" s="187">
        <f t="shared" si="255"/>
        <v>0</v>
      </c>
      <c r="CI107" s="187">
        <f t="shared" si="255"/>
        <v>0</v>
      </c>
      <c r="CJ107" s="73">
        <f t="shared" si="229"/>
        <v>0</v>
      </c>
      <c r="CK107" s="187">
        <f t="shared" si="229"/>
        <v>0</v>
      </c>
      <c r="CL107" s="187">
        <f t="shared" si="229"/>
        <v>0</v>
      </c>
      <c r="CM107" s="187">
        <f t="shared" si="229"/>
        <v>0</v>
      </c>
      <c r="CN107" s="187">
        <f t="shared" si="229"/>
        <v>0</v>
      </c>
      <c r="CO107" s="187">
        <f t="shared" ref="CO107:CQ138" si="256">0/172.5</f>
        <v>0</v>
      </c>
      <c r="CP107" s="187">
        <f t="shared" si="256"/>
        <v>0</v>
      </c>
      <c r="CQ107" s="187">
        <f t="shared" si="256"/>
        <v>0</v>
      </c>
      <c r="CR107" s="73">
        <f t="shared" si="230"/>
        <v>0</v>
      </c>
      <c r="CS107" s="187">
        <f t="shared" si="230"/>
        <v>0</v>
      </c>
      <c r="CT107" s="187">
        <f t="shared" si="230"/>
        <v>0</v>
      </c>
      <c r="CU107" s="187">
        <f t="shared" si="230"/>
        <v>0</v>
      </c>
      <c r="CV107" s="187">
        <f t="shared" si="230"/>
        <v>0</v>
      </c>
      <c r="CW107" s="187">
        <f t="shared" ref="CW107:CY138" si="257">0/172.5</f>
        <v>0</v>
      </c>
      <c r="CX107" s="187">
        <f t="shared" si="257"/>
        <v>0</v>
      </c>
      <c r="CY107" s="187">
        <f t="shared" si="257"/>
        <v>0</v>
      </c>
    </row>
    <row r="108" spans="1:104" s="199" customFormat="1" ht="26.25" hidden="1" customHeight="1" outlineLevel="1" x14ac:dyDescent="0.4">
      <c r="A108" s="380"/>
      <c r="B108" s="380"/>
      <c r="C108" s="380"/>
      <c r="D108" s="382"/>
      <c r="E108" s="382"/>
      <c r="F108" s="382"/>
      <c r="G108" s="416"/>
      <c r="H108" s="490"/>
      <c r="I108" s="490"/>
      <c r="J108" s="498"/>
      <c r="K108" s="492"/>
      <c r="L108" s="492"/>
      <c r="M108" s="494"/>
      <c r="N108" s="39" t="s">
        <v>25</v>
      </c>
      <c r="O108" s="207">
        <f t="shared" si="242"/>
        <v>0</v>
      </c>
      <c r="P108" s="207">
        <f t="shared" si="242"/>
        <v>0</v>
      </c>
      <c r="Q108" s="207">
        <f t="shared" si="242"/>
        <v>0</v>
      </c>
      <c r="R108" s="207">
        <f t="shared" si="242"/>
        <v>0</v>
      </c>
      <c r="S108" s="207">
        <f t="shared" si="242"/>
        <v>0</v>
      </c>
      <c r="T108" s="207">
        <f t="shared" si="242"/>
        <v>0</v>
      </c>
      <c r="U108" s="49">
        <f t="shared" si="242"/>
        <v>0</v>
      </c>
      <c r="V108" s="57">
        <f t="shared" si="243"/>
        <v>0</v>
      </c>
      <c r="W108" s="18">
        <f t="shared" si="243"/>
        <v>0</v>
      </c>
      <c r="X108" s="18">
        <f t="shared" si="243"/>
        <v>0</v>
      </c>
      <c r="Y108" s="18">
        <f t="shared" si="243"/>
        <v>0</v>
      </c>
      <c r="Z108" s="18">
        <f t="shared" si="243"/>
        <v>0</v>
      </c>
      <c r="AA108" s="18">
        <f t="shared" si="244"/>
        <v>0</v>
      </c>
      <c r="AB108" s="42">
        <f t="shared" si="244"/>
        <v>0</v>
      </c>
      <c r="AC108" s="52">
        <f t="shared" si="244"/>
        <v>0</v>
      </c>
      <c r="AD108" s="207">
        <f t="shared" si="244"/>
        <v>0</v>
      </c>
      <c r="AE108" s="207">
        <f t="shared" si="244"/>
        <v>0</v>
      </c>
      <c r="AF108" s="207">
        <f t="shared" si="244"/>
        <v>0</v>
      </c>
      <c r="AG108" s="18">
        <f t="shared" si="244"/>
        <v>0</v>
      </c>
      <c r="AH108" s="51">
        <f t="shared" si="245"/>
        <v>0</v>
      </c>
      <c r="AI108" s="52">
        <f t="shared" si="245"/>
        <v>0</v>
      </c>
      <c r="AJ108" s="52">
        <f t="shared" si="245"/>
        <v>0</v>
      </c>
      <c r="AK108" s="52">
        <f t="shared" si="245"/>
        <v>0</v>
      </c>
      <c r="AL108" s="52">
        <f t="shared" si="245"/>
        <v>0</v>
      </c>
      <c r="AM108" s="18">
        <f t="shared" si="246"/>
        <v>0</v>
      </c>
      <c r="AN108" s="42">
        <f t="shared" si="247"/>
        <v>0</v>
      </c>
      <c r="AO108" s="207">
        <f t="shared" si="247"/>
        <v>0</v>
      </c>
      <c r="AP108" s="207">
        <f t="shared" si="247"/>
        <v>0</v>
      </c>
      <c r="AQ108" s="207">
        <f t="shared" si="247"/>
        <v>0</v>
      </c>
      <c r="AR108" s="207">
        <f t="shared" si="247"/>
        <v>0</v>
      </c>
      <c r="AS108" s="207">
        <f t="shared" si="248"/>
        <v>0</v>
      </c>
      <c r="AT108" s="207">
        <f t="shared" si="248"/>
        <v>0</v>
      </c>
      <c r="AU108" s="18">
        <f t="shared" si="248"/>
        <v>0</v>
      </c>
      <c r="AV108" s="42">
        <f t="shared" si="249"/>
        <v>0</v>
      </c>
      <c r="AW108" s="207">
        <f t="shared" si="249"/>
        <v>0</v>
      </c>
      <c r="AX108" s="207">
        <f t="shared" si="249"/>
        <v>0</v>
      </c>
      <c r="AY108" s="207">
        <f t="shared" si="249"/>
        <v>0</v>
      </c>
      <c r="AZ108" s="207">
        <f t="shared" si="249"/>
        <v>0</v>
      </c>
      <c r="BA108" s="207">
        <f t="shared" si="249"/>
        <v>0</v>
      </c>
      <c r="BB108" s="207">
        <f t="shared" si="249"/>
        <v>0</v>
      </c>
      <c r="BC108" s="18">
        <f t="shared" si="249"/>
        <v>0</v>
      </c>
      <c r="BD108" s="42">
        <f t="shared" si="250"/>
        <v>0</v>
      </c>
      <c r="BE108" s="207">
        <f t="shared" si="250"/>
        <v>0</v>
      </c>
      <c r="BF108" s="207">
        <f t="shared" si="250"/>
        <v>0</v>
      </c>
      <c r="BG108" s="207">
        <f t="shared" si="250"/>
        <v>0</v>
      </c>
      <c r="BH108" s="207">
        <f t="shared" si="250"/>
        <v>0</v>
      </c>
      <c r="BI108" s="207">
        <f t="shared" si="251"/>
        <v>0</v>
      </c>
      <c r="BJ108" s="207">
        <f t="shared" si="251"/>
        <v>0</v>
      </c>
      <c r="BK108" s="18">
        <f t="shared" si="251"/>
        <v>0</v>
      </c>
      <c r="BL108" s="20">
        <f t="shared" si="228"/>
        <v>0</v>
      </c>
      <c r="BM108" s="207">
        <f t="shared" si="228"/>
        <v>0</v>
      </c>
      <c r="BN108" s="207">
        <f t="shared" si="228"/>
        <v>0</v>
      </c>
      <c r="BO108" s="207">
        <f t="shared" si="228"/>
        <v>0</v>
      </c>
      <c r="BP108" s="207">
        <f t="shared" si="228"/>
        <v>0</v>
      </c>
      <c r="BQ108" s="207">
        <f t="shared" si="252"/>
        <v>0</v>
      </c>
      <c r="BR108" s="207">
        <f t="shared" si="252"/>
        <v>0</v>
      </c>
      <c r="BS108" s="18">
        <f t="shared" si="252"/>
        <v>0</v>
      </c>
      <c r="BT108" s="224">
        <f t="shared" si="233"/>
        <v>0</v>
      </c>
      <c r="BU108" s="207">
        <f t="shared" si="233"/>
        <v>0</v>
      </c>
      <c r="BV108" s="207">
        <f t="shared" si="233"/>
        <v>0</v>
      </c>
      <c r="BW108" s="207">
        <f t="shared" si="233"/>
        <v>0</v>
      </c>
      <c r="BX108" s="207">
        <f t="shared" si="233"/>
        <v>0</v>
      </c>
      <c r="BY108" s="207">
        <f t="shared" si="253"/>
        <v>0</v>
      </c>
      <c r="BZ108" s="207">
        <f t="shared" si="253"/>
        <v>0</v>
      </c>
      <c r="CA108" s="18">
        <f t="shared" si="253"/>
        <v>0</v>
      </c>
      <c r="CB108" s="224">
        <f t="shared" si="254"/>
        <v>0</v>
      </c>
      <c r="CC108" s="250">
        <f t="shared" si="254"/>
        <v>0</v>
      </c>
      <c r="CD108" s="250">
        <f t="shared" si="254"/>
        <v>0</v>
      </c>
      <c r="CE108" s="250">
        <f t="shared" si="254"/>
        <v>0</v>
      </c>
      <c r="CF108" s="250">
        <f t="shared" si="254"/>
        <v>0</v>
      </c>
      <c r="CG108" s="207">
        <f t="shared" si="255"/>
        <v>0</v>
      </c>
      <c r="CH108" s="207">
        <f t="shared" si="255"/>
        <v>0</v>
      </c>
      <c r="CI108" s="18">
        <f t="shared" si="255"/>
        <v>0</v>
      </c>
      <c r="CJ108" s="224">
        <f t="shared" si="229"/>
        <v>0</v>
      </c>
      <c r="CK108" s="207">
        <f t="shared" si="229"/>
        <v>0</v>
      </c>
      <c r="CL108" s="207">
        <f t="shared" si="229"/>
        <v>0</v>
      </c>
      <c r="CM108" s="207">
        <f t="shared" si="229"/>
        <v>0</v>
      </c>
      <c r="CN108" s="207">
        <f t="shared" si="229"/>
        <v>0</v>
      </c>
      <c r="CO108" s="207">
        <f t="shared" si="256"/>
        <v>0</v>
      </c>
      <c r="CP108" s="207">
        <f t="shared" si="256"/>
        <v>0</v>
      </c>
      <c r="CQ108" s="18">
        <f t="shared" si="256"/>
        <v>0</v>
      </c>
      <c r="CR108" s="42">
        <f t="shared" si="230"/>
        <v>0</v>
      </c>
      <c r="CS108" s="207">
        <f t="shared" si="230"/>
        <v>0</v>
      </c>
      <c r="CT108" s="207">
        <f t="shared" si="230"/>
        <v>0</v>
      </c>
      <c r="CU108" s="207">
        <f t="shared" si="230"/>
        <v>0</v>
      </c>
      <c r="CV108" s="207">
        <f t="shared" si="230"/>
        <v>0</v>
      </c>
      <c r="CW108" s="207">
        <f t="shared" si="257"/>
        <v>0</v>
      </c>
      <c r="CX108" s="207">
        <f t="shared" si="257"/>
        <v>0</v>
      </c>
      <c r="CY108" s="207">
        <f t="shared" si="257"/>
        <v>0</v>
      </c>
    </row>
    <row r="109" spans="1:104" s="199" customFormat="1" ht="26.25" hidden="1" customHeight="1" outlineLevel="1" x14ac:dyDescent="0.4">
      <c r="A109" s="379">
        <v>52</v>
      </c>
      <c r="B109" s="379" t="s">
        <v>45</v>
      </c>
      <c r="C109" s="379" t="s">
        <v>346</v>
      </c>
      <c r="D109" s="381"/>
      <c r="E109" s="381"/>
      <c r="F109" s="381"/>
      <c r="G109" s="416"/>
      <c r="H109" s="489">
        <f t="shared" ref="H109" si="258">SUM(BT109:CA109)</f>
        <v>0</v>
      </c>
      <c r="I109" s="489">
        <f t="shared" ref="I109" si="259">SUM(BT110:CA110)</f>
        <v>0</v>
      </c>
      <c r="J109" s="497"/>
      <c r="K109" s="491"/>
      <c r="L109" s="491"/>
      <c r="M109" s="493"/>
      <c r="N109" s="48" t="s">
        <v>24</v>
      </c>
      <c r="O109" s="187">
        <f t="shared" si="242"/>
        <v>0</v>
      </c>
      <c r="P109" s="187">
        <f t="shared" si="242"/>
        <v>0</v>
      </c>
      <c r="Q109" s="187">
        <f t="shared" si="242"/>
        <v>0</v>
      </c>
      <c r="R109" s="187">
        <f t="shared" si="242"/>
        <v>0</v>
      </c>
      <c r="S109" s="187">
        <f t="shared" si="242"/>
        <v>0</v>
      </c>
      <c r="T109" s="187">
        <f t="shared" si="242"/>
        <v>0</v>
      </c>
      <c r="U109" s="82">
        <f t="shared" si="242"/>
        <v>0</v>
      </c>
      <c r="V109" s="19">
        <f t="shared" si="243"/>
        <v>0</v>
      </c>
      <c r="W109" s="187">
        <f t="shared" si="243"/>
        <v>0</v>
      </c>
      <c r="X109" s="187">
        <f t="shared" si="243"/>
        <v>0</v>
      </c>
      <c r="Y109" s="187">
        <f t="shared" si="243"/>
        <v>0</v>
      </c>
      <c r="Z109" s="187">
        <f t="shared" si="243"/>
        <v>0</v>
      </c>
      <c r="AA109" s="187">
        <f t="shared" si="244"/>
        <v>0</v>
      </c>
      <c r="AB109" s="19">
        <f t="shared" si="244"/>
        <v>0</v>
      </c>
      <c r="AC109" s="187">
        <f t="shared" si="244"/>
        <v>0</v>
      </c>
      <c r="AD109" s="249">
        <f t="shared" si="244"/>
        <v>0</v>
      </c>
      <c r="AE109" s="187">
        <f t="shared" si="244"/>
        <v>0</v>
      </c>
      <c r="AF109" s="187">
        <f t="shared" si="244"/>
        <v>0</v>
      </c>
      <c r="AG109" s="187">
        <f t="shared" si="244"/>
        <v>0</v>
      </c>
      <c r="AH109" s="19">
        <f t="shared" si="245"/>
        <v>0</v>
      </c>
      <c r="AI109" s="187">
        <f t="shared" si="245"/>
        <v>0</v>
      </c>
      <c r="AJ109" s="187">
        <f t="shared" si="245"/>
        <v>0</v>
      </c>
      <c r="AK109" s="187">
        <f t="shared" si="245"/>
        <v>0</v>
      </c>
      <c r="AL109" s="187">
        <f t="shared" si="245"/>
        <v>0</v>
      </c>
      <c r="AM109" s="187">
        <f t="shared" si="246"/>
        <v>0</v>
      </c>
      <c r="AN109" s="19">
        <f t="shared" si="247"/>
        <v>0</v>
      </c>
      <c r="AO109" s="187">
        <f t="shared" si="247"/>
        <v>0</v>
      </c>
      <c r="AP109" s="187">
        <f t="shared" si="247"/>
        <v>0</v>
      </c>
      <c r="AQ109" s="187">
        <f t="shared" si="247"/>
        <v>0</v>
      </c>
      <c r="AR109" s="187">
        <f t="shared" si="247"/>
        <v>0</v>
      </c>
      <c r="AS109" s="187">
        <f t="shared" si="248"/>
        <v>0</v>
      </c>
      <c r="AT109" s="187">
        <f t="shared" si="248"/>
        <v>0</v>
      </c>
      <c r="AU109" s="187">
        <f t="shared" si="248"/>
        <v>0</v>
      </c>
      <c r="AV109" s="73">
        <f t="shared" si="249"/>
        <v>0</v>
      </c>
      <c r="AW109" s="187">
        <f t="shared" si="249"/>
        <v>0</v>
      </c>
      <c r="AX109" s="187">
        <f t="shared" si="249"/>
        <v>0</v>
      </c>
      <c r="AY109" s="187">
        <f t="shared" si="249"/>
        <v>0</v>
      </c>
      <c r="AZ109" s="187">
        <f t="shared" si="249"/>
        <v>0</v>
      </c>
      <c r="BA109" s="187">
        <f t="shared" si="249"/>
        <v>0</v>
      </c>
      <c r="BB109" s="187">
        <f t="shared" si="249"/>
        <v>0</v>
      </c>
      <c r="BC109" s="187">
        <f t="shared" si="249"/>
        <v>0</v>
      </c>
      <c r="BD109" s="19">
        <f t="shared" si="250"/>
        <v>0</v>
      </c>
      <c r="BE109" s="187">
        <f t="shared" si="250"/>
        <v>0</v>
      </c>
      <c r="BF109" s="187">
        <f t="shared" si="250"/>
        <v>0</v>
      </c>
      <c r="BG109" s="187">
        <f t="shared" si="250"/>
        <v>0</v>
      </c>
      <c r="BH109" s="187">
        <f t="shared" si="250"/>
        <v>0</v>
      </c>
      <c r="BI109" s="187">
        <f t="shared" si="251"/>
        <v>0</v>
      </c>
      <c r="BJ109" s="187">
        <f t="shared" si="251"/>
        <v>0</v>
      </c>
      <c r="BK109" s="187">
        <f t="shared" si="251"/>
        <v>0</v>
      </c>
      <c r="BL109" s="223">
        <f t="shared" si="228"/>
        <v>0</v>
      </c>
      <c r="BM109" s="249">
        <f t="shared" si="228"/>
        <v>0</v>
      </c>
      <c r="BN109" s="249">
        <f t="shared" si="228"/>
        <v>0</v>
      </c>
      <c r="BO109" s="249">
        <f t="shared" si="228"/>
        <v>0</v>
      </c>
      <c r="BP109" s="249">
        <f t="shared" si="228"/>
        <v>0</v>
      </c>
      <c r="BQ109" s="187">
        <f t="shared" si="252"/>
        <v>0</v>
      </c>
      <c r="BR109" s="187">
        <f t="shared" si="252"/>
        <v>0</v>
      </c>
      <c r="BS109" s="187">
        <f t="shared" si="252"/>
        <v>0</v>
      </c>
      <c r="BT109" s="73">
        <f t="shared" si="233"/>
        <v>0</v>
      </c>
      <c r="BU109" s="187">
        <f t="shared" si="233"/>
        <v>0</v>
      </c>
      <c r="BV109" s="187">
        <f t="shared" si="233"/>
        <v>0</v>
      </c>
      <c r="BW109" s="187">
        <f t="shared" si="233"/>
        <v>0</v>
      </c>
      <c r="BX109" s="187">
        <f t="shared" si="233"/>
        <v>0</v>
      </c>
      <c r="BY109" s="187">
        <f t="shared" si="253"/>
        <v>0</v>
      </c>
      <c r="BZ109" s="187">
        <f t="shared" si="253"/>
        <v>0</v>
      </c>
      <c r="CA109" s="187">
        <f t="shared" si="253"/>
        <v>0</v>
      </c>
      <c r="CB109" s="73">
        <f t="shared" si="254"/>
        <v>0</v>
      </c>
      <c r="CC109" s="187">
        <f t="shared" si="254"/>
        <v>0</v>
      </c>
      <c r="CD109" s="187">
        <f t="shared" si="254"/>
        <v>0</v>
      </c>
      <c r="CE109" s="187">
        <f t="shared" si="254"/>
        <v>0</v>
      </c>
      <c r="CF109" s="187">
        <f t="shared" si="254"/>
        <v>0</v>
      </c>
      <c r="CG109" s="187">
        <f t="shared" si="255"/>
        <v>0</v>
      </c>
      <c r="CH109" s="187">
        <f t="shared" si="255"/>
        <v>0</v>
      </c>
      <c r="CI109" s="187">
        <f t="shared" si="255"/>
        <v>0</v>
      </c>
      <c r="CJ109" s="73">
        <f t="shared" si="229"/>
        <v>0</v>
      </c>
      <c r="CK109" s="187">
        <f t="shared" si="229"/>
        <v>0</v>
      </c>
      <c r="CL109" s="187">
        <f t="shared" si="229"/>
        <v>0</v>
      </c>
      <c r="CM109" s="187">
        <f t="shared" si="229"/>
        <v>0</v>
      </c>
      <c r="CN109" s="187">
        <f t="shared" si="229"/>
        <v>0</v>
      </c>
      <c r="CO109" s="187">
        <f t="shared" si="256"/>
        <v>0</v>
      </c>
      <c r="CP109" s="187">
        <f t="shared" si="256"/>
        <v>0</v>
      </c>
      <c r="CQ109" s="187">
        <f t="shared" si="256"/>
        <v>0</v>
      </c>
      <c r="CR109" s="73">
        <f t="shared" si="230"/>
        <v>0</v>
      </c>
      <c r="CS109" s="187">
        <f t="shared" si="230"/>
        <v>0</v>
      </c>
      <c r="CT109" s="187">
        <f t="shared" si="230"/>
        <v>0</v>
      </c>
      <c r="CU109" s="187">
        <f t="shared" si="230"/>
        <v>0</v>
      </c>
      <c r="CV109" s="187">
        <f t="shared" si="230"/>
        <v>0</v>
      </c>
      <c r="CW109" s="187">
        <f t="shared" si="257"/>
        <v>0</v>
      </c>
      <c r="CX109" s="187">
        <f t="shared" si="257"/>
        <v>0</v>
      </c>
      <c r="CY109" s="187">
        <f t="shared" si="257"/>
        <v>0</v>
      </c>
    </row>
    <row r="110" spans="1:104" s="199" customFormat="1" ht="26.25" hidden="1" customHeight="1" outlineLevel="1" x14ac:dyDescent="0.4">
      <c r="A110" s="380"/>
      <c r="B110" s="380"/>
      <c r="C110" s="380"/>
      <c r="D110" s="382"/>
      <c r="E110" s="382"/>
      <c r="F110" s="382"/>
      <c r="G110" s="416"/>
      <c r="H110" s="490"/>
      <c r="I110" s="490"/>
      <c r="J110" s="498"/>
      <c r="K110" s="492"/>
      <c r="L110" s="492"/>
      <c r="M110" s="494"/>
      <c r="N110" s="39" t="s">
        <v>25</v>
      </c>
      <c r="O110" s="207">
        <f t="shared" si="242"/>
        <v>0</v>
      </c>
      <c r="P110" s="207">
        <f t="shared" si="242"/>
        <v>0</v>
      </c>
      <c r="Q110" s="207">
        <f t="shared" si="242"/>
        <v>0</v>
      </c>
      <c r="R110" s="207">
        <f t="shared" si="242"/>
        <v>0</v>
      </c>
      <c r="S110" s="207">
        <f t="shared" si="242"/>
        <v>0</v>
      </c>
      <c r="T110" s="207">
        <f t="shared" si="242"/>
        <v>0</v>
      </c>
      <c r="U110" s="49">
        <f t="shared" si="242"/>
        <v>0</v>
      </c>
      <c r="V110" s="57">
        <f t="shared" si="243"/>
        <v>0</v>
      </c>
      <c r="W110" s="18">
        <f t="shared" si="243"/>
        <v>0</v>
      </c>
      <c r="X110" s="18">
        <f t="shared" si="243"/>
        <v>0</v>
      </c>
      <c r="Y110" s="18">
        <f t="shared" si="243"/>
        <v>0</v>
      </c>
      <c r="Z110" s="18">
        <f t="shared" si="243"/>
        <v>0</v>
      </c>
      <c r="AA110" s="18">
        <f t="shared" si="244"/>
        <v>0</v>
      </c>
      <c r="AB110" s="42">
        <f t="shared" si="244"/>
        <v>0</v>
      </c>
      <c r="AC110" s="52">
        <f t="shared" si="244"/>
        <v>0</v>
      </c>
      <c r="AD110" s="207">
        <f t="shared" si="244"/>
        <v>0</v>
      </c>
      <c r="AE110" s="207">
        <f t="shared" si="244"/>
        <v>0</v>
      </c>
      <c r="AF110" s="207">
        <f t="shared" si="244"/>
        <v>0</v>
      </c>
      <c r="AG110" s="18">
        <f t="shared" si="244"/>
        <v>0</v>
      </c>
      <c r="AH110" s="51">
        <f t="shared" si="245"/>
        <v>0</v>
      </c>
      <c r="AI110" s="52">
        <f t="shared" si="245"/>
        <v>0</v>
      </c>
      <c r="AJ110" s="52">
        <f t="shared" si="245"/>
        <v>0</v>
      </c>
      <c r="AK110" s="52">
        <f t="shared" si="245"/>
        <v>0</v>
      </c>
      <c r="AL110" s="52">
        <f t="shared" si="245"/>
        <v>0</v>
      </c>
      <c r="AM110" s="18">
        <f t="shared" si="246"/>
        <v>0</v>
      </c>
      <c r="AN110" s="42">
        <f t="shared" si="247"/>
        <v>0</v>
      </c>
      <c r="AO110" s="207">
        <f t="shared" si="247"/>
        <v>0</v>
      </c>
      <c r="AP110" s="207">
        <f t="shared" si="247"/>
        <v>0</v>
      </c>
      <c r="AQ110" s="207">
        <f t="shared" si="247"/>
        <v>0</v>
      </c>
      <c r="AR110" s="207">
        <f t="shared" si="247"/>
        <v>0</v>
      </c>
      <c r="AS110" s="207">
        <f t="shared" si="248"/>
        <v>0</v>
      </c>
      <c r="AT110" s="207">
        <f t="shared" si="248"/>
        <v>0</v>
      </c>
      <c r="AU110" s="18">
        <f t="shared" si="248"/>
        <v>0</v>
      </c>
      <c r="AV110" s="42">
        <f t="shared" si="249"/>
        <v>0</v>
      </c>
      <c r="AW110" s="207">
        <f t="shared" si="249"/>
        <v>0</v>
      </c>
      <c r="AX110" s="207">
        <f t="shared" si="249"/>
        <v>0</v>
      </c>
      <c r="AY110" s="207">
        <f t="shared" si="249"/>
        <v>0</v>
      </c>
      <c r="AZ110" s="207">
        <f t="shared" si="249"/>
        <v>0</v>
      </c>
      <c r="BA110" s="207">
        <f t="shared" si="249"/>
        <v>0</v>
      </c>
      <c r="BB110" s="207">
        <f t="shared" si="249"/>
        <v>0</v>
      </c>
      <c r="BC110" s="18">
        <f t="shared" si="249"/>
        <v>0</v>
      </c>
      <c r="BD110" s="42">
        <f t="shared" si="250"/>
        <v>0</v>
      </c>
      <c r="BE110" s="207">
        <f t="shared" si="250"/>
        <v>0</v>
      </c>
      <c r="BF110" s="207">
        <f t="shared" si="250"/>
        <v>0</v>
      </c>
      <c r="BG110" s="207">
        <f t="shared" si="250"/>
        <v>0</v>
      </c>
      <c r="BH110" s="207">
        <f t="shared" si="250"/>
        <v>0</v>
      </c>
      <c r="BI110" s="207">
        <f t="shared" si="251"/>
        <v>0</v>
      </c>
      <c r="BJ110" s="207">
        <f t="shared" si="251"/>
        <v>0</v>
      </c>
      <c r="BK110" s="18">
        <f t="shared" si="251"/>
        <v>0</v>
      </c>
      <c r="BL110" s="20">
        <f t="shared" si="228"/>
        <v>0</v>
      </c>
      <c r="BM110" s="207">
        <f t="shared" si="228"/>
        <v>0</v>
      </c>
      <c r="BN110" s="207">
        <f t="shared" si="228"/>
        <v>0</v>
      </c>
      <c r="BO110" s="207">
        <f t="shared" si="228"/>
        <v>0</v>
      </c>
      <c r="BP110" s="207">
        <f t="shared" si="228"/>
        <v>0</v>
      </c>
      <c r="BQ110" s="207">
        <f t="shared" si="252"/>
        <v>0</v>
      </c>
      <c r="BR110" s="207">
        <f t="shared" si="252"/>
        <v>0</v>
      </c>
      <c r="BS110" s="18">
        <f t="shared" si="252"/>
        <v>0</v>
      </c>
      <c r="BT110" s="224">
        <f t="shared" si="233"/>
        <v>0</v>
      </c>
      <c r="BU110" s="207">
        <f t="shared" si="233"/>
        <v>0</v>
      </c>
      <c r="BV110" s="207">
        <f t="shared" si="233"/>
        <v>0</v>
      </c>
      <c r="BW110" s="207">
        <f t="shared" si="233"/>
        <v>0</v>
      </c>
      <c r="BX110" s="207">
        <f t="shared" si="233"/>
        <v>0</v>
      </c>
      <c r="BY110" s="207">
        <f t="shared" si="253"/>
        <v>0</v>
      </c>
      <c r="BZ110" s="207">
        <f t="shared" si="253"/>
        <v>0</v>
      </c>
      <c r="CA110" s="18">
        <f t="shared" si="253"/>
        <v>0</v>
      </c>
      <c r="CB110" s="224">
        <f t="shared" si="254"/>
        <v>0</v>
      </c>
      <c r="CC110" s="250">
        <f t="shared" si="254"/>
        <v>0</v>
      </c>
      <c r="CD110" s="250">
        <f t="shared" si="254"/>
        <v>0</v>
      </c>
      <c r="CE110" s="250">
        <f t="shared" si="254"/>
        <v>0</v>
      </c>
      <c r="CF110" s="250">
        <f t="shared" si="254"/>
        <v>0</v>
      </c>
      <c r="CG110" s="207">
        <f t="shared" si="255"/>
        <v>0</v>
      </c>
      <c r="CH110" s="207">
        <f t="shared" si="255"/>
        <v>0</v>
      </c>
      <c r="CI110" s="18">
        <f t="shared" si="255"/>
        <v>0</v>
      </c>
      <c r="CJ110" s="224">
        <f t="shared" si="229"/>
        <v>0</v>
      </c>
      <c r="CK110" s="207">
        <f t="shared" si="229"/>
        <v>0</v>
      </c>
      <c r="CL110" s="207">
        <f t="shared" si="229"/>
        <v>0</v>
      </c>
      <c r="CM110" s="207">
        <f t="shared" si="229"/>
        <v>0</v>
      </c>
      <c r="CN110" s="207">
        <f t="shared" si="229"/>
        <v>0</v>
      </c>
      <c r="CO110" s="207">
        <f t="shared" si="256"/>
        <v>0</v>
      </c>
      <c r="CP110" s="207">
        <f t="shared" si="256"/>
        <v>0</v>
      </c>
      <c r="CQ110" s="18">
        <f t="shared" si="256"/>
        <v>0</v>
      </c>
      <c r="CR110" s="42">
        <f t="shared" si="230"/>
        <v>0</v>
      </c>
      <c r="CS110" s="207">
        <f t="shared" si="230"/>
        <v>0</v>
      </c>
      <c r="CT110" s="207">
        <f t="shared" si="230"/>
        <v>0</v>
      </c>
      <c r="CU110" s="207">
        <f t="shared" si="230"/>
        <v>0</v>
      </c>
      <c r="CV110" s="207">
        <f t="shared" si="230"/>
        <v>0</v>
      </c>
      <c r="CW110" s="207">
        <f t="shared" si="257"/>
        <v>0</v>
      </c>
      <c r="CX110" s="207">
        <f t="shared" si="257"/>
        <v>0</v>
      </c>
      <c r="CY110" s="207">
        <f t="shared" si="257"/>
        <v>0</v>
      </c>
    </row>
    <row r="111" spans="1:104" s="199" customFormat="1" ht="26.25" hidden="1" customHeight="1" outlineLevel="1" x14ac:dyDescent="0.4">
      <c r="A111" s="379">
        <v>53</v>
      </c>
      <c r="B111" s="379" t="s">
        <v>45</v>
      </c>
      <c r="C111" s="379" t="s">
        <v>346</v>
      </c>
      <c r="D111" s="381"/>
      <c r="E111" s="381"/>
      <c r="F111" s="381"/>
      <c r="G111" s="416"/>
      <c r="H111" s="489">
        <f t="shared" ref="H111" si="260">SUM(BT111:CA111)</f>
        <v>0</v>
      </c>
      <c r="I111" s="489">
        <f t="shared" ref="I111" si="261">SUM(BT112:CA112)</f>
        <v>0</v>
      </c>
      <c r="J111" s="497"/>
      <c r="K111" s="491"/>
      <c r="L111" s="491"/>
      <c r="M111" s="493"/>
      <c r="N111" s="48" t="s">
        <v>24</v>
      </c>
      <c r="O111" s="187">
        <f t="shared" si="242"/>
        <v>0</v>
      </c>
      <c r="P111" s="187">
        <f t="shared" si="242"/>
        <v>0</v>
      </c>
      <c r="Q111" s="187">
        <f t="shared" si="242"/>
        <v>0</v>
      </c>
      <c r="R111" s="187">
        <f t="shared" si="242"/>
        <v>0</v>
      </c>
      <c r="S111" s="187">
        <f t="shared" si="242"/>
        <v>0</v>
      </c>
      <c r="T111" s="187">
        <f t="shared" si="242"/>
        <v>0</v>
      </c>
      <c r="U111" s="82">
        <f t="shared" si="242"/>
        <v>0</v>
      </c>
      <c r="V111" s="19">
        <f t="shared" si="243"/>
        <v>0</v>
      </c>
      <c r="W111" s="187">
        <f t="shared" si="243"/>
        <v>0</v>
      </c>
      <c r="X111" s="187">
        <f t="shared" si="243"/>
        <v>0</v>
      </c>
      <c r="Y111" s="187">
        <f t="shared" si="243"/>
        <v>0</v>
      </c>
      <c r="Z111" s="187">
        <f t="shared" si="243"/>
        <v>0</v>
      </c>
      <c r="AA111" s="187">
        <f t="shared" si="244"/>
        <v>0</v>
      </c>
      <c r="AB111" s="19">
        <f t="shared" si="244"/>
        <v>0</v>
      </c>
      <c r="AC111" s="187">
        <f t="shared" si="244"/>
        <v>0</v>
      </c>
      <c r="AD111" s="249">
        <f t="shared" si="244"/>
        <v>0</v>
      </c>
      <c r="AE111" s="187">
        <f t="shared" si="244"/>
        <v>0</v>
      </c>
      <c r="AF111" s="187">
        <f t="shared" si="244"/>
        <v>0</v>
      </c>
      <c r="AG111" s="187">
        <f t="shared" si="244"/>
        <v>0</v>
      </c>
      <c r="AH111" s="19">
        <f t="shared" si="245"/>
        <v>0</v>
      </c>
      <c r="AI111" s="187">
        <f t="shared" si="245"/>
        <v>0</v>
      </c>
      <c r="AJ111" s="187">
        <f t="shared" si="245"/>
        <v>0</v>
      </c>
      <c r="AK111" s="187">
        <f t="shared" si="245"/>
        <v>0</v>
      </c>
      <c r="AL111" s="187">
        <f t="shared" si="245"/>
        <v>0</v>
      </c>
      <c r="AM111" s="187">
        <f t="shared" si="246"/>
        <v>0</v>
      </c>
      <c r="AN111" s="19">
        <f t="shared" si="247"/>
        <v>0</v>
      </c>
      <c r="AO111" s="187">
        <f t="shared" si="247"/>
        <v>0</v>
      </c>
      <c r="AP111" s="187">
        <f t="shared" si="247"/>
        <v>0</v>
      </c>
      <c r="AQ111" s="187">
        <f t="shared" si="247"/>
        <v>0</v>
      </c>
      <c r="AR111" s="187">
        <f t="shared" si="247"/>
        <v>0</v>
      </c>
      <c r="AS111" s="187">
        <f t="shared" si="248"/>
        <v>0</v>
      </c>
      <c r="AT111" s="187">
        <f t="shared" si="248"/>
        <v>0</v>
      </c>
      <c r="AU111" s="187">
        <f t="shared" si="248"/>
        <v>0</v>
      </c>
      <c r="AV111" s="73">
        <f t="shared" si="249"/>
        <v>0</v>
      </c>
      <c r="AW111" s="187">
        <f t="shared" si="249"/>
        <v>0</v>
      </c>
      <c r="AX111" s="187">
        <f t="shared" si="249"/>
        <v>0</v>
      </c>
      <c r="AY111" s="187">
        <f t="shared" si="249"/>
        <v>0</v>
      </c>
      <c r="AZ111" s="187">
        <f t="shared" si="249"/>
        <v>0</v>
      </c>
      <c r="BA111" s="187">
        <f t="shared" si="249"/>
        <v>0</v>
      </c>
      <c r="BB111" s="187">
        <f t="shared" si="249"/>
        <v>0</v>
      </c>
      <c r="BC111" s="187">
        <f t="shared" si="249"/>
        <v>0</v>
      </c>
      <c r="BD111" s="19">
        <f t="shared" si="250"/>
        <v>0</v>
      </c>
      <c r="BE111" s="187">
        <f t="shared" si="250"/>
        <v>0</v>
      </c>
      <c r="BF111" s="187">
        <f t="shared" si="250"/>
        <v>0</v>
      </c>
      <c r="BG111" s="187">
        <f t="shared" si="250"/>
        <v>0</v>
      </c>
      <c r="BH111" s="187">
        <f t="shared" si="250"/>
        <v>0</v>
      </c>
      <c r="BI111" s="187">
        <f t="shared" si="251"/>
        <v>0</v>
      </c>
      <c r="BJ111" s="187">
        <f t="shared" si="251"/>
        <v>0</v>
      </c>
      <c r="BK111" s="187">
        <f t="shared" si="251"/>
        <v>0</v>
      </c>
      <c r="BL111" s="223">
        <f t="shared" si="228"/>
        <v>0</v>
      </c>
      <c r="BM111" s="249">
        <f t="shared" si="228"/>
        <v>0</v>
      </c>
      <c r="BN111" s="249">
        <f t="shared" si="228"/>
        <v>0</v>
      </c>
      <c r="BO111" s="249">
        <f t="shared" si="228"/>
        <v>0</v>
      </c>
      <c r="BP111" s="249">
        <f t="shared" si="228"/>
        <v>0</v>
      </c>
      <c r="BQ111" s="187">
        <f t="shared" si="252"/>
        <v>0</v>
      </c>
      <c r="BR111" s="187">
        <f t="shared" si="252"/>
        <v>0</v>
      </c>
      <c r="BS111" s="187">
        <f t="shared" si="252"/>
        <v>0</v>
      </c>
      <c r="BT111" s="73">
        <f t="shared" si="233"/>
        <v>0</v>
      </c>
      <c r="BU111" s="187">
        <f t="shared" si="233"/>
        <v>0</v>
      </c>
      <c r="BV111" s="187">
        <f t="shared" si="233"/>
        <v>0</v>
      </c>
      <c r="BW111" s="187">
        <f t="shared" si="233"/>
        <v>0</v>
      </c>
      <c r="BX111" s="187">
        <f t="shared" si="233"/>
        <v>0</v>
      </c>
      <c r="BY111" s="187">
        <f t="shared" si="253"/>
        <v>0</v>
      </c>
      <c r="BZ111" s="187">
        <f t="shared" si="253"/>
        <v>0</v>
      </c>
      <c r="CA111" s="187">
        <f t="shared" si="253"/>
        <v>0</v>
      </c>
      <c r="CB111" s="73">
        <f t="shared" si="254"/>
        <v>0</v>
      </c>
      <c r="CC111" s="187">
        <f t="shared" si="254"/>
        <v>0</v>
      </c>
      <c r="CD111" s="187">
        <f t="shared" si="254"/>
        <v>0</v>
      </c>
      <c r="CE111" s="187">
        <f t="shared" si="254"/>
        <v>0</v>
      </c>
      <c r="CF111" s="187">
        <f t="shared" si="254"/>
        <v>0</v>
      </c>
      <c r="CG111" s="187">
        <f t="shared" si="255"/>
        <v>0</v>
      </c>
      <c r="CH111" s="187">
        <f t="shared" si="255"/>
        <v>0</v>
      </c>
      <c r="CI111" s="187">
        <f t="shared" si="255"/>
        <v>0</v>
      </c>
      <c r="CJ111" s="73">
        <f t="shared" si="229"/>
        <v>0</v>
      </c>
      <c r="CK111" s="187">
        <f t="shared" si="229"/>
        <v>0</v>
      </c>
      <c r="CL111" s="187">
        <f t="shared" si="229"/>
        <v>0</v>
      </c>
      <c r="CM111" s="187">
        <f t="shared" si="229"/>
        <v>0</v>
      </c>
      <c r="CN111" s="187">
        <f t="shared" si="229"/>
        <v>0</v>
      </c>
      <c r="CO111" s="187">
        <f t="shared" si="256"/>
        <v>0</v>
      </c>
      <c r="CP111" s="187">
        <f t="shared" si="256"/>
        <v>0</v>
      </c>
      <c r="CQ111" s="187">
        <f t="shared" si="256"/>
        <v>0</v>
      </c>
      <c r="CR111" s="73">
        <f t="shared" si="230"/>
        <v>0</v>
      </c>
      <c r="CS111" s="187">
        <f t="shared" si="230"/>
        <v>0</v>
      </c>
      <c r="CT111" s="187">
        <f t="shared" si="230"/>
        <v>0</v>
      </c>
      <c r="CU111" s="187">
        <f t="shared" si="230"/>
        <v>0</v>
      </c>
      <c r="CV111" s="187">
        <f t="shared" si="230"/>
        <v>0</v>
      </c>
      <c r="CW111" s="187">
        <f t="shared" si="257"/>
        <v>0</v>
      </c>
      <c r="CX111" s="187">
        <f t="shared" si="257"/>
        <v>0</v>
      </c>
      <c r="CY111" s="187">
        <f t="shared" si="257"/>
        <v>0</v>
      </c>
    </row>
    <row r="112" spans="1:104" s="199" customFormat="1" ht="26.25" hidden="1" customHeight="1" outlineLevel="1" x14ac:dyDescent="0.4">
      <c r="A112" s="380"/>
      <c r="B112" s="380"/>
      <c r="C112" s="380"/>
      <c r="D112" s="382"/>
      <c r="E112" s="382"/>
      <c r="F112" s="382"/>
      <c r="G112" s="416"/>
      <c r="H112" s="490"/>
      <c r="I112" s="490"/>
      <c r="J112" s="498"/>
      <c r="K112" s="492"/>
      <c r="L112" s="492"/>
      <c r="M112" s="494"/>
      <c r="N112" s="39" t="s">
        <v>25</v>
      </c>
      <c r="O112" s="207">
        <f t="shared" si="242"/>
        <v>0</v>
      </c>
      <c r="P112" s="207">
        <f t="shared" si="242"/>
        <v>0</v>
      </c>
      <c r="Q112" s="207">
        <f t="shared" si="242"/>
        <v>0</v>
      </c>
      <c r="R112" s="207">
        <f t="shared" si="242"/>
        <v>0</v>
      </c>
      <c r="S112" s="207">
        <f t="shared" si="242"/>
        <v>0</v>
      </c>
      <c r="T112" s="207">
        <f t="shared" si="242"/>
        <v>0</v>
      </c>
      <c r="U112" s="49">
        <f t="shared" si="242"/>
        <v>0</v>
      </c>
      <c r="V112" s="57">
        <f t="shared" si="243"/>
        <v>0</v>
      </c>
      <c r="W112" s="18">
        <f t="shared" si="243"/>
        <v>0</v>
      </c>
      <c r="X112" s="18">
        <f t="shared" si="243"/>
        <v>0</v>
      </c>
      <c r="Y112" s="18">
        <f t="shared" si="243"/>
        <v>0</v>
      </c>
      <c r="Z112" s="18">
        <f t="shared" si="243"/>
        <v>0</v>
      </c>
      <c r="AA112" s="18">
        <f t="shared" si="244"/>
        <v>0</v>
      </c>
      <c r="AB112" s="42">
        <f t="shared" si="244"/>
        <v>0</v>
      </c>
      <c r="AC112" s="52">
        <f t="shared" si="244"/>
        <v>0</v>
      </c>
      <c r="AD112" s="207">
        <f t="shared" si="244"/>
        <v>0</v>
      </c>
      <c r="AE112" s="207">
        <f t="shared" si="244"/>
        <v>0</v>
      </c>
      <c r="AF112" s="207">
        <f t="shared" si="244"/>
        <v>0</v>
      </c>
      <c r="AG112" s="18">
        <f t="shared" si="244"/>
        <v>0</v>
      </c>
      <c r="AH112" s="51">
        <f t="shared" si="245"/>
        <v>0</v>
      </c>
      <c r="AI112" s="52">
        <f t="shared" si="245"/>
        <v>0</v>
      </c>
      <c r="AJ112" s="52">
        <f t="shared" si="245"/>
        <v>0</v>
      </c>
      <c r="AK112" s="52">
        <f t="shared" si="245"/>
        <v>0</v>
      </c>
      <c r="AL112" s="52">
        <f t="shared" si="245"/>
        <v>0</v>
      </c>
      <c r="AM112" s="18">
        <f t="shared" si="246"/>
        <v>0</v>
      </c>
      <c r="AN112" s="42">
        <f t="shared" si="247"/>
        <v>0</v>
      </c>
      <c r="AO112" s="207">
        <f t="shared" si="247"/>
        <v>0</v>
      </c>
      <c r="AP112" s="207">
        <f t="shared" si="247"/>
        <v>0</v>
      </c>
      <c r="AQ112" s="207">
        <f t="shared" si="247"/>
        <v>0</v>
      </c>
      <c r="AR112" s="207">
        <f t="shared" si="247"/>
        <v>0</v>
      </c>
      <c r="AS112" s="207">
        <f t="shared" si="248"/>
        <v>0</v>
      </c>
      <c r="AT112" s="207">
        <f t="shared" si="248"/>
        <v>0</v>
      </c>
      <c r="AU112" s="18">
        <f t="shared" si="248"/>
        <v>0</v>
      </c>
      <c r="AV112" s="42">
        <f t="shared" si="249"/>
        <v>0</v>
      </c>
      <c r="AW112" s="207">
        <f t="shared" si="249"/>
        <v>0</v>
      </c>
      <c r="AX112" s="207">
        <f t="shared" si="249"/>
        <v>0</v>
      </c>
      <c r="AY112" s="207">
        <f t="shared" si="249"/>
        <v>0</v>
      </c>
      <c r="AZ112" s="207">
        <f t="shared" si="249"/>
        <v>0</v>
      </c>
      <c r="BA112" s="207">
        <f t="shared" si="249"/>
        <v>0</v>
      </c>
      <c r="BB112" s="207">
        <f t="shared" si="249"/>
        <v>0</v>
      </c>
      <c r="BC112" s="18">
        <f t="shared" si="249"/>
        <v>0</v>
      </c>
      <c r="BD112" s="42">
        <f t="shared" si="250"/>
        <v>0</v>
      </c>
      <c r="BE112" s="207">
        <f t="shared" si="250"/>
        <v>0</v>
      </c>
      <c r="BF112" s="207">
        <f t="shared" si="250"/>
        <v>0</v>
      </c>
      <c r="BG112" s="207">
        <f t="shared" si="250"/>
        <v>0</v>
      </c>
      <c r="BH112" s="207">
        <f t="shared" si="250"/>
        <v>0</v>
      </c>
      <c r="BI112" s="207">
        <f t="shared" si="251"/>
        <v>0</v>
      </c>
      <c r="BJ112" s="207">
        <f t="shared" si="251"/>
        <v>0</v>
      </c>
      <c r="BK112" s="18">
        <f t="shared" si="251"/>
        <v>0</v>
      </c>
      <c r="BL112" s="20">
        <f t="shared" si="228"/>
        <v>0</v>
      </c>
      <c r="BM112" s="207">
        <f t="shared" si="228"/>
        <v>0</v>
      </c>
      <c r="BN112" s="207">
        <f t="shared" si="228"/>
        <v>0</v>
      </c>
      <c r="BO112" s="207">
        <f t="shared" si="228"/>
        <v>0</v>
      </c>
      <c r="BP112" s="207">
        <f t="shared" si="228"/>
        <v>0</v>
      </c>
      <c r="BQ112" s="207">
        <f t="shared" si="252"/>
        <v>0</v>
      </c>
      <c r="BR112" s="207">
        <f t="shared" si="252"/>
        <v>0</v>
      </c>
      <c r="BS112" s="18">
        <f t="shared" si="252"/>
        <v>0</v>
      </c>
      <c r="BT112" s="224">
        <f t="shared" si="233"/>
        <v>0</v>
      </c>
      <c r="BU112" s="207">
        <f t="shared" si="233"/>
        <v>0</v>
      </c>
      <c r="BV112" s="207">
        <f t="shared" si="233"/>
        <v>0</v>
      </c>
      <c r="BW112" s="207">
        <f t="shared" si="233"/>
        <v>0</v>
      </c>
      <c r="BX112" s="207">
        <f t="shared" si="233"/>
        <v>0</v>
      </c>
      <c r="BY112" s="207">
        <f t="shared" si="253"/>
        <v>0</v>
      </c>
      <c r="BZ112" s="207">
        <f t="shared" si="253"/>
        <v>0</v>
      </c>
      <c r="CA112" s="18">
        <f t="shared" si="253"/>
        <v>0</v>
      </c>
      <c r="CB112" s="224">
        <f t="shared" si="254"/>
        <v>0</v>
      </c>
      <c r="CC112" s="250">
        <f t="shared" si="254"/>
        <v>0</v>
      </c>
      <c r="CD112" s="250">
        <f t="shared" si="254"/>
        <v>0</v>
      </c>
      <c r="CE112" s="250">
        <f t="shared" si="254"/>
        <v>0</v>
      </c>
      <c r="CF112" s="250">
        <f t="shared" si="254"/>
        <v>0</v>
      </c>
      <c r="CG112" s="207">
        <f t="shared" si="255"/>
        <v>0</v>
      </c>
      <c r="CH112" s="207">
        <f t="shared" si="255"/>
        <v>0</v>
      </c>
      <c r="CI112" s="18">
        <f t="shared" si="255"/>
        <v>0</v>
      </c>
      <c r="CJ112" s="224">
        <f t="shared" si="229"/>
        <v>0</v>
      </c>
      <c r="CK112" s="207">
        <f t="shared" si="229"/>
        <v>0</v>
      </c>
      <c r="CL112" s="207">
        <f t="shared" si="229"/>
        <v>0</v>
      </c>
      <c r="CM112" s="207">
        <f t="shared" si="229"/>
        <v>0</v>
      </c>
      <c r="CN112" s="207">
        <f t="shared" si="229"/>
        <v>0</v>
      </c>
      <c r="CO112" s="207">
        <f t="shared" si="256"/>
        <v>0</v>
      </c>
      <c r="CP112" s="207">
        <f t="shared" si="256"/>
        <v>0</v>
      </c>
      <c r="CQ112" s="18">
        <f t="shared" si="256"/>
        <v>0</v>
      </c>
      <c r="CR112" s="42">
        <f t="shared" si="230"/>
        <v>0</v>
      </c>
      <c r="CS112" s="207">
        <f t="shared" si="230"/>
        <v>0</v>
      </c>
      <c r="CT112" s="207">
        <f t="shared" si="230"/>
        <v>0</v>
      </c>
      <c r="CU112" s="207">
        <f t="shared" si="230"/>
        <v>0</v>
      </c>
      <c r="CV112" s="207">
        <f t="shared" si="230"/>
        <v>0</v>
      </c>
      <c r="CW112" s="207">
        <f t="shared" si="257"/>
        <v>0</v>
      </c>
      <c r="CX112" s="207">
        <f t="shared" si="257"/>
        <v>0</v>
      </c>
      <c r="CY112" s="207">
        <f t="shared" si="257"/>
        <v>0</v>
      </c>
    </row>
    <row r="113" spans="1:103" s="199" customFormat="1" ht="26.25" hidden="1" customHeight="1" outlineLevel="1" x14ac:dyDescent="0.4">
      <c r="A113" s="379">
        <v>54</v>
      </c>
      <c r="B113" s="379" t="s">
        <v>45</v>
      </c>
      <c r="C113" s="379" t="s">
        <v>346</v>
      </c>
      <c r="D113" s="381"/>
      <c r="E113" s="381"/>
      <c r="F113" s="381"/>
      <c r="G113" s="416"/>
      <c r="H113" s="489">
        <f t="shared" ref="H113" si="262">SUM(BT113:CA113)</f>
        <v>0</v>
      </c>
      <c r="I113" s="489">
        <f t="shared" ref="I113" si="263">SUM(BT114:CA114)</f>
        <v>0</v>
      </c>
      <c r="J113" s="497"/>
      <c r="K113" s="491"/>
      <c r="L113" s="491"/>
      <c r="M113" s="493"/>
      <c r="N113" s="48" t="s">
        <v>24</v>
      </c>
      <c r="O113" s="187">
        <f t="shared" si="242"/>
        <v>0</v>
      </c>
      <c r="P113" s="187">
        <f t="shared" si="242"/>
        <v>0</v>
      </c>
      <c r="Q113" s="187">
        <f t="shared" si="242"/>
        <v>0</v>
      </c>
      <c r="R113" s="187">
        <f t="shared" si="242"/>
        <v>0</v>
      </c>
      <c r="S113" s="187">
        <f t="shared" si="242"/>
        <v>0</v>
      </c>
      <c r="T113" s="187">
        <f t="shared" si="242"/>
        <v>0</v>
      </c>
      <c r="U113" s="82">
        <f t="shared" si="242"/>
        <v>0</v>
      </c>
      <c r="V113" s="19">
        <f t="shared" si="243"/>
        <v>0</v>
      </c>
      <c r="W113" s="187">
        <f t="shared" si="243"/>
        <v>0</v>
      </c>
      <c r="X113" s="187">
        <f t="shared" si="243"/>
        <v>0</v>
      </c>
      <c r="Y113" s="187">
        <f t="shared" si="243"/>
        <v>0</v>
      </c>
      <c r="Z113" s="187">
        <f t="shared" si="243"/>
        <v>0</v>
      </c>
      <c r="AA113" s="187">
        <f t="shared" si="244"/>
        <v>0</v>
      </c>
      <c r="AB113" s="19">
        <f t="shared" si="244"/>
        <v>0</v>
      </c>
      <c r="AC113" s="187">
        <f t="shared" si="244"/>
        <v>0</v>
      </c>
      <c r="AD113" s="249">
        <f t="shared" si="244"/>
        <v>0</v>
      </c>
      <c r="AE113" s="187">
        <f t="shared" si="244"/>
        <v>0</v>
      </c>
      <c r="AF113" s="187">
        <f t="shared" si="244"/>
        <v>0</v>
      </c>
      <c r="AG113" s="187">
        <f t="shared" si="244"/>
        <v>0</v>
      </c>
      <c r="AH113" s="19">
        <f t="shared" si="245"/>
        <v>0</v>
      </c>
      <c r="AI113" s="187">
        <f t="shared" si="245"/>
        <v>0</v>
      </c>
      <c r="AJ113" s="187">
        <f t="shared" si="245"/>
        <v>0</v>
      </c>
      <c r="AK113" s="187">
        <f t="shared" si="245"/>
        <v>0</v>
      </c>
      <c r="AL113" s="187">
        <f t="shared" si="245"/>
        <v>0</v>
      </c>
      <c r="AM113" s="187">
        <f t="shared" si="246"/>
        <v>0</v>
      </c>
      <c r="AN113" s="19">
        <f t="shared" si="247"/>
        <v>0</v>
      </c>
      <c r="AO113" s="187">
        <f t="shared" si="247"/>
        <v>0</v>
      </c>
      <c r="AP113" s="187">
        <f t="shared" si="247"/>
        <v>0</v>
      </c>
      <c r="AQ113" s="187">
        <f t="shared" si="247"/>
        <v>0</v>
      </c>
      <c r="AR113" s="187">
        <f t="shared" si="247"/>
        <v>0</v>
      </c>
      <c r="AS113" s="187">
        <f t="shared" si="248"/>
        <v>0</v>
      </c>
      <c r="AT113" s="187">
        <f t="shared" si="248"/>
        <v>0</v>
      </c>
      <c r="AU113" s="187">
        <f t="shared" si="248"/>
        <v>0</v>
      </c>
      <c r="AV113" s="73">
        <f t="shared" si="249"/>
        <v>0</v>
      </c>
      <c r="AW113" s="187">
        <f t="shared" si="249"/>
        <v>0</v>
      </c>
      <c r="AX113" s="187">
        <f t="shared" si="249"/>
        <v>0</v>
      </c>
      <c r="AY113" s="187">
        <f t="shared" si="249"/>
        <v>0</v>
      </c>
      <c r="AZ113" s="187">
        <f t="shared" si="249"/>
        <v>0</v>
      </c>
      <c r="BA113" s="187">
        <f t="shared" si="249"/>
        <v>0</v>
      </c>
      <c r="BB113" s="187">
        <f t="shared" si="249"/>
        <v>0</v>
      </c>
      <c r="BC113" s="187">
        <f t="shared" si="249"/>
        <v>0</v>
      </c>
      <c r="BD113" s="19">
        <f t="shared" si="250"/>
        <v>0</v>
      </c>
      <c r="BE113" s="187">
        <f t="shared" si="250"/>
        <v>0</v>
      </c>
      <c r="BF113" s="187">
        <f t="shared" si="250"/>
        <v>0</v>
      </c>
      <c r="BG113" s="187">
        <f t="shared" si="250"/>
        <v>0</v>
      </c>
      <c r="BH113" s="187">
        <f t="shared" si="250"/>
        <v>0</v>
      </c>
      <c r="BI113" s="187">
        <f t="shared" si="251"/>
        <v>0</v>
      </c>
      <c r="BJ113" s="187">
        <f t="shared" si="251"/>
        <v>0</v>
      </c>
      <c r="BK113" s="187">
        <f t="shared" si="251"/>
        <v>0</v>
      </c>
      <c r="BL113" s="223">
        <f t="shared" ref="BL113:BP128" si="264">0/142.5</f>
        <v>0</v>
      </c>
      <c r="BM113" s="249">
        <f t="shared" si="264"/>
        <v>0</v>
      </c>
      <c r="BN113" s="249">
        <f t="shared" si="264"/>
        <v>0</v>
      </c>
      <c r="BO113" s="249">
        <f t="shared" si="264"/>
        <v>0</v>
      </c>
      <c r="BP113" s="249">
        <f t="shared" si="264"/>
        <v>0</v>
      </c>
      <c r="BQ113" s="187">
        <f t="shared" si="252"/>
        <v>0</v>
      </c>
      <c r="BR113" s="187">
        <f t="shared" si="252"/>
        <v>0</v>
      </c>
      <c r="BS113" s="187">
        <f t="shared" si="252"/>
        <v>0</v>
      </c>
      <c r="BT113" s="73">
        <f t="shared" si="233"/>
        <v>0</v>
      </c>
      <c r="BU113" s="187">
        <f t="shared" si="233"/>
        <v>0</v>
      </c>
      <c r="BV113" s="187">
        <f t="shared" si="233"/>
        <v>0</v>
      </c>
      <c r="BW113" s="187">
        <f t="shared" si="233"/>
        <v>0</v>
      </c>
      <c r="BX113" s="187">
        <f t="shared" si="233"/>
        <v>0</v>
      </c>
      <c r="BY113" s="187">
        <f t="shared" si="253"/>
        <v>0</v>
      </c>
      <c r="BZ113" s="187">
        <f t="shared" si="253"/>
        <v>0</v>
      </c>
      <c r="CA113" s="187">
        <f t="shared" si="253"/>
        <v>0</v>
      </c>
      <c r="CB113" s="73">
        <f t="shared" si="254"/>
        <v>0</v>
      </c>
      <c r="CC113" s="187">
        <f t="shared" si="254"/>
        <v>0</v>
      </c>
      <c r="CD113" s="187">
        <f t="shared" si="254"/>
        <v>0</v>
      </c>
      <c r="CE113" s="187">
        <f t="shared" si="254"/>
        <v>0</v>
      </c>
      <c r="CF113" s="187">
        <f t="shared" si="254"/>
        <v>0</v>
      </c>
      <c r="CG113" s="187">
        <f t="shared" si="255"/>
        <v>0</v>
      </c>
      <c r="CH113" s="187">
        <f t="shared" si="255"/>
        <v>0</v>
      </c>
      <c r="CI113" s="187">
        <f t="shared" si="255"/>
        <v>0</v>
      </c>
      <c r="CJ113" s="73">
        <f t="shared" ref="CJ113:CN128" si="265">0/157.5</f>
        <v>0</v>
      </c>
      <c r="CK113" s="187">
        <f t="shared" si="265"/>
        <v>0</v>
      </c>
      <c r="CL113" s="187">
        <f t="shared" si="265"/>
        <v>0</v>
      </c>
      <c r="CM113" s="187">
        <f t="shared" si="265"/>
        <v>0</v>
      </c>
      <c r="CN113" s="187">
        <f t="shared" si="265"/>
        <v>0</v>
      </c>
      <c r="CO113" s="187">
        <f t="shared" si="256"/>
        <v>0</v>
      </c>
      <c r="CP113" s="187">
        <f t="shared" si="256"/>
        <v>0</v>
      </c>
      <c r="CQ113" s="187">
        <f t="shared" si="256"/>
        <v>0</v>
      </c>
      <c r="CR113" s="73">
        <f t="shared" ref="CR113:CV128" si="266">0/142.5</f>
        <v>0</v>
      </c>
      <c r="CS113" s="187">
        <f t="shared" si="266"/>
        <v>0</v>
      </c>
      <c r="CT113" s="187">
        <f t="shared" si="266"/>
        <v>0</v>
      </c>
      <c r="CU113" s="187">
        <f t="shared" si="266"/>
        <v>0</v>
      </c>
      <c r="CV113" s="187">
        <f t="shared" si="266"/>
        <v>0</v>
      </c>
      <c r="CW113" s="187">
        <f t="shared" si="257"/>
        <v>0</v>
      </c>
      <c r="CX113" s="187">
        <f t="shared" si="257"/>
        <v>0</v>
      </c>
      <c r="CY113" s="187">
        <f t="shared" si="257"/>
        <v>0</v>
      </c>
    </row>
    <row r="114" spans="1:103" s="199" customFormat="1" ht="26.25" hidden="1" customHeight="1" outlineLevel="1" x14ac:dyDescent="0.4">
      <c r="A114" s="380"/>
      <c r="B114" s="380"/>
      <c r="C114" s="380"/>
      <c r="D114" s="382"/>
      <c r="E114" s="382"/>
      <c r="F114" s="382"/>
      <c r="G114" s="416"/>
      <c r="H114" s="490"/>
      <c r="I114" s="490"/>
      <c r="J114" s="498"/>
      <c r="K114" s="492"/>
      <c r="L114" s="492"/>
      <c r="M114" s="494"/>
      <c r="N114" s="39" t="s">
        <v>25</v>
      </c>
      <c r="O114" s="207">
        <f t="shared" si="242"/>
        <v>0</v>
      </c>
      <c r="P114" s="207">
        <f t="shared" si="242"/>
        <v>0</v>
      </c>
      <c r="Q114" s="207">
        <f t="shared" si="242"/>
        <v>0</v>
      </c>
      <c r="R114" s="207">
        <f t="shared" si="242"/>
        <v>0</v>
      </c>
      <c r="S114" s="207">
        <f t="shared" si="242"/>
        <v>0</v>
      </c>
      <c r="T114" s="207">
        <f t="shared" si="242"/>
        <v>0</v>
      </c>
      <c r="U114" s="49">
        <f t="shared" si="242"/>
        <v>0</v>
      </c>
      <c r="V114" s="57">
        <f t="shared" si="243"/>
        <v>0</v>
      </c>
      <c r="W114" s="18">
        <f t="shared" si="243"/>
        <v>0</v>
      </c>
      <c r="X114" s="18">
        <f t="shared" si="243"/>
        <v>0</v>
      </c>
      <c r="Y114" s="18">
        <f t="shared" si="243"/>
        <v>0</v>
      </c>
      <c r="Z114" s="18">
        <f t="shared" si="243"/>
        <v>0</v>
      </c>
      <c r="AA114" s="18">
        <f t="shared" si="244"/>
        <v>0</v>
      </c>
      <c r="AB114" s="42">
        <f t="shared" si="244"/>
        <v>0</v>
      </c>
      <c r="AC114" s="52">
        <f t="shared" si="244"/>
        <v>0</v>
      </c>
      <c r="AD114" s="207">
        <f t="shared" si="244"/>
        <v>0</v>
      </c>
      <c r="AE114" s="207">
        <f t="shared" si="244"/>
        <v>0</v>
      </c>
      <c r="AF114" s="207">
        <f t="shared" si="244"/>
        <v>0</v>
      </c>
      <c r="AG114" s="18">
        <f t="shared" si="244"/>
        <v>0</v>
      </c>
      <c r="AH114" s="51">
        <f t="shared" si="245"/>
        <v>0</v>
      </c>
      <c r="AI114" s="52">
        <f t="shared" si="245"/>
        <v>0</v>
      </c>
      <c r="AJ114" s="52">
        <f t="shared" si="245"/>
        <v>0</v>
      </c>
      <c r="AK114" s="52">
        <f t="shared" si="245"/>
        <v>0</v>
      </c>
      <c r="AL114" s="52">
        <f t="shared" si="245"/>
        <v>0</v>
      </c>
      <c r="AM114" s="18">
        <f t="shared" si="246"/>
        <v>0</v>
      </c>
      <c r="AN114" s="42">
        <f t="shared" si="247"/>
        <v>0</v>
      </c>
      <c r="AO114" s="207">
        <f t="shared" si="247"/>
        <v>0</v>
      </c>
      <c r="AP114" s="207">
        <f t="shared" si="247"/>
        <v>0</v>
      </c>
      <c r="AQ114" s="207">
        <f t="shared" si="247"/>
        <v>0</v>
      </c>
      <c r="AR114" s="207">
        <f t="shared" si="247"/>
        <v>0</v>
      </c>
      <c r="AS114" s="207">
        <f t="shared" si="248"/>
        <v>0</v>
      </c>
      <c r="AT114" s="207">
        <f t="shared" si="248"/>
        <v>0</v>
      </c>
      <c r="AU114" s="18">
        <f t="shared" si="248"/>
        <v>0</v>
      </c>
      <c r="AV114" s="42">
        <f t="shared" si="249"/>
        <v>0</v>
      </c>
      <c r="AW114" s="207">
        <f t="shared" si="249"/>
        <v>0</v>
      </c>
      <c r="AX114" s="207">
        <f t="shared" si="249"/>
        <v>0</v>
      </c>
      <c r="AY114" s="207">
        <f t="shared" si="249"/>
        <v>0</v>
      </c>
      <c r="AZ114" s="207">
        <f t="shared" si="249"/>
        <v>0</v>
      </c>
      <c r="BA114" s="207">
        <f t="shared" si="249"/>
        <v>0</v>
      </c>
      <c r="BB114" s="207">
        <f t="shared" si="249"/>
        <v>0</v>
      </c>
      <c r="BC114" s="18">
        <f t="shared" si="249"/>
        <v>0</v>
      </c>
      <c r="BD114" s="42">
        <f t="shared" si="250"/>
        <v>0</v>
      </c>
      <c r="BE114" s="207">
        <f t="shared" si="250"/>
        <v>0</v>
      </c>
      <c r="BF114" s="207">
        <f t="shared" si="250"/>
        <v>0</v>
      </c>
      <c r="BG114" s="207">
        <f t="shared" si="250"/>
        <v>0</v>
      </c>
      <c r="BH114" s="207">
        <f t="shared" si="250"/>
        <v>0</v>
      </c>
      <c r="BI114" s="207">
        <f t="shared" si="251"/>
        <v>0</v>
      </c>
      <c r="BJ114" s="207">
        <f t="shared" si="251"/>
        <v>0</v>
      </c>
      <c r="BK114" s="18">
        <f t="shared" si="251"/>
        <v>0</v>
      </c>
      <c r="BL114" s="20">
        <f t="shared" si="264"/>
        <v>0</v>
      </c>
      <c r="BM114" s="207">
        <f t="shared" si="264"/>
        <v>0</v>
      </c>
      <c r="BN114" s="207">
        <f t="shared" si="264"/>
        <v>0</v>
      </c>
      <c r="BO114" s="207">
        <f t="shared" si="264"/>
        <v>0</v>
      </c>
      <c r="BP114" s="207">
        <f t="shared" si="264"/>
        <v>0</v>
      </c>
      <c r="BQ114" s="207">
        <f t="shared" si="252"/>
        <v>0</v>
      </c>
      <c r="BR114" s="207">
        <f t="shared" si="252"/>
        <v>0</v>
      </c>
      <c r="BS114" s="18">
        <f t="shared" si="252"/>
        <v>0</v>
      </c>
      <c r="BT114" s="224">
        <f t="shared" si="233"/>
        <v>0</v>
      </c>
      <c r="BU114" s="207">
        <f t="shared" si="233"/>
        <v>0</v>
      </c>
      <c r="BV114" s="207">
        <f t="shared" si="233"/>
        <v>0</v>
      </c>
      <c r="BW114" s="207">
        <f t="shared" si="233"/>
        <v>0</v>
      </c>
      <c r="BX114" s="207">
        <f t="shared" si="233"/>
        <v>0</v>
      </c>
      <c r="BY114" s="207">
        <f t="shared" si="253"/>
        <v>0</v>
      </c>
      <c r="BZ114" s="207">
        <f t="shared" si="253"/>
        <v>0</v>
      </c>
      <c r="CA114" s="18">
        <f t="shared" si="253"/>
        <v>0</v>
      </c>
      <c r="CB114" s="224">
        <f t="shared" si="254"/>
        <v>0</v>
      </c>
      <c r="CC114" s="250">
        <f t="shared" si="254"/>
        <v>0</v>
      </c>
      <c r="CD114" s="250">
        <f t="shared" si="254"/>
        <v>0</v>
      </c>
      <c r="CE114" s="250">
        <f t="shared" si="254"/>
        <v>0</v>
      </c>
      <c r="CF114" s="250">
        <f t="shared" si="254"/>
        <v>0</v>
      </c>
      <c r="CG114" s="207">
        <f t="shared" si="255"/>
        <v>0</v>
      </c>
      <c r="CH114" s="207">
        <f t="shared" si="255"/>
        <v>0</v>
      </c>
      <c r="CI114" s="18">
        <f t="shared" si="255"/>
        <v>0</v>
      </c>
      <c r="CJ114" s="224">
        <f t="shared" si="265"/>
        <v>0</v>
      </c>
      <c r="CK114" s="207">
        <f t="shared" si="265"/>
        <v>0</v>
      </c>
      <c r="CL114" s="207">
        <f t="shared" si="265"/>
        <v>0</v>
      </c>
      <c r="CM114" s="207">
        <f t="shared" si="265"/>
        <v>0</v>
      </c>
      <c r="CN114" s="207">
        <f t="shared" si="265"/>
        <v>0</v>
      </c>
      <c r="CO114" s="207">
        <f t="shared" si="256"/>
        <v>0</v>
      </c>
      <c r="CP114" s="207">
        <f t="shared" si="256"/>
        <v>0</v>
      </c>
      <c r="CQ114" s="18">
        <f t="shared" si="256"/>
        <v>0</v>
      </c>
      <c r="CR114" s="42">
        <f t="shared" si="266"/>
        <v>0</v>
      </c>
      <c r="CS114" s="207">
        <f t="shared" si="266"/>
        <v>0</v>
      </c>
      <c r="CT114" s="207">
        <f t="shared" si="266"/>
        <v>0</v>
      </c>
      <c r="CU114" s="207">
        <f t="shared" si="266"/>
        <v>0</v>
      </c>
      <c r="CV114" s="207">
        <f t="shared" si="266"/>
        <v>0</v>
      </c>
      <c r="CW114" s="207">
        <f t="shared" si="257"/>
        <v>0</v>
      </c>
      <c r="CX114" s="207">
        <f t="shared" si="257"/>
        <v>0</v>
      </c>
      <c r="CY114" s="207">
        <f t="shared" si="257"/>
        <v>0</v>
      </c>
    </row>
    <row r="115" spans="1:103" s="199" customFormat="1" ht="26.25" hidden="1" customHeight="1" outlineLevel="1" x14ac:dyDescent="0.4">
      <c r="A115" s="379">
        <v>55</v>
      </c>
      <c r="B115" s="379" t="s">
        <v>45</v>
      </c>
      <c r="C115" s="379" t="s">
        <v>346</v>
      </c>
      <c r="D115" s="381"/>
      <c r="E115" s="381"/>
      <c r="F115" s="381"/>
      <c r="G115" s="416"/>
      <c r="H115" s="489">
        <f t="shared" ref="H115" si="267">SUM(BT115:CA115)</f>
        <v>0</v>
      </c>
      <c r="I115" s="489">
        <f t="shared" ref="I115" si="268">SUM(BT116:CA116)</f>
        <v>0</v>
      </c>
      <c r="J115" s="497"/>
      <c r="K115" s="491"/>
      <c r="L115" s="491"/>
      <c r="M115" s="495"/>
      <c r="N115" s="48" t="s">
        <v>24</v>
      </c>
      <c r="O115" s="187">
        <f t="shared" si="242"/>
        <v>0</v>
      </c>
      <c r="P115" s="187">
        <f t="shared" si="242"/>
        <v>0</v>
      </c>
      <c r="Q115" s="187">
        <f t="shared" si="242"/>
        <v>0</v>
      </c>
      <c r="R115" s="187">
        <f t="shared" si="242"/>
        <v>0</v>
      </c>
      <c r="S115" s="187">
        <f t="shared" si="242"/>
        <v>0</v>
      </c>
      <c r="T115" s="187">
        <f t="shared" si="242"/>
        <v>0</v>
      </c>
      <c r="U115" s="82">
        <f t="shared" si="242"/>
        <v>0</v>
      </c>
      <c r="V115" s="19">
        <f t="shared" si="243"/>
        <v>0</v>
      </c>
      <c r="W115" s="187">
        <f t="shared" si="243"/>
        <v>0</v>
      </c>
      <c r="X115" s="187">
        <f t="shared" si="243"/>
        <v>0</v>
      </c>
      <c r="Y115" s="187">
        <f t="shared" si="243"/>
        <v>0</v>
      </c>
      <c r="Z115" s="187">
        <f t="shared" si="243"/>
        <v>0</v>
      </c>
      <c r="AA115" s="187">
        <f t="shared" si="244"/>
        <v>0</v>
      </c>
      <c r="AB115" s="19">
        <f t="shared" si="244"/>
        <v>0</v>
      </c>
      <c r="AC115" s="187">
        <f t="shared" si="244"/>
        <v>0</v>
      </c>
      <c r="AD115" s="249">
        <f t="shared" si="244"/>
        <v>0</v>
      </c>
      <c r="AE115" s="187">
        <f t="shared" si="244"/>
        <v>0</v>
      </c>
      <c r="AF115" s="187">
        <f t="shared" si="244"/>
        <v>0</v>
      </c>
      <c r="AG115" s="187">
        <f t="shared" si="244"/>
        <v>0</v>
      </c>
      <c r="AH115" s="19">
        <f t="shared" si="245"/>
        <v>0</v>
      </c>
      <c r="AI115" s="187">
        <f t="shared" si="245"/>
        <v>0</v>
      </c>
      <c r="AJ115" s="187">
        <f t="shared" si="245"/>
        <v>0</v>
      </c>
      <c r="AK115" s="187">
        <f t="shared" si="245"/>
        <v>0</v>
      </c>
      <c r="AL115" s="187">
        <f t="shared" si="245"/>
        <v>0</v>
      </c>
      <c r="AM115" s="187">
        <f t="shared" si="246"/>
        <v>0</v>
      </c>
      <c r="AN115" s="19">
        <f t="shared" si="247"/>
        <v>0</v>
      </c>
      <c r="AO115" s="187">
        <f t="shared" si="247"/>
        <v>0</v>
      </c>
      <c r="AP115" s="187">
        <f t="shared" si="247"/>
        <v>0</v>
      </c>
      <c r="AQ115" s="187">
        <f t="shared" si="247"/>
        <v>0</v>
      </c>
      <c r="AR115" s="187">
        <f t="shared" si="247"/>
        <v>0</v>
      </c>
      <c r="AS115" s="187">
        <f t="shared" si="248"/>
        <v>0</v>
      </c>
      <c r="AT115" s="187">
        <f t="shared" si="248"/>
        <v>0</v>
      </c>
      <c r="AU115" s="187">
        <f t="shared" si="248"/>
        <v>0</v>
      </c>
      <c r="AV115" s="73">
        <f t="shared" si="249"/>
        <v>0</v>
      </c>
      <c r="AW115" s="187">
        <f t="shared" si="249"/>
        <v>0</v>
      </c>
      <c r="AX115" s="187">
        <f t="shared" si="249"/>
        <v>0</v>
      </c>
      <c r="AY115" s="187">
        <f t="shared" si="249"/>
        <v>0</v>
      </c>
      <c r="AZ115" s="187">
        <f t="shared" si="249"/>
        <v>0</v>
      </c>
      <c r="BA115" s="187">
        <f t="shared" si="249"/>
        <v>0</v>
      </c>
      <c r="BB115" s="187">
        <f t="shared" si="249"/>
        <v>0</v>
      </c>
      <c r="BC115" s="187">
        <f t="shared" si="249"/>
        <v>0</v>
      </c>
      <c r="BD115" s="19">
        <f t="shared" si="250"/>
        <v>0</v>
      </c>
      <c r="BE115" s="187">
        <f t="shared" si="250"/>
        <v>0</v>
      </c>
      <c r="BF115" s="187">
        <f t="shared" si="250"/>
        <v>0</v>
      </c>
      <c r="BG115" s="187">
        <f t="shared" si="250"/>
        <v>0</v>
      </c>
      <c r="BH115" s="187">
        <f t="shared" si="250"/>
        <v>0</v>
      </c>
      <c r="BI115" s="187">
        <f t="shared" si="251"/>
        <v>0</v>
      </c>
      <c r="BJ115" s="187">
        <f t="shared" si="251"/>
        <v>0</v>
      </c>
      <c r="BK115" s="187">
        <f t="shared" si="251"/>
        <v>0</v>
      </c>
      <c r="BL115" s="223">
        <f t="shared" si="264"/>
        <v>0</v>
      </c>
      <c r="BM115" s="249">
        <f t="shared" si="264"/>
        <v>0</v>
      </c>
      <c r="BN115" s="249">
        <f t="shared" si="264"/>
        <v>0</v>
      </c>
      <c r="BO115" s="249">
        <f t="shared" si="264"/>
        <v>0</v>
      </c>
      <c r="BP115" s="249">
        <f t="shared" si="264"/>
        <v>0</v>
      </c>
      <c r="BQ115" s="187">
        <f t="shared" si="252"/>
        <v>0</v>
      </c>
      <c r="BR115" s="187">
        <f t="shared" si="252"/>
        <v>0</v>
      </c>
      <c r="BS115" s="187">
        <f t="shared" si="252"/>
        <v>0</v>
      </c>
      <c r="BT115" s="73">
        <f t="shared" ref="BT115:BX130" si="269">0/157.5</f>
        <v>0</v>
      </c>
      <c r="BU115" s="187">
        <f t="shared" si="269"/>
        <v>0</v>
      </c>
      <c r="BV115" s="187">
        <f t="shared" si="269"/>
        <v>0</v>
      </c>
      <c r="BW115" s="187">
        <f t="shared" si="269"/>
        <v>0</v>
      </c>
      <c r="BX115" s="187">
        <f t="shared" si="269"/>
        <v>0</v>
      </c>
      <c r="BY115" s="187">
        <f t="shared" si="253"/>
        <v>0</v>
      </c>
      <c r="BZ115" s="187">
        <f t="shared" si="253"/>
        <v>0</v>
      </c>
      <c r="CA115" s="187">
        <f t="shared" si="253"/>
        <v>0</v>
      </c>
      <c r="CB115" s="73">
        <f t="shared" si="254"/>
        <v>0</v>
      </c>
      <c r="CC115" s="187">
        <f t="shared" si="254"/>
        <v>0</v>
      </c>
      <c r="CD115" s="187">
        <f t="shared" si="254"/>
        <v>0</v>
      </c>
      <c r="CE115" s="187">
        <f t="shared" si="254"/>
        <v>0</v>
      </c>
      <c r="CF115" s="187">
        <f t="shared" si="254"/>
        <v>0</v>
      </c>
      <c r="CG115" s="187">
        <f t="shared" si="255"/>
        <v>0</v>
      </c>
      <c r="CH115" s="187">
        <f t="shared" si="255"/>
        <v>0</v>
      </c>
      <c r="CI115" s="187">
        <f t="shared" si="255"/>
        <v>0</v>
      </c>
      <c r="CJ115" s="73">
        <f t="shared" si="265"/>
        <v>0</v>
      </c>
      <c r="CK115" s="187">
        <f t="shared" si="265"/>
        <v>0</v>
      </c>
      <c r="CL115" s="187">
        <f t="shared" si="265"/>
        <v>0</v>
      </c>
      <c r="CM115" s="187">
        <f t="shared" si="265"/>
        <v>0</v>
      </c>
      <c r="CN115" s="187">
        <f t="shared" si="265"/>
        <v>0</v>
      </c>
      <c r="CO115" s="187">
        <f t="shared" si="256"/>
        <v>0</v>
      </c>
      <c r="CP115" s="187">
        <f t="shared" si="256"/>
        <v>0</v>
      </c>
      <c r="CQ115" s="187">
        <f t="shared" si="256"/>
        <v>0</v>
      </c>
      <c r="CR115" s="73">
        <f t="shared" si="266"/>
        <v>0</v>
      </c>
      <c r="CS115" s="187">
        <f t="shared" si="266"/>
        <v>0</v>
      </c>
      <c r="CT115" s="187">
        <f t="shared" si="266"/>
        <v>0</v>
      </c>
      <c r="CU115" s="187">
        <f t="shared" si="266"/>
        <v>0</v>
      </c>
      <c r="CV115" s="187">
        <f t="shared" si="266"/>
        <v>0</v>
      </c>
      <c r="CW115" s="187">
        <f t="shared" si="257"/>
        <v>0</v>
      </c>
      <c r="CX115" s="187">
        <f t="shared" si="257"/>
        <v>0</v>
      </c>
      <c r="CY115" s="187">
        <f t="shared" si="257"/>
        <v>0</v>
      </c>
    </row>
    <row r="116" spans="1:103" s="199" customFormat="1" ht="26.25" hidden="1" customHeight="1" outlineLevel="1" x14ac:dyDescent="0.4">
      <c r="A116" s="380"/>
      <c r="B116" s="380"/>
      <c r="C116" s="380"/>
      <c r="D116" s="382"/>
      <c r="E116" s="382"/>
      <c r="F116" s="382"/>
      <c r="G116" s="416"/>
      <c r="H116" s="490"/>
      <c r="I116" s="490"/>
      <c r="J116" s="498"/>
      <c r="K116" s="492"/>
      <c r="L116" s="492"/>
      <c r="M116" s="496"/>
      <c r="N116" s="39" t="s">
        <v>25</v>
      </c>
      <c r="O116" s="207">
        <f t="shared" si="242"/>
        <v>0</v>
      </c>
      <c r="P116" s="207">
        <f t="shared" si="242"/>
        <v>0</v>
      </c>
      <c r="Q116" s="207">
        <f t="shared" si="242"/>
        <v>0</v>
      </c>
      <c r="R116" s="207">
        <f t="shared" si="242"/>
        <v>0</v>
      </c>
      <c r="S116" s="207">
        <f t="shared" si="242"/>
        <v>0</v>
      </c>
      <c r="T116" s="207">
        <f t="shared" si="242"/>
        <v>0</v>
      </c>
      <c r="U116" s="49">
        <f t="shared" si="242"/>
        <v>0</v>
      </c>
      <c r="V116" s="57">
        <f t="shared" si="243"/>
        <v>0</v>
      </c>
      <c r="W116" s="18">
        <f t="shared" si="243"/>
        <v>0</v>
      </c>
      <c r="X116" s="18">
        <f t="shared" si="243"/>
        <v>0</v>
      </c>
      <c r="Y116" s="18">
        <f t="shared" si="243"/>
        <v>0</v>
      </c>
      <c r="Z116" s="18">
        <f t="shared" si="243"/>
        <v>0</v>
      </c>
      <c r="AA116" s="18">
        <f t="shared" si="244"/>
        <v>0</v>
      </c>
      <c r="AB116" s="42">
        <f t="shared" si="244"/>
        <v>0</v>
      </c>
      <c r="AC116" s="52">
        <f t="shared" si="244"/>
        <v>0</v>
      </c>
      <c r="AD116" s="207">
        <f t="shared" si="244"/>
        <v>0</v>
      </c>
      <c r="AE116" s="207">
        <f t="shared" si="244"/>
        <v>0</v>
      </c>
      <c r="AF116" s="207">
        <f t="shared" si="244"/>
        <v>0</v>
      </c>
      <c r="AG116" s="18">
        <f t="shared" si="244"/>
        <v>0</v>
      </c>
      <c r="AH116" s="51">
        <f t="shared" si="245"/>
        <v>0</v>
      </c>
      <c r="AI116" s="52">
        <f t="shared" si="245"/>
        <v>0</v>
      </c>
      <c r="AJ116" s="52">
        <f t="shared" si="245"/>
        <v>0</v>
      </c>
      <c r="AK116" s="52">
        <f t="shared" si="245"/>
        <v>0</v>
      </c>
      <c r="AL116" s="52">
        <f t="shared" si="245"/>
        <v>0</v>
      </c>
      <c r="AM116" s="18">
        <f t="shared" si="246"/>
        <v>0</v>
      </c>
      <c r="AN116" s="42">
        <f t="shared" si="247"/>
        <v>0</v>
      </c>
      <c r="AO116" s="207">
        <f t="shared" si="247"/>
        <v>0</v>
      </c>
      <c r="AP116" s="207">
        <f t="shared" si="247"/>
        <v>0</v>
      </c>
      <c r="AQ116" s="207">
        <f t="shared" si="247"/>
        <v>0</v>
      </c>
      <c r="AR116" s="207">
        <f t="shared" si="247"/>
        <v>0</v>
      </c>
      <c r="AS116" s="207">
        <f t="shared" si="248"/>
        <v>0</v>
      </c>
      <c r="AT116" s="207">
        <f t="shared" si="248"/>
        <v>0</v>
      </c>
      <c r="AU116" s="18">
        <f t="shared" si="248"/>
        <v>0</v>
      </c>
      <c r="AV116" s="42">
        <f t="shared" si="249"/>
        <v>0</v>
      </c>
      <c r="AW116" s="207">
        <f t="shared" si="249"/>
        <v>0</v>
      </c>
      <c r="AX116" s="207">
        <f t="shared" si="249"/>
        <v>0</v>
      </c>
      <c r="AY116" s="207">
        <f t="shared" si="249"/>
        <v>0</v>
      </c>
      <c r="AZ116" s="207">
        <f t="shared" si="249"/>
        <v>0</v>
      </c>
      <c r="BA116" s="207">
        <f t="shared" si="249"/>
        <v>0</v>
      </c>
      <c r="BB116" s="207">
        <f t="shared" si="249"/>
        <v>0</v>
      </c>
      <c r="BC116" s="18">
        <f t="shared" si="249"/>
        <v>0</v>
      </c>
      <c r="BD116" s="42">
        <f t="shared" si="250"/>
        <v>0</v>
      </c>
      <c r="BE116" s="207">
        <f t="shared" si="250"/>
        <v>0</v>
      </c>
      <c r="BF116" s="207">
        <f t="shared" si="250"/>
        <v>0</v>
      </c>
      <c r="BG116" s="207">
        <f t="shared" si="250"/>
        <v>0</v>
      </c>
      <c r="BH116" s="207">
        <f t="shared" si="250"/>
        <v>0</v>
      </c>
      <c r="BI116" s="207">
        <f t="shared" si="251"/>
        <v>0</v>
      </c>
      <c r="BJ116" s="207">
        <f t="shared" si="251"/>
        <v>0</v>
      </c>
      <c r="BK116" s="18">
        <f t="shared" si="251"/>
        <v>0</v>
      </c>
      <c r="BL116" s="20">
        <f t="shared" si="264"/>
        <v>0</v>
      </c>
      <c r="BM116" s="207">
        <f t="shared" si="264"/>
        <v>0</v>
      </c>
      <c r="BN116" s="207">
        <f t="shared" si="264"/>
        <v>0</v>
      </c>
      <c r="BO116" s="207">
        <f t="shared" si="264"/>
        <v>0</v>
      </c>
      <c r="BP116" s="207">
        <f t="shared" si="264"/>
        <v>0</v>
      </c>
      <c r="BQ116" s="207">
        <f t="shared" si="252"/>
        <v>0</v>
      </c>
      <c r="BR116" s="207">
        <f t="shared" si="252"/>
        <v>0</v>
      </c>
      <c r="BS116" s="18">
        <f t="shared" si="252"/>
        <v>0</v>
      </c>
      <c r="BT116" s="224">
        <f t="shared" si="269"/>
        <v>0</v>
      </c>
      <c r="BU116" s="207">
        <f t="shared" si="269"/>
        <v>0</v>
      </c>
      <c r="BV116" s="207">
        <f t="shared" si="269"/>
        <v>0</v>
      </c>
      <c r="BW116" s="207">
        <f t="shared" si="269"/>
        <v>0</v>
      </c>
      <c r="BX116" s="207">
        <f t="shared" si="269"/>
        <v>0</v>
      </c>
      <c r="BY116" s="207">
        <f t="shared" si="253"/>
        <v>0</v>
      </c>
      <c r="BZ116" s="207">
        <f t="shared" si="253"/>
        <v>0</v>
      </c>
      <c r="CA116" s="18">
        <f t="shared" si="253"/>
        <v>0</v>
      </c>
      <c r="CB116" s="224">
        <f t="shared" si="254"/>
        <v>0</v>
      </c>
      <c r="CC116" s="250">
        <f t="shared" si="254"/>
        <v>0</v>
      </c>
      <c r="CD116" s="250">
        <f t="shared" si="254"/>
        <v>0</v>
      </c>
      <c r="CE116" s="250">
        <f t="shared" si="254"/>
        <v>0</v>
      </c>
      <c r="CF116" s="250">
        <f t="shared" si="254"/>
        <v>0</v>
      </c>
      <c r="CG116" s="207">
        <f t="shared" si="255"/>
        <v>0</v>
      </c>
      <c r="CH116" s="207">
        <f t="shared" si="255"/>
        <v>0</v>
      </c>
      <c r="CI116" s="18">
        <f t="shared" si="255"/>
        <v>0</v>
      </c>
      <c r="CJ116" s="224">
        <f t="shared" si="265"/>
        <v>0</v>
      </c>
      <c r="CK116" s="207">
        <f t="shared" si="265"/>
        <v>0</v>
      </c>
      <c r="CL116" s="207">
        <f t="shared" si="265"/>
        <v>0</v>
      </c>
      <c r="CM116" s="207">
        <f t="shared" si="265"/>
        <v>0</v>
      </c>
      <c r="CN116" s="207">
        <f t="shared" si="265"/>
        <v>0</v>
      </c>
      <c r="CO116" s="207">
        <f t="shared" si="256"/>
        <v>0</v>
      </c>
      <c r="CP116" s="207">
        <f t="shared" si="256"/>
        <v>0</v>
      </c>
      <c r="CQ116" s="18">
        <f t="shared" si="256"/>
        <v>0</v>
      </c>
      <c r="CR116" s="42">
        <f t="shared" si="266"/>
        <v>0</v>
      </c>
      <c r="CS116" s="207">
        <f t="shared" si="266"/>
        <v>0</v>
      </c>
      <c r="CT116" s="207">
        <f t="shared" si="266"/>
        <v>0</v>
      </c>
      <c r="CU116" s="207">
        <f t="shared" si="266"/>
        <v>0</v>
      </c>
      <c r="CV116" s="207">
        <f t="shared" si="266"/>
        <v>0</v>
      </c>
      <c r="CW116" s="207">
        <f t="shared" si="257"/>
        <v>0</v>
      </c>
      <c r="CX116" s="207">
        <f t="shared" si="257"/>
        <v>0</v>
      </c>
      <c r="CY116" s="207">
        <f t="shared" si="257"/>
        <v>0</v>
      </c>
    </row>
    <row r="117" spans="1:103" s="199" customFormat="1" ht="26.25" hidden="1" customHeight="1" outlineLevel="1" x14ac:dyDescent="0.4">
      <c r="A117" s="379">
        <v>56</v>
      </c>
      <c r="B117" s="379" t="s">
        <v>45</v>
      </c>
      <c r="C117" s="379" t="s">
        <v>346</v>
      </c>
      <c r="D117" s="381"/>
      <c r="E117" s="381"/>
      <c r="F117" s="381"/>
      <c r="G117" s="416"/>
      <c r="H117" s="489">
        <f t="shared" ref="H117" si="270">SUM(BT117:CA117)</f>
        <v>0</v>
      </c>
      <c r="I117" s="489">
        <f t="shared" ref="I117" si="271">SUM(BT118:CA118)</f>
        <v>0</v>
      </c>
      <c r="J117" s="497"/>
      <c r="K117" s="491"/>
      <c r="L117" s="491"/>
      <c r="M117" s="493"/>
      <c r="N117" s="48" t="s">
        <v>24</v>
      </c>
      <c r="O117" s="187">
        <f t="shared" si="242"/>
        <v>0</v>
      </c>
      <c r="P117" s="187">
        <f t="shared" si="242"/>
        <v>0</v>
      </c>
      <c r="Q117" s="187">
        <f t="shared" si="242"/>
        <v>0</v>
      </c>
      <c r="R117" s="187">
        <f t="shared" si="242"/>
        <v>0</v>
      </c>
      <c r="S117" s="187">
        <f t="shared" si="242"/>
        <v>0</v>
      </c>
      <c r="T117" s="187">
        <f t="shared" si="242"/>
        <v>0</v>
      </c>
      <c r="U117" s="82">
        <f t="shared" si="242"/>
        <v>0</v>
      </c>
      <c r="V117" s="19">
        <f t="shared" si="243"/>
        <v>0</v>
      </c>
      <c r="W117" s="187">
        <f t="shared" si="243"/>
        <v>0</v>
      </c>
      <c r="X117" s="187">
        <f t="shared" si="243"/>
        <v>0</v>
      </c>
      <c r="Y117" s="187">
        <f t="shared" si="243"/>
        <v>0</v>
      </c>
      <c r="Z117" s="187">
        <f t="shared" si="243"/>
        <v>0</v>
      </c>
      <c r="AA117" s="187">
        <f t="shared" si="244"/>
        <v>0</v>
      </c>
      <c r="AB117" s="19">
        <f t="shared" si="244"/>
        <v>0</v>
      </c>
      <c r="AC117" s="187">
        <f t="shared" si="244"/>
        <v>0</v>
      </c>
      <c r="AD117" s="249">
        <f t="shared" si="244"/>
        <v>0</v>
      </c>
      <c r="AE117" s="187">
        <f t="shared" si="244"/>
        <v>0</v>
      </c>
      <c r="AF117" s="187">
        <f t="shared" si="244"/>
        <v>0</v>
      </c>
      <c r="AG117" s="187">
        <f t="shared" si="244"/>
        <v>0</v>
      </c>
      <c r="AH117" s="19">
        <f t="shared" si="245"/>
        <v>0</v>
      </c>
      <c r="AI117" s="187">
        <f t="shared" si="245"/>
        <v>0</v>
      </c>
      <c r="AJ117" s="187">
        <f t="shared" si="245"/>
        <v>0</v>
      </c>
      <c r="AK117" s="187">
        <f t="shared" si="245"/>
        <v>0</v>
      </c>
      <c r="AL117" s="187">
        <f t="shared" si="245"/>
        <v>0</v>
      </c>
      <c r="AM117" s="187">
        <f t="shared" si="246"/>
        <v>0</v>
      </c>
      <c r="AN117" s="19">
        <f t="shared" si="247"/>
        <v>0</v>
      </c>
      <c r="AO117" s="187">
        <f t="shared" si="247"/>
        <v>0</v>
      </c>
      <c r="AP117" s="187">
        <f t="shared" si="247"/>
        <v>0</v>
      </c>
      <c r="AQ117" s="187">
        <f t="shared" si="247"/>
        <v>0</v>
      </c>
      <c r="AR117" s="187">
        <f t="shared" si="247"/>
        <v>0</v>
      </c>
      <c r="AS117" s="187">
        <f t="shared" si="248"/>
        <v>0</v>
      </c>
      <c r="AT117" s="187">
        <f t="shared" si="248"/>
        <v>0</v>
      </c>
      <c r="AU117" s="187">
        <f t="shared" si="248"/>
        <v>0</v>
      </c>
      <c r="AV117" s="73">
        <f t="shared" si="249"/>
        <v>0</v>
      </c>
      <c r="AW117" s="187">
        <f t="shared" si="249"/>
        <v>0</v>
      </c>
      <c r="AX117" s="187">
        <f t="shared" si="249"/>
        <v>0</v>
      </c>
      <c r="AY117" s="187">
        <f t="shared" si="249"/>
        <v>0</v>
      </c>
      <c r="AZ117" s="187">
        <f t="shared" si="249"/>
        <v>0</v>
      </c>
      <c r="BA117" s="187">
        <f t="shared" si="249"/>
        <v>0</v>
      </c>
      <c r="BB117" s="187">
        <f t="shared" si="249"/>
        <v>0</v>
      </c>
      <c r="BC117" s="187">
        <f t="shared" si="249"/>
        <v>0</v>
      </c>
      <c r="BD117" s="19">
        <f t="shared" si="250"/>
        <v>0</v>
      </c>
      <c r="BE117" s="187">
        <f t="shared" si="250"/>
        <v>0</v>
      </c>
      <c r="BF117" s="187">
        <f t="shared" si="250"/>
        <v>0</v>
      </c>
      <c r="BG117" s="187">
        <f t="shared" si="250"/>
        <v>0</v>
      </c>
      <c r="BH117" s="187">
        <f t="shared" si="250"/>
        <v>0</v>
      </c>
      <c r="BI117" s="187">
        <f t="shared" si="251"/>
        <v>0</v>
      </c>
      <c r="BJ117" s="187">
        <f t="shared" si="251"/>
        <v>0</v>
      </c>
      <c r="BK117" s="187">
        <f t="shared" si="251"/>
        <v>0</v>
      </c>
      <c r="BL117" s="223">
        <f t="shared" si="264"/>
        <v>0</v>
      </c>
      <c r="BM117" s="249">
        <f t="shared" si="264"/>
        <v>0</v>
      </c>
      <c r="BN117" s="249">
        <f t="shared" si="264"/>
        <v>0</v>
      </c>
      <c r="BO117" s="249">
        <f t="shared" si="264"/>
        <v>0</v>
      </c>
      <c r="BP117" s="249">
        <f t="shared" si="264"/>
        <v>0</v>
      </c>
      <c r="BQ117" s="187">
        <f t="shared" si="252"/>
        <v>0</v>
      </c>
      <c r="BR117" s="187">
        <f t="shared" si="252"/>
        <v>0</v>
      </c>
      <c r="BS117" s="187">
        <f t="shared" si="252"/>
        <v>0</v>
      </c>
      <c r="BT117" s="73">
        <f t="shared" si="269"/>
        <v>0</v>
      </c>
      <c r="BU117" s="187">
        <f t="shared" si="269"/>
        <v>0</v>
      </c>
      <c r="BV117" s="187">
        <f t="shared" si="269"/>
        <v>0</v>
      </c>
      <c r="BW117" s="187">
        <f t="shared" si="269"/>
        <v>0</v>
      </c>
      <c r="BX117" s="187">
        <f t="shared" si="269"/>
        <v>0</v>
      </c>
      <c r="BY117" s="187">
        <f t="shared" si="253"/>
        <v>0</v>
      </c>
      <c r="BZ117" s="187">
        <f t="shared" si="253"/>
        <v>0</v>
      </c>
      <c r="CA117" s="187">
        <f t="shared" si="253"/>
        <v>0</v>
      </c>
      <c r="CB117" s="73">
        <f t="shared" si="254"/>
        <v>0</v>
      </c>
      <c r="CC117" s="187">
        <f t="shared" si="254"/>
        <v>0</v>
      </c>
      <c r="CD117" s="187">
        <f t="shared" si="254"/>
        <v>0</v>
      </c>
      <c r="CE117" s="187">
        <f t="shared" si="254"/>
        <v>0</v>
      </c>
      <c r="CF117" s="187">
        <f t="shared" si="254"/>
        <v>0</v>
      </c>
      <c r="CG117" s="187">
        <f t="shared" si="255"/>
        <v>0</v>
      </c>
      <c r="CH117" s="187">
        <f t="shared" si="255"/>
        <v>0</v>
      </c>
      <c r="CI117" s="187">
        <f t="shared" si="255"/>
        <v>0</v>
      </c>
      <c r="CJ117" s="73">
        <f t="shared" si="265"/>
        <v>0</v>
      </c>
      <c r="CK117" s="187">
        <f t="shared" si="265"/>
        <v>0</v>
      </c>
      <c r="CL117" s="187">
        <f t="shared" si="265"/>
        <v>0</v>
      </c>
      <c r="CM117" s="187">
        <f t="shared" si="265"/>
        <v>0</v>
      </c>
      <c r="CN117" s="187">
        <f t="shared" si="265"/>
        <v>0</v>
      </c>
      <c r="CO117" s="187">
        <f t="shared" si="256"/>
        <v>0</v>
      </c>
      <c r="CP117" s="187">
        <f t="shared" si="256"/>
        <v>0</v>
      </c>
      <c r="CQ117" s="187">
        <f t="shared" si="256"/>
        <v>0</v>
      </c>
      <c r="CR117" s="73">
        <f t="shared" si="266"/>
        <v>0</v>
      </c>
      <c r="CS117" s="187">
        <f t="shared" si="266"/>
        <v>0</v>
      </c>
      <c r="CT117" s="187">
        <f t="shared" si="266"/>
        <v>0</v>
      </c>
      <c r="CU117" s="187">
        <f t="shared" si="266"/>
        <v>0</v>
      </c>
      <c r="CV117" s="187">
        <f t="shared" si="266"/>
        <v>0</v>
      </c>
      <c r="CW117" s="187">
        <f t="shared" si="257"/>
        <v>0</v>
      </c>
      <c r="CX117" s="187">
        <f t="shared" si="257"/>
        <v>0</v>
      </c>
      <c r="CY117" s="187">
        <f t="shared" si="257"/>
        <v>0</v>
      </c>
    </row>
    <row r="118" spans="1:103" s="199" customFormat="1" ht="26.25" hidden="1" customHeight="1" outlineLevel="1" x14ac:dyDescent="0.4">
      <c r="A118" s="380"/>
      <c r="B118" s="380"/>
      <c r="C118" s="380"/>
      <c r="D118" s="382"/>
      <c r="E118" s="382"/>
      <c r="F118" s="382"/>
      <c r="G118" s="416"/>
      <c r="H118" s="490"/>
      <c r="I118" s="490"/>
      <c r="J118" s="498"/>
      <c r="K118" s="492"/>
      <c r="L118" s="492"/>
      <c r="M118" s="494"/>
      <c r="N118" s="39" t="s">
        <v>25</v>
      </c>
      <c r="O118" s="207">
        <f t="shared" si="242"/>
        <v>0</v>
      </c>
      <c r="P118" s="207">
        <f t="shared" si="242"/>
        <v>0</v>
      </c>
      <c r="Q118" s="207">
        <f t="shared" si="242"/>
        <v>0</v>
      </c>
      <c r="R118" s="207">
        <f t="shared" si="242"/>
        <v>0</v>
      </c>
      <c r="S118" s="207">
        <f t="shared" si="242"/>
        <v>0</v>
      </c>
      <c r="T118" s="207">
        <f t="shared" si="242"/>
        <v>0</v>
      </c>
      <c r="U118" s="49">
        <f t="shared" si="242"/>
        <v>0</v>
      </c>
      <c r="V118" s="57">
        <f t="shared" si="243"/>
        <v>0</v>
      </c>
      <c r="W118" s="18">
        <f t="shared" si="243"/>
        <v>0</v>
      </c>
      <c r="X118" s="18">
        <f t="shared" si="243"/>
        <v>0</v>
      </c>
      <c r="Y118" s="18">
        <f t="shared" si="243"/>
        <v>0</v>
      </c>
      <c r="Z118" s="18">
        <f t="shared" si="243"/>
        <v>0</v>
      </c>
      <c r="AA118" s="18">
        <f t="shared" si="244"/>
        <v>0</v>
      </c>
      <c r="AB118" s="42">
        <f t="shared" si="244"/>
        <v>0</v>
      </c>
      <c r="AC118" s="52">
        <f t="shared" si="244"/>
        <v>0</v>
      </c>
      <c r="AD118" s="207">
        <f t="shared" si="244"/>
        <v>0</v>
      </c>
      <c r="AE118" s="207">
        <f t="shared" si="244"/>
        <v>0</v>
      </c>
      <c r="AF118" s="207">
        <f t="shared" si="244"/>
        <v>0</v>
      </c>
      <c r="AG118" s="18">
        <f t="shared" si="244"/>
        <v>0</v>
      </c>
      <c r="AH118" s="51">
        <f t="shared" si="245"/>
        <v>0</v>
      </c>
      <c r="AI118" s="52">
        <f t="shared" si="245"/>
        <v>0</v>
      </c>
      <c r="AJ118" s="52">
        <f t="shared" si="245"/>
        <v>0</v>
      </c>
      <c r="AK118" s="52">
        <f t="shared" si="245"/>
        <v>0</v>
      </c>
      <c r="AL118" s="52">
        <f t="shared" si="245"/>
        <v>0</v>
      </c>
      <c r="AM118" s="18">
        <f t="shared" si="246"/>
        <v>0</v>
      </c>
      <c r="AN118" s="42">
        <f t="shared" si="247"/>
        <v>0</v>
      </c>
      <c r="AO118" s="207">
        <f t="shared" si="247"/>
        <v>0</v>
      </c>
      <c r="AP118" s="207">
        <f t="shared" si="247"/>
        <v>0</v>
      </c>
      <c r="AQ118" s="207">
        <f t="shared" si="247"/>
        <v>0</v>
      </c>
      <c r="AR118" s="207">
        <f t="shared" si="247"/>
        <v>0</v>
      </c>
      <c r="AS118" s="207">
        <f t="shared" si="248"/>
        <v>0</v>
      </c>
      <c r="AT118" s="207">
        <f t="shared" si="248"/>
        <v>0</v>
      </c>
      <c r="AU118" s="18">
        <f t="shared" si="248"/>
        <v>0</v>
      </c>
      <c r="AV118" s="42">
        <f t="shared" si="249"/>
        <v>0</v>
      </c>
      <c r="AW118" s="207">
        <f t="shared" si="249"/>
        <v>0</v>
      </c>
      <c r="AX118" s="207">
        <f t="shared" si="249"/>
        <v>0</v>
      </c>
      <c r="AY118" s="207">
        <f t="shared" si="249"/>
        <v>0</v>
      </c>
      <c r="AZ118" s="207">
        <f t="shared" si="249"/>
        <v>0</v>
      </c>
      <c r="BA118" s="207">
        <f t="shared" si="249"/>
        <v>0</v>
      </c>
      <c r="BB118" s="207">
        <f t="shared" si="249"/>
        <v>0</v>
      </c>
      <c r="BC118" s="18">
        <f t="shared" si="249"/>
        <v>0</v>
      </c>
      <c r="BD118" s="42">
        <f t="shared" si="250"/>
        <v>0</v>
      </c>
      <c r="BE118" s="207">
        <f t="shared" si="250"/>
        <v>0</v>
      </c>
      <c r="BF118" s="207">
        <f t="shared" si="250"/>
        <v>0</v>
      </c>
      <c r="BG118" s="207">
        <f t="shared" si="250"/>
        <v>0</v>
      </c>
      <c r="BH118" s="207">
        <f t="shared" si="250"/>
        <v>0</v>
      </c>
      <c r="BI118" s="207">
        <f t="shared" si="251"/>
        <v>0</v>
      </c>
      <c r="BJ118" s="207">
        <f t="shared" si="251"/>
        <v>0</v>
      </c>
      <c r="BK118" s="18">
        <f t="shared" si="251"/>
        <v>0</v>
      </c>
      <c r="BL118" s="20">
        <f t="shared" si="264"/>
        <v>0</v>
      </c>
      <c r="BM118" s="207">
        <f t="shared" si="264"/>
        <v>0</v>
      </c>
      <c r="BN118" s="207">
        <f t="shared" si="264"/>
        <v>0</v>
      </c>
      <c r="BO118" s="207">
        <f t="shared" si="264"/>
        <v>0</v>
      </c>
      <c r="BP118" s="207">
        <f t="shared" si="264"/>
        <v>0</v>
      </c>
      <c r="BQ118" s="207">
        <f t="shared" si="252"/>
        <v>0</v>
      </c>
      <c r="BR118" s="207">
        <f t="shared" si="252"/>
        <v>0</v>
      </c>
      <c r="BS118" s="18">
        <f t="shared" si="252"/>
        <v>0</v>
      </c>
      <c r="BT118" s="224">
        <f t="shared" si="269"/>
        <v>0</v>
      </c>
      <c r="BU118" s="207">
        <f t="shared" si="269"/>
        <v>0</v>
      </c>
      <c r="BV118" s="207">
        <f t="shared" si="269"/>
        <v>0</v>
      </c>
      <c r="BW118" s="207">
        <f t="shared" si="269"/>
        <v>0</v>
      </c>
      <c r="BX118" s="207">
        <f t="shared" si="269"/>
        <v>0</v>
      </c>
      <c r="BY118" s="207">
        <f t="shared" si="253"/>
        <v>0</v>
      </c>
      <c r="BZ118" s="207">
        <f t="shared" si="253"/>
        <v>0</v>
      </c>
      <c r="CA118" s="18">
        <f t="shared" si="253"/>
        <v>0</v>
      </c>
      <c r="CB118" s="224">
        <f t="shared" si="254"/>
        <v>0</v>
      </c>
      <c r="CC118" s="250">
        <f t="shared" si="254"/>
        <v>0</v>
      </c>
      <c r="CD118" s="250">
        <f t="shared" si="254"/>
        <v>0</v>
      </c>
      <c r="CE118" s="250">
        <f t="shared" si="254"/>
        <v>0</v>
      </c>
      <c r="CF118" s="250">
        <f t="shared" si="254"/>
        <v>0</v>
      </c>
      <c r="CG118" s="207">
        <f t="shared" si="255"/>
        <v>0</v>
      </c>
      <c r="CH118" s="207">
        <f t="shared" si="255"/>
        <v>0</v>
      </c>
      <c r="CI118" s="18">
        <f t="shared" si="255"/>
        <v>0</v>
      </c>
      <c r="CJ118" s="224">
        <f t="shared" si="265"/>
        <v>0</v>
      </c>
      <c r="CK118" s="207">
        <f t="shared" si="265"/>
        <v>0</v>
      </c>
      <c r="CL118" s="207">
        <f t="shared" si="265"/>
        <v>0</v>
      </c>
      <c r="CM118" s="207">
        <f t="shared" si="265"/>
        <v>0</v>
      </c>
      <c r="CN118" s="207">
        <f t="shared" si="265"/>
        <v>0</v>
      </c>
      <c r="CO118" s="207">
        <f t="shared" si="256"/>
        <v>0</v>
      </c>
      <c r="CP118" s="207">
        <f t="shared" si="256"/>
        <v>0</v>
      </c>
      <c r="CQ118" s="18">
        <f t="shared" si="256"/>
        <v>0</v>
      </c>
      <c r="CR118" s="42">
        <f t="shared" si="266"/>
        <v>0</v>
      </c>
      <c r="CS118" s="207">
        <f t="shared" si="266"/>
        <v>0</v>
      </c>
      <c r="CT118" s="207">
        <f t="shared" si="266"/>
        <v>0</v>
      </c>
      <c r="CU118" s="207">
        <f t="shared" si="266"/>
        <v>0</v>
      </c>
      <c r="CV118" s="207">
        <f t="shared" si="266"/>
        <v>0</v>
      </c>
      <c r="CW118" s="207">
        <f t="shared" si="257"/>
        <v>0</v>
      </c>
      <c r="CX118" s="207">
        <f t="shared" si="257"/>
        <v>0</v>
      </c>
      <c r="CY118" s="207">
        <f t="shared" si="257"/>
        <v>0</v>
      </c>
    </row>
    <row r="119" spans="1:103" s="199" customFormat="1" ht="26.25" hidden="1" customHeight="1" outlineLevel="1" x14ac:dyDescent="0.4">
      <c r="A119" s="379">
        <v>57</v>
      </c>
      <c r="B119" s="379" t="s">
        <v>45</v>
      </c>
      <c r="C119" s="379" t="s">
        <v>346</v>
      </c>
      <c r="D119" s="381"/>
      <c r="E119" s="381"/>
      <c r="F119" s="381"/>
      <c r="G119" s="416"/>
      <c r="H119" s="489">
        <f t="shared" ref="H119" si="272">SUM(BT119:CA119)</f>
        <v>0</v>
      </c>
      <c r="I119" s="489">
        <f t="shared" ref="I119" si="273">SUM(BT120:CA120)</f>
        <v>0</v>
      </c>
      <c r="J119" s="497"/>
      <c r="K119" s="491"/>
      <c r="L119" s="491"/>
      <c r="M119" s="493"/>
      <c r="N119" s="48" t="s">
        <v>24</v>
      </c>
      <c r="O119" s="187">
        <f t="shared" si="242"/>
        <v>0</v>
      </c>
      <c r="P119" s="187">
        <f t="shared" si="242"/>
        <v>0</v>
      </c>
      <c r="Q119" s="187">
        <f t="shared" si="242"/>
        <v>0</v>
      </c>
      <c r="R119" s="187">
        <f t="shared" si="242"/>
        <v>0</v>
      </c>
      <c r="S119" s="187">
        <f t="shared" si="242"/>
        <v>0</v>
      </c>
      <c r="T119" s="187">
        <f t="shared" si="242"/>
        <v>0</v>
      </c>
      <c r="U119" s="82">
        <f t="shared" si="242"/>
        <v>0</v>
      </c>
      <c r="V119" s="19">
        <f t="shared" si="243"/>
        <v>0</v>
      </c>
      <c r="W119" s="187">
        <f t="shared" si="243"/>
        <v>0</v>
      </c>
      <c r="X119" s="187">
        <f t="shared" si="243"/>
        <v>0</v>
      </c>
      <c r="Y119" s="187">
        <f t="shared" si="243"/>
        <v>0</v>
      </c>
      <c r="Z119" s="187">
        <f t="shared" si="243"/>
        <v>0</v>
      </c>
      <c r="AA119" s="187">
        <f t="shared" si="244"/>
        <v>0</v>
      </c>
      <c r="AB119" s="19">
        <f t="shared" si="244"/>
        <v>0</v>
      </c>
      <c r="AC119" s="187">
        <f t="shared" si="244"/>
        <v>0</v>
      </c>
      <c r="AD119" s="249">
        <f t="shared" si="244"/>
        <v>0</v>
      </c>
      <c r="AE119" s="187">
        <f t="shared" si="244"/>
        <v>0</v>
      </c>
      <c r="AF119" s="187">
        <f t="shared" si="244"/>
        <v>0</v>
      </c>
      <c r="AG119" s="187">
        <f t="shared" si="244"/>
        <v>0</v>
      </c>
      <c r="AH119" s="19">
        <f t="shared" si="245"/>
        <v>0</v>
      </c>
      <c r="AI119" s="187">
        <f t="shared" si="245"/>
        <v>0</v>
      </c>
      <c r="AJ119" s="187">
        <f t="shared" si="245"/>
        <v>0</v>
      </c>
      <c r="AK119" s="187">
        <f t="shared" si="245"/>
        <v>0</v>
      </c>
      <c r="AL119" s="187">
        <f t="shared" si="245"/>
        <v>0</v>
      </c>
      <c r="AM119" s="187">
        <f t="shared" si="246"/>
        <v>0</v>
      </c>
      <c r="AN119" s="19">
        <f t="shared" si="247"/>
        <v>0</v>
      </c>
      <c r="AO119" s="187">
        <f t="shared" si="247"/>
        <v>0</v>
      </c>
      <c r="AP119" s="187">
        <f t="shared" si="247"/>
        <v>0</v>
      </c>
      <c r="AQ119" s="187">
        <f t="shared" si="247"/>
        <v>0</v>
      </c>
      <c r="AR119" s="187">
        <f t="shared" si="247"/>
        <v>0</v>
      </c>
      <c r="AS119" s="187">
        <f t="shared" si="248"/>
        <v>0</v>
      </c>
      <c r="AT119" s="187">
        <f t="shared" si="248"/>
        <v>0</v>
      </c>
      <c r="AU119" s="187">
        <f t="shared" si="248"/>
        <v>0</v>
      </c>
      <c r="AV119" s="73">
        <f t="shared" si="249"/>
        <v>0</v>
      </c>
      <c r="AW119" s="187">
        <f t="shared" si="249"/>
        <v>0</v>
      </c>
      <c r="AX119" s="187">
        <f t="shared" si="249"/>
        <v>0</v>
      </c>
      <c r="AY119" s="187">
        <f t="shared" si="249"/>
        <v>0</v>
      </c>
      <c r="AZ119" s="187">
        <f t="shared" si="249"/>
        <v>0</v>
      </c>
      <c r="BA119" s="187">
        <f t="shared" si="249"/>
        <v>0</v>
      </c>
      <c r="BB119" s="187">
        <f t="shared" si="249"/>
        <v>0</v>
      </c>
      <c r="BC119" s="187">
        <f t="shared" si="249"/>
        <v>0</v>
      </c>
      <c r="BD119" s="19">
        <f t="shared" si="250"/>
        <v>0</v>
      </c>
      <c r="BE119" s="187">
        <f t="shared" si="250"/>
        <v>0</v>
      </c>
      <c r="BF119" s="187">
        <f t="shared" si="250"/>
        <v>0</v>
      </c>
      <c r="BG119" s="187">
        <f t="shared" si="250"/>
        <v>0</v>
      </c>
      <c r="BH119" s="187">
        <f t="shared" si="250"/>
        <v>0</v>
      </c>
      <c r="BI119" s="187">
        <f t="shared" si="251"/>
        <v>0</v>
      </c>
      <c r="BJ119" s="187">
        <f t="shared" si="251"/>
        <v>0</v>
      </c>
      <c r="BK119" s="187">
        <f t="shared" si="251"/>
        <v>0</v>
      </c>
      <c r="BL119" s="223">
        <f t="shared" si="264"/>
        <v>0</v>
      </c>
      <c r="BM119" s="249">
        <f t="shared" si="264"/>
        <v>0</v>
      </c>
      <c r="BN119" s="249">
        <f t="shared" si="264"/>
        <v>0</v>
      </c>
      <c r="BO119" s="249">
        <f t="shared" si="264"/>
        <v>0</v>
      </c>
      <c r="BP119" s="249">
        <f t="shared" si="264"/>
        <v>0</v>
      </c>
      <c r="BQ119" s="187">
        <f t="shared" si="252"/>
        <v>0</v>
      </c>
      <c r="BR119" s="187">
        <f t="shared" si="252"/>
        <v>0</v>
      </c>
      <c r="BS119" s="187">
        <f t="shared" si="252"/>
        <v>0</v>
      </c>
      <c r="BT119" s="73">
        <f t="shared" si="269"/>
        <v>0</v>
      </c>
      <c r="BU119" s="187">
        <f t="shared" si="269"/>
        <v>0</v>
      </c>
      <c r="BV119" s="187">
        <f t="shared" si="269"/>
        <v>0</v>
      </c>
      <c r="BW119" s="187">
        <f t="shared" si="269"/>
        <v>0</v>
      </c>
      <c r="BX119" s="187">
        <f t="shared" si="269"/>
        <v>0</v>
      </c>
      <c r="BY119" s="187">
        <f t="shared" si="253"/>
        <v>0</v>
      </c>
      <c r="BZ119" s="187">
        <f t="shared" si="253"/>
        <v>0</v>
      </c>
      <c r="CA119" s="187">
        <f t="shared" si="253"/>
        <v>0</v>
      </c>
      <c r="CB119" s="73">
        <f t="shared" si="254"/>
        <v>0</v>
      </c>
      <c r="CC119" s="187">
        <f t="shared" si="254"/>
        <v>0</v>
      </c>
      <c r="CD119" s="187">
        <f t="shared" si="254"/>
        <v>0</v>
      </c>
      <c r="CE119" s="187">
        <f t="shared" si="254"/>
        <v>0</v>
      </c>
      <c r="CF119" s="187">
        <f t="shared" si="254"/>
        <v>0</v>
      </c>
      <c r="CG119" s="187">
        <f t="shared" si="255"/>
        <v>0</v>
      </c>
      <c r="CH119" s="187">
        <f t="shared" si="255"/>
        <v>0</v>
      </c>
      <c r="CI119" s="187">
        <f t="shared" si="255"/>
        <v>0</v>
      </c>
      <c r="CJ119" s="73">
        <f t="shared" si="265"/>
        <v>0</v>
      </c>
      <c r="CK119" s="187">
        <f t="shared" si="265"/>
        <v>0</v>
      </c>
      <c r="CL119" s="187">
        <f t="shared" si="265"/>
        <v>0</v>
      </c>
      <c r="CM119" s="187">
        <f t="shared" si="265"/>
        <v>0</v>
      </c>
      <c r="CN119" s="187">
        <f t="shared" si="265"/>
        <v>0</v>
      </c>
      <c r="CO119" s="187">
        <f t="shared" si="256"/>
        <v>0</v>
      </c>
      <c r="CP119" s="187">
        <f t="shared" si="256"/>
        <v>0</v>
      </c>
      <c r="CQ119" s="187">
        <f t="shared" si="256"/>
        <v>0</v>
      </c>
      <c r="CR119" s="73">
        <f t="shared" si="266"/>
        <v>0</v>
      </c>
      <c r="CS119" s="187">
        <f t="shared" si="266"/>
        <v>0</v>
      </c>
      <c r="CT119" s="187">
        <f t="shared" si="266"/>
        <v>0</v>
      </c>
      <c r="CU119" s="187">
        <f t="shared" si="266"/>
        <v>0</v>
      </c>
      <c r="CV119" s="187">
        <f t="shared" si="266"/>
        <v>0</v>
      </c>
      <c r="CW119" s="187">
        <f t="shared" si="257"/>
        <v>0</v>
      </c>
      <c r="CX119" s="187">
        <f t="shared" si="257"/>
        <v>0</v>
      </c>
      <c r="CY119" s="187">
        <f t="shared" si="257"/>
        <v>0</v>
      </c>
    </row>
    <row r="120" spans="1:103" s="199" customFormat="1" ht="26.25" hidden="1" customHeight="1" outlineLevel="1" x14ac:dyDescent="0.4">
      <c r="A120" s="380"/>
      <c r="B120" s="380"/>
      <c r="C120" s="380"/>
      <c r="D120" s="382"/>
      <c r="E120" s="382"/>
      <c r="F120" s="382"/>
      <c r="G120" s="416"/>
      <c r="H120" s="490"/>
      <c r="I120" s="490"/>
      <c r="J120" s="498"/>
      <c r="K120" s="492"/>
      <c r="L120" s="492"/>
      <c r="M120" s="494"/>
      <c r="N120" s="39" t="s">
        <v>25</v>
      </c>
      <c r="O120" s="207">
        <f t="shared" si="242"/>
        <v>0</v>
      </c>
      <c r="P120" s="207">
        <f t="shared" si="242"/>
        <v>0</v>
      </c>
      <c r="Q120" s="207">
        <f t="shared" si="242"/>
        <v>0</v>
      </c>
      <c r="R120" s="207">
        <f t="shared" si="242"/>
        <v>0</v>
      </c>
      <c r="S120" s="207">
        <f t="shared" si="242"/>
        <v>0</v>
      </c>
      <c r="T120" s="207">
        <f t="shared" si="242"/>
        <v>0</v>
      </c>
      <c r="U120" s="49">
        <f t="shared" si="242"/>
        <v>0</v>
      </c>
      <c r="V120" s="57">
        <f t="shared" si="243"/>
        <v>0</v>
      </c>
      <c r="W120" s="18">
        <f t="shared" si="243"/>
        <v>0</v>
      </c>
      <c r="X120" s="18">
        <f t="shared" si="243"/>
        <v>0</v>
      </c>
      <c r="Y120" s="18">
        <f t="shared" si="243"/>
        <v>0</v>
      </c>
      <c r="Z120" s="18">
        <f t="shared" si="243"/>
        <v>0</v>
      </c>
      <c r="AA120" s="18">
        <f t="shared" si="244"/>
        <v>0</v>
      </c>
      <c r="AB120" s="42">
        <f t="shared" si="244"/>
        <v>0</v>
      </c>
      <c r="AC120" s="52">
        <f t="shared" si="244"/>
        <v>0</v>
      </c>
      <c r="AD120" s="207">
        <f t="shared" si="244"/>
        <v>0</v>
      </c>
      <c r="AE120" s="207">
        <f t="shared" si="244"/>
        <v>0</v>
      </c>
      <c r="AF120" s="207">
        <f t="shared" si="244"/>
        <v>0</v>
      </c>
      <c r="AG120" s="18">
        <f t="shared" si="244"/>
        <v>0</v>
      </c>
      <c r="AH120" s="51">
        <f t="shared" si="245"/>
        <v>0</v>
      </c>
      <c r="AI120" s="52">
        <f t="shared" si="245"/>
        <v>0</v>
      </c>
      <c r="AJ120" s="52">
        <f t="shared" si="245"/>
        <v>0</v>
      </c>
      <c r="AK120" s="52">
        <f t="shared" si="245"/>
        <v>0</v>
      </c>
      <c r="AL120" s="52">
        <f t="shared" si="245"/>
        <v>0</v>
      </c>
      <c r="AM120" s="18">
        <f t="shared" si="246"/>
        <v>0</v>
      </c>
      <c r="AN120" s="42">
        <f t="shared" si="247"/>
        <v>0</v>
      </c>
      <c r="AO120" s="207">
        <f t="shared" si="247"/>
        <v>0</v>
      </c>
      <c r="AP120" s="207">
        <f t="shared" si="247"/>
        <v>0</v>
      </c>
      <c r="AQ120" s="207">
        <f t="shared" si="247"/>
        <v>0</v>
      </c>
      <c r="AR120" s="207">
        <f t="shared" si="247"/>
        <v>0</v>
      </c>
      <c r="AS120" s="207">
        <f t="shared" si="248"/>
        <v>0</v>
      </c>
      <c r="AT120" s="207">
        <f t="shared" si="248"/>
        <v>0</v>
      </c>
      <c r="AU120" s="18">
        <f t="shared" si="248"/>
        <v>0</v>
      </c>
      <c r="AV120" s="42">
        <f t="shared" si="249"/>
        <v>0</v>
      </c>
      <c r="AW120" s="207">
        <f t="shared" si="249"/>
        <v>0</v>
      </c>
      <c r="AX120" s="207">
        <f t="shared" si="249"/>
        <v>0</v>
      </c>
      <c r="AY120" s="207">
        <f t="shared" si="249"/>
        <v>0</v>
      </c>
      <c r="AZ120" s="207">
        <f t="shared" si="249"/>
        <v>0</v>
      </c>
      <c r="BA120" s="207">
        <f t="shared" si="249"/>
        <v>0</v>
      </c>
      <c r="BB120" s="207">
        <f t="shared" si="249"/>
        <v>0</v>
      </c>
      <c r="BC120" s="18">
        <f t="shared" si="249"/>
        <v>0</v>
      </c>
      <c r="BD120" s="42">
        <f t="shared" si="250"/>
        <v>0</v>
      </c>
      <c r="BE120" s="207">
        <f t="shared" si="250"/>
        <v>0</v>
      </c>
      <c r="BF120" s="207">
        <f t="shared" si="250"/>
        <v>0</v>
      </c>
      <c r="BG120" s="207">
        <f t="shared" si="250"/>
        <v>0</v>
      </c>
      <c r="BH120" s="207">
        <f t="shared" si="250"/>
        <v>0</v>
      </c>
      <c r="BI120" s="207">
        <f t="shared" si="251"/>
        <v>0</v>
      </c>
      <c r="BJ120" s="207">
        <f t="shared" si="251"/>
        <v>0</v>
      </c>
      <c r="BK120" s="18">
        <f t="shared" si="251"/>
        <v>0</v>
      </c>
      <c r="BL120" s="20">
        <f t="shared" si="264"/>
        <v>0</v>
      </c>
      <c r="BM120" s="207">
        <f t="shared" si="264"/>
        <v>0</v>
      </c>
      <c r="BN120" s="207">
        <f t="shared" si="264"/>
        <v>0</v>
      </c>
      <c r="BO120" s="207">
        <f t="shared" si="264"/>
        <v>0</v>
      </c>
      <c r="BP120" s="207">
        <f t="shared" si="264"/>
        <v>0</v>
      </c>
      <c r="BQ120" s="207">
        <f t="shared" si="252"/>
        <v>0</v>
      </c>
      <c r="BR120" s="207">
        <f t="shared" si="252"/>
        <v>0</v>
      </c>
      <c r="BS120" s="18">
        <f t="shared" si="252"/>
        <v>0</v>
      </c>
      <c r="BT120" s="224">
        <f t="shared" si="269"/>
        <v>0</v>
      </c>
      <c r="BU120" s="207">
        <f t="shared" si="269"/>
        <v>0</v>
      </c>
      <c r="BV120" s="207">
        <f t="shared" si="269"/>
        <v>0</v>
      </c>
      <c r="BW120" s="207">
        <f t="shared" si="269"/>
        <v>0</v>
      </c>
      <c r="BX120" s="207">
        <f t="shared" si="269"/>
        <v>0</v>
      </c>
      <c r="BY120" s="207">
        <f t="shared" si="253"/>
        <v>0</v>
      </c>
      <c r="BZ120" s="207">
        <f t="shared" si="253"/>
        <v>0</v>
      </c>
      <c r="CA120" s="18">
        <f t="shared" si="253"/>
        <v>0</v>
      </c>
      <c r="CB120" s="224">
        <f t="shared" si="254"/>
        <v>0</v>
      </c>
      <c r="CC120" s="250">
        <f t="shared" si="254"/>
        <v>0</v>
      </c>
      <c r="CD120" s="250">
        <f t="shared" si="254"/>
        <v>0</v>
      </c>
      <c r="CE120" s="250">
        <f t="shared" si="254"/>
        <v>0</v>
      </c>
      <c r="CF120" s="250">
        <f t="shared" si="254"/>
        <v>0</v>
      </c>
      <c r="CG120" s="207">
        <f t="shared" si="255"/>
        <v>0</v>
      </c>
      <c r="CH120" s="207">
        <f t="shared" si="255"/>
        <v>0</v>
      </c>
      <c r="CI120" s="18">
        <f t="shared" si="255"/>
        <v>0</v>
      </c>
      <c r="CJ120" s="224">
        <f t="shared" si="265"/>
        <v>0</v>
      </c>
      <c r="CK120" s="207">
        <f t="shared" si="265"/>
        <v>0</v>
      </c>
      <c r="CL120" s="207">
        <f t="shared" si="265"/>
        <v>0</v>
      </c>
      <c r="CM120" s="207">
        <f t="shared" si="265"/>
        <v>0</v>
      </c>
      <c r="CN120" s="207">
        <f t="shared" si="265"/>
        <v>0</v>
      </c>
      <c r="CO120" s="207">
        <f t="shared" si="256"/>
        <v>0</v>
      </c>
      <c r="CP120" s="207">
        <f t="shared" si="256"/>
        <v>0</v>
      </c>
      <c r="CQ120" s="18">
        <f t="shared" si="256"/>
        <v>0</v>
      </c>
      <c r="CR120" s="42">
        <f t="shared" si="266"/>
        <v>0</v>
      </c>
      <c r="CS120" s="207">
        <f t="shared" si="266"/>
        <v>0</v>
      </c>
      <c r="CT120" s="207">
        <f t="shared" si="266"/>
        <v>0</v>
      </c>
      <c r="CU120" s="207">
        <f t="shared" si="266"/>
        <v>0</v>
      </c>
      <c r="CV120" s="207">
        <f t="shared" si="266"/>
        <v>0</v>
      </c>
      <c r="CW120" s="207">
        <f t="shared" si="257"/>
        <v>0</v>
      </c>
      <c r="CX120" s="207">
        <f t="shared" si="257"/>
        <v>0</v>
      </c>
      <c r="CY120" s="207">
        <f t="shared" si="257"/>
        <v>0</v>
      </c>
    </row>
    <row r="121" spans="1:103" s="199" customFormat="1" ht="26.25" hidden="1" customHeight="1" outlineLevel="1" collapsed="1" x14ac:dyDescent="0.4">
      <c r="A121" s="379">
        <v>58</v>
      </c>
      <c r="B121" s="379" t="s">
        <v>45</v>
      </c>
      <c r="C121" s="379" t="s">
        <v>346</v>
      </c>
      <c r="D121" s="381"/>
      <c r="E121" s="381"/>
      <c r="F121" s="381"/>
      <c r="G121" s="416"/>
      <c r="H121" s="489">
        <f t="shared" ref="H121" si="274">SUM(BT121:CA121)</f>
        <v>0</v>
      </c>
      <c r="I121" s="489">
        <f t="shared" ref="I121" si="275">SUM(BT122:CA122)</f>
        <v>0</v>
      </c>
      <c r="J121" s="497"/>
      <c r="K121" s="491"/>
      <c r="L121" s="491"/>
      <c r="M121" s="493"/>
      <c r="N121" s="48" t="s">
        <v>24</v>
      </c>
      <c r="O121" s="187">
        <f t="shared" si="242"/>
        <v>0</v>
      </c>
      <c r="P121" s="187">
        <f t="shared" si="242"/>
        <v>0</v>
      </c>
      <c r="Q121" s="187">
        <f t="shared" si="242"/>
        <v>0</v>
      </c>
      <c r="R121" s="187">
        <f t="shared" si="242"/>
        <v>0</v>
      </c>
      <c r="S121" s="187">
        <f t="shared" si="242"/>
        <v>0</v>
      </c>
      <c r="T121" s="187">
        <f t="shared" si="242"/>
        <v>0</v>
      </c>
      <c r="U121" s="82">
        <f t="shared" si="242"/>
        <v>0</v>
      </c>
      <c r="V121" s="19">
        <f t="shared" si="243"/>
        <v>0</v>
      </c>
      <c r="W121" s="187">
        <f t="shared" si="243"/>
        <v>0</v>
      </c>
      <c r="X121" s="187">
        <f t="shared" si="243"/>
        <v>0</v>
      </c>
      <c r="Y121" s="187">
        <f t="shared" si="243"/>
        <v>0</v>
      </c>
      <c r="Z121" s="187">
        <f t="shared" si="243"/>
        <v>0</v>
      </c>
      <c r="AA121" s="187">
        <f t="shared" si="244"/>
        <v>0</v>
      </c>
      <c r="AB121" s="19">
        <f t="shared" si="244"/>
        <v>0</v>
      </c>
      <c r="AC121" s="187">
        <f t="shared" si="244"/>
        <v>0</v>
      </c>
      <c r="AD121" s="249">
        <f t="shared" si="244"/>
        <v>0</v>
      </c>
      <c r="AE121" s="187">
        <f t="shared" si="244"/>
        <v>0</v>
      </c>
      <c r="AF121" s="187">
        <f t="shared" si="244"/>
        <v>0</v>
      </c>
      <c r="AG121" s="187">
        <f t="shared" si="244"/>
        <v>0</v>
      </c>
      <c r="AH121" s="19">
        <f t="shared" si="245"/>
        <v>0</v>
      </c>
      <c r="AI121" s="187">
        <f t="shared" si="245"/>
        <v>0</v>
      </c>
      <c r="AJ121" s="187">
        <f t="shared" si="245"/>
        <v>0</v>
      </c>
      <c r="AK121" s="187">
        <f t="shared" si="245"/>
        <v>0</v>
      </c>
      <c r="AL121" s="187">
        <f t="shared" si="245"/>
        <v>0</v>
      </c>
      <c r="AM121" s="187">
        <f t="shared" si="246"/>
        <v>0</v>
      </c>
      <c r="AN121" s="19">
        <f t="shared" si="247"/>
        <v>0</v>
      </c>
      <c r="AO121" s="187">
        <f t="shared" si="247"/>
        <v>0</v>
      </c>
      <c r="AP121" s="187">
        <f t="shared" si="247"/>
        <v>0</v>
      </c>
      <c r="AQ121" s="187">
        <f t="shared" si="247"/>
        <v>0</v>
      </c>
      <c r="AR121" s="187">
        <f t="shared" si="247"/>
        <v>0</v>
      </c>
      <c r="AS121" s="187">
        <f t="shared" si="248"/>
        <v>0</v>
      </c>
      <c r="AT121" s="187">
        <f t="shared" si="248"/>
        <v>0</v>
      </c>
      <c r="AU121" s="187">
        <f t="shared" si="248"/>
        <v>0</v>
      </c>
      <c r="AV121" s="73">
        <f t="shared" si="249"/>
        <v>0</v>
      </c>
      <c r="AW121" s="187">
        <f t="shared" si="249"/>
        <v>0</v>
      </c>
      <c r="AX121" s="187">
        <f t="shared" si="249"/>
        <v>0</v>
      </c>
      <c r="AY121" s="187">
        <f t="shared" si="249"/>
        <v>0</v>
      </c>
      <c r="AZ121" s="187">
        <f t="shared" si="249"/>
        <v>0</v>
      </c>
      <c r="BA121" s="187">
        <f t="shared" si="249"/>
        <v>0</v>
      </c>
      <c r="BB121" s="187">
        <f t="shared" si="249"/>
        <v>0</v>
      </c>
      <c r="BC121" s="187">
        <f t="shared" si="249"/>
        <v>0</v>
      </c>
      <c r="BD121" s="19">
        <f t="shared" si="250"/>
        <v>0</v>
      </c>
      <c r="BE121" s="187">
        <f t="shared" si="250"/>
        <v>0</v>
      </c>
      <c r="BF121" s="187">
        <f t="shared" si="250"/>
        <v>0</v>
      </c>
      <c r="BG121" s="187">
        <f t="shared" si="250"/>
        <v>0</v>
      </c>
      <c r="BH121" s="187">
        <f t="shared" si="250"/>
        <v>0</v>
      </c>
      <c r="BI121" s="187">
        <f t="shared" si="251"/>
        <v>0</v>
      </c>
      <c r="BJ121" s="187">
        <f t="shared" si="251"/>
        <v>0</v>
      </c>
      <c r="BK121" s="187">
        <f t="shared" si="251"/>
        <v>0</v>
      </c>
      <c r="BL121" s="223">
        <f t="shared" si="264"/>
        <v>0</v>
      </c>
      <c r="BM121" s="249">
        <f t="shared" si="264"/>
        <v>0</v>
      </c>
      <c r="BN121" s="249">
        <f t="shared" si="264"/>
        <v>0</v>
      </c>
      <c r="BO121" s="249">
        <f t="shared" si="264"/>
        <v>0</v>
      </c>
      <c r="BP121" s="249">
        <f t="shared" si="264"/>
        <v>0</v>
      </c>
      <c r="BQ121" s="187">
        <f t="shared" si="252"/>
        <v>0</v>
      </c>
      <c r="BR121" s="187">
        <f t="shared" si="252"/>
        <v>0</v>
      </c>
      <c r="BS121" s="187">
        <f t="shared" si="252"/>
        <v>0</v>
      </c>
      <c r="BT121" s="73">
        <f t="shared" si="269"/>
        <v>0</v>
      </c>
      <c r="BU121" s="187">
        <f t="shared" si="269"/>
        <v>0</v>
      </c>
      <c r="BV121" s="187">
        <f t="shared" si="269"/>
        <v>0</v>
      </c>
      <c r="BW121" s="187">
        <f t="shared" si="269"/>
        <v>0</v>
      </c>
      <c r="BX121" s="187">
        <f t="shared" si="269"/>
        <v>0</v>
      </c>
      <c r="BY121" s="187">
        <f t="shared" si="253"/>
        <v>0</v>
      </c>
      <c r="BZ121" s="187">
        <f t="shared" si="253"/>
        <v>0</v>
      </c>
      <c r="CA121" s="187">
        <f t="shared" si="253"/>
        <v>0</v>
      </c>
      <c r="CB121" s="73">
        <f t="shared" si="254"/>
        <v>0</v>
      </c>
      <c r="CC121" s="187">
        <f t="shared" si="254"/>
        <v>0</v>
      </c>
      <c r="CD121" s="187">
        <f t="shared" si="254"/>
        <v>0</v>
      </c>
      <c r="CE121" s="187">
        <f t="shared" si="254"/>
        <v>0</v>
      </c>
      <c r="CF121" s="187">
        <f t="shared" si="254"/>
        <v>0</v>
      </c>
      <c r="CG121" s="187">
        <f t="shared" si="255"/>
        <v>0</v>
      </c>
      <c r="CH121" s="187">
        <f t="shared" si="255"/>
        <v>0</v>
      </c>
      <c r="CI121" s="187">
        <f t="shared" si="255"/>
        <v>0</v>
      </c>
      <c r="CJ121" s="73">
        <f t="shared" si="265"/>
        <v>0</v>
      </c>
      <c r="CK121" s="187">
        <f t="shared" si="265"/>
        <v>0</v>
      </c>
      <c r="CL121" s="187">
        <f t="shared" si="265"/>
        <v>0</v>
      </c>
      <c r="CM121" s="187">
        <f t="shared" si="265"/>
        <v>0</v>
      </c>
      <c r="CN121" s="187">
        <f t="shared" si="265"/>
        <v>0</v>
      </c>
      <c r="CO121" s="187">
        <f t="shared" si="256"/>
        <v>0</v>
      </c>
      <c r="CP121" s="187">
        <f t="shared" si="256"/>
        <v>0</v>
      </c>
      <c r="CQ121" s="187">
        <f t="shared" si="256"/>
        <v>0</v>
      </c>
      <c r="CR121" s="73">
        <f t="shared" si="266"/>
        <v>0</v>
      </c>
      <c r="CS121" s="187">
        <f t="shared" si="266"/>
        <v>0</v>
      </c>
      <c r="CT121" s="187">
        <f t="shared" si="266"/>
        <v>0</v>
      </c>
      <c r="CU121" s="187">
        <f t="shared" si="266"/>
        <v>0</v>
      </c>
      <c r="CV121" s="187">
        <f t="shared" si="266"/>
        <v>0</v>
      </c>
      <c r="CW121" s="187">
        <f t="shared" si="257"/>
        <v>0</v>
      </c>
      <c r="CX121" s="187">
        <f t="shared" si="257"/>
        <v>0</v>
      </c>
      <c r="CY121" s="187">
        <f t="shared" si="257"/>
        <v>0</v>
      </c>
    </row>
    <row r="122" spans="1:103" s="199" customFormat="1" ht="26.25" hidden="1" customHeight="1" outlineLevel="1" x14ac:dyDescent="0.4">
      <c r="A122" s="380"/>
      <c r="B122" s="380"/>
      <c r="C122" s="380"/>
      <c r="D122" s="382"/>
      <c r="E122" s="382"/>
      <c r="F122" s="382"/>
      <c r="G122" s="416"/>
      <c r="H122" s="490"/>
      <c r="I122" s="490"/>
      <c r="J122" s="498"/>
      <c r="K122" s="492"/>
      <c r="L122" s="492"/>
      <c r="M122" s="494"/>
      <c r="N122" s="39" t="s">
        <v>25</v>
      </c>
      <c r="O122" s="207">
        <f t="shared" si="242"/>
        <v>0</v>
      </c>
      <c r="P122" s="207">
        <f t="shared" si="242"/>
        <v>0</v>
      </c>
      <c r="Q122" s="207">
        <f t="shared" si="242"/>
        <v>0</v>
      </c>
      <c r="R122" s="207">
        <f t="shared" si="242"/>
        <v>0</v>
      </c>
      <c r="S122" s="207">
        <f t="shared" si="242"/>
        <v>0</v>
      </c>
      <c r="T122" s="207">
        <f t="shared" si="242"/>
        <v>0</v>
      </c>
      <c r="U122" s="49">
        <f t="shared" si="242"/>
        <v>0</v>
      </c>
      <c r="V122" s="57">
        <f t="shared" si="243"/>
        <v>0</v>
      </c>
      <c r="W122" s="18">
        <f t="shared" si="243"/>
        <v>0</v>
      </c>
      <c r="X122" s="18">
        <f t="shared" si="243"/>
        <v>0</v>
      </c>
      <c r="Y122" s="18">
        <f t="shared" si="243"/>
        <v>0</v>
      </c>
      <c r="Z122" s="18">
        <f t="shared" si="243"/>
        <v>0</v>
      </c>
      <c r="AA122" s="18">
        <f t="shared" si="244"/>
        <v>0</v>
      </c>
      <c r="AB122" s="42">
        <f t="shared" si="244"/>
        <v>0</v>
      </c>
      <c r="AC122" s="52">
        <f t="shared" si="244"/>
        <v>0</v>
      </c>
      <c r="AD122" s="207">
        <f t="shared" si="244"/>
        <v>0</v>
      </c>
      <c r="AE122" s="207">
        <f t="shared" si="244"/>
        <v>0</v>
      </c>
      <c r="AF122" s="207">
        <f t="shared" si="244"/>
        <v>0</v>
      </c>
      <c r="AG122" s="18">
        <f t="shared" si="244"/>
        <v>0</v>
      </c>
      <c r="AH122" s="51">
        <f t="shared" si="245"/>
        <v>0</v>
      </c>
      <c r="AI122" s="52">
        <f t="shared" si="245"/>
        <v>0</v>
      </c>
      <c r="AJ122" s="52">
        <f t="shared" si="245"/>
        <v>0</v>
      </c>
      <c r="AK122" s="52">
        <f t="shared" si="245"/>
        <v>0</v>
      </c>
      <c r="AL122" s="52">
        <f t="shared" si="245"/>
        <v>0</v>
      </c>
      <c r="AM122" s="18">
        <f t="shared" si="246"/>
        <v>0</v>
      </c>
      <c r="AN122" s="42">
        <f t="shared" si="247"/>
        <v>0</v>
      </c>
      <c r="AO122" s="207">
        <f t="shared" si="247"/>
        <v>0</v>
      </c>
      <c r="AP122" s="207">
        <f t="shared" si="247"/>
        <v>0</v>
      </c>
      <c r="AQ122" s="207">
        <f t="shared" si="247"/>
        <v>0</v>
      </c>
      <c r="AR122" s="207">
        <f t="shared" si="247"/>
        <v>0</v>
      </c>
      <c r="AS122" s="207">
        <f t="shared" si="248"/>
        <v>0</v>
      </c>
      <c r="AT122" s="207">
        <f t="shared" si="248"/>
        <v>0</v>
      </c>
      <c r="AU122" s="18">
        <f t="shared" si="248"/>
        <v>0</v>
      </c>
      <c r="AV122" s="42">
        <f t="shared" si="249"/>
        <v>0</v>
      </c>
      <c r="AW122" s="207">
        <f t="shared" si="249"/>
        <v>0</v>
      </c>
      <c r="AX122" s="207">
        <f t="shared" si="249"/>
        <v>0</v>
      </c>
      <c r="AY122" s="207">
        <f t="shared" si="249"/>
        <v>0</v>
      </c>
      <c r="AZ122" s="207">
        <f t="shared" si="249"/>
        <v>0</v>
      </c>
      <c r="BA122" s="207">
        <f t="shared" si="249"/>
        <v>0</v>
      </c>
      <c r="BB122" s="207">
        <f t="shared" si="249"/>
        <v>0</v>
      </c>
      <c r="BC122" s="18">
        <f t="shared" si="249"/>
        <v>0</v>
      </c>
      <c r="BD122" s="42">
        <f t="shared" si="250"/>
        <v>0</v>
      </c>
      <c r="BE122" s="207">
        <f t="shared" si="250"/>
        <v>0</v>
      </c>
      <c r="BF122" s="207">
        <f t="shared" si="250"/>
        <v>0</v>
      </c>
      <c r="BG122" s="207">
        <f t="shared" si="250"/>
        <v>0</v>
      </c>
      <c r="BH122" s="207">
        <f t="shared" si="250"/>
        <v>0</v>
      </c>
      <c r="BI122" s="207">
        <f t="shared" si="251"/>
        <v>0</v>
      </c>
      <c r="BJ122" s="207">
        <f t="shared" si="251"/>
        <v>0</v>
      </c>
      <c r="BK122" s="18">
        <f t="shared" si="251"/>
        <v>0</v>
      </c>
      <c r="BL122" s="20">
        <f t="shared" si="264"/>
        <v>0</v>
      </c>
      <c r="BM122" s="207">
        <f t="shared" si="264"/>
        <v>0</v>
      </c>
      <c r="BN122" s="207">
        <f t="shared" si="264"/>
        <v>0</v>
      </c>
      <c r="BO122" s="207">
        <f t="shared" si="264"/>
        <v>0</v>
      </c>
      <c r="BP122" s="207">
        <f t="shared" si="264"/>
        <v>0</v>
      </c>
      <c r="BQ122" s="207">
        <f t="shared" si="252"/>
        <v>0</v>
      </c>
      <c r="BR122" s="207">
        <f t="shared" si="252"/>
        <v>0</v>
      </c>
      <c r="BS122" s="18">
        <f t="shared" si="252"/>
        <v>0</v>
      </c>
      <c r="BT122" s="224">
        <f t="shared" si="269"/>
        <v>0</v>
      </c>
      <c r="BU122" s="207">
        <f t="shared" si="269"/>
        <v>0</v>
      </c>
      <c r="BV122" s="207">
        <f t="shared" si="269"/>
        <v>0</v>
      </c>
      <c r="BW122" s="207">
        <f t="shared" si="269"/>
        <v>0</v>
      </c>
      <c r="BX122" s="207">
        <f t="shared" si="269"/>
        <v>0</v>
      </c>
      <c r="BY122" s="207">
        <f t="shared" si="253"/>
        <v>0</v>
      </c>
      <c r="BZ122" s="207">
        <f t="shared" si="253"/>
        <v>0</v>
      </c>
      <c r="CA122" s="18">
        <f t="shared" si="253"/>
        <v>0</v>
      </c>
      <c r="CB122" s="224">
        <f t="shared" si="254"/>
        <v>0</v>
      </c>
      <c r="CC122" s="250">
        <f t="shared" si="254"/>
        <v>0</v>
      </c>
      <c r="CD122" s="250">
        <f t="shared" si="254"/>
        <v>0</v>
      </c>
      <c r="CE122" s="250">
        <f t="shared" si="254"/>
        <v>0</v>
      </c>
      <c r="CF122" s="250">
        <f t="shared" si="254"/>
        <v>0</v>
      </c>
      <c r="CG122" s="207">
        <f t="shared" si="255"/>
        <v>0</v>
      </c>
      <c r="CH122" s="207">
        <f t="shared" si="255"/>
        <v>0</v>
      </c>
      <c r="CI122" s="18">
        <f t="shared" si="255"/>
        <v>0</v>
      </c>
      <c r="CJ122" s="224">
        <f t="shared" si="265"/>
        <v>0</v>
      </c>
      <c r="CK122" s="207">
        <f t="shared" si="265"/>
        <v>0</v>
      </c>
      <c r="CL122" s="207">
        <f t="shared" si="265"/>
        <v>0</v>
      </c>
      <c r="CM122" s="207">
        <f t="shared" si="265"/>
        <v>0</v>
      </c>
      <c r="CN122" s="207">
        <f t="shared" si="265"/>
        <v>0</v>
      </c>
      <c r="CO122" s="207">
        <f t="shared" si="256"/>
        <v>0</v>
      </c>
      <c r="CP122" s="207">
        <f t="shared" si="256"/>
        <v>0</v>
      </c>
      <c r="CQ122" s="18">
        <f t="shared" si="256"/>
        <v>0</v>
      </c>
      <c r="CR122" s="42">
        <f t="shared" si="266"/>
        <v>0</v>
      </c>
      <c r="CS122" s="207">
        <f t="shared" si="266"/>
        <v>0</v>
      </c>
      <c r="CT122" s="207">
        <f t="shared" si="266"/>
        <v>0</v>
      </c>
      <c r="CU122" s="207">
        <f t="shared" si="266"/>
        <v>0</v>
      </c>
      <c r="CV122" s="207">
        <f t="shared" si="266"/>
        <v>0</v>
      </c>
      <c r="CW122" s="207">
        <f t="shared" si="257"/>
        <v>0</v>
      </c>
      <c r="CX122" s="207">
        <f t="shared" si="257"/>
        <v>0</v>
      </c>
      <c r="CY122" s="207">
        <f t="shared" si="257"/>
        <v>0</v>
      </c>
    </row>
    <row r="123" spans="1:103" s="199" customFormat="1" ht="26.25" hidden="1" customHeight="1" outlineLevel="1" x14ac:dyDescent="0.4">
      <c r="A123" s="379">
        <v>59</v>
      </c>
      <c r="B123" s="379" t="s">
        <v>45</v>
      </c>
      <c r="C123" s="379" t="s">
        <v>346</v>
      </c>
      <c r="D123" s="381"/>
      <c r="E123" s="381"/>
      <c r="F123" s="381"/>
      <c r="G123" s="416"/>
      <c r="H123" s="489">
        <f t="shared" ref="H123" si="276">SUM(BT123:CA123)</f>
        <v>0</v>
      </c>
      <c r="I123" s="489">
        <f t="shared" ref="I123" si="277">SUM(BT124:CA124)</f>
        <v>0</v>
      </c>
      <c r="J123" s="497"/>
      <c r="K123" s="491"/>
      <c r="L123" s="491"/>
      <c r="M123" s="493"/>
      <c r="N123" s="48" t="s">
        <v>24</v>
      </c>
      <c r="O123" s="187">
        <f t="shared" si="242"/>
        <v>0</v>
      </c>
      <c r="P123" s="187">
        <f t="shared" si="242"/>
        <v>0</v>
      </c>
      <c r="Q123" s="187">
        <f t="shared" si="242"/>
        <v>0</v>
      </c>
      <c r="R123" s="187">
        <f t="shared" si="242"/>
        <v>0</v>
      </c>
      <c r="S123" s="187">
        <f t="shared" si="242"/>
        <v>0</v>
      </c>
      <c r="T123" s="187">
        <f t="shared" si="242"/>
        <v>0</v>
      </c>
      <c r="U123" s="82">
        <f t="shared" si="242"/>
        <v>0</v>
      </c>
      <c r="V123" s="19">
        <f t="shared" si="243"/>
        <v>0</v>
      </c>
      <c r="W123" s="187">
        <f t="shared" si="243"/>
        <v>0</v>
      </c>
      <c r="X123" s="187">
        <f t="shared" si="243"/>
        <v>0</v>
      </c>
      <c r="Y123" s="187">
        <f t="shared" si="243"/>
        <v>0</v>
      </c>
      <c r="Z123" s="187">
        <f t="shared" si="243"/>
        <v>0</v>
      </c>
      <c r="AA123" s="187">
        <f t="shared" si="244"/>
        <v>0</v>
      </c>
      <c r="AB123" s="19">
        <f t="shared" si="244"/>
        <v>0</v>
      </c>
      <c r="AC123" s="187">
        <f t="shared" si="244"/>
        <v>0</v>
      </c>
      <c r="AD123" s="249">
        <f t="shared" si="244"/>
        <v>0</v>
      </c>
      <c r="AE123" s="187">
        <f t="shared" si="244"/>
        <v>0</v>
      </c>
      <c r="AF123" s="187">
        <f t="shared" si="244"/>
        <v>0</v>
      </c>
      <c r="AG123" s="187">
        <f t="shared" si="244"/>
        <v>0</v>
      </c>
      <c r="AH123" s="19">
        <f t="shared" ref="AH123:AL147" si="278">0/150</f>
        <v>0</v>
      </c>
      <c r="AI123" s="187">
        <f t="shared" si="278"/>
        <v>0</v>
      </c>
      <c r="AJ123" s="187">
        <f t="shared" si="278"/>
        <v>0</v>
      </c>
      <c r="AK123" s="187">
        <f t="shared" si="278"/>
        <v>0</v>
      </c>
      <c r="AL123" s="187">
        <f t="shared" si="278"/>
        <v>0</v>
      </c>
      <c r="AM123" s="187">
        <f t="shared" si="246"/>
        <v>0</v>
      </c>
      <c r="AN123" s="19">
        <f t="shared" si="247"/>
        <v>0</v>
      </c>
      <c r="AO123" s="187">
        <f t="shared" si="247"/>
        <v>0</v>
      </c>
      <c r="AP123" s="187">
        <f t="shared" si="247"/>
        <v>0</v>
      </c>
      <c r="AQ123" s="187">
        <f t="shared" si="247"/>
        <v>0</v>
      </c>
      <c r="AR123" s="187">
        <f t="shared" si="247"/>
        <v>0</v>
      </c>
      <c r="AS123" s="187">
        <f t="shared" si="248"/>
        <v>0</v>
      </c>
      <c r="AT123" s="187">
        <f t="shared" si="248"/>
        <v>0</v>
      </c>
      <c r="AU123" s="187">
        <f t="shared" si="248"/>
        <v>0</v>
      </c>
      <c r="AV123" s="73">
        <f t="shared" si="249"/>
        <v>0</v>
      </c>
      <c r="AW123" s="187">
        <f t="shared" si="249"/>
        <v>0</v>
      </c>
      <c r="AX123" s="187">
        <f t="shared" si="249"/>
        <v>0</v>
      </c>
      <c r="AY123" s="187">
        <f t="shared" si="249"/>
        <v>0</v>
      </c>
      <c r="AZ123" s="187">
        <f t="shared" si="249"/>
        <v>0</v>
      </c>
      <c r="BA123" s="187">
        <f t="shared" si="249"/>
        <v>0</v>
      </c>
      <c r="BB123" s="187">
        <f t="shared" si="249"/>
        <v>0</v>
      </c>
      <c r="BC123" s="187">
        <f t="shared" si="249"/>
        <v>0</v>
      </c>
      <c r="BD123" s="19">
        <f t="shared" si="250"/>
        <v>0</v>
      </c>
      <c r="BE123" s="187">
        <f t="shared" si="250"/>
        <v>0</v>
      </c>
      <c r="BF123" s="187">
        <f t="shared" si="250"/>
        <v>0</v>
      </c>
      <c r="BG123" s="187">
        <f t="shared" si="250"/>
        <v>0</v>
      </c>
      <c r="BH123" s="187">
        <f t="shared" si="250"/>
        <v>0</v>
      </c>
      <c r="BI123" s="187">
        <f t="shared" si="251"/>
        <v>0</v>
      </c>
      <c r="BJ123" s="187">
        <f t="shared" si="251"/>
        <v>0</v>
      </c>
      <c r="BK123" s="187">
        <f t="shared" si="251"/>
        <v>0</v>
      </c>
      <c r="BL123" s="223">
        <f t="shared" si="264"/>
        <v>0</v>
      </c>
      <c r="BM123" s="249">
        <f t="shared" si="264"/>
        <v>0</v>
      </c>
      <c r="BN123" s="249">
        <f t="shared" si="264"/>
        <v>0</v>
      </c>
      <c r="BO123" s="249">
        <f t="shared" si="264"/>
        <v>0</v>
      </c>
      <c r="BP123" s="249">
        <f t="shared" si="264"/>
        <v>0</v>
      </c>
      <c r="BQ123" s="187">
        <f t="shared" si="252"/>
        <v>0</v>
      </c>
      <c r="BR123" s="187">
        <f t="shared" si="252"/>
        <v>0</v>
      </c>
      <c r="BS123" s="187">
        <f t="shared" si="252"/>
        <v>0</v>
      </c>
      <c r="BT123" s="73">
        <f t="shared" si="269"/>
        <v>0</v>
      </c>
      <c r="BU123" s="187">
        <f t="shared" si="269"/>
        <v>0</v>
      </c>
      <c r="BV123" s="187">
        <f t="shared" si="269"/>
        <v>0</v>
      </c>
      <c r="BW123" s="187">
        <f t="shared" si="269"/>
        <v>0</v>
      </c>
      <c r="BX123" s="187">
        <f t="shared" si="269"/>
        <v>0</v>
      </c>
      <c r="BY123" s="187">
        <f t="shared" si="253"/>
        <v>0</v>
      </c>
      <c r="BZ123" s="187">
        <f t="shared" si="253"/>
        <v>0</v>
      </c>
      <c r="CA123" s="187">
        <f t="shared" si="253"/>
        <v>0</v>
      </c>
      <c r="CB123" s="73">
        <f t="shared" si="254"/>
        <v>0</v>
      </c>
      <c r="CC123" s="187">
        <f t="shared" si="254"/>
        <v>0</v>
      </c>
      <c r="CD123" s="187">
        <f t="shared" si="254"/>
        <v>0</v>
      </c>
      <c r="CE123" s="187">
        <f t="shared" si="254"/>
        <v>0</v>
      </c>
      <c r="CF123" s="187">
        <f t="shared" si="254"/>
        <v>0</v>
      </c>
      <c r="CG123" s="187">
        <f t="shared" si="255"/>
        <v>0</v>
      </c>
      <c r="CH123" s="187">
        <f t="shared" si="255"/>
        <v>0</v>
      </c>
      <c r="CI123" s="187">
        <f t="shared" si="255"/>
        <v>0</v>
      </c>
      <c r="CJ123" s="73">
        <f t="shared" si="265"/>
        <v>0</v>
      </c>
      <c r="CK123" s="187">
        <f t="shared" si="265"/>
        <v>0</v>
      </c>
      <c r="CL123" s="187">
        <f t="shared" si="265"/>
        <v>0</v>
      </c>
      <c r="CM123" s="187">
        <f t="shared" si="265"/>
        <v>0</v>
      </c>
      <c r="CN123" s="187">
        <f t="shared" si="265"/>
        <v>0</v>
      </c>
      <c r="CO123" s="187">
        <f t="shared" si="256"/>
        <v>0</v>
      </c>
      <c r="CP123" s="187">
        <f t="shared" si="256"/>
        <v>0</v>
      </c>
      <c r="CQ123" s="187">
        <f t="shared" si="256"/>
        <v>0</v>
      </c>
      <c r="CR123" s="73">
        <f t="shared" si="266"/>
        <v>0</v>
      </c>
      <c r="CS123" s="187">
        <f t="shared" si="266"/>
        <v>0</v>
      </c>
      <c r="CT123" s="187">
        <f t="shared" si="266"/>
        <v>0</v>
      </c>
      <c r="CU123" s="187">
        <f t="shared" si="266"/>
        <v>0</v>
      </c>
      <c r="CV123" s="187">
        <f t="shared" si="266"/>
        <v>0</v>
      </c>
      <c r="CW123" s="187">
        <f t="shared" si="257"/>
        <v>0</v>
      </c>
      <c r="CX123" s="187">
        <f t="shared" si="257"/>
        <v>0</v>
      </c>
      <c r="CY123" s="187">
        <f t="shared" si="257"/>
        <v>0</v>
      </c>
    </row>
    <row r="124" spans="1:103" s="199" customFormat="1" ht="26.25" hidden="1" customHeight="1" outlineLevel="1" x14ac:dyDescent="0.4">
      <c r="A124" s="380"/>
      <c r="B124" s="380"/>
      <c r="C124" s="380"/>
      <c r="D124" s="382"/>
      <c r="E124" s="382"/>
      <c r="F124" s="382"/>
      <c r="G124" s="416"/>
      <c r="H124" s="490"/>
      <c r="I124" s="490"/>
      <c r="J124" s="498"/>
      <c r="K124" s="492"/>
      <c r="L124" s="492"/>
      <c r="M124" s="494"/>
      <c r="N124" s="39" t="s">
        <v>25</v>
      </c>
      <c r="O124" s="207">
        <f t="shared" si="242"/>
        <v>0</v>
      </c>
      <c r="P124" s="207">
        <f t="shared" si="242"/>
        <v>0</v>
      </c>
      <c r="Q124" s="207">
        <f t="shared" si="242"/>
        <v>0</v>
      </c>
      <c r="R124" s="207">
        <f t="shared" si="242"/>
        <v>0</v>
      </c>
      <c r="S124" s="207">
        <f t="shared" si="242"/>
        <v>0</v>
      </c>
      <c r="T124" s="207">
        <f t="shared" si="242"/>
        <v>0</v>
      </c>
      <c r="U124" s="49">
        <f t="shared" si="242"/>
        <v>0</v>
      </c>
      <c r="V124" s="57">
        <f t="shared" si="243"/>
        <v>0</v>
      </c>
      <c r="W124" s="18">
        <f t="shared" si="243"/>
        <v>0</v>
      </c>
      <c r="X124" s="18">
        <f t="shared" si="243"/>
        <v>0</v>
      </c>
      <c r="Y124" s="18">
        <f t="shared" si="243"/>
        <v>0</v>
      </c>
      <c r="Z124" s="18">
        <f t="shared" si="243"/>
        <v>0</v>
      </c>
      <c r="AA124" s="18">
        <f t="shared" si="244"/>
        <v>0</v>
      </c>
      <c r="AB124" s="42">
        <f t="shared" si="244"/>
        <v>0</v>
      </c>
      <c r="AC124" s="52">
        <f t="shared" si="244"/>
        <v>0</v>
      </c>
      <c r="AD124" s="207">
        <f t="shared" si="244"/>
        <v>0</v>
      </c>
      <c r="AE124" s="207">
        <f t="shared" si="244"/>
        <v>0</v>
      </c>
      <c r="AF124" s="207">
        <f t="shared" si="244"/>
        <v>0</v>
      </c>
      <c r="AG124" s="18">
        <f t="shared" si="244"/>
        <v>0</v>
      </c>
      <c r="AH124" s="51">
        <f t="shared" si="278"/>
        <v>0</v>
      </c>
      <c r="AI124" s="52">
        <f t="shared" si="278"/>
        <v>0</v>
      </c>
      <c r="AJ124" s="52">
        <f t="shared" si="278"/>
        <v>0</v>
      </c>
      <c r="AK124" s="52">
        <f t="shared" si="278"/>
        <v>0</v>
      </c>
      <c r="AL124" s="52">
        <f t="shared" si="278"/>
        <v>0</v>
      </c>
      <c r="AM124" s="18">
        <f t="shared" si="246"/>
        <v>0</v>
      </c>
      <c r="AN124" s="42">
        <f t="shared" si="247"/>
        <v>0</v>
      </c>
      <c r="AO124" s="207">
        <f t="shared" si="247"/>
        <v>0</v>
      </c>
      <c r="AP124" s="207">
        <f t="shared" si="247"/>
        <v>0</v>
      </c>
      <c r="AQ124" s="207">
        <f t="shared" si="247"/>
        <v>0</v>
      </c>
      <c r="AR124" s="207">
        <f t="shared" si="247"/>
        <v>0</v>
      </c>
      <c r="AS124" s="207">
        <f t="shared" si="248"/>
        <v>0</v>
      </c>
      <c r="AT124" s="207">
        <f t="shared" si="248"/>
        <v>0</v>
      </c>
      <c r="AU124" s="18">
        <f t="shared" si="248"/>
        <v>0</v>
      </c>
      <c r="AV124" s="42">
        <f t="shared" si="249"/>
        <v>0</v>
      </c>
      <c r="AW124" s="207">
        <f t="shared" si="249"/>
        <v>0</v>
      </c>
      <c r="AX124" s="207">
        <f t="shared" si="249"/>
        <v>0</v>
      </c>
      <c r="AY124" s="207">
        <f t="shared" si="249"/>
        <v>0</v>
      </c>
      <c r="AZ124" s="207">
        <f t="shared" si="249"/>
        <v>0</v>
      </c>
      <c r="BA124" s="207">
        <f t="shared" si="249"/>
        <v>0</v>
      </c>
      <c r="BB124" s="207">
        <f t="shared" si="249"/>
        <v>0</v>
      </c>
      <c r="BC124" s="18">
        <f t="shared" si="249"/>
        <v>0</v>
      </c>
      <c r="BD124" s="42">
        <f t="shared" si="250"/>
        <v>0</v>
      </c>
      <c r="BE124" s="207">
        <f t="shared" si="250"/>
        <v>0</v>
      </c>
      <c r="BF124" s="207">
        <f t="shared" si="250"/>
        <v>0</v>
      </c>
      <c r="BG124" s="207">
        <f t="shared" si="250"/>
        <v>0</v>
      </c>
      <c r="BH124" s="207">
        <f t="shared" si="250"/>
        <v>0</v>
      </c>
      <c r="BI124" s="207">
        <f t="shared" si="251"/>
        <v>0</v>
      </c>
      <c r="BJ124" s="207">
        <f t="shared" si="251"/>
        <v>0</v>
      </c>
      <c r="BK124" s="18">
        <f t="shared" si="251"/>
        <v>0</v>
      </c>
      <c r="BL124" s="20">
        <f t="shared" si="264"/>
        <v>0</v>
      </c>
      <c r="BM124" s="207">
        <f t="shared" si="264"/>
        <v>0</v>
      </c>
      <c r="BN124" s="207">
        <f t="shared" si="264"/>
        <v>0</v>
      </c>
      <c r="BO124" s="207">
        <f t="shared" si="264"/>
        <v>0</v>
      </c>
      <c r="BP124" s="207">
        <f t="shared" si="264"/>
        <v>0</v>
      </c>
      <c r="BQ124" s="207">
        <f t="shared" si="252"/>
        <v>0</v>
      </c>
      <c r="BR124" s="207">
        <f t="shared" si="252"/>
        <v>0</v>
      </c>
      <c r="BS124" s="18">
        <f t="shared" si="252"/>
        <v>0</v>
      </c>
      <c r="BT124" s="224">
        <f t="shared" si="269"/>
        <v>0</v>
      </c>
      <c r="BU124" s="207">
        <f t="shared" si="269"/>
        <v>0</v>
      </c>
      <c r="BV124" s="207">
        <f t="shared" si="269"/>
        <v>0</v>
      </c>
      <c r="BW124" s="207">
        <f t="shared" si="269"/>
        <v>0</v>
      </c>
      <c r="BX124" s="207">
        <f t="shared" si="269"/>
        <v>0</v>
      </c>
      <c r="BY124" s="207">
        <f t="shared" si="253"/>
        <v>0</v>
      </c>
      <c r="BZ124" s="207">
        <f t="shared" si="253"/>
        <v>0</v>
      </c>
      <c r="CA124" s="18">
        <f t="shared" si="253"/>
        <v>0</v>
      </c>
      <c r="CB124" s="224">
        <f t="shared" si="254"/>
        <v>0</v>
      </c>
      <c r="CC124" s="250">
        <f t="shared" si="254"/>
        <v>0</v>
      </c>
      <c r="CD124" s="250">
        <f t="shared" si="254"/>
        <v>0</v>
      </c>
      <c r="CE124" s="250">
        <f t="shared" si="254"/>
        <v>0</v>
      </c>
      <c r="CF124" s="250">
        <f t="shared" si="254"/>
        <v>0</v>
      </c>
      <c r="CG124" s="207">
        <f t="shared" si="255"/>
        <v>0</v>
      </c>
      <c r="CH124" s="207">
        <f t="shared" si="255"/>
        <v>0</v>
      </c>
      <c r="CI124" s="18">
        <f t="shared" si="255"/>
        <v>0</v>
      </c>
      <c r="CJ124" s="224">
        <f t="shared" si="265"/>
        <v>0</v>
      </c>
      <c r="CK124" s="207">
        <f t="shared" si="265"/>
        <v>0</v>
      </c>
      <c r="CL124" s="207">
        <f t="shared" si="265"/>
        <v>0</v>
      </c>
      <c r="CM124" s="207">
        <f t="shared" si="265"/>
        <v>0</v>
      </c>
      <c r="CN124" s="207">
        <f t="shared" si="265"/>
        <v>0</v>
      </c>
      <c r="CO124" s="207">
        <f t="shared" si="256"/>
        <v>0</v>
      </c>
      <c r="CP124" s="207">
        <f t="shared" si="256"/>
        <v>0</v>
      </c>
      <c r="CQ124" s="18">
        <f t="shared" si="256"/>
        <v>0</v>
      </c>
      <c r="CR124" s="42">
        <f t="shared" si="266"/>
        <v>0</v>
      </c>
      <c r="CS124" s="207">
        <f t="shared" si="266"/>
        <v>0</v>
      </c>
      <c r="CT124" s="207">
        <f t="shared" si="266"/>
        <v>0</v>
      </c>
      <c r="CU124" s="207">
        <f t="shared" si="266"/>
        <v>0</v>
      </c>
      <c r="CV124" s="207">
        <f t="shared" si="266"/>
        <v>0</v>
      </c>
      <c r="CW124" s="207">
        <f t="shared" si="257"/>
        <v>0</v>
      </c>
      <c r="CX124" s="207">
        <f t="shared" si="257"/>
        <v>0</v>
      </c>
      <c r="CY124" s="207">
        <f t="shared" si="257"/>
        <v>0</v>
      </c>
    </row>
    <row r="125" spans="1:103" s="199" customFormat="1" ht="26.25" hidden="1" customHeight="1" outlineLevel="1" x14ac:dyDescent="0.4">
      <c r="A125" s="379">
        <v>60</v>
      </c>
      <c r="B125" s="379" t="s">
        <v>45</v>
      </c>
      <c r="C125" s="379" t="s">
        <v>346</v>
      </c>
      <c r="D125" s="381"/>
      <c r="E125" s="381"/>
      <c r="F125" s="381"/>
      <c r="G125" s="416"/>
      <c r="H125" s="489">
        <f t="shared" ref="H125" si="279">SUM(BT125:CA125)</f>
        <v>0</v>
      </c>
      <c r="I125" s="489">
        <f t="shared" ref="I125" si="280">SUM(BT126:CA126)</f>
        <v>0</v>
      </c>
      <c r="J125" s="497"/>
      <c r="K125" s="491"/>
      <c r="L125" s="491"/>
      <c r="M125" s="493"/>
      <c r="N125" s="48" t="s">
        <v>24</v>
      </c>
      <c r="O125" s="187">
        <f t="shared" si="242"/>
        <v>0</v>
      </c>
      <c r="P125" s="187">
        <f t="shared" si="242"/>
        <v>0</v>
      </c>
      <c r="Q125" s="187">
        <f t="shared" si="242"/>
        <v>0</v>
      </c>
      <c r="R125" s="187">
        <f t="shared" si="242"/>
        <v>0</v>
      </c>
      <c r="S125" s="187">
        <f t="shared" si="242"/>
        <v>0</v>
      </c>
      <c r="T125" s="187">
        <f t="shared" si="242"/>
        <v>0</v>
      </c>
      <c r="U125" s="82">
        <f t="shared" si="242"/>
        <v>0</v>
      </c>
      <c r="V125" s="19">
        <f t="shared" si="243"/>
        <v>0</v>
      </c>
      <c r="W125" s="187">
        <f t="shared" si="243"/>
        <v>0</v>
      </c>
      <c r="X125" s="187">
        <f t="shared" si="243"/>
        <v>0</v>
      </c>
      <c r="Y125" s="187">
        <f t="shared" si="243"/>
        <v>0</v>
      </c>
      <c r="Z125" s="187">
        <f t="shared" si="243"/>
        <v>0</v>
      </c>
      <c r="AA125" s="187">
        <f t="shared" si="244"/>
        <v>0</v>
      </c>
      <c r="AB125" s="19">
        <f t="shared" si="244"/>
        <v>0</v>
      </c>
      <c r="AC125" s="187">
        <f t="shared" si="244"/>
        <v>0</v>
      </c>
      <c r="AD125" s="249">
        <f t="shared" si="244"/>
        <v>0</v>
      </c>
      <c r="AE125" s="187">
        <f t="shared" si="244"/>
        <v>0</v>
      </c>
      <c r="AF125" s="187">
        <f t="shared" si="244"/>
        <v>0</v>
      </c>
      <c r="AG125" s="187">
        <f t="shared" si="244"/>
        <v>0</v>
      </c>
      <c r="AH125" s="19">
        <f t="shared" si="278"/>
        <v>0</v>
      </c>
      <c r="AI125" s="187">
        <f t="shared" si="278"/>
        <v>0</v>
      </c>
      <c r="AJ125" s="187">
        <f t="shared" si="278"/>
        <v>0</v>
      </c>
      <c r="AK125" s="187">
        <f t="shared" si="278"/>
        <v>0</v>
      </c>
      <c r="AL125" s="187">
        <f t="shared" si="278"/>
        <v>0</v>
      </c>
      <c r="AM125" s="187">
        <f t="shared" si="246"/>
        <v>0</v>
      </c>
      <c r="AN125" s="19">
        <f t="shared" si="247"/>
        <v>0</v>
      </c>
      <c r="AO125" s="187">
        <f t="shared" si="247"/>
        <v>0</v>
      </c>
      <c r="AP125" s="187">
        <f t="shared" si="247"/>
        <v>0</v>
      </c>
      <c r="AQ125" s="187">
        <f t="shared" si="247"/>
        <v>0</v>
      </c>
      <c r="AR125" s="187">
        <f t="shared" si="247"/>
        <v>0</v>
      </c>
      <c r="AS125" s="187">
        <f t="shared" si="248"/>
        <v>0</v>
      </c>
      <c r="AT125" s="187">
        <f t="shared" si="248"/>
        <v>0</v>
      </c>
      <c r="AU125" s="187">
        <f t="shared" si="248"/>
        <v>0</v>
      </c>
      <c r="AV125" s="73">
        <f t="shared" si="249"/>
        <v>0</v>
      </c>
      <c r="AW125" s="187">
        <f t="shared" si="249"/>
        <v>0</v>
      </c>
      <c r="AX125" s="187">
        <f t="shared" si="249"/>
        <v>0</v>
      </c>
      <c r="AY125" s="187">
        <f t="shared" si="249"/>
        <v>0</v>
      </c>
      <c r="AZ125" s="187">
        <f t="shared" si="249"/>
        <v>0</v>
      </c>
      <c r="BA125" s="187">
        <f t="shared" si="249"/>
        <v>0</v>
      </c>
      <c r="BB125" s="187">
        <f t="shared" si="249"/>
        <v>0</v>
      </c>
      <c r="BC125" s="187">
        <f t="shared" si="249"/>
        <v>0</v>
      </c>
      <c r="BD125" s="19">
        <f t="shared" si="250"/>
        <v>0</v>
      </c>
      <c r="BE125" s="187">
        <f t="shared" si="250"/>
        <v>0</v>
      </c>
      <c r="BF125" s="187">
        <f t="shared" si="250"/>
        <v>0</v>
      </c>
      <c r="BG125" s="187">
        <f t="shared" si="250"/>
        <v>0</v>
      </c>
      <c r="BH125" s="187">
        <f t="shared" si="250"/>
        <v>0</v>
      </c>
      <c r="BI125" s="187">
        <f t="shared" si="251"/>
        <v>0</v>
      </c>
      <c r="BJ125" s="187">
        <f t="shared" si="251"/>
        <v>0</v>
      </c>
      <c r="BK125" s="187">
        <f t="shared" si="251"/>
        <v>0</v>
      </c>
      <c r="BL125" s="223">
        <f t="shared" si="264"/>
        <v>0</v>
      </c>
      <c r="BM125" s="249">
        <f t="shared" si="264"/>
        <v>0</v>
      </c>
      <c r="BN125" s="249">
        <f t="shared" si="264"/>
        <v>0</v>
      </c>
      <c r="BO125" s="249">
        <f t="shared" si="264"/>
        <v>0</v>
      </c>
      <c r="BP125" s="249">
        <f t="shared" si="264"/>
        <v>0</v>
      </c>
      <c r="BQ125" s="187">
        <f t="shared" si="252"/>
        <v>0</v>
      </c>
      <c r="BR125" s="187">
        <f t="shared" si="252"/>
        <v>0</v>
      </c>
      <c r="BS125" s="187">
        <f t="shared" si="252"/>
        <v>0</v>
      </c>
      <c r="BT125" s="73">
        <f t="shared" si="269"/>
        <v>0</v>
      </c>
      <c r="BU125" s="187">
        <f t="shared" si="269"/>
        <v>0</v>
      </c>
      <c r="BV125" s="187">
        <f t="shared" si="269"/>
        <v>0</v>
      </c>
      <c r="BW125" s="187">
        <f t="shared" si="269"/>
        <v>0</v>
      </c>
      <c r="BX125" s="187">
        <f t="shared" si="269"/>
        <v>0</v>
      </c>
      <c r="BY125" s="187">
        <f t="shared" si="253"/>
        <v>0</v>
      </c>
      <c r="BZ125" s="187">
        <f t="shared" si="253"/>
        <v>0</v>
      </c>
      <c r="CA125" s="187">
        <f t="shared" si="253"/>
        <v>0</v>
      </c>
      <c r="CB125" s="73">
        <f t="shared" si="254"/>
        <v>0</v>
      </c>
      <c r="CC125" s="187">
        <f t="shared" si="254"/>
        <v>0</v>
      </c>
      <c r="CD125" s="187">
        <f t="shared" si="254"/>
        <v>0</v>
      </c>
      <c r="CE125" s="187">
        <f t="shared" si="254"/>
        <v>0</v>
      </c>
      <c r="CF125" s="187">
        <f t="shared" si="254"/>
        <v>0</v>
      </c>
      <c r="CG125" s="187">
        <f t="shared" si="255"/>
        <v>0</v>
      </c>
      <c r="CH125" s="187">
        <f t="shared" si="255"/>
        <v>0</v>
      </c>
      <c r="CI125" s="187">
        <f t="shared" si="255"/>
        <v>0</v>
      </c>
      <c r="CJ125" s="73">
        <f t="shared" si="265"/>
        <v>0</v>
      </c>
      <c r="CK125" s="187">
        <f t="shared" si="265"/>
        <v>0</v>
      </c>
      <c r="CL125" s="187">
        <f t="shared" si="265"/>
        <v>0</v>
      </c>
      <c r="CM125" s="187">
        <f t="shared" si="265"/>
        <v>0</v>
      </c>
      <c r="CN125" s="187">
        <f t="shared" si="265"/>
        <v>0</v>
      </c>
      <c r="CO125" s="187">
        <f t="shared" si="256"/>
        <v>0</v>
      </c>
      <c r="CP125" s="187">
        <f t="shared" si="256"/>
        <v>0</v>
      </c>
      <c r="CQ125" s="187">
        <f t="shared" si="256"/>
        <v>0</v>
      </c>
      <c r="CR125" s="73">
        <f t="shared" si="266"/>
        <v>0</v>
      </c>
      <c r="CS125" s="187">
        <f t="shared" si="266"/>
        <v>0</v>
      </c>
      <c r="CT125" s="187">
        <f t="shared" si="266"/>
        <v>0</v>
      </c>
      <c r="CU125" s="187">
        <f t="shared" si="266"/>
        <v>0</v>
      </c>
      <c r="CV125" s="187">
        <f t="shared" si="266"/>
        <v>0</v>
      </c>
      <c r="CW125" s="187">
        <f t="shared" si="257"/>
        <v>0</v>
      </c>
      <c r="CX125" s="187">
        <f t="shared" si="257"/>
        <v>0</v>
      </c>
      <c r="CY125" s="187">
        <f t="shared" si="257"/>
        <v>0</v>
      </c>
    </row>
    <row r="126" spans="1:103" s="199" customFormat="1" ht="26.25" hidden="1" customHeight="1" outlineLevel="1" x14ac:dyDescent="0.4">
      <c r="A126" s="380"/>
      <c r="B126" s="380"/>
      <c r="C126" s="380"/>
      <c r="D126" s="382"/>
      <c r="E126" s="382"/>
      <c r="F126" s="382"/>
      <c r="G126" s="416"/>
      <c r="H126" s="490"/>
      <c r="I126" s="490"/>
      <c r="J126" s="498"/>
      <c r="K126" s="492"/>
      <c r="L126" s="492"/>
      <c r="M126" s="494"/>
      <c r="N126" s="39" t="s">
        <v>25</v>
      </c>
      <c r="O126" s="207">
        <f t="shared" si="242"/>
        <v>0</v>
      </c>
      <c r="P126" s="207">
        <f t="shared" si="242"/>
        <v>0</v>
      </c>
      <c r="Q126" s="207">
        <f t="shared" si="242"/>
        <v>0</v>
      </c>
      <c r="R126" s="207">
        <f t="shared" si="242"/>
        <v>0</v>
      </c>
      <c r="S126" s="207">
        <f t="shared" si="242"/>
        <v>0</v>
      </c>
      <c r="T126" s="207">
        <f t="shared" si="242"/>
        <v>0</v>
      </c>
      <c r="U126" s="49">
        <f t="shared" si="242"/>
        <v>0</v>
      </c>
      <c r="V126" s="57">
        <f t="shared" si="243"/>
        <v>0</v>
      </c>
      <c r="W126" s="18">
        <f t="shared" si="243"/>
        <v>0</v>
      </c>
      <c r="X126" s="18">
        <f t="shared" si="243"/>
        <v>0</v>
      </c>
      <c r="Y126" s="18">
        <f t="shared" si="243"/>
        <v>0</v>
      </c>
      <c r="Z126" s="18">
        <f t="shared" si="243"/>
        <v>0</v>
      </c>
      <c r="AA126" s="18">
        <f t="shared" si="244"/>
        <v>0</v>
      </c>
      <c r="AB126" s="42">
        <f t="shared" si="244"/>
        <v>0</v>
      </c>
      <c r="AC126" s="52">
        <f t="shared" si="244"/>
        <v>0</v>
      </c>
      <c r="AD126" s="207">
        <f t="shared" si="244"/>
        <v>0</v>
      </c>
      <c r="AE126" s="207">
        <f t="shared" si="244"/>
        <v>0</v>
      </c>
      <c r="AF126" s="207">
        <f t="shared" si="244"/>
        <v>0</v>
      </c>
      <c r="AG126" s="18">
        <f t="shared" si="244"/>
        <v>0</v>
      </c>
      <c r="AH126" s="51">
        <f t="shared" si="278"/>
        <v>0</v>
      </c>
      <c r="AI126" s="52">
        <f t="shared" si="278"/>
        <v>0</v>
      </c>
      <c r="AJ126" s="52">
        <f t="shared" si="278"/>
        <v>0</v>
      </c>
      <c r="AK126" s="52">
        <f t="shared" si="278"/>
        <v>0</v>
      </c>
      <c r="AL126" s="52">
        <f t="shared" si="278"/>
        <v>0</v>
      </c>
      <c r="AM126" s="18">
        <f t="shared" si="246"/>
        <v>0</v>
      </c>
      <c r="AN126" s="42">
        <f t="shared" si="247"/>
        <v>0</v>
      </c>
      <c r="AO126" s="207">
        <f t="shared" si="247"/>
        <v>0</v>
      </c>
      <c r="AP126" s="207">
        <f t="shared" si="247"/>
        <v>0</v>
      </c>
      <c r="AQ126" s="207">
        <f t="shared" si="247"/>
        <v>0</v>
      </c>
      <c r="AR126" s="207">
        <f t="shared" si="247"/>
        <v>0</v>
      </c>
      <c r="AS126" s="207">
        <f t="shared" si="248"/>
        <v>0</v>
      </c>
      <c r="AT126" s="207">
        <f t="shared" si="248"/>
        <v>0</v>
      </c>
      <c r="AU126" s="18">
        <f t="shared" si="248"/>
        <v>0</v>
      </c>
      <c r="AV126" s="42">
        <f t="shared" si="249"/>
        <v>0</v>
      </c>
      <c r="AW126" s="207">
        <f t="shared" si="249"/>
        <v>0</v>
      </c>
      <c r="AX126" s="207">
        <f t="shared" si="249"/>
        <v>0</v>
      </c>
      <c r="AY126" s="207">
        <f t="shared" si="249"/>
        <v>0</v>
      </c>
      <c r="AZ126" s="207">
        <f t="shared" si="249"/>
        <v>0</v>
      </c>
      <c r="BA126" s="207">
        <f t="shared" si="249"/>
        <v>0</v>
      </c>
      <c r="BB126" s="207">
        <f t="shared" si="249"/>
        <v>0</v>
      </c>
      <c r="BC126" s="18">
        <f t="shared" si="249"/>
        <v>0</v>
      </c>
      <c r="BD126" s="42">
        <f t="shared" si="250"/>
        <v>0</v>
      </c>
      <c r="BE126" s="207">
        <f t="shared" si="250"/>
        <v>0</v>
      </c>
      <c r="BF126" s="207">
        <f t="shared" si="250"/>
        <v>0</v>
      </c>
      <c r="BG126" s="207">
        <f t="shared" si="250"/>
        <v>0</v>
      </c>
      <c r="BH126" s="207">
        <f t="shared" si="250"/>
        <v>0</v>
      </c>
      <c r="BI126" s="207">
        <f t="shared" si="251"/>
        <v>0</v>
      </c>
      <c r="BJ126" s="207">
        <f t="shared" si="251"/>
        <v>0</v>
      </c>
      <c r="BK126" s="18">
        <f t="shared" si="251"/>
        <v>0</v>
      </c>
      <c r="BL126" s="20">
        <f t="shared" si="264"/>
        <v>0</v>
      </c>
      <c r="BM126" s="207">
        <f t="shared" si="264"/>
        <v>0</v>
      </c>
      <c r="BN126" s="207">
        <f t="shared" si="264"/>
        <v>0</v>
      </c>
      <c r="BO126" s="207">
        <f t="shared" si="264"/>
        <v>0</v>
      </c>
      <c r="BP126" s="207">
        <f t="shared" si="264"/>
        <v>0</v>
      </c>
      <c r="BQ126" s="207">
        <f t="shared" si="252"/>
        <v>0</v>
      </c>
      <c r="BR126" s="207">
        <f t="shared" si="252"/>
        <v>0</v>
      </c>
      <c r="BS126" s="18">
        <f t="shared" si="252"/>
        <v>0</v>
      </c>
      <c r="BT126" s="224">
        <f t="shared" si="269"/>
        <v>0</v>
      </c>
      <c r="BU126" s="207">
        <f t="shared" si="269"/>
        <v>0</v>
      </c>
      <c r="BV126" s="207">
        <f t="shared" si="269"/>
        <v>0</v>
      </c>
      <c r="BW126" s="207">
        <f t="shared" si="269"/>
        <v>0</v>
      </c>
      <c r="BX126" s="207">
        <f t="shared" si="269"/>
        <v>0</v>
      </c>
      <c r="BY126" s="207">
        <f t="shared" si="253"/>
        <v>0</v>
      </c>
      <c r="BZ126" s="207">
        <f t="shared" si="253"/>
        <v>0</v>
      </c>
      <c r="CA126" s="18">
        <f t="shared" si="253"/>
        <v>0</v>
      </c>
      <c r="CB126" s="224">
        <f t="shared" si="254"/>
        <v>0</v>
      </c>
      <c r="CC126" s="250">
        <f t="shared" si="254"/>
        <v>0</v>
      </c>
      <c r="CD126" s="250">
        <f t="shared" si="254"/>
        <v>0</v>
      </c>
      <c r="CE126" s="250">
        <f t="shared" si="254"/>
        <v>0</v>
      </c>
      <c r="CF126" s="250">
        <f t="shared" si="254"/>
        <v>0</v>
      </c>
      <c r="CG126" s="207">
        <f t="shared" si="255"/>
        <v>0</v>
      </c>
      <c r="CH126" s="207">
        <f t="shared" si="255"/>
        <v>0</v>
      </c>
      <c r="CI126" s="18">
        <f t="shared" si="255"/>
        <v>0</v>
      </c>
      <c r="CJ126" s="224">
        <f t="shared" si="265"/>
        <v>0</v>
      </c>
      <c r="CK126" s="207">
        <f t="shared" si="265"/>
        <v>0</v>
      </c>
      <c r="CL126" s="207">
        <f t="shared" si="265"/>
        <v>0</v>
      </c>
      <c r="CM126" s="207">
        <f t="shared" si="265"/>
        <v>0</v>
      </c>
      <c r="CN126" s="207">
        <f t="shared" si="265"/>
        <v>0</v>
      </c>
      <c r="CO126" s="207">
        <f t="shared" si="256"/>
        <v>0</v>
      </c>
      <c r="CP126" s="207">
        <f t="shared" si="256"/>
        <v>0</v>
      </c>
      <c r="CQ126" s="18">
        <f t="shared" si="256"/>
        <v>0</v>
      </c>
      <c r="CR126" s="42">
        <f t="shared" si="266"/>
        <v>0</v>
      </c>
      <c r="CS126" s="207">
        <f t="shared" si="266"/>
        <v>0</v>
      </c>
      <c r="CT126" s="207">
        <f t="shared" si="266"/>
        <v>0</v>
      </c>
      <c r="CU126" s="207">
        <f t="shared" si="266"/>
        <v>0</v>
      </c>
      <c r="CV126" s="207">
        <f t="shared" si="266"/>
        <v>0</v>
      </c>
      <c r="CW126" s="207">
        <f t="shared" si="257"/>
        <v>0</v>
      </c>
      <c r="CX126" s="207">
        <f t="shared" si="257"/>
        <v>0</v>
      </c>
      <c r="CY126" s="207">
        <f t="shared" si="257"/>
        <v>0</v>
      </c>
    </row>
    <row r="127" spans="1:103" s="199" customFormat="1" ht="26.25" hidden="1" customHeight="1" outlineLevel="1" collapsed="1" x14ac:dyDescent="0.4">
      <c r="A127" s="379">
        <v>61</v>
      </c>
      <c r="B127" s="379" t="s">
        <v>45</v>
      </c>
      <c r="C127" s="379" t="s">
        <v>346</v>
      </c>
      <c r="D127" s="381"/>
      <c r="E127" s="381"/>
      <c r="F127" s="381"/>
      <c r="G127" s="416"/>
      <c r="H127" s="489">
        <f t="shared" ref="H127" si="281">SUM(BT127:CA127)</f>
        <v>0</v>
      </c>
      <c r="I127" s="489">
        <f t="shared" ref="I127" si="282">SUM(BT128:CA128)</f>
        <v>0</v>
      </c>
      <c r="J127" s="497"/>
      <c r="K127" s="491"/>
      <c r="L127" s="491"/>
      <c r="M127" s="493"/>
      <c r="N127" s="48" t="s">
        <v>24</v>
      </c>
      <c r="O127" s="187">
        <f t="shared" si="242"/>
        <v>0</v>
      </c>
      <c r="P127" s="187">
        <f t="shared" si="242"/>
        <v>0</v>
      </c>
      <c r="Q127" s="187">
        <f t="shared" si="242"/>
        <v>0</v>
      </c>
      <c r="R127" s="187">
        <f t="shared" si="242"/>
        <v>0</v>
      </c>
      <c r="S127" s="187">
        <f t="shared" si="242"/>
        <v>0</v>
      </c>
      <c r="T127" s="187">
        <f t="shared" si="242"/>
        <v>0</v>
      </c>
      <c r="U127" s="82">
        <f t="shared" si="242"/>
        <v>0</v>
      </c>
      <c r="V127" s="19">
        <f t="shared" si="243"/>
        <v>0</v>
      </c>
      <c r="W127" s="187">
        <f t="shared" si="243"/>
        <v>0</v>
      </c>
      <c r="X127" s="187">
        <f t="shared" si="243"/>
        <v>0</v>
      </c>
      <c r="Y127" s="187">
        <f t="shared" si="243"/>
        <v>0</v>
      </c>
      <c r="Z127" s="187">
        <f t="shared" si="243"/>
        <v>0</v>
      </c>
      <c r="AA127" s="187">
        <f t="shared" si="244"/>
        <v>0</v>
      </c>
      <c r="AB127" s="19">
        <f t="shared" si="244"/>
        <v>0</v>
      </c>
      <c r="AC127" s="187">
        <f t="shared" si="244"/>
        <v>0</v>
      </c>
      <c r="AD127" s="249">
        <f t="shared" si="244"/>
        <v>0</v>
      </c>
      <c r="AE127" s="187">
        <f t="shared" si="244"/>
        <v>0</v>
      </c>
      <c r="AF127" s="187">
        <f t="shared" si="244"/>
        <v>0</v>
      </c>
      <c r="AG127" s="187">
        <f t="shared" si="244"/>
        <v>0</v>
      </c>
      <c r="AH127" s="19">
        <f t="shared" si="278"/>
        <v>0</v>
      </c>
      <c r="AI127" s="187">
        <f t="shared" si="278"/>
        <v>0</v>
      </c>
      <c r="AJ127" s="187">
        <f t="shared" si="278"/>
        <v>0</v>
      </c>
      <c r="AK127" s="187">
        <f t="shared" si="278"/>
        <v>0</v>
      </c>
      <c r="AL127" s="187">
        <f t="shared" si="278"/>
        <v>0</v>
      </c>
      <c r="AM127" s="187">
        <f t="shared" si="246"/>
        <v>0</v>
      </c>
      <c r="AN127" s="19">
        <f t="shared" si="247"/>
        <v>0</v>
      </c>
      <c r="AO127" s="187">
        <f t="shared" si="247"/>
        <v>0</v>
      </c>
      <c r="AP127" s="187">
        <f t="shared" si="247"/>
        <v>0</v>
      </c>
      <c r="AQ127" s="187">
        <f t="shared" si="247"/>
        <v>0</v>
      </c>
      <c r="AR127" s="187">
        <f t="shared" si="247"/>
        <v>0</v>
      </c>
      <c r="AS127" s="187">
        <f t="shared" si="248"/>
        <v>0</v>
      </c>
      <c r="AT127" s="187">
        <f t="shared" si="248"/>
        <v>0</v>
      </c>
      <c r="AU127" s="187">
        <f t="shared" si="248"/>
        <v>0</v>
      </c>
      <c r="AV127" s="73">
        <f t="shared" si="249"/>
        <v>0</v>
      </c>
      <c r="AW127" s="187">
        <f t="shared" si="249"/>
        <v>0</v>
      </c>
      <c r="AX127" s="187">
        <f t="shared" si="249"/>
        <v>0</v>
      </c>
      <c r="AY127" s="187">
        <f t="shared" si="249"/>
        <v>0</v>
      </c>
      <c r="AZ127" s="187">
        <f t="shared" si="249"/>
        <v>0</v>
      </c>
      <c r="BA127" s="187">
        <f t="shared" si="249"/>
        <v>0</v>
      </c>
      <c r="BB127" s="187">
        <f t="shared" si="249"/>
        <v>0</v>
      </c>
      <c r="BC127" s="187">
        <f t="shared" si="249"/>
        <v>0</v>
      </c>
      <c r="BD127" s="19">
        <f t="shared" si="250"/>
        <v>0</v>
      </c>
      <c r="BE127" s="187">
        <f t="shared" si="250"/>
        <v>0</v>
      </c>
      <c r="BF127" s="187">
        <f t="shared" si="250"/>
        <v>0</v>
      </c>
      <c r="BG127" s="187">
        <f t="shared" si="250"/>
        <v>0</v>
      </c>
      <c r="BH127" s="187">
        <f t="shared" si="250"/>
        <v>0</v>
      </c>
      <c r="BI127" s="187">
        <f t="shared" si="251"/>
        <v>0</v>
      </c>
      <c r="BJ127" s="187">
        <f t="shared" si="251"/>
        <v>0</v>
      </c>
      <c r="BK127" s="187">
        <f t="shared" si="251"/>
        <v>0</v>
      </c>
      <c r="BL127" s="223">
        <f t="shared" si="264"/>
        <v>0</v>
      </c>
      <c r="BM127" s="249">
        <f t="shared" si="264"/>
        <v>0</v>
      </c>
      <c r="BN127" s="249">
        <f t="shared" si="264"/>
        <v>0</v>
      </c>
      <c r="BO127" s="249">
        <f t="shared" si="264"/>
        <v>0</v>
      </c>
      <c r="BP127" s="249">
        <f t="shared" si="264"/>
        <v>0</v>
      </c>
      <c r="BQ127" s="187">
        <f t="shared" si="252"/>
        <v>0</v>
      </c>
      <c r="BR127" s="187">
        <f t="shared" si="252"/>
        <v>0</v>
      </c>
      <c r="BS127" s="187">
        <f t="shared" si="252"/>
        <v>0</v>
      </c>
      <c r="BT127" s="73">
        <f t="shared" si="269"/>
        <v>0</v>
      </c>
      <c r="BU127" s="187">
        <f t="shared" si="269"/>
        <v>0</v>
      </c>
      <c r="BV127" s="187">
        <f t="shared" si="269"/>
        <v>0</v>
      </c>
      <c r="BW127" s="187">
        <f t="shared" si="269"/>
        <v>0</v>
      </c>
      <c r="BX127" s="187">
        <f t="shared" si="269"/>
        <v>0</v>
      </c>
      <c r="BY127" s="187">
        <f t="shared" si="253"/>
        <v>0</v>
      </c>
      <c r="BZ127" s="187">
        <f t="shared" si="253"/>
        <v>0</v>
      </c>
      <c r="CA127" s="187">
        <f t="shared" si="253"/>
        <v>0</v>
      </c>
      <c r="CB127" s="73">
        <f t="shared" si="254"/>
        <v>0</v>
      </c>
      <c r="CC127" s="187">
        <f t="shared" si="254"/>
        <v>0</v>
      </c>
      <c r="CD127" s="187">
        <f t="shared" si="254"/>
        <v>0</v>
      </c>
      <c r="CE127" s="187">
        <f t="shared" si="254"/>
        <v>0</v>
      </c>
      <c r="CF127" s="187">
        <f t="shared" si="254"/>
        <v>0</v>
      </c>
      <c r="CG127" s="187">
        <f t="shared" si="255"/>
        <v>0</v>
      </c>
      <c r="CH127" s="187">
        <f t="shared" si="255"/>
        <v>0</v>
      </c>
      <c r="CI127" s="187">
        <f t="shared" si="255"/>
        <v>0</v>
      </c>
      <c r="CJ127" s="73">
        <f t="shared" si="265"/>
        <v>0</v>
      </c>
      <c r="CK127" s="187">
        <f t="shared" si="265"/>
        <v>0</v>
      </c>
      <c r="CL127" s="187">
        <f t="shared" si="265"/>
        <v>0</v>
      </c>
      <c r="CM127" s="187">
        <f t="shared" si="265"/>
        <v>0</v>
      </c>
      <c r="CN127" s="187">
        <f t="shared" si="265"/>
        <v>0</v>
      </c>
      <c r="CO127" s="187">
        <f t="shared" si="256"/>
        <v>0</v>
      </c>
      <c r="CP127" s="187">
        <f t="shared" si="256"/>
        <v>0</v>
      </c>
      <c r="CQ127" s="187">
        <f t="shared" si="256"/>
        <v>0</v>
      </c>
      <c r="CR127" s="73">
        <f t="shared" si="266"/>
        <v>0</v>
      </c>
      <c r="CS127" s="187">
        <f t="shared" si="266"/>
        <v>0</v>
      </c>
      <c r="CT127" s="187">
        <f t="shared" si="266"/>
        <v>0</v>
      </c>
      <c r="CU127" s="187">
        <f t="shared" si="266"/>
        <v>0</v>
      </c>
      <c r="CV127" s="187">
        <f t="shared" si="266"/>
        <v>0</v>
      </c>
      <c r="CW127" s="187">
        <f t="shared" si="257"/>
        <v>0</v>
      </c>
      <c r="CX127" s="187">
        <f t="shared" si="257"/>
        <v>0</v>
      </c>
      <c r="CY127" s="187">
        <f t="shared" si="257"/>
        <v>0</v>
      </c>
    </row>
    <row r="128" spans="1:103" s="199" customFormat="1" ht="26.25" hidden="1" customHeight="1" outlineLevel="1" x14ac:dyDescent="0.4">
      <c r="A128" s="380"/>
      <c r="B128" s="380"/>
      <c r="C128" s="380"/>
      <c r="D128" s="382"/>
      <c r="E128" s="382"/>
      <c r="F128" s="382"/>
      <c r="G128" s="416"/>
      <c r="H128" s="490"/>
      <c r="I128" s="490"/>
      <c r="J128" s="498"/>
      <c r="K128" s="492"/>
      <c r="L128" s="492"/>
      <c r="M128" s="494"/>
      <c r="N128" s="39" t="s">
        <v>25</v>
      </c>
      <c r="O128" s="207">
        <f t="shared" si="242"/>
        <v>0</v>
      </c>
      <c r="P128" s="207">
        <f t="shared" si="242"/>
        <v>0</v>
      </c>
      <c r="Q128" s="207">
        <f t="shared" si="242"/>
        <v>0</v>
      </c>
      <c r="R128" s="207">
        <f t="shared" si="242"/>
        <v>0</v>
      </c>
      <c r="S128" s="207">
        <f t="shared" si="242"/>
        <v>0</v>
      </c>
      <c r="T128" s="207">
        <f t="shared" si="242"/>
        <v>0</v>
      </c>
      <c r="U128" s="49">
        <f t="shared" si="242"/>
        <v>0</v>
      </c>
      <c r="V128" s="57">
        <f t="shared" si="243"/>
        <v>0</v>
      </c>
      <c r="W128" s="18">
        <f t="shared" si="243"/>
        <v>0</v>
      </c>
      <c r="X128" s="18">
        <f t="shared" si="243"/>
        <v>0</v>
      </c>
      <c r="Y128" s="18">
        <f t="shared" si="243"/>
        <v>0</v>
      </c>
      <c r="Z128" s="18">
        <f t="shared" si="243"/>
        <v>0</v>
      </c>
      <c r="AA128" s="18">
        <f t="shared" si="244"/>
        <v>0</v>
      </c>
      <c r="AB128" s="42">
        <f t="shared" si="244"/>
        <v>0</v>
      </c>
      <c r="AC128" s="52">
        <f t="shared" si="244"/>
        <v>0</v>
      </c>
      <c r="AD128" s="207">
        <f t="shared" si="244"/>
        <v>0</v>
      </c>
      <c r="AE128" s="207">
        <f t="shared" si="244"/>
        <v>0</v>
      </c>
      <c r="AF128" s="207">
        <f t="shared" si="244"/>
        <v>0</v>
      </c>
      <c r="AG128" s="18">
        <f t="shared" si="244"/>
        <v>0</v>
      </c>
      <c r="AH128" s="51">
        <f t="shared" si="278"/>
        <v>0</v>
      </c>
      <c r="AI128" s="52">
        <f t="shared" si="278"/>
        <v>0</v>
      </c>
      <c r="AJ128" s="52">
        <f t="shared" si="278"/>
        <v>0</v>
      </c>
      <c r="AK128" s="52">
        <f t="shared" si="278"/>
        <v>0</v>
      </c>
      <c r="AL128" s="52">
        <f t="shared" si="278"/>
        <v>0</v>
      </c>
      <c r="AM128" s="18">
        <f t="shared" si="246"/>
        <v>0</v>
      </c>
      <c r="AN128" s="42">
        <f t="shared" si="247"/>
        <v>0</v>
      </c>
      <c r="AO128" s="207">
        <f t="shared" si="247"/>
        <v>0</v>
      </c>
      <c r="AP128" s="207">
        <f t="shared" si="247"/>
        <v>0</v>
      </c>
      <c r="AQ128" s="207">
        <f t="shared" si="247"/>
        <v>0</v>
      </c>
      <c r="AR128" s="207">
        <f t="shared" si="247"/>
        <v>0</v>
      </c>
      <c r="AS128" s="207">
        <f t="shared" si="248"/>
        <v>0</v>
      </c>
      <c r="AT128" s="207">
        <f t="shared" si="248"/>
        <v>0</v>
      </c>
      <c r="AU128" s="18">
        <f t="shared" si="248"/>
        <v>0</v>
      </c>
      <c r="AV128" s="42">
        <f t="shared" si="249"/>
        <v>0</v>
      </c>
      <c r="AW128" s="207">
        <f t="shared" si="249"/>
        <v>0</v>
      </c>
      <c r="AX128" s="207">
        <f t="shared" si="249"/>
        <v>0</v>
      </c>
      <c r="AY128" s="207">
        <f t="shared" si="249"/>
        <v>0</v>
      </c>
      <c r="AZ128" s="207">
        <f t="shared" si="249"/>
        <v>0</v>
      </c>
      <c r="BA128" s="207">
        <f t="shared" si="249"/>
        <v>0</v>
      </c>
      <c r="BB128" s="207">
        <f t="shared" si="249"/>
        <v>0</v>
      </c>
      <c r="BC128" s="18">
        <f t="shared" si="249"/>
        <v>0</v>
      </c>
      <c r="BD128" s="42">
        <f t="shared" si="250"/>
        <v>0</v>
      </c>
      <c r="BE128" s="207">
        <f t="shared" si="250"/>
        <v>0</v>
      </c>
      <c r="BF128" s="207">
        <f t="shared" si="250"/>
        <v>0</v>
      </c>
      <c r="BG128" s="207">
        <f t="shared" si="250"/>
        <v>0</v>
      </c>
      <c r="BH128" s="207">
        <f t="shared" si="250"/>
        <v>0</v>
      </c>
      <c r="BI128" s="207">
        <f t="shared" si="251"/>
        <v>0</v>
      </c>
      <c r="BJ128" s="207">
        <f t="shared" si="251"/>
        <v>0</v>
      </c>
      <c r="BK128" s="18">
        <f t="shared" si="251"/>
        <v>0</v>
      </c>
      <c r="BL128" s="20">
        <f t="shared" si="264"/>
        <v>0</v>
      </c>
      <c r="BM128" s="207">
        <f t="shared" si="264"/>
        <v>0</v>
      </c>
      <c r="BN128" s="207">
        <f t="shared" si="264"/>
        <v>0</v>
      </c>
      <c r="BO128" s="207">
        <f t="shared" si="264"/>
        <v>0</v>
      </c>
      <c r="BP128" s="207">
        <f t="shared" si="264"/>
        <v>0</v>
      </c>
      <c r="BQ128" s="207">
        <f t="shared" si="252"/>
        <v>0</v>
      </c>
      <c r="BR128" s="207">
        <f t="shared" si="252"/>
        <v>0</v>
      </c>
      <c r="BS128" s="18">
        <f t="shared" si="252"/>
        <v>0</v>
      </c>
      <c r="BT128" s="224">
        <f t="shared" si="269"/>
        <v>0</v>
      </c>
      <c r="BU128" s="207">
        <f t="shared" si="269"/>
        <v>0</v>
      </c>
      <c r="BV128" s="207">
        <f t="shared" si="269"/>
        <v>0</v>
      </c>
      <c r="BW128" s="207">
        <f t="shared" si="269"/>
        <v>0</v>
      </c>
      <c r="BX128" s="207">
        <f t="shared" si="269"/>
        <v>0</v>
      </c>
      <c r="BY128" s="207">
        <f t="shared" si="253"/>
        <v>0</v>
      </c>
      <c r="BZ128" s="207">
        <f t="shared" si="253"/>
        <v>0</v>
      </c>
      <c r="CA128" s="18">
        <f t="shared" si="253"/>
        <v>0</v>
      </c>
      <c r="CB128" s="224">
        <f t="shared" si="254"/>
        <v>0</v>
      </c>
      <c r="CC128" s="250">
        <f t="shared" si="254"/>
        <v>0</v>
      </c>
      <c r="CD128" s="250">
        <f t="shared" si="254"/>
        <v>0</v>
      </c>
      <c r="CE128" s="250">
        <f t="shared" si="254"/>
        <v>0</v>
      </c>
      <c r="CF128" s="250">
        <f t="shared" si="254"/>
        <v>0</v>
      </c>
      <c r="CG128" s="207">
        <f t="shared" si="255"/>
        <v>0</v>
      </c>
      <c r="CH128" s="207">
        <f t="shared" si="255"/>
        <v>0</v>
      </c>
      <c r="CI128" s="18">
        <f t="shared" si="255"/>
        <v>0</v>
      </c>
      <c r="CJ128" s="224">
        <f t="shared" si="265"/>
        <v>0</v>
      </c>
      <c r="CK128" s="207">
        <f t="shared" si="265"/>
        <v>0</v>
      </c>
      <c r="CL128" s="207">
        <f t="shared" si="265"/>
        <v>0</v>
      </c>
      <c r="CM128" s="207">
        <f t="shared" si="265"/>
        <v>0</v>
      </c>
      <c r="CN128" s="207">
        <f t="shared" si="265"/>
        <v>0</v>
      </c>
      <c r="CO128" s="207">
        <f t="shared" si="256"/>
        <v>0</v>
      </c>
      <c r="CP128" s="207">
        <f t="shared" si="256"/>
        <v>0</v>
      </c>
      <c r="CQ128" s="18">
        <f t="shared" si="256"/>
        <v>0</v>
      </c>
      <c r="CR128" s="42">
        <f t="shared" si="266"/>
        <v>0</v>
      </c>
      <c r="CS128" s="207">
        <f t="shared" si="266"/>
        <v>0</v>
      </c>
      <c r="CT128" s="207">
        <f t="shared" si="266"/>
        <v>0</v>
      </c>
      <c r="CU128" s="207">
        <f t="shared" si="266"/>
        <v>0</v>
      </c>
      <c r="CV128" s="207">
        <f t="shared" si="266"/>
        <v>0</v>
      </c>
      <c r="CW128" s="207">
        <f t="shared" si="257"/>
        <v>0</v>
      </c>
      <c r="CX128" s="207">
        <f t="shared" si="257"/>
        <v>0</v>
      </c>
      <c r="CY128" s="207">
        <f t="shared" si="257"/>
        <v>0</v>
      </c>
    </row>
    <row r="129" spans="1:103" s="199" customFormat="1" ht="26.25" hidden="1" customHeight="1" outlineLevel="1" collapsed="1" x14ac:dyDescent="0.4">
      <c r="A129" s="379">
        <v>62</v>
      </c>
      <c r="B129" s="379" t="s">
        <v>45</v>
      </c>
      <c r="C129" s="379" t="s">
        <v>346</v>
      </c>
      <c r="D129" s="381"/>
      <c r="E129" s="381"/>
      <c r="F129" s="381"/>
      <c r="G129" s="416"/>
      <c r="H129" s="489">
        <f t="shared" ref="H129" si="283">SUM(BT129:CA129)</f>
        <v>0</v>
      </c>
      <c r="I129" s="489">
        <f t="shared" ref="I129" si="284">SUM(BT130:CA130)</f>
        <v>0</v>
      </c>
      <c r="J129" s="497"/>
      <c r="K129" s="491"/>
      <c r="L129" s="491"/>
      <c r="M129" s="493"/>
      <c r="N129" s="48" t="s">
        <v>24</v>
      </c>
      <c r="O129" s="187">
        <f t="shared" si="242"/>
        <v>0</v>
      </c>
      <c r="P129" s="187">
        <f t="shared" si="242"/>
        <v>0</v>
      </c>
      <c r="Q129" s="187">
        <f t="shared" si="242"/>
        <v>0</v>
      </c>
      <c r="R129" s="187">
        <f t="shared" si="242"/>
        <v>0</v>
      </c>
      <c r="S129" s="187">
        <f t="shared" si="242"/>
        <v>0</v>
      </c>
      <c r="T129" s="187">
        <f t="shared" si="242"/>
        <v>0</v>
      </c>
      <c r="U129" s="82">
        <f t="shared" si="242"/>
        <v>0</v>
      </c>
      <c r="V129" s="19">
        <f t="shared" si="243"/>
        <v>0</v>
      </c>
      <c r="W129" s="187">
        <f t="shared" si="243"/>
        <v>0</v>
      </c>
      <c r="X129" s="187">
        <f t="shared" si="243"/>
        <v>0</v>
      </c>
      <c r="Y129" s="187">
        <f t="shared" si="243"/>
        <v>0</v>
      </c>
      <c r="Z129" s="187">
        <f t="shared" si="243"/>
        <v>0</v>
      </c>
      <c r="AA129" s="187">
        <f t="shared" si="244"/>
        <v>0</v>
      </c>
      <c r="AB129" s="19">
        <f t="shared" si="244"/>
        <v>0</v>
      </c>
      <c r="AC129" s="187">
        <f t="shared" si="244"/>
        <v>0</v>
      </c>
      <c r="AD129" s="249">
        <f t="shared" si="244"/>
        <v>0</v>
      </c>
      <c r="AE129" s="187">
        <f t="shared" si="244"/>
        <v>0</v>
      </c>
      <c r="AF129" s="187">
        <f t="shared" si="244"/>
        <v>0</v>
      </c>
      <c r="AG129" s="187">
        <f t="shared" si="244"/>
        <v>0</v>
      </c>
      <c r="AH129" s="19">
        <f t="shared" si="278"/>
        <v>0</v>
      </c>
      <c r="AI129" s="187">
        <f t="shared" si="278"/>
        <v>0</v>
      </c>
      <c r="AJ129" s="187">
        <f t="shared" si="278"/>
        <v>0</v>
      </c>
      <c r="AK129" s="187">
        <f t="shared" si="278"/>
        <v>0</v>
      </c>
      <c r="AL129" s="187">
        <f t="shared" si="278"/>
        <v>0</v>
      </c>
      <c r="AM129" s="187">
        <f t="shared" si="246"/>
        <v>0</v>
      </c>
      <c r="AN129" s="19">
        <f t="shared" si="247"/>
        <v>0</v>
      </c>
      <c r="AO129" s="187">
        <f t="shared" si="247"/>
        <v>0</v>
      </c>
      <c r="AP129" s="187">
        <f t="shared" si="247"/>
        <v>0</v>
      </c>
      <c r="AQ129" s="187">
        <f t="shared" si="247"/>
        <v>0</v>
      </c>
      <c r="AR129" s="187">
        <f t="shared" si="247"/>
        <v>0</v>
      </c>
      <c r="AS129" s="187">
        <f t="shared" si="248"/>
        <v>0</v>
      </c>
      <c r="AT129" s="187">
        <f t="shared" si="248"/>
        <v>0</v>
      </c>
      <c r="AU129" s="187">
        <f t="shared" si="248"/>
        <v>0</v>
      </c>
      <c r="AV129" s="73">
        <f t="shared" si="249"/>
        <v>0</v>
      </c>
      <c r="AW129" s="187">
        <f t="shared" si="249"/>
        <v>0</v>
      </c>
      <c r="AX129" s="187">
        <f t="shared" si="249"/>
        <v>0</v>
      </c>
      <c r="AY129" s="187">
        <f t="shared" si="249"/>
        <v>0</v>
      </c>
      <c r="AZ129" s="187">
        <f t="shared" si="249"/>
        <v>0</v>
      </c>
      <c r="BA129" s="187">
        <f t="shared" si="249"/>
        <v>0</v>
      </c>
      <c r="BB129" s="187">
        <f t="shared" si="249"/>
        <v>0</v>
      </c>
      <c r="BC129" s="187">
        <f t="shared" si="249"/>
        <v>0</v>
      </c>
      <c r="BD129" s="19">
        <f t="shared" si="250"/>
        <v>0</v>
      </c>
      <c r="BE129" s="187">
        <f t="shared" si="250"/>
        <v>0</v>
      </c>
      <c r="BF129" s="187">
        <f t="shared" si="250"/>
        <v>0</v>
      </c>
      <c r="BG129" s="187">
        <f t="shared" si="250"/>
        <v>0</v>
      </c>
      <c r="BH129" s="187">
        <f t="shared" si="250"/>
        <v>0</v>
      </c>
      <c r="BI129" s="187">
        <f t="shared" si="251"/>
        <v>0</v>
      </c>
      <c r="BJ129" s="187">
        <f t="shared" si="251"/>
        <v>0</v>
      </c>
      <c r="BK129" s="187">
        <f t="shared" si="251"/>
        <v>0</v>
      </c>
      <c r="BL129" s="223">
        <f t="shared" ref="BL129:BP144" si="285">0/142.5</f>
        <v>0</v>
      </c>
      <c r="BM129" s="249">
        <f t="shared" si="285"/>
        <v>0</v>
      </c>
      <c r="BN129" s="249">
        <f t="shared" si="285"/>
        <v>0</v>
      </c>
      <c r="BO129" s="249">
        <f t="shared" si="285"/>
        <v>0</v>
      </c>
      <c r="BP129" s="249">
        <f t="shared" si="285"/>
        <v>0</v>
      </c>
      <c r="BQ129" s="187">
        <f t="shared" si="252"/>
        <v>0</v>
      </c>
      <c r="BR129" s="187">
        <f t="shared" si="252"/>
        <v>0</v>
      </c>
      <c r="BS129" s="187">
        <f t="shared" si="252"/>
        <v>0</v>
      </c>
      <c r="BT129" s="73">
        <f t="shared" si="269"/>
        <v>0</v>
      </c>
      <c r="BU129" s="187">
        <f t="shared" si="269"/>
        <v>0</v>
      </c>
      <c r="BV129" s="187">
        <f t="shared" si="269"/>
        <v>0</v>
      </c>
      <c r="BW129" s="187">
        <f t="shared" si="269"/>
        <v>0</v>
      </c>
      <c r="BX129" s="187">
        <f t="shared" si="269"/>
        <v>0</v>
      </c>
      <c r="BY129" s="187">
        <f t="shared" si="253"/>
        <v>0</v>
      </c>
      <c r="BZ129" s="187">
        <f t="shared" si="253"/>
        <v>0</v>
      </c>
      <c r="CA129" s="187">
        <f t="shared" si="253"/>
        <v>0</v>
      </c>
      <c r="CB129" s="73">
        <f t="shared" si="254"/>
        <v>0</v>
      </c>
      <c r="CC129" s="187">
        <f t="shared" si="254"/>
        <v>0</v>
      </c>
      <c r="CD129" s="187">
        <f t="shared" si="254"/>
        <v>0</v>
      </c>
      <c r="CE129" s="187">
        <f t="shared" si="254"/>
        <v>0</v>
      </c>
      <c r="CF129" s="187">
        <f t="shared" si="254"/>
        <v>0</v>
      </c>
      <c r="CG129" s="187">
        <f t="shared" si="255"/>
        <v>0</v>
      </c>
      <c r="CH129" s="187">
        <f t="shared" si="255"/>
        <v>0</v>
      </c>
      <c r="CI129" s="187">
        <f t="shared" si="255"/>
        <v>0</v>
      </c>
      <c r="CJ129" s="73">
        <f t="shared" ref="CJ129:CN144" si="286">0/157.5</f>
        <v>0</v>
      </c>
      <c r="CK129" s="187">
        <f t="shared" si="286"/>
        <v>0</v>
      </c>
      <c r="CL129" s="187">
        <f t="shared" si="286"/>
        <v>0</v>
      </c>
      <c r="CM129" s="187">
        <f t="shared" si="286"/>
        <v>0</v>
      </c>
      <c r="CN129" s="187">
        <f t="shared" si="286"/>
        <v>0</v>
      </c>
      <c r="CO129" s="187">
        <f t="shared" si="256"/>
        <v>0</v>
      </c>
      <c r="CP129" s="187">
        <f t="shared" si="256"/>
        <v>0</v>
      </c>
      <c r="CQ129" s="187">
        <f t="shared" si="256"/>
        <v>0</v>
      </c>
      <c r="CR129" s="73">
        <f t="shared" ref="CR129:CV144" si="287">0/142.5</f>
        <v>0</v>
      </c>
      <c r="CS129" s="187">
        <f t="shared" si="287"/>
        <v>0</v>
      </c>
      <c r="CT129" s="187">
        <f t="shared" si="287"/>
        <v>0</v>
      </c>
      <c r="CU129" s="187">
        <f t="shared" si="287"/>
        <v>0</v>
      </c>
      <c r="CV129" s="187">
        <f t="shared" si="287"/>
        <v>0</v>
      </c>
      <c r="CW129" s="187">
        <f t="shared" si="257"/>
        <v>0</v>
      </c>
      <c r="CX129" s="187">
        <f t="shared" si="257"/>
        <v>0</v>
      </c>
      <c r="CY129" s="187">
        <f t="shared" si="257"/>
        <v>0</v>
      </c>
    </row>
    <row r="130" spans="1:103" s="199" customFormat="1" ht="26.25" hidden="1" customHeight="1" outlineLevel="1" x14ac:dyDescent="0.4">
      <c r="A130" s="380"/>
      <c r="B130" s="380"/>
      <c r="C130" s="380"/>
      <c r="D130" s="382"/>
      <c r="E130" s="382"/>
      <c r="F130" s="382"/>
      <c r="G130" s="416"/>
      <c r="H130" s="490"/>
      <c r="I130" s="490"/>
      <c r="J130" s="498"/>
      <c r="K130" s="492"/>
      <c r="L130" s="492"/>
      <c r="M130" s="494"/>
      <c r="N130" s="39" t="s">
        <v>25</v>
      </c>
      <c r="O130" s="207">
        <f t="shared" si="242"/>
        <v>0</v>
      </c>
      <c r="P130" s="207">
        <f t="shared" si="242"/>
        <v>0</v>
      </c>
      <c r="Q130" s="207">
        <f t="shared" si="242"/>
        <v>0</v>
      </c>
      <c r="R130" s="207">
        <f t="shared" si="242"/>
        <v>0</v>
      </c>
      <c r="S130" s="207">
        <f t="shared" si="242"/>
        <v>0</v>
      </c>
      <c r="T130" s="207">
        <f t="shared" si="242"/>
        <v>0</v>
      </c>
      <c r="U130" s="49">
        <f t="shared" si="242"/>
        <v>0</v>
      </c>
      <c r="V130" s="57">
        <f t="shared" si="243"/>
        <v>0</v>
      </c>
      <c r="W130" s="18">
        <f t="shared" si="243"/>
        <v>0</v>
      </c>
      <c r="X130" s="18">
        <f t="shared" si="243"/>
        <v>0</v>
      </c>
      <c r="Y130" s="18">
        <f t="shared" si="243"/>
        <v>0</v>
      </c>
      <c r="Z130" s="18">
        <f t="shared" si="243"/>
        <v>0</v>
      </c>
      <c r="AA130" s="18">
        <f t="shared" ref="AA130:AG146" si="288">0/165</f>
        <v>0</v>
      </c>
      <c r="AB130" s="42">
        <f t="shared" si="288"/>
        <v>0</v>
      </c>
      <c r="AC130" s="52">
        <f t="shared" si="288"/>
        <v>0</v>
      </c>
      <c r="AD130" s="207">
        <f t="shared" si="288"/>
        <v>0</v>
      </c>
      <c r="AE130" s="207">
        <f t="shared" si="288"/>
        <v>0</v>
      </c>
      <c r="AF130" s="207">
        <f t="shared" si="288"/>
        <v>0</v>
      </c>
      <c r="AG130" s="18">
        <f t="shared" si="288"/>
        <v>0</v>
      </c>
      <c r="AH130" s="51">
        <f t="shared" si="278"/>
        <v>0</v>
      </c>
      <c r="AI130" s="52">
        <f t="shared" si="278"/>
        <v>0</v>
      </c>
      <c r="AJ130" s="52">
        <f t="shared" si="278"/>
        <v>0</v>
      </c>
      <c r="AK130" s="52">
        <f t="shared" si="278"/>
        <v>0</v>
      </c>
      <c r="AL130" s="52">
        <f t="shared" si="278"/>
        <v>0</v>
      </c>
      <c r="AM130" s="18">
        <f t="shared" si="246"/>
        <v>0</v>
      </c>
      <c r="AN130" s="42">
        <f t="shared" si="247"/>
        <v>0</v>
      </c>
      <c r="AO130" s="207">
        <f t="shared" si="247"/>
        <v>0</v>
      </c>
      <c r="AP130" s="207">
        <f t="shared" si="247"/>
        <v>0</v>
      </c>
      <c r="AQ130" s="207">
        <f t="shared" si="247"/>
        <v>0</v>
      </c>
      <c r="AR130" s="207">
        <f t="shared" si="247"/>
        <v>0</v>
      </c>
      <c r="AS130" s="207">
        <f t="shared" si="248"/>
        <v>0</v>
      </c>
      <c r="AT130" s="207">
        <f t="shared" si="248"/>
        <v>0</v>
      </c>
      <c r="AU130" s="18">
        <f t="shared" si="248"/>
        <v>0</v>
      </c>
      <c r="AV130" s="42">
        <f t="shared" si="249"/>
        <v>0</v>
      </c>
      <c r="AW130" s="207">
        <f t="shared" si="249"/>
        <v>0</v>
      </c>
      <c r="AX130" s="207">
        <f t="shared" si="249"/>
        <v>0</v>
      </c>
      <c r="AY130" s="207">
        <f t="shared" si="249"/>
        <v>0</v>
      </c>
      <c r="AZ130" s="207">
        <f t="shared" si="249"/>
        <v>0</v>
      </c>
      <c r="BA130" s="207">
        <f t="shared" si="249"/>
        <v>0</v>
      </c>
      <c r="BB130" s="207">
        <f t="shared" si="249"/>
        <v>0</v>
      </c>
      <c r="BC130" s="18">
        <f t="shared" si="249"/>
        <v>0</v>
      </c>
      <c r="BD130" s="42">
        <f t="shared" si="250"/>
        <v>0</v>
      </c>
      <c r="BE130" s="207">
        <f t="shared" si="250"/>
        <v>0</v>
      </c>
      <c r="BF130" s="207">
        <f t="shared" si="250"/>
        <v>0</v>
      </c>
      <c r="BG130" s="207">
        <f t="shared" si="250"/>
        <v>0</v>
      </c>
      <c r="BH130" s="207">
        <f t="shared" si="250"/>
        <v>0</v>
      </c>
      <c r="BI130" s="207">
        <f t="shared" si="251"/>
        <v>0</v>
      </c>
      <c r="BJ130" s="207">
        <f t="shared" si="251"/>
        <v>0</v>
      </c>
      <c r="BK130" s="18">
        <f t="shared" si="251"/>
        <v>0</v>
      </c>
      <c r="BL130" s="20">
        <f t="shared" si="285"/>
        <v>0</v>
      </c>
      <c r="BM130" s="207">
        <f t="shared" si="285"/>
        <v>0</v>
      </c>
      <c r="BN130" s="207">
        <f t="shared" si="285"/>
        <v>0</v>
      </c>
      <c r="BO130" s="207">
        <f t="shared" si="285"/>
        <v>0</v>
      </c>
      <c r="BP130" s="207">
        <f t="shared" si="285"/>
        <v>0</v>
      </c>
      <c r="BQ130" s="207">
        <f t="shared" si="252"/>
        <v>0</v>
      </c>
      <c r="BR130" s="207">
        <f t="shared" si="252"/>
        <v>0</v>
      </c>
      <c r="BS130" s="18">
        <f t="shared" si="252"/>
        <v>0</v>
      </c>
      <c r="BT130" s="224">
        <f t="shared" si="269"/>
        <v>0</v>
      </c>
      <c r="BU130" s="207">
        <f t="shared" si="269"/>
        <v>0</v>
      </c>
      <c r="BV130" s="207">
        <f t="shared" si="269"/>
        <v>0</v>
      </c>
      <c r="BW130" s="207">
        <f t="shared" si="269"/>
        <v>0</v>
      </c>
      <c r="BX130" s="207">
        <f t="shared" si="269"/>
        <v>0</v>
      </c>
      <c r="BY130" s="207">
        <f t="shared" si="253"/>
        <v>0</v>
      </c>
      <c r="BZ130" s="207">
        <f t="shared" si="253"/>
        <v>0</v>
      </c>
      <c r="CA130" s="18">
        <f t="shared" si="253"/>
        <v>0</v>
      </c>
      <c r="CB130" s="224">
        <f t="shared" si="254"/>
        <v>0</v>
      </c>
      <c r="CC130" s="250">
        <f t="shared" si="254"/>
        <v>0</v>
      </c>
      <c r="CD130" s="250">
        <f t="shared" si="254"/>
        <v>0</v>
      </c>
      <c r="CE130" s="250">
        <f t="shared" si="254"/>
        <v>0</v>
      </c>
      <c r="CF130" s="250">
        <f t="shared" si="254"/>
        <v>0</v>
      </c>
      <c r="CG130" s="207">
        <f t="shared" si="255"/>
        <v>0</v>
      </c>
      <c r="CH130" s="207">
        <f t="shared" si="255"/>
        <v>0</v>
      </c>
      <c r="CI130" s="18">
        <f t="shared" si="255"/>
        <v>0</v>
      </c>
      <c r="CJ130" s="224">
        <f t="shared" si="286"/>
        <v>0</v>
      </c>
      <c r="CK130" s="207">
        <f t="shared" si="286"/>
        <v>0</v>
      </c>
      <c r="CL130" s="207">
        <f t="shared" si="286"/>
        <v>0</v>
      </c>
      <c r="CM130" s="207">
        <f t="shared" si="286"/>
        <v>0</v>
      </c>
      <c r="CN130" s="207">
        <f t="shared" si="286"/>
        <v>0</v>
      </c>
      <c r="CO130" s="207">
        <f t="shared" si="256"/>
        <v>0</v>
      </c>
      <c r="CP130" s="207">
        <f t="shared" si="256"/>
        <v>0</v>
      </c>
      <c r="CQ130" s="18">
        <f t="shared" si="256"/>
        <v>0</v>
      </c>
      <c r="CR130" s="42">
        <f t="shared" si="287"/>
        <v>0</v>
      </c>
      <c r="CS130" s="207">
        <f t="shared" si="287"/>
        <v>0</v>
      </c>
      <c r="CT130" s="207">
        <f t="shared" si="287"/>
        <v>0</v>
      </c>
      <c r="CU130" s="207">
        <f t="shared" si="287"/>
        <v>0</v>
      </c>
      <c r="CV130" s="207">
        <f t="shared" si="287"/>
        <v>0</v>
      </c>
      <c r="CW130" s="207">
        <f t="shared" si="257"/>
        <v>0</v>
      </c>
      <c r="CX130" s="207">
        <f t="shared" si="257"/>
        <v>0</v>
      </c>
      <c r="CY130" s="207">
        <f t="shared" si="257"/>
        <v>0</v>
      </c>
    </row>
    <row r="131" spans="1:103" s="199" customFormat="1" ht="26.25" hidden="1" customHeight="1" outlineLevel="1" collapsed="1" x14ac:dyDescent="0.4">
      <c r="A131" s="379">
        <v>63</v>
      </c>
      <c r="B131" s="379" t="s">
        <v>45</v>
      </c>
      <c r="C131" s="379" t="s">
        <v>346</v>
      </c>
      <c r="D131" s="381"/>
      <c r="E131" s="381"/>
      <c r="F131" s="381"/>
      <c r="G131" s="416"/>
      <c r="H131" s="489">
        <f t="shared" ref="H131" si="289">SUM(BT131:CA131)</f>
        <v>0</v>
      </c>
      <c r="I131" s="489">
        <f t="shared" ref="I131" si="290">SUM(BT132:CA132)</f>
        <v>0</v>
      </c>
      <c r="J131" s="497"/>
      <c r="K131" s="491"/>
      <c r="L131" s="491"/>
      <c r="M131" s="493"/>
      <c r="N131" s="48" t="s">
        <v>24</v>
      </c>
      <c r="O131" s="187">
        <f t="shared" si="242"/>
        <v>0</v>
      </c>
      <c r="P131" s="187">
        <f t="shared" si="242"/>
        <v>0</v>
      </c>
      <c r="Q131" s="187">
        <f t="shared" si="242"/>
        <v>0</v>
      </c>
      <c r="R131" s="187">
        <f t="shared" si="242"/>
        <v>0</v>
      </c>
      <c r="S131" s="187">
        <f t="shared" si="242"/>
        <v>0</v>
      </c>
      <c r="T131" s="187">
        <f t="shared" si="242"/>
        <v>0</v>
      </c>
      <c r="U131" s="82">
        <f t="shared" si="242"/>
        <v>0</v>
      </c>
      <c r="V131" s="19">
        <f t="shared" si="243"/>
        <v>0</v>
      </c>
      <c r="W131" s="187">
        <f t="shared" si="243"/>
        <v>0</v>
      </c>
      <c r="X131" s="187">
        <f t="shared" si="243"/>
        <v>0</v>
      </c>
      <c r="Y131" s="187">
        <f t="shared" si="243"/>
        <v>0</v>
      </c>
      <c r="Z131" s="187">
        <f t="shared" si="243"/>
        <v>0</v>
      </c>
      <c r="AA131" s="187">
        <f t="shared" si="288"/>
        <v>0</v>
      </c>
      <c r="AB131" s="19">
        <f t="shared" si="288"/>
        <v>0</v>
      </c>
      <c r="AC131" s="187">
        <f t="shared" si="288"/>
        <v>0</v>
      </c>
      <c r="AD131" s="249">
        <f t="shared" si="288"/>
        <v>0</v>
      </c>
      <c r="AE131" s="187">
        <f t="shared" si="288"/>
        <v>0</v>
      </c>
      <c r="AF131" s="187">
        <f t="shared" si="288"/>
        <v>0</v>
      </c>
      <c r="AG131" s="187">
        <f t="shared" si="288"/>
        <v>0</v>
      </c>
      <c r="AH131" s="19">
        <f t="shared" si="278"/>
        <v>0</v>
      </c>
      <c r="AI131" s="187">
        <f t="shared" si="278"/>
        <v>0</v>
      </c>
      <c r="AJ131" s="187">
        <f t="shared" si="278"/>
        <v>0</v>
      </c>
      <c r="AK131" s="187">
        <f t="shared" si="278"/>
        <v>0</v>
      </c>
      <c r="AL131" s="187">
        <f t="shared" si="278"/>
        <v>0</v>
      </c>
      <c r="AM131" s="187">
        <f t="shared" si="246"/>
        <v>0</v>
      </c>
      <c r="AN131" s="19">
        <f t="shared" si="247"/>
        <v>0</v>
      </c>
      <c r="AO131" s="187">
        <f t="shared" si="247"/>
        <v>0</v>
      </c>
      <c r="AP131" s="187">
        <f t="shared" si="247"/>
        <v>0</v>
      </c>
      <c r="AQ131" s="187">
        <f t="shared" si="247"/>
        <v>0</v>
      </c>
      <c r="AR131" s="187">
        <f t="shared" si="247"/>
        <v>0</v>
      </c>
      <c r="AS131" s="187">
        <f t="shared" si="248"/>
        <v>0</v>
      </c>
      <c r="AT131" s="187">
        <f t="shared" si="248"/>
        <v>0</v>
      </c>
      <c r="AU131" s="187">
        <f t="shared" si="248"/>
        <v>0</v>
      </c>
      <c r="AV131" s="73">
        <f t="shared" si="249"/>
        <v>0</v>
      </c>
      <c r="AW131" s="187">
        <f t="shared" si="249"/>
        <v>0</v>
      </c>
      <c r="AX131" s="187">
        <f t="shared" si="249"/>
        <v>0</v>
      </c>
      <c r="AY131" s="187">
        <f t="shared" si="249"/>
        <v>0</v>
      </c>
      <c r="AZ131" s="187">
        <f t="shared" si="249"/>
        <v>0</v>
      </c>
      <c r="BA131" s="187">
        <f t="shared" si="249"/>
        <v>0</v>
      </c>
      <c r="BB131" s="187">
        <f t="shared" si="249"/>
        <v>0</v>
      </c>
      <c r="BC131" s="187">
        <f t="shared" si="249"/>
        <v>0</v>
      </c>
      <c r="BD131" s="19">
        <f t="shared" si="250"/>
        <v>0</v>
      </c>
      <c r="BE131" s="187">
        <f t="shared" si="250"/>
        <v>0</v>
      </c>
      <c r="BF131" s="187">
        <f t="shared" si="250"/>
        <v>0</v>
      </c>
      <c r="BG131" s="187">
        <f t="shared" si="250"/>
        <v>0</v>
      </c>
      <c r="BH131" s="187">
        <f t="shared" si="250"/>
        <v>0</v>
      </c>
      <c r="BI131" s="187">
        <f t="shared" si="251"/>
        <v>0</v>
      </c>
      <c r="BJ131" s="187">
        <f t="shared" si="251"/>
        <v>0</v>
      </c>
      <c r="BK131" s="187">
        <f t="shared" si="251"/>
        <v>0</v>
      </c>
      <c r="BL131" s="223">
        <f t="shared" si="285"/>
        <v>0</v>
      </c>
      <c r="BM131" s="249">
        <f t="shared" si="285"/>
        <v>0</v>
      </c>
      <c r="BN131" s="249">
        <f t="shared" si="285"/>
        <v>0</v>
      </c>
      <c r="BO131" s="249">
        <f t="shared" si="285"/>
        <v>0</v>
      </c>
      <c r="BP131" s="249">
        <f t="shared" si="285"/>
        <v>0</v>
      </c>
      <c r="BQ131" s="187">
        <f t="shared" si="252"/>
        <v>0</v>
      </c>
      <c r="BR131" s="187">
        <f t="shared" si="252"/>
        <v>0</v>
      </c>
      <c r="BS131" s="187">
        <f t="shared" si="252"/>
        <v>0</v>
      </c>
      <c r="BT131" s="73">
        <f t="shared" ref="BT131:BX146" si="291">0/157.5</f>
        <v>0</v>
      </c>
      <c r="BU131" s="187">
        <f t="shared" si="291"/>
        <v>0</v>
      </c>
      <c r="BV131" s="187">
        <f t="shared" si="291"/>
        <v>0</v>
      </c>
      <c r="BW131" s="187">
        <f t="shared" si="291"/>
        <v>0</v>
      </c>
      <c r="BX131" s="187">
        <f t="shared" si="291"/>
        <v>0</v>
      </c>
      <c r="BY131" s="187">
        <f t="shared" si="253"/>
        <v>0</v>
      </c>
      <c r="BZ131" s="187">
        <f t="shared" si="253"/>
        <v>0</v>
      </c>
      <c r="CA131" s="187">
        <f t="shared" si="253"/>
        <v>0</v>
      </c>
      <c r="CB131" s="73">
        <f t="shared" si="254"/>
        <v>0</v>
      </c>
      <c r="CC131" s="187">
        <f t="shared" si="254"/>
        <v>0</v>
      </c>
      <c r="CD131" s="187">
        <f t="shared" si="254"/>
        <v>0</v>
      </c>
      <c r="CE131" s="187">
        <f t="shared" si="254"/>
        <v>0</v>
      </c>
      <c r="CF131" s="187">
        <f t="shared" si="254"/>
        <v>0</v>
      </c>
      <c r="CG131" s="187">
        <f t="shared" si="255"/>
        <v>0</v>
      </c>
      <c r="CH131" s="187">
        <f t="shared" si="255"/>
        <v>0</v>
      </c>
      <c r="CI131" s="187">
        <f t="shared" si="255"/>
        <v>0</v>
      </c>
      <c r="CJ131" s="73">
        <f t="shared" si="286"/>
        <v>0</v>
      </c>
      <c r="CK131" s="187">
        <f t="shared" si="286"/>
        <v>0</v>
      </c>
      <c r="CL131" s="187">
        <f t="shared" si="286"/>
        <v>0</v>
      </c>
      <c r="CM131" s="187">
        <f t="shared" si="286"/>
        <v>0</v>
      </c>
      <c r="CN131" s="187">
        <f t="shared" si="286"/>
        <v>0</v>
      </c>
      <c r="CO131" s="187">
        <f t="shared" si="256"/>
        <v>0</v>
      </c>
      <c r="CP131" s="187">
        <f t="shared" si="256"/>
        <v>0</v>
      </c>
      <c r="CQ131" s="187">
        <f t="shared" si="256"/>
        <v>0</v>
      </c>
      <c r="CR131" s="73">
        <f t="shared" si="287"/>
        <v>0</v>
      </c>
      <c r="CS131" s="187">
        <f t="shared" si="287"/>
        <v>0</v>
      </c>
      <c r="CT131" s="187">
        <f t="shared" si="287"/>
        <v>0</v>
      </c>
      <c r="CU131" s="187">
        <f t="shared" si="287"/>
        <v>0</v>
      </c>
      <c r="CV131" s="187">
        <f t="shared" si="287"/>
        <v>0</v>
      </c>
      <c r="CW131" s="187">
        <f t="shared" si="257"/>
        <v>0</v>
      </c>
      <c r="CX131" s="187">
        <f t="shared" si="257"/>
        <v>0</v>
      </c>
      <c r="CY131" s="187">
        <f t="shared" si="257"/>
        <v>0</v>
      </c>
    </row>
    <row r="132" spans="1:103" s="199" customFormat="1" ht="26.25" hidden="1" customHeight="1" outlineLevel="1" x14ac:dyDescent="0.4">
      <c r="A132" s="380"/>
      <c r="B132" s="380"/>
      <c r="C132" s="380"/>
      <c r="D132" s="382"/>
      <c r="E132" s="382"/>
      <c r="F132" s="382"/>
      <c r="G132" s="416"/>
      <c r="H132" s="490"/>
      <c r="I132" s="490"/>
      <c r="J132" s="498"/>
      <c r="K132" s="492"/>
      <c r="L132" s="492"/>
      <c r="M132" s="494"/>
      <c r="N132" s="39" t="s">
        <v>25</v>
      </c>
      <c r="O132" s="207">
        <f t="shared" si="242"/>
        <v>0</v>
      </c>
      <c r="P132" s="207">
        <f t="shared" si="242"/>
        <v>0</v>
      </c>
      <c r="Q132" s="207">
        <f t="shared" si="242"/>
        <v>0</v>
      </c>
      <c r="R132" s="207">
        <f t="shared" si="242"/>
        <v>0</v>
      </c>
      <c r="S132" s="207">
        <f t="shared" si="242"/>
        <v>0</v>
      </c>
      <c r="T132" s="207">
        <f t="shared" si="242"/>
        <v>0</v>
      </c>
      <c r="U132" s="49">
        <f t="shared" si="242"/>
        <v>0</v>
      </c>
      <c r="V132" s="57">
        <f t="shared" si="243"/>
        <v>0</v>
      </c>
      <c r="W132" s="18">
        <f t="shared" si="243"/>
        <v>0</v>
      </c>
      <c r="X132" s="18">
        <f t="shared" si="243"/>
        <v>0</v>
      </c>
      <c r="Y132" s="18">
        <f t="shared" si="243"/>
        <v>0</v>
      </c>
      <c r="Z132" s="18">
        <f t="shared" si="243"/>
        <v>0</v>
      </c>
      <c r="AA132" s="18">
        <f t="shared" si="288"/>
        <v>0</v>
      </c>
      <c r="AB132" s="42">
        <f t="shared" si="288"/>
        <v>0</v>
      </c>
      <c r="AC132" s="52">
        <f t="shared" si="288"/>
        <v>0</v>
      </c>
      <c r="AD132" s="207">
        <f t="shared" si="288"/>
        <v>0</v>
      </c>
      <c r="AE132" s="207">
        <f t="shared" si="288"/>
        <v>0</v>
      </c>
      <c r="AF132" s="207">
        <f t="shared" si="288"/>
        <v>0</v>
      </c>
      <c r="AG132" s="18">
        <f t="shared" si="288"/>
        <v>0</v>
      </c>
      <c r="AH132" s="51">
        <f t="shared" si="278"/>
        <v>0</v>
      </c>
      <c r="AI132" s="52">
        <f t="shared" si="278"/>
        <v>0</v>
      </c>
      <c r="AJ132" s="52">
        <f t="shared" si="278"/>
        <v>0</v>
      </c>
      <c r="AK132" s="52">
        <f t="shared" si="278"/>
        <v>0</v>
      </c>
      <c r="AL132" s="52">
        <f t="shared" si="278"/>
        <v>0</v>
      </c>
      <c r="AM132" s="18">
        <f t="shared" si="246"/>
        <v>0</v>
      </c>
      <c r="AN132" s="42">
        <f t="shared" si="247"/>
        <v>0</v>
      </c>
      <c r="AO132" s="207">
        <f t="shared" si="247"/>
        <v>0</v>
      </c>
      <c r="AP132" s="207">
        <f t="shared" si="247"/>
        <v>0</v>
      </c>
      <c r="AQ132" s="207">
        <f t="shared" si="247"/>
        <v>0</v>
      </c>
      <c r="AR132" s="207">
        <f t="shared" si="247"/>
        <v>0</v>
      </c>
      <c r="AS132" s="207">
        <f t="shared" si="248"/>
        <v>0</v>
      </c>
      <c r="AT132" s="207">
        <f t="shared" si="248"/>
        <v>0</v>
      </c>
      <c r="AU132" s="18">
        <f t="shared" si="248"/>
        <v>0</v>
      </c>
      <c r="AV132" s="42">
        <f t="shared" si="249"/>
        <v>0</v>
      </c>
      <c r="AW132" s="207">
        <f t="shared" si="249"/>
        <v>0</v>
      </c>
      <c r="AX132" s="207">
        <f t="shared" si="249"/>
        <v>0</v>
      </c>
      <c r="AY132" s="207">
        <f t="shared" si="249"/>
        <v>0</v>
      </c>
      <c r="AZ132" s="207">
        <f t="shared" si="249"/>
        <v>0</v>
      </c>
      <c r="BA132" s="207">
        <f t="shared" si="249"/>
        <v>0</v>
      </c>
      <c r="BB132" s="207">
        <f t="shared" si="249"/>
        <v>0</v>
      </c>
      <c r="BC132" s="18">
        <f t="shared" si="249"/>
        <v>0</v>
      </c>
      <c r="BD132" s="42">
        <f t="shared" si="250"/>
        <v>0</v>
      </c>
      <c r="BE132" s="207">
        <f t="shared" si="250"/>
        <v>0</v>
      </c>
      <c r="BF132" s="207">
        <f t="shared" si="250"/>
        <v>0</v>
      </c>
      <c r="BG132" s="207">
        <f t="shared" si="250"/>
        <v>0</v>
      </c>
      <c r="BH132" s="207">
        <f t="shared" si="250"/>
        <v>0</v>
      </c>
      <c r="BI132" s="207">
        <f t="shared" si="251"/>
        <v>0</v>
      </c>
      <c r="BJ132" s="207">
        <f t="shared" si="251"/>
        <v>0</v>
      </c>
      <c r="BK132" s="18">
        <f t="shared" si="251"/>
        <v>0</v>
      </c>
      <c r="BL132" s="20">
        <f t="shared" si="285"/>
        <v>0</v>
      </c>
      <c r="BM132" s="207">
        <f t="shared" si="285"/>
        <v>0</v>
      </c>
      <c r="BN132" s="207">
        <f t="shared" si="285"/>
        <v>0</v>
      </c>
      <c r="BO132" s="207">
        <f t="shared" si="285"/>
        <v>0</v>
      </c>
      <c r="BP132" s="207">
        <f t="shared" si="285"/>
        <v>0</v>
      </c>
      <c r="BQ132" s="207">
        <f t="shared" si="252"/>
        <v>0</v>
      </c>
      <c r="BR132" s="207">
        <f t="shared" si="252"/>
        <v>0</v>
      </c>
      <c r="BS132" s="18">
        <f t="shared" si="252"/>
        <v>0</v>
      </c>
      <c r="BT132" s="224">
        <f t="shared" si="291"/>
        <v>0</v>
      </c>
      <c r="BU132" s="207">
        <f t="shared" si="291"/>
        <v>0</v>
      </c>
      <c r="BV132" s="207">
        <f t="shared" si="291"/>
        <v>0</v>
      </c>
      <c r="BW132" s="207">
        <f t="shared" si="291"/>
        <v>0</v>
      </c>
      <c r="BX132" s="207">
        <f t="shared" si="291"/>
        <v>0</v>
      </c>
      <c r="BY132" s="207">
        <f t="shared" si="253"/>
        <v>0</v>
      </c>
      <c r="BZ132" s="207">
        <f t="shared" si="253"/>
        <v>0</v>
      </c>
      <c r="CA132" s="18">
        <f t="shared" si="253"/>
        <v>0</v>
      </c>
      <c r="CB132" s="224">
        <f t="shared" si="254"/>
        <v>0</v>
      </c>
      <c r="CC132" s="250">
        <f t="shared" si="254"/>
        <v>0</v>
      </c>
      <c r="CD132" s="250">
        <f t="shared" si="254"/>
        <v>0</v>
      </c>
      <c r="CE132" s="250">
        <f t="shared" si="254"/>
        <v>0</v>
      </c>
      <c r="CF132" s="250">
        <f t="shared" si="254"/>
        <v>0</v>
      </c>
      <c r="CG132" s="207">
        <f t="shared" si="255"/>
        <v>0</v>
      </c>
      <c r="CH132" s="207">
        <f t="shared" si="255"/>
        <v>0</v>
      </c>
      <c r="CI132" s="18">
        <f t="shared" si="255"/>
        <v>0</v>
      </c>
      <c r="CJ132" s="224">
        <f t="shared" si="286"/>
        <v>0</v>
      </c>
      <c r="CK132" s="207">
        <f t="shared" si="286"/>
        <v>0</v>
      </c>
      <c r="CL132" s="207">
        <f t="shared" si="286"/>
        <v>0</v>
      </c>
      <c r="CM132" s="207">
        <f t="shared" si="286"/>
        <v>0</v>
      </c>
      <c r="CN132" s="207">
        <f t="shared" si="286"/>
        <v>0</v>
      </c>
      <c r="CO132" s="207">
        <f t="shared" si="256"/>
        <v>0</v>
      </c>
      <c r="CP132" s="207">
        <f t="shared" si="256"/>
        <v>0</v>
      </c>
      <c r="CQ132" s="18">
        <f t="shared" si="256"/>
        <v>0</v>
      </c>
      <c r="CR132" s="42">
        <f t="shared" si="287"/>
        <v>0</v>
      </c>
      <c r="CS132" s="207">
        <f t="shared" si="287"/>
        <v>0</v>
      </c>
      <c r="CT132" s="207">
        <f t="shared" si="287"/>
        <v>0</v>
      </c>
      <c r="CU132" s="207">
        <f t="shared" si="287"/>
        <v>0</v>
      </c>
      <c r="CV132" s="207">
        <f t="shared" si="287"/>
        <v>0</v>
      </c>
      <c r="CW132" s="207">
        <f t="shared" si="257"/>
        <v>0</v>
      </c>
      <c r="CX132" s="207">
        <f t="shared" si="257"/>
        <v>0</v>
      </c>
      <c r="CY132" s="207">
        <f t="shared" si="257"/>
        <v>0</v>
      </c>
    </row>
    <row r="133" spans="1:103" s="199" customFormat="1" ht="26.25" hidden="1" customHeight="1" outlineLevel="1" x14ac:dyDescent="0.4">
      <c r="A133" s="379">
        <v>64</v>
      </c>
      <c r="B133" s="379" t="s">
        <v>45</v>
      </c>
      <c r="C133" s="379" t="s">
        <v>346</v>
      </c>
      <c r="D133" s="381"/>
      <c r="E133" s="381"/>
      <c r="F133" s="381"/>
      <c r="G133" s="416"/>
      <c r="H133" s="489">
        <f t="shared" ref="H133" si="292">SUM(BT133:CA133)</f>
        <v>0</v>
      </c>
      <c r="I133" s="489">
        <f t="shared" ref="I133" si="293">SUM(BT134:CA134)</f>
        <v>0</v>
      </c>
      <c r="J133" s="497"/>
      <c r="K133" s="491"/>
      <c r="L133" s="491"/>
      <c r="M133" s="493"/>
      <c r="N133" s="48" t="s">
        <v>24</v>
      </c>
      <c r="O133" s="187">
        <f t="shared" si="242"/>
        <v>0</v>
      </c>
      <c r="P133" s="187">
        <f t="shared" si="242"/>
        <v>0</v>
      </c>
      <c r="Q133" s="187">
        <f t="shared" si="242"/>
        <v>0</v>
      </c>
      <c r="R133" s="187">
        <f t="shared" si="242"/>
        <v>0</v>
      </c>
      <c r="S133" s="187">
        <f t="shared" si="242"/>
        <v>0</v>
      </c>
      <c r="T133" s="187">
        <f t="shared" si="242"/>
        <v>0</v>
      </c>
      <c r="U133" s="82">
        <f t="shared" si="242"/>
        <v>0</v>
      </c>
      <c r="V133" s="19">
        <f t="shared" si="243"/>
        <v>0</v>
      </c>
      <c r="W133" s="187">
        <f t="shared" si="243"/>
        <v>0</v>
      </c>
      <c r="X133" s="187">
        <f t="shared" si="243"/>
        <v>0</v>
      </c>
      <c r="Y133" s="187">
        <f t="shared" si="243"/>
        <v>0</v>
      </c>
      <c r="Z133" s="187">
        <f t="shared" si="243"/>
        <v>0</v>
      </c>
      <c r="AA133" s="187">
        <f t="shared" si="288"/>
        <v>0</v>
      </c>
      <c r="AB133" s="19">
        <f t="shared" si="288"/>
        <v>0</v>
      </c>
      <c r="AC133" s="187">
        <f t="shared" si="288"/>
        <v>0</v>
      </c>
      <c r="AD133" s="249">
        <f t="shared" si="288"/>
        <v>0</v>
      </c>
      <c r="AE133" s="187">
        <f t="shared" si="288"/>
        <v>0</v>
      </c>
      <c r="AF133" s="187">
        <f t="shared" si="288"/>
        <v>0</v>
      </c>
      <c r="AG133" s="187">
        <f t="shared" si="288"/>
        <v>0</v>
      </c>
      <c r="AH133" s="19">
        <f t="shared" si="278"/>
        <v>0</v>
      </c>
      <c r="AI133" s="187">
        <f t="shared" si="278"/>
        <v>0</v>
      </c>
      <c r="AJ133" s="187">
        <f t="shared" si="278"/>
        <v>0</v>
      </c>
      <c r="AK133" s="187">
        <f t="shared" si="278"/>
        <v>0</v>
      </c>
      <c r="AL133" s="187">
        <f t="shared" si="278"/>
        <v>0</v>
      </c>
      <c r="AM133" s="187">
        <f t="shared" si="246"/>
        <v>0</v>
      </c>
      <c r="AN133" s="19">
        <f t="shared" si="247"/>
        <v>0</v>
      </c>
      <c r="AO133" s="187">
        <f t="shared" si="247"/>
        <v>0</v>
      </c>
      <c r="AP133" s="187">
        <f t="shared" si="247"/>
        <v>0</v>
      </c>
      <c r="AQ133" s="187">
        <f t="shared" si="247"/>
        <v>0</v>
      </c>
      <c r="AR133" s="187">
        <f t="shared" si="247"/>
        <v>0</v>
      </c>
      <c r="AS133" s="187">
        <f t="shared" si="248"/>
        <v>0</v>
      </c>
      <c r="AT133" s="187">
        <f t="shared" si="248"/>
        <v>0</v>
      </c>
      <c r="AU133" s="187">
        <f t="shared" si="248"/>
        <v>0</v>
      </c>
      <c r="AV133" s="73">
        <f t="shared" si="249"/>
        <v>0</v>
      </c>
      <c r="AW133" s="187">
        <f t="shared" si="249"/>
        <v>0</v>
      </c>
      <c r="AX133" s="187">
        <f t="shared" si="249"/>
        <v>0</v>
      </c>
      <c r="AY133" s="187">
        <f t="shared" si="249"/>
        <v>0</v>
      </c>
      <c r="AZ133" s="187">
        <f t="shared" si="249"/>
        <v>0</v>
      </c>
      <c r="BA133" s="187">
        <f t="shared" si="249"/>
        <v>0</v>
      </c>
      <c r="BB133" s="187">
        <f t="shared" si="249"/>
        <v>0</v>
      </c>
      <c r="BC133" s="187">
        <f t="shared" si="249"/>
        <v>0</v>
      </c>
      <c r="BD133" s="19">
        <f t="shared" si="250"/>
        <v>0</v>
      </c>
      <c r="BE133" s="187">
        <f t="shared" si="250"/>
        <v>0</v>
      </c>
      <c r="BF133" s="187">
        <f t="shared" si="250"/>
        <v>0</v>
      </c>
      <c r="BG133" s="187">
        <f t="shared" si="250"/>
        <v>0</v>
      </c>
      <c r="BH133" s="187">
        <f t="shared" si="250"/>
        <v>0</v>
      </c>
      <c r="BI133" s="187">
        <f t="shared" si="251"/>
        <v>0</v>
      </c>
      <c r="BJ133" s="187">
        <f t="shared" si="251"/>
        <v>0</v>
      </c>
      <c r="BK133" s="187">
        <f t="shared" si="251"/>
        <v>0</v>
      </c>
      <c r="BL133" s="223">
        <f t="shared" si="285"/>
        <v>0</v>
      </c>
      <c r="BM133" s="249">
        <f t="shared" si="285"/>
        <v>0</v>
      </c>
      <c r="BN133" s="249">
        <f t="shared" si="285"/>
        <v>0</v>
      </c>
      <c r="BO133" s="249">
        <f t="shared" si="285"/>
        <v>0</v>
      </c>
      <c r="BP133" s="249">
        <f t="shared" si="285"/>
        <v>0</v>
      </c>
      <c r="BQ133" s="187">
        <f t="shared" si="252"/>
        <v>0</v>
      </c>
      <c r="BR133" s="187">
        <f t="shared" si="252"/>
        <v>0</v>
      </c>
      <c r="BS133" s="187">
        <f t="shared" si="252"/>
        <v>0</v>
      </c>
      <c r="BT133" s="73">
        <f t="shared" si="291"/>
        <v>0</v>
      </c>
      <c r="BU133" s="187">
        <f t="shared" si="291"/>
        <v>0</v>
      </c>
      <c r="BV133" s="187">
        <f t="shared" si="291"/>
        <v>0</v>
      </c>
      <c r="BW133" s="187">
        <f t="shared" si="291"/>
        <v>0</v>
      </c>
      <c r="BX133" s="187">
        <f t="shared" si="291"/>
        <v>0</v>
      </c>
      <c r="BY133" s="187">
        <f t="shared" si="253"/>
        <v>0</v>
      </c>
      <c r="BZ133" s="187">
        <f t="shared" si="253"/>
        <v>0</v>
      </c>
      <c r="CA133" s="187">
        <f t="shared" si="253"/>
        <v>0</v>
      </c>
      <c r="CB133" s="73">
        <f t="shared" si="254"/>
        <v>0</v>
      </c>
      <c r="CC133" s="187">
        <f t="shared" si="254"/>
        <v>0</v>
      </c>
      <c r="CD133" s="187">
        <f t="shared" si="254"/>
        <v>0</v>
      </c>
      <c r="CE133" s="187">
        <f t="shared" si="254"/>
        <v>0</v>
      </c>
      <c r="CF133" s="187">
        <f t="shared" si="254"/>
        <v>0</v>
      </c>
      <c r="CG133" s="187">
        <f t="shared" si="255"/>
        <v>0</v>
      </c>
      <c r="CH133" s="187">
        <f t="shared" si="255"/>
        <v>0</v>
      </c>
      <c r="CI133" s="187">
        <f t="shared" si="255"/>
        <v>0</v>
      </c>
      <c r="CJ133" s="73">
        <f t="shared" si="286"/>
        <v>0</v>
      </c>
      <c r="CK133" s="187">
        <f t="shared" si="286"/>
        <v>0</v>
      </c>
      <c r="CL133" s="187">
        <f t="shared" si="286"/>
        <v>0</v>
      </c>
      <c r="CM133" s="187">
        <f t="shared" si="286"/>
        <v>0</v>
      </c>
      <c r="CN133" s="187">
        <f t="shared" si="286"/>
        <v>0</v>
      </c>
      <c r="CO133" s="187">
        <f t="shared" si="256"/>
        <v>0</v>
      </c>
      <c r="CP133" s="187">
        <f t="shared" si="256"/>
        <v>0</v>
      </c>
      <c r="CQ133" s="187">
        <f t="shared" si="256"/>
        <v>0</v>
      </c>
      <c r="CR133" s="73">
        <f t="shared" si="287"/>
        <v>0</v>
      </c>
      <c r="CS133" s="187">
        <f t="shared" si="287"/>
        <v>0</v>
      </c>
      <c r="CT133" s="187">
        <f t="shared" si="287"/>
        <v>0</v>
      </c>
      <c r="CU133" s="187">
        <f t="shared" si="287"/>
        <v>0</v>
      </c>
      <c r="CV133" s="187">
        <f t="shared" si="287"/>
        <v>0</v>
      </c>
      <c r="CW133" s="187">
        <f t="shared" si="257"/>
        <v>0</v>
      </c>
      <c r="CX133" s="187">
        <f t="shared" si="257"/>
        <v>0</v>
      </c>
      <c r="CY133" s="187">
        <f t="shared" si="257"/>
        <v>0</v>
      </c>
    </row>
    <row r="134" spans="1:103" s="199" customFormat="1" ht="26.25" hidden="1" customHeight="1" outlineLevel="1" x14ac:dyDescent="0.4">
      <c r="A134" s="380"/>
      <c r="B134" s="380"/>
      <c r="C134" s="380"/>
      <c r="D134" s="382"/>
      <c r="E134" s="382"/>
      <c r="F134" s="382"/>
      <c r="G134" s="416"/>
      <c r="H134" s="490"/>
      <c r="I134" s="490"/>
      <c r="J134" s="498"/>
      <c r="K134" s="492"/>
      <c r="L134" s="492"/>
      <c r="M134" s="494"/>
      <c r="N134" s="39" t="s">
        <v>25</v>
      </c>
      <c r="O134" s="207">
        <f t="shared" si="242"/>
        <v>0</v>
      </c>
      <c r="P134" s="207">
        <f t="shared" si="242"/>
        <v>0</v>
      </c>
      <c r="Q134" s="207">
        <f t="shared" si="242"/>
        <v>0</v>
      </c>
      <c r="R134" s="207">
        <f t="shared" si="242"/>
        <v>0</v>
      </c>
      <c r="S134" s="207">
        <f t="shared" si="242"/>
        <v>0</v>
      </c>
      <c r="T134" s="207">
        <f t="shared" si="242"/>
        <v>0</v>
      </c>
      <c r="U134" s="49">
        <f t="shared" si="242"/>
        <v>0</v>
      </c>
      <c r="V134" s="57">
        <f t="shared" si="243"/>
        <v>0</v>
      </c>
      <c r="W134" s="18">
        <f t="shared" si="243"/>
        <v>0</v>
      </c>
      <c r="X134" s="18">
        <f t="shared" si="243"/>
        <v>0</v>
      </c>
      <c r="Y134" s="18">
        <f t="shared" si="243"/>
        <v>0</v>
      </c>
      <c r="Z134" s="18">
        <f t="shared" si="243"/>
        <v>0</v>
      </c>
      <c r="AA134" s="18">
        <f t="shared" si="288"/>
        <v>0</v>
      </c>
      <c r="AB134" s="42">
        <f t="shared" si="288"/>
        <v>0</v>
      </c>
      <c r="AC134" s="52">
        <f t="shared" si="288"/>
        <v>0</v>
      </c>
      <c r="AD134" s="207">
        <f t="shared" si="288"/>
        <v>0</v>
      </c>
      <c r="AE134" s="207">
        <f t="shared" si="288"/>
        <v>0</v>
      </c>
      <c r="AF134" s="207">
        <f t="shared" si="288"/>
        <v>0</v>
      </c>
      <c r="AG134" s="18">
        <f t="shared" si="288"/>
        <v>0</v>
      </c>
      <c r="AH134" s="51">
        <f t="shared" si="278"/>
        <v>0</v>
      </c>
      <c r="AI134" s="52">
        <f t="shared" si="278"/>
        <v>0</v>
      </c>
      <c r="AJ134" s="52">
        <f t="shared" si="278"/>
        <v>0</v>
      </c>
      <c r="AK134" s="52">
        <f t="shared" si="278"/>
        <v>0</v>
      </c>
      <c r="AL134" s="52">
        <f t="shared" si="278"/>
        <v>0</v>
      </c>
      <c r="AM134" s="18">
        <f t="shared" si="246"/>
        <v>0</v>
      </c>
      <c r="AN134" s="42">
        <f t="shared" si="247"/>
        <v>0</v>
      </c>
      <c r="AO134" s="207">
        <f t="shared" si="247"/>
        <v>0</v>
      </c>
      <c r="AP134" s="207">
        <f t="shared" si="247"/>
        <v>0</v>
      </c>
      <c r="AQ134" s="207">
        <f t="shared" si="247"/>
        <v>0</v>
      </c>
      <c r="AR134" s="207">
        <f t="shared" si="247"/>
        <v>0</v>
      </c>
      <c r="AS134" s="207">
        <f t="shared" si="248"/>
        <v>0</v>
      </c>
      <c r="AT134" s="207">
        <f t="shared" si="248"/>
        <v>0</v>
      </c>
      <c r="AU134" s="18">
        <f t="shared" si="248"/>
        <v>0</v>
      </c>
      <c r="AV134" s="42">
        <f t="shared" si="249"/>
        <v>0</v>
      </c>
      <c r="AW134" s="207">
        <f t="shared" si="249"/>
        <v>0</v>
      </c>
      <c r="AX134" s="207">
        <f t="shared" si="249"/>
        <v>0</v>
      </c>
      <c r="AY134" s="207">
        <f t="shared" si="249"/>
        <v>0</v>
      </c>
      <c r="AZ134" s="207">
        <f t="shared" si="249"/>
        <v>0</v>
      </c>
      <c r="BA134" s="207">
        <f t="shared" si="249"/>
        <v>0</v>
      </c>
      <c r="BB134" s="207">
        <f t="shared" si="249"/>
        <v>0</v>
      </c>
      <c r="BC134" s="18">
        <f t="shared" si="249"/>
        <v>0</v>
      </c>
      <c r="BD134" s="42">
        <f t="shared" si="250"/>
        <v>0</v>
      </c>
      <c r="BE134" s="207">
        <f t="shared" si="250"/>
        <v>0</v>
      </c>
      <c r="BF134" s="207">
        <f t="shared" si="250"/>
        <v>0</v>
      </c>
      <c r="BG134" s="207">
        <f t="shared" si="250"/>
        <v>0</v>
      </c>
      <c r="BH134" s="207">
        <f t="shared" si="250"/>
        <v>0</v>
      </c>
      <c r="BI134" s="207">
        <f t="shared" si="251"/>
        <v>0</v>
      </c>
      <c r="BJ134" s="207">
        <f t="shared" si="251"/>
        <v>0</v>
      </c>
      <c r="BK134" s="18">
        <f t="shared" si="251"/>
        <v>0</v>
      </c>
      <c r="BL134" s="20">
        <f t="shared" si="285"/>
        <v>0</v>
      </c>
      <c r="BM134" s="207">
        <f t="shared" si="285"/>
        <v>0</v>
      </c>
      <c r="BN134" s="207">
        <f t="shared" si="285"/>
        <v>0</v>
      </c>
      <c r="BO134" s="207">
        <f t="shared" si="285"/>
        <v>0</v>
      </c>
      <c r="BP134" s="207">
        <f t="shared" si="285"/>
        <v>0</v>
      </c>
      <c r="BQ134" s="207">
        <f t="shared" si="252"/>
        <v>0</v>
      </c>
      <c r="BR134" s="207">
        <f t="shared" si="252"/>
        <v>0</v>
      </c>
      <c r="BS134" s="18">
        <f t="shared" si="252"/>
        <v>0</v>
      </c>
      <c r="BT134" s="224">
        <f t="shared" si="291"/>
        <v>0</v>
      </c>
      <c r="BU134" s="207">
        <f t="shared" si="291"/>
        <v>0</v>
      </c>
      <c r="BV134" s="207">
        <f t="shared" si="291"/>
        <v>0</v>
      </c>
      <c r="BW134" s="207">
        <f t="shared" si="291"/>
        <v>0</v>
      </c>
      <c r="BX134" s="207">
        <f t="shared" si="291"/>
        <v>0</v>
      </c>
      <c r="BY134" s="207">
        <f t="shared" si="253"/>
        <v>0</v>
      </c>
      <c r="BZ134" s="207">
        <f t="shared" si="253"/>
        <v>0</v>
      </c>
      <c r="CA134" s="18">
        <f t="shared" si="253"/>
        <v>0</v>
      </c>
      <c r="CB134" s="224">
        <f t="shared" si="254"/>
        <v>0</v>
      </c>
      <c r="CC134" s="250">
        <f t="shared" si="254"/>
        <v>0</v>
      </c>
      <c r="CD134" s="250">
        <f t="shared" si="254"/>
        <v>0</v>
      </c>
      <c r="CE134" s="250">
        <f t="shared" si="254"/>
        <v>0</v>
      </c>
      <c r="CF134" s="250">
        <f t="shared" si="254"/>
        <v>0</v>
      </c>
      <c r="CG134" s="207">
        <f t="shared" si="255"/>
        <v>0</v>
      </c>
      <c r="CH134" s="207">
        <f t="shared" si="255"/>
        <v>0</v>
      </c>
      <c r="CI134" s="18">
        <f t="shared" si="255"/>
        <v>0</v>
      </c>
      <c r="CJ134" s="224">
        <f t="shared" si="286"/>
        <v>0</v>
      </c>
      <c r="CK134" s="207">
        <f t="shared" si="286"/>
        <v>0</v>
      </c>
      <c r="CL134" s="207">
        <f t="shared" si="286"/>
        <v>0</v>
      </c>
      <c r="CM134" s="207">
        <f t="shared" si="286"/>
        <v>0</v>
      </c>
      <c r="CN134" s="207">
        <f t="shared" si="286"/>
        <v>0</v>
      </c>
      <c r="CO134" s="207">
        <f t="shared" si="256"/>
        <v>0</v>
      </c>
      <c r="CP134" s="207">
        <f t="shared" si="256"/>
        <v>0</v>
      </c>
      <c r="CQ134" s="18">
        <f t="shared" si="256"/>
        <v>0</v>
      </c>
      <c r="CR134" s="42">
        <f t="shared" si="287"/>
        <v>0</v>
      </c>
      <c r="CS134" s="207">
        <f t="shared" si="287"/>
        <v>0</v>
      </c>
      <c r="CT134" s="207">
        <f t="shared" si="287"/>
        <v>0</v>
      </c>
      <c r="CU134" s="207">
        <f t="shared" si="287"/>
        <v>0</v>
      </c>
      <c r="CV134" s="207">
        <f t="shared" si="287"/>
        <v>0</v>
      </c>
      <c r="CW134" s="207">
        <f t="shared" si="257"/>
        <v>0</v>
      </c>
      <c r="CX134" s="207">
        <f t="shared" si="257"/>
        <v>0</v>
      </c>
      <c r="CY134" s="207">
        <f t="shared" si="257"/>
        <v>0</v>
      </c>
    </row>
    <row r="135" spans="1:103" s="199" customFormat="1" ht="26.25" hidden="1" customHeight="1" outlineLevel="1" collapsed="1" x14ac:dyDescent="0.4">
      <c r="A135" s="379">
        <v>65</v>
      </c>
      <c r="B135" s="379" t="s">
        <v>45</v>
      </c>
      <c r="C135" s="379" t="s">
        <v>346</v>
      </c>
      <c r="D135" s="381"/>
      <c r="E135" s="381"/>
      <c r="F135" s="381"/>
      <c r="G135" s="416"/>
      <c r="H135" s="489">
        <f t="shared" ref="H135" si="294">SUM(BT135:CA135)</f>
        <v>0</v>
      </c>
      <c r="I135" s="489">
        <f t="shared" ref="I135" si="295">SUM(BT136:CA136)</f>
        <v>0</v>
      </c>
      <c r="J135" s="497"/>
      <c r="K135" s="491"/>
      <c r="L135" s="491"/>
      <c r="M135" s="493"/>
      <c r="N135" s="48" t="s">
        <v>24</v>
      </c>
      <c r="O135" s="187">
        <f t="shared" si="242"/>
        <v>0</v>
      </c>
      <c r="P135" s="187">
        <f t="shared" si="242"/>
        <v>0</v>
      </c>
      <c r="Q135" s="187">
        <f t="shared" si="242"/>
        <v>0</v>
      </c>
      <c r="R135" s="187">
        <f t="shared" ref="O135:U150" si="296">0/127.5</f>
        <v>0</v>
      </c>
      <c r="S135" s="187">
        <f t="shared" si="296"/>
        <v>0</v>
      </c>
      <c r="T135" s="187">
        <f t="shared" si="296"/>
        <v>0</v>
      </c>
      <c r="U135" s="82">
        <f t="shared" si="296"/>
        <v>0</v>
      </c>
      <c r="V135" s="19">
        <f t="shared" si="243"/>
        <v>0</v>
      </c>
      <c r="W135" s="187">
        <f t="shared" si="243"/>
        <v>0</v>
      </c>
      <c r="X135" s="187">
        <f t="shared" si="243"/>
        <v>0</v>
      </c>
      <c r="Y135" s="187">
        <f t="shared" si="243"/>
        <v>0</v>
      </c>
      <c r="Z135" s="187">
        <f t="shared" si="243"/>
        <v>0</v>
      </c>
      <c r="AA135" s="187">
        <f t="shared" si="288"/>
        <v>0</v>
      </c>
      <c r="AB135" s="19">
        <f t="shared" si="288"/>
        <v>0</v>
      </c>
      <c r="AC135" s="187">
        <f t="shared" si="288"/>
        <v>0</v>
      </c>
      <c r="AD135" s="249">
        <f t="shared" si="288"/>
        <v>0</v>
      </c>
      <c r="AE135" s="187">
        <f t="shared" si="288"/>
        <v>0</v>
      </c>
      <c r="AF135" s="187">
        <f t="shared" si="288"/>
        <v>0</v>
      </c>
      <c r="AG135" s="187">
        <f t="shared" si="288"/>
        <v>0</v>
      </c>
      <c r="AH135" s="19">
        <f t="shared" si="278"/>
        <v>0</v>
      </c>
      <c r="AI135" s="187">
        <f t="shared" si="278"/>
        <v>0</v>
      </c>
      <c r="AJ135" s="187">
        <f t="shared" si="278"/>
        <v>0</v>
      </c>
      <c r="AK135" s="187">
        <f t="shared" si="278"/>
        <v>0</v>
      </c>
      <c r="AL135" s="187">
        <f t="shared" si="278"/>
        <v>0</v>
      </c>
      <c r="AM135" s="187">
        <f t="shared" si="246"/>
        <v>0</v>
      </c>
      <c r="AN135" s="19">
        <f t="shared" si="247"/>
        <v>0</v>
      </c>
      <c r="AO135" s="187">
        <f t="shared" si="247"/>
        <v>0</v>
      </c>
      <c r="AP135" s="187">
        <f t="shared" si="247"/>
        <v>0</v>
      </c>
      <c r="AQ135" s="187">
        <f t="shared" si="247"/>
        <v>0</v>
      </c>
      <c r="AR135" s="187">
        <f t="shared" si="247"/>
        <v>0</v>
      </c>
      <c r="AS135" s="187">
        <f t="shared" si="248"/>
        <v>0</v>
      </c>
      <c r="AT135" s="187">
        <f t="shared" si="248"/>
        <v>0</v>
      </c>
      <c r="AU135" s="187">
        <f t="shared" si="248"/>
        <v>0</v>
      </c>
      <c r="AV135" s="73">
        <f t="shared" si="249"/>
        <v>0</v>
      </c>
      <c r="AW135" s="187">
        <f t="shared" si="249"/>
        <v>0</v>
      </c>
      <c r="AX135" s="187">
        <f t="shared" si="249"/>
        <v>0</v>
      </c>
      <c r="AY135" s="187">
        <f t="shared" si="249"/>
        <v>0</v>
      </c>
      <c r="AZ135" s="187">
        <f t="shared" si="249"/>
        <v>0</v>
      </c>
      <c r="BA135" s="187">
        <f t="shared" si="249"/>
        <v>0</v>
      </c>
      <c r="BB135" s="187">
        <f t="shared" si="249"/>
        <v>0</v>
      </c>
      <c r="BC135" s="187">
        <f t="shared" si="249"/>
        <v>0</v>
      </c>
      <c r="BD135" s="19">
        <f t="shared" si="250"/>
        <v>0</v>
      </c>
      <c r="BE135" s="187">
        <f t="shared" si="250"/>
        <v>0</v>
      </c>
      <c r="BF135" s="187">
        <f t="shared" si="250"/>
        <v>0</v>
      </c>
      <c r="BG135" s="187">
        <f t="shared" si="250"/>
        <v>0</v>
      </c>
      <c r="BH135" s="187">
        <f t="shared" si="250"/>
        <v>0</v>
      </c>
      <c r="BI135" s="187">
        <f t="shared" si="251"/>
        <v>0</v>
      </c>
      <c r="BJ135" s="187">
        <f t="shared" si="251"/>
        <v>0</v>
      </c>
      <c r="BK135" s="187">
        <f t="shared" si="251"/>
        <v>0</v>
      </c>
      <c r="BL135" s="223">
        <f t="shared" si="285"/>
        <v>0</v>
      </c>
      <c r="BM135" s="249">
        <f t="shared" si="285"/>
        <v>0</v>
      </c>
      <c r="BN135" s="249">
        <f t="shared" si="285"/>
        <v>0</v>
      </c>
      <c r="BO135" s="249">
        <f t="shared" si="285"/>
        <v>0</v>
      </c>
      <c r="BP135" s="249">
        <f t="shared" si="285"/>
        <v>0</v>
      </c>
      <c r="BQ135" s="187">
        <f t="shared" si="252"/>
        <v>0</v>
      </c>
      <c r="BR135" s="187">
        <f t="shared" si="252"/>
        <v>0</v>
      </c>
      <c r="BS135" s="187">
        <f t="shared" si="252"/>
        <v>0</v>
      </c>
      <c r="BT135" s="73">
        <f t="shared" si="291"/>
        <v>0</v>
      </c>
      <c r="BU135" s="187">
        <f t="shared" si="291"/>
        <v>0</v>
      </c>
      <c r="BV135" s="187">
        <f t="shared" si="291"/>
        <v>0</v>
      </c>
      <c r="BW135" s="187">
        <f t="shared" si="291"/>
        <v>0</v>
      </c>
      <c r="BX135" s="187">
        <f t="shared" si="291"/>
        <v>0</v>
      </c>
      <c r="BY135" s="187">
        <f t="shared" si="253"/>
        <v>0</v>
      </c>
      <c r="BZ135" s="187">
        <f t="shared" si="253"/>
        <v>0</v>
      </c>
      <c r="CA135" s="187">
        <f t="shared" si="253"/>
        <v>0</v>
      </c>
      <c r="CB135" s="73">
        <f t="shared" si="254"/>
        <v>0</v>
      </c>
      <c r="CC135" s="187">
        <f t="shared" si="254"/>
        <v>0</v>
      </c>
      <c r="CD135" s="187">
        <f t="shared" si="254"/>
        <v>0</v>
      </c>
      <c r="CE135" s="187">
        <f t="shared" si="254"/>
        <v>0</v>
      </c>
      <c r="CF135" s="187">
        <f t="shared" si="254"/>
        <v>0</v>
      </c>
      <c r="CG135" s="187">
        <f t="shared" si="255"/>
        <v>0</v>
      </c>
      <c r="CH135" s="187">
        <f t="shared" si="255"/>
        <v>0</v>
      </c>
      <c r="CI135" s="187">
        <f t="shared" si="255"/>
        <v>0</v>
      </c>
      <c r="CJ135" s="73">
        <f t="shared" si="286"/>
        <v>0</v>
      </c>
      <c r="CK135" s="187">
        <f t="shared" si="286"/>
        <v>0</v>
      </c>
      <c r="CL135" s="187">
        <f t="shared" si="286"/>
        <v>0</v>
      </c>
      <c r="CM135" s="187">
        <f t="shared" si="286"/>
        <v>0</v>
      </c>
      <c r="CN135" s="187">
        <f t="shared" si="286"/>
        <v>0</v>
      </c>
      <c r="CO135" s="187">
        <f t="shared" si="256"/>
        <v>0</v>
      </c>
      <c r="CP135" s="187">
        <f t="shared" si="256"/>
        <v>0</v>
      </c>
      <c r="CQ135" s="187">
        <f t="shared" si="256"/>
        <v>0</v>
      </c>
      <c r="CR135" s="73">
        <f t="shared" si="287"/>
        <v>0</v>
      </c>
      <c r="CS135" s="187">
        <f t="shared" si="287"/>
        <v>0</v>
      </c>
      <c r="CT135" s="187">
        <f t="shared" si="287"/>
        <v>0</v>
      </c>
      <c r="CU135" s="187">
        <f t="shared" si="287"/>
        <v>0</v>
      </c>
      <c r="CV135" s="187">
        <f t="shared" si="287"/>
        <v>0</v>
      </c>
      <c r="CW135" s="187">
        <f t="shared" si="257"/>
        <v>0</v>
      </c>
      <c r="CX135" s="187">
        <f t="shared" si="257"/>
        <v>0</v>
      </c>
      <c r="CY135" s="187">
        <f t="shared" si="257"/>
        <v>0</v>
      </c>
    </row>
    <row r="136" spans="1:103" s="199" customFormat="1" ht="26.25" hidden="1" customHeight="1" outlineLevel="1" x14ac:dyDescent="0.4">
      <c r="A136" s="380"/>
      <c r="B136" s="380"/>
      <c r="C136" s="380"/>
      <c r="D136" s="382"/>
      <c r="E136" s="382"/>
      <c r="F136" s="382"/>
      <c r="G136" s="416"/>
      <c r="H136" s="490"/>
      <c r="I136" s="490"/>
      <c r="J136" s="498"/>
      <c r="K136" s="492"/>
      <c r="L136" s="492"/>
      <c r="M136" s="494"/>
      <c r="N136" s="39" t="s">
        <v>25</v>
      </c>
      <c r="O136" s="207">
        <f t="shared" si="296"/>
        <v>0</v>
      </c>
      <c r="P136" s="207">
        <f t="shared" si="296"/>
        <v>0</v>
      </c>
      <c r="Q136" s="207">
        <f t="shared" si="296"/>
        <v>0</v>
      </c>
      <c r="R136" s="207">
        <f t="shared" si="296"/>
        <v>0</v>
      </c>
      <c r="S136" s="207">
        <f t="shared" si="296"/>
        <v>0</v>
      </c>
      <c r="T136" s="207">
        <f t="shared" si="296"/>
        <v>0</v>
      </c>
      <c r="U136" s="49">
        <f t="shared" si="296"/>
        <v>0</v>
      </c>
      <c r="V136" s="57">
        <f t="shared" si="243"/>
        <v>0</v>
      </c>
      <c r="W136" s="18">
        <f t="shared" si="243"/>
        <v>0</v>
      </c>
      <c r="X136" s="18">
        <f t="shared" si="243"/>
        <v>0</v>
      </c>
      <c r="Y136" s="18">
        <f t="shared" si="243"/>
        <v>0</v>
      </c>
      <c r="Z136" s="18">
        <f t="shared" si="243"/>
        <v>0</v>
      </c>
      <c r="AA136" s="18">
        <f t="shared" si="288"/>
        <v>0</v>
      </c>
      <c r="AB136" s="42">
        <f t="shared" si="288"/>
        <v>0</v>
      </c>
      <c r="AC136" s="52">
        <f t="shared" si="288"/>
        <v>0</v>
      </c>
      <c r="AD136" s="207">
        <f t="shared" si="288"/>
        <v>0</v>
      </c>
      <c r="AE136" s="207">
        <f t="shared" si="288"/>
        <v>0</v>
      </c>
      <c r="AF136" s="207">
        <f t="shared" si="288"/>
        <v>0</v>
      </c>
      <c r="AG136" s="18">
        <f t="shared" si="288"/>
        <v>0</v>
      </c>
      <c r="AH136" s="51">
        <f t="shared" si="278"/>
        <v>0</v>
      </c>
      <c r="AI136" s="52">
        <f t="shared" si="278"/>
        <v>0</v>
      </c>
      <c r="AJ136" s="52">
        <f t="shared" si="278"/>
        <v>0</v>
      </c>
      <c r="AK136" s="52">
        <f t="shared" si="278"/>
        <v>0</v>
      </c>
      <c r="AL136" s="52">
        <f t="shared" si="278"/>
        <v>0</v>
      </c>
      <c r="AM136" s="18">
        <f t="shared" si="246"/>
        <v>0</v>
      </c>
      <c r="AN136" s="42">
        <f t="shared" si="247"/>
        <v>0</v>
      </c>
      <c r="AO136" s="207">
        <f t="shared" si="247"/>
        <v>0</v>
      </c>
      <c r="AP136" s="207">
        <f t="shared" si="247"/>
        <v>0</v>
      </c>
      <c r="AQ136" s="207">
        <f t="shared" si="247"/>
        <v>0</v>
      </c>
      <c r="AR136" s="207">
        <f t="shared" si="247"/>
        <v>0</v>
      </c>
      <c r="AS136" s="207">
        <f t="shared" si="248"/>
        <v>0</v>
      </c>
      <c r="AT136" s="207">
        <f t="shared" si="248"/>
        <v>0</v>
      </c>
      <c r="AU136" s="18">
        <f t="shared" si="248"/>
        <v>0</v>
      </c>
      <c r="AV136" s="42">
        <f t="shared" si="249"/>
        <v>0</v>
      </c>
      <c r="AW136" s="207">
        <f t="shared" si="249"/>
        <v>0</v>
      </c>
      <c r="AX136" s="207">
        <f t="shared" si="249"/>
        <v>0</v>
      </c>
      <c r="AY136" s="207">
        <f t="shared" si="249"/>
        <v>0</v>
      </c>
      <c r="AZ136" s="207">
        <f t="shared" si="249"/>
        <v>0</v>
      </c>
      <c r="BA136" s="207">
        <f t="shared" si="249"/>
        <v>0</v>
      </c>
      <c r="BB136" s="207">
        <f t="shared" si="249"/>
        <v>0</v>
      </c>
      <c r="BC136" s="18">
        <f t="shared" si="249"/>
        <v>0</v>
      </c>
      <c r="BD136" s="42">
        <f t="shared" si="250"/>
        <v>0</v>
      </c>
      <c r="BE136" s="207">
        <f t="shared" si="250"/>
        <v>0</v>
      </c>
      <c r="BF136" s="207">
        <f t="shared" si="250"/>
        <v>0</v>
      </c>
      <c r="BG136" s="207">
        <f t="shared" si="250"/>
        <v>0</v>
      </c>
      <c r="BH136" s="207">
        <f t="shared" si="250"/>
        <v>0</v>
      </c>
      <c r="BI136" s="207">
        <f t="shared" si="251"/>
        <v>0</v>
      </c>
      <c r="BJ136" s="207">
        <f t="shared" si="251"/>
        <v>0</v>
      </c>
      <c r="BK136" s="18">
        <f t="shared" si="251"/>
        <v>0</v>
      </c>
      <c r="BL136" s="20">
        <f t="shared" si="285"/>
        <v>0</v>
      </c>
      <c r="BM136" s="207">
        <f t="shared" si="285"/>
        <v>0</v>
      </c>
      <c r="BN136" s="207">
        <f t="shared" si="285"/>
        <v>0</v>
      </c>
      <c r="BO136" s="207">
        <f t="shared" si="285"/>
        <v>0</v>
      </c>
      <c r="BP136" s="207">
        <f t="shared" si="285"/>
        <v>0</v>
      </c>
      <c r="BQ136" s="207">
        <f t="shared" si="252"/>
        <v>0</v>
      </c>
      <c r="BR136" s="207">
        <f t="shared" si="252"/>
        <v>0</v>
      </c>
      <c r="BS136" s="18">
        <f t="shared" si="252"/>
        <v>0</v>
      </c>
      <c r="BT136" s="224">
        <f t="shared" si="291"/>
        <v>0</v>
      </c>
      <c r="BU136" s="207">
        <f t="shared" si="291"/>
        <v>0</v>
      </c>
      <c r="BV136" s="207">
        <f t="shared" si="291"/>
        <v>0</v>
      </c>
      <c r="BW136" s="207">
        <f t="shared" si="291"/>
        <v>0</v>
      </c>
      <c r="BX136" s="207">
        <f t="shared" si="291"/>
        <v>0</v>
      </c>
      <c r="BY136" s="207">
        <f t="shared" si="253"/>
        <v>0</v>
      </c>
      <c r="BZ136" s="207">
        <f t="shared" si="253"/>
        <v>0</v>
      </c>
      <c r="CA136" s="18">
        <f t="shared" si="253"/>
        <v>0</v>
      </c>
      <c r="CB136" s="224">
        <f t="shared" si="254"/>
        <v>0</v>
      </c>
      <c r="CC136" s="250">
        <f t="shared" si="254"/>
        <v>0</v>
      </c>
      <c r="CD136" s="250">
        <f t="shared" si="254"/>
        <v>0</v>
      </c>
      <c r="CE136" s="250">
        <f t="shared" si="254"/>
        <v>0</v>
      </c>
      <c r="CF136" s="250">
        <f t="shared" si="254"/>
        <v>0</v>
      </c>
      <c r="CG136" s="207">
        <f t="shared" si="255"/>
        <v>0</v>
      </c>
      <c r="CH136" s="207">
        <f t="shared" si="255"/>
        <v>0</v>
      </c>
      <c r="CI136" s="18">
        <f t="shared" si="255"/>
        <v>0</v>
      </c>
      <c r="CJ136" s="224">
        <f t="shared" si="286"/>
        <v>0</v>
      </c>
      <c r="CK136" s="207">
        <f t="shared" si="286"/>
        <v>0</v>
      </c>
      <c r="CL136" s="207">
        <f t="shared" si="286"/>
        <v>0</v>
      </c>
      <c r="CM136" s="207">
        <f t="shared" si="286"/>
        <v>0</v>
      </c>
      <c r="CN136" s="207">
        <f t="shared" si="286"/>
        <v>0</v>
      </c>
      <c r="CO136" s="207">
        <f t="shared" si="256"/>
        <v>0</v>
      </c>
      <c r="CP136" s="207">
        <f t="shared" si="256"/>
        <v>0</v>
      </c>
      <c r="CQ136" s="18">
        <f t="shared" si="256"/>
        <v>0</v>
      </c>
      <c r="CR136" s="42">
        <f t="shared" si="287"/>
        <v>0</v>
      </c>
      <c r="CS136" s="207">
        <f t="shared" si="287"/>
        <v>0</v>
      </c>
      <c r="CT136" s="207">
        <f t="shared" si="287"/>
        <v>0</v>
      </c>
      <c r="CU136" s="207">
        <f t="shared" si="287"/>
        <v>0</v>
      </c>
      <c r="CV136" s="207">
        <f t="shared" si="287"/>
        <v>0</v>
      </c>
      <c r="CW136" s="207">
        <f t="shared" si="257"/>
        <v>0</v>
      </c>
      <c r="CX136" s="207">
        <f t="shared" si="257"/>
        <v>0</v>
      </c>
      <c r="CY136" s="207">
        <f t="shared" si="257"/>
        <v>0</v>
      </c>
    </row>
    <row r="137" spans="1:103" s="199" customFormat="1" ht="26.25" hidden="1" customHeight="1" outlineLevel="1" x14ac:dyDescent="0.4">
      <c r="A137" s="379">
        <v>66</v>
      </c>
      <c r="B137" s="379" t="s">
        <v>45</v>
      </c>
      <c r="C137" s="379" t="s">
        <v>346</v>
      </c>
      <c r="D137" s="381"/>
      <c r="E137" s="381"/>
      <c r="F137" s="381"/>
      <c r="G137" s="416"/>
      <c r="H137" s="489">
        <f t="shared" ref="H137" si="297">SUM(BT137:CA137)</f>
        <v>0</v>
      </c>
      <c r="I137" s="489">
        <f t="shared" ref="I137" si="298">SUM(BT138:CA138)</f>
        <v>0</v>
      </c>
      <c r="J137" s="497"/>
      <c r="K137" s="491"/>
      <c r="L137" s="491"/>
      <c r="M137" s="493"/>
      <c r="N137" s="48" t="s">
        <v>24</v>
      </c>
      <c r="O137" s="187">
        <f t="shared" si="296"/>
        <v>0</v>
      </c>
      <c r="P137" s="187">
        <f t="shared" si="296"/>
        <v>0</v>
      </c>
      <c r="Q137" s="187">
        <f t="shared" si="296"/>
        <v>0</v>
      </c>
      <c r="R137" s="187">
        <f t="shared" si="296"/>
        <v>0</v>
      </c>
      <c r="S137" s="187">
        <f t="shared" si="296"/>
        <v>0</v>
      </c>
      <c r="T137" s="187">
        <f t="shared" si="296"/>
        <v>0</v>
      </c>
      <c r="U137" s="82">
        <f t="shared" si="296"/>
        <v>0</v>
      </c>
      <c r="V137" s="19">
        <f t="shared" si="243"/>
        <v>0</v>
      </c>
      <c r="W137" s="187">
        <f t="shared" si="243"/>
        <v>0</v>
      </c>
      <c r="X137" s="187">
        <f t="shared" si="243"/>
        <v>0</v>
      </c>
      <c r="Y137" s="187">
        <f t="shared" si="243"/>
        <v>0</v>
      </c>
      <c r="Z137" s="187">
        <f t="shared" si="243"/>
        <v>0</v>
      </c>
      <c r="AA137" s="187">
        <f t="shared" si="288"/>
        <v>0</v>
      </c>
      <c r="AB137" s="19">
        <f t="shared" si="288"/>
        <v>0</v>
      </c>
      <c r="AC137" s="187">
        <f t="shared" si="288"/>
        <v>0</v>
      </c>
      <c r="AD137" s="249">
        <f t="shared" si="288"/>
        <v>0</v>
      </c>
      <c r="AE137" s="187">
        <f t="shared" si="288"/>
        <v>0</v>
      </c>
      <c r="AF137" s="187">
        <f t="shared" si="288"/>
        <v>0</v>
      </c>
      <c r="AG137" s="187">
        <f t="shared" si="288"/>
        <v>0</v>
      </c>
      <c r="AH137" s="19">
        <f t="shared" si="278"/>
        <v>0</v>
      </c>
      <c r="AI137" s="187">
        <f t="shared" si="278"/>
        <v>0</v>
      </c>
      <c r="AJ137" s="187">
        <f t="shared" si="278"/>
        <v>0</v>
      </c>
      <c r="AK137" s="187">
        <f t="shared" si="278"/>
        <v>0</v>
      </c>
      <c r="AL137" s="187">
        <f t="shared" si="278"/>
        <v>0</v>
      </c>
      <c r="AM137" s="187">
        <f t="shared" si="246"/>
        <v>0</v>
      </c>
      <c r="AN137" s="19">
        <f t="shared" si="247"/>
        <v>0</v>
      </c>
      <c r="AO137" s="187">
        <f t="shared" si="247"/>
        <v>0</v>
      </c>
      <c r="AP137" s="187">
        <f t="shared" si="247"/>
        <v>0</v>
      </c>
      <c r="AQ137" s="187">
        <f t="shared" si="247"/>
        <v>0</v>
      </c>
      <c r="AR137" s="187">
        <f t="shared" si="247"/>
        <v>0</v>
      </c>
      <c r="AS137" s="187">
        <f t="shared" si="248"/>
        <v>0</v>
      </c>
      <c r="AT137" s="187">
        <f t="shared" si="248"/>
        <v>0</v>
      </c>
      <c r="AU137" s="187">
        <f t="shared" si="248"/>
        <v>0</v>
      </c>
      <c r="AV137" s="73">
        <f t="shared" si="249"/>
        <v>0</v>
      </c>
      <c r="AW137" s="187">
        <f t="shared" si="249"/>
        <v>0</v>
      </c>
      <c r="AX137" s="187">
        <f t="shared" si="249"/>
        <v>0</v>
      </c>
      <c r="AY137" s="187">
        <f t="shared" si="249"/>
        <v>0</v>
      </c>
      <c r="AZ137" s="187">
        <f t="shared" si="249"/>
        <v>0</v>
      </c>
      <c r="BA137" s="187">
        <f t="shared" si="249"/>
        <v>0</v>
      </c>
      <c r="BB137" s="187">
        <f t="shared" si="249"/>
        <v>0</v>
      </c>
      <c r="BC137" s="187">
        <f t="shared" si="249"/>
        <v>0</v>
      </c>
      <c r="BD137" s="19">
        <f t="shared" si="250"/>
        <v>0</v>
      </c>
      <c r="BE137" s="187">
        <f t="shared" si="250"/>
        <v>0</v>
      </c>
      <c r="BF137" s="187">
        <f t="shared" si="250"/>
        <v>0</v>
      </c>
      <c r="BG137" s="187">
        <f t="shared" si="250"/>
        <v>0</v>
      </c>
      <c r="BH137" s="187">
        <f t="shared" si="250"/>
        <v>0</v>
      </c>
      <c r="BI137" s="187">
        <f t="shared" si="251"/>
        <v>0</v>
      </c>
      <c r="BJ137" s="187">
        <f t="shared" si="251"/>
        <v>0</v>
      </c>
      <c r="BK137" s="187">
        <f t="shared" si="251"/>
        <v>0</v>
      </c>
      <c r="BL137" s="223">
        <f t="shared" si="285"/>
        <v>0</v>
      </c>
      <c r="BM137" s="249">
        <f t="shared" si="285"/>
        <v>0</v>
      </c>
      <c r="BN137" s="249">
        <f t="shared" si="285"/>
        <v>0</v>
      </c>
      <c r="BO137" s="249">
        <f t="shared" si="285"/>
        <v>0</v>
      </c>
      <c r="BP137" s="249">
        <f t="shared" si="285"/>
        <v>0</v>
      </c>
      <c r="BQ137" s="187">
        <f t="shared" si="252"/>
        <v>0</v>
      </c>
      <c r="BR137" s="187">
        <f t="shared" si="252"/>
        <v>0</v>
      </c>
      <c r="BS137" s="187">
        <f t="shared" si="252"/>
        <v>0</v>
      </c>
      <c r="BT137" s="73">
        <f t="shared" si="291"/>
        <v>0</v>
      </c>
      <c r="BU137" s="187">
        <f t="shared" si="291"/>
        <v>0</v>
      </c>
      <c r="BV137" s="187">
        <f t="shared" si="291"/>
        <v>0</v>
      </c>
      <c r="BW137" s="187">
        <f t="shared" si="291"/>
        <v>0</v>
      </c>
      <c r="BX137" s="187">
        <f t="shared" si="291"/>
        <v>0</v>
      </c>
      <c r="BY137" s="187">
        <f t="shared" si="253"/>
        <v>0</v>
      </c>
      <c r="BZ137" s="187">
        <f t="shared" si="253"/>
        <v>0</v>
      </c>
      <c r="CA137" s="187">
        <f t="shared" si="253"/>
        <v>0</v>
      </c>
      <c r="CB137" s="73">
        <f t="shared" si="254"/>
        <v>0</v>
      </c>
      <c r="CC137" s="187">
        <f t="shared" si="254"/>
        <v>0</v>
      </c>
      <c r="CD137" s="187">
        <f t="shared" si="254"/>
        <v>0</v>
      </c>
      <c r="CE137" s="187">
        <f t="shared" si="254"/>
        <v>0</v>
      </c>
      <c r="CF137" s="187">
        <f t="shared" si="254"/>
        <v>0</v>
      </c>
      <c r="CG137" s="187">
        <f t="shared" si="255"/>
        <v>0</v>
      </c>
      <c r="CH137" s="187">
        <f t="shared" si="255"/>
        <v>0</v>
      </c>
      <c r="CI137" s="187">
        <f t="shared" si="255"/>
        <v>0</v>
      </c>
      <c r="CJ137" s="73">
        <f t="shared" si="286"/>
        <v>0</v>
      </c>
      <c r="CK137" s="187">
        <f t="shared" si="286"/>
        <v>0</v>
      </c>
      <c r="CL137" s="187">
        <f t="shared" si="286"/>
        <v>0</v>
      </c>
      <c r="CM137" s="187">
        <f t="shared" si="286"/>
        <v>0</v>
      </c>
      <c r="CN137" s="187">
        <f t="shared" si="286"/>
        <v>0</v>
      </c>
      <c r="CO137" s="187">
        <f t="shared" si="256"/>
        <v>0</v>
      </c>
      <c r="CP137" s="187">
        <f t="shared" si="256"/>
        <v>0</v>
      </c>
      <c r="CQ137" s="187">
        <f t="shared" si="256"/>
        <v>0</v>
      </c>
      <c r="CR137" s="73">
        <f t="shared" si="287"/>
        <v>0</v>
      </c>
      <c r="CS137" s="187">
        <f t="shared" si="287"/>
        <v>0</v>
      </c>
      <c r="CT137" s="187">
        <f t="shared" si="287"/>
        <v>0</v>
      </c>
      <c r="CU137" s="187">
        <f t="shared" si="287"/>
        <v>0</v>
      </c>
      <c r="CV137" s="187">
        <f t="shared" si="287"/>
        <v>0</v>
      </c>
      <c r="CW137" s="187">
        <f t="shared" si="257"/>
        <v>0</v>
      </c>
      <c r="CX137" s="187">
        <f t="shared" si="257"/>
        <v>0</v>
      </c>
      <c r="CY137" s="187">
        <f t="shared" si="257"/>
        <v>0</v>
      </c>
    </row>
    <row r="138" spans="1:103" s="199" customFormat="1" ht="26.25" hidden="1" customHeight="1" outlineLevel="1" x14ac:dyDescent="0.4">
      <c r="A138" s="380"/>
      <c r="B138" s="380"/>
      <c r="C138" s="380"/>
      <c r="D138" s="382"/>
      <c r="E138" s="382"/>
      <c r="F138" s="382"/>
      <c r="G138" s="416"/>
      <c r="H138" s="490"/>
      <c r="I138" s="490"/>
      <c r="J138" s="498"/>
      <c r="K138" s="492"/>
      <c r="L138" s="492"/>
      <c r="M138" s="494"/>
      <c r="N138" s="39" t="s">
        <v>25</v>
      </c>
      <c r="O138" s="207">
        <f t="shared" si="296"/>
        <v>0</v>
      </c>
      <c r="P138" s="207">
        <f t="shared" si="296"/>
        <v>0</v>
      </c>
      <c r="Q138" s="207">
        <f t="shared" si="296"/>
        <v>0</v>
      </c>
      <c r="R138" s="207">
        <f t="shared" si="296"/>
        <v>0</v>
      </c>
      <c r="S138" s="207">
        <f t="shared" si="296"/>
        <v>0</v>
      </c>
      <c r="T138" s="207">
        <f t="shared" si="296"/>
        <v>0</v>
      </c>
      <c r="U138" s="49">
        <f t="shared" si="296"/>
        <v>0</v>
      </c>
      <c r="V138" s="57">
        <f t="shared" si="243"/>
        <v>0</v>
      </c>
      <c r="W138" s="18">
        <f t="shared" si="243"/>
        <v>0</v>
      </c>
      <c r="X138" s="18">
        <f t="shared" si="243"/>
        <v>0</v>
      </c>
      <c r="Y138" s="18">
        <f t="shared" si="243"/>
        <v>0</v>
      </c>
      <c r="Z138" s="18">
        <f t="shared" si="243"/>
        <v>0</v>
      </c>
      <c r="AA138" s="18">
        <f t="shared" si="288"/>
        <v>0</v>
      </c>
      <c r="AB138" s="42">
        <f t="shared" si="288"/>
        <v>0</v>
      </c>
      <c r="AC138" s="52">
        <f t="shared" si="288"/>
        <v>0</v>
      </c>
      <c r="AD138" s="207">
        <f t="shared" si="288"/>
        <v>0</v>
      </c>
      <c r="AE138" s="207">
        <f t="shared" si="288"/>
        <v>0</v>
      </c>
      <c r="AF138" s="207">
        <f t="shared" si="288"/>
        <v>0</v>
      </c>
      <c r="AG138" s="18">
        <f t="shared" si="288"/>
        <v>0</v>
      </c>
      <c r="AH138" s="51">
        <f t="shared" si="278"/>
        <v>0</v>
      </c>
      <c r="AI138" s="52">
        <f t="shared" si="278"/>
        <v>0</v>
      </c>
      <c r="AJ138" s="52">
        <f t="shared" si="278"/>
        <v>0</v>
      </c>
      <c r="AK138" s="52">
        <f t="shared" si="278"/>
        <v>0</v>
      </c>
      <c r="AL138" s="52">
        <f t="shared" si="278"/>
        <v>0</v>
      </c>
      <c r="AM138" s="18">
        <f t="shared" si="246"/>
        <v>0</v>
      </c>
      <c r="AN138" s="42">
        <f t="shared" si="247"/>
        <v>0</v>
      </c>
      <c r="AO138" s="207">
        <f t="shared" si="247"/>
        <v>0</v>
      </c>
      <c r="AP138" s="207">
        <f t="shared" si="247"/>
        <v>0</v>
      </c>
      <c r="AQ138" s="207">
        <f t="shared" si="247"/>
        <v>0</v>
      </c>
      <c r="AR138" s="207">
        <f t="shared" si="247"/>
        <v>0</v>
      </c>
      <c r="AS138" s="207">
        <f t="shared" si="248"/>
        <v>0</v>
      </c>
      <c r="AT138" s="207">
        <f t="shared" si="248"/>
        <v>0</v>
      </c>
      <c r="AU138" s="18">
        <f t="shared" si="248"/>
        <v>0</v>
      </c>
      <c r="AV138" s="42">
        <f t="shared" si="249"/>
        <v>0</v>
      </c>
      <c r="AW138" s="207">
        <f t="shared" si="249"/>
        <v>0</v>
      </c>
      <c r="AX138" s="207">
        <f t="shared" si="249"/>
        <v>0</v>
      </c>
      <c r="AY138" s="207">
        <f t="shared" si="249"/>
        <v>0</v>
      </c>
      <c r="AZ138" s="207">
        <f t="shared" si="249"/>
        <v>0</v>
      </c>
      <c r="BA138" s="207">
        <f t="shared" si="249"/>
        <v>0</v>
      </c>
      <c r="BB138" s="207">
        <f t="shared" si="249"/>
        <v>0</v>
      </c>
      <c r="BC138" s="18">
        <f t="shared" ref="AV138:BC153" si="299">0/172.5</f>
        <v>0</v>
      </c>
      <c r="BD138" s="42">
        <f t="shared" si="250"/>
        <v>0</v>
      </c>
      <c r="BE138" s="207">
        <f t="shared" si="250"/>
        <v>0</v>
      </c>
      <c r="BF138" s="207">
        <f t="shared" si="250"/>
        <v>0</v>
      </c>
      <c r="BG138" s="207">
        <f t="shared" si="250"/>
        <v>0</v>
      </c>
      <c r="BH138" s="207">
        <f t="shared" si="250"/>
        <v>0</v>
      </c>
      <c r="BI138" s="207">
        <f t="shared" si="251"/>
        <v>0</v>
      </c>
      <c r="BJ138" s="207">
        <f t="shared" si="251"/>
        <v>0</v>
      </c>
      <c r="BK138" s="18">
        <f t="shared" si="251"/>
        <v>0</v>
      </c>
      <c r="BL138" s="20">
        <f t="shared" si="285"/>
        <v>0</v>
      </c>
      <c r="BM138" s="207">
        <f t="shared" si="285"/>
        <v>0</v>
      </c>
      <c r="BN138" s="207">
        <f t="shared" si="285"/>
        <v>0</v>
      </c>
      <c r="BO138" s="207">
        <f t="shared" si="285"/>
        <v>0</v>
      </c>
      <c r="BP138" s="207">
        <f t="shared" si="285"/>
        <v>0</v>
      </c>
      <c r="BQ138" s="207">
        <f t="shared" si="252"/>
        <v>0</v>
      </c>
      <c r="BR138" s="207">
        <f t="shared" si="252"/>
        <v>0</v>
      </c>
      <c r="BS138" s="18">
        <f t="shared" si="252"/>
        <v>0</v>
      </c>
      <c r="BT138" s="224">
        <f t="shared" si="291"/>
        <v>0</v>
      </c>
      <c r="BU138" s="207">
        <f t="shared" si="291"/>
        <v>0</v>
      </c>
      <c r="BV138" s="207">
        <f t="shared" si="291"/>
        <v>0</v>
      </c>
      <c r="BW138" s="207">
        <f t="shared" si="291"/>
        <v>0</v>
      </c>
      <c r="BX138" s="207">
        <f t="shared" si="291"/>
        <v>0</v>
      </c>
      <c r="BY138" s="207">
        <f t="shared" si="253"/>
        <v>0</v>
      </c>
      <c r="BZ138" s="207">
        <f t="shared" si="253"/>
        <v>0</v>
      </c>
      <c r="CA138" s="18">
        <f t="shared" si="253"/>
        <v>0</v>
      </c>
      <c r="CB138" s="224">
        <f t="shared" si="254"/>
        <v>0</v>
      </c>
      <c r="CC138" s="250">
        <f t="shared" si="254"/>
        <v>0</v>
      </c>
      <c r="CD138" s="250">
        <f t="shared" si="254"/>
        <v>0</v>
      </c>
      <c r="CE138" s="250">
        <f t="shared" si="254"/>
        <v>0</v>
      </c>
      <c r="CF138" s="250">
        <f t="shared" si="254"/>
        <v>0</v>
      </c>
      <c r="CG138" s="207">
        <f t="shared" si="255"/>
        <v>0</v>
      </c>
      <c r="CH138" s="207">
        <f t="shared" si="255"/>
        <v>0</v>
      </c>
      <c r="CI138" s="18">
        <f t="shared" si="255"/>
        <v>0</v>
      </c>
      <c r="CJ138" s="224">
        <f t="shared" si="286"/>
        <v>0</v>
      </c>
      <c r="CK138" s="207">
        <f t="shared" si="286"/>
        <v>0</v>
      </c>
      <c r="CL138" s="207">
        <f t="shared" si="286"/>
        <v>0</v>
      </c>
      <c r="CM138" s="207">
        <f t="shared" si="286"/>
        <v>0</v>
      </c>
      <c r="CN138" s="207">
        <f t="shared" si="286"/>
        <v>0</v>
      </c>
      <c r="CO138" s="207">
        <f t="shared" si="256"/>
        <v>0</v>
      </c>
      <c r="CP138" s="207">
        <f t="shared" si="256"/>
        <v>0</v>
      </c>
      <c r="CQ138" s="18">
        <f t="shared" si="256"/>
        <v>0</v>
      </c>
      <c r="CR138" s="42">
        <f t="shared" si="287"/>
        <v>0</v>
      </c>
      <c r="CS138" s="207">
        <f t="shared" si="287"/>
        <v>0</v>
      </c>
      <c r="CT138" s="207">
        <f t="shared" si="287"/>
        <v>0</v>
      </c>
      <c r="CU138" s="207">
        <f t="shared" si="287"/>
        <v>0</v>
      </c>
      <c r="CV138" s="207">
        <f t="shared" si="287"/>
        <v>0</v>
      </c>
      <c r="CW138" s="207">
        <f t="shared" si="257"/>
        <v>0</v>
      </c>
      <c r="CX138" s="207">
        <f t="shared" si="257"/>
        <v>0</v>
      </c>
      <c r="CY138" s="207">
        <f t="shared" si="257"/>
        <v>0</v>
      </c>
    </row>
    <row r="139" spans="1:103" s="199" customFormat="1" ht="26.25" hidden="1" customHeight="1" outlineLevel="1" collapsed="1" x14ac:dyDescent="0.4">
      <c r="A139" s="379">
        <v>67</v>
      </c>
      <c r="B139" s="379" t="s">
        <v>45</v>
      </c>
      <c r="C139" s="379" t="s">
        <v>346</v>
      </c>
      <c r="D139" s="381"/>
      <c r="E139" s="381"/>
      <c r="F139" s="381"/>
      <c r="G139" s="416"/>
      <c r="H139" s="489">
        <f t="shared" ref="H139" si="300">SUM(BT139:CA139)</f>
        <v>0</v>
      </c>
      <c r="I139" s="489">
        <f t="shared" ref="I139" si="301">SUM(BT140:CA140)</f>
        <v>0</v>
      </c>
      <c r="J139" s="497"/>
      <c r="K139" s="491"/>
      <c r="L139" s="491"/>
      <c r="M139" s="493"/>
      <c r="N139" s="48" t="s">
        <v>24</v>
      </c>
      <c r="O139" s="187">
        <f t="shared" si="296"/>
        <v>0</v>
      </c>
      <c r="P139" s="187">
        <f t="shared" si="296"/>
        <v>0</v>
      </c>
      <c r="Q139" s="187">
        <f t="shared" si="296"/>
        <v>0</v>
      </c>
      <c r="R139" s="187">
        <f t="shared" si="296"/>
        <v>0</v>
      </c>
      <c r="S139" s="187">
        <f t="shared" si="296"/>
        <v>0</v>
      </c>
      <c r="T139" s="187">
        <f t="shared" si="296"/>
        <v>0</v>
      </c>
      <c r="U139" s="82">
        <f t="shared" si="296"/>
        <v>0</v>
      </c>
      <c r="V139" s="19">
        <f t="shared" ref="V139:Z154" si="302">0/142.5</f>
        <v>0</v>
      </c>
      <c r="W139" s="187">
        <f t="shared" si="302"/>
        <v>0</v>
      </c>
      <c r="X139" s="187">
        <f t="shared" si="302"/>
        <v>0</v>
      </c>
      <c r="Y139" s="187">
        <f t="shared" si="302"/>
        <v>0</v>
      </c>
      <c r="Z139" s="187">
        <f t="shared" si="302"/>
        <v>0</v>
      </c>
      <c r="AA139" s="187">
        <f t="shared" si="288"/>
        <v>0</v>
      </c>
      <c r="AB139" s="19">
        <f t="shared" si="288"/>
        <v>0</v>
      </c>
      <c r="AC139" s="187">
        <f t="shared" si="288"/>
        <v>0</v>
      </c>
      <c r="AD139" s="249">
        <f t="shared" si="288"/>
        <v>0</v>
      </c>
      <c r="AE139" s="187">
        <f t="shared" si="288"/>
        <v>0</v>
      </c>
      <c r="AF139" s="187">
        <f t="shared" si="288"/>
        <v>0</v>
      </c>
      <c r="AG139" s="187">
        <f t="shared" si="288"/>
        <v>0</v>
      </c>
      <c r="AH139" s="19">
        <f t="shared" si="278"/>
        <v>0</v>
      </c>
      <c r="AI139" s="187">
        <f t="shared" si="278"/>
        <v>0</v>
      </c>
      <c r="AJ139" s="187">
        <f t="shared" si="278"/>
        <v>0</v>
      </c>
      <c r="AK139" s="187">
        <f t="shared" si="278"/>
        <v>0</v>
      </c>
      <c r="AL139" s="187">
        <f t="shared" si="278"/>
        <v>0</v>
      </c>
      <c r="AM139" s="187">
        <f t="shared" ref="AM139:AM154" si="303">0/165</f>
        <v>0</v>
      </c>
      <c r="AN139" s="19">
        <f t="shared" ref="AN139:AR154" si="304">0/157.5</f>
        <v>0</v>
      </c>
      <c r="AO139" s="187">
        <f t="shared" si="304"/>
        <v>0</v>
      </c>
      <c r="AP139" s="187">
        <f t="shared" si="304"/>
        <v>0</v>
      </c>
      <c r="AQ139" s="187">
        <f t="shared" si="304"/>
        <v>0</v>
      </c>
      <c r="AR139" s="187">
        <f t="shared" si="304"/>
        <v>0</v>
      </c>
      <c r="AS139" s="187">
        <f t="shared" ref="AS139:AU154" si="305">0/165</f>
        <v>0</v>
      </c>
      <c r="AT139" s="187">
        <f t="shared" si="305"/>
        <v>0</v>
      </c>
      <c r="AU139" s="187">
        <f t="shared" si="305"/>
        <v>0</v>
      </c>
      <c r="AV139" s="73">
        <f t="shared" si="299"/>
        <v>0</v>
      </c>
      <c r="AW139" s="187">
        <f t="shared" si="299"/>
        <v>0</v>
      </c>
      <c r="AX139" s="187">
        <f t="shared" si="299"/>
        <v>0</v>
      </c>
      <c r="AY139" s="187">
        <f t="shared" si="299"/>
        <v>0</v>
      </c>
      <c r="AZ139" s="187">
        <f t="shared" si="299"/>
        <v>0</v>
      </c>
      <c r="BA139" s="187">
        <f t="shared" si="299"/>
        <v>0</v>
      </c>
      <c r="BB139" s="187">
        <f t="shared" si="299"/>
        <v>0</v>
      </c>
      <c r="BC139" s="187">
        <f t="shared" si="299"/>
        <v>0</v>
      </c>
      <c r="BD139" s="19">
        <f t="shared" ref="BD139:BH154" si="306">0/142.5</f>
        <v>0</v>
      </c>
      <c r="BE139" s="187">
        <f t="shared" si="306"/>
        <v>0</v>
      </c>
      <c r="BF139" s="187">
        <f t="shared" si="306"/>
        <v>0</v>
      </c>
      <c r="BG139" s="187">
        <f t="shared" si="306"/>
        <v>0</v>
      </c>
      <c r="BH139" s="187">
        <f t="shared" si="306"/>
        <v>0</v>
      </c>
      <c r="BI139" s="187">
        <f t="shared" ref="BI139:BK154" si="307">0/172.5</f>
        <v>0</v>
      </c>
      <c r="BJ139" s="187">
        <f t="shared" si="307"/>
        <v>0</v>
      </c>
      <c r="BK139" s="187">
        <f t="shared" si="307"/>
        <v>0</v>
      </c>
      <c r="BL139" s="223">
        <f t="shared" si="285"/>
        <v>0</v>
      </c>
      <c r="BM139" s="249">
        <f t="shared" si="285"/>
        <v>0</v>
      </c>
      <c r="BN139" s="249">
        <f t="shared" si="285"/>
        <v>0</v>
      </c>
      <c r="BO139" s="249">
        <f t="shared" si="285"/>
        <v>0</v>
      </c>
      <c r="BP139" s="249">
        <f t="shared" si="285"/>
        <v>0</v>
      </c>
      <c r="BQ139" s="187">
        <f t="shared" ref="BQ139:BS154" si="308">0/172.5</f>
        <v>0</v>
      </c>
      <c r="BR139" s="187">
        <f t="shared" si="308"/>
        <v>0</v>
      </c>
      <c r="BS139" s="187">
        <f t="shared" si="308"/>
        <v>0</v>
      </c>
      <c r="BT139" s="73">
        <f t="shared" si="291"/>
        <v>0</v>
      </c>
      <c r="BU139" s="187">
        <f t="shared" si="291"/>
        <v>0</v>
      </c>
      <c r="BV139" s="187">
        <f t="shared" si="291"/>
        <v>0</v>
      </c>
      <c r="BW139" s="187">
        <f t="shared" si="291"/>
        <v>0</v>
      </c>
      <c r="BX139" s="187">
        <f t="shared" si="291"/>
        <v>0</v>
      </c>
      <c r="BY139" s="187">
        <f t="shared" ref="BY139:CA154" si="309">0/172.5</f>
        <v>0</v>
      </c>
      <c r="BZ139" s="187">
        <f t="shared" si="309"/>
        <v>0</v>
      </c>
      <c r="CA139" s="187">
        <f t="shared" si="309"/>
        <v>0</v>
      </c>
      <c r="CB139" s="73">
        <f t="shared" ref="CB139:CF154" si="310">0/157.5</f>
        <v>0</v>
      </c>
      <c r="CC139" s="187">
        <f t="shared" si="310"/>
        <v>0</v>
      </c>
      <c r="CD139" s="187">
        <f t="shared" si="310"/>
        <v>0</v>
      </c>
      <c r="CE139" s="187">
        <f t="shared" si="310"/>
        <v>0</v>
      </c>
      <c r="CF139" s="187">
        <f t="shared" si="310"/>
        <v>0</v>
      </c>
      <c r="CG139" s="187">
        <f t="shared" ref="CG139:CI154" si="311">0/172.5</f>
        <v>0</v>
      </c>
      <c r="CH139" s="187">
        <f t="shared" si="311"/>
        <v>0</v>
      </c>
      <c r="CI139" s="187">
        <f t="shared" si="311"/>
        <v>0</v>
      </c>
      <c r="CJ139" s="73">
        <f t="shared" si="286"/>
        <v>0</v>
      </c>
      <c r="CK139" s="187">
        <f t="shared" si="286"/>
        <v>0</v>
      </c>
      <c r="CL139" s="187">
        <f t="shared" si="286"/>
        <v>0</v>
      </c>
      <c r="CM139" s="187">
        <f t="shared" si="286"/>
        <v>0</v>
      </c>
      <c r="CN139" s="187">
        <f t="shared" si="286"/>
        <v>0</v>
      </c>
      <c r="CO139" s="187">
        <f t="shared" ref="CO139:CQ154" si="312">0/172.5</f>
        <v>0</v>
      </c>
      <c r="CP139" s="187">
        <f t="shared" si="312"/>
        <v>0</v>
      </c>
      <c r="CQ139" s="187">
        <f t="shared" si="312"/>
        <v>0</v>
      </c>
      <c r="CR139" s="73">
        <f t="shared" si="287"/>
        <v>0</v>
      </c>
      <c r="CS139" s="187">
        <f t="shared" si="287"/>
        <v>0</v>
      </c>
      <c r="CT139" s="187">
        <f t="shared" si="287"/>
        <v>0</v>
      </c>
      <c r="CU139" s="187">
        <f t="shared" si="287"/>
        <v>0</v>
      </c>
      <c r="CV139" s="187">
        <f t="shared" si="287"/>
        <v>0</v>
      </c>
      <c r="CW139" s="187">
        <f t="shared" ref="CW139:CY154" si="313">0/172.5</f>
        <v>0</v>
      </c>
      <c r="CX139" s="187">
        <f t="shared" si="313"/>
        <v>0</v>
      </c>
      <c r="CY139" s="187">
        <f t="shared" si="313"/>
        <v>0</v>
      </c>
    </row>
    <row r="140" spans="1:103" s="199" customFormat="1" ht="26.25" hidden="1" customHeight="1" outlineLevel="1" x14ac:dyDescent="0.4">
      <c r="A140" s="380"/>
      <c r="B140" s="380"/>
      <c r="C140" s="380"/>
      <c r="D140" s="382"/>
      <c r="E140" s="382"/>
      <c r="F140" s="382"/>
      <c r="G140" s="416"/>
      <c r="H140" s="490"/>
      <c r="I140" s="490"/>
      <c r="J140" s="498"/>
      <c r="K140" s="492"/>
      <c r="L140" s="492"/>
      <c r="M140" s="494"/>
      <c r="N140" s="39" t="s">
        <v>25</v>
      </c>
      <c r="O140" s="207">
        <f t="shared" si="296"/>
        <v>0</v>
      </c>
      <c r="P140" s="207">
        <f t="shared" si="296"/>
        <v>0</v>
      </c>
      <c r="Q140" s="207">
        <f t="shared" si="296"/>
        <v>0</v>
      </c>
      <c r="R140" s="207">
        <f t="shared" si="296"/>
        <v>0</v>
      </c>
      <c r="S140" s="207">
        <f t="shared" si="296"/>
        <v>0</v>
      </c>
      <c r="T140" s="207">
        <f t="shared" si="296"/>
        <v>0</v>
      </c>
      <c r="U140" s="49">
        <f t="shared" si="296"/>
        <v>0</v>
      </c>
      <c r="V140" s="57">
        <f t="shared" si="302"/>
        <v>0</v>
      </c>
      <c r="W140" s="18">
        <f t="shared" si="302"/>
        <v>0</v>
      </c>
      <c r="X140" s="18">
        <f t="shared" si="302"/>
        <v>0</v>
      </c>
      <c r="Y140" s="18">
        <f t="shared" si="302"/>
        <v>0</v>
      </c>
      <c r="Z140" s="18">
        <f t="shared" si="302"/>
        <v>0</v>
      </c>
      <c r="AA140" s="18">
        <f t="shared" si="288"/>
        <v>0</v>
      </c>
      <c r="AB140" s="42">
        <f t="shared" si="288"/>
        <v>0</v>
      </c>
      <c r="AC140" s="52">
        <f t="shared" si="288"/>
        <v>0</v>
      </c>
      <c r="AD140" s="207">
        <f t="shared" si="288"/>
        <v>0</v>
      </c>
      <c r="AE140" s="207">
        <f t="shared" si="288"/>
        <v>0</v>
      </c>
      <c r="AF140" s="207">
        <f t="shared" si="288"/>
        <v>0</v>
      </c>
      <c r="AG140" s="18">
        <f t="shared" si="288"/>
        <v>0</v>
      </c>
      <c r="AH140" s="51">
        <f t="shared" si="278"/>
        <v>0</v>
      </c>
      <c r="AI140" s="52">
        <f t="shared" si="278"/>
        <v>0</v>
      </c>
      <c r="AJ140" s="52">
        <f t="shared" si="278"/>
        <v>0</v>
      </c>
      <c r="AK140" s="52">
        <f t="shared" si="278"/>
        <v>0</v>
      </c>
      <c r="AL140" s="52">
        <f t="shared" si="278"/>
        <v>0</v>
      </c>
      <c r="AM140" s="18">
        <f t="shared" si="303"/>
        <v>0</v>
      </c>
      <c r="AN140" s="42">
        <f t="shared" si="304"/>
        <v>0</v>
      </c>
      <c r="AO140" s="207">
        <f t="shared" si="304"/>
        <v>0</v>
      </c>
      <c r="AP140" s="207">
        <f t="shared" si="304"/>
        <v>0</v>
      </c>
      <c r="AQ140" s="207">
        <f t="shared" si="304"/>
        <v>0</v>
      </c>
      <c r="AR140" s="207">
        <f t="shared" si="304"/>
        <v>0</v>
      </c>
      <c r="AS140" s="207">
        <f t="shared" si="305"/>
        <v>0</v>
      </c>
      <c r="AT140" s="207">
        <f t="shared" si="305"/>
        <v>0</v>
      </c>
      <c r="AU140" s="18">
        <f t="shared" si="305"/>
        <v>0</v>
      </c>
      <c r="AV140" s="42">
        <f t="shared" si="299"/>
        <v>0</v>
      </c>
      <c r="AW140" s="207">
        <f t="shared" si="299"/>
        <v>0</v>
      </c>
      <c r="AX140" s="207">
        <f t="shared" si="299"/>
        <v>0</v>
      </c>
      <c r="AY140" s="207">
        <f t="shared" si="299"/>
        <v>0</v>
      </c>
      <c r="AZ140" s="207">
        <f t="shared" si="299"/>
        <v>0</v>
      </c>
      <c r="BA140" s="207">
        <f t="shared" si="299"/>
        <v>0</v>
      </c>
      <c r="BB140" s="207">
        <f t="shared" si="299"/>
        <v>0</v>
      </c>
      <c r="BC140" s="18">
        <f t="shared" si="299"/>
        <v>0</v>
      </c>
      <c r="BD140" s="42">
        <f t="shared" si="306"/>
        <v>0</v>
      </c>
      <c r="BE140" s="207">
        <f t="shared" si="306"/>
        <v>0</v>
      </c>
      <c r="BF140" s="207">
        <f t="shared" si="306"/>
        <v>0</v>
      </c>
      <c r="BG140" s="207">
        <f t="shared" si="306"/>
        <v>0</v>
      </c>
      <c r="BH140" s="207">
        <f t="shared" si="306"/>
        <v>0</v>
      </c>
      <c r="BI140" s="207">
        <f t="shared" si="307"/>
        <v>0</v>
      </c>
      <c r="BJ140" s="207">
        <f t="shared" si="307"/>
        <v>0</v>
      </c>
      <c r="BK140" s="18">
        <f t="shared" si="307"/>
        <v>0</v>
      </c>
      <c r="BL140" s="20">
        <f t="shared" si="285"/>
        <v>0</v>
      </c>
      <c r="BM140" s="207">
        <f t="shared" si="285"/>
        <v>0</v>
      </c>
      <c r="BN140" s="207">
        <f t="shared" si="285"/>
        <v>0</v>
      </c>
      <c r="BO140" s="207">
        <f t="shared" si="285"/>
        <v>0</v>
      </c>
      <c r="BP140" s="207">
        <f t="shared" si="285"/>
        <v>0</v>
      </c>
      <c r="BQ140" s="207">
        <f t="shared" si="308"/>
        <v>0</v>
      </c>
      <c r="BR140" s="207">
        <f t="shared" si="308"/>
        <v>0</v>
      </c>
      <c r="BS140" s="18">
        <f t="shared" si="308"/>
        <v>0</v>
      </c>
      <c r="BT140" s="224">
        <f t="shared" si="291"/>
        <v>0</v>
      </c>
      <c r="BU140" s="207">
        <f t="shared" si="291"/>
        <v>0</v>
      </c>
      <c r="BV140" s="207">
        <f t="shared" si="291"/>
        <v>0</v>
      </c>
      <c r="BW140" s="207">
        <f t="shared" si="291"/>
        <v>0</v>
      </c>
      <c r="BX140" s="207">
        <f t="shared" si="291"/>
        <v>0</v>
      </c>
      <c r="BY140" s="207">
        <f t="shared" si="309"/>
        <v>0</v>
      </c>
      <c r="BZ140" s="207">
        <f t="shared" si="309"/>
        <v>0</v>
      </c>
      <c r="CA140" s="18">
        <f t="shared" si="309"/>
        <v>0</v>
      </c>
      <c r="CB140" s="224">
        <f t="shared" si="310"/>
        <v>0</v>
      </c>
      <c r="CC140" s="250">
        <f t="shared" si="310"/>
        <v>0</v>
      </c>
      <c r="CD140" s="250">
        <f t="shared" si="310"/>
        <v>0</v>
      </c>
      <c r="CE140" s="250">
        <f t="shared" si="310"/>
        <v>0</v>
      </c>
      <c r="CF140" s="250">
        <f t="shared" si="310"/>
        <v>0</v>
      </c>
      <c r="CG140" s="207">
        <f t="shared" si="311"/>
        <v>0</v>
      </c>
      <c r="CH140" s="207">
        <f t="shared" si="311"/>
        <v>0</v>
      </c>
      <c r="CI140" s="18">
        <f t="shared" si="311"/>
        <v>0</v>
      </c>
      <c r="CJ140" s="224">
        <f t="shared" si="286"/>
        <v>0</v>
      </c>
      <c r="CK140" s="207">
        <f t="shared" si="286"/>
        <v>0</v>
      </c>
      <c r="CL140" s="207">
        <f t="shared" si="286"/>
        <v>0</v>
      </c>
      <c r="CM140" s="207">
        <f t="shared" si="286"/>
        <v>0</v>
      </c>
      <c r="CN140" s="207">
        <f t="shared" si="286"/>
        <v>0</v>
      </c>
      <c r="CO140" s="207">
        <f t="shared" si="312"/>
        <v>0</v>
      </c>
      <c r="CP140" s="207">
        <f t="shared" si="312"/>
        <v>0</v>
      </c>
      <c r="CQ140" s="18">
        <f t="shared" si="312"/>
        <v>0</v>
      </c>
      <c r="CR140" s="42">
        <f t="shared" si="287"/>
        <v>0</v>
      </c>
      <c r="CS140" s="207">
        <f t="shared" si="287"/>
        <v>0</v>
      </c>
      <c r="CT140" s="207">
        <f t="shared" si="287"/>
        <v>0</v>
      </c>
      <c r="CU140" s="207">
        <f t="shared" si="287"/>
        <v>0</v>
      </c>
      <c r="CV140" s="207">
        <f t="shared" si="287"/>
        <v>0</v>
      </c>
      <c r="CW140" s="207">
        <f t="shared" si="313"/>
        <v>0</v>
      </c>
      <c r="CX140" s="207">
        <f t="shared" si="313"/>
        <v>0</v>
      </c>
      <c r="CY140" s="207">
        <f t="shared" si="313"/>
        <v>0</v>
      </c>
    </row>
    <row r="141" spans="1:103" s="199" customFormat="1" ht="26.25" hidden="1" customHeight="1" outlineLevel="1" collapsed="1" x14ac:dyDescent="0.4">
      <c r="A141" s="379">
        <v>68</v>
      </c>
      <c r="B141" s="379" t="s">
        <v>45</v>
      </c>
      <c r="C141" s="379" t="s">
        <v>346</v>
      </c>
      <c r="D141" s="381"/>
      <c r="E141" s="381"/>
      <c r="F141" s="381"/>
      <c r="G141" s="416"/>
      <c r="H141" s="489">
        <f t="shared" ref="H141" si="314">SUM(BT141:CA141)</f>
        <v>0</v>
      </c>
      <c r="I141" s="489">
        <f t="shared" ref="I141" si="315">SUM(BT142:CA142)</f>
        <v>0</v>
      </c>
      <c r="J141" s="497"/>
      <c r="K141" s="491"/>
      <c r="L141" s="491"/>
      <c r="M141" s="493"/>
      <c r="N141" s="48" t="s">
        <v>24</v>
      </c>
      <c r="O141" s="187">
        <f t="shared" si="296"/>
        <v>0</v>
      </c>
      <c r="P141" s="187">
        <f t="shared" si="296"/>
        <v>0</v>
      </c>
      <c r="Q141" s="187">
        <f t="shared" si="296"/>
        <v>0</v>
      </c>
      <c r="R141" s="187">
        <f t="shared" si="296"/>
        <v>0</v>
      </c>
      <c r="S141" s="187">
        <f t="shared" si="296"/>
        <v>0</v>
      </c>
      <c r="T141" s="187">
        <f t="shared" si="296"/>
        <v>0</v>
      </c>
      <c r="U141" s="82">
        <f t="shared" si="296"/>
        <v>0</v>
      </c>
      <c r="V141" s="19">
        <f t="shared" si="302"/>
        <v>0</v>
      </c>
      <c r="W141" s="187">
        <f t="shared" si="302"/>
        <v>0</v>
      </c>
      <c r="X141" s="187">
        <f t="shared" si="302"/>
        <v>0</v>
      </c>
      <c r="Y141" s="187">
        <f t="shared" si="302"/>
        <v>0</v>
      </c>
      <c r="Z141" s="187">
        <f t="shared" si="302"/>
        <v>0</v>
      </c>
      <c r="AA141" s="187">
        <f t="shared" si="288"/>
        <v>0</v>
      </c>
      <c r="AB141" s="19">
        <f t="shared" si="288"/>
        <v>0</v>
      </c>
      <c r="AC141" s="187">
        <f t="shared" si="288"/>
        <v>0</v>
      </c>
      <c r="AD141" s="249">
        <f t="shared" si="288"/>
        <v>0</v>
      </c>
      <c r="AE141" s="187">
        <f t="shared" si="288"/>
        <v>0</v>
      </c>
      <c r="AF141" s="187">
        <f t="shared" si="288"/>
        <v>0</v>
      </c>
      <c r="AG141" s="187">
        <f t="shared" si="288"/>
        <v>0</v>
      </c>
      <c r="AH141" s="19">
        <f t="shared" si="278"/>
        <v>0</v>
      </c>
      <c r="AI141" s="187">
        <f t="shared" si="278"/>
        <v>0</v>
      </c>
      <c r="AJ141" s="187">
        <f t="shared" si="278"/>
        <v>0</v>
      </c>
      <c r="AK141" s="187">
        <f t="shared" si="278"/>
        <v>0</v>
      </c>
      <c r="AL141" s="187">
        <f t="shared" si="278"/>
        <v>0</v>
      </c>
      <c r="AM141" s="187">
        <f t="shared" si="303"/>
        <v>0</v>
      </c>
      <c r="AN141" s="19">
        <f t="shared" si="304"/>
        <v>0</v>
      </c>
      <c r="AO141" s="187">
        <f t="shared" si="304"/>
        <v>0</v>
      </c>
      <c r="AP141" s="187">
        <f t="shared" si="304"/>
        <v>0</v>
      </c>
      <c r="AQ141" s="187">
        <f t="shared" si="304"/>
        <v>0</v>
      </c>
      <c r="AR141" s="187">
        <f t="shared" si="304"/>
        <v>0</v>
      </c>
      <c r="AS141" s="187">
        <f t="shared" si="305"/>
        <v>0</v>
      </c>
      <c r="AT141" s="187">
        <f t="shared" si="305"/>
        <v>0</v>
      </c>
      <c r="AU141" s="187">
        <f t="shared" si="305"/>
        <v>0</v>
      </c>
      <c r="AV141" s="73">
        <f t="shared" si="299"/>
        <v>0</v>
      </c>
      <c r="AW141" s="187">
        <f t="shared" si="299"/>
        <v>0</v>
      </c>
      <c r="AX141" s="187">
        <f t="shared" si="299"/>
        <v>0</v>
      </c>
      <c r="AY141" s="187">
        <f t="shared" si="299"/>
        <v>0</v>
      </c>
      <c r="AZ141" s="187">
        <f t="shared" si="299"/>
        <v>0</v>
      </c>
      <c r="BA141" s="187">
        <f t="shared" si="299"/>
        <v>0</v>
      </c>
      <c r="BB141" s="187">
        <f t="shared" si="299"/>
        <v>0</v>
      </c>
      <c r="BC141" s="187">
        <f t="shared" si="299"/>
        <v>0</v>
      </c>
      <c r="BD141" s="19">
        <f t="shared" si="306"/>
        <v>0</v>
      </c>
      <c r="BE141" s="187">
        <f t="shared" si="306"/>
        <v>0</v>
      </c>
      <c r="BF141" s="187">
        <f t="shared" si="306"/>
        <v>0</v>
      </c>
      <c r="BG141" s="187">
        <f t="shared" si="306"/>
        <v>0</v>
      </c>
      <c r="BH141" s="187">
        <f t="shared" si="306"/>
        <v>0</v>
      </c>
      <c r="BI141" s="187">
        <f t="shared" si="307"/>
        <v>0</v>
      </c>
      <c r="BJ141" s="187">
        <f t="shared" si="307"/>
        <v>0</v>
      </c>
      <c r="BK141" s="187">
        <f t="shared" si="307"/>
        <v>0</v>
      </c>
      <c r="BL141" s="223">
        <f t="shared" si="285"/>
        <v>0</v>
      </c>
      <c r="BM141" s="249">
        <f t="shared" si="285"/>
        <v>0</v>
      </c>
      <c r="BN141" s="249">
        <f t="shared" si="285"/>
        <v>0</v>
      </c>
      <c r="BO141" s="249">
        <f t="shared" si="285"/>
        <v>0</v>
      </c>
      <c r="BP141" s="249">
        <f t="shared" si="285"/>
        <v>0</v>
      </c>
      <c r="BQ141" s="187">
        <f t="shared" si="308"/>
        <v>0</v>
      </c>
      <c r="BR141" s="187">
        <f t="shared" si="308"/>
        <v>0</v>
      </c>
      <c r="BS141" s="187">
        <f t="shared" si="308"/>
        <v>0</v>
      </c>
      <c r="BT141" s="73">
        <f t="shared" si="291"/>
        <v>0</v>
      </c>
      <c r="BU141" s="187">
        <f t="shared" si="291"/>
        <v>0</v>
      </c>
      <c r="BV141" s="187">
        <f t="shared" si="291"/>
        <v>0</v>
      </c>
      <c r="BW141" s="187">
        <f t="shared" si="291"/>
        <v>0</v>
      </c>
      <c r="BX141" s="187">
        <f t="shared" si="291"/>
        <v>0</v>
      </c>
      <c r="BY141" s="187">
        <f t="shared" si="309"/>
        <v>0</v>
      </c>
      <c r="BZ141" s="187">
        <f t="shared" si="309"/>
        <v>0</v>
      </c>
      <c r="CA141" s="187">
        <f t="shared" si="309"/>
        <v>0</v>
      </c>
      <c r="CB141" s="73">
        <f t="shared" si="310"/>
        <v>0</v>
      </c>
      <c r="CC141" s="187">
        <f t="shared" si="310"/>
        <v>0</v>
      </c>
      <c r="CD141" s="187">
        <f t="shared" si="310"/>
        <v>0</v>
      </c>
      <c r="CE141" s="187">
        <f t="shared" si="310"/>
        <v>0</v>
      </c>
      <c r="CF141" s="187">
        <f t="shared" si="310"/>
        <v>0</v>
      </c>
      <c r="CG141" s="187">
        <f t="shared" si="311"/>
        <v>0</v>
      </c>
      <c r="CH141" s="187">
        <f t="shared" si="311"/>
        <v>0</v>
      </c>
      <c r="CI141" s="187">
        <f t="shared" si="311"/>
        <v>0</v>
      </c>
      <c r="CJ141" s="73">
        <f t="shared" si="286"/>
        <v>0</v>
      </c>
      <c r="CK141" s="187">
        <f t="shared" si="286"/>
        <v>0</v>
      </c>
      <c r="CL141" s="187">
        <f t="shared" si="286"/>
        <v>0</v>
      </c>
      <c r="CM141" s="187">
        <f t="shared" si="286"/>
        <v>0</v>
      </c>
      <c r="CN141" s="187">
        <f t="shared" si="286"/>
        <v>0</v>
      </c>
      <c r="CO141" s="187">
        <f t="shared" si="312"/>
        <v>0</v>
      </c>
      <c r="CP141" s="187">
        <f t="shared" si="312"/>
        <v>0</v>
      </c>
      <c r="CQ141" s="187">
        <f t="shared" si="312"/>
        <v>0</v>
      </c>
      <c r="CR141" s="73">
        <f t="shared" si="287"/>
        <v>0</v>
      </c>
      <c r="CS141" s="187">
        <f t="shared" si="287"/>
        <v>0</v>
      </c>
      <c r="CT141" s="187">
        <f t="shared" si="287"/>
        <v>0</v>
      </c>
      <c r="CU141" s="187">
        <f t="shared" si="287"/>
        <v>0</v>
      </c>
      <c r="CV141" s="187">
        <f t="shared" si="287"/>
        <v>0</v>
      </c>
      <c r="CW141" s="187">
        <f t="shared" si="313"/>
        <v>0</v>
      </c>
      <c r="CX141" s="187">
        <f t="shared" si="313"/>
        <v>0</v>
      </c>
      <c r="CY141" s="187">
        <f t="shared" si="313"/>
        <v>0</v>
      </c>
    </row>
    <row r="142" spans="1:103" s="199" customFormat="1" ht="26.25" hidden="1" customHeight="1" outlineLevel="1" x14ac:dyDescent="0.4">
      <c r="A142" s="380"/>
      <c r="B142" s="380"/>
      <c r="C142" s="380"/>
      <c r="D142" s="382"/>
      <c r="E142" s="382"/>
      <c r="F142" s="382"/>
      <c r="G142" s="416"/>
      <c r="H142" s="490"/>
      <c r="I142" s="490"/>
      <c r="J142" s="498"/>
      <c r="K142" s="492"/>
      <c r="L142" s="492"/>
      <c r="M142" s="494"/>
      <c r="N142" s="39" t="s">
        <v>25</v>
      </c>
      <c r="O142" s="207">
        <f t="shared" si="296"/>
        <v>0</v>
      </c>
      <c r="P142" s="207">
        <f t="shared" si="296"/>
        <v>0</v>
      </c>
      <c r="Q142" s="207">
        <f t="shared" si="296"/>
        <v>0</v>
      </c>
      <c r="R142" s="207">
        <f t="shared" si="296"/>
        <v>0</v>
      </c>
      <c r="S142" s="207">
        <f t="shared" si="296"/>
        <v>0</v>
      </c>
      <c r="T142" s="207">
        <f t="shared" si="296"/>
        <v>0</v>
      </c>
      <c r="U142" s="49">
        <f t="shared" si="296"/>
        <v>0</v>
      </c>
      <c r="V142" s="57">
        <f t="shared" si="302"/>
        <v>0</v>
      </c>
      <c r="W142" s="18">
        <f t="shared" si="302"/>
        <v>0</v>
      </c>
      <c r="X142" s="18">
        <f t="shared" si="302"/>
        <v>0</v>
      </c>
      <c r="Y142" s="18">
        <f t="shared" si="302"/>
        <v>0</v>
      </c>
      <c r="Z142" s="18">
        <f t="shared" si="302"/>
        <v>0</v>
      </c>
      <c r="AA142" s="18">
        <f t="shared" si="288"/>
        <v>0</v>
      </c>
      <c r="AB142" s="42">
        <f t="shared" si="288"/>
        <v>0</v>
      </c>
      <c r="AC142" s="52">
        <f t="shared" si="288"/>
        <v>0</v>
      </c>
      <c r="AD142" s="207">
        <f t="shared" si="288"/>
        <v>0</v>
      </c>
      <c r="AE142" s="207">
        <f t="shared" si="288"/>
        <v>0</v>
      </c>
      <c r="AF142" s="207">
        <f t="shared" si="288"/>
        <v>0</v>
      </c>
      <c r="AG142" s="18">
        <f t="shared" si="288"/>
        <v>0</v>
      </c>
      <c r="AH142" s="51">
        <f t="shared" si="278"/>
        <v>0</v>
      </c>
      <c r="AI142" s="52">
        <f t="shared" si="278"/>
        <v>0</v>
      </c>
      <c r="AJ142" s="52">
        <f t="shared" si="278"/>
        <v>0</v>
      </c>
      <c r="AK142" s="52">
        <f t="shared" si="278"/>
        <v>0</v>
      </c>
      <c r="AL142" s="52">
        <f t="shared" si="278"/>
        <v>0</v>
      </c>
      <c r="AM142" s="18">
        <f t="shared" si="303"/>
        <v>0</v>
      </c>
      <c r="AN142" s="42">
        <f t="shared" si="304"/>
        <v>0</v>
      </c>
      <c r="AO142" s="207">
        <f t="shared" si="304"/>
        <v>0</v>
      </c>
      <c r="AP142" s="207">
        <f t="shared" si="304"/>
        <v>0</v>
      </c>
      <c r="AQ142" s="207">
        <f t="shared" si="304"/>
        <v>0</v>
      </c>
      <c r="AR142" s="207">
        <f t="shared" si="304"/>
        <v>0</v>
      </c>
      <c r="AS142" s="207">
        <f t="shared" si="305"/>
        <v>0</v>
      </c>
      <c r="AT142" s="207">
        <f t="shared" si="305"/>
        <v>0</v>
      </c>
      <c r="AU142" s="18">
        <f t="shared" si="305"/>
        <v>0</v>
      </c>
      <c r="AV142" s="42">
        <f t="shared" si="299"/>
        <v>0</v>
      </c>
      <c r="AW142" s="207">
        <f t="shared" si="299"/>
        <v>0</v>
      </c>
      <c r="AX142" s="207">
        <f t="shared" si="299"/>
        <v>0</v>
      </c>
      <c r="AY142" s="207">
        <f t="shared" si="299"/>
        <v>0</v>
      </c>
      <c r="AZ142" s="207">
        <f t="shared" si="299"/>
        <v>0</v>
      </c>
      <c r="BA142" s="207">
        <f t="shared" si="299"/>
        <v>0</v>
      </c>
      <c r="BB142" s="207">
        <f t="shared" si="299"/>
        <v>0</v>
      </c>
      <c r="BC142" s="18">
        <f t="shared" si="299"/>
        <v>0</v>
      </c>
      <c r="BD142" s="42">
        <f t="shared" si="306"/>
        <v>0</v>
      </c>
      <c r="BE142" s="207">
        <f t="shared" si="306"/>
        <v>0</v>
      </c>
      <c r="BF142" s="207">
        <f t="shared" si="306"/>
        <v>0</v>
      </c>
      <c r="BG142" s="207">
        <f t="shared" si="306"/>
        <v>0</v>
      </c>
      <c r="BH142" s="207">
        <f t="shared" si="306"/>
        <v>0</v>
      </c>
      <c r="BI142" s="207">
        <f t="shared" si="307"/>
        <v>0</v>
      </c>
      <c r="BJ142" s="207">
        <f t="shared" si="307"/>
        <v>0</v>
      </c>
      <c r="BK142" s="18">
        <f t="shared" si="307"/>
        <v>0</v>
      </c>
      <c r="BL142" s="20">
        <f t="shared" si="285"/>
        <v>0</v>
      </c>
      <c r="BM142" s="207">
        <f t="shared" si="285"/>
        <v>0</v>
      </c>
      <c r="BN142" s="207">
        <f t="shared" si="285"/>
        <v>0</v>
      </c>
      <c r="BO142" s="207">
        <f t="shared" si="285"/>
        <v>0</v>
      </c>
      <c r="BP142" s="207">
        <f t="shared" si="285"/>
        <v>0</v>
      </c>
      <c r="BQ142" s="207">
        <f t="shared" si="308"/>
        <v>0</v>
      </c>
      <c r="BR142" s="207">
        <f t="shared" si="308"/>
        <v>0</v>
      </c>
      <c r="BS142" s="18">
        <f t="shared" si="308"/>
        <v>0</v>
      </c>
      <c r="BT142" s="224">
        <f t="shared" si="291"/>
        <v>0</v>
      </c>
      <c r="BU142" s="207">
        <f t="shared" si="291"/>
        <v>0</v>
      </c>
      <c r="BV142" s="207">
        <f t="shared" si="291"/>
        <v>0</v>
      </c>
      <c r="BW142" s="207">
        <f t="shared" si="291"/>
        <v>0</v>
      </c>
      <c r="BX142" s="207">
        <f t="shared" si="291"/>
        <v>0</v>
      </c>
      <c r="BY142" s="207">
        <f t="shared" si="309"/>
        <v>0</v>
      </c>
      <c r="BZ142" s="207">
        <f t="shared" si="309"/>
        <v>0</v>
      </c>
      <c r="CA142" s="18">
        <f t="shared" si="309"/>
        <v>0</v>
      </c>
      <c r="CB142" s="224">
        <f t="shared" si="310"/>
        <v>0</v>
      </c>
      <c r="CC142" s="250">
        <f t="shared" si="310"/>
        <v>0</v>
      </c>
      <c r="CD142" s="250">
        <f t="shared" si="310"/>
        <v>0</v>
      </c>
      <c r="CE142" s="250">
        <f t="shared" si="310"/>
        <v>0</v>
      </c>
      <c r="CF142" s="250">
        <f t="shared" si="310"/>
        <v>0</v>
      </c>
      <c r="CG142" s="207">
        <f t="shared" si="311"/>
        <v>0</v>
      </c>
      <c r="CH142" s="207">
        <f t="shared" si="311"/>
        <v>0</v>
      </c>
      <c r="CI142" s="18">
        <f t="shared" si="311"/>
        <v>0</v>
      </c>
      <c r="CJ142" s="224">
        <f t="shared" si="286"/>
        <v>0</v>
      </c>
      <c r="CK142" s="207">
        <f t="shared" si="286"/>
        <v>0</v>
      </c>
      <c r="CL142" s="207">
        <f t="shared" si="286"/>
        <v>0</v>
      </c>
      <c r="CM142" s="207">
        <f t="shared" si="286"/>
        <v>0</v>
      </c>
      <c r="CN142" s="207">
        <f t="shared" si="286"/>
        <v>0</v>
      </c>
      <c r="CO142" s="207">
        <f t="shared" si="312"/>
        <v>0</v>
      </c>
      <c r="CP142" s="207">
        <f t="shared" si="312"/>
        <v>0</v>
      </c>
      <c r="CQ142" s="18">
        <f t="shared" si="312"/>
        <v>0</v>
      </c>
      <c r="CR142" s="42">
        <f t="shared" si="287"/>
        <v>0</v>
      </c>
      <c r="CS142" s="207">
        <f t="shared" si="287"/>
        <v>0</v>
      </c>
      <c r="CT142" s="207">
        <f t="shared" si="287"/>
        <v>0</v>
      </c>
      <c r="CU142" s="207">
        <f t="shared" si="287"/>
        <v>0</v>
      </c>
      <c r="CV142" s="207">
        <f t="shared" si="287"/>
        <v>0</v>
      </c>
      <c r="CW142" s="207">
        <f t="shared" si="313"/>
        <v>0</v>
      </c>
      <c r="CX142" s="207">
        <f t="shared" si="313"/>
        <v>0</v>
      </c>
      <c r="CY142" s="207">
        <f t="shared" si="313"/>
        <v>0</v>
      </c>
    </row>
    <row r="143" spans="1:103" s="199" customFormat="1" ht="26.25" hidden="1" customHeight="1" outlineLevel="1" collapsed="1" x14ac:dyDescent="0.4">
      <c r="A143" s="379">
        <v>69</v>
      </c>
      <c r="B143" s="379" t="s">
        <v>45</v>
      </c>
      <c r="C143" s="379" t="s">
        <v>346</v>
      </c>
      <c r="D143" s="381"/>
      <c r="E143" s="381"/>
      <c r="F143" s="381"/>
      <c r="G143" s="416"/>
      <c r="H143" s="489">
        <f t="shared" ref="H143" si="316">SUM(BT143:CA143)</f>
        <v>0</v>
      </c>
      <c r="I143" s="489">
        <f t="shared" ref="I143" si="317">SUM(BT144:CA144)</f>
        <v>0</v>
      </c>
      <c r="J143" s="497"/>
      <c r="K143" s="491"/>
      <c r="L143" s="491"/>
      <c r="M143" s="493"/>
      <c r="N143" s="48" t="s">
        <v>24</v>
      </c>
      <c r="O143" s="187">
        <f t="shared" si="296"/>
        <v>0</v>
      </c>
      <c r="P143" s="187">
        <f t="shared" si="296"/>
        <v>0</v>
      </c>
      <c r="Q143" s="187">
        <f t="shared" si="296"/>
        <v>0</v>
      </c>
      <c r="R143" s="187">
        <f t="shared" si="296"/>
        <v>0</v>
      </c>
      <c r="S143" s="187">
        <f t="shared" si="296"/>
        <v>0</v>
      </c>
      <c r="T143" s="187">
        <f t="shared" si="296"/>
        <v>0</v>
      </c>
      <c r="U143" s="82">
        <f t="shared" si="296"/>
        <v>0</v>
      </c>
      <c r="V143" s="19">
        <f t="shared" si="302"/>
        <v>0</v>
      </c>
      <c r="W143" s="187">
        <f t="shared" si="302"/>
        <v>0</v>
      </c>
      <c r="X143" s="187">
        <f t="shared" si="302"/>
        <v>0</v>
      </c>
      <c r="Y143" s="187">
        <f t="shared" si="302"/>
        <v>0</v>
      </c>
      <c r="Z143" s="187">
        <f t="shared" si="302"/>
        <v>0</v>
      </c>
      <c r="AA143" s="187">
        <f t="shared" si="288"/>
        <v>0</v>
      </c>
      <c r="AB143" s="19">
        <f t="shared" si="288"/>
        <v>0</v>
      </c>
      <c r="AC143" s="187">
        <f t="shared" si="288"/>
        <v>0</v>
      </c>
      <c r="AD143" s="249">
        <f t="shared" si="288"/>
        <v>0</v>
      </c>
      <c r="AE143" s="187">
        <f t="shared" si="288"/>
        <v>0</v>
      </c>
      <c r="AF143" s="187">
        <f t="shared" si="288"/>
        <v>0</v>
      </c>
      <c r="AG143" s="187">
        <f t="shared" si="288"/>
        <v>0</v>
      </c>
      <c r="AH143" s="19">
        <f t="shared" si="278"/>
        <v>0</v>
      </c>
      <c r="AI143" s="187">
        <f t="shared" si="278"/>
        <v>0</v>
      </c>
      <c r="AJ143" s="187">
        <f t="shared" si="278"/>
        <v>0</v>
      </c>
      <c r="AK143" s="187">
        <f t="shared" si="278"/>
        <v>0</v>
      </c>
      <c r="AL143" s="187">
        <f t="shared" si="278"/>
        <v>0</v>
      </c>
      <c r="AM143" s="187">
        <f t="shared" si="303"/>
        <v>0</v>
      </c>
      <c r="AN143" s="19">
        <f t="shared" si="304"/>
        <v>0</v>
      </c>
      <c r="AO143" s="187">
        <f t="shared" si="304"/>
        <v>0</v>
      </c>
      <c r="AP143" s="187">
        <f t="shared" si="304"/>
        <v>0</v>
      </c>
      <c r="AQ143" s="187">
        <f t="shared" si="304"/>
        <v>0</v>
      </c>
      <c r="AR143" s="187">
        <f t="shared" si="304"/>
        <v>0</v>
      </c>
      <c r="AS143" s="187">
        <f t="shared" si="305"/>
        <v>0</v>
      </c>
      <c r="AT143" s="187">
        <f t="shared" si="305"/>
        <v>0</v>
      </c>
      <c r="AU143" s="187">
        <f t="shared" si="305"/>
        <v>0</v>
      </c>
      <c r="AV143" s="73">
        <f t="shared" si="299"/>
        <v>0</v>
      </c>
      <c r="AW143" s="187">
        <f t="shared" si="299"/>
        <v>0</v>
      </c>
      <c r="AX143" s="187">
        <f t="shared" si="299"/>
        <v>0</v>
      </c>
      <c r="AY143" s="187">
        <f t="shared" si="299"/>
        <v>0</v>
      </c>
      <c r="AZ143" s="187">
        <f t="shared" si="299"/>
        <v>0</v>
      </c>
      <c r="BA143" s="187">
        <f t="shared" si="299"/>
        <v>0</v>
      </c>
      <c r="BB143" s="187">
        <f t="shared" si="299"/>
        <v>0</v>
      </c>
      <c r="BC143" s="187">
        <f t="shared" si="299"/>
        <v>0</v>
      </c>
      <c r="BD143" s="19">
        <f t="shared" si="306"/>
        <v>0</v>
      </c>
      <c r="BE143" s="187">
        <f t="shared" si="306"/>
        <v>0</v>
      </c>
      <c r="BF143" s="187">
        <f t="shared" si="306"/>
        <v>0</v>
      </c>
      <c r="BG143" s="187">
        <f t="shared" si="306"/>
        <v>0</v>
      </c>
      <c r="BH143" s="187">
        <f t="shared" si="306"/>
        <v>0</v>
      </c>
      <c r="BI143" s="187">
        <f t="shared" si="307"/>
        <v>0</v>
      </c>
      <c r="BJ143" s="187">
        <f t="shared" si="307"/>
        <v>0</v>
      </c>
      <c r="BK143" s="187">
        <f t="shared" si="307"/>
        <v>0</v>
      </c>
      <c r="BL143" s="223">
        <f t="shared" si="285"/>
        <v>0</v>
      </c>
      <c r="BM143" s="249">
        <f t="shared" si="285"/>
        <v>0</v>
      </c>
      <c r="BN143" s="249">
        <f t="shared" si="285"/>
        <v>0</v>
      </c>
      <c r="BO143" s="249">
        <f t="shared" si="285"/>
        <v>0</v>
      </c>
      <c r="BP143" s="249">
        <f t="shared" si="285"/>
        <v>0</v>
      </c>
      <c r="BQ143" s="187">
        <f t="shared" si="308"/>
        <v>0</v>
      </c>
      <c r="BR143" s="187">
        <f t="shared" si="308"/>
        <v>0</v>
      </c>
      <c r="BS143" s="187">
        <f t="shared" si="308"/>
        <v>0</v>
      </c>
      <c r="BT143" s="73">
        <f t="shared" si="291"/>
        <v>0</v>
      </c>
      <c r="BU143" s="187">
        <f t="shared" si="291"/>
        <v>0</v>
      </c>
      <c r="BV143" s="187">
        <f t="shared" si="291"/>
        <v>0</v>
      </c>
      <c r="BW143" s="187">
        <f t="shared" si="291"/>
        <v>0</v>
      </c>
      <c r="BX143" s="187">
        <f t="shared" si="291"/>
        <v>0</v>
      </c>
      <c r="BY143" s="187">
        <f t="shared" si="309"/>
        <v>0</v>
      </c>
      <c r="BZ143" s="187">
        <f t="shared" si="309"/>
        <v>0</v>
      </c>
      <c r="CA143" s="187">
        <f t="shared" si="309"/>
        <v>0</v>
      </c>
      <c r="CB143" s="73">
        <f t="shared" si="310"/>
        <v>0</v>
      </c>
      <c r="CC143" s="187">
        <f t="shared" si="310"/>
        <v>0</v>
      </c>
      <c r="CD143" s="187">
        <f t="shared" si="310"/>
        <v>0</v>
      </c>
      <c r="CE143" s="187">
        <f t="shared" si="310"/>
        <v>0</v>
      </c>
      <c r="CF143" s="187">
        <f t="shared" si="310"/>
        <v>0</v>
      </c>
      <c r="CG143" s="187">
        <f t="shared" si="311"/>
        <v>0</v>
      </c>
      <c r="CH143" s="187">
        <f t="shared" si="311"/>
        <v>0</v>
      </c>
      <c r="CI143" s="187">
        <f t="shared" si="311"/>
        <v>0</v>
      </c>
      <c r="CJ143" s="73">
        <f t="shared" si="286"/>
        <v>0</v>
      </c>
      <c r="CK143" s="187">
        <f t="shared" si="286"/>
        <v>0</v>
      </c>
      <c r="CL143" s="187">
        <f t="shared" si="286"/>
        <v>0</v>
      </c>
      <c r="CM143" s="187">
        <f t="shared" si="286"/>
        <v>0</v>
      </c>
      <c r="CN143" s="187">
        <f t="shared" si="286"/>
        <v>0</v>
      </c>
      <c r="CO143" s="187">
        <f t="shared" si="312"/>
        <v>0</v>
      </c>
      <c r="CP143" s="187">
        <f t="shared" si="312"/>
        <v>0</v>
      </c>
      <c r="CQ143" s="187">
        <f t="shared" si="312"/>
        <v>0</v>
      </c>
      <c r="CR143" s="73">
        <f t="shared" si="287"/>
        <v>0</v>
      </c>
      <c r="CS143" s="187">
        <f t="shared" si="287"/>
        <v>0</v>
      </c>
      <c r="CT143" s="187">
        <f t="shared" si="287"/>
        <v>0</v>
      </c>
      <c r="CU143" s="187">
        <f t="shared" si="287"/>
        <v>0</v>
      </c>
      <c r="CV143" s="187">
        <f t="shared" si="287"/>
        <v>0</v>
      </c>
      <c r="CW143" s="187">
        <f t="shared" si="313"/>
        <v>0</v>
      </c>
      <c r="CX143" s="187">
        <f t="shared" si="313"/>
        <v>0</v>
      </c>
      <c r="CY143" s="187">
        <f t="shared" si="313"/>
        <v>0</v>
      </c>
    </row>
    <row r="144" spans="1:103" s="199" customFormat="1" ht="26.25" hidden="1" customHeight="1" outlineLevel="1" x14ac:dyDescent="0.4">
      <c r="A144" s="380"/>
      <c r="B144" s="380"/>
      <c r="C144" s="380"/>
      <c r="D144" s="382"/>
      <c r="E144" s="382"/>
      <c r="F144" s="382"/>
      <c r="G144" s="416"/>
      <c r="H144" s="490"/>
      <c r="I144" s="490"/>
      <c r="J144" s="498"/>
      <c r="K144" s="492"/>
      <c r="L144" s="492"/>
      <c r="M144" s="494"/>
      <c r="N144" s="39" t="s">
        <v>25</v>
      </c>
      <c r="O144" s="207">
        <f t="shared" si="296"/>
        <v>0</v>
      </c>
      <c r="P144" s="207">
        <f t="shared" si="296"/>
        <v>0</v>
      </c>
      <c r="Q144" s="207">
        <f t="shared" si="296"/>
        <v>0</v>
      </c>
      <c r="R144" s="207">
        <f t="shared" si="296"/>
        <v>0</v>
      </c>
      <c r="S144" s="207">
        <f t="shared" si="296"/>
        <v>0</v>
      </c>
      <c r="T144" s="207">
        <f t="shared" si="296"/>
        <v>0</v>
      </c>
      <c r="U144" s="49">
        <f t="shared" si="296"/>
        <v>0</v>
      </c>
      <c r="V144" s="57">
        <f t="shared" si="302"/>
        <v>0</v>
      </c>
      <c r="W144" s="18">
        <f t="shared" si="302"/>
        <v>0</v>
      </c>
      <c r="X144" s="18">
        <f t="shared" si="302"/>
        <v>0</v>
      </c>
      <c r="Y144" s="18">
        <f t="shared" si="302"/>
        <v>0</v>
      </c>
      <c r="Z144" s="18">
        <f t="shared" si="302"/>
        <v>0</v>
      </c>
      <c r="AA144" s="18">
        <f t="shared" si="288"/>
        <v>0</v>
      </c>
      <c r="AB144" s="42">
        <f t="shared" si="288"/>
        <v>0</v>
      </c>
      <c r="AC144" s="52">
        <f t="shared" si="288"/>
        <v>0</v>
      </c>
      <c r="AD144" s="207">
        <f t="shared" si="288"/>
        <v>0</v>
      </c>
      <c r="AE144" s="207">
        <f t="shared" si="288"/>
        <v>0</v>
      </c>
      <c r="AF144" s="207">
        <f t="shared" si="288"/>
        <v>0</v>
      </c>
      <c r="AG144" s="18">
        <f t="shared" si="288"/>
        <v>0</v>
      </c>
      <c r="AH144" s="51">
        <f t="shared" si="278"/>
        <v>0</v>
      </c>
      <c r="AI144" s="52">
        <f t="shared" si="278"/>
        <v>0</v>
      </c>
      <c r="AJ144" s="52">
        <f t="shared" si="278"/>
        <v>0</v>
      </c>
      <c r="AK144" s="52">
        <f t="shared" si="278"/>
        <v>0</v>
      </c>
      <c r="AL144" s="52">
        <f t="shared" si="278"/>
        <v>0</v>
      </c>
      <c r="AM144" s="18">
        <f t="shared" si="303"/>
        <v>0</v>
      </c>
      <c r="AN144" s="42">
        <f t="shared" si="304"/>
        <v>0</v>
      </c>
      <c r="AO144" s="207">
        <f t="shared" si="304"/>
        <v>0</v>
      </c>
      <c r="AP144" s="207">
        <f t="shared" si="304"/>
        <v>0</v>
      </c>
      <c r="AQ144" s="207">
        <f t="shared" si="304"/>
        <v>0</v>
      </c>
      <c r="AR144" s="207">
        <f t="shared" si="304"/>
        <v>0</v>
      </c>
      <c r="AS144" s="207">
        <f t="shared" si="305"/>
        <v>0</v>
      </c>
      <c r="AT144" s="207">
        <f t="shared" si="305"/>
        <v>0</v>
      </c>
      <c r="AU144" s="18">
        <f t="shared" si="305"/>
        <v>0</v>
      </c>
      <c r="AV144" s="42">
        <f t="shared" si="299"/>
        <v>0</v>
      </c>
      <c r="AW144" s="207">
        <f t="shared" si="299"/>
        <v>0</v>
      </c>
      <c r="AX144" s="207">
        <f t="shared" si="299"/>
        <v>0</v>
      </c>
      <c r="AY144" s="207">
        <f t="shared" si="299"/>
        <v>0</v>
      </c>
      <c r="AZ144" s="207">
        <f t="shared" si="299"/>
        <v>0</v>
      </c>
      <c r="BA144" s="207">
        <f t="shared" si="299"/>
        <v>0</v>
      </c>
      <c r="BB144" s="207">
        <f t="shared" si="299"/>
        <v>0</v>
      </c>
      <c r="BC144" s="18">
        <f t="shared" si="299"/>
        <v>0</v>
      </c>
      <c r="BD144" s="42">
        <f t="shared" si="306"/>
        <v>0</v>
      </c>
      <c r="BE144" s="207">
        <f t="shared" si="306"/>
        <v>0</v>
      </c>
      <c r="BF144" s="207">
        <f t="shared" si="306"/>
        <v>0</v>
      </c>
      <c r="BG144" s="207">
        <f t="shared" si="306"/>
        <v>0</v>
      </c>
      <c r="BH144" s="207">
        <f t="shared" si="306"/>
        <v>0</v>
      </c>
      <c r="BI144" s="207">
        <f t="shared" si="307"/>
        <v>0</v>
      </c>
      <c r="BJ144" s="207">
        <f t="shared" si="307"/>
        <v>0</v>
      </c>
      <c r="BK144" s="18">
        <f t="shared" si="307"/>
        <v>0</v>
      </c>
      <c r="BL144" s="20">
        <f t="shared" si="285"/>
        <v>0</v>
      </c>
      <c r="BM144" s="207">
        <f t="shared" si="285"/>
        <v>0</v>
      </c>
      <c r="BN144" s="207">
        <f t="shared" si="285"/>
        <v>0</v>
      </c>
      <c r="BO144" s="207">
        <f t="shared" si="285"/>
        <v>0</v>
      </c>
      <c r="BP144" s="207">
        <f t="shared" si="285"/>
        <v>0</v>
      </c>
      <c r="BQ144" s="207">
        <f t="shared" si="308"/>
        <v>0</v>
      </c>
      <c r="BR144" s="207">
        <f t="shared" si="308"/>
        <v>0</v>
      </c>
      <c r="BS144" s="18">
        <f t="shared" si="308"/>
        <v>0</v>
      </c>
      <c r="BT144" s="224">
        <f t="shared" si="291"/>
        <v>0</v>
      </c>
      <c r="BU144" s="207">
        <f t="shared" si="291"/>
        <v>0</v>
      </c>
      <c r="BV144" s="207">
        <f t="shared" si="291"/>
        <v>0</v>
      </c>
      <c r="BW144" s="207">
        <f t="shared" si="291"/>
        <v>0</v>
      </c>
      <c r="BX144" s="207">
        <f t="shared" si="291"/>
        <v>0</v>
      </c>
      <c r="BY144" s="207">
        <f t="shared" si="309"/>
        <v>0</v>
      </c>
      <c r="BZ144" s="207">
        <f t="shared" si="309"/>
        <v>0</v>
      </c>
      <c r="CA144" s="18">
        <f t="shared" si="309"/>
        <v>0</v>
      </c>
      <c r="CB144" s="224">
        <f t="shared" si="310"/>
        <v>0</v>
      </c>
      <c r="CC144" s="250">
        <f t="shared" si="310"/>
        <v>0</v>
      </c>
      <c r="CD144" s="250">
        <f t="shared" si="310"/>
        <v>0</v>
      </c>
      <c r="CE144" s="250">
        <f t="shared" si="310"/>
        <v>0</v>
      </c>
      <c r="CF144" s="250">
        <f t="shared" si="310"/>
        <v>0</v>
      </c>
      <c r="CG144" s="207">
        <f t="shared" si="311"/>
        <v>0</v>
      </c>
      <c r="CH144" s="207">
        <f t="shared" si="311"/>
        <v>0</v>
      </c>
      <c r="CI144" s="18">
        <f t="shared" si="311"/>
        <v>0</v>
      </c>
      <c r="CJ144" s="224">
        <f t="shared" si="286"/>
        <v>0</v>
      </c>
      <c r="CK144" s="207">
        <f t="shared" si="286"/>
        <v>0</v>
      </c>
      <c r="CL144" s="207">
        <f t="shared" si="286"/>
        <v>0</v>
      </c>
      <c r="CM144" s="207">
        <f t="shared" si="286"/>
        <v>0</v>
      </c>
      <c r="CN144" s="207">
        <f t="shared" si="286"/>
        <v>0</v>
      </c>
      <c r="CO144" s="207">
        <f t="shared" si="312"/>
        <v>0</v>
      </c>
      <c r="CP144" s="207">
        <f t="shared" si="312"/>
        <v>0</v>
      </c>
      <c r="CQ144" s="18">
        <f t="shared" si="312"/>
        <v>0</v>
      </c>
      <c r="CR144" s="42">
        <f t="shared" si="287"/>
        <v>0</v>
      </c>
      <c r="CS144" s="207">
        <f t="shared" si="287"/>
        <v>0</v>
      </c>
      <c r="CT144" s="207">
        <f t="shared" si="287"/>
        <v>0</v>
      </c>
      <c r="CU144" s="207">
        <f t="shared" si="287"/>
        <v>0</v>
      </c>
      <c r="CV144" s="207">
        <f t="shared" si="287"/>
        <v>0</v>
      </c>
      <c r="CW144" s="207">
        <f t="shared" si="313"/>
        <v>0</v>
      </c>
      <c r="CX144" s="207">
        <f t="shared" si="313"/>
        <v>0</v>
      </c>
      <c r="CY144" s="207">
        <f t="shared" si="313"/>
        <v>0</v>
      </c>
    </row>
    <row r="145" spans="1:103" s="199" customFormat="1" ht="26.25" hidden="1" customHeight="1" outlineLevel="1" collapsed="1" x14ac:dyDescent="0.4">
      <c r="A145" s="379">
        <v>70</v>
      </c>
      <c r="B145" s="379" t="s">
        <v>45</v>
      </c>
      <c r="C145" s="379" t="s">
        <v>346</v>
      </c>
      <c r="D145" s="381"/>
      <c r="E145" s="381"/>
      <c r="F145" s="381"/>
      <c r="G145" s="416"/>
      <c r="H145" s="489">
        <f t="shared" ref="H145" si="318">SUM(BT145:CA145)</f>
        <v>0</v>
      </c>
      <c r="I145" s="489">
        <f t="shared" ref="I145" si="319">SUM(BT146:CA146)</f>
        <v>0</v>
      </c>
      <c r="J145" s="497"/>
      <c r="K145" s="491"/>
      <c r="L145" s="491"/>
      <c r="M145" s="493"/>
      <c r="N145" s="48" t="s">
        <v>24</v>
      </c>
      <c r="O145" s="187">
        <f t="shared" si="296"/>
        <v>0</v>
      </c>
      <c r="P145" s="187">
        <f t="shared" si="296"/>
        <v>0</v>
      </c>
      <c r="Q145" s="187">
        <f t="shared" si="296"/>
        <v>0</v>
      </c>
      <c r="R145" s="187">
        <f t="shared" si="296"/>
        <v>0</v>
      </c>
      <c r="S145" s="187">
        <f t="shared" si="296"/>
        <v>0</v>
      </c>
      <c r="T145" s="187">
        <f t="shared" si="296"/>
        <v>0</v>
      </c>
      <c r="U145" s="82">
        <f t="shared" si="296"/>
        <v>0</v>
      </c>
      <c r="V145" s="19">
        <f t="shared" si="302"/>
        <v>0</v>
      </c>
      <c r="W145" s="187">
        <f t="shared" si="302"/>
        <v>0</v>
      </c>
      <c r="X145" s="187">
        <f t="shared" si="302"/>
        <v>0</v>
      </c>
      <c r="Y145" s="187">
        <f t="shared" si="302"/>
        <v>0</v>
      </c>
      <c r="Z145" s="187">
        <f t="shared" si="302"/>
        <v>0</v>
      </c>
      <c r="AA145" s="187">
        <f t="shared" si="288"/>
        <v>0</v>
      </c>
      <c r="AB145" s="19">
        <f t="shared" si="288"/>
        <v>0</v>
      </c>
      <c r="AC145" s="187">
        <f t="shared" si="288"/>
        <v>0</v>
      </c>
      <c r="AD145" s="249">
        <f t="shared" si="288"/>
        <v>0</v>
      </c>
      <c r="AE145" s="187">
        <f t="shared" si="288"/>
        <v>0</v>
      </c>
      <c r="AF145" s="187">
        <f t="shared" si="288"/>
        <v>0</v>
      </c>
      <c r="AG145" s="187">
        <f t="shared" si="288"/>
        <v>0</v>
      </c>
      <c r="AH145" s="19">
        <f t="shared" si="278"/>
        <v>0</v>
      </c>
      <c r="AI145" s="187">
        <f t="shared" si="278"/>
        <v>0</v>
      </c>
      <c r="AJ145" s="187">
        <f t="shared" si="278"/>
        <v>0</v>
      </c>
      <c r="AK145" s="187">
        <f t="shared" si="278"/>
        <v>0</v>
      </c>
      <c r="AL145" s="187">
        <f t="shared" si="278"/>
        <v>0</v>
      </c>
      <c r="AM145" s="187">
        <f t="shared" si="303"/>
        <v>0</v>
      </c>
      <c r="AN145" s="19">
        <f t="shared" si="304"/>
        <v>0</v>
      </c>
      <c r="AO145" s="187">
        <f t="shared" si="304"/>
        <v>0</v>
      </c>
      <c r="AP145" s="187">
        <f t="shared" si="304"/>
        <v>0</v>
      </c>
      <c r="AQ145" s="187">
        <f t="shared" si="304"/>
        <v>0</v>
      </c>
      <c r="AR145" s="187">
        <f t="shared" si="304"/>
        <v>0</v>
      </c>
      <c r="AS145" s="187">
        <f t="shared" si="305"/>
        <v>0</v>
      </c>
      <c r="AT145" s="187">
        <f t="shared" si="305"/>
        <v>0</v>
      </c>
      <c r="AU145" s="187">
        <f t="shared" si="305"/>
        <v>0</v>
      </c>
      <c r="AV145" s="73">
        <f t="shared" si="299"/>
        <v>0</v>
      </c>
      <c r="AW145" s="187">
        <f t="shared" si="299"/>
        <v>0</v>
      </c>
      <c r="AX145" s="187">
        <f t="shared" si="299"/>
        <v>0</v>
      </c>
      <c r="AY145" s="187">
        <f t="shared" si="299"/>
        <v>0</v>
      </c>
      <c r="AZ145" s="187">
        <f t="shared" si="299"/>
        <v>0</v>
      </c>
      <c r="BA145" s="187">
        <f t="shared" si="299"/>
        <v>0</v>
      </c>
      <c r="BB145" s="187">
        <f t="shared" si="299"/>
        <v>0</v>
      </c>
      <c r="BC145" s="187">
        <f t="shared" si="299"/>
        <v>0</v>
      </c>
      <c r="BD145" s="19">
        <f t="shared" si="306"/>
        <v>0</v>
      </c>
      <c r="BE145" s="187">
        <f t="shared" si="306"/>
        <v>0</v>
      </c>
      <c r="BF145" s="187">
        <f t="shared" si="306"/>
        <v>0</v>
      </c>
      <c r="BG145" s="187">
        <f t="shared" si="306"/>
        <v>0</v>
      </c>
      <c r="BH145" s="187">
        <f t="shared" si="306"/>
        <v>0</v>
      </c>
      <c r="BI145" s="187">
        <f t="shared" si="307"/>
        <v>0</v>
      </c>
      <c r="BJ145" s="187">
        <f t="shared" si="307"/>
        <v>0</v>
      </c>
      <c r="BK145" s="187">
        <f t="shared" si="307"/>
        <v>0</v>
      </c>
      <c r="BL145" s="223">
        <f t="shared" ref="BL145:BP160" si="320">0/142.5</f>
        <v>0</v>
      </c>
      <c r="BM145" s="249">
        <f t="shared" si="320"/>
        <v>0</v>
      </c>
      <c r="BN145" s="249">
        <f t="shared" si="320"/>
        <v>0</v>
      </c>
      <c r="BO145" s="249">
        <f t="shared" si="320"/>
        <v>0</v>
      </c>
      <c r="BP145" s="249">
        <f t="shared" si="320"/>
        <v>0</v>
      </c>
      <c r="BQ145" s="187">
        <f t="shared" si="308"/>
        <v>0</v>
      </c>
      <c r="BR145" s="187">
        <f t="shared" si="308"/>
        <v>0</v>
      </c>
      <c r="BS145" s="187">
        <f t="shared" si="308"/>
        <v>0</v>
      </c>
      <c r="BT145" s="73">
        <f t="shared" si="291"/>
        <v>0</v>
      </c>
      <c r="BU145" s="187">
        <f t="shared" si="291"/>
        <v>0</v>
      </c>
      <c r="BV145" s="187">
        <f t="shared" si="291"/>
        <v>0</v>
      </c>
      <c r="BW145" s="187">
        <f t="shared" si="291"/>
        <v>0</v>
      </c>
      <c r="BX145" s="187">
        <f t="shared" si="291"/>
        <v>0</v>
      </c>
      <c r="BY145" s="187">
        <f t="shared" si="309"/>
        <v>0</v>
      </c>
      <c r="BZ145" s="187">
        <f t="shared" si="309"/>
        <v>0</v>
      </c>
      <c r="CA145" s="187">
        <f t="shared" si="309"/>
        <v>0</v>
      </c>
      <c r="CB145" s="73">
        <f t="shared" si="310"/>
        <v>0</v>
      </c>
      <c r="CC145" s="187">
        <f t="shared" si="310"/>
        <v>0</v>
      </c>
      <c r="CD145" s="187">
        <f t="shared" si="310"/>
        <v>0</v>
      </c>
      <c r="CE145" s="187">
        <f t="shared" si="310"/>
        <v>0</v>
      </c>
      <c r="CF145" s="187">
        <f t="shared" si="310"/>
        <v>0</v>
      </c>
      <c r="CG145" s="187">
        <f t="shared" si="311"/>
        <v>0</v>
      </c>
      <c r="CH145" s="187">
        <f t="shared" si="311"/>
        <v>0</v>
      </c>
      <c r="CI145" s="187">
        <f t="shared" si="311"/>
        <v>0</v>
      </c>
      <c r="CJ145" s="73">
        <f t="shared" ref="CJ145:CN160" si="321">0/157.5</f>
        <v>0</v>
      </c>
      <c r="CK145" s="187">
        <f t="shared" si="321"/>
        <v>0</v>
      </c>
      <c r="CL145" s="187">
        <f t="shared" si="321"/>
        <v>0</v>
      </c>
      <c r="CM145" s="187">
        <f t="shared" si="321"/>
        <v>0</v>
      </c>
      <c r="CN145" s="187">
        <f t="shared" si="321"/>
        <v>0</v>
      </c>
      <c r="CO145" s="187">
        <f t="shared" si="312"/>
        <v>0</v>
      </c>
      <c r="CP145" s="187">
        <f t="shared" si="312"/>
        <v>0</v>
      </c>
      <c r="CQ145" s="187">
        <f t="shared" si="312"/>
        <v>0</v>
      </c>
      <c r="CR145" s="73">
        <f t="shared" ref="CR145:CV160" si="322">0/142.5</f>
        <v>0</v>
      </c>
      <c r="CS145" s="187">
        <f t="shared" si="322"/>
        <v>0</v>
      </c>
      <c r="CT145" s="187">
        <f t="shared" si="322"/>
        <v>0</v>
      </c>
      <c r="CU145" s="187">
        <f t="shared" si="322"/>
        <v>0</v>
      </c>
      <c r="CV145" s="187">
        <f t="shared" si="322"/>
        <v>0</v>
      </c>
      <c r="CW145" s="187">
        <f t="shared" si="313"/>
        <v>0</v>
      </c>
      <c r="CX145" s="187">
        <f t="shared" si="313"/>
        <v>0</v>
      </c>
      <c r="CY145" s="187">
        <f t="shared" si="313"/>
        <v>0</v>
      </c>
    </row>
    <row r="146" spans="1:103" s="199" customFormat="1" ht="26.25" hidden="1" customHeight="1" outlineLevel="1" x14ac:dyDescent="0.4">
      <c r="A146" s="380"/>
      <c r="B146" s="380"/>
      <c r="C146" s="380"/>
      <c r="D146" s="382"/>
      <c r="E146" s="382"/>
      <c r="F146" s="382"/>
      <c r="G146" s="416"/>
      <c r="H146" s="490"/>
      <c r="I146" s="490"/>
      <c r="J146" s="498"/>
      <c r="K146" s="492"/>
      <c r="L146" s="492"/>
      <c r="M146" s="494"/>
      <c r="N146" s="39" t="s">
        <v>25</v>
      </c>
      <c r="O146" s="207">
        <f t="shared" si="296"/>
        <v>0</v>
      </c>
      <c r="P146" s="207">
        <f t="shared" si="296"/>
        <v>0</v>
      </c>
      <c r="Q146" s="207">
        <f t="shared" si="296"/>
        <v>0</v>
      </c>
      <c r="R146" s="207">
        <f t="shared" si="296"/>
        <v>0</v>
      </c>
      <c r="S146" s="207">
        <f t="shared" si="296"/>
        <v>0</v>
      </c>
      <c r="T146" s="207">
        <f t="shared" si="296"/>
        <v>0</v>
      </c>
      <c r="U146" s="49">
        <f t="shared" si="296"/>
        <v>0</v>
      </c>
      <c r="V146" s="57">
        <f t="shared" si="302"/>
        <v>0</v>
      </c>
      <c r="W146" s="18">
        <f t="shared" si="302"/>
        <v>0</v>
      </c>
      <c r="X146" s="18">
        <f t="shared" si="302"/>
        <v>0</v>
      </c>
      <c r="Y146" s="18">
        <f t="shared" si="302"/>
        <v>0</v>
      </c>
      <c r="Z146" s="18">
        <f t="shared" si="302"/>
        <v>0</v>
      </c>
      <c r="AA146" s="18">
        <f t="shared" si="288"/>
        <v>0</v>
      </c>
      <c r="AB146" s="42">
        <f t="shared" si="288"/>
        <v>0</v>
      </c>
      <c r="AC146" s="52">
        <f t="shared" si="288"/>
        <v>0</v>
      </c>
      <c r="AD146" s="207">
        <f t="shared" si="288"/>
        <v>0</v>
      </c>
      <c r="AE146" s="207">
        <f t="shared" si="288"/>
        <v>0</v>
      </c>
      <c r="AF146" s="207">
        <f t="shared" si="288"/>
        <v>0</v>
      </c>
      <c r="AG146" s="18">
        <f t="shared" si="288"/>
        <v>0</v>
      </c>
      <c r="AH146" s="51">
        <f t="shared" si="278"/>
        <v>0</v>
      </c>
      <c r="AI146" s="52">
        <f t="shared" si="278"/>
        <v>0</v>
      </c>
      <c r="AJ146" s="52">
        <f t="shared" si="278"/>
        <v>0</v>
      </c>
      <c r="AK146" s="52">
        <f t="shared" si="278"/>
        <v>0</v>
      </c>
      <c r="AL146" s="52">
        <f t="shared" si="278"/>
        <v>0</v>
      </c>
      <c r="AM146" s="18">
        <f t="shared" si="303"/>
        <v>0</v>
      </c>
      <c r="AN146" s="42">
        <f t="shared" si="304"/>
        <v>0</v>
      </c>
      <c r="AO146" s="207">
        <f t="shared" si="304"/>
        <v>0</v>
      </c>
      <c r="AP146" s="207">
        <f t="shared" si="304"/>
        <v>0</v>
      </c>
      <c r="AQ146" s="207">
        <f t="shared" si="304"/>
        <v>0</v>
      </c>
      <c r="AR146" s="207">
        <f t="shared" si="304"/>
        <v>0</v>
      </c>
      <c r="AS146" s="207">
        <f t="shared" si="305"/>
        <v>0</v>
      </c>
      <c r="AT146" s="207">
        <f t="shared" si="305"/>
        <v>0</v>
      </c>
      <c r="AU146" s="18">
        <f t="shared" si="305"/>
        <v>0</v>
      </c>
      <c r="AV146" s="42">
        <f t="shared" si="299"/>
        <v>0</v>
      </c>
      <c r="AW146" s="207">
        <f t="shared" si="299"/>
        <v>0</v>
      </c>
      <c r="AX146" s="207">
        <f t="shared" si="299"/>
        <v>0</v>
      </c>
      <c r="AY146" s="207">
        <f t="shared" si="299"/>
        <v>0</v>
      </c>
      <c r="AZ146" s="207">
        <f t="shared" si="299"/>
        <v>0</v>
      </c>
      <c r="BA146" s="207">
        <f t="shared" si="299"/>
        <v>0</v>
      </c>
      <c r="BB146" s="207">
        <f t="shared" si="299"/>
        <v>0</v>
      </c>
      <c r="BC146" s="18">
        <f t="shared" si="299"/>
        <v>0</v>
      </c>
      <c r="BD146" s="42">
        <f t="shared" si="306"/>
        <v>0</v>
      </c>
      <c r="BE146" s="207">
        <f t="shared" si="306"/>
        <v>0</v>
      </c>
      <c r="BF146" s="207">
        <f t="shared" si="306"/>
        <v>0</v>
      </c>
      <c r="BG146" s="207">
        <f t="shared" si="306"/>
        <v>0</v>
      </c>
      <c r="BH146" s="207">
        <f t="shared" si="306"/>
        <v>0</v>
      </c>
      <c r="BI146" s="207">
        <f t="shared" si="307"/>
        <v>0</v>
      </c>
      <c r="BJ146" s="207">
        <f t="shared" si="307"/>
        <v>0</v>
      </c>
      <c r="BK146" s="18">
        <f t="shared" si="307"/>
        <v>0</v>
      </c>
      <c r="BL146" s="20">
        <f t="shared" si="320"/>
        <v>0</v>
      </c>
      <c r="BM146" s="207">
        <f t="shared" si="320"/>
        <v>0</v>
      </c>
      <c r="BN146" s="207">
        <f t="shared" si="320"/>
        <v>0</v>
      </c>
      <c r="BO146" s="207">
        <f t="shared" si="320"/>
        <v>0</v>
      </c>
      <c r="BP146" s="207">
        <f t="shared" si="320"/>
        <v>0</v>
      </c>
      <c r="BQ146" s="207">
        <f t="shared" si="308"/>
        <v>0</v>
      </c>
      <c r="BR146" s="207">
        <f t="shared" si="308"/>
        <v>0</v>
      </c>
      <c r="BS146" s="18">
        <f t="shared" si="308"/>
        <v>0</v>
      </c>
      <c r="BT146" s="224">
        <f t="shared" si="291"/>
        <v>0</v>
      </c>
      <c r="BU146" s="207">
        <f t="shared" si="291"/>
        <v>0</v>
      </c>
      <c r="BV146" s="207">
        <f t="shared" si="291"/>
        <v>0</v>
      </c>
      <c r="BW146" s="207">
        <f t="shared" si="291"/>
        <v>0</v>
      </c>
      <c r="BX146" s="207">
        <f t="shared" si="291"/>
        <v>0</v>
      </c>
      <c r="BY146" s="207">
        <f t="shared" si="309"/>
        <v>0</v>
      </c>
      <c r="BZ146" s="207">
        <f t="shared" si="309"/>
        <v>0</v>
      </c>
      <c r="CA146" s="18">
        <f t="shared" si="309"/>
        <v>0</v>
      </c>
      <c r="CB146" s="224">
        <f t="shared" si="310"/>
        <v>0</v>
      </c>
      <c r="CC146" s="250">
        <f t="shared" si="310"/>
        <v>0</v>
      </c>
      <c r="CD146" s="250">
        <f t="shared" si="310"/>
        <v>0</v>
      </c>
      <c r="CE146" s="250">
        <f t="shared" si="310"/>
        <v>0</v>
      </c>
      <c r="CF146" s="250">
        <f t="shared" si="310"/>
        <v>0</v>
      </c>
      <c r="CG146" s="207">
        <f t="shared" si="311"/>
        <v>0</v>
      </c>
      <c r="CH146" s="207">
        <f t="shared" si="311"/>
        <v>0</v>
      </c>
      <c r="CI146" s="18">
        <f t="shared" si="311"/>
        <v>0</v>
      </c>
      <c r="CJ146" s="224">
        <f t="shared" si="321"/>
        <v>0</v>
      </c>
      <c r="CK146" s="207">
        <f t="shared" si="321"/>
        <v>0</v>
      </c>
      <c r="CL146" s="207">
        <f t="shared" si="321"/>
        <v>0</v>
      </c>
      <c r="CM146" s="207">
        <f t="shared" si="321"/>
        <v>0</v>
      </c>
      <c r="CN146" s="207">
        <f t="shared" si="321"/>
        <v>0</v>
      </c>
      <c r="CO146" s="207">
        <f t="shared" si="312"/>
        <v>0</v>
      </c>
      <c r="CP146" s="207">
        <f t="shared" si="312"/>
        <v>0</v>
      </c>
      <c r="CQ146" s="18">
        <f t="shared" si="312"/>
        <v>0</v>
      </c>
      <c r="CR146" s="42">
        <f t="shared" si="322"/>
        <v>0</v>
      </c>
      <c r="CS146" s="207">
        <f t="shared" si="322"/>
        <v>0</v>
      </c>
      <c r="CT146" s="207">
        <f t="shared" si="322"/>
        <v>0</v>
      </c>
      <c r="CU146" s="207">
        <f t="shared" si="322"/>
        <v>0</v>
      </c>
      <c r="CV146" s="207">
        <f t="shared" si="322"/>
        <v>0</v>
      </c>
      <c r="CW146" s="207">
        <f t="shared" si="313"/>
        <v>0</v>
      </c>
      <c r="CX146" s="207">
        <f t="shared" si="313"/>
        <v>0</v>
      </c>
      <c r="CY146" s="207">
        <f t="shared" si="313"/>
        <v>0</v>
      </c>
    </row>
    <row r="147" spans="1:103" s="199" customFormat="1" ht="26.25" hidden="1" customHeight="1" outlineLevel="1" collapsed="1" x14ac:dyDescent="0.4">
      <c r="A147" s="379">
        <v>71</v>
      </c>
      <c r="B147" s="379" t="s">
        <v>45</v>
      </c>
      <c r="C147" s="379" t="s">
        <v>346</v>
      </c>
      <c r="D147" s="381"/>
      <c r="E147" s="381"/>
      <c r="F147" s="381"/>
      <c r="G147" s="416"/>
      <c r="H147" s="489">
        <f t="shared" ref="H147" si="323">SUM(BT147:CA147)</f>
        <v>0</v>
      </c>
      <c r="I147" s="489">
        <f t="shared" ref="I147" si="324">SUM(BT148:CA148)</f>
        <v>0</v>
      </c>
      <c r="J147" s="497"/>
      <c r="K147" s="491"/>
      <c r="L147" s="491"/>
      <c r="M147" s="493"/>
      <c r="N147" s="48" t="s">
        <v>24</v>
      </c>
      <c r="O147" s="187">
        <f t="shared" si="296"/>
        <v>0</v>
      </c>
      <c r="P147" s="187">
        <f t="shared" si="296"/>
        <v>0</v>
      </c>
      <c r="Q147" s="187">
        <f t="shared" si="296"/>
        <v>0</v>
      </c>
      <c r="R147" s="187">
        <f t="shared" si="296"/>
        <v>0</v>
      </c>
      <c r="S147" s="187">
        <f t="shared" si="296"/>
        <v>0</v>
      </c>
      <c r="T147" s="187">
        <f t="shared" si="296"/>
        <v>0</v>
      </c>
      <c r="U147" s="82">
        <f t="shared" si="296"/>
        <v>0</v>
      </c>
      <c r="V147" s="19">
        <f t="shared" si="302"/>
        <v>0</v>
      </c>
      <c r="W147" s="187">
        <f t="shared" si="302"/>
        <v>0</v>
      </c>
      <c r="X147" s="187">
        <f t="shared" si="302"/>
        <v>0</v>
      </c>
      <c r="Y147" s="187">
        <f t="shared" si="302"/>
        <v>0</v>
      </c>
      <c r="Z147" s="187">
        <f t="shared" si="302"/>
        <v>0</v>
      </c>
      <c r="AA147" s="187">
        <f t="shared" ref="AA147:AG166" si="325">0/165</f>
        <v>0</v>
      </c>
      <c r="AB147" s="19">
        <f t="shared" si="325"/>
        <v>0</v>
      </c>
      <c r="AC147" s="187">
        <f t="shared" si="325"/>
        <v>0</v>
      </c>
      <c r="AD147" s="249">
        <f t="shared" si="325"/>
        <v>0</v>
      </c>
      <c r="AE147" s="187">
        <f t="shared" si="325"/>
        <v>0</v>
      </c>
      <c r="AF147" s="187">
        <f t="shared" si="325"/>
        <v>0</v>
      </c>
      <c r="AG147" s="187">
        <f t="shared" si="325"/>
        <v>0</v>
      </c>
      <c r="AH147" s="19">
        <f t="shared" si="278"/>
        <v>0</v>
      </c>
      <c r="AI147" s="187">
        <f t="shared" si="278"/>
        <v>0</v>
      </c>
      <c r="AJ147" s="187">
        <f t="shared" si="278"/>
        <v>0</v>
      </c>
      <c r="AK147" s="187">
        <f t="shared" si="278"/>
        <v>0</v>
      </c>
      <c r="AL147" s="187">
        <f t="shared" si="278"/>
        <v>0</v>
      </c>
      <c r="AM147" s="187">
        <f t="shared" si="303"/>
        <v>0</v>
      </c>
      <c r="AN147" s="19">
        <f t="shared" si="304"/>
        <v>0</v>
      </c>
      <c r="AO147" s="187">
        <f t="shared" si="304"/>
        <v>0</v>
      </c>
      <c r="AP147" s="187">
        <f t="shared" si="304"/>
        <v>0</v>
      </c>
      <c r="AQ147" s="187">
        <f t="shared" si="304"/>
        <v>0</v>
      </c>
      <c r="AR147" s="187">
        <f t="shared" si="304"/>
        <v>0</v>
      </c>
      <c r="AS147" s="187">
        <f t="shared" si="305"/>
        <v>0</v>
      </c>
      <c r="AT147" s="187">
        <f t="shared" si="305"/>
        <v>0</v>
      </c>
      <c r="AU147" s="187">
        <f t="shared" si="305"/>
        <v>0</v>
      </c>
      <c r="AV147" s="73">
        <f t="shared" si="299"/>
        <v>0</v>
      </c>
      <c r="AW147" s="187">
        <f t="shared" si="299"/>
        <v>0</v>
      </c>
      <c r="AX147" s="187">
        <f t="shared" si="299"/>
        <v>0</v>
      </c>
      <c r="AY147" s="187">
        <f t="shared" si="299"/>
        <v>0</v>
      </c>
      <c r="AZ147" s="187">
        <f t="shared" si="299"/>
        <v>0</v>
      </c>
      <c r="BA147" s="187">
        <f t="shared" si="299"/>
        <v>0</v>
      </c>
      <c r="BB147" s="187">
        <f t="shared" si="299"/>
        <v>0</v>
      </c>
      <c r="BC147" s="187">
        <f t="shared" si="299"/>
        <v>0</v>
      </c>
      <c r="BD147" s="19">
        <f t="shared" si="306"/>
        <v>0</v>
      </c>
      <c r="BE147" s="187">
        <f t="shared" si="306"/>
        <v>0</v>
      </c>
      <c r="BF147" s="187">
        <f t="shared" si="306"/>
        <v>0</v>
      </c>
      <c r="BG147" s="187">
        <f t="shared" si="306"/>
        <v>0</v>
      </c>
      <c r="BH147" s="187">
        <f t="shared" si="306"/>
        <v>0</v>
      </c>
      <c r="BI147" s="187">
        <f t="shared" si="307"/>
        <v>0</v>
      </c>
      <c r="BJ147" s="187">
        <f t="shared" si="307"/>
        <v>0</v>
      </c>
      <c r="BK147" s="187">
        <f t="shared" si="307"/>
        <v>0</v>
      </c>
      <c r="BL147" s="223">
        <f t="shared" si="320"/>
        <v>0</v>
      </c>
      <c r="BM147" s="249">
        <f t="shared" si="320"/>
        <v>0</v>
      </c>
      <c r="BN147" s="249">
        <f t="shared" si="320"/>
        <v>0</v>
      </c>
      <c r="BO147" s="249">
        <f t="shared" si="320"/>
        <v>0</v>
      </c>
      <c r="BP147" s="249">
        <f t="shared" si="320"/>
        <v>0</v>
      </c>
      <c r="BQ147" s="187">
        <f t="shared" si="308"/>
        <v>0</v>
      </c>
      <c r="BR147" s="187">
        <f t="shared" si="308"/>
        <v>0</v>
      </c>
      <c r="BS147" s="187">
        <f t="shared" si="308"/>
        <v>0</v>
      </c>
      <c r="BT147" s="73">
        <f t="shared" ref="BT147:BX162" si="326">0/157.5</f>
        <v>0</v>
      </c>
      <c r="BU147" s="187">
        <f t="shared" si="326"/>
        <v>0</v>
      </c>
      <c r="BV147" s="187">
        <f t="shared" si="326"/>
        <v>0</v>
      </c>
      <c r="BW147" s="187">
        <f t="shared" si="326"/>
        <v>0</v>
      </c>
      <c r="BX147" s="187">
        <f t="shared" si="326"/>
        <v>0</v>
      </c>
      <c r="BY147" s="187">
        <f t="shared" si="309"/>
        <v>0</v>
      </c>
      <c r="BZ147" s="187">
        <f t="shared" si="309"/>
        <v>0</v>
      </c>
      <c r="CA147" s="187">
        <f t="shared" si="309"/>
        <v>0</v>
      </c>
      <c r="CB147" s="73">
        <f t="shared" si="310"/>
        <v>0</v>
      </c>
      <c r="CC147" s="187">
        <f t="shared" si="310"/>
        <v>0</v>
      </c>
      <c r="CD147" s="187">
        <f t="shared" si="310"/>
        <v>0</v>
      </c>
      <c r="CE147" s="187">
        <f t="shared" si="310"/>
        <v>0</v>
      </c>
      <c r="CF147" s="187">
        <f t="shared" si="310"/>
        <v>0</v>
      </c>
      <c r="CG147" s="187">
        <f t="shared" si="311"/>
        <v>0</v>
      </c>
      <c r="CH147" s="187">
        <f t="shared" si="311"/>
        <v>0</v>
      </c>
      <c r="CI147" s="187">
        <f t="shared" si="311"/>
        <v>0</v>
      </c>
      <c r="CJ147" s="73">
        <f t="shared" si="321"/>
        <v>0</v>
      </c>
      <c r="CK147" s="187">
        <f t="shared" si="321"/>
        <v>0</v>
      </c>
      <c r="CL147" s="187">
        <f t="shared" si="321"/>
        <v>0</v>
      </c>
      <c r="CM147" s="187">
        <f t="shared" si="321"/>
        <v>0</v>
      </c>
      <c r="CN147" s="187">
        <f t="shared" si="321"/>
        <v>0</v>
      </c>
      <c r="CO147" s="187">
        <f t="shared" si="312"/>
        <v>0</v>
      </c>
      <c r="CP147" s="187">
        <f t="shared" si="312"/>
        <v>0</v>
      </c>
      <c r="CQ147" s="187">
        <f t="shared" si="312"/>
        <v>0</v>
      </c>
      <c r="CR147" s="73">
        <f t="shared" si="322"/>
        <v>0</v>
      </c>
      <c r="CS147" s="187">
        <f t="shared" si="322"/>
        <v>0</v>
      </c>
      <c r="CT147" s="187">
        <f t="shared" si="322"/>
        <v>0</v>
      </c>
      <c r="CU147" s="187">
        <f t="shared" si="322"/>
        <v>0</v>
      </c>
      <c r="CV147" s="187">
        <f t="shared" si="322"/>
        <v>0</v>
      </c>
      <c r="CW147" s="187">
        <f t="shared" si="313"/>
        <v>0</v>
      </c>
      <c r="CX147" s="187">
        <f t="shared" si="313"/>
        <v>0</v>
      </c>
      <c r="CY147" s="187">
        <f t="shared" si="313"/>
        <v>0</v>
      </c>
    </row>
    <row r="148" spans="1:103" s="199" customFormat="1" ht="26.25" hidden="1" customHeight="1" outlineLevel="1" x14ac:dyDescent="0.4">
      <c r="A148" s="380"/>
      <c r="B148" s="380"/>
      <c r="C148" s="380"/>
      <c r="D148" s="382"/>
      <c r="E148" s="382"/>
      <c r="F148" s="382"/>
      <c r="G148" s="416"/>
      <c r="H148" s="490"/>
      <c r="I148" s="490"/>
      <c r="J148" s="498"/>
      <c r="K148" s="492"/>
      <c r="L148" s="492"/>
      <c r="M148" s="494"/>
      <c r="N148" s="39" t="s">
        <v>25</v>
      </c>
      <c r="O148" s="207">
        <f t="shared" si="296"/>
        <v>0</v>
      </c>
      <c r="P148" s="207">
        <f t="shared" si="296"/>
        <v>0</v>
      </c>
      <c r="Q148" s="207">
        <f t="shared" si="296"/>
        <v>0</v>
      </c>
      <c r="R148" s="207">
        <f t="shared" si="296"/>
        <v>0</v>
      </c>
      <c r="S148" s="207">
        <f t="shared" si="296"/>
        <v>0</v>
      </c>
      <c r="T148" s="207">
        <f t="shared" si="296"/>
        <v>0</v>
      </c>
      <c r="U148" s="49">
        <f t="shared" si="296"/>
        <v>0</v>
      </c>
      <c r="V148" s="57">
        <f t="shared" si="302"/>
        <v>0</v>
      </c>
      <c r="W148" s="18">
        <f t="shared" si="302"/>
        <v>0</v>
      </c>
      <c r="X148" s="18">
        <f t="shared" si="302"/>
        <v>0</v>
      </c>
      <c r="Y148" s="18">
        <f t="shared" si="302"/>
        <v>0</v>
      </c>
      <c r="Z148" s="18">
        <f t="shared" si="302"/>
        <v>0</v>
      </c>
      <c r="AA148" s="18">
        <f t="shared" si="325"/>
        <v>0</v>
      </c>
      <c r="AB148" s="42">
        <f t="shared" si="325"/>
        <v>0</v>
      </c>
      <c r="AC148" s="52">
        <f t="shared" si="325"/>
        <v>0</v>
      </c>
      <c r="AD148" s="207">
        <f t="shared" si="325"/>
        <v>0</v>
      </c>
      <c r="AE148" s="207">
        <f t="shared" si="325"/>
        <v>0</v>
      </c>
      <c r="AF148" s="207">
        <f t="shared" si="325"/>
        <v>0</v>
      </c>
      <c r="AG148" s="18">
        <f t="shared" si="325"/>
        <v>0</v>
      </c>
      <c r="AH148" s="51">
        <f t="shared" ref="AH148:AL166" si="327">0/150</f>
        <v>0</v>
      </c>
      <c r="AI148" s="52">
        <f t="shared" si="327"/>
        <v>0</v>
      </c>
      <c r="AJ148" s="52">
        <f t="shared" si="327"/>
        <v>0</v>
      </c>
      <c r="AK148" s="52">
        <f t="shared" si="327"/>
        <v>0</v>
      </c>
      <c r="AL148" s="52">
        <f t="shared" si="327"/>
        <v>0</v>
      </c>
      <c r="AM148" s="18">
        <f t="shared" si="303"/>
        <v>0</v>
      </c>
      <c r="AN148" s="42">
        <f t="shared" si="304"/>
        <v>0</v>
      </c>
      <c r="AO148" s="207">
        <f t="shared" si="304"/>
        <v>0</v>
      </c>
      <c r="AP148" s="207">
        <f t="shared" si="304"/>
        <v>0</v>
      </c>
      <c r="AQ148" s="207">
        <f t="shared" si="304"/>
        <v>0</v>
      </c>
      <c r="AR148" s="207">
        <f t="shared" si="304"/>
        <v>0</v>
      </c>
      <c r="AS148" s="207">
        <f t="shared" si="305"/>
        <v>0</v>
      </c>
      <c r="AT148" s="207">
        <f t="shared" si="305"/>
        <v>0</v>
      </c>
      <c r="AU148" s="18">
        <f t="shared" si="305"/>
        <v>0</v>
      </c>
      <c r="AV148" s="42">
        <f t="shared" si="299"/>
        <v>0</v>
      </c>
      <c r="AW148" s="207">
        <f t="shared" si="299"/>
        <v>0</v>
      </c>
      <c r="AX148" s="207">
        <f t="shared" si="299"/>
        <v>0</v>
      </c>
      <c r="AY148" s="207">
        <f t="shared" si="299"/>
        <v>0</v>
      </c>
      <c r="AZ148" s="207">
        <f t="shared" si="299"/>
        <v>0</v>
      </c>
      <c r="BA148" s="207">
        <f t="shared" si="299"/>
        <v>0</v>
      </c>
      <c r="BB148" s="207">
        <f t="shared" si="299"/>
        <v>0</v>
      </c>
      <c r="BC148" s="18">
        <f t="shared" si="299"/>
        <v>0</v>
      </c>
      <c r="BD148" s="42">
        <f t="shared" si="306"/>
        <v>0</v>
      </c>
      <c r="BE148" s="207">
        <f t="shared" si="306"/>
        <v>0</v>
      </c>
      <c r="BF148" s="207">
        <f t="shared" si="306"/>
        <v>0</v>
      </c>
      <c r="BG148" s="207">
        <f t="shared" si="306"/>
        <v>0</v>
      </c>
      <c r="BH148" s="207">
        <f t="shared" si="306"/>
        <v>0</v>
      </c>
      <c r="BI148" s="207">
        <f t="shared" si="307"/>
        <v>0</v>
      </c>
      <c r="BJ148" s="207">
        <f t="shared" si="307"/>
        <v>0</v>
      </c>
      <c r="BK148" s="18">
        <f t="shared" si="307"/>
        <v>0</v>
      </c>
      <c r="BL148" s="20">
        <f t="shared" si="320"/>
        <v>0</v>
      </c>
      <c r="BM148" s="207">
        <f t="shared" si="320"/>
        <v>0</v>
      </c>
      <c r="BN148" s="207">
        <f t="shared" si="320"/>
        <v>0</v>
      </c>
      <c r="BO148" s="207">
        <f t="shared" si="320"/>
        <v>0</v>
      </c>
      <c r="BP148" s="207">
        <f t="shared" si="320"/>
        <v>0</v>
      </c>
      <c r="BQ148" s="207">
        <f t="shared" si="308"/>
        <v>0</v>
      </c>
      <c r="BR148" s="207">
        <f t="shared" si="308"/>
        <v>0</v>
      </c>
      <c r="BS148" s="18">
        <f t="shared" si="308"/>
        <v>0</v>
      </c>
      <c r="BT148" s="224">
        <f t="shared" si="326"/>
        <v>0</v>
      </c>
      <c r="BU148" s="207">
        <f t="shared" si="326"/>
        <v>0</v>
      </c>
      <c r="BV148" s="207">
        <f t="shared" si="326"/>
        <v>0</v>
      </c>
      <c r="BW148" s="207">
        <f t="shared" si="326"/>
        <v>0</v>
      </c>
      <c r="BX148" s="207">
        <f t="shared" si="326"/>
        <v>0</v>
      </c>
      <c r="BY148" s="207">
        <f t="shared" si="309"/>
        <v>0</v>
      </c>
      <c r="BZ148" s="207">
        <f t="shared" si="309"/>
        <v>0</v>
      </c>
      <c r="CA148" s="18">
        <f t="shared" si="309"/>
        <v>0</v>
      </c>
      <c r="CB148" s="224">
        <f t="shared" si="310"/>
        <v>0</v>
      </c>
      <c r="CC148" s="250">
        <f t="shared" si="310"/>
        <v>0</v>
      </c>
      <c r="CD148" s="250">
        <f t="shared" si="310"/>
        <v>0</v>
      </c>
      <c r="CE148" s="250">
        <f t="shared" si="310"/>
        <v>0</v>
      </c>
      <c r="CF148" s="250">
        <f t="shared" si="310"/>
        <v>0</v>
      </c>
      <c r="CG148" s="207">
        <f t="shared" si="311"/>
        <v>0</v>
      </c>
      <c r="CH148" s="207">
        <f t="shared" si="311"/>
        <v>0</v>
      </c>
      <c r="CI148" s="18">
        <f t="shared" si="311"/>
        <v>0</v>
      </c>
      <c r="CJ148" s="224">
        <f t="shared" si="321"/>
        <v>0</v>
      </c>
      <c r="CK148" s="207">
        <f t="shared" si="321"/>
        <v>0</v>
      </c>
      <c r="CL148" s="207">
        <f t="shared" si="321"/>
        <v>0</v>
      </c>
      <c r="CM148" s="207">
        <f t="shared" si="321"/>
        <v>0</v>
      </c>
      <c r="CN148" s="207">
        <f t="shared" si="321"/>
        <v>0</v>
      </c>
      <c r="CO148" s="207">
        <f t="shared" si="312"/>
        <v>0</v>
      </c>
      <c r="CP148" s="207">
        <f t="shared" si="312"/>
        <v>0</v>
      </c>
      <c r="CQ148" s="18">
        <f t="shared" si="312"/>
        <v>0</v>
      </c>
      <c r="CR148" s="42">
        <f t="shared" si="322"/>
        <v>0</v>
      </c>
      <c r="CS148" s="207">
        <f t="shared" si="322"/>
        <v>0</v>
      </c>
      <c r="CT148" s="207">
        <f t="shared" si="322"/>
        <v>0</v>
      </c>
      <c r="CU148" s="207">
        <f t="shared" si="322"/>
        <v>0</v>
      </c>
      <c r="CV148" s="207">
        <f t="shared" si="322"/>
        <v>0</v>
      </c>
      <c r="CW148" s="207">
        <f t="shared" si="313"/>
        <v>0</v>
      </c>
      <c r="CX148" s="207">
        <f t="shared" si="313"/>
        <v>0</v>
      </c>
      <c r="CY148" s="207">
        <f t="shared" si="313"/>
        <v>0</v>
      </c>
    </row>
    <row r="149" spans="1:103" s="199" customFormat="1" ht="26.25" hidden="1" customHeight="1" outlineLevel="1" collapsed="1" x14ac:dyDescent="0.4">
      <c r="A149" s="379">
        <v>72</v>
      </c>
      <c r="B149" s="379" t="s">
        <v>45</v>
      </c>
      <c r="C149" s="379" t="s">
        <v>346</v>
      </c>
      <c r="D149" s="381"/>
      <c r="E149" s="381"/>
      <c r="F149" s="381"/>
      <c r="G149" s="416"/>
      <c r="H149" s="489">
        <f t="shared" ref="H149" si="328">SUM(BT149:CA149)</f>
        <v>0</v>
      </c>
      <c r="I149" s="489">
        <f t="shared" ref="I149" si="329">SUM(BT150:CA150)</f>
        <v>0</v>
      </c>
      <c r="J149" s="497"/>
      <c r="K149" s="491"/>
      <c r="L149" s="491"/>
      <c r="M149" s="493"/>
      <c r="N149" s="48" t="s">
        <v>24</v>
      </c>
      <c r="O149" s="187">
        <f t="shared" si="296"/>
        <v>0</v>
      </c>
      <c r="P149" s="187">
        <f t="shared" si="296"/>
        <v>0</v>
      </c>
      <c r="Q149" s="187">
        <f t="shared" si="296"/>
        <v>0</v>
      </c>
      <c r="R149" s="187">
        <f t="shared" si="296"/>
        <v>0</v>
      </c>
      <c r="S149" s="187">
        <f t="shared" si="296"/>
        <v>0</v>
      </c>
      <c r="T149" s="187">
        <f t="shared" si="296"/>
        <v>0</v>
      </c>
      <c r="U149" s="82">
        <f t="shared" si="296"/>
        <v>0</v>
      </c>
      <c r="V149" s="19">
        <f t="shared" si="302"/>
        <v>0</v>
      </c>
      <c r="W149" s="187">
        <f t="shared" si="302"/>
        <v>0</v>
      </c>
      <c r="X149" s="187">
        <f t="shared" si="302"/>
        <v>0</v>
      </c>
      <c r="Y149" s="187">
        <f t="shared" si="302"/>
        <v>0</v>
      </c>
      <c r="Z149" s="187">
        <f t="shared" si="302"/>
        <v>0</v>
      </c>
      <c r="AA149" s="187">
        <f t="shared" si="325"/>
        <v>0</v>
      </c>
      <c r="AB149" s="19">
        <f t="shared" si="325"/>
        <v>0</v>
      </c>
      <c r="AC149" s="187">
        <f t="shared" si="325"/>
        <v>0</v>
      </c>
      <c r="AD149" s="249">
        <f t="shared" si="325"/>
        <v>0</v>
      </c>
      <c r="AE149" s="187">
        <f t="shared" si="325"/>
        <v>0</v>
      </c>
      <c r="AF149" s="187">
        <f t="shared" si="325"/>
        <v>0</v>
      </c>
      <c r="AG149" s="187">
        <f t="shared" si="325"/>
        <v>0</v>
      </c>
      <c r="AH149" s="19">
        <f t="shared" si="327"/>
        <v>0</v>
      </c>
      <c r="AI149" s="187">
        <f t="shared" si="327"/>
        <v>0</v>
      </c>
      <c r="AJ149" s="187">
        <f t="shared" si="327"/>
        <v>0</v>
      </c>
      <c r="AK149" s="187">
        <f t="shared" si="327"/>
        <v>0</v>
      </c>
      <c r="AL149" s="187">
        <f t="shared" si="327"/>
        <v>0</v>
      </c>
      <c r="AM149" s="187">
        <f t="shared" si="303"/>
        <v>0</v>
      </c>
      <c r="AN149" s="19">
        <f t="shared" si="304"/>
        <v>0</v>
      </c>
      <c r="AO149" s="187">
        <f t="shared" si="304"/>
        <v>0</v>
      </c>
      <c r="AP149" s="187">
        <f t="shared" si="304"/>
        <v>0</v>
      </c>
      <c r="AQ149" s="187">
        <f t="shared" si="304"/>
        <v>0</v>
      </c>
      <c r="AR149" s="187">
        <f t="shared" si="304"/>
        <v>0</v>
      </c>
      <c r="AS149" s="187">
        <f t="shared" si="305"/>
        <v>0</v>
      </c>
      <c r="AT149" s="187">
        <f t="shared" si="305"/>
        <v>0</v>
      </c>
      <c r="AU149" s="187">
        <f t="shared" si="305"/>
        <v>0</v>
      </c>
      <c r="AV149" s="73">
        <f t="shared" si="299"/>
        <v>0</v>
      </c>
      <c r="AW149" s="187">
        <f t="shared" si="299"/>
        <v>0</v>
      </c>
      <c r="AX149" s="187">
        <f t="shared" si="299"/>
        <v>0</v>
      </c>
      <c r="AY149" s="187">
        <f t="shared" si="299"/>
        <v>0</v>
      </c>
      <c r="AZ149" s="187">
        <f t="shared" si="299"/>
        <v>0</v>
      </c>
      <c r="BA149" s="187">
        <f t="shared" si="299"/>
        <v>0</v>
      </c>
      <c r="BB149" s="187">
        <f t="shared" si="299"/>
        <v>0</v>
      </c>
      <c r="BC149" s="187">
        <f t="shared" si="299"/>
        <v>0</v>
      </c>
      <c r="BD149" s="19">
        <f t="shared" si="306"/>
        <v>0</v>
      </c>
      <c r="BE149" s="187">
        <f t="shared" si="306"/>
        <v>0</v>
      </c>
      <c r="BF149" s="187">
        <f t="shared" si="306"/>
        <v>0</v>
      </c>
      <c r="BG149" s="187">
        <f t="shared" si="306"/>
        <v>0</v>
      </c>
      <c r="BH149" s="187">
        <f t="shared" si="306"/>
        <v>0</v>
      </c>
      <c r="BI149" s="187">
        <f t="shared" si="307"/>
        <v>0</v>
      </c>
      <c r="BJ149" s="187">
        <f t="shared" si="307"/>
        <v>0</v>
      </c>
      <c r="BK149" s="187">
        <f t="shared" si="307"/>
        <v>0</v>
      </c>
      <c r="BL149" s="223">
        <f t="shared" si="320"/>
        <v>0</v>
      </c>
      <c r="BM149" s="249">
        <f t="shared" si="320"/>
        <v>0</v>
      </c>
      <c r="BN149" s="249">
        <f t="shared" si="320"/>
        <v>0</v>
      </c>
      <c r="BO149" s="249">
        <f t="shared" si="320"/>
        <v>0</v>
      </c>
      <c r="BP149" s="249">
        <f t="shared" si="320"/>
        <v>0</v>
      </c>
      <c r="BQ149" s="187">
        <f t="shared" si="308"/>
        <v>0</v>
      </c>
      <c r="BR149" s="187">
        <f t="shared" si="308"/>
        <v>0</v>
      </c>
      <c r="BS149" s="187">
        <f t="shared" si="308"/>
        <v>0</v>
      </c>
      <c r="BT149" s="73">
        <f t="shared" si="326"/>
        <v>0</v>
      </c>
      <c r="BU149" s="187">
        <f t="shared" si="326"/>
        <v>0</v>
      </c>
      <c r="BV149" s="187">
        <f t="shared" si="326"/>
        <v>0</v>
      </c>
      <c r="BW149" s="187">
        <f t="shared" si="326"/>
        <v>0</v>
      </c>
      <c r="BX149" s="187">
        <f t="shared" si="326"/>
        <v>0</v>
      </c>
      <c r="BY149" s="187">
        <f t="shared" si="309"/>
        <v>0</v>
      </c>
      <c r="BZ149" s="187">
        <f t="shared" si="309"/>
        <v>0</v>
      </c>
      <c r="CA149" s="187">
        <f t="shared" si="309"/>
        <v>0</v>
      </c>
      <c r="CB149" s="73">
        <f t="shared" si="310"/>
        <v>0</v>
      </c>
      <c r="CC149" s="187">
        <f t="shared" si="310"/>
        <v>0</v>
      </c>
      <c r="CD149" s="187">
        <f t="shared" si="310"/>
        <v>0</v>
      </c>
      <c r="CE149" s="187">
        <f t="shared" si="310"/>
        <v>0</v>
      </c>
      <c r="CF149" s="187">
        <f t="shared" si="310"/>
        <v>0</v>
      </c>
      <c r="CG149" s="187">
        <f t="shared" si="311"/>
        <v>0</v>
      </c>
      <c r="CH149" s="187">
        <f t="shared" si="311"/>
        <v>0</v>
      </c>
      <c r="CI149" s="187">
        <f t="shared" si="311"/>
        <v>0</v>
      </c>
      <c r="CJ149" s="73">
        <f t="shared" si="321"/>
        <v>0</v>
      </c>
      <c r="CK149" s="187">
        <f t="shared" si="321"/>
        <v>0</v>
      </c>
      <c r="CL149" s="187">
        <f t="shared" si="321"/>
        <v>0</v>
      </c>
      <c r="CM149" s="187">
        <f t="shared" si="321"/>
        <v>0</v>
      </c>
      <c r="CN149" s="187">
        <f t="shared" si="321"/>
        <v>0</v>
      </c>
      <c r="CO149" s="187">
        <f t="shared" si="312"/>
        <v>0</v>
      </c>
      <c r="CP149" s="187">
        <f t="shared" si="312"/>
        <v>0</v>
      </c>
      <c r="CQ149" s="187">
        <f t="shared" si="312"/>
        <v>0</v>
      </c>
      <c r="CR149" s="73">
        <f t="shared" si="322"/>
        <v>0</v>
      </c>
      <c r="CS149" s="187">
        <f t="shared" si="322"/>
        <v>0</v>
      </c>
      <c r="CT149" s="187">
        <f t="shared" si="322"/>
        <v>0</v>
      </c>
      <c r="CU149" s="187">
        <f t="shared" si="322"/>
        <v>0</v>
      </c>
      <c r="CV149" s="187">
        <f t="shared" si="322"/>
        <v>0</v>
      </c>
      <c r="CW149" s="187">
        <f t="shared" si="313"/>
        <v>0</v>
      </c>
      <c r="CX149" s="187">
        <f t="shared" si="313"/>
        <v>0</v>
      </c>
      <c r="CY149" s="187">
        <f t="shared" si="313"/>
        <v>0</v>
      </c>
    </row>
    <row r="150" spans="1:103" s="199" customFormat="1" ht="26.25" hidden="1" customHeight="1" outlineLevel="1" x14ac:dyDescent="0.4">
      <c r="A150" s="380"/>
      <c r="B150" s="380"/>
      <c r="C150" s="380"/>
      <c r="D150" s="382"/>
      <c r="E150" s="382"/>
      <c r="F150" s="382"/>
      <c r="G150" s="416"/>
      <c r="H150" s="490"/>
      <c r="I150" s="490"/>
      <c r="J150" s="498"/>
      <c r="K150" s="492"/>
      <c r="L150" s="492"/>
      <c r="M150" s="494"/>
      <c r="N150" s="39" t="s">
        <v>25</v>
      </c>
      <c r="O150" s="207">
        <f t="shared" si="296"/>
        <v>0</v>
      </c>
      <c r="P150" s="207">
        <f t="shared" si="296"/>
        <v>0</v>
      </c>
      <c r="Q150" s="207">
        <f t="shared" si="296"/>
        <v>0</v>
      </c>
      <c r="R150" s="207">
        <f t="shared" si="296"/>
        <v>0</v>
      </c>
      <c r="S150" s="207">
        <f t="shared" si="296"/>
        <v>0</v>
      </c>
      <c r="T150" s="207">
        <f t="shared" si="296"/>
        <v>0</v>
      </c>
      <c r="U150" s="49">
        <f t="shared" si="296"/>
        <v>0</v>
      </c>
      <c r="V150" s="57">
        <f t="shared" si="302"/>
        <v>0</v>
      </c>
      <c r="W150" s="18">
        <f t="shared" si="302"/>
        <v>0</v>
      </c>
      <c r="X150" s="18">
        <f t="shared" si="302"/>
        <v>0</v>
      </c>
      <c r="Y150" s="18">
        <f t="shared" si="302"/>
        <v>0</v>
      </c>
      <c r="Z150" s="18">
        <f t="shared" si="302"/>
        <v>0</v>
      </c>
      <c r="AA150" s="18">
        <f t="shared" si="325"/>
        <v>0</v>
      </c>
      <c r="AB150" s="42">
        <f t="shared" si="325"/>
        <v>0</v>
      </c>
      <c r="AC150" s="52">
        <f t="shared" si="325"/>
        <v>0</v>
      </c>
      <c r="AD150" s="207">
        <f t="shared" si="325"/>
        <v>0</v>
      </c>
      <c r="AE150" s="207">
        <f t="shared" si="325"/>
        <v>0</v>
      </c>
      <c r="AF150" s="207">
        <f t="shared" si="325"/>
        <v>0</v>
      </c>
      <c r="AG150" s="18">
        <f t="shared" si="325"/>
        <v>0</v>
      </c>
      <c r="AH150" s="51">
        <f t="shared" si="327"/>
        <v>0</v>
      </c>
      <c r="AI150" s="52">
        <f t="shared" si="327"/>
        <v>0</v>
      </c>
      <c r="AJ150" s="52">
        <f t="shared" si="327"/>
        <v>0</v>
      </c>
      <c r="AK150" s="52">
        <f t="shared" si="327"/>
        <v>0</v>
      </c>
      <c r="AL150" s="52">
        <f t="shared" si="327"/>
        <v>0</v>
      </c>
      <c r="AM150" s="18">
        <f t="shared" si="303"/>
        <v>0</v>
      </c>
      <c r="AN150" s="42">
        <f t="shared" si="304"/>
        <v>0</v>
      </c>
      <c r="AO150" s="207">
        <f t="shared" si="304"/>
        <v>0</v>
      </c>
      <c r="AP150" s="207">
        <f t="shared" si="304"/>
        <v>0</v>
      </c>
      <c r="AQ150" s="207">
        <f t="shared" si="304"/>
        <v>0</v>
      </c>
      <c r="AR150" s="207">
        <f t="shared" si="304"/>
        <v>0</v>
      </c>
      <c r="AS150" s="207">
        <f t="shared" si="305"/>
        <v>0</v>
      </c>
      <c r="AT150" s="207">
        <f t="shared" si="305"/>
        <v>0</v>
      </c>
      <c r="AU150" s="18">
        <f t="shared" si="305"/>
        <v>0</v>
      </c>
      <c r="AV150" s="42">
        <f t="shared" si="299"/>
        <v>0</v>
      </c>
      <c r="AW150" s="207">
        <f t="shared" si="299"/>
        <v>0</v>
      </c>
      <c r="AX150" s="207">
        <f t="shared" si="299"/>
        <v>0</v>
      </c>
      <c r="AY150" s="207">
        <f t="shared" si="299"/>
        <v>0</v>
      </c>
      <c r="AZ150" s="207">
        <f t="shared" si="299"/>
        <v>0</v>
      </c>
      <c r="BA150" s="207">
        <f t="shared" si="299"/>
        <v>0</v>
      </c>
      <c r="BB150" s="207">
        <f t="shared" si="299"/>
        <v>0</v>
      </c>
      <c r="BC150" s="18">
        <f t="shared" si="299"/>
        <v>0</v>
      </c>
      <c r="BD150" s="42">
        <f t="shared" si="306"/>
        <v>0</v>
      </c>
      <c r="BE150" s="207">
        <f t="shared" si="306"/>
        <v>0</v>
      </c>
      <c r="BF150" s="207">
        <f t="shared" si="306"/>
        <v>0</v>
      </c>
      <c r="BG150" s="207">
        <f t="shared" si="306"/>
        <v>0</v>
      </c>
      <c r="BH150" s="207">
        <f t="shared" si="306"/>
        <v>0</v>
      </c>
      <c r="BI150" s="207">
        <f t="shared" si="307"/>
        <v>0</v>
      </c>
      <c r="BJ150" s="207">
        <f t="shared" si="307"/>
        <v>0</v>
      </c>
      <c r="BK150" s="18">
        <f t="shared" si="307"/>
        <v>0</v>
      </c>
      <c r="BL150" s="20">
        <f t="shared" si="320"/>
        <v>0</v>
      </c>
      <c r="BM150" s="207">
        <f t="shared" si="320"/>
        <v>0</v>
      </c>
      <c r="BN150" s="207">
        <f t="shared" si="320"/>
        <v>0</v>
      </c>
      <c r="BO150" s="207">
        <f t="shared" si="320"/>
        <v>0</v>
      </c>
      <c r="BP150" s="207">
        <f t="shared" si="320"/>
        <v>0</v>
      </c>
      <c r="BQ150" s="207">
        <f t="shared" si="308"/>
        <v>0</v>
      </c>
      <c r="BR150" s="207">
        <f t="shared" si="308"/>
        <v>0</v>
      </c>
      <c r="BS150" s="18">
        <f t="shared" si="308"/>
        <v>0</v>
      </c>
      <c r="BT150" s="224">
        <f t="shared" si="326"/>
        <v>0</v>
      </c>
      <c r="BU150" s="207">
        <f t="shared" si="326"/>
        <v>0</v>
      </c>
      <c r="BV150" s="207">
        <f t="shared" si="326"/>
        <v>0</v>
      </c>
      <c r="BW150" s="207">
        <f t="shared" si="326"/>
        <v>0</v>
      </c>
      <c r="BX150" s="207">
        <f t="shared" si="326"/>
        <v>0</v>
      </c>
      <c r="BY150" s="207">
        <f t="shared" si="309"/>
        <v>0</v>
      </c>
      <c r="BZ150" s="207">
        <f t="shared" si="309"/>
        <v>0</v>
      </c>
      <c r="CA150" s="18">
        <f t="shared" si="309"/>
        <v>0</v>
      </c>
      <c r="CB150" s="224">
        <f t="shared" si="310"/>
        <v>0</v>
      </c>
      <c r="CC150" s="250">
        <f t="shared" si="310"/>
        <v>0</v>
      </c>
      <c r="CD150" s="250">
        <f t="shared" si="310"/>
        <v>0</v>
      </c>
      <c r="CE150" s="250">
        <f t="shared" si="310"/>
        <v>0</v>
      </c>
      <c r="CF150" s="250">
        <f t="shared" si="310"/>
        <v>0</v>
      </c>
      <c r="CG150" s="207">
        <f t="shared" si="311"/>
        <v>0</v>
      </c>
      <c r="CH150" s="207">
        <f t="shared" si="311"/>
        <v>0</v>
      </c>
      <c r="CI150" s="18">
        <f t="shared" si="311"/>
        <v>0</v>
      </c>
      <c r="CJ150" s="224">
        <f t="shared" si="321"/>
        <v>0</v>
      </c>
      <c r="CK150" s="207">
        <f t="shared" si="321"/>
        <v>0</v>
      </c>
      <c r="CL150" s="207">
        <f t="shared" si="321"/>
        <v>0</v>
      </c>
      <c r="CM150" s="207">
        <f t="shared" si="321"/>
        <v>0</v>
      </c>
      <c r="CN150" s="207">
        <f t="shared" si="321"/>
        <v>0</v>
      </c>
      <c r="CO150" s="207">
        <f t="shared" si="312"/>
        <v>0</v>
      </c>
      <c r="CP150" s="207">
        <f t="shared" si="312"/>
        <v>0</v>
      </c>
      <c r="CQ150" s="18">
        <f t="shared" si="312"/>
        <v>0</v>
      </c>
      <c r="CR150" s="42">
        <f t="shared" si="322"/>
        <v>0</v>
      </c>
      <c r="CS150" s="207">
        <f t="shared" si="322"/>
        <v>0</v>
      </c>
      <c r="CT150" s="207">
        <f t="shared" si="322"/>
        <v>0</v>
      </c>
      <c r="CU150" s="207">
        <f t="shared" si="322"/>
        <v>0</v>
      </c>
      <c r="CV150" s="207">
        <f t="shared" si="322"/>
        <v>0</v>
      </c>
      <c r="CW150" s="207">
        <f t="shared" si="313"/>
        <v>0</v>
      </c>
      <c r="CX150" s="207">
        <f t="shared" si="313"/>
        <v>0</v>
      </c>
      <c r="CY150" s="207">
        <f t="shared" si="313"/>
        <v>0</v>
      </c>
    </row>
    <row r="151" spans="1:103" s="199" customFormat="1" ht="26.25" hidden="1" customHeight="1" outlineLevel="1" collapsed="1" x14ac:dyDescent="0.4">
      <c r="A151" s="379">
        <v>73</v>
      </c>
      <c r="B151" s="379" t="s">
        <v>45</v>
      </c>
      <c r="C151" s="379" t="s">
        <v>346</v>
      </c>
      <c r="D151" s="381"/>
      <c r="E151" s="381"/>
      <c r="F151" s="381"/>
      <c r="G151" s="416"/>
      <c r="H151" s="489">
        <f t="shared" ref="H151" si="330">SUM(BT151:CA151)</f>
        <v>0</v>
      </c>
      <c r="I151" s="489">
        <f t="shared" ref="I151" si="331">SUM(BT152:CA152)</f>
        <v>0</v>
      </c>
      <c r="J151" s="497"/>
      <c r="K151" s="491"/>
      <c r="L151" s="491"/>
      <c r="M151" s="493"/>
      <c r="N151" s="48" t="s">
        <v>24</v>
      </c>
      <c r="O151" s="187">
        <f t="shared" ref="O151:U166" si="332">0/127.5</f>
        <v>0</v>
      </c>
      <c r="P151" s="187">
        <f t="shared" si="332"/>
        <v>0</v>
      </c>
      <c r="Q151" s="187">
        <f t="shared" si="332"/>
        <v>0</v>
      </c>
      <c r="R151" s="187">
        <f t="shared" si="332"/>
        <v>0</v>
      </c>
      <c r="S151" s="187">
        <f t="shared" si="332"/>
        <v>0</v>
      </c>
      <c r="T151" s="187">
        <f t="shared" si="332"/>
        <v>0</v>
      </c>
      <c r="U151" s="82">
        <f t="shared" si="332"/>
        <v>0</v>
      </c>
      <c r="V151" s="19">
        <f t="shared" si="302"/>
        <v>0</v>
      </c>
      <c r="W151" s="187">
        <f t="shared" si="302"/>
        <v>0</v>
      </c>
      <c r="X151" s="187">
        <f t="shared" si="302"/>
        <v>0</v>
      </c>
      <c r="Y151" s="187">
        <f t="shared" si="302"/>
        <v>0</v>
      </c>
      <c r="Z151" s="187">
        <f t="shared" si="302"/>
        <v>0</v>
      </c>
      <c r="AA151" s="187">
        <f t="shared" si="325"/>
        <v>0</v>
      </c>
      <c r="AB151" s="19">
        <f t="shared" si="325"/>
        <v>0</v>
      </c>
      <c r="AC151" s="187">
        <f t="shared" si="325"/>
        <v>0</v>
      </c>
      <c r="AD151" s="249">
        <f t="shared" si="325"/>
        <v>0</v>
      </c>
      <c r="AE151" s="187">
        <f t="shared" si="325"/>
        <v>0</v>
      </c>
      <c r="AF151" s="187">
        <f t="shared" si="325"/>
        <v>0</v>
      </c>
      <c r="AG151" s="187">
        <f t="shared" si="325"/>
        <v>0</v>
      </c>
      <c r="AH151" s="19">
        <f t="shared" si="327"/>
        <v>0</v>
      </c>
      <c r="AI151" s="187">
        <f t="shared" si="327"/>
        <v>0</v>
      </c>
      <c r="AJ151" s="187">
        <f t="shared" si="327"/>
        <v>0</v>
      </c>
      <c r="AK151" s="187">
        <f t="shared" si="327"/>
        <v>0</v>
      </c>
      <c r="AL151" s="187">
        <f t="shared" si="327"/>
        <v>0</v>
      </c>
      <c r="AM151" s="187">
        <f t="shared" si="303"/>
        <v>0</v>
      </c>
      <c r="AN151" s="19">
        <f t="shared" si="304"/>
        <v>0</v>
      </c>
      <c r="AO151" s="187">
        <f t="shared" si="304"/>
        <v>0</v>
      </c>
      <c r="AP151" s="187">
        <f t="shared" si="304"/>
        <v>0</v>
      </c>
      <c r="AQ151" s="187">
        <f t="shared" si="304"/>
        <v>0</v>
      </c>
      <c r="AR151" s="187">
        <f t="shared" si="304"/>
        <v>0</v>
      </c>
      <c r="AS151" s="187">
        <f t="shared" si="305"/>
        <v>0</v>
      </c>
      <c r="AT151" s="187">
        <f t="shared" si="305"/>
        <v>0</v>
      </c>
      <c r="AU151" s="187">
        <f t="shared" si="305"/>
        <v>0</v>
      </c>
      <c r="AV151" s="73">
        <f t="shared" si="299"/>
        <v>0</v>
      </c>
      <c r="AW151" s="187">
        <f t="shared" si="299"/>
        <v>0</v>
      </c>
      <c r="AX151" s="187">
        <f t="shared" si="299"/>
        <v>0</v>
      </c>
      <c r="AY151" s="187">
        <f t="shared" si="299"/>
        <v>0</v>
      </c>
      <c r="AZ151" s="187">
        <f t="shared" si="299"/>
        <v>0</v>
      </c>
      <c r="BA151" s="187">
        <f t="shared" si="299"/>
        <v>0</v>
      </c>
      <c r="BB151" s="187">
        <f t="shared" si="299"/>
        <v>0</v>
      </c>
      <c r="BC151" s="187">
        <f t="shared" si="299"/>
        <v>0</v>
      </c>
      <c r="BD151" s="19">
        <f t="shared" si="306"/>
        <v>0</v>
      </c>
      <c r="BE151" s="187">
        <f t="shared" si="306"/>
        <v>0</v>
      </c>
      <c r="BF151" s="187">
        <f t="shared" si="306"/>
        <v>0</v>
      </c>
      <c r="BG151" s="187">
        <f t="shared" si="306"/>
        <v>0</v>
      </c>
      <c r="BH151" s="187">
        <f t="shared" si="306"/>
        <v>0</v>
      </c>
      <c r="BI151" s="187">
        <f t="shared" si="307"/>
        <v>0</v>
      </c>
      <c r="BJ151" s="187">
        <f t="shared" si="307"/>
        <v>0</v>
      </c>
      <c r="BK151" s="187">
        <f t="shared" si="307"/>
        <v>0</v>
      </c>
      <c r="BL151" s="223">
        <f t="shared" si="320"/>
        <v>0</v>
      </c>
      <c r="BM151" s="249">
        <f t="shared" si="320"/>
        <v>0</v>
      </c>
      <c r="BN151" s="249">
        <f t="shared" si="320"/>
        <v>0</v>
      </c>
      <c r="BO151" s="249">
        <f t="shared" si="320"/>
        <v>0</v>
      </c>
      <c r="BP151" s="249">
        <f t="shared" si="320"/>
        <v>0</v>
      </c>
      <c r="BQ151" s="187">
        <f t="shared" si="308"/>
        <v>0</v>
      </c>
      <c r="BR151" s="187">
        <f t="shared" si="308"/>
        <v>0</v>
      </c>
      <c r="BS151" s="187">
        <f t="shared" si="308"/>
        <v>0</v>
      </c>
      <c r="BT151" s="73">
        <f t="shared" si="326"/>
        <v>0</v>
      </c>
      <c r="BU151" s="187">
        <f t="shared" si="326"/>
        <v>0</v>
      </c>
      <c r="BV151" s="187">
        <f t="shared" si="326"/>
        <v>0</v>
      </c>
      <c r="BW151" s="187">
        <f t="shared" si="326"/>
        <v>0</v>
      </c>
      <c r="BX151" s="187">
        <f t="shared" si="326"/>
        <v>0</v>
      </c>
      <c r="BY151" s="187">
        <f t="shared" si="309"/>
        <v>0</v>
      </c>
      <c r="BZ151" s="187">
        <f t="shared" si="309"/>
        <v>0</v>
      </c>
      <c r="CA151" s="187">
        <f t="shared" si="309"/>
        <v>0</v>
      </c>
      <c r="CB151" s="73">
        <f t="shared" si="310"/>
        <v>0</v>
      </c>
      <c r="CC151" s="187">
        <f t="shared" si="310"/>
        <v>0</v>
      </c>
      <c r="CD151" s="187">
        <f t="shared" si="310"/>
        <v>0</v>
      </c>
      <c r="CE151" s="187">
        <f t="shared" si="310"/>
        <v>0</v>
      </c>
      <c r="CF151" s="187">
        <f t="shared" si="310"/>
        <v>0</v>
      </c>
      <c r="CG151" s="187">
        <f t="shared" si="311"/>
        <v>0</v>
      </c>
      <c r="CH151" s="187">
        <f t="shared" si="311"/>
        <v>0</v>
      </c>
      <c r="CI151" s="187">
        <f t="shared" si="311"/>
        <v>0</v>
      </c>
      <c r="CJ151" s="73">
        <f t="shared" si="321"/>
        <v>0</v>
      </c>
      <c r="CK151" s="187">
        <f t="shared" si="321"/>
        <v>0</v>
      </c>
      <c r="CL151" s="187">
        <f t="shared" si="321"/>
        <v>0</v>
      </c>
      <c r="CM151" s="187">
        <f t="shared" si="321"/>
        <v>0</v>
      </c>
      <c r="CN151" s="187">
        <f t="shared" si="321"/>
        <v>0</v>
      </c>
      <c r="CO151" s="187">
        <f t="shared" si="312"/>
        <v>0</v>
      </c>
      <c r="CP151" s="187">
        <f t="shared" si="312"/>
        <v>0</v>
      </c>
      <c r="CQ151" s="187">
        <f t="shared" si="312"/>
        <v>0</v>
      </c>
      <c r="CR151" s="73">
        <f t="shared" si="322"/>
        <v>0</v>
      </c>
      <c r="CS151" s="187">
        <f t="shared" si="322"/>
        <v>0</v>
      </c>
      <c r="CT151" s="187">
        <f t="shared" si="322"/>
        <v>0</v>
      </c>
      <c r="CU151" s="187">
        <f t="shared" si="322"/>
        <v>0</v>
      </c>
      <c r="CV151" s="187">
        <f t="shared" si="322"/>
        <v>0</v>
      </c>
      <c r="CW151" s="187">
        <f t="shared" si="313"/>
        <v>0</v>
      </c>
      <c r="CX151" s="187">
        <f t="shared" si="313"/>
        <v>0</v>
      </c>
      <c r="CY151" s="187">
        <f t="shared" si="313"/>
        <v>0</v>
      </c>
    </row>
    <row r="152" spans="1:103" s="199" customFormat="1" ht="26.25" hidden="1" customHeight="1" outlineLevel="1" x14ac:dyDescent="0.4">
      <c r="A152" s="380"/>
      <c r="B152" s="380"/>
      <c r="C152" s="380"/>
      <c r="D152" s="382"/>
      <c r="E152" s="382"/>
      <c r="F152" s="382"/>
      <c r="G152" s="416"/>
      <c r="H152" s="490"/>
      <c r="I152" s="490"/>
      <c r="J152" s="498"/>
      <c r="K152" s="492"/>
      <c r="L152" s="492"/>
      <c r="M152" s="494"/>
      <c r="N152" s="39" t="s">
        <v>25</v>
      </c>
      <c r="O152" s="207">
        <f t="shared" si="332"/>
        <v>0</v>
      </c>
      <c r="P152" s="207">
        <f t="shared" si="332"/>
        <v>0</v>
      </c>
      <c r="Q152" s="207">
        <f t="shared" si="332"/>
        <v>0</v>
      </c>
      <c r="R152" s="207">
        <f t="shared" si="332"/>
        <v>0</v>
      </c>
      <c r="S152" s="207">
        <f t="shared" si="332"/>
        <v>0</v>
      </c>
      <c r="T152" s="207">
        <f t="shared" si="332"/>
        <v>0</v>
      </c>
      <c r="U152" s="49">
        <f t="shared" si="332"/>
        <v>0</v>
      </c>
      <c r="V152" s="57">
        <f t="shared" si="302"/>
        <v>0</v>
      </c>
      <c r="W152" s="18">
        <f t="shared" si="302"/>
        <v>0</v>
      </c>
      <c r="X152" s="18">
        <f t="shared" si="302"/>
        <v>0</v>
      </c>
      <c r="Y152" s="18">
        <f t="shared" si="302"/>
        <v>0</v>
      </c>
      <c r="Z152" s="18">
        <f t="shared" si="302"/>
        <v>0</v>
      </c>
      <c r="AA152" s="18">
        <f t="shared" si="325"/>
        <v>0</v>
      </c>
      <c r="AB152" s="42">
        <f t="shared" si="325"/>
        <v>0</v>
      </c>
      <c r="AC152" s="52">
        <f t="shared" si="325"/>
        <v>0</v>
      </c>
      <c r="AD152" s="207">
        <f t="shared" si="325"/>
        <v>0</v>
      </c>
      <c r="AE152" s="207">
        <f t="shared" si="325"/>
        <v>0</v>
      </c>
      <c r="AF152" s="207">
        <f t="shared" si="325"/>
        <v>0</v>
      </c>
      <c r="AG152" s="18">
        <f t="shared" si="325"/>
        <v>0</v>
      </c>
      <c r="AH152" s="51">
        <f t="shared" si="327"/>
        <v>0</v>
      </c>
      <c r="AI152" s="52">
        <f t="shared" si="327"/>
        <v>0</v>
      </c>
      <c r="AJ152" s="52">
        <f t="shared" si="327"/>
        <v>0</v>
      </c>
      <c r="AK152" s="52">
        <f t="shared" si="327"/>
        <v>0</v>
      </c>
      <c r="AL152" s="52">
        <f t="shared" si="327"/>
        <v>0</v>
      </c>
      <c r="AM152" s="18">
        <f t="shared" si="303"/>
        <v>0</v>
      </c>
      <c r="AN152" s="42">
        <f t="shared" si="304"/>
        <v>0</v>
      </c>
      <c r="AO152" s="207">
        <f t="shared" si="304"/>
        <v>0</v>
      </c>
      <c r="AP152" s="207">
        <f t="shared" si="304"/>
        <v>0</v>
      </c>
      <c r="AQ152" s="207">
        <f t="shared" si="304"/>
        <v>0</v>
      </c>
      <c r="AR152" s="207">
        <f t="shared" si="304"/>
        <v>0</v>
      </c>
      <c r="AS152" s="207">
        <f t="shared" si="305"/>
        <v>0</v>
      </c>
      <c r="AT152" s="207">
        <f t="shared" si="305"/>
        <v>0</v>
      </c>
      <c r="AU152" s="18">
        <f t="shared" si="305"/>
        <v>0</v>
      </c>
      <c r="AV152" s="42">
        <f t="shared" si="299"/>
        <v>0</v>
      </c>
      <c r="AW152" s="207">
        <f t="shared" si="299"/>
        <v>0</v>
      </c>
      <c r="AX152" s="207">
        <f t="shared" si="299"/>
        <v>0</v>
      </c>
      <c r="AY152" s="207">
        <f t="shared" si="299"/>
        <v>0</v>
      </c>
      <c r="AZ152" s="207">
        <f t="shared" si="299"/>
        <v>0</v>
      </c>
      <c r="BA152" s="207">
        <f t="shared" si="299"/>
        <v>0</v>
      </c>
      <c r="BB152" s="207">
        <f t="shared" si="299"/>
        <v>0</v>
      </c>
      <c r="BC152" s="18">
        <f t="shared" si="299"/>
        <v>0</v>
      </c>
      <c r="BD152" s="42">
        <f t="shared" si="306"/>
        <v>0</v>
      </c>
      <c r="BE152" s="207">
        <f t="shared" si="306"/>
        <v>0</v>
      </c>
      <c r="BF152" s="207">
        <f t="shared" si="306"/>
        <v>0</v>
      </c>
      <c r="BG152" s="207">
        <f t="shared" si="306"/>
        <v>0</v>
      </c>
      <c r="BH152" s="207">
        <f t="shared" si="306"/>
        <v>0</v>
      </c>
      <c r="BI152" s="207">
        <f t="shared" si="307"/>
        <v>0</v>
      </c>
      <c r="BJ152" s="207">
        <f t="shared" si="307"/>
        <v>0</v>
      </c>
      <c r="BK152" s="18">
        <f t="shared" si="307"/>
        <v>0</v>
      </c>
      <c r="BL152" s="20">
        <f t="shared" si="320"/>
        <v>0</v>
      </c>
      <c r="BM152" s="207">
        <f t="shared" si="320"/>
        <v>0</v>
      </c>
      <c r="BN152" s="207">
        <f t="shared" si="320"/>
        <v>0</v>
      </c>
      <c r="BO152" s="207">
        <f t="shared" si="320"/>
        <v>0</v>
      </c>
      <c r="BP152" s="207">
        <f t="shared" si="320"/>
        <v>0</v>
      </c>
      <c r="BQ152" s="207">
        <f t="shared" si="308"/>
        <v>0</v>
      </c>
      <c r="BR152" s="207">
        <f t="shared" si="308"/>
        <v>0</v>
      </c>
      <c r="BS152" s="18">
        <f t="shared" si="308"/>
        <v>0</v>
      </c>
      <c r="BT152" s="224">
        <f t="shared" si="326"/>
        <v>0</v>
      </c>
      <c r="BU152" s="207">
        <f t="shared" si="326"/>
        <v>0</v>
      </c>
      <c r="BV152" s="207">
        <f t="shared" si="326"/>
        <v>0</v>
      </c>
      <c r="BW152" s="207">
        <f t="shared" si="326"/>
        <v>0</v>
      </c>
      <c r="BX152" s="207">
        <f t="shared" si="326"/>
        <v>0</v>
      </c>
      <c r="BY152" s="207">
        <f t="shared" si="309"/>
        <v>0</v>
      </c>
      <c r="BZ152" s="207">
        <f t="shared" si="309"/>
        <v>0</v>
      </c>
      <c r="CA152" s="18">
        <f t="shared" si="309"/>
        <v>0</v>
      </c>
      <c r="CB152" s="224">
        <f t="shared" si="310"/>
        <v>0</v>
      </c>
      <c r="CC152" s="250">
        <f t="shared" si="310"/>
        <v>0</v>
      </c>
      <c r="CD152" s="250">
        <f t="shared" si="310"/>
        <v>0</v>
      </c>
      <c r="CE152" s="250">
        <f t="shared" si="310"/>
        <v>0</v>
      </c>
      <c r="CF152" s="250">
        <f t="shared" si="310"/>
        <v>0</v>
      </c>
      <c r="CG152" s="207">
        <f t="shared" si="311"/>
        <v>0</v>
      </c>
      <c r="CH152" s="207">
        <f t="shared" si="311"/>
        <v>0</v>
      </c>
      <c r="CI152" s="18">
        <f t="shared" si="311"/>
        <v>0</v>
      </c>
      <c r="CJ152" s="224">
        <f t="shared" si="321"/>
        <v>0</v>
      </c>
      <c r="CK152" s="207">
        <f t="shared" si="321"/>
        <v>0</v>
      </c>
      <c r="CL152" s="207">
        <f t="shared" si="321"/>
        <v>0</v>
      </c>
      <c r="CM152" s="207">
        <f t="shared" si="321"/>
        <v>0</v>
      </c>
      <c r="CN152" s="207">
        <f t="shared" si="321"/>
        <v>0</v>
      </c>
      <c r="CO152" s="207">
        <f t="shared" si="312"/>
        <v>0</v>
      </c>
      <c r="CP152" s="207">
        <f t="shared" si="312"/>
        <v>0</v>
      </c>
      <c r="CQ152" s="18">
        <f t="shared" si="312"/>
        <v>0</v>
      </c>
      <c r="CR152" s="42">
        <f t="shared" si="322"/>
        <v>0</v>
      </c>
      <c r="CS152" s="207">
        <f t="shared" si="322"/>
        <v>0</v>
      </c>
      <c r="CT152" s="207">
        <f t="shared" si="322"/>
        <v>0</v>
      </c>
      <c r="CU152" s="207">
        <f t="shared" si="322"/>
        <v>0</v>
      </c>
      <c r="CV152" s="207">
        <f t="shared" si="322"/>
        <v>0</v>
      </c>
      <c r="CW152" s="207">
        <f t="shared" si="313"/>
        <v>0</v>
      </c>
      <c r="CX152" s="207">
        <f t="shared" si="313"/>
        <v>0</v>
      </c>
      <c r="CY152" s="207">
        <f t="shared" si="313"/>
        <v>0</v>
      </c>
    </row>
    <row r="153" spans="1:103" s="199" customFormat="1" ht="26.25" hidden="1" customHeight="1" outlineLevel="1" x14ac:dyDescent="0.4">
      <c r="A153" s="379">
        <v>74</v>
      </c>
      <c r="B153" s="379" t="s">
        <v>45</v>
      </c>
      <c r="C153" s="379" t="s">
        <v>346</v>
      </c>
      <c r="D153" s="381"/>
      <c r="E153" s="381"/>
      <c r="F153" s="381"/>
      <c r="G153" s="416"/>
      <c r="H153" s="489">
        <f t="shared" ref="H153" si="333">SUM(BT153:CA153)</f>
        <v>0</v>
      </c>
      <c r="I153" s="489">
        <f t="shared" ref="I153" si="334">SUM(BT154:CA154)</f>
        <v>0</v>
      </c>
      <c r="J153" s="497"/>
      <c r="K153" s="491"/>
      <c r="L153" s="491"/>
      <c r="M153" s="493"/>
      <c r="N153" s="48" t="s">
        <v>24</v>
      </c>
      <c r="O153" s="187">
        <f t="shared" si="332"/>
        <v>0</v>
      </c>
      <c r="P153" s="187">
        <f t="shared" si="332"/>
        <v>0</v>
      </c>
      <c r="Q153" s="187">
        <f t="shared" si="332"/>
        <v>0</v>
      </c>
      <c r="R153" s="187">
        <f t="shared" si="332"/>
        <v>0</v>
      </c>
      <c r="S153" s="187">
        <f t="shared" si="332"/>
        <v>0</v>
      </c>
      <c r="T153" s="187">
        <f t="shared" si="332"/>
        <v>0</v>
      </c>
      <c r="U153" s="82">
        <f t="shared" si="332"/>
        <v>0</v>
      </c>
      <c r="V153" s="19">
        <f t="shared" si="302"/>
        <v>0</v>
      </c>
      <c r="W153" s="187">
        <f t="shared" si="302"/>
        <v>0</v>
      </c>
      <c r="X153" s="187">
        <f t="shared" si="302"/>
        <v>0</v>
      </c>
      <c r="Y153" s="187">
        <f t="shared" si="302"/>
        <v>0</v>
      </c>
      <c r="Z153" s="187">
        <f t="shared" si="302"/>
        <v>0</v>
      </c>
      <c r="AA153" s="187">
        <f t="shared" si="325"/>
        <v>0</v>
      </c>
      <c r="AB153" s="19">
        <f t="shared" si="325"/>
        <v>0</v>
      </c>
      <c r="AC153" s="187">
        <f t="shared" si="325"/>
        <v>0</v>
      </c>
      <c r="AD153" s="249">
        <f t="shared" si="325"/>
        <v>0</v>
      </c>
      <c r="AE153" s="187">
        <f t="shared" si="325"/>
        <v>0</v>
      </c>
      <c r="AF153" s="187">
        <f t="shared" si="325"/>
        <v>0</v>
      </c>
      <c r="AG153" s="187">
        <f t="shared" si="325"/>
        <v>0</v>
      </c>
      <c r="AH153" s="19">
        <f t="shared" si="327"/>
        <v>0</v>
      </c>
      <c r="AI153" s="187">
        <f t="shared" si="327"/>
        <v>0</v>
      </c>
      <c r="AJ153" s="187">
        <f t="shared" si="327"/>
        <v>0</v>
      </c>
      <c r="AK153" s="187">
        <f t="shared" si="327"/>
        <v>0</v>
      </c>
      <c r="AL153" s="187">
        <f t="shared" si="327"/>
        <v>0</v>
      </c>
      <c r="AM153" s="187">
        <f t="shared" si="303"/>
        <v>0</v>
      </c>
      <c r="AN153" s="19">
        <f t="shared" si="304"/>
        <v>0</v>
      </c>
      <c r="AO153" s="187">
        <f t="shared" si="304"/>
        <v>0</v>
      </c>
      <c r="AP153" s="187">
        <f t="shared" si="304"/>
        <v>0</v>
      </c>
      <c r="AQ153" s="187">
        <f t="shared" si="304"/>
        <v>0</v>
      </c>
      <c r="AR153" s="187">
        <f t="shared" si="304"/>
        <v>0</v>
      </c>
      <c r="AS153" s="187">
        <f t="shared" si="305"/>
        <v>0</v>
      </c>
      <c r="AT153" s="187">
        <f t="shared" si="305"/>
        <v>0</v>
      </c>
      <c r="AU153" s="187">
        <f t="shared" si="305"/>
        <v>0</v>
      </c>
      <c r="AV153" s="73">
        <f t="shared" si="299"/>
        <v>0</v>
      </c>
      <c r="AW153" s="187">
        <f t="shared" si="299"/>
        <v>0</v>
      </c>
      <c r="AX153" s="187">
        <f t="shared" si="299"/>
        <v>0</v>
      </c>
      <c r="AY153" s="187">
        <f t="shared" si="299"/>
        <v>0</v>
      </c>
      <c r="AZ153" s="187">
        <f t="shared" si="299"/>
        <v>0</v>
      </c>
      <c r="BA153" s="187">
        <f t="shared" si="299"/>
        <v>0</v>
      </c>
      <c r="BB153" s="187">
        <f t="shared" si="299"/>
        <v>0</v>
      </c>
      <c r="BC153" s="187">
        <f t="shared" si="299"/>
        <v>0</v>
      </c>
      <c r="BD153" s="19">
        <f t="shared" si="306"/>
        <v>0</v>
      </c>
      <c r="BE153" s="187">
        <f t="shared" si="306"/>
        <v>0</v>
      </c>
      <c r="BF153" s="187">
        <f t="shared" si="306"/>
        <v>0</v>
      </c>
      <c r="BG153" s="187">
        <f t="shared" si="306"/>
        <v>0</v>
      </c>
      <c r="BH153" s="187">
        <f t="shared" si="306"/>
        <v>0</v>
      </c>
      <c r="BI153" s="187">
        <f t="shared" si="307"/>
        <v>0</v>
      </c>
      <c r="BJ153" s="187">
        <f t="shared" si="307"/>
        <v>0</v>
      </c>
      <c r="BK153" s="187">
        <f t="shared" si="307"/>
        <v>0</v>
      </c>
      <c r="BL153" s="223">
        <f t="shared" si="320"/>
        <v>0</v>
      </c>
      <c r="BM153" s="249">
        <f t="shared" si="320"/>
        <v>0</v>
      </c>
      <c r="BN153" s="249">
        <f t="shared" si="320"/>
        <v>0</v>
      </c>
      <c r="BO153" s="249">
        <f t="shared" si="320"/>
        <v>0</v>
      </c>
      <c r="BP153" s="249">
        <f t="shared" si="320"/>
        <v>0</v>
      </c>
      <c r="BQ153" s="187">
        <f t="shared" si="308"/>
        <v>0</v>
      </c>
      <c r="BR153" s="187">
        <f t="shared" si="308"/>
        <v>0</v>
      </c>
      <c r="BS153" s="187">
        <f t="shared" si="308"/>
        <v>0</v>
      </c>
      <c r="BT153" s="73">
        <f t="shared" si="326"/>
        <v>0</v>
      </c>
      <c r="BU153" s="187">
        <f t="shared" si="326"/>
        <v>0</v>
      </c>
      <c r="BV153" s="187">
        <f t="shared" si="326"/>
        <v>0</v>
      </c>
      <c r="BW153" s="187">
        <f t="shared" si="326"/>
        <v>0</v>
      </c>
      <c r="BX153" s="187">
        <f t="shared" si="326"/>
        <v>0</v>
      </c>
      <c r="BY153" s="187">
        <f t="shared" si="309"/>
        <v>0</v>
      </c>
      <c r="BZ153" s="187">
        <f t="shared" si="309"/>
        <v>0</v>
      </c>
      <c r="CA153" s="187">
        <f t="shared" si="309"/>
        <v>0</v>
      </c>
      <c r="CB153" s="73">
        <f t="shared" si="310"/>
        <v>0</v>
      </c>
      <c r="CC153" s="187">
        <f t="shared" si="310"/>
        <v>0</v>
      </c>
      <c r="CD153" s="187">
        <f t="shared" si="310"/>
        <v>0</v>
      </c>
      <c r="CE153" s="187">
        <f t="shared" si="310"/>
        <v>0</v>
      </c>
      <c r="CF153" s="187">
        <f t="shared" si="310"/>
        <v>0</v>
      </c>
      <c r="CG153" s="187">
        <f t="shared" si="311"/>
        <v>0</v>
      </c>
      <c r="CH153" s="187">
        <f t="shared" si="311"/>
        <v>0</v>
      </c>
      <c r="CI153" s="187">
        <f t="shared" si="311"/>
        <v>0</v>
      </c>
      <c r="CJ153" s="73">
        <f t="shared" si="321"/>
        <v>0</v>
      </c>
      <c r="CK153" s="187">
        <f t="shared" si="321"/>
        <v>0</v>
      </c>
      <c r="CL153" s="187">
        <f t="shared" si="321"/>
        <v>0</v>
      </c>
      <c r="CM153" s="187">
        <f t="shared" si="321"/>
        <v>0</v>
      </c>
      <c r="CN153" s="187">
        <f t="shared" si="321"/>
        <v>0</v>
      </c>
      <c r="CO153" s="187">
        <f t="shared" si="312"/>
        <v>0</v>
      </c>
      <c r="CP153" s="187">
        <f t="shared" si="312"/>
        <v>0</v>
      </c>
      <c r="CQ153" s="187">
        <f t="shared" si="312"/>
        <v>0</v>
      </c>
      <c r="CR153" s="73">
        <f t="shared" si="322"/>
        <v>0</v>
      </c>
      <c r="CS153" s="187">
        <f t="shared" si="322"/>
        <v>0</v>
      </c>
      <c r="CT153" s="187">
        <f t="shared" si="322"/>
        <v>0</v>
      </c>
      <c r="CU153" s="187">
        <f t="shared" si="322"/>
        <v>0</v>
      </c>
      <c r="CV153" s="187">
        <f t="shared" si="322"/>
        <v>0</v>
      </c>
      <c r="CW153" s="187">
        <f t="shared" si="313"/>
        <v>0</v>
      </c>
      <c r="CX153" s="187">
        <f t="shared" si="313"/>
        <v>0</v>
      </c>
      <c r="CY153" s="187">
        <f t="shared" si="313"/>
        <v>0</v>
      </c>
    </row>
    <row r="154" spans="1:103" s="199" customFormat="1" ht="26.25" hidden="1" customHeight="1" outlineLevel="1" x14ac:dyDescent="0.4">
      <c r="A154" s="380"/>
      <c r="B154" s="380"/>
      <c r="C154" s="380"/>
      <c r="D154" s="382"/>
      <c r="E154" s="382"/>
      <c r="F154" s="382"/>
      <c r="G154" s="416"/>
      <c r="H154" s="490"/>
      <c r="I154" s="490"/>
      <c r="J154" s="498"/>
      <c r="K154" s="492"/>
      <c r="L154" s="492"/>
      <c r="M154" s="494"/>
      <c r="N154" s="39" t="s">
        <v>25</v>
      </c>
      <c r="O154" s="207">
        <f t="shared" si="332"/>
        <v>0</v>
      </c>
      <c r="P154" s="207">
        <f t="shared" si="332"/>
        <v>0</v>
      </c>
      <c r="Q154" s="207">
        <f t="shared" si="332"/>
        <v>0</v>
      </c>
      <c r="R154" s="207">
        <f t="shared" si="332"/>
        <v>0</v>
      </c>
      <c r="S154" s="207">
        <f t="shared" si="332"/>
        <v>0</v>
      </c>
      <c r="T154" s="207">
        <f t="shared" si="332"/>
        <v>0</v>
      </c>
      <c r="U154" s="49">
        <f t="shared" si="332"/>
        <v>0</v>
      </c>
      <c r="V154" s="57">
        <f t="shared" si="302"/>
        <v>0</v>
      </c>
      <c r="W154" s="18">
        <f t="shared" si="302"/>
        <v>0</v>
      </c>
      <c r="X154" s="18">
        <f t="shared" si="302"/>
        <v>0</v>
      </c>
      <c r="Y154" s="18">
        <f t="shared" si="302"/>
        <v>0</v>
      </c>
      <c r="Z154" s="18">
        <f t="shared" si="302"/>
        <v>0</v>
      </c>
      <c r="AA154" s="18">
        <f t="shared" si="325"/>
        <v>0</v>
      </c>
      <c r="AB154" s="42">
        <f t="shared" si="325"/>
        <v>0</v>
      </c>
      <c r="AC154" s="52">
        <f t="shared" si="325"/>
        <v>0</v>
      </c>
      <c r="AD154" s="207">
        <f t="shared" si="325"/>
        <v>0</v>
      </c>
      <c r="AE154" s="207">
        <f t="shared" si="325"/>
        <v>0</v>
      </c>
      <c r="AF154" s="207">
        <f t="shared" si="325"/>
        <v>0</v>
      </c>
      <c r="AG154" s="18">
        <f t="shared" si="325"/>
        <v>0</v>
      </c>
      <c r="AH154" s="51">
        <f t="shared" si="327"/>
        <v>0</v>
      </c>
      <c r="AI154" s="52">
        <f t="shared" si="327"/>
        <v>0</v>
      </c>
      <c r="AJ154" s="52">
        <f t="shared" si="327"/>
        <v>0</v>
      </c>
      <c r="AK154" s="52">
        <f t="shared" si="327"/>
        <v>0</v>
      </c>
      <c r="AL154" s="52">
        <f t="shared" si="327"/>
        <v>0</v>
      </c>
      <c r="AM154" s="18">
        <f t="shared" si="303"/>
        <v>0</v>
      </c>
      <c r="AN154" s="42">
        <f t="shared" si="304"/>
        <v>0</v>
      </c>
      <c r="AO154" s="207">
        <f t="shared" si="304"/>
        <v>0</v>
      </c>
      <c r="AP154" s="207">
        <f t="shared" si="304"/>
        <v>0</v>
      </c>
      <c r="AQ154" s="207">
        <f t="shared" si="304"/>
        <v>0</v>
      </c>
      <c r="AR154" s="207">
        <f t="shared" si="304"/>
        <v>0</v>
      </c>
      <c r="AS154" s="207">
        <f t="shared" si="305"/>
        <v>0</v>
      </c>
      <c r="AT154" s="207">
        <f t="shared" si="305"/>
        <v>0</v>
      </c>
      <c r="AU154" s="18">
        <f t="shared" si="305"/>
        <v>0</v>
      </c>
      <c r="AV154" s="42">
        <f t="shared" ref="AV154:BC166" si="335">0/172.5</f>
        <v>0</v>
      </c>
      <c r="AW154" s="207">
        <f t="shared" si="335"/>
        <v>0</v>
      </c>
      <c r="AX154" s="207">
        <f t="shared" si="335"/>
        <v>0</v>
      </c>
      <c r="AY154" s="207">
        <f t="shared" si="335"/>
        <v>0</v>
      </c>
      <c r="AZ154" s="207">
        <f t="shared" si="335"/>
        <v>0</v>
      </c>
      <c r="BA154" s="207">
        <f t="shared" si="335"/>
        <v>0</v>
      </c>
      <c r="BB154" s="207">
        <f t="shared" si="335"/>
        <v>0</v>
      </c>
      <c r="BC154" s="18">
        <f t="shared" si="335"/>
        <v>0</v>
      </c>
      <c r="BD154" s="42">
        <f t="shared" si="306"/>
        <v>0</v>
      </c>
      <c r="BE154" s="207">
        <f t="shared" si="306"/>
        <v>0</v>
      </c>
      <c r="BF154" s="207">
        <f t="shared" si="306"/>
        <v>0</v>
      </c>
      <c r="BG154" s="207">
        <f t="shared" si="306"/>
        <v>0</v>
      </c>
      <c r="BH154" s="207">
        <f t="shared" si="306"/>
        <v>0</v>
      </c>
      <c r="BI154" s="207">
        <f t="shared" si="307"/>
        <v>0</v>
      </c>
      <c r="BJ154" s="207">
        <f t="shared" si="307"/>
        <v>0</v>
      </c>
      <c r="BK154" s="18">
        <f t="shared" si="307"/>
        <v>0</v>
      </c>
      <c r="BL154" s="20">
        <f t="shared" si="320"/>
        <v>0</v>
      </c>
      <c r="BM154" s="207">
        <f t="shared" si="320"/>
        <v>0</v>
      </c>
      <c r="BN154" s="207">
        <f t="shared" si="320"/>
        <v>0</v>
      </c>
      <c r="BO154" s="207">
        <f t="shared" si="320"/>
        <v>0</v>
      </c>
      <c r="BP154" s="207">
        <f t="shared" si="320"/>
        <v>0</v>
      </c>
      <c r="BQ154" s="207">
        <f t="shared" si="308"/>
        <v>0</v>
      </c>
      <c r="BR154" s="207">
        <f t="shared" si="308"/>
        <v>0</v>
      </c>
      <c r="BS154" s="18">
        <f t="shared" si="308"/>
        <v>0</v>
      </c>
      <c r="BT154" s="224">
        <f t="shared" si="326"/>
        <v>0</v>
      </c>
      <c r="BU154" s="207">
        <f t="shared" si="326"/>
        <v>0</v>
      </c>
      <c r="BV154" s="207">
        <f t="shared" si="326"/>
        <v>0</v>
      </c>
      <c r="BW154" s="207">
        <f t="shared" si="326"/>
        <v>0</v>
      </c>
      <c r="BX154" s="207">
        <f t="shared" si="326"/>
        <v>0</v>
      </c>
      <c r="BY154" s="207">
        <f t="shared" si="309"/>
        <v>0</v>
      </c>
      <c r="BZ154" s="207">
        <f t="shared" si="309"/>
        <v>0</v>
      </c>
      <c r="CA154" s="18">
        <f t="shared" si="309"/>
        <v>0</v>
      </c>
      <c r="CB154" s="224">
        <f t="shared" si="310"/>
        <v>0</v>
      </c>
      <c r="CC154" s="250">
        <f t="shared" si="310"/>
        <v>0</v>
      </c>
      <c r="CD154" s="250">
        <f t="shared" si="310"/>
        <v>0</v>
      </c>
      <c r="CE154" s="250">
        <f t="shared" si="310"/>
        <v>0</v>
      </c>
      <c r="CF154" s="250">
        <f t="shared" si="310"/>
        <v>0</v>
      </c>
      <c r="CG154" s="207">
        <f t="shared" si="311"/>
        <v>0</v>
      </c>
      <c r="CH154" s="207">
        <f t="shared" si="311"/>
        <v>0</v>
      </c>
      <c r="CI154" s="18">
        <f t="shared" si="311"/>
        <v>0</v>
      </c>
      <c r="CJ154" s="224">
        <f t="shared" si="321"/>
        <v>0</v>
      </c>
      <c r="CK154" s="207">
        <f t="shared" si="321"/>
        <v>0</v>
      </c>
      <c r="CL154" s="207">
        <f t="shared" si="321"/>
        <v>0</v>
      </c>
      <c r="CM154" s="207">
        <f t="shared" si="321"/>
        <v>0</v>
      </c>
      <c r="CN154" s="207">
        <f t="shared" si="321"/>
        <v>0</v>
      </c>
      <c r="CO154" s="207">
        <f t="shared" si="312"/>
        <v>0</v>
      </c>
      <c r="CP154" s="207">
        <f t="shared" si="312"/>
        <v>0</v>
      </c>
      <c r="CQ154" s="18">
        <f t="shared" si="312"/>
        <v>0</v>
      </c>
      <c r="CR154" s="42">
        <f t="shared" si="322"/>
        <v>0</v>
      </c>
      <c r="CS154" s="207">
        <f t="shared" si="322"/>
        <v>0</v>
      </c>
      <c r="CT154" s="207">
        <f t="shared" si="322"/>
        <v>0</v>
      </c>
      <c r="CU154" s="207">
        <f t="shared" si="322"/>
        <v>0</v>
      </c>
      <c r="CV154" s="207">
        <f t="shared" si="322"/>
        <v>0</v>
      </c>
      <c r="CW154" s="207">
        <f t="shared" si="313"/>
        <v>0</v>
      </c>
      <c r="CX154" s="207">
        <f t="shared" si="313"/>
        <v>0</v>
      </c>
      <c r="CY154" s="207">
        <f t="shared" si="313"/>
        <v>0</v>
      </c>
    </row>
    <row r="155" spans="1:103" s="199" customFormat="1" ht="26.25" hidden="1" customHeight="1" outlineLevel="1" collapsed="1" x14ac:dyDescent="0.4">
      <c r="A155" s="379">
        <v>75</v>
      </c>
      <c r="B155" s="379" t="s">
        <v>45</v>
      </c>
      <c r="C155" s="379" t="s">
        <v>346</v>
      </c>
      <c r="D155" s="381"/>
      <c r="E155" s="381"/>
      <c r="F155" s="381"/>
      <c r="G155" s="416"/>
      <c r="H155" s="489">
        <f t="shared" ref="H155" si="336">SUM(BT155:CA155)</f>
        <v>0</v>
      </c>
      <c r="I155" s="489">
        <f t="shared" ref="I155" si="337">SUM(BT156:CA156)</f>
        <v>0</v>
      </c>
      <c r="J155" s="497"/>
      <c r="K155" s="491"/>
      <c r="L155" s="491"/>
      <c r="M155" s="493"/>
      <c r="N155" s="48" t="s">
        <v>24</v>
      </c>
      <c r="O155" s="187">
        <f t="shared" si="332"/>
        <v>0</v>
      </c>
      <c r="P155" s="187">
        <f t="shared" si="332"/>
        <v>0</v>
      </c>
      <c r="Q155" s="187">
        <f t="shared" si="332"/>
        <v>0</v>
      </c>
      <c r="R155" s="187">
        <f t="shared" si="332"/>
        <v>0</v>
      </c>
      <c r="S155" s="187">
        <f t="shared" si="332"/>
        <v>0</v>
      </c>
      <c r="T155" s="187">
        <f t="shared" si="332"/>
        <v>0</v>
      </c>
      <c r="U155" s="82">
        <f t="shared" si="332"/>
        <v>0</v>
      </c>
      <c r="V155" s="19">
        <f t="shared" ref="V155:Z166" si="338">0/142.5</f>
        <v>0</v>
      </c>
      <c r="W155" s="187">
        <f t="shared" si="338"/>
        <v>0</v>
      </c>
      <c r="X155" s="187">
        <f t="shared" si="338"/>
        <v>0</v>
      </c>
      <c r="Y155" s="187">
        <f t="shared" si="338"/>
        <v>0</v>
      </c>
      <c r="Z155" s="187">
        <f t="shared" si="338"/>
        <v>0</v>
      </c>
      <c r="AA155" s="187">
        <f t="shared" si="325"/>
        <v>0</v>
      </c>
      <c r="AB155" s="19">
        <f t="shared" si="325"/>
        <v>0</v>
      </c>
      <c r="AC155" s="187">
        <f t="shared" si="325"/>
        <v>0</v>
      </c>
      <c r="AD155" s="249">
        <f t="shared" si="325"/>
        <v>0</v>
      </c>
      <c r="AE155" s="187">
        <f t="shared" si="325"/>
        <v>0</v>
      </c>
      <c r="AF155" s="187">
        <f t="shared" si="325"/>
        <v>0</v>
      </c>
      <c r="AG155" s="187">
        <f t="shared" si="325"/>
        <v>0</v>
      </c>
      <c r="AH155" s="19">
        <f t="shared" si="327"/>
        <v>0</v>
      </c>
      <c r="AI155" s="187">
        <f t="shared" si="327"/>
        <v>0</v>
      </c>
      <c r="AJ155" s="187">
        <f t="shared" si="327"/>
        <v>0</v>
      </c>
      <c r="AK155" s="187">
        <f t="shared" si="327"/>
        <v>0</v>
      </c>
      <c r="AL155" s="187">
        <f t="shared" si="327"/>
        <v>0</v>
      </c>
      <c r="AM155" s="187">
        <f t="shared" ref="AM155:AM166" si="339">0/165</f>
        <v>0</v>
      </c>
      <c r="AN155" s="19">
        <f t="shared" ref="AN155:AR166" si="340">0/157.5</f>
        <v>0</v>
      </c>
      <c r="AO155" s="187">
        <f t="shared" si="340"/>
        <v>0</v>
      </c>
      <c r="AP155" s="187">
        <f t="shared" si="340"/>
        <v>0</v>
      </c>
      <c r="AQ155" s="187">
        <f t="shared" si="340"/>
        <v>0</v>
      </c>
      <c r="AR155" s="187">
        <f t="shared" si="340"/>
        <v>0</v>
      </c>
      <c r="AS155" s="187">
        <f t="shared" ref="AS155:AU166" si="341">0/165</f>
        <v>0</v>
      </c>
      <c r="AT155" s="187">
        <f t="shared" si="341"/>
        <v>0</v>
      </c>
      <c r="AU155" s="187">
        <f t="shared" si="341"/>
        <v>0</v>
      </c>
      <c r="AV155" s="73">
        <f t="shared" si="335"/>
        <v>0</v>
      </c>
      <c r="AW155" s="187">
        <f t="shared" si="335"/>
        <v>0</v>
      </c>
      <c r="AX155" s="187">
        <f t="shared" si="335"/>
        <v>0</v>
      </c>
      <c r="AY155" s="187">
        <f t="shared" si="335"/>
        <v>0</v>
      </c>
      <c r="AZ155" s="187">
        <f t="shared" si="335"/>
        <v>0</v>
      </c>
      <c r="BA155" s="187">
        <f t="shared" si="335"/>
        <v>0</v>
      </c>
      <c r="BB155" s="187">
        <f t="shared" si="335"/>
        <v>0</v>
      </c>
      <c r="BC155" s="187">
        <f t="shared" si="335"/>
        <v>0</v>
      </c>
      <c r="BD155" s="19">
        <f t="shared" ref="BD155:BH166" si="342">0/142.5</f>
        <v>0</v>
      </c>
      <c r="BE155" s="187">
        <f t="shared" si="342"/>
        <v>0</v>
      </c>
      <c r="BF155" s="187">
        <f t="shared" si="342"/>
        <v>0</v>
      </c>
      <c r="BG155" s="187">
        <f t="shared" si="342"/>
        <v>0</v>
      </c>
      <c r="BH155" s="187">
        <f t="shared" si="342"/>
        <v>0</v>
      </c>
      <c r="BI155" s="187">
        <f t="shared" ref="BI155:BK166" si="343">0/172.5</f>
        <v>0</v>
      </c>
      <c r="BJ155" s="187">
        <f t="shared" si="343"/>
        <v>0</v>
      </c>
      <c r="BK155" s="187">
        <f t="shared" si="343"/>
        <v>0</v>
      </c>
      <c r="BL155" s="223">
        <f t="shared" si="320"/>
        <v>0</v>
      </c>
      <c r="BM155" s="249">
        <f t="shared" si="320"/>
        <v>0</v>
      </c>
      <c r="BN155" s="249">
        <f t="shared" si="320"/>
        <v>0</v>
      </c>
      <c r="BO155" s="249">
        <f t="shared" si="320"/>
        <v>0</v>
      </c>
      <c r="BP155" s="249">
        <f t="shared" si="320"/>
        <v>0</v>
      </c>
      <c r="BQ155" s="187">
        <f t="shared" ref="BQ155:BS166" si="344">0/172.5</f>
        <v>0</v>
      </c>
      <c r="BR155" s="187">
        <f t="shared" si="344"/>
        <v>0</v>
      </c>
      <c r="BS155" s="187">
        <f t="shared" si="344"/>
        <v>0</v>
      </c>
      <c r="BT155" s="73">
        <f t="shared" si="326"/>
        <v>0</v>
      </c>
      <c r="BU155" s="187">
        <f t="shared" si="326"/>
        <v>0</v>
      </c>
      <c r="BV155" s="187">
        <f t="shared" si="326"/>
        <v>0</v>
      </c>
      <c r="BW155" s="187">
        <f t="shared" si="326"/>
        <v>0</v>
      </c>
      <c r="BX155" s="187">
        <f t="shared" si="326"/>
        <v>0</v>
      </c>
      <c r="BY155" s="187">
        <f t="shared" ref="BY155:CA166" si="345">0/172.5</f>
        <v>0</v>
      </c>
      <c r="BZ155" s="187">
        <f t="shared" si="345"/>
        <v>0</v>
      </c>
      <c r="CA155" s="187">
        <f t="shared" si="345"/>
        <v>0</v>
      </c>
      <c r="CB155" s="73">
        <f t="shared" ref="CB155:CF166" si="346">0/157.5</f>
        <v>0</v>
      </c>
      <c r="CC155" s="187">
        <f t="shared" si="346"/>
        <v>0</v>
      </c>
      <c r="CD155" s="187">
        <f t="shared" si="346"/>
        <v>0</v>
      </c>
      <c r="CE155" s="187">
        <f t="shared" si="346"/>
        <v>0</v>
      </c>
      <c r="CF155" s="187">
        <f t="shared" si="346"/>
        <v>0</v>
      </c>
      <c r="CG155" s="187">
        <f t="shared" ref="CG155:CI166" si="347">0/172.5</f>
        <v>0</v>
      </c>
      <c r="CH155" s="187">
        <f t="shared" si="347"/>
        <v>0</v>
      </c>
      <c r="CI155" s="187">
        <f t="shared" si="347"/>
        <v>0</v>
      </c>
      <c r="CJ155" s="73">
        <f t="shared" si="321"/>
        <v>0</v>
      </c>
      <c r="CK155" s="187">
        <f t="shared" si="321"/>
        <v>0</v>
      </c>
      <c r="CL155" s="187">
        <f t="shared" si="321"/>
        <v>0</v>
      </c>
      <c r="CM155" s="187">
        <f t="shared" si="321"/>
        <v>0</v>
      </c>
      <c r="CN155" s="187">
        <f t="shared" si="321"/>
        <v>0</v>
      </c>
      <c r="CO155" s="187">
        <f t="shared" ref="CO155:CQ166" si="348">0/172.5</f>
        <v>0</v>
      </c>
      <c r="CP155" s="187">
        <f t="shared" si="348"/>
        <v>0</v>
      </c>
      <c r="CQ155" s="187">
        <f t="shared" si="348"/>
        <v>0</v>
      </c>
      <c r="CR155" s="73">
        <f t="shared" si="322"/>
        <v>0</v>
      </c>
      <c r="CS155" s="187">
        <f t="shared" si="322"/>
        <v>0</v>
      </c>
      <c r="CT155" s="187">
        <f t="shared" si="322"/>
        <v>0</v>
      </c>
      <c r="CU155" s="187">
        <f t="shared" si="322"/>
        <v>0</v>
      </c>
      <c r="CV155" s="187">
        <f t="shared" si="322"/>
        <v>0</v>
      </c>
      <c r="CW155" s="187">
        <f t="shared" ref="CW155:CY166" si="349">0/172.5</f>
        <v>0</v>
      </c>
      <c r="CX155" s="187">
        <f t="shared" si="349"/>
        <v>0</v>
      </c>
      <c r="CY155" s="187">
        <f t="shared" si="349"/>
        <v>0</v>
      </c>
    </row>
    <row r="156" spans="1:103" s="199" customFormat="1" ht="26.25" hidden="1" customHeight="1" outlineLevel="1" x14ac:dyDescent="0.4">
      <c r="A156" s="380"/>
      <c r="B156" s="380"/>
      <c r="C156" s="380"/>
      <c r="D156" s="382"/>
      <c r="E156" s="382"/>
      <c r="F156" s="382"/>
      <c r="G156" s="416"/>
      <c r="H156" s="490"/>
      <c r="I156" s="490"/>
      <c r="J156" s="498"/>
      <c r="K156" s="492"/>
      <c r="L156" s="492"/>
      <c r="M156" s="494"/>
      <c r="N156" s="39" t="s">
        <v>25</v>
      </c>
      <c r="O156" s="207">
        <f t="shared" si="332"/>
        <v>0</v>
      </c>
      <c r="P156" s="207">
        <f t="shared" si="332"/>
        <v>0</v>
      </c>
      <c r="Q156" s="207">
        <f t="shared" si="332"/>
        <v>0</v>
      </c>
      <c r="R156" s="207">
        <f t="shared" si="332"/>
        <v>0</v>
      </c>
      <c r="S156" s="207">
        <f t="shared" si="332"/>
        <v>0</v>
      </c>
      <c r="T156" s="207">
        <f t="shared" si="332"/>
        <v>0</v>
      </c>
      <c r="U156" s="49">
        <f t="shared" si="332"/>
        <v>0</v>
      </c>
      <c r="V156" s="57">
        <f t="shared" si="338"/>
        <v>0</v>
      </c>
      <c r="W156" s="18">
        <f t="shared" si="338"/>
        <v>0</v>
      </c>
      <c r="X156" s="18">
        <f t="shared" si="338"/>
        <v>0</v>
      </c>
      <c r="Y156" s="18">
        <f t="shared" si="338"/>
        <v>0</v>
      </c>
      <c r="Z156" s="18">
        <f t="shared" si="338"/>
        <v>0</v>
      </c>
      <c r="AA156" s="18">
        <f t="shared" si="325"/>
        <v>0</v>
      </c>
      <c r="AB156" s="42">
        <f t="shared" si="325"/>
        <v>0</v>
      </c>
      <c r="AC156" s="52">
        <f t="shared" si="325"/>
        <v>0</v>
      </c>
      <c r="AD156" s="207">
        <f t="shared" si="325"/>
        <v>0</v>
      </c>
      <c r="AE156" s="207">
        <f t="shared" si="325"/>
        <v>0</v>
      </c>
      <c r="AF156" s="207">
        <f t="shared" si="325"/>
        <v>0</v>
      </c>
      <c r="AG156" s="18">
        <f t="shared" si="325"/>
        <v>0</v>
      </c>
      <c r="AH156" s="51">
        <f t="shared" si="327"/>
        <v>0</v>
      </c>
      <c r="AI156" s="52">
        <f t="shared" si="327"/>
        <v>0</v>
      </c>
      <c r="AJ156" s="52">
        <f t="shared" si="327"/>
        <v>0</v>
      </c>
      <c r="AK156" s="52">
        <f t="shared" si="327"/>
        <v>0</v>
      </c>
      <c r="AL156" s="52">
        <f t="shared" si="327"/>
        <v>0</v>
      </c>
      <c r="AM156" s="18">
        <f t="shared" si="339"/>
        <v>0</v>
      </c>
      <c r="AN156" s="42">
        <f t="shared" si="340"/>
        <v>0</v>
      </c>
      <c r="AO156" s="207">
        <f t="shared" si="340"/>
        <v>0</v>
      </c>
      <c r="AP156" s="207">
        <f t="shared" si="340"/>
        <v>0</v>
      </c>
      <c r="AQ156" s="207">
        <f t="shared" si="340"/>
        <v>0</v>
      </c>
      <c r="AR156" s="207">
        <f t="shared" si="340"/>
        <v>0</v>
      </c>
      <c r="AS156" s="207">
        <f t="shared" si="341"/>
        <v>0</v>
      </c>
      <c r="AT156" s="207">
        <f t="shared" si="341"/>
        <v>0</v>
      </c>
      <c r="AU156" s="18">
        <f t="shared" si="341"/>
        <v>0</v>
      </c>
      <c r="AV156" s="42">
        <f t="shared" si="335"/>
        <v>0</v>
      </c>
      <c r="AW156" s="207">
        <f t="shared" si="335"/>
        <v>0</v>
      </c>
      <c r="AX156" s="207">
        <f t="shared" si="335"/>
        <v>0</v>
      </c>
      <c r="AY156" s="207">
        <f t="shared" si="335"/>
        <v>0</v>
      </c>
      <c r="AZ156" s="207">
        <f t="shared" si="335"/>
        <v>0</v>
      </c>
      <c r="BA156" s="207">
        <f t="shared" si="335"/>
        <v>0</v>
      </c>
      <c r="BB156" s="207">
        <f t="shared" si="335"/>
        <v>0</v>
      </c>
      <c r="BC156" s="18">
        <f t="shared" si="335"/>
        <v>0</v>
      </c>
      <c r="BD156" s="42">
        <f t="shared" si="342"/>
        <v>0</v>
      </c>
      <c r="BE156" s="207">
        <f t="shared" si="342"/>
        <v>0</v>
      </c>
      <c r="BF156" s="207">
        <f t="shared" si="342"/>
        <v>0</v>
      </c>
      <c r="BG156" s="207">
        <f t="shared" si="342"/>
        <v>0</v>
      </c>
      <c r="BH156" s="207">
        <f t="shared" si="342"/>
        <v>0</v>
      </c>
      <c r="BI156" s="207">
        <f t="shared" si="343"/>
        <v>0</v>
      </c>
      <c r="BJ156" s="207">
        <f t="shared" si="343"/>
        <v>0</v>
      </c>
      <c r="BK156" s="18">
        <f t="shared" si="343"/>
        <v>0</v>
      </c>
      <c r="BL156" s="20">
        <f t="shared" si="320"/>
        <v>0</v>
      </c>
      <c r="BM156" s="207">
        <f t="shared" si="320"/>
        <v>0</v>
      </c>
      <c r="BN156" s="207">
        <f t="shared" si="320"/>
        <v>0</v>
      </c>
      <c r="BO156" s="207">
        <f t="shared" si="320"/>
        <v>0</v>
      </c>
      <c r="BP156" s="207">
        <f t="shared" si="320"/>
        <v>0</v>
      </c>
      <c r="BQ156" s="207">
        <f t="shared" si="344"/>
        <v>0</v>
      </c>
      <c r="BR156" s="207">
        <f t="shared" si="344"/>
        <v>0</v>
      </c>
      <c r="BS156" s="18">
        <f t="shared" si="344"/>
        <v>0</v>
      </c>
      <c r="BT156" s="224">
        <f t="shared" si="326"/>
        <v>0</v>
      </c>
      <c r="BU156" s="207">
        <f t="shared" si="326"/>
        <v>0</v>
      </c>
      <c r="BV156" s="207">
        <f t="shared" si="326"/>
        <v>0</v>
      </c>
      <c r="BW156" s="207">
        <f t="shared" si="326"/>
        <v>0</v>
      </c>
      <c r="BX156" s="207">
        <f t="shared" si="326"/>
        <v>0</v>
      </c>
      <c r="BY156" s="207">
        <f t="shared" si="345"/>
        <v>0</v>
      </c>
      <c r="BZ156" s="207">
        <f t="shared" si="345"/>
        <v>0</v>
      </c>
      <c r="CA156" s="18">
        <f t="shared" si="345"/>
        <v>0</v>
      </c>
      <c r="CB156" s="224">
        <f t="shared" si="346"/>
        <v>0</v>
      </c>
      <c r="CC156" s="250">
        <f t="shared" si="346"/>
        <v>0</v>
      </c>
      <c r="CD156" s="250">
        <f t="shared" si="346"/>
        <v>0</v>
      </c>
      <c r="CE156" s="250">
        <f t="shared" si="346"/>
        <v>0</v>
      </c>
      <c r="CF156" s="250">
        <f t="shared" si="346"/>
        <v>0</v>
      </c>
      <c r="CG156" s="207">
        <f t="shared" si="347"/>
        <v>0</v>
      </c>
      <c r="CH156" s="207">
        <f t="shared" si="347"/>
        <v>0</v>
      </c>
      <c r="CI156" s="18">
        <f t="shared" si="347"/>
        <v>0</v>
      </c>
      <c r="CJ156" s="224">
        <f t="shared" si="321"/>
        <v>0</v>
      </c>
      <c r="CK156" s="207">
        <f t="shared" si="321"/>
        <v>0</v>
      </c>
      <c r="CL156" s="207">
        <f t="shared" si="321"/>
        <v>0</v>
      </c>
      <c r="CM156" s="207">
        <f t="shared" si="321"/>
        <v>0</v>
      </c>
      <c r="CN156" s="207">
        <f t="shared" si="321"/>
        <v>0</v>
      </c>
      <c r="CO156" s="207">
        <f t="shared" si="348"/>
        <v>0</v>
      </c>
      <c r="CP156" s="207">
        <f t="shared" si="348"/>
        <v>0</v>
      </c>
      <c r="CQ156" s="18">
        <f t="shared" si="348"/>
        <v>0</v>
      </c>
      <c r="CR156" s="42">
        <f t="shared" si="322"/>
        <v>0</v>
      </c>
      <c r="CS156" s="207">
        <f t="shared" si="322"/>
        <v>0</v>
      </c>
      <c r="CT156" s="207">
        <f t="shared" si="322"/>
        <v>0</v>
      </c>
      <c r="CU156" s="207">
        <f t="shared" si="322"/>
        <v>0</v>
      </c>
      <c r="CV156" s="207">
        <f t="shared" si="322"/>
        <v>0</v>
      </c>
      <c r="CW156" s="207">
        <f t="shared" si="349"/>
        <v>0</v>
      </c>
      <c r="CX156" s="207">
        <f t="shared" si="349"/>
        <v>0</v>
      </c>
      <c r="CY156" s="207">
        <f t="shared" si="349"/>
        <v>0</v>
      </c>
    </row>
    <row r="157" spans="1:103" s="199" customFormat="1" ht="26.25" hidden="1" customHeight="1" outlineLevel="1" x14ac:dyDescent="0.4">
      <c r="A157" s="379">
        <v>76</v>
      </c>
      <c r="B157" s="379" t="s">
        <v>45</v>
      </c>
      <c r="C157" s="379" t="s">
        <v>346</v>
      </c>
      <c r="D157" s="381"/>
      <c r="E157" s="381"/>
      <c r="F157" s="381"/>
      <c r="G157" s="416"/>
      <c r="H157" s="489">
        <f t="shared" ref="H157" si="350">SUM(BT157:CA157)</f>
        <v>0</v>
      </c>
      <c r="I157" s="489">
        <f t="shared" ref="I157" si="351">SUM(BT158:CA158)</f>
        <v>0</v>
      </c>
      <c r="J157" s="497"/>
      <c r="K157" s="491"/>
      <c r="L157" s="491"/>
      <c r="M157" s="493"/>
      <c r="N157" s="48" t="s">
        <v>24</v>
      </c>
      <c r="O157" s="187">
        <f t="shared" si="332"/>
        <v>0</v>
      </c>
      <c r="P157" s="187">
        <f t="shared" si="332"/>
        <v>0</v>
      </c>
      <c r="Q157" s="187">
        <f t="shared" si="332"/>
        <v>0</v>
      </c>
      <c r="R157" s="187">
        <f t="shared" si="332"/>
        <v>0</v>
      </c>
      <c r="S157" s="187">
        <f t="shared" si="332"/>
        <v>0</v>
      </c>
      <c r="T157" s="187">
        <f t="shared" si="332"/>
        <v>0</v>
      </c>
      <c r="U157" s="82">
        <f t="shared" si="332"/>
        <v>0</v>
      </c>
      <c r="V157" s="19">
        <f t="shared" si="338"/>
        <v>0</v>
      </c>
      <c r="W157" s="187">
        <f t="shared" si="338"/>
        <v>0</v>
      </c>
      <c r="X157" s="187">
        <f t="shared" si="338"/>
        <v>0</v>
      </c>
      <c r="Y157" s="187">
        <f t="shared" si="338"/>
        <v>0</v>
      </c>
      <c r="Z157" s="187">
        <f t="shared" si="338"/>
        <v>0</v>
      </c>
      <c r="AA157" s="187">
        <f t="shared" si="325"/>
        <v>0</v>
      </c>
      <c r="AB157" s="19">
        <f t="shared" si="325"/>
        <v>0</v>
      </c>
      <c r="AC157" s="187">
        <f t="shared" si="325"/>
        <v>0</v>
      </c>
      <c r="AD157" s="249">
        <f t="shared" si="325"/>
        <v>0</v>
      </c>
      <c r="AE157" s="187">
        <f t="shared" si="325"/>
        <v>0</v>
      </c>
      <c r="AF157" s="187">
        <f t="shared" si="325"/>
        <v>0</v>
      </c>
      <c r="AG157" s="187">
        <f t="shared" si="325"/>
        <v>0</v>
      </c>
      <c r="AH157" s="19">
        <f t="shared" si="327"/>
        <v>0</v>
      </c>
      <c r="AI157" s="187">
        <f t="shared" si="327"/>
        <v>0</v>
      </c>
      <c r="AJ157" s="187">
        <f t="shared" si="327"/>
        <v>0</v>
      </c>
      <c r="AK157" s="187">
        <f t="shared" si="327"/>
        <v>0</v>
      </c>
      <c r="AL157" s="187">
        <f t="shared" si="327"/>
        <v>0</v>
      </c>
      <c r="AM157" s="187">
        <f t="shared" si="339"/>
        <v>0</v>
      </c>
      <c r="AN157" s="19">
        <f t="shared" si="340"/>
        <v>0</v>
      </c>
      <c r="AO157" s="187">
        <f t="shared" si="340"/>
        <v>0</v>
      </c>
      <c r="AP157" s="187">
        <f t="shared" si="340"/>
        <v>0</v>
      </c>
      <c r="AQ157" s="187">
        <f t="shared" si="340"/>
        <v>0</v>
      </c>
      <c r="AR157" s="187">
        <f t="shared" si="340"/>
        <v>0</v>
      </c>
      <c r="AS157" s="187">
        <f t="shared" si="341"/>
        <v>0</v>
      </c>
      <c r="AT157" s="187">
        <f t="shared" si="341"/>
        <v>0</v>
      </c>
      <c r="AU157" s="187">
        <f t="shared" si="341"/>
        <v>0</v>
      </c>
      <c r="AV157" s="73">
        <f t="shared" si="335"/>
        <v>0</v>
      </c>
      <c r="AW157" s="187">
        <f t="shared" si="335"/>
        <v>0</v>
      </c>
      <c r="AX157" s="187">
        <f t="shared" si="335"/>
        <v>0</v>
      </c>
      <c r="AY157" s="187">
        <f t="shared" si="335"/>
        <v>0</v>
      </c>
      <c r="AZ157" s="187">
        <f t="shared" si="335"/>
        <v>0</v>
      </c>
      <c r="BA157" s="187">
        <f t="shared" si="335"/>
        <v>0</v>
      </c>
      <c r="BB157" s="187">
        <f t="shared" si="335"/>
        <v>0</v>
      </c>
      <c r="BC157" s="187">
        <f t="shared" si="335"/>
        <v>0</v>
      </c>
      <c r="BD157" s="19">
        <f t="shared" si="342"/>
        <v>0</v>
      </c>
      <c r="BE157" s="187">
        <f t="shared" si="342"/>
        <v>0</v>
      </c>
      <c r="BF157" s="187">
        <f t="shared" si="342"/>
        <v>0</v>
      </c>
      <c r="BG157" s="187">
        <f t="shared" si="342"/>
        <v>0</v>
      </c>
      <c r="BH157" s="187">
        <f t="shared" si="342"/>
        <v>0</v>
      </c>
      <c r="BI157" s="187">
        <f t="shared" si="343"/>
        <v>0</v>
      </c>
      <c r="BJ157" s="187">
        <f t="shared" si="343"/>
        <v>0</v>
      </c>
      <c r="BK157" s="187">
        <f t="shared" si="343"/>
        <v>0</v>
      </c>
      <c r="BL157" s="223">
        <f t="shared" si="320"/>
        <v>0</v>
      </c>
      <c r="BM157" s="249">
        <f t="shared" si="320"/>
        <v>0</v>
      </c>
      <c r="BN157" s="249">
        <f t="shared" si="320"/>
        <v>0</v>
      </c>
      <c r="BO157" s="249">
        <f t="shared" si="320"/>
        <v>0</v>
      </c>
      <c r="BP157" s="249">
        <f t="shared" si="320"/>
        <v>0</v>
      </c>
      <c r="BQ157" s="187">
        <f t="shared" si="344"/>
        <v>0</v>
      </c>
      <c r="BR157" s="187">
        <f t="shared" si="344"/>
        <v>0</v>
      </c>
      <c r="BS157" s="187">
        <f t="shared" si="344"/>
        <v>0</v>
      </c>
      <c r="BT157" s="73">
        <f t="shared" si="326"/>
        <v>0</v>
      </c>
      <c r="BU157" s="187">
        <f t="shared" si="326"/>
        <v>0</v>
      </c>
      <c r="BV157" s="187">
        <f t="shared" si="326"/>
        <v>0</v>
      </c>
      <c r="BW157" s="187">
        <f t="shared" si="326"/>
        <v>0</v>
      </c>
      <c r="BX157" s="187">
        <f t="shared" si="326"/>
        <v>0</v>
      </c>
      <c r="BY157" s="187">
        <f t="shared" si="345"/>
        <v>0</v>
      </c>
      <c r="BZ157" s="187">
        <f t="shared" si="345"/>
        <v>0</v>
      </c>
      <c r="CA157" s="187">
        <f t="shared" si="345"/>
        <v>0</v>
      </c>
      <c r="CB157" s="73">
        <f t="shared" si="346"/>
        <v>0</v>
      </c>
      <c r="CC157" s="187">
        <f t="shared" si="346"/>
        <v>0</v>
      </c>
      <c r="CD157" s="187">
        <f t="shared" si="346"/>
        <v>0</v>
      </c>
      <c r="CE157" s="187">
        <f t="shared" si="346"/>
        <v>0</v>
      </c>
      <c r="CF157" s="187">
        <f t="shared" si="346"/>
        <v>0</v>
      </c>
      <c r="CG157" s="187">
        <f t="shared" si="347"/>
        <v>0</v>
      </c>
      <c r="CH157" s="187">
        <f t="shared" si="347"/>
        <v>0</v>
      </c>
      <c r="CI157" s="187">
        <f t="shared" si="347"/>
        <v>0</v>
      </c>
      <c r="CJ157" s="73">
        <f t="shared" si="321"/>
        <v>0</v>
      </c>
      <c r="CK157" s="187">
        <f t="shared" si="321"/>
        <v>0</v>
      </c>
      <c r="CL157" s="187">
        <f t="shared" si="321"/>
        <v>0</v>
      </c>
      <c r="CM157" s="187">
        <f t="shared" si="321"/>
        <v>0</v>
      </c>
      <c r="CN157" s="187">
        <f t="shared" si="321"/>
        <v>0</v>
      </c>
      <c r="CO157" s="187">
        <f t="shared" si="348"/>
        <v>0</v>
      </c>
      <c r="CP157" s="187">
        <f t="shared" si="348"/>
        <v>0</v>
      </c>
      <c r="CQ157" s="187">
        <f t="shared" si="348"/>
        <v>0</v>
      </c>
      <c r="CR157" s="73">
        <f t="shared" si="322"/>
        <v>0</v>
      </c>
      <c r="CS157" s="187">
        <f t="shared" si="322"/>
        <v>0</v>
      </c>
      <c r="CT157" s="187">
        <f t="shared" si="322"/>
        <v>0</v>
      </c>
      <c r="CU157" s="187">
        <f t="shared" si="322"/>
        <v>0</v>
      </c>
      <c r="CV157" s="187">
        <f t="shared" si="322"/>
        <v>0</v>
      </c>
      <c r="CW157" s="187">
        <f t="shared" si="349"/>
        <v>0</v>
      </c>
      <c r="CX157" s="187">
        <f t="shared" si="349"/>
        <v>0</v>
      </c>
      <c r="CY157" s="187">
        <f t="shared" si="349"/>
        <v>0</v>
      </c>
    </row>
    <row r="158" spans="1:103" s="199" customFormat="1" ht="26.25" hidden="1" customHeight="1" outlineLevel="1" x14ac:dyDescent="0.4">
      <c r="A158" s="380"/>
      <c r="B158" s="380"/>
      <c r="C158" s="380"/>
      <c r="D158" s="382"/>
      <c r="E158" s="382"/>
      <c r="F158" s="382"/>
      <c r="G158" s="416"/>
      <c r="H158" s="490"/>
      <c r="I158" s="490"/>
      <c r="J158" s="498"/>
      <c r="K158" s="492"/>
      <c r="L158" s="492"/>
      <c r="M158" s="494"/>
      <c r="N158" s="39" t="s">
        <v>25</v>
      </c>
      <c r="O158" s="207">
        <f t="shared" si="332"/>
        <v>0</v>
      </c>
      <c r="P158" s="207">
        <f t="shared" si="332"/>
        <v>0</v>
      </c>
      <c r="Q158" s="207">
        <f t="shared" si="332"/>
        <v>0</v>
      </c>
      <c r="R158" s="207">
        <f t="shared" si="332"/>
        <v>0</v>
      </c>
      <c r="S158" s="207">
        <f t="shared" si="332"/>
        <v>0</v>
      </c>
      <c r="T158" s="207">
        <f t="shared" si="332"/>
        <v>0</v>
      </c>
      <c r="U158" s="49">
        <f t="shared" si="332"/>
        <v>0</v>
      </c>
      <c r="V158" s="57">
        <f t="shared" si="338"/>
        <v>0</v>
      </c>
      <c r="W158" s="18">
        <f t="shared" si="338"/>
        <v>0</v>
      </c>
      <c r="X158" s="18">
        <f t="shared" si="338"/>
        <v>0</v>
      </c>
      <c r="Y158" s="18">
        <f t="shared" si="338"/>
        <v>0</v>
      </c>
      <c r="Z158" s="18">
        <f t="shared" si="338"/>
        <v>0</v>
      </c>
      <c r="AA158" s="18">
        <f t="shared" si="325"/>
        <v>0</v>
      </c>
      <c r="AB158" s="42">
        <f t="shared" si="325"/>
        <v>0</v>
      </c>
      <c r="AC158" s="52">
        <f t="shared" si="325"/>
        <v>0</v>
      </c>
      <c r="AD158" s="207">
        <f t="shared" si="325"/>
        <v>0</v>
      </c>
      <c r="AE158" s="207">
        <f t="shared" si="325"/>
        <v>0</v>
      </c>
      <c r="AF158" s="207">
        <f t="shared" si="325"/>
        <v>0</v>
      </c>
      <c r="AG158" s="18">
        <f t="shared" si="325"/>
        <v>0</v>
      </c>
      <c r="AH158" s="51">
        <f t="shared" si="327"/>
        <v>0</v>
      </c>
      <c r="AI158" s="52">
        <f t="shared" si="327"/>
        <v>0</v>
      </c>
      <c r="AJ158" s="52">
        <f t="shared" si="327"/>
        <v>0</v>
      </c>
      <c r="AK158" s="52">
        <f t="shared" si="327"/>
        <v>0</v>
      </c>
      <c r="AL158" s="52">
        <f t="shared" si="327"/>
        <v>0</v>
      </c>
      <c r="AM158" s="18">
        <f t="shared" si="339"/>
        <v>0</v>
      </c>
      <c r="AN158" s="42">
        <f t="shared" si="340"/>
        <v>0</v>
      </c>
      <c r="AO158" s="207">
        <f t="shared" si="340"/>
        <v>0</v>
      </c>
      <c r="AP158" s="207">
        <f t="shared" si="340"/>
        <v>0</v>
      </c>
      <c r="AQ158" s="207">
        <f t="shared" si="340"/>
        <v>0</v>
      </c>
      <c r="AR158" s="207">
        <f t="shared" si="340"/>
        <v>0</v>
      </c>
      <c r="AS158" s="207">
        <f t="shared" si="341"/>
        <v>0</v>
      </c>
      <c r="AT158" s="207">
        <f t="shared" si="341"/>
        <v>0</v>
      </c>
      <c r="AU158" s="18">
        <f t="shared" si="341"/>
        <v>0</v>
      </c>
      <c r="AV158" s="42">
        <f t="shared" si="335"/>
        <v>0</v>
      </c>
      <c r="AW158" s="207">
        <f t="shared" si="335"/>
        <v>0</v>
      </c>
      <c r="AX158" s="207">
        <f t="shared" si="335"/>
        <v>0</v>
      </c>
      <c r="AY158" s="207">
        <f t="shared" si="335"/>
        <v>0</v>
      </c>
      <c r="AZ158" s="207">
        <f t="shared" si="335"/>
        <v>0</v>
      </c>
      <c r="BA158" s="207">
        <f t="shared" si="335"/>
        <v>0</v>
      </c>
      <c r="BB158" s="207">
        <f t="shared" si="335"/>
        <v>0</v>
      </c>
      <c r="BC158" s="18">
        <f t="shared" si="335"/>
        <v>0</v>
      </c>
      <c r="BD158" s="42">
        <f t="shared" si="342"/>
        <v>0</v>
      </c>
      <c r="BE158" s="207">
        <f t="shared" si="342"/>
        <v>0</v>
      </c>
      <c r="BF158" s="207">
        <f t="shared" si="342"/>
        <v>0</v>
      </c>
      <c r="BG158" s="207">
        <f t="shared" si="342"/>
        <v>0</v>
      </c>
      <c r="BH158" s="207">
        <f t="shared" si="342"/>
        <v>0</v>
      </c>
      <c r="BI158" s="207">
        <f t="shared" si="343"/>
        <v>0</v>
      </c>
      <c r="BJ158" s="207">
        <f t="shared" si="343"/>
        <v>0</v>
      </c>
      <c r="BK158" s="18">
        <f t="shared" si="343"/>
        <v>0</v>
      </c>
      <c r="BL158" s="20">
        <f t="shared" si="320"/>
        <v>0</v>
      </c>
      <c r="BM158" s="207">
        <f t="shared" si="320"/>
        <v>0</v>
      </c>
      <c r="BN158" s="207">
        <f t="shared" si="320"/>
        <v>0</v>
      </c>
      <c r="BO158" s="207">
        <f t="shared" si="320"/>
        <v>0</v>
      </c>
      <c r="BP158" s="207">
        <f t="shared" si="320"/>
        <v>0</v>
      </c>
      <c r="BQ158" s="207">
        <f t="shared" si="344"/>
        <v>0</v>
      </c>
      <c r="BR158" s="207">
        <f t="shared" si="344"/>
        <v>0</v>
      </c>
      <c r="BS158" s="18">
        <f t="shared" si="344"/>
        <v>0</v>
      </c>
      <c r="BT158" s="224">
        <f t="shared" si="326"/>
        <v>0</v>
      </c>
      <c r="BU158" s="207">
        <f t="shared" si="326"/>
        <v>0</v>
      </c>
      <c r="BV158" s="207">
        <f t="shared" si="326"/>
        <v>0</v>
      </c>
      <c r="BW158" s="207">
        <f t="shared" si="326"/>
        <v>0</v>
      </c>
      <c r="BX158" s="207">
        <f t="shared" si="326"/>
        <v>0</v>
      </c>
      <c r="BY158" s="207">
        <f t="shared" si="345"/>
        <v>0</v>
      </c>
      <c r="BZ158" s="207">
        <f t="shared" si="345"/>
        <v>0</v>
      </c>
      <c r="CA158" s="18">
        <f t="shared" si="345"/>
        <v>0</v>
      </c>
      <c r="CB158" s="224">
        <f t="shared" si="346"/>
        <v>0</v>
      </c>
      <c r="CC158" s="250">
        <f t="shared" si="346"/>
        <v>0</v>
      </c>
      <c r="CD158" s="250">
        <f t="shared" si="346"/>
        <v>0</v>
      </c>
      <c r="CE158" s="250">
        <f t="shared" si="346"/>
        <v>0</v>
      </c>
      <c r="CF158" s="250">
        <f t="shared" si="346"/>
        <v>0</v>
      </c>
      <c r="CG158" s="207">
        <f t="shared" si="347"/>
        <v>0</v>
      </c>
      <c r="CH158" s="207">
        <f t="shared" si="347"/>
        <v>0</v>
      </c>
      <c r="CI158" s="18">
        <f t="shared" si="347"/>
        <v>0</v>
      </c>
      <c r="CJ158" s="224">
        <f t="shared" si="321"/>
        <v>0</v>
      </c>
      <c r="CK158" s="207">
        <f t="shared" si="321"/>
        <v>0</v>
      </c>
      <c r="CL158" s="207">
        <f t="shared" si="321"/>
        <v>0</v>
      </c>
      <c r="CM158" s="207">
        <f t="shared" si="321"/>
        <v>0</v>
      </c>
      <c r="CN158" s="207">
        <f t="shared" si="321"/>
        <v>0</v>
      </c>
      <c r="CO158" s="207">
        <f t="shared" si="348"/>
        <v>0</v>
      </c>
      <c r="CP158" s="207">
        <f t="shared" si="348"/>
        <v>0</v>
      </c>
      <c r="CQ158" s="18">
        <f t="shared" si="348"/>
        <v>0</v>
      </c>
      <c r="CR158" s="42">
        <f t="shared" si="322"/>
        <v>0</v>
      </c>
      <c r="CS158" s="207">
        <f t="shared" si="322"/>
        <v>0</v>
      </c>
      <c r="CT158" s="207">
        <f t="shared" si="322"/>
        <v>0</v>
      </c>
      <c r="CU158" s="207">
        <f t="shared" si="322"/>
        <v>0</v>
      </c>
      <c r="CV158" s="207">
        <f t="shared" si="322"/>
        <v>0</v>
      </c>
      <c r="CW158" s="207">
        <f t="shared" si="349"/>
        <v>0</v>
      </c>
      <c r="CX158" s="207">
        <f t="shared" si="349"/>
        <v>0</v>
      </c>
      <c r="CY158" s="207">
        <f t="shared" si="349"/>
        <v>0</v>
      </c>
    </row>
    <row r="159" spans="1:103" s="199" customFormat="1" ht="26.25" hidden="1" customHeight="1" outlineLevel="1" collapsed="1" x14ac:dyDescent="0.4">
      <c r="A159" s="379">
        <v>77</v>
      </c>
      <c r="B159" s="379" t="s">
        <v>45</v>
      </c>
      <c r="C159" s="379" t="s">
        <v>346</v>
      </c>
      <c r="D159" s="381"/>
      <c r="E159" s="381"/>
      <c r="F159" s="381"/>
      <c r="G159" s="416"/>
      <c r="H159" s="489">
        <f t="shared" ref="H159" si="352">SUM(BT159:CA159)</f>
        <v>0</v>
      </c>
      <c r="I159" s="489">
        <f t="shared" ref="I159" si="353">SUM(BT160:CA160)</f>
        <v>0</v>
      </c>
      <c r="J159" s="497"/>
      <c r="K159" s="491"/>
      <c r="L159" s="491"/>
      <c r="M159" s="493"/>
      <c r="N159" s="48" t="s">
        <v>24</v>
      </c>
      <c r="O159" s="187">
        <f t="shared" si="332"/>
        <v>0</v>
      </c>
      <c r="P159" s="187">
        <f t="shared" si="332"/>
        <v>0</v>
      </c>
      <c r="Q159" s="187">
        <f t="shared" si="332"/>
        <v>0</v>
      </c>
      <c r="R159" s="187">
        <f t="shared" si="332"/>
        <v>0</v>
      </c>
      <c r="S159" s="187">
        <f t="shared" si="332"/>
        <v>0</v>
      </c>
      <c r="T159" s="187">
        <f t="shared" si="332"/>
        <v>0</v>
      </c>
      <c r="U159" s="82">
        <f t="shared" si="332"/>
        <v>0</v>
      </c>
      <c r="V159" s="19">
        <f t="shared" si="338"/>
        <v>0</v>
      </c>
      <c r="W159" s="187">
        <f t="shared" si="338"/>
        <v>0</v>
      </c>
      <c r="X159" s="187">
        <f t="shared" si="338"/>
        <v>0</v>
      </c>
      <c r="Y159" s="187">
        <f t="shared" si="338"/>
        <v>0</v>
      </c>
      <c r="Z159" s="187">
        <f t="shared" si="338"/>
        <v>0</v>
      </c>
      <c r="AA159" s="187">
        <f t="shared" si="325"/>
        <v>0</v>
      </c>
      <c r="AB159" s="19">
        <f t="shared" si="325"/>
        <v>0</v>
      </c>
      <c r="AC159" s="187">
        <f t="shared" si="325"/>
        <v>0</v>
      </c>
      <c r="AD159" s="249">
        <f t="shared" si="325"/>
        <v>0</v>
      </c>
      <c r="AE159" s="187">
        <f t="shared" si="325"/>
        <v>0</v>
      </c>
      <c r="AF159" s="187">
        <f t="shared" si="325"/>
        <v>0</v>
      </c>
      <c r="AG159" s="187">
        <f t="shared" si="325"/>
        <v>0</v>
      </c>
      <c r="AH159" s="19">
        <f t="shared" si="327"/>
        <v>0</v>
      </c>
      <c r="AI159" s="187">
        <f t="shared" si="327"/>
        <v>0</v>
      </c>
      <c r="AJ159" s="187">
        <f t="shared" si="327"/>
        <v>0</v>
      </c>
      <c r="AK159" s="187">
        <f t="shared" si="327"/>
        <v>0</v>
      </c>
      <c r="AL159" s="187">
        <f t="shared" si="327"/>
        <v>0</v>
      </c>
      <c r="AM159" s="187">
        <f t="shared" si="339"/>
        <v>0</v>
      </c>
      <c r="AN159" s="19">
        <f t="shared" si="340"/>
        <v>0</v>
      </c>
      <c r="AO159" s="187">
        <f t="shared" si="340"/>
        <v>0</v>
      </c>
      <c r="AP159" s="187">
        <f t="shared" si="340"/>
        <v>0</v>
      </c>
      <c r="AQ159" s="187">
        <f t="shared" si="340"/>
        <v>0</v>
      </c>
      <c r="AR159" s="187">
        <f t="shared" si="340"/>
        <v>0</v>
      </c>
      <c r="AS159" s="187">
        <f t="shared" si="341"/>
        <v>0</v>
      </c>
      <c r="AT159" s="187">
        <f t="shared" si="341"/>
        <v>0</v>
      </c>
      <c r="AU159" s="187">
        <f t="shared" si="341"/>
        <v>0</v>
      </c>
      <c r="AV159" s="73">
        <f t="shared" si="335"/>
        <v>0</v>
      </c>
      <c r="AW159" s="187">
        <f t="shared" si="335"/>
        <v>0</v>
      </c>
      <c r="AX159" s="187">
        <f t="shared" si="335"/>
        <v>0</v>
      </c>
      <c r="AY159" s="187">
        <f t="shared" si="335"/>
        <v>0</v>
      </c>
      <c r="AZ159" s="187">
        <f t="shared" si="335"/>
        <v>0</v>
      </c>
      <c r="BA159" s="187">
        <f t="shared" si="335"/>
        <v>0</v>
      </c>
      <c r="BB159" s="187">
        <f t="shared" si="335"/>
        <v>0</v>
      </c>
      <c r="BC159" s="187">
        <f t="shared" si="335"/>
        <v>0</v>
      </c>
      <c r="BD159" s="19">
        <f t="shared" si="342"/>
        <v>0</v>
      </c>
      <c r="BE159" s="187">
        <f t="shared" si="342"/>
        <v>0</v>
      </c>
      <c r="BF159" s="187">
        <f t="shared" si="342"/>
        <v>0</v>
      </c>
      <c r="BG159" s="187">
        <f t="shared" si="342"/>
        <v>0</v>
      </c>
      <c r="BH159" s="187">
        <f t="shared" si="342"/>
        <v>0</v>
      </c>
      <c r="BI159" s="187">
        <f t="shared" si="343"/>
        <v>0</v>
      </c>
      <c r="BJ159" s="187">
        <f t="shared" si="343"/>
        <v>0</v>
      </c>
      <c r="BK159" s="187">
        <f t="shared" si="343"/>
        <v>0</v>
      </c>
      <c r="BL159" s="223">
        <f t="shared" si="320"/>
        <v>0</v>
      </c>
      <c r="BM159" s="249">
        <f t="shared" si="320"/>
        <v>0</v>
      </c>
      <c r="BN159" s="249">
        <f t="shared" si="320"/>
        <v>0</v>
      </c>
      <c r="BO159" s="249">
        <f t="shared" si="320"/>
        <v>0</v>
      </c>
      <c r="BP159" s="249">
        <f t="shared" si="320"/>
        <v>0</v>
      </c>
      <c r="BQ159" s="187">
        <f t="shared" si="344"/>
        <v>0</v>
      </c>
      <c r="BR159" s="187">
        <f t="shared" si="344"/>
        <v>0</v>
      </c>
      <c r="BS159" s="187">
        <f t="shared" si="344"/>
        <v>0</v>
      </c>
      <c r="BT159" s="73">
        <f t="shared" si="326"/>
        <v>0</v>
      </c>
      <c r="BU159" s="187">
        <f t="shared" si="326"/>
        <v>0</v>
      </c>
      <c r="BV159" s="187">
        <f t="shared" si="326"/>
        <v>0</v>
      </c>
      <c r="BW159" s="187">
        <f t="shared" si="326"/>
        <v>0</v>
      </c>
      <c r="BX159" s="187">
        <f t="shared" si="326"/>
        <v>0</v>
      </c>
      <c r="BY159" s="187">
        <f t="shared" si="345"/>
        <v>0</v>
      </c>
      <c r="BZ159" s="187">
        <f t="shared" si="345"/>
        <v>0</v>
      </c>
      <c r="CA159" s="187">
        <f t="shared" si="345"/>
        <v>0</v>
      </c>
      <c r="CB159" s="73">
        <f t="shared" si="346"/>
        <v>0</v>
      </c>
      <c r="CC159" s="187">
        <f t="shared" si="346"/>
        <v>0</v>
      </c>
      <c r="CD159" s="187">
        <f t="shared" si="346"/>
        <v>0</v>
      </c>
      <c r="CE159" s="187">
        <f t="shared" si="346"/>
        <v>0</v>
      </c>
      <c r="CF159" s="187">
        <f t="shared" si="346"/>
        <v>0</v>
      </c>
      <c r="CG159" s="187">
        <f t="shared" si="347"/>
        <v>0</v>
      </c>
      <c r="CH159" s="187">
        <f t="shared" si="347"/>
        <v>0</v>
      </c>
      <c r="CI159" s="187">
        <f t="shared" si="347"/>
        <v>0</v>
      </c>
      <c r="CJ159" s="73">
        <f t="shared" si="321"/>
        <v>0</v>
      </c>
      <c r="CK159" s="187">
        <f t="shared" si="321"/>
        <v>0</v>
      </c>
      <c r="CL159" s="187">
        <f t="shared" si="321"/>
        <v>0</v>
      </c>
      <c r="CM159" s="187">
        <f t="shared" si="321"/>
        <v>0</v>
      </c>
      <c r="CN159" s="187">
        <f t="shared" si="321"/>
        <v>0</v>
      </c>
      <c r="CO159" s="187">
        <f t="shared" si="348"/>
        <v>0</v>
      </c>
      <c r="CP159" s="187">
        <f t="shared" si="348"/>
        <v>0</v>
      </c>
      <c r="CQ159" s="187">
        <f t="shared" si="348"/>
        <v>0</v>
      </c>
      <c r="CR159" s="73">
        <f t="shared" si="322"/>
        <v>0</v>
      </c>
      <c r="CS159" s="187">
        <f t="shared" si="322"/>
        <v>0</v>
      </c>
      <c r="CT159" s="187">
        <f t="shared" si="322"/>
        <v>0</v>
      </c>
      <c r="CU159" s="187">
        <f t="shared" si="322"/>
        <v>0</v>
      </c>
      <c r="CV159" s="187">
        <f t="shared" si="322"/>
        <v>0</v>
      </c>
      <c r="CW159" s="187">
        <f t="shared" si="349"/>
        <v>0</v>
      </c>
      <c r="CX159" s="187">
        <f t="shared" si="349"/>
        <v>0</v>
      </c>
      <c r="CY159" s="187">
        <f t="shared" si="349"/>
        <v>0</v>
      </c>
    </row>
    <row r="160" spans="1:103" s="199" customFormat="1" ht="26.25" hidden="1" customHeight="1" outlineLevel="1" x14ac:dyDescent="0.4">
      <c r="A160" s="380"/>
      <c r="B160" s="380"/>
      <c r="C160" s="380"/>
      <c r="D160" s="382"/>
      <c r="E160" s="382"/>
      <c r="F160" s="382"/>
      <c r="G160" s="416"/>
      <c r="H160" s="490"/>
      <c r="I160" s="490"/>
      <c r="J160" s="498"/>
      <c r="K160" s="492"/>
      <c r="L160" s="492"/>
      <c r="M160" s="494"/>
      <c r="N160" s="39" t="s">
        <v>25</v>
      </c>
      <c r="O160" s="207">
        <f t="shared" si="332"/>
        <v>0</v>
      </c>
      <c r="P160" s="207">
        <f t="shared" si="332"/>
        <v>0</v>
      </c>
      <c r="Q160" s="207">
        <f t="shared" si="332"/>
        <v>0</v>
      </c>
      <c r="R160" s="207">
        <f t="shared" si="332"/>
        <v>0</v>
      </c>
      <c r="S160" s="207">
        <f t="shared" si="332"/>
        <v>0</v>
      </c>
      <c r="T160" s="207">
        <f t="shared" si="332"/>
        <v>0</v>
      </c>
      <c r="U160" s="49">
        <f t="shared" si="332"/>
        <v>0</v>
      </c>
      <c r="V160" s="57">
        <f t="shared" si="338"/>
        <v>0</v>
      </c>
      <c r="W160" s="18">
        <f t="shared" si="338"/>
        <v>0</v>
      </c>
      <c r="X160" s="18">
        <f t="shared" si="338"/>
        <v>0</v>
      </c>
      <c r="Y160" s="18">
        <f t="shared" si="338"/>
        <v>0</v>
      </c>
      <c r="Z160" s="18">
        <f t="shared" si="338"/>
        <v>0</v>
      </c>
      <c r="AA160" s="18">
        <f t="shared" si="325"/>
        <v>0</v>
      </c>
      <c r="AB160" s="42">
        <f t="shared" si="325"/>
        <v>0</v>
      </c>
      <c r="AC160" s="52">
        <f t="shared" si="325"/>
        <v>0</v>
      </c>
      <c r="AD160" s="207">
        <f t="shared" si="325"/>
        <v>0</v>
      </c>
      <c r="AE160" s="207">
        <f t="shared" si="325"/>
        <v>0</v>
      </c>
      <c r="AF160" s="207">
        <f t="shared" si="325"/>
        <v>0</v>
      </c>
      <c r="AG160" s="18">
        <f t="shared" si="325"/>
        <v>0</v>
      </c>
      <c r="AH160" s="51">
        <f t="shared" si="327"/>
        <v>0</v>
      </c>
      <c r="AI160" s="52">
        <f t="shared" si="327"/>
        <v>0</v>
      </c>
      <c r="AJ160" s="52">
        <f t="shared" si="327"/>
        <v>0</v>
      </c>
      <c r="AK160" s="52">
        <f t="shared" si="327"/>
        <v>0</v>
      </c>
      <c r="AL160" s="52">
        <f t="shared" si="327"/>
        <v>0</v>
      </c>
      <c r="AM160" s="18">
        <f t="shared" si="339"/>
        <v>0</v>
      </c>
      <c r="AN160" s="42">
        <f t="shared" si="340"/>
        <v>0</v>
      </c>
      <c r="AO160" s="207">
        <f t="shared" si="340"/>
        <v>0</v>
      </c>
      <c r="AP160" s="207">
        <f t="shared" si="340"/>
        <v>0</v>
      </c>
      <c r="AQ160" s="207">
        <f t="shared" si="340"/>
        <v>0</v>
      </c>
      <c r="AR160" s="207">
        <f t="shared" si="340"/>
        <v>0</v>
      </c>
      <c r="AS160" s="207">
        <f t="shared" si="341"/>
        <v>0</v>
      </c>
      <c r="AT160" s="207">
        <f t="shared" si="341"/>
        <v>0</v>
      </c>
      <c r="AU160" s="18">
        <f t="shared" si="341"/>
        <v>0</v>
      </c>
      <c r="AV160" s="42">
        <f t="shared" si="335"/>
        <v>0</v>
      </c>
      <c r="AW160" s="207">
        <f t="shared" si="335"/>
        <v>0</v>
      </c>
      <c r="AX160" s="207">
        <f t="shared" si="335"/>
        <v>0</v>
      </c>
      <c r="AY160" s="207">
        <f t="shared" si="335"/>
        <v>0</v>
      </c>
      <c r="AZ160" s="207">
        <f t="shared" si="335"/>
        <v>0</v>
      </c>
      <c r="BA160" s="207">
        <f t="shared" si="335"/>
        <v>0</v>
      </c>
      <c r="BB160" s="207">
        <f t="shared" si="335"/>
        <v>0</v>
      </c>
      <c r="BC160" s="18">
        <f t="shared" si="335"/>
        <v>0</v>
      </c>
      <c r="BD160" s="42">
        <f t="shared" si="342"/>
        <v>0</v>
      </c>
      <c r="BE160" s="207">
        <f t="shared" si="342"/>
        <v>0</v>
      </c>
      <c r="BF160" s="207">
        <f t="shared" si="342"/>
        <v>0</v>
      </c>
      <c r="BG160" s="207">
        <f t="shared" si="342"/>
        <v>0</v>
      </c>
      <c r="BH160" s="207">
        <f t="shared" si="342"/>
        <v>0</v>
      </c>
      <c r="BI160" s="207">
        <f t="shared" si="343"/>
        <v>0</v>
      </c>
      <c r="BJ160" s="207">
        <f t="shared" si="343"/>
        <v>0</v>
      </c>
      <c r="BK160" s="18">
        <f t="shared" si="343"/>
        <v>0</v>
      </c>
      <c r="BL160" s="20">
        <f t="shared" si="320"/>
        <v>0</v>
      </c>
      <c r="BM160" s="207">
        <f t="shared" si="320"/>
        <v>0</v>
      </c>
      <c r="BN160" s="207">
        <f t="shared" si="320"/>
        <v>0</v>
      </c>
      <c r="BO160" s="207">
        <f t="shared" si="320"/>
        <v>0</v>
      </c>
      <c r="BP160" s="207">
        <f t="shared" si="320"/>
        <v>0</v>
      </c>
      <c r="BQ160" s="207">
        <f t="shared" si="344"/>
        <v>0</v>
      </c>
      <c r="BR160" s="207">
        <f t="shared" si="344"/>
        <v>0</v>
      </c>
      <c r="BS160" s="18">
        <f t="shared" si="344"/>
        <v>0</v>
      </c>
      <c r="BT160" s="224">
        <f t="shared" si="326"/>
        <v>0</v>
      </c>
      <c r="BU160" s="207">
        <f t="shared" si="326"/>
        <v>0</v>
      </c>
      <c r="BV160" s="207">
        <f t="shared" si="326"/>
        <v>0</v>
      </c>
      <c r="BW160" s="207">
        <f t="shared" si="326"/>
        <v>0</v>
      </c>
      <c r="BX160" s="207">
        <f t="shared" si="326"/>
        <v>0</v>
      </c>
      <c r="BY160" s="207">
        <f t="shared" si="345"/>
        <v>0</v>
      </c>
      <c r="BZ160" s="207">
        <f t="shared" si="345"/>
        <v>0</v>
      </c>
      <c r="CA160" s="18">
        <f t="shared" si="345"/>
        <v>0</v>
      </c>
      <c r="CB160" s="224">
        <f t="shared" si="346"/>
        <v>0</v>
      </c>
      <c r="CC160" s="250">
        <f t="shared" si="346"/>
        <v>0</v>
      </c>
      <c r="CD160" s="250">
        <f t="shared" si="346"/>
        <v>0</v>
      </c>
      <c r="CE160" s="250">
        <f t="shared" si="346"/>
        <v>0</v>
      </c>
      <c r="CF160" s="250">
        <f t="shared" si="346"/>
        <v>0</v>
      </c>
      <c r="CG160" s="207">
        <f t="shared" si="347"/>
        <v>0</v>
      </c>
      <c r="CH160" s="207">
        <f t="shared" si="347"/>
        <v>0</v>
      </c>
      <c r="CI160" s="18">
        <f t="shared" si="347"/>
        <v>0</v>
      </c>
      <c r="CJ160" s="224">
        <f t="shared" si="321"/>
        <v>0</v>
      </c>
      <c r="CK160" s="207">
        <f t="shared" si="321"/>
        <v>0</v>
      </c>
      <c r="CL160" s="207">
        <f t="shared" si="321"/>
        <v>0</v>
      </c>
      <c r="CM160" s="207">
        <f t="shared" si="321"/>
        <v>0</v>
      </c>
      <c r="CN160" s="207">
        <f t="shared" si="321"/>
        <v>0</v>
      </c>
      <c r="CO160" s="207">
        <f t="shared" si="348"/>
        <v>0</v>
      </c>
      <c r="CP160" s="207">
        <f t="shared" si="348"/>
        <v>0</v>
      </c>
      <c r="CQ160" s="18">
        <f t="shared" si="348"/>
        <v>0</v>
      </c>
      <c r="CR160" s="42">
        <f t="shared" si="322"/>
        <v>0</v>
      </c>
      <c r="CS160" s="207">
        <f t="shared" si="322"/>
        <v>0</v>
      </c>
      <c r="CT160" s="207">
        <f t="shared" si="322"/>
        <v>0</v>
      </c>
      <c r="CU160" s="207">
        <f t="shared" si="322"/>
        <v>0</v>
      </c>
      <c r="CV160" s="207">
        <f t="shared" si="322"/>
        <v>0</v>
      </c>
      <c r="CW160" s="207">
        <f t="shared" si="349"/>
        <v>0</v>
      </c>
      <c r="CX160" s="207">
        <f t="shared" si="349"/>
        <v>0</v>
      </c>
      <c r="CY160" s="207">
        <f t="shared" si="349"/>
        <v>0</v>
      </c>
    </row>
    <row r="161" spans="1:113" s="199" customFormat="1" ht="26.25" hidden="1" customHeight="1" outlineLevel="1" collapsed="1" x14ac:dyDescent="0.4">
      <c r="A161" s="379">
        <v>78</v>
      </c>
      <c r="B161" s="379" t="s">
        <v>45</v>
      </c>
      <c r="C161" s="379" t="s">
        <v>346</v>
      </c>
      <c r="D161" s="381"/>
      <c r="E161" s="381"/>
      <c r="F161" s="381"/>
      <c r="G161" s="416"/>
      <c r="H161" s="489">
        <f t="shared" ref="H161" si="354">SUM(BT161:CA161)</f>
        <v>0</v>
      </c>
      <c r="I161" s="489">
        <f t="shared" ref="I161" si="355">SUM(BT162:CA162)</f>
        <v>0</v>
      </c>
      <c r="J161" s="497"/>
      <c r="K161" s="491"/>
      <c r="L161" s="491"/>
      <c r="M161" s="493"/>
      <c r="N161" s="48" t="s">
        <v>24</v>
      </c>
      <c r="O161" s="187">
        <f t="shared" si="332"/>
        <v>0</v>
      </c>
      <c r="P161" s="187">
        <f t="shared" si="332"/>
        <v>0</v>
      </c>
      <c r="Q161" s="187">
        <f t="shared" si="332"/>
        <v>0</v>
      </c>
      <c r="R161" s="187">
        <f t="shared" si="332"/>
        <v>0</v>
      </c>
      <c r="S161" s="187">
        <f t="shared" si="332"/>
        <v>0</v>
      </c>
      <c r="T161" s="187">
        <f t="shared" si="332"/>
        <v>0</v>
      </c>
      <c r="U161" s="82">
        <f t="shared" si="332"/>
        <v>0</v>
      </c>
      <c r="V161" s="19">
        <f t="shared" si="338"/>
        <v>0</v>
      </c>
      <c r="W161" s="187">
        <f t="shared" si="338"/>
        <v>0</v>
      </c>
      <c r="X161" s="187">
        <f t="shared" si="338"/>
        <v>0</v>
      </c>
      <c r="Y161" s="187">
        <f t="shared" si="338"/>
        <v>0</v>
      </c>
      <c r="Z161" s="187">
        <f t="shared" si="338"/>
        <v>0</v>
      </c>
      <c r="AA161" s="187">
        <f t="shared" si="325"/>
        <v>0</v>
      </c>
      <c r="AB161" s="19">
        <f t="shared" si="325"/>
        <v>0</v>
      </c>
      <c r="AC161" s="187">
        <f t="shared" si="325"/>
        <v>0</v>
      </c>
      <c r="AD161" s="249">
        <f t="shared" si="325"/>
        <v>0</v>
      </c>
      <c r="AE161" s="187">
        <f t="shared" si="325"/>
        <v>0</v>
      </c>
      <c r="AF161" s="187">
        <f t="shared" si="325"/>
        <v>0</v>
      </c>
      <c r="AG161" s="187">
        <f t="shared" si="325"/>
        <v>0</v>
      </c>
      <c r="AH161" s="19">
        <f t="shared" si="327"/>
        <v>0</v>
      </c>
      <c r="AI161" s="187">
        <f t="shared" si="327"/>
        <v>0</v>
      </c>
      <c r="AJ161" s="187">
        <f t="shared" si="327"/>
        <v>0</v>
      </c>
      <c r="AK161" s="187">
        <f t="shared" si="327"/>
        <v>0</v>
      </c>
      <c r="AL161" s="187">
        <f t="shared" si="327"/>
        <v>0</v>
      </c>
      <c r="AM161" s="187">
        <f t="shared" si="339"/>
        <v>0</v>
      </c>
      <c r="AN161" s="19">
        <f t="shared" si="340"/>
        <v>0</v>
      </c>
      <c r="AO161" s="187">
        <f t="shared" si="340"/>
        <v>0</v>
      </c>
      <c r="AP161" s="187">
        <f t="shared" si="340"/>
        <v>0</v>
      </c>
      <c r="AQ161" s="187">
        <f t="shared" si="340"/>
        <v>0</v>
      </c>
      <c r="AR161" s="187">
        <f t="shared" si="340"/>
        <v>0</v>
      </c>
      <c r="AS161" s="187">
        <f t="shared" si="341"/>
        <v>0</v>
      </c>
      <c r="AT161" s="187">
        <f t="shared" si="341"/>
        <v>0</v>
      </c>
      <c r="AU161" s="187">
        <f t="shared" si="341"/>
        <v>0</v>
      </c>
      <c r="AV161" s="73">
        <f t="shared" si="335"/>
        <v>0</v>
      </c>
      <c r="AW161" s="187">
        <f t="shared" si="335"/>
        <v>0</v>
      </c>
      <c r="AX161" s="187">
        <f t="shared" si="335"/>
        <v>0</v>
      </c>
      <c r="AY161" s="187">
        <f t="shared" si="335"/>
        <v>0</v>
      </c>
      <c r="AZ161" s="187">
        <f t="shared" si="335"/>
        <v>0</v>
      </c>
      <c r="BA161" s="187">
        <f t="shared" si="335"/>
        <v>0</v>
      </c>
      <c r="BB161" s="187">
        <f t="shared" si="335"/>
        <v>0</v>
      </c>
      <c r="BC161" s="187">
        <f t="shared" si="335"/>
        <v>0</v>
      </c>
      <c r="BD161" s="19">
        <f t="shared" si="342"/>
        <v>0</v>
      </c>
      <c r="BE161" s="187">
        <f t="shared" si="342"/>
        <v>0</v>
      </c>
      <c r="BF161" s="187">
        <f t="shared" si="342"/>
        <v>0</v>
      </c>
      <c r="BG161" s="187">
        <f t="shared" si="342"/>
        <v>0</v>
      </c>
      <c r="BH161" s="187">
        <f t="shared" si="342"/>
        <v>0</v>
      </c>
      <c r="BI161" s="187">
        <f t="shared" si="343"/>
        <v>0</v>
      </c>
      <c r="BJ161" s="187">
        <f t="shared" si="343"/>
        <v>0</v>
      </c>
      <c r="BK161" s="187">
        <f t="shared" si="343"/>
        <v>0</v>
      </c>
      <c r="BL161" s="223">
        <f t="shared" ref="BL161:BP166" si="356">0/142.5</f>
        <v>0</v>
      </c>
      <c r="BM161" s="249">
        <f t="shared" si="356"/>
        <v>0</v>
      </c>
      <c r="BN161" s="249">
        <f t="shared" si="356"/>
        <v>0</v>
      </c>
      <c r="BO161" s="249">
        <f t="shared" si="356"/>
        <v>0</v>
      </c>
      <c r="BP161" s="249">
        <f t="shared" si="356"/>
        <v>0</v>
      </c>
      <c r="BQ161" s="187">
        <f t="shared" si="344"/>
        <v>0</v>
      </c>
      <c r="BR161" s="187">
        <f t="shared" si="344"/>
        <v>0</v>
      </c>
      <c r="BS161" s="187">
        <f t="shared" si="344"/>
        <v>0</v>
      </c>
      <c r="BT161" s="73">
        <f t="shared" si="326"/>
        <v>0</v>
      </c>
      <c r="BU161" s="187">
        <f t="shared" si="326"/>
        <v>0</v>
      </c>
      <c r="BV161" s="187">
        <f t="shared" si="326"/>
        <v>0</v>
      </c>
      <c r="BW161" s="187">
        <f t="shared" si="326"/>
        <v>0</v>
      </c>
      <c r="BX161" s="187">
        <f t="shared" si="326"/>
        <v>0</v>
      </c>
      <c r="BY161" s="187">
        <f t="shared" si="345"/>
        <v>0</v>
      </c>
      <c r="BZ161" s="187">
        <f t="shared" si="345"/>
        <v>0</v>
      </c>
      <c r="CA161" s="187">
        <f t="shared" si="345"/>
        <v>0</v>
      </c>
      <c r="CB161" s="73">
        <f t="shared" si="346"/>
        <v>0</v>
      </c>
      <c r="CC161" s="187">
        <f t="shared" si="346"/>
        <v>0</v>
      </c>
      <c r="CD161" s="187">
        <f t="shared" si="346"/>
        <v>0</v>
      </c>
      <c r="CE161" s="187">
        <f t="shared" si="346"/>
        <v>0</v>
      </c>
      <c r="CF161" s="187">
        <f t="shared" si="346"/>
        <v>0</v>
      </c>
      <c r="CG161" s="187">
        <f t="shared" si="347"/>
        <v>0</v>
      </c>
      <c r="CH161" s="187">
        <f t="shared" si="347"/>
        <v>0</v>
      </c>
      <c r="CI161" s="187">
        <f t="shared" si="347"/>
        <v>0</v>
      </c>
      <c r="CJ161" s="73">
        <f t="shared" ref="CJ161:CN166" si="357">0/157.5</f>
        <v>0</v>
      </c>
      <c r="CK161" s="187">
        <f t="shared" si="357"/>
        <v>0</v>
      </c>
      <c r="CL161" s="187">
        <f t="shared" si="357"/>
        <v>0</v>
      </c>
      <c r="CM161" s="187">
        <f t="shared" si="357"/>
        <v>0</v>
      </c>
      <c r="CN161" s="187">
        <f t="shared" si="357"/>
        <v>0</v>
      </c>
      <c r="CO161" s="187">
        <f t="shared" si="348"/>
        <v>0</v>
      </c>
      <c r="CP161" s="187">
        <f t="shared" si="348"/>
        <v>0</v>
      </c>
      <c r="CQ161" s="187">
        <f t="shared" si="348"/>
        <v>0</v>
      </c>
      <c r="CR161" s="73">
        <f t="shared" ref="CR161:CV166" si="358">0/142.5</f>
        <v>0</v>
      </c>
      <c r="CS161" s="187">
        <f t="shared" si="358"/>
        <v>0</v>
      </c>
      <c r="CT161" s="187">
        <f t="shared" si="358"/>
        <v>0</v>
      </c>
      <c r="CU161" s="187">
        <f t="shared" si="358"/>
        <v>0</v>
      </c>
      <c r="CV161" s="187">
        <f t="shared" si="358"/>
        <v>0</v>
      </c>
      <c r="CW161" s="187">
        <f t="shared" si="349"/>
        <v>0</v>
      </c>
      <c r="CX161" s="187">
        <f t="shared" si="349"/>
        <v>0</v>
      </c>
      <c r="CY161" s="187">
        <f t="shared" si="349"/>
        <v>0</v>
      </c>
    </row>
    <row r="162" spans="1:113" s="199" customFormat="1" ht="26.25" hidden="1" customHeight="1" outlineLevel="1" x14ac:dyDescent="0.4">
      <c r="A162" s="380"/>
      <c r="B162" s="380"/>
      <c r="C162" s="380"/>
      <c r="D162" s="382"/>
      <c r="E162" s="382"/>
      <c r="F162" s="382"/>
      <c r="G162" s="416"/>
      <c r="H162" s="490"/>
      <c r="I162" s="490"/>
      <c r="J162" s="498"/>
      <c r="K162" s="492"/>
      <c r="L162" s="492"/>
      <c r="M162" s="494"/>
      <c r="N162" s="39" t="s">
        <v>25</v>
      </c>
      <c r="O162" s="207">
        <f t="shared" si="332"/>
        <v>0</v>
      </c>
      <c r="P162" s="207">
        <f t="shared" si="332"/>
        <v>0</v>
      </c>
      <c r="Q162" s="207">
        <f t="shared" si="332"/>
        <v>0</v>
      </c>
      <c r="R162" s="207">
        <f t="shared" si="332"/>
        <v>0</v>
      </c>
      <c r="S162" s="207">
        <f t="shared" si="332"/>
        <v>0</v>
      </c>
      <c r="T162" s="207">
        <f t="shared" si="332"/>
        <v>0</v>
      </c>
      <c r="U162" s="49">
        <f t="shared" si="332"/>
        <v>0</v>
      </c>
      <c r="V162" s="57">
        <f t="shared" si="338"/>
        <v>0</v>
      </c>
      <c r="W162" s="18">
        <f t="shared" si="338"/>
        <v>0</v>
      </c>
      <c r="X162" s="18">
        <f t="shared" si="338"/>
        <v>0</v>
      </c>
      <c r="Y162" s="18">
        <f t="shared" si="338"/>
        <v>0</v>
      </c>
      <c r="Z162" s="18">
        <f t="shared" si="338"/>
        <v>0</v>
      </c>
      <c r="AA162" s="18">
        <f t="shared" si="325"/>
        <v>0</v>
      </c>
      <c r="AB162" s="42">
        <f t="shared" si="325"/>
        <v>0</v>
      </c>
      <c r="AC162" s="52">
        <f t="shared" si="325"/>
        <v>0</v>
      </c>
      <c r="AD162" s="207">
        <f t="shared" si="325"/>
        <v>0</v>
      </c>
      <c r="AE162" s="207">
        <f t="shared" si="325"/>
        <v>0</v>
      </c>
      <c r="AF162" s="207">
        <f t="shared" si="325"/>
        <v>0</v>
      </c>
      <c r="AG162" s="18">
        <f t="shared" si="325"/>
        <v>0</v>
      </c>
      <c r="AH162" s="51">
        <f t="shared" si="327"/>
        <v>0</v>
      </c>
      <c r="AI162" s="52">
        <f t="shared" si="327"/>
        <v>0</v>
      </c>
      <c r="AJ162" s="52">
        <f t="shared" si="327"/>
        <v>0</v>
      </c>
      <c r="AK162" s="52">
        <f t="shared" si="327"/>
        <v>0</v>
      </c>
      <c r="AL162" s="52">
        <f t="shared" si="327"/>
        <v>0</v>
      </c>
      <c r="AM162" s="18">
        <f t="shared" si="339"/>
        <v>0</v>
      </c>
      <c r="AN162" s="42">
        <f t="shared" si="340"/>
        <v>0</v>
      </c>
      <c r="AO162" s="207">
        <f t="shared" si="340"/>
        <v>0</v>
      </c>
      <c r="AP162" s="207">
        <f t="shared" si="340"/>
        <v>0</v>
      </c>
      <c r="AQ162" s="207">
        <f t="shared" si="340"/>
        <v>0</v>
      </c>
      <c r="AR162" s="207">
        <f t="shared" si="340"/>
        <v>0</v>
      </c>
      <c r="AS162" s="207">
        <f t="shared" si="341"/>
        <v>0</v>
      </c>
      <c r="AT162" s="207">
        <f t="shared" si="341"/>
        <v>0</v>
      </c>
      <c r="AU162" s="18">
        <f t="shared" si="341"/>
        <v>0</v>
      </c>
      <c r="AV162" s="42">
        <f t="shared" si="335"/>
        <v>0</v>
      </c>
      <c r="AW162" s="207">
        <f t="shared" si="335"/>
        <v>0</v>
      </c>
      <c r="AX162" s="207">
        <f t="shared" si="335"/>
        <v>0</v>
      </c>
      <c r="AY162" s="207">
        <f t="shared" si="335"/>
        <v>0</v>
      </c>
      <c r="AZ162" s="207">
        <f t="shared" si="335"/>
        <v>0</v>
      </c>
      <c r="BA162" s="207">
        <f t="shared" si="335"/>
        <v>0</v>
      </c>
      <c r="BB162" s="207">
        <f t="shared" si="335"/>
        <v>0</v>
      </c>
      <c r="BC162" s="18">
        <f t="shared" si="335"/>
        <v>0</v>
      </c>
      <c r="BD162" s="42">
        <f t="shared" si="342"/>
        <v>0</v>
      </c>
      <c r="BE162" s="207">
        <f t="shared" si="342"/>
        <v>0</v>
      </c>
      <c r="BF162" s="207">
        <f t="shared" si="342"/>
        <v>0</v>
      </c>
      <c r="BG162" s="207">
        <f t="shared" si="342"/>
        <v>0</v>
      </c>
      <c r="BH162" s="207">
        <f t="shared" si="342"/>
        <v>0</v>
      </c>
      <c r="BI162" s="207">
        <f t="shared" si="343"/>
        <v>0</v>
      </c>
      <c r="BJ162" s="207">
        <f t="shared" si="343"/>
        <v>0</v>
      </c>
      <c r="BK162" s="18">
        <f t="shared" si="343"/>
        <v>0</v>
      </c>
      <c r="BL162" s="20">
        <f t="shared" si="356"/>
        <v>0</v>
      </c>
      <c r="BM162" s="207">
        <f t="shared" si="356"/>
        <v>0</v>
      </c>
      <c r="BN162" s="207">
        <f t="shared" si="356"/>
        <v>0</v>
      </c>
      <c r="BO162" s="207">
        <f t="shared" si="356"/>
        <v>0</v>
      </c>
      <c r="BP162" s="207">
        <f t="shared" si="356"/>
        <v>0</v>
      </c>
      <c r="BQ162" s="207">
        <f t="shared" si="344"/>
        <v>0</v>
      </c>
      <c r="BR162" s="207">
        <f t="shared" si="344"/>
        <v>0</v>
      </c>
      <c r="BS162" s="18">
        <f t="shared" si="344"/>
        <v>0</v>
      </c>
      <c r="BT162" s="224">
        <f t="shared" si="326"/>
        <v>0</v>
      </c>
      <c r="BU162" s="207">
        <f t="shared" si="326"/>
        <v>0</v>
      </c>
      <c r="BV162" s="207">
        <f t="shared" si="326"/>
        <v>0</v>
      </c>
      <c r="BW162" s="207">
        <f t="shared" si="326"/>
        <v>0</v>
      </c>
      <c r="BX162" s="207">
        <f t="shared" si="326"/>
        <v>0</v>
      </c>
      <c r="BY162" s="207">
        <f t="shared" si="345"/>
        <v>0</v>
      </c>
      <c r="BZ162" s="207">
        <f t="shared" si="345"/>
        <v>0</v>
      </c>
      <c r="CA162" s="18">
        <f t="shared" si="345"/>
        <v>0</v>
      </c>
      <c r="CB162" s="224">
        <f t="shared" si="346"/>
        <v>0</v>
      </c>
      <c r="CC162" s="250">
        <f t="shared" si="346"/>
        <v>0</v>
      </c>
      <c r="CD162" s="250">
        <f t="shared" si="346"/>
        <v>0</v>
      </c>
      <c r="CE162" s="250">
        <f t="shared" si="346"/>
        <v>0</v>
      </c>
      <c r="CF162" s="250">
        <f t="shared" si="346"/>
        <v>0</v>
      </c>
      <c r="CG162" s="207">
        <f t="shared" si="347"/>
        <v>0</v>
      </c>
      <c r="CH162" s="207">
        <f t="shared" si="347"/>
        <v>0</v>
      </c>
      <c r="CI162" s="18">
        <f t="shared" si="347"/>
        <v>0</v>
      </c>
      <c r="CJ162" s="224">
        <f t="shared" si="357"/>
        <v>0</v>
      </c>
      <c r="CK162" s="207">
        <f t="shared" si="357"/>
        <v>0</v>
      </c>
      <c r="CL162" s="207">
        <f t="shared" si="357"/>
        <v>0</v>
      </c>
      <c r="CM162" s="207">
        <f t="shared" si="357"/>
        <v>0</v>
      </c>
      <c r="CN162" s="207">
        <f t="shared" si="357"/>
        <v>0</v>
      </c>
      <c r="CO162" s="207">
        <f t="shared" si="348"/>
        <v>0</v>
      </c>
      <c r="CP162" s="207">
        <f t="shared" si="348"/>
        <v>0</v>
      </c>
      <c r="CQ162" s="18">
        <f t="shared" si="348"/>
        <v>0</v>
      </c>
      <c r="CR162" s="42">
        <f t="shared" si="358"/>
        <v>0</v>
      </c>
      <c r="CS162" s="207">
        <f t="shared" si="358"/>
        <v>0</v>
      </c>
      <c r="CT162" s="207">
        <f t="shared" si="358"/>
        <v>0</v>
      </c>
      <c r="CU162" s="207">
        <f t="shared" si="358"/>
        <v>0</v>
      </c>
      <c r="CV162" s="207">
        <f t="shared" si="358"/>
        <v>0</v>
      </c>
      <c r="CW162" s="207">
        <f t="shared" si="349"/>
        <v>0</v>
      </c>
      <c r="CX162" s="207">
        <f t="shared" si="349"/>
        <v>0</v>
      </c>
      <c r="CY162" s="207">
        <f t="shared" si="349"/>
        <v>0</v>
      </c>
    </row>
    <row r="163" spans="1:113" s="199" customFormat="1" ht="26.25" hidden="1" customHeight="1" outlineLevel="1" collapsed="1" x14ac:dyDescent="0.4">
      <c r="A163" s="379">
        <v>79</v>
      </c>
      <c r="B163" s="379" t="s">
        <v>45</v>
      </c>
      <c r="C163" s="379" t="s">
        <v>346</v>
      </c>
      <c r="D163" s="381"/>
      <c r="E163" s="381"/>
      <c r="F163" s="381"/>
      <c r="G163" s="416"/>
      <c r="H163" s="489">
        <f t="shared" ref="H163" si="359">SUM(BT163:CA163)</f>
        <v>0</v>
      </c>
      <c r="I163" s="489">
        <f t="shared" ref="I163" si="360">SUM(BT164:CA164)</f>
        <v>0</v>
      </c>
      <c r="J163" s="497"/>
      <c r="K163" s="491"/>
      <c r="L163" s="491"/>
      <c r="M163" s="493"/>
      <c r="N163" s="48" t="s">
        <v>24</v>
      </c>
      <c r="O163" s="187">
        <f t="shared" si="332"/>
        <v>0</v>
      </c>
      <c r="P163" s="187">
        <f t="shared" si="332"/>
        <v>0</v>
      </c>
      <c r="Q163" s="187">
        <f t="shared" si="332"/>
        <v>0</v>
      </c>
      <c r="R163" s="187">
        <f t="shared" si="332"/>
        <v>0</v>
      </c>
      <c r="S163" s="187">
        <f t="shared" si="332"/>
        <v>0</v>
      </c>
      <c r="T163" s="187">
        <f t="shared" si="332"/>
        <v>0</v>
      </c>
      <c r="U163" s="82">
        <f t="shared" si="332"/>
        <v>0</v>
      </c>
      <c r="V163" s="19">
        <f t="shared" si="338"/>
        <v>0</v>
      </c>
      <c r="W163" s="187">
        <f t="shared" si="338"/>
        <v>0</v>
      </c>
      <c r="X163" s="187">
        <f t="shared" si="338"/>
        <v>0</v>
      </c>
      <c r="Y163" s="187">
        <f t="shared" si="338"/>
        <v>0</v>
      </c>
      <c r="Z163" s="187">
        <f t="shared" si="338"/>
        <v>0</v>
      </c>
      <c r="AA163" s="187">
        <f t="shared" si="325"/>
        <v>0</v>
      </c>
      <c r="AB163" s="19">
        <f t="shared" si="325"/>
        <v>0</v>
      </c>
      <c r="AC163" s="187">
        <f t="shared" si="325"/>
        <v>0</v>
      </c>
      <c r="AD163" s="249">
        <f t="shared" si="325"/>
        <v>0</v>
      </c>
      <c r="AE163" s="187">
        <f t="shared" si="325"/>
        <v>0</v>
      </c>
      <c r="AF163" s="187">
        <f t="shared" si="325"/>
        <v>0</v>
      </c>
      <c r="AG163" s="187">
        <f t="shared" si="325"/>
        <v>0</v>
      </c>
      <c r="AH163" s="19">
        <f t="shared" si="327"/>
        <v>0</v>
      </c>
      <c r="AI163" s="187">
        <f t="shared" si="327"/>
        <v>0</v>
      </c>
      <c r="AJ163" s="187">
        <f t="shared" si="327"/>
        <v>0</v>
      </c>
      <c r="AK163" s="187">
        <f t="shared" si="327"/>
        <v>0</v>
      </c>
      <c r="AL163" s="187">
        <f t="shared" si="327"/>
        <v>0</v>
      </c>
      <c r="AM163" s="187">
        <f t="shared" si="339"/>
        <v>0</v>
      </c>
      <c r="AN163" s="19">
        <f t="shared" si="340"/>
        <v>0</v>
      </c>
      <c r="AO163" s="187">
        <f t="shared" si="340"/>
        <v>0</v>
      </c>
      <c r="AP163" s="187">
        <f t="shared" si="340"/>
        <v>0</v>
      </c>
      <c r="AQ163" s="187">
        <f t="shared" si="340"/>
        <v>0</v>
      </c>
      <c r="AR163" s="187">
        <f t="shared" si="340"/>
        <v>0</v>
      </c>
      <c r="AS163" s="187">
        <f t="shared" si="341"/>
        <v>0</v>
      </c>
      <c r="AT163" s="187">
        <f t="shared" si="341"/>
        <v>0</v>
      </c>
      <c r="AU163" s="187">
        <f t="shared" si="341"/>
        <v>0</v>
      </c>
      <c r="AV163" s="73">
        <f t="shared" si="335"/>
        <v>0</v>
      </c>
      <c r="AW163" s="187">
        <f t="shared" si="335"/>
        <v>0</v>
      </c>
      <c r="AX163" s="187">
        <f t="shared" si="335"/>
        <v>0</v>
      </c>
      <c r="AY163" s="187">
        <f t="shared" si="335"/>
        <v>0</v>
      </c>
      <c r="AZ163" s="187">
        <f t="shared" si="335"/>
        <v>0</v>
      </c>
      <c r="BA163" s="187">
        <f t="shared" si="335"/>
        <v>0</v>
      </c>
      <c r="BB163" s="187">
        <f t="shared" si="335"/>
        <v>0</v>
      </c>
      <c r="BC163" s="187">
        <f t="shared" si="335"/>
        <v>0</v>
      </c>
      <c r="BD163" s="19">
        <f t="shared" si="342"/>
        <v>0</v>
      </c>
      <c r="BE163" s="187">
        <f t="shared" si="342"/>
        <v>0</v>
      </c>
      <c r="BF163" s="187">
        <f t="shared" si="342"/>
        <v>0</v>
      </c>
      <c r="BG163" s="187">
        <f t="shared" si="342"/>
        <v>0</v>
      </c>
      <c r="BH163" s="187">
        <f t="shared" si="342"/>
        <v>0</v>
      </c>
      <c r="BI163" s="187">
        <f t="shared" si="343"/>
        <v>0</v>
      </c>
      <c r="BJ163" s="187">
        <f t="shared" si="343"/>
        <v>0</v>
      </c>
      <c r="BK163" s="187">
        <f t="shared" si="343"/>
        <v>0</v>
      </c>
      <c r="BL163" s="223">
        <f t="shared" si="356"/>
        <v>0</v>
      </c>
      <c r="BM163" s="249">
        <f t="shared" si="356"/>
        <v>0</v>
      </c>
      <c r="BN163" s="249">
        <f t="shared" si="356"/>
        <v>0</v>
      </c>
      <c r="BO163" s="249">
        <f t="shared" si="356"/>
        <v>0</v>
      </c>
      <c r="BP163" s="249">
        <f t="shared" si="356"/>
        <v>0</v>
      </c>
      <c r="BQ163" s="187">
        <f t="shared" si="344"/>
        <v>0</v>
      </c>
      <c r="BR163" s="187">
        <f t="shared" si="344"/>
        <v>0</v>
      </c>
      <c r="BS163" s="187">
        <f t="shared" si="344"/>
        <v>0</v>
      </c>
      <c r="BT163" s="73">
        <f t="shared" ref="BT163:BX166" si="361">0/157.5</f>
        <v>0</v>
      </c>
      <c r="BU163" s="187">
        <f t="shared" si="361"/>
        <v>0</v>
      </c>
      <c r="BV163" s="187">
        <f t="shared" si="361"/>
        <v>0</v>
      </c>
      <c r="BW163" s="187">
        <f t="shared" si="361"/>
        <v>0</v>
      </c>
      <c r="BX163" s="187">
        <f t="shared" si="361"/>
        <v>0</v>
      </c>
      <c r="BY163" s="187">
        <f t="shared" si="345"/>
        <v>0</v>
      </c>
      <c r="BZ163" s="187">
        <f t="shared" si="345"/>
        <v>0</v>
      </c>
      <c r="CA163" s="187">
        <f t="shared" si="345"/>
        <v>0</v>
      </c>
      <c r="CB163" s="73">
        <f t="shared" si="346"/>
        <v>0</v>
      </c>
      <c r="CC163" s="187">
        <f t="shared" si="346"/>
        <v>0</v>
      </c>
      <c r="CD163" s="187">
        <f t="shared" si="346"/>
        <v>0</v>
      </c>
      <c r="CE163" s="187">
        <f t="shared" si="346"/>
        <v>0</v>
      </c>
      <c r="CF163" s="187">
        <f t="shared" si="346"/>
        <v>0</v>
      </c>
      <c r="CG163" s="187">
        <f t="shared" si="347"/>
        <v>0</v>
      </c>
      <c r="CH163" s="187">
        <f t="shared" si="347"/>
        <v>0</v>
      </c>
      <c r="CI163" s="187">
        <f t="shared" si="347"/>
        <v>0</v>
      </c>
      <c r="CJ163" s="73">
        <f t="shared" si="357"/>
        <v>0</v>
      </c>
      <c r="CK163" s="187">
        <f t="shared" si="357"/>
        <v>0</v>
      </c>
      <c r="CL163" s="187">
        <f t="shared" si="357"/>
        <v>0</v>
      </c>
      <c r="CM163" s="187">
        <f t="shared" si="357"/>
        <v>0</v>
      </c>
      <c r="CN163" s="187">
        <f t="shared" si="357"/>
        <v>0</v>
      </c>
      <c r="CO163" s="187">
        <f t="shared" si="348"/>
        <v>0</v>
      </c>
      <c r="CP163" s="187">
        <f t="shared" si="348"/>
        <v>0</v>
      </c>
      <c r="CQ163" s="187">
        <f t="shared" si="348"/>
        <v>0</v>
      </c>
      <c r="CR163" s="73">
        <f t="shared" si="358"/>
        <v>0</v>
      </c>
      <c r="CS163" s="187">
        <f t="shared" si="358"/>
        <v>0</v>
      </c>
      <c r="CT163" s="187">
        <f t="shared" si="358"/>
        <v>0</v>
      </c>
      <c r="CU163" s="187">
        <f t="shared" si="358"/>
        <v>0</v>
      </c>
      <c r="CV163" s="187">
        <f t="shared" si="358"/>
        <v>0</v>
      </c>
      <c r="CW163" s="187">
        <f t="shared" si="349"/>
        <v>0</v>
      </c>
      <c r="CX163" s="187">
        <f t="shared" si="349"/>
        <v>0</v>
      </c>
      <c r="CY163" s="187">
        <f t="shared" si="349"/>
        <v>0</v>
      </c>
    </row>
    <row r="164" spans="1:113" s="199" customFormat="1" ht="26.25" hidden="1" customHeight="1" outlineLevel="1" x14ac:dyDescent="0.4">
      <c r="A164" s="380"/>
      <c r="B164" s="380"/>
      <c r="C164" s="380"/>
      <c r="D164" s="382"/>
      <c r="E164" s="382"/>
      <c r="F164" s="382"/>
      <c r="G164" s="416"/>
      <c r="H164" s="490"/>
      <c r="I164" s="490"/>
      <c r="J164" s="498"/>
      <c r="K164" s="492"/>
      <c r="L164" s="492"/>
      <c r="M164" s="494"/>
      <c r="N164" s="39" t="s">
        <v>25</v>
      </c>
      <c r="O164" s="207">
        <f t="shared" si="332"/>
        <v>0</v>
      </c>
      <c r="P164" s="207">
        <f t="shared" si="332"/>
        <v>0</v>
      </c>
      <c r="Q164" s="207">
        <f t="shared" si="332"/>
        <v>0</v>
      </c>
      <c r="R164" s="207">
        <f t="shared" si="332"/>
        <v>0</v>
      </c>
      <c r="S164" s="207">
        <f t="shared" si="332"/>
        <v>0</v>
      </c>
      <c r="T164" s="207">
        <f t="shared" si="332"/>
        <v>0</v>
      </c>
      <c r="U164" s="49">
        <f t="shared" si="332"/>
        <v>0</v>
      </c>
      <c r="V164" s="57">
        <f t="shared" si="338"/>
        <v>0</v>
      </c>
      <c r="W164" s="18">
        <f t="shared" si="338"/>
        <v>0</v>
      </c>
      <c r="X164" s="18">
        <f t="shared" si="338"/>
        <v>0</v>
      </c>
      <c r="Y164" s="18">
        <f t="shared" si="338"/>
        <v>0</v>
      </c>
      <c r="Z164" s="18">
        <f t="shared" si="338"/>
        <v>0</v>
      </c>
      <c r="AA164" s="18">
        <f t="shared" si="325"/>
        <v>0</v>
      </c>
      <c r="AB164" s="42">
        <f t="shared" si="325"/>
        <v>0</v>
      </c>
      <c r="AC164" s="52">
        <f t="shared" si="325"/>
        <v>0</v>
      </c>
      <c r="AD164" s="207">
        <f t="shared" si="325"/>
        <v>0</v>
      </c>
      <c r="AE164" s="207">
        <f t="shared" si="325"/>
        <v>0</v>
      </c>
      <c r="AF164" s="207">
        <f t="shared" si="325"/>
        <v>0</v>
      </c>
      <c r="AG164" s="18">
        <f t="shared" si="325"/>
        <v>0</v>
      </c>
      <c r="AH164" s="51">
        <f t="shared" si="327"/>
        <v>0</v>
      </c>
      <c r="AI164" s="52">
        <f t="shared" si="327"/>
        <v>0</v>
      </c>
      <c r="AJ164" s="52">
        <f t="shared" si="327"/>
        <v>0</v>
      </c>
      <c r="AK164" s="52">
        <f t="shared" si="327"/>
        <v>0</v>
      </c>
      <c r="AL164" s="52">
        <f t="shared" si="327"/>
        <v>0</v>
      </c>
      <c r="AM164" s="18">
        <f t="shared" si="339"/>
        <v>0</v>
      </c>
      <c r="AN164" s="42">
        <f t="shared" si="340"/>
        <v>0</v>
      </c>
      <c r="AO164" s="207">
        <f t="shared" si="340"/>
        <v>0</v>
      </c>
      <c r="AP164" s="207">
        <f t="shared" si="340"/>
        <v>0</v>
      </c>
      <c r="AQ164" s="207">
        <f t="shared" si="340"/>
        <v>0</v>
      </c>
      <c r="AR164" s="207">
        <f t="shared" si="340"/>
        <v>0</v>
      </c>
      <c r="AS164" s="207">
        <f t="shared" si="341"/>
        <v>0</v>
      </c>
      <c r="AT164" s="207">
        <f t="shared" si="341"/>
        <v>0</v>
      </c>
      <c r="AU164" s="18">
        <f t="shared" si="341"/>
        <v>0</v>
      </c>
      <c r="AV164" s="42">
        <f t="shared" si="335"/>
        <v>0</v>
      </c>
      <c r="AW164" s="207">
        <f t="shared" si="335"/>
        <v>0</v>
      </c>
      <c r="AX164" s="207">
        <f t="shared" si="335"/>
        <v>0</v>
      </c>
      <c r="AY164" s="207">
        <f t="shared" si="335"/>
        <v>0</v>
      </c>
      <c r="AZ164" s="207">
        <f t="shared" si="335"/>
        <v>0</v>
      </c>
      <c r="BA164" s="207">
        <f t="shared" si="335"/>
        <v>0</v>
      </c>
      <c r="BB164" s="207">
        <f t="shared" si="335"/>
        <v>0</v>
      </c>
      <c r="BC164" s="18">
        <f t="shared" si="335"/>
        <v>0</v>
      </c>
      <c r="BD164" s="42">
        <f t="shared" si="342"/>
        <v>0</v>
      </c>
      <c r="BE164" s="207">
        <f t="shared" si="342"/>
        <v>0</v>
      </c>
      <c r="BF164" s="207">
        <f t="shared" si="342"/>
        <v>0</v>
      </c>
      <c r="BG164" s="207">
        <f t="shared" si="342"/>
        <v>0</v>
      </c>
      <c r="BH164" s="207">
        <f t="shared" si="342"/>
        <v>0</v>
      </c>
      <c r="BI164" s="207">
        <f t="shared" si="343"/>
        <v>0</v>
      </c>
      <c r="BJ164" s="207">
        <f t="shared" si="343"/>
        <v>0</v>
      </c>
      <c r="BK164" s="18">
        <f t="shared" si="343"/>
        <v>0</v>
      </c>
      <c r="BL164" s="20">
        <f t="shared" si="356"/>
        <v>0</v>
      </c>
      <c r="BM164" s="207">
        <f t="shared" si="356"/>
        <v>0</v>
      </c>
      <c r="BN164" s="207">
        <f t="shared" si="356"/>
        <v>0</v>
      </c>
      <c r="BO164" s="207">
        <f t="shared" si="356"/>
        <v>0</v>
      </c>
      <c r="BP164" s="207">
        <f t="shared" si="356"/>
        <v>0</v>
      </c>
      <c r="BQ164" s="207">
        <f t="shared" si="344"/>
        <v>0</v>
      </c>
      <c r="BR164" s="207">
        <f t="shared" si="344"/>
        <v>0</v>
      </c>
      <c r="BS164" s="18">
        <f t="shared" si="344"/>
        <v>0</v>
      </c>
      <c r="BT164" s="224">
        <f t="shared" si="361"/>
        <v>0</v>
      </c>
      <c r="BU164" s="207">
        <f t="shared" si="361"/>
        <v>0</v>
      </c>
      <c r="BV164" s="207">
        <f t="shared" si="361"/>
        <v>0</v>
      </c>
      <c r="BW164" s="207">
        <f t="shared" si="361"/>
        <v>0</v>
      </c>
      <c r="BX164" s="207">
        <f t="shared" si="361"/>
        <v>0</v>
      </c>
      <c r="BY164" s="207">
        <f t="shared" si="345"/>
        <v>0</v>
      </c>
      <c r="BZ164" s="207">
        <f t="shared" si="345"/>
        <v>0</v>
      </c>
      <c r="CA164" s="18">
        <f t="shared" si="345"/>
        <v>0</v>
      </c>
      <c r="CB164" s="224">
        <f t="shared" si="346"/>
        <v>0</v>
      </c>
      <c r="CC164" s="250">
        <f t="shared" si="346"/>
        <v>0</v>
      </c>
      <c r="CD164" s="250">
        <f t="shared" si="346"/>
        <v>0</v>
      </c>
      <c r="CE164" s="250">
        <f t="shared" si="346"/>
        <v>0</v>
      </c>
      <c r="CF164" s="250">
        <f t="shared" si="346"/>
        <v>0</v>
      </c>
      <c r="CG164" s="207">
        <f t="shared" si="347"/>
        <v>0</v>
      </c>
      <c r="CH164" s="207">
        <f t="shared" si="347"/>
        <v>0</v>
      </c>
      <c r="CI164" s="18">
        <f t="shared" si="347"/>
        <v>0</v>
      </c>
      <c r="CJ164" s="224">
        <f t="shared" si="357"/>
        <v>0</v>
      </c>
      <c r="CK164" s="207">
        <f t="shared" si="357"/>
        <v>0</v>
      </c>
      <c r="CL164" s="207">
        <f t="shared" si="357"/>
        <v>0</v>
      </c>
      <c r="CM164" s="207">
        <f t="shared" si="357"/>
        <v>0</v>
      </c>
      <c r="CN164" s="207">
        <f t="shared" si="357"/>
        <v>0</v>
      </c>
      <c r="CO164" s="207">
        <f t="shared" si="348"/>
        <v>0</v>
      </c>
      <c r="CP164" s="207">
        <f t="shared" si="348"/>
        <v>0</v>
      </c>
      <c r="CQ164" s="18">
        <f t="shared" si="348"/>
        <v>0</v>
      </c>
      <c r="CR164" s="42">
        <f t="shared" si="358"/>
        <v>0</v>
      </c>
      <c r="CS164" s="207">
        <f t="shared" si="358"/>
        <v>0</v>
      </c>
      <c r="CT164" s="207">
        <f t="shared" si="358"/>
        <v>0</v>
      </c>
      <c r="CU164" s="207">
        <f t="shared" si="358"/>
        <v>0</v>
      </c>
      <c r="CV164" s="207">
        <f t="shared" si="358"/>
        <v>0</v>
      </c>
      <c r="CW164" s="207">
        <f t="shared" si="349"/>
        <v>0</v>
      </c>
      <c r="CX164" s="207">
        <f t="shared" si="349"/>
        <v>0</v>
      </c>
      <c r="CY164" s="207">
        <f t="shared" si="349"/>
        <v>0</v>
      </c>
    </row>
    <row r="165" spans="1:113" s="199" customFormat="1" ht="26.25" hidden="1" customHeight="1" outlineLevel="1" collapsed="1" x14ac:dyDescent="0.4">
      <c r="A165" s="379">
        <v>80</v>
      </c>
      <c r="B165" s="379" t="s">
        <v>45</v>
      </c>
      <c r="C165" s="379" t="s">
        <v>346</v>
      </c>
      <c r="D165" s="381"/>
      <c r="E165" s="381"/>
      <c r="F165" s="381"/>
      <c r="G165" s="416"/>
      <c r="H165" s="489">
        <f t="shared" ref="H165" si="362">SUM(BT165:CA165)</f>
        <v>0</v>
      </c>
      <c r="I165" s="489">
        <f t="shared" ref="I165" si="363">SUM(BT166:CA166)</f>
        <v>0</v>
      </c>
      <c r="J165" s="497"/>
      <c r="K165" s="491"/>
      <c r="L165" s="491"/>
      <c r="M165" s="493"/>
      <c r="N165" s="48" t="s">
        <v>24</v>
      </c>
      <c r="O165" s="187">
        <f t="shared" si="332"/>
        <v>0</v>
      </c>
      <c r="P165" s="187">
        <f t="shared" si="332"/>
        <v>0</v>
      </c>
      <c r="Q165" s="187">
        <f t="shared" si="332"/>
        <v>0</v>
      </c>
      <c r="R165" s="187">
        <f t="shared" si="332"/>
        <v>0</v>
      </c>
      <c r="S165" s="187">
        <f t="shared" si="332"/>
        <v>0</v>
      </c>
      <c r="T165" s="187">
        <f t="shared" si="332"/>
        <v>0</v>
      </c>
      <c r="U165" s="82">
        <f t="shared" si="332"/>
        <v>0</v>
      </c>
      <c r="V165" s="19">
        <f t="shared" si="338"/>
        <v>0</v>
      </c>
      <c r="W165" s="187">
        <f t="shared" si="338"/>
        <v>0</v>
      </c>
      <c r="X165" s="187">
        <f t="shared" si="338"/>
        <v>0</v>
      </c>
      <c r="Y165" s="187">
        <f t="shared" si="338"/>
        <v>0</v>
      </c>
      <c r="Z165" s="187">
        <f t="shared" si="338"/>
        <v>0</v>
      </c>
      <c r="AA165" s="187">
        <f t="shared" si="325"/>
        <v>0</v>
      </c>
      <c r="AB165" s="19">
        <f t="shared" si="325"/>
        <v>0</v>
      </c>
      <c r="AC165" s="187">
        <f t="shared" si="325"/>
        <v>0</v>
      </c>
      <c r="AD165" s="249">
        <f t="shared" si="325"/>
        <v>0</v>
      </c>
      <c r="AE165" s="187">
        <f t="shared" si="325"/>
        <v>0</v>
      </c>
      <c r="AF165" s="187">
        <f t="shared" si="325"/>
        <v>0</v>
      </c>
      <c r="AG165" s="187">
        <f t="shared" si="325"/>
        <v>0</v>
      </c>
      <c r="AH165" s="19">
        <f t="shared" si="327"/>
        <v>0</v>
      </c>
      <c r="AI165" s="187">
        <f t="shared" si="327"/>
        <v>0</v>
      </c>
      <c r="AJ165" s="187">
        <f t="shared" si="327"/>
        <v>0</v>
      </c>
      <c r="AK165" s="187">
        <f t="shared" si="327"/>
        <v>0</v>
      </c>
      <c r="AL165" s="187">
        <f t="shared" si="327"/>
        <v>0</v>
      </c>
      <c r="AM165" s="187">
        <f t="shared" si="339"/>
        <v>0</v>
      </c>
      <c r="AN165" s="19">
        <f t="shared" si="340"/>
        <v>0</v>
      </c>
      <c r="AO165" s="187">
        <f t="shared" si="340"/>
        <v>0</v>
      </c>
      <c r="AP165" s="187">
        <f t="shared" si="340"/>
        <v>0</v>
      </c>
      <c r="AQ165" s="187">
        <f t="shared" si="340"/>
        <v>0</v>
      </c>
      <c r="AR165" s="187">
        <f t="shared" si="340"/>
        <v>0</v>
      </c>
      <c r="AS165" s="187">
        <f t="shared" si="341"/>
        <v>0</v>
      </c>
      <c r="AT165" s="187">
        <f t="shared" si="341"/>
        <v>0</v>
      </c>
      <c r="AU165" s="187">
        <f t="shared" si="341"/>
        <v>0</v>
      </c>
      <c r="AV165" s="73">
        <f t="shared" si="335"/>
        <v>0</v>
      </c>
      <c r="AW165" s="187">
        <f t="shared" si="335"/>
        <v>0</v>
      </c>
      <c r="AX165" s="187">
        <f t="shared" si="335"/>
        <v>0</v>
      </c>
      <c r="AY165" s="187">
        <f t="shared" si="335"/>
        <v>0</v>
      </c>
      <c r="AZ165" s="187">
        <f t="shared" si="335"/>
        <v>0</v>
      </c>
      <c r="BA165" s="187">
        <f t="shared" si="335"/>
        <v>0</v>
      </c>
      <c r="BB165" s="187">
        <f t="shared" si="335"/>
        <v>0</v>
      </c>
      <c r="BC165" s="187">
        <f t="shared" si="335"/>
        <v>0</v>
      </c>
      <c r="BD165" s="19">
        <f t="shared" si="342"/>
        <v>0</v>
      </c>
      <c r="BE165" s="187">
        <f t="shared" si="342"/>
        <v>0</v>
      </c>
      <c r="BF165" s="187">
        <f t="shared" si="342"/>
        <v>0</v>
      </c>
      <c r="BG165" s="187">
        <f t="shared" si="342"/>
        <v>0</v>
      </c>
      <c r="BH165" s="187">
        <f t="shared" si="342"/>
        <v>0</v>
      </c>
      <c r="BI165" s="187">
        <f t="shared" si="343"/>
        <v>0</v>
      </c>
      <c r="BJ165" s="187">
        <f t="shared" si="343"/>
        <v>0</v>
      </c>
      <c r="BK165" s="187">
        <f t="shared" si="343"/>
        <v>0</v>
      </c>
      <c r="BL165" s="223">
        <f t="shared" si="356"/>
        <v>0</v>
      </c>
      <c r="BM165" s="249">
        <f t="shared" si="356"/>
        <v>0</v>
      </c>
      <c r="BN165" s="249">
        <f t="shared" si="356"/>
        <v>0</v>
      </c>
      <c r="BO165" s="249">
        <f t="shared" si="356"/>
        <v>0</v>
      </c>
      <c r="BP165" s="249">
        <f t="shared" si="356"/>
        <v>0</v>
      </c>
      <c r="BQ165" s="187">
        <f t="shared" si="344"/>
        <v>0</v>
      </c>
      <c r="BR165" s="187">
        <f t="shared" si="344"/>
        <v>0</v>
      </c>
      <c r="BS165" s="187">
        <f t="shared" si="344"/>
        <v>0</v>
      </c>
      <c r="BT165" s="73">
        <f t="shared" si="361"/>
        <v>0</v>
      </c>
      <c r="BU165" s="187">
        <f t="shared" si="361"/>
        <v>0</v>
      </c>
      <c r="BV165" s="187">
        <f t="shared" si="361"/>
        <v>0</v>
      </c>
      <c r="BW165" s="187">
        <f t="shared" si="361"/>
        <v>0</v>
      </c>
      <c r="BX165" s="187">
        <f t="shared" si="361"/>
        <v>0</v>
      </c>
      <c r="BY165" s="187">
        <f t="shared" si="345"/>
        <v>0</v>
      </c>
      <c r="BZ165" s="187">
        <f t="shared" si="345"/>
        <v>0</v>
      </c>
      <c r="CA165" s="187">
        <f t="shared" si="345"/>
        <v>0</v>
      </c>
      <c r="CB165" s="73">
        <f t="shared" si="346"/>
        <v>0</v>
      </c>
      <c r="CC165" s="187">
        <f t="shared" si="346"/>
        <v>0</v>
      </c>
      <c r="CD165" s="187">
        <f t="shared" si="346"/>
        <v>0</v>
      </c>
      <c r="CE165" s="187">
        <f t="shared" si="346"/>
        <v>0</v>
      </c>
      <c r="CF165" s="187">
        <f t="shared" si="346"/>
        <v>0</v>
      </c>
      <c r="CG165" s="187">
        <f t="shared" si="347"/>
        <v>0</v>
      </c>
      <c r="CH165" s="187">
        <f t="shared" si="347"/>
        <v>0</v>
      </c>
      <c r="CI165" s="187">
        <f t="shared" si="347"/>
        <v>0</v>
      </c>
      <c r="CJ165" s="73">
        <f t="shared" si="357"/>
        <v>0</v>
      </c>
      <c r="CK165" s="187">
        <f t="shared" si="357"/>
        <v>0</v>
      </c>
      <c r="CL165" s="187">
        <f t="shared" si="357"/>
        <v>0</v>
      </c>
      <c r="CM165" s="187">
        <f t="shared" si="357"/>
        <v>0</v>
      </c>
      <c r="CN165" s="187">
        <f t="shared" si="357"/>
        <v>0</v>
      </c>
      <c r="CO165" s="187">
        <f t="shared" si="348"/>
        <v>0</v>
      </c>
      <c r="CP165" s="187">
        <f t="shared" si="348"/>
        <v>0</v>
      </c>
      <c r="CQ165" s="187">
        <f t="shared" si="348"/>
        <v>0</v>
      </c>
      <c r="CR165" s="73">
        <f t="shared" si="358"/>
        <v>0</v>
      </c>
      <c r="CS165" s="187">
        <f t="shared" si="358"/>
        <v>0</v>
      </c>
      <c r="CT165" s="187">
        <f t="shared" si="358"/>
        <v>0</v>
      </c>
      <c r="CU165" s="187">
        <f t="shared" si="358"/>
        <v>0</v>
      </c>
      <c r="CV165" s="187">
        <f t="shared" si="358"/>
        <v>0</v>
      </c>
      <c r="CW165" s="187">
        <f t="shared" si="349"/>
        <v>0</v>
      </c>
      <c r="CX165" s="187">
        <f t="shared" si="349"/>
        <v>0</v>
      </c>
      <c r="CY165" s="187">
        <f t="shared" si="349"/>
        <v>0</v>
      </c>
    </row>
    <row r="166" spans="1:113" s="199" customFormat="1" ht="26.25" hidden="1" customHeight="1" outlineLevel="1" x14ac:dyDescent="0.4">
      <c r="A166" s="380"/>
      <c r="B166" s="380"/>
      <c r="C166" s="380"/>
      <c r="D166" s="382"/>
      <c r="E166" s="382"/>
      <c r="F166" s="382"/>
      <c r="G166" s="416"/>
      <c r="H166" s="490"/>
      <c r="I166" s="490"/>
      <c r="J166" s="498"/>
      <c r="K166" s="492"/>
      <c r="L166" s="492"/>
      <c r="M166" s="494"/>
      <c r="N166" s="39" t="s">
        <v>25</v>
      </c>
      <c r="O166" s="207">
        <f t="shared" si="332"/>
        <v>0</v>
      </c>
      <c r="P166" s="207">
        <f t="shared" si="332"/>
        <v>0</v>
      </c>
      <c r="Q166" s="207">
        <f t="shared" si="332"/>
        <v>0</v>
      </c>
      <c r="R166" s="207">
        <f t="shared" si="332"/>
        <v>0</v>
      </c>
      <c r="S166" s="207">
        <f t="shared" si="332"/>
        <v>0</v>
      </c>
      <c r="T166" s="207">
        <f t="shared" si="332"/>
        <v>0</v>
      </c>
      <c r="U166" s="49">
        <f t="shared" si="332"/>
        <v>0</v>
      </c>
      <c r="V166" s="57">
        <f t="shared" si="338"/>
        <v>0</v>
      </c>
      <c r="W166" s="18">
        <f t="shared" si="338"/>
        <v>0</v>
      </c>
      <c r="X166" s="18">
        <f t="shared" si="338"/>
        <v>0</v>
      </c>
      <c r="Y166" s="18">
        <f t="shared" si="338"/>
        <v>0</v>
      </c>
      <c r="Z166" s="18">
        <f t="shared" si="338"/>
        <v>0</v>
      </c>
      <c r="AA166" s="18">
        <f t="shared" si="325"/>
        <v>0</v>
      </c>
      <c r="AB166" s="42">
        <f t="shared" si="325"/>
        <v>0</v>
      </c>
      <c r="AC166" s="52">
        <f t="shared" si="325"/>
        <v>0</v>
      </c>
      <c r="AD166" s="207">
        <f t="shared" si="325"/>
        <v>0</v>
      </c>
      <c r="AE166" s="207">
        <f t="shared" si="325"/>
        <v>0</v>
      </c>
      <c r="AF166" s="207">
        <f t="shared" si="325"/>
        <v>0</v>
      </c>
      <c r="AG166" s="18">
        <f t="shared" si="325"/>
        <v>0</v>
      </c>
      <c r="AH166" s="51">
        <f t="shared" si="327"/>
        <v>0</v>
      </c>
      <c r="AI166" s="52">
        <f t="shared" si="327"/>
        <v>0</v>
      </c>
      <c r="AJ166" s="52">
        <f t="shared" si="327"/>
        <v>0</v>
      </c>
      <c r="AK166" s="52">
        <f t="shared" si="327"/>
        <v>0</v>
      </c>
      <c r="AL166" s="52">
        <f t="shared" si="327"/>
        <v>0</v>
      </c>
      <c r="AM166" s="18">
        <f t="shared" si="339"/>
        <v>0</v>
      </c>
      <c r="AN166" s="42">
        <f t="shared" si="340"/>
        <v>0</v>
      </c>
      <c r="AO166" s="207">
        <f t="shared" si="340"/>
        <v>0</v>
      </c>
      <c r="AP166" s="207">
        <f t="shared" si="340"/>
        <v>0</v>
      </c>
      <c r="AQ166" s="207">
        <f t="shared" si="340"/>
        <v>0</v>
      </c>
      <c r="AR166" s="207">
        <f t="shared" si="340"/>
        <v>0</v>
      </c>
      <c r="AS166" s="207">
        <f t="shared" si="341"/>
        <v>0</v>
      </c>
      <c r="AT166" s="207">
        <f t="shared" si="341"/>
        <v>0</v>
      </c>
      <c r="AU166" s="18">
        <f t="shared" si="341"/>
        <v>0</v>
      </c>
      <c r="AV166" s="42">
        <f t="shared" si="335"/>
        <v>0</v>
      </c>
      <c r="AW166" s="207">
        <f t="shared" si="335"/>
        <v>0</v>
      </c>
      <c r="AX166" s="207">
        <f t="shared" si="335"/>
        <v>0</v>
      </c>
      <c r="AY166" s="207">
        <f t="shared" si="335"/>
        <v>0</v>
      </c>
      <c r="AZ166" s="207">
        <f t="shared" si="335"/>
        <v>0</v>
      </c>
      <c r="BA166" s="207">
        <f t="shared" si="335"/>
        <v>0</v>
      </c>
      <c r="BB166" s="207">
        <f t="shared" si="335"/>
        <v>0</v>
      </c>
      <c r="BC166" s="18">
        <f t="shared" si="335"/>
        <v>0</v>
      </c>
      <c r="BD166" s="42">
        <f t="shared" si="342"/>
        <v>0</v>
      </c>
      <c r="BE166" s="207">
        <f t="shared" si="342"/>
        <v>0</v>
      </c>
      <c r="BF166" s="207">
        <f t="shared" si="342"/>
        <v>0</v>
      </c>
      <c r="BG166" s="207">
        <f t="shared" si="342"/>
        <v>0</v>
      </c>
      <c r="BH166" s="207">
        <f t="shared" si="342"/>
        <v>0</v>
      </c>
      <c r="BI166" s="207">
        <f t="shared" si="343"/>
        <v>0</v>
      </c>
      <c r="BJ166" s="207">
        <f t="shared" si="343"/>
        <v>0</v>
      </c>
      <c r="BK166" s="18">
        <f t="shared" si="343"/>
        <v>0</v>
      </c>
      <c r="BL166" s="20">
        <f t="shared" si="356"/>
        <v>0</v>
      </c>
      <c r="BM166" s="207">
        <f t="shared" si="356"/>
        <v>0</v>
      </c>
      <c r="BN166" s="207">
        <f t="shared" si="356"/>
        <v>0</v>
      </c>
      <c r="BO166" s="207">
        <f t="shared" si="356"/>
        <v>0</v>
      </c>
      <c r="BP166" s="207">
        <f t="shared" si="356"/>
        <v>0</v>
      </c>
      <c r="BQ166" s="207">
        <f t="shared" si="344"/>
        <v>0</v>
      </c>
      <c r="BR166" s="207">
        <f t="shared" si="344"/>
        <v>0</v>
      </c>
      <c r="BS166" s="18">
        <f t="shared" si="344"/>
        <v>0</v>
      </c>
      <c r="BT166" s="224">
        <f t="shared" si="361"/>
        <v>0</v>
      </c>
      <c r="BU166" s="207">
        <f t="shared" si="361"/>
        <v>0</v>
      </c>
      <c r="BV166" s="207">
        <f t="shared" si="361"/>
        <v>0</v>
      </c>
      <c r="BW166" s="207">
        <f t="shared" si="361"/>
        <v>0</v>
      </c>
      <c r="BX166" s="207">
        <f t="shared" si="361"/>
        <v>0</v>
      </c>
      <c r="BY166" s="207">
        <f t="shared" si="345"/>
        <v>0</v>
      </c>
      <c r="BZ166" s="207">
        <f t="shared" si="345"/>
        <v>0</v>
      </c>
      <c r="CA166" s="18">
        <f t="shared" si="345"/>
        <v>0</v>
      </c>
      <c r="CB166" s="224">
        <f t="shared" si="346"/>
        <v>0</v>
      </c>
      <c r="CC166" s="250">
        <f t="shared" si="346"/>
        <v>0</v>
      </c>
      <c r="CD166" s="250">
        <f t="shared" si="346"/>
        <v>0</v>
      </c>
      <c r="CE166" s="250">
        <f t="shared" si="346"/>
        <v>0</v>
      </c>
      <c r="CF166" s="250">
        <f t="shared" si="346"/>
        <v>0</v>
      </c>
      <c r="CG166" s="207">
        <f t="shared" si="347"/>
        <v>0</v>
      </c>
      <c r="CH166" s="207">
        <f t="shared" si="347"/>
        <v>0</v>
      </c>
      <c r="CI166" s="18">
        <f t="shared" si="347"/>
        <v>0</v>
      </c>
      <c r="CJ166" s="224">
        <f t="shared" si="357"/>
        <v>0</v>
      </c>
      <c r="CK166" s="207">
        <f t="shared" si="357"/>
        <v>0</v>
      </c>
      <c r="CL166" s="207">
        <f t="shared" si="357"/>
        <v>0</v>
      </c>
      <c r="CM166" s="207">
        <f t="shared" si="357"/>
        <v>0</v>
      </c>
      <c r="CN166" s="207">
        <f t="shared" si="357"/>
        <v>0</v>
      </c>
      <c r="CO166" s="207">
        <f t="shared" si="348"/>
        <v>0</v>
      </c>
      <c r="CP166" s="207">
        <f t="shared" si="348"/>
        <v>0</v>
      </c>
      <c r="CQ166" s="18">
        <f t="shared" si="348"/>
        <v>0</v>
      </c>
      <c r="CR166" s="42">
        <f t="shared" si="358"/>
        <v>0</v>
      </c>
      <c r="CS166" s="207">
        <f t="shared" si="358"/>
        <v>0</v>
      </c>
      <c r="CT166" s="207">
        <f t="shared" si="358"/>
        <v>0</v>
      </c>
      <c r="CU166" s="207">
        <f t="shared" si="358"/>
        <v>0</v>
      </c>
      <c r="CV166" s="207">
        <f t="shared" si="358"/>
        <v>0</v>
      </c>
      <c r="CW166" s="207">
        <f t="shared" si="349"/>
        <v>0</v>
      </c>
      <c r="CX166" s="207">
        <f t="shared" si="349"/>
        <v>0</v>
      </c>
      <c r="CY166" s="207">
        <f t="shared" si="349"/>
        <v>0</v>
      </c>
    </row>
    <row r="167" spans="1:113" ht="26.25" customHeight="1" collapsed="1" x14ac:dyDescent="0.4">
      <c r="A167" s="471"/>
      <c r="B167" s="472"/>
      <c r="C167" s="472"/>
      <c r="D167" s="472"/>
      <c r="E167" s="472"/>
      <c r="F167" s="472"/>
      <c r="G167" s="473"/>
      <c r="H167" s="467">
        <f>SUM(H7,H9,H11,H13,H15,H17,H19,H21,H23,H25,H27,H29,H31,H33,H35,H37,H39,H41,H43,H45,H47,H49,H51,H53,H55,H57,H59,H61,H63,H65,H67,H69,H71,H73,H75,H77,H79,H81)</f>
        <v>5.0545454545454538</v>
      </c>
      <c r="I167" s="467">
        <f>SUM(I7,I9,I11,I13,I15,I17,I19,I21,I23,I25,I27,I29,I31,I33,I35,I37,I39,I41,I43,I45,I47,I49,I51,I53,I55,I57,I59,I61,I63,I65,I67,I69,I71,I73,I75,I77,I79,I81)</f>
        <v>4.4363636363636365</v>
      </c>
      <c r="J167" s="555" t="s">
        <v>90</v>
      </c>
      <c r="K167" s="556"/>
      <c r="L167" s="556"/>
      <c r="M167" s="557"/>
      <c r="N167" s="10" t="s">
        <v>88</v>
      </c>
      <c r="O167" s="10">
        <f>SUM(O7,O9,O11,O13,O15,O17,O19,O21,O23,O25,O27,O29,O31,O33,O35,O37,O39,O41,O43,O45,O47,O49,O51,O53,O55,O57,O59,O61,O63,O65,O67,O69,O71,O73,O75,O77,O79,O81,O83,O85,O87,O89,O91,O93,O95,O97,O99,O101,O103,O105)</f>
        <v>0.53333333333333333</v>
      </c>
      <c r="P167" s="187">
        <f>SUM(P7,P9,P11,P13,P15,P17,P19,P21,P23,P25,P27,P29,P31,P33,P35,P37,P39,P41,P43,P45,P47,P49,P51,P53,P55,P57,P59,P61,P63,P65,P67,P69,P71,P73,P75,P77,P79,P81,P83,P85,P87,P89,P91,P93,P95,P97,P99,P101,P103,P105)</f>
        <v>0</v>
      </c>
      <c r="Q167" s="187">
        <f>SUM(Q7,Q9,Q11,Q13,Q15,Q17,Q19,Q21,Q23,Q25,Q27,Q29,Q31,Q33,Q35,Q37,Q39,Q41,Q43,Q45,Q47,Q49,Q51,Q53,Q55,Q57,Q59,Q61,Q63,Q65,Q67,Q69,Q71,Q73,Q75,Q77,Q79,Q81,Q83,Q85,Q87,Q89,Q91,Q93,Q95,Q97,Q99,Q101,Q103,Q105)</f>
        <v>0.91666666666666674</v>
      </c>
      <c r="R167" s="187">
        <f>SUM(R7,R9,R11,R13,R15,R17,R19,R21,R23,R25,R27,R29,R31,R33,R35,R37,R39,R41,R43,R45,R47,R49,R51,R53,R55,R57,R59,R61,R63,R65,R67,R69,R71,R73,R75,R77,R79,R81,R83,R85,R87,R89,R91,R93,R95,R97,R99,R101,R103,R105)</f>
        <v>0.77083333333333337</v>
      </c>
      <c r="S167" s="187">
        <f t="shared" ref="S167:U167" si="364">SUM(S7,S9,S11,S13,S15,S17,S19,S21,S23,S25,S27,S29,S31,S33,S35,S37,S39,S41,S43,S45,S47,S49,S51,S53,S55,S57,S59,S61,S63,S65,S67,S69,S71,S73,S75,S77,S79,S81,S83,S85,S87,S89,S91,S93,S95,S97,S99,S101,S103,S105)</f>
        <v>0.93333333333333346</v>
      </c>
      <c r="T167" s="187">
        <f t="shared" si="364"/>
        <v>1.1166666666666667</v>
      </c>
      <c r="U167" s="82">
        <f t="shared" si="364"/>
        <v>0.83333333333333326</v>
      </c>
      <c r="V167" s="187">
        <f t="shared" ref="V167:Y168" si="365">SUM(V7,V9,V11,V13,V15,V17,V19,V21,V23,V25,V27,V29,V31,V33,V35,V37,V39,V41,V43,V45,V47,V49,V51,V53,V55,V57,V59,V61,V63,V65,V67,V69,V71,V73,V75,V77,V79,V81,V83,V85,V87,V89,V91,V93,V95,V97,V99,V101,V103,V105)</f>
        <v>0.41403508771929826</v>
      </c>
      <c r="W167" s="187">
        <f t="shared" si="365"/>
        <v>0</v>
      </c>
      <c r="X167" s="187">
        <f t="shared" si="365"/>
        <v>0.68421052631578938</v>
      </c>
      <c r="Y167" s="187">
        <f t="shared" si="365"/>
        <v>0.84210526315789469</v>
      </c>
      <c r="Z167" s="187">
        <f t="shared" ref="Z167:AE167" si="366">SUM(Z7,Z9,Z11,Z13,Z15,Z17,Z19,Z21,Z23,Z25,Z27,Z29,Z31,Z33,Z35,Z37,Z39,Z41,Z43,Z45,Z47,Z49,Z51,Z53,Z55,Z57,Z59,Z61,Z63,Z65,Z67,Z69,Z71,Z73,Z75,Z77,Z79,Z81,Z83,Z85,Z87,Z89,Z91,Z93,Z95,Z97,Z99,Z101,Z103,Z105)</f>
        <v>0.84210526315789469</v>
      </c>
      <c r="AA167" s="82">
        <f t="shared" si="366"/>
        <v>0.89473684210526305</v>
      </c>
      <c r="AB167" s="187">
        <f t="shared" si="366"/>
        <v>0.41818181818181821</v>
      </c>
      <c r="AC167" s="187">
        <f t="shared" si="366"/>
        <v>0.48484848484848486</v>
      </c>
      <c r="AD167" s="187">
        <f t="shared" si="366"/>
        <v>0.83636363636363642</v>
      </c>
      <c r="AE167" s="187">
        <f t="shared" si="366"/>
        <v>0.87878787878787878</v>
      </c>
      <c r="AF167" s="187">
        <f t="shared" ref="AF167:AK167" si="367">SUM(AF7,AF9,AF11,AF13,AF15,AF17,AF19,AF21,AF23,AF25,AF27,AF29,AF31,AF33,AF35,AF37,AF39,AF41,AF43,AF45,AF47,AF49,AF51,AF53,AF55,AF57,AF59,AF61,AF63,AF65,AF67,AF69,AF71,AF73,AF75,AF77,AF79,AF81,AF83,AF85,AF87,AF89,AF91,AF93,AF95,AF97,AF99,AF101,AF103,AF105)</f>
        <v>0.87878787878787878</v>
      </c>
      <c r="AG167" s="82">
        <f t="shared" si="367"/>
        <v>0.89696969696969697</v>
      </c>
      <c r="AH167" s="187">
        <f t="shared" si="367"/>
        <v>0.72121212121212086</v>
      </c>
      <c r="AI167" s="187">
        <f t="shared" si="367"/>
        <v>0.96969696969696972</v>
      </c>
      <c r="AJ167" s="187">
        <f t="shared" si="367"/>
        <v>0.9696969696969695</v>
      </c>
      <c r="AK167" s="187">
        <f t="shared" si="367"/>
        <v>0.66666666666666652</v>
      </c>
      <c r="AL167" s="187">
        <f t="shared" ref="AL167:AM167" si="368">SUM(AL7,AL9,AL11,AL13,AL15,AL17,AL19,AL21,AL23,AL25,AL27,AL29,AL31,AL33,AL35,AL37,AL39,AL41,AL43,AL45,AL47,AL49,AL51,AL53,AL55,AL57,AL59,AL61,AL63,AL65,AL67,AL69,AL71,AL73,AL75,AL77,AL79,AL81,AL83,AL85,AL87,AL89,AL91,AL93,AL95,AL97,AL99,AL101,AL103,AL105)</f>
        <v>0.8787878787878789</v>
      </c>
      <c r="AM167" s="82">
        <f t="shared" si="368"/>
        <v>0.8484848484848484</v>
      </c>
      <c r="AN167" s="19">
        <f t="shared" ref="AN167:AU167" si="369">SUM(AN7,AN9,AN11,AN13,AN15,AN17,AN19,AN21,AN23,AN25,AN27,AN29,AN31,AN33,AN35,AN37,AN39,AN41,AN43,AN45,AN47,AN49,AN51,AN53,AN55,AN57,AN59,AN61,AN63,AN65,AN67,AN69,AN71,AN73,AN75,AN77,AN79,AN81,AN83,AN85,AN87,AN89,AN91,AN93,AN95,AN97,AN99,AN101,AN103,AN105)</f>
        <v>0</v>
      </c>
      <c r="AO167" s="82">
        <f t="shared" si="369"/>
        <v>0</v>
      </c>
      <c r="AP167" s="19">
        <f t="shared" si="369"/>
        <v>0</v>
      </c>
      <c r="AQ167" s="82">
        <f t="shared" si="369"/>
        <v>0</v>
      </c>
      <c r="AR167" s="19">
        <f t="shared" si="369"/>
        <v>0</v>
      </c>
      <c r="AS167" s="82">
        <f t="shared" si="369"/>
        <v>0</v>
      </c>
      <c r="AT167" s="19">
        <f t="shared" si="369"/>
        <v>0</v>
      </c>
      <c r="AU167" s="82">
        <f t="shared" si="369"/>
        <v>0</v>
      </c>
      <c r="AV167" s="19">
        <f t="shared" ref="AV167" si="370">SUM(AV7,AV9,AV11,AV13,AV15,AV17,AV19,AV21,AV23,AV25,AV27,AV29,AV31,AV33,AV35,AV37,AV39,AV41,AV43,AV45,AV47,AV49,AV51,AV53,AV55,AV57,AV59,AV61,AV63,AV65,AV67,AV69,AV71,AV73,AV75,AV77,AV79,AV81,AV83,AV85,AV87,AV89,AV91,AV93,AV95,AV97,AV99,AV101,AV103,AV105)</f>
        <v>0</v>
      </c>
      <c r="AW167" s="82">
        <f>SUM(AW7,AW9,AW11,AW13,AW15,AW17,AW19,AW21,AW23,AW25,AW27,AW29,AW31,AW33,AW35,AW37,AW39,AW41,AW43,AW45,AW47,AW49,AW51,AW53,AW55,AW57,AW59,AW61,AW63,AW65,AW67,AW69,AW71,AW73,AW75,AW77,AW79,AW81,AW83,AW85,AW87,AW89,AW91,AW93,AW95,AW97,AW99,AW101,AW103,AW105)</f>
        <v>0</v>
      </c>
      <c r="AX167" s="19">
        <f t="shared" ref="AX167:BD167" si="371">SUM(AX7,AX9,AX11,AX13,AX15,AX17,AX19,AX21,AX23,AX25,AX27,AX29,AX31,AX33,AX35,AX37,AX39,AX41,AX43,AX45,AX47,AX49,AX51,AX53,AX55,AX57,AX59,AX61,AX63,AX65,AX67,AX69,AX71,AX73,AX75,AX77,AX79,AX81,AX83,AX85,AX87,AX89,AX91,AX93,AX95,AX97,AX99,AX101,AX103,AX105)</f>
        <v>0</v>
      </c>
      <c r="AY167" s="82">
        <f t="shared" si="371"/>
        <v>0</v>
      </c>
      <c r="AZ167" s="19">
        <f t="shared" si="371"/>
        <v>0</v>
      </c>
      <c r="BA167" s="82">
        <f t="shared" si="371"/>
        <v>0</v>
      </c>
      <c r="BB167" s="19">
        <f t="shared" ref="BB167" si="372">SUM(BB7,BB9,BB11,BB13,BB15,BB17,BB19,BB21,BB23,BB25,BB27,BB29,BB31,BB33,BB35,BB37,BB39,BB41,BB43,BB45,BB47,BB49,BB51,BB53,BB55,BB57,BB59,BB61,BB63,BB65,BB67,BB69,BB71,BB73,BB75,BB77,BB79,BB81,BB83,BB85,BB87,BB89,BB91,BB93,BB95,BB97,BB99,BB101,BB103,BB105)</f>
        <v>0</v>
      </c>
      <c r="BC167" s="82">
        <f t="shared" si="371"/>
        <v>0</v>
      </c>
      <c r="BD167" s="19">
        <f t="shared" si="371"/>
        <v>0</v>
      </c>
      <c r="BE167" s="82">
        <f t="shared" ref="BE167:CY167" si="373">SUM(BE7,BE9,BE11,BE13,BE15,BE17,BE19,BE21,BE23,BE25,BE27,BE29,BE31,BE33,BE35,BE37,BE39,BE41,BE43,BE45,BE47,BE49,BE51,BE53,BE55,BE57,BE59,BE61,BE63,BE65,BE67,BE69,BE71,BE73,BE75,BE77,BE79,BE81,BE83,BE85,BE87,BE89,BE91,BE93,BE95,BE97,BE99,BE101,BE103,BE105)</f>
        <v>0</v>
      </c>
      <c r="BF167" s="19">
        <f t="shared" si="373"/>
        <v>0</v>
      </c>
      <c r="BG167" s="82">
        <f t="shared" si="373"/>
        <v>0</v>
      </c>
      <c r="BH167" s="19">
        <f t="shared" si="373"/>
        <v>0</v>
      </c>
      <c r="BI167" s="82">
        <f t="shared" si="373"/>
        <v>0</v>
      </c>
      <c r="BJ167" s="19">
        <f t="shared" si="373"/>
        <v>0</v>
      </c>
      <c r="BK167" s="82">
        <f t="shared" si="373"/>
        <v>0</v>
      </c>
      <c r="BL167" s="19">
        <f t="shared" si="373"/>
        <v>0</v>
      </c>
      <c r="BM167" s="82">
        <f t="shared" si="373"/>
        <v>0</v>
      </c>
      <c r="BN167" s="19">
        <f t="shared" si="373"/>
        <v>0</v>
      </c>
      <c r="BO167" s="82">
        <f t="shared" si="373"/>
        <v>0</v>
      </c>
      <c r="BP167" s="19">
        <f t="shared" si="373"/>
        <v>0</v>
      </c>
      <c r="BQ167" s="82">
        <f t="shared" si="373"/>
        <v>0</v>
      </c>
      <c r="BR167" s="19">
        <f t="shared" si="373"/>
        <v>0</v>
      </c>
      <c r="BS167" s="82">
        <f t="shared" si="373"/>
        <v>0</v>
      </c>
      <c r="BT167" s="19">
        <f t="shared" si="373"/>
        <v>0</v>
      </c>
      <c r="BU167" s="82">
        <f t="shared" si="373"/>
        <v>0</v>
      </c>
      <c r="BV167" s="19">
        <f t="shared" si="373"/>
        <v>0</v>
      </c>
      <c r="BW167" s="82">
        <f t="shared" si="373"/>
        <v>0</v>
      </c>
      <c r="BX167" s="19">
        <f t="shared" si="373"/>
        <v>0</v>
      </c>
      <c r="BY167" s="82">
        <f t="shared" si="373"/>
        <v>0</v>
      </c>
      <c r="BZ167" s="19">
        <f t="shared" si="373"/>
        <v>0</v>
      </c>
      <c r="CA167" s="82">
        <f t="shared" si="373"/>
        <v>0</v>
      </c>
      <c r="CB167" s="19">
        <f t="shared" si="373"/>
        <v>0</v>
      </c>
      <c r="CC167" s="82">
        <f t="shared" si="373"/>
        <v>0</v>
      </c>
      <c r="CD167" s="19">
        <f t="shared" si="373"/>
        <v>0</v>
      </c>
      <c r="CE167" s="82">
        <f t="shared" si="373"/>
        <v>0</v>
      </c>
      <c r="CF167" s="19">
        <f t="shared" si="373"/>
        <v>0</v>
      </c>
      <c r="CG167" s="82">
        <f t="shared" si="373"/>
        <v>0</v>
      </c>
      <c r="CH167" s="19">
        <f t="shared" si="373"/>
        <v>0</v>
      </c>
      <c r="CI167" s="82">
        <f t="shared" si="373"/>
        <v>0</v>
      </c>
      <c r="CJ167" s="19">
        <f t="shared" si="373"/>
        <v>0</v>
      </c>
      <c r="CK167" s="82">
        <f t="shared" si="373"/>
        <v>0</v>
      </c>
      <c r="CL167" s="19">
        <f t="shared" si="373"/>
        <v>0</v>
      </c>
      <c r="CM167" s="82">
        <f t="shared" si="373"/>
        <v>0</v>
      </c>
      <c r="CN167" s="19">
        <f t="shared" si="373"/>
        <v>0</v>
      </c>
      <c r="CO167" s="82">
        <f t="shared" si="373"/>
        <v>0</v>
      </c>
      <c r="CP167" s="19">
        <f t="shared" si="373"/>
        <v>0</v>
      </c>
      <c r="CQ167" s="82">
        <f t="shared" si="373"/>
        <v>0</v>
      </c>
      <c r="CR167" s="19">
        <f t="shared" si="373"/>
        <v>0</v>
      </c>
      <c r="CS167" s="82">
        <f t="shared" si="373"/>
        <v>0</v>
      </c>
      <c r="CT167" s="19">
        <f t="shared" si="373"/>
        <v>0</v>
      </c>
      <c r="CU167" s="82">
        <f t="shared" si="373"/>
        <v>0</v>
      </c>
      <c r="CV167" s="19">
        <f t="shared" si="373"/>
        <v>0</v>
      </c>
      <c r="CW167" s="82">
        <f t="shared" si="373"/>
        <v>0</v>
      </c>
      <c r="CX167" s="19">
        <f t="shared" si="373"/>
        <v>0</v>
      </c>
      <c r="CY167" s="82">
        <f t="shared" si="373"/>
        <v>0</v>
      </c>
      <c r="CZ167" s="19">
        <f>SUM(V167:AA167)</f>
        <v>3.6771929824561402</v>
      </c>
    </row>
    <row r="168" spans="1:113" ht="26.25" customHeight="1" x14ac:dyDescent="0.4">
      <c r="A168" s="474"/>
      <c r="B168" s="475"/>
      <c r="C168" s="475"/>
      <c r="D168" s="475"/>
      <c r="E168" s="475"/>
      <c r="F168" s="475"/>
      <c r="G168" s="476"/>
      <c r="H168" s="468"/>
      <c r="I168" s="468"/>
      <c r="J168" s="480" t="s">
        <v>90</v>
      </c>
      <c r="K168" s="481"/>
      <c r="L168" s="481"/>
      <c r="M168" s="482"/>
      <c r="N168" s="11" t="s">
        <v>89</v>
      </c>
      <c r="O168" s="11">
        <f>SUM(O8,O10,O12,O14,O16,O18,O20,O22,O24,O26,O28,O30,O32,O34,O36,O38,O40,O42,O44,O46,O48,O50,O52,O54,O56,O58,O60,O62,O64,O66,O68,O70,O72,O74,O76,O78,O80,O82,O84,O86,O88,O90,O92,O94,O96,O98,O100,O102,O104,O106)</f>
        <v>0.46250000000000002</v>
      </c>
      <c r="P168" s="207">
        <f>SUM(P8,P10,P12,P14,P16,P18,P20,P22,P24,P26,P28,P30,P32,P34,P36,P38,P40,P42,P44,P46,P48,P50,P52,P54,P56,P58,P60,P62,P64,P66,P68,P70,P72,P74,P76,P78,P80,P82,P84,P86,P88,P90,P92,P94,P96,P98,P100,P102,P104,P106)</f>
        <v>0</v>
      </c>
      <c r="Q168" s="207">
        <f t="shared" ref="Q168:U168" si="374">SUM(Q8,Q10,Q12,Q14,Q16,Q18,Q20,Q22,Q24,Q26,Q28,Q30,Q32,Q34,Q36,Q38,Q40,Q42,Q44,Q46,Q48,Q50,Q52,Q54,Q56,Q58,Q60,Q62,Q64,Q66,Q68,Q70,Q72,Q74,Q76,Q78,Q80,Q82,Q84,Q86,Q88,Q90,Q92,Q94,Q96,Q98,Q100,Q102,Q104,Q106)</f>
        <v>0.8125</v>
      </c>
      <c r="R168" s="207">
        <f t="shared" si="374"/>
        <v>0.72083333333333333</v>
      </c>
      <c r="S168" s="207">
        <f t="shared" si="374"/>
        <v>0.87083333333333324</v>
      </c>
      <c r="T168" s="207">
        <f t="shared" si="374"/>
        <v>0.92499999999999993</v>
      </c>
      <c r="U168" s="49">
        <f t="shared" si="374"/>
        <v>0.87916666666666665</v>
      </c>
      <c r="V168" s="207">
        <f>SUM(V8,V10,V12,V14,V16,V18,V20,V22,V24,V26,V28,V30,V32,V34,V36,V38,V40,V42,V44,V46,V48,V50,V52,V54,V56,V58,V60,V62,V64,V66,V68,V70,V72,V74,V76,V78,V80,V82,V84,V86,V88,V90,V92,V94,V96,V98,V100,V102,V104,V106)</f>
        <v>0.37894736842105264</v>
      </c>
      <c r="W168" s="207">
        <f t="shared" si="365"/>
        <v>0</v>
      </c>
      <c r="X168" s="207">
        <f t="shared" si="365"/>
        <v>0.64561403508771942</v>
      </c>
      <c r="Y168" s="207">
        <f t="shared" si="365"/>
        <v>0.74736842105263157</v>
      </c>
      <c r="Z168" s="207">
        <f>SUM(Z8,Z10,Z12,Z14,Z16,Z18,Z20,Z22,Z24,Z26,Z28,Z30,Z32,Z34,Z36,Z38,Z40,Z42,Z44,Z46,Z48,Z50,Z52,Z54,Z56,Z58,Z60,Z62,Z64,Z66,Z68,Z70,Z72,Z74,Z76,Z78,Z80,Z82,Z84,Z86,Z88,Z90,Z92,Z94,Z96,Z98,Z100,Z102,Z104,Z106)</f>
        <v>0.75789473684210529</v>
      </c>
      <c r="AA168" s="49">
        <f>SUM(AA8,AA10,AA12,AA14,AA16,AA18,AA20,AA22,AA24,AA26,AA28,AA30,AA32,AA34,AA36,AA38,AA40,AA42,AA44,AA46,AA48,AA50,AA52,AA54,AA56,AA58,AA60,AA62,AA64,AA66,AA68,AA70,AA72,AA74,AA76,AA78,AA80,AA82,AA84,AA86,AA88,AA90,AA92,AA94,AA96,AA98,AA100,AA102,AA104,AA106)</f>
        <v>0.7929824561403509</v>
      </c>
      <c r="AB168" s="207">
        <f>SUM(AB8,AB10,AB12,AB14,AB16,AB18,AB20,AB22,AB24,AB26,AB28,AB30,AB32,AB34,AB36,AB38,AB40,AB42,AB44,AB46,AB48,AB50,AB52,AB54,AB56,AB58,AB60,AB62,AB64,AB66,AB68,AB70,AB72,AB74,AB76,AB78,AB80,AB82,AB84,AB86,AB88,AB90,AB92,AB94,AB96,AB98,AB100,AB102,AB104,AB106)</f>
        <v>0.38787878787878788</v>
      </c>
      <c r="AC168" s="207">
        <f t="shared" ref="AC168:AE168" si="375">SUM(AC8,AC10,AC12,AC14,AC16,AC18,AC20,AC22,AC24,AC26,AC28,AC30,AC32,AC34,AC36,AC38,AC40,AC42,AC44,AC46,AC48,AC50,AC52,AC54,AC56,AC58,AC60,AC62,AC64,AC66,AC68,AC70,AC72,AC74,AC76,AC78,AC80,AC82,AC84,AC86,AC88,AC90,AC92,AC94,AC96,AC98,AC100,AC102,AC104,AC106)</f>
        <v>0.44545454545454544</v>
      </c>
      <c r="AD168" s="207">
        <f t="shared" si="375"/>
        <v>0.74545454545454559</v>
      </c>
      <c r="AE168" s="207">
        <f t="shared" si="375"/>
        <v>0.84848484848484851</v>
      </c>
      <c r="AF168" s="207">
        <f>SUM(AF8,AF10,AF12,AF14,AF16,AF18,AF20,AF22,AF24,AF26,AF28,AF30,AF32,AF34,AF36,AF38,AF40,AF42,AF44,AF46,AF48,AF50,AF52,AF54,AF56,AF58,AF60,AF62,AF64,AF66,AF68,AF70,AF72,AF74,AF76,AF78,AF80,AF82,AF84,AF86,AF88,AF90,AF92,AF94,AF96,AF98,AF100,AF102,AF104,AF106)</f>
        <v>0.81212121212121224</v>
      </c>
      <c r="AG168" s="49">
        <f>SUM(AG8,AG10,AG12,AG14,AG16,AG18,AG20,AG22,AG24,AG26,AG28,AG30,AG32,AG34,AG36,AG38,AG40,AG42,AG44,AG46,AG48,AG50,AG52,AG54,AG56,AG58,AG60,AG62,AG64,AG66,AG68,AG70,AG72,AG74,AG76,AG78,AG80,AG82,AG84,AG86,AG88,AG90,AG92,AG94,AG96,AG98,AG100,AG102,AG104,AG106)</f>
        <v>0.79393939393939383</v>
      </c>
      <c r="AH168" s="207">
        <f>SUM(AH8,AH10,AH12,AH14,AH16,AH18,AH20,AH22,AH24,AH26,AH28,AH30,AH32,AH34,AH36,AH38,AH40,AH42,AH44,AH46,AH48,AH50,AH52,AH54,AH56,AH58,AH60,AH62,AH64,AH66,AH68,AH70,AH72,AH74,AH76,AH78,AH80,AH82,AH84,AH86,AH88,AH90,AH92,AH94,AH96,AH98,AH100,AH102,AH104,AH106)</f>
        <v>0.47878787878787871</v>
      </c>
      <c r="AI168" s="207">
        <f t="shared" ref="AI168:AK168" si="376">SUM(AI8,AI10,AI12,AI14,AI16,AI18,AI20,AI22,AI24,AI26,AI28,AI30,AI32,AI34,AI36,AI38,AI40,AI42,AI44,AI46,AI48,AI50,AI52,AI54,AI56,AI58,AI60,AI62,AI64,AI66,AI68,AI70,AI72,AI74,AI76,AI78,AI80,AI82,AI84,AI86,AI88,AI90,AI92,AI94,AI96,AI98,AI100,AI102,AI104,AI106)</f>
        <v>0.78787878787878796</v>
      </c>
      <c r="AJ168" s="207">
        <f t="shared" si="376"/>
        <v>0.80303030303030321</v>
      </c>
      <c r="AK168" s="207">
        <f t="shared" si="376"/>
        <v>0.77878787878787881</v>
      </c>
      <c r="AL168" s="207">
        <f>SUM(AL8,AL10,AL12,AL14,AL16,AL18,AL20,AL22,AL24,AL26,AL28,AL30,AL32,AL34,AL36,AL38,AL40,AL42,AL44,AL46,AL48,AL50,AL52,AL54,AL56,AL58,AL60,AL62,AL64,AL66,AL68,AL70,AL72,AL74,AL76,AL78,AL80,AL82,AL84,AL86,AL88,AL90,AL92,AL94,AL96,AL98,AL100,AL102,AL104,AL106)</f>
        <v>0.79090909090909101</v>
      </c>
      <c r="AM168" s="49">
        <f>SUM(AM8,AM10,AM12,AM14,AM16,AM18,AM20,AM22,AM24,AM26,AM28,AM30,AM32,AM34,AM36,AM38,AM40,AM42,AM44,AM46,AM48,AM50,AM52,AM54,AM56,AM58,AM60,AM62,AM64,AM66,AM68,AM70,AM72,AM74,AM76,AM78,AM80,AM82,AM84,AM86,AM88,AM90,AM92,AM94,AM96,AM98,AM100,AM102,AM104,AM106)</f>
        <v>0.79696969696969711</v>
      </c>
      <c r="AN168" s="57">
        <f t="shared" ref="AN168:AU168" si="377">SUM(AN8,AN10,AN12,AN14,AN16,AN18,AN20,AN22,AN24,AN26,AN28,AN30,AN32,AN34,AN36,AN38,AN40,AN42,AN44,AN46,AN48,AN50,AN52,AN54,AN56,AN58,AN60,AN62,AN64,AN66,AN68,AN70,AN72,AN74,AN76,AN78,AN80,AN82,AN84,AN86,AN88,AN90,AN92,AN94,AN96,AN98,AN100,AN102,AN104,AN106)</f>
        <v>0</v>
      </c>
      <c r="AO168" s="49">
        <f t="shared" si="377"/>
        <v>0</v>
      </c>
      <c r="AP168" s="57">
        <f t="shared" si="377"/>
        <v>0</v>
      </c>
      <c r="AQ168" s="49">
        <f t="shared" si="377"/>
        <v>0</v>
      </c>
      <c r="AR168" s="57">
        <f t="shared" si="377"/>
        <v>0</v>
      </c>
      <c r="AS168" s="49">
        <f t="shared" si="377"/>
        <v>0</v>
      </c>
      <c r="AT168" s="57">
        <f t="shared" si="377"/>
        <v>0</v>
      </c>
      <c r="AU168" s="49">
        <f t="shared" si="377"/>
        <v>0</v>
      </c>
      <c r="AV168" s="57">
        <f>SUM(AV8,AV10,AV12,AV14,AV16,AV18,AV20,AV22,AV24,AV26,AV28,AV30,AV32,AV34,AV36,AV38,AV40,AV42,AV44,AV46,AV48,AV50,AV52,AV54,AV56,AV58,AV60,AV62,AV64,AV66,AV68,AV70,AV72,AV74,AV76,AV78,AV80,AV82,AV84,AV86,AV88,AV90,AV92,AV94,AV96,AV98,AV100,AV102,AV104,AV106)</f>
        <v>0</v>
      </c>
      <c r="AW168" s="49">
        <f>SUM(AW8,AW10,AW12,AW14,AW16,AW18,AW20,AW22,AW24,AW26,AW28,AW30,AW32,AW34,AW36,AW38,AW40,AW42,AW44,AW46,AW48,AW50,AW52,AW54,AW56,AW58,AW60,AW62,AW64,AW66,AW68,AW70,AW72,AW74,AW76,AW78,AW80,AW82,AW84,AW86,AW88,AW90,AW92,AW94,AW96,AW98,AW100,AW102,AW104,AW106)</f>
        <v>0</v>
      </c>
      <c r="AX168" s="57">
        <f t="shared" ref="AX168:BC168" si="378">SUM(AX8,AX10,AX12,AX14,AX16,AX18,AX20,AX22,AX24,AX26,AX28,AX30,AX32,AX34,AX36,AX38,AX40,AX42,AX44,AX46,AX48,AX50,AX52,AX54,AX56,AX58,AX60,AX62,AX64,AX66,AX68,AX70,AX72,AX74,AX76,AX78,AX80,AX82,AX84,AX86,AX88,AX90,AX92,AX94,AX96,AX98,AX100,AX102,AX104,AX106)</f>
        <v>0</v>
      </c>
      <c r="AY168" s="49">
        <f t="shared" si="378"/>
        <v>0</v>
      </c>
      <c r="AZ168" s="57">
        <f t="shared" si="378"/>
        <v>0</v>
      </c>
      <c r="BA168" s="49">
        <f t="shared" si="378"/>
        <v>0</v>
      </c>
      <c r="BB168" s="57">
        <f t="shared" ref="BB168" si="379">SUM(BB8,BB10,BB12,BB14,BB16,BB18,BB20,BB22,BB24,BB26,BB28,BB30,BB32,BB34,BB36,BB38,BB40,BB42,BB44,BB46,BB48,BB50,BB52,BB54,BB56,BB58,BB60,BB62,BB64,BB66,BB68,BB70,BB72,BB74,BB76,BB78,BB80,BB82,BB84,BB86,BB88,BB90,BB92,BB94,BB96,BB98,BB100,BB102,BB104,BB106)</f>
        <v>0</v>
      </c>
      <c r="BC168" s="49">
        <f t="shared" si="378"/>
        <v>0</v>
      </c>
      <c r="BD168" s="57">
        <f>SUM(BD8,BD10,BD12,BD14,BD16,BD18,BD20,BD22,BD24,BD26,BD28,BD30,BD32,BD34,BD36,BD38,BD40,BD42,BD44,BD46,BD48,BD50,BD52,BD54,BD56,BD58,BD60,BD62,BD64,BD66,BD68,BD70,BD72,BD74,BD76,BD78,BD80,BD82,BD84,BD86,BD88,BD90,BD92,BD94,BD96,BD98,BD100,BD102,BD104,BD106)</f>
        <v>0</v>
      </c>
      <c r="BE168" s="49">
        <f t="shared" ref="BE168:CY168" si="380">SUM(BE8,BE10,BE12,BE14,BE16,BE18,BE20,BE22,BE24,BE26,BE28,BE30,BE32,BE34,BE36,BE38,BE40,BE42,BE44,BE46,BE48,BE50,BE52,BE54,BE56,BE58,BE60,BE62,BE64,BE66,BE68,BE70,BE72,BE74,BE76,BE78,BE80,BE82,BE84,BE86,BE88,BE90,BE92,BE94,BE96,BE98,BE100,BE102,BE104,BE106)</f>
        <v>0</v>
      </c>
      <c r="BF168" s="57">
        <f t="shared" si="380"/>
        <v>0</v>
      </c>
      <c r="BG168" s="49">
        <f t="shared" si="380"/>
        <v>0</v>
      </c>
      <c r="BH168" s="57">
        <f t="shared" si="380"/>
        <v>0</v>
      </c>
      <c r="BI168" s="49">
        <f t="shared" si="380"/>
        <v>0</v>
      </c>
      <c r="BJ168" s="57">
        <f t="shared" si="380"/>
        <v>0</v>
      </c>
      <c r="BK168" s="49">
        <f t="shared" si="380"/>
        <v>0</v>
      </c>
      <c r="BL168" s="57">
        <f t="shared" si="380"/>
        <v>0</v>
      </c>
      <c r="BM168" s="49">
        <f t="shared" si="380"/>
        <v>0</v>
      </c>
      <c r="BN168" s="57">
        <f t="shared" si="380"/>
        <v>0</v>
      </c>
      <c r="BO168" s="49">
        <f t="shared" si="380"/>
        <v>0</v>
      </c>
      <c r="BP168" s="57">
        <f t="shared" si="380"/>
        <v>0</v>
      </c>
      <c r="BQ168" s="49">
        <f t="shared" si="380"/>
        <v>0</v>
      </c>
      <c r="BR168" s="57">
        <f t="shared" si="380"/>
        <v>0</v>
      </c>
      <c r="BS168" s="49">
        <f t="shared" si="380"/>
        <v>0</v>
      </c>
      <c r="BT168" s="57">
        <f t="shared" si="380"/>
        <v>0</v>
      </c>
      <c r="BU168" s="49">
        <f t="shared" si="380"/>
        <v>0</v>
      </c>
      <c r="BV168" s="57">
        <f t="shared" si="380"/>
        <v>0</v>
      </c>
      <c r="BW168" s="49">
        <f t="shared" si="380"/>
        <v>0</v>
      </c>
      <c r="BX168" s="57">
        <f t="shared" si="380"/>
        <v>0</v>
      </c>
      <c r="BY168" s="49">
        <f t="shared" si="380"/>
        <v>0</v>
      </c>
      <c r="BZ168" s="57">
        <f t="shared" si="380"/>
        <v>0</v>
      </c>
      <c r="CA168" s="49">
        <f t="shared" si="380"/>
        <v>0</v>
      </c>
      <c r="CB168" s="57">
        <f t="shared" si="380"/>
        <v>0</v>
      </c>
      <c r="CC168" s="49">
        <f t="shared" si="380"/>
        <v>0</v>
      </c>
      <c r="CD168" s="57">
        <f t="shared" si="380"/>
        <v>0</v>
      </c>
      <c r="CE168" s="49">
        <f t="shared" si="380"/>
        <v>0</v>
      </c>
      <c r="CF168" s="57">
        <f t="shared" si="380"/>
        <v>0</v>
      </c>
      <c r="CG168" s="49">
        <f t="shared" si="380"/>
        <v>0</v>
      </c>
      <c r="CH168" s="57">
        <f t="shared" si="380"/>
        <v>0</v>
      </c>
      <c r="CI168" s="49">
        <f t="shared" si="380"/>
        <v>0</v>
      </c>
      <c r="CJ168" s="57">
        <f t="shared" si="380"/>
        <v>0</v>
      </c>
      <c r="CK168" s="49">
        <f t="shared" si="380"/>
        <v>0</v>
      </c>
      <c r="CL168" s="57">
        <f t="shared" si="380"/>
        <v>0</v>
      </c>
      <c r="CM168" s="49">
        <f t="shared" si="380"/>
        <v>0</v>
      </c>
      <c r="CN168" s="57">
        <f t="shared" si="380"/>
        <v>0</v>
      </c>
      <c r="CO168" s="49">
        <f t="shared" si="380"/>
        <v>0</v>
      </c>
      <c r="CP168" s="57">
        <f t="shared" si="380"/>
        <v>0</v>
      </c>
      <c r="CQ168" s="49">
        <f t="shared" si="380"/>
        <v>0</v>
      </c>
      <c r="CR168" s="57">
        <f t="shared" si="380"/>
        <v>0</v>
      </c>
      <c r="CS168" s="49">
        <f t="shared" si="380"/>
        <v>0</v>
      </c>
      <c r="CT168" s="57">
        <f t="shared" si="380"/>
        <v>0</v>
      </c>
      <c r="CU168" s="49">
        <f t="shared" si="380"/>
        <v>0</v>
      </c>
      <c r="CV168" s="57">
        <f t="shared" si="380"/>
        <v>0</v>
      </c>
      <c r="CW168" s="49">
        <f t="shared" si="380"/>
        <v>0</v>
      </c>
      <c r="CX168" s="57">
        <f t="shared" si="380"/>
        <v>0</v>
      </c>
      <c r="CY168" s="49">
        <f t="shared" si="380"/>
        <v>0</v>
      </c>
      <c r="CZ168" s="20">
        <f>SUM(V168:AA168)</f>
        <v>3.3228070175438598</v>
      </c>
    </row>
    <row r="170" spans="1:113" ht="20.100000000000001" customHeight="1" x14ac:dyDescent="0.4">
      <c r="A170" s="7" t="s">
        <v>29</v>
      </c>
    </row>
    <row r="171" spans="1:113" s="2" customFormat="1" ht="20.100000000000001" customHeight="1" x14ac:dyDescent="0.4">
      <c r="A171" s="508" t="s">
        <v>0</v>
      </c>
      <c r="B171" s="499" t="s">
        <v>87</v>
      </c>
      <c r="C171" s="499" t="s">
        <v>6</v>
      </c>
      <c r="D171" s="499" t="s">
        <v>31</v>
      </c>
      <c r="E171" s="499" t="s">
        <v>2</v>
      </c>
      <c r="F171" s="499" t="s">
        <v>3</v>
      </c>
      <c r="G171" s="536" t="s">
        <v>1</v>
      </c>
      <c r="H171" s="500" t="s">
        <v>24</v>
      </c>
      <c r="I171" s="500" t="s">
        <v>25</v>
      </c>
      <c r="J171" s="500" t="s">
        <v>9</v>
      </c>
      <c r="K171" s="508" t="s">
        <v>7</v>
      </c>
      <c r="L171" s="508" t="s">
        <v>8</v>
      </c>
      <c r="M171" s="508" t="s">
        <v>4</v>
      </c>
      <c r="N171" s="577" t="s">
        <v>5</v>
      </c>
      <c r="O171" s="578"/>
      <c r="P171" s="578"/>
      <c r="Q171" s="578"/>
      <c r="R171" s="578"/>
      <c r="S171" s="578"/>
      <c r="T171" s="578"/>
      <c r="U171" s="578"/>
      <c r="V171" s="578"/>
      <c r="W171" s="578"/>
      <c r="X171" s="578"/>
      <c r="Y171" s="578"/>
      <c r="Z171" s="578"/>
      <c r="AA171" s="578"/>
      <c r="AB171" s="578"/>
      <c r="AC171" s="578"/>
      <c r="AD171" s="578"/>
      <c r="AE171" s="578"/>
      <c r="AF171" s="578"/>
      <c r="AG171" s="578"/>
      <c r="AH171" s="578"/>
      <c r="AI171" s="578"/>
      <c r="AJ171" s="578"/>
      <c r="AK171" s="578"/>
      <c r="AL171" s="578"/>
      <c r="AM171" s="578"/>
      <c r="AN171" s="578"/>
      <c r="AO171" s="578"/>
      <c r="AP171" s="578"/>
      <c r="AQ171" s="578"/>
      <c r="AR171" s="578"/>
      <c r="AS171" s="578"/>
      <c r="AT171" s="578"/>
      <c r="AU171" s="578"/>
      <c r="AV171" s="578"/>
      <c r="AW171" s="578"/>
      <c r="AX171" s="578"/>
      <c r="AY171" s="578"/>
      <c r="AZ171" s="578"/>
      <c r="BA171" s="578"/>
      <c r="BB171" s="578"/>
      <c r="BC171" s="578"/>
      <c r="BD171" s="578"/>
      <c r="BE171" s="578"/>
      <c r="BF171" s="578"/>
      <c r="BG171" s="578"/>
      <c r="BH171" s="578"/>
      <c r="BI171" s="578"/>
      <c r="BJ171" s="578"/>
      <c r="BK171" s="578"/>
      <c r="BL171" s="578"/>
      <c r="BM171" s="578"/>
      <c r="BN171" s="578"/>
      <c r="BO171" s="578"/>
      <c r="BP171" s="578"/>
      <c r="BQ171" s="578"/>
      <c r="BR171" s="578"/>
      <c r="BS171" s="578"/>
      <c r="BT171" s="578"/>
      <c r="BU171" s="578"/>
      <c r="BV171" s="578"/>
      <c r="BW171" s="578"/>
      <c r="BX171" s="578"/>
      <c r="BY171" s="578"/>
      <c r="BZ171" s="578"/>
      <c r="CA171" s="578"/>
      <c r="CB171" s="578"/>
      <c r="CC171" s="578"/>
      <c r="CD171" s="578"/>
      <c r="CE171" s="578"/>
      <c r="CF171" s="578"/>
      <c r="CG171" s="578"/>
      <c r="CH171" s="578"/>
      <c r="CI171" s="578"/>
      <c r="CJ171" s="578"/>
      <c r="CK171" s="578"/>
      <c r="CL171" s="578"/>
      <c r="CM171" s="578"/>
      <c r="CN171" s="578"/>
      <c r="CO171" s="578"/>
      <c r="CP171" s="578"/>
      <c r="CQ171" s="578"/>
      <c r="CR171" s="578"/>
      <c r="CS171" s="578"/>
      <c r="CT171" s="578"/>
      <c r="CU171" s="578"/>
      <c r="CV171" s="578"/>
      <c r="CW171" s="578"/>
      <c r="CX171" s="578"/>
      <c r="CY171" s="578"/>
      <c r="CZ171" s="280"/>
    </row>
    <row r="172" spans="1:113" s="2" customFormat="1" ht="20.100000000000001" customHeight="1" x14ac:dyDescent="0.4">
      <c r="A172" s="509"/>
      <c r="B172" s="499"/>
      <c r="C172" s="499"/>
      <c r="D172" s="499"/>
      <c r="E172" s="499"/>
      <c r="F172" s="499"/>
      <c r="G172" s="537"/>
      <c r="H172" s="501"/>
      <c r="I172" s="501"/>
      <c r="J172" s="501"/>
      <c r="K172" s="509"/>
      <c r="L172" s="509"/>
      <c r="M172" s="509"/>
      <c r="N172" s="530" t="s">
        <v>134</v>
      </c>
      <c r="O172" s="512"/>
      <c r="P172" s="512"/>
      <c r="Q172" s="512"/>
      <c r="R172" s="512"/>
      <c r="S172" s="512"/>
      <c r="T172" s="512"/>
      <c r="U172" s="512"/>
      <c r="V172" s="511" t="s">
        <v>135</v>
      </c>
      <c r="W172" s="512"/>
      <c r="X172" s="512"/>
      <c r="Y172" s="512"/>
      <c r="Z172" s="512"/>
      <c r="AA172" s="512"/>
      <c r="AB172" s="511" t="s">
        <v>137</v>
      </c>
      <c r="AC172" s="512"/>
      <c r="AD172" s="512"/>
      <c r="AE172" s="512"/>
      <c r="AF172" s="512"/>
      <c r="AG172" s="512"/>
      <c r="AH172" s="511" t="s">
        <v>138</v>
      </c>
      <c r="AI172" s="512"/>
      <c r="AJ172" s="512"/>
      <c r="AK172" s="512"/>
      <c r="AL172" s="512"/>
      <c r="AM172" s="512"/>
      <c r="AN172" s="511" t="s">
        <v>139</v>
      </c>
      <c r="AO172" s="512"/>
      <c r="AP172" s="512"/>
      <c r="AQ172" s="512"/>
      <c r="AR172" s="512"/>
      <c r="AS172" s="512"/>
      <c r="AT172" s="512"/>
      <c r="AU172" s="512"/>
      <c r="AV172" s="511" t="s">
        <v>140</v>
      </c>
      <c r="AW172" s="512"/>
      <c r="AX172" s="512"/>
      <c r="AY172" s="512"/>
      <c r="AZ172" s="512"/>
      <c r="BA172" s="512"/>
      <c r="BB172" s="512"/>
      <c r="BC172" s="512"/>
      <c r="BD172" s="511" t="s">
        <v>141</v>
      </c>
      <c r="BE172" s="512"/>
      <c r="BF172" s="512"/>
      <c r="BG172" s="512"/>
      <c r="BH172" s="512"/>
      <c r="BI172" s="512"/>
      <c r="BJ172" s="512"/>
      <c r="BK172" s="512"/>
      <c r="BL172" s="511" t="s">
        <v>142</v>
      </c>
      <c r="BM172" s="512"/>
      <c r="BN172" s="512"/>
      <c r="BO172" s="512"/>
      <c r="BP172" s="512"/>
      <c r="BQ172" s="512"/>
      <c r="BR172" s="512"/>
      <c r="BS172" s="512"/>
      <c r="BT172" s="511" t="s">
        <v>143</v>
      </c>
      <c r="BU172" s="512"/>
      <c r="BV172" s="512"/>
      <c r="BW172" s="512"/>
      <c r="BX172" s="512"/>
      <c r="BY172" s="512"/>
      <c r="BZ172" s="512"/>
      <c r="CA172" s="512"/>
      <c r="CB172" s="511" t="s">
        <v>144</v>
      </c>
      <c r="CC172" s="512"/>
      <c r="CD172" s="512"/>
      <c r="CE172" s="512"/>
      <c r="CF172" s="512"/>
      <c r="CG172" s="512"/>
      <c r="CH172" s="512"/>
      <c r="CI172" s="512"/>
      <c r="CJ172" s="511" t="s">
        <v>30</v>
      </c>
      <c r="CK172" s="512"/>
      <c r="CL172" s="512"/>
      <c r="CM172" s="512"/>
      <c r="CN172" s="512"/>
      <c r="CO172" s="512"/>
      <c r="CP172" s="512"/>
      <c r="CQ172" s="512"/>
      <c r="CR172" s="511" t="s">
        <v>145</v>
      </c>
      <c r="CS172" s="512"/>
      <c r="CT172" s="512"/>
      <c r="CU172" s="512"/>
      <c r="CV172" s="512"/>
      <c r="CW172" s="512"/>
      <c r="CX172" s="512"/>
      <c r="CY172" s="512"/>
      <c r="CZ172" s="280"/>
    </row>
    <row r="173" spans="1:113" s="2" customFormat="1" ht="20.100000000000001" customHeight="1" x14ac:dyDescent="0.4">
      <c r="A173" s="510"/>
      <c r="B173" s="499"/>
      <c r="C173" s="499"/>
      <c r="D173" s="499"/>
      <c r="E173" s="499"/>
      <c r="F173" s="499"/>
      <c r="G173" s="538"/>
      <c r="H173" s="502"/>
      <c r="I173" s="502"/>
      <c r="J173" s="502"/>
      <c r="K173" s="510"/>
      <c r="L173" s="510"/>
      <c r="M173" s="510"/>
      <c r="N173" s="5"/>
      <c r="O173" s="5" t="s">
        <v>176</v>
      </c>
      <c r="P173" s="5" t="s">
        <v>414</v>
      </c>
      <c r="Q173" s="5" t="s">
        <v>174</v>
      </c>
      <c r="R173" s="16" t="s">
        <v>415</v>
      </c>
      <c r="S173" s="16" t="s">
        <v>416</v>
      </c>
      <c r="T173" s="16" t="s">
        <v>417</v>
      </c>
      <c r="U173" s="16" t="s">
        <v>418</v>
      </c>
      <c r="V173" s="5" t="s">
        <v>176</v>
      </c>
      <c r="W173" s="5" t="s">
        <v>414</v>
      </c>
      <c r="X173" s="5" t="s">
        <v>174</v>
      </c>
      <c r="Y173" s="16" t="s">
        <v>416</v>
      </c>
      <c r="Z173" s="16" t="s">
        <v>417</v>
      </c>
      <c r="AA173" s="16" t="s">
        <v>418</v>
      </c>
      <c r="AB173" s="214" t="s">
        <v>176</v>
      </c>
      <c r="AC173" s="5" t="s">
        <v>414</v>
      </c>
      <c r="AD173" s="5" t="s">
        <v>174</v>
      </c>
      <c r="AE173" s="16" t="s">
        <v>416</v>
      </c>
      <c r="AF173" s="16" t="s">
        <v>417</v>
      </c>
      <c r="AG173" s="16" t="s">
        <v>418</v>
      </c>
      <c r="AH173" s="214" t="s">
        <v>176</v>
      </c>
      <c r="AI173" s="5" t="s">
        <v>414</v>
      </c>
      <c r="AJ173" s="5" t="s">
        <v>174</v>
      </c>
      <c r="AK173" s="16" t="s">
        <v>416</v>
      </c>
      <c r="AL173" s="16" t="s">
        <v>417</v>
      </c>
      <c r="AM173" s="16" t="s">
        <v>418</v>
      </c>
      <c r="AN173" s="71" t="s">
        <v>176</v>
      </c>
      <c r="AO173" s="5" t="s">
        <v>171</v>
      </c>
      <c r="AP173" s="5" t="s">
        <v>172</v>
      </c>
      <c r="AQ173" s="16" t="s">
        <v>173</v>
      </c>
      <c r="AR173" s="16" t="s">
        <v>174</v>
      </c>
      <c r="AS173" s="16" t="s">
        <v>175</v>
      </c>
      <c r="AT173" s="16" t="s">
        <v>175</v>
      </c>
      <c r="AU173" s="72" t="s">
        <v>335</v>
      </c>
      <c r="AV173" s="71" t="s">
        <v>176</v>
      </c>
      <c r="AW173" s="5" t="s">
        <v>171</v>
      </c>
      <c r="AX173" s="5" t="s">
        <v>172</v>
      </c>
      <c r="AY173" s="16" t="s">
        <v>173</v>
      </c>
      <c r="AZ173" s="16" t="s">
        <v>174</v>
      </c>
      <c r="BA173" s="16" t="s">
        <v>175</v>
      </c>
      <c r="BB173" s="16" t="s">
        <v>175</v>
      </c>
      <c r="BC173" s="16" t="s">
        <v>335</v>
      </c>
      <c r="BD173" s="214" t="s">
        <v>176</v>
      </c>
      <c r="BE173" s="5" t="s">
        <v>171</v>
      </c>
      <c r="BF173" s="5" t="s">
        <v>172</v>
      </c>
      <c r="BG173" s="16" t="s">
        <v>173</v>
      </c>
      <c r="BH173" s="16" t="s">
        <v>174</v>
      </c>
      <c r="BI173" s="16" t="s">
        <v>175</v>
      </c>
      <c r="BJ173" s="16" t="s">
        <v>175</v>
      </c>
      <c r="BK173" s="16" t="s">
        <v>335</v>
      </c>
      <c r="BL173" s="71" t="s">
        <v>176</v>
      </c>
      <c r="BM173" s="5" t="s">
        <v>171</v>
      </c>
      <c r="BN173" s="5" t="s">
        <v>172</v>
      </c>
      <c r="BO173" s="16" t="s">
        <v>173</v>
      </c>
      <c r="BP173" s="16" t="s">
        <v>174</v>
      </c>
      <c r="BQ173" s="16" t="s">
        <v>175</v>
      </c>
      <c r="BR173" s="16" t="s">
        <v>175</v>
      </c>
      <c r="BS173" s="16" t="s">
        <v>335</v>
      </c>
      <c r="BT173" s="71" t="s">
        <v>176</v>
      </c>
      <c r="BU173" s="5" t="s">
        <v>171</v>
      </c>
      <c r="BV173" s="5" t="s">
        <v>172</v>
      </c>
      <c r="BW173" s="16" t="s">
        <v>173</v>
      </c>
      <c r="BX173" s="16" t="s">
        <v>174</v>
      </c>
      <c r="BY173" s="16" t="s">
        <v>175</v>
      </c>
      <c r="BZ173" s="16" t="s">
        <v>175</v>
      </c>
      <c r="CA173" s="16" t="s">
        <v>335</v>
      </c>
      <c r="CB173" s="71" t="s">
        <v>176</v>
      </c>
      <c r="CC173" s="5" t="s">
        <v>171</v>
      </c>
      <c r="CD173" s="5" t="s">
        <v>172</v>
      </c>
      <c r="CE173" s="16" t="s">
        <v>173</v>
      </c>
      <c r="CF173" s="16" t="s">
        <v>174</v>
      </c>
      <c r="CG173" s="16" t="s">
        <v>175</v>
      </c>
      <c r="CH173" s="16" t="s">
        <v>175</v>
      </c>
      <c r="CI173" s="16" t="s">
        <v>335</v>
      </c>
      <c r="CJ173" s="71" t="s">
        <v>176</v>
      </c>
      <c r="CK173" s="5" t="s">
        <v>171</v>
      </c>
      <c r="CL173" s="5" t="s">
        <v>172</v>
      </c>
      <c r="CM173" s="16" t="s">
        <v>173</v>
      </c>
      <c r="CN173" s="16" t="s">
        <v>174</v>
      </c>
      <c r="CO173" s="16" t="s">
        <v>175</v>
      </c>
      <c r="CP173" s="16" t="s">
        <v>175</v>
      </c>
      <c r="CQ173" s="16" t="s">
        <v>335</v>
      </c>
      <c r="CR173" s="71" t="s">
        <v>176</v>
      </c>
      <c r="CS173" s="5" t="s">
        <v>171</v>
      </c>
      <c r="CT173" s="5" t="s">
        <v>172</v>
      </c>
      <c r="CU173" s="16" t="s">
        <v>173</v>
      </c>
      <c r="CV173" s="16" t="s">
        <v>174</v>
      </c>
      <c r="CW173" s="16" t="s">
        <v>175</v>
      </c>
      <c r="CX173" s="16" t="s">
        <v>175</v>
      </c>
      <c r="CY173" s="16" t="s">
        <v>335</v>
      </c>
      <c r="CZ173" s="280"/>
    </row>
    <row r="174" spans="1:113" ht="20.100000000000001" customHeight="1" x14ac:dyDescent="0.4">
      <c r="A174" s="485">
        <v>1</v>
      </c>
      <c r="B174" s="485" t="s">
        <v>46</v>
      </c>
      <c r="C174" s="485" t="s">
        <v>28</v>
      </c>
      <c r="D174" s="463" t="s">
        <v>19</v>
      </c>
      <c r="E174" s="505" t="s">
        <v>26</v>
      </c>
      <c r="F174" s="463" t="s">
        <v>19</v>
      </c>
      <c r="G174" s="465" t="s">
        <v>84</v>
      </c>
      <c r="H174" s="467">
        <f>SUM(AH174:AM174)</f>
        <v>0.19999999999999998</v>
      </c>
      <c r="I174" s="469">
        <f>SUM(AH175:AM175)</f>
        <v>0.16818181818181818</v>
      </c>
      <c r="J174" s="12"/>
      <c r="K174" s="13"/>
      <c r="L174" s="13"/>
      <c r="M174" s="539" t="s">
        <v>178</v>
      </c>
      <c r="N174" s="10" t="s">
        <v>88</v>
      </c>
      <c r="O174" s="187">
        <f>(0.25*16)/120</f>
        <v>3.3333333333333333E-2</v>
      </c>
      <c r="P174" s="187">
        <f>(0.25*0)/120</f>
        <v>0</v>
      </c>
      <c r="Q174" s="187">
        <f t="shared" ref="Q174:U174" si="381">(0.25*16)/120</f>
        <v>3.3333333333333333E-2</v>
      </c>
      <c r="R174" s="187">
        <f t="shared" si="381"/>
        <v>3.3333333333333333E-2</v>
      </c>
      <c r="S174" s="187">
        <f t="shared" si="381"/>
        <v>3.3333333333333333E-2</v>
      </c>
      <c r="T174" s="187">
        <f t="shared" si="381"/>
        <v>3.3333333333333333E-2</v>
      </c>
      <c r="U174" s="82">
        <f t="shared" si="381"/>
        <v>3.3333333333333333E-2</v>
      </c>
      <c r="V174" s="19">
        <f>(0.25*19)/142.5</f>
        <v>3.3333333333333333E-2</v>
      </c>
      <c r="W174" s="187">
        <f>(0.25*19)/142.5</f>
        <v>3.3333333333333333E-2</v>
      </c>
      <c r="X174" s="187">
        <f t="shared" ref="X174:AA174" si="382">(0.25*19)/142.5</f>
        <v>3.3333333333333333E-2</v>
      </c>
      <c r="Y174" s="187">
        <f t="shared" si="382"/>
        <v>3.3333333333333333E-2</v>
      </c>
      <c r="Z174" s="187">
        <f t="shared" si="382"/>
        <v>3.3333333333333333E-2</v>
      </c>
      <c r="AA174" s="187">
        <f t="shared" si="382"/>
        <v>3.3333333333333333E-2</v>
      </c>
      <c r="AB174" s="73">
        <f>(0.25*22)/165</f>
        <v>3.3333333333333333E-2</v>
      </c>
      <c r="AC174" s="187">
        <f>(0.25*22)/165</f>
        <v>3.3333333333333333E-2</v>
      </c>
      <c r="AD174" s="187">
        <f t="shared" ref="AD174:AG174" si="383">(0.25*22)/165</f>
        <v>3.3333333333333333E-2</v>
      </c>
      <c r="AE174" s="187">
        <f t="shared" si="383"/>
        <v>3.3333333333333333E-2</v>
      </c>
      <c r="AF174" s="187">
        <f t="shared" si="383"/>
        <v>3.3333333333333333E-2</v>
      </c>
      <c r="AG174" s="187">
        <f t="shared" si="383"/>
        <v>3.3333333333333333E-2</v>
      </c>
      <c r="AH174" s="73">
        <f>(0.25*22)/165</f>
        <v>3.3333333333333333E-2</v>
      </c>
      <c r="AI174" s="187">
        <f>(0.25*22)/165</f>
        <v>3.3333333333333333E-2</v>
      </c>
      <c r="AJ174" s="187">
        <f t="shared" ref="AJ174:AM174" si="384">(0.25*22)/165</f>
        <v>3.3333333333333333E-2</v>
      </c>
      <c r="AK174" s="187">
        <f t="shared" si="384"/>
        <v>3.3333333333333333E-2</v>
      </c>
      <c r="AL174" s="187">
        <f t="shared" si="384"/>
        <v>3.3333333333333333E-2</v>
      </c>
      <c r="AM174" s="187">
        <f t="shared" si="384"/>
        <v>3.3333333333333333E-2</v>
      </c>
      <c r="AN174" s="73">
        <f>0/157.5</f>
        <v>0</v>
      </c>
      <c r="AO174" s="187">
        <f>0/157.5</f>
        <v>0</v>
      </c>
      <c r="AP174" s="187">
        <f t="shared" ref="AP174:AR185" si="385">0/157.5</f>
        <v>0</v>
      </c>
      <c r="AQ174" s="187">
        <f t="shared" si="385"/>
        <v>0</v>
      </c>
      <c r="AR174" s="187">
        <f t="shared" si="385"/>
        <v>0</v>
      </c>
      <c r="AS174" s="187">
        <f t="shared" ref="AS174:AU185" si="386">0/165</f>
        <v>0</v>
      </c>
      <c r="AT174" s="187">
        <f t="shared" si="386"/>
        <v>0</v>
      </c>
      <c r="AU174" s="221">
        <f t="shared" si="386"/>
        <v>0</v>
      </c>
      <c r="AV174" s="222">
        <f>(0)/172.5</f>
        <v>0</v>
      </c>
      <c r="AW174" s="187">
        <f>(0)/172.5</f>
        <v>0</v>
      </c>
      <c r="AX174" s="187">
        <f>(0)/172.5</f>
        <v>0</v>
      </c>
      <c r="AY174" s="187">
        <f t="shared" ref="AY174:BC185" si="387">(0)/172.5</f>
        <v>0</v>
      </c>
      <c r="AZ174" s="187">
        <f t="shared" si="387"/>
        <v>0</v>
      </c>
      <c r="BA174" s="187">
        <f t="shared" si="387"/>
        <v>0</v>
      </c>
      <c r="BB174" s="187">
        <f t="shared" si="387"/>
        <v>0</v>
      </c>
      <c r="BC174" s="17">
        <f>(0)/172.5</f>
        <v>0</v>
      </c>
      <c r="BD174" s="19">
        <f t="shared" ref="BD174:BP175" si="388">(0)/142.5</f>
        <v>0</v>
      </c>
      <c r="BE174" s="187">
        <f t="shared" si="388"/>
        <v>0</v>
      </c>
      <c r="BF174" s="187">
        <f t="shared" si="388"/>
        <v>0</v>
      </c>
      <c r="BG174" s="187">
        <f t="shared" si="388"/>
        <v>0</v>
      </c>
      <c r="BH174" s="187">
        <f t="shared" si="388"/>
        <v>0</v>
      </c>
      <c r="BI174" s="187">
        <f t="shared" ref="BI174:BK185" si="389">(0)/172.5</f>
        <v>0</v>
      </c>
      <c r="BJ174" s="187">
        <f t="shared" si="389"/>
        <v>0</v>
      </c>
      <c r="BK174" s="17">
        <f>(0)/172.5</f>
        <v>0</v>
      </c>
      <c r="BL174" s="19">
        <f t="shared" si="388"/>
        <v>0</v>
      </c>
      <c r="BM174" s="187">
        <f t="shared" si="388"/>
        <v>0</v>
      </c>
      <c r="BN174" s="187">
        <f t="shared" si="388"/>
        <v>0</v>
      </c>
      <c r="BO174" s="187">
        <f t="shared" si="388"/>
        <v>0</v>
      </c>
      <c r="BP174" s="187">
        <f t="shared" si="388"/>
        <v>0</v>
      </c>
      <c r="BQ174" s="187">
        <f t="shared" ref="BQ174:BS185" si="390">(0)/172.5</f>
        <v>0</v>
      </c>
      <c r="BR174" s="187">
        <f t="shared" si="390"/>
        <v>0</v>
      </c>
      <c r="BS174" s="17">
        <f>(0)/172.5</f>
        <v>0</v>
      </c>
      <c r="BT174" s="19">
        <f t="shared" ref="BT174:CB175" si="391">(0)/157.5</f>
        <v>0</v>
      </c>
      <c r="BU174" s="187">
        <f t="shared" si="391"/>
        <v>0</v>
      </c>
      <c r="BV174" s="187">
        <f t="shared" si="391"/>
        <v>0</v>
      </c>
      <c r="BW174" s="187">
        <f t="shared" si="391"/>
        <v>0</v>
      </c>
      <c r="BX174" s="187">
        <f t="shared" si="391"/>
        <v>0</v>
      </c>
      <c r="BY174" s="187">
        <f t="shared" ref="BY174:CA185" si="392">(0)/172.5</f>
        <v>0</v>
      </c>
      <c r="BZ174" s="187">
        <f t="shared" si="392"/>
        <v>0</v>
      </c>
      <c r="CA174" s="17">
        <f>(0)/172.5</f>
        <v>0</v>
      </c>
      <c r="CB174" s="73">
        <f t="shared" si="391"/>
        <v>0</v>
      </c>
      <c r="CC174" s="187">
        <f t="shared" ref="CC174:CF185" si="393">(0)/157.5</f>
        <v>0</v>
      </c>
      <c r="CD174" s="187">
        <f t="shared" si="393"/>
        <v>0</v>
      </c>
      <c r="CE174" s="187">
        <f t="shared" si="393"/>
        <v>0</v>
      </c>
      <c r="CF174" s="187">
        <f t="shared" si="393"/>
        <v>0</v>
      </c>
      <c r="CG174" s="187">
        <f t="shared" ref="CG174:CI185" si="394">(0)/172.5</f>
        <v>0</v>
      </c>
      <c r="CH174" s="187">
        <f t="shared" si="394"/>
        <v>0</v>
      </c>
      <c r="CI174" s="17">
        <f>(0)/172.5</f>
        <v>0</v>
      </c>
      <c r="CJ174" s="19">
        <f t="shared" ref="CJ174:CN174" si="395">(0/157.5)</f>
        <v>0</v>
      </c>
      <c r="CK174" s="187">
        <f t="shared" si="395"/>
        <v>0</v>
      </c>
      <c r="CL174" s="187">
        <f t="shared" si="395"/>
        <v>0</v>
      </c>
      <c r="CM174" s="187">
        <f t="shared" si="395"/>
        <v>0</v>
      </c>
      <c r="CN174" s="187">
        <f t="shared" si="395"/>
        <v>0</v>
      </c>
      <c r="CO174" s="187">
        <f t="shared" ref="CO174:CQ185" si="396">(0)/172.5</f>
        <v>0</v>
      </c>
      <c r="CP174" s="187">
        <f t="shared" si="396"/>
        <v>0</v>
      </c>
      <c r="CQ174" s="17">
        <f>(0)/172.5</f>
        <v>0</v>
      </c>
      <c r="CR174" s="19">
        <f t="shared" ref="CR174:CV174" si="397">(0)/142.5</f>
        <v>0</v>
      </c>
      <c r="CS174" s="187">
        <f t="shared" si="397"/>
        <v>0</v>
      </c>
      <c r="CT174" s="187">
        <f t="shared" si="397"/>
        <v>0</v>
      </c>
      <c r="CU174" s="187">
        <f t="shared" si="397"/>
        <v>0</v>
      </c>
      <c r="CV174" s="187">
        <f t="shared" si="397"/>
        <v>0</v>
      </c>
      <c r="CW174" s="187">
        <f t="shared" ref="CW174:CY185" si="398">(0)/172.5</f>
        <v>0</v>
      </c>
      <c r="CX174" s="187">
        <f t="shared" si="398"/>
        <v>0</v>
      </c>
      <c r="CY174" s="17">
        <f>(0)/172.5</f>
        <v>0</v>
      </c>
      <c r="CZ174" s="278"/>
    </row>
    <row r="175" spans="1:113" ht="20.100000000000001" customHeight="1" x14ac:dyDescent="0.4">
      <c r="A175" s="486"/>
      <c r="B175" s="486"/>
      <c r="C175" s="486"/>
      <c r="D175" s="464"/>
      <c r="E175" s="464"/>
      <c r="F175" s="464"/>
      <c r="G175" s="466"/>
      <c r="H175" s="468"/>
      <c r="I175" s="470"/>
      <c r="J175" s="14"/>
      <c r="K175" s="15"/>
      <c r="L175" s="15"/>
      <c r="M175" s="540"/>
      <c r="N175" s="11" t="s">
        <v>89</v>
      </c>
      <c r="O175" s="207">
        <f>(0.25+1.25+0.25+0.75+1.25)/120</f>
        <v>3.125E-2</v>
      </c>
      <c r="P175" s="207">
        <f t="shared" ref="P175:U185" si="399">(0)/120</f>
        <v>0</v>
      </c>
      <c r="Q175" s="207">
        <f>(0.25+1.25+0.5+0.75+1.25)/120</f>
        <v>3.3333333333333333E-2</v>
      </c>
      <c r="R175" s="207">
        <f>(0.25+1.25+0.5+0.75+0.5)/120</f>
        <v>2.7083333333333334E-2</v>
      </c>
      <c r="S175" s="207">
        <f>(0.25+1.25+0.5+0.75+1.25)/120</f>
        <v>3.3333333333333333E-2</v>
      </c>
      <c r="T175" s="207">
        <f>(0.25+1.25+0.5+0.75+1.25)/120</f>
        <v>3.3333333333333333E-2</v>
      </c>
      <c r="U175" s="49">
        <f>(0.25+1.25+0.5+0.75+1.25)/120</f>
        <v>3.3333333333333333E-2</v>
      </c>
      <c r="V175" s="57">
        <f>(0.75+1.25+1.25+1)/142.5</f>
        <v>2.9824561403508771E-2</v>
      </c>
      <c r="W175" s="207">
        <f>(0)/142.5</f>
        <v>0</v>
      </c>
      <c r="X175" s="207">
        <f>(0.75+0.75+1.25+1+0.25)/142.5</f>
        <v>2.8070175438596492E-2</v>
      </c>
      <c r="Y175" s="207">
        <f>(0.75+1.25+1.25+1.25)/142.5</f>
        <v>3.1578947368421054E-2</v>
      </c>
      <c r="Z175" s="207">
        <f>(0.5+1.25+1.25+1.25+0.25)/142.5</f>
        <v>3.1578947368421054E-2</v>
      </c>
      <c r="AA175" s="207">
        <f>(0.75+1.25+1.25+1.25+0.25)/142.5</f>
        <v>3.3333333333333333E-2</v>
      </c>
      <c r="AB175" s="57">
        <f>(0.75+1.25+1.25+1.25+1)/165</f>
        <v>3.3333333333333333E-2</v>
      </c>
      <c r="AC175" s="207">
        <f>(0+0.5+1.25+1)/165</f>
        <v>1.6666666666666666E-2</v>
      </c>
      <c r="AD175" s="207">
        <f>(0.75+1.25+1.25+1.25+1)/165</f>
        <v>3.3333333333333333E-2</v>
      </c>
      <c r="AE175" s="207">
        <f>(0.75+1.25+1.25+1.25+1)/165</f>
        <v>3.3333333333333333E-2</v>
      </c>
      <c r="AF175" s="207">
        <f>(0.5+1.25+1.25+1.25+1)/165</f>
        <v>3.1818181818181815E-2</v>
      </c>
      <c r="AG175" s="207">
        <f>(0.75+1.25+1+1.25+1)/165</f>
        <v>3.1818181818181815E-2</v>
      </c>
      <c r="AH175" s="57">
        <f>(0.25+1.25+1.25+1+1)/165</f>
        <v>2.8787878787878789E-2</v>
      </c>
      <c r="AI175" s="207">
        <f>(0.25+1+1.25+1.25+0.8)/165</f>
        <v>2.7575757575757576E-2</v>
      </c>
      <c r="AJ175" s="207">
        <f>(0.25+1.25+1.25+1.25+0.6)/165</f>
        <v>2.7878787878787878E-2</v>
      </c>
      <c r="AK175" s="207">
        <f>(0.25+1.25+1.25+1+1)/165</f>
        <v>2.8787878787878789E-2</v>
      </c>
      <c r="AL175" s="207">
        <f>(0.25+1.25+1.25+1.25+0.75)/165</f>
        <v>2.8787878787878789E-2</v>
      </c>
      <c r="AM175" s="207">
        <f>(0.25+1.25+1.25+1+0.6)/165</f>
        <v>2.636363636363636E-2</v>
      </c>
      <c r="AN175" s="57">
        <f>0/157.5</f>
        <v>0</v>
      </c>
      <c r="AO175" s="207">
        <f>0/157.5</f>
        <v>0</v>
      </c>
      <c r="AP175" s="207">
        <f>0/157.5</f>
        <v>0</v>
      </c>
      <c r="AQ175" s="207">
        <f t="shared" si="385"/>
        <v>0</v>
      </c>
      <c r="AR175" s="207">
        <f t="shared" si="385"/>
        <v>0</v>
      </c>
      <c r="AS175" s="207">
        <f t="shared" si="386"/>
        <v>0</v>
      </c>
      <c r="AT175" s="207">
        <f t="shared" si="386"/>
        <v>0</v>
      </c>
      <c r="AU175" s="49">
        <f>0/165</f>
        <v>0</v>
      </c>
      <c r="AV175" s="63">
        <f>(0)/172.5</f>
        <v>0</v>
      </c>
      <c r="AW175" s="208">
        <f>(0)/172.5</f>
        <v>0</v>
      </c>
      <c r="AX175" s="208">
        <f t="shared" ref="AX175:AX185" si="400">(0)/172.5</f>
        <v>0</v>
      </c>
      <c r="AY175" s="208">
        <f t="shared" si="387"/>
        <v>0</v>
      </c>
      <c r="AZ175" s="208">
        <f t="shared" si="387"/>
        <v>0</v>
      </c>
      <c r="BA175" s="208">
        <f t="shared" si="387"/>
        <v>0</v>
      </c>
      <c r="BB175" s="208">
        <f t="shared" si="387"/>
        <v>0</v>
      </c>
      <c r="BC175" s="64">
        <f>(0)/172.5</f>
        <v>0</v>
      </c>
      <c r="BD175" s="63">
        <f t="shared" si="388"/>
        <v>0</v>
      </c>
      <c r="BE175" s="208">
        <f t="shared" si="388"/>
        <v>0</v>
      </c>
      <c r="BF175" s="208">
        <f t="shared" si="388"/>
        <v>0</v>
      </c>
      <c r="BG175" s="208">
        <f t="shared" si="388"/>
        <v>0</v>
      </c>
      <c r="BH175" s="208">
        <f t="shared" si="388"/>
        <v>0</v>
      </c>
      <c r="BI175" s="208">
        <f t="shared" si="389"/>
        <v>0</v>
      </c>
      <c r="BJ175" s="208">
        <f t="shared" si="389"/>
        <v>0</v>
      </c>
      <c r="BK175" s="64">
        <f>(0)/172.5</f>
        <v>0</v>
      </c>
      <c r="BL175" s="63">
        <f t="shared" si="388"/>
        <v>0</v>
      </c>
      <c r="BM175" s="208">
        <f t="shared" si="388"/>
        <v>0</v>
      </c>
      <c r="BN175" s="208">
        <f t="shared" si="388"/>
        <v>0</v>
      </c>
      <c r="BO175" s="208">
        <f t="shared" si="388"/>
        <v>0</v>
      </c>
      <c r="BP175" s="208">
        <f t="shared" si="388"/>
        <v>0</v>
      </c>
      <c r="BQ175" s="208">
        <f t="shared" si="390"/>
        <v>0</v>
      </c>
      <c r="BR175" s="208">
        <f t="shared" si="390"/>
        <v>0</v>
      </c>
      <c r="BS175" s="64">
        <f>(0)/172.5</f>
        <v>0</v>
      </c>
      <c r="BT175" s="63">
        <f t="shared" si="391"/>
        <v>0</v>
      </c>
      <c r="BU175" s="208">
        <f t="shared" si="391"/>
        <v>0</v>
      </c>
      <c r="BV175" s="208">
        <f t="shared" si="391"/>
        <v>0</v>
      </c>
      <c r="BW175" s="208">
        <f t="shared" si="391"/>
        <v>0</v>
      </c>
      <c r="BX175" s="208">
        <f t="shared" si="391"/>
        <v>0</v>
      </c>
      <c r="BY175" s="208">
        <f t="shared" si="392"/>
        <v>0</v>
      </c>
      <c r="BZ175" s="208">
        <f t="shared" si="392"/>
        <v>0</v>
      </c>
      <c r="CA175" s="64">
        <f>(0)/172.5</f>
        <v>0</v>
      </c>
      <c r="CB175" s="63">
        <f t="shared" si="391"/>
        <v>0</v>
      </c>
      <c r="CC175" s="208">
        <f t="shared" si="393"/>
        <v>0</v>
      </c>
      <c r="CD175" s="208">
        <f t="shared" si="393"/>
        <v>0</v>
      </c>
      <c r="CE175" s="208">
        <f t="shared" si="393"/>
        <v>0</v>
      </c>
      <c r="CF175" s="208">
        <f t="shared" si="393"/>
        <v>0</v>
      </c>
      <c r="CG175" s="208">
        <f t="shared" si="394"/>
        <v>0</v>
      </c>
      <c r="CH175" s="208">
        <f t="shared" si="394"/>
        <v>0</v>
      </c>
      <c r="CI175" s="64">
        <f>(0)/172.5</f>
        <v>0</v>
      </c>
      <c r="CJ175" s="63">
        <f t="shared" ref="CJ175:CN175" si="401">(0)/157.5</f>
        <v>0</v>
      </c>
      <c r="CK175" s="208">
        <f t="shared" si="401"/>
        <v>0</v>
      </c>
      <c r="CL175" s="208">
        <f t="shared" si="401"/>
        <v>0</v>
      </c>
      <c r="CM175" s="208">
        <f t="shared" si="401"/>
        <v>0</v>
      </c>
      <c r="CN175" s="208">
        <f t="shared" si="401"/>
        <v>0</v>
      </c>
      <c r="CO175" s="208">
        <f t="shared" si="396"/>
        <v>0</v>
      </c>
      <c r="CP175" s="208">
        <f t="shared" si="396"/>
        <v>0</v>
      </c>
      <c r="CQ175" s="64">
        <f>(0)/172.5</f>
        <v>0</v>
      </c>
      <c r="CR175" s="63">
        <f t="shared" ref="CR175:CV175" si="402">0/142.5</f>
        <v>0</v>
      </c>
      <c r="CS175" s="208">
        <f t="shared" si="402"/>
        <v>0</v>
      </c>
      <c r="CT175" s="208">
        <f t="shared" si="402"/>
        <v>0</v>
      </c>
      <c r="CU175" s="208">
        <f t="shared" si="402"/>
        <v>0</v>
      </c>
      <c r="CV175" s="208">
        <f t="shared" si="402"/>
        <v>0</v>
      </c>
      <c r="CW175" s="208">
        <f t="shared" si="398"/>
        <v>0</v>
      </c>
      <c r="CX175" s="208">
        <f t="shared" si="398"/>
        <v>0</v>
      </c>
      <c r="CY175" s="64">
        <f>(0)/172.5</f>
        <v>0</v>
      </c>
      <c r="CZ175" s="278"/>
      <c r="DA175" s="2"/>
      <c r="DB175" s="2"/>
      <c r="DC175" s="2"/>
      <c r="DD175" s="2"/>
      <c r="DE175" s="2"/>
      <c r="DF175" s="2"/>
      <c r="DG175" s="2"/>
      <c r="DH175" s="2"/>
      <c r="DI175" s="2"/>
    </row>
    <row r="176" spans="1:113" ht="20.100000000000001" customHeight="1" x14ac:dyDescent="0.4">
      <c r="A176" s="485">
        <v>2</v>
      </c>
      <c r="B176" s="485" t="s">
        <v>46</v>
      </c>
      <c r="C176" s="485" t="s">
        <v>28</v>
      </c>
      <c r="D176" s="463" t="s">
        <v>34</v>
      </c>
      <c r="E176" s="505" t="s">
        <v>26</v>
      </c>
      <c r="F176" s="463" t="s">
        <v>27</v>
      </c>
      <c r="G176" s="506" t="s">
        <v>160</v>
      </c>
      <c r="H176" s="467">
        <f t="shared" ref="H176" si="403">SUM(AH176:AM176)</f>
        <v>9.0909090909090912E-2</v>
      </c>
      <c r="I176" s="469">
        <f t="shared" ref="I176" si="404">SUM(AH177:AM177)</f>
        <v>6.0606060606060608E-2</v>
      </c>
      <c r="J176" s="12"/>
      <c r="K176" s="13"/>
      <c r="L176" s="13"/>
      <c r="M176" s="539" t="s">
        <v>38</v>
      </c>
      <c r="N176" s="10" t="s">
        <v>88</v>
      </c>
      <c r="O176" s="187">
        <f>(0.5*4)/120</f>
        <v>1.6666666666666666E-2</v>
      </c>
      <c r="P176" s="187">
        <f>(0.25*0)/120</f>
        <v>0</v>
      </c>
      <c r="Q176" s="187">
        <f t="shared" ref="Q176:U176" si="405">(0.5*4)/120</f>
        <v>1.6666666666666666E-2</v>
      </c>
      <c r="R176" s="187">
        <f t="shared" si="405"/>
        <v>1.6666666666666666E-2</v>
      </c>
      <c r="S176" s="187">
        <f t="shared" si="405"/>
        <v>1.6666666666666666E-2</v>
      </c>
      <c r="T176" s="187">
        <f t="shared" si="405"/>
        <v>1.6666666666666666E-2</v>
      </c>
      <c r="U176" s="82">
        <f t="shared" si="405"/>
        <v>1.6666666666666666E-2</v>
      </c>
      <c r="V176" s="19">
        <f>(0.5*4)/142.5</f>
        <v>1.4035087719298246E-2</v>
      </c>
      <c r="W176" s="187">
        <f>(0.5*4)/142.5</f>
        <v>1.4035087719298246E-2</v>
      </c>
      <c r="X176" s="187">
        <f t="shared" ref="X176:AA176" si="406">(0.5*4)/142.5</f>
        <v>1.4035087719298246E-2</v>
      </c>
      <c r="Y176" s="187">
        <f t="shared" si="406"/>
        <v>1.4035087719298246E-2</v>
      </c>
      <c r="Z176" s="187">
        <f t="shared" si="406"/>
        <v>1.4035087719298246E-2</v>
      </c>
      <c r="AA176" s="187">
        <f t="shared" si="406"/>
        <v>1.4035087719298246E-2</v>
      </c>
      <c r="AB176" s="73">
        <f>(0.5*4)/165</f>
        <v>1.2121212121212121E-2</v>
      </c>
      <c r="AC176" s="187">
        <f>(0.5*4)/165</f>
        <v>1.2121212121212121E-2</v>
      </c>
      <c r="AD176" s="187">
        <f t="shared" ref="AD176:AF176" si="407">(0.5*4)/165</f>
        <v>1.2121212121212121E-2</v>
      </c>
      <c r="AE176" s="187">
        <f t="shared" si="407"/>
        <v>1.2121212121212121E-2</v>
      </c>
      <c r="AF176" s="187">
        <f t="shared" si="407"/>
        <v>1.2121212121212121E-2</v>
      </c>
      <c r="AG176" s="187">
        <f>(0.5*4)/165</f>
        <v>1.2121212121212121E-2</v>
      </c>
      <c r="AH176" s="73">
        <f>(0.5*5)/165</f>
        <v>1.5151515151515152E-2</v>
      </c>
      <c r="AI176" s="187">
        <f>(0.5*5)/165</f>
        <v>1.5151515151515152E-2</v>
      </c>
      <c r="AJ176" s="187">
        <f t="shared" ref="AJ176:AM176" si="408">(0.5*5)/165</f>
        <v>1.5151515151515152E-2</v>
      </c>
      <c r="AK176" s="187">
        <f t="shared" si="408"/>
        <v>1.5151515151515152E-2</v>
      </c>
      <c r="AL176" s="187">
        <f t="shared" si="408"/>
        <v>1.5151515151515152E-2</v>
      </c>
      <c r="AM176" s="187">
        <f t="shared" si="408"/>
        <v>1.5151515151515152E-2</v>
      </c>
      <c r="AN176" s="73">
        <f t="shared" ref="AN176:AO185" si="409">0/157.5</f>
        <v>0</v>
      </c>
      <c r="AO176" s="187">
        <f t="shared" si="409"/>
        <v>0</v>
      </c>
      <c r="AP176" s="187">
        <f t="shared" si="385"/>
        <v>0</v>
      </c>
      <c r="AQ176" s="187">
        <f t="shared" si="385"/>
        <v>0</v>
      </c>
      <c r="AR176" s="187">
        <f t="shared" si="385"/>
        <v>0</v>
      </c>
      <c r="AS176" s="187">
        <f t="shared" si="386"/>
        <v>0</v>
      </c>
      <c r="AT176" s="187">
        <f t="shared" si="386"/>
        <v>0</v>
      </c>
      <c r="AU176" s="221">
        <f t="shared" si="386"/>
        <v>0</v>
      </c>
      <c r="AV176" s="222">
        <f t="shared" ref="AV176:AW185" si="410">(0)/172.5</f>
        <v>0</v>
      </c>
      <c r="AW176" s="187">
        <f t="shared" si="410"/>
        <v>0</v>
      </c>
      <c r="AX176" s="187">
        <f t="shared" si="400"/>
        <v>0</v>
      </c>
      <c r="AY176" s="187">
        <f t="shared" si="387"/>
        <v>0</v>
      </c>
      <c r="AZ176" s="187">
        <f t="shared" si="387"/>
        <v>0</v>
      </c>
      <c r="BA176" s="187">
        <f t="shared" si="387"/>
        <v>0</v>
      </c>
      <c r="BB176" s="187">
        <f t="shared" si="387"/>
        <v>0</v>
      </c>
      <c r="BC176" s="17">
        <f t="shared" si="387"/>
        <v>0</v>
      </c>
      <c r="BD176" s="19">
        <f t="shared" ref="BD176:BH185" si="411">(0)/142.5</f>
        <v>0</v>
      </c>
      <c r="BE176" s="187">
        <f t="shared" si="411"/>
        <v>0</v>
      </c>
      <c r="BF176" s="187">
        <f t="shared" si="411"/>
        <v>0</v>
      </c>
      <c r="BG176" s="187">
        <f t="shared" si="411"/>
        <v>0</v>
      </c>
      <c r="BH176" s="187">
        <f t="shared" si="411"/>
        <v>0</v>
      </c>
      <c r="BI176" s="187">
        <f t="shared" si="389"/>
        <v>0</v>
      </c>
      <c r="BJ176" s="187">
        <f t="shared" si="389"/>
        <v>0</v>
      </c>
      <c r="BK176" s="17">
        <f t="shared" si="389"/>
        <v>0</v>
      </c>
      <c r="BL176" s="19">
        <f t="shared" ref="BL176:BP185" si="412">(0)/142.5</f>
        <v>0</v>
      </c>
      <c r="BM176" s="187">
        <f t="shared" si="412"/>
        <v>0</v>
      </c>
      <c r="BN176" s="187">
        <f t="shared" si="412"/>
        <v>0</v>
      </c>
      <c r="BO176" s="187">
        <f t="shared" si="412"/>
        <v>0</v>
      </c>
      <c r="BP176" s="187">
        <f t="shared" si="412"/>
        <v>0</v>
      </c>
      <c r="BQ176" s="187">
        <f t="shared" si="390"/>
        <v>0</v>
      </c>
      <c r="BR176" s="187">
        <f t="shared" si="390"/>
        <v>0</v>
      </c>
      <c r="BS176" s="17">
        <f t="shared" si="390"/>
        <v>0</v>
      </c>
      <c r="BT176" s="19">
        <f t="shared" ref="BT176:BX185" si="413">(0)/157.5</f>
        <v>0</v>
      </c>
      <c r="BU176" s="187">
        <f t="shared" si="413"/>
        <v>0</v>
      </c>
      <c r="BV176" s="187">
        <f t="shared" si="413"/>
        <v>0</v>
      </c>
      <c r="BW176" s="187">
        <f t="shared" si="413"/>
        <v>0</v>
      </c>
      <c r="BX176" s="187">
        <f t="shared" si="413"/>
        <v>0</v>
      </c>
      <c r="BY176" s="187">
        <f t="shared" si="392"/>
        <v>0</v>
      </c>
      <c r="BZ176" s="187">
        <f t="shared" si="392"/>
        <v>0</v>
      </c>
      <c r="CA176" s="17">
        <f t="shared" si="392"/>
        <v>0</v>
      </c>
      <c r="CB176" s="73">
        <f t="shared" ref="CB176:CB185" si="414">(0)/157.5</f>
        <v>0</v>
      </c>
      <c r="CC176" s="187">
        <f t="shared" si="393"/>
        <v>0</v>
      </c>
      <c r="CD176" s="187">
        <f t="shared" si="393"/>
        <v>0</v>
      </c>
      <c r="CE176" s="187">
        <f t="shared" si="393"/>
        <v>0</v>
      </c>
      <c r="CF176" s="187">
        <f t="shared" si="393"/>
        <v>0</v>
      </c>
      <c r="CG176" s="187">
        <f t="shared" si="394"/>
        <v>0</v>
      </c>
      <c r="CH176" s="187">
        <f t="shared" si="394"/>
        <v>0</v>
      </c>
      <c r="CI176" s="17">
        <f t="shared" si="394"/>
        <v>0</v>
      </c>
      <c r="CJ176" s="19">
        <f t="shared" ref="CJ176:CN176" si="415">(0/157.5)</f>
        <v>0</v>
      </c>
      <c r="CK176" s="187">
        <f t="shared" si="415"/>
        <v>0</v>
      </c>
      <c r="CL176" s="187">
        <f t="shared" si="415"/>
        <v>0</v>
      </c>
      <c r="CM176" s="187">
        <f t="shared" si="415"/>
        <v>0</v>
      </c>
      <c r="CN176" s="187">
        <f t="shared" si="415"/>
        <v>0</v>
      </c>
      <c r="CO176" s="187">
        <f t="shared" si="396"/>
        <v>0</v>
      </c>
      <c r="CP176" s="187">
        <f t="shared" si="396"/>
        <v>0</v>
      </c>
      <c r="CQ176" s="17">
        <f t="shared" si="396"/>
        <v>0</v>
      </c>
      <c r="CR176" s="19">
        <f t="shared" ref="CR176:CV176" si="416">(0)/142.5</f>
        <v>0</v>
      </c>
      <c r="CS176" s="187">
        <f t="shared" si="416"/>
        <v>0</v>
      </c>
      <c r="CT176" s="187">
        <f t="shared" si="416"/>
        <v>0</v>
      </c>
      <c r="CU176" s="187">
        <f t="shared" si="416"/>
        <v>0</v>
      </c>
      <c r="CV176" s="187">
        <f t="shared" si="416"/>
        <v>0</v>
      </c>
      <c r="CW176" s="187">
        <f t="shared" si="398"/>
        <v>0</v>
      </c>
      <c r="CX176" s="187">
        <f t="shared" si="398"/>
        <v>0</v>
      </c>
      <c r="CY176" s="17">
        <f t="shared" si="398"/>
        <v>0</v>
      </c>
      <c r="CZ176" s="278"/>
    </row>
    <row r="177" spans="1:105" ht="20.100000000000001" customHeight="1" x14ac:dyDescent="0.4">
      <c r="A177" s="486"/>
      <c r="B177" s="486"/>
      <c r="C177" s="486"/>
      <c r="D177" s="464"/>
      <c r="E177" s="464"/>
      <c r="F177" s="464"/>
      <c r="G177" s="466"/>
      <c r="H177" s="468"/>
      <c r="I177" s="470"/>
      <c r="J177" s="14"/>
      <c r="K177" s="15"/>
      <c r="L177" s="15"/>
      <c r="M177" s="540"/>
      <c r="N177" s="11" t="s">
        <v>89</v>
      </c>
      <c r="O177" s="207">
        <f>(0+0.5+0.5+0.5)/120</f>
        <v>1.2500000000000001E-2</v>
      </c>
      <c r="P177" s="207">
        <f>(0)/120</f>
        <v>0</v>
      </c>
      <c r="Q177" s="207">
        <f>(0+0.5+0.5+0.5)/120</f>
        <v>1.2500000000000001E-2</v>
      </c>
      <c r="R177" s="207">
        <f>(0+0.5+0.5+0.5)/120</f>
        <v>1.2500000000000001E-2</v>
      </c>
      <c r="S177" s="207">
        <f>(0+0.5+0.5+0.5)/120</f>
        <v>1.2500000000000001E-2</v>
      </c>
      <c r="T177" s="207">
        <f>(0+0.5+0.5+0)/120</f>
        <v>8.3333333333333332E-3</v>
      </c>
      <c r="U177" s="49">
        <f>(0+0.5+0.5+0.5)/120</f>
        <v>1.2500000000000001E-2</v>
      </c>
      <c r="V177" s="57">
        <f>(0+0.5+0.5+0.5)/142.5</f>
        <v>1.0526315789473684E-2</v>
      </c>
      <c r="W177" s="207">
        <f>(0)/142.5</f>
        <v>0</v>
      </c>
      <c r="X177" s="207">
        <f>(0+0.5)/142.5</f>
        <v>3.5087719298245615E-3</v>
      </c>
      <c r="Y177" s="207">
        <f>(0+0.5+0.5+0.5)/142.5</f>
        <v>1.0526315789473684E-2</v>
      </c>
      <c r="Z177" s="207">
        <f>(0+0)/142.5</f>
        <v>0</v>
      </c>
      <c r="AA177" s="207">
        <f>(0+0.5+0.5)/142.5</f>
        <v>7.0175438596491229E-3</v>
      </c>
      <c r="AB177" s="57">
        <f>(0.5+0.5+0.5)/165</f>
        <v>9.0909090909090905E-3</v>
      </c>
      <c r="AC177" s="207">
        <f>(0+0.5+0.5)/165</f>
        <v>6.0606060606060606E-3</v>
      </c>
      <c r="AD177" s="207">
        <f>(0.5+0.5+0.5+0.5)/165</f>
        <v>1.2121212121212121E-2</v>
      </c>
      <c r="AE177" s="207">
        <f>(0.5+0.5+0.5+0.5)/165</f>
        <v>1.2121212121212121E-2</v>
      </c>
      <c r="AF177" s="207">
        <f>(0.5+0.5+0.5+0.5)/165</f>
        <v>1.2121212121212121E-2</v>
      </c>
      <c r="AG177" s="207">
        <f>(0.5+0+0.5+0.5)/165</f>
        <v>9.0909090909090905E-3</v>
      </c>
      <c r="AH177" s="57">
        <f>(0.5+0.5+0.5+0.5)/165</f>
        <v>1.2121212121212121E-2</v>
      </c>
      <c r="AI177" s="207">
        <f>(0.5+0.5+0.5+0.5)/165</f>
        <v>1.2121212121212121E-2</v>
      </c>
      <c r="AJ177" s="207">
        <f>(0.5+0.5+0.5+0.5)/165</f>
        <v>1.2121212121212121E-2</v>
      </c>
      <c r="AK177" s="207">
        <f>(0.5+0.5+0.5)/165</f>
        <v>9.0909090909090905E-3</v>
      </c>
      <c r="AL177" s="207">
        <f>(0.5+0.5+0.5)/165</f>
        <v>9.0909090909090905E-3</v>
      </c>
      <c r="AM177" s="207">
        <f t="shared" ref="AK177:AM177" si="417">(0.5+0.5)/165</f>
        <v>6.0606060606060606E-3</v>
      </c>
      <c r="AN177" s="57">
        <f t="shared" si="409"/>
        <v>0</v>
      </c>
      <c r="AO177" s="207">
        <f t="shared" si="409"/>
        <v>0</v>
      </c>
      <c r="AP177" s="207">
        <f t="shared" si="385"/>
        <v>0</v>
      </c>
      <c r="AQ177" s="207">
        <f t="shared" si="385"/>
        <v>0</v>
      </c>
      <c r="AR177" s="207">
        <f t="shared" si="385"/>
        <v>0</v>
      </c>
      <c r="AS177" s="207">
        <f t="shared" si="386"/>
        <v>0</v>
      </c>
      <c r="AT177" s="207">
        <f t="shared" si="386"/>
        <v>0</v>
      </c>
      <c r="AU177" s="49">
        <f t="shared" si="386"/>
        <v>0</v>
      </c>
      <c r="AV177" s="63">
        <f t="shared" si="410"/>
        <v>0</v>
      </c>
      <c r="AW177" s="208">
        <f t="shared" si="410"/>
        <v>0</v>
      </c>
      <c r="AX177" s="208">
        <f t="shared" si="400"/>
        <v>0</v>
      </c>
      <c r="AY177" s="208">
        <f t="shared" si="387"/>
        <v>0</v>
      </c>
      <c r="AZ177" s="208">
        <f t="shared" si="387"/>
        <v>0</v>
      </c>
      <c r="BA177" s="208">
        <f t="shared" si="387"/>
        <v>0</v>
      </c>
      <c r="BB177" s="208">
        <f t="shared" si="387"/>
        <v>0</v>
      </c>
      <c r="BC177" s="64">
        <f t="shared" si="387"/>
        <v>0</v>
      </c>
      <c r="BD177" s="63">
        <f t="shared" si="411"/>
        <v>0</v>
      </c>
      <c r="BE177" s="208">
        <f t="shared" si="411"/>
        <v>0</v>
      </c>
      <c r="BF177" s="208">
        <f t="shared" si="411"/>
        <v>0</v>
      </c>
      <c r="BG177" s="208">
        <f t="shared" si="411"/>
        <v>0</v>
      </c>
      <c r="BH177" s="208">
        <f t="shared" si="411"/>
        <v>0</v>
      </c>
      <c r="BI177" s="208">
        <f t="shared" si="389"/>
        <v>0</v>
      </c>
      <c r="BJ177" s="208">
        <f t="shared" si="389"/>
        <v>0</v>
      </c>
      <c r="BK177" s="64">
        <f t="shared" si="389"/>
        <v>0</v>
      </c>
      <c r="BL177" s="63">
        <f t="shared" si="412"/>
        <v>0</v>
      </c>
      <c r="BM177" s="208">
        <f t="shared" si="412"/>
        <v>0</v>
      </c>
      <c r="BN177" s="208">
        <f t="shared" si="412"/>
        <v>0</v>
      </c>
      <c r="BO177" s="208">
        <f t="shared" si="412"/>
        <v>0</v>
      </c>
      <c r="BP177" s="208">
        <f t="shared" si="412"/>
        <v>0</v>
      </c>
      <c r="BQ177" s="208">
        <f t="shared" si="390"/>
        <v>0</v>
      </c>
      <c r="BR177" s="208">
        <f t="shared" si="390"/>
        <v>0</v>
      </c>
      <c r="BS177" s="64">
        <f t="shared" si="390"/>
        <v>0</v>
      </c>
      <c r="BT177" s="63">
        <f t="shared" si="413"/>
        <v>0</v>
      </c>
      <c r="BU177" s="208">
        <f t="shared" si="413"/>
        <v>0</v>
      </c>
      <c r="BV177" s="208">
        <f t="shared" si="413"/>
        <v>0</v>
      </c>
      <c r="BW177" s="208">
        <f t="shared" si="413"/>
        <v>0</v>
      </c>
      <c r="BX177" s="208">
        <f t="shared" si="413"/>
        <v>0</v>
      </c>
      <c r="BY177" s="208">
        <f t="shared" si="392"/>
        <v>0</v>
      </c>
      <c r="BZ177" s="208">
        <f t="shared" si="392"/>
        <v>0</v>
      </c>
      <c r="CA177" s="64">
        <f t="shared" si="392"/>
        <v>0</v>
      </c>
      <c r="CB177" s="63">
        <f t="shared" si="414"/>
        <v>0</v>
      </c>
      <c r="CC177" s="208">
        <f t="shared" si="393"/>
        <v>0</v>
      </c>
      <c r="CD177" s="208">
        <f t="shared" si="393"/>
        <v>0</v>
      </c>
      <c r="CE177" s="208">
        <f t="shared" si="393"/>
        <v>0</v>
      </c>
      <c r="CF177" s="208">
        <f t="shared" si="393"/>
        <v>0</v>
      </c>
      <c r="CG177" s="208">
        <f t="shared" si="394"/>
        <v>0</v>
      </c>
      <c r="CH177" s="208">
        <f t="shared" si="394"/>
        <v>0</v>
      </c>
      <c r="CI177" s="64">
        <f t="shared" si="394"/>
        <v>0</v>
      </c>
      <c r="CJ177" s="63">
        <f t="shared" ref="CJ177:CN177" si="418">(0)/157.5</f>
        <v>0</v>
      </c>
      <c r="CK177" s="208">
        <f t="shared" si="418"/>
        <v>0</v>
      </c>
      <c r="CL177" s="208">
        <f t="shared" si="418"/>
        <v>0</v>
      </c>
      <c r="CM177" s="208">
        <f t="shared" si="418"/>
        <v>0</v>
      </c>
      <c r="CN177" s="208">
        <f t="shared" si="418"/>
        <v>0</v>
      </c>
      <c r="CO177" s="208">
        <f t="shared" si="396"/>
        <v>0</v>
      </c>
      <c r="CP177" s="208">
        <f t="shared" si="396"/>
        <v>0</v>
      </c>
      <c r="CQ177" s="64">
        <f t="shared" si="396"/>
        <v>0</v>
      </c>
      <c r="CR177" s="63">
        <f t="shared" ref="CR177:CV177" si="419">0/142.5</f>
        <v>0</v>
      </c>
      <c r="CS177" s="208">
        <f t="shared" si="419"/>
        <v>0</v>
      </c>
      <c r="CT177" s="208">
        <f t="shared" si="419"/>
        <v>0</v>
      </c>
      <c r="CU177" s="208">
        <f t="shared" si="419"/>
        <v>0</v>
      </c>
      <c r="CV177" s="208">
        <f t="shared" si="419"/>
        <v>0</v>
      </c>
      <c r="CW177" s="208">
        <f t="shared" si="398"/>
        <v>0</v>
      </c>
      <c r="CX177" s="208">
        <f t="shared" si="398"/>
        <v>0</v>
      </c>
      <c r="CY177" s="64">
        <f t="shared" si="398"/>
        <v>0</v>
      </c>
      <c r="CZ177" s="278"/>
    </row>
    <row r="178" spans="1:105" ht="20.100000000000001" customHeight="1" x14ac:dyDescent="0.4">
      <c r="A178" s="485">
        <v>3</v>
      </c>
      <c r="B178" s="485" t="s">
        <v>46</v>
      </c>
      <c r="C178" s="485" t="s">
        <v>28</v>
      </c>
      <c r="D178" s="463" t="s">
        <v>21</v>
      </c>
      <c r="E178" s="505" t="s">
        <v>26</v>
      </c>
      <c r="F178" s="463" t="s">
        <v>27</v>
      </c>
      <c r="G178" s="465" t="s">
        <v>32</v>
      </c>
      <c r="H178" s="467">
        <f t="shared" ref="H178" si="420">SUM(AH178:AM178)</f>
        <v>0.19999999999999998</v>
      </c>
      <c r="I178" s="469">
        <f t="shared" ref="I178" si="421">SUM(AH179:AM179)</f>
        <v>0.16515151515151516</v>
      </c>
      <c r="J178" s="12"/>
      <c r="K178" s="13"/>
      <c r="L178" s="13"/>
      <c r="M178" s="554" t="s">
        <v>161</v>
      </c>
      <c r="N178" s="10" t="s">
        <v>88</v>
      </c>
      <c r="O178" s="187">
        <f>(0.25*16)/120</f>
        <v>3.3333333333333333E-2</v>
      </c>
      <c r="P178" s="187">
        <f>(0.25*0)/120</f>
        <v>0</v>
      </c>
      <c r="Q178" s="187">
        <f t="shared" ref="Q178:U178" si="422">(0.25*16)/120</f>
        <v>3.3333333333333333E-2</v>
      </c>
      <c r="R178" s="187">
        <f t="shared" si="422"/>
        <v>3.3333333333333333E-2</v>
      </c>
      <c r="S178" s="187">
        <f t="shared" si="422"/>
        <v>3.3333333333333333E-2</v>
      </c>
      <c r="T178" s="187">
        <f t="shared" si="422"/>
        <v>3.3333333333333333E-2</v>
      </c>
      <c r="U178" s="82">
        <f t="shared" si="422"/>
        <v>3.3333333333333333E-2</v>
      </c>
      <c r="V178" s="19">
        <f>(0.25*19)/142.5</f>
        <v>3.3333333333333333E-2</v>
      </c>
      <c r="W178" s="187">
        <f>(0.25*19)/142.5</f>
        <v>3.3333333333333333E-2</v>
      </c>
      <c r="X178" s="187">
        <f t="shared" ref="X178:AA178" si="423">(0.25*19)/142.5</f>
        <v>3.3333333333333333E-2</v>
      </c>
      <c r="Y178" s="187">
        <f t="shared" si="423"/>
        <v>3.3333333333333333E-2</v>
      </c>
      <c r="Z178" s="187">
        <f t="shared" si="423"/>
        <v>3.3333333333333333E-2</v>
      </c>
      <c r="AA178" s="187">
        <f t="shared" si="423"/>
        <v>3.3333333333333333E-2</v>
      </c>
      <c r="AB178" s="73">
        <f>(0.25*22)/165</f>
        <v>3.3333333333333333E-2</v>
      </c>
      <c r="AC178" s="187">
        <f>(0.25*22)/165</f>
        <v>3.3333333333333333E-2</v>
      </c>
      <c r="AD178" s="187">
        <f t="shared" ref="AD178:AG178" si="424">(0.25*22)/165</f>
        <v>3.3333333333333333E-2</v>
      </c>
      <c r="AE178" s="187">
        <f t="shared" si="424"/>
        <v>3.3333333333333333E-2</v>
      </c>
      <c r="AF178" s="187">
        <f t="shared" si="424"/>
        <v>3.3333333333333333E-2</v>
      </c>
      <c r="AG178" s="187">
        <f t="shared" si="424"/>
        <v>3.3333333333333333E-2</v>
      </c>
      <c r="AH178" s="73">
        <f>(0.25*22)/165</f>
        <v>3.3333333333333333E-2</v>
      </c>
      <c r="AI178" s="187">
        <f>(0.25*22)/165</f>
        <v>3.3333333333333333E-2</v>
      </c>
      <c r="AJ178" s="187">
        <f t="shared" ref="AJ178:AM178" si="425">(0.25*22)/165</f>
        <v>3.3333333333333333E-2</v>
      </c>
      <c r="AK178" s="187">
        <f t="shared" si="425"/>
        <v>3.3333333333333333E-2</v>
      </c>
      <c r="AL178" s="187">
        <f t="shared" si="425"/>
        <v>3.3333333333333333E-2</v>
      </c>
      <c r="AM178" s="187">
        <f t="shared" si="425"/>
        <v>3.3333333333333333E-2</v>
      </c>
      <c r="AN178" s="73">
        <f t="shared" si="409"/>
        <v>0</v>
      </c>
      <c r="AO178" s="187">
        <f t="shared" si="409"/>
        <v>0</v>
      </c>
      <c r="AP178" s="187">
        <f t="shared" si="385"/>
        <v>0</v>
      </c>
      <c r="AQ178" s="187">
        <f t="shared" si="385"/>
        <v>0</v>
      </c>
      <c r="AR178" s="187">
        <f t="shared" si="385"/>
        <v>0</v>
      </c>
      <c r="AS178" s="187">
        <f t="shared" si="386"/>
        <v>0</v>
      </c>
      <c r="AT178" s="187">
        <f t="shared" si="386"/>
        <v>0</v>
      </c>
      <c r="AU178" s="221">
        <f t="shared" si="386"/>
        <v>0</v>
      </c>
      <c r="AV178" s="222">
        <f t="shared" si="410"/>
        <v>0</v>
      </c>
      <c r="AW178" s="187">
        <f t="shared" si="410"/>
        <v>0</v>
      </c>
      <c r="AX178" s="187">
        <f t="shared" si="400"/>
        <v>0</v>
      </c>
      <c r="AY178" s="187">
        <f t="shared" si="387"/>
        <v>0</v>
      </c>
      <c r="AZ178" s="187">
        <f t="shared" si="387"/>
        <v>0</v>
      </c>
      <c r="BA178" s="187">
        <f t="shared" si="387"/>
        <v>0</v>
      </c>
      <c r="BB178" s="187">
        <f t="shared" si="387"/>
        <v>0</v>
      </c>
      <c r="BC178" s="17">
        <f t="shared" si="387"/>
        <v>0</v>
      </c>
      <c r="BD178" s="19">
        <f t="shared" si="411"/>
        <v>0</v>
      </c>
      <c r="BE178" s="187">
        <f t="shared" si="411"/>
        <v>0</v>
      </c>
      <c r="BF178" s="187">
        <f t="shared" si="411"/>
        <v>0</v>
      </c>
      <c r="BG178" s="187">
        <f t="shared" si="411"/>
        <v>0</v>
      </c>
      <c r="BH178" s="187">
        <f t="shared" si="411"/>
        <v>0</v>
      </c>
      <c r="BI178" s="187">
        <f t="shared" si="389"/>
        <v>0</v>
      </c>
      <c r="BJ178" s="187">
        <f t="shared" si="389"/>
        <v>0</v>
      </c>
      <c r="BK178" s="17">
        <f t="shared" si="389"/>
        <v>0</v>
      </c>
      <c r="BL178" s="19">
        <f t="shared" si="412"/>
        <v>0</v>
      </c>
      <c r="BM178" s="187">
        <f t="shared" si="412"/>
        <v>0</v>
      </c>
      <c r="BN178" s="187">
        <f t="shared" si="412"/>
        <v>0</v>
      </c>
      <c r="BO178" s="187">
        <f t="shared" si="412"/>
        <v>0</v>
      </c>
      <c r="BP178" s="187">
        <f t="shared" si="412"/>
        <v>0</v>
      </c>
      <c r="BQ178" s="187">
        <f t="shared" si="390"/>
        <v>0</v>
      </c>
      <c r="BR178" s="187">
        <f t="shared" si="390"/>
        <v>0</v>
      </c>
      <c r="BS178" s="17">
        <f t="shared" si="390"/>
        <v>0</v>
      </c>
      <c r="BT178" s="19">
        <f t="shared" si="413"/>
        <v>0</v>
      </c>
      <c r="BU178" s="187">
        <f t="shared" si="413"/>
        <v>0</v>
      </c>
      <c r="BV178" s="187">
        <f t="shared" si="413"/>
        <v>0</v>
      </c>
      <c r="BW178" s="187">
        <f t="shared" si="413"/>
        <v>0</v>
      </c>
      <c r="BX178" s="187">
        <f t="shared" si="413"/>
        <v>0</v>
      </c>
      <c r="BY178" s="187">
        <f t="shared" si="392"/>
        <v>0</v>
      </c>
      <c r="BZ178" s="187">
        <f t="shared" si="392"/>
        <v>0</v>
      </c>
      <c r="CA178" s="17">
        <f t="shared" si="392"/>
        <v>0</v>
      </c>
      <c r="CB178" s="73">
        <f t="shared" si="414"/>
        <v>0</v>
      </c>
      <c r="CC178" s="187">
        <f t="shared" si="393"/>
        <v>0</v>
      </c>
      <c r="CD178" s="187">
        <f t="shared" si="393"/>
        <v>0</v>
      </c>
      <c r="CE178" s="187">
        <f t="shared" si="393"/>
        <v>0</v>
      </c>
      <c r="CF178" s="187">
        <f t="shared" si="393"/>
        <v>0</v>
      </c>
      <c r="CG178" s="187">
        <f t="shared" si="394"/>
        <v>0</v>
      </c>
      <c r="CH178" s="187">
        <f t="shared" si="394"/>
        <v>0</v>
      </c>
      <c r="CI178" s="17">
        <f t="shared" si="394"/>
        <v>0</v>
      </c>
      <c r="CJ178" s="19">
        <f t="shared" ref="CJ178:CN178" si="426">(0/157.5)</f>
        <v>0</v>
      </c>
      <c r="CK178" s="187">
        <f t="shared" si="426"/>
        <v>0</v>
      </c>
      <c r="CL178" s="187">
        <f t="shared" si="426"/>
        <v>0</v>
      </c>
      <c r="CM178" s="187">
        <f t="shared" si="426"/>
        <v>0</v>
      </c>
      <c r="CN178" s="187">
        <f t="shared" si="426"/>
        <v>0</v>
      </c>
      <c r="CO178" s="187">
        <f t="shared" si="396"/>
        <v>0</v>
      </c>
      <c r="CP178" s="187">
        <f t="shared" si="396"/>
        <v>0</v>
      </c>
      <c r="CQ178" s="17">
        <f t="shared" si="396"/>
        <v>0</v>
      </c>
      <c r="CR178" s="19">
        <f t="shared" ref="CR178:CV178" si="427">(0)/142.5</f>
        <v>0</v>
      </c>
      <c r="CS178" s="187">
        <f t="shared" si="427"/>
        <v>0</v>
      </c>
      <c r="CT178" s="187">
        <f t="shared" si="427"/>
        <v>0</v>
      </c>
      <c r="CU178" s="187">
        <f t="shared" si="427"/>
        <v>0</v>
      </c>
      <c r="CV178" s="187">
        <f t="shared" si="427"/>
        <v>0</v>
      </c>
      <c r="CW178" s="187">
        <f t="shared" si="398"/>
        <v>0</v>
      </c>
      <c r="CX178" s="187">
        <f t="shared" si="398"/>
        <v>0</v>
      </c>
      <c r="CY178" s="17">
        <f t="shared" si="398"/>
        <v>0</v>
      </c>
      <c r="CZ178" s="278"/>
    </row>
    <row r="179" spans="1:105" ht="20.100000000000001" customHeight="1" x14ac:dyDescent="0.4">
      <c r="A179" s="486"/>
      <c r="B179" s="486"/>
      <c r="C179" s="486"/>
      <c r="D179" s="464"/>
      <c r="E179" s="464"/>
      <c r="F179" s="464"/>
      <c r="G179" s="466"/>
      <c r="H179" s="468"/>
      <c r="I179" s="470"/>
      <c r="J179" s="14"/>
      <c r="K179" s="15"/>
      <c r="L179" s="15"/>
      <c r="M179" s="540"/>
      <c r="N179" s="11" t="s">
        <v>89</v>
      </c>
      <c r="O179" s="207">
        <f>(0.25+1.25+0.25+0.75+1.25)/120</f>
        <v>3.125E-2</v>
      </c>
      <c r="P179" s="207">
        <f t="shared" si="399"/>
        <v>0</v>
      </c>
      <c r="Q179" s="207">
        <f>(0.25+1.25+0.5+0.75+1.25)/120</f>
        <v>3.3333333333333333E-2</v>
      </c>
      <c r="R179" s="207">
        <f>(0.25+1.25+0.5+0.75+0.5)/120</f>
        <v>2.7083333333333334E-2</v>
      </c>
      <c r="S179" s="207">
        <f>(0.25+1.25+0.5+0.75+1.25)/120</f>
        <v>3.3333333333333333E-2</v>
      </c>
      <c r="T179" s="207">
        <f>(0.25+1.25+0.5+0.75+1.25)/120</f>
        <v>3.3333333333333333E-2</v>
      </c>
      <c r="U179" s="49">
        <f>(0.25+1.25+0.5+0.75+1.25)/120</f>
        <v>3.3333333333333333E-2</v>
      </c>
      <c r="V179" s="57">
        <f>(0.75+1.25+1.25+1)/142.5</f>
        <v>2.9824561403508771E-2</v>
      </c>
      <c r="W179" s="207">
        <f t="shared" ref="W179:W185" si="428">(0)/142.5</f>
        <v>0</v>
      </c>
      <c r="X179" s="207">
        <f>(0.75+0.75+1.25+1+0.25)/142.5</f>
        <v>2.8070175438596492E-2</v>
      </c>
      <c r="Y179" s="207">
        <f>(0.75+1.25+1.25+1.25)/142.5</f>
        <v>3.1578947368421054E-2</v>
      </c>
      <c r="Z179" s="207">
        <f>(0.5+1.25+1.25+1.25+0.25)/142.5</f>
        <v>3.1578947368421054E-2</v>
      </c>
      <c r="AA179" s="207">
        <f>(0.75+1.25+1.25+1.25+0.25)/142.5</f>
        <v>3.3333333333333333E-2</v>
      </c>
      <c r="AB179" s="57">
        <f>(0.75+1.25+1.25+1.25+1)/165</f>
        <v>3.3333333333333333E-2</v>
      </c>
      <c r="AC179" s="207">
        <f>(0+0.5+1.25+1)/165</f>
        <v>1.6666666666666666E-2</v>
      </c>
      <c r="AD179" s="207">
        <f>(0.75+1.25+1.25+1.25+1)/165</f>
        <v>3.3333333333333333E-2</v>
      </c>
      <c r="AE179" s="207">
        <f>(0.75+1.25+1.25+1.25+1)/165</f>
        <v>3.3333333333333333E-2</v>
      </c>
      <c r="AF179" s="207">
        <f>(0.5+1.25+1.25+1.25+1)/165</f>
        <v>3.1818181818181815E-2</v>
      </c>
      <c r="AG179" s="207">
        <f>(0.75+1.25+1+1.25+1)/165</f>
        <v>3.1818181818181815E-2</v>
      </c>
      <c r="AH179" s="57">
        <f>(0.25+1.25+1.25+1+1)/165</f>
        <v>2.8787878787878789E-2</v>
      </c>
      <c r="AI179" s="207">
        <f>(0.25+1+1.25+1.25+0.7)/165</f>
        <v>2.696969696969697E-2</v>
      </c>
      <c r="AJ179" s="207">
        <f>(0.25+1.25+1.25+1.25+0.4)/165</f>
        <v>2.6666666666666668E-2</v>
      </c>
      <c r="AK179" s="207">
        <f>(0.25+1.25+1.25+1+1)/165</f>
        <v>2.8787878787878789E-2</v>
      </c>
      <c r="AL179" s="207">
        <f>(0.25+1.25+1.25+1.25+0.75)/165</f>
        <v>2.8787878787878789E-2</v>
      </c>
      <c r="AM179" s="207">
        <f>(0.25+1.25+1.25+1+0.4)/165</f>
        <v>2.5151515151515154E-2</v>
      </c>
      <c r="AN179" s="57">
        <f t="shared" si="409"/>
        <v>0</v>
      </c>
      <c r="AO179" s="207">
        <f t="shared" si="409"/>
        <v>0</v>
      </c>
      <c r="AP179" s="207">
        <f t="shared" si="385"/>
        <v>0</v>
      </c>
      <c r="AQ179" s="207">
        <f t="shared" si="385"/>
        <v>0</v>
      </c>
      <c r="AR179" s="207">
        <f t="shared" si="385"/>
        <v>0</v>
      </c>
      <c r="AS179" s="207">
        <f t="shared" si="386"/>
        <v>0</v>
      </c>
      <c r="AT179" s="207">
        <f t="shared" si="386"/>
        <v>0</v>
      </c>
      <c r="AU179" s="49">
        <f t="shared" si="386"/>
        <v>0</v>
      </c>
      <c r="AV179" s="63">
        <f t="shared" si="410"/>
        <v>0</v>
      </c>
      <c r="AW179" s="208">
        <f t="shared" si="410"/>
        <v>0</v>
      </c>
      <c r="AX179" s="208">
        <f t="shared" si="400"/>
        <v>0</v>
      </c>
      <c r="AY179" s="208">
        <f t="shared" si="387"/>
        <v>0</v>
      </c>
      <c r="AZ179" s="208">
        <f t="shared" si="387"/>
        <v>0</v>
      </c>
      <c r="BA179" s="208">
        <f t="shared" si="387"/>
        <v>0</v>
      </c>
      <c r="BB179" s="208">
        <f t="shared" si="387"/>
        <v>0</v>
      </c>
      <c r="BC179" s="64">
        <f t="shared" si="387"/>
        <v>0</v>
      </c>
      <c r="BD179" s="63">
        <f t="shared" si="411"/>
        <v>0</v>
      </c>
      <c r="BE179" s="208">
        <f t="shared" si="411"/>
        <v>0</v>
      </c>
      <c r="BF179" s="208">
        <f t="shared" si="411"/>
        <v>0</v>
      </c>
      <c r="BG179" s="208">
        <f t="shared" si="411"/>
        <v>0</v>
      </c>
      <c r="BH179" s="208">
        <f t="shared" si="411"/>
        <v>0</v>
      </c>
      <c r="BI179" s="208">
        <f t="shared" si="389"/>
        <v>0</v>
      </c>
      <c r="BJ179" s="208">
        <f t="shared" si="389"/>
        <v>0</v>
      </c>
      <c r="BK179" s="64">
        <f t="shared" si="389"/>
        <v>0</v>
      </c>
      <c r="BL179" s="63">
        <f t="shared" si="412"/>
        <v>0</v>
      </c>
      <c r="BM179" s="208">
        <f t="shared" si="412"/>
        <v>0</v>
      </c>
      <c r="BN179" s="208">
        <f t="shared" si="412"/>
        <v>0</v>
      </c>
      <c r="BO179" s="208">
        <f t="shared" si="412"/>
        <v>0</v>
      </c>
      <c r="BP179" s="208">
        <f t="shared" si="412"/>
        <v>0</v>
      </c>
      <c r="BQ179" s="208">
        <f t="shared" si="390"/>
        <v>0</v>
      </c>
      <c r="BR179" s="208">
        <f t="shared" si="390"/>
        <v>0</v>
      </c>
      <c r="BS179" s="64">
        <f t="shared" si="390"/>
        <v>0</v>
      </c>
      <c r="BT179" s="63">
        <f t="shared" si="413"/>
        <v>0</v>
      </c>
      <c r="BU179" s="208">
        <f t="shared" si="413"/>
        <v>0</v>
      </c>
      <c r="BV179" s="208">
        <f t="shared" si="413"/>
        <v>0</v>
      </c>
      <c r="BW179" s="208">
        <f t="shared" si="413"/>
        <v>0</v>
      </c>
      <c r="BX179" s="208">
        <f t="shared" si="413"/>
        <v>0</v>
      </c>
      <c r="BY179" s="208">
        <f t="shared" si="392"/>
        <v>0</v>
      </c>
      <c r="BZ179" s="208">
        <f t="shared" si="392"/>
        <v>0</v>
      </c>
      <c r="CA179" s="64">
        <f t="shared" si="392"/>
        <v>0</v>
      </c>
      <c r="CB179" s="63">
        <f t="shared" si="414"/>
        <v>0</v>
      </c>
      <c r="CC179" s="208">
        <f t="shared" si="393"/>
        <v>0</v>
      </c>
      <c r="CD179" s="208">
        <f t="shared" si="393"/>
        <v>0</v>
      </c>
      <c r="CE179" s="208">
        <f t="shared" si="393"/>
        <v>0</v>
      </c>
      <c r="CF179" s="208">
        <f t="shared" si="393"/>
        <v>0</v>
      </c>
      <c r="CG179" s="208">
        <f t="shared" si="394"/>
        <v>0</v>
      </c>
      <c r="CH179" s="208">
        <f t="shared" si="394"/>
        <v>0</v>
      </c>
      <c r="CI179" s="64">
        <f t="shared" si="394"/>
        <v>0</v>
      </c>
      <c r="CJ179" s="63">
        <f t="shared" ref="CJ179:CN179" si="429">(0)/157.5</f>
        <v>0</v>
      </c>
      <c r="CK179" s="208">
        <f t="shared" si="429"/>
        <v>0</v>
      </c>
      <c r="CL179" s="208">
        <f t="shared" si="429"/>
        <v>0</v>
      </c>
      <c r="CM179" s="208">
        <f t="shared" si="429"/>
        <v>0</v>
      </c>
      <c r="CN179" s="208">
        <f t="shared" si="429"/>
        <v>0</v>
      </c>
      <c r="CO179" s="208">
        <f t="shared" si="396"/>
        <v>0</v>
      </c>
      <c r="CP179" s="208">
        <f t="shared" si="396"/>
        <v>0</v>
      </c>
      <c r="CQ179" s="64">
        <f t="shared" si="396"/>
        <v>0</v>
      </c>
      <c r="CR179" s="63">
        <f t="shared" ref="CR179:CV179" si="430">0/142.5</f>
        <v>0</v>
      </c>
      <c r="CS179" s="208">
        <f t="shared" si="430"/>
        <v>0</v>
      </c>
      <c r="CT179" s="208">
        <f t="shared" si="430"/>
        <v>0</v>
      </c>
      <c r="CU179" s="208">
        <f t="shared" si="430"/>
        <v>0</v>
      </c>
      <c r="CV179" s="208">
        <f t="shared" si="430"/>
        <v>0</v>
      </c>
      <c r="CW179" s="208">
        <f t="shared" si="398"/>
        <v>0</v>
      </c>
      <c r="CX179" s="208">
        <f t="shared" si="398"/>
        <v>0</v>
      </c>
      <c r="CY179" s="64">
        <f t="shared" si="398"/>
        <v>0</v>
      </c>
      <c r="CZ179" s="278"/>
    </row>
    <row r="180" spans="1:105" ht="20.100000000000001" customHeight="1" x14ac:dyDescent="0.4">
      <c r="A180" s="485">
        <v>4</v>
      </c>
      <c r="B180" s="485" t="s">
        <v>46</v>
      </c>
      <c r="C180" s="485" t="s">
        <v>28</v>
      </c>
      <c r="D180" s="463" t="s">
        <v>20</v>
      </c>
      <c r="E180" s="505" t="s">
        <v>26</v>
      </c>
      <c r="F180" s="463" t="s">
        <v>27</v>
      </c>
      <c r="G180" s="465" t="s">
        <v>33</v>
      </c>
      <c r="H180" s="467">
        <f t="shared" ref="H180" si="431">SUM(AH180:AM180)</f>
        <v>0</v>
      </c>
      <c r="I180" s="469">
        <f t="shared" ref="I180" si="432">SUM(AH181:AM181)</f>
        <v>0</v>
      </c>
      <c r="J180" s="12"/>
      <c r="K180" s="13"/>
      <c r="L180" s="13"/>
      <c r="M180" s="554" t="s">
        <v>40</v>
      </c>
      <c r="N180" s="17" t="s">
        <v>88</v>
      </c>
      <c r="O180" s="187">
        <f>(0)/120</f>
        <v>0</v>
      </c>
      <c r="P180" s="187">
        <f t="shared" si="399"/>
        <v>0</v>
      </c>
      <c r="Q180" s="187">
        <f t="shared" si="399"/>
        <v>0</v>
      </c>
      <c r="R180" s="187">
        <f t="shared" si="399"/>
        <v>0</v>
      </c>
      <c r="S180" s="187">
        <f t="shared" si="399"/>
        <v>0</v>
      </c>
      <c r="T180" s="187">
        <f t="shared" si="399"/>
        <v>0</v>
      </c>
      <c r="U180" s="82">
        <f t="shared" si="399"/>
        <v>0</v>
      </c>
      <c r="V180" s="19">
        <f>(0)/142.5</f>
        <v>0</v>
      </c>
      <c r="W180" s="187">
        <f t="shared" si="428"/>
        <v>0</v>
      </c>
      <c r="X180" s="187">
        <f t="shared" ref="X180:AA185" si="433">(0)/142.5</f>
        <v>0</v>
      </c>
      <c r="Y180" s="187">
        <f t="shared" si="433"/>
        <v>0</v>
      </c>
      <c r="Z180" s="187">
        <f t="shared" si="433"/>
        <v>0</v>
      </c>
      <c r="AA180" s="187">
        <f t="shared" si="433"/>
        <v>0</v>
      </c>
      <c r="AB180" s="73">
        <f t="shared" ref="AB180:AG185" si="434">(0)/165</f>
        <v>0</v>
      </c>
      <c r="AC180" s="187">
        <f t="shared" si="434"/>
        <v>0</v>
      </c>
      <c r="AD180" s="187">
        <f t="shared" si="434"/>
        <v>0</v>
      </c>
      <c r="AE180" s="187">
        <f t="shared" si="434"/>
        <v>0</v>
      </c>
      <c r="AF180" s="187">
        <f t="shared" si="434"/>
        <v>0</v>
      </c>
      <c r="AG180" s="187">
        <f t="shared" si="434"/>
        <v>0</v>
      </c>
      <c r="AH180" s="73">
        <f t="shared" ref="AH180:AM185" si="435">(0)/165</f>
        <v>0</v>
      </c>
      <c r="AI180" s="187">
        <f t="shared" si="435"/>
        <v>0</v>
      </c>
      <c r="AJ180" s="187">
        <f t="shared" si="435"/>
        <v>0</v>
      </c>
      <c r="AK180" s="187">
        <f t="shared" si="435"/>
        <v>0</v>
      </c>
      <c r="AL180" s="187">
        <f t="shared" si="435"/>
        <v>0</v>
      </c>
      <c r="AM180" s="187">
        <f t="shared" si="435"/>
        <v>0</v>
      </c>
      <c r="AN180" s="73">
        <f t="shared" si="409"/>
        <v>0</v>
      </c>
      <c r="AO180" s="187">
        <f t="shared" si="409"/>
        <v>0</v>
      </c>
      <c r="AP180" s="187">
        <f t="shared" si="385"/>
        <v>0</v>
      </c>
      <c r="AQ180" s="187">
        <f t="shared" si="385"/>
        <v>0</v>
      </c>
      <c r="AR180" s="187">
        <f t="shared" si="385"/>
        <v>0</v>
      </c>
      <c r="AS180" s="187">
        <f t="shared" si="386"/>
        <v>0</v>
      </c>
      <c r="AT180" s="187">
        <f t="shared" si="386"/>
        <v>0</v>
      </c>
      <c r="AU180" s="221">
        <f t="shared" si="386"/>
        <v>0</v>
      </c>
      <c r="AV180" s="222">
        <f t="shared" si="410"/>
        <v>0</v>
      </c>
      <c r="AW180" s="187">
        <f t="shared" si="410"/>
        <v>0</v>
      </c>
      <c r="AX180" s="187">
        <f t="shared" si="400"/>
        <v>0</v>
      </c>
      <c r="AY180" s="187">
        <f t="shared" si="387"/>
        <v>0</v>
      </c>
      <c r="AZ180" s="187">
        <f t="shared" si="387"/>
        <v>0</v>
      </c>
      <c r="BA180" s="187">
        <f t="shared" si="387"/>
        <v>0</v>
      </c>
      <c r="BB180" s="187">
        <f t="shared" si="387"/>
        <v>0</v>
      </c>
      <c r="BC180" s="17">
        <f t="shared" si="387"/>
        <v>0</v>
      </c>
      <c r="BD180" s="19">
        <f t="shared" si="411"/>
        <v>0</v>
      </c>
      <c r="BE180" s="187">
        <f t="shared" si="411"/>
        <v>0</v>
      </c>
      <c r="BF180" s="187">
        <f t="shared" si="411"/>
        <v>0</v>
      </c>
      <c r="BG180" s="187">
        <f t="shared" si="411"/>
        <v>0</v>
      </c>
      <c r="BH180" s="187">
        <f t="shared" si="411"/>
        <v>0</v>
      </c>
      <c r="BI180" s="187">
        <f t="shared" si="389"/>
        <v>0</v>
      </c>
      <c r="BJ180" s="187">
        <f t="shared" si="389"/>
        <v>0</v>
      </c>
      <c r="BK180" s="17">
        <f t="shared" si="389"/>
        <v>0</v>
      </c>
      <c r="BL180" s="19">
        <f t="shared" si="412"/>
        <v>0</v>
      </c>
      <c r="BM180" s="187">
        <f t="shared" si="412"/>
        <v>0</v>
      </c>
      <c r="BN180" s="187">
        <f t="shared" si="412"/>
        <v>0</v>
      </c>
      <c r="BO180" s="187">
        <f t="shared" si="412"/>
        <v>0</v>
      </c>
      <c r="BP180" s="187">
        <f t="shared" si="412"/>
        <v>0</v>
      </c>
      <c r="BQ180" s="187">
        <f t="shared" si="390"/>
        <v>0</v>
      </c>
      <c r="BR180" s="187">
        <f t="shared" si="390"/>
        <v>0</v>
      </c>
      <c r="BS180" s="17">
        <f t="shared" si="390"/>
        <v>0</v>
      </c>
      <c r="BT180" s="19">
        <f t="shared" si="413"/>
        <v>0</v>
      </c>
      <c r="BU180" s="187">
        <f t="shared" si="413"/>
        <v>0</v>
      </c>
      <c r="BV180" s="187">
        <f t="shared" si="413"/>
        <v>0</v>
      </c>
      <c r="BW180" s="187">
        <f t="shared" si="413"/>
        <v>0</v>
      </c>
      <c r="BX180" s="187">
        <f t="shared" si="413"/>
        <v>0</v>
      </c>
      <c r="BY180" s="187">
        <f t="shared" si="392"/>
        <v>0</v>
      </c>
      <c r="BZ180" s="187">
        <f t="shared" si="392"/>
        <v>0</v>
      </c>
      <c r="CA180" s="17">
        <f t="shared" si="392"/>
        <v>0</v>
      </c>
      <c r="CB180" s="73">
        <f t="shared" si="414"/>
        <v>0</v>
      </c>
      <c r="CC180" s="187">
        <f t="shared" si="393"/>
        <v>0</v>
      </c>
      <c r="CD180" s="187">
        <f t="shared" si="393"/>
        <v>0</v>
      </c>
      <c r="CE180" s="187">
        <f t="shared" si="393"/>
        <v>0</v>
      </c>
      <c r="CF180" s="187">
        <f t="shared" si="393"/>
        <v>0</v>
      </c>
      <c r="CG180" s="187">
        <f t="shared" si="394"/>
        <v>0</v>
      </c>
      <c r="CH180" s="187">
        <f t="shared" si="394"/>
        <v>0</v>
      </c>
      <c r="CI180" s="17">
        <f t="shared" si="394"/>
        <v>0</v>
      </c>
      <c r="CJ180" s="19">
        <f t="shared" ref="CJ180:CN180" si="436">(0/157.5)</f>
        <v>0</v>
      </c>
      <c r="CK180" s="187">
        <f t="shared" si="436"/>
        <v>0</v>
      </c>
      <c r="CL180" s="187">
        <f t="shared" si="436"/>
        <v>0</v>
      </c>
      <c r="CM180" s="187">
        <f t="shared" si="436"/>
        <v>0</v>
      </c>
      <c r="CN180" s="187">
        <f t="shared" si="436"/>
        <v>0</v>
      </c>
      <c r="CO180" s="187">
        <f t="shared" si="396"/>
        <v>0</v>
      </c>
      <c r="CP180" s="187">
        <f t="shared" si="396"/>
        <v>0</v>
      </c>
      <c r="CQ180" s="17">
        <f t="shared" si="396"/>
        <v>0</v>
      </c>
      <c r="CR180" s="19">
        <f t="shared" ref="CR180:CV180" si="437">(0)/142.5</f>
        <v>0</v>
      </c>
      <c r="CS180" s="187">
        <f t="shared" si="437"/>
        <v>0</v>
      </c>
      <c r="CT180" s="187">
        <f t="shared" si="437"/>
        <v>0</v>
      </c>
      <c r="CU180" s="187">
        <f t="shared" si="437"/>
        <v>0</v>
      </c>
      <c r="CV180" s="187">
        <f t="shared" si="437"/>
        <v>0</v>
      </c>
      <c r="CW180" s="187">
        <f t="shared" si="398"/>
        <v>0</v>
      </c>
      <c r="CX180" s="187">
        <f t="shared" si="398"/>
        <v>0</v>
      </c>
      <c r="CY180" s="17">
        <f t="shared" si="398"/>
        <v>0</v>
      </c>
      <c r="CZ180" s="278"/>
    </row>
    <row r="181" spans="1:105" ht="20.100000000000001" customHeight="1" x14ac:dyDescent="0.4">
      <c r="A181" s="486"/>
      <c r="B181" s="486"/>
      <c r="C181" s="486"/>
      <c r="D181" s="464"/>
      <c r="E181" s="464"/>
      <c r="F181" s="464"/>
      <c r="G181" s="466"/>
      <c r="H181" s="468"/>
      <c r="I181" s="470"/>
      <c r="J181" s="14"/>
      <c r="K181" s="15"/>
      <c r="L181" s="15"/>
      <c r="M181" s="540"/>
      <c r="N181" s="11" t="s">
        <v>89</v>
      </c>
      <c r="O181" s="207">
        <f>(0)/120</f>
        <v>0</v>
      </c>
      <c r="P181" s="207">
        <f t="shared" si="399"/>
        <v>0</v>
      </c>
      <c r="Q181" s="207">
        <f t="shared" si="399"/>
        <v>0</v>
      </c>
      <c r="R181" s="207">
        <f t="shared" si="399"/>
        <v>0</v>
      </c>
      <c r="S181" s="207">
        <f t="shared" si="399"/>
        <v>0</v>
      </c>
      <c r="T181" s="207">
        <f t="shared" si="399"/>
        <v>0</v>
      </c>
      <c r="U181" s="49">
        <f t="shared" si="399"/>
        <v>0</v>
      </c>
      <c r="V181" s="57">
        <f>(0)/142.5</f>
        <v>0</v>
      </c>
      <c r="W181" s="207">
        <f t="shared" si="428"/>
        <v>0</v>
      </c>
      <c r="X181" s="207">
        <f t="shared" si="433"/>
        <v>0</v>
      </c>
      <c r="Y181" s="207">
        <f t="shared" si="433"/>
        <v>0</v>
      </c>
      <c r="Z181" s="207">
        <f t="shared" si="433"/>
        <v>0</v>
      </c>
      <c r="AA181" s="207">
        <f t="shared" si="433"/>
        <v>0</v>
      </c>
      <c r="AB181" s="57">
        <f t="shared" si="434"/>
        <v>0</v>
      </c>
      <c r="AC181" s="207">
        <f t="shared" si="434"/>
        <v>0</v>
      </c>
      <c r="AD181" s="207">
        <f t="shared" si="434"/>
        <v>0</v>
      </c>
      <c r="AE181" s="207">
        <f t="shared" si="434"/>
        <v>0</v>
      </c>
      <c r="AF181" s="207">
        <f t="shared" si="434"/>
        <v>0</v>
      </c>
      <c r="AG181" s="207">
        <f t="shared" si="434"/>
        <v>0</v>
      </c>
      <c r="AH181" s="57">
        <f t="shared" si="435"/>
        <v>0</v>
      </c>
      <c r="AI181" s="207">
        <f t="shared" si="435"/>
        <v>0</v>
      </c>
      <c r="AJ181" s="207">
        <f t="shared" si="435"/>
        <v>0</v>
      </c>
      <c r="AK181" s="207">
        <f t="shared" si="435"/>
        <v>0</v>
      </c>
      <c r="AL181" s="207">
        <f t="shared" si="435"/>
        <v>0</v>
      </c>
      <c r="AM181" s="207">
        <f t="shared" si="435"/>
        <v>0</v>
      </c>
      <c r="AN181" s="57">
        <f t="shared" si="409"/>
        <v>0</v>
      </c>
      <c r="AO181" s="207">
        <f t="shared" si="409"/>
        <v>0</v>
      </c>
      <c r="AP181" s="207">
        <f t="shared" si="385"/>
        <v>0</v>
      </c>
      <c r="AQ181" s="207">
        <f t="shared" si="385"/>
        <v>0</v>
      </c>
      <c r="AR181" s="207">
        <f t="shared" si="385"/>
        <v>0</v>
      </c>
      <c r="AS181" s="207">
        <f t="shared" si="386"/>
        <v>0</v>
      </c>
      <c r="AT181" s="207">
        <f t="shared" si="386"/>
        <v>0</v>
      </c>
      <c r="AU181" s="49">
        <f t="shared" si="386"/>
        <v>0</v>
      </c>
      <c r="AV181" s="63">
        <f t="shared" si="410"/>
        <v>0</v>
      </c>
      <c r="AW181" s="208">
        <f t="shared" si="410"/>
        <v>0</v>
      </c>
      <c r="AX181" s="208">
        <f t="shared" si="400"/>
        <v>0</v>
      </c>
      <c r="AY181" s="208">
        <f t="shared" si="387"/>
        <v>0</v>
      </c>
      <c r="AZ181" s="208">
        <f t="shared" si="387"/>
        <v>0</v>
      </c>
      <c r="BA181" s="208">
        <f t="shared" si="387"/>
        <v>0</v>
      </c>
      <c r="BB181" s="208">
        <f t="shared" si="387"/>
        <v>0</v>
      </c>
      <c r="BC181" s="64">
        <f t="shared" si="387"/>
        <v>0</v>
      </c>
      <c r="BD181" s="63">
        <f t="shared" si="411"/>
        <v>0</v>
      </c>
      <c r="BE181" s="208">
        <f t="shared" si="411"/>
        <v>0</v>
      </c>
      <c r="BF181" s="208">
        <f t="shared" si="411"/>
        <v>0</v>
      </c>
      <c r="BG181" s="208">
        <f t="shared" si="411"/>
        <v>0</v>
      </c>
      <c r="BH181" s="208">
        <f t="shared" si="411"/>
        <v>0</v>
      </c>
      <c r="BI181" s="208">
        <f t="shared" si="389"/>
        <v>0</v>
      </c>
      <c r="BJ181" s="208">
        <f t="shared" si="389"/>
        <v>0</v>
      </c>
      <c r="BK181" s="64">
        <f t="shared" si="389"/>
        <v>0</v>
      </c>
      <c r="BL181" s="63">
        <f t="shared" si="412"/>
        <v>0</v>
      </c>
      <c r="BM181" s="208">
        <f t="shared" si="412"/>
        <v>0</v>
      </c>
      <c r="BN181" s="208">
        <f t="shared" si="412"/>
        <v>0</v>
      </c>
      <c r="BO181" s="208">
        <f t="shared" si="412"/>
        <v>0</v>
      </c>
      <c r="BP181" s="208">
        <f t="shared" si="412"/>
        <v>0</v>
      </c>
      <c r="BQ181" s="208">
        <f t="shared" si="390"/>
        <v>0</v>
      </c>
      <c r="BR181" s="208">
        <f t="shared" si="390"/>
        <v>0</v>
      </c>
      <c r="BS181" s="64">
        <f t="shared" si="390"/>
        <v>0</v>
      </c>
      <c r="BT181" s="63">
        <f t="shared" si="413"/>
        <v>0</v>
      </c>
      <c r="BU181" s="208">
        <f t="shared" si="413"/>
        <v>0</v>
      </c>
      <c r="BV181" s="208">
        <f t="shared" si="413"/>
        <v>0</v>
      </c>
      <c r="BW181" s="208">
        <f t="shared" si="413"/>
        <v>0</v>
      </c>
      <c r="BX181" s="208">
        <f t="shared" si="413"/>
        <v>0</v>
      </c>
      <c r="BY181" s="208">
        <f t="shared" si="392"/>
        <v>0</v>
      </c>
      <c r="BZ181" s="208">
        <f t="shared" si="392"/>
        <v>0</v>
      </c>
      <c r="CA181" s="64">
        <f t="shared" si="392"/>
        <v>0</v>
      </c>
      <c r="CB181" s="63">
        <f t="shared" si="414"/>
        <v>0</v>
      </c>
      <c r="CC181" s="208">
        <f t="shared" si="393"/>
        <v>0</v>
      </c>
      <c r="CD181" s="208">
        <f t="shared" si="393"/>
        <v>0</v>
      </c>
      <c r="CE181" s="208">
        <f t="shared" si="393"/>
        <v>0</v>
      </c>
      <c r="CF181" s="208">
        <f t="shared" si="393"/>
        <v>0</v>
      </c>
      <c r="CG181" s="208">
        <f t="shared" si="394"/>
        <v>0</v>
      </c>
      <c r="CH181" s="208">
        <f t="shared" si="394"/>
        <v>0</v>
      </c>
      <c r="CI181" s="64">
        <f t="shared" si="394"/>
        <v>0</v>
      </c>
      <c r="CJ181" s="63">
        <f t="shared" ref="CJ181:CN181" si="438">(0)/157.5</f>
        <v>0</v>
      </c>
      <c r="CK181" s="208">
        <f t="shared" si="438"/>
        <v>0</v>
      </c>
      <c r="CL181" s="208">
        <f t="shared" si="438"/>
        <v>0</v>
      </c>
      <c r="CM181" s="208">
        <f t="shared" si="438"/>
        <v>0</v>
      </c>
      <c r="CN181" s="208">
        <f t="shared" si="438"/>
        <v>0</v>
      </c>
      <c r="CO181" s="208">
        <f t="shared" si="396"/>
        <v>0</v>
      </c>
      <c r="CP181" s="208">
        <f t="shared" si="396"/>
        <v>0</v>
      </c>
      <c r="CQ181" s="64">
        <f t="shared" si="396"/>
        <v>0</v>
      </c>
      <c r="CR181" s="63">
        <f t="shared" ref="CR181:CV181" si="439">0/142.5</f>
        <v>0</v>
      </c>
      <c r="CS181" s="208">
        <f t="shared" si="439"/>
        <v>0</v>
      </c>
      <c r="CT181" s="208">
        <f t="shared" si="439"/>
        <v>0</v>
      </c>
      <c r="CU181" s="208">
        <f t="shared" si="439"/>
        <v>0</v>
      </c>
      <c r="CV181" s="208">
        <f t="shared" si="439"/>
        <v>0</v>
      </c>
      <c r="CW181" s="208">
        <f t="shared" si="398"/>
        <v>0</v>
      </c>
      <c r="CX181" s="208">
        <f t="shared" si="398"/>
        <v>0</v>
      </c>
      <c r="CY181" s="64">
        <f t="shared" si="398"/>
        <v>0</v>
      </c>
      <c r="CZ181" s="278"/>
    </row>
    <row r="182" spans="1:105" ht="20.100000000000001" customHeight="1" x14ac:dyDescent="0.4">
      <c r="A182" s="485">
        <v>5</v>
      </c>
      <c r="B182" s="485" t="s">
        <v>46</v>
      </c>
      <c r="C182" s="485" t="s">
        <v>28</v>
      </c>
      <c r="D182" s="463" t="s">
        <v>20</v>
      </c>
      <c r="E182" s="505" t="s">
        <v>26</v>
      </c>
      <c r="F182" s="463" t="s">
        <v>27</v>
      </c>
      <c r="G182" s="506" t="s">
        <v>39</v>
      </c>
      <c r="H182" s="467">
        <f t="shared" ref="H182" si="440">SUM(AH182:AM182)</f>
        <v>0.4</v>
      </c>
      <c r="I182" s="469">
        <f t="shared" ref="I182" si="441">SUM(AH183:AM183)</f>
        <v>0.31212121212121213</v>
      </c>
      <c r="J182" s="12"/>
      <c r="K182" s="13"/>
      <c r="L182" s="13"/>
      <c r="M182" s="554" t="s">
        <v>85</v>
      </c>
      <c r="N182" s="17" t="s">
        <v>88</v>
      </c>
      <c r="O182" s="187">
        <f>(4.8*10)/120</f>
        <v>0.4</v>
      </c>
      <c r="P182" s="187">
        <f t="shared" si="399"/>
        <v>0</v>
      </c>
      <c r="Q182" s="187">
        <f t="shared" si="399"/>
        <v>0</v>
      </c>
      <c r="R182" s="187">
        <f t="shared" si="399"/>
        <v>0</v>
      </c>
      <c r="S182" s="187">
        <f t="shared" si="399"/>
        <v>0</v>
      </c>
      <c r="T182" s="187">
        <f t="shared" si="399"/>
        <v>0</v>
      </c>
      <c r="U182" s="82">
        <f t="shared" si="399"/>
        <v>0</v>
      </c>
      <c r="V182" s="19">
        <f>(2.3*20)/142.5</f>
        <v>0.32280701754385965</v>
      </c>
      <c r="W182" s="187">
        <f t="shared" si="428"/>
        <v>0</v>
      </c>
      <c r="X182" s="187">
        <f t="shared" si="433"/>
        <v>0</v>
      </c>
      <c r="Y182" s="187">
        <f t="shared" si="433"/>
        <v>0</v>
      </c>
      <c r="Z182" s="187">
        <f t="shared" si="433"/>
        <v>0</v>
      </c>
      <c r="AA182" s="187">
        <f t="shared" si="433"/>
        <v>0</v>
      </c>
      <c r="AB182" s="73">
        <f>(4*18)/165</f>
        <v>0.43636363636363634</v>
      </c>
      <c r="AC182" s="187">
        <f t="shared" si="434"/>
        <v>0</v>
      </c>
      <c r="AD182" s="187">
        <f t="shared" si="434"/>
        <v>0</v>
      </c>
      <c r="AE182" s="187">
        <f t="shared" si="434"/>
        <v>0</v>
      </c>
      <c r="AF182" s="187">
        <f t="shared" si="434"/>
        <v>0</v>
      </c>
      <c r="AG182" s="187">
        <f t="shared" si="434"/>
        <v>0</v>
      </c>
      <c r="AH182" s="73">
        <f>(3*22)/165</f>
        <v>0.4</v>
      </c>
      <c r="AI182" s="187">
        <f t="shared" si="435"/>
        <v>0</v>
      </c>
      <c r="AJ182" s="187">
        <f t="shared" si="435"/>
        <v>0</v>
      </c>
      <c r="AK182" s="187">
        <f t="shared" si="435"/>
        <v>0</v>
      </c>
      <c r="AL182" s="187">
        <f t="shared" si="435"/>
        <v>0</v>
      </c>
      <c r="AM182" s="187">
        <f t="shared" si="435"/>
        <v>0</v>
      </c>
      <c r="AN182" s="73">
        <f t="shared" si="409"/>
        <v>0</v>
      </c>
      <c r="AO182" s="187">
        <f t="shared" si="409"/>
        <v>0</v>
      </c>
      <c r="AP182" s="187">
        <f t="shared" si="385"/>
        <v>0</v>
      </c>
      <c r="AQ182" s="187">
        <f t="shared" si="385"/>
        <v>0</v>
      </c>
      <c r="AR182" s="187">
        <f t="shared" si="385"/>
        <v>0</v>
      </c>
      <c r="AS182" s="187">
        <f t="shared" si="386"/>
        <v>0</v>
      </c>
      <c r="AT182" s="187">
        <f t="shared" si="386"/>
        <v>0</v>
      </c>
      <c r="AU182" s="221">
        <f t="shared" si="386"/>
        <v>0</v>
      </c>
      <c r="AV182" s="222">
        <f t="shared" si="410"/>
        <v>0</v>
      </c>
      <c r="AW182" s="187">
        <f t="shared" si="410"/>
        <v>0</v>
      </c>
      <c r="AX182" s="187">
        <f t="shared" si="400"/>
        <v>0</v>
      </c>
      <c r="AY182" s="187">
        <f t="shared" si="387"/>
        <v>0</v>
      </c>
      <c r="AZ182" s="187">
        <f t="shared" si="387"/>
        <v>0</v>
      </c>
      <c r="BA182" s="187">
        <f t="shared" si="387"/>
        <v>0</v>
      </c>
      <c r="BB182" s="187">
        <f t="shared" si="387"/>
        <v>0</v>
      </c>
      <c r="BC182" s="17">
        <f t="shared" si="387"/>
        <v>0</v>
      </c>
      <c r="BD182" s="19">
        <f t="shared" si="411"/>
        <v>0</v>
      </c>
      <c r="BE182" s="187">
        <f t="shared" si="411"/>
        <v>0</v>
      </c>
      <c r="BF182" s="187">
        <f t="shared" si="411"/>
        <v>0</v>
      </c>
      <c r="BG182" s="187">
        <f t="shared" si="411"/>
        <v>0</v>
      </c>
      <c r="BH182" s="187">
        <f t="shared" si="411"/>
        <v>0</v>
      </c>
      <c r="BI182" s="187">
        <f t="shared" si="389"/>
        <v>0</v>
      </c>
      <c r="BJ182" s="187">
        <f t="shared" si="389"/>
        <v>0</v>
      </c>
      <c r="BK182" s="17">
        <f t="shared" si="389"/>
        <v>0</v>
      </c>
      <c r="BL182" s="19">
        <f t="shared" si="412"/>
        <v>0</v>
      </c>
      <c r="BM182" s="187">
        <f t="shared" si="412"/>
        <v>0</v>
      </c>
      <c r="BN182" s="187">
        <f t="shared" si="412"/>
        <v>0</v>
      </c>
      <c r="BO182" s="187">
        <f t="shared" si="412"/>
        <v>0</v>
      </c>
      <c r="BP182" s="187">
        <f t="shared" si="412"/>
        <v>0</v>
      </c>
      <c r="BQ182" s="187">
        <f t="shared" si="390"/>
        <v>0</v>
      </c>
      <c r="BR182" s="187">
        <f t="shared" si="390"/>
        <v>0</v>
      </c>
      <c r="BS182" s="17">
        <f t="shared" si="390"/>
        <v>0</v>
      </c>
      <c r="BT182" s="19">
        <f t="shared" si="413"/>
        <v>0</v>
      </c>
      <c r="BU182" s="187">
        <f t="shared" si="413"/>
        <v>0</v>
      </c>
      <c r="BV182" s="187">
        <f t="shared" si="413"/>
        <v>0</v>
      </c>
      <c r="BW182" s="187">
        <f t="shared" si="413"/>
        <v>0</v>
      </c>
      <c r="BX182" s="187">
        <f t="shared" si="413"/>
        <v>0</v>
      </c>
      <c r="BY182" s="187">
        <f t="shared" si="392"/>
        <v>0</v>
      </c>
      <c r="BZ182" s="187">
        <f t="shared" si="392"/>
        <v>0</v>
      </c>
      <c r="CA182" s="17">
        <f t="shared" si="392"/>
        <v>0</v>
      </c>
      <c r="CB182" s="73">
        <f t="shared" si="414"/>
        <v>0</v>
      </c>
      <c r="CC182" s="187">
        <f t="shared" si="393"/>
        <v>0</v>
      </c>
      <c r="CD182" s="187">
        <f t="shared" si="393"/>
        <v>0</v>
      </c>
      <c r="CE182" s="187">
        <f t="shared" si="393"/>
        <v>0</v>
      </c>
      <c r="CF182" s="187">
        <f t="shared" si="393"/>
        <v>0</v>
      </c>
      <c r="CG182" s="187">
        <f t="shared" si="394"/>
        <v>0</v>
      </c>
      <c r="CH182" s="187">
        <f t="shared" si="394"/>
        <v>0</v>
      </c>
      <c r="CI182" s="17">
        <f t="shared" si="394"/>
        <v>0</v>
      </c>
      <c r="CJ182" s="19">
        <f t="shared" ref="CJ182:CN182" si="442">(0/157.5)</f>
        <v>0</v>
      </c>
      <c r="CK182" s="187">
        <f t="shared" si="442"/>
        <v>0</v>
      </c>
      <c r="CL182" s="187">
        <f t="shared" si="442"/>
        <v>0</v>
      </c>
      <c r="CM182" s="187">
        <f t="shared" si="442"/>
        <v>0</v>
      </c>
      <c r="CN182" s="187">
        <f t="shared" si="442"/>
        <v>0</v>
      </c>
      <c r="CO182" s="187">
        <f t="shared" si="396"/>
        <v>0</v>
      </c>
      <c r="CP182" s="187">
        <f t="shared" si="396"/>
        <v>0</v>
      </c>
      <c r="CQ182" s="17">
        <f t="shared" si="396"/>
        <v>0</v>
      </c>
      <c r="CR182" s="19">
        <f t="shared" ref="CR182:CV182" si="443">(0)/142.5</f>
        <v>0</v>
      </c>
      <c r="CS182" s="187">
        <f t="shared" si="443"/>
        <v>0</v>
      </c>
      <c r="CT182" s="187">
        <f t="shared" si="443"/>
        <v>0</v>
      </c>
      <c r="CU182" s="187">
        <f t="shared" si="443"/>
        <v>0</v>
      </c>
      <c r="CV182" s="187">
        <f t="shared" si="443"/>
        <v>0</v>
      </c>
      <c r="CW182" s="187">
        <f t="shared" si="398"/>
        <v>0</v>
      </c>
      <c r="CX182" s="187">
        <f t="shared" si="398"/>
        <v>0</v>
      </c>
      <c r="CY182" s="17">
        <f t="shared" si="398"/>
        <v>0</v>
      </c>
      <c r="CZ182" s="278"/>
    </row>
    <row r="183" spans="1:105" ht="20.100000000000001" customHeight="1" x14ac:dyDescent="0.4">
      <c r="A183" s="486"/>
      <c r="B183" s="486"/>
      <c r="C183" s="486"/>
      <c r="D183" s="464"/>
      <c r="E183" s="464"/>
      <c r="F183" s="464"/>
      <c r="G183" s="507"/>
      <c r="H183" s="468"/>
      <c r="I183" s="470"/>
      <c r="J183" s="14"/>
      <c r="K183" s="15"/>
      <c r="L183" s="15"/>
      <c r="M183" s="540"/>
      <c r="N183" s="11" t="s">
        <v>89</v>
      </c>
      <c r="O183" s="207">
        <f>(2+12+0.5+11+22.5)/120</f>
        <v>0.4</v>
      </c>
      <c r="P183" s="207">
        <f t="shared" si="399"/>
        <v>0</v>
      </c>
      <c r="Q183" s="207">
        <f t="shared" si="399"/>
        <v>0</v>
      </c>
      <c r="R183" s="207">
        <f t="shared" si="399"/>
        <v>0</v>
      </c>
      <c r="S183" s="207">
        <f t="shared" si="399"/>
        <v>0</v>
      </c>
      <c r="T183" s="207">
        <f t="shared" si="399"/>
        <v>0</v>
      </c>
      <c r="U183" s="49">
        <f t="shared" si="399"/>
        <v>0</v>
      </c>
      <c r="V183" s="57">
        <f>(15+14.5+11+7)/142.5</f>
        <v>0.33333333333333331</v>
      </c>
      <c r="W183" s="207">
        <f t="shared" si="428"/>
        <v>0</v>
      </c>
      <c r="X183" s="207">
        <f t="shared" si="433"/>
        <v>0</v>
      </c>
      <c r="Y183" s="207">
        <f t="shared" si="433"/>
        <v>0</v>
      </c>
      <c r="Z183" s="207">
        <f t="shared" si="433"/>
        <v>0</v>
      </c>
      <c r="AA183" s="207">
        <f t="shared" si="433"/>
        <v>0</v>
      </c>
      <c r="AB183" s="57">
        <f>(10+16+11.5+17+17.5)/165</f>
        <v>0.43636363636363634</v>
      </c>
      <c r="AC183" s="207">
        <f t="shared" si="434"/>
        <v>0</v>
      </c>
      <c r="AD183" s="207">
        <f t="shared" si="434"/>
        <v>0</v>
      </c>
      <c r="AE183" s="207">
        <f t="shared" si="434"/>
        <v>0</v>
      </c>
      <c r="AF183" s="207">
        <f t="shared" si="434"/>
        <v>0</v>
      </c>
      <c r="AG183" s="207">
        <f t="shared" si="434"/>
        <v>0</v>
      </c>
      <c r="AH183" s="57">
        <f>(4.5+18+10.5+10+8.5)/165</f>
        <v>0.31212121212121213</v>
      </c>
      <c r="AI183" s="207">
        <f t="shared" si="435"/>
        <v>0</v>
      </c>
      <c r="AJ183" s="207">
        <f t="shared" si="435"/>
        <v>0</v>
      </c>
      <c r="AK183" s="207">
        <f t="shared" si="435"/>
        <v>0</v>
      </c>
      <c r="AL183" s="207">
        <f t="shared" si="435"/>
        <v>0</v>
      </c>
      <c r="AM183" s="207">
        <f t="shared" si="435"/>
        <v>0</v>
      </c>
      <c r="AN183" s="57">
        <f t="shared" si="409"/>
        <v>0</v>
      </c>
      <c r="AO183" s="207">
        <f t="shared" si="409"/>
        <v>0</v>
      </c>
      <c r="AP183" s="207">
        <f t="shared" si="385"/>
        <v>0</v>
      </c>
      <c r="AQ183" s="207">
        <f t="shared" si="385"/>
        <v>0</v>
      </c>
      <c r="AR183" s="207">
        <f t="shared" si="385"/>
        <v>0</v>
      </c>
      <c r="AS183" s="207">
        <f t="shared" si="386"/>
        <v>0</v>
      </c>
      <c r="AT183" s="207">
        <f t="shared" si="386"/>
        <v>0</v>
      </c>
      <c r="AU183" s="49">
        <f t="shared" si="386"/>
        <v>0</v>
      </c>
      <c r="AV183" s="63">
        <f t="shared" si="410"/>
        <v>0</v>
      </c>
      <c r="AW183" s="208">
        <f t="shared" si="410"/>
        <v>0</v>
      </c>
      <c r="AX183" s="208">
        <f t="shared" si="400"/>
        <v>0</v>
      </c>
      <c r="AY183" s="208">
        <f t="shared" si="387"/>
        <v>0</v>
      </c>
      <c r="AZ183" s="208">
        <f t="shared" si="387"/>
        <v>0</v>
      </c>
      <c r="BA183" s="208">
        <f t="shared" si="387"/>
        <v>0</v>
      </c>
      <c r="BB183" s="208">
        <f t="shared" si="387"/>
        <v>0</v>
      </c>
      <c r="BC183" s="64">
        <f t="shared" si="387"/>
        <v>0</v>
      </c>
      <c r="BD183" s="63">
        <f t="shared" si="411"/>
        <v>0</v>
      </c>
      <c r="BE183" s="208">
        <f t="shared" si="411"/>
        <v>0</v>
      </c>
      <c r="BF183" s="208">
        <f t="shared" si="411"/>
        <v>0</v>
      </c>
      <c r="BG183" s="208">
        <f t="shared" si="411"/>
        <v>0</v>
      </c>
      <c r="BH183" s="208">
        <f t="shared" si="411"/>
        <v>0</v>
      </c>
      <c r="BI183" s="208">
        <f t="shared" si="389"/>
        <v>0</v>
      </c>
      <c r="BJ183" s="208">
        <f t="shared" si="389"/>
        <v>0</v>
      </c>
      <c r="BK183" s="64">
        <f t="shared" si="389"/>
        <v>0</v>
      </c>
      <c r="BL183" s="63">
        <f t="shared" si="412"/>
        <v>0</v>
      </c>
      <c r="BM183" s="208">
        <f t="shared" si="412"/>
        <v>0</v>
      </c>
      <c r="BN183" s="208">
        <f t="shared" si="412"/>
        <v>0</v>
      </c>
      <c r="BO183" s="208">
        <f t="shared" si="412"/>
        <v>0</v>
      </c>
      <c r="BP183" s="208">
        <f t="shared" si="412"/>
        <v>0</v>
      </c>
      <c r="BQ183" s="208">
        <f t="shared" si="390"/>
        <v>0</v>
      </c>
      <c r="BR183" s="208">
        <f t="shared" si="390"/>
        <v>0</v>
      </c>
      <c r="BS183" s="64">
        <f t="shared" si="390"/>
        <v>0</v>
      </c>
      <c r="BT183" s="63">
        <f t="shared" si="413"/>
        <v>0</v>
      </c>
      <c r="BU183" s="208">
        <f t="shared" si="413"/>
        <v>0</v>
      </c>
      <c r="BV183" s="208">
        <f t="shared" si="413"/>
        <v>0</v>
      </c>
      <c r="BW183" s="208">
        <f t="shared" si="413"/>
        <v>0</v>
      </c>
      <c r="BX183" s="208">
        <f t="shared" si="413"/>
        <v>0</v>
      </c>
      <c r="BY183" s="208">
        <f t="shared" si="392"/>
        <v>0</v>
      </c>
      <c r="BZ183" s="208">
        <f t="shared" si="392"/>
        <v>0</v>
      </c>
      <c r="CA183" s="64">
        <f t="shared" si="392"/>
        <v>0</v>
      </c>
      <c r="CB183" s="63">
        <f t="shared" si="414"/>
        <v>0</v>
      </c>
      <c r="CC183" s="208">
        <f t="shared" si="393"/>
        <v>0</v>
      </c>
      <c r="CD183" s="208">
        <f t="shared" si="393"/>
        <v>0</v>
      </c>
      <c r="CE183" s="208">
        <f t="shared" si="393"/>
        <v>0</v>
      </c>
      <c r="CF183" s="208">
        <f t="shared" si="393"/>
        <v>0</v>
      </c>
      <c r="CG183" s="208">
        <f t="shared" si="394"/>
        <v>0</v>
      </c>
      <c r="CH183" s="208">
        <f t="shared" si="394"/>
        <v>0</v>
      </c>
      <c r="CI183" s="64">
        <f t="shared" si="394"/>
        <v>0</v>
      </c>
      <c r="CJ183" s="63">
        <f t="shared" ref="CJ183:CN183" si="444">(0)/157.5</f>
        <v>0</v>
      </c>
      <c r="CK183" s="208">
        <f t="shared" si="444"/>
        <v>0</v>
      </c>
      <c r="CL183" s="208">
        <f t="shared" si="444"/>
        <v>0</v>
      </c>
      <c r="CM183" s="208">
        <f t="shared" si="444"/>
        <v>0</v>
      </c>
      <c r="CN183" s="208">
        <f t="shared" si="444"/>
        <v>0</v>
      </c>
      <c r="CO183" s="208">
        <f t="shared" si="396"/>
        <v>0</v>
      </c>
      <c r="CP183" s="208">
        <f t="shared" si="396"/>
        <v>0</v>
      </c>
      <c r="CQ183" s="64">
        <f t="shared" si="396"/>
        <v>0</v>
      </c>
      <c r="CR183" s="63">
        <f t="shared" ref="CR183:CV183" si="445">0/142.5</f>
        <v>0</v>
      </c>
      <c r="CS183" s="208">
        <f t="shared" si="445"/>
        <v>0</v>
      </c>
      <c r="CT183" s="208">
        <f t="shared" si="445"/>
        <v>0</v>
      </c>
      <c r="CU183" s="208">
        <f t="shared" si="445"/>
        <v>0</v>
      </c>
      <c r="CV183" s="208">
        <f t="shared" si="445"/>
        <v>0</v>
      </c>
      <c r="CW183" s="208">
        <f t="shared" si="398"/>
        <v>0</v>
      </c>
      <c r="CX183" s="208">
        <f t="shared" si="398"/>
        <v>0</v>
      </c>
      <c r="CY183" s="64">
        <f t="shared" si="398"/>
        <v>0</v>
      </c>
      <c r="CZ183" s="278"/>
    </row>
    <row r="184" spans="1:105" ht="20.100000000000001" customHeight="1" x14ac:dyDescent="0.4">
      <c r="A184" s="485">
        <v>6</v>
      </c>
      <c r="B184" s="485" t="s">
        <v>46</v>
      </c>
      <c r="C184" s="485" t="s">
        <v>28</v>
      </c>
      <c r="D184" s="463" t="s">
        <v>20</v>
      </c>
      <c r="E184" s="505" t="s">
        <v>42</v>
      </c>
      <c r="F184" s="463" t="s">
        <v>27</v>
      </c>
      <c r="G184" s="506" t="s">
        <v>41</v>
      </c>
      <c r="H184" s="467">
        <f t="shared" ref="H184" si="446">SUM(AH184:AM184)</f>
        <v>0</v>
      </c>
      <c r="I184" s="469">
        <f t="shared" ref="I184" si="447">SUM(AH185:AM185)</f>
        <v>0</v>
      </c>
      <c r="J184" s="12"/>
      <c r="K184" s="13"/>
      <c r="L184" s="13"/>
      <c r="M184" s="554"/>
      <c r="N184" s="10" t="s">
        <v>88</v>
      </c>
      <c r="O184" s="187">
        <f>(0)/120</f>
        <v>0</v>
      </c>
      <c r="P184" s="187">
        <f t="shared" si="399"/>
        <v>0</v>
      </c>
      <c r="Q184" s="187">
        <f t="shared" si="399"/>
        <v>0</v>
      </c>
      <c r="R184" s="187">
        <f t="shared" si="399"/>
        <v>0</v>
      </c>
      <c r="S184" s="187">
        <f t="shared" si="399"/>
        <v>0</v>
      </c>
      <c r="T184" s="187">
        <f t="shared" si="399"/>
        <v>0</v>
      </c>
      <c r="U184" s="82">
        <f t="shared" si="399"/>
        <v>0</v>
      </c>
      <c r="V184" s="19">
        <f>(0)/142.5</f>
        <v>0</v>
      </c>
      <c r="W184" s="187">
        <f t="shared" si="428"/>
        <v>0</v>
      </c>
      <c r="X184" s="187">
        <f t="shared" si="433"/>
        <v>0</v>
      </c>
      <c r="Y184" s="187">
        <f t="shared" si="433"/>
        <v>0</v>
      </c>
      <c r="Z184" s="187">
        <f t="shared" si="433"/>
        <v>0</v>
      </c>
      <c r="AA184" s="187">
        <f t="shared" si="433"/>
        <v>0</v>
      </c>
      <c r="AB184" s="73">
        <f t="shared" si="434"/>
        <v>0</v>
      </c>
      <c r="AC184" s="187">
        <f t="shared" si="434"/>
        <v>0</v>
      </c>
      <c r="AD184" s="187">
        <f t="shared" si="434"/>
        <v>0</v>
      </c>
      <c r="AE184" s="187">
        <f t="shared" si="434"/>
        <v>0</v>
      </c>
      <c r="AF184" s="187">
        <f t="shared" si="434"/>
        <v>0</v>
      </c>
      <c r="AG184" s="187">
        <f t="shared" si="434"/>
        <v>0</v>
      </c>
      <c r="AH184" s="73">
        <f t="shared" si="435"/>
        <v>0</v>
      </c>
      <c r="AI184" s="187">
        <f t="shared" si="435"/>
        <v>0</v>
      </c>
      <c r="AJ184" s="187">
        <f t="shared" si="435"/>
        <v>0</v>
      </c>
      <c r="AK184" s="187">
        <f t="shared" si="435"/>
        <v>0</v>
      </c>
      <c r="AL184" s="187">
        <f t="shared" si="435"/>
        <v>0</v>
      </c>
      <c r="AM184" s="187">
        <f t="shared" si="435"/>
        <v>0</v>
      </c>
      <c r="AN184" s="73">
        <f t="shared" si="409"/>
        <v>0</v>
      </c>
      <c r="AO184" s="187">
        <f t="shared" si="409"/>
        <v>0</v>
      </c>
      <c r="AP184" s="187">
        <f t="shared" si="385"/>
        <v>0</v>
      </c>
      <c r="AQ184" s="187">
        <f t="shared" si="385"/>
        <v>0</v>
      </c>
      <c r="AR184" s="187">
        <f t="shared" si="385"/>
        <v>0</v>
      </c>
      <c r="AS184" s="187">
        <f t="shared" si="386"/>
        <v>0</v>
      </c>
      <c r="AT184" s="187">
        <f t="shared" si="386"/>
        <v>0</v>
      </c>
      <c r="AU184" s="221">
        <f t="shared" si="386"/>
        <v>0</v>
      </c>
      <c r="AV184" s="222">
        <f t="shared" si="410"/>
        <v>0</v>
      </c>
      <c r="AW184" s="187">
        <f t="shared" si="410"/>
        <v>0</v>
      </c>
      <c r="AX184" s="187">
        <f t="shared" si="400"/>
        <v>0</v>
      </c>
      <c r="AY184" s="187">
        <f t="shared" si="387"/>
        <v>0</v>
      </c>
      <c r="AZ184" s="187">
        <f t="shared" si="387"/>
        <v>0</v>
      </c>
      <c r="BA184" s="187">
        <f t="shared" si="387"/>
        <v>0</v>
      </c>
      <c r="BB184" s="187">
        <f t="shared" si="387"/>
        <v>0</v>
      </c>
      <c r="BC184" s="17">
        <f t="shared" si="387"/>
        <v>0</v>
      </c>
      <c r="BD184" s="19">
        <f t="shared" si="411"/>
        <v>0</v>
      </c>
      <c r="BE184" s="187">
        <f t="shared" si="411"/>
        <v>0</v>
      </c>
      <c r="BF184" s="187">
        <f t="shared" si="411"/>
        <v>0</v>
      </c>
      <c r="BG184" s="187">
        <f t="shared" si="411"/>
        <v>0</v>
      </c>
      <c r="BH184" s="187">
        <f t="shared" si="411"/>
        <v>0</v>
      </c>
      <c r="BI184" s="187">
        <f t="shared" si="389"/>
        <v>0</v>
      </c>
      <c r="BJ184" s="187">
        <f t="shared" si="389"/>
        <v>0</v>
      </c>
      <c r="BK184" s="17">
        <f t="shared" si="389"/>
        <v>0</v>
      </c>
      <c r="BL184" s="19">
        <f t="shared" si="412"/>
        <v>0</v>
      </c>
      <c r="BM184" s="187">
        <f t="shared" si="412"/>
        <v>0</v>
      </c>
      <c r="BN184" s="187">
        <f t="shared" si="412"/>
        <v>0</v>
      </c>
      <c r="BO184" s="187">
        <f t="shared" si="412"/>
        <v>0</v>
      </c>
      <c r="BP184" s="187">
        <f t="shared" si="412"/>
        <v>0</v>
      </c>
      <c r="BQ184" s="187">
        <f t="shared" si="390"/>
        <v>0</v>
      </c>
      <c r="BR184" s="187">
        <f t="shared" si="390"/>
        <v>0</v>
      </c>
      <c r="BS184" s="17">
        <f t="shared" si="390"/>
        <v>0</v>
      </c>
      <c r="BT184" s="19">
        <f t="shared" si="413"/>
        <v>0</v>
      </c>
      <c r="BU184" s="187">
        <f t="shared" si="413"/>
        <v>0</v>
      </c>
      <c r="BV184" s="187">
        <f t="shared" si="413"/>
        <v>0</v>
      </c>
      <c r="BW184" s="187">
        <f t="shared" si="413"/>
        <v>0</v>
      </c>
      <c r="BX184" s="187">
        <f t="shared" si="413"/>
        <v>0</v>
      </c>
      <c r="BY184" s="187">
        <f t="shared" si="392"/>
        <v>0</v>
      </c>
      <c r="BZ184" s="187">
        <f t="shared" si="392"/>
        <v>0</v>
      </c>
      <c r="CA184" s="17">
        <f t="shared" si="392"/>
        <v>0</v>
      </c>
      <c r="CB184" s="73">
        <f t="shared" si="414"/>
        <v>0</v>
      </c>
      <c r="CC184" s="187">
        <f t="shared" si="393"/>
        <v>0</v>
      </c>
      <c r="CD184" s="187">
        <f t="shared" si="393"/>
        <v>0</v>
      </c>
      <c r="CE184" s="187">
        <f t="shared" si="393"/>
        <v>0</v>
      </c>
      <c r="CF184" s="187">
        <f t="shared" si="393"/>
        <v>0</v>
      </c>
      <c r="CG184" s="187">
        <f t="shared" si="394"/>
        <v>0</v>
      </c>
      <c r="CH184" s="187">
        <f t="shared" si="394"/>
        <v>0</v>
      </c>
      <c r="CI184" s="17">
        <f t="shared" si="394"/>
        <v>0</v>
      </c>
      <c r="CJ184" s="19">
        <f t="shared" ref="CJ184:CN184" si="448">(0/157.5)</f>
        <v>0</v>
      </c>
      <c r="CK184" s="187">
        <f t="shared" si="448"/>
        <v>0</v>
      </c>
      <c r="CL184" s="187">
        <f t="shared" si="448"/>
        <v>0</v>
      </c>
      <c r="CM184" s="187">
        <f t="shared" si="448"/>
        <v>0</v>
      </c>
      <c r="CN184" s="187">
        <f t="shared" si="448"/>
        <v>0</v>
      </c>
      <c r="CO184" s="187">
        <f t="shared" si="396"/>
        <v>0</v>
      </c>
      <c r="CP184" s="187">
        <f t="shared" si="396"/>
        <v>0</v>
      </c>
      <c r="CQ184" s="17">
        <f t="shared" si="396"/>
        <v>0</v>
      </c>
      <c r="CR184" s="19">
        <f t="shared" ref="CR184:CV184" si="449">(0)/142.5</f>
        <v>0</v>
      </c>
      <c r="CS184" s="187">
        <f t="shared" si="449"/>
        <v>0</v>
      </c>
      <c r="CT184" s="187">
        <f t="shared" si="449"/>
        <v>0</v>
      </c>
      <c r="CU184" s="187">
        <f t="shared" si="449"/>
        <v>0</v>
      </c>
      <c r="CV184" s="187">
        <f t="shared" si="449"/>
        <v>0</v>
      </c>
      <c r="CW184" s="187">
        <f t="shared" si="398"/>
        <v>0</v>
      </c>
      <c r="CX184" s="187">
        <f t="shared" si="398"/>
        <v>0</v>
      </c>
      <c r="CY184" s="17">
        <f t="shared" si="398"/>
        <v>0</v>
      </c>
      <c r="CZ184" s="278"/>
    </row>
    <row r="185" spans="1:105" ht="20.100000000000001" customHeight="1" x14ac:dyDescent="0.4">
      <c r="A185" s="486"/>
      <c r="B185" s="486"/>
      <c r="C185" s="486"/>
      <c r="D185" s="464"/>
      <c r="E185" s="464"/>
      <c r="F185" s="464"/>
      <c r="G185" s="507"/>
      <c r="H185" s="468"/>
      <c r="I185" s="470"/>
      <c r="J185" s="14"/>
      <c r="K185" s="15"/>
      <c r="L185" s="15"/>
      <c r="M185" s="540"/>
      <c r="N185" s="11" t="s">
        <v>89</v>
      </c>
      <c r="O185" s="207">
        <f>(0)/120</f>
        <v>0</v>
      </c>
      <c r="P185" s="207">
        <f t="shared" si="399"/>
        <v>0</v>
      </c>
      <c r="Q185" s="207">
        <f t="shared" si="399"/>
        <v>0</v>
      </c>
      <c r="R185" s="207">
        <f t="shared" si="399"/>
        <v>0</v>
      </c>
      <c r="S185" s="207">
        <f t="shared" si="399"/>
        <v>0</v>
      </c>
      <c r="T185" s="207">
        <f t="shared" si="399"/>
        <v>0</v>
      </c>
      <c r="U185" s="49">
        <f t="shared" si="399"/>
        <v>0</v>
      </c>
      <c r="V185" s="57">
        <f>(0)/142.5</f>
        <v>0</v>
      </c>
      <c r="W185" s="207">
        <f t="shared" si="428"/>
        <v>0</v>
      </c>
      <c r="X185" s="207">
        <f t="shared" si="433"/>
        <v>0</v>
      </c>
      <c r="Y185" s="207">
        <f t="shared" si="433"/>
        <v>0</v>
      </c>
      <c r="Z185" s="207">
        <f t="shared" si="433"/>
        <v>0</v>
      </c>
      <c r="AA185" s="207">
        <f t="shared" si="433"/>
        <v>0</v>
      </c>
      <c r="AB185" s="57">
        <f t="shared" si="434"/>
        <v>0</v>
      </c>
      <c r="AC185" s="207">
        <f t="shared" si="434"/>
        <v>0</v>
      </c>
      <c r="AD185" s="207">
        <f>(1)/165</f>
        <v>6.0606060606060606E-3</v>
      </c>
      <c r="AE185" s="207">
        <f t="shared" si="434"/>
        <v>0</v>
      </c>
      <c r="AF185" s="207">
        <f t="shared" si="434"/>
        <v>0</v>
      </c>
      <c r="AG185" s="207">
        <f>(1)/165</f>
        <v>6.0606060606060606E-3</v>
      </c>
      <c r="AH185" s="57">
        <f t="shared" si="435"/>
        <v>0</v>
      </c>
      <c r="AI185" s="207">
        <f t="shared" si="435"/>
        <v>0</v>
      </c>
      <c r="AJ185" s="207">
        <f t="shared" si="435"/>
        <v>0</v>
      </c>
      <c r="AK185" s="207">
        <f t="shared" si="435"/>
        <v>0</v>
      </c>
      <c r="AL185" s="207">
        <f t="shared" si="435"/>
        <v>0</v>
      </c>
      <c r="AM185" s="207">
        <f t="shared" si="435"/>
        <v>0</v>
      </c>
      <c r="AN185" s="57">
        <f t="shared" si="409"/>
        <v>0</v>
      </c>
      <c r="AO185" s="207">
        <f t="shared" si="409"/>
        <v>0</v>
      </c>
      <c r="AP185" s="207">
        <f t="shared" si="385"/>
        <v>0</v>
      </c>
      <c r="AQ185" s="207">
        <f t="shared" si="385"/>
        <v>0</v>
      </c>
      <c r="AR185" s="207">
        <f t="shared" si="385"/>
        <v>0</v>
      </c>
      <c r="AS185" s="207">
        <f t="shared" si="386"/>
        <v>0</v>
      </c>
      <c r="AT185" s="207">
        <f t="shared" si="386"/>
        <v>0</v>
      </c>
      <c r="AU185" s="49">
        <f t="shared" si="386"/>
        <v>0</v>
      </c>
      <c r="AV185" s="63">
        <f t="shared" si="410"/>
        <v>0</v>
      </c>
      <c r="AW185" s="208">
        <f t="shared" si="410"/>
        <v>0</v>
      </c>
      <c r="AX185" s="208">
        <f t="shared" si="400"/>
        <v>0</v>
      </c>
      <c r="AY185" s="208">
        <f t="shared" si="387"/>
        <v>0</v>
      </c>
      <c r="AZ185" s="208">
        <f t="shared" si="387"/>
        <v>0</v>
      </c>
      <c r="BA185" s="208">
        <f t="shared" si="387"/>
        <v>0</v>
      </c>
      <c r="BB185" s="208">
        <f t="shared" si="387"/>
        <v>0</v>
      </c>
      <c r="BC185" s="64">
        <f t="shared" si="387"/>
        <v>0</v>
      </c>
      <c r="BD185" s="63">
        <f t="shared" si="411"/>
        <v>0</v>
      </c>
      <c r="BE185" s="208">
        <f t="shared" si="411"/>
        <v>0</v>
      </c>
      <c r="BF185" s="208">
        <f t="shared" si="411"/>
        <v>0</v>
      </c>
      <c r="BG185" s="208">
        <f t="shared" si="411"/>
        <v>0</v>
      </c>
      <c r="BH185" s="208">
        <f t="shared" si="411"/>
        <v>0</v>
      </c>
      <c r="BI185" s="208">
        <f t="shared" si="389"/>
        <v>0</v>
      </c>
      <c r="BJ185" s="208">
        <f t="shared" si="389"/>
        <v>0</v>
      </c>
      <c r="BK185" s="64">
        <f t="shared" si="389"/>
        <v>0</v>
      </c>
      <c r="BL185" s="63">
        <f t="shared" si="412"/>
        <v>0</v>
      </c>
      <c r="BM185" s="208">
        <f t="shared" si="412"/>
        <v>0</v>
      </c>
      <c r="BN185" s="208">
        <f t="shared" si="412"/>
        <v>0</v>
      </c>
      <c r="BO185" s="208">
        <f t="shared" si="412"/>
        <v>0</v>
      </c>
      <c r="BP185" s="208">
        <f t="shared" si="412"/>
        <v>0</v>
      </c>
      <c r="BQ185" s="208">
        <f t="shared" si="390"/>
        <v>0</v>
      </c>
      <c r="BR185" s="208">
        <f t="shared" si="390"/>
        <v>0</v>
      </c>
      <c r="BS185" s="64">
        <f t="shared" si="390"/>
        <v>0</v>
      </c>
      <c r="BT185" s="63">
        <f t="shared" si="413"/>
        <v>0</v>
      </c>
      <c r="BU185" s="208">
        <f t="shared" si="413"/>
        <v>0</v>
      </c>
      <c r="BV185" s="208">
        <f t="shared" si="413"/>
        <v>0</v>
      </c>
      <c r="BW185" s="208">
        <f t="shared" si="413"/>
        <v>0</v>
      </c>
      <c r="BX185" s="208">
        <f t="shared" si="413"/>
        <v>0</v>
      </c>
      <c r="BY185" s="208">
        <f t="shared" si="392"/>
        <v>0</v>
      </c>
      <c r="BZ185" s="208">
        <f t="shared" si="392"/>
        <v>0</v>
      </c>
      <c r="CA185" s="64">
        <f t="shared" si="392"/>
        <v>0</v>
      </c>
      <c r="CB185" s="63">
        <f t="shared" si="414"/>
        <v>0</v>
      </c>
      <c r="CC185" s="208">
        <f t="shared" si="393"/>
        <v>0</v>
      </c>
      <c r="CD185" s="208">
        <f t="shared" si="393"/>
        <v>0</v>
      </c>
      <c r="CE185" s="208">
        <f t="shared" si="393"/>
        <v>0</v>
      </c>
      <c r="CF185" s="208">
        <f t="shared" si="393"/>
        <v>0</v>
      </c>
      <c r="CG185" s="208">
        <f t="shared" si="394"/>
        <v>0</v>
      </c>
      <c r="CH185" s="208">
        <f t="shared" si="394"/>
        <v>0</v>
      </c>
      <c r="CI185" s="64">
        <f t="shared" si="394"/>
        <v>0</v>
      </c>
      <c r="CJ185" s="63">
        <f t="shared" ref="CJ185:CN185" si="450">(0)/157.5</f>
        <v>0</v>
      </c>
      <c r="CK185" s="208">
        <f t="shared" si="450"/>
        <v>0</v>
      </c>
      <c r="CL185" s="208">
        <f t="shared" si="450"/>
        <v>0</v>
      </c>
      <c r="CM185" s="208">
        <f t="shared" si="450"/>
        <v>0</v>
      </c>
      <c r="CN185" s="208">
        <f t="shared" si="450"/>
        <v>0</v>
      </c>
      <c r="CO185" s="208">
        <f t="shared" si="396"/>
        <v>0</v>
      </c>
      <c r="CP185" s="208">
        <f t="shared" si="396"/>
        <v>0</v>
      </c>
      <c r="CQ185" s="64">
        <f t="shared" si="396"/>
        <v>0</v>
      </c>
      <c r="CR185" s="63">
        <f t="shared" ref="CR185:CV185" si="451">0/142.5</f>
        <v>0</v>
      </c>
      <c r="CS185" s="208">
        <f t="shared" si="451"/>
        <v>0</v>
      </c>
      <c r="CT185" s="208">
        <f t="shared" si="451"/>
        <v>0</v>
      </c>
      <c r="CU185" s="208">
        <f t="shared" si="451"/>
        <v>0</v>
      </c>
      <c r="CV185" s="208">
        <f t="shared" si="451"/>
        <v>0</v>
      </c>
      <c r="CW185" s="208">
        <f t="shared" si="398"/>
        <v>0</v>
      </c>
      <c r="CX185" s="208">
        <f t="shared" si="398"/>
        <v>0</v>
      </c>
      <c r="CY185" s="64">
        <f t="shared" si="398"/>
        <v>0</v>
      </c>
      <c r="CZ185" s="278"/>
    </row>
    <row r="186" spans="1:105" ht="20.100000000000001" customHeight="1" x14ac:dyDescent="0.4">
      <c r="A186" s="471" t="s">
        <v>35</v>
      </c>
      <c r="B186" s="472"/>
      <c r="C186" s="472"/>
      <c r="D186" s="472"/>
      <c r="E186" s="472"/>
      <c r="F186" s="472"/>
      <c r="G186" s="473"/>
      <c r="H186" s="467">
        <f>SUM(H174:H185)</f>
        <v>0.89090909090909087</v>
      </c>
      <c r="I186" s="467">
        <f>SUM(I174:I185)</f>
        <v>0.70606060606060606</v>
      </c>
      <c r="J186" s="555" t="s">
        <v>79</v>
      </c>
      <c r="K186" s="556"/>
      <c r="L186" s="556"/>
      <c r="M186" s="557"/>
      <c r="N186" s="10" t="s">
        <v>88</v>
      </c>
      <c r="O186" s="10">
        <f>SUM(O174,O176,O178,O180,O182,O184)</f>
        <v>0.48333333333333339</v>
      </c>
      <c r="P186" s="10">
        <f t="shared" ref="P186:U186" si="452">SUM(P174,P176,P178,P180,P182,P184)</f>
        <v>0</v>
      </c>
      <c r="Q186" s="10">
        <f t="shared" ref="Q186" si="453">SUM(Q174,Q176,Q178,Q180,Q182,Q184)</f>
        <v>8.3333333333333343E-2</v>
      </c>
      <c r="R186" s="10">
        <f t="shared" si="452"/>
        <v>8.3333333333333343E-2</v>
      </c>
      <c r="S186" s="10">
        <f t="shared" ref="S186:T186" si="454">SUM(S174,S176,S178,S180,S182,S184)</f>
        <v>8.3333333333333343E-2</v>
      </c>
      <c r="T186" s="10">
        <f t="shared" si="454"/>
        <v>8.3333333333333343E-2</v>
      </c>
      <c r="U186" s="82">
        <f t="shared" si="452"/>
        <v>8.3333333333333343E-2</v>
      </c>
      <c r="V186" s="19">
        <f t="shared" ref="V186:AB187" si="455">SUM(V174,V176,V178,V180,V182,V184)</f>
        <v>0.40350877192982459</v>
      </c>
      <c r="W186" s="10">
        <f t="shared" si="455"/>
        <v>8.0701754385964913E-2</v>
      </c>
      <c r="X186" s="10">
        <f t="shared" si="455"/>
        <v>8.0701754385964913E-2</v>
      </c>
      <c r="Y186" s="10">
        <f t="shared" si="455"/>
        <v>8.0701754385964913E-2</v>
      </c>
      <c r="Z186" s="10">
        <f t="shared" si="455"/>
        <v>8.0701754385964913E-2</v>
      </c>
      <c r="AA186" s="187">
        <f t="shared" si="455"/>
        <v>8.0701754385964913E-2</v>
      </c>
      <c r="AB186" s="73">
        <f t="shared" si="455"/>
        <v>0.51515151515151514</v>
      </c>
      <c r="AC186" s="187">
        <f t="shared" ref="AC186" si="456">SUM(AC174,AC176,AC178,AC180,AC182,AC184)</f>
        <v>7.8787878787878796E-2</v>
      </c>
      <c r="AD186" s="187">
        <f t="shared" ref="AD186:AK187" si="457">SUM(AD174,AD176,AD178,AD180,AD182,AD184)</f>
        <v>7.8787878787878796E-2</v>
      </c>
      <c r="AE186" s="187">
        <f t="shared" si="457"/>
        <v>7.8787878787878796E-2</v>
      </c>
      <c r="AF186" s="187">
        <f t="shared" ref="AF186" si="458">SUM(AF174,AF176,AF178,AF180,AF182,AF184)</f>
        <v>7.8787878787878796E-2</v>
      </c>
      <c r="AG186" s="221">
        <f t="shared" si="457"/>
        <v>7.8787878787878796E-2</v>
      </c>
      <c r="AH186" s="73">
        <f>SUM(AH174,AH176,AH178,AH180,AH182,AH184)</f>
        <v>0.48181818181818181</v>
      </c>
      <c r="AI186" s="187">
        <f t="shared" si="457"/>
        <v>8.1818181818181818E-2</v>
      </c>
      <c r="AJ186" s="187">
        <f t="shared" ref="AJ186:AM187" si="459">SUM(AJ174,AJ176,AJ178,AJ180,AJ182,AJ184)</f>
        <v>8.1818181818181818E-2</v>
      </c>
      <c r="AK186" s="187">
        <f t="shared" si="459"/>
        <v>8.1818181818181818E-2</v>
      </c>
      <c r="AL186" s="187">
        <f t="shared" si="459"/>
        <v>8.1818181818181818E-2</v>
      </c>
      <c r="AM186" s="221">
        <f t="shared" si="459"/>
        <v>8.1818181818181818E-2</v>
      </c>
      <c r="AN186" s="73">
        <f>SUM(AN174,AN176,AN178,AN180,AN182,AN184)</f>
        <v>0</v>
      </c>
      <c r="AO186" s="187">
        <f t="shared" ref="AO186:AU187" si="460">SUM(AO174,AO176,AO178,AO180,AO182,AO184)</f>
        <v>0</v>
      </c>
      <c r="AP186" s="187">
        <f t="shared" si="460"/>
        <v>0</v>
      </c>
      <c r="AQ186" s="187">
        <f t="shared" si="460"/>
        <v>0</v>
      </c>
      <c r="AR186" s="187">
        <f t="shared" si="460"/>
        <v>0</v>
      </c>
      <c r="AS186" s="187">
        <f t="shared" si="460"/>
        <v>0</v>
      </c>
      <c r="AT186" s="187">
        <f t="shared" si="460"/>
        <v>0</v>
      </c>
      <c r="AU186" s="221">
        <f t="shared" si="460"/>
        <v>0</v>
      </c>
      <c r="AV186" s="222">
        <f>SUM(AV174,AV176,AV178,AV180,AV182,AV184)</f>
        <v>0</v>
      </c>
      <c r="AW186" s="187">
        <f t="shared" ref="AW186" si="461">SUM(AW174,AW176,AW178,AW180,AW182,AW184)</f>
        <v>0</v>
      </c>
      <c r="AX186" s="187">
        <f t="shared" ref="AX186:BC186" si="462">SUM(AX174,AX176,AX178,AX180,AX182,AX184)</f>
        <v>0</v>
      </c>
      <c r="AY186" s="187">
        <f t="shared" ref="AY186:AZ186" si="463">SUM(AY174,AY176,AY178,AY180,AY182,AY184)</f>
        <v>0</v>
      </c>
      <c r="AZ186" s="187">
        <f t="shared" si="463"/>
        <v>0</v>
      </c>
      <c r="BA186" s="187">
        <f t="shared" ref="BA186:BB186" si="464">SUM(BA174,BA176,BA178,BA180,BA182,BA184)</f>
        <v>0</v>
      </c>
      <c r="BB186" s="187">
        <f t="shared" si="464"/>
        <v>0</v>
      </c>
      <c r="BC186" s="17">
        <f t="shared" si="462"/>
        <v>0</v>
      </c>
      <c r="BD186" s="19">
        <f>SUM(BD174,BD176,BD178,BD180,BD182,BD184)</f>
        <v>0</v>
      </c>
      <c r="BE186" s="187">
        <f t="shared" ref="BE186" si="465">SUM(BE174,BE176,BE178,BE180,BE182,BE184)</f>
        <v>0</v>
      </c>
      <c r="BF186" s="187">
        <f t="shared" ref="BF186:BG186" si="466">SUM(BF174,BF176,BF178,BF180,BF182,BF184)</f>
        <v>0</v>
      </c>
      <c r="BG186" s="187">
        <f t="shared" si="466"/>
        <v>0</v>
      </c>
      <c r="BH186" s="187">
        <f t="shared" ref="BH186:BK186" si="467">SUM(BH174,BH176,BH178,BH180,BH182,BH184)</f>
        <v>0</v>
      </c>
      <c r="BI186" s="187">
        <f t="shared" si="467"/>
        <v>0</v>
      </c>
      <c r="BJ186" s="187">
        <f t="shared" si="467"/>
        <v>0</v>
      </c>
      <c r="BK186" s="17">
        <f t="shared" si="467"/>
        <v>0</v>
      </c>
      <c r="BL186" s="19">
        <f>SUM(BL174,BL176,BL178,BL180,BL182,BL184)</f>
        <v>0</v>
      </c>
      <c r="BM186" s="187">
        <f t="shared" ref="BM186" si="468">SUM(BM174,BM176,BM178,BM180,BM182,BM184)</f>
        <v>0</v>
      </c>
      <c r="BN186" s="187">
        <f t="shared" ref="BN186:BS186" si="469">SUM(BN174,BN176,BN178,BN180,BN182,BN184)</f>
        <v>0</v>
      </c>
      <c r="BO186" s="187">
        <f t="shared" si="469"/>
        <v>0</v>
      </c>
      <c r="BP186" s="187">
        <f t="shared" si="469"/>
        <v>0</v>
      </c>
      <c r="BQ186" s="187">
        <f t="shared" si="469"/>
        <v>0</v>
      </c>
      <c r="BR186" s="187">
        <f t="shared" si="469"/>
        <v>0</v>
      </c>
      <c r="BS186" s="17">
        <f t="shared" si="469"/>
        <v>0</v>
      </c>
      <c r="BT186" s="19">
        <f>SUM(BT174,BT176,BT178,BT180,BT182,BT184)</f>
        <v>0</v>
      </c>
      <c r="BU186" s="187">
        <f t="shared" ref="BU186" si="470">SUM(BU174,BU176,BU178,BU180,BU182,BU184)</f>
        <v>0</v>
      </c>
      <c r="BV186" s="187">
        <f t="shared" ref="BV186:CA186" si="471">SUM(BV174,BV176,BV178,BV180,BV182,BV184)</f>
        <v>0</v>
      </c>
      <c r="BW186" s="187">
        <f t="shared" si="471"/>
        <v>0</v>
      </c>
      <c r="BX186" s="187">
        <f t="shared" si="471"/>
        <v>0</v>
      </c>
      <c r="BY186" s="187">
        <f t="shared" si="471"/>
        <v>0</v>
      </c>
      <c r="BZ186" s="187">
        <f t="shared" si="471"/>
        <v>0</v>
      </c>
      <c r="CA186" s="17">
        <f t="shared" si="471"/>
        <v>0</v>
      </c>
      <c r="CB186" s="73">
        <f>SUM(CB174,CB176,CB178,CB180,CB182,CB184)</f>
        <v>0</v>
      </c>
      <c r="CC186" s="187">
        <f t="shared" ref="CC186:CI186" si="472">SUM(CC174,CC176,CC178,CC180,CC182,CC184)</f>
        <v>0</v>
      </c>
      <c r="CD186" s="187">
        <f t="shared" ref="CD186:CE186" si="473">SUM(CD174,CD176,CD178,CD180,CD182,CD184)</f>
        <v>0</v>
      </c>
      <c r="CE186" s="187">
        <f t="shared" si="473"/>
        <v>0</v>
      </c>
      <c r="CF186" s="187">
        <f t="shared" si="472"/>
        <v>0</v>
      </c>
      <c r="CG186" s="187">
        <f t="shared" si="472"/>
        <v>0</v>
      </c>
      <c r="CH186" s="187">
        <f t="shared" si="472"/>
        <v>0</v>
      </c>
      <c r="CI186" s="17">
        <f t="shared" si="472"/>
        <v>0</v>
      </c>
      <c r="CJ186" s="19">
        <f>SUM(CJ174,CJ176,CJ178,CJ180,CJ182,CJ184)</f>
        <v>0</v>
      </c>
      <c r="CK186" s="187">
        <f t="shared" ref="CK186:CL186" si="474">SUM(CK174,CK176,CK178,CK180,CK182,CK184)</f>
        <v>0</v>
      </c>
      <c r="CL186" s="187">
        <f t="shared" si="474"/>
        <v>0</v>
      </c>
      <c r="CM186" s="187">
        <f t="shared" ref="CM186:CQ186" si="475">SUM(CM174,CM176,CM178,CM180,CM182,CM184)</f>
        <v>0</v>
      </c>
      <c r="CN186" s="187">
        <f t="shared" si="475"/>
        <v>0</v>
      </c>
      <c r="CO186" s="187">
        <f t="shared" si="475"/>
        <v>0</v>
      </c>
      <c r="CP186" s="187">
        <f t="shared" si="475"/>
        <v>0</v>
      </c>
      <c r="CQ186" s="17">
        <f t="shared" si="475"/>
        <v>0</v>
      </c>
      <c r="CR186" s="19">
        <f>SUM(CR174,CR176,CR178,CR180,CR182,CR184)</f>
        <v>0</v>
      </c>
      <c r="CS186" s="187">
        <f t="shared" ref="CS186:CY186" si="476">SUM(CS174,CS176,CS178,CS180,CS182,CS184)</f>
        <v>0</v>
      </c>
      <c r="CT186" s="187">
        <f t="shared" si="476"/>
        <v>0</v>
      </c>
      <c r="CU186" s="187">
        <f t="shared" si="476"/>
        <v>0</v>
      </c>
      <c r="CV186" s="187">
        <f t="shared" si="476"/>
        <v>0</v>
      </c>
      <c r="CW186" s="187">
        <f t="shared" si="476"/>
        <v>0</v>
      </c>
      <c r="CX186" s="187">
        <f t="shared" si="476"/>
        <v>0</v>
      </c>
      <c r="CY186" s="17">
        <f t="shared" si="476"/>
        <v>0</v>
      </c>
      <c r="CZ186" s="19">
        <f>SUM(V186:AA186)</f>
        <v>0.8070175438596493</v>
      </c>
      <c r="DA186" s="195"/>
    </row>
    <row r="187" spans="1:105" ht="20.100000000000001" customHeight="1" x14ac:dyDescent="0.4">
      <c r="A187" s="474"/>
      <c r="B187" s="475"/>
      <c r="C187" s="475"/>
      <c r="D187" s="475"/>
      <c r="E187" s="475"/>
      <c r="F187" s="475"/>
      <c r="G187" s="476"/>
      <c r="H187" s="468"/>
      <c r="I187" s="468"/>
      <c r="J187" s="480" t="s">
        <v>80</v>
      </c>
      <c r="K187" s="481"/>
      <c r="L187" s="481"/>
      <c r="M187" s="482"/>
      <c r="N187" s="18" t="s">
        <v>89</v>
      </c>
      <c r="O187" s="11">
        <f>SUM(O175,O177,O179,O181,O183,O185)</f>
        <v>0.47500000000000003</v>
      </c>
      <c r="P187" s="11">
        <f t="shared" ref="P187:CL187" si="477">SUM(P175,P177,P179,P181,P183,P185)</f>
        <v>0</v>
      </c>
      <c r="Q187" s="11">
        <f t="shared" ref="Q187" si="478">SUM(Q175,Q177,Q179,Q181,Q183,Q185)</f>
        <v>7.9166666666666663E-2</v>
      </c>
      <c r="R187" s="11">
        <f t="shared" si="477"/>
        <v>6.6666666666666666E-2</v>
      </c>
      <c r="S187" s="11">
        <f t="shared" ref="S187:T187" si="479">SUM(S175,S177,S179,S181,S183,S185)</f>
        <v>7.9166666666666663E-2</v>
      </c>
      <c r="T187" s="11">
        <f t="shared" si="479"/>
        <v>7.4999999999999997E-2</v>
      </c>
      <c r="U187" s="49">
        <f t="shared" si="477"/>
        <v>7.9166666666666663E-2</v>
      </c>
      <c r="V187" s="20">
        <f t="shared" ref="V187:Z187" si="480">SUM(V175,V177,V179,V181,V183,V185)</f>
        <v>0.40350877192982454</v>
      </c>
      <c r="W187" s="11">
        <f t="shared" si="480"/>
        <v>0</v>
      </c>
      <c r="X187" s="11">
        <f t="shared" si="480"/>
        <v>5.9649122807017549E-2</v>
      </c>
      <c r="Y187" s="11">
        <f t="shared" si="480"/>
        <v>7.3684210526315796E-2</v>
      </c>
      <c r="Z187" s="11">
        <f t="shared" si="480"/>
        <v>6.3157894736842107E-2</v>
      </c>
      <c r="AA187" s="207">
        <f t="shared" si="455"/>
        <v>7.3684210526315796E-2</v>
      </c>
      <c r="AB187" s="57">
        <f t="shared" si="477"/>
        <v>0.51212121212121209</v>
      </c>
      <c r="AC187" s="207">
        <f t="shared" ref="AC187" si="481">SUM(AC175,AC177,AC179,AC181,AC183,AC185)</f>
        <v>3.9393939393939398E-2</v>
      </c>
      <c r="AD187" s="207">
        <f t="shared" si="477"/>
        <v>8.4848484848484854E-2</v>
      </c>
      <c r="AE187" s="207">
        <f t="shared" si="477"/>
        <v>7.8787878787878796E-2</v>
      </c>
      <c r="AF187" s="207">
        <f t="shared" ref="AF187" si="482">SUM(AF175,AF177,AF179,AF181,AF183,AF185)</f>
        <v>7.5757575757575746E-2</v>
      </c>
      <c r="AG187" s="49">
        <f t="shared" si="477"/>
        <v>7.8787878787878782E-2</v>
      </c>
      <c r="AH187" s="57">
        <f t="shared" ref="AH187" si="483">SUM(AH175,AH177,AH179,AH181,AH183,AH185)</f>
        <v>0.38181818181818183</v>
      </c>
      <c r="AI187" s="207">
        <f t="shared" si="457"/>
        <v>6.6666666666666666E-2</v>
      </c>
      <c r="AJ187" s="207">
        <f t="shared" si="457"/>
        <v>6.6666666666666666E-2</v>
      </c>
      <c r="AK187" s="207">
        <f t="shared" si="457"/>
        <v>6.6666666666666666E-2</v>
      </c>
      <c r="AL187" s="207">
        <f t="shared" si="459"/>
        <v>6.6666666666666666E-2</v>
      </c>
      <c r="AM187" s="49">
        <f t="shared" si="459"/>
        <v>5.7575757575757572E-2</v>
      </c>
      <c r="AN187" s="57">
        <f>SUM(AN175,AN177,AN179,AN181,AN183,AN185)</f>
        <v>0</v>
      </c>
      <c r="AO187" s="207">
        <f t="shared" ref="AO187:AQ187" si="484">SUM(AO175,AO177,AO179,AO181,AO183,AO185)</f>
        <v>0</v>
      </c>
      <c r="AP187" s="207">
        <f t="shared" si="484"/>
        <v>0</v>
      </c>
      <c r="AQ187" s="207">
        <f t="shared" si="484"/>
        <v>0</v>
      </c>
      <c r="AR187" s="207">
        <f t="shared" si="460"/>
        <v>0</v>
      </c>
      <c r="AS187" s="207">
        <f t="shared" si="460"/>
        <v>0</v>
      </c>
      <c r="AT187" s="207">
        <f t="shared" si="460"/>
        <v>0</v>
      </c>
      <c r="AU187" s="49">
        <f t="shared" si="460"/>
        <v>0</v>
      </c>
      <c r="AV187" s="63">
        <f t="shared" si="477"/>
        <v>0</v>
      </c>
      <c r="AW187" s="208">
        <f t="shared" ref="AW187" si="485">SUM(AW175,AW177,AW179,AW181,AW183,AW185)</f>
        <v>0</v>
      </c>
      <c r="AX187" s="208">
        <f t="shared" si="477"/>
        <v>0</v>
      </c>
      <c r="AY187" s="208">
        <f t="shared" ref="AY187:AZ187" si="486">SUM(AY175,AY177,AY179,AY181,AY183,AY185)</f>
        <v>0</v>
      </c>
      <c r="AZ187" s="208">
        <f t="shared" si="486"/>
        <v>0</v>
      </c>
      <c r="BA187" s="208">
        <f t="shared" ref="BA187:BB187" si="487">SUM(BA175,BA177,BA179,BA181,BA183,BA185)</f>
        <v>0</v>
      </c>
      <c r="BB187" s="208">
        <f t="shared" si="487"/>
        <v>0</v>
      </c>
      <c r="BC187" s="64">
        <f t="shared" si="477"/>
        <v>0</v>
      </c>
      <c r="BD187" s="63">
        <f>SUM(BD175,BD177,BD179,BD181,BD183,BD185)</f>
        <v>0</v>
      </c>
      <c r="BE187" s="208">
        <f t="shared" ref="BE187:BK187" si="488">SUM(BE175,BE177,BE179,BE181,BE183,BE185)</f>
        <v>0</v>
      </c>
      <c r="BF187" s="208">
        <f t="shared" si="488"/>
        <v>0</v>
      </c>
      <c r="BG187" s="208">
        <f t="shared" si="488"/>
        <v>0</v>
      </c>
      <c r="BH187" s="208">
        <f t="shared" si="488"/>
        <v>0</v>
      </c>
      <c r="BI187" s="208">
        <f t="shared" si="488"/>
        <v>0</v>
      </c>
      <c r="BJ187" s="208">
        <f t="shared" si="488"/>
        <v>0</v>
      </c>
      <c r="BK187" s="64">
        <f t="shared" si="488"/>
        <v>0</v>
      </c>
      <c r="BL187" s="63">
        <f t="shared" si="477"/>
        <v>0</v>
      </c>
      <c r="BM187" s="208">
        <f t="shared" si="477"/>
        <v>0</v>
      </c>
      <c r="BN187" s="208">
        <f t="shared" ref="BN187:BS187" si="489">SUM(BN175,BN177,BN179,BN181,BN183,BN185)</f>
        <v>0</v>
      </c>
      <c r="BO187" s="208">
        <f t="shared" si="489"/>
        <v>0</v>
      </c>
      <c r="BP187" s="208">
        <f t="shared" si="489"/>
        <v>0</v>
      </c>
      <c r="BQ187" s="208">
        <f t="shared" si="489"/>
        <v>0</v>
      </c>
      <c r="BR187" s="208">
        <f t="shared" si="489"/>
        <v>0</v>
      </c>
      <c r="BS187" s="64">
        <f t="shared" si="489"/>
        <v>0</v>
      </c>
      <c r="BT187" s="63">
        <f>SUM(BT175,BT177,BT179,BT181,BT183,BT185)</f>
        <v>0</v>
      </c>
      <c r="BU187" s="208">
        <f t="shared" ref="BU187:CA187" si="490">SUM(BU175,BU177,BU179,BU181,BU183,BU185)</f>
        <v>0</v>
      </c>
      <c r="BV187" s="208">
        <f t="shared" si="490"/>
        <v>0</v>
      </c>
      <c r="BW187" s="208">
        <f t="shared" si="490"/>
        <v>0</v>
      </c>
      <c r="BX187" s="208">
        <f t="shared" si="490"/>
        <v>0</v>
      </c>
      <c r="BY187" s="208">
        <f t="shared" si="490"/>
        <v>0</v>
      </c>
      <c r="BZ187" s="208">
        <f t="shared" si="490"/>
        <v>0</v>
      </c>
      <c r="CA187" s="64">
        <f t="shared" si="490"/>
        <v>0</v>
      </c>
      <c r="CB187" s="63">
        <f>SUM(CB175,CB177,CB179,CB181,CB183,CB185)</f>
        <v>0</v>
      </c>
      <c r="CC187" s="208">
        <f t="shared" si="477"/>
        <v>0</v>
      </c>
      <c r="CD187" s="208">
        <f t="shared" ref="CD187:CE187" si="491">SUM(CD175,CD177,CD179,CD181,CD183,CD185)</f>
        <v>0</v>
      </c>
      <c r="CE187" s="208">
        <f t="shared" si="491"/>
        <v>0</v>
      </c>
      <c r="CF187" s="208">
        <f t="shared" si="477"/>
        <v>0</v>
      </c>
      <c r="CG187" s="208">
        <f t="shared" si="477"/>
        <v>0</v>
      </c>
      <c r="CH187" s="208">
        <f t="shared" si="477"/>
        <v>0</v>
      </c>
      <c r="CI187" s="64">
        <f t="shared" si="477"/>
        <v>0</v>
      </c>
      <c r="CJ187" s="63">
        <f t="shared" si="477"/>
        <v>0</v>
      </c>
      <c r="CK187" s="208">
        <f t="shared" si="477"/>
        <v>0</v>
      </c>
      <c r="CL187" s="208">
        <f t="shared" si="477"/>
        <v>0</v>
      </c>
      <c r="CM187" s="208">
        <f t="shared" ref="CM187:CQ187" si="492">SUM(CM175,CM177,CM179,CM181,CM183,CM185)</f>
        <v>0</v>
      </c>
      <c r="CN187" s="208">
        <f t="shared" si="492"/>
        <v>0</v>
      </c>
      <c r="CO187" s="208">
        <f t="shared" si="492"/>
        <v>0</v>
      </c>
      <c r="CP187" s="208">
        <f t="shared" si="492"/>
        <v>0</v>
      </c>
      <c r="CQ187" s="64">
        <f t="shared" si="492"/>
        <v>0</v>
      </c>
      <c r="CR187" s="63">
        <f t="shared" ref="CR187" si="493">SUM(CR175,CR177,CR179,CR181,CR183,CR185)</f>
        <v>0</v>
      </c>
      <c r="CS187" s="208">
        <f>0/157.5</f>
        <v>0</v>
      </c>
      <c r="CT187" s="208">
        <f t="shared" ref="CT187:CV187" si="494">0/157.5</f>
        <v>0</v>
      </c>
      <c r="CU187" s="208">
        <f t="shared" si="494"/>
        <v>0</v>
      </c>
      <c r="CV187" s="208">
        <f t="shared" si="494"/>
        <v>0</v>
      </c>
      <c r="CW187" s="208">
        <f t="shared" ref="CW187:CY187" si="495">SUM(CW175,CW177,CW179,CW181,CW183,CW185)</f>
        <v>0</v>
      </c>
      <c r="CX187" s="208">
        <f t="shared" si="495"/>
        <v>0</v>
      </c>
      <c r="CY187" s="64">
        <f t="shared" si="495"/>
        <v>0</v>
      </c>
      <c r="CZ187" s="20">
        <f>SUM(V187:AA187)</f>
        <v>0.67368421052631577</v>
      </c>
    </row>
    <row r="188" spans="1:105" ht="20.100000000000001" customHeight="1" x14ac:dyDescent="0.4">
      <c r="I188" s="200"/>
    </row>
    <row r="189" spans="1:105" ht="20.100000000000001" customHeight="1" x14ac:dyDescent="0.4">
      <c r="M189" s="36" t="s">
        <v>91</v>
      </c>
      <c r="N189" s="43" t="s">
        <v>88</v>
      </c>
      <c r="O189" s="35">
        <f>SUM(O167,O186)</f>
        <v>1.0166666666666666</v>
      </c>
      <c r="P189" s="35">
        <f>SUM(P167,P186)</f>
        <v>0</v>
      </c>
      <c r="Q189" s="35">
        <f t="shared" ref="Q189" si="496">SUM(Q167,Q186)</f>
        <v>1</v>
      </c>
      <c r="R189" s="35">
        <f t="shared" ref="R189:CT189" si="497">SUM(R167,R186)</f>
        <v>0.85416666666666674</v>
      </c>
      <c r="S189" s="35">
        <f t="shared" ref="S189:T189" si="498">SUM(S167,S186)</f>
        <v>1.0166666666666668</v>
      </c>
      <c r="T189" s="35">
        <f t="shared" si="498"/>
        <v>1.2</v>
      </c>
      <c r="U189" s="279">
        <f t="shared" si="497"/>
        <v>0.91666666666666663</v>
      </c>
      <c r="V189" s="41">
        <f t="shared" ref="V189:AA190" si="499">SUM(V167,V186)</f>
        <v>0.81754385964912291</v>
      </c>
      <c r="W189" s="35">
        <f t="shared" si="499"/>
        <v>8.0701754385964913E-2</v>
      </c>
      <c r="X189" s="35">
        <f t="shared" si="499"/>
        <v>0.76491228070175432</v>
      </c>
      <c r="Y189" s="35">
        <f t="shared" si="499"/>
        <v>0.92280701754385963</v>
      </c>
      <c r="Z189" s="35">
        <f t="shared" si="499"/>
        <v>0.92280701754385963</v>
      </c>
      <c r="AA189" s="40">
        <f t="shared" si="499"/>
        <v>0.97543859649122799</v>
      </c>
      <c r="AB189" s="41">
        <f>SUM(AB167,AB186)</f>
        <v>0.93333333333333335</v>
      </c>
      <c r="AC189" s="40">
        <f t="shared" ref="AC189:AG189" si="500">SUM(AC167,AC186)</f>
        <v>0.56363636363636371</v>
      </c>
      <c r="AD189" s="40">
        <f t="shared" si="500"/>
        <v>0.91515151515151527</v>
      </c>
      <c r="AE189" s="40">
        <f t="shared" si="500"/>
        <v>0.95757575757575752</v>
      </c>
      <c r="AF189" s="40">
        <f t="shared" si="500"/>
        <v>0.95757575757575752</v>
      </c>
      <c r="AG189" s="40">
        <f t="shared" si="500"/>
        <v>0.97575757575757582</v>
      </c>
      <c r="AH189" s="41">
        <f t="shared" ref="AH189:BC189" si="501">SUM(AH167,AH186)</f>
        <v>1.2030303030303027</v>
      </c>
      <c r="AI189" s="35">
        <f t="shared" si="501"/>
        <v>1.0515151515151515</v>
      </c>
      <c r="AJ189" s="35">
        <f t="shared" ref="AJ189:AK189" si="502">SUM(AJ167,AJ186)</f>
        <v>1.0515151515151513</v>
      </c>
      <c r="AK189" s="35">
        <f t="shared" si="502"/>
        <v>0.74848484848484831</v>
      </c>
      <c r="AL189" s="35">
        <f t="shared" ref="AL189:AM190" si="503">SUM(AL167,AL186)</f>
        <v>0.96060606060606069</v>
      </c>
      <c r="AM189" s="40">
        <f t="shared" si="503"/>
        <v>0.93030303030303019</v>
      </c>
      <c r="AN189" s="41">
        <f t="shared" si="501"/>
        <v>0</v>
      </c>
      <c r="AO189" s="40">
        <f t="shared" ref="AO189" si="504">SUM(AO167,AO186)</f>
        <v>0</v>
      </c>
      <c r="AP189" s="40">
        <f t="shared" si="501"/>
        <v>0</v>
      </c>
      <c r="AQ189" s="40">
        <f t="shared" ref="AQ189:AU189" si="505">SUM(AQ167,AQ186)</f>
        <v>0</v>
      </c>
      <c r="AR189" s="40">
        <f t="shared" si="505"/>
        <v>0</v>
      </c>
      <c r="AS189" s="40">
        <f t="shared" si="505"/>
        <v>0</v>
      </c>
      <c r="AT189" s="40">
        <f t="shared" si="505"/>
        <v>0</v>
      </c>
      <c r="AU189" s="40">
        <f t="shared" si="505"/>
        <v>0</v>
      </c>
      <c r="AV189" s="41">
        <f t="shared" si="501"/>
        <v>0</v>
      </c>
      <c r="AW189" s="40">
        <f t="shared" ref="AW189" si="506">SUM(AW167,AW186)</f>
        <v>0</v>
      </c>
      <c r="AX189" s="40">
        <f t="shared" si="501"/>
        <v>0</v>
      </c>
      <c r="AY189" s="40">
        <f t="shared" ref="AY189:AZ189" si="507">SUM(AY167,AY186)</f>
        <v>0</v>
      </c>
      <c r="AZ189" s="40">
        <f t="shared" si="507"/>
        <v>0</v>
      </c>
      <c r="BA189" s="40">
        <f t="shared" ref="BA189:BB189" si="508">SUM(BA167,BA186)</f>
        <v>0</v>
      </c>
      <c r="BB189" s="40">
        <f t="shared" si="508"/>
        <v>0</v>
      </c>
      <c r="BC189" s="40">
        <f t="shared" si="501"/>
        <v>0</v>
      </c>
      <c r="BD189" s="41">
        <f t="shared" si="497"/>
        <v>0</v>
      </c>
      <c r="BE189" s="40">
        <f t="shared" si="497"/>
        <v>0</v>
      </c>
      <c r="BF189" s="40">
        <f t="shared" ref="BF189:BG189" si="509">SUM(BF167,BF186)</f>
        <v>0</v>
      </c>
      <c r="BG189" s="40">
        <f t="shared" si="509"/>
        <v>0</v>
      </c>
      <c r="BH189" s="40">
        <f t="shared" ref="BH189:BK189" si="510">SUM(BH167,BH186)</f>
        <v>0</v>
      </c>
      <c r="BI189" s="40">
        <f t="shared" si="510"/>
        <v>0</v>
      </c>
      <c r="BJ189" s="40">
        <f t="shared" si="510"/>
        <v>0</v>
      </c>
      <c r="BK189" s="40">
        <f t="shared" si="510"/>
        <v>0</v>
      </c>
      <c r="BL189" s="41">
        <f>SUM(BL167,BL186)</f>
        <v>0</v>
      </c>
      <c r="BM189" s="40">
        <f t="shared" si="497"/>
        <v>0</v>
      </c>
      <c r="BN189" s="40">
        <f t="shared" ref="BN189:BS189" si="511">SUM(BN167,BN186)</f>
        <v>0</v>
      </c>
      <c r="BO189" s="40">
        <f t="shared" si="511"/>
        <v>0</v>
      </c>
      <c r="BP189" s="40">
        <f t="shared" si="511"/>
        <v>0</v>
      </c>
      <c r="BQ189" s="40">
        <f t="shared" si="511"/>
        <v>0</v>
      </c>
      <c r="BR189" s="40">
        <f t="shared" si="511"/>
        <v>0</v>
      </c>
      <c r="BS189" s="40">
        <f t="shared" si="511"/>
        <v>0</v>
      </c>
      <c r="BT189" s="41">
        <f t="shared" ref="BT189:BU189" si="512">SUM(BT167,BT186)</f>
        <v>0</v>
      </c>
      <c r="BU189" s="40">
        <f t="shared" si="512"/>
        <v>0</v>
      </c>
      <c r="BV189" s="40">
        <f t="shared" ref="BV189:CA189" si="513">SUM(BV167,BV186)</f>
        <v>0</v>
      </c>
      <c r="BW189" s="40">
        <f t="shared" si="513"/>
        <v>0</v>
      </c>
      <c r="BX189" s="40">
        <f t="shared" si="513"/>
        <v>0</v>
      </c>
      <c r="BY189" s="40">
        <f t="shared" si="513"/>
        <v>0</v>
      </c>
      <c r="BZ189" s="40">
        <f t="shared" si="513"/>
        <v>0</v>
      </c>
      <c r="CA189" s="40">
        <f t="shared" si="513"/>
        <v>0</v>
      </c>
      <c r="CB189" s="41">
        <f t="shared" ref="CB189:CL189" si="514">SUM(CB167,CB186)</f>
        <v>0</v>
      </c>
      <c r="CC189" s="40">
        <f t="shared" si="514"/>
        <v>0</v>
      </c>
      <c r="CD189" s="40">
        <f t="shared" ref="CD189:CE189" si="515">SUM(CD167,CD186)</f>
        <v>0</v>
      </c>
      <c r="CE189" s="40">
        <f t="shared" si="515"/>
        <v>0</v>
      </c>
      <c r="CF189" s="40">
        <f t="shared" si="514"/>
        <v>0</v>
      </c>
      <c r="CG189" s="40">
        <f t="shared" si="514"/>
        <v>0</v>
      </c>
      <c r="CH189" s="40">
        <f t="shared" si="514"/>
        <v>0</v>
      </c>
      <c r="CI189" s="40">
        <f t="shared" si="514"/>
        <v>0</v>
      </c>
      <c r="CJ189" s="41">
        <f t="shared" si="514"/>
        <v>0</v>
      </c>
      <c r="CK189" s="40">
        <f t="shared" si="514"/>
        <v>0</v>
      </c>
      <c r="CL189" s="40">
        <f t="shared" si="514"/>
        <v>0</v>
      </c>
      <c r="CM189" s="40">
        <f t="shared" ref="CM189:CQ189" si="516">SUM(CM167,CM186)</f>
        <v>0</v>
      </c>
      <c r="CN189" s="40">
        <f t="shared" si="516"/>
        <v>0</v>
      </c>
      <c r="CO189" s="40">
        <f t="shared" si="516"/>
        <v>0</v>
      </c>
      <c r="CP189" s="40">
        <f t="shared" si="516"/>
        <v>0</v>
      </c>
      <c r="CQ189" s="40">
        <f t="shared" si="516"/>
        <v>0</v>
      </c>
      <c r="CR189" s="41">
        <f t="shared" si="497"/>
        <v>0</v>
      </c>
      <c r="CS189" s="40">
        <f t="shared" si="497"/>
        <v>0</v>
      </c>
      <c r="CT189" s="40">
        <f t="shared" si="497"/>
        <v>0</v>
      </c>
      <c r="CU189" s="40">
        <f t="shared" ref="CU189:CY189" si="517">SUM(CU167,CU186)</f>
        <v>0</v>
      </c>
      <c r="CV189" s="40">
        <f t="shared" si="517"/>
        <v>0</v>
      </c>
      <c r="CW189" s="40">
        <f t="shared" si="517"/>
        <v>0</v>
      </c>
      <c r="CX189" s="40">
        <f t="shared" si="517"/>
        <v>0</v>
      </c>
      <c r="CY189" s="35">
        <f t="shared" si="517"/>
        <v>0</v>
      </c>
      <c r="CZ189" s="199"/>
    </row>
    <row r="190" spans="1:105" ht="20.100000000000001" customHeight="1" x14ac:dyDescent="0.4">
      <c r="M190" s="36" t="s">
        <v>92</v>
      </c>
      <c r="N190" s="44" t="s">
        <v>89</v>
      </c>
      <c r="O190" s="35">
        <f t="shared" ref="O190:CT190" si="518">SUM(O168,O187)</f>
        <v>0.9375</v>
      </c>
      <c r="P190" s="35">
        <f t="shared" si="518"/>
        <v>0</v>
      </c>
      <c r="Q190" s="35">
        <f t="shared" ref="Q190" si="519">SUM(Q168,Q187)</f>
        <v>0.89166666666666661</v>
      </c>
      <c r="R190" s="35">
        <f t="shared" si="518"/>
        <v>0.78749999999999998</v>
      </c>
      <c r="S190" s="35">
        <f t="shared" ref="S190:T190" si="520">SUM(S168,S187)</f>
        <v>0.95</v>
      </c>
      <c r="T190" s="35">
        <f t="shared" si="520"/>
        <v>0.99999999999999989</v>
      </c>
      <c r="U190" s="279">
        <f t="shared" si="518"/>
        <v>0.95833333333333326</v>
      </c>
      <c r="V190" s="41">
        <f t="shared" ref="V190:BC190" si="521">SUM(V168,V187)</f>
        <v>0.78245614035087718</v>
      </c>
      <c r="W190" s="40">
        <f t="shared" ref="W190" si="522">SUM(W168,W187)</f>
        <v>0</v>
      </c>
      <c r="X190" s="40">
        <f>SUM(X168,X187)</f>
        <v>0.70526315789473693</v>
      </c>
      <c r="Y190" s="40">
        <f t="shared" ref="Y190:Z190" si="523">SUM(Y168,Y187)</f>
        <v>0.82105263157894737</v>
      </c>
      <c r="Z190" s="40">
        <f t="shared" si="523"/>
        <v>0.82105263157894737</v>
      </c>
      <c r="AA190" s="40">
        <f t="shared" si="499"/>
        <v>0.8666666666666667</v>
      </c>
      <c r="AB190" s="41">
        <f t="shared" si="521"/>
        <v>0.89999999999999991</v>
      </c>
      <c r="AC190" s="40">
        <f t="shared" ref="AC190" si="524">SUM(AC168,AC187)</f>
        <v>0.48484848484848486</v>
      </c>
      <c r="AD190" s="40">
        <f t="shared" si="521"/>
        <v>0.83030303030303043</v>
      </c>
      <c r="AE190" s="40">
        <f t="shared" ref="AE190:AF190" si="525">SUM(AE168,AE187)</f>
        <v>0.92727272727272725</v>
      </c>
      <c r="AF190" s="40">
        <f t="shared" si="525"/>
        <v>0.88787878787878793</v>
      </c>
      <c r="AG190" s="40">
        <f t="shared" si="521"/>
        <v>0.87272727272727257</v>
      </c>
      <c r="AH190" s="41">
        <f t="shared" si="521"/>
        <v>0.8606060606060606</v>
      </c>
      <c r="AI190" s="35">
        <f t="shared" si="521"/>
        <v>0.85454545454545461</v>
      </c>
      <c r="AJ190" s="35">
        <f t="shared" ref="AJ190:AK190" si="526">SUM(AJ168,AJ187)</f>
        <v>0.86969696969696986</v>
      </c>
      <c r="AK190" s="35">
        <f t="shared" si="526"/>
        <v>0.84545454545454546</v>
      </c>
      <c r="AL190" s="35">
        <f t="shared" ref="AL190" si="527">SUM(AL168,AL187)</f>
        <v>0.85757575757575766</v>
      </c>
      <c r="AM190" s="40">
        <f t="shared" si="503"/>
        <v>0.85454545454545472</v>
      </c>
      <c r="AN190" s="41">
        <f t="shared" si="521"/>
        <v>0</v>
      </c>
      <c r="AO190" s="40">
        <f t="shared" ref="AO190" si="528">SUM(AO168,AO187)</f>
        <v>0</v>
      </c>
      <c r="AP190" s="40">
        <f t="shared" si="521"/>
        <v>0</v>
      </c>
      <c r="AQ190" s="40">
        <f>SUM(AQ168,AQ187)</f>
        <v>0</v>
      </c>
      <c r="AR190" s="40">
        <f>SUM(AR168,AR187)</f>
        <v>0</v>
      </c>
      <c r="AS190" s="40">
        <f t="shared" ref="AS190:AU190" si="529">SUM(AS168,AS187)</f>
        <v>0</v>
      </c>
      <c r="AT190" s="40">
        <f t="shared" si="529"/>
        <v>0</v>
      </c>
      <c r="AU190" s="40">
        <f t="shared" si="529"/>
        <v>0</v>
      </c>
      <c r="AV190" s="41">
        <f t="shared" si="521"/>
        <v>0</v>
      </c>
      <c r="AW190" s="40">
        <f t="shared" ref="AW190" si="530">SUM(AW168,AW187)</f>
        <v>0</v>
      </c>
      <c r="AX190" s="40">
        <f t="shared" si="521"/>
        <v>0</v>
      </c>
      <c r="AY190" s="40">
        <f t="shared" ref="AY190:AZ190" si="531">SUM(AY168,AY187)</f>
        <v>0</v>
      </c>
      <c r="AZ190" s="40">
        <f t="shared" si="531"/>
        <v>0</v>
      </c>
      <c r="BA190" s="40">
        <f t="shared" ref="BA190:BB190" si="532">SUM(BA168,BA187)</f>
        <v>0</v>
      </c>
      <c r="BB190" s="40">
        <f t="shared" si="532"/>
        <v>0</v>
      </c>
      <c r="BC190" s="40">
        <f t="shared" si="521"/>
        <v>0</v>
      </c>
      <c r="BD190" s="41">
        <f t="shared" si="518"/>
        <v>0</v>
      </c>
      <c r="BE190" s="40">
        <f t="shared" si="518"/>
        <v>0</v>
      </c>
      <c r="BF190" s="40">
        <f t="shared" ref="BF190:BG190" si="533">SUM(BF168,BF187)</f>
        <v>0</v>
      </c>
      <c r="BG190" s="40">
        <f t="shared" si="533"/>
        <v>0</v>
      </c>
      <c r="BH190" s="40">
        <f t="shared" ref="BH190:BK190" si="534">SUM(BH168,BH187)</f>
        <v>0</v>
      </c>
      <c r="BI190" s="40">
        <f t="shared" si="534"/>
        <v>0</v>
      </c>
      <c r="BJ190" s="40">
        <f t="shared" si="534"/>
        <v>0</v>
      </c>
      <c r="BK190" s="40">
        <f t="shared" si="534"/>
        <v>0</v>
      </c>
      <c r="BL190" s="41">
        <f t="shared" si="518"/>
        <v>0</v>
      </c>
      <c r="BM190" s="40">
        <f t="shared" si="518"/>
        <v>0</v>
      </c>
      <c r="BN190" s="40">
        <f t="shared" ref="BN190:BS190" si="535">SUM(BN168,BN187)</f>
        <v>0</v>
      </c>
      <c r="BO190" s="40">
        <f t="shared" si="535"/>
        <v>0</v>
      </c>
      <c r="BP190" s="40">
        <f t="shared" si="535"/>
        <v>0</v>
      </c>
      <c r="BQ190" s="40">
        <f t="shared" si="535"/>
        <v>0</v>
      </c>
      <c r="BR190" s="40">
        <f t="shared" si="535"/>
        <v>0</v>
      </c>
      <c r="BS190" s="40">
        <f t="shared" si="535"/>
        <v>0</v>
      </c>
      <c r="BT190" s="41">
        <f>SUM(BT168,BT187)</f>
        <v>0</v>
      </c>
      <c r="BU190" s="40">
        <f t="shared" ref="BU190" si="536">SUM(BU168,BU187)</f>
        <v>0</v>
      </c>
      <c r="BV190" s="40">
        <f t="shared" ref="BV190:CA190" si="537">SUM(BV168,BV187)</f>
        <v>0</v>
      </c>
      <c r="BW190" s="40">
        <f t="shared" si="537"/>
        <v>0</v>
      </c>
      <c r="BX190" s="40">
        <f t="shared" si="537"/>
        <v>0</v>
      </c>
      <c r="BY190" s="40">
        <f t="shared" si="537"/>
        <v>0</v>
      </c>
      <c r="BZ190" s="40">
        <f t="shared" si="537"/>
        <v>0</v>
      </c>
      <c r="CA190" s="40">
        <f t="shared" si="537"/>
        <v>0</v>
      </c>
      <c r="CB190" s="41">
        <f t="shared" ref="CB190:CL190" si="538">SUM(CB168,CB187)</f>
        <v>0</v>
      </c>
      <c r="CC190" s="40">
        <f t="shared" si="538"/>
        <v>0</v>
      </c>
      <c r="CD190" s="40">
        <f t="shared" ref="CD190:CE190" si="539">SUM(CD168,CD187)</f>
        <v>0</v>
      </c>
      <c r="CE190" s="40">
        <f t="shared" si="539"/>
        <v>0</v>
      </c>
      <c r="CF190" s="40">
        <f t="shared" si="538"/>
        <v>0</v>
      </c>
      <c r="CG190" s="40">
        <f t="shared" si="538"/>
        <v>0</v>
      </c>
      <c r="CH190" s="40">
        <f t="shared" si="538"/>
        <v>0</v>
      </c>
      <c r="CI190" s="40">
        <f t="shared" si="538"/>
        <v>0</v>
      </c>
      <c r="CJ190" s="41">
        <f t="shared" si="538"/>
        <v>0</v>
      </c>
      <c r="CK190" s="40">
        <f t="shared" si="538"/>
        <v>0</v>
      </c>
      <c r="CL190" s="40">
        <f t="shared" si="538"/>
        <v>0</v>
      </c>
      <c r="CM190" s="40">
        <f t="shared" ref="CM190:CQ190" si="540">SUM(CM168,CM187)</f>
        <v>0</v>
      </c>
      <c r="CN190" s="40">
        <f t="shared" si="540"/>
        <v>0</v>
      </c>
      <c r="CO190" s="40">
        <f t="shared" si="540"/>
        <v>0</v>
      </c>
      <c r="CP190" s="40">
        <f t="shared" si="540"/>
        <v>0</v>
      </c>
      <c r="CQ190" s="40">
        <f t="shared" si="540"/>
        <v>0</v>
      </c>
      <c r="CR190" s="41">
        <f t="shared" si="518"/>
        <v>0</v>
      </c>
      <c r="CS190" s="40">
        <f t="shared" si="518"/>
        <v>0</v>
      </c>
      <c r="CT190" s="40">
        <f t="shared" si="518"/>
        <v>0</v>
      </c>
      <c r="CU190" s="40">
        <f t="shared" ref="CU190:CY190" si="541">SUM(CU168,CU187)</f>
        <v>0</v>
      </c>
      <c r="CV190" s="40">
        <f t="shared" si="541"/>
        <v>0</v>
      </c>
      <c r="CW190" s="40">
        <f t="shared" si="541"/>
        <v>0</v>
      </c>
      <c r="CX190" s="40">
        <f t="shared" si="541"/>
        <v>0</v>
      </c>
      <c r="CY190" s="35">
        <f t="shared" si="541"/>
        <v>0</v>
      </c>
      <c r="CZ190" s="199"/>
    </row>
    <row r="191" spans="1:105" ht="20.100000000000001" customHeight="1" thickBot="1" x14ac:dyDescent="0.45">
      <c r="M191" s="37" t="s">
        <v>95</v>
      </c>
      <c r="N191" s="45" t="s">
        <v>93</v>
      </c>
      <c r="O191" s="521">
        <f>SUM(O189:U189)</f>
        <v>6.0041666666666673</v>
      </c>
      <c r="P191" s="521"/>
      <c r="Q191" s="521"/>
      <c r="R191" s="521"/>
      <c r="S191" s="521"/>
      <c r="T191" s="521"/>
      <c r="U191" s="522"/>
      <c r="V191" s="541">
        <f>SUM(V189:AA189)</f>
        <v>4.4842105263157901</v>
      </c>
      <c r="W191" s="521"/>
      <c r="X191" s="521"/>
      <c r="Y191" s="521"/>
      <c r="Z191" s="521"/>
      <c r="AA191" s="521"/>
      <c r="AB191" s="541">
        <f>SUM(AB189:AG189)</f>
        <v>5.3030303030303028</v>
      </c>
      <c r="AC191" s="521"/>
      <c r="AD191" s="542"/>
      <c r="AE191" s="542"/>
      <c r="AF191" s="542"/>
      <c r="AG191" s="542"/>
      <c r="AH191" s="562">
        <f>SUM(AH189:AM189)</f>
        <v>5.9454545454545453</v>
      </c>
      <c r="AI191" s="563"/>
      <c r="AJ191" s="563"/>
      <c r="AK191" s="563"/>
      <c r="AL191" s="563"/>
      <c r="AM191" s="564"/>
      <c r="AN191" s="541">
        <f>SUM(AN189:AU189)</f>
        <v>0</v>
      </c>
      <c r="AO191" s="542"/>
      <c r="AP191" s="542"/>
      <c r="AQ191" s="542"/>
      <c r="AR191" s="542"/>
      <c r="AS191" s="542"/>
      <c r="AT191" s="542"/>
      <c r="AU191" s="542"/>
      <c r="AV191" s="541">
        <f>SUM(AV189:BC189)</f>
        <v>0</v>
      </c>
      <c r="AW191" s="542"/>
      <c r="AX191" s="542"/>
      <c r="AY191" s="542"/>
      <c r="AZ191" s="542"/>
      <c r="BA191" s="542"/>
      <c r="BB191" s="542"/>
      <c r="BC191" s="542"/>
      <c r="BD191" s="541">
        <f>SUM(BD189:BK189)</f>
        <v>0</v>
      </c>
      <c r="BE191" s="542"/>
      <c r="BF191" s="542"/>
      <c r="BG191" s="542"/>
      <c r="BH191" s="542"/>
      <c r="BI191" s="542"/>
      <c r="BJ191" s="542"/>
      <c r="BK191" s="542"/>
      <c r="BL191" s="541">
        <f>SUM(BL189:BS189)</f>
        <v>0</v>
      </c>
      <c r="BM191" s="542"/>
      <c r="BN191" s="542"/>
      <c r="BO191" s="542"/>
      <c r="BP191" s="542"/>
      <c r="BQ191" s="542"/>
      <c r="BR191" s="542"/>
      <c r="BS191" s="542"/>
      <c r="BT191" s="541">
        <f>SUM(BT189:CA189)</f>
        <v>0</v>
      </c>
      <c r="BU191" s="542"/>
      <c r="BV191" s="542"/>
      <c r="BW191" s="542"/>
      <c r="BX191" s="542"/>
      <c r="BY191" s="542"/>
      <c r="BZ191" s="542"/>
      <c r="CA191" s="542"/>
      <c r="CB191" s="541">
        <f>SUM(CB189:CI189)</f>
        <v>0</v>
      </c>
      <c r="CC191" s="542"/>
      <c r="CD191" s="542"/>
      <c r="CE191" s="542"/>
      <c r="CF191" s="542"/>
      <c r="CG191" s="542"/>
      <c r="CH191" s="542"/>
      <c r="CI191" s="542"/>
      <c r="CJ191" s="541">
        <f>SUM(CJ189:CQ189)</f>
        <v>0</v>
      </c>
      <c r="CK191" s="542"/>
      <c r="CL191" s="542"/>
      <c r="CM191" s="542"/>
      <c r="CN191" s="542"/>
      <c r="CO191" s="542"/>
      <c r="CP191" s="542"/>
      <c r="CQ191" s="542"/>
      <c r="CR191" s="541">
        <f>SUM(CR189:CY189)</f>
        <v>0</v>
      </c>
      <c r="CS191" s="542"/>
      <c r="CT191" s="542"/>
      <c r="CU191" s="542"/>
      <c r="CV191" s="542"/>
      <c r="CW191" s="542"/>
      <c r="CX191" s="542"/>
      <c r="CY191" s="579"/>
    </row>
    <row r="192" spans="1:105" ht="20.100000000000001" customHeight="1" thickTop="1" thickBot="1" x14ac:dyDescent="0.45">
      <c r="M192" s="37" t="s">
        <v>96</v>
      </c>
      <c r="N192" s="46" t="s">
        <v>94</v>
      </c>
      <c r="O192" s="533">
        <f>SUM(O190:U190)</f>
        <v>5.5249999999999995</v>
      </c>
      <c r="P192" s="533"/>
      <c r="Q192" s="533"/>
      <c r="R192" s="533"/>
      <c r="S192" s="533"/>
      <c r="T192" s="533"/>
      <c r="U192" s="573"/>
      <c r="V192" s="532">
        <f>SUM(V190:AA190)</f>
        <v>3.9964912280701754</v>
      </c>
      <c r="W192" s="533"/>
      <c r="X192" s="543"/>
      <c r="Y192" s="543"/>
      <c r="Z192" s="543"/>
      <c r="AA192" s="543"/>
      <c r="AB192" s="532">
        <f>SUM(AB190:AG190)</f>
        <v>4.9030303030303024</v>
      </c>
      <c r="AC192" s="533"/>
      <c r="AD192" s="543"/>
      <c r="AE192" s="543"/>
      <c r="AF192" s="543"/>
      <c r="AG192" s="543"/>
      <c r="AH192" s="544">
        <f>SUM(AH190:AM190)</f>
        <v>5.1424242424242426</v>
      </c>
      <c r="AI192" s="545"/>
      <c r="AJ192" s="545"/>
      <c r="AK192" s="545"/>
      <c r="AL192" s="545"/>
      <c r="AM192" s="546"/>
      <c r="AN192" s="532">
        <f>SUM(AN190:AU190)</f>
        <v>0</v>
      </c>
      <c r="AO192" s="543"/>
      <c r="AP192" s="543"/>
      <c r="AQ192" s="543"/>
      <c r="AR192" s="543"/>
      <c r="AS192" s="543"/>
      <c r="AT192" s="543"/>
      <c r="AU192" s="543"/>
      <c r="AV192" s="532">
        <f>SUM(AV190:BC190)</f>
        <v>0</v>
      </c>
      <c r="AW192" s="543"/>
      <c r="AX192" s="543"/>
      <c r="AY192" s="543"/>
      <c r="AZ192" s="543"/>
      <c r="BA192" s="543"/>
      <c r="BB192" s="543"/>
      <c r="BC192" s="543"/>
      <c r="BD192" s="532">
        <f>SUM(BD190:BK190)</f>
        <v>0</v>
      </c>
      <c r="BE192" s="543"/>
      <c r="BF192" s="543"/>
      <c r="BG192" s="543"/>
      <c r="BH192" s="543"/>
      <c r="BI192" s="543"/>
      <c r="BJ192" s="543"/>
      <c r="BK192" s="543"/>
      <c r="BL192" s="532">
        <f>SUM(BL190:BS190)</f>
        <v>0</v>
      </c>
      <c r="BM192" s="543"/>
      <c r="BN192" s="543"/>
      <c r="BO192" s="543"/>
      <c r="BP192" s="543"/>
      <c r="BQ192" s="543"/>
      <c r="BR192" s="543"/>
      <c r="BS192" s="543"/>
      <c r="BT192" s="532">
        <f>SUM(BT190:CA190)</f>
        <v>0</v>
      </c>
      <c r="BU192" s="543"/>
      <c r="BV192" s="543"/>
      <c r="BW192" s="543"/>
      <c r="BX192" s="543"/>
      <c r="BY192" s="543"/>
      <c r="BZ192" s="543"/>
      <c r="CA192" s="543"/>
      <c r="CB192" s="532">
        <f>SUM(CB190:CI190)</f>
        <v>0</v>
      </c>
      <c r="CC192" s="543"/>
      <c r="CD192" s="543"/>
      <c r="CE192" s="543"/>
      <c r="CF192" s="543"/>
      <c r="CG192" s="543"/>
      <c r="CH192" s="543"/>
      <c r="CI192" s="543"/>
      <c r="CJ192" s="532">
        <f>SUM(CJ190:CQ190)</f>
        <v>0</v>
      </c>
      <c r="CK192" s="543"/>
      <c r="CL192" s="543"/>
      <c r="CM192" s="543"/>
      <c r="CN192" s="543"/>
      <c r="CO192" s="543"/>
      <c r="CP192" s="543"/>
      <c r="CQ192" s="543"/>
      <c r="CR192" s="532">
        <f>SUM(CR190:CY190)</f>
        <v>0</v>
      </c>
      <c r="CS192" s="543"/>
      <c r="CT192" s="543"/>
      <c r="CU192" s="543"/>
      <c r="CV192" s="543"/>
      <c r="CW192" s="543"/>
      <c r="CX192" s="543"/>
      <c r="CY192" s="580"/>
    </row>
    <row r="193" spans="1:104" ht="20.100000000000001" customHeight="1" thickTop="1" x14ac:dyDescent="0.4"/>
    <row r="194" spans="1:104" ht="20.100000000000001" customHeight="1" x14ac:dyDescent="0.4">
      <c r="A194" s="8" t="s">
        <v>18</v>
      </c>
    </row>
    <row r="195" spans="1:104" s="2" customFormat="1" ht="20.100000000000001" customHeight="1" x14ac:dyDescent="0.4">
      <c r="A195" s="570" t="s">
        <v>0</v>
      </c>
      <c r="B195" s="566" t="s">
        <v>87</v>
      </c>
      <c r="C195" s="566" t="s">
        <v>6</v>
      </c>
      <c r="D195" s="566" t="s">
        <v>31</v>
      </c>
      <c r="E195" s="566" t="s">
        <v>2</v>
      </c>
      <c r="F195" s="566" t="s">
        <v>3</v>
      </c>
      <c r="G195" s="567" t="s">
        <v>1</v>
      </c>
      <c r="H195" s="551" t="s">
        <v>24</v>
      </c>
      <c r="I195" s="551" t="s">
        <v>25</v>
      </c>
      <c r="J195" s="551" t="s">
        <v>9</v>
      </c>
      <c r="K195" s="570" t="s">
        <v>7</v>
      </c>
      <c r="L195" s="570" t="s">
        <v>8</v>
      </c>
      <c r="M195" s="570" t="s">
        <v>4</v>
      </c>
      <c r="N195" s="575" t="s">
        <v>5</v>
      </c>
      <c r="O195" s="535"/>
      <c r="P195" s="535"/>
      <c r="Q195" s="535"/>
      <c r="R195" s="535"/>
      <c r="S195" s="535"/>
      <c r="T195" s="535"/>
      <c r="U195" s="535"/>
      <c r="V195" s="535"/>
      <c r="W195" s="535"/>
      <c r="X195" s="535"/>
      <c r="Y195" s="535"/>
      <c r="Z195" s="535"/>
      <c r="AA195" s="535"/>
      <c r="AB195" s="535"/>
      <c r="AC195" s="535"/>
      <c r="AD195" s="535"/>
      <c r="AE195" s="535"/>
      <c r="AF195" s="535"/>
      <c r="AG195" s="535"/>
      <c r="AH195" s="535"/>
      <c r="AI195" s="535"/>
      <c r="AJ195" s="535"/>
      <c r="AK195" s="535"/>
      <c r="AL195" s="535"/>
      <c r="AM195" s="535"/>
      <c r="AN195" s="535"/>
      <c r="AO195" s="535"/>
      <c r="AP195" s="535"/>
      <c r="AQ195" s="535"/>
      <c r="AR195" s="535"/>
      <c r="AS195" s="535"/>
      <c r="AT195" s="535"/>
      <c r="AU195" s="535"/>
      <c r="AV195" s="535"/>
      <c r="AW195" s="535"/>
      <c r="AX195" s="535"/>
      <c r="AY195" s="535"/>
      <c r="AZ195" s="535"/>
      <c r="BA195" s="535"/>
      <c r="BB195" s="535"/>
      <c r="BC195" s="535"/>
      <c r="BD195" s="535"/>
      <c r="BE195" s="535"/>
      <c r="BF195" s="535"/>
      <c r="BG195" s="535"/>
      <c r="BH195" s="535"/>
      <c r="BI195" s="535"/>
      <c r="BJ195" s="535"/>
      <c r="BK195" s="535"/>
      <c r="BL195" s="535"/>
      <c r="BM195" s="535"/>
      <c r="BN195" s="535"/>
      <c r="BO195" s="535"/>
      <c r="BP195" s="535"/>
      <c r="BQ195" s="535"/>
      <c r="BR195" s="535"/>
      <c r="BS195" s="535"/>
      <c r="BT195" s="535"/>
      <c r="BU195" s="535"/>
      <c r="BV195" s="535"/>
      <c r="BW195" s="535"/>
      <c r="BX195" s="535"/>
      <c r="BY195" s="535"/>
      <c r="BZ195" s="535"/>
      <c r="CA195" s="535"/>
      <c r="CB195" s="535"/>
      <c r="CC195" s="535"/>
      <c r="CD195" s="535"/>
      <c r="CE195" s="535"/>
      <c r="CF195" s="535"/>
      <c r="CG195" s="535"/>
      <c r="CH195" s="535"/>
      <c r="CI195" s="535"/>
      <c r="CJ195" s="535"/>
      <c r="CK195" s="535"/>
      <c r="CL195" s="535"/>
      <c r="CM195" s="535"/>
      <c r="CN195" s="535"/>
      <c r="CO195" s="535"/>
      <c r="CP195" s="535"/>
      <c r="CQ195" s="535"/>
      <c r="CR195" s="535"/>
      <c r="CS195" s="535"/>
      <c r="CT195" s="535"/>
      <c r="CU195" s="535"/>
      <c r="CV195" s="535"/>
      <c r="CW195" s="535"/>
      <c r="CX195" s="535"/>
      <c r="CY195" s="535"/>
      <c r="CZ195" s="280"/>
    </row>
    <row r="196" spans="1:104" s="2" customFormat="1" ht="20.100000000000001" customHeight="1" x14ac:dyDescent="0.4">
      <c r="A196" s="571"/>
      <c r="B196" s="566"/>
      <c r="C196" s="566"/>
      <c r="D196" s="566"/>
      <c r="E196" s="566"/>
      <c r="F196" s="566"/>
      <c r="G196" s="568"/>
      <c r="H196" s="552"/>
      <c r="I196" s="552"/>
      <c r="J196" s="552"/>
      <c r="K196" s="571"/>
      <c r="L196" s="571"/>
      <c r="M196" s="571"/>
      <c r="N196" s="575" t="s">
        <v>136</v>
      </c>
      <c r="O196" s="535"/>
      <c r="P196" s="535"/>
      <c r="Q196" s="535"/>
      <c r="R196" s="535"/>
      <c r="S196" s="535"/>
      <c r="T196" s="535"/>
      <c r="U196" s="535"/>
      <c r="V196" s="534" t="s">
        <v>135</v>
      </c>
      <c r="W196" s="535"/>
      <c r="X196" s="535"/>
      <c r="Y196" s="535"/>
      <c r="Z196" s="535"/>
      <c r="AA196" s="535"/>
      <c r="AB196" s="534" t="s">
        <v>137</v>
      </c>
      <c r="AC196" s="535"/>
      <c r="AD196" s="535"/>
      <c r="AE196" s="535"/>
      <c r="AF196" s="535"/>
      <c r="AG196" s="535"/>
      <c r="AH196" s="534" t="s">
        <v>138</v>
      </c>
      <c r="AI196" s="535"/>
      <c r="AJ196" s="535"/>
      <c r="AK196" s="535"/>
      <c r="AL196" s="535"/>
      <c r="AM196" s="535"/>
      <c r="AN196" s="534" t="s">
        <v>139</v>
      </c>
      <c r="AO196" s="535"/>
      <c r="AP196" s="535"/>
      <c r="AQ196" s="535"/>
      <c r="AR196" s="535"/>
      <c r="AS196" s="535"/>
      <c r="AT196" s="535"/>
      <c r="AU196" s="535"/>
      <c r="AV196" s="534" t="s">
        <v>140</v>
      </c>
      <c r="AW196" s="535"/>
      <c r="AX196" s="535"/>
      <c r="AY196" s="535"/>
      <c r="AZ196" s="535"/>
      <c r="BA196" s="535"/>
      <c r="BB196" s="535"/>
      <c r="BC196" s="535"/>
      <c r="BD196" s="534" t="s">
        <v>141</v>
      </c>
      <c r="BE196" s="535"/>
      <c r="BF196" s="535"/>
      <c r="BG196" s="535"/>
      <c r="BH196" s="535"/>
      <c r="BI196" s="535"/>
      <c r="BJ196" s="535"/>
      <c r="BK196" s="535"/>
      <c r="BL196" s="534" t="s">
        <v>142</v>
      </c>
      <c r="BM196" s="535"/>
      <c r="BN196" s="535"/>
      <c r="BO196" s="535"/>
      <c r="BP196" s="535"/>
      <c r="BQ196" s="535"/>
      <c r="BR196" s="535"/>
      <c r="BS196" s="535"/>
      <c r="BT196" s="534" t="s">
        <v>143</v>
      </c>
      <c r="BU196" s="535"/>
      <c r="BV196" s="535"/>
      <c r="BW196" s="535"/>
      <c r="BX196" s="535"/>
      <c r="BY196" s="535"/>
      <c r="BZ196" s="535"/>
      <c r="CA196" s="535"/>
      <c r="CB196" s="534" t="s">
        <v>144</v>
      </c>
      <c r="CC196" s="535"/>
      <c r="CD196" s="535"/>
      <c r="CE196" s="535"/>
      <c r="CF196" s="535"/>
      <c r="CG196" s="535"/>
      <c r="CH196" s="535"/>
      <c r="CI196" s="535"/>
      <c r="CJ196" s="534" t="s">
        <v>30</v>
      </c>
      <c r="CK196" s="535"/>
      <c r="CL196" s="535"/>
      <c r="CM196" s="535"/>
      <c r="CN196" s="535"/>
      <c r="CO196" s="535"/>
      <c r="CP196" s="535"/>
      <c r="CQ196" s="535"/>
      <c r="CR196" s="534" t="s">
        <v>145</v>
      </c>
      <c r="CS196" s="535"/>
      <c r="CT196" s="535"/>
      <c r="CU196" s="535"/>
      <c r="CV196" s="535"/>
      <c r="CW196" s="535"/>
      <c r="CX196" s="535"/>
      <c r="CY196" s="535"/>
      <c r="CZ196" s="280"/>
    </row>
    <row r="197" spans="1:104" s="2" customFormat="1" ht="20.100000000000001" customHeight="1" x14ac:dyDescent="0.4">
      <c r="A197" s="572"/>
      <c r="B197" s="566"/>
      <c r="C197" s="566"/>
      <c r="D197" s="566"/>
      <c r="E197" s="566"/>
      <c r="F197" s="566"/>
      <c r="G197" s="569"/>
      <c r="H197" s="553"/>
      <c r="I197" s="553"/>
      <c r="J197" s="553"/>
      <c r="K197" s="572"/>
      <c r="L197" s="572"/>
      <c r="M197" s="572"/>
      <c r="N197" s="16"/>
      <c r="O197" s="5" t="s">
        <v>176</v>
      </c>
      <c r="P197" s="5" t="s">
        <v>414</v>
      </c>
      <c r="Q197" s="5" t="s">
        <v>174</v>
      </c>
      <c r="R197" s="16" t="s">
        <v>415</v>
      </c>
      <c r="S197" s="16" t="s">
        <v>416</v>
      </c>
      <c r="T197" s="16" t="s">
        <v>417</v>
      </c>
      <c r="U197" s="16" t="s">
        <v>418</v>
      </c>
      <c r="V197" s="5" t="s">
        <v>176</v>
      </c>
      <c r="W197" s="5" t="s">
        <v>414</v>
      </c>
      <c r="X197" s="5" t="s">
        <v>174</v>
      </c>
      <c r="Y197" s="16" t="s">
        <v>416</v>
      </c>
      <c r="Z197" s="16" t="s">
        <v>417</v>
      </c>
      <c r="AA197" s="16" t="s">
        <v>418</v>
      </c>
      <c r="AB197" s="214" t="s">
        <v>176</v>
      </c>
      <c r="AC197" s="5" t="s">
        <v>414</v>
      </c>
      <c r="AD197" s="5" t="s">
        <v>174</v>
      </c>
      <c r="AE197" s="16" t="s">
        <v>416</v>
      </c>
      <c r="AF197" s="16" t="s">
        <v>417</v>
      </c>
      <c r="AG197" s="16" t="s">
        <v>418</v>
      </c>
      <c r="AH197" s="214" t="s">
        <v>163</v>
      </c>
      <c r="AI197" s="5" t="s">
        <v>414</v>
      </c>
      <c r="AJ197" s="5" t="s">
        <v>174</v>
      </c>
      <c r="AK197" s="16" t="s">
        <v>416</v>
      </c>
      <c r="AL197" s="16" t="s">
        <v>417</v>
      </c>
      <c r="AM197" s="16" t="s">
        <v>418</v>
      </c>
      <c r="AN197" s="5" t="s">
        <v>163</v>
      </c>
      <c r="AO197" s="5" t="s">
        <v>166</v>
      </c>
      <c r="AP197" s="5" t="s">
        <v>146</v>
      </c>
      <c r="AQ197" s="16" t="s">
        <v>164</v>
      </c>
      <c r="AR197" s="16" t="s">
        <v>165</v>
      </c>
      <c r="AS197" s="16" t="s">
        <v>167</v>
      </c>
      <c r="AT197" s="16" t="s">
        <v>167</v>
      </c>
      <c r="AU197" s="72" t="s">
        <v>335</v>
      </c>
      <c r="AV197" s="71" t="s">
        <v>176</v>
      </c>
      <c r="AW197" s="5" t="s">
        <v>171</v>
      </c>
      <c r="AX197" s="5" t="s">
        <v>172</v>
      </c>
      <c r="AY197" s="16" t="s">
        <v>173</v>
      </c>
      <c r="AZ197" s="16" t="s">
        <v>174</v>
      </c>
      <c r="BA197" s="16" t="s">
        <v>175</v>
      </c>
      <c r="BB197" s="16" t="s">
        <v>175</v>
      </c>
      <c r="BC197" s="72" t="s">
        <v>335</v>
      </c>
      <c r="BD197" s="71" t="s">
        <v>176</v>
      </c>
      <c r="BE197" s="5" t="s">
        <v>171</v>
      </c>
      <c r="BF197" s="5" t="s">
        <v>172</v>
      </c>
      <c r="BG197" s="16" t="s">
        <v>173</v>
      </c>
      <c r="BH197" s="16" t="s">
        <v>174</v>
      </c>
      <c r="BI197" s="16" t="s">
        <v>175</v>
      </c>
      <c r="BJ197" s="16" t="s">
        <v>175</v>
      </c>
      <c r="BK197" s="72" t="s">
        <v>335</v>
      </c>
      <c r="BL197" s="71" t="s">
        <v>176</v>
      </c>
      <c r="BM197" s="5" t="s">
        <v>171</v>
      </c>
      <c r="BN197" s="5" t="s">
        <v>172</v>
      </c>
      <c r="BO197" s="16" t="s">
        <v>173</v>
      </c>
      <c r="BP197" s="16" t="s">
        <v>174</v>
      </c>
      <c r="BQ197" s="16" t="s">
        <v>175</v>
      </c>
      <c r="BR197" s="16" t="s">
        <v>175</v>
      </c>
      <c r="BS197" s="72" t="s">
        <v>335</v>
      </c>
      <c r="BT197" s="71" t="s">
        <v>176</v>
      </c>
      <c r="BU197" s="5" t="s">
        <v>171</v>
      </c>
      <c r="BV197" s="5" t="s">
        <v>172</v>
      </c>
      <c r="BW197" s="16" t="s">
        <v>173</v>
      </c>
      <c r="BX197" s="16" t="s">
        <v>174</v>
      </c>
      <c r="BY197" s="16" t="s">
        <v>175</v>
      </c>
      <c r="BZ197" s="16" t="s">
        <v>175</v>
      </c>
      <c r="CA197" s="72" t="s">
        <v>335</v>
      </c>
      <c r="CB197" s="71" t="s">
        <v>176</v>
      </c>
      <c r="CC197" s="5" t="s">
        <v>171</v>
      </c>
      <c r="CD197" s="5" t="s">
        <v>172</v>
      </c>
      <c r="CE197" s="16" t="s">
        <v>173</v>
      </c>
      <c r="CF197" s="16" t="s">
        <v>174</v>
      </c>
      <c r="CG197" s="16" t="s">
        <v>175</v>
      </c>
      <c r="CH197" s="16" t="s">
        <v>175</v>
      </c>
      <c r="CI197" s="72" t="s">
        <v>335</v>
      </c>
      <c r="CJ197" s="71" t="s">
        <v>176</v>
      </c>
      <c r="CK197" s="5" t="s">
        <v>171</v>
      </c>
      <c r="CL197" s="5" t="s">
        <v>172</v>
      </c>
      <c r="CM197" s="16" t="s">
        <v>173</v>
      </c>
      <c r="CN197" s="16" t="s">
        <v>174</v>
      </c>
      <c r="CO197" s="16" t="s">
        <v>175</v>
      </c>
      <c r="CP197" s="16" t="s">
        <v>175</v>
      </c>
      <c r="CQ197" s="72" t="s">
        <v>335</v>
      </c>
      <c r="CR197" s="71" t="s">
        <v>176</v>
      </c>
      <c r="CS197" s="5" t="s">
        <v>171</v>
      </c>
      <c r="CT197" s="5" t="s">
        <v>172</v>
      </c>
      <c r="CU197" s="16" t="s">
        <v>173</v>
      </c>
      <c r="CV197" s="16" t="s">
        <v>174</v>
      </c>
      <c r="CW197" s="16" t="s">
        <v>175</v>
      </c>
      <c r="CX197" s="16" t="s">
        <v>175</v>
      </c>
      <c r="CY197" s="16" t="s">
        <v>335</v>
      </c>
      <c r="CZ197" s="280"/>
    </row>
    <row r="198" spans="1:104" ht="25.5" customHeight="1" x14ac:dyDescent="0.4">
      <c r="A198" s="485">
        <v>1</v>
      </c>
      <c r="B198" s="485" t="s">
        <v>46</v>
      </c>
      <c r="C198" s="485" t="s">
        <v>14</v>
      </c>
      <c r="D198" s="463" t="s">
        <v>21</v>
      </c>
      <c r="E198" s="505" t="s">
        <v>179</v>
      </c>
      <c r="F198" s="463" t="s">
        <v>19</v>
      </c>
      <c r="G198" s="465" t="s">
        <v>180</v>
      </c>
      <c r="H198" s="467">
        <f>SUM(AH198:AM198)</f>
        <v>9.696969696969697E-2</v>
      </c>
      <c r="I198" s="469">
        <f>SUM(AH199:AM199)</f>
        <v>0.24848484848484853</v>
      </c>
      <c r="J198" s="12"/>
      <c r="K198" s="13"/>
      <c r="L198" s="13"/>
      <c r="M198" s="561" t="s">
        <v>342</v>
      </c>
      <c r="N198" s="187" t="s">
        <v>24</v>
      </c>
      <c r="O198" s="187">
        <f>(9.5)/120</f>
        <v>7.9166666666666663E-2</v>
      </c>
      <c r="P198" s="187">
        <f t="shared" ref="P198:U207" si="542">(0)/120</f>
        <v>0</v>
      </c>
      <c r="Q198" s="187">
        <f>(30)/120</f>
        <v>0.25</v>
      </c>
      <c r="R198" s="187">
        <f>(30)/120</f>
        <v>0.25</v>
      </c>
      <c r="S198" s="187">
        <f>(30)/120</f>
        <v>0.25</v>
      </c>
      <c r="T198" s="187">
        <f t="shared" si="542"/>
        <v>0</v>
      </c>
      <c r="U198" s="82">
        <f>(20)/120</f>
        <v>0.16666666666666666</v>
      </c>
      <c r="V198" s="19">
        <f>(21)/142.5</f>
        <v>0.14736842105263157</v>
      </c>
      <c r="W198" s="187">
        <f>(0)/142.5</f>
        <v>0</v>
      </c>
      <c r="X198" s="187">
        <f>(35)/142.5</f>
        <v>0.24561403508771928</v>
      </c>
      <c r="Y198" s="187">
        <f>(35)/142.5</f>
        <v>0.24561403508771928</v>
      </c>
      <c r="Z198" s="187">
        <f>(30)/142.5</f>
        <v>0.21052631578947367</v>
      </c>
      <c r="AA198" s="187">
        <f>(0)/142.5</f>
        <v>0</v>
      </c>
      <c r="AB198" s="73">
        <f>(0)/165</f>
        <v>0</v>
      </c>
      <c r="AC198" s="187">
        <f>(0)/165</f>
        <v>0</v>
      </c>
      <c r="AD198" s="187">
        <f>(20)/165</f>
        <v>0.12121212121212122</v>
      </c>
      <c r="AE198" s="187">
        <f>(0)/165</f>
        <v>0</v>
      </c>
      <c r="AF198" s="187">
        <f>(10)/165</f>
        <v>6.0606060606060608E-2</v>
      </c>
      <c r="AG198" s="187">
        <f>(5)/165</f>
        <v>3.0303030303030304E-2</v>
      </c>
      <c r="AH198" s="73">
        <f t="shared" ref="AB198:AM207" si="543">(0)/165</f>
        <v>0</v>
      </c>
      <c r="AI198" s="187">
        <f>(8)/165</f>
        <v>4.8484848484848485E-2</v>
      </c>
      <c r="AJ198" s="187">
        <f t="shared" si="543"/>
        <v>0</v>
      </c>
      <c r="AK198" s="187">
        <f t="shared" si="543"/>
        <v>0</v>
      </c>
      <c r="AL198" s="187">
        <f t="shared" si="543"/>
        <v>0</v>
      </c>
      <c r="AM198" s="187">
        <f>(8)/165</f>
        <v>4.8484848484848485E-2</v>
      </c>
      <c r="AN198" s="73">
        <f t="shared" ref="AN198:AR207" si="544">0/157.5</f>
        <v>0</v>
      </c>
      <c r="AO198" s="187">
        <f t="shared" si="544"/>
        <v>0</v>
      </c>
      <c r="AP198" s="187">
        <f t="shared" si="544"/>
        <v>0</v>
      </c>
      <c r="AQ198" s="187">
        <f t="shared" si="544"/>
        <v>0</v>
      </c>
      <c r="AR198" s="187">
        <f t="shared" si="544"/>
        <v>0</v>
      </c>
      <c r="AS198" s="187">
        <f t="shared" ref="AS198:AU207" si="545">0/165</f>
        <v>0</v>
      </c>
      <c r="AT198" s="187">
        <f t="shared" si="545"/>
        <v>0</v>
      </c>
      <c r="AU198" s="221">
        <f t="shared" si="545"/>
        <v>0</v>
      </c>
      <c r="AV198" s="222">
        <f t="shared" ref="AV198:BC207" si="546">(0)/172.5</f>
        <v>0</v>
      </c>
      <c r="AW198" s="187">
        <f t="shared" si="546"/>
        <v>0</v>
      </c>
      <c r="AX198" s="187">
        <f t="shared" si="546"/>
        <v>0</v>
      </c>
      <c r="AY198" s="187">
        <f t="shared" si="546"/>
        <v>0</v>
      </c>
      <c r="AZ198" s="187">
        <f t="shared" si="546"/>
        <v>0</v>
      </c>
      <c r="BA198" s="187">
        <f t="shared" si="546"/>
        <v>0</v>
      </c>
      <c r="BB198" s="187">
        <f t="shared" si="546"/>
        <v>0</v>
      </c>
      <c r="BC198" s="17">
        <f t="shared" si="546"/>
        <v>0</v>
      </c>
      <c r="BD198" s="19">
        <f t="shared" ref="BD198:BH207" si="547">(0)/142.5</f>
        <v>0</v>
      </c>
      <c r="BE198" s="187">
        <f t="shared" si="547"/>
        <v>0</v>
      </c>
      <c r="BF198" s="187">
        <f t="shared" si="547"/>
        <v>0</v>
      </c>
      <c r="BG198" s="187">
        <f t="shared" si="547"/>
        <v>0</v>
      </c>
      <c r="BH198" s="187">
        <f t="shared" si="547"/>
        <v>0</v>
      </c>
      <c r="BI198" s="187">
        <f t="shared" ref="BI198:BK207" si="548">(0)/172.5</f>
        <v>0</v>
      </c>
      <c r="BJ198" s="187">
        <f t="shared" si="548"/>
        <v>0</v>
      </c>
      <c r="BK198" s="17">
        <f t="shared" si="548"/>
        <v>0</v>
      </c>
      <c r="BL198" s="19">
        <f t="shared" ref="BL198:BP207" si="549">(0)/142.5</f>
        <v>0</v>
      </c>
      <c r="BM198" s="187">
        <f t="shared" si="549"/>
        <v>0</v>
      </c>
      <c r="BN198" s="187">
        <f t="shared" si="549"/>
        <v>0</v>
      </c>
      <c r="BO198" s="187">
        <f t="shared" si="549"/>
        <v>0</v>
      </c>
      <c r="BP198" s="187">
        <f t="shared" si="549"/>
        <v>0</v>
      </c>
      <c r="BQ198" s="187">
        <f t="shared" ref="BQ198:BS207" si="550">(0)/172.5</f>
        <v>0</v>
      </c>
      <c r="BR198" s="187">
        <f t="shared" si="550"/>
        <v>0</v>
      </c>
      <c r="BS198" s="17">
        <f t="shared" si="550"/>
        <v>0</v>
      </c>
      <c r="BT198" s="19">
        <f t="shared" ref="BT198:BX207" si="551">(0)/157.5</f>
        <v>0</v>
      </c>
      <c r="BU198" s="187">
        <f t="shared" si="551"/>
        <v>0</v>
      </c>
      <c r="BV198" s="187">
        <f t="shared" si="551"/>
        <v>0</v>
      </c>
      <c r="BW198" s="187">
        <f t="shared" si="551"/>
        <v>0</v>
      </c>
      <c r="BX198" s="187">
        <f t="shared" si="551"/>
        <v>0</v>
      </c>
      <c r="BY198" s="187">
        <f t="shared" ref="BY198:CA207" si="552">(0)/172.5</f>
        <v>0</v>
      </c>
      <c r="BZ198" s="187">
        <f t="shared" si="552"/>
        <v>0</v>
      </c>
      <c r="CA198" s="17">
        <f t="shared" si="552"/>
        <v>0</v>
      </c>
      <c r="CB198" s="73">
        <f t="shared" ref="CB198:CF207" si="553">(0)/157.5</f>
        <v>0</v>
      </c>
      <c r="CC198" s="187">
        <f t="shared" si="553"/>
        <v>0</v>
      </c>
      <c r="CD198" s="187">
        <f t="shared" si="553"/>
        <v>0</v>
      </c>
      <c r="CE198" s="187">
        <f t="shared" si="553"/>
        <v>0</v>
      </c>
      <c r="CF198" s="187">
        <f t="shared" si="553"/>
        <v>0</v>
      </c>
      <c r="CG198" s="187">
        <f t="shared" ref="CG198:CI207" si="554">(0)/172.5</f>
        <v>0</v>
      </c>
      <c r="CH198" s="187">
        <f t="shared" si="554"/>
        <v>0</v>
      </c>
      <c r="CI198" s="17">
        <f t="shared" si="554"/>
        <v>0</v>
      </c>
      <c r="CJ198" s="19">
        <f t="shared" ref="CJ198:CN206" si="555">(0/157.5)</f>
        <v>0</v>
      </c>
      <c r="CK198" s="187">
        <f t="shared" si="555"/>
        <v>0</v>
      </c>
      <c r="CL198" s="187">
        <f t="shared" si="555"/>
        <v>0</v>
      </c>
      <c r="CM198" s="187">
        <f t="shared" si="555"/>
        <v>0</v>
      </c>
      <c r="CN198" s="187">
        <f t="shared" si="555"/>
        <v>0</v>
      </c>
      <c r="CO198" s="187">
        <f t="shared" ref="CO198:CQ207" si="556">(0)/172.5</f>
        <v>0</v>
      </c>
      <c r="CP198" s="187">
        <f t="shared" si="556"/>
        <v>0</v>
      </c>
      <c r="CQ198" s="17">
        <f t="shared" si="556"/>
        <v>0</v>
      </c>
      <c r="CR198" s="19">
        <f t="shared" ref="CR198:CV206" si="557">(0)/142.5</f>
        <v>0</v>
      </c>
      <c r="CS198" s="187">
        <f t="shared" si="557"/>
        <v>0</v>
      </c>
      <c r="CT198" s="187">
        <f t="shared" si="557"/>
        <v>0</v>
      </c>
      <c r="CU198" s="187">
        <f t="shared" si="557"/>
        <v>0</v>
      </c>
      <c r="CV198" s="187">
        <f t="shared" si="557"/>
        <v>0</v>
      </c>
      <c r="CW198" s="187">
        <f t="shared" ref="CW198:CY207" si="558">(0)/172.5</f>
        <v>0</v>
      </c>
      <c r="CX198" s="187">
        <f t="shared" si="558"/>
        <v>0</v>
      </c>
      <c r="CY198" s="17">
        <f t="shared" si="558"/>
        <v>0</v>
      </c>
      <c r="CZ198" s="278"/>
    </row>
    <row r="199" spans="1:104" ht="25.5" customHeight="1" x14ac:dyDescent="0.4">
      <c r="A199" s="486"/>
      <c r="B199" s="486"/>
      <c r="C199" s="486"/>
      <c r="D199" s="464"/>
      <c r="E199" s="464"/>
      <c r="F199" s="464"/>
      <c r="G199" s="466"/>
      <c r="H199" s="468"/>
      <c r="I199" s="470"/>
      <c r="J199" s="14"/>
      <c r="K199" s="15"/>
      <c r="L199" s="15"/>
      <c r="M199" s="540"/>
      <c r="N199" s="207" t="s">
        <v>25</v>
      </c>
      <c r="O199" s="207">
        <f>(0+7.5)/120</f>
        <v>6.25E-2</v>
      </c>
      <c r="P199" s="207">
        <f t="shared" si="542"/>
        <v>0</v>
      </c>
      <c r="Q199" s="207">
        <f>(0+13)/120</f>
        <v>0.10833333333333334</v>
      </c>
      <c r="R199" s="207">
        <f>(0+3)/120</f>
        <v>2.5000000000000001E-2</v>
      </c>
      <c r="S199" s="207">
        <f>(0+6)/120</f>
        <v>0.05</v>
      </c>
      <c r="T199" s="207">
        <f t="shared" si="542"/>
        <v>0</v>
      </c>
      <c r="U199" s="49">
        <f>(0+5)/120</f>
        <v>4.1666666666666664E-2</v>
      </c>
      <c r="V199" s="57">
        <f>(0+7.5+7.5)/142.5</f>
        <v>0.10526315789473684</v>
      </c>
      <c r="W199" s="207">
        <f>(0)/142.5</f>
        <v>0</v>
      </c>
      <c r="X199" s="207">
        <f>(3.5+15+7.5)/142.5</f>
        <v>0.18245614035087721</v>
      </c>
      <c r="Y199" s="207">
        <f>(7.5)/142.5</f>
        <v>5.2631578947368418E-2</v>
      </c>
      <c r="Z199" s="207">
        <f>(7.5)/142.5</f>
        <v>5.2631578947368418E-2</v>
      </c>
      <c r="AA199" s="207">
        <f>(0)/142.5</f>
        <v>0</v>
      </c>
      <c r="AB199" s="57">
        <f t="shared" si="543"/>
        <v>0</v>
      </c>
      <c r="AC199" s="207">
        <f t="shared" si="543"/>
        <v>0</v>
      </c>
      <c r="AD199" s="207">
        <f>(14)/165</f>
        <v>8.4848484848484854E-2</v>
      </c>
      <c r="AE199" s="207">
        <f t="shared" si="543"/>
        <v>0</v>
      </c>
      <c r="AF199" s="207">
        <f>(7.5)/165</f>
        <v>4.5454545454545456E-2</v>
      </c>
      <c r="AG199" s="207">
        <f>(0+7.5)/165</f>
        <v>4.5454545454545456E-2</v>
      </c>
      <c r="AH199" s="57">
        <f>(7.5)/165</f>
        <v>4.5454545454545456E-2</v>
      </c>
      <c r="AI199" s="207">
        <f>(7.5)/165</f>
        <v>4.5454545454545456E-2</v>
      </c>
      <c r="AJ199" s="207">
        <f>(3.5)/165</f>
        <v>2.1212121212121213E-2</v>
      </c>
      <c r="AK199" s="207">
        <f>(7.5)/165</f>
        <v>4.5454545454545456E-2</v>
      </c>
      <c r="AL199" s="207">
        <f>(0+7.5)/165</f>
        <v>4.5454545454545456E-2</v>
      </c>
      <c r="AM199" s="207">
        <f>(7.5)/165</f>
        <v>4.5454545454545456E-2</v>
      </c>
      <c r="AN199" s="57">
        <f t="shared" si="544"/>
        <v>0</v>
      </c>
      <c r="AO199" s="207">
        <f t="shared" si="544"/>
        <v>0</v>
      </c>
      <c r="AP199" s="207">
        <f t="shared" si="544"/>
        <v>0</v>
      </c>
      <c r="AQ199" s="207">
        <f t="shared" si="544"/>
        <v>0</v>
      </c>
      <c r="AR199" s="207">
        <f t="shared" si="544"/>
        <v>0</v>
      </c>
      <c r="AS199" s="207">
        <f t="shared" si="545"/>
        <v>0</v>
      </c>
      <c r="AT199" s="207">
        <f t="shared" si="545"/>
        <v>0</v>
      </c>
      <c r="AU199" s="49">
        <f t="shared" si="545"/>
        <v>0</v>
      </c>
      <c r="AV199" s="63">
        <f t="shared" si="546"/>
        <v>0</v>
      </c>
      <c r="AW199" s="208">
        <f t="shared" si="546"/>
        <v>0</v>
      </c>
      <c r="AX199" s="208">
        <f t="shared" si="546"/>
        <v>0</v>
      </c>
      <c r="AY199" s="208">
        <f t="shared" si="546"/>
        <v>0</v>
      </c>
      <c r="AZ199" s="208">
        <f t="shared" si="546"/>
        <v>0</v>
      </c>
      <c r="BA199" s="208">
        <f t="shared" si="546"/>
        <v>0</v>
      </c>
      <c r="BB199" s="208">
        <f t="shared" si="546"/>
        <v>0</v>
      </c>
      <c r="BC199" s="64">
        <f t="shared" si="546"/>
        <v>0</v>
      </c>
      <c r="BD199" s="63">
        <f t="shared" si="547"/>
        <v>0</v>
      </c>
      <c r="BE199" s="208">
        <f t="shared" si="547"/>
        <v>0</v>
      </c>
      <c r="BF199" s="208">
        <f t="shared" si="547"/>
        <v>0</v>
      </c>
      <c r="BG199" s="208">
        <f t="shared" si="547"/>
        <v>0</v>
      </c>
      <c r="BH199" s="208">
        <f t="shared" si="547"/>
        <v>0</v>
      </c>
      <c r="BI199" s="208">
        <f t="shared" si="548"/>
        <v>0</v>
      </c>
      <c r="BJ199" s="208">
        <f t="shared" si="548"/>
        <v>0</v>
      </c>
      <c r="BK199" s="64">
        <f t="shared" si="548"/>
        <v>0</v>
      </c>
      <c r="BL199" s="63">
        <f t="shared" si="549"/>
        <v>0</v>
      </c>
      <c r="BM199" s="208">
        <f t="shared" si="549"/>
        <v>0</v>
      </c>
      <c r="BN199" s="208">
        <f t="shared" si="549"/>
        <v>0</v>
      </c>
      <c r="BO199" s="208">
        <f t="shared" si="549"/>
        <v>0</v>
      </c>
      <c r="BP199" s="208">
        <f t="shared" si="549"/>
        <v>0</v>
      </c>
      <c r="BQ199" s="208">
        <f t="shared" si="550"/>
        <v>0</v>
      </c>
      <c r="BR199" s="208">
        <f t="shared" si="550"/>
        <v>0</v>
      </c>
      <c r="BS199" s="64">
        <f t="shared" si="550"/>
        <v>0</v>
      </c>
      <c r="BT199" s="63">
        <f t="shared" si="551"/>
        <v>0</v>
      </c>
      <c r="BU199" s="208">
        <f t="shared" si="551"/>
        <v>0</v>
      </c>
      <c r="BV199" s="208">
        <f t="shared" si="551"/>
        <v>0</v>
      </c>
      <c r="BW199" s="208">
        <f t="shared" si="551"/>
        <v>0</v>
      </c>
      <c r="BX199" s="208">
        <f t="shared" si="551"/>
        <v>0</v>
      </c>
      <c r="BY199" s="208">
        <f t="shared" si="552"/>
        <v>0</v>
      </c>
      <c r="BZ199" s="208">
        <f t="shared" si="552"/>
        <v>0</v>
      </c>
      <c r="CA199" s="64">
        <f t="shared" si="552"/>
        <v>0</v>
      </c>
      <c r="CB199" s="63">
        <f t="shared" si="553"/>
        <v>0</v>
      </c>
      <c r="CC199" s="208">
        <f t="shared" si="553"/>
        <v>0</v>
      </c>
      <c r="CD199" s="208">
        <f t="shared" si="553"/>
        <v>0</v>
      </c>
      <c r="CE199" s="208">
        <f t="shared" si="553"/>
        <v>0</v>
      </c>
      <c r="CF199" s="208">
        <f t="shared" si="553"/>
        <v>0</v>
      </c>
      <c r="CG199" s="208">
        <f t="shared" si="554"/>
        <v>0</v>
      </c>
      <c r="CH199" s="208">
        <f t="shared" si="554"/>
        <v>0</v>
      </c>
      <c r="CI199" s="64">
        <f t="shared" si="554"/>
        <v>0</v>
      </c>
      <c r="CJ199" s="63">
        <f t="shared" ref="CJ199:CN207" si="559">(0)/157.5</f>
        <v>0</v>
      </c>
      <c r="CK199" s="208">
        <f t="shared" si="559"/>
        <v>0</v>
      </c>
      <c r="CL199" s="208">
        <f t="shared" si="559"/>
        <v>0</v>
      </c>
      <c r="CM199" s="208">
        <f t="shared" si="559"/>
        <v>0</v>
      </c>
      <c r="CN199" s="208">
        <f t="shared" si="559"/>
        <v>0</v>
      </c>
      <c r="CO199" s="208">
        <f t="shared" si="556"/>
        <v>0</v>
      </c>
      <c r="CP199" s="208">
        <f t="shared" si="556"/>
        <v>0</v>
      </c>
      <c r="CQ199" s="64">
        <f t="shared" si="556"/>
        <v>0</v>
      </c>
      <c r="CR199" s="63">
        <f t="shared" ref="CR199:CV207" si="560">0/142.5</f>
        <v>0</v>
      </c>
      <c r="CS199" s="208">
        <f t="shared" si="560"/>
        <v>0</v>
      </c>
      <c r="CT199" s="208">
        <f t="shared" si="560"/>
        <v>0</v>
      </c>
      <c r="CU199" s="208">
        <f t="shared" si="560"/>
        <v>0</v>
      </c>
      <c r="CV199" s="208">
        <f t="shared" si="560"/>
        <v>0</v>
      </c>
      <c r="CW199" s="208">
        <f t="shared" si="558"/>
        <v>0</v>
      </c>
      <c r="CX199" s="208">
        <f t="shared" si="558"/>
        <v>0</v>
      </c>
      <c r="CY199" s="64">
        <f t="shared" si="558"/>
        <v>0</v>
      </c>
      <c r="CZ199" s="278"/>
    </row>
    <row r="200" spans="1:104" ht="25.5" customHeight="1" x14ac:dyDescent="0.4">
      <c r="A200" s="485">
        <v>2</v>
      </c>
      <c r="B200" s="485" t="s">
        <v>46</v>
      </c>
      <c r="C200" s="485" t="s">
        <v>14</v>
      </c>
      <c r="D200" s="463" t="s">
        <v>19</v>
      </c>
      <c r="E200" s="463" t="s">
        <v>199</v>
      </c>
      <c r="F200" s="463" t="s">
        <v>19</v>
      </c>
      <c r="G200" s="465" t="s">
        <v>181</v>
      </c>
      <c r="H200" s="467">
        <f t="shared" ref="H200" si="561">SUM(AH200:AM200)</f>
        <v>0.34545454545454546</v>
      </c>
      <c r="I200" s="469">
        <f t="shared" ref="I200" si="562">SUM(AH201:AM201)</f>
        <v>6.363636363636363E-2</v>
      </c>
      <c r="J200" s="12"/>
      <c r="K200" s="13"/>
      <c r="L200" s="13"/>
      <c r="M200" s="561"/>
      <c r="N200" s="10" t="s">
        <v>24</v>
      </c>
      <c r="O200" s="187">
        <f t="shared" ref="O200:O207" si="563">(0)/120</f>
        <v>0</v>
      </c>
      <c r="P200" s="187">
        <f t="shared" si="542"/>
        <v>0</v>
      </c>
      <c r="Q200" s="187">
        <f t="shared" si="542"/>
        <v>0</v>
      </c>
      <c r="R200" s="187">
        <f t="shared" si="542"/>
        <v>0</v>
      </c>
      <c r="S200" s="187">
        <f t="shared" si="542"/>
        <v>0</v>
      </c>
      <c r="T200" s="187">
        <f t="shared" si="542"/>
        <v>0</v>
      </c>
      <c r="U200" s="82">
        <f t="shared" si="542"/>
        <v>0</v>
      </c>
      <c r="V200" s="19">
        <f>(1*15)/142.5</f>
        <v>0.10526315789473684</v>
      </c>
      <c r="W200" s="187">
        <f>(0)/142.5</f>
        <v>0</v>
      </c>
      <c r="X200" s="187">
        <f t="shared" ref="X200:AA200" si="564">(1*20)/142.5</f>
        <v>0.14035087719298245</v>
      </c>
      <c r="Y200" s="187">
        <f t="shared" si="564"/>
        <v>0.14035087719298245</v>
      </c>
      <c r="Z200" s="187">
        <f t="shared" si="564"/>
        <v>0.14035087719298245</v>
      </c>
      <c r="AA200" s="187">
        <f t="shared" si="564"/>
        <v>0.14035087719298245</v>
      </c>
      <c r="AB200" s="73">
        <f>(1*22)/165</f>
        <v>0.13333333333333333</v>
      </c>
      <c r="AC200" s="187">
        <f>(1*8)/165</f>
        <v>4.8484848484848485E-2</v>
      </c>
      <c r="AD200" s="187">
        <f>(1*12.5)/165</f>
        <v>7.575757575757576E-2</v>
      </c>
      <c r="AE200" s="187">
        <f t="shared" ref="AE200:AG200" si="565">(1*12.5)/165</f>
        <v>7.575757575757576E-2</v>
      </c>
      <c r="AF200" s="187">
        <f t="shared" si="565"/>
        <v>7.575757575757576E-2</v>
      </c>
      <c r="AG200" s="187">
        <f t="shared" si="565"/>
        <v>7.575757575757576E-2</v>
      </c>
      <c r="AH200" s="73">
        <f>(7)/165</f>
        <v>4.2424242424242427E-2</v>
      </c>
      <c r="AI200" s="187">
        <f>(10)/165</f>
        <v>6.0606060606060608E-2</v>
      </c>
      <c r="AJ200" s="187">
        <f t="shared" ref="AJ200:AM200" si="566">(10)/165</f>
        <v>6.0606060606060608E-2</v>
      </c>
      <c r="AK200" s="187">
        <f t="shared" si="566"/>
        <v>6.0606060606060608E-2</v>
      </c>
      <c r="AL200" s="187">
        <f t="shared" si="566"/>
        <v>6.0606060606060608E-2</v>
      </c>
      <c r="AM200" s="187">
        <f t="shared" si="566"/>
        <v>6.0606060606060608E-2</v>
      </c>
      <c r="AN200" s="73">
        <f t="shared" si="544"/>
        <v>0</v>
      </c>
      <c r="AO200" s="187">
        <f t="shared" si="544"/>
        <v>0</v>
      </c>
      <c r="AP200" s="187">
        <f t="shared" si="544"/>
        <v>0</v>
      </c>
      <c r="AQ200" s="187">
        <f t="shared" si="544"/>
        <v>0</v>
      </c>
      <c r="AR200" s="187">
        <f t="shared" si="544"/>
        <v>0</v>
      </c>
      <c r="AS200" s="187">
        <f t="shared" si="545"/>
        <v>0</v>
      </c>
      <c r="AT200" s="187">
        <f t="shared" si="545"/>
        <v>0</v>
      </c>
      <c r="AU200" s="221">
        <f t="shared" si="545"/>
        <v>0</v>
      </c>
      <c r="AV200" s="222">
        <f t="shared" si="546"/>
        <v>0</v>
      </c>
      <c r="AW200" s="187">
        <f t="shared" si="546"/>
        <v>0</v>
      </c>
      <c r="AX200" s="187">
        <f t="shared" si="546"/>
        <v>0</v>
      </c>
      <c r="AY200" s="187">
        <f t="shared" si="546"/>
        <v>0</v>
      </c>
      <c r="AZ200" s="187">
        <f t="shared" si="546"/>
        <v>0</v>
      </c>
      <c r="BA200" s="187">
        <f t="shared" si="546"/>
        <v>0</v>
      </c>
      <c r="BB200" s="187">
        <f t="shared" si="546"/>
        <v>0</v>
      </c>
      <c r="BC200" s="17">
        <f t="shared" si="546"/>
        <v>0</v>
      </c>
      <c r="BD200" s="19">
        <f t="shared" si="547"/>
        <v>0</v>
      </c>
      <c r="BE200" s="187">
        <f t="shared" si="547"/>
        <v>0</v>
      </c>
      <c r="BF200" s="187">
        <f t="shared" si="547"/>
        <v>0</v>
      </c>
      <c r="BG200" s="187">
        <f t="shared" si="547"/>
        <v>0</v>
      </c>
      <c r="BH200" s="187">
        <f t="shared" si="547"/>
        <v>0</v>
      </c>
      <c r="BI200" s="187">
        <f t="shared" si="548"/>
        <v>0</v>
      </c>
      <c r="BJ200" s="187">
        <f t="shared" si="548"/>
        <v>0</v>
      </c>
      <c r="BK200" s="17">
        <f t="shared" si="548"/>
        <v>0</v>
      </c>
      <c r="BL200" s="19">
        <f t="shared" si="549"/>
        <v>0</v>
      </c>
      <c r="BM200" s="187">
        <f t="shared" si="549"/>
        <v>0</v>
      </c>
      <c r="BN200" s="187">
        <f t="shared" si="549"/>
        <v>0</v>
      </c>
      <c r="BO200" s="187">
        <f t="shared" si="549"/>
        <v>0</v>
      </c>
      <c r="BP200" s="187">
        <f t="shared" si="549"/>
        <v>0</v>
      </c>
      <c r="BQ200" s="187">
        <f t="shared" si="550"/>
        <v>0</v>
      </c>
      <c r="BR200" s="187">
        <f t="shared" si="550"/>
        <v>0</v>
      </c>
      <c r="BS200" s="17">
        <f t="shared" si="550"/>
        <v>0</v>
      </c>
      <c r="BT200" s="19">
        <f t="shared" si="551"/>
        <v>0</v>
      </c>
      <c r="BU200" s="187">
        <f t="shared" si="551"/>
        <v>0</v>
      </c>
      <c r="BV200" s="187">
        <f t="shared" si="551"/>
        <v>0</v>
      </c>
      <c r="BW200" s="187">
        <f t="shared" si="551"/>
        <v>0</v>
      </c>
      <c r="BX200" s="187">
        <f t="shared" si="551"/>
        <v>0</v>
      </c>
      <c r="BY200" s="187">
        <f t="shared" si="552"/>
        <v>0</v>
      </c>
      <c r="BZ200" s="187">
        <f t="shared" si="552"/>
        <v>0</v>
      </c>
      <c r="CA200" s="17">
        <f t="shared" si="552"/>
        <v>0</v>
      </c>
      <c r="CB200" s="73">
        <f t="shared" si="553"/>
        <v>0</v>
      </c>
      <c r="CC200" s="187">
        <f t="shared" si="553"/>
        <v>0</v>
      </c>
      <c r="CD200" s="187">
        <f t="shared" si="553"/>
        <v>0</v>
      </c>
      <c r="CE200" s="187">
        <f t="shared" si="553"/>
        <v>0</v>
      </c>
      <c r="CF200" s="187">
        <f t="shared" si="553"/>
        <v>0</v>
      </c>
      <c r="CG200" s="187">
        <f t="shared" si="554"/>
        <v>0</v>
      </c>
      <c r="CH200" s="187">
        <f t="shared" si="554"/>
        <v>0</v>
      </c>
      <c r="CI200" s="17">
        <f t="shared" si="554"/>
        <v>0</v>
      </c>
      <c r="CJ200" s="19">
        <f t="shared" si="555"/>
        <v>0</v>
      </c>
      <c r="CK200" s="187">
        <f t="shared" si="555"/>
        <v>0</v>
      </c>
      <c r="CL200" s="187">
        <f t="shared" si="555"/>
        <v>0</v>
      </c>
      <c r="CM200" s="187">
        <f t="shared" si="555"/>
        <v>0</v>
      </c>
      <c r="CN200" s="187">
        <f t="shared" si="555"/>
        <v>0</v>
      </c>
      <c r="CO200" s="187">
        <f t="shared" si="556"/>
        <v>0</v>
      </c>
      <c r="CP200" s="187">
        <f t="shared" si="556"/>
        <v>0</v>
      </c>
      <c r="CQ200" s="17">
        <f t="shared" si="556"/>
        <v>0</v>
      </c>
      <c r="CR200" s="19">
        <f t="shared" si="557"/>
        <v>0</v>
      </c>
      <c r="CS200" s="187">
        <f t="shared" si="557"/>
        <v>0</v>
      </c>
      <c r="CT200" s="187">
        <f t="shared" si="557"/>
        <v>0</v>
      </c>
      <c r="CU200" s="187">
        <f t="shared" si="557"/>
        <v>0</v>
      </c>
      <c r="CV200" s="187">
        <f t="shared" si="557"/>
        <v>0</v>
      </c>
      <c r="CW200" s="187">
        <f t="shared" si="558"/>
        <v>0</v>
      </c>
      <c r="CX200" s="187">
        <f t="shared" si="558"/>
        <v>0</v>
      </c>
      <c r="CY200" s="17">
        <f t="shared" si="558"/>
        <v>0</v>
      </c>
      <c r="CZ200" s="278"/>
    </row>
    <row r="201" spans="1:104" ht="25.5" customHeight="1" x14ac:dyDescent="0.4">
      <c r="A201" s="486"/>
      <c r="B201" s="486"/>
      <c r="C201" s="486"/>
      <c r="D201" s="464"/>
      <c r="E201" s="464"/>
      <c r="F201" s="464"/>
      <c r="G201" s="466"/>
      <c r="H201" s="468"/>
      <c r="I201" s="470"/>
      <c r="J201" s="14"/>
      <c r="K201" s="15"/>
      <c r="L201" s="15"/>
      <c r="M201" s="540"/>
      <c r="N201" s="11" t="s">
        <v>25</v>
      </c>
      <c r="O201" s="207">
        <f t="shared" si="563"/>
        <v>0</v>
      </c>
      <c r="P201" s="207">
        <f t="shared" si="542"/>
        <v>0</v>
      </c>
      <c r="Q201" s="207">
        <f t="shared" si="542"/>
        <v>0</v>
      </c>
      <c r="R201" s="207">
        <f t="shared" si="542"/>
        <v>0</v>
      </c>
      <c r="S201" s="207">
        <f t="shared" si="542"/>
        <v>0</v>
      </c>
      <c r="T201" s="207">
        <f t="shared" si="542"/>
        <v>0</v>
      </c>
      <c r="U201" s="49">
        <f t="shared" si="542"/>
        <v>0</v>
      </c>
      <c r="V201" s="57">
        <f>(3+5+5+3)/142.5</f>
        <v>0.11228070175438597</v>
      </c>
      <c r="W201" s="207">
        <f>(0)/142.5</f>
        <v>0</v>
      </c>
      <c r="X201" s="207">
        <f>(3+3+5+4+1)/142.5</f>
        <v>0.11228070175438597</v>
      </c>
      <c r="Y201" s="207">
        <f>(3+5+5+5)/142.5</f>
        <v>0.12631578947368421</v>
      </c>
      <c r="Z201" s="207">
        <f>(2+5+5+5+1)/142.5</f>
        <v>0.12631578947368421</v>
      </c>
      <c r="AA201" s="207">
        <f>(3+5+5+5+1)/142.5</f>
        <v>0.13333333333333333</v>
      </c>
      <c r="AB201" s="57">
        <f>(3+5+3+3+2)/165</f>
        <v>9.696969696969697E-2</v>
      </c>
      <c r="AC201" s="207">
        <f>(0+1.5+1)/165</f>
        <v>1.5151515151515152E-2</v>
      </c>
      <c r="AD201" s="207">
        <f>(3+2.5+2.5+4+2)/165</f>
        <v>8.4848484848484854E-2</v>
      </c>
      <c r="AE201" s="207">
        <f>(3+2+5+2)/165</f>
        <v>7.2727272727272724E-2</v>
      </c>
      <c r="AF201" s="207">
        <f>(2+2+5+2)/165</f>
        <v>6.6666666666666666E-2</v>
      </c>
      <c r="AG201" s="207">
        <f>(3+2.5+4+4)/165</f>
        <v>8.1818181818181818E-2</v>
      </c>
      <c r="AH201" s="57">
        <f>(0.5)/165</f>
        <v>3.0303030303030303E-3</v>
      </c>
      <c r="AI201" s="207">
        <f>(0.5+1)/165</f>
        <v>9.0909090909090905E-3</v>
      </c>
      <c r="AJ201" s="207">
        <f>(1+2)/165</f>
        <v>1.8181818181818181E-2</v>
      </c>
      <c r="AK201" s="207">
        <f>(1+2)/165</f>
        <v>1.8181818181818181E-2</v>
      </c>
      <c r="AL201" s="207">
        <f t="shared" ref="AL201" si="567">(1)/165</f>
        <v>6.0606060606060606E-3</v>
      </c>
      <c r="AM201" s="207">
        <f>(0+1.5)/165</f>
        <v>9.0909090909090905E-3</v>
      </c>
      <c r="AN201" s="57">
        <f t="shared" si="544"/>
        <v>0</v>
      </c>
      <c r="AO201" s="207">
        <f t="shared" si="544"/>
        <v>0</v>
      </c>
      <c r="AP201" s="207">
        <f t="shared" si="544"/>
        <v>0</v>
      </c>
      <c r="AQ201" s="207">
        <f t="shared" si="544"/>
        <v>0</v>
      </c>
      <c r="AR201" s="207">
        <f t="shared" si="544"/>
        <v>0</v>
      </c>
      <c r="AS201" s="207">
        <f t="shared" si="545"/>
        <v>0</v>
      </c>
      <c r="AT201" s="207">
        <f t="shared" si="545"/>
        <v>0</v>
      </c>
      <c r="AU201" s="49">
        <f t="shared" si="545"/>
        <v>0</v>
      </c>
      <c r="AV201" s="63">
        <f t="shared" si="546"/>
        <v>0</v>
      </c>
      <c r="AW201" s="208">
        <f t="shared" si="546"/>
        <v>0</v>
      </c>
      <c r="AX201" s="208">
        <f t="shared" si="546"/>
        <v>0</v>
      </c>
      <c r="AY201" s="208">
        <f t="shared" si="546"/>
        <v>0</v>
      </c>
      <c r="AZ201" s="208">
        <f t="shared" si="546"/>
        <v>0</v>
      </c>
      <c r="BA201" s="208">
        <f t="shared" si="546"/>
        <v>0</v>
      </c>
      <c r="BB201" s="208">
        <f t="shared" si="546"/>
        <v>0</v>
      </c>
      <c r="BC201" s="64">
        <f t="shared" si="546"/>
        <v>0</v>
      </c>
      <c r="BD201" s="63">
        <f t="shared" si="547"/>
        <v>0</v>
      </c>
      <c r="BE201" s="208">
        <f t="shared" si="547"/>
        <v>0</v>
      </c>
      <c r="BF201" s="208">
        <f t="shared" si="547"/>
        <v>0</v>
      </c>
      <c r="BG201" s="208">
        <f t="shared" si="547"/>
        <v>0</v>
      </c>
      <c r="BH201" s="208">
        <f t="shared" si="547"/>
        <v>0</v>
      </c>
      <c r="BI201" s="208">
        <f t="shared" si="548"/>
        <v>0</v>
      </c>
      <c r="BJ201" s="208">
        <f t="shared" si="548"/>
        <v>0</v>
      </c>
      <c r="BK201" s="64">
        <f t="shared" si="548"/>
        <v>0</v>
      </c>
      <c r="BL201" s="63">
        <f t="shared" si="549"/>
        <v>0</v>
      </c>
      <c r="BM201" s="208">
        <f t="shared" si="549"/>
        <v>0</v>
      </c>
      <c r="BN201" s="208">
        <f t="shared" si="549"/>
        <v>0</v>
      </c>
      <c r="BO201" s="208">
        <f t="shared" si="549"/>
        <v>0</v>
      </c>
      <c r="BP201" s="208">
        <f t="shared" si="549"/>
        <v>0</v>
      </c>
      <c r="BQ201" s="208">
        <f t="shared" si="550"/>
        <v>0</v>
      </c>
      <c r="BR201" s="208">
        <f t="shared" si="550"/>
        <v>0</v>
      </c>
      <c r="BS201" s="64">
        <f t="shared" si="550"/>
        <v>0</v>
      </c>
      <c r="BT201" s="63">
        <f t="shared" si="551"/>
        <v>0</v>
      </c>
      <c r="BU201" s="208">
        <f t="shared" si="551"/>
        <v>0</v>
      </c>
      <c r="BV201" s="208">
        <f t="shared" si="551"/>
        <v>0</v>
      </c>
      <c r="BW201" s="208">
        <f t="shared" si="551"/>
        <v>0</v>
      </c>
      <c r="BX201" s="208">
        <f t="shared" si="551"/>
        <v>0</v>
      </c>
      <c r="BY201" s="208">
        <f t="shared" si="552"/>
        <v>0</v>
      </c>
      <c r="BZ201" s="208">
        <f t="shared" si="552"/>
        <v>0</v>
      </c>
      <c r="CA201" s="64">
        <f t="shared" si="552"/>
        <v>0</v>
      </c>
      <c r="CB201" s="63">
        <f t="shared" si="553"/>
        <v>0</v>
      </c>
      <c r="CC201" s="208">
        <f t="shared" si="553"/>
        <v>0</v>
      </c>
      <c r="CD201" s="208">
        <f t="shared" si="553"/>
        <v>0</v>
      </c>
      <c r="CE201" s="208">
        <f t="shared" si="553"/>
        <v>0</v>
      </c>
      <c r="CF201" s="208">
        <f t="shared" si="553"/>
        <v>0</v>
      </c>
      <c r="CG201" s="208">
        <f t="shared" si="554"/>
        <v>0</v>
      </c>
      <c r="CH201" s="208">
        <f t="shared" si="554"/>
        <v>0</v>
      </c>
      <c r="CI201" s="64">
        <f t="shared" si="554"/>
        <v>0</v>
      </c>
      <c r="CJ201" s="63">
        <f t="shared" si="559"/>
        <v>0</v>
      </c>
      <c r="CK201" s="208">
        <f t="shared" si="559"/>
        <v>0</v>
      </c>
      <c r="CL201" s="208">
        <f t="shared" si="559"/>
        <v>0</v>
      </c>
      <c r="CM201" s="208">
        <f t="shared" si="559"/>
        <v>0</v>
      </c>
      <c r="CN201" s="208">
        <f t="shared" si="559"/>
        <v>0</v>
      </c>
      <c r="CO201" s="208">
        <f t="shared" si="556"/>
        <v>0</v>
      </c>
      <c r="CP201" s="208">
        <f t="shared" si="556"/>
        <v>0</v>
      </c>
      <c r="CQ201" s="64">
        <f t="shared" si="556"/>
        <v>0</v>
      </c>
      <c r="CR201" s="63">
        <f t="shared" si="560"/>
        <v>0</v>
      </c>
      <c r="CS201" s="208">
        <f t="shared" si="560"/>
        <v>0</v>
      </c>
      <c r="CT201" s="208">
        <f t="shared" si="560"/>
        <v>0</v>
      </c>
      <c r="CU201" s="208">
        <f t="shared" si="560"/>
        <v>0</v>
      </c>
      <c r="CV201" s="208">
        <f t="shared" si="560"/>
        <v>0</v>
      </c>
      <c r="CW201" s="208">
        <f t="shared" si="558"/>
        <v>0</v>
      </c>
      <c r="CX201" s="208">
        <f t="shared" si="558"/>
        <v>0</v>
      </c>
      <c r="CY201" s="64">
        <f t="shared" si="558"/>
        <v>0</v>
      </c>
      <c r="CZ201" s="278"/>
    </row>
    <row r="202" spans="1:104" ht="25.5" customHeight="1" x14ac:dyDescent="0.4">
      <c r="A202" s="485">
        <v>3</v>
      </c>
      <c r="B202" s="485" t="s">
        <v>46</v>
      </c>
      <c r="C202" s="485" t="s">
        <v>14</v>
      </c>
      <c r="D202" s="463" t="s">
        <v>19</v>
      </c>
      <c r="E202" s="463" t="s">
        <v>200</v>
      </c>
      <c r="F202" s="463" t="s">
        <v>19</v>
      </c>
      <c r="G202" s="465" t="s">
        <v>201</v>
      </c>
      <c r="H202" s="467">
        <f t="shared" ref="H202" si="568">SUM(AH202:AM202)</f>
        <v>0</v>
      </c>
      <c r="I202" s="469">
        <f t="shared" ref="I202" si="569">SUM(AH203:AM203)</f>
        <v>0</v>
      </c>
      <c r="J202" s="12"/>
      <c r="K202" s="13"/>
      <c r="L202" s="13"/>
      <c r="M202" s="561"/>
      <c r="N202" s="10" t="s">
        <v>24</v>
      </c>
      <c r="O202" s="187">
        <f t="shared" si="563"/>
        <v>0</v>
      </c>
      <c r="P202" s="187">
        <f t="shared" si="542"/>
        <v>0</v>
      </c>
      <c r="Q202" s="187">
        <f t="shared" si="542"/>
        <v>0</v>
      </c>
      <c r="R202" s="187">
        <f t="shared" si="542"/>
        <v>0</v>
      </c>
      <c r="S202" s="187">
        <f t="shared" si="542"/>
        <v>0</v>
      </c>
      <c r="T202" s="187">
        <f t="shared" si="542"/>
        <v>0</v>
      </c>
      <c r="U202" s="82">
        <f t="shared" si="542"/>
        <v>0</v>
      </c>
      <c r="V202" s="19">
        <f t="shared" ref="V202:V207" si="570">(0)/142.5</f>
        <v>0</v>
      </c>
      <c r="W202" s="187">
        <f t="shared" ref="W202:W206" si="571">(0)/142.5</f>
        <v>0</v>
      </c>
      <c r="X202" s="187">
        <f t="shared" ref="X202:AA207" si="572">(0)/142.5</f>
        <v>0</v>
      </c>
      <c r="Y202" s="187">
        <f t="shared" si="572"/>
        <v>0</v>
      </c>
      <c r="Z202" s="187">
        <f t="shared" si="572"/>
        <v>0</v>
      </c>
      <c r="AA202" s="187">
        <f t="shared" si="572"/>
        <v>0</v>
      </c>
      <c r="AB202" s="73">
        <f t="shared" si="543"/>
        <v>0</v>
      </c>
      <c r="AC202" s="187">
        <f t="shared" si="543"/>
        <v>0</v>
      </c>
      <c r="AD202" s="187">
        <f t="shared" si="543"/>
        <v>0</v>
      </c>
      <c r="AE202" s="187">
        <f t="shared" si="543"/>
        <v>0</v>
      </c>
      <c r="AF202" s="187">
        <f t="shared" si="543"/>
        <v>0</v>
      </c>
      <c r="AG202" s="187">
        <f t="shared" si="543"/>
        <v>0</v>
      </c>
      <c r="AH202" s="73">
        <f t="shared" si="543"/>
        <v>0</v>
      </c>
      <c r="AI202" s="187">
        <f t="shared" si="543"/>
        <v>0</v>
      </c>
      <c r="AJ202" s="187">
        <f t="shared" si="543"/>
        <v>0</v>
      </c>
      <c r="AK202" s="187">
        <f t="shared" si="543"/>
        <v>0</v>
      </c>
      <c r="AL202" s="187">
        <f t="shared" si="543"/>
        <v>0</v>
      </c>
      <c r="AM202" s="187">
        <f t="shared" si="543"/>
        <v>0</v>
      </c>
      <c r="AN202" s="73">
        <f t="shared" si="544"/>
        <v>0</v>
      </c>
      <c r="AO202" s="187">
        <f t="shared" si="544"/>
        <v>0</v>
      </c>
      <c r="AP202" s="187">
        <f t="shared" si="544"/>
        <v>0</v>
      </c>
      <c r="AQ202" s="187">
        <f t="shared" si="544"/>
        <v>0</v>
      </c>
      <c r="AR202" s="187">
        <f t="shared" si="544"/>
        <v>0</v>
      </c>
      <c r="AS202" s="187">
        <f t="shared" si="545"/>
        <v>0</v>
      </c>
      <c r="AT202" s="187">
        <f t="shared" si="545"/>
        <v>0</v>
      </c>
      <c r="AU202" s="221">
        <f t="shared" si="545"/>
        <v>0</v>
      </c>
      <c r="AV202" s="222">
        <f t="shared" si="546"/>
        <v>0</v>
      </c>
      <c r="AW202" s="187">
        <f t="shared" si="546"/>
        <v>0</v>
      </c>
      <c r="AX202" s="187">
        <f t="shared" si="546"/>
        <v>0</v>
      </c>
      <c r="AY202" s="187">
        <f t="shared" si="546"/>
        <v>0</v>
      </c>
      <c r="AZ202" s="187">
        <f t="shared" si="546"/>
        <v>0</v>
      </c>
      <c r="BA202" s="187">
        <f t="shared" si="546"/>
        <v>0</v>
      </c>
      <c r="BB202" s="187">
        <f t="shared" si="546"/>
        <v>0</v>
      </c>
      <c r="BC202" s="17">
        <f t="shared" si="546"/>
        <v>0</v>
      </c>
      <c r="BD202" s="19">
        <f t="shared" si="547"/>
        <v>0</v>
      </c>
      <c r="BE202" s="187">
        <f t="shared" si="547"/>
        <v>0</v>
      </c>
      <c r="BF202" s="187">
        <f t="shared" si="547"/>
        <v>0</v>
      </c>
      <c r="BG202" s="187">
        <f t="shared" si="547"/>
        <v>0</v>
      </c>
      <c r="BH202" s="187">
        <f t="shared" si="547"/>
        <v>0</v>
      </c>
      <c r="BI202" s="187">
        <f t="shared" si="548"/>
        <v>0</v>
      </c>
      <c r="BJ202" s="187">
        <f t="shared" si="548"/>
        <v>0</v>
      </c>
      <c r="BK202" s="17">
        <f t="shared" si="548"/>
        <v>0</v>
      </c>
      <c r="BL202" s="19">
        <f t="shared" si="549"/>
        <v>0</v>
      </c>
      <c r="BM202" s="187">
        <f t="shared" si="549"/>
        <v>0</v>
      </c>
      <c r="BN202" s="187">
        <f t="shared" si="549"/>
        <v>0</v>
      </c>
      <c r="BO202" s="187">
        <f t="shared" si="549"/>
        <v>0</v>
      </c>
      <c r="BP202" s="187">
        <f t="shared" si="549"/>
        <v>0</v>
      </c>
      <c r="BQ202" s="187">
        <f t="shared" si="550"/>
        <v>0</v>
      </c>
      <c r="BR202" s="187">
        <f t="shared" si="550"/>
        <v>0</v>
      </c>
      <c r="BS202" s="17">
        <f t="shared" si="550"/>
        <v>0</v>
      </c>
      <c r="BT202" s="19">
        <f t="shared" si="551"/>
        <v>0</v>
      </c>
      <c r="BU202" s="187">
        <f t="shared" si="551"/>
        <v>0</v>
      </c>
      <c r="BV202" s="187">
        <f t="shared" si="551"/>
        <v>0</v>
      </c>
      <c r="BW202" s="187">
        <f t="shared" si="551"/>
        <v>0</v>
      </c>
      <c r="BX202" s="187">
        <f t="shared" si="551"/>
        <v>0</v>
      </c>
      <c r="BY202" s="187">
        <f t="shared" si="552"/>
        <v>0</v>
      </c>
      <c r="BZ202" s="187">
        <f t="shared" si="552"/>
        <v>0</v>
      </c>
      <c r="CA202" s="17">
        <f t="shared" si="552"/>
        <v>0</v>
      </c>
      <c r="CB202" s="73">
        <f t="shared" si="553"/>
        <v>0</v>
      </c>
      <c r="CC202" s="187">
        <f t="shared" si="553"/>
        <v>0</v>
      </c>
      <c r="CD202" s="187">
        <f t="shared" si="553"/>
        <v>0</v>
      </c>
      <c r="CE202" s="187">
        <f t="shared" si="553"/>
        <v>0</v>
      </c>
      <c r="CF202" s="187">
        <f t="shared" si="553"/>
        <v>0</v>
      </c>
      <c r="CG202" s="187">
        <f t="shared" si="554"/>
        <v>0</v>
      </c>
      <c r="CH202" s="187">
        <f t="shared" si="554"/>
        <v>0</v>
      </c>
      <c r="CI202" s="17">
        <f t="shared" si="554"/>
        <v>0</v>
      </c>
      <c r="CJ202" s="19">
        <f t="shared" si="555"/>
        <v>0</v>
      </c>
      <c r="CK202" s="187">
        <f t="shared" si="555"/>
        <v>0</v>
      </c>
      <c r="CL202" s="187">
        <f t="shared" si="555"/>
        <v>0</v>
      </c>
      <c r="CM202" s="187">
        <f t="shared" si="555"/>
        <v>0</v>
      </c>
      <c r="CN202" s="187">
        <f t="shared" si="555"/>
        <v>0</v>
      </c>
      <c r="CO202" s="187">
        <f t="shared" si="556"/>
        <v>0</v>
      </c>
      <c r="CP202" s="187">
        <f t="shared" si="556"/>
        <v>0</v>
      </c>
      <c r="CQ202" s="17">
        <f t="shared" si="556"/>
        <v>0</v>
      </c>
      <c r="CR202" s="19">
        <f t="shared" si="557"/>
        <v>0</v>
      </c>
      <c r="CS202" s="187">
        <f t="shared" si="557"/>
        <v>0</v>
      </c>
      <c r="CT202" s="187">
        <f t="shared" si="557"/>
        <v>0</v>
      </c>
      <c r="CU202" s="187">
        <f t="shared" si="557"/>
        <v>0</v>
      </c>
      <c r="CV202" s="187">
        <f t="shared" si="557"/>
        <v>0</v>
      </c>
      <c r="CW202" s="187">
        <f t="shared" si="558"/>
        <v>0</v>
      </c>
      <c r="CX202" s="187">
        <f t="shared" si="558"/>
        <v>0</v>
      </c>
      <c r="CY202" s="17">
        <f t="shared" si="558"/>
        <v>0</v>
      </c>
      <c r="CZ202" s="278"/>
    </row>
    <row r="203" spans="1:104" ht="25.5" customHeight="1" x14ac:dyDescent="0.4">
      <c r="A203" s="486"/>
      <c r="B203" s="486"/>
      <c r="C203" s="486"/>
      <c r="D203" s="464"/>
      <c r="E203" s="464"/>
      <c r="F203" s="464"/>
      <c r="G203" s="466"/>
      <c r="H203" s="468"/>
      <c r="I203" s="470"/>
      <c r="J203" s="14"/>
      <c r="K203" s="15"/>
      <c r="L203" s="15"/>
      <c r="M203" s="540"/>
      <c r="N203" s="11" t="s">
        <v>25</v>
      </c>
      <c r="O203" s="207">
        <f t="shared" si="563"/>
        <v>0</v>
      </c>
      <c r="P203" s="207">
        <f t="shared" si="542"/>
        <v>0</v>
      </c>
      <c r="Q203" s="207">
        <f t="shared" si="542"/>
        <v>0</v>
      </c>
      <c r="R203" s="207">
        <f t="shared" si="542"/>
        <v>0</v>
      </c>
      <c r="S203" s="207">
        <f t="shared" si="542"/>
        <v>0</v>
      </c>
      <c r="T203" s="207">
        <f t="shared" si="542"/>
        <v>0</v>
      </c>
      <c r="U203" s="49">
        <f t="shared" si="542"/>
        <v>0</v>
      </c>
      <c r="V203" s="57">
        <f t="shared" si="570"/>
        <v>0</v>
      </c>
      <c r="W203" s="207">
        <f t="shared" si="571"/>
        <v>0</v>
      </c>
      <c r="X203" s="207">
        <f t="shared" si="572"/>
        <v>0</v>
      </c>
      <c r="Y203" s="207">
        <f t="shared" si="572"/>
        <v>0</v>
      </c>
      <c r="Z203" s="207">
        <f t="shared" si="572"/>
        <v>0</v>
      </c>
      <c r="AA203" s="207">
        <f t="shared" si="572"/>
        <v>0</v>
      </c>
      <c r="AB203" s="57">
        <f t="shared" si="543"/>
        <v>0</v>
      </c>
      <c r="AC203" s="207">
        <f t="shared" si="543"/>
        <v>0</v>
      </c>
      <c r="AD203" s="207">
        <f t="shared" si="543"/>
        <v>0</v>
      </c>
      <c r="AE203" s="207">
        <f t="shared" si="543"/>
        <v>0</v>
      </c>
      <c r="AF203" s="207">
        <f t="shared" si="543"/>
        <v>0</v>
      </c>
      <c r="AG203" s="207">
        <f t="shared" si="543"/>
        <v>0</v>
      </c>
      <c r="AH203" s="57">
        <f t="shared" si="543"/>
        <v>0</v>
      </c>
      <c r="AI203" s="207">
        <f t="shared" si="543"/>
        <v>0</v>
      </c>
      <c r="AJ203" s="207">
        <f t="shared" si="543"/>
        <v>0</v>
      </c>
      <c r="AK203" s="207">
        <f t="shared" si="543"/>
        <v>0</v>
      </c>
      <c r="AL203" s="207">
        <f t="shared" si="543"/>
        <v>0</v>
      </c>
      <c r="AM203" s="207">
        <f t="shared" si="543"/>
        <v>0</v>
      </c>
      <c r="AN203" s="57">
        <f t="shared" si="544"/>
        <v>0</v>
      </c>
      <c r="AO203" s="207">
        <f t="shared" si="544"/>
        <v>0</v>
      </c>
      <c r="AP203" s="207">
        <f t="shared" si="544"/>
        <v>0</v>
      </c>
      <c r="AQ203" s="207">
        <f t="shared" si="544"/>
        <v>0</v>
      </c>
      <c r="AR203" s="207">
        <f t="shared" si="544"/>
        <v>0</v>
      </c>
      <c r="AS203" s="207">
        <f t="shared" si="545"/>
        <v>0</v>
      </c>
      <c r="AT203" s="207">
        <f t="shared" si="545"/>
        <v>0</v>
      </c>
      <c r="AU203" s="49">
        <f t="shared" si="545"/>
        <v>0</v>
      </c>
      <c r="AV203" s="63">
        <f t="shared" si="546"/>
        <v>0</v>
      </c>
      <c r="AW203" s="208">
        <f t="shared" si="546"/>
        <v>0</v>
      </c>
      <c r="AX203" s="208">
        <f t="shared" si="546"/>
        <v>0</v>
      </c>
      <c r="AY203" s="208">
        <f t="shared" si="546"/>
        <v>0</v>
      </c>
      <c r="AZ203" s="208">
        <f t="shared" si="546"/>
        <v>0</v>
      </c>
      <c r="BA203" s="208">
        <f t="shared" si="546"/>
        <v>0</v>
      </c>
      <c r="BB203" s="208">
        <f t="shared" si="546"/>
        <v>0</v>
      </c>
      <c r="BC203" s="64">
        <f t="shared" si="546"/>
        <v>0</v>
      </c>
      <c r="BD203" s="63">
        <f t="shared" si="547"/>
        <v>0</v>
      </c>
      <c r="BE203" s="208">
        <f t="shared" si="547"/>
        <v>0</v>
      </c>
      <c r="BF203" s="208">
        <f t="shared" si="547"/>
        <v>0</v>
      </c>
      <c r="BG203" s="208">
        <f t="shared" si="547"/>
        <v>0</v>
      </c>
      <c r="BH203" s="208">
        <f t="shared" si="547"/>
        <v>0</v>
      </c>
      <c r="BI203" s="208">
        <f t="shared" si="548"/>
        <v>0</v>
      </c>
      <c r="BJ203" s="208">
        <f t="shared" si="548"/>
        <v>0</v>
      </c>
      <c r="BK203" s="64">
        <f t="shared" si="548"/>
        <v>0</v>
      </c>
      <c r="BL203" s="63">
        <f t="shared" si="549"/>
        <v>0</v>
      </c>
      <c r="BM203" s="208">
        <f t="shared" si="549"/>
        <v>0</v>
      </c>
      <c r="BN203" s="208">
        <f t="shared" si="549"/>
        <v>0</v>
      </c>
      <c r="BO203" s="208">
        <f t="shared" si="549"/>
        <v>0</v>
      </c>
      <c r="BP203" s="208">
        <f t="shared" si="549"/>
        <v>0</v>
      </c>
      <c r="BQ203" s="208">
        <f t="shared" si="550"/>
        <v>0</v>
      </c>
      <c r="BR203" s="208">
        <f t="shared" si="550"/>
        <v>0</v>
      </c>
      <c r="BS203" s="64">
        <f t="shared" si="550"/>
        <v>0</v>
      </c>
      <c r="BT203" s="63">
        <f t="shared" si="551"/>
        <v>0</v>
      </c>
      <c r="BU203" s="208">
        <f t="shared" si="551"/>
        <v>0</v>
      </c>
      <c r="BV203" s="208">
        <f t="shared" si="551"/>
        <v>0</v>
      </c>
      <c r="BW203" s="208">
        <f t="shared" si="551"/>
        <v>0</v>
      </c>
      <c r="BX203" s="208">
        <f t="shared" si="551"/>
        <v>0</v>
      </c>
      <c r="BY203" s="208">
        <f t="shared" si="552"/>
        <v>0</v>
      </c>
      <c r="BZ203" s="208">
        <f t="shared" si="552"/>
        <v>0</v>
      </c>
      <c r="CA203" s="64">
        <f t="shared" si="552"/>
        <v>0</v>
      </c>
      <c r="CB203" s="63">
        <f t="shared" si="553"/>
        <v>0</v>
      </c>
      <c r="CC203" s="208">
        <f t="shared" si="553"/>
        <v>0</v>
      </c>
      <c r="CD203" s="208">
        <f t="shared" si="553"/>
        <v>0</v>
      </c>
      <c r="CE203" s="208">
        <f t="shared" si="553"/>
        <v>0</v>
      </c>
      <c r="CF203" s="208">
        <f t="shared" si="553"/>
        <v>0</v>
      </c>
      <c r="CG203" s="208">
        <f t="shared" si="554"/>
        <v>0</v>
      </c>
      <c r="CH203" s="208">
        <f t="shared" si="554"/>
        <v>0</v>
      </c>
      <c r="CI203" s="64">
        <f t="shared" si="554"/>
        <v>0</v>
      </c>
      <c r="CJ203" s="63">
        <f t="shared" si="559"/>
        <v>0</v>
      </c>
      <c r="CK203" s="208">
        <f t="shared" si="559"/>
        <v>0</v>
      </c>
      <c r="CL203" s="208">
        <f t="shared" si="559"/>
        <v>0</v>
      </c>
      <c r="CM203" s="208">
        <f t="shared" si="559"/>
        <v>0</v>
      </c>
      <c r="CN203" s="208">
        <f t="shared" si="559"/>
        <v>0</v>
      </c>
      <c r="CO203" s="208">
        <f t="shared" si="556"/>
        <v>0</v>
      </c>
      <c r="CP203" s="208">
        <f t="shared" si="556"/>
        <v>0</v>
      </c>
      <c r="CQ203" s="64">
        <f t="shared" si="556"/>
        <v>0</v>
      </c>
      <c r="CR203" s="63">
        <f t="shared" si="560"/>
        <v>0</v>
      </c>
      <c r="CS203" s="208">
        <f t="shared" si="560"/>
        <v>0</v>
      </c>
      <c r="CT203" s="208">
        <f t="shared" si="560"/>
        <v>0</v>
      </c>
      <c r="CU203" s="208">
        <f t="shared" si="560"/>
        <v>0</v>
      </c>
      <c r="CV203" s="208">
        <f t="shared" si="560"/>
        <v>0</v>
      </c>
      <c r="CW203" s="208">
        <f t="shared" si="558"/>
        <v>0</v>
      </c>
      <c r="CX203" s="208">
        <f t="shared" si="558"/>
        <v>0</v>
      </c>
      <c r="CY203" s="64">
        <f t="shared" si="558"/>
        <v>0</v>
      </c>
      <c r="CZ203" s="278"/>
    </row>
    <row r="204" spans="1:104" ht="25.5" customHeight="1" x14ac:dyDescent="0.4">
      <c r="A204" s="485">
        <v>4</v>
      </c>
      <c r="B204" s="485" t="s">
        <v>46</v>
      </c>
      <c r="C204" s="485" t="s">
        <v>14</v>
      </c>
      <c r="D204" s="463" t="s">
        <v>21</v>
      </c>
      <c r="E204" s="463" t="s">
        <v>20</v>
      </c>
      <c r="F204" s="463" t="s">
        <v>21</v>
      </c>
      <c r="G204" s="465" t="s">
        <v>22</v>
      </c>
      <c r="H204" s="467">
        <f t="shared" ref="H204" si="573">SUM(AH204:AM204)</f>
        <v>0</v>
      </c>
      <c r="I204" s="469">
        <f t="shared" ref="I204" si="574">SUM(AH205:AM205)</f>
        <v>0</v>
      </c>
      <c r="J204" s="12"/>
      <c r="K204" s="13"/>
      <c r="L204" s="13"/>
      <c r="M204" s="561" t="s">
        <v>43</v>
      </c>
      <c r="N204" s="10" t="s">
        <v>88</v>
      </c>
      <c r="O204" s="187">
        <f t="shared" si="563"/>
        <v>0</v>
      </c>
      <c r="P204" s="187">
        <f t="shared" si="542"/>
        <v>0</v>
      </c>
      <c r="Q204" s="187">
        <f t="shared" si="542"/>
        <v>0</v>
      </c>
      <c r="R204" s="187">
        <f t="shared" si="542"/>
        <v>0</v>
      </c>
      <c r="S204" s="187">
        <f t="shared" si="542"/>
        <v>0</v>
      </c>
      <c r="T204" s="187">
        <f t="shared" si="542"/>
        <v>0</v>
      </c>
      <c r="U204" s="82">
        <f t="shared" si="542"/>
        <v>0</v>
      </c>
      <c r="V204" s="19">
        <f t="shared" si="570"/>
        <v>0</v>
      </c>
      <c r="W204" s="187">
        <f t="shared" si="571"/>
        <v>0</v>
      </c>
      <c r="X204" s="187">
        <f t="shared" si="572"/>
        <v>0</v>
      </c>
      <c r="Y204" s="187">
        <f t="shared" si="572"/>
        <v>0</v>
      </c>
      <c r="Z204" s="187">
        <f t="shared" si="572"/>
        <v>0</v>
      </c>
      <c r="AA204" s="187">
        <f t="shared" si="572"/>
        <v>0</v>
      </c>
      <c r="AB204" s="73">
        <f t="shared" si="543"/>
        <v>0</v>
      </c>
      <c r="AC204" s="187">
        <f t="shared" si="543"/>
        <v>0</v>
      </c>
      <c r="AD204" s="187">
        <f t="shared" si="543"/>
        <v>0</v>
      </c>
      <c r="AE204" s="187">
        <f t="shared" si="543"/>
        <v>0</v>
      </c>
      <c r="AF204" s="187">
        <f t="shared" si="543"/>
        <v>0</v>
      </c>
      <c r="AG204" s="187">
        <f t="shared" si="543"/>
        <v>0</v>
      </c>
      <c r="AH204" s="73">
        <f t="shared" si="543"/>
        <v>0</v>
      </c>
      <c r="AI204" s="187">
        <f t="shared" si="543"/>
        <v>0</v>
      </c>
      <c r="AJ204" s="187">
        <f t="shared" si="543"/>
        <v>0</v>
      </c>
      <c r="AK204" s="187">
        <f t="shared" si="543"/>
        <v>0</v>
      </c>
      <c r="AL204" s="187">
        <f t="shared" si="543"/>
        <v>0</v>
      </c>
      <c r="AM204" s="187">
        <f t="shared" si="543"/>
        <v>0</v>
      </c>
      <c r="AN204" s="73">
        <f t="shared" si="544"/>
        <v>0</v>
      </c>
      <c r="AO204" s="187">
        <f t="shared" si="544"/>
        <v>0</v>
      </c>
      <c r="AP204" s="187">
        <f t="shared" si="544"/>
        <v>0</v>
      </c>
      <c r="AQ204" s="187">
        <f t="shared" si="544"/>
        <v>0</v>
      </c>
      <c r="AR204" s="187">
        <f t="shared" si="544"/>
        <v>0</v>
      </c>
      <c r="AS204" s="187">
        <f t="shared" si="545"/>
        <v>0</v>
      </c>
      <c r="AT204" s="187">
        <f t="shared" si="545"/>
        <v>0</v>
      </c>
      <c r="AU204" s="221">
        <f t="shared" si="545"/>
        <v>0</v>
      </c>
      <c r="AV204" s="222">
        <f t="shared" si="546"/>
        <v>0</v>
      </c>
      <c r="AW204" s="187">
        <f t="shared" si="546"/>
        <v>0</v>
      </c>
      <c r="AX204" s="187">
        <f t="shared" si="546"/>
        <v>0</v>
      </c>
      <c r="AY204" s="187">
        <f t="shared" si="546"/>
        <v>0</v>
      </c>
      <c r="AZ204" s="187">
        <f t="shared" si="546"/>
        <v>0</v>
      </c>
      <c r="BA204" s="187">
        <f t="shared" si="546"/>
        <v>0</v>
      </c>
      <c r="BB204" s="187">
        <f t="shared" si="546"/>
        <v>0</v>
      </c>
      <c r="BC204" s="17">
        <f t="shared" si="546"/>
        <v>0</v>
      </c>
      <c r="BD204" s="19">
        <f t="shared" si="547"/>
        <v>0</v>
      </c>
      <c r="BE204" s="187">
        <f t="shared" si="547"/>
        <v>0</v>
      </c>
      <c r="BF204" s="187">
        <f t="shared" si="547"/>
        <v>0</v>
      </c>
      <c r="BG204" s="187">
        <f t="shared" si="547"/>
        <v>0</v>
      </c>
      <c r="BH204" s="187">
        <f t="shared" si="547"/>
        <v>0</v>
      </c>
      <c r="BI204" s="187">
        <f t="shared" si="548"/>
        <v>0</v>
      </c>
      <c r="BJ204" s="187">
        <f t="shared" si="548"/>
        <v>0</v>
      </c>
      <c r="BK204" s="17">
        <f t="shared" si="548"/>
        <v>0</v>
      </c>
      <c r="BL204" s="19">
        <f t="shared" si="549"/>
        <v>0</v>
      </c>
      <c r="BM204" s="187">
        <f t="shared" si="549"/>
        <v>0</v>
      </c>
      <c r="BN204" s="187">
        <f t="shared" si="549"/>
        <v>0</v>
      </c>
      <c r="BO204" s="187">
        <f t="shared" si="549"/>
        <v>0</v>
      </c>
      <c r="BP204" s="187">
        <f t="shared" si="549"/>
        <v>0</v>
      </c>
      <c r="BQ204" s="187">
        <f t="shared" si="550"/>
        <v>0</v>
      </c>
      <c r="BR204" s="187">
        <f t="shared" si="550"/>
        <v>0</v>
      </c>
      <c r="BS204" s="17">
        <f t="shared" si="550"/>
        <v>0</v>
      </c>
      <c r="BT204" s="19">
        <f t="shared" si="551"/>
        <v>0</v>
      </c>
      <c r="BU204" s="187">
        <f t="shared" si="551"/>
        <v>0</v>
      </c>
      <c r="BV204" s="187">
        <f t="shared" si="551"/>
        <v>0</v>
      </c>
      <c r="BW204" s="187">
        <f t="shared" si="551"/>
        <v>0</v>
      </c>
      <c r="BX204" s="187">
        <f t="shared" si="551"/>
        <v>0</v>
      </c>
      <c r="BY204" s="187">
        <f t="shared" si="552"/>
        <v>0</v>
      </c>
      <c r="BZ204" s="187">
        <f t="shared" si="552"/>
        <v>0</v>
      </c>
      <c r="CA204" s="17">
        <f t="shared" si="552"/>
        <v>0</v>
      </c>
      <c r="CB204" s="73">
        <f t="shared" si="553"/>
        <v>0</v>
      </c>
      <c r="CC204" s="187">
        <f t="shared" si="553"/>
        <v>0</v>
      </c>
      <c r="CD204" s="187">
        <f t="shared" si="553"/>
        <v>0</v>
      </c>
      <c r="CE204" s="187">
        <f t="shared" si="553"/>
        <v>0</v>
      </c>
      <c r="CF204" s="187">
        <f t="shared" si="553"/>
        <v>0</v>
      </c>
      <c r="CG204" s="187">
        <f t="shared" si="554"/>
        <v>0</v>
      </c>
      <c r="CH204" s="187">
        <f t="shared" si="554"/>
        <v>0</v>
      </c>
      <c r="CI204" s="17">
        <f t="shared" si="554"/>
        <v>0</v>
      </c>
      <c r="CJ204" s="19">
        <f t="shared" si="555"/>
        <v>0</v>
      </c>
      <c r="CK204" s="187">
        <f t="shared" si="555"/>
        <v>0</v>
      </c>
      <c r="CL204" s="187">
        <f t="shared" si="555"/>
        <v>0</v>
      </c>
      <c r="CM204" s="187">
        <f t="shared" si="555"/>
        <v>0</v>
      </c>
      <c r="CN204" s="187">
        <f t="shared" si="555"/>
        <v>0</v>
      </c>
      <c r="CO204" s="187">
        <f t="shared" si="556"/>
        <v>0</v>
      </c>
      <c r="CP204" s="187">
        <f t="shared" si="556"/>
        <v>0</v>
      </c>
      <c r="CQ204" s="17">
        <f t="shared" si="556"/>
        <v>0</v>
      </c>
      <c r="CR204" s="19">
        <f t="shared" si="557"/>
        <v>0</v>
      </c>
      <c r="CS204" s="187">
        <f t="shared" si="557"/>
        <v>0</v>
      </c>
      <c r="CT204" s="187">
        <f t="shared" si="557"/>
        <v>0</v>
      </c>
      <c r="CU204" s="187">
        <f t="shared" si="557"/>
        <v>0</v>
      </c>
      <c r="CV204" s="187">
        <f t="shared" si="557"/>
        <v>0</v>
      </c>
      <c r="CW204" s="187">
        <f t="shared" si="558"/>
        <v>0</v>
      </c>
      <c r="CX204" s="187">
        <f t="shared" si="558"/>
        <v>0</v>
      </c>
      <c r="CY204" s="17">
        <f t="shared" si="558"/>
        <v>0</v>
      </c>
      <c r="CZ204" s="278"/>
    </row>
    <row r="205" spans="1:104" ht="25.5" customHeight="1" x14ac:dyDescent="0.4">
      <c r="A205" s="486"/>
      <c r="B205" s="486"/>
      <c r="C205" s="486"/>
      <c r="D205" s="464"/>
      <c r="E205" s="464"/>
      <c r="F205" s="464"/>
      <c r="G205" s="466"/>
      <c r="H205" s="468"/>
      <c r="I205" s="470"/>
      <c r="J205" s="14"/>
      <c r="K205" s="15"/>
      <c r="L205" s="15"/>
      <c r="M205" s="540"/>
      <c r="N205" s="11" t="s">
        <v>89</v>
      </c>
      <c r="O205" s="207">
        <f t="shared" si="563"/>
        <v>0</v>
      </c>
      <c r="P205" s="207">
        <f t="shared" si="542"/>
        <v>0</v>
      </c>
      <c r="Q205" s="207">
        <f t="shared" si="542"/>
        <v>0</v>
      </c>
      <c r="R205" s="207">
        <f t="shared" si="542"/>
        <v>0</v>
      </c>
      <c r="S205" s="207">
        <f t="shared" si="542"/>
        <v>0</v>
      </c>
      <c r="T205" s="207">
        <f t="shared" si="542"/>
        <v>0</v>
      </c>
      <c r="U205" s="49">
        <f t="shared" si="542"/>
        <v>0</v>
      </c>
      <c r="V205" s="57">
        <f t="shared" si="570"/>
        <v>0</v>
      </c>
      <c r="W205" s="207">
        <f t="shared" si="571"/>
        <v>0</v>
      </c>
      <c r="X205" s="207">
        <f t="shared" si="572"/>
        <v>0</v>
      </c>
      <c r="Y205" s="207">
        <f t="shared" si="572"/>
        <v>0</v>
      </c>
      <c r="Z205" s="207">
        <f t="shared" si="572"/>
        <v>0</v>
      </c>
      <c r="AA205" s="207">
        <f t="shared" si="572"/>
        <v>0</v>
      </c>
      <c r="AB205" s="57">
        <f t="shared" si="543"/>
        <v>0</v>
      </c>
      <c r="AC205" s="207">
        <f t="shared" si="543"/>
        <v>0</v>
      </c>
      <c r="AD205" s="207">
        <f t="shared" si="543"/>
        <v>0</v>
      </c>
      <c r="AE205" s="207">
        <f t="shared" si="543"/>
        <v>0</v>
      </c>
      <c r="AF205" s="207">
        <f t="shared" si="543"/>
        <v>0</v>
      </c>
      <c r="AG205" s="207">
        <f t="shared" si="543"/>
        <v>0</v>
      </c>
      <c r="AH205" s="57">
        <f t="shared" si="543"/>
        <v>0</v>
      </c>
      <c r="AI205" s="207">
        <f t="shared" si="543"/>
        <v>0</v>
      </c>
      <c r="AJ205" s="207">
        <f t="shared" si="543"/>
        <v>0</v>
      </c>
      <c r="AK205" s="207">
        <f t="shared" si="543"/>
        <v>0</v>
      </c>
      <c r="AL205" s="207">
        <f t="shared" si="543"/>
        <v>0</v>
      </c>
      <c r="AM205" s="207">
        <f t="shared" si="543"/>
        <v>0</v>
      </c>
      <c r="AN205" s="57">
        <f t="shared" si="544"/>
        <v>0</v>
      </c>
      <c r="AO205" s="207">
        <f t="shared" si="544"/>
        <v>0</v>
      </c>
      <c r="AP205" s="207">
        <f t="shared" si="544"/>
        <v>0</v>
      </c>
      <c r="AQ205" s="207">
        <f t="shared" si="544"/>
        <v>0</v>
      </c>
      <c r="AR205" s="207">
        <f t="shared" si="544"/>
        <v>0</v>
      </c>
      <c r="AS205" s="207">
        <f t="shared" si="545"/>
        <v>0</v>
      </c>
      <c r="AT205" s="207">
        <f t="shared" si="545"/>
        <v>0</v>
      </c>
      <c r="AU205" s="49">
        <f t="shared" si="545"/>
        <v>0</v>
      </c>
      <c r="AV205" s="63">
        <f t="shared" si="546"/>
        <v>0</v>
      </c>
      <c r="AW205" s="208">
        <f t="shared" si="546"/>
        <v>0</v>
      </c>
      <c r="AX205" s="208">
        <f t="shared" si="546"/>
        <v>0</v>
      </c>
      <c r="AY205" s="208">
        <f t="shared" si="546"/>
        <v>0</v>
      </c>
      <c r="AZ205" s="208">
        <f t="shared" si="546"/>
        <v>0</v>
      </c>
      <c r="BA205" s="208">
        <f t="shared" si="546"/>
        <v>0</v>
      </c>
      <c r="BB205" s="208">
        <f t="shared" si="546"/>
        <v>0</v>
      </c>
      <c r="BC205" s="64">
        <f t="shared" si="546"/>
        <v>0</v>
      </c>
      <c r="BD205" s="63">
        <f t="shared" si="547"/>
        <v>0</v>
      </c>
      <c r="BE205" s="208">
        <f t="shared" si="547"/>
        <v>0</v>
      </c>
      <c r="BF205" s="208">
        <f t="shared" si="547"/>
        <v>0</v>
      </c>
      <c r="BG205" s="208">
        <f t="shared" si="547"/>
        <v>0</v>
      </c>
      <c r="BH205" s="208">
        <f t="shared" si="547"/>
        <v>0</v>
      </c>
      <c r="BI205" s="208">
        <f t="shared" si="548"/>
        <v>0</v>
      </c>
      <c r="BJ205" s="208">
        <f t="shared" si="548"/>
        <v>0</v>
      </c>
      <c r="BK205" s="64">
        <f t="shared" si="548"/>
        <v>0</v>
      </c>
      <c r="BL205" s="63">
        <f t="shared" si="549"/>
        <v>0</v>
      </c>
      <c r="BM205" s="208">
        <f t="shared" si="549"/>
        <v>0</v>
      </c>
      <c r="BN205" s="208">
        <f t="shared" si="549"/>
        <v>0</v>
      </c>
      <c r="BO205" s="208">
        <f t="shared" si="549"/>
        <v>0</v>
      </c>
      <c r="BP205" s="208">
        <f t="shared" si="549"/>
        <v>0</v>
      </c>
      <c r="BQ205" s="208">
        <f t="shared" si="550"/>
        <v>0</v>
      </c>
      <c r="BR205" s="208">
        <f t="shared" si="550"/>
        <v>0</v>
      </c>
      <c r="BS205" s="64">
        <f t="shared" si="550"/>
        <v>0</v>
      </c>
      <c r="BT205" s="63">
        <f t="shared" si="551"/>
        <v>0</v>
      </c>
      <c r="BU205" s="208">
        <f t="shared" si="551"/>
        <v>0</v>
      </c>
      <c r="BV205" s="208">
        <f t="shared" si="551"/>
        <v>0</v>
      </c>
      <c r="BW205" s="208">
        <f t="shared" si="551"/>
        <v>0</v>
      </c>
      <c r="BX205" s="208">
        <f t="shared" si="551"/>
        <v>0</v>
      </c>
      <c r="BY205" s="208">
        <f t="shared" si="552"/>
        <v>0</v>
      </c>
      <c r="BZ205" s="208">
        <f t="shared" si="552"/>
        <v>0</v>
      </c>
      <c r="CA205" s="64">
        <f t="shared" si="552"/>
        <v>0</v>
      </c>
      <c r="CB205" s="63">
        <f t="shared" si="553"/>
        <v>0</v>
      </c>
      <c r="CC205" s="208">
        <f t="shared" si="553"/>
        <v>0</v>
      </c>
      <c r="CD205" s="208">
        <f t="shared" si="553"/>
        <v>0</v>
      </c>
      <c r="CE205" s="208">
        <f t="shared" si="553"/>
        <v>0</v>
      </c>
      <c r="CF205" s="208">
        <f t="shared" si="553"/>
        <v>0</v>
      </c>
      <c r="CG205" s="208">
        <f t="shared" si="554"/>
        <v>0</v>
      </c>
      <c r="CH205" s="208">
        <f t="shared" si="554"/>
        <v>0</v>
      </c>
      <c r="CI205" s="64">
        <f t="shared" si="554"/>
        <v>0</v>
      </c>
      <c r="CJ205" s="63">
        <f t="shared" si="559"/>
        <v>0</v>
      </c>
      <c r="CK205" s="208">
        <f t="shared" si="559"/>
        <v>0</v>
      </c>
      <c r="CL205" s="208">
        <f t="shared" si="559"/>
        <v>0</v>
      </c>
      <c r="CM205" s="208">
        <f t="shared" si="559"/>
        <v>0</v>
      </c>
      <c r="CN205" s="208">
        <f t="shared" si="559"/>
        <v>0</v>
      </c>
      <c r="CO205" s="208">
        <f t="shared" si="556"/>
        <v>0</v>
      </c>
      <c r="CP205" s="208">
        <f t="shared" si="556"/>
        <v>0</v>
      </c>
      <c r="CQ205" s="64">
        <f t="shared" si="556"/>
        <v>0</v>
      </c>
      <c r="CR205" s="63">
        <f t="shared" si="560"/>
        <v>0</v>
      </c>
      <c r="CS205" s="208">
        <f t="shared" si="560"/>
        <v>0</v>
      </c>
      <c r="CT205" s="208">
        <f t="shared" si="560"/>
        <v>0</v>
      </c>
      <c r="CU205" s="208">
        <f t="shared" si="560"/>
        <v>0</v>
      </c>
      <c r="CV205" s="208">
        <f t="shared" si="560"/>
        <v>0</v>
      </c>
      <c r="CW205" s="208">
        <f t="shared" si="558"/>
        <v>0</v>
      </c>
      <c r="CX205" s="208">
        <f t="shared" si="558"/>
        <v>0</v>
      </c>
      <c r="CY205" s="64">
        <f t="shared" si="558"/>
        <v>0</v>
      </c>
      <c r="CZ205" s="278"/>
    </row>
    <row r="206" spans="1:104" ht="25.5" customHeight="1" x14ac:dyDescent="0.4">
      <c r="A206" s="485">
        <v>5</v>
      </c>
      <c r="B206" s="485" t="s">
        <v>46</v>
      </c>
      <c r="C206" s="485" t="s">
        <v>14</v>
      </c>
      <c r="D206" s="463" t="s">
        <v>20</v>
      </c>
      <c r="E206" s="463" t="s">
        <v>21</v>
      </c>
      <c r="F206" s="463" t="s">
        <v>21</v>
      </c>
      <c r="G206" s="503" t="s">
        <v>23</v>
      </c>
      <c r="H206" s="467">
        <f t="shared" ref="H206" si="575">SUM(AH206:AM206)</f>
        <v>0</v>
      </c>
      <c r="I206" s="469">
        <f t="shared" ref="I206" si="576">SUM(AH207:AM207)</f>
        <v>0</v>
      </c>
      <c r="J206" s="12"/>
      <c r="K206" s="13"/>
      <c r="L206" s="13"/>
      <c r="M206" s="574" t="s">
        <v>20</v>
      </c>
      <c r="N206" s="10" t="s">
        <v>88</v>
      </c>
      <c r="O206" s="187">
        <f t="shared" si="563"/>
        <v>0</v>
      </c>
      <c r="P206" s="187">
        <f t="shared" si="542"/>
        <v>0</v>
      </c>
      <c r="Q206" s="187">
        <f t="shared" si="542"/>
        <v>0</v>
      </c>
      <c r="R206" s="187">
        <f t="shared" si="542"/>
        <v>0</v>
      </c>
      <c r="S206" s="187">
        <f t="shared" si="542"/>
        <v>0</v>
      </c>
      <c r="T206" s="187">
        <f t="shared" si="542"/>
        <v>0</v>
      </c>
      <c r="U206" s="82">
        <f t="shared" si="542"/>
        <v>0</v>
      </c>
      <c r="V206" s="19">
        <f t="shared" si="570"/>
        <v>0</v>
      </c>
      <c r="W206" s="187">
        <f t="shared" si="571"/>
        <v>0</v>
      </c>
      <c r="X206" s="187">
        <f t="shared" si="572"/>
        <v>0</v>
      </c>
      <c r="Y206" s="187">
        <f t="shared" si="572"/>
        <v>0</v>
      </c>
      <c r="Z206" s="187">
        <f t="shared" si="572"/>
        <v>0</v>
      </c>
      <c r="AA206" s="187">
        <f t="shared" si="572"/>
        <v>0</v>
      </c>
      <c r="AB206" s="73">
        <f t="shared" si="543"/>
        <v>0</v>
      </c>
      <c r="AC206" s="187">
        <f t="shared" si="543"/>
        <v>0</v>
      </c>
      <c r="AD206" s="187">
        <f t="shared" si="543"/>
        <v>0</v>
      </c>
      <c r="AE206" s="187">
        <f t="shared" si="543"/>
        <v>0</v>
      </c>
      <c r="AF206" s="187">
        <f t="shared" si="543"/>
        <v>0</v>
      </c>
      <c r="AG206" s="187">
        <f t="shared" si="543"/>
        <v>0</v>
      </c>
      <c r="AH206" s="73">
        <f t="shared" si="543"/>
        <v>0</v>
      </c>
      <c r="AI206" s="187">
        <f t="shared" si="543"/>
        <v>0</v>
      </c>
      <c r="AJ206" s="187">
        <f t="shared" si="543"/>
        <v>0</v>
      </c>
      <c r="AK206" s="187">
        <f t="shared" si="543"/>
        <v>0</v>
      </c>
      <c r="AL206" s="187">
        <f t="shared" si="543"/>
        <v>0</v>
      </c>
      <c r="AM206" s="187">
        <f t="shared" si="543"/>
        <v>0</v>
      </c>
      <c r="AN206" s="73">
        <f t="shared" si="544"/>
        <v>0</v>
      </c>
      <c r="AO206" s="187">
        <f t="shared" si="544"/>
        <v>0</v>
      </c>
      <c r="AP206" s="187">
        <f t="shared" si="544"/>
        <v>0</v>
      </c>
      <c r="AQ206" s="187">
        <f t="shared" si="544"/>
        <v>0</v>
      </c>
      <c r="AR206" s="187">
        <f t="shared" si="544"/>
        <v>0</v>
      </c>
      <c r="AS206" s="187">
        <f t="shared" si="545"/>
        <v>0</v>
      </c>
      <c r="AT206" s="187">
        <f t="shared" si="545"/>
        <v>0</v>
      </c>
      <c r="AU206" s="221">
        <f t="shared" si="545"/>
        <v>0</v>
      </c>
      <c r="AV206" s="222">
        <f t="shared" si="546"/>
        <v>0</v>
      </c>
      <c r="AW206" s="187">
        <f t="shared" si="546"/>
        <v>0</v>
      </c>
      <c r="AX206" s="187">
        <f t="shared" si="546"/>
        <v>0</v>
      </c>
      <c r="AY206" s="187">
        <f t="shared" si="546"/>
        <v>0</v>
      </c>
      <c r="AZ206" s="187">
        <f t="shared" si="546"/>
        <v>0</v>
      </c>
      <c r="BA206" s="187">
        <f t="shared" si="546"/>
        <v>0</v>
      </c>
      <c r="BB206" s="187">
        <f t="shared" si="546"/>
        <v>0</v>
      </c>
      <c r="BC206" s="17">
        <f t="shared" si="546"/>
        <v>0</v>
      </c>
      <c r="BD206" s="19">
        <f t="shared" si="547"/>
        <v>0</v>
      </c>
      <c r="BE206" s="187">
        <f t="shared" si="547"/>
        <v>0</v>
      </c>
      <c r="BF206" s="187">
        <f t="shared" si="547"/>
        <v>0</v>
      </c>
      <c r="BG206" s="187">
        <f t="shared" si="547"/>
        <v>0</v>
      </c>
      <c r="BH206" s="187">
        <f t="shared" si="547"/>
        <v>0</v>
      </c>
      <c r="BI206" s="187">
        <f t="shared" si="548"/>
        <v>0</v>
      </c>
      <c r="BJ206" s="187">
        <f t="shared" si="548"/>
        <v>0</v>
      </c>
      <c r="BK206" s="17">
        <f t="shared" si="548"/>
        <v>0</v>
      </c>
      <c r="BL206" s="19">
        <f t="shared" si="549"/>
        <v>0</v>
      </c>
      <c r="BM206" s="187">
        <f t="shared" si="549"/>
        <v>0</v>
      </c>
      <c r="BN206" s="187">
        <f t="shared" si="549"/>
        <v>0</v>
      </c>
      <c r="BO206" s="187">
        <f t="shared" si="549"/>
        <v>0</v>
      </c>
      <c r="BP206" s="187">
        <f t="shared" si="549"/>
        <v>0</v>
      </c>
      <c r="BQ206" s="187">
        <f t="shared" si="550"/>
        <v>0</v>
      </c>
      <c r="BR206" s="187">
        <f t="shared" si="550"/>
        <v>0</v>
      </c>
      <c r="BS206" s="17">
        <f t="shared" si="550"/>
        <v>0</v>
      </c>
      <c r="BT206" s="19">
        <f t="shared" si="551"/>
        <v>0</v>
      </c>
      <c r="BU206" s="187">
        <f t="shared" si="551"/>
        <v>0</v>
      </c>
      <c r="BV206" s="187">
        <f t="shared" si="551"/>
        <v>0</v>
      </c>
      <c r="BW206" s="187">
        <f t="shared" si="551"/>
        <v>0</v>
      </c>
      <c r="BX206" s="187">
        <f t="shared" si="551"/>
        <v>0</v>
      </c>
      <c r="BY206" s="187">
        <f t="shared" si="552"/>
        <v>0</v>
      </c>
      <c r="BZ206" s="187">
        <f t="shared" si="552"/>
        <v>0</v>
      </c>
      <c r="CA206" s="17">
        <f t="shared" si="552"/>
        <v>0</v>
      </c>
      <c r="CB206" s="73">
        <f t="shared" si="553"/>
        <v>0</v>
      </c>
      <c r="CC206" s="187">
        <f t="shared" si="553"/>
        <v>0</v>
      </c>
      <c r="CD206" s="187">
        <f t="shared" si="553"/>
        <v>0</v>
      </c>
      <c r="CE206" s="187">
        <f t="shared" si="553"/>
        <v>0</v>
      </c>
      <c r="CF206" s="187">
        <f t="shared" si="553"/>
        <v>0</v>
      </c>
      <c r="CG206" s="187">
        <f t="shared" si="554"/>
        <v>0</v>
      </c>
      <c r="CH206" s="187">
        <f t="shared" si="554"/>
        <v>0</v>
      </c>
      <c r="CI206" s="17">
        <f t="shared" si="554"/>
        <v>0</v>
      </c>
      <c r="CJ206" s="19">
        <f t="shared" si="555"/>
        <v>0</v>
      </c>
      <c r="CK206" s="187">
        <f t="shared" si="555"/>
        <v>0</v>
      </c>
      <c r="CL206" s="187">
        <f t="shared" si="555"/>
        <v>0</v>
      </c>
      <c r="CM206" s="187">
        <f t="shared" si="555"/>
        <v>0</v>
      </c>
      <c r="CN206" s="187">
        <f t="shared" si="555"/>
        <v>0</v>
      </c>
      <c r="CO206" s="187">
        <f t="shared" si="556"/>
        <v>0</v>
      </c>
      <c r="CP206" s="187">
        <f t="shared" si="556"/>
        <v>0</v>
      </c>
      <c r="CQ206" s="17">
        <f t="shared" si="556"/>
        <v>0</v>
      </c>
      <c r="CR206" s="19">
        <f t="shared" si="557"/>
        <v>0</v>
      </c>
      <c r="CS206" s="187">
        <f t="shared" si="557"/>
        <v>0</v>
      </c>
      <c r="CT206" s="187">
        <f t="shared" si="557"/>
        <v>0</v>
      </c>
      <c r="CU206" s="187">
        <f t="shared" si="557"/>
        <v>0</v>
      </c>
      <c r="CV206" s="187">
        <f t="shared" si="557"/>
        <v>0</v>
      </c>
      <c r="CW206" s="187">
        <f t="shared" si="558"/>
        <v>0</v>
      </c>
      <c r="CX206" s="187">
        <f t="shared" si="558"/>
        <v>0</v>
      </c>
      <c r="CY206" s="17">
        <f t="shared" si="558"/>
        <v>0</v>
      </c>
      <c r="CZ206" s="278"/>
    </row>
    <row r="207" spans="1:104" ht="25.5" customHeight="1" x14ac:dyDescent="0.4">
      <c r="A207" s="486"/>
      <c r="B207" s="486"/>
      <c r="C207" s="486"/>
      <c r="D207" s="464"/>
      <c r="E207" s="464"/>
      <c r="F207" s="464"/>
      <c r="G207" s="504"/>
      <c r="H207" s="468"/>
      <c r="I207" s="470"/>
      <c r="J207" s="14"/>
      <c r="K207" s="15"/>
      <c r="L207" s="15"/>
      <c r="M207" s="540"/>
      <c r="N207" s="11" t="s">
        <v>89</v>
      </c>
      <c r="O207" s="207">
        <f t="shared" si="563"/>
        <v>0</v>
      </c>
      <c r="P207" s="207">
        <f>(7.5+37.5+15+22.5+37.5)/120</f>
        <v>1</v>
      </c>
      <c r="Q207" s="207">
        <f t="shared" si="542"/>
        <v>0</v>
      </c>
      <c r="R207" s="207">
        <f t="shared" si="542"/>
        <v>0</v>
      </c>
      <c r="S207" s="207">
        <f t="shared" si="542"/>
        <v>0</v>
      </c>
      <c r="T207" s="207">
        <f t="shared" si="542"/>
        <v>0</v>
      </c>
      <c r="U207" s="49">
        <f t="shared" si="542"/>
        <v>0</v>
      </c>
      <c r="V207" s="57">
        <f t="shared" si="570"/>
        <v>0</v>
      </c>
      <c r="W207" s="207">
        <f>(22.5+37.5+37.5+37.5+7.5)/142.5</f>
        <v>1</v>
      </c>
      <c r="X207" s="207">
        <f t="shared" si="572"/>
        <v>0</v>
      </c>
      <c r="Y207" s="207">
        <f t="shared" si="572"/>
        <v>0</v>
      </c>
      <c r="Z207" s="207">
        <f t="shared" si="572"/>
        <v>0</v>
      </c>
      <c r="AA207" s="207">
        <f t="shared" si="572"/>
        <v>0</v>
      </c>
      <c r="AB207" s="57">
        <f t="shared" si="543"/>
        <v>0</v>
      </c>
      <c r="AC207" s="207">
        <f>(22.5+37.5+22.5)/165</f>
        <v>0.5</v>
      </c>
      <c r="AD207" s="207">
        <f t="shared" si="543"/>
        <v>0</v>
      </c>
      <c r="AE207" s="207">
        <f t="shared" si="543"/>
        <v>0</v>
      </c>
      <c r="AF207" s="207">
        <f t="shared" si="543"/>
        <v>0</v>
      </c>
      <c r="AG207" s="207">
        <f t="shared" si="543"/>
        <v>0</v>
      </c>
      <c r="AH207" s="57">
        <f t="shared" si="543"/>
        <v>0</v>
      </c>
      <c r="AI207" s="207">
        <f t="shared" si="543"/>
        <v>0</v>
      </c>
      <c r="AJ207" s="207">
        <f t="shared" si="543"/>
        <v>0</v>
      </c>
      <c r="AK207" s="207">
        <f t="shared" si="543"/>
        <v>0</v>
      </c>
      <c r="AL207" s="207">
        <f t="shared" si="543"/>
        <v>0</v>
      </c>
      <c r="AM207" s="207">
        <f t="shared" si="543"/>
        <v>0</v>
      </c>
      <c r="AN207" s="57">
        <f t="shared" si="544"/>
        <v>0</v>
      </c>
      <c r="AO207" s="207">
        <f t="shared" si="544"/>
        <v>0</v>
      </c>
      <c r="AP207" s="207">
        <f t="shared" si="544"/>
        <v>0</v>
      </c>
      <c r="AQ207" s="207">
        <f t="shared" si="544"/>
        <v>0</v>
      </c>
      <c r="AR207" s="207">
        <f t="shared" si="544"/>
        <v>0</v>
      </c>
      <c r="AS207" s="207">
        <f t="shared" si="545"/>
        <v>0</v>
      </c>
      <c r="AT207" s="207">
        <f t="shared" si="545"/>
        <v>0</v>
      </c>
      <c r="AU207" s="49">
        <f t="shared" si="545"/>
        <v>0</v>
      </c>
      <c r="AV207" s="63">
        <f t="shared" si="546"/>
        <v>0</v>
      </c>
      <c r="AW207" s="208">
        <f t="shared" si="546"/>
        <v>0</v>
      </c>
      <c r="AX207" s="208">
        <f t="shared" si="546"/>
        <v>0</v>
      </c>
      <c r="AY207" s="208">
        <f t="shared" si="546"/>
        <v>0</v>
      </c>
      <c r="AZ207" s="208">
        <f t="shared" si="546"/>
        <v>0</v>
      </c>
      <c r="BA207" s="208">
        <f t="shared" si="546"/>
        <v>0</v>
      </c>
      <c r="BB207" s="208">
        <f t="shared" si="546"/>
        <v>0</v>
      </c>
      <c r="BC207" s="64">
        <f t="shared" si="546"/>
        <v>0</v>
      </c>
      <c r="BD207" s="63">
        <f t="shared" si="547"/>
        <v>0</v>
      </c>
      <c r="BE207" s="208">
        <f t="shared" si="547"/>
        <v>0</v>
      </c>
      <c r="BF207" s="208">
        <f t="shared" si="547"/>
        <v>0</v>
      </c>
      <c r="BG207" s="208">
        <f t="shared" si="547"/>
        <v>0</v>
      </c>
      <c r="BH207" s="208">
        <f t="shared" si="547"/>
        <v>0</v>
      </c>
      <c r="BI207" s="208">
        <f t="shared" si="548"/>
        <v>0</v>
      </c>
      <c r="BJ207" s="208">
        <f t="shared" si="548"/>
        <v>0</v>
      </c>
      <c r="BK207" s="64">
        <f t="shared" si="548"/>
        <v>0</v>
      </c>
      <c r="BL207" s="63">
        <f t="shared" si="549"/>
        <v>0</v>
      </c>
      <c r="BM207" s="208">
        <f t="shared" si="549"/>
        <v>0</v>
      </c>
      <c r="BN207" s="208">
        <f t="shared" si="549"/>
        <v>0</v>
      </c>
      <c r="BO207" s="208">
        <f t="shared" si="549"/>
        <v>0</v>
      </c>
      <c r="BP207" s="208">
        <f t="shared" si="549"/>
        <v>0</v>
      </c>
      <c r="BQ207" s="208">
        <f t="shared" si="550"/>
        <v>0</v>
      </c>
      <c r="BR207" s="208">
        <f t="shared" si="550"/>
        <v>0</v>
      </c>
      <c r="BS207" s="64">
        <f t="shared" si="550"/>
        <v>0</v>
      </c>
      <c r="BT207" s="63">
        <f t="shared" si="551"/>
        <v>0</v>
      </c>
      <c r="BU207" s="208">
        <f t="shared" si="551"/>
        <v>0</v>
      </c>
      <c r="BV207" s="208">
        <f t="shared" si="551"/>
        <v>0</v>
      </c>
      <c r="BW207" s="208">
        <f t="shared" si="551"/>
        <v>0</v>
      </c>
      <c r="BX207" s="208">
        <f t="shared" si="551"/>
        <v>0</v>
      </c>
      <c r="BY207" s="208">
        <f t="shared" si="552"/>
        <v>0</v>
      </c>
      <c r="BZ207" s="208">
        <f t="shared" si="552"/>
        <v>0</v>
      </c>
      <c r="CA207" s="64">
        <f t="shared" si="552"/>
        <v>0</v>
      </c>
      <c r="CB207" s="63">
        <f t="shared" si="553"/>
        <v>0</v>
      </c>
      <c r="CC207" s="208">
        <f t="shared" si="553"/>
        <v>0</v>
      </c>
      <c r="CD207" s="208">
        <f t="shared" si="553"/>
        <v>0</v>
      </c>
      <c r="CE207" s="208">
        <f t="shared" si="553"/>
        <v>0</v>
      </c>
      <c r="CF207" s="208">
        <f t="shared" si="553"/>
        <v>0</v>
      </c>
      <c r="CG207" s="208">
        <f t="shared" si="554"/>
        <v>0</v>
      </c>
      <c r="CH207" s="208">
        <f t="shared" si="554"/>
        <v>0</v>
      </c>
      <c r="CI207" s="64">
        <f t="shared" si="554"/>
        <v>0</v>
      </c>
      <c r="CJ207" s="63">
        <f t="shared" si="559"/>
        <v>0</v>
      </c>
      <c r="CK207" s="208">
        <f t="shared" si="559"/>
        <v>0</v>
      </c>
      <c r="CL207" s="208">
        <f t="shared" si="559"/>
        <v>0</v>
      </c>
      <c r="CM207" s="208">
        <f t="shared" si="559"/>
        <v>0</v>
      </c>
      <c r="CN207" s="208">
        <f t="shared" si="559"/>
        <v>0</v>
      </c>
      <c r="CO207" s="208">
        <f t="shared" si="556"/>
        <v>0</v>
      </c>
      <c r="CP207" s="208">
        <f t="shared" si="556"/>
        <v>0</v>
      </c>
      <c r="CQ207" s="64">
        <f t="shared" si="556"/>
        <v>0</v>
      </c>
      <c r="CR207" s="63">
        <f t="shared" si="560"/>
        <v>0</v>
      </c>
      <c r="CS207" s="208">
        <f t="shared" si="560"/>
        <v>0</v>
      </c>
      <c r="CT207" s="208">
        <f t="shared" si="560"/>
        <v>0</v>
      </c>
      <c r="CU207" s="208">
        <f t="shared" si="560"/>
        <v>0</v>
      </c>
      <c r="CV207" s="208">
        <f t="shared" si="560"/>
        <v>0</v>
      </c>
      <c r="CW207" s="208">
        <f t="shared" si="558"/>
        <v>0</v>
      </c>
      <c r="CX207" s="208">
        <f t="shared" si="558"/>
        <v>0</v>
      </c>
      <c r="CY207" s="64">
        <f t="shared" si="558"/>
        <v>0</v>
      </c>
      <c r="CZ207" s="278"/>
    </row>
    <row r="208" spans="1:104" ht="20.100000000000001" customHeight="1" x14ac:dyDescent="0.4">
      <c r="A208" s="471" t="s">
        <v>35</v>
      </c>
      <c r="B208" s="472"/>
      <c r="C208" s="472"/>
      <c r="D208" s="472"/>
      <c r="E208" s="472"/>
      <c r="F208" s="472"/>
      <c r="G208" s="473"/>
      <c r="H208" s="467">
        <f>SUM(H198:H207)</f>
        <v>0.44242424242424244</v>
      </c>
      <c r="I208" s="467">
        <f>SUM(I198:I207)</f>
        <v>0.31212121212121213</v>
      </c>
      <c r="J208" s="555" t="s">
        <v>37</v>
      </c>
      <c r="K208" s="556"/>
      <c r="L208" s="556"/>
      <c r="M208" s="557"/>
      <c r="N208" s="10" t="s">
        <v>88</v>
      </c>
      <c r="O208" s="10">
        <f>SUM(O198,O200,O202,O204,O206)</f>
        <v>7.9166666666666663E-2</v>
      </c>
      <c r="P208" s="10">
        <f t="shared" ref="P208:T208" si="577">SUM(P198,P200,P202,P204,P206)</f>
        <v>0</v>
      </c>
      <c r="Q208" s="10">
        <f t="shared" si="577"/>
        <v>0.25</v>
      </c>
      <c r="R208" s="10">
        <f t="shared" si="577"/>
        <v>0.25</v>
      </c>
      <c r="S208" s="10">
        <f t="shared" si="577"/>
        <v>0.25</v>
      </c>
      <c r="T208" s="10">
        <f t="shared" si="577"/>
        <v>0</v>
      </c>
      <c r="U208" s="82">
        <f t="shared" ref="U208:U209" si="578">SUM(U198,U200,U202,U204,U206)</f>
        <v>0.16666666666666666</v>
      </c>
      <c r="V208" s="19">
        <f>SUM(V196,V198,V200,V202,V204,V206)</f>
        <v>0.25263157894736843</v>
      </c>
      <c r="W208" s="187">
        <f t="shared" ref="W208:AA208" si="579">SUM(W196,W198,W200,W202,W204,W206)</f>
        <v>0</v>
      </c>
      <c r="X208" s="187">
        <f t="shared" si="579"/>
        <v>0.38596491228070173</v>
      </c>
      <c r="Y208" s="187">
        <f t="shared" si="579"/>
        <v>0.38596491228070173</v>
      </c>
      <c r="Z208" s="187">
        <f t="shared" si="579"/>
        <v>0.35087719298245612</v>
      </c>
      <c r="AA208" s="187">
        <f t="shared" si="579"/>
        <v>0.14035087719298245</v>
      </c>
      <c r="AB208" s="58">
        <f>SUM(AB198,AB200,AB202,AB204,AB206)</f>
        <v>0.13333333333333333</v>
      </c>
      <c r="AC208" s="10">
        <f t="shared" ref="AC208:AF208" si="580">SUM(AC198,AC200,AC202,AC204,AC206)</f>
        <v>4.8484848484848485E-2</v>
      </c>
      <c r="AD208" s="10">
        <f t="shared" si="580"/>
        <v>0.19696969696969696</v>
      </c>
      <c r="AE208" s="10">
        <f t="shared" si="580"/>
        <v>7.575757575757576E-2</v>
      </c>
      <c r="AF208" s="10">
        <f t="shared" si="580"/>
        <v>0.13636363636363635</v>
      </c>
      <c r="AG208" s="82">
        <f>SUM(AG198,AG200,AG202,AG204,AG206)</f>
        <v>0.10606060606060606</v>
      </c>
      <c r="AH208" s="10">
        <f>SUM(AH198,AH200,AH202,AH204,AH206)</f>
        <v>4.2424242424242427E-2</v>
      </c>
      <c r="AI208" s="10">
        <f t="shared" ref="AI208:AL208" si="581">SUM(AI198,AI200,AI202,AI204,AI206)</f>
        <v>0.1090909090909091</v>
      </c>
      <c r="AJ208" s="10">
        <f t="shared" si="581"/>
        <v>6.0606060606060608E-2</v>
      </c>
      <c r="AK208" s="10">
        <f t="shared" si="581"/>
        <v>6.0606060606060608E-2</v>
      </c>
      <c r="AL208" s="10">
        <f t="shared" si="581"/>
        <v>6.0606060606060608E-2</v>
      </c>
      <c r="AM208" s="82">
        <f>SUM(AM198,AM200,AM202,AM204,AM206)</f>
        <v>0.1090909090909091</v>
      </c>
      <c r="AN208" s="10">
        <f>SUM(AN198,AN200,AN202,AN204,AN206)</f>
        <v>0</v>
      </c>
      <c r="AO208" s="10">
        <f t="shared" ref="AO208:AT208" si="582">SUM(AO198,AO200,AO202,AO204,AO206)</f>
        <v>0</v>
      </c>
      <c r="AP208" s="10">
        <f t="shared" si="582"/>
        <v>0</v>
      </c>
      <c r="AQ208" s="10">
        <f t="shared" si="582"/>
        <v>0</v>
      </c>
      <c r="AR208" s="10">
        <f t="shared" si="582"/>
        <v>0</v>
      </c>
      <c r="AS208" s="187">
        <f t="shared" si="582"/>
        <v>0</v>
      </c>
      <c r="AT208" s="187">
        <f t="shared" si="582"/>
        <v>0</v>
      </c>
      <c r="AU208" s="82">
        <f>SUM(AU198,AU200,AU202,AU204,AU206)</f>
        <v>0</v>
      </c>
      <c r="AV208" s="10">
        <f t="shared" ref="AV208:AV209" si="583">SUM(AV198,AV200,AV202,AV204,AV206)</f>
        <v>0</v>
      </c>
      <c r="AW208" s="10">
        <f t="shared" ref="AW208:AZ208" si="584">SUM(AW198,AW200,AW202,AW204,AW206)</f>
        <v>0</v>
      </c>
      <c r="AX208" s="10">
        <f t="shared" si="584"/>
        <v>0</v>
      </c>
      <c r="AY208" s="10">
        <f t="shared" si="584"/>
        <v>0</v>
      </c>
      <c r="AZ208" s="10">
        <f t="shared" si="584"/>
        <v>0</v>
      </c>
      <c r="BA208" s="187">
        <f t="shared" ref="BA208:BD209" si="585">SUM(BA198,BA200,BA202,BA204,BA206)</f>
        <v>0</v>
      </c>
      <c r="BB208" s="187">
        <f t="shared" ref="BB208" si="586">SUM(BB198,BB200,BB202,BB204,BB206)</f>
        <v>0</v>
      </c>
      <c r="BC208" s="82">
        <f t="shared" si="585"/>
        <v>0</v>
      </c>
      <c r="BD208" s="10">
        <f t="shared" si="585"/>
        <v>0</v>
      </c>
      <c r="BE208" s="10">
        <f t="shared" ref="BE208:BK209" si="587">SUM(BE198,BE200,BE202,BE204,BE206)</f>
        <v>0</v>
      </c>
      <c r="BF208" s="10">
        <f t="shared" si="587"/>
        <v>0</v>
      </c>
      <c r="BG208" s="10">
        <f t="shared" si="587"/>
        <v>0</v>
      </c>
      <c r="BH208" s="10">
        <f t="shared" si="587"/>
        <v>0</v>
      </c>
      <c r="BI208" s="187">
        <f t="shared" si="587"/>
        <v>0</v>
      </c>
      <c r="BJ208" s="187">
        <f t="shared" si="587"/>
        <v>0</v>
      </c>
      <c r="BK208" s="82">
        <f t="shared" si="587"/>
        <v>0</v>
      </c>
      <c r="BL208" s="10">
        <f>SUM(BL198,BL200,BL202,BL204,BL206)</f>
        <v>0</v>
      </c>
      <c r="BM208" s="10">
        <f t="shared" ref="BM208:BS208" si="588">SUM(BM198,BM200,BM202,BM204,BM206)</f>
        <v>0</v>
      </c>
      <c r="BN208" s="10">
        <f t="shared" si="588"/>
        <v>0</v>
      </c>
      <c r="BO208" s="10">
        <f t="shared" si="588"/>
        <v>0</v>
      </c>
      <c r="BP208" s="10">
        <f t="shared" si="588"/>
        <v>0</v>
      </c>
      <c r="BQ208" s="187">
        <f t="shared" si="588"/>
        <v>0</v>
      </c>
      <c r="BR208" s="187">
        <f t="shared" si="588"/>
        <v>0</v>
      </c>
      <c r="BS208" s="82">
        <f t="shared" si="588"/>
        <v>0</v>
      </c>
      <c r="BT208" s="10">
        <f>SUM(BT198,BT200,BT202,BT204,BT206)</f>
        <v>0</v>
      </c>
      <c r="BU208" s="10">
        <f t="shared" ref="BU208:CA208" si="589">SUM(BU198,BU200,BU202,BU204,BU206)</f>
        <v>0</v>
      </c>
      <c r="BV208" s="10">
        <f t="shared" si="589"/>
        <v>0</v>
      </c>
      <c r="BW208" s="10">
        <f t="shared" si="589"/>
        <v>0</v>
      </c>
      <c r="BX208" s="10">
        <f t="shared" si="589"/>
        <v>0</v>
      </c>
      <c r="BY208" s="187">
        <f t="shared" si="589"/>
        <v>0</v>
      </c>
      <c r="BZ208" s="187">
        <f t="shared" si="589"/>
        <v>0</v>
      </c>
      <c r="CA208" s="82">
        <f t="shared" si="589"/>
        <v>0</v>
      </c>
      <c r="CB208" s="10">
        <f>SUM(CB198,CB200,CB202,CB204,CB206)</f>
        <v>0</v>
      </c>
      <c r="CC208" s="10">
        <f t="shared" ref="CC208:CI208" si="590">SUM(CC198,CC200,CC202,CC204,CC206)</f>
        <v>0</v>
      </c>
      <c r="CD208" s="10">
        <f t="shared" si="590"/>
        <v>0</v>
      </c>
      <c r="CE208" s="10">
        <f t="shared" si="590"/>
        <v>0</v>
      </c>
      <c r="CF208" s="10">
        <f t="shared" si="590"/>
        <v>0</v>
      </c>
      <c r="CG208" s="187">
        <f t="shared" si="590"/>
        <v>0</v>
      </c>
      <c r="CH208" s="187">
        <f t="shared" si="590"/>
        <v>0</v>
      </c>
      <c r="CI208" s="82">
        <f t="shared" si="590"/>
        <v>0</v>
      </c>
      <c r="CJ208" s="10">
        <f>SUM(CJ198,CJ200,CJ202,CJ204,CJ206)</f>
        <v>0</v>
      </c>
      <c r="CK208" s="10">
        <f t="shared" ref="CK208:CQ208" si="591">SUM(CK198,CK200,CK202,CK204,CK206)</f>
        <v>0</v>
      </c>
      <c r="CL208" s="10">
        <f t="shared" si="591"/>
        <v>0</v>
      </c>
      <c r="CM208" s="10">
        <f t="shared" si="591"/>
        <v>0</v>
      </c>
      <c r="CN208" s="10">
        <f t="shared" si="591"/>
        <v>0</v>
      </c>
      <c r="CO208" s="187">
        <f t="shared" si="591"/>
        <v>0</v>
      </c>
      <c r="CP208" s="187">
        <f t="shared" si="591"/>
        <v>0</v>
      </c>
      <c r="CQ208" s="82">
        <f t="shared" si="591"/>
        <v>0</v>
      </c>
      <c r="CR208" s="10">
        <f>SUM(CR198,CR200,CR202,CR204,CR206)</f>
        <v>0</v>
      </c>
      <c r="CS208" s="10">
        <f t="shared" ref="CS208:CY208" si="592">SUM(CS198,CS200,CS202,CS204,CS206)</f>
        <v>0</v>
      </c>
      <c r="CT208" s="10">
        <f t="shared" si="592"/>
        <v>0</v>
      </c>
      <c r="CU208" s="10">
        <f t="shared" si="592"/>
        <v>0</v>
      </c>
      <c r="CV208" s="10">
        <f t="shared" si="592"/>
        <v>0</v>
      </c>
      <c r="CW208" s="187">
        <f t="shared" si="592"/>
        <v>0</v>
      </c>
      <c r="CX208" s="187">
        <f t="shared" si="592"/>
        <v>0</v>
      </c>
      <c r="CY208" s="187">
        <f t="shared" si="592"/>
        <v>0</v>
      </c>
      <c r="CZ208" s="19">
        <f>SUM(V208:AA208)</f>
        <v>1.5157894736842106</v>
      </c>
    </row>
    <row r="209" spans="1:112" ht="20.100000000000001" customHeight="1" x14ac:dyDescent="0.4">
      <c r="A209" s="474"/>
      <c r="B209" s="475"/>
      <c r="C209" s="475"/>
      <c r="D209" s="475"/>
      <c r="E209" s="475"/>
      <c r="F209" s="475"/>
      <c r="G209" s="476"/>
      <c r="H209" s="468"/>
      <c r="I209" s="468"/>
      <c r="J209" s="480" t="s">
        <v>80</v>
      </c>
      <c r="K209" s="481"/>
      <c r="L209" s="481"/>
      <c r="M209" s="482"/>
      <c r="N209" s="11" t="s">
        <v>89</v>
      </c>
      <c r="O209" s="11">
        <f>SUM(O199,O201,O203,O205,O207)</f>
        <v>6.25E-2</v>
      </c>
      <c r="P209" s="11">
        <f t="shared" ref="P209:T209" si="593">SUM(P199,P201,P203,P205,P207)</f>
        <v>1</v>
      </c>
      <c r="Q209" s="11">
        <f t="shared" si="593"/>
        <v>0.10833333333333334</v>
      </c>
      <c r="R209" s="11">
        <f t="shared" si="593"/>
        <v>2.5000000000000001E-2</v>
      </c>
      <c r="S209" s="11">
        <f t="shared" si="593"/>
        <v>0.05</v>
      </c>
      <c r="T209" s="11">
        <f t="shared" si="593"/>
        <v>0</v>
      </c>
      <c r="U209" s="49">
        <f t="shared" si="578"/>
        <v>4.1666666666666664E-2</v>
      </c>
      <c r="V209" s="20">
        <f t="shared" ref="V209:AA209" si="594">SUM(V197,V199,V201,V203,V205,V207)</f>
        <v>0.21754385964912282</v>
      </c>
      <c r="W209" s="207">
        <f t="shared" si="594"/>
        <v>1</v>
      </c>
      <c r="X209" s="207">
        <f t="shared" si="594"/>
        <v>0.29473684210526319</v>
      </c>
      <c r="Y209" s="207">
        <f t="shared" si="594"/>
        <v>0.17894736842105263</v>
      </c>
      <c r="Z209" s="207">
        <f t="shared" si="594"/>
        <v>0.17894736842105263</v>
      </c>
      <c r="AA209" s="207">
        <f t="shared" si="594"/>
        <v>0.13333333333333333</v>
      </c>
      <c r="AB209" s="54">
        <f>SUM(AB199,AB201,AB203,AB205,AB207)</f>
        <v>9.696969696969697E-2</v>
      </c>
      <c r="AC209" s="11">
        <f t="shared" ref="AC209:AF209" si="595">SUM(AC199,AC201,AC203,AC205,AC207)</f>
        <v>0.51515151515151514</v>
      </c>
      <c r="AD209" s="11">
        <f t="shared" si="595"/>
        <v>0.16969696969696971</v>
      </c>
      <c r="AE209" s="11">
        <f t="shared" si="595"/>
        <v>7.2727272727272724E-2</v>
      </c>
      <c r="AF209" s="11">
        <f t="shared" si="595"/>
        <v>0.11212121212121212</v>
      </c>
      <c r="AG209" s="49">
        <f>SUM(AG199,AG201,AG203,AG205,AG207)</f>
        <v>0.12727272727272726</v>
      </c>
      <c r="AH209" s="11">
        <f>SUM(AH199,AH201,AH203,AH205,AH207)</f>
        <v>4.8484848484848485E-2</v>
      </c>
      <c r="AI209" s="11">
        <f t="shared" ref="AI209:AL209" si="596">SUM(AI199,AI201,AI203,AI205,AI207)</f>
        <v>5.454545454545455E-2</v>
      </c>
      <c r="AJ209" s="11">
        <f t="shared" si="596"/>
        <v>3.9393939393939398E-2</v>
      </c>
      <c r="AK209" s="11">
        <f t="shared" si="596"/>
        <v>6.363636363636363E-2</v>
      </c>
      <c r="AL209" s="11">
        <f t="shared" si="596"/>
        <v>5.1515151515151514E-2</v>
      </c>
      <c r="AM209" s="49">
        <f>SUM(AM199,AM201,AM203,AM205,AM207)</f>
        <v>5.454545454545455E-2</v>
      </c>
      <c r="AN209" s="11">
        <f>SUM(AN199,AN201,AN203,AN205,AN207)</f>
        <v>0</v>
      </c>
      <c r="AO209" s="11">
        <f t="shared" ref="AO209:AT209" si="597">SUM(AO199,AO201,AO203,AO205,AO207)</f>
        <v>0</v>
      </c>
      <c r="AP209" s="11">
        <f t="shared" si="597"/>
        <v>0</v>
      </c>
      <c r="AQ209" s="11">
        <f t="shared" si="597"/>
        <v>0</v>
      </c>
      <c r="AR209" s="11">
        <f t="shared" si="597"/>
        <v>0</v>
      </c>
      <c r="AS209" s="207">
        <f t="shared" si="597"/>
        <v>0</v>
      </c>
      <c r="AT209" s="207">
        <f t="shared" si="597"/>
        <v>0</v>
      </c>
      <c r="AU209" s="49">
        <f>SUM(AU199,AU201,AU203,AU205,AU207)</f>
        <v>0</v>
      </c>
      <c r="AV209" s="11">
        <f t="shared" si="583"/>
        <v>0</v>
      </c>
      <c r="AW209" s="11">
        <f t="shared" ref="AW209:AZ209" si="598">SUM(AW199,AW201,AW203,AW205,AW207)</f>
        <v>0</v>
      </c>
      <c r="AX209" s="11">
        <f t="shared" si="598"/>
        <v>0</v>
      </c>
      <c r="AY209" s="11">
        <f t="shared" si="598"/>
        <v>0</v>
      </c>
      <c r="AZ209" s="11">
        <f t="shared" si="598"/>
        <v>0</v>
      </c>
      <c r="BA209" s="207">
        <f t="shared" si="585"/>
        <v>0</v>
      </c>
      <c r="BB209" s="207">
        <f t="shared" ref="BB209" si="599">SUM(BB199,BB201,BB203,BB205,BB207)</f>
        <v>0</v>
      </c>
      <c r="BC209" s="49">
        <f t="shared" si="585"/>
        <v>0</v>
      </c>
      <c r="BD209" s="11">
        <f t="shared" si="585"/>
        <v>0</v>
      </c>
      <c r="BE209" s="11">
        <f t="shared" ref="BE209:BI209" si="600">SUM(BE199,BE201,BE203,BE205,BE207)</f>
        <v>0</v>
      </c>
      <c r="BF209" s="11">
        <f t="shared" si="600"/>
        <v>0</v>
      </c>
      <c r="BG209" s="11">
        <f t="shared" si="600"/>
        <v>0</v>
      </c>
      <c r="BH209" s="11">
        <f t="shared" si="600"/>
        <v>0</v>
      </c>
      <c r="BI209" s="207">
        <f t="shared" si="600"/>
        <v>0</v>
      </c>
      <c r="BJ209" s="207">
        <f t="shared" si="587"/>
        <v>0</v>
      </c>
      <c r="BK209" s="49">
        <f t="shared" si="587"/>
        <v>0</v>
      </c>
      <c r="BL209" s="11">
        <f>SUM(BL199,BL201,BL203,BL205,BL207)</f>
        <v>0</v>
      </c>
      <c r="BM209" s="11">
        <f t="shared" ref="BM209:BS209" si="601">SUM(BM199,BM201,BM203,BM205,BM207)</f>
        <v>0</v>
      </c>
      <c r="BN209" s="11">
        <f t="shared" si="601"/>
        <v>0</v>
      </c>
      <c r="BO209" s="11">
        <f t="shared" si="601"/>
        <v>0</v>
      </c>
      <c r="BP209" s="11">
        <f t="shared" si="601"/>
        <v>0</v>
      </c>
      <c r="BQ209" s="207">
        <f t="shared" si="601"/>
        <v>0</v>
      </c>
      <c r="BR209" s="207">
        <f t="shared" si="601"/>
        <v>0</v>
      </c>
      <c r="BS209" s="49">
        <f t="shared" si="601"/>
        <v>0</v>
      </c>
      <c r="BT209" s="11">
        <f>SUM(BT199,BT201,BT203,BT205,BT207)</f>
        <v>0</v>
      </c>
      <c r="BU209" s="11">
        <f t="shared" ref="BU209:CA209" si="602">SUM(BU199,BU201,BU203,BU205,BU207)</f>
        <v>0</v>
      </c>
      <c r="BV209" s="11">
        <f t="shared" si="602"/>
        <v>0</v>
      </c>
      <c r="BW209" s="11">
        <f t="shared" si="602"/>
        <v>0</v>
      </c>
      <c r="BX209" s="11">
        <f t="shared" si="602"/>
        <v>0</v>
      </c>
      <c r="BY209" s="207">
        <f t="shared" si="602"/>
        <v>0</v>
      </c>
      <c r="BZ209" s="207">
        <f t="shared" si="602"/>
        <v>0</v>
      </c>
      <c r="CA209" s="49">
        <f t="shared" si="602"/>
        <v>0</v>
      </c>
      <c r="CB209" s="11">
        <f>SUM(CB199,CB201,CB203,CB205,CB207)</f>
        <v>0</v>
      </c>
      <c r="CC209" s="11">
        <f t="shared" ref="CC209:CI209" si="603">SUM(CC199,CC201,CC203,CC205,CC207)</f>
        <v>0</v>
      </c>
      <c r="CD209" s="11">
        <f t="shared" si="603"/>
        <v>0</v>
      </c>
      <c r="CE209" s="11">
        <f t="shared" si="603"/>
        <v>0</v>
      </c>
      <c r="CF209" s="11">
        <f t="shared" si="603"/>
        <v>0</v>
      </c>
      <c r="CG209" s="207">
        <f t="shared" si="603"/>
        <v>0</v>
      </c>
      <c r="CH209" s="207">
        <f t="shared" si="603"/>
        <v>0</v>
      </c>
      <c r="CI209" s="49">
        <f t="shared" si="603"/>
        <v>0</v>
      </c>
      <c r="CJ209" s="11">
        <f>SUM(CJ199,CJ201,CJ203,CJ205,CJ207)</f>
        <v>0</v>
      </c>
      <c r="CK209" s="11">
        <f t="shared" ref="CK209:CQ209" si="604">SUM(CK199,CK201,CK203,CK205,CK207)</f>
        <v>0</v>
      </c>
      <c r="CL209" s="11">
        <f t="shared" si="604"/>
        <v>0</v>
      </c>
      <c r="CM209" s="11">
        <f t="shared" si="604"/>
        <v>0</v>
      </c>
      <c r="CN209" s="11">
        <f t="shared" si="604"/>
        <v>0</v>
      </c>
      <c r="CO209" s="207">
        <f t="shared" si="604"/>
        <v>0</v>
      </c>
      <c r="CP209" s="207">
        <f t="shared" si="604"/>
        <v>0</v>
      </c>
      <c r="CQ209" s="49">
        <f t="shared" si="604"/>
        <v>0</v>
      </c>
      <c r="CR209" s="11">
        <f>SUM(CR199,CR201,CR203,CR205,CR207)</f>
        <v>0</v>
      </c>
      <c r="CS209" s="11">
        <f t="shared" ref="CS209:CY209" si="605">SUM(CS199,CS201,CS203,CS205,CS207)</f>
        <v>0</v>
      </c>
      <c r="CT209" s="11">
        <f t="shared" si="605"/>
        <v>0</v>
      </c>
      <c r="CU209" s="11">
        <f t="shared" si="605"/>
        <v>0</v>
      </c>
      <c r="CV209" s="11">
        <f t="shared" si="605"/>
        <v>0</v>
      </c>
      <c r="CW209" s="207">
        <f t="shared" si="605"/>
        <v>0</v>
      </c>
      <c r="CX209" s="207">
        <f t="shared" si="605"/>
        <v>0</v>
      </c>
      <c r="CY209" s="207">
        <f t="shared" si="605"/>
        <v>0</v>
      </c>
      <c r="CZ209" s="20">
        <f>SUM(V209:AA209)</f>
        <v>2.0035087719298246</v>
      </c>
      <c r="DA209" s="55"/>
      <c r="DB209" s="55"/>
    </row>
    <row r="210" spans="1:112" ht="20.100000000000001" customHeight="1" x14ac:dyDescent="0.4">
      <c r="M210" s="23"/>
      <c r="N210" s="24"/>
      <c r="O210" s="24"/>
      <c r="P210" s="24"/>
      <c r="Q210" s="24"/>
      <c r="R210" s="24"/>
      <c r="S210" s="24"/>
      <c r="T210" s="24"/>
      <c r="U210" s="24"/>
      <c r="V210" s="24"/>
      <c r="W210" s="24"/>
      <c r="X210" s="24"/>
      <c r="Y210" s="24"/>
      <c r="Z210" s="24"/>
      <c r="AA210" s="24"/>
      <c r="AB210" s="24"/>
      <c r="AC210" s="24"/>
      <c r="AD210" s="24"/>
      <c r="AE210" s="24"/>
      <c r="AF210" s="24"/>
      <c r="AG210" s="24"/>
      <c r="AH210" s="24"/>
      <c r="AI210" s="24"/>
      <c r="AJ210" s="24"/>
      <c r="AK210" s="24"/>
      <c r="AL210" s="24"/>
      <c r="AM210" s="24"/>
      <c r="AN210" s="24"/>
      <c r="AO210" s="24"/>
      <c r="AP210" s="24"/>
      <c r="AQ210" s="24"/>
      <c r="AR210" s="24"/>
      <c r="AS210" s="24"/>
      <c r="AT210" s="24"/>
      <c r="AU210" s="24"/>
      <c r="AV210" s="24"/>
      <c r="AW210" s="24"/>
      <c r="AX210" s="24"/>
      <c r="AY210" s="24"/>
      <c r="AZ210" s="24"/>
      <c r="BA210" s="24"/>
      <c r="BB210" s="24"/>
      <c r="BC210" s="24"/>
      <c r="BD210" s="24"/>
      <c r="BE210" s="24"/>
      <c r="BF210" s="24"/>
      <c r="BG210" s="24"/>
      <c r="BH210" s="24"/>
      <c r="BI210" s="24"/>
      <c r="BJ210" s="24"/>
      <c r="BK210" s="24"/>
      <c r="BL210" s="24"/>
      <c r="BM210" s="24"/>
      <c r="BN210" s="24"/>
      <c r="BO210" s="24"/>
      <c r="BP210" s="24"/>
      <c r="BQ210" s="24"/>
      <c r="BR210" s="24"/>
      <c r="BS210" s="24"/>
      <c r="BT210" s="24"/>
      <c r="BU210" s="24"/>
      <c r="BV210" s="24"/>
      <c r="BW210" s="24"/>
      <c r="BX210" s="24"/>
      <c r="BY210" s="24"/>
      <c r="BZ210" s="24"/>
      <c r="CA210" s="24"/>
      <c r="CB210" s="24"/>
      <c r="CC210" s="24"/>
      <c r="CD210" s="24"/>
      <c r="CE210" s="24"/>
      <c r="CF210" s="24"/>
      <c r="CG210" s="24"/>
      <c r="CH210" s="24"/>
      <c r="CI210" s="24"/>
      <c r="CJ210" s="24"/>
      <c r="CK210" s="24"/>
      <c r="CL210" s="24"/>
      <c r="CM210" s="24"/>
      <c r="CN210" s="24"/>
      <c r="CO210" s="24"/>
      <c r="CP210" s="24"/>
      <c r="CQ210" s="24"/>
      <c r="CR210" s="24"/>
      <c r="CS210" s="24"/>
      <c r="CT210" s="24"/>
      <c r="CU210" s="24"/>
      <c r="CV210" s="24"/>
      <c r="CW210" s="24"/>
      <c r="CX210" s="24"/>
      <c r="CY210" s="24"/>
    </row>
    <row r="211" spans="1:112" ht="30" customHeight="1" thickBot="1" x14ac:dyDescent="0.45">
      <c r="G211" s="38" t="s">
        <v>81</v>
      </c>
      <c r="H211" s="185">
        <f>SUM(H167,H186)</f>
        <v>5.9454545454545444</v>
      </c>
      <c r="I211" s="185">
        <f>SUM(I167,I186)</f>
        <v>5.1424242424242426</v>
      </c>
      <c r="K211" s="558" t="s">
        <v>97</v>
      </c>
      <c r="L211" s="558"/>
      <c r="M211" s="558"/>
      <c r="N211" s="43" t="s">
        <v>88</v>
      </c>
      <c r="O211" s="25">
        <f>SUM(O189,O208)</f>
        <v>1.0958333333333332</v>
      </c>
      <c r="P211" s="25">
        <f t="shared" ref="P211:AL211" si="606">SUM(P189,P208)</f>
        <v>0</v>
      </c>
      <c r="Q211" s="25">
        <f t="shared" si="606"/>
        <v>1.25</v>
      </c>
      <c r="R211" s="25">
        <f t="shared" si="606"/>
        <v>1.1041666666666667</v>
      </c>
      <c r="S211" s="25">
        <f t="shared" si="606"/>
        <v>1.2666666666666668</v>
      </c>
      <c r="T211" s="25">
        <f t="shared" si="606"/>
        <v>1.2</v>
      </c>
      <c r="U211" s="83">
        <f t="shared" si="606"/>
        <v>1.0833333333333333</v>
      </c>
      <c r="V211" s="27">
        <f t="shared" ref="V211:AA212" si="607">SUM(V189,V208)</f>
        <v>1.0701754385964914</v>
      </c>
      <c r="W211" s="28">
        <f t="shared" si="607"/>
        <v>8.0701754385964913E-2</v>
      </c>
      <c r="X211" s="28">
        <f t="shared" si="607"/>
        <v>1.1508771929824562</v>
      </c>
      <c r="Y211" s="28">
        <f t="shared" si="607"/>
        <v>1.3087719298245615</v>
      </c>
      <c r="Z211" s="28">
        <f t="shared" si="607"/>
        <v>1.2736842105263158</v>
      </c>
      <c r="AA211" s="192">
        <f t="shared" si="607"/>
        <v>1.1157894736842104</v>
      </c>
      <c r="AB211" s="27">
        <f t="shared" si="606"/>
        <v>1.0666666666666667</v>
      </c>
      <c r="AC211" s="28">
        <f t="shared" si="606"/>
        <v>0.61212121212121218</v>
      </c>
      <c r="AD211" s="28">
        <f t="shared" si="606"/>
        <v>1.1121212121212123</v>
      </c>
      <c r="AE211" s="28">
        <f t="shared" si="606"/>
        <v>1.0333333333333332</v>
      </c>
      <c r="AF211" s="28">
        <f t="shared" si="606"/>
        <v>1.0939393939393938</v>
      </c>
      <c r="AG211" s="28">
        <f t="shared" si="606"/>
        <v>1.0818181818181818</v>
      </c>
      <c r="AH211" s="27">
        <f t="shared" si="606"/>
        <v>1.2454545454545451</v>
      </c>
      <c r="AI211" s="28">
        <f t="shared" si="606"/>
        <v>1.1606060606060606</v>
      </c>
      <c r="AJ211" s="28">
        <f t="shared" si="606"/>
        <v>1.1121212121212118</v>
      </c>
      <c r="AK211" s="28">
        <f t="shared" si="606"/>
        <v>0.80909090909090886</v>
      </c>
      <c r="AL211" s="28">
        <f t="shared" si="606"/>
        <v>1.0212121212121212</v>
      </c>
      <c r="AM211" s="192">
        <f t="shared" ref="AM211:AM212" si="608">SUM(AM189,AM208)</f>
        <v>1.0393939393939393</v>
      </c>
      <c r="AN211" s="27">
        <f t="shared" ref="AN211:BP212" si="609">SUM(AN189,AN208)</f>
        <v>0</v>
      </c>
      <c r="AO211" s="28">
        <f t="shared" si="609"/>
        <v>0</v>
      </c>
      <c r="AP211" s="28">
        <f t="shared" si="609"/>
        <v>0</v>
      </c>
      <c r="AQ211" s="28">
        <f t="shared" si="609"/>
        <v>0</v>
      </c>
      <c r="AR211" s="28">
        <f t="shared" si="609"/>
        <v>0</v>
      </c>
      <c r="AS211" s="192">
        <f t="shared" si="609"/>
        <v>0</v>
      </c>
      <c r="AT211" s="192">
        <f t="shared" si="609"/>
        <v>0</v>
      </c>
      <c r="AU211" s="192">
        <f t="shared" si="609"/>
        <v>0</v>
      </c>
      <c r="AV211" s="27">
        <f t="shared" si="609"/>
        <v>0</v>
      </c>
      <c r="AW211" s="28">
        <f t="shared" si="609"/>
        <v>0</v>
      </c>
      <c r="AX211" s="28">
        <f t="shared" si="609"/>
        <v>0</v>
      </c>
      <c r="AY211" s="28">
        <f t="shared" si="609"/>
        <v>0</v>
      </c>
      <c r="AZ211" s="28">
        <f t="shared" si="609"/>
        <v>0</v>
      </c>
      <c r="BA211" s="192">
        <f t="shared" ref="BA211:BB211" si="610">SUM(BA189,BA208)</f>
        <v>0</v>
      </c>
      <c r="BB211" s="192">
        <f t="shared" si="610"/>
        <v>0</v>
      </c>
      <c r="BC211" s="28">
        <f t="shared" si="609"/>
        <v>0</v>
      </c>
      <c r="BD211" s="27">
        <f t="shared" si="609"/>
        <v>0</v>
      </c>
      <c r="BE211" s="28">
        <f t="shared" si="609"/>
        <v>0</v>
      </c>
      <c r="BF211" s="28">
        <f t="shared" si="609"/>
        <v>0</v>
      </c>
      <c r="BG211" s="28">
        <f t="shared" si="609"/>
        <v>0</v>
      </c>
      <c r="BH211" s="28">
        <f t="shared" si="609"/>
        <v>0</v>
      </c>
      <c r="BI211" s="192">
        <f t="shared" si="609"/>
        <v>0</v>
      </c>
      <c r="BJ211" s="192">
        <f t="shared" si="609"/>
        <v>0</v>
      </c>
      <c r="BK211" s="192">
        <f t="shared" ref="BK211" si="611">SUM(BK189,BK208)</f>
        <v>0</v>
      </c>
      <c r="BL211" s="27">
        <f t="shared" si="609"/>
        <v>0</v>
      </c>
      <c r="BM211" s="28">
        <f t="shared" si="609"/>
        <v>0</v>
      </c>
      <c r="BN211" s="28">
        <f t="shared" si="609"/>
        <v>0</v>
      </c>
      <c r="BO211" s="28">
        <f t="shared" si="609"/>
        <v>0</v>
      </c>
      <c r="BP211" s="28">
        <f t="shared" si="609"/>
        <v>0</v>
      </c>
      <c r="BQ211" s="192">
        <f t="shared" ref="BQ211:BS212" si="612">SUM(BQ189,BQ208)</f>
        <v>0</v>
      </c>
      <c r="BR211" s="192">
        <f t="shared" si="612"/>
        <v>0</v>
      </c>
      <c r="BS211" s="192">
        <f t="shared" si="612"/>
        <v>0</v>
      </c>
      <c r="BT211" s="27">
        <f t="shared" ref="BT211:CY212" si="613">SUM(BT189,BT208)</f>
        <v>0</v>
      </c>
      <c r="BU211" s="28">
        <f t="shared" si="613"/>
        <v>0</v>
      </c>
      <c r="BV211" s="28">
        <f t="shared" si="613"/>
        <v>0</v>
      </c>
      <c r="BW211" s="28">
        <f t="shared" si="613"/>
        <v>0</v>
      </c>
      <c r="BX211" s="28">
        <f t="shared" si="613"/>
        <v>0</v>
      </c>
      <c r="BY211" s="192">
        <f t="shared" si="613"/>
        <v>0</v>
      </c>
      <c r="BZ211" s="192">
        <f t="shared" si="613"/>
        <v>0</v>
      </c>
      <c r="CA211" s="192">
        <f t="shared" si="613"/>
        <v>0</v>
      </c>
      <c r="CB211" s="85">
        <f t="shared" si="613"/>
        <v>0</v>
      </c>
      <c r="CC211" s="28">
        <f t="shared" si="613"/>
        <v>0</v>
      </c>
      <c r="CD211" s="28">
        <f t="shared" si="613"/>
        <v>0</v>
      </c>
      <c r="CE211" s="28">
        <f t="shared" si="613"/>
        <v>0</v>
      </c>
      <c r="CF211" s="28">
        <f t="shared" si="613"/>
        <v>0</v>
      </c>
      <c r="CG211" s="192">
        <f t="shared" ref="CG211:CI211" si="614">SUM(CG189,CG208)</f>
        <v>0</v>
      </c>
      <c r="CH211" s="192">
        <f t="shared" si="614"/>
        <v>0</v>
      </c>
      <c r="CI211" s="192">
        <f t="shared" si="614"/>
        <v>0</v>
      </c>
      <c r="CJ211" s="27">
        <f t="shared" si="613"/>
        <v>0</v>
      </c>
      <c r="CK211" s="28">
        <f t="shared" si="613"/>
        <v>0</v>
      </c>
      <c r="CL211" s="28">
        <f t="shared" si="613"/>
        <v>0</v>
      </c>
      <c r="CM211" s="28">
        <f t="shared" si="613"/>
        <v>0</v>
      </c>
      <c r="CN211" s="28">
        <f t="shared" si="613"/>
        <v>0</v>
      </c>
      <c r="CO211" s="192">
        <f t="shared" ref="CO211:CQ211" si="615">SUM(CO189,CO208)</f>
        <v>0</v>
      </c>
      <c r="CP211" s="192">
        <f t="shared" si="615"/>
        <v>0</v>
      </c>
      <c r="CQ211" s="192">
        <f t="shared" si="615"/>
        <v>0</v>
      </c>
      <c r="CR211" s="27">
        <f t="shared" si="613"/>
        <v>0</v>
      </c>
      <c r="CS211" s="28">
        <f t="shared" si="613"/>
        <v>0</v>
      </c>
      <c r="CT211" s="28">
        <f t="shared" si="613"/>
        <v>0</v>
      </c>
      <c r="CU211" s="28">
        <f t="shared" si="613"/>
        <v>0</v>
      </c>
      <c r="CV211" s="28">
        <f t="shared" si="613"/>
        <v>0</v>
      </c>
      <c r="CW211" s="192">
        <f t="shared" si="613"/>
        <v>0</v>
      </c>
      <c r="CX211" s="192">
        <f t="shared" si="613"/>
        <v>0</v>
      </c>
      <c r="CY211" s="192">
        <f t="shared" si="613"/>
        <v>0</v>
      </c>
      <c r="CZ211" s="231"/>
    </row>
    <row r="212" spans="1:112" ht="30" customHeight="1" thickTop="1" thickBot="1" x14ac:dyDescent="0.45">
      <c r="G212" s="38" t="s">
        <v>82</v>
      </c>
      <c r="H212" s="185">
        <f>H208</f>
        <v>0.44242424242424244</v>
      </c>
      <c r="I212" s="185">
        <f>I208</f>
        <v>0.31212121212121213</v>
      </c>
      <c r="K212" s="558" t="s">
        <v>97</v>
      </c>
      <c r="L212" s="558"/>
      <c r="M212" s="558"/>
      <c r="N212" s="44" t="s">
        <v>89</v>
      </c>
      <c r="O212" s="26">
        <f t="shared" ref="O212:AL212" si="616">SUM(O190,O209)</f>
        <v>1</v>
      </c>
      <c r="P212" s="26">
        <f t="shared" si="616"/>
        <v>1</v>
      </c>
      <c r="Q212" s="26">
        <f t="shared" si="616"/>
        <v>1</v>
      </c>
      <c r="R212" s="26">
        <f t="shared" si="616"/>
        <v>0.8125</v>
      </c>
      <c r="S212" s="26">
        <f t="shared" si="616"/>
        <v>1</v>
      </c>
      <c r="T212" s="26">
        <f t="shared" si="616"/>
        <v>0.99999999999999989</v>
      </c>
      <c r="U212" s="84">
        <f t="shared" si="616"/>
        <v>0.99999999999999989</v>
      </c>
      <c r="V212" s="62">
        <f>SUM(V190,V209)</f>
        <v>1</v>
      </c>
      <c r="W212" s="26">
        <f>SUM(W190,W209)</f>
        <v>1</v>
      </c>
      <c r="X212" s="26">
        <f>SUM(X190,X209)</f>
        <v>1</v>
      </c>
      <c r="Y212" s="26">
        <f t="shared" si="616"/>
        <v>1</v>
      </c>
      <c r="Z212" s="26">
        <f t="shared" si="616"/>
        <v>1</v>
      </c>
      <c r="AA212" s="61">
        <f t="shared" si="607"/>
        <v>1</v>
      </c>
      <c r="AB212" s="62">
        <f t="shared" si="616"/>
        <v>0.99696969696969684</v>
      </c>
      <c r="AC212" s="26">
        <f t="shared" si="616"/>
        <v>1</v>
      </c>
      <c r="AD212" s="26">
        <f t="shared" si="616"/>
        <v>1.0000000000000002</v>
      </c>
      <c r="AE212" s="26">
        <f t="shared" si="616"/>
        <v>1</v>
      </c>
      <c r="AF212" s="26">
        <f t="shared" si="616"/>
        <v>1</v>
      </c>
      <c r="AG212" s="61">
        <f t="shared" si="616"/>
        <v>0.99999999999999978</v>
      </c>
      <c r="AH212" s="62">
        <f t="shared" si="616"/>
        <v>0.90909090909090906</v>
      </c>
      <c r="AI212" s="26">
        <f t="shared" si="616"/>
        <v>0.90909090909090917</v>
      </c>
      <c r="AJ212" s="26">
        <f t="shared" si="616"/>
        <v>0.90909090909090928</v>
      </c>
      <c r="AK212" s="26">
        <f t="shared" si="616"/>
        <v>0.90909090909090906</v>
      </c>
      <c r="AL212" s="26">
        <f t="shared" si="616"/>
        <v>0.90909090909090917</v>
      </c>
      <c r="AM212" s="61">
        <f t="shared" si="608"/>
        <v>0.90909090909090928</v>
      </c>
      <c r="AN212" s="62">
        <f t="shared" ref="AN212:BP212" si="617">SUM(AN190,AN209)</f>
        <v>0</v>
      </c>
      <c r="AO212" s="26">
        <f t="shared" si="617"/>
        <v>0</v>
      </c>
      <c r="AP212" s="26">
        <f t="shared" si="617"/>
        <v>0</v>
      </c>
      <c r="AQ212" s="26">
        <f t="shared" si="617"/>
        <v>0</v>
      </c>
      <c r="AR212" s="26">
        <f t="shared" si="617"/>
        <v>0</v>
      </c>
      <c r="AS212" s="26">
        <f t="shared" si="609"/>
        <v>0</v>
      </c>
      <c r="AT212" s="26">
        <f t="shared" si="609"/>
        <v>0</v>
      </c>
      <c r="AU212" s="61">
        <f t="shared" si="609"/>
        <v>0</v>
      </c>
      <c r="AV212" s="62">
        <f t="shared" si="617"/>
        <v>0</v>
      </c>
      <c r="AW212" s="26">
        <f t="shared" si="617"/>
        <v>0</v>
      </c>
      <c r="AX212" s="26">
        <f t="shared" si="617"/>
        <v>0</v>
      </c>
      <c r="AY212" s="26">
        <f t="shared" si="617"/>
        <v>0</v>
      </c>
      <c r="AZ212" s="26">
        <f t="shared" si="617"/>
        <v>0</v>
      </c>
      <c r="BA212" s="61">
        <f t="shared" ref="BA212:BB212" si="618">SUM(BA190,BA209)</f>
        <v>0</v>
      </c>
      <c r="BB212" s="61">
        <f t="shared" si="618"/>
        <v>0</v>
      </c>
      <c r="BC212" s="61">
        <f t="shared" si="617"/>
        <v>0</v>
      </c>
      <c r="BD212" s="62">
        <f t="shared" si="617"/>
        <v>0</v>
      </c>
      <c r="BE212" s="26">
        <f t="shared" si="617"/>
        <v>0</v>
      </c>
      <c r="BF212" s="26">
        <f t="shared" si="617"/>
        <v>0</v>
      </c>
      <c r="BG212" s="26">
        <f t="shared" si="617"/>
        <v>0</v>
      </c>
      <c r="BH212" s="26">
        <f t="shared" si="617"/>
        <v>0</v>
      </c>
      <c r="BI212" s="61">
        <f t="shared" si="617"/>
        <v>0</v>
      </c>
      <c r="BJ212" s="61">
        <f t="shared" si="617"/>
        <v>0</v>
      </c>
      <c r="BK212" s="61">
        <f t="shared" ref="BK212" si="619">SUM(BK190,BK209)</f>
        <v>0</v>
      </c>
      <c r="BL212" s="62">
        <f t="shared" si="617"/>
        <v>0</v>
      </c>
      <c r="BM212" s="26">
        <f t="shared" si="617"/>
        <v>0</v>
      </c>
      <c r="BN212" s="26">
        <f t="shared" si="617"/>
        <v>0</v>
      </c>
      <c r="BO212" s="26">
        <f t="shared" si="617"/>
        <v>0</v>
      </c>
      <c r="BP212" s="26">
        <f t="shared" si="617"/>
        <v>0</v>
      </c>
      <c r="BQ212" s="61">
        <f t="shared" ref="BQ212:BR212" si="620">SUM(BQ190,BQ209)</f>
        <v>0</v>
      </c>
      <c r="BR212" s="61">
        <f t="shared" si="620"/>
        <v>0</v>
      </c>
      <c r="BS212" s="61">
        <f t="shared" si="612"/>
        <v>0</v>
      </c>
      <c r="BT212" s="62">
        <f t="shared" ref="BT212:CY212" si="621">SUM(BT190,BT209)</f>
        <v>0</v>
      </c>
      <c r="BU212" s="26">
        <f t="shared" si="621"/>
        <v>0</v>
      </c>
      <c r="BV212" s="26">
        <f t="shared" si="621"/>
        <v>0</v>
      </c>
      <c r="BW212" s="26">
        <f t="shared" si="621"/>
        <v>0</v>
      </c>
      <c r="BX212" s="26">
        <f t="shared" si="621"/>
        <v>0</v>
      </c>
      <c r="BY212" s="61">
        <f t="shared" si="621"/>
        <v>0</v>
      </c>
      <c r="BZ212" s="61">
        <f t="shared" si="621"/>
        <v>0</v>
      </c>
      <c r="CA212" s="61">
        <f t="shared" si="613"/>
        <v>0</v>
      </c>
      <c r="CB212" s="62">
        <f t="shared" si="621"/>
        <v>0</v>
      </c>
      <c r="CC212" s="26">
        <f t="shared" si="621"/>
        <v>0</v>
      </c>
      <c r="CD212" s="26">
        <f t="shared" si="621"/>
        <v>0</v>
      </c>
      <c r="CE212" s="26">
        <f t="shared" si="621"/>
        <v>0</v>
      </c>
      <c r="CF212" s="26">
        <f t="shared" si="621"/>
        <v>0</v>
      </c>
      <c r="CG212" s="61">
        <f t="shared" ref="CG212:CI212" si="622">SUM(CG190,CG209)</f>
        <v>0</v>
      </c>
      <c r="CH212" s="61">
        <f t="shared" si="622"/>
        <v>0</v>
      </c>
      <c r="CI212" s="61">
        <f t="shared" si="622"/>
        <v>0</v>
      </c>
      <c r="CJ212" s="62">
        <f t="shared" si="621"/>
        <v>0</v>
      </c>
      <c r="CK212" s="26">
        <f t="shared" si="621"/>
        <v>0</v>
      </c>
      <c r="CL212" s="26">
        <f t="shared" si="621"/>
        <v>0</v>
      </c>
      <c r="CM212" s="26">
        <f t="shared" si="621"/>
        <v>0</v>
      </c>
      <c r="CN212" s="26">
        <f t="shared" si="621"/>
        <v>0</v>
      </c>
      <c r="CO212" s="61">
        <f t="shared" ref="CO212:CQ212" si="623">SUM(CO190,CO209)</f>
        <v>0</v>
      </c>
      <c r="CP212" s="61">
        <f t="shared" si="623"/>
        <v>0</v>
      </c>
      <c r="CQ212" s="61">
        <f t="shared" si="623"/>
        <v>0</v>
      </c>
      <c r="CR212" s="62">
        <f t="shared" si="621"/>
        <v>0</v>
      </c>
      <c r="CS212" s="26">
        <f t="shared" si="621"/>
        <v>0</v>
      </c>
      <c r="CT212" s="26">
        <f t="shared" si="621"/>
        <v>0</v>
      </c>
      <c r="CU212" s="26">
        <f t="shared" si="621"/>
        <v>0</v>
      </c>
      <c r="CV212" s="26">
        <f t="shared" si="621"/>
        <v>0</v>
      </c>
      <c r="CW212" s="61">
        <f t="shared" si="621"/>
        <v>0</v>
      </c>
      <c r="CX212" s="61">
        <f t="shared" si="621"/>
        <v>0</v>
      </c>
      <c r="CY212" s="61">
        <f t="shared" si="621"/>
        <v>0</v>
      </c>
      <c r="CZ212" s="232">
        <f>SUM(V212:AA212)</f>
        <v>6</v>
      </c>
      <c r="DB212" s="50"/>
      <c r="DC212" s="50"/>
    </row>
    <row r="213" spans="1:112" ht="30" customHeight="1" thickTop="1" thickBot="1" x14ac:dyDescent="0.45">
      <c r="G213" s="38" t="s">
        <v>83</v>
      </c>
      <c r="H213" s="185">
        <f>SUM(H211:H212)</f>
        <v>6.3878787878787868</v>
      </c>
      <c r="I213" s="185">
        <f>SUM(I211:I212)</f>
        <v>5.454545454545455</v>
      </c>
      <c r="K213" s="477" t="s">
        <v>98</v>
      </c>
      <c r="L213" s="478"/>
      <c r="M213" s="479"/>
      <c r="N213" s="45" t="s">
        <v>93</v>
      </c>
      <c r="O213" s="565">
        <f>SUM(O211:U211)</f>
        <v>7</v>
      </c>
      <c r="P213" s="533"/>
      <c r="Q213" s="533"/>
      <c r="R213" s="533"/>
      <c r="S213" s="533"/>
      <c r="T213" s="533"/>
      <c r="U213" s="573"/>
      <c r="V213" s="565">
        <f>SUM(V211:AA211)</f>
        <v>6</v>
      </c>
      <c r="W213" s="533"/>
      <c r="X213" s="533"/>
      <c r="Y213" s="533"/>
      <c r="Z213" s="533"/>
      <c r="AA213" s="533"/>
      <c r="AB213" s="532">
        <f>SUM(AB211:AG211)</f>
        <v>6</v>
      </c>
      <c r="AC213" s="533"/>
      <c r="AD213" s="543"/>
      <c r="AE213" s="543"/>
      <c r="AF213" s="543"/>
      <c r="AG213" s="543"/>
      <c r="AH213" s="541">
        <f>SUM(AH211:AM211)</f>
        <v>6.3878787878787868</v>
      </c>
      <c r="AI213" s="542"/>
      <c r="AJ213" s="542"/>
      <c r="AK213" s="542"/>
      <c r="AL213" s="542"/>
      <c r="AM213" s="542"/>
      <c r="AN213" s="541">
        <f>SUM(AN211:AU211)</f>
        <v>0</v>
      </c>
      <c r="AO213" s="542"/>
      <c r="AP213" s="542"/>
      <c r="AQ213" s="542"/>
      <c r="AR213" s="542"/>
      <c r="AS213" s="542"/>
      <c r="AT213" s="542"/>
      <c r="AU213" s="542"/>
      <c r="AV213" s="541">
        <f>SUM(AV211:BC211)</f>
        <v>0</v>
      </c>
      <c r="AW213" s="542"/>
      <c r="AX213" s="542"/>
      <c r="AY213" s="542"/>
      <c r="AZ213" s="542"/>
      <c r="BA213" s="542"/>
      <c r="BB213" s="542"/>
      <c r="BC213" s="542"/>
      <c r="BD213" s="541">
        <f>SUM(BD211:BK211)</f>
        <v>0</v>
      </c>
      <c r="BE213" s="542"/>
      <c r="BF213" s="542"/>
      <c r="BG213" s="542"/>
      <c r="BH213" s="542"/>
      <c r="BI213" s="542"/>
      <c r="BJ213" s="542"/>
      <c r="BK213" s="542"/>
      <c r="BL213" s="541">
        <f>SUM(BL211:BS211)</f>
        <v>0</v>
      </c>
      <c r="BM213" s="542"/>
      <c r="BN213" s="542"/>
      <c r="BO213" s="542"/>
      <c r="BP213" s="542"/>
      <c r="BQ213" s="542"/>
      <c r="BR213" s="542"/>
      <c r="BS213" s="542"/>
      <c r="BT213" s="541">
        <f>SUM(BT211:CA211)</f>
        <v>0</v>
      </c>
      <c r="BU213" s="542"/>
      <c r="BV213" s="542"/>
      <c r="BW213" s="542"/>
      <c r="BX213" s="542"/>
      <c r="BY213" s="542"/>
      <c r="BZ213" s="542"/>
      <c r="CA213" s="542"/>
      <c r="CB213" s="541">
        <f>SUM(CB211:CI211)</f>
        <v>0</v>
      </c>
      <c r="CC213" s="542"/>
      <c r="CD213" s="542"/>
      <c r="CE213" s="542"/>
      <c r="CF213" s="542"/>
      <c r="CG213" s="542"/>
      <c r="CH213" s="542"/>
      <c r="CI213" s="542"/>
      <c r="CJ213" s="541">
        <f>SUM(CJ211:CQ211)</f>
        <v>0</v>
      </c>
      <c r="CK213" s="542"/>
      <c r="CL213" s="542"/>
      <c r="CM213" s="542"/>
      <c r="CN213" s="542"/>
      <c r="CO213" s="542"/>
      <c r="CP213" s="542"/>
      <c r="CQ213" s="542"/>
      <c r="CR213" s="541">
        <f>SUM(CR211:CY211)</f>
        <v>0</v>
      </c>
      <c r="CS213" s="542"/>
      <c r="CT213" s="542"/>
      <c r="CU213" s="542"/>
      <c r="CV213" s="542"/>
      <c r="CW213" s="542"/>
      <c r="CX213" s="542"/>
      <c r="CY213" s="542"/>
      <c r="CZ213" s="319"/>
    </row>
    <row r="214" spans="1:112" ht="20.100000000000001" customHeight="1" thickTop="1" thickBot="1" x14ac:dyDescent="0.45">
      <c r="K214" s="477" t="s">
        <v>99</v>
      </c>
      <c r="L214" s="478"/>
      <c r="M214" s="479"/>
      <c r="N214" s="46" t="s">
        <v>94</v>
      </c>
      <c r="O214" s="533">
        <f>SUM(O212:U212)</f>
        <v>6.8125</v>
      </c>
      <c r="P214" s="533"/>
      <c r="Q214" s="533"/>
      <c r="R214" s="533"/>
      <c r="S214" s="533"/>
      <c r="T214" s="533"/>
      <c r="U214" s="533"/>
      <c r="V214" s="532">
        <f>SUM(V212:AA212)</f>
        <v>6</v>
      </c>
      <c r="W214" s="533"/>
      <c r="X214" s="543"/>
      <c r="Y214" s="543"/>
      <c r="Z214" s="543"/>
      <c r="AA214" s="543"/>
      <c r="AB214" s="532">
        <f>SUM(AB212:AG212)</f>
        <v>5.9969696969696971</v>
      </c>
      <c r="AC214" s="533"/>
      <c r="AD214" s="543"/>
      <c r="AE214" s="543"/>
      <c r="AF214" s="543"/>
      <c r="AG214" s="543"/>
      <c r="AH214" s="559">
        <f>SUM(AH212:AM212)</f>
        <v>5.454545454545455</v>
      </c>
      <c r="AI214" s="560"/>
      <c r="AJ214" s="560"/>
      <c r="AK214" s="560"/>
      <c r="AL214" s="560"/>
      <c r="AM214" s="560"/>
      <c r="AN214" s="532">
        <f>SUM(AN212:AU212)</f>
        <v>0</v>
      </c>
      <c r="AO214" s="533"/>
      <c r="AP214" s="533"/>
      <c r="AQ214" s="533"/>
      <c r="AR214" s="533"/>
      <c r="AS214" s="533"/>
      <c r="AT214" s="533"/>
      <c r="AU214" s="533"/>
      <c r="AV214" s="532">
        <f>SUM(AV212:BC212)</f>
        <v>0</v>
      </c>
      <c r="AW214" s="543"/>
      <c r="AX214" s="543"/>
      <c r="AY214" s="543"/>
      <c r="AZ214" s="543"/>
      <c r="BA214" s="543"/>
      <c r="BB214" s="543"/>
      <c r="BC214" s="543"/>
      <c r="BD214" s="532">
        <f>SUM(BD212:BK212)</f>
        <v>0</v>
      </c>
      <c r="BE214" s="543"/>
      <c r="BF214" s="543"/>
      <c r="BG214" s="543"/>
      <c r="BH214" s="543"/>
      <c r="BI214" s="543"/>
      <c r="BJ214" s="543"/>
      <c r="BK214" s="543"/>
      <c r="BL214" s="532">
        <f>SUM(BL212:BS212)</f>
        <v>0</v>
      </c>
      <c r="BM214" s="543"/>
      <c r="BN214" s="543"/>
      <c r="BO214" s="543"/>
      <c r="BP214" s="543"/>
      <c r="BQ214" s="543"/>
      <c r="BR214" s="543"/>
      <c r="BS214" s="543"/>
      <c r="BT214" s="532">
        <f>SUM(BT212:CA212)</f>
        <v>0</v>
      </c>
      <c r="BU214" s="543"/>
      <c r="BV214" s="543"/>
      <c r="BW214" s="543"/>
      <c r="BX214" s="543"/>
      <c r="BY214" s="543"/>
      <c r="BZ214" s="543"/>
      <c r="CA214" s="543"/>
      <c r="CB214" s="532">
        <f>SUM(CB212:CI212)</f>
        <v>0</v>
      </c>
      <c r="CC214" s="533"/>
      <c r="CD214" s="533"/>
      <c r="CE214" s="533"/>
      <c r="CF214" s="533"/>
      <c r="CG214" s="533"/>
      <c r="CH214" s="533"/>
      <c r="CI214" s="533"/>
      <c r="CJ214" s="532">
        <f>SUM(CJ212:CQ212)</f>
        <v>0</v>
      </c>
      <c r="CK214" s="543"/>
      <c r="CL214" s="543"/>
      <c r="CM214" s="543"/>
      <c r="CN214" s="543"/>
      <c r="CO214" s="543"/>
      <c r="CP214" s="543"/>
      <c r="CQ214" s="543"/>
      <c r="CR214" s="532">
        <f>SUM(CR212:CY212)</f>
        <v>0</v>
      </c>
      <c r="CS214" s="543"/>
      <c r="CT214" s="543"/>
      <c r="CU214" s="543"/>
      <c r="CV214" s="543"/>
      <c r="CW214" s="543"/>
      <c r="CX214" s="543"/>
      <c r="CY214" s="543"/>
      <c r="CZ214" s="278"/>
    </row>
    <row r="215" spans="1:112" ht="20.100000000000001" customHeight="1" thickTop="1" x14ac:dyDescent="0.4">
      <c r="AH215" s="53"/>
      <c r="AN215" s="53"/>
      <c r="AV215" s="53"/>
      <c r="BD215" s="53"/>
    </row>
    <row r="216" spans="1:112" ht="20.100000000000001" customHeight="1" x14ac:dyDescent="0.4">
      <c r="P216" s="483" t="s">
        <v>522</v>
      </c>
      <c r="Q216" s="484"/>
      <c r="R216" s="204" t="s">
        <v>182</v>
      </c>
      <c r="S216" s="205" t="s">
        <v>183</v>
      </c>
      <c r="T216" s="206" t="s">
        <v>184</v>
      </c>
      <c r="U216" s="239"/>
      <c r="V216" s="487" t="s">
        <v>569</v>
      </c>
      <c r="W216" s="488"/>
      <c r="X216" s="204" t="s">
        <v>182</v>
      </c>
      <c r="Y216" s="205" t="s">
        <v>183</v>
      </c>
      <c r="Z216" s="206" t="s">
        <v>184</v>
      </c>
      <c r="AA216" s="235"/>
      <c r="AB216" s="581" t="s">
        <v>636</v>
      </c>
      <c r="AC216" s="582"/>
      <c r="AD216" s="204" t="s">
        <v>182</v>
      </c>
      <c r="AE216" s="205" t="s">
        <v>183</v>
      </c>
      <c r="AF216" s="206" t="s">
        <v>184</v>
      </c>
      <c r="AG216" s="235"/>
      <c r="AH216" s="353" t="s">
        <v>786</v>
      </c>
      <c r="AI216" s="336"/>
      <c r="AJ216" s="204" t="s">
        <v>182</v>
      </c>
      <c r="AK216" s="205" t="s">
        <v>183</v>
      </c>
      <c r="AL216" s="206" t="s">
        <v>184</v>
      </c>
      <c r="AM216" s="235"/>
      <c r="AN216" s="240"/>
      <c r="AO216" s="487" t="s">
        <v>353</v>
      </c>
      <c r="AP216" s="488"/>
      <c r="AQ216" s="204" t="s">
        <v>182</v>
      </c>
      <c r="AR216" s="205" t="s">
        <v>183</v>
      </c>
      <c r="AS216" s="206" t="s">
        <v>184</v>
      </c>
      <c r="AT216" s="235"/>
      <c r="AU216" s="235"/>
      <c r="AV216" s="240"/>
      <c r="AW216" s="487" t="s">
        <v>354</v>
      </c>
      <c r="AX216" s="488"/>
      <c r="AY216" s="204" t="s">
        <v>182</v>
      </c>
      <c r="AZ216" s="205" t="s">
        <v>183</v>
      </c>
      <c r="BA216" s="206" t="s">
        <v>184</v>
      </c>
      <c r="BB216" s="239"/>
      <c r="BC216" s="239"/>
      <c r="BD216" s="240"/>
      <c r="BE216" s="487" t="s">
        <v>355</v>
      </c>
      <c r="BF216" s="488"/>
      <c r="BG216" s="204" t="s">
        <v>182</v>
      </c>
      <c r="BH216" s="205" t="s">
        <v>183</v>
      </c>
      <c r="BI216" s="206" t="s">
        <v>184</v>
      </c>
      <c r="BJ216" s="239"/>
      <c r="BK216" s="239"/>
      <c r="BL216" s="240"/>
      <c r="BM216" s="487" t="s">
        <v>356</v>
      </c>
      <c r="BN216" s="488"/>
      <c r="BO216" s="204" t="s">
        <v>182</v>
      </c>
      <c r="BP216" s="205" t="s">
        <v>183</v>
      </c>
      <c r="BQ216" s="206" t="s">
        <v>184</v>
      </c>
      <c r="BR216" s="239"/>
      <c r="BS216" s="239"/>
      <c r="BT216" s="240"/>
      <c r="BU216" s="487" t="s">
        <v>357</v>
      </c>
      <c r="BV216" s="488"/>
      <c r="BW216" s="204" t="s">
        <v>182</v>
      </c>
      <c r="BX216" s="205" t="s">
        <v>183</v>
      </c>
      <c r="BY216" s="206" t="s">
        <v>184</v>
      </c>
      <c r="BZ216" s="239"/>
      <c r="CA216" s="239"/>
      <c r="CB216" s="240"/>
      <c r="CC216" s="487" t="s">
        <v>352</v>
      </c>
      <c r="CD216" s="488"/>
      <c r="CE216" s="204" t="s">
        <v>182</v>
      </c>
      <c r="CF216" s="205" t="s">
        <v>183</v>
      </c>
      <c r="CG216" s="206" t="s">
        <v>184</v>
      </c>
      <c r="CH216" s="239"/>
      <c r="CI216" s="239"/>
      <c r="CJ216" s="240"/>
      <c r="CK216" s="487" t="s">
        <v>351</v>
      </c>
      <c r="CL216" s="488"/>
      <c r="CM216" s="204" t="s">
        <v>182</v>
      </c>
      <c r="CN216" s="205" t="s">
        <v>183</v>
      </c>
      <c r="CO216" s="206" t="s">
        <v>184</v>
      </c>
      <c r="CP216" s="239"/>
      <c r="CQ216" s="239"/>
      <c r="CR216" s="240"/>
      <c r="CS216" s="487" t="s">
        <v>350</v>
      </c>
      <c r="CT216" s="488"/>
      <c r="CU216" s="204" t="s">
        <v>182</v>
      </c>
      <c r="CV216" s="205" t="s">
        <v>183</v>
      </c>
      <c r="CW216" s="206" t="s">
        <v>184</v>
      </c>
      <c r="CX216" s="239"/>
      <c r="CY216" s="239"/>
      <c r="CZ216" s="233"/>
      <c r="DA216" s="234"/>
      <c r="DB216" s="233"/>
      <c r="DC216" s="233"/>
      <c r="DD216" s="233"/>
      <c r="DE216" s="233"/>
      <c r="DF216" s="233"/>
      <c r="DG216" s="233"/>
      <c r="DH216" s="233"/>
    </row>
    <row r="217" spans="1:112" ht="20.100000000000001" customHeight="1" x14ac:dyDescent="0.4">
      <c r="P217" s="459" t="s">
        <v>185</v>
      </c>
      <c r="Q217" s="460"/>
      <c r="R217" s="209">
        <v>2.7708333333333335</v>
      </c>
      <c r="S217" s="209">
        <f>SUM(O167:U167)</f>
        <v>5.104166666666667</v>
      </c>
      <c r="T217" s="226">
        <f t="shared" ref="T217:T224" si="624">S217-R217</f>
        <v>2.3333333333333335</v>
      </c>
      <c r="U217" s="239"/>
      <c r="V217" s="459" t="s">
        <v>185</v>
      </c>
      <c r="W217" s="460"/>
      <c r="X217" s="209">
        <v>3.4877192982456133</v>
      </c>
      <c r="Y217" s="209">
        <f>SUM(V167:AA167)</f>
        <v>3.6771929824561402</v>
      </c>
      <c r="Z217" s="226">
        <f>Y217-X217</f>
        <v>0.1894736842105269</v>
      </c>
      <c r="AA217" s="235"/>
      <c r="AB217" s="459" t="s">
        <v>185</v>
      </c>
      <c r="AC217" s="460"/>
      <c r="AD217" s="209">
        <v>2.4848484848484844</v>
      </c>
      <c r="AE217" s="209">
        <f>SUM(AB167:AG167)</f>
        <v>4.3939393939393945</v>
      </c>
      <c r="AF217" s="226">
        <f>AE217-AD217</f>
        <v>1.9090909090909101</v>
      </c>
      <c r="AG217" s="235"/>
      <c r="AH217" s="333" t="s">
        <v>185</v>
      </c>
      <c r="AI217" s="332"/>
      <c r="AJ217" s="209">
        <v>5.006060606060605</v>
      </c>
      <c r="AK217" s="209">
        <f>SUM(AH167:AM167)</f>
        <v>5.0545454545454538</v>
      </c>
      <c r="AL217" s="226">
        <f>AK217-AJ217</f>
        <v>4.8484848484848797E-2</v>
      </c>
      <c r="AM217" s="235"/>
      <c r="AN217" s="244"/>
      <c r="AO217" s="459" t="s">
        <v>185</v>
      </c>
      <c r="AP217" s="460"/>
      <c r="AQ217" s="209"/>
      <c r="AR217" s="209">
        <f>SUM(AN167:AU167)</f>
        <v>0</v>
      </c>
      <c r="AS217" s="226">
        <f>AR217-AQ217</f>
        <v>0</v>
      </c>
      <c r="AT217" s="235"/>
      <c r="AU217" s="235"/>
      <c r="AV217" s="244"/>
      <c r="AW217" s="459" t="s">
        <v>185</v>
      </c>
      <c r="AX217" s="460"/>
      <c r="AY217" s="209"/>
      <c r="AZ217" s="209">
        <f>SUM(AV167:BC167)</f>
        <v>0</v>
      </c>
      <c r="BA217" s="226">
        <f>AZ217-AY217</f>
        <v>0</v>
      </c>
      <c r="BB217" s="239"/>
      <c r="BC217" s="239"/>
      <c r="BD217" s="244"/>
      <c r="BE217" s="459" t="s">
        <v>185</v>
      </c>
      <c r="BF217" s="460"/>
      <c r="BG217" s="209"/>
      <c r="BH217" s="209">
        <f>SUM(BD167:BK167)</f>
        <v>0</v>
      </c>
      <c r="BI217" s="226">
        <f>BH217-BG217</f>
        <v>0</v>
      </c>
      <c r="BJ217" s="239"/>
      <c r="BK217" s="239"/>
      <c r="BL217" s="244"/>
      <c r="BM217" s="459" t="s">
        <v>185</v>
      </c>
      <c r="BN217" s="460"/>
      <c r="BO217" s="209"/>
      <c r="BP217" s="209">
        <f>SUM(BL167:BS167)</f>
        <v>0</v>
      </c>
      <c r="BQ217" s="226">
        <f>BP217-BO217</f>
        <v>0</v>
      </c>
      <c r="BR217" s="239"/>
      <c r="BS217" s="239"/>
      <c r="BT217" s="244"/>
      <c r="BU217" s="459" t="s">
        <v>185</v>
      </c>
      <c r="BV217" s="460"/>
      <c r="BW217" s="209"/>
      <c r="BX217" s="209">
        <f>SUM(BT167:CA167)</f>
        <v>0</v>
      </c>
      <c r="BY217" s="226">
        <f>BX217-BW217</f>
        <v>0</v>
      </c>
      <c r="BZ217" s="239"/>
      <c r="CA217" s="239"/>
      <c r="CB217" s="244"/>
      <c r="CC217" s="459" t="s">
        <v>185</v>
      </c>
      <c r="CD217" s="460"/>
      <c r="CE217" s="209"/>
      <c r="CF217" s="209">
        <f>SUM(CB167:CI167)</f>
        <v>0</v>
      </c>
      <c r="CG217" s="226">
        <f>CF217-CE217</f>
        <v>0</v>
      </c>
      <c r="CH217" s="239"/>
      <c r="CI217" s="239"/>
      <c r="CJ217" s="244"/>
      <c r="CK217" s="459" t="s">
        <v>185</v>
      </c>
      <c r="CL217" s="460"/>
      <c r="CM217" s="209"/>
      <c r="CN217" s="209">
        <f>SUM(CJ167:CQ167)</f>
        <v>0</v>
      </c>
      <c r="CO217" s="226">
        <f>CN217-CM217</f>
        <v>0</v>
      </c>
      <c r="CP217" s="239"/>
      <c r="CQ217" s="239"/>
      <c r="CR217" s="244"/>
      <c r="CS217" s="459" t="s">
        <v>185</v>
      </c>
      <c r="CT217" s="460"/>
      <c r="CU217" s="209"/>
      <c r="CV217" s="209">
        <f>SUM(CR167:CY167)</f>
        <v>0</v>
      </c>
      <c r="CW217" s="226">
        <f>CV217-CU217</f>
        <v>0</v>
      </c>
      <c r="CX217" s="239"/>
      <c r="CY217" s="239"/>
      <c r="CZ217" s="233"/>
      <c r="DA217" s="233"/>
      <c r="DB217" s="233"/>
      <c r="DC217" s="233"/>
      <c r="DD217" s="233"/>
      <c r="DE217" s="233"/>
      <c r="DF217" s="233"/>
      <c r="DG217" s="233"/>
      <c r="DH217" s="233"/>
    </row>
    <row r="218" spans="1:112" ht="20.100000000000001" customHeight="1" x14ac:dyDescent="0.4">
      <c r="P218" s="459" t="s">
        <v>186</v>
      </c>
      <c r="Q218" s="460"/>
      <c r="R218" s="209">
        <v>3.4541666666666666</v>
      </c>
      <c r="S218" s="209">
        <f>SUM(O168:U168)</f>
        <v>4.6708333333333325</v>
      </c>
      <c r="T218" s="226">
        <f t="shared" si="624"/>
        <v>1.2166666666666659</v>
      </c>
      <c r="U218" s="239"/>
      <c r="V218" s="459" t="s">
        <v>186</v>
      </c>
      <c r="W218" s="460"/>
      <c r="X218" s="209">
        <v>3.1964912280701756</v>
      </c>
      <c r="Y218" s="209">
        <f>SUM(V168:AA168)</f>
        <v>3.3228070175438598</v>
      </c>
      <c r="Z218" s="226">
        <f t="shared" ref="Z218:Z222" si="625">Y218-X218</f>
        <v>0.12631578947368416</v>
      </c>
      <c r="AA218" s="235"/>
      <c r="AB218" s="459" t="s">
        <v>186</v>
      </c>
      <c r="AC218" s="460"/>
      <c r="AD218" s="209">
        <v>3.3151515151515145</v>
      </c>
      <c r="AE218" s="209">
        <f>SUM(AB168:AG168)</f>
        <v>4.0333333333333332</v>
      </c>
      <c r="AF218" s="226">
        <f t="shared" ref="AF218:AF224" si="626">AE218-AD218</f>
        <v>0.7181818181818187</v>
      </c>
      <c r="AG218" s="235"/>
      <c r="AH218" s="333" t="s">
        <v>186</v>
      </c>
      <c r="AI218" s="332"/>
      <c r="AJ218" s="209">
        <v>3.5090909090909097</v>
      </c>
      <c r="AK218" s="209">
        <f>SUM(AH168:AM168)</f>
        <v>4.4363636363636365</v>
      </c>
      <c r="AL218" s="226">
        <f t="shared" ref="AL218:AL224" si="627">AK218-AJ218</f>
        <v>0.9272727272727268</v>
      </c>
      <c r="AM218" s="235"/>
      <c r="AN218" s="244"/>
      <c r="AO218" s="459" t="s">
        <v>186</v>
      </c>
      <c r="AP218" s="460"/>
      <c r="AQ218" s="209"/>
      <c r="AR218" s="209">
        <f>SUM(AN168:AU168)</f>
        <v>0</v>
      </c>
      <c r="AS218" s="226">
        <f t="shared" ref="AS218:AS224" si="628">AR218-AQ218</f>
        <v>0</v>
      </c>
      <c r="AT218" s="235"/>
      <c r="AU218" s="235"/>
      <c r="AV218" s="244"/>
      <c r="AW218" s="459" t="s">
        <v>186</v>
      </c>
      <c r="AX218" s="460"/>
      <c r="AY218" s="209"/>
      <c r="AZ218" s="209">
        <f>SUM(AV168:BC168)</f>
        <v>0</v>
      </c>
      <c r="BA218" s="226">
        <f t="shared" ref="BA218:BA224" si="629">AZ218-AY218</f>
        <v>0</v>
      </c>
      <c r="BB218" s="239"/>
      <c r="BC218" s="239"/>
      <c r="BD218" s="244"/>
      <c r="BE218" s="459" t="s">
        <v>186</v>
      </c>
      <c r="BF218" s="460"/>
      <c r="BG218" s="209"/>
      <c r="BH218" s="209">
        <f>SUM(BD168:BK168)</f>
        <v>0</v>
      </c>
      <c r="BI218" s="226">
        <f t="shared" ref="BI218:BI224" si="630">BH218-BG218</f>
        <v>0</v>
      </c>
      <c r="BJ218" s="239"/>
      <c r="BK218" s="239"/>
      <c r="BL218" s="244"/>
      <c r="BM218" s="459" t="s">
        <v>186</v>
      </c>
      <c r="BN218" s="460"/>
      <c r="BO218" s="209"/>
      <c r="BP218" s="209">
        <f>SUM(BL168:BS168)</f>
        <v>0</v>
      </c>
      <c r="BQ218" s="226">
        <f t="shared" ref="BQ218:BQ224" si="631">BP218-BO218</f>
        <v>0</v>
      </c>
      <c r="BR218" s="239"/>
      <c r="BS218" s="239"/>
      <c r="BT218" s="244"/>
      <c r="BU218" s="459" t="s">
        <v>186</v>
      </c>
      <c r="BV218" s="460"/>
      <c r="BW218" s="209"/>
      <c r="BX218" s="209">
        <f>SUM(BT168:CA168)</f>
        <v>0</v>
      </c>
      <c r="BY218" s="226">
        <f t="shared" ref="BY218:BY224" si="632">BX218-BW218</f>
        <v>0</v>
      </c>
      <c r="BZ218" s="239"/>
      <c r="CA218" s="239"/>
      <c r="CB218" s="244"/>
      <c r="CC218" s="459" t="s">
        <v>186</v>
      </c>
      <c r="CD218" s="460"/>
      <c r="CE218" s="209"/>
      <c r="CF218" s="209">
        <f>SUM(CB168:CI168)</f>
        <v>0</v>
      </c>
      <c r="CG218" s="226">
        <f t="shared" ref="CG218:CG224" si="633">CF218-CE218</f>
        <v>0</v>
      </c>
      <c r="CH218" s="239"/>
      <c r="CI218" s="239"/>
      <c r="CJ218" s="244"/>
      <c r="CK218" s="459" t="s">
        <v>186</v>
      </c>
      <c r="CL218" s="460"/>
      <c r="CM218" s="209"/>
      <c r="CN218" s="209">
        <f>SUM(CJ168:CQ168)</f>
        <v>0</v>
      </c>
      <c r="CO218" s="226">
        <f t="shared" ref="CO218:CO224" si="634">CN218-CM218</f>
        <v>0</v>
      </c>
      <c r="CP218" s="239"/>
      <c r="CQ218" s="239"/>
      <c r="CR218" s="244"/>
      <c r="CS218" s="459" t="s">
        <v>186</v>
      </c>
      <c r="CT218" s="460"/>
      <c r="CU218" s="209"/>
      <c r="CV218" s="209">
        <f>SUM(CR168:CY168)</f>
        <v>0</v>
      </c>
      <c r="CW218" s="226">
        <f t="shared" ref="CW218:CW224" si="635">CV218-CU218</f>
        <v>0</v>
      </c>
      <c r="CX218" s="239"/>
      <c r="CY218" s="239"/>
      <c r="CZ218" s="233"/>
      <c r="DA218" s="235"/>
      <c r="DB218" s="233"/>
      <c r="DC218" s="233"/>
      <c r="DD218" s="233"/>
      <c r="DE218" s="233"/>
      <c r="DF218" s="233"/>
      <c r="DG218" s="233"/>
      <c r="DH218" s="233"/>
    </row>
    <row r="219" spans="1:112" ht="20.100000000000001" customHeight="1" x14ac:dyDescent="0.4">
      <c r="P219" s="461" t="s">
        <v>187</v>
      </c>
      <c r="Q219" s="462"/>
      <c r="R219" s="209">
        <v>1.0000000000000002</v>
      </c>
      <c r="S219" s="210">
        <f>SUM(O186:U186)</f>
        <v>0.90000000000000024</v>
      </c>
      <c r="T219" s="226">
        <f t="shared" si="624"/>
        <v>-9.9999999999999978E-2</v>
      </c>
      <c r="U219" s="233"/>
      <c r="V219" s="461" t="s">
        <v>187</v>
      </c>
      <c r="W219" s="462"/>
      <c r="X219" s="209">
        <v>1.2210526315789474</v>
      </c>
      <c r="Y219" s="210">
        <f>SUM(V186:AA186)</f>
        <v>0.8070175438596493</v>
      </c>
      <c r="Z219" s="226">
        <f t="shared" si="625"/>
        <v>-0.41403508771929809</v>
      </c>
      <c r="AA219" s="235"/>
      <c r="AB219" s="461" t="s">
        <v>187</v>
      </c>
      <c r="AC219" s="462"/>
      <c r="AD219" s="209">
        <v>0.90909090909090939</v>
      </c>
      <c r="AE219" s="210">
        <f>SUM(AB186:AG186)</f>
        <v>0.90909090909090939</v>
      </c>
      <c r="AF219" s="226">
        <f>AE219-AD219</f>
        <v>0</v>
      </c>
      <c r="AG219" s="235"/>
      <c r="AH219" s="333" t="s">
        <v>187</v>
      </c>
      <c r="AI219" s="334"/>
      <c r="AJ219" s="209">
        <v>0.89090909090909076</v>
      </c>
      <c r="AK219" s="210">
        <f>SUM(AH186:AM186)</f>
        <v>0.89090909090909076</v>
      </c>
      <c r="AL219" s="226">
        <f t="shared" si="627"/>
        <v>0</v>
      </c>
      <c r="AM219" s="235"/>
      <c r="AN219" s="245"/>
      <c r="AO219" s="461" t="s">
        <v>187</v>
      </c>
      <c r="AP219" s="462"/>
      <c r="AQ219" s="209"/>
      <c r="AR219" s="210">
        <f>SUM(AN186:AU186)</f>
        <v>0</v>
      </c>
      <c r="AS219" s="226">
        <f t="shared" si="628"/>
        <v>0</v>
      </c>
      <c r="AT219" s="233"/>
      <c r="AU219" s="235"/>
      <c r="AV219" s="245"/>
      <c r="AW219" s="461" t="s">
        <v>187</v>
      </c>
      <c r="AX219" s="462"/>
      <c r="AY219" s="209"/>
      <c r="AZ219" s="210">
        <f>SUM(AV186:BC186)</f>
        <v>0</v>
      </c>
      <c r="BA219" s="226">
        <f t="shared" si="629"/>
        <v>0</v>
      </c>
      <c r="BB219" s="239"/>
      <c r="BC219" s="239"/>
      <c r="BD219" s="245"/>
      <c r="BE219" s="461" t="s">
        <v>187</v>
      </c>
      <c r="BF219" s="462"/>
      <c r="BG219" s="209"/>
      <c r="BH219" s="210">
        <f>SUM(BD186:BK186)</f>
        <v>0</v>
      </c>
      <c r="BI219" s="226">
        <f t="shared" si="630"/>
        <v>0</v>
      </c>
      <c r="BJ219" s="239"/>
      <c r="BK219" s="239"/>
      <c r="BL219" s="245"/>
      <c r="BM219" s="461" t="s">
        <v>187</v>
      </c>
      <c r="BN219" s="462"/>
      <c r="BO219" s="209"/>
      <c r="BP219" s="210">
        <f>SUM(BL186:BS186)</f>
        <v>0</v>
      </c>
      <c r="BQ219" s="226">
        <f t="shared" si="631"/>
        <v>0</v>
      </c>
      <c r="BR219" s="239"/>
      <c r="BS219" s="239"/>
      <c r="BT219" s="245"/>
      <c r="BU219" s="461" t="s">
        <v>187</v>
      </c>
      <c r="BV219" s="462"/>
      <c r="BW219" s="209"/>
      <c r="BX219" s="210">
        <f>SUM(BT186:CA186)</f>
        <v>0</v>
      </c>
      <c r="BY219" s="226">
        <f t="shared" si="632"/>
        <v>0</v>
      </c>
      <c r="BZ219" s="239"/>
      <c r="CA219" s="239"/>
      <c r="CB219" s="245"/>
      <c r="CC219" s="461" t="s">
        <v>187</v>
      </c>
      <c r="CD219" s="462"/>
      <c r="CE219" s="209"/>
      <c r="CF219" s="210">
        <f>SUM(CB186:CI186)</f>
        <v>0</v>
      </c>
      <c r="CG219" s="226">
        <f t="shared" si="633"/>
        <v>0</v>
      </c>
      <c r="CH219" s="239"/>
      <c r="CI219" s="239"/>
      <c r="CJ219" s="245"/>
      <c r="CK219" s="461" t="s">
        <v>187</v>
      </c>
      <c r="CL219" s="462"/>
      <c r="CM219" s="209"/>
      <c r="CN219" s="210">
        <f>SUM(CJ186:CQ186)</f>
        <v>0</v>
      </c>
      <c r="CO219" s="226">
        <f t="shared" si="634"/>
        <v>0</v>
      </c>
      <c r="CP219" s="239"/>
      <c r="CQ219" s="239"/>
      <c r="CR219" s="245"/>
      <c r="CS219" s="461" t="s">
        <v>187</v>
      </c>
      <c r="CT219" s="462"/>
      <c r="CU219" s="209"/>
      <c r="CV219" s="210">
        <f>SUM(CR186:CY186)</f>
        <v>0</v>
      </c>
      <c r="CW219" s="226">
        <f t="shared" si="635"/>
        <v>0</v>
      </c>
      <c r="CX219" s="239"/>
      <c r="CY219" s="239"/>
      <c r="CZ219" s="233"/>
      <c r="DA219" s="235"/>
      <c r="DB219" s="233"/>
      <c r="DC219" s="233"/>
      <c r="DD219" s="233"/>
      <c r="DE219" s="233"/>
      <c r="DF219" s="233"/>
      <c r="DG219" s="233"/>
      <c r="DH219" s="233"/>
    </row>
    <row r="220" spans="1:112" ht="20.100000000000001" customHeight="1" x14ac:dyDescent="0.4">
      <c r="P220" s="461" t="s">
        <v>188</v>
      </c>
      <c r="Q220" s="462"/>
      <c r="R220" s="209">
        <v>0.53333333333333344</v>
      </c>
      <c r="S220" s="210">
        <f>SUM(O187:U187)</f>
        <v>0.85416666666666652</v>
      </c>
      <c r="T220" s="226">
        <f t="shared" si="624"/>
        <v>0.32083333333333308</v>
      </c>
      <c r="U220" s="233"/>
      <c r="V220" s="461" t="s">
        <v>188</v>
      </c>
      <c r="W220" s="462"/>
      <c r="X220" s="209">
        <v>0.66315789473684206</v>
      </c>
      <c r="Y220" s="210">
        <f>SUM(V187:AA187)</f>
        <v>0.67368421052631577</v>
      </c>
      <c r="Z220" s="226">
        <f t="shared" si="625"/>
        <v>1.0526315789473717E-2</v>
      </c>
      <c r="AA220" s="235"/>
      <c r="AB220" s="461" t="s">
        <v>188</v>
      </c>
      <c r="AC220" s="462"/>
      <c r="AD220" s="209">
        <v>0.66060606060606064</v>
      </c>
      <c r="AE220" s="210">
        <f>SUM(AB187:AG187)</f>
        <v>0.86969696969696952</v>
      </c>
      <c r="AF220" s="226">
        <f t="shared" si="626"/>
        <v>0.20909090909090888</v>
      </c>
      <c r="AG220" s="235"/>
      <c r="AH220" s="333" t="s">
        <v>188</v>
      </c>
      <c r="AI220" s="334"/>
      <c r="AJ220" s="209">
        <v>0.58787878787878789</v>
      </c>
      <c r="AK220" s="210">
        <f>SUM(AH187:AM187)</f>
        <v>0.70606060606060606</v>
      </c>
      <c r="AL220" s="226">
        <f t="shared" si="627"/>
        <v>0.11818181818181817</v>
      </c>
      <c r="AM220" s="235"/>
      <c r="AN220" s="245"/>
      <c r="AO220" s="461" t="s">
        <v>188</v>
      </c>
      <c r="AP220" s="462"/>
      <c r="AQ220" s="209"/>
      <c r="AR220" s="210">
        <f>SUM(AN187:AU187)</f>
        <v>0</v>
      </c>
      <c r="AS220" s="226">
        <f t="shared" si="628"/>
        <v>0</v>
      </c>
      <c r="AT220" s="235"/>
      <c r="AU220" s="235"/>
      <c r="AV220" s="245"/>
      <c r="AW220" s="461" t="s">
        <v>188</v>
      </c>
      <c r="AX220" s="462"/>
      <c r="AY220" s="209"/>
      <c r="AZ220" s="210">
        <f>SUM(AV187:BC187)</f>
        <v>0</v>
      </c>
      <c r="BA220" s="226">
        <f t="shared" si="629"/>
        <v>0</v>
      </c>
      <c r="BB220" s="239"/>
      <c r="BC220" s="239"/>
      <c r="BD220" s="245"/>
      <c r="BE220" s="461" t="s">
        <v>188</v>
      </c>
      <c r="BF220" s="462"/>
      <c r="BG220" s="209"/>
      <c r="BH220" s="210">
        <f>SUM(BD187:BK187)</f>
        <v>0</v>
      </c>
      <c r="BI220" s="226">
        <f t="shared" si="630"/>
        <v>0</v>
      </c>
      <c r="BJ220" s="239"/>
      <c r="BK220" s="239"/>
      <c r="BL220" s="245"/>
      <c r="BM220" s="461" t="s">
        <v>188</v>
      </c>
      <c r="BN220" s="462"/>
      <c r="BO220" s="209"/>
      <c r="BP220" s="210">
        <f>SUM(BL187:BS187)</f>
        <v>0</v>
      </c>
      <c r="BQ220" s="226">
        <f t="shared" si="631"/>
        <v>0</v>
      </c>
      <c r="BR220" s="239"/>
      <c r="BS220" s="239"/>
      <c r="BT220" s="245"/>
      <c r="BU220" s="461" t="s">
        <v>188</v>
      </c>
      <c r="BV220" s="462"/>
      <c r="BW220" s="209"/>
      <c r="BX220" s="210">
        <f>SUM(BT187:CA187)</f>
        <v>0</v>
      </c>
      <c r="BY220" s="226">
        <f t="shared" si="632"/>
        <v>0</v>
      </c>
      <c r="BZ220" s="239"/>
      <c r="CA220" s="239"/>
      <c r="CB220" s="245"/>
      <c r="CC220" s="461" t="s">
        <v>188</v>
      </c>
      <c r="CD220" s="462"/>
      <c r="CE220" s="209"/>
      <c r="CF220" s="210">
        <f>SUM(CB187:CI187)</f>
        <v>0</v>
      </c>
      <c r="CG220" s="226">
        <f t="shared" si="633"/>
        <v>0</v>
      </c>
      <c r="CH220" s="239"/>
      <c r="CI220" s="239"/>
      <c r="CJ220" s="245"/>
      <c r="CK220" s="461" t="s">
        <v>188</v>
      </c>
      <c r="CL220" s="462"/>
      <c r="CM220" s="209"/>
      <c r="CN220" s="210">
        <f>SUM(CJ187:CQ187)</f>
        <v>0</v>
      </c>
      <c r="CO220" s="226">
        <f t="shared" si="634"/>
        <v>0</v>
      </c>
      <c r="CP220" s="239"/>
      <c r="CQ220" s="239"/>
      <c r="CR220" s="245"/>
      <c r="CS220" s="461" t="s">
        <v>188</v>
      </c>
      <c r="CT220" s="462"/>
      <c r="CU220" s="209"/>
      <c r="CV220" s="210">
        <f>SUM(CR187:CY187)</f>
        <v>0</v>
      </c>
      <c r="CW220" s="226">
        <f t="shared" si="635"/>
        <v>0</v>
      </c>
      <c r="CX220" s="239"/>
      <c r="CY220" s="239"/>
      <c r="CZ220" s="233"/>
      <c r="DA220" s="235"/>
      <c r="DB220" s="233"/>
      <c r="DC220" s="233"/>
      <c r="DD220" s="233"/>
      <c r="DE220" s="233"/>
      <c r="DF220" s="233"/>
      <c r="DG220" s="233"/>
      <c r="DH220" s="233"/>
    </row>
    <row r="221" spans="1:112" ht="20.100000000000001" customHeight="1" x14ac:dyDescent="0.4">
      <c r="P221" s="459" t="s">
        <v>189</v>
      </c>
      <c r="Q221" s="460"/>
      <c r="R221" s="209">
        <v>1.2416666666666665</v>
      </c>
      <c r="S221" s="211">
        <f>SUM(O208:U208)</f>
        <v>0.99583333333333324</v>
      </c>
      <c r="T221" s="226">
        <f t="shared" si="624"/>
        <v>-0.24583333333333324</v>
      </c>
      <c r="U221" s="233"/>
      <c r="V221" s="459" t="s">
        <v>189</v>
      </c>
      <c r="W221" s="460"/>
      <c r="X221" s="209">
        <v>1.1228070175438596</v>
      </c>
      <c r="Y221" s="211">
        <f>SUM(V208:AA208)</f>
        <v>1.5157894736842106</v>
      </c>
      <c r="Z221" s="226">
        <f t="shared" si="625"/>
        <v>0.39298245614035099</v>
      </c>
      <c r="AA221" s="313"/>
      <c r="AB221" s="459" t="s">
        <v>189</v>
      </c>
      <c r="AC221" s="460"/>
      <c r="AD221" s="209">
        <v>0.69696969696969691</v>
      </c>
      <c r="AE221" s="211">
        <f>SUM(AB208:AG208)</f>
        <v>0.69696969696969691</v>
      </c>
      <c r="AF221" s="226">
        <f t="shared" si="626"/>
        <v>0</v>
      </c>
      <c r="AG221" s="246"/>
      <c r="AH221" s="333" t="s">
        <v>189</v>
      </c>
      <c r="AI221" s="332"/>
      <c r="AJ221" s="209">
        <v>0.44242424242424239</v>
      </c>
      <c r="AK221" s="211">
        <f>SUM(AH208:AM208)</f>
        <v>0.44242424242424239</v>
      </c>
      <c r="AL221" s="226">
        <f t="shared" si="627"/>
        <v>0</v>
      </c>
      <c r="AM221" s="246"/>
      <c r="AN221" s="244"/>
      <c r="AO221" s="459" t="s">
        <v>189</v>
      </c>
      <c r="AP221" s="460"/>
      <c r="AQ221" s="209"/>
      <c r="AR221" s="211">
        <f>SUM(AN208:AU208)</f>
        <v>0</v>
      </c>
      <c r="AS221" s="226">
        <f t="shared" si="628"/>
        <v>0</v>
      </c>
      <c r="AT221" s="246"/>
      <c r="AU221" s="246"/>
      <c r="AV221" s="244"/>
      <c r="AW221" s="459" t="s">
        <v>189</v>
      </c>
      <c r="AX221" s="460"/>
      <c r="AY221" s="209"/>
      <c r="AZ221" s="211">
        <f>SUM(AV208:BC208)</f>
        <v>0</v>
      </c>
      <c r="BA221" s="226">
        <f t="shared" si="629"/>
        <v>0</v>
      </c>
      <c r="BB221" s="239"/>
      <c r="BC221" s="239"/>
      <c r="BD221" s="244"/>
      <c r="BE221" s="459" t="s">
        <v>189</v>
      </c>
      <c r="BF221" s="460"/>
      <c r="BG221" s="209"/>
      <c r="BH221" s="211">
        <f>SUM(BD208:BK208)</f>
        <v>0</v>
      </c>
      <c r="BI221" s="226">
        <f t="shared" si="630"/>
        <v>0</v>
      </c>
      <c r="BJ221" s="239"/>
      <c r="BK221" s="239"/>
      <c r="BL221" s="244"/>
      <c r="BM221" s="459" t="s">
        <v>189</v>
      </c>
      <c r="BN221" s="460"/>
      <c r="BO221" s="209"/>
      <c r="BP221" s="211">
        <f>SUM(BL208:BS208)</f>
        <v>0</v>
      </c>
      <c r="BQ221" s="226">
        <f t="shared" si="631"/>
        <v>0</v>
      </c>
      <c r="BR221" s="239"/>
      <c r="BS221" s="239"/>
      <c r="BT221" s="244"/>
      <c r="BU221" s="459" t="s">
        <v>189</v>
      </c>
      <c r="BV221" s="460"/>
      <c r="BW221" s="209"/>
      <c r="BX221" s="211">
        <f>SUM(BT208:CA208)</f>
        <v>0</v>
      </c>
      <c r="BY221" s="226">
        <f t="shared" si="632"/>
        <v>0</v>
      </c>
      <c r="BZ221" s="239"/>
      <c r="CA221" s="239"/>
      <c r="CB221" s="244"/>
      <c r="CC221" s="459" t="s">
        <v>189</v>
      </c>
      <c r="CD221" s="460"/>
      <c r="CE221" s="209"/>
      <c r="CF221" s="211">
        <f>SUM(CB208:CI208)</f>
        <v>0</v>
      </c>
      <c r="CG221" s="226">
        <f t="shared" si="633"/>
        <v>0</v>
      </c>
      <c r="CH221" s="239"/>
      <c r="CI221" s="239"/>
      <c r="CJ221" s="244"/>
      <c r="CK221" s="459" t="s">
        <v>189</v>
      </c>
      <c r="CL221" s="460"/>
      <c r="CM221" s="209"/>
      <c r="CN221" s="211">
        <f>SUM(CJ208:CQ208)</f>
        <v>0</v>
      </c>
      <c r="CO221" s="226">
        <f t="shared" si="634"/>
        <v>0</v>
      </c>
      <c r="CP221" s="239"/>
      <c r="CQ221" s="239"/>
      <c r="CR221" s="244"/>
      <c r="CS221" s="459" t="s">
        <v>189</v>
      </c>
      <c r="CT221" s="460"/>
      <c r="CU221" s="209"/>
      <c r="CV221" s="211">
        <f>SUM(CR208:CY208)</f>
        <v>0</v>
      </c>
      <c r="CW221" s="226">
        <f t="shared" si="635"/>
        <v>0</v>
      </c>
      <c r="CX221" s="239"/>
      <c r="CY221" s="239"/>
      <c r="CZ221" s="233"/>
      <c r="DA221" s="235"/>
      <c r="DB221" s="233"/>
      <c r="DC221" s="236"/>
      <c r="DD221" s="233"/>
      <c r="DE221" s="237"/>
      <c r="DF221" s="237"/>
      <c r="DG221" s="233"/>
      <c r="DH221" s="233"/>
    </row>
    <row r="222" spans="1:112" ht="20.100000000000001" customHeight="1" x14ac:dyDescent="0.4">
      <c r="P222" s="459" t="s">
        <v>190</v>
      </c>
      <c r="Q222" s="460"/>
      <c r="R222" s="209">
        <v>0.82500000000000007</v>
      </c>
      <c r="S222" s="210">
        <f>SUM(O209:U209)</f>
        <v>1.2875000000000001</v>
      </c>
      <c r="T222" s="226">
        <f t="shared" si="624"/>
        <v>0.46250000000000002</v>
      </c>
      <c r="U222" s="233"/>
      <c r="V222" s="459" t="s">
        <v>190</v>
      </c>
      <c r="W222" s="460"/>
      <c r="X222" s="209">
        <v>1.8245614035087718</v>
      </c>
      <c r="Y222" s="210">
        <f>SUM(V209:AA209)</f>
        <v>2.0035087719298246</v>
      </c>
      <c r="Z222" s="226">
        <f t="shared" si="625"/>
        <v>0.17894736842105274</v>
      </c>
      <c r="AA222" s="235"/>
      <c r="AB222" s="459" t="s">
        <v>190</v>
      </c>
      <c r="AC222" s="460"/>
      <c r="AD222" s="209">
        <v>0.9303030303030303</v>
      </c>
      <c r="AE222" s="210">
        <f>SUM(AB209:AG209)</f>
        <v>1.0939393939393938</v>
      </c>
      <c r="AF222" s="226">
        <f t="shared" si="626"/>
        <v>0.16363636363636347</v>
      </c>
      <c r="AG222" s="235"/>
      <c r="AH222" s="333" t="s">
        <v>190</v>
      </c>
      <c r="AI222" s="332"/>
      <c r="AJ222" s="209">
        <v>0.26666666666666666</v>
      </c>
      <c r="AK222" s="210">
        <f>SUM(AH209:AM209)</f>
        <v>0.31212121212121213</v>
      </c>
      <c r="AL222" s="226">
        <f t="shared" si="627"/>
        <v>4.545454545454547E-2</v>
      </c>
      <c r="AM222" s="235"/>
      <c r="AN222" s="244"/>
      <c r="AO222" s="459" t="s">
        <v>190</v>
      </c>
      <c r="AP222" s="460"/>
      <c r="AQ222" s="209"/>
      <c r="AR222" s="210">
        <f>SUM(AN209:AU209)</f>
        <v>0</v>
      </c>
      <c r="AS222" s="226">
        <f t="shared" si="628"/>
        <v>0</v>
      </c>
      <c r="AT222" s="235"/>
      <c r="AU222" s="235"/>
      <c r="AV222" s="244"/>
      <c r="AW222" s="459" t="s">
        <v>190</v>
      </c>
      <c r="AX222" s="460"/>
      <c r="AY222" s="209"/>
      <c r="AZ222" s="210">
        <f>SUM(AV209:BC209)</f>
        <v>0</v>
      </c>
      <c r="BA222" s="226">
        <f t="shared" si="629"/>
        <v>0</v>
      </c>
      <c r="BB222" s="239"/>
      <c r="BC222" s="239"/>
      <c r="BD222" s="244"/>
      <c r="BE222" s="459" t="s">
        <v>190</v>
      </c>
      <c r="BF222" s="460"/>
      <c r="BG222" s="209"/>
      <c r="BH222" s="210">
        <f>SUM(BD209:BK209)</f>
        <v>0</v>
      </c>
      <c r="BI222" s="226">
        <f t="shared" si="630"/>
        <v>0</v>
      </c>
      <c r="BJ222" s="239"/>
      <c r="BK222" s="239"/>
      <c r="BL222" s="244"/>
      <c r="BM222" s="459" t="s">
        <v>190</v>
      </c>
      <c r="BN222" s="460"/>
      <c r="BO222" s="209"/>
      <c r="BP222" s="210">
        <f>SUM(BL209:BS209)</f>
        <v>0</v>
      </c>
      <c r="BQ222" s="226">
        <f t="shared" si="631"/>
        <v>0</v>
      </c>
      <c r="BR222" s="239"/>
      <c r="BS222" s="239"/>
      <c r="BT222" s="244"/>
      <c r="BU222" s="459" t="s">
        <v>190</v>
      </c>
      <c r="BV222" s="460"/>
      <c r="BW222" s="209"/>
      <c r="BX222" s="210">
        <f>SUM(BT209:CA209)</f>
        <v>0</v>
      </c>
      <c r="BY222" s="226">
        <f t="shared" si="632"/>
        <v>0</v>
      </c>
      <c r="BZ222" s="239"/>
      <c r="CA222" s="239"/>
      <c r="CB222" s="244"/>
      <c r="CC222" s="459" t="s">
        <v>190</v>
      </c>
      <c r="CD222" s="460"/>
      <c r="CE222" s="209"/>
      <c r="CF222" s="210">
        <f>SUM(CB209:CI209)</f>
        <v>0</v>
      </c>
      <c r="CG222" s="226">
        <f t="shared" si="633"/>
        <v>0</v>
      </c>
      <c r="CH222" s="239"/>
      <c r="CI222" s="239"/>
      <c r="CJ222" s="244"/>
      <c r="CK222" s="459" t="s">
        <v>190</v>
      </c>
      <c r="CL222" s="460"/>
      <c r="CM222" s="209"/>
      <c r="CN222" s="210">
        <f>SUM(CJ209:CQ209)</f>
        <v>0</v>
      </c>
      <c r="CO222" s="226">
        <f t="shared" si="634"/>
        <v>0</v>
      </c>
      <c r="CP222" s="239"/>
      <c r="CQ222" s="239"/>
      <c r="CR222" s="244"/>
      <c r="CS222" s="459" t="s">
        <v>190</v>
      </c>
      <c r="CT222" s="460"/>
      <c r="CU222" s="209"/>
      <c r="CV222" s="210">
        <f>SUM(CR209:CY209)</f>
        <v>0</v>
      </c>
      <c r="CW222" s="226">
        <f t="shared" si="635"/>
        <v>0</v>
      </c>
      <c r="CX222" s="239"/>
      <c r="CY222" s="239"/>
      <c r="CZ222" s="233"/>
      <c r="DA222" s="235"/>
      <c r="DB222" s="235"/>
      <c r="DC222" s="549"/>
      <c r="DD222" s="550"/>
      <c r="DE222" s="548"/>
      <c r="DF222" s="548"/>
      <c r="DG222" s="233"/>
      <c r="DH222" s="233"/>
    </row>
    <row r="223" spans="1:112" ht="20.100000000000001" customHeight="1" x14ac:dyDescent="0.4">
      <c r="P223" s="459" t="s">
        <v>191</v>
      </c>
      <c r="Q223" s="460"/>
      <c r="R223" s="209">
        <v>5.0125000000000002</v>
      </c>
      <c r="S223" s="210">
        <f>SUM(S217,S219,S221)</f>
        <v>7.0000000000000009</v>
      </c>
      <c r="T223" s="226">
        <f t="shared" si="624"/>
        <v>1.9875000000000007</v>
      </c>
      <c r="U223" s="233"/>
      <c r="V223" s="459" t="s">
        <v>191</v>
      </c>
      <c r="W223" s="460"/>
      <c r="X223" s="209">
        <v>5.8315789473684205</v>
      </c>
      <c r="Y223" s="210">
        <f>SUM(Y217,Y219,Y221)</f>
        <v>6</v>
      </c>
      <c r="Z223" s="226">
        <f>Y223-X223</f>
        <v>0.16842105263157947</v>
      </c>
      <c r="AA223" s="233"/>
      <c r="AB223" s="459" t="s">
        <v>191</v>
      </c>
      <c r="AC223" s="460"/>
      <c r="AD223" s="209">
        <v>4.3515151515151516</v>
      </c>
      <c r="AE223" s="210">
        <f>SUM(AE217,AE219,AE221)</f>
        <v>6.0000000000000009</v>
      </c>
      <c r="AF223" s="226">
        <f t="shared" si="626"/>
        <v>1.6484848484848493</v>
      </c>
      <c r="AG223" s="233"/>
      <c r="AH223" s="333" t="s">
        <v>191</v>
      </c>
      <c r="AI223" s="332"/>
      <c r="AJ223" s="209">
        <v>6.339393939393938</v>
      </c>
      <c r="AK223" s="210">
        <f>SUM(AK217,AK219,AK221)</f>
        <v>6.3878787878787868</v>
      </c>
      <c r="AL223" s="226">
        <f t="shared" si="627"/>
        <v>4.8484848484848797E-2</v>
      </c>
      <c r="AM223" s="233"/>
      <c r="AN223" s="244"/>
      <c r="AO223" s="459" t="s">
        <v>191</v>
      </c>
      <c r="AP223" s="460"/>
      <c r="AQ223" s="209"/>
      <c r="AR223" s="210">
        <f>SUM(AR217,AR219,AR221)</f>
        <v>0</v>
      </c>
      <c r="AS223" s="226">
        <f t="shared" si="628"/>
        <v>0</v>
      </c>
      <c r="AT223" s="233"/>
      <c r="AU223" s="233"/>
      <c r="AV223" s="244"/>
      <c r="AW223" s="459" t="s">
        <v>191</v>
      </c>
      <c r="AX223" s="460"/>
      <c r="AY223" s="209"/>
      <c r="AZ223" s="210">
        <f>SUM(AZ217,AZ219,AZ221)</f>
        <v>0</v>
      </c>
      <c r="BA223" s="226">
        <f t="shared" si="629"/>
        <v>0</v>
      </c>
      <c r="BB223" s="239"/>
      <c r="BC223" s="239"/>
      <c r="BD223" s="244"/>
      <c r="BE223" s="459" t="s">
        <v>191</v>
      </c>
      <c r="BF223" s="460"/>
      <c r="BG223" s="209"/>
      <c r="BH223" s="210">
        <f>SUM(BH217,BH219,BH221)</f>
        <v>0</v>
      </c>
      <c r="BI223" s="226">
        <f t="shared" si="630"/>
        <v>0</v>
      </c>
      <c r="BJ223" s="239"/>
      <c r="BK223" s="239"/>
      <c r="BL223" s="244"/>
      <c r="BM223" s="459" t="s">
        <v>191</v>
      </c>
      <c r="BN223" s="460"/>
      <c r="BO223" s="209"/>
      <c r="BP223" s="210">
        <f>SUM(BP217,BP219,BP221)</f>
        <v>0</v>
      </c>
      <c r="BQ223" s="226">
        <f t="shared" si="631"/>
        <v>0</v>
      </c>
      <c r="BR223" s="239"/>
      <c r="BS223" s="239"/>
      <c r="BT223" s="244"/>
      <c r="BU223" s="459" t="s">
        <v>191</v>
      </c>
      <c r="BV223" s="460"/>
      <c r="BW223" s="209"/>
      <c r="BX223" s="210">
        <f>SUM(BX217,BX219,BX221)</f>
        <v>0</v>
      </c>
      <c r="BY223" s="226">
        <f t="shared" si="632"/>
        <v>0</v>
      </c>
      <c r="BZ223" s="239"/>
      <c r="CA223" s="239"/>
      <c r="CB223" s="244"/>
      <c r="CC223" s="459" t="s">
        <v>191</v>
      </c>
      <c r="CD223" s="460"/>
      <c r="CE223" s="209"/>
      <c r="CF223" s="210">
        <f>SUM(CF217,CF219,CF221)</f>
        <v>0</v>
      </c>
      <c r="CG223" s="226">
        <f t="shared" si="633"/>
        <v>0</v>
      </c>
      <c r="CH223" s="239"/>
      <c r="CI223" s="239"/>
      <c r="CJ223" s="244"/>
      <c r="CK223" s="459" t="s">
        <v>191</v>
      </c>
      <c r="CL223" s="460"/>
      <c r="CM223" s="209"/>
      <c r="CN223" s="210">
        <f>SUM(CN217,CN219,CN221)</f>
        <v>0</v>
      </c>
      <c r="CO223" s="226">
        <f t="shared" si="634"/>
        <v>0</v>
      </c>
      <c r="CP223" s="239"/>
      <c r="CQ223" s="239"/>
      <c r="CR223" s="244"/>
      <c r="CS223" s="459" t="s">
        <v>191</v>
      </c>
      <c r="CT223" s="460"/>
      <c r="CU223" s="209"/>
      <c r="CV223" s="210">
        <f>SUM(CV217,CV219,CV221)</f>
        <v>0</v>
      </c>
      <c r="CW223" s="226">
        <f t="shared" si="635"/>
        <v>0</v>
      </c>
      <c r="CX223" s="239"/>
      <c r="CY223" s="239"/>
      <c r="CZ223" s="233"/>
      <c r="DA223" s="235"/>
      <c r="DB223" s="235"/>
      <c r="DC223" s="547"/>
      <c r="DD223" s="547"/>
      <c r="DE223" s="548"/>
      <c r="DF223" s="548"/>
      <c r="DG223" s="233"/>
      <c r="DH223" s="233"/>
    </row>
    <row r="224" spans="1:112" ht="20.100000000000001" customHeight="1" x14ac:dyDescent="0.4">
      <c r="P224" s="459" t="s">
        <v>192</v>
      </c>
      <c r="Q224" s="460"/>
      <c r="R224" s="209">
        <v>4.8125</v>
      </c>
      <c r="S224" s="212">
        <f>SUM(S218,S220,S222)</f>
        <v>6.8124999999999982</v>
      </c>
      <c r="T224" s="226">
        <f t="shared" si="624"/>
        <v>1.9999999999999982</v>
      </c>
      <c r="U224" s="233"/>
      <c r="V224" s="459" t="s">
        <v>192</v>
      </c>
      <c r="W224" s="460"/>
      <c r="X224" s="209">
        <v>5.6842105263157894</v>
      </c>
      <c r="Y224" s="212">
        <f>SUM(Y218,Y220,Y222)</f>
        <v>6</v>
      </c>
      <c r="Z224" s="226">
        <f>Y224-X224</f>
        <v>0.31578947368421062</v>
      </c>
      <c r="AA224" s="233"/>
      <c r="AB224" s="459" t="s">
        <v>192</v>
      </c>
      <c r="AC224" s="460"/>
      <c r="AD224" s="209">
        <v>4.9060606060606053</v>
      </c>
      <c r="AE224" s="212">
        <f>SUM(AE218,AE220,AE222)</f>
        <v>5.9969696969696962</v>
      </c>
      <c r="AF224" s="226">
        <f t="shared" si="626"/>
        <v>1.0909090909090908</v>
      </c>
      <c r="AG224" s="233"/>
      <c r="AH224" s="333" t="s">
        <v>192</v>
      </c>
      <c r="AI224" s="332"/>
      <c r="AJ224" s="209">
        <v>4.3636363636363642</v>
      </c>
      <c r="AK224" s="212">
        <f>SUM(AK218,AK220,AK222)</f>
        <v>5.454545454545455</v>
      </c>
      <c r="AL224" s="226">
        <f t="shared" si="627"/>
        <v>1.0909090909090908</v>
      </c>
      <c r="AM224" s="233"/>
      <c r="AN224" s="244"/>
      <c r="AO224" s="459" t="s">
        <v>192</v>
      </c>
      <c r="AP224" s="460"/>
      <c r="AQ224" s="209"/>
      <c r="AR224" s="212">
        <f>SUM(AR218,AR220,AR222)</f>
        <v>0</v>
      </c>
      <c r="AS224" s="226">
        <f t="shared" si="628"/>
        <v>0</v>
      </c>
      <c r="AT224" s="233"/>
      <c r="AU224" s="233"/>
      <c r="AV224" s="244"/>
      <c r="AW224" s="459" t="s">
        <v>192</v>
      </c>
      <c r="AX224" s="460"/>
      <c r="AY224" s="209"/>
      <c r="AZ224" s="212">
        <f>SUM(AZ218,AZ220,AZ222)</f>
        <v>0</v>
      </c>
      <c r="BA224" s="226">
        <f t="shared" si="629"/>
        <v>0</v>
      </c>
      <c r="BB224" s="239"/>
      <c r="BC224" s="239"/>
      <c r="BD224" s="244"/>
      <c r="BE224" s="459" t="s">
        <v>192</v>
      </c>
      <c r="BF224" s="460"/>
      <c r="BG224" s="209"/>
      <c r="BH224" s="212">
        <f>SUM(BH218,BH220,BH222)</f>
        <v>0</v>
      </c>
      <c r="BI224" s="226">
        <f t="shared" si="630"/>
        <v>0</v>
      </c>
      <c r="BJ224" s="239"/>
      <c r="BK224" s="239"/>
      <c r="BL224" s="244"/>
      <c r="BM224" s="459" t="s">
        <v>192</v>
      </c>
      <c r="BN224" s="460"/>
      <c r="BO224" s="209"/>
      <c r="BP224" s="212">
        <f>SUM(BP218,BP220,BP222)</f>
        <v>0</v>
      </c>
      <c r="BQ224" s="226">
        <f t="shared" si="631"/>
        <v>0</v>
      </c>
      <c r="BR224" s="239"/>
      <c r="BS224" s="239"/>
      <c r="BT224" s="244"/>
      <c r="BU224" s="459" t="s">
        <v>192</v>
      </c>
      <c r="BV224" s="460"/>
      <c r="BW224" s="209"/>
      <c r="BX224" s="212">
        <f>SUM(BX218,BX220,BX222)</f>
        <v>0</v>
      </c>
      <c r="BY224" s="226">
        <f t="shared" si="632"/>
        <v>0</v>
      </c>
      <c r="BZ224" s="239"/>
      <c r="CA224" s="239"/>
      <c r="CB224" s="244"/>
      <c r="CC224" s="459" t="s">
        <v>192</v>
      </c>
      <c r="CD224" s="460"/>
      <c r="CE224" s="209"/>
      <c r="CF224" s="212">
        <f>SUM(CF218,CF220,CF222)</f>
        <v>0</v>
      </c>
      <c r="CG224" s="226">
        <f t="shared" si="633"/>
        <v>0</v>
      </c>
      <c r="CH224" s="239"/>
      <c r="CI224" s="239"/>
      <c r="CJ224" s="244"/>
      <c r="CK224" s="459" t="s">
        <v>192</v>
      </c>
      <c r="CL224" s="460"/>
      <c r="CM224" s="209"/>
      <c r="CN224" s="212">
        <f>SUM(CN218,CN220,CN222)</f>
        <v>0</v>
      </c>
      <c r="CO224" s="226">
        <f t="shared" si="634"/>
        <v>0</v>
      </c>
      <c r="CP224" s="239"/>
      <c r="CQ224" s="239"/>
      <c r="CR224" s="244"/>
      <c r="CS224" s="459" t="s">
        <v>192</v>
      </c>
      <c r="CT224" s="460"/>
      <c r="CU224" s="209"/>
      <c r="CV224" s="212">
        <f>SUM(CV218,CV220,CV222)</f>
        <v>0</v>
      </c>
      <c r="CW224" s="226">
        <f t="shared" si="635"/>
        <v>0</v>
      </c>
      <c r="CX224" s="239"/>
      <c r="CY224" s="239"/>
      <c r="CZ224" s="233"/>
      <c r="DA224" s="233"/>
      <c r="DB224" s="233"/>
      <c r="DC224" s="233"/>
      <c r="DD224" s="233"/>
      <c r="DE224" s="233"/>
      <c r="DF224" s="233"/>
      <c r="DG224" s="233"/>
      <c r="DH224" s="233"/>
    </row>
    <row r="225" spans="14:112" ht="20.100000000000001" customHeight="1" x14ac:dyDescent="0.4">
      <c r="U225" s="233"/>
      <c r="V225" s="233"/>
      <c r="W225" s="233"/>
      <c r="X225" s="233"/>
      <c r="Y225" s="233"/>
      <c r="Z225" s="233"/>
      <c r="AA225" s="233"/>
      <c r="AB225" s="233"/>
      <c r="AC225" s="233"/>
      <c r="AD225" s="233"/>
      <c r="AE225" s="233"/>
      <c r="AF225" s="233"/>
      <c r="AG225" s="233"/>
      <c r="AH225" s="233"/>
      <c r="AI225" s="238"/>
      <c r="AJ225" s="238"/>
      <c r="AK225" s="238"/>
      <c r="AL225" s="233"/>
      <c r="AM225" s="233"/>
      <c r="AN225" s="239"/>
      <c r="AO225" s="239"/>
      <c r="AP225" s="239"/>
      <c r="AQ225" s="239"/>
      <c r="AR225" s="239"/>
      <c r="AS225" s="233"/>
      <c r="AT225" s="233"/>
      <c r="AU225" s="233"/>
      <c r="AV225" s="239"/>
      <c r="AW225" s="239"/>
      <c r="AX225" s="239"/>
      <c r="AY225" s="239"/>
      <c r="AZ225" s="239"/>
      <c r="BA225" s="239"/>
      <c r="BB225" s="239"/>
      <c r="BC225" s="239"/>
      <c r="BD225" s="239"/>
      <c r="BE225" s="239"/>
      <c r="BF225" s="239"/>
      <c r="BG225" s="239"/>
      <c r="BH225" s="239"/>
      <c r="BI225" s="239"/>
      <c r="BJ225" s="239"/>
      <c r="BK225" s="239"/>
      <c r="BL225" s="239"/>
      <c r="BM225" s="239"/>
      <c r="BN225" s="239"/>
      <c r="BO225" s="239"/>
      <c r="BP225" s="239"/>
      <c r="BQ225" s="239"/>
      <c r="BR225" s="239"/>
      <c r="BS225" s="239"/>
      <c r="BT225" s="239"/>
      <c r="BU225" s="239"/>
      <c r="BV225" s="239"/>
      <c r="BW225" s="239"/>
      <c r="BX225" s="239"/>
      <c r="BY225" s="239"/>
      <c r="BZ225" s="239"/>
      <c r="CA225" s="239"/>
      <c r="CB225" s="233"/>
      <c r="CC225" s="233"/>
      <c r="CD225" s="233"/>
      <c r="CE225" s="233"/>
      <c r="CF225" s="233"/>
      <c r="CG225" s="239"/>
      <c r="CH225" s="239"/>
      <c r="CI225" s="239"/>
      <c r="CJ225" s="233"/>
      <c r="CK225" s="233"/>
      <c r="CL225" s="233"/>
      <c r="CM225" s="233"/>
      <c r="CN225" s="233"/>
      <c r="CO225" s="239"/>
      <c r="CP225" s="239"/>
      <c r="CQ225" s="239"/>
      <c r="CR225" s="233"/>
      <c r="CS225" s="233"/>
      <c r="CT225" s="233"/>
      <c r="CU225" s="233"/>
      <c r="CV225" s="233"/>
      <c r="CW225" s="239"/>
      <c r="CX225" s="239"/>
      <c r="CY225" s="239"/>
      <c r="CZ225" s="233"/>
      <c r="DA225" s="233"/>
      <c r="DB225" s="238"/>
      <c r="DC225" s="233"/>
      <c r="DD225" s="233"/>
      <c r="DE225" s="233"/>
      <c r="DF225" s="233"/>
      <c r="DG225" s="233"/>
      <c r="DH225" s="233"/>
    </row>
    <row r="226" spans="14:112" ht="20.100000000000001" customHeight="1" x14ac:dyDescent="0.4">
      <c r="O226" s="199"/>
      <c r="P226" s="483" t="s">
        <v>510</v>
      </c>
      <c r="Q226" s="484"/>
      <c r="R226" s="204" t="s">
        <v>182</v>
      </c>
      <c r="S226" s="205" t="s">
        <v>183</v>
      </c>
      <c r="T226" s="206" t="s">
        <v>184</v>
      </c>
      <c r="U226" s="233"/>
      <c r="V226" s="487" t="s">
        <v>569</v>
      </c>
      <c r="W226" s="488"/>
      <c r="X226" s="204" t="s">
        <v>182</v>
      </c>
      <c r="Y226" s="205" t="s">
        <v>183</v>
      </c>
      <c r="Z226" s="206" t="s">
        <v>184</v>
      </c>
      <c r="AA226" s="243"/>
      <c r="AB226" s="581" t="s">
        <v>622</v>
      </c>
      <c r="AC226" s="582"/>
      <c r="AD226" s="204" t="s">
        <v>182</v>
      </c>
      <c r="AE226" s="205" t="s">
        <v>183</v>
      </c>
      <c r="AF226" s="206" t="s">
        <v>184</v>
      </c>
      <c r="AG226" s="243"/>
      <c r="AH226" s="351" t="s">
        <v>744</v>
      </c>
      <c r="AI226" s="340"/>
      <c r="AJ226" s="204" t="s">
        <v>182</v>
      </c>
      <c r="AK226" s="205" t="s">
        <v>183</v>
      </c>
      <c r="AL226" s="206" t="s">
        <v>184</v>
      </c>
      <c r="AM226" s="243"/>
      <c r="AN226" s="239"/>
      <c r="AO226" s="239"/>
      <c r="AP226" s="239"/>
      <c r="AQ226" s="240"/>
      <c r="AR226" s="241"/>
      <c r="AS226" s="242"/>
      <c r="AT226" s="242"/>
      <c r="AU226" s="243"/>
      <c r="AV226" s="239"/>
      <c r="AW226" s="239"/>
      <c r="AX226" s="239"/>
      <c r="AY226" s="240"/>
      <c r="AZ226" s="241"/>
      <c r="BA226" s="242"/>
      <c r="BB226" s="242"/>
      <c r="BC226" s="243"/>
      <c r="BD226" s="239"/>
      <c r="BE226" s="239"/>
      <c r="BF226" s="239"/>
      <c r="BG226" s="240"/>
      <c r="BH226" s="241"/>
      <c r="BI226" s="242"/>
      <c r="BJ226" s="242"/>
      <c r="BK226" s="243"/>
      <c r="BL226" s="239"/>
      <c r="BM226" s="239"/>
      <c r="BN226" s="239"/>
      <c r="BO226" s="240"/>
      <c r="BP226" s="241"/>
      <c r="BQ226" s="242"/>
      <c r="BR226" s="242"/>
      <c r="BS226" s="243"/>
      <c r="BT226" s="239"/>
      <c r="BU226" s="239"/>
      <c r="BV226" s="239"/>
      <c r="BW226" s="240"/>
      <c r="BX226" s="241"/>
      <c r="BY226" s="242"/>
      <c r="BZ226" s="242"/>
      <c r="CA226" s="243"/>
      <c r="CB226" s="239"/>
      <c r="CC226" s="239"/>
      <c r="CD226" s="239"/>
      <c r="CE226" s="240"/>
      <c r="CF226" s="241"/>
      <c r="CG226" s="242"/>
      <c r="CH226" s="242"/>
      <c r="CI226" s="243"/>
      <c r="CJ226" s="233"/>
      <c r="CK226" s="233"/>
      <c r="CL226" s="233"/>
      <c r="CM226" s="240"/>
      <c r="CN226" s="241"/>
      <c r="CO226" s="242"/>
      <c r="CP226" s="242"/>
      <c r="CQ226" s="243"/>
      <c r="CR226" s="233"/>
      <c r="CS226" s="233"/>
      <c r="CT226" s="233"/>
      <c r="CU226" s="233"/>
      <c r="CV226" s="233"/>
      <c r="CW226" s="242"/>
      <c r="CX226" s="242"/>
      <c r="CY226" s="243"/>
      <c r="CZ226" s="233"/>
      <c r="DA226" s="234"/>
      <c r="DB226" s="233"/>
      <c r="DC226" s="236"/>
      <c r="DD226" s="233"/>
      <c r="DE226" s="237"/>
      <c r="DF226" s="237"/>
      <c r="DG226" s="233"/>
      <c r="DH226" s="233"/>
    </row>
    <row r="227" spans="14:112" ht="20.100000000000001" customHeight="1" x14ac:dyDescent="0.4">
      <c r="O227" s="199"/>
      <c r="P227" s="459" t="s">
        <v>185</v>
      </c>
      <c r="Q227" s="460"/>
      <c r="R227" s="209">
        <v>2.7583333333333333</v>
      </c>
      <c r="S227" s="209">
        <v>2.7708333333333335</v>
      </c>
      <c r="T227" s="226">
        <v>1.2500000000000178E-2</v>
      </c>
      <c r="U227" s="247"/>
      <c r="V227" s="459" t="s">
        <v>185</v>
      </c>
      <c r="W227" s="460"/>
      <c r="X227" s="209">
        <v>2.2947368421052632</v>
      </c>
      <c r="Y227" s="209">
        <v>3.4877192982456133</v>
      </c>
      <c r="Z227" s="226">
        <v>1.1929824561403501</v>
      </c>
      <c r="AA227" s="230"/>
      <c r="AB227" s="459" t="s">
        <v>185</v>
      </c>
      <c r="AC227" s="460"/>
      <c r="AD227" s="209">
        <v>2.4848484848484844</v>
      </c>
      <c r="AE227" s="209">
        <v>2.4848484848484844</v>
      </c>
      <c r="AF227" s="226">
        <v>0</v>
      </c>
      <c r="AG227" s="230"/>
      <c r="AH227" s="338" t="s">
        <v>185</v>
      </c>
      <c r="AI227" s="337"/>
      <c r="AJ227" s="209">
        <v>4.666666666666667</v>
      </c>
      <c r="AK227" s="209">
        <v>5.006060606060605</v>
      </c>
      <c r="AL227" s="226">
        <v>0.33939393939393803</v>
      </c>
      <c r="AM227" s="230"/>
      <c r="AN227" s="239"/>
      <c r="AO227" s="239"/>
      <c r="AP227" s="239"/>
      <c r="AQ227" s="244"/>
      <c r="AR227" s="131"/>
      <c r="AS227" s="131"/>
      <c r="AT227" s="131"/>
      <c r="AU227" s="230"/>
      <c r="AV227" s="239"/>
      <c r="AW227" s="239"/>
      <c r="AX227" s="239"/>
      <c r="AY227" s="244"/>
      <c r="AZ227" s="131"/>
      <c r="BA227" s="131"/>
      <c r="BB227" s="131"/>
      <c r="BC227" s="230"/>
      <c r="BD227" s="239"/>
      <c r="BE227" s="239"/>
      <c r="BF227" s="239"/>
      <c r="BG227" s="244"/>
      <c r="BH227" s="131"/>
      <c r="BI227" s="131"/>
      <c r="BJ227" s="131"/>
      <c r="BK227" s="230"/>
      <c r="BL227" s="239"/>
      <c r="BM227" s="239"/>
      <c r="BN227" s="239"/>
      <c r="BO227" s="244"/>
      <c r="BP227" s="131"/>
      <c r="BQ227" s="131"/>
      <c r="BR227" s="131"/>
      <c r="BS227" s="230"/>
      <c r="BT227" s="239"/>
      <c r="BU227" s="239"/>
      <c r="BV227" s="239"/>
      <c r="BW227" s="244"/>
      <c r="BX227" s="131"/>
      <c r="BY227" s="131"/>
      <c r="BZ227" s="131"/>
      <c r="CA227" s="230"/>
      <c r="CB227" s="239"/>
      <c r="CC227" s="239"/>
      <c r="CD227" s="239"/>
      <c r="CE227" s="244"/>
      <c r="CF227" s="131"/>
      <c r="CG227" s="131"/>
      <c r="CH227" s="131"/>
      <c r="CI227" s="230"/>
      <c r="CJ227" s="233"/>
      <c r="CK227" s="233"/>
      <c r="CL227" s="233"/>
      <c r="CM227" s="244"/>
      <c r="CN227" s="131"/>
      <c r="CO227" s="131"/>
      <c r="CP227" s="131"/>
      <c r="CQ227" s="230"/>
      <c r="CR227" s="233"/>
      <c r="CS227" s="233"/>
      <c r="CT227" s="233"/>
      <c r="CU227" s="233"/>
      <c r="CV227" s="233"/>
      <c r="CW227" s="131"/>
      <c r="CX227" s="131"/>
      <c r="CY227" s="230"/>
      <c r="CZ227" s="233"/>
      <c r="DA227" s="233"/>
      <c r="DB227" s="235"/>
      <c r="DC227" s="549"/>
      <c r="DD227" s="550"/>
      <c r="DE227" s="548"/>
      <c r="DF227" s="548"/>
      <c r="DG227" s="233"/>
      <c r="DH227" s="233"/>
    </row>
    <row r="228" spans="14:112" ht="20.100000000000001" customHeight="1" x14ac:dyDescent="0.4">
      <c r="O228" s="199"/>
      <c r="P228" s="459" t="s">
        <v>186</v>
      </c>
      <c r="Q228" s="460"/>
      <c r="R228" s="209">
        <v>2.4916666666666671</v>
      </c>
      <c r="S228" s="209">
        <v>3.4541666666666666</v>
      </c>
      <c r="T228" s="226">
        <v>0.96249999999999947</v>
      </c>
      <c r="U228" s="248"/>
      <c r="V228" s="459" t="s">
        <v>186</v>
      </c>
      <c r="W228" s="460"/>
      <c r="X228" s="209">
        <v>2.2807017543859649</v>
      </c>
      <c r="Y228" s="209">
        <v>3.1964912280701756</v>
      </c>
      <c r="Z228" s="226">
        <v>0.91578947368421071</v>
      </c>
      <c r="AA228" s="230"/>
      <c r="AB228" s="459" t="s">
        <v>186</v>
      </c>
      <c r="AC228" s="460"/>
      <c r="AD228" s="209">
        <v>2.2999999999999998</v>
      </c>
      <c r="AE228" s="209">
        <v>3.3151515151515145</v>
      </c>
      <c r="AF228" s="226">
        <v>1.0151515151515147</v>
      </c>
      <c r="AG228" s="230"/>
      <c r="AH228" s="338" t="s">
        <v>186</v>
      </c>
      <c r="AI228" s="337"/>
      <c r="AJ228" s="209">
        <v>2.4575757575757575</v>
      </c>
      <c r="AK228" s="209">
        <v>3.5090909090909097</v>
      </c>
      <c r="AL228" s="226">
        <v>1.0515151515151522</v>
      </c>
      <c r="AM228" s="230"/>
      <c r="AN228" s="239"/>
      <c r="AO228" s="239"/>
      <c r="AP228" s="239"/>
      <c r="AQ228" s="244"/>
      <c r="AR228" s="131"/>
      <c r="AS228" s="131"/>
      <c r="AT228" s="131"/>
      <c r="AU228" s="230"/>
      <c r="AV228" s="239"/>
      <c r="AW228" s="239"/>
      <c r="AX228" s="239"/>
      <c r="AY228" s="244"/>
      <c r="AZ228" s="131"/>
      <c r="BA228" s="131"/>
      <c r="BB228" s="131"/>
      <c r="BC228" s="230"/>
      <c r="BD228" s="239"/>
      <c r="BE228" s="239"/>
      <c r="BF228" s="239"/>
      <c r="BG228" s="244"/>
      <c r="BH228" s="131"/>
      <c r="BI228" s="131"/>
      <c r="BJ228" s="131"/>
      <c r="BK228" s="230"/>
      <c r="BL228" s="239"/>
      <c r="BM228" s="239"/>
      <c r="BN228" s="239"/>
      <c r="BO228" s="244"/>
      <c r="BP228" s="131"/>
      <c r="BQ228" s="131"/>
      <c r="BR228" s="131"/>
      <c r="BS228" s="230"/>
      <c r="BT228" s="239"/>
      <c r="BU228" s="239"/>
      <c r="BV228" s="239"/>
      <c r="BW228" s="244"/>
      <c r="BX228" s="131"/>
      <c r="BY228" s="131"/>
      <c r="BZ228" s="131"/>
      <c r="CA228" s="230"/>
      <c r="CB228" s="239"/>
      <c r="CC228" s="239"/>
      <c r="CD228" s="239"/>
      <c r="CE228" s="244"/>
      <c r="CF228" s="131"/>
      <c r="CG228" s="131"/>
      <c r="CH228" s="131"/>
      <c r="CI228" s="230"/>
      <c r="CJ228" s="233"/>
      <c r="CK228" s="233"/>
      <c r="CL228" s="233"/>
      <c r="CM228" s="244"/>
      <c r="CN228" s="131"/>
      <c r="CO228" s="131"/>
      <c r="CP228" s="131"/>
      <c r="CQ228" s="230"/>
      <c r="CR228" s="233"/>
      <c r="CS228" s="233"/>
      <c r="CT228" s="233"/>
      <c r="CU228" s="233"/>
      <c r="CV228" s="233"/>
      <c r="CW228" s="131"/>
      <c r="CX228" s="131"/>
      <c r="CY228" s="230"/>
      <c r="CZ228" s="233"/>
      <c r="DA228" s="235"/>
      <c r="DB228" s="235"/>
      <c r="DC228" s="547"/>
      <c r="DD228" s="547"/>
      <c r="DE228" s="548"/>
      <c r="DF228" s="548"/>
      <c r="DG228" s="233"/>
      <c r="DH228" s="233"/>
    </row>
    <row r="229" spans="14:112" ht="20.100000000000001" customHeight="1" x14ac:dyDescent="0.4">
      <c r="O229" s="199"/>
      <c r="P229" s="461" t="s">
        <v>187</v>
      </c>
      <c r="Q229" s="462"/>
      <c r="R229" s="209">
        <v>1.0000000000000002</v>
      </c>
      <c r="S229" s="210">
        <v>1.0000000000000002</v>
      </c>
      <c r="T229" s="226">
        <v>0</v>
      </c>
      <c r="U229" s="233"/>
      <c r="V229" s="461" t="s">
        <v>187</v>
      </c>
      <c r="W229" s="462"/>
      <c r="X229" s="209">
        <v>0.73684210526315785</v>
      </c>
      <c r="Y229" s="210">
        <v>1.2210526315789474</v>
      </c>
      <c r="Z229" s="226">
        <v>0.48421052631578954</v>
      </c>
      <c r="AA229" s="230"/>
      <c r="AB229" s="461" t="s">
        <v>187</v>
      </c>
      <c r="AC229" s="462"/>
      <c r="AD229" s="209">
        <v>1.0060606060606063</v>
      </c>
      <c r="AE229" s="210">
        <v>1.0060606060606063</v>
      </c>
      <c r="AF229" s="226">
        <v>0</v>
      </c>
      <c r="AG229" s="230"/>
      <c r="AH229" s="338" t="s">
        <v>187</v>
      </c>
      <c r="AI229" s="339"/>
      <c r="AJ229" s="209">
        <v>0.89090909090909076</v>
      </c>
      <c r="AK229" s="210">
        <v>0.89090909090909076</v>
      </c>
      <c r="AL229" s="226">
        <v>0</v>
      </c>
      <c r="AM229" s="230"/>
      <c r="AN229" s="239"/>
      <c r="AO229" s="239"/>
      <c r="AP229" s="239"/>
      <c r="AQ229" s="245"/>
      <c r="AR229" s="131"/>
      <c r="AS229" s="131"/>
      <c r="AT229" s="131"/>
      <c r="AU229" s="230"/>
      <c r="AV229" s="239"/>
      <c r="AW229" s="239"/>
      <c r="AX229" s="239"/>
      <c r="AY229" s="245"/>
      <c r="AZ229" s="131"/>
      <c r="BA229" s="131"/>
      <c r="BB229" s="131"/>
      <c r="BC229" s="230"/>
      <c r="BD229" s="239"/>
      <c r="BE229" s="239"/>
      <c r="BF229" s="239"/>
      <c r="BG229" s="245"/>
      <c r="BH229" s="131"/>
      <c r="BI229" s="131"/>
      <c r="BJ229" s="131"/>
      <c r="BK229" s="230"/>
      <c r="BL229" s="239"/>
      <c r="BM229" s="239"/>
      <c r="BN229" s="239"/>
      <c r="BO229" s="245"/>
      <c r="BP229" s="131"/>
      <c r="BQ229" s="131"/>
      <c r="BR229" s="131"/>
      <c r="BS229" s="230"/>
      <c r="BT229" s="239"/>
      <c r="BU229" s="239"/>
      <c r="BV229" s="239"/>
      <c r="BW229" s="245"/>
      <c r="BX229" s="131"/>
      <c r="BY229" s="131"/>
      <c r="BZ229" s="131"/>
      <c r="CA229" s="230"/>
      <c r="CB229" s="239"/>
      <c r="CC229" s="239"/>
      <c r="CD229" s="239"/>
      <c r="CE229" s="245"/>
      <c r="CF229" s="131"/>
      <c r="CG229" s="131"/>
      <c r="CH229" s="131"/>
      <c r="CI229" s="230"/>
      <c r="CJ229" s="233"/>
      <c r="CK229" s="233"/>
      <c r="CL229" s="233"/>
      <c r="CM229" s="245"/>
      <c r="CN229" s="131"/>
      <c r="CO229" s="131"/>
      <c r="CP229" s="131"/>
      <c r="CQ229" s="230"/>
      <c r="CR229" s="233"/>
      <c r="CS229" s="233"/>
      <c r="CT229" s="233"/>
      <c r="CU229" s="233"/>
      <c r="CV229" s="233"/>
      <c r="CW229" s="131"/>
      <c r="CX229" s="131"/>
      <c r="CY229" s="230"/>
      <c r="CZ229" s="233"/>
      <c r="DA229" s="235"/>
      <c r="DB229" s="233"/>
      <c r="DC229" s="233"/>
      <c r="DD229" s="233"/>
      <c r="DE229" s="233"/>
      <c r="DF229" s="233"/>
      <c r="DG229" s="233"/>
      <c r="DH229" s="233"/>
    </row>
    <row r="230" spans="14:112" ht="20.100000000000001" customHeight="1" x14ac:dyDescent="0.4">
      <c r="O230" s="199"/>
      <c r="P230" s="461" t="s">
        <v>188</v>
      </c>
      <c r="Q230" s="462"/>
      <c r="R230" s="209">
        <v>0.3708333333333334</v>
      </c>
      <c r="S230" s="210">
        <v>0.53333333333333344</v>
      </c>
      <c r="T230" s="226">
        <v>0.16250000000000003</v>
      </c>
      <c r="U230" s="233"/>
      <c r="V230" s="461" t="s">
        <v>188</v>
      </c>
      <c r="W230" s="462"/>
      <c r="X230" s="209">
        <v>0.52280701754385972</v>
      </c>
      <c r="Y230" s="210">
        <v>0.66315789473684206</v>
      </c>
      <c r="Z230" s="226">
        <v>0.14035087719298234</v>
      </c>
      <c r="AA230" s="230"/>
      <c r="AB230" s="461" t="s">
        <v>188</v>
      </c>
      <c r="AC230" s="462"/>
      <c r="AD230" s="209">
        <v>0.44848484848484843</v>
      </c>
      <c r="AE230" s="210">
        <v>0.66060606060606064</v>
      </c>
      <c r="AF230" s="226">
        <v>0.21212121212121221</v>
      </c>
      <c r="AG230" s="230"/>
      <c r="AH230" s="338" t="s">
        <v>188</v>
      </c>
      <c r="AI230" s="339"/>
      <c r="AJ230" s="209">
        <v>0.43333333333333346</v>
      </c>
      <c r="AK230" s="210">
        <v>0.58787878787878789</v>
      </c>
      <c r="AL230" s="226">
        <v>0.15454545454545443</v>
      </c>
      <c r="AM230" s="230"/>
      <c r="AN230" s="239"/>
      <c r="AO230" s="239"/>
      <c r="AP230" s="239"/>
      <c r="AQ230" s="245"/>
      <c r="AR230" s="131"/>
      <c r="AS230" s="131"/>
      <c r="AT230" s="131"/>
      <c r="AU230" s="230"/>
      <c r="AV230" s="239"/>
      <c r="AW230" s="239"/>
      <c r="AX230" s="239"/>
      <c r="AY230" s="245"/>
      <c r="AZ230" s="131"/>
      <c r="BA230" s="131"/>
      <c r="BB230" s="131"/>
      <c r="BC230" s="230"/>
      <c r="BD230" s="239"/>
      <c r="BE230" s="239"/>
      <c r="BF230" s="239"/>
      <c r="BG230" s="245"/>
      <c r="BH230" s="131"/>
      <c r="BI230" s="131"/>
      <c r="BJ230" s="131"/>
      <c r="BK230" s="230"/>
      <c r="BL230" s="239"/>
      <c r="BM230" s="239"/>
      <c r="BN230" s="239"/>
      <c r="BO230" s="245"/>
      <c r="BP230" s="131"/>
      <c r="BQ230" s="131"/>
      <c r="BR230" s="131"/>
      <c r="BS230" s="230"/>
      <c r="BT230" s="239"/>
      <c r="BU230" s="239"/>
      <c r="BV230" s="239"/>
      <c r="BW230" s="245"/>
      <c r="BX230" s="131"/>
      <c r="BY230" s="131"/>
      <c r="BZ230" s="131"/>
      <c r="CA230" s="230"/>
      <c r="CB230" s="239"/>
      <c r="CC230" s="239"/>
      <c r="CD230" s="239"/>
      <c r="CE230" s="245"/>
      <c r="CF230" s="131"/>
      <c r="CG230" s="131"/>
      <c r="CH230" s="131"/>
      <c r="CI230" s="230"/>
      <c r="CJ230" s="233"/>
      <c r="CK230" s="233"/>
      <c r="CL230" s="233"/>
      <c r="CM230" s="245"/>
      <c r="CN230" s="131"/>
      <c r="CO230" s="131"/>
      <c r="CP230" s="131"/>
      <c r="CQ230" s="230"/>
      <c r="CR230" s="233"/>
      <c r="CS230" s="233"/>
      <c r="CT230" s="233"/>
      <c r="CU230" s="233"/>
      <c r="CV230" s="233"/>
      <c r="CW230" s="131"/>
      <c r="CX230" s="131"/>
      <c r="CY230" s="230"/>
      <c r="CZ230" s="233"/>
      <c r="DA230" s="235"/>
      <c r="DB230" s="233"/>
      <c r="DC230" s="233"/>
      <c r="DD230" s="233"/>
      <c r="DE230" s="233"/>
      <c r="DF230" s="233"/>
      <c r="DG230" s="233"/>
      <c r="DH230" s="233"/>
    </row>
    <row r="231" spans="14:112" ht="20.100000000000001" customHeight="1" x14ac:dyDescent="0.4">
      <c r="O231" s="199"/>
      <c r="P231" s="459" t="s">
        <v>189</v>
      </c>
      <c r="Q231" s="460"/>
      <c r="R231" s="209">
        <v>1.2416666666666665</v>
      </c>
      <c r="S231" s="211">
        <v>1.2416666666666665</v>
      </c>
      <c r="T231" s="226">
        <v>0</v>
      </c>
      <c r="U231" s="233"/>
      <c r="V231" s="459" t="s">
        <v>189</v>
      </c>
      <c r="W231" s="460"/>
      <c r="X231" s="209">
        <v>0.84210526315789469</v>
      </c>
      <c r="Y231" s="211">
        <v>1.1228070175438596</v>
      </c>
      <c r="Z231" s="226">
        <v>0.2807017543859649</v>
      </c>
      <c r="AA231" s="230"/>
      <c r="AB231" s="459" t="s">
        <v>189</v>
      </c>
      <c r="AC231" s="460"/>
      <c r="AD231" s="209">
        <v>0.8606060606060606</v>
      </c>
      <c r="AE231" s="211">
        <v>0.8606060606060606</v>
      </c>
      <c r="AF231" s="226">
        <v>0</v>
      </c>
      <c r="AG231" s="230"/>
      <c r="AH231" s="338" t="s">
        <v>189</v>
      </c>
      <c r="AI231" s="337"/>
      <c r="AJ231" s="209">
        <v>0.44242424242424239</v>
      </c>
      <c r="AK231" s="211">
        <v>0.44242424242424239</v>
      </c>
      <c r="AL231" s="226">
        <v>0</v>
      </c>
      <c r="AM231" s="230"/>
      <c r="AN231" s="239"/>
      <c r="AO231" s="239"/>
      <c r="AP231" s="239"/>
      <c r="AQ231" s="244"/>
      <c r="AR231" s="135"/>
      <c r="AS231" s="135"/>
      <c r="AT231" s="135"/>
      <c r="AU231" s="230"/>
      <c r="AV231" s="239"/>
      <c r="AW231" s="239"/>
      <c r="AX231" s="239"/>
      <c r="AY231" s="244"/>
      <c r="AZ231" s="135"/>
      <c r="BA231" s="135"/>
      <c r="BB231" s="135"/>
      <c r="BC231" s="230"/>
      <c r="BD231" s="239"/>
      <c r="BE231" s="239"/>
      <c r="BF231" s="239"/>
      <c r="BG231" s="244"/>
      <c r="BH231" s="135"/>
      <c r="BI231" s="135"/>
      <c r="BJ231" s="135"/>
      <c r="BK231" s="230"/>
      <c r="BL231" s="239"/>
      <c r="BM231" s="239"/>
      <c r="BN231" s="239"/>
      <c r="BO231" s="244"/>
      <c r="BP231" s="135"/>
      <c r="BQ231" s="135"/>
      <c r="BR231" s="135"/>
      <c r="BS231" s="230"/>
      <c r="BT231" s="239"/>
      <c r="BU231" s="239"/>
      <c r="BV231" s="239"/>
      <c r="BW231" s="244"/>
      <c r="BX231" s="135"/>
      <c r="BY231" s="135"/>
      <c r="BZ231" s="135"/>
      <c r="CA231" s="230"/>
      <c r="CB231" s="239"/>
      <c r="CC231" s="239"/>
      <c r="CD231" s="239"/>
      <c r="CE231" s="244"/>
      <c r="CF231" s="135"/>
      <c r="CG231" s="135"/>
      <c r="CH231" s="135"/>
      <c r="CI231" s="230"/>
      <c r="CJ231" s="233"/>
      <c r="CK231" s="233"/>
      <c r="CL231" s="233"/>
      <c r="CM231" s="244"/>
      <c r="CN231" s="135"/>
      <c r="CO231" s="135"/>
      <c r="CP231" s="135"/>
      <c r="CQ231" s="230"/>
      <c r="CR231" s="233"/>
      <c r="CS231" s="233"/>
      <c r="CT231" s="233"/>
      <c r="CU231" s="233"/>
      <c r="CV231" s="233"/>
      <c r="CW231" s="135"/>
      <c r="CX231" s="135"/>
      <c r="CY231" s="230"/>
      <c r="CZ231" s="233"/>
      <c r="DA231" s="235"/>
      <c r="DB231" s="233"/>
      <c r="DC231" s="233"/>
      <c r="DD231" s="233"/>
      <c r="DE231" s="233"/>
      <c r="DF231" s="233"/>
      <c r="DG231" s="233"/>
      <c r="DH231" s="233"/>
    </row>
    <row r="232" spans="14:112" ht="20.100000000000001" customHeight="1" x14ac:dyDescent="0.4">
      <c r="O232" s="199"/>
      <c r="P232" s="459" t="s">
        <v>190</v>
      </c>
      <c r="Q232" s="460"/>
      <c r="R232" s="209">
        <v>0.63750000000000007</v>
      </c>
      <c r="S232" s="210">
        <v>0.82500000000000007</v>
      </c>
      <c r="T232" s="226">
        <v>0.1875</v>
      </c>
      <c r="U232" s="233"/>
      <c r="V232" s="459" t="s">
        <v>190</v>
      </c>
      <c r="W232" s="460"/>
      <c r="X232" s="209">
        <v>1.3017543859649123</v>
      </c>
      <c r="Y232" s="210">
        <v>1.8245614035087718</v>
      </c>
      <c r="Z232" s="226">
        <v>0.5228070175438595</v>
      </c>
      <c r="AA232" s="230"/>
      <c r="AB232" s="459" t="s">
        <v>190</v>
      </c>
      <c r="AC232" s="460"/>
      <c r="AD232" s="209">
        <v>0.79393939393939394</v>
      </c>
      <c r="AE232" s="210">
        <v>0.9303030303030303</v>
      </c>
      <c r="AF232" s="226">
        <v>0.13636363636363635</v>
      </c>
      <c r="AG232" s="230"/>
      <c r="AH232" s="338" t="s">
        <v>190</v>
      </c>
      <c r="AI232" s="337"/>
      <c r="AJ232" s="209">
        <v>0.10909090909090909</v>
      </c>
      <c r="AK232" s="210">
        <v>0.26666666666666666</v>
      </c>
      <c r="AL232" s="226">
        <v>0.15757575757575759</v>
      </c>
      <c r="AM232" s="230"/>
      <c r="AN232" s="239"/>
      <c r="AO232" s="239"/>
      <c r="AP232" s="239"/>
      <c r="AQ232" s="244"/>
      <c r="AR232" s="131"/>
      <c r="AS232" s="131"/>
      <c r="AT232" s="131"/>
      <c r="AU232" s="230"/>
      <c r="AV232" s="239"/>
      <c r="AW232" s="239"/>
      <c r="AX232" s="239"/>
      <c r="AY232" s="244"/>
      <c r="AZ232" s="131"/>
      <c r="BA232" s="131"/>
      <c r="BB232" s="131"/>
      <c r="BC232" s="230"/>
      <c r="BD232" s="239"/>
      <c r="BE232" s="239"/>
      <c r="BF232" s="239"/>
      <c r="BG232" s="244"/>
      <c r="BH232" s="131"/>
      <c r="BI232" s="131"/>
      <c r="BJ232" s="131"/>
      <c r="BK232" s="230"/>
      <c r="BL232" s="239"/>
      <c r="BM232" s="239"/>
      <c r="BN232" s="239"/>
      <c r="BO232" s="244"/>
      <c r="BP232" s="131"/>
      <c r="BQ232" s="131"/>
      <c r="BR232" s="131"/>
      <c r="BS232" s="230"/>
      <c r="BT232" s="239"/>
      <c r="BU232" s="239"/>
      <c r="BV232" s="239"/>
      <c r="BW232" s="244"/>
      <c r="BX232" s="131"/>
      <c r="BY232" s="131"/>
      <c r="BZ232" s="131"/>
      <c r="CA232" s="230"/>
      <c r="CB232" s="239"/>
      <c r="CC232" s="239"/>
      <c r="CD232" s="239"/>
      <c r="CE232" s="244"/>
      <c r="CF232" s="131"/>
      <c r="CG232" s="131"/>
      <c r="CH232" s="131"/>
      <c r="CI232" s="230"/>
      <c r="CJ232" s="233"/>
      <c r="CK232" s="233"/>
      <c r="CL232" s="233"/>
      <c r="CM232" s="244"/>
      <c r="CN232" s="131"/>
      <c r="CO232" s="131"/>
      <c r="CP232" s="131"/>
      <c r="CQ232" s="230"/>
      <c r="CR232" s="233"/>
      <c r="CS232" s="233"/>
      <c r="CT232" s="233"/>
      <c r="CU232" s="233"/>
      <c r="CV232" s="233"/>
      <c r="CW232" s="131"/>
      <c r="CX232" s="131"/>
      <c r="CY232" s="230"/>
      <c r="CZ232" s="233"/>
      <c r="DA232" s="235"/>
      <c r="DB232" s="233"/>
      <c r="DC232" s="233"/>
      <c r="DD232" s="233"/>
      <c r="DE232" s="233"/>
      <c r="DF232" s="233"/>
      <c r="DG232" s="233"/>
      <c r="DH232" s="233"/>
    </row>
    <row r="233" spans="14:112" ht="20.100000000000001" customHeight="1" x14ac:dyDescent="0.4">
      <c r="O233" s="199"/>
      <c r="P233" s="459" t="s">
        <v>191</v>
      </c>
      <c r="Q233" s="460"/>
      <c r="R233" s="209">
        <v>5</v>
      </c>
      <c r="S233" s="210">
        <v>5.0125000000000002</v>
      </c>
      <c r="T233" s="226">
        <v>1.2500000000000178E-2</v>
      </c>
      <c r="U233" s="233"/>
      <c r="V233" s="459" t="s">
        <v>191</v>
      </c>
      <c r="W233" s="460"/>
      <c r="X233" s="209">
        <v>3.8736842105263158</v>
      </c>
      <c r="Y233" s="210">
        <v>5.8315789473684205</v>
      </c>
      <c r="Z233" s="226">
        <v>1.9578947368421047</v>
      </c>
      <c r="AA233" s="230"/>
      <c r="AB233" s="459" t="s">
        <v>191</v>
      </c>
      <c r="AC233" s="460"/>
      <c r="AD233" s="209">
        <v>4.3515151515151516</v>
      </c>
      <c r="AE233" s="210">
        <v>4.3515151515151516</v>
      </c>
      <c r="AF233" s="226">
        <v>0</v>
      </c>
      <c r="AG233" s="230"/>
      <c r="AH233" s="338" t="s">
        <v>191</v>
      </c>
      <c r="AI233" s="337"/>
      <c r="AJ233" s="209">
        <v>6</v>
      </c>
      <c r="AK233" s="210">
        <v>6.339393939393938</v>
      </c>
      <c r="AL233" s="226">
        <v>0.33939393939393803</v>
      </c>
      <c r="AM233" s="230"/>
      <c r="AN233" s="239"/>
      <c r="AO233" s="239"/>
      <c r="AP233" s="239"/>
      <c r="AQ233" s="244"/>
      <c r="AR233" s="131"/>
      <c r="AS233" s="131"/>
      <c r="AT233" s="131"/>
      <c r="AU233" s="230"/>
      <c r="AV233" s="239"/>
      <c r="AW233" s="239"/>
      <c r="AX233" s="239"/>
      <c r="AY233" s="244"/>
      <c r="AZ233" s="131"/>
      <c r="BA233" s="131"/>
      <c r="BB233" s="131"/>
      <c r="BC233" s="230"/>
      <c r="BD233" s="239"/>
      <c r="BE233" s="239"/>
      <c r="BF233" s="239"/>
      <c r="BG233" s="244"/>
      <c r="BH233" s="131"/>
      <c r="BI233" s="131"/>
      <c r="BJ233" s="131"/>
      <c r="BK233" s="230"/>
      <c r="BL233" s="239"/>
      <c r="BM233" s="239"/>
      <c r="BN233" s="239"/>
      <c r="BO233" s="244"/>
      <c r="BP233" s="131"/>
      <c r="BQ233" s="131"/>
      <c r="BR233" s="131"/>
      <c r="BS233" s="230"/>
      <c r="BT233" s="239"/>
      <c r="BU233" s="239"/>
      <c r="BV233" s="239"/>
      <c r="BW233" s="244"/>
      <c r="BX233" s="131"/>
      <c r="BY233" s="131"/>
      <c r="BZ233" s="131"/>
      <c r="CA233" s="230"/>
      <c r="CB233" s="239"/>
      <c r="CC233" s="239"/>
      <c r="CD233" s="239"/>
      <c r="CE233" s="244"/>
      <c r="CF233" s="131"/>
      <c r="CG233" s="131"/>
      <c r="CH233" s="131"/>
      <c r="CI233" s="230"/>
      <c r="CJ233" s="233"/>
      <c r="CK233" s="233"/>
      <c r="CL233" s="233"/>
      <c r="CM233" s="244"/>
      <c r="CN233" s="131"/>
      <c r="CO233" s="131"/>
      <c r="CP233" s="131"/>
      <c r="CQ233" s="230"/>
      <c r="CR233" s="233"/>
      <c r="CS233" s="233"/>
      <c r="CT233" s="233"/>
      <c r="CU233" s="233"/>
      <c r="CV233" s="233"/>
      <c r="CW233" s="131"/>
      <c r="CX233" s="131"/>
      <c r="CY233" s="230"/>
      <c r="CZ233" s="233"/>
      <c r="DA233" s="235"/>
      <c r="DB233" s="233"/>
      <c r="DC233" s="233"/>
      <c r="DD233" s="233"/>
      <c r="DE233" s="233"/>
      <c r="DF233" s="233"/>
      <c r="DG233" s="233"/>
      <c r="DH233" s="233"/>
    </row>
    <row r="234" spans="14:112" ht="20.100000000000001" customHeight="1" x14ac:dyDescent="0.4">
      <c r="O234" s="199"/>
      <c r="P234" s="459" t="s">
        <v>192</v>
      </c>
      <c r="Q234" s="460"/>
      <c r="R234" s="209">
        <v>3.5000000000000009</v>
      </c>
      <c r="S234" s="212">
        <v>4.8125</v>
      </c>
      <c r="T234" s="226">
        <v>1.3124999999999991</v>
      </c>
      <c r="U234" s="233"/>
      <c r="V234" s="459" t="s">
        <v>192</v>
      </c>
      <c r="W234" s="460"/>
      <c r="X234" s="209">
        <v>4.1052631578947372</v>
      </c>
      <c r="Y234" s="212">
        <v>5.6842105263157894</v>
      </c>
      <c r="Z234" s="226">
        <v>1.5789473684210522</v>
      </c>
      <c r="AA234" s="230"/>
      <c r="AB234" s="459" t="s">
        <v>192</v>
      </c>
      <c r="AC234" s="460"/>
      <c r="AD234" s="209">
        <v>3.542424242424242</v>
      </c>
      <c r="AE234" s="212">
        <v>4.9060606060606053</v>
      </c>
      <c r="AF234" s="226">
        <v>1.3636363636363633</v>
      </c>
      <c r="AG234" s="230"/>
      <c r="AH234" s="338" t="s">
        <v>192</v>
      </c>
      <c r="AI234" s="337"/>
      <c r="AJ234" s="209">
        <v>3</v>
      </c>
      <c r="AK234" s="212">
        <v>4.3636363636363642</v>
      </c>
      <c r="AL234" s="226">
        <v>1.3636363636363642</v>
      </c>
      <c r="AM234" s="230"/>
      <c r="AN234" s="239"/>
      <c r="AO234" s="239"/>
      <c r="AP234" s="239"/>
      <c r="AQ234" s="244"/>
      <c r="AR234" s="135"/>
      <c r="AS234" s="135"/>
      <c r="AT234" s="135"/>
      <c r="AU234" s="230"/>
      <c r="AV234" s="239"/>
      <c r="AW234" s="239"/>
      <c r="AX234" s="239"/>
      <c r="AY234" s="244"/>
      <c r="AZ234" s="135"/>
      <c r="BA234" s="135"/>
      <c r="BB234" s="135"/>
      <c r="BC234" s="230"/>
      <c r="BD234" s="239"/>
      <c r="BE234" s="239"/>
      <c r="BF234" s="239"/>
      <c r="BG234" s="244"/>
      <c r="BH234" s="135"/>
      <c r="BI234" s="135"/>
      <c r="BJ234" s="135"/>
      <c r="BK234" s="230"/>
      <c r="BL234" s="239"/>
      <c r="BM234" s="239"/>
      <c r="BN234" s="239"/>
      <c r="BO234" s="244"/>
      <c r="BP234" s="135"/>
      <c r="BQ234" s="135"/>
      <c r="BR234" s="135"/>
      <c r="BS234" s="230"/>
      <c r="BT234" s="239"/>
      <c r="BU234" s="239"/>
      <c r="BV234" s="239"/>
      <c r="BW234" s="244"/>
      <c r="BX234" s="135"/>
      <c r="BY234" s="135"/>
      <c r="BZ234" s="135"/>
      <c r="CA234" s="230"/>
      <c r="CB234" s="233"/>
      <c r="CC234" s="233"/>
      <c r="CD234" s="233"/>
      <c r="CE234" s="244"/>
      <c r="CF234" s="135"/>
      <c r="CG234" s="135"/>
      <c r="CH234" s="135"/>
      <c r="CI234" s="230"/>
      <c r="CJ234" s="233"/>
      <c r="CK234" s="233"/>
      <c r="CL234" s="233"/>
      <c r="CM234" s="244"/>
      <c r="CN234" s="135"/>
      <c r="CO234" s="135"/>
      <c r="CP234" s="135"/>
      <c r="CQ234" s="230"/>
      <c r="CR234" s="233"/>
      <c r="CS234" s="233"/>
      <c r="CT234" s="233"/>
      <c r="CU234" s="233"/>
      <c r="CV234" s="233"/>
      <c r="CW234" s="135"/>
      <c r="CX234" s="135"/>
      <c r="CY234" s="230"/>
      <c r="CZ234" s="233"/>
      <c r="DA234" s="233"/>
      <c r="DB234" s="233"/>
      <c r="DC234" s="233"/>
      <c r="DD234" s="233"/>
      <c r="DE234" s="233"/>
      <c r="DF234" s="233"/>
      <c r="DG234" s="233"/>
      <c r="DH234" s="233"/>
    </row>
    <row r="235" spans="14:112" ht="20.100000000000001" customHeight="1" x14ac:dyDescent="0.4">
      <c r="N235" s="199"/>
      <c r="O235" s="199"/>
      <c r="P235" s="199"/>
      <c r="Q235" s="201"/>
      <c r="R235" s="200"/>
      <c r="S235" s="199"/>
      <c r="T235" s="199"/>
      <c r="U235" s="233"/>
      <c r="V235" s="233"/>
      <c r="W235" s="233"/>
      <c r="X235" s="233"/>
      <c r="Y235" s="245"/>
      <c r="Z235" s="131"/>
      <c r="AA235" s="239"/>
      <c r="AB235" s="233"/>
      <c r="AC235" s="233"/>
      <c r="AD235" s="245"/>
      <c r="AE235" s="131"/>
      <c r="AF235" s="131"/>
      <c r="AG235" s="239"/>
      <c r="AH235" s="239"/>
      <c r="AI235" s="239"/>
      <c r="AJ235" s="245"/>
      <c r="AK235" s="131"/>
      <c r="AL235" s="131"/>
      <c r="AM235" s="239"/>
      <c r="AN235" s="239"/>
      <c r="AO235" s="239"/>
      <c r="AP235" s="245"/>
      <c r="AQ235" s="131"/>
      <c r="AR235" s="131"/>
      <c r="AS235" s="230"/>
      <c r="AT235" s="230"/>
      <c r="AU235" s="239"/>
      <c r="AV235" s="239"/>
      <c r="AW235" s="239"/>
      <c r="AX235" s="245"/>
      <c r="AY235" s="131"/>
      <c r="AZ235" s="131"/>
      <c r="BA235" s="230"/>
      <c r="BB235" s="230"/>
      <c r="BC235" s="239"/>
      <c r="BD235" s="239"/>
      <c r="BE235" s="239"/>
      <c r="BF235" s="245"/>
      <c r="BG235" s="131"/>
      <c r="BH235" s="131"/>
      <c r="BI235" s="230"/>
      <c r="BJ235" s="230"/>
      <c r="BK235" s="239"/>
      <c r="BL235" s="239"/>
      <c r="BM235" s="239"/>
      <c r="BN235" s="245"/>
      <c r="BO235" s="131"/>
      <c r="BP235" s="131"/>
      <c r="BQ235" s="230"/>
      <c r="BR235" s="230"/>
      <c r="BS235" s="239"/>
      <c r="BT235" s="239"/>
      <c r="BU235" s="239"/>
      <c r="BV235" s="245"/>
      <c r="BW235" s="131"/>
      <c r="BX235" s="131"/>
      <c r="BY235" s="230"/>
      <c r="BZ235" s="230"/>
      <c r="CA235" s="239"/>
      <c r="CB235" s="239"/>
      <c r="CC235" s="239"/>
      <c r="CD235" s="245"/>
      <c r="CE235" s="131"/>
      <c r="CF235" s="131"/>
      <c r="CG235" s="230"/>
      <c r="CH235" s="230"/>
      <c r="CI235" s="239"/>
      <c r="CJ235" s="233"/>
      <c r="CK235" s="233"/>
      <c r="CL235" s="245"/>
      <c r="CM235" s="131"/>
      <c r="CN235" s="131"/>
      <c r="CO235" s="230"/>
      <c r="CP235" s="230"/>
      <c r="CQ235" s="239"/>
      <c r="CR235" s="233"/>
      <c r="CS235" s="233"/>
      <c r="CT235" s="233"/>
      <c r="CU235" s="233"/>
      <c r="CV235" s="233"/>
      <c r="CW235" s="230"/>
      <c r="CX235" s="230"/>
      <c r="CY235" s="239"/>
      <c r="CZ235" s="235"/>
      <c r="DA235" s="233"/>
      <c r="DB235" s="233"/>
      <c r="DC235" s="233"/>
      <c r="DD235" s="233"/>
      <c r="DE235" s="233"/>
      <c r="DF235" s="233"/>
      <c r="DG235" s="233"/>
      <c r="DH235" s="233"/>
    </row>
    <row r="236" spans="14:112" ht="20.100000000000001" customHeight="1" x14ac:dyDescent="0.4">
      <c r="N236" s="199"/>
      <c r="O236" s="199"/>
      <c r="P236" s="483" t="s">
        <v>499</v>
      </c>
      <c r="Q236" s="484"/>
      <c r="R236" s="204" t="s">
        <v>182</v>
      </c>
      <c r="S236" s="205" t="s">
        <v>183</v>
      </c>
      <c r="T236" s="206" t="s">
        <v>184</v>
      </c>
      <c r="U236" s="233"/>
      <c r="V236" s="487" t="s">
        <v>547</v>
      </c>
      <c r="W236" s="488"/>
      <c r="X236" s="204" t="s">
        <v>182</v>
      </c>
      <c r="Y236" s="205" t="s">
        <v>183</v>
      </c>
      <c r="Z236" s="206" t="s">
        <v>184</v>
      </c>
      <c r="AA236" s="239"/>
      <c r="AB236" s="581" t="s">
        <v>605</v>
      </c>
      <c r="AC236" s="582"/>
      <c r="AD236" s="204" t="s">
        <v>182</v>
      </c>
      <c r="AE236" s="205" t="s">
        <v>183</v>
      </c>
      <c r="AF236" s="206" t="s">
        <v>184</v>
      </c>
      <c r="AG236" s="239"/>
      <c r="AH236" s="351" t="s">
        <v>728</v>
      </c>
      <c r="AI236" s="352"/>
      <c r="AJ236" s="204" t="s">
        <v>182</v>
      </c>
      <c r="AK236" s="205" t="s">
        <v>183</v>
      </c>
      <c r="AL236" s="206" t="s">
        <v>184</v>
      </c>
      <c r="AM236" s="239"/>
      <c r="AN236" s="239"/>
      <c r="AO236" s="239"/>
      <c r="AP236" s="244"/>
      <c r="AQ236" s="135"/>
      <c r="AR236" s="135"/>
      <c r="AS236" s="230"/>
      <c r="AT236" s="230"/>
      <c r="AU236" s="239"/>
      <c r="AV236" s="239"/>
      <c r="AW236" s="239"/>
      <c r="AX236" s="244"/>
      <c r="AY236" s="135"/>
      <c r="AZ236" s="135"/>
      <c r="BA236" s="230"/>
      <c r="BB236" s="230"/>
      <c r="BC236" s="239"/>
      <c r="BD236" s="239"/>
      <c r="BE236" s="239"/>
      <c r="BF236" s="244"/>
      <c r="BG236" s="135"/>
      <c r="BH236" s="135"/>
      <c r="BI236" s="230"/>
      <c r="BJ236" s="230"/>
      <c r="BK236" s="239"/>
      <c r="BL236" s="239"/>
      <c r="BM236" s="239"/>
      <c r="BN236" s="244"/>
      <c r="BO236" s="135"/>
      <c r="BP236" s="135"/>
      <c r="BQ236" s="230"/>
      <c r="BR236" s="230"/>
      <c r="BS236" s="239"/>
      <c r="BT236" s="239"/>
      <c r="BU236" s="239"/>
      <c r="BV236" s="244"/>
      <c r="BW236" s="135"/>
      <c r="BX236" s="135"/>
      <c r="BY236" s="230"/>
      <c r="BZ236" s="230"/>
      <c r="CA236" s="239"/>
      <c r="CB236" s="239"/>
      <c r="CC236" s="239"/>
      <c r="CD236" s="244"/>
      <c r="CE236" s="135"/>
      <c r="CF236" s="135"/>
      <c r="CG236" s="230"/>
      <c r="CH236" s="230"/>
      <c r="CI236" s="239"/>
      <c r="CJ236" s="233"/>
      <c r="CK236" s="233"/>
      <c r="CL236" s="244"/>
      <c r="CM236" s="135"/>
      <c r="CN236" s="135"/>
      <c r="CO236" s="230"/>
      <c r="CP236" s="230"/>
      <c r="CQ236" s="239"/>
      <c r="CR236" s="233"/>
      <c r="CS236" s="233"/>
      <c r="CT236" s="233"/>
      <c r="CU236" s="233"/>
      <c r="CV236" s="233"/>
      <c r="CW236" s="230"/>
      <c r="CX236" s="230"/>
      <c r="CY236" s="239"/>
      <c r="CZ236" s="235"/>
      <c r="DA236" s="233"/>
      <c r="DB236" s="233"/>
      <c r="DC236" s="233"/>
      <c r="DD236" s="233"/>
      <c r="DE236" s="233"/>
      <c r="DF236" s="233"/>
      <c r="DG236" s="233"/>
      <c r="DH236" s="233"/>
    </row>
    <row r="237" spans="14:112" ht="20.100000000000001" customHeight="1" x14ac:dyDescent="0.4">
      <c r="N237" s="199"/>
      <c r="O237" s="199"/>
      <c r="P237" s="459" t="s">
        <v>185</v>
      </c>
      <c r="Q237" s="460"/>
      <c r="R237" s="209">
        <v>1.9583333333333333</v>
      </c>
      <c r="S237" s="209">
        <v>2.7583333333333333</v>
      </c>
      <c r="T237" s="226">
        <v>0.8</v>
      </c>
      <c r="U237" s="233"/>
      <c r="V237" s="459" t="s">
        <v>185</v>
      </c>
      <c r="W237" s="460"/>
      <c r="X237" s="209">
        <v>1.3000000000000003</v>
      </c>
      <c r="Y237" s="209">
        <v>2.2947368421052632</v>
      </c>
      <c r="Z237" s="226">
        <v>0.99473684210526292</v>
      </c>
      <c r="AA237" s="239"/>
      <c r="AB237" s="459" t="s">
        <v>185</v>
      </c>
      <c r="AC237" s="460"/>
      <c r="AD237" s="209">
        <v>1.6666666666666667</v>
      </c>
      <c r="AE237" s="209">
        <v>2.4848484848484844</v>
      </c>
      <c r="AF237" s="226">
        <v>0.81818181818181768</v>
      </c>
      <c r="AG237" s="239"/>
      <c r="AH237" s="349" t="s">
        <v>185</v>
      </c>
      <c r="AI237" s="348"/>
      <c r="AJ237" s="209">
        <v>3.1515151515151514</v>
      </c>
      <c r="AK237" s="209">
        <v>4.666666666666667</v>
      </c>
      <c r="AL237" s="226">
        <v>1.5151515151515156</v>
      </c>
      <c r="AM237" s="239"/>
      <c r="AN237" s="239"/>
      <c r="AO237" s="239"/>
      <c r="AP237" s="244"/>
      <c r="AQ237" s="131"/>
      <c r="AR237" s="131"/>
      <c r="AS237" s="230"/>
      <c r="AT237" s="230"/>
      <c r="AU237" s="239"/>
      <c r="AV237" s="239"/>
      <c r="AW237" s="239"/>
      <c r="AX237" s="244"/>
      <c r="AY237" s="131"/>
      <c r="AZ237" s="131"/>
      <c r="BA237" s="230"/>
      <c r="BB237" s="230"/>
      <c r="BC237" s="239"/>
      <c r="BD237" s="239"/>
      <c r="BE237" s="239"/>
      <c r="BF237" s="244"/>
      <c r="BG237" s="131"/>
      <c r="BH237" s="131"/>
      <c r="BI237" s="230"/>
      <c r="BJ237" s="230"/>
      <c r="BK237" s="239"/>
      <c r="BL237" s="239"/>
      <c r="BM237" s="239"/>
      <c r="BN237" s="244"/>
      <c r="BO237" s="131"/>
      <c r="BP237" s="131"/>
      <c r="BQ237" s="230"/>
      <c r="BR237" s="230"/>
      <c r="BS237" s="239"/>
      <c r="BT237" s="239"/>
      <c r="BU237" s="239"/>
      <c r="BV237" s="244"/>
      <c r="BW237" s="131"/>
      <c r="BX237" s="131"/>
      <c r="BY237" s="230"/>
      <c r="BZ237" s="230"/>
      <c r="CA237" s="239"/>
      <c r="CB237" s="239"/>
      <c r="CC237" s="239"/>
      <c r="CD237" s="244"/>
      <c r="CE237" s="131"/>
      <c r="CF237" s="131"/>
      <c r="CG237" s="230"/>
      <c r="CH237" s="230"/>
      <c r="CI237" s="239"/>
      <c r="CJ237" s="233"/>
      <c r="CK237" s="233"/>
      <c r="CL237" s="244"/>
      <c r="CM237" s="131"/>
      <c r="CN237" s="131"/>
      <c r="CO237" s="230"/>
      <c r="CP237" s="230"/>
      <c r="CQ237" s="239"/>
      <c r="CR237" s="233"/>
      <c r="CS237" s="233"/>
      <c r="CT237" s="233"/>
      <c r="CU237" s="233"/>
      <c r="CV237" s="233"/>
      <c r="CW237" s="230"/>
      <c r="CX237" s="230"/>
      <c r="CY237" s="239"/>
      <c r="CZ237" s="235"/>
      <c r="DA237" s="233"/>
      <c r="DB237" s="233"/>
      <c r="DC237" s="233"/>
      <c r="DD237" s="233"/>
      <c r="DE237" s="233"/>
      <c r="DF237" s="233"/>
      <c r="DG237" s="233"/>
      <c r="DH237" s="233"/>
    </row>
    <row r="238" spans="14:112" ht="20.100000000000001" customHeight="1" x14ac:dyDescent="0.4">
      <c r="N238" s="199"/>
      <c r="O238" s="199"/>
      <c r="P238" s="459" t="s">
        <v>186</v>
      </c>
      <c r="Q238" s="460"/>
      <c r="R238" s="209">
        <v>1.8791666666666664</v>
      </c>
      <c r="S238" s="209">
        <v>2.4916666666666671</v>
      </c>
      <c r="T238" s="226">
        <v>0.61250000000000071</v>
      </c>
      <c r="U238" s="233"/>
      <c r="V238" s="459" t="s">
        <v>186</v>
      </c>
      <c r="W238" s="460"/>
      <c r="X238" s="209">
        <v>1.2533333333333334</v>
      </c>
      <c r="Y238" s="209">
        <v>2.2807017543859649</v>
      </c>
      <c r="Z238" s="226">
        <v>1.0273684210526315</v>
      </c>
      <c r="AA238" s="239"/>
      <c r="AB238" s="459" t="s">
        <v>186</v>
      </c>
      <c r="AC238" s="460"/>
      <c r="AD238" s="209">
        <v>1.312121212121212</v>
      </c>
      <c r="AE238" s="209">
        <v>2.2999999999999998</v>
      </c>
      <c r="AF238" s="226">
        <v>0.9878787878787878</v>
      </c>
      <c r="AG238" s="239"/>
      <c r="AH238" s="349" t="s">
        <v>186</v>
      </c>
      <c r="AI238" s="348"/>
      <c r="AJ238" s="209">
        <v>1.2666666666666668</v>
      </c>
      <c r="AK238" s="209">
        <v>2.4575757575757575</v>
      </c>
      <c r="AL238" s="226">
        <v>1.1909090909090907</v>
      </c>
      <c r="AM238" s="239"/>
      <c r="AN238" s="239"/>
      <c r="AO238" s="239"/>
      <c r="AP238" s="244"/>
      <c r="AQ238" s="131"/>
      <c r="AR238" s="131"/>
      <c r="AS238" s="230"/>
      <c r="AT238" s="230"/>
      <c r="AU238" s="239"/>
      <c r="AV238" s="239"/>
      <c r="AW238" s="239"/>
      <c r="AX238" s="244"/>
      <c r="AY238" s="131"/>
      <c r="AZ238" s="131"/>
      <c r="BA238" s="230"/>
      <c r="BB238" s="230"/>
      <c r="BC238" s="239"/>
      <c r="BD238" s="239"/>
      <c r="BE238" s="239"/>
      <c r="BF238" s="244"/>
      <c r="BG238" s="131"/>
      <c r="BH238" s="131"/>
      <c r="BI238" s="230"/>
      <c r="BJ238" s="230"/>
      <c r="BK238" s="239"/>
      <c r="BL238" s="239"/>
      <c r="BM238" s="239"/>
      <c r="BN238" s="244"/>
      <c r="BO238" s="131"/>
      <c r="BP238" s="131"/>
      <c r="BQ238" s="230"/>
      <c r="BR238" s="230"/>
      <c r="BS238" s="239"/>
      <c r="BT238" s="239"/>
      <c r="BU238" s="239"/>
      <c r="BV238" s="244"/>
      <c r="BW238" s="131"/>
      <c r="BX238" s="131"/>
      <c r="BY238" s="230"/>
      <c r="BZ238" s="230"/>
      <c r="CA238" s="239"/>
      <c r="CB238" s="239"/>
      <c r="CC238" s="239"/>
      <c r="CD238" s="244"/>
      <c r="CE238" s="131"/>
      <c r="CF238" s="131"/>
      <c r="CG238" s="230"/>
      <c r="CH238" s="230"/>
      <c r="CI238" s="239"/>
      <c r="CJ238" s="233"/>
      <c r="CK238" s="233"/>
      <c r="CL238" s="244"/>
      <c r="CM238" s="131"/>
      <c r="CN238" s="131"/>
      <c r="CO238" s="230"/>
      <c r="CP238" s="230"/>
      <c r="CQ238" s="239"/>
      <c r="CR238" s="233"/>
      <c r="CS238" s="233"/>
      <c r="CT238" s="233"/>
      <c r="CU238" s="233"/>
      <c r="CV238" s="233"/>
      <c r="CW238" s="230"/>
      <c r="CX238" s="230"/>
      <c r="CY238" s="239"/>
      <c r="CZ238" s="235"/>
      <c r="DA238" s="233"/>
      <c r="DB238" s="233"/>
      <c r="DC238" s="233"/>
      <c r="DD238" s="233"/>
      <c r="DE238" s="233"/>
      <c r="DF238" s="233"/>
      <c r="DG238" s="233"/>
      <c r="DH238" s="233"/>
    </row>
    <row r="239" spans="14:112" ht="20.100000000000001" customHeight="1" x14ac:dyDescent="0.4">
      <c r="N239" s="199"/>
      <c r="O239" s="199"/>
      <c r="P239" s="461" t="s">
        <v>187</v>
      </c>
      <c r="Q239" s="462"/>
      <c r="R239" s="209">
        <v>1.2499999999999998</v>
      </c>
      <c r="S239" s="210">
        <v>1.0000000000000002</v>
      </c>
      <c r="T239" s="226">
        <v>-0.24999999999999956</v>
      </c>
      <c r="U239" s="233"/>
      <c r="V239" s="461" t="s">
        <v>187</v>
      </c>
      <c r="W239" s="462"/>
      <c r="X239" s="209">
        <v>0.7</v>
      </c>
      <c r="Y239" s="210">
        <v>0.73684210526315785</v>
      </c>
      <c r="Z239" s="226">
        <v>3.6842105263157898E-2</v>
      </c>
      <c r="AA239" s="233"/>
      <c r="AB239" s="461" t="s">
        <v>187</v>
      </c>
      <c r="AC239" s="462"/>
      <c r="AD239" s="209">
        <v>1.0060606060606063</v>
      </c>
      <c r="AE239" s="210">
        <v>1.0060606060606063</v>
      </c>
      <c r="AF239" s="226">
        <v>0</v>
      </c>
      <c r="AG239" s="233"/>
      <c r="AH239" s="349" t="s">
        <v>187</v>
      </c>
      <c r="AI239" s="350"/>
      <c r="AJ239" s="209">
        <v>1.1575757575757575</v>
      </c>
      <c r="AK239" s="210">
        <v>0.89090909090909076</v>
      </c>
      <c r="AL239" s="226">
        <v>-0.26666666666666672</v>
      </c>
      <c r="AM239" s="233"/>
      <c r="AN239" s="245"/>
      <c r="AO239" s="131"/>
      <c r="AP239" s="131"/>
      <c r="AQ239" s="230"/>
      <c r="AR239" s="239"/>
      <c r="AS239" s="233"/>
      <c r="AT239" s="233"/>
      <c r="AU239" s="233"/>
      <c r="AV239" s="245"/>
      <c r="AW239" s="131"/>
      <c r="AX239" s="131"/>
      <c r="AY239" s="230"/>
      <c r="AZ239" s="239"/>
      <c r="BA239" s="239"/>
      <c r="BB239" s="239"/>
      <c r="BC239" s="239"/>
      <c r="BD239" s="245"/>
      <c r="BE239" s="131"/>
      <c r="BF239" s="131"/>
      <c r="BG239" s="230"/>
      <c r="BH239" s="239"/>
      <c r="BI239" s="239"/>
      <c r="BJ239" s="239"/>
      <c r="BK239" s="239"/>
      <c r="BL239" s="245"/>
      <c r="BM239" s="131"/>
      <c r="BN239" s="131"/>
      <c r="BO239" s="230"/>
      <c r="BP239" s="233"/>
      <c r="BQ239" s="239"/>
      <c r="BR239" s="239"/>
      <c r="BS239" s="239"/>
      <c r="BT239" s="245"/>
      <c r="BU239" s="131"/>
      <c r="BV239" s="131"/>
      <c r="BW239" s="230"/>
      <c r="BX239" s="233"/>
      <c r="BY239" s="239"/>
      <c r="BZ239" s="239"/>
      <c r="CA239" s="239"/>
      <c r="CB239" s="245"/>
      <c r="CC239" s="131"/>
      <c r="CD239" s="131"/>
      <c r="CE239" s="230"/>
      <c r="CF239" s="233"/>
      <c r="CG239" s="239"/>
      <c r="CH239" s="239"/>
      <c r="CI239" s="239"/>
      <c r="CJ239" s="245"/>
      <c r="CK239" s="131"/>
      <c r="CL239" s="131"/>
      <c r="CM239" s="230"/>
      <c r="CN239" s="233"/>
      <c r="CO239" s="239"/>
      <c r="CP239" s="239"/>
      <c r="CQ239" s="239"/>
      <c r="CR239" s="245"/>
      <c r="CS239" s="131"/>
      <c r="CT239" s="131"/>
      <c r="CU239" s="230"/>
      <c r="CV239" s="233"/>
      <c r="CW239" s="239"/>
      <c r="CX239" s="239"/>
      <c r="CY239" s="239"/>
      <c r="CZ239" s="233"/>
      <c r="DA239" s="233"/>
      <c r="DB239" s="233"/>
      <c r="DC239" s="233"/>
      <c r="DD239" s="233"/>
      <c r="DE239" s="233"/>
      <c r="DF239" s="233"/>
      <c r="DG239" s="233"/>
      <c r="DH239" s="233"/>
    </row>
    <row r="240" spans="14:112" ht="20.100000000000001" customHeight="1" x14ac:dyDescent="0.4">
      <c r="N240" s="199"/>
      <c r="O240" s="199"/>
      <c r="P240" s="461" t="s">
        <v>188</v>
      </c>
      <c r="Q240" s="462"/>
      <c r="R240" s="209">
        <v>0.29583333333333334</v>
      </c>
      <c r="S240" s="210">
        <v>0.3708333333333334</v>
      </c>
      <c r="T240" s="226">
        <v>7.5000000000000067E-2</v>
      </c>
      <c r="U240" s="233"/>
      <c r="V240" s="461" t="s">
        <v>188</v>
      </c>
      <c r="W240" s="462"/>
      <c r="X240" s="209">
        <v>0.32666666666666661</v>
      </c>
      <c r="Y240" s="210">
        <v>0.52280701754385972</v>
      </c>
      <c r="Z240" s="226">
        <v>0.19614035087719311</v>
      </c>
      <c r="AA240" s="233"/>
      <c r="AB240" s="461" t="s">
        <v>188</v>
      </c>
      <c r="AC240" s="462"/>
      <c r="AD240" s="209">
        <v>0.29090909090909095</v>
      </c>
      <c r="AE240" s="210">
        <v>0.44848484848484843</v>
      </c>
      <c r="AF240" s="226">
        <v>0.15757575757575748</v>
      </c>
      <c r="AG240" s="233"/>
      <c r="AH240" s="349" t="s">
        <v>188</v>
      </c>
      <c r="AI240" s="350"/>
      <c r="AJ240" s="209">
        <v>0.26060606060606062</v>
      </c>
      <c r="AK240" s="210">
        <v>0.43333333333333346</v>
      </c>
      <c r="AL240" s="226">
        <v>0.17272727272727284</v>
      </c>
      <c r="AM240" s="233"/>
      <c r="AN240" s="245"/>
      <c r="AO240" s="131"/>
      <c r="AP240" s="131"/>
      <c r="AQ240" s="230"/>
      <c r="AR240" s="239"/>
      <c r="AS240" s="233"/>
      <c r="AT240" s="233"/>
      <c r="AU240" s="233"/>
      <c r="AV240" s="245"/>
      <c r="AW240" s="131"/>
      <c r="AX240" s="131"/>
      <c r="AY240" s="230"/>
      <c r="AZ240" s="239"/>
      <c r="BA240" s="239"/>
      <c r="BB240" s="239"/>
      <c r="BC240" s="239"/>
      <c r="BD240" s="245"/>
      <c r="BE240" s="131"/>
      <c r="BF240" s="131"/>
      <c r="BG240" s="230"/>
      <c r="BH240" s="239"/>
      <c r="BI240" s="239"/>
      <c r="BJ240" s="239"/>
      <c r="BK240" s="239"/>
      <c r="BL240" s="245"/>
      <c r="BM240" s="131"/>
      <c r="BN240" s="131"/>
      <c r="BO240" s="230"/>
      <c r="BP240" s="233"/>
      <c r="BQ240" s="239"/>
      <c r="BR240" s="239"/>
      <c r="BS240" s="239"/>
      <c r="BT240" s="245"/>
      <c r="BU240" s="131"/>
      <c r="BV240" s="131"/>
      <c r="BW240" s="230"/>
      <c r="BX240" s="233"/>
      <c r="BY240" s="239"/>
      <c r="BZ240" s="239"/>
      <c r="CA240" s="239"/>
      <c r="CB240" s="245"/>
      <c r="CC240" s="131"/>
      <c r="CD240" s="131"/>
      <c r="CE240" s="230"/>
      <c r="CF240" s="233"/>
      <c r="CG240" s="239"/>
      <c r="CH240" s="239"/>
      <c r="CI240" s="239"/>
      <c r="CJ240" s="245"/>
      <c r="CK240" s="131"/>
      <c r="CL240" s="131"/>
      <c r="CM240" s="230"/>
      <c r="CN240" s="233"/>
      <c r="CO240" s="239"/>
      <c r="CP240" s="239"/>
      <c r="CQ240" s="239"/>
      <c r="CR240" s="245"/>
      <c r="CS240" s="131"/>
      <c r="CT240" s="131"/>
      <c r="CU240" s="230"/>
      <c r="CV240" s="233"/>
      <c r="CW240" s="239"/>
      <c r="CX240" s="239"/>
      <c r="CY240" s="239"/>
      <c r="CZ240" s="233"/>
      <c r="DA240" s="233"/>
      <c r="DB240" s="233"/>
      <c r="DC240" s="233"/>
      <c r="DD240" s="233"/>
      <c r="DE240" s="233"/>
      <c r="DF240" s="233"/>
      <c r="DG240" s="233"/>
      <c r="DH240" s="233"/>
    </row>
    <row r="241" spans="14:112" ht="20.100000000000001" customHeight="1" x14ac:dyDescent="0.4">
      <c r="N241" s="199"/>
      <c r="O241" s="199"/>
      <c r="P241" s="459" t="s">
        <v>189</v>
      </c>
      <c r="Q241" s="460"/>
      <c r="R241" s="209">
        <v>0</v>
      </c>
      <c r="S241" s="211">
        <v>1.2416666666666665</v>
      </c>
      <c r="T241" s="226">
        <v>1.2416666666666665</v>
      </c>
      <c r="U241" s="233"/>
      <c r="V241" s="459" t="s">
        <v>189</v>
      </c>
      <c r="W241" s="460"/>
      <c r="X241" s="209">
        <v>0.79999999999999993</v>
      </c>
      <c r="Y241" s="211">
        <v>0.84210526315789469</v>
      </c>
      <c r="Z241" s="226">
        <v>4.2105263157894757E-2</v>
      </c>
      <c r="AA241" s="233"/>
      <c r="AB241" s="459" t="s">
        <v>189</v>
      </c>
      <c r="AC241" s="460"/>
      <c r="AD241" s="209">
        <v>0.8606060606060606</v>
      </c>
      <c r="AE241" s="211">
        <v>0.8606060606060606</v>
      </c>
      <c r="AF241" s="226">
        <v>0</v>
      </c>
      <c r="AG241" s="233"/>
      <c r="AH241" s="349" t="s">
        <v>189</v>
      </c>
      <c r="AI241" s="348"/>
      <c r="AJ241" s="209">
        <v>0.78787878787878785</v>
      </c>
      <c r="AK241" s="211">
        <v>0.44242424242424239</v>
      </c>
      <c r="AL241" s="226">
        <v>-0.34545454545454546</v>
      </c>
      <c r="AM241" s="233"/>
      <c r="AN241" s="244"/>
      <c r="AO241" s="135"/>
      <c r="AP241" s="135"/>
      <c r="AQ241" s="230"/>
      <c r="AR241" s="239"/>
      <c r="AS241" s="233"/>
      <c r="AT241" s="233"/>
      <c r="AU241" s="233"/>
      <c r="AV241" s="244"/>
      <c r="AW241" s="135"/>
      <c r="AX241" s="135"/>
      <c r="AY241" s="230"/>
      <c r="AZ241" s="239"/>
      <c r="BA241" s="239"/>
      <c r="BB241" s="239"/>
      <c r="BC241" s="239"/>
      <c r="BD241" s="244"/>
      <c r="BE241" s="135"/>
      <c r="BF241" s="135"/>
      <c r="BG241" s="230"/>
      <c r="BH241" s="239"/>
      <c r="BI241" s="239"/>
      <c r="BJ241" s="239"/>
      <c r="BK241" s="239"/>
      <c r="BL241" s="244"/>
      <c r="BM241" s="135"/>
      <c r="BN241" s="135"/>
      <c r="BO241" s="230"/>
      <c r="BP241" s="233"/>
      <c r="BQ241" s="239"/>
      <c r="BR241" s="239"/>
      <c r="BS241" s="239"/>
      <c r="BT241" s="244"/>
      <c r="BU241" s="135"/>
      <c r="BV241" s="135"/>
      <c r="BW241" s="230"/>
      <c r="BX241" s="233"/>
      <c r="BY241" s="239"/>
      <c r="BZ241" s="239"/>
      <c r="CA241" s="239"/>
      <c r="CB241" s="244"/>
      <c r="CC241" s="135"/>
      <c r="CD241" s="135"/>
      <c r="CE241" s="230"/>
      <c r="CF241" s="233"/>
      <c r="CG241" s="239"/>
      <c r="CH241" s="239"/>
      <c r="CI241" s="239"/>
      <c r="CJ241" s="244"/>
      <c r="CK241" s="135"/>
      <c r="CL241" s="135"/>
      <c r="CM241" s="230"/>
      <c r="CN241" s="233"/>
      <c r="CO241" s="239"/>
      <c r="CP241" s="239"/>
      <c r="CQ241" s="239"/>
      <c r="CR241" s="244"/>
      <c r="CS241" s="135"/>
      <c r="CT241" s="135"/>
      <c r="CU241" s="230"/>
      <c r="CV241" s="233"/>
      <c r="CW241" s="239"/>
      <c r="CX241" s="239"/>
      <c r="CY241" s="239"/>
      <c r="CZ241" s="233"/>
      <c r="DA241" s="233"/>
      <c r="DB241" s="233"/>
      <c r="DC241" s="233"/>
      <c r="DD241" s="233"/>
      <c r="DE241" s="233"/>
      <c r="DF241" s="233"/>
      <c r="DG241" s="233"/>
      <c r="DH241" s="233"/>
    </row>
    <row r="242" spans="14:112" ht="20.100000000000001" customHeight="1" x14ac:dyDescent="0.4">
      <c r="N242" s="199"/>
      <c r="O242" s="199"/>
      <c r="P242" s="459" t="s">
        <v>190</v>
      </c>
      <c r="Q242" s="460"/>
      <c r="R242" s="209">
        <v>0.45</v>
      </c>
      <c r="S242" s="210">
        <v>0.63750000000000007</v>
      </c>
      <c r="T242" s="226">
        <v>0.18750000000000006</v>
      </c>
      <c r="U242" s="233"/>
      <c r="V242" s="459" t="s">
        <v>190</v>
      </c>
      <c r="W242" s="460"/>
      <c r="X242" s="209">
        <v>0.82000000000000006</v>
      </c>
      <c r="Y242" s="210">
        <v>1.3017543859649123</v>
      </c>
      <c r="Z242" s="226">
        <v>0.48175438596491227</v>
      </c>
      <c r="AA242" s="233"/>
      <c r="AB242" s="459" t="s">
        <v>190</v>
      </c>
      <c r="AC242" s="460"/>
      <c r="AD242" s="209">
        <v>0.57878787878787874</v>
      </c>
      <c r="AE242" s="210">
        <v>0.79393939393939394</v>
      </c>
      <c r="AF242" s="226">
        <v>0.2151515151515152</v>
      </c>
      <c r="AG242" s="233"/>
      <c r="AH242" s="349" t="s">
        <v>190</v>
      </c>
      <c r="AI242" s="348"/>
      <c r="AJ242" s="209">
        <v>0.10909090909090909</v>
      </c>
      <c r="AK242" s="210">
        <v>0.10909090909090909</v>
      </c>
      <c r="AL242" s="226">
        <v>0</v>
      </c>
      <c r="AM242" s="233"/>
      <c r="AN242" s="244"/>
      <c r="AO242" s="131"/>
      <c r="AP242" s="131"/>
      <c r="AQ242" s="230"/>
      <c r="AR242" s="239"/>
      <c r="AS242" s="233"/>
      <c r="AT242" s="233"/>
      <c r="AU242" s="233"/>
      <c r="AV242" s="244"/>
      <c r="AW242" s="131"/>
      <c r="AX242" s="131"/>
      <c r="AY242" s="230"/>
      <c r="AZ242" s="239"/>
      <c r="BA242" s="239"/>
      <c r="BB242" s="239"/>
      <c r="BC242" s="239"/>
      <c r="BD242" s="244"/>
      <c r="BE242" s="131"/>
      <c r="BF242" s="131"/>
      <c r="BG242" s="230"/>
      <c r="BH242" s="239"/>
      <c r="BI242" s="239"/>
      <c r="BJ242" s="239"/>
      <c r="BK242" s="239"/>
      <c r="BL242" s="244"/>
      <c r="BM242" s="131"/>
      <c r="BN242" s="131"/>
      <c r="BO242" s="230"/>
      <c r="BP242" s="233"/>
      <c r="BQ242" s="239"/>
      <c r="BR242" s="239"/>
      <c r="BS242" s="239"/>
      <c r="BT242" s="244"/>
      <c r="BU242" s="131"/>
      <c r="BV242" s="131"/>
      <c r="BW242" s="230"/>
      <c r="BX242" s="239"/>
      <c r="BY242" s="239"/>
      <c r="BZ242" s="239"/>
      <c r="CA242" s="239"/>
      <c r="CB242" s="244"/>
      <c r="CC242" s="131"/>
      <c r="CD242" s="131"/>
      <c r="CE242" s="230"/>
      <c r="CF242" s="233"/>
      <c r="CG242" s="239"/>
      <c r="CH242" s="239"/>
      <c r="CI242" s="239"/>
      <c r="CJ242" s="244"/>
      <c r="CK242" s="131"/>
      <c r="CL242" s="131"/>
      <c r="CM242" s="230"/>
      <c r="CN242" s="233"/>
      <c r="CO242" s="239"/>
      <c r="CP242" s="239"/>
      <c r="CQ242" s="239"/>
      <c r="CR242" s="244"/>
      <c r="CS242" s="131"/>
      <c r="CT242" s="131"/>
      <c r="CU242" s="230"/>
      <c r="CV242" s="233"/>
      <c r="CW242" s="239"/>
      <c r="CX242" s="239"/>
      <c r="CY242" s="239"/>
      <c r="CZ242" s="233"/>
      <c r="DA242" s="233"/>
      <c r="DB242" s="233"/>
      <c r="DC242" s="233"/>
      <c r="DD242" s="233"/>
      <c r="DE242" s="233"/>
      <c r="DF242" s="233"/>
      <c r="DG242" s="233"/>
      <c r="DH242" s="233"/>
    </row>
    <row r="243" spans="14:112" ht="20.100000000000001" customHeight="1" x14ac:dyDescent="0.4">
      <c r="N243" s="199"/>
      <c r="O243" s="199"/>
      <c r="P243" s="459" t="s">
        <v>191</v>
      </c>
      <c r="Q243" s="460"/>
      <c r="R243" s="209">
        <v>3.208333333333333</v>
      </c>
      <c r="S243" s="210">
        <v>5</v>
      </c>
      <c r="T243" s="226">
        <v>1.791666666666667</v>
      </c>
      <c r="U243" s="233"/>
      <c r="V243" s="459" t="s">
        <v>191</v>
      </c>
      <c r="W243" s="460"/>
      <c r="X243" s="209">
        <v>2.8</v>
      </c>
      <c r="Y243" s="210">
        <v>3.8736842105263158</v>
      </c>
      <c r="Z243" s="226">
        <v>1.073684210526316</v>
      </c>
      <c r="AA243" s="233"/>
      <c r="AB243" s="459" t="s">
        <v>191</v>
      </c>
      <c r="AC243" s="460"/>
      <c r="AD243" s="209">
        <v>3.5333333333333332</v>
      </c>
      <c r="AE243" s="210">
        <v>4.3515151515151516</v>
      </c>
      <c r="AF243" s="226">
        <v>0.81818181818181834</v>
      </c>
      <c r="AG243" s="233"/>
      <c r="AH243" s="349" t="s">
        <v>191</v>
      </c>
      <c r="AI243" s="348"/>
      <c r="AJ243" s="209">
        <v>5.0969696969696967</v>
      </c>
      <c r="AK243" s="210">
        <v>6</v>
      </c>
      <c r="AL243" s="226">
        <v>0.90303030303030329</v>
      </c>
      <c r="AM243" s="233"/>
      <c r="AN243" s="244"/>
      <c r="AO243" s="131"/>
      <c r="AP243" s="131"/>
      <c r="AQ243" s="230"/>
      <c r="AR243" s="239"/>
      <c r="AS243" s="233"/>
      <c r="AT243" s="233"/>
      <c r="AU243" s="233"/>
      <c r="AV243" s="244"/>
      <c r="AW243" s="131"/>
      <c r="AX243" s="131"/>
      <c r="AY243" s="230"/>
      <c r="AZ243" s="239"/>
      <c r="BA243" s="239"/>
      <c r="BB243" s="239"/>
      <c r="BC243" s="239"/>
      <c r="BD243" s="244"/>
      <c r="BE243" s="131"/>
      <c r="BF243" s="131"/>
      <c r="BG243" s="230"/>
      <c r="BH243" s="239"/>
      <c r="BI243" s="239"/>
      <c r="BJ243" s="239"/>
      <c r="BK243" s="239"/>
      <c r="BL243" s="244"/>
      <c r="BM243" s="131"/>
      <c r="BN243" s="131"/>
      <c r="BO243" s="230"/>
      <c r="BP243" s="233"/>
      <c r="BQ243" s="239"/>
      <c r="BR243" s="239"/>
      <c r="BS243" s="239"/>
      <c r="BT243" s="244"/>
      <c r="BU243" s="131"/>
      <c r="BV243" s="131"/>
      <c r="BW243" s="230"/>
      <c r="BX243" s="239"/>
      <c r="BY243" s="239"/>
      <c r="BZ243" s="239"/>
      <c r="CA243" s="239"/>
      <c r="CB243" s="244"/>
      <c r="CC243" s="131"/>
      <c r="CD243" s="131"/>
      <c r="CE243" s="230"/>
      <c r="CF243" s="233"/>
      <c r="CG243" s="239"/>
      <c r="CH243" s="239"/>
      <c r="CI243" s="239"/>
      <c r="CJ243" s="244"/>
      <c r="CK243" s="131"/>
      <c r="CL243" s="131"/>
      <c r="CM243" s="230"/>
      <c r="CN243" s="233"/>
      <c r="CO243" s="239"/>
      <c r="CP243" s="239"/>
      <c r="CQ243" s="239"/>
      <c r="CR243" s="244"/>
      <c r="CS243" s="131"/>
      <c r="CT243" s="131"/>
      <c r="CU243" s="230"/>
      <c r="CV243" s="233"/>
      <c r="CW243" s="239"/>
      <c r="CX243" s="239"/>
      <c r="CY243" s="239"/>
      <c r="CZ243" s="233"/>
      <c r="DA243" s="233"/>
      <c r="DB243" s="233"/>
      <c r="DC243" s="233"/>
      <c r="DD243" s="233"/>
      <c r="DE243" s="233"/>
      <c r="DF243" s="233"/>
      <c r="DG243" s="233"/>
      <c r="DH243" s="233"/>
    </row>
    <row r="244" spans="14:112" ht="20.100000000000001" customHeight="1" x14ac:dyDescent="0.4">
      <c r="N244" s="199"/>
      <c r="O244" s="199"/>
      <c r="P244" s="459" t="s">
        <v>192</v>
      </c>
      <c r="Q244" s="460"/>
      <c r="R244" s="209">
        <v>2.625</v>
      </c>
      <c r="S244" s="212">
        <v>3.5000000000000009</v>
      </c>
      <c r="T244" s="226">
        <v>0.87500000000000089</v>
      </c>
      <c r="U244" s="233"/>
      <c r="V244" s="459" t="s">
        <v>192</v>
      </c>
      <c r="W244" s="460"/>
      <c r="X244" s="209">
        <v>2.4000000000000004</v>
      </c>
      <c r="Y244" s="212">
        <v>4.1052631578947372</v>
      </c>
      <c r="Z244" s="226">
        <v>1.7052631578947368</v>
      </c>
      <c r="AA244" s="233"/>
      <c r="AB244" s="459" t="s">
        <v>192</v>
      </c>
      <c r="AC244" s="460"/>
      <c r="AD244" s="209">
        <v>2.1818181818181817</v>
      </c>
      <c r="AE244" s="212">
        <v>3.542424242424242</v>
      </c>
      <c r="AF244" s="226">
        <v>1.3606060606060604</v>
      </c>
      <c r="AG244" s="233"/>
      <c r="AH244" s="349" t="s">
        <v>192</v>
      </c>
      <c r="AI244" s="348"/>
      <c r="AJ244" s="209">
        <v>1.6363636363636365</v>
      </c>
      <c r="AK244" s="212">
        <v>3</v>
      </c>
      <c r="AL244" s="226">
        <v>1.3636363636363635</v>
      </c>
      <c r="AM244" s="233"/>
      <c r="AN244" s="244"/>
      <c r="AO244" s="135"/>
      <c r="AP244" s="135"/>
      <c r="AQ244" s="230"/>
      <c r="AR244" s="239"/>
      <c r="AS244" s="233"/>
      <c r="AT244" s="233"/>
      <c r="AU244" s="233"/>
      <c r="AV244" s="244"/>
      <c r="AW244" s="135"/>
      <c r="AX244" s="135"/>
      <c r="AY244" s="230"/>
      <c r="AZ244" s="239"/>
      <c r="BA244" s="239"/>
      <c r="BB244" s="239"/>
      <c r="BC244" s="239"/>
      <c r="BD244" s="244"/>
      <c r="BE244" s="135"/>
      <c r="BF244" s="135"/>
      <c r="BG244" s="230"/>
      <c r="BH244" s="239"/>
      <c r="BI244" s="239"/>
      <c r="BJ244" s="239"/>
      <c r="BK244" s="239"/>
      <c r="BL244" s="244"/>
      <c r="BM244" s="135"/>
      <c r="BN244" s="135"/>
      <c r="BO244" s="230"/>
      <c r="BP244" s="233"/>
      <c r="BQ244" s="239"/>
      <c r="BR244" s="239"/>
      <c r="BS244" s="239"/>
      <c r="BT244" s="244"/>
      <c r="BU244" s="135"/>
      <c r="BV244" s="135"/>
      <c r="BW244" s="230"/>
      <c r="BX244" s="239"/>
      <c r="BY244" s="239"/>
      <c r="BZ244" s="239"/>
      <c r="CA244" s="239"/>
      <c r="CB244" s="244"/>
      <c r="CC244" s="135"/>
      <c r="CD244" s="135"/>
      <c r="CE244" s="230"/>
      <c r="CF244" s="233"/>
      <c r="CG244" s="239"/>
      <c r="CH244" s="239"/>
      <c r="CI244" s="239"/>
      <c r="CJ244" s="244"/>
      <c r="CK244" s="135"/>
      <c r="CL244" s="135"/>
      <c r="CM244" s="230"/>
      <c r="CN244" s="233"/>
      <c r="CO244" s="239"/>
      <c r="CP244" s="239"/>
      <c r="CQ244" s="239"/>
      <c r="CR244" s="244"/>
      <c r="CS244" s="135"/>
      <c r="CT244" s="135"/>
      <c r="CU244" s="230"/>
      <c r="CV244" s="233"/>
      <c r="CW244" s="239"/>
      <c r="CX244" s="239"/>
      <c r="CY244" s="239"/>
      <c r="CZ244" s="233"/>
      <c r="DA244" s="233"/>
      <c r="DB244" s="233"/>
      <c r="DC244" s="233"/>
      <c r="DD244" s="233"/>
      <c r="DE244" s="233"/>
      <c r="DF244" s="233"/>
      <c r="DG244" s="233"/>
      <c r="DH244" s="233"/>
    </row>
    <row r="245" spans="14:112" ht="20.100000000000001" customHeight="1" x14ac:dyDescent="0.4">
      <c r="N245" s="199"/>
      <c r="O245" s="199"/>
      <c r="P245" s="199"/>
      <c r="Q245" s="199"/>
      <c r="R245" s="201"/>
      <c r="S245" s="200"/>
      <c r="U245" s="233"/>
      <c r="V245" s="233"/>
      <c r="W245" s="233"/>
      <c r="X245" s="233"/>
      <c r="Y245" s="233"/>
      <c r="Z245" s="233"/>
      <c r="AA245" s="233"/>
      <c r="AB245" s="233"/>
      <c r="AC245" s="233"/>
      <c r="AD245" s="233"/>
      <c r="AE245" s="233"/>
      <c r="AF245" s="233"/>
      <c r="AG245" s="233"/>
      <c r="AH245" s="233"/>
      <c r="AI245" s="233"/>
      <c r="AJ245" s="233"/>
      <c r="AK245" s="233"/>
      <c r="AL245" s="233"/>
      <c r="AM245" s="233"/>
      <c r="AN245" s="233"/>
      <c r="AO245" s="233"/>
      <c r="AP245" s="233"/>
      <c r="AQ245" s="233"/>
      <c r="AR245" s="233"/>
      <c r="AS245" s="233"/>
      <c r="AT245" s="233"/>
      <c r="AU245" s="233"/>
      <c r="AV245" s="233"/>
      <c r="AW245" s="233"/>
      <c r="AX245" s="233"/>
      <c r="AY245" s="233"/>
      <c r="AZ245" s="233"/>
      <c r="BA245" s="233"/>
      <c r="BB245" s="233"/>
      <c r="BC245" s="233"/>
      <c r="BD245" s="239"/>
      <c r="BE245" s="239"/>
      <c r="BF245" s="239"/>
      <c r="BG245" s="239"/>
      <c r="BH245" s="239"/>
      <c r="BI245" s="233"/>
      <c r="BJ245" s="233"/>
      <c r="BK245" s="233"/>
      <c r="BL245" s="233"/>
      <c r="BM245" s="233"/>
      <c r="BN245" s="233"/>
      <c r="BO245" s="233"/>
      <c r="BP245" s="233"/>
      <c r="BQ245" s="233"/>
      <c r="BR245" s="233"/>
      <c r="BS245" s="233"/>
      <c r="BT245" s="233"/>
      <c r="BU245" s="233"/>
      <c r="BV245" s="233"/>
      <c r="BW245" s="233"/>
      <c r="BX245" s="233"/>
      <c r="BY245" s="233"/>
      <c r="BZ245" s="233"/>
      <c r="CA245" s="233"/>
      <c r="CB245" s="233"/>
      <c r="CC245" s="233"/>
      <c r="CD245" s="233"/>
      <c r="CE245" s="233"/>
      <c r="CF245" s="233"/>
      <c r="CG245" s="233"/>
      <c r="CH245" s="233"/>
      <c r="CI245" s="233"/>
      <c r="CJ245" s="233"/>
      <c r="CK245" s="233"/>
      <c r="CL245" s="233"/>
      <c r="CM245" s="233"/>
      <c r="CN245" s="233"/>
      <c r="CO245" s="233"/>
      <c r="CP245" s="233"/>
      <c r="CQ245" s="233"/>
      <c r="CR245" s="233"/>
      <c r="CS245" s="233"/>
      <c r="CT245" s="233"/>
      <c r="CU245" s="233"/>
      <c r="CV245" s="233"/>
      <c r="CW245" s="233"/>
      <c r="CX245" s="233"/>
      <c r="CY245" s="233"/>
      <c r="CZ245" s="233"/>
      <c r="DA245" s="233"/>
      <c r="DB245" s="233"/>
      <c r="DC245" s="233"/>
      <c r="DD245" s="233"/>
      <c r="DE245" s="233"/>
      <c r="DF245" s="233"/>
      <c r="DG245" s="233"/>
      <c r="DH245" s="233"/>
    </row>
    <row r="246" spans="14:112" ht="20.100000000000001" customHeight="1" x14ac:dyDescent="0.4">
      <c r="N246" s="199"/>
      <c r="O246" s="199"/>
      <c r="P246" s="483" t="s">
        <v>467</v>
      </c>
      <c r="Q246" s="484"/>
      <c r="R246" s="204" t="s">
        <v>182</v>
      </c>
      <c r="S246" s="205" t="s">
        <v>183</v>
      </c>
      <c r="T246" s="206" t="s">
        <v>184</v>
      </c>
      <c r="U246" s="233"/>
      <c r="V246" s="487" t="s">
        <v>539</v>
      </c>
      <c r="W246" s="576"/>
      <c r="X246" s="204" t="s">
        <v>182</v>
      </c>
      <c r="Y246" s="205" t="s">
        <v>183</v>
      </c>
      <c r="Z246" s="206" t="s">
        <v>184</v>
      </c>
      <c r="AA246" s="233"/>
      <c r="AB246" s="581" t="s">
        <v>597</v>
      </c>
      <c r="AC246" s="582"/>
      <c r="AD246" s="204" t="s">
        <v>182</v>
      </c>
      <c r="AE246" s="205" t="s">
        <v>183</v>
      </c>
      <c r="AF246" s="206" t="s">
        <v>184</v>
      </c>
      <c r="AG246" s="233"/>
      <c r="AH246" s="351" t="s">
        <v>638</v>
      </c>
      <c r="AI246" s="352"/>
      <c r="AJ246" s="204" t="s">
        <v>182</v>
      </c>
      <c r="AK246" s="205" t="s">
        <v>183</v>
      </c>
      <c r="AL246" s="206" t="s">
        <v>184</v>
      </c>
      <c r="AM246" s="233"/>
      <c r="AN246" s="240"/>
      <c r="AO246" s="241"/>
      <c r="AP246" s="242"/>
      <c r="AQ246" s="243"/>
      <c r="AR246" s="233"/>
      <c r="AS246" s="233"/>
      <c r="AT246" s="233"/>
      <c r="AU246" s="233"/>
      <c r="AV246" s="240"/>
      <c r="AW246" s="241"/>
      <c r="AX246" s="242"/>
      <c r="AY246" s="243"/>
      <c r="AZ246" s="233"/>
      <c r="BA246" s="233"/>
      <c r="BB246" s="233"/>
      <c r="BC246" s="233"/>
      <c r="BD246" s="240"/>
      <c r="BE246" s="241"/>
      <c r="BF246" s="242"/>
      <c r="BG246" s="243"/>
      <c r="BH246" s="233"/>
      <c r="BI246" s="233"/>
      <c r="BJ246" s="233"/>
      <c r="BK246" s="233"/>
      <c r="BL246" s="240"/>
      <c r="BM246" s="241"/>
      <c r="BN246" s="242"/>
      <c r="BO246" s="243"/>
      <c r="BP246" s="233"/>
      <c r="BQ246" s="233"/>
      <c r="BR246" s="233"/>
      <c r="BS246" s="233"/>
      <c r="BT246" s="240"/>
      <c r="BU246" s="241"/>
      <c r="BV246" s="242"/>
      <c r="BW246" s="243"/>
      <c r="BX246" s="233"/>
      <c r="BY246" s="233"/>
      <c r="BZ246" s="233"/>
      <c r="CA246" s="233"/>
      <c r="CB246" s="240"/>
      <c r="CC246" s="241"/>
      <c r="CD246" s="242"/>
      <c r="CE246" s="243"/>
      <c r="CF246" s="233"/>
      <c r="CG246" s="233"/>
      <c r="CH246" s="233"/>
      <c r="CI246" s="233"/>
      <c r="CJ246" s="240"/>
      <c r="CK246" s="241"/>
      <c r="CL246" s="242"/>
      <c r="CM246" s="243"/>
      <c r="CN246" s="233"/>
      <c r="CO246" s="233"/>
      <c r="CP246" s="233"/>
      <c r="CQ246" s="233"/>
      <c r="CR246" s="240"/>
      <c r="CS246" s="241"/>
      <c r="CT246" s="242"/>
      <c r="CU246" s="243"/>
      <c r="CV246" s="233"/>
      <c r="CW246" s="233"/>
      <c r="CX246" s="233"/>
      <c r="CY246" s="233"/>
      <c r="CZ246" s="233"/>
      <c r="DA246" s="233"/>
      <c r="DB246" s="233"/>
      <c r="DC246" s="233"/>
      <c r="DD246" s="233"/>
      <c r="DE246" s="233"/>
      <c r="DF246" s="233"/>
      <c r="DG246" s="233"/>
      <c r="DH246" s="233"/>
    </row>
    <row r="247" spans="14:112" ht="20.100000000000001" customHeight="1" x14ac:dyDescent="0.4">
      <c r="N247" s="199"/>
      <c r="O247" s="199"/>
      <c r="P247" s="459" t="s">
        <v>185</v>
      </c>
      <c r="Q247" s="460"/>
      <c r="R247" s="209">
        <v>0.75</v>
      </c>
      <c r="S247" s="209">
        <v>1.9583333333333333</v>
      </c>
      <c r="T247" s="226">
        <v>1.2083333333333333</v>
      </c>
      <c r="U247" s="233"/>
      <c r="V247" s="459" t="s">
        <v>185</v>
      </c>
      <c r="W247" s="460"/>
      <c r="X247" s="209">
        <v>0.53333333333333333</v>
      </c>
      <c r="Y247" s="209">
        <v>1.3000000000000003</v>
      </c>
      <c r="Z247" s="226">
        <v>0.76666666666666694</v>
      </c>
      <c r="AA247" s="233"/>
      <c r="AB247" s="459" t="s">
        <v>185</v>
      </c>
      <c r="AC247" s="460"/>
      <c r="AD247" s="209">
        <v>0.4242424242424242</v>
      </c>
      <c r="AE247" s="209">
        <v>1.6666666666666667</v>
      </c>
      <c r="AF247" s="226">
        <v>1.2424242424242427</v>
      </c>
      <c r="AG247" s="233"/>
      <c r="AH247" s="349" t="s">
        <v>185</v>
      </c>
      <c r="AI247" s="348"/>
      <c r="AJ247" s="209">
        <v>0</v>
      </c>
      <c r="AK247" s="209">
        <v>3.1515151515151514</v>
      </c>
      <c r="AL247" s="226">
        <v>3.1515151515151514</v>
      </c>
      <c r="AM247" s="233"/>
      <c r="AN247" s="244"/>
      <c r="AO247" s="131"/>
      <c r="AP247" s="131"/>
      <c r="AQ247" s="230"/>
      <c r="AR247" s="233"/>
      <c r="AS247" s="233"/>
      <c r="AT247" s="233"/>
      <c r="AU247" s="233"/>
      <c r="AV247" s="244"/>
      <c r="AW247" s="131"/>
      <c r="AX247" s="131"/>
      <c r="AY247" s="230"/>
      <c r="AZ247" s="233"/>
      <c r="BA247" s="233"/>
      <c r="BB247" s="233"/>
      <c r="BC247" s="233"/>
      <c r="BD247" s="244"/>
      <c r="BE247" s="131"/>
      <c r="BF247" s="131"/>
      <c r="BG247" s="230"/>
      <c r="BH247" s="233"/>
      <c r="BI247" s="233"/>
      <c r="BJ247" s="233"/>
      <c r="BK247" s="233"/>
      <c r="BL247" s="244"/>
      <c r="BM247" s="131"/>
      <c r="BN247" s="131"/>
      <c r="BO247" s="230"/>
      <c r="BP247" s="233"/>
      <c r="BQ247" s="233"/>
      <c r="BR247" s="233"/>
      <c r="BS247" s="233"/>
      <c r="BT247" s="244"/>
      <c r="BU247" s="131"/>
      <c r="BV247" s="131"/>
      <c r="BW247" s="230"/>
      <c r="BX247" s="233"/>
      <c r="BY247" s="233"/>
      <c r="BZ247" s="233"/>
      <c r="CA247" s="233"/>
      <c r="CB247" s="244"/>
      <c r="CC247" s="131"/>
      <c r="CD247" s="131"/>
      <c r="CE247" s="230"/>
      <c r="CF247" s="233"/>
      <c r="CG247" s="233"/>
      <c r="CH247" s="233"/>
      <c r="CI247" s="233"/>
      <c r="CJ247" s="244"/>
      <c r="CK247" s="131"/>
      <c r="CL247" s="131"/>
      <c r="CM247" s="230"/>
      <c r="CN247" s="233"/>
      <c r="CO247" s="233"/>
      <c r="CP247" s="233"/>
      <c r="CQ247" s="233"/>
      <c r="CR247" s="244"/>
      <c r="CS247" s="131"/>
      <c r="CT247" s="131"/>
      <c r="CU247" s="230"/>
      <c r="CV247" s="233"/>
      <c r="CW247" s="233"/>
      <c r="CX247" s="233"/>
      <c r="CY247" s="233"/>
      <c r="CZ247" s="233"/>
      <c r="DA247" s="233"/>
      <c r="DB247" s="233"/>
      <c r="DC247" s="233"/>
      <c r="DD247" s="233"/>
      <c r="DE247" s="233"/>
      <c r="DF247" s="233"/>
      <c r="DG247" s="233"/>
      <c r="DH247" s="233"/>
    </row>
    <row r="248" spans="14:112" ht="20.100000000000001" customHeight="1" x14ac:dyDescent="0.4">
      <c r="O248" s="199"/>
      <c r="P248" s="459" t="s">
        <v>186</v>
      </c>
      <c r="Q248" s="460"/>
      <c r="R248" s="209">
        <v>0.33333333333333337</v>
      </c>
      <c r="S248" s="209">
        <v>1.8791666666666664</v>
      </c>
      <c r="T248" s="226">
        <v>1.5458333333333329</v>
      </c>
      <c r="U248" s="233"/>
      <c r="V248" s="459" t="s">
        <v>186</v>
      </c>
      <c r="W248" s="460"/>
      <c r="X248" s="209">
        <v>0.43666666666666665</v>
      </c>
      <c r="Y248" s="209">
        <v>1.2533333333333334</v>
      </c>
      <c r="Z248" s="226">
        <v>0.81666666666666676</v>
      </c>
      <c r="AA248" s="233"/>
      <c r="AB248" s="459" t="s">
        <v>186</v>
      </c>
      <c r="AC248" s="460"/>
      <c r="AD248" s="209">
        <v>0.44848484848484849</v>
      </c>
      <c r="AE248" s="209">
        <v>1.312121212121212</v>
      </c>
      <c r="AF248" s="226">
        <v>0.86363636363636354</v>
      </c>
      <c r="AG248" s="233"/>
      <c r="AH248" s="349" t="s">
        <v>186</v>
      </c>
      <c r="AI248" s="348"/>
      <c r="AJ248" s="209">
        <v>0.20303030303030301</v>
      </c>
      <c r="AK248" s="209">
        <v>1.2666666666666668</v>
      </c>
      <c r="AL248" s="226">
        <v>1.0636363636363639</v>
      </c>
      <c r="AM248" s="233"/>
      <c r="AN248" s="244"/>
      <c r="AO248" s="131"/>
      <c r="AP248" s="131"/>
      <c r="AQ248" s="230"/>
      <c r="AR248" s="233"/>
      <c r="AS248" s="233"/>
      <c r="AT248" s="233"/>
      <c r="AU248" s="233"/>
      <c r="AV248" s="244"/>
      <c r="AW248" s="131"/>
      <c r="AX248" s="131"/>
      <c r="AY248" s="230"/>
      <c r="AZ248" s="233"/>
      <c r="BA248" s="233"/>
      <c r="BB248" s="233"/>
      <c r="BC248" s="233"/>
      <c r="BD248" s="244"/>
      <c r="BE248" s="131"/>
      <c r="BF248" s="131"/>
      <c r="BG248" s="230"/>
      <c r="BH248" s="233"/>
      <c r="BI248" s="233"/>
      <c r="BJ248" s="233"/>
      <c r="BK248" s="233"/>
      <c r="BL248" s="244"/>
      <c r="BM248" s="131"/>
      <c r="BN248" s="131"/>
      <c r="BO248" s="230"/>
      <c r="BP248" s="233"/>
      <c r="BQ248" s="233"/>
      <c r="BR248" s="233"/>
      <c r="BS248" s="233"/>
      <c r="BT248" s="244"/>
      <c r="BU248" s="131"/>
      <c r="BV248" s="131"/>
      <c r="BW248" s="230"/>
      <c r="BX248" s="233"/>
      <c r="BY248" s="233"/>
      <c r="BZ248" s="233"/>
      <c r="CA248" s="233"/>
      <c r="CB248" s="244"/>
      <c r="CC248" s="131"/>
      <c r="CD248" s="131"/>
      <c r="CE248" s="230"/>
      <c r="CF248" s="233"/>
      <c r="CG248" s="233"/>
      <c r="CH248" s="233"/>
      <c r="CI248" s="233"/>
      <c r="CJ248" s="244"/>
      <c r="CK248" s="131"/>
      <c r="CL248" s="131"/>
      <c r="CM248" s="230"/>
      <c r="CN248" s="233"/>
      <c r="CO248" s="233"/>
      <c r="CP248" s="233"/>
      <c r="CQ248" s="233"/>
      <c r="CR248" s="244"/>
      <c r="CS248" s="131"/>
      <c r="CT248" s="131"/>
      <c r="CU248" s="230"/>
      <c r="CV248" s="233"/>
      <c r="CW248" s="233"/>
      <c r="CX248" s="233"/>
      <c r="CY248" s="233"/>
      <c r="CZ248" s="233"/>
      <c r="DA248" s="233"/>
      <c r="DB248" s="233"/>
      <c r="DC248" s="233"/>
      <c r="DD248" s="233"/>
      <c r="DE248" s="233"/>
      <c r="DF248" s="233"/>
      <c r="DG248" s="233"/>
      <c r="DH248" s="233"/>
    </row>
    <row r="249" spans="14:112" ht="20.100000000000001" customHeight="1" x14ac:dyDescent="0.4">
      <c r="O249" s="199"/>
      <c r="P249" s="461" t="s">
        <v>187</v>
      </c>
      <c r="Q249" s="462"/>
      <c r="R249" s="209">
        <v>1.2499999999999998</v>
      </c>
      <c r="S249" s="210">
        <v>1.2499999999999998</v>
      </c>
      <c r="T249" s="226">
        <v>0</v>
      </c>
      <c r="U249" s="233"/>
      <c r="V249" s="461" t="s">
        <v>187</v>
      </c>
      <c r="W249" s="462"/>
      <c r="X249" s="209">
        <v>0.66666666666666663</v>
      </c>
      <c r="Y249" s="210">
        <v>0.7</v>
      </c>
      <c r="Z249" s="226">
        <v>3.3333333333333326E-2</v>
      </c>
      <c r="AA249" s="233"/>
      <c r="AB249" s="461" t="s">
        <v>187</v>
      </c>
      <c r="AC249" s="462"/>
      <c r="AD249" s="209">
        <v>1.0060606060606063</v>
      </c>
      <c r="AE249" s="210">
        <v>1.0060606060606063</v>
      </c>
      <c r="AF249" s="226">
        <v>0</v>
      </c>
      <c r="AG249" s="233"/>
      <c r="AH249" s="349" t="s">
        <v>187</v>
      </c>
      <c r="AI249" s="350"/>
      <c r="AJ249" s="209">
        <v>0</v>
      </c>
      <c r="AK249" s="210">
        <v>1.1575757575757575</v>
      </c>
      <c r="AL249" s="226">
        <v>1.1575757575757575</v>
      </c>
      <c r="AM249" s="233"/>
      <c r="AN249" s="245"/>
      <c r="AO249" s="131"/>
      <c r="AP249" s="131"/>
      <c r="AQ249" s="230"/>
      <c r="AR249" s="233"/>
      <c r="AS249" s="233"/>
      <c r="AT249" s="233"/>
      <c r="AU249" s="233"/>
      <c r="AV249" s="245"/>
      <c r="AW249" s="131"/>
      <c r="AX249" s="131"/>
      <c r="AY249" s="230"/>
      <c r="AZ249" s="233"/>
      <c r="BA249" s="233"/>
      <c r="BB249" s="233"/>
      <c r="BC249" s="233"/>
      <c r="BD249" s="245"/>
      <c r="BE249" s="131"/>
      <c r="BF249" s="131"/>
      <c r="BG249" s="230"/>
      <c r="BH249" s="233"/>
      <c r="BI249" s="233"/>
      <c r="BJ249" s="233"/>
      <c r="BK249" s="233"/>
      <c r="BL249" s="245"/>
      <c r="BM249" s="131"/>
      <c r="BN249" s="131"/>
      <c r="BO249" s="230"/>
      <c r="BP249" s="233"/>
      <c r="BQ249" s="233"/>
      <c r="BR249" s="233"/>
      <c r="BS249" s="233"/>
      <c r="BT249" s="245"/>
      <c r="BU249" s="131"/>
      <c r="BV249" s="131"/>
      <c r="BW249" s="230"/>
      <c r="BX249" s="233"/>
      <c r="BY249" s="233"/>
      <c r="BZ249" s="233"/>
      <c r="CA249" s="233"/>
      <c r="CB249" s="245"/>
      <c r="CC249" s="131"/>
      <c r="CD249" s="131"/>
      <c r="CE249" s="230"/>
      <c r="CF249" s="233"/>
      <c r="CG249" s="233"/>
      <c r="CH249" s="233"/>
      <c r="CI249" s="233"/>
      <c r="CJ249" s="245"/>
      <c r="CK249" s="131"/>
      <c r="CL249" s="131"/>
      <c r="CM249" s="230"/>
      <c r="CN249" s="233"/>
      <c r="CO249" s="233"/>
      <c r="CP249" s="233"/>
      <c r="CQ249" s="233"/>
      <c r="CR249" s="245"/>
      <c r="CS249" s="131"/>
      <c r="CT249" s="131"/>
      <c r="CU249" s="230"/>
      <c r="CV249" s="233"/>
      <c r="CW249" s="233"/>
      <c r="CX249" s="233"/>
      <c r="CY249" s="233"/>
      <c r="CZ249" s="233"/>
      <c r="DA249" s="233"/>
      <c r="DB249" s="233"/>
      <c r="DC249" s="233"/>
      <c r="DD249" s="233"/>
      <c r="DE249" s="233"/>
      <c r="DF249" s="233"/>
      <c r="DG249" s="233"/>
      <c r="DH249" s="233"/>
    </row>
    <row r="250" spans="14:112" ht="20.100000000000001" customHeight="1" x14ac:dyDescent="0.4">
      <c r="O250" s="199"/>
      <c r="P250" s="461" t="s">
        <v>188</v>
      </c>
      <c r="Q250" s="462"/>
      <c r="R250" s="209">
        <v>4.1666666666666664E-2</v>
      </c>
      <c r="S250" s="210">
        <v>0.29583333333333334</v>
      </c>
      <c r="T250" s="226">
        <v>0.25416666666666665</v>
      </c>
      <c r="U250" s="233"/>
      <c r="V250" s="461" t="s">
        <v>188</v>
      </c>
      <c r="W250" s="462"/>
      <c r="X250" s="209">
        <v>0.14666666666666667</v>
      </c>
      <c r="Y250" s="210">
        <v>0.32666666666666661</v>
      </c>
      <c r="Z250" s="226">
        <v>0.17999999999999994</v>
      </c>
      <c r="AA250" s="233"/>
      <c r="AB250" s="461" t="s">
        <v>188</v>
      </c>
      <c r="AC250" s="462"/>
      <c r="AD250" s="209">
        <v>0.10303030303030304</v>
      </c>
      <c r="AE250" s="210">
        <v>0.29090909090909095</v>
      </c>
      <c r="AF250" s="226">
        <v>0.18787878787878792</v>
      </c>
      <c r="AG250" s="233"/>
      <c r="AH250" s="349" t="s">
        <v>188</v>
      </c>
      <c r="AI250" s="350"/>
      <c r="AJ250" s="209">
        <v>4.5454545454545449E-2</v>
      </c>
      <c r="AK250" s="210">
        <v>0.26060606060606062</v>
      </c>
      <c r="AL250" s="226">
        <v>0.21515151515151518</v>
      </c>
      <c r="AM250" s="233"/>
      <c r="AN250" s="245"/>
      <c r="AO250" s="131"/>
      <c r="AP250" s="131"/>
      <c r="AQ250" s="230"/>
      <c r="AR250" s="233"/>
      <c r="AS250" s="233"/>
      <c r="AT250" s="233"/>
      <c r="AU250" s="233"/>
      <c r="AV250" s="245"/>
      <c r="AW250" s="131"/>
      <c r="AX250" s="131"/>
      <c r="AY250" s="230"/>
      <c r="AZ250" s="233"/>
      <c r="BA250" s="233"/>
      <c r="BB250" s="233"/>
      <c r="BC250" s="233"/>
      <c r="BD250" s="245"/>
      <c r="BE250" s="131"/>
      <c r="BF250" s="131"/>
      <c r="BG250" s="230"/>
      <c r="BH250" s="233"/>
      <c r="BI250" s="233"/>
      <c r="BJ250" s="233"/>
      <c r="BK250" s="233"/>
      <c r="BL250" s="245"/>
      <c r="BM250" s="131"/>
      <c r="BN250" s="131"/>
      <c r="BO250" s="230"/>
      <c r="BP250" s="233"/>
      <c r="BQ250" s="233"/>
      <c r="BR250" s="233"/>
      <c r="BS250" s="233"/>
      <c r="BT250" s="245"/>
      <c r="BU250" s="131"/>
      <c r="BV250" s="131"/>
      <c r="BW250" s="230"/>
      <c r="BX250" s="233"/>
      <c r="BY250" s="233"/>
      <c r="BZ250" s="233"/>
      <c r="CA250" s="233"/>
      <c r="CB250" s="245"/>
      <c r="CC250" s="131"/>
      <c r="CD250" s="131"/>
      <c r="CE250" s="230"/>
      <c r="CF250" s="233"/>
      <c r="CG250" s="233"/>
      <c r="CH250" s="233"/>
      <c r="CI250" s="233"/>
      <c r="CJ250" s="245"/>
      <c r="CK250" s="131"/>
      <c r="CL250" s="131"/>
      <c r="CM250" s="230"/>
      <c r="CN250" s="233"/>
      <c r="CO250" s="233"/>
      <c r="CP250" s="233"/>
      <c r="CQ250" s="233"/>
      <c r="CR250" s="245"/>
      <c r="CS250" s="131"/>
      <c r="CT250" s="131"/>
      <c r="CU250" s="230"/>
      <c r="CV250" s="233"/>
      <c r="CW250" s="233"/>
      <c r="CX250" s="233"/>
      <c r="CY250" s="233"/>
      <c r="CZ250" s="233"/>
      <c r="DA250" s="233"/>
      <c r="DB250" s="233"/>
      <c r="DC250" s="233"/>
      <c r="DD250" s="233"/>
      <c r="DE250" s="233"/>
      <c r="DF250" s="233"/>
      <c r="DG250" s="233"/>
      <c r="DH250" s="233"/>
    </row>
    <row r="251" spans="14:112" ht="20.100000000000001" customHeight="1" x14ac:dyDescent="0.4">
      <c r="O251" s="199"/>
      <c r="P251" s="459" t="s">
        <v>189</v>
      </c>
      <c r="Q251" s="460"/>
      <c r="R251" s="209">
        <v>0</v>
      </c>
      <c r="S251" s="211">
        <v>0</v>
      </c>
      <c r="T251" s="226">
        <v>0</v>
      </c>
      <c r="U251" s="233"/>
      <c r="V251" s="459" t="s">
        <v>189</v>
      </c>
      <c r="W251" s="460"/>
      <c r="X251" s="209">
        <v>0.79999999999999993</v>
      </c>
      <c r="Y251" s="211">
        <v>0.79999999999999993</v>
      </c>
      <c r="Z251" s="226">
        <v>0</v>
      </c>
      <c r="AA251" s="233"/>
      <c r="AB251" s="459" t="s">
        <v>189</v>
      </c>
      <c r="AC251" s="460"/>
      <c r="AD251" s="209">
        <v>0</v>
      </c>
      <c r="AE251" s="211">
        <v>0.8606060606060606</v>
      </c>
      <c r="AF251" s="226">
        <v>0.8606060606060606</v>
      </c>
      <c r="AG251" s="233"/>
      <c r="AH251" s="349" t="s">
        <v>189</v>
      </c>
      <c r="AI251" s="348"/>
      <c r="AJ251" s="209">
        <v>0</v>
      </c>
      <c r="AK251" s="211">
        <v>0.78787878787878785</v>
      </c>
      <c r="AL251" s="226">
        <v>0.78787878787878785</v>
      </c>
      <c r="AM251" s="233"/>
      <c r="AN251" s="244"/>
      <c r="AO251" s="135"/>
      <c r="AP251" s="135"/>
      <c r="AQ251" s="230"/>
      <c r="AR251" s="233"/>
      <c r="AS251" s="233"/>
      <c r="AT251" s="233"/>
      <c r="AU251" s="233"/>
      <c r="AV251" s="244"/>
      <c r="AW251" s="135"/>
      <c r="AX251" s="135"/>
      <c r="AY251" s="230"/>
      <c r="AZ251" s="233"/>
      <c r="BA251" s="233"/>
      <c r="BB251" s="233"/>
      <c r="BC251" s="233"/>
      <c r="BD251" s="244"/>
      <c r="BE251" s="135"/>
      <c r="BF251" s="135"/>
      <c r="BG251" s="230"/>
      <c r="BH251" s="233"/>
      <c r="BI251" s="233"/>
      <c r="BJ251" s="233"/>
      <c r="BK251" s="233"/>
      <c r="BL251" s="244"/>
      <c r="BM251" s="135"/>
      <c r="BN251" s="135"/>
      <c r="BO251" s="230"/>
      <c r="BP251" s="233"/>
      <c r="BQ251" s="233"/>
      <c r="BR251" s="233"/>
      <c r="BS251" s="233"/>
      <c r="BT251" s="244"/>
      <c r="BU251" s="135"/>
      <c r="BV251" s="135"/>
      <c r="BW251" s="230"/>
      <c r="BX251" s="233"/>
      <c r="BY251" s="233"/>
      <c r="BZ251" s="233"/>
      <c r="CA251" s="233"/>
      <c r="CB251" s="244"/>
      <c r="CC251" s="135"/>
      <c r="CD251" s="135"/>
      <c r="CE251" s="230"/>
      <c r="CF251" s="233"/>
      <c r="CG251" s="233"/>
      <c r="CH251" s="233"/>
      <c r="CI251" s="233"/>
      <c r="CJ251" s="244"/>
      <c r="CK251" s="135"/>
      <c r="CL251" s="135"/>
      <c r="CM251" s="230"/>
      <c r="CN251" s="233"/>
      <c r="CO251" s="233"/>
      <c r="CP251" s="233"/>
      <c r="CQ251" s="233"/>
      <c r="CR251" s="244"/>
      <c r="CS251" s="135"/>
      <c r="CT251" s="135"/>
      <c r="CU251" s="230"/>
      <c r="CV251" s="233"/>
      <c r="CW251" s="233"/>
      <c r="CX251" s="233"/>
      <c r="CY251" s="233"/>
      <c r="CZ251" s="233"/>
      <c r="DA251" s="233"/>
      <c r="DB251" s="233"/>
      <c r="DC251" s="233"/>
      <c r="DD251" s="233"/>
      <c r="DE251" s="233"/>
      <c r="DF251" s="233"/>
      <c r="DG251" s="233"/>
      <c r="DH251" s="233"/>
    </row>
    <row r="252" spans="14:112" ht="20.100000000000001" customHeight="1" x14ac:dyDescent="0.4">
      <c r="O252" s="199"/>
      <c r="P252" s="459" t="s">
        <v>190</v>
      </c>
      <c r="Q252" s="460"/>
      <c r="R252" s="209">
        <v>6.25E-2</v>
      </c>
      <c r="S252" s="210">
        <v>0.45</v>
      </c>
      <c r="T252" s="226">
        <v>0.38750000000000001</v>
      </c>
      <c r="U252" s="233"/>
      <c r="V252" s="459" t="s">
        <v>190</v>
      </c>
      <c r="W252" s="460"/>
      <c r="X252" s="209">
        <v>0.31666666666666665</v>
      </c>
      <c r="Y252" s="210">
        <v>0.82000000000000006</v>
      </c>
      <c r="Z252" s="226">
        <v>0.50333333333333341</v>
      </c>
      <c r="AA252" s="233"/>
      <c r="AB252" s="459" t="s">
        <v>190</v>
      </c>
      <c r="AC252" s="460"/>
      <c r="AD252" s="209">
        <v>0.26666666666666666</v>
      </c>
      <c r="AE252" s="210">
        <v>0.57878787878787874</v>
      </c>
      <c r="AF252" s="226">
        <v>0.31212121212121208</v>
      </c>
      <c r="AG252" s="233"/>
      <c r="AH252" s="349" t="s">
        <v>190</v>
      </c>
      <c r="AI252" s="348"/>
      <c r="AJ252" s="209">
        <v>2.4242424242424242E-2</v>
      </c>
      <c r="AK252" s="210">
        <v>0.10909090909090909</v>
      </c>
      <c r="AL252" s="226">
        <v>8.484848484848484E-2</v>
      </c>
      <c r="AM252" s="233"/>
      <c r="AN252" s="244"/>
      <c r="AO252" s="131"/>
      <c r="AP252" s="131"/>
      <c r="AQ252" s="230"/>
      <c r="AR252" s="233"/>
      <c r="AS252" s="233"/>
      <c r="AT252" s="233"/>
      <c r="AU252" s="233"/>
      <c r="AV252" s="244"/>
      <c r="AW252" s="131"/>
      <c r="AX252" s="131"/>
      <c r="AY252" s="230"/>
      <c r="AZ252" s="233"/>
      <c r="BA252" s="233"/>
      <c r="BB252" s="233"/>
      <c r="BC252" s="233"/>
      <c r="BD252" s="244"/>
      <c r="BE252" s="131"/>
      <c r="BF252" s="131"/>
      <c r="BG252" s="230"/>
      <c r="BH252" s="233"/>
      <c r="BI252" s="233"/>
      <c r="BJ252" s="233"/>
      <c r="BK252" s="233"/>
      <c r="BL252" s="244"/>
      <c r="BM252" s="131"/>
      <c r="BN252" s="131"/>
      <c r="BO252" s="230"/>
      <c r="BP252" s="233"/>
      <c r="BQ252" s="233"/>
      <c r="BR252" s="233"/>
      <c r="BS252" s="233"/>
      <c r="BT252" s="244"/>
      <c r="BU252" s="131"/>
      <c r="BV252" s="131"/>
      <c r="BW252" s="230"/>
      <c r="BX252" s="233"/>
      <c r="BY252" s="233"/>
      <c r="BZ252" s="233"/>
      <c r="CA252" s="233"/>
      <c r="CB252" s="244"/>
      <c r="CC252" s="131"/>
      <c r="CD252" s="131"/>
      <c r="CE252" s="230"/>
      <c r="CF252" s="233"/>
      <c r="CG252" s="233"/>
      <c r="CH252" s="233"/>
      <c r="CI252" s="233"/>
      <c r="CJ252" s="244"/>
      <c r="CK252" s="131"/>
      <c r="CL252" s="131"/>
      <c r="CM252" s="230"/>
      <c r="CN252" s="233"/>
      <c r="CO252" s="233"/>
      <c r="CP252" s="233"/>
      <c r="CQ252" s="233"/>
      <c r="CR252" s="244"/>
      <c r="CS252" s="131"/>
      <c r="CT252" s="131"/>
      <c r="CU252" s="230"/>
      <c r="CV252" s="233"/>
      <c r="CW252" s="233"/>
      <c r="CX252" s="233"/>
      <c r="CY252" s="233"/>
      <c r="CZ252" s="233"/>
      <c r="DA252" s="233"/>
      <c r="DB252" s="233"/>
      <c r="DC252" s="233"/>
      <c r="DD252" s="233"/>
      <c r="DE252" s="233"/>
      <c r="DF252" s="233"/>
      <c r="DG252" s="233"/>
      <c r="DH252" s="233"/>
    </row>
    <row r="253" spans="14:112" ht="20.100000000000001" customHeight="1" x14ac:dyDescent="0.4">
      <c r="O253" s="199"/>
      <c r="P253" s="459" t="s">
        <v>191</v>
      </c>
      <c r="Q253" s="460"/>
      <c r="R253" s="209">
        <v>1.9999999999999998</v>
      </c>
      <c r="S253" s="210">
        <v>3.208333333333333</v>
      </c>
      <c r="T253" s="226">
        <v>1.2083333333333333</v>
      </c>
      <c r="U253" s="233"/>
      <c r="V253" s="459" t="s">
        <v>191</v>
      </c>
      <c r="W253" s="460"/>
      <c r="X253" s="209">
        <v>2</v>
      </c>
      <c r="Y253" s="210">
        <v>2.8</v>
      </c>
      <c r="Z253" s="226">
        <v>0.79999999999999982</v>
      </c>
      <c r="AA253" s="233"/>
      <c r="AB253" s="459" t="s">
        <v>191</v>
      </c>
      <c r="AC253" s="460"/>
      <c r="AD253" s="209">
        <v>1.4303030303030306</v>
      </c>
      <c r="AE253" s="210">
        <v>3.5333333333333332</v>
      </c>
      <c r="AF253" s="226">
        <v>2.1030303030303026</v>
      </c>
      <c r="AG253" s="233"/>
      <c r="AH253" s="349" t="s">
        <v>191</v>
      </c>
      <c r="AI253" s="348"/>
      <c r="AJ253" s="209">
        <v>0</v>
      </c>
      <c r="AK253" s="210">
        <v>5.0969696969696967</v>
      </c>
      <c r="AL253" s="226">
        <v>5.0969696969696967</v>
      </c>
      <c r="AM253" s="233"/>
      <c r="AN253" s="244"/>
      <c r="AO253" s="131"/>
      <c r="AP253" s="131"/>
      <c r="AQ253" s="230"/>
      <c r="AR253" s="233"/>
      <c r="AS253" s="233"/>
      <c r="AT253" s="233"/>
      <c r="AU253" s="233"/>
      <c r="AV253" s="244"/>
      <c r="AW253" s="131"/>
      <c r="AX253" s="131"/>
      <c r="AY253" s="230"/>
      <c r="AZ253" s="233"/>
      <c r="BA253" s="233"/>
      <c r="BB253" s="233"/>
      <c r="BC253" s="233"/>
      <c r="BD253" s="244"/>
      <c r="BE253" s="131"/>
      <c r="BF253" s="131"/>
      <c r="BG253" s="230"/>
      <c r="BH253" s="233"/>
      <c r="BI253" s="233"/>
      <c r="BJ253" s="233"/>
      <c r="BK253" s="233"/>
      <c r="BL253" s="244"/>
      <c r="BM253" s="131"/>
      <c r="BN253" s="131"/>
      <c r="BO253" s="230"/>
      <c r="BP253" s="233"/>
      <c r="BQ253" s="233"/>
      <c r="BR253" s="233"/>
      <c r="BS253" s="233"/>
      <c r="BT253" s="244"/>
      <c r="BU253" s="131"/>
      <c r="BV253" s="131"/>
      <c r="BW253" s="230"/>
      <c r="BX253" s="233"/>
      <c r="BY253" s="233"/>
      <c r="BZ253" s="233"/>
      <c r="CA253" s="233"/>
      <c r="CB253" s="244"/>
      <c r="CC253" s="131"/>
      <c r="CD253" s="131"/>
      <c r="CE253" s="230"/>
      <c r="CF253" s="233"/>
      <c r="CG253" s="233"/>
      <c r="CH253" s="233"/>
      <c r="CI253" s="233"/>
      <c r="CJ253" s="244"/>
      <c r="CK253" s="131"/>
      <c r="CL253" s="131"/>
      <c r="CM253" s="230"/>
      <c r="CN253" s="233"/>
      <c r="CO253" s="233"/>
      <c r="CP253" s="233"/>
      <c r="CQ253" s="233"/>
      <c r="CR253" s="244"/>
      <c r="CS253" s="131"/>
      <c r="CT253" s="131"/>
      <c r="CU253" s="230"/>
      <c r="CV253" s="233"/>
      <c r="CW253" s="233"/>
      <c r="CX253" s="233"/>
      <c r="CY253" s="233"/>
      <c r="CZ253" s="233"/>
      <c r="DA253" s="233"/>
      <c r="DB253" s="233"/>
      <c r="DC253" s="233"/>
      <c r="DD253" s="233"/>
      <c r="DE253" s="233"/>
      <c r="DF253" s="233"/>
      <c r="DG253" s="233"/>
      <c r="DH253" s="233"/>
    </row>
    <row r="254" spans="14:112" ht="20.100000000000001" customHeight="1" x14ac:dyDescent="0.4">
      <c r="O254" s="199"/>
      <c r="P254" s="459" t="s">
        <v>192</v>
      </c>
      <c r="Q254" s="460"/>
      <c r="R254" s="209">
        <v>0.43750000000000006</v>
      </c>
      <c r="S254" s="212">
        <v>2.625</v>
      </c>
      <c r="T254" s="226">
        <v>2.1875</v>
      </c>
      <c r="U254" s="233"/>
      <c r="V254" s="459" t="s">
        <v>192</v>
      </c>
      <c r="W254" s="460"/>
      <c r="X254" s="209">
        <v>0.89999999999999991</v>
      </c>
      <c r="Y254" s="212">
        <v>2.4000000000000004</v>
      </c>
      <c r="Z254" s="226">
        <v>1.5000000000000004</v>
      </c>
      <c r="AA254" s="233"/>
      <c r="AB254" s="459" t="s">
        <v>192</v>
      </c>
      <c r="AC254" s="460"/>
      <c r="AD254" s="209">
        <v>0.81818181818181812</v>
      </c>
      <c r="AE254" s="212">
        <v>2.1818181818181817</v>
      </c>
      <c r="AF254" s="226">
        <v>1.3636363636363635</v>
      </c>
      <c r="AG254" s="233"/>
      <c r="AH254" s="349" t="s">
        <v>192</v>
      </c>
      <c r="AI254" s="348"/>
      <c r="AJ254" s="209">
        <v>0.27272727272727271</v>
      </c>
      <c r="AK254" s="212">
        <v>1.6363636363636365</v>
      </c>
      <c r="AL254" s="226">
        <v>1.3636363636363638</v>
      </c>
      <c r="AM254" s="233"/>
      <c r="AN254" s="244"/>
      <c r="AO254" s="135"/>
      <c r="AP254" s="135"/>
      <c r="AQ254" s="230"/>
      <c r="AR254" s="233"/>
      <c r="AS254" s="233"/>
      <c r="AT254" s="233"/>
      <c r="AU254" s="233"/>
      <c r="AV254" s="244"/>
      <c r="AW254" s="135"/>
      <c r="AX254" s="135"/>
      <c r="AY254" s="230"/>
      <c r="AZ254" s="233"/>
      <c r="BA254" s="233"/>
      <c r="BB254" s="233"/>
      <c r="BC254" s="233"/>
      <c r="BD254" s="244"/>
      <c r="BE254" s="135"/>
      <c r="BF254" s="135"/>
      <c r="BG254" s="230"/>
      <c r="BH254" s="233"/>
      <c r="BI254" s="233"/>
      <c r="BJ254" s="233"/>
      <c r="BK254" s="233"/>
      <c r="BL254" s="244"/>
      <c r="BM254" s="135"/>
      <c r="BN254" s="135"/>
      <c r="BO254" s="230"/>
      <c r="BP254" s="233"/>
      <c r="BQ254" s="233"/>
      <c r="BR254" s="233"/>
      <c r="BS254" s="233"/>
      <c r="BT254" s="244"/>
      <c r="BU254" s="135"/>
      <c r="BV254" s="135"/>
      <c r="BW254" s="230"/>
      <c r="BX254" s="233"/>
      <c r="BY254" s="233"/>
      <c r="BZ254" s="233"/>
      <c r="CA254" s="233"/>
      <c r="CB254" s="244"/>
      <c r="CC254" s="135"/>
      <c r="CD254" s="135"/>
      <c r="CE254" s="230"/>
      <c r="CF254" s="233"/>
      <c r="CG254" s="233"/>
      <c r="CH254" s="233"/>
      <c r="CI254" s="233"/>
      <c r="CJ254" s="244"/>
      <c r="CK254" s="135"/>
      <c r="CL254" s="135"/>
      <c r="CM254" s="230"/>
      <c r="CN254" s="233"/>
      <c r="CO254" s="233"/>
      <c r="CP254" s="233"/>
      <c r="CQ254" s="233"/>
      <c r="CR254" s="244"/>
      <c r="CS254" s="135"/>
      <c r="CT254" s="135"/>
      <c r="CU254" s="230"/>
      <c r="CV254" s="233"/>
      <c r="CW254" s="233"/>
      <c r="CX254" s="233"/>
      <c r="CY254" s="233"/>
      <c r="CZ254" s="233"/>
      <c r="DA254" s="233"/>
      <c r="DB254" s="233"/>
      <c r="DC254" s="233"/>
      <c r="DD254" s="233"/>
      <c r="DE254" s="233"/>
      <c r="DF254" s="233"/>
      <c r="DG254" s="233"/>
      <c r="DH254" s="233"/>
    </row>
    <row r="255" spans="14:112" ht="20.100000000000001" customHeight="1" x14ac:dyDescent="0.4">
      <c r="O255" s="199"/>
      <c r="P255" s="199"/>
      <c r="Q255" s="199"/>
      <c r="R255" s="201"/>
      <c r="S255" s="201"/>
      <c r="U255" s="233"/>
      <c r="V255" s="233"/>
      <c r="W255" s="233"/>
      <c r="X255" s="233"/>
      <c r="Y255" s="233"/>
      <c r="Z255" s="233"/>
      <c r="AA255" s="233"/>
      <c r="AB255" s="233"/>
      <c r="AC255" s="233"/>
      <c r="AD255" s="233"/>
      <c r="AE255" s="233"/>
      <c r="AF255" s="233"/>
      <c r="AG255" s="233"/>
      <c r="AH255" s="233"/>
      <c r="AI255" s="233"/>
      <c r="AJ255" s="233"/>
      <c r="AK255" s="233"/>
      <c r="AL255" s="233"/>
      <c r="AM255" s="233"/>
      <c r="AN255" s="233"/>
      <c r="AO255" s="233"/>
      <c r="AP255" s="233"/>
      <c r="AQ255" s="233"/>
      <c r="AR255" s="233"/>
      <c r="AS255" s="233"/>
      <c r="AT255" s="233"/>
      <c r="AU255" s="233"/>
      <c r="AV255" s="233"/>
      <c r="AW255" s="233"/>
      <c r="AX255" s="233"/>
      <c r="AY255" s="233"/>
      <c r="AZ255" s="233"/>
      <c r="BA255" s="233"/>
      <c r="BB255" s="233"/>
      <c r="BC255" s="233"/>
      <c r="BD255" s="233"/>
      <c r="BE255" s="233"/>
      <c r="BF255" s="233"/>
      <c r="BG255" s="233"/>
      <c r="BH255" s="233"/>
      <c r="BI255" s="233"/>
      <c r="BJ255" s="233"/>
      <c r="BK255" s="233"/>
      <c r="BL255" s="233"/>
      <c r="BM255" s="233"/>
      <c r="BN255" s="233"/>
      <c r="BO255" s="233"/>
      <c r="BP255" s="233"/>
      <c r="BQ255" s="233"/>
      <c r="BR255" s="233"/>
      <c r="BS255" s="233"/>
      <c r="BT255" s="233"/>
      <c r="BU255" s="233"/>
      <c r="BV255" s="233"/>
      <c r="BW255" s="233"/>
      <c r="BX255" s="233"/>
      <c r="BY255" s="233"/>
      <c r="BZ255" s="233"/>
      <c r="CA255" s="233"/>
      <c r="CB255" s="233"/>
      <c r="CC255" s="233"/>
      <c r="CD255" s="233"/>
      <c r="CE255" s="233"/>
      <c r="CF255" s="233"/>
      <c r="CG255" s="233"/>
      <c r="CH255" s="233"/>
      <c r="CI255" s="233"/>
      <c r="CJ255" s="233"/>
      <c r="CK255" s="233"/>
      <c r="CL255" s="233"/>
      <c r="CM255" s="233"/>
      <c r="CN255" s="233"/>
      <c r="CO255" s="233"/>
      <c r="CP255" s="233"/>
      <c r="CQ255" s="233"/>
      <c r="CR255" s="233"/>
      <c r="CS255" s="233"/>
      <c r="CT255" s="233"/>
      <c r="CU255" s="233"/>
      <c r="CV255" s="233"/>
      <c r="CW255" s="233"/>
      <c r="CX255" s="233"/>
      <c r="CY255" s="233"/>
      <c r="CZ255" s="233"/>
      <c r="DA255" s="233"/>
      <c r="DB255" s="233"/>
      <c r="DC255" s="233"/>
      <c r="DD255" s="233"/>
      <c r="DE255" s="233"/>
      <c r="DF255" s="233"/>
      <c r="DG255" s="233"/>
      <c r="DH255" s="233"/>
    </row>
    <row r="256" spans="14:112" ht="20.100000000000001" customHeight="1" x14ac:dyDescent="0.4">
      <c r="O256" s="199"/>
      <c r="P256" s="483" t="s">
        <v>419</v>
      </c>
      <c r="Q256" s="484"/>
      <c r="R256" s="204" t="s">
        <v>182</v>
      </c>
      <c r="S256" s="205" t="s">
        <v>183</v>
      </c>
      <c r="T256" s="206" t="s">
        <v>184</v>
      </c>
      <c r="U256" s="233"/>
      <c r="V256" s="487" t="s">
        <v>528</v>
      </c>
      <c r="W256" s="488"/>
      <c r="X256" s="204" t="s">
        <v>182</v>
      </c>
      <c r="Y256" s="205" t="s">
        <v>183</v>
      </c>
      <c r="Z256" s="206" t="s">
        <v>184</v>
      </c>
      <c r="AA256" s="233"/>
      <c r="AB256" s="335" t="s">
        <v>570</v>
      </c>
      <c r="AC256" s="336"/>
      <c r="AD256" s="204" t="s">
        <v>182</v>
      </c>
      <c r="AE256" s="205" t="s">
        <v>183</v>
      </c>
      <c r="AF256" s="206" t="s">
        <v>184</v>
      </c>
      <c r="AG256" s="233"/>
      <c r="AH256" s="351" t="s">
        <v>637</v>
      </c>
      <c r="AI256" s="352"/>
      <c r="AJ256" s="204" t="s">
        <v>182</v>
      </c>
      <c r="AK256" s="205" t="s">
        <v>183</v>
      </c>
      <c r="AL256" s="206" t="s">
        <v>184</v>
      </c>
      <c r="AM256" s="233"/>
      <c r="AN256" s="240"/>
      <c r="AO256" s="241"/>
      <c r="AP256" s="242"/>
      <c r="AQ256" s="243"/>
      <c r="AR256" s="233"/>
      <c r="AS256" s="233"/>
      <c r="AT256" s="233"/>
      <c r="AU256" s="233"/>
      <c r="AV256" s="240"/>
      <c r="AW256" s="241"/>
      <c r="AX256" s="242"/>
      <c r="AY256" s="243"/>
      <c r="AZ256" s="233"/>
      <c r="BA256" s="233"/>
      <c r="BB256" s="233"/>
      <c r="BC256" s="233"/>
      <c r="BD256" s="240"/>
      <c r="BE256" s="241"/>
      <c r="BF256" s="242"/>
      <c r="BG256" s="243"/>
      <c r="BH256" s="233"/>
      <c r="BI256" s="233"/>
      <c r="BJ256" s="233"/>
      <c r="BK256" s="233"/>
      <c r="BL256" s="240"/>
      <c r="BM256" s="241"/>
      <c r="BN256" s="242"/>
      <c r="BO256" s="243"/>
      <c r="BP256" s="233"/>
      <c r="BQ256" s="233"/>
      <c r="BR256" s="233"/>
      <c r="BS256" s="233"/>
      <c r="BT256" s="240"/>
      <c r="BU256" s="241"/>
      <c r="BV256" s="242"/>
      <c r="BW256" s="243"/>
      <c r="BX256" s="233"/>
      <c r="BY256" s="233"/>
      <c r="BZ256" s="233"/>
      <c r="CA256" s="233"/>
      <c r="CB256" s="240"/>
      <c r="CC256" s="241"/>
      <c r="CD256" s="242"/>
      <c r="CE256" s="243"/>
      <c r="CF256" s="233"/>
      <c r="CG256" s="233"/>
      <c r="CH256" s="233"/>
      <c r="CI256" s="233"/>
      <c r="CJ256" s="240"/>
      <c r="CK256" s="241"/>
      <c r="CL256" s="242"/>
      <c r="CM256" s="243"/>
      <c r="CN256" s="233"/>
      <c r="CO256" s="233"/>
      <c r="CP256" s="233"/>
      <c r="CQ256" s="233"/>
      <c r="CR256" s="240"/>
      <c r="CS256" s="241"/>
      <c r="CT256" s="242"/>
      <c r="CU256" s="243"/>
      <c r="CV256" s="233"/>
      <c r="CW256" s="233"/>
      <c r="CX256" s="233"/>
      <c r="CY256" s="233"/>
      <c r="CZ256" s="233"/>
      <c r="DA256" s="233"/>
      <c r="DB256" s="233"/>
      <c r="DC256" s="233"/>
      <c r="DD256" s="233"/>
      <c r="DE256" s="233"/>
      <c r="DF256" s="233"/>
      <c r="DG256" s="233"/>
      <c r="DH256" s="233"/>
    </row>
    <row r="257" spans="15:118" ht="20.100000000000001" customHeight="1" x14ac:dyDescent="0.4">
      <c r="O257" s="199"/>
      <c r="P257" s="459" t="s">
        <v>185</v>
      </c>
      <c r="Q257" s="460"/>
      <c r="R257" s="209"/>
      <c r="S257" s="209">
        <v>0.75</v>
      </c>
      <c r="T257" s="226">
        <v>0.75</v>
      </c>
      <c r="U257" s="233"/>
      <c r="V257" s="459" t="s">
        <v>185</v>
      </c>
      <c r="W257" s="460"/>
      <c r="X257" s="209"/>
      <c r="Y257" s="209">
        <v>0.53333333333333333</v>
      </c>
      <c r="Z257" s="226">
        <v>0.53333333333333333</v>
      </c>
      <c r="AA257" s="233"/>
      <c r="AB257" s="459" t="s">
        <v>185</v>
      </c>
      <c r="AC257" s="460"/>
      <c r="AD257" s="209"/>
      <c r="AE257" s="209">
        <v>0.4242424242424242</v>
      </c>
      <c r="AF257" s="226">
        <v>0.4242424242424242</v>
      </c>
      <c r="AG257" s="233"/>
      <c r="AH257" s="349" t="s">
        <v>185</v>
      </c>
      <c r="AI257" s="348"/>
      <c r="AJ257" s="209"/>
      <c r="AK257" s="209">
        <v>0</v>
      </c>
      <c r="AL257" s="226">
        <v>0</v>
      </c>
      <c r="AM257" s="233"/>
      <c r="AN257" s="244"/>
      <c r="AO257" s="131"/>
      <c r="AP257" s="131"/>
      <c r="AQ257" s="230"/>
      <c r="AR257" s="233"/>
      <c r="AS257" s="233"/>
      <c r="AT257" s="233"/>
      <c r="AU257" s="233"/>
      <c r="AV257" s="244"/>
      <c r="AW257" s="131"/>
      <c r="AX257" s="131"/>
      <c r="AY257" s="230"/>
      <c r="AZ257" s="233"/>
      <c r="BA257" s="233"/>
      <c r="BB257" s="233"/>
      <c r="BC257" s="233"/>
      <c r="BD257" s="244"/>
      <c r="BE257" s="131"/>
      <c r="BF257" s="131"/>
      <c r="BG257" s="230"/>
      <c r="BH257" s="233"/>
      <c r="BI257" s="233"/>
      <c r="BJ257" s="233"/>
      <c r="BK257" s="233"/>
      <c r="BL257" s="244"/>
      <c r="BM257" s="131"/>
      <c r="BN257" s="131"/>
      <c r="BO257" s="230"/>
      <c r="BP257" s="233"/>
      <c r="BQ257" s="233"/>
      <c r="BR257" s="233"/>
      <c r="BS257" s="233"/>
      <c r="BT257" s="244"/>
      <c r="BU257" s="131"/>
      <c r="BV257" s="131"/>
      <c r="BW257" s="230"/>
      <c r="BX257" s="233"/>
      <c r="BY257" s="233"/>
      <c r="BZ257" s="233"/>
      <c r="CA257" s="233"/>
      <c r="CB257" s="244"/>
      <c r="CC257" s="131"/>
      <c r="CD257" s="131"/>
      <c r="CE257" s="230"/>
      <c r="CF257" s="233"/>
      <c r="CG257" s="233"/>
      <c r="CH257" s="233"/>
      <c r="CI257" s="233"/>
      <c r="CJ257" s="244"/>
      <c r="CK257" s="131"/>
      <c r="CL257" s="131"/>
      <c r="CM257" s="230"/>
      <c r="CN257" s="233"/>
      <c r="CO257" s="233"/>
      <c r="CP257" s="233"/>
      <c r="CQ257" s="233"/>
      <c r="CR257" s="244"/>
      <c r="CS257" s="131"/>
      <c r="CT257" s="131"/>
      <c r="CU257" s="230"/>
      <c r="CV257" s="233"/>
      <c r="CW257" s="233"/>
      <c r="CX257" s="233"/>
      <c r="CY257" s="233"/>
      <c r="CZ257" s="233"/>
      <c r="DA257" s="233"/>
      <c r="DB257" s="233"/>
      <c r="DC257" s="233"/>
      <c r="DD257" s="233"/>
      <c r="DE257" s="233"/>
      <c r="DF257" s="233"/>
      <c r="DG257" s="233"/>
      <c r="DH257" s="233"/>
    </row>
    <row r="258" spans="15:118" ht="20.100000000000001" customHeight="1" x14ac:dyDescent="0.4">
      <c r="O258" s="199"/>
      <c r="P258" s="459" t="s">
        <v>186</v>
      </c>
      <c r="Q258" s="460"/>
      <c r="R258" s="209"/>
      <c r="S258" s="209">
        <v>0.33333333333333337</v>
      </c>
      <c r="T258" s="226">
        <v>0.33333333333333337</v>
      </c>
      <c r="U258" s="233"/>
      <c r="V258" s="459" t="s">
        <v>186</v>
      </c>
      <c r="W258" s="460"/>
      <c r="X258" s="209"/>
      <c r="Y258" s="209">
        <v>0.43666666666666665</v>
      </c>
      <c r="Z258" s="226">
        <v>0.43666666666666665</v>
      </c>
      <c r="AA258" s="233"/>
      <c r="AB258" s="459" t="s">
        <v>186</v>
      </c>
      <c r="AC258" s="460"/>
      <c r="AD258" s="209"/>
      <c r="AE258" s="209">
        <v>0.44848484848484849</v>
      </c>
      <c r="AF258" s="226">
        <v>0.44848484848484849</v>
      </c>
      <c r="AG258" s="233"/>
      <c r="AH258" s="349" t="s">
        <v>186</v>
      </c>
      <c r="AI258" s="348"/>
      <c r="AJ258" s="209"/>
      <c r="AK258" s="209">
        <v>0.20303030303030301</v>
      </c>
      <c r="AL258" s="226">
        <v>0.20303030303030301</v>
      </c>
      <c r="AM258" s="233"/>
      <c r="AN258" s="244"/>
      <c r="AO258" s="131"/>
      <c r="AP258" s="131"/>
      <c r="AQ258" s="230"/>
      <c r="AR258" s="233"/>
      <c r="AS258" s="233"/>
      <c r="AT258" s="233"/>
      <c r="AU258" s="233"/>
      <c r="AV258" s="244"/>
      <c r="AW258" s="131"/>
      <c r="AX258" s="131"/>
      <c r="AY258" s="230"/>
      <c r="AZ258" s="233"/>
      <c r="BA258" s="233"/>
      <c r="BB258" s="233"/>
      <c r="BC258" s="233"/>
      <c r="BD258" s="244"/>
      <c r="BE258" s="131"/>
      <c r="BF258" s="131"/>
      <c r="BG258" s="230"/>
      <c r="BH258" s="233"/>
      <c r="BI258" s="233"/>
      <c r="BJ258" s="233"/>
      <c r="BK258" s="233"/>
      <c r="BL258" s="244"/>
      <c r="BM258" s="131"/>
      <c r="BN258" s="131"/>
      <c r="BO258" s="230"/>
      <c r="BP258" s="233"/>
      <c r="BQ258" s="233"/>
      <c r="BR258" s="233"/>
      <c r="BS258" s="233"/>
      <c r="BT258" s="244"/>
      <c r="BU258" s="131"/>
      <c r="BV258" s="131"/>
      <c r="BW258" s="230"/>
      <c r="BX258" s="233"/>
      <c r="BY258" s="233"/>
      <c r="BZ258" s="233"/>
      <c r="CA258" s="233"/>
      <c r="CB258" s="244"/>
      <c r="CC258" s="131"/>
      <c r="CD258" s="131"/>
      <c r="CE258" s="230"/>
      <c r="CF258" s="233"/>
      <c r="CG258" s="233"/>
      <c r="CH258" s="233"/>
      <c r="CI258" s="233"/>
      <c r="CJ258" s="244"/>
      <c r="CK258" s="131"/>
      <c r="CL258" s="131"/>
      <c r="CM258" s="230"/>
      <c r="CN258" s="233"/>
      <c r="CO258" s="233"/>
      <c r="CP258" s="233"/>
      <c r="CQ258" s="233"/>
      <c r="CR258" s="244"/>
      <c r="CS258" s="131"/>
      <c r="CT258" s="131"/>
      <c r="CU258" s="230"/>
      <c r="CV258" s="233"/>
      <c r="CW258" s="233"/>
      <c r="CX258" s="233"/>
      <c r="CY258" s="233"/>
      <c r="CZ258" s="233"/>
      <c r="DA258" s="233"/>
      <c r="DB258" s="233"/>
      <c r="DC258" s="233"/>
      <c r="DD258" s="233"/>
      <c r="DE258" s="233"/>
      <c r="DF258" s="233"/>
      <c r="DG258" s="233"/>
      <c r="DH258" s="233"/>
    </row>
    <row r="259" spans="15:118" ht="20.100000000000001" customHeight="1" x14ac:dyDescent="0.4">
      <c r="O259" s="199"/>
      <c r="P259" s="461" t="s">
        <v>187</v>
      </c>
      <c r="Q259" s="462"/>
      <c r="R259" s="209"/>
      <c r="S259" s="210">
        <v>1.2499999999999998</v>
      </c>
      <c r="T259" s="226">
        <v>1.2499999999999998</v>
      </c>
      <c r="U259" s="233"/>
      <c r="V259" s="461" t="s">
        <v>187</v>
      </c>
      <c r="W259" s="462"/>
      <c r="X259" s="209"/>
      <c r="Y259" s="210">
        <v>0.66666666666666663</v>
      </c>
      <c r="Z259" s="226">
        <v>0.66666666666666663</v>
      </c>
      <c r="AA259" s="233"/>
      <c r="AB259" s="461" t="s">
        <v>187</v>
      </c>
      <c r="AC259" s="462"/>
      <c r="AD259" s="209"/>
      <c r="AE259" s="210">
        <v>1.0060606060606063</v>
      </c>
      <c r="AF259" s="226">
        <v>1.0060606060606063</v>
      </c>
      <c r="AG259" s="233"/>
      <c r="AH259" s="349" t="s">
        <v>187</v>
      </c>
      <c r="AI259" s="350"/>
      <c r="AJ259" s="209"/>
      <c r="AK259" s="210">
        <v>0</v>
      </c>
      <c r="AL259" s="226">
        <v>0</v>
      </c>
      <c r="AM259" s="233"/>
      <c r="AN259" s="245"/>
      <c r="AO259" s="131"/>
      <c r="AP259" s="131"/>
      <c r="AQ259" s="230"/>
      <c r="AR259" s="233"/>
      <c r="AS259" s="233"/>
      <c r="AT259" s="233"/>
      <c r="AU259" s="233"/>
      <c r="AV259" s="245"/>
      <c r="AW259" s="131"/>
      <c r="AX259" s="131"/>
      <c r="AY259" s="230"/>
      <c r="AZ259" s="233"/>
      <c r="BA259" s="233"/>
      <c r="BB259" s="233"/>
      <c r="BC259" s="233"/>
      <c r="BD259" s="245"/>
      <c r="BE259" s="131"/>
      <c r="BF259" s="131"/>
      <c r="BG259" s="230"/>
      <c r="BH259" s="233"/>
      <c r="BI259" s="233"/>
      <c r="BJ259" s="233"/>
      <c r="BK259" s="233"/>
      <c r="BL259" s="245"/>
      <c r="BM259" s="131"/>
      <c r="BN259" s="131"/>
      <c r="BO259" s="230"/>
      <c r="BP259" s="233"/>
      <c r="BQ259" s="233"/>
      <c r="BR259" s="233"/>
      <c r="BS259" s="233"/>
      <c r="BT259" s="245"/>
      <c r="BU259" s="131"/>
      <c r="BV259" s="131"/>
      <c r="BW259" s="230"/>
      <c r="BX259" s="233"/>
      <c r="BY259" s="233"/>
      <c r="BZ259" s="233"/>
      <c r="CA259" s="233"/>
      <c r="CB259" s="245"/>
      <c r="CC259" s="131"/>
      <c r="CD259" s="131"/>
      <c r="CE259" s="230"/>
      <c r="CF259" s="233"/>
      <c r="CG259" s="233"/>
      <c r="CH259" s="233"/>
      <c r="CI259" s="233"/>
      <c r="CJ259" s="245"/>
      <c r="CK259" s="131"/>
      <c r="CL259" s="131"/>
      <c r="CM259" s="230"/>
      <c r="CN259" s="233"/>
      <c r="CO259" s="233"/>
      <c r="CP259" s="233"/>
      <c r="CQ259" s="233"/>
      <c r="CR259" s="245"/>
      <c r="CS259" s="131"/>
      <c r="CT259" s="131"/>
      <c r="CU259" s="230"/>
      <c r="CV259" s="233"/>
      <c r="CW259" s="233"/>
      <c r="CX259" s="233"/>
      <c r="CY259" s="233"/>
      <c r="CZ259" s="233"/>
      <c r="DA259" s="233"/>
      <c r="DB259" s="233"/>
      <c r="DC259" s="233"/>
      <c r="DD259" s="233"/>
      <c r="DE259" s="233"/>
      <c r="DF259" s="233"/>
      <c r="DG259" s="233"/>
      <c r="DH259" s="233"/>
    </row>
    <row r="260" spans="15:118" ht="20.100000000000001" customHeight="1" x14ac:dyDescent="0.4">
      <c r="O260" s="199"/>
      <c r="P260" s="461" t="s">
        <v>188</v>
      </c>
      <c r="Q260" s="462"/>
      <c r="R260" s="209"/>
      <c r="S260" s="210">
        <v>4.1666666666666664E-2</v>
      </c>
      <c r="T260" s="226">
        <v>4.1666666666666664E-2</v>
      </c>
      <c r="U260" s="233"/>
      <c r="V260" s="461" t="s">
        <v>188</v>
      </c>
      <c r="W260" s="462"/>
      <c r="X260" s="209"/>
      <c r="Y260" s="210">
        <v>0.14666666666666667</v>
      </c>
      <c r="Z260" s="226">
        <v>0.14666666666666667</v>
      </c>
      <c r="AA260" s="233"/>
      <c r="AB260" s="461" t="s">
        <v>188</v>
      </c>
      <c r="AC260" s="462"/>
      <c r="AD260" s="209"/>
      <c r="AE260" s="210">
        <v>0.10303030303030304</v>
      </c>
      <c r="AF260" s="226">
        <v>0.10303030303030304</v>
      </c>
      <c r="AG260" s="233"/>
      <c r="AH260" s="349" t="s">
        <v>188</v>
      </c>
      <c r="AI260" s="350"/>
      <c r="AJ260" s="209"/>
      <c r="AK260" s="210">
        <v>4.5454545454545449E-2</v>
      </c>
      <c r="AL260" s="226">
        <v>4.5454545454545449E-2</v>
      </c>
      <c r="AM260" s="233"/>
      <c r="AN260" s="245"/>
      <c r="AO260" s="131"/>
      <c r="AP260" s="131"/>
      <c r="AQ260" s="230"/>
      <c r="AR260" s="233"/>
      <c r="AS260" s="233"/>
      <c r="AT260" s="233"/>
      <c r="AU260" s="233"/>
      <c r="AV260" s="245"/>
      <c r="AW260" s="131"/>
      <c r="AX260" s="131"/>
      <c r="AY260" s="230"/>
      <c r="AZ260" s="233"/>
      <c r="BA260" s="233"/>
      <c r="BB260" s="233"/>
      <c r="BC260" s="233"/>
      <c r="BD260" s="245"/>
      <c r="BE260" s="131"/>
      <c r="BF260" s="131"/>
      <c r="BG260" s="230"/>
      <c r="BH260" s="233"/>
      <c r="BI260" s="233"/>
      <c r="BJ260" s="233"/>
      <c r="BK260" s="233"/>
      <c r="BL260" s="245"/>
      <c r="BM260" s="131"/>
      <c r="BN260" s="131"/>
      <c r="BO260" s="230"/>
      <c r="BP260" s="233"/>
      <c r="BQ260" s="233"/>
      <c r="BR260" s="233"/>
      <c r="BS260" s="233"/>
      <c r="BT260" s="245"/>
      <c r="BU260" s="131"/>
      <c r="BV260" s="131"/>
      <c r="BW260" s="230"/>
      <c r="BX260" s="233"/>
      <c r="BY260" s="233"/>
      <c r="BZ260" s="233"/>
      <c r="CA260" s="233"/>
      <c r="CB260" s="245"/>
      <c r="CC260" s="131"/>
      <c r="CD260" s="131"/>
      <c r="CE260" s="230"/>
      <c r="CF260" s="233"/>
      <c r="CG260" s="233"/>
      <c r="CH260" s="233"/>
      <c r="CI260" s="233"/>
      <c r="CJ260" s="245"/>
      <c r="CK260" s="131"/>
      <c r="CL260" s="131"/>
      <c r="CM260" s="230"/>
      <c r="CN260" s="233"/>
      <c r="CO260" s="233"/>
      <c r="CP260" s="233"/>
      <c r="CQ260" s="233"/>
      <c r="CR260" s="245"/>
      <c r="CS260" s="131"/>
      <c r="CT260" s="131"/>
      <c r="CU260" s="230"/>
      <c r="CV260" s="233"/>
      <c r="CW260" s="233"/>
      <c r="CX260" s="233"/>
      <c r="CY260" s="233"/>
      <c r="CZ260" s="233"/>
      <c r="DA260" s="233"/>
      <c r="DB260" s="233"/>
      <c r="DC260" s="233"/>
      <c r="DD260" s="233"/>
      <c r="DE260" s="233"/>
      <c r="DF260" s="233"/>
      <c r="DG260" s="233"/>
      <c r="DH260" s="233"/>
    </row>
    <row r="261" spans="15:118" ht="20.100000000000001" customHeight="1" x14ac:dyDescent="0.4">
      <c r="O261" s="199"/>
      <c r="P261" s="459" t="s">
        <v>189</v>
      </c>
      <c r="Q261" s="460"/>
      <c r="R261" s="209"/>
      <c r="S261" s="211">
        <v>0</v>
      </c>
      <c r="T261" s="226">
        <v>0</v>
      </c>
      <c r="U261" s="233"/>
      <c r="V261" s="459" t="s">
        <v>189</v>
      </c>
      <c r="W261" s="460"/>
      <c r="X261" s="209"/>
      <c r="Y261" s="211">
        <v>0.79999999999999993</v>
      </c>
      <c r="Z261" s="226">
        <v>0.79999999999999993</v>
      </c>
      <c r="AA261" s="233"/>
      <c r="AB261" s="459" t="s">
        <v>189</v>
      </c>
      <c r="AC261" s="460"/>
      <c r="AD261" s="209"/>
      <c r="AE261" s="211">
        <v>0</v>
      </c>
      <c r="AF261" s="226">
        <v>0</v>
      </c>
      <c r="AG261" s="233"/>
      <c r="AH261" s="349" t="s">
        <v>189</v>
      </c>
      <c r="AI261" s="348"/>
      <c r="AJ261" s="209"/>
      <c r="AK261" s="211">
        <v>0</v>
      </c>
      <c r="AL261" s="226">
        <v>0</v>
      </c>
      <c r="AM261" s="233"/>
      <c r="AN261" s="244"/>
      <c r="AO261" s="135"/>
      <c r="AP261" s="135"/>
      <c r="AQ261" s="230"/>
      <c r="AR261" s="233"/>
      <c r="AS261" s="233"/>
      <c r="AT261" s="233"/>
      <c r="AU261" s="233"/>
      <c r="AV261" s="244"/>
      <c r="AW261" s="135"/>
      <c r="AX261" s="135"/>
      <c r="AY261" s="230"/>
      <c r="AZ261" s="233"/>
      <c r="BA261" s="233"/>
      <c r="BB261" s="233"/>
      <c r="BC261" s="233"/>
      <c r="BD261" s="244"/>
      <c r="BE261" s="135"/>
      <c r="BF261" s="135"/>
      <c r="BG261" s="230"/>
      <c r="BH261" s="233"/>
      <c r="BI261" s="233"/>
      <c r="BJ261" s="233"/>
      <c r="BK261" s="233"/>
      <c r="BL261" s="244"/>
      <c r="BM261" s="135"/>
      <c r="BN261" s="135"/>
      <c r="BO261" s="230"/>
      <c r="BP261" s="233"/>
      <c r="BQ261" s="233"/>
      <c r="BR261" s="233"/>
      <c r="BS261" s="233"/>
      <c r="BT261" s="244"/>
      <c r="BU261" s="135"/>
      <c r="BV261" s="135"/>
      <c r="BW261" s="230"/>
      <c r="BX261" s="233"/>
      <c r="BY261" s="233"/>
      <c r="BZ261" s="233"/>
      <c r="CA261" s="233"/>
      <c r="CB261" s="244"/>
      <c r="CC261" s="135"/>
      <c r="CD261" s="135"/>
      <c r="CE261" s="230"/>
      <c r="CF261" s="233"/>
      <c r="CG261" s="233"/>
      <c r="CH261" s="233"/>
      <c r="CI261" s="233"/>
      <c r="CJ261" s="244"/>
      <c r="CK261" s="135"/>
      <c r="CL261" s="135"/>
      <c r="CM261" s="230"/>
      <c r="CN261" s="233"/>
      <c r="CO261" s="233"/>
      <c r="CP261" s="233"/>
      <c r="CQ261" s="233"/>
      <c r="CR261" s="244"/>
      <c r="CS261" s="135"/>
      <c r="CT261" s="135"/>
      <c r="CU261" s="230"/>
      <c r="CV261" s="233"/>
      <c r="CW261" s="233"/>
      <c r="CX261" s="233"/>
      <c r="CY261" s="233"/>
      <c r="CZ261" s="233"/>
      <c r="DA261" s="233"/>
      <c r="DB261" s="233"/>
      <c r="DC261" s="233"/>
      <c r="DD261" s="233"/>
      <c r="DE261" s="233"/>
      <c r="DF261" s="233"/>
      <c r="DG261" s="233"/>
      <c r="DH261" s="233"/>
    </row>
    <row r="262" spans="15:118" ht="20.100000000000001" customHeight="1" x14ac:dyDescent="0.4">
      <c r="O262" s="199"/>
      <c r="P262" s="459" t="s">
        <v>190</v>
      </c>
      <c r="Q262" s="460"/>
      <c r="R262" s="209"/>
      <c r="S262" s="210">
        <v>6.25E-2</v>
      </c>
      <c r="T262" s="226">
        <v>6.25E-2</v>
      </c>
      <c r="U262" s="233"/>
      <c r="V262" s="459" t="s">
        <v>190</v>
      </c>
      <c r="W262" s="460"/>
      <c r="X262" s="209"/>
      <c r="Y262" s="210">
        <v>0.31666666666666665</v>
      </c>
      <c r="Z262" s="226">
        <v>0.31666666666666665</v>
      </c>
      <c r="AA262" s="233"/>
      <c r="AB262" s="459" t="s">
        <v>190</v>
      </c>
      <c r="AC262" s="460"/>
      <c r="AD262" s="209"/>
      <c r="AE262" s="210">
        <v>0.26666666666666666</v>
      </c>
      <c r="AF262" s="226">
        <v>0.26666666666666666</v>
      </c>
      <c r="AG262" s="233"/>
      <c r="AH262" s="349" t="s">
        <v>190</v>
      </c>
      <c r="AI262" s="348"/>
      <c r="AJ262" s="209"/>
      <c r="AK262" s="210">
        <v>2.4242424242424242E-2</v>
      </c>
      <c r="AL262" s="226">
        <v>2.4242424242424242E-2</v>
      </c>
      <c r="AM262" s="233"/>
      <c r="AN262" s="244"/>
      <c r="AO262" s="131"/>
      <c r="AP262" s="131"/>
      <c r="AQ262" s="230"/>
      <c r="AR262" s="233"/>
      <c r="AS262" s="233"/>
      <c r="AT262" s="233"/>
      <c r="AU262" s="233"/>
      <c r="AV262" s="244"/>
      <c r="AW262" s="131"/>
      <c r="AX262" s="131"/>
      <c r="AY262" s="230"/>
      <c r="AZ262" s="233"/>
      <c r="BA262" s="233"/>
      <c r="BB262" s="233"/>
      <c r="BC262" s="233"/>
      <c r="BD262" s="244"/>
      <c r="BE262" s="131"/>
      <c r="BF262" s="131"/>
      <c r="BG262" s="230"/>
      <c r="BH262" s="233"/>
      <c r="BI262" s="233"/>
      <c r="BJ262" s="233"/>
      <c r="BK262" s="233"/>
      <c r="BL262" s="244"/>
      <c r="BM262" s="131"/>
      <c r="BN262" s="131"/>
      <c r="BO262" s="230"/>
      <c r="BP262" s="233"/>
      <c r="BQ262" s="233"/>
      <c r="BR262" s="233"/>
      <c r="BS262" s="233"/>
      <c r="BT262" s="244"/>
      <c r="BU262" s="131"/>
      <c r="BV262" s="131"/>
      <c r="BW262" s="230"/>
      <c r="BX262" s="233"/>
      <c r="BY262" s="233"/>
      <c r="BZ262" s="233"/>
      <c r="CA262" s="233"/>
      <c r="CB262" s="244"/>
      <c r="CC262" s="131"/>
      <c r="CD262" s="131"/>
      <c r="CE262" s="230"/>
      <c r="CF262" s="233"/>
      <c r="CG262" s="233"/>
      <c r="CH262" s="233"/>
      <c r="CI262" s="233"/>
      <c r="CJ262" s="244"/>
      <c r="CK262" s="131"/>
      <c r="CL262" s="131"/>
      <c r="CM262" s="230"/>
      <c r="CN262" s="233"/>
      <c r="CO262" s="233"/>
      <c r="CP262" s="233"/>
      <c r="CQ262" s="233"/>
      <c r="CR262" s="244"/>
      <c r="CS262" s="131"/>
      <c r="CT262" s="131"/>
      <c r="CU262" s="230"/>
      <c r="CV262" s="233"/>
      <c r="CW262" s="233"/>
      <c r="CX262" s="233"/>
      <c r="CY262" s="233"/>
      <c r="CZ262" s="233"/>
      <c r="DA262" s="233"/>
      <c r="DB262" s="233"/>
      <c r="DC262" s="233"/>
      <c r="DD262" s="233"/>
      <c r="DE262" s="233"/>
      <c r="DF262" s="233"/>
      <c r="DG262" s="233"/>
      <c r="DH262" s="233"/>
    </row>
    <row r="263" spans="15:118" ht="20.100000000000001" customHeight="1" x14ac:dyDescent="0.4">
      <c r="O263" s="199"/>
      <c r="P263" s="459" t="s">
        <v>191</v>
      </c>
      <c r="Q263" s="460"/>
      <c r="R263" s="209"/>
      <c r="S263" s="210">
        <v>1.9999999999999998</v>
      </c>
      <c r="T263" s="226">
        <v>1.9999999999999998</v>
      </c>
      <c r="U263" s="233"/>
      <c r="V263" s="459" t="s">
        <v>191</v>
      </c>
      <c r="W263" s="460"/>
      <c r="X263" s="209"/>
      <c r="Y263" s="210">
        <v>2</v>
      </c>
      <c r="Z263" s="226">
        <v>2</v>
      </c>
      <c r="AA263" s="233"/>
      <c r="AB263" s="459" t="s">
        <v>191</v>
      </c>
      <c r="AC263" s="460"/>
      <c r="AD263" s="209"/>
      <c r="AE263" s="210">
        <v>1.4303030303030306</v>
      </c>
      <c r="AF263" s="226">
        <v>1.4303030303030306</v>
      </c>
      <c r="AG263" s="233"/>
      <c r="AH263" s="349" t="s">
        <v>191</v>
      </c>
      <c r="AI263" s="348"/>
      <c r="AJ263" s="209"/>
      <c r="AK263" s="210">
        <v>0</v>
      </c>
      <c r="AL263" s="226">
        <v>0</v>
      </c>
      <c r="AM263" s="233"/>
      <c r="AN263" s="244"/>
      <c r="AO263" s="131"/>
      <c r="AP263" s="131"/>
      <c r="AQ263" s="230"/>
      <c r="AR263" s="233"/>
      <c r="AS263" s="233"/>
      <c r="AT263" s="233"/>
      <c r="AU263" s="233"/>
      <c r="AV263" s="244"/>
      <c r="AW263" s="131"/>
      <c r="AX263" s="131"/>
      <c r="AY263" s="230"/>
      <c r="AZ263" s="233"/>
      <c r="BA263" s="233"/>
      <c r="BB263" s="233"/>
      <c r="BC263" s="233"/>
      <c r="BD263" s="244"/>
      <c r="BE263" s="131"/>
      <c r="BF263" s="131"/>
      <c r="BG263" s="230"/>
      <c r="BH263" s="233"/>
      <c r="BI263" s="233"/>
      <c r="BJ263" s="233"/>
      <c r="BK263" s="233"/>
      <c r="BL263" s="244"/>
      <c r="BM263" s="131"/>
      <c r="BN263" s="131"/>
      <c r="BO263" s="230"/>
      <c r="BP263" s="233"/>
      <c r="BQ263" s="233"/>
      <c r="BR263" s="233"/>
      <c r="BS263" s="233"/>
      <c r="BT263" s="244"/>
      <c r="BU263" s="131"/>
      <c r="BV263" s="131"/>
      <c r="BW263" s="230"/>
      <c r="BX263" s="233"/>
      <c r="BY263" s="233"/>
      <c r="BZ263" s="233"/>
      <c r="CA263" s="233"/>
      <c r="CB263" s="244"/>
      <c r="CC263" s="131"/>
      <c r="CD263" s="131"/>
      <c r="CE263" s="230"/>
      <c r="CF263" s="233"/>
      <c r="CG263" s="233"/>
      <c r="CH263" s="233"/>
      <c r="CI263" s="233"/>
      <c r="CJ263" s="244"/>
      <c r="CK263" s="131"/>
      <c r="CL263" s="131"/>
      <c r="CM263" s="230"/>
      <c r="CN263" s="233"/>
      <c r="CO263" s="233"/>
      <c r="CP263" s="233"/>
      <c r="CQ263" s="233"/>
      <c r="CR263" s="244"/>
      <c r="CS263" s="131"/>
      <c r="CT263" s="131"/>
      <c r="CU263" s="230"/>
      <c r="CV263" s="233"/>
      <c r="CW263" s="233"/>
      <c r="CX263" s="233"/>
      <c r="CY263" s="233"/>
      <c r="CZ263" s="233"/>
      <c r="DA263" s="233"/>
      <c r="DB263" s="233"/>
      <c r="DC263" s="233"/>
      <c r="DD263" s="233"/>
      <c r="DE263" s="233"/>
      <c r="DF263" s="233"/>
      <c r="DG263" s="233"/>
      <c r="DH263" s="233"/>
    </row>
    <row r="264" spans="15:118" ht="20.100000000000001" customHeight="1" x14ac:dyDescent="0.4">
      <c r="O264" s="199"/>
      <c r="P264" s="459" t="s">
        <v>192</v>
      </c>
      <c r="Q264" s="460"/>
      <c r="R264" s="209"/>
      <c r="S264" s="212">
        <v>0.43750000000000006</v>
      </c>
      <c r="T264" s="226">
        <v>0.43750000000000006</v>
      </c>
      <c r="U264" s="233"/>
      <c r="V264" s="459" t="s">
        <v>192</v>
      </c>
      <c r="W264" s="460"/>
      <c r="X264" s="209"/>
      <c r="Y264" s="212">
        <v>0.89999999999999991</v>
      </c>
      <c r="Z264" s="226">
        <v>0.89999999999999991</v>
      </c>
      <c r="AA264" s="233"/>
      <c r="AB264" s="459" t="s">
        <v>192</v>
      </c>
      <c r="AC264" s="460"/>
      <c r="AD264" s="209"/>
      <c r="AE264" s="212">
        <v>0.81818181818181812</v>
      </c>
      <c r="AF264" s="226">
        <v>0.81818181818181812</v>
      </c>
      <c r="AG264" s="233"/>
      <c r="AH264" s="349" t="s">
        <v>192</v>
      </c>
      <c r="AI264" s="348"/>
      <c r="AJ264" s="209"/>
      <c r="AK264" s="212">
        <v>0.27272727272727271</v>
      </c>
      <c r="AL264" s="226">
        <v>0.27272727272727271</v>
      </c>
      <c r="AM264" s="233"/>
      <c r="AN264" s="244"/>
      <c r="AO264" s="135"/>
      <c r="AP264" s="135"/>
      <c r="AQ264" s="230"/>
      <c r="AR264" s="233"/>
      <c r="AS264" s="233"/>
      <c r="AT264" s="233"/>
      <c r="AU264" s="233"/>
      <c r="AV264" s="244"/>
      <c r="AW264" s="135"/>
      <c r="AX264" s="135"/>
      <c r="AY264" s="230"/>
      <c r="AZ264" s="233"/>
      <c r="BA264" s="233"/>
      <c r="BB264" s="233"/>
      <c r="BC264" s="233"/>
      <c r="BD264" s="244"/>
      <c r="BE264" s="135"/>
      <c r="BF264" s="135"/>
      <c r="BG264" s="230"/>
      <c r="BH264" s="233"/>
      <c r="BI264" s="233"/>
      <c r="BJ264" s="233"/>
      <c r="BK264" s="233"/>
      <c r="BL264" s="244"/>
      <c r="BM264" s="135"/>
      <c r="BN264" s="135"/>
      <c r="BO264" s="230"/>
      <c r="BP264" s="233"/>
      <c r="BQ264" s="233"/>
      <c r="BR264" s="233"/>
      <c r="BS264" s="233"/>
      <c r="BT264" s="244"/>
      <c r="BU264" s="135"/>
      <c r="BV264" s="135"/>
      <c r="BW264" s="230"/>
      <c r="BX264" s="233"/>
      <c r="BY264" s="233"/>
      <c r="BZ264" s="233"/>
      <c r="CA264" s="233"/>
      <c r="CB264" s="244"/>
      <c r="CC264" s="135"/>
      <c r="CD264" s="135"/>
      <c r="CE264" s="230"/>
      <c r="CF264" s="233"/>
      <c r="CG264" s="233"/>
      <c r="CH264" s="233"/>
      <c r="CI264" s="233"/>
      <c r="CJ264" s="244"/>
      <c r="CK264" s="135"/>
      <c r="CL264" s="135"/>
      <c r="CM264" s="230"/>
      <c r="CN264" s="233"/>
      <c r="CO264" s="233"/>
      <c r="CP264" s="233"/>
      <c r="CQ264" s="233"/>
      <c r="CR264" s="244"/>
      <c r="CS264" s="135"/>
      <c r="CT264" s="135"/>
      <c r="CU264" s="230"/>
      <c r="CV264" s="233"/>
      <c r="CW264" s="233"/>
      <c r="CX264" s="233"/>
      <c r="CY264" s="233"/>
      <c r="CZ264" s="233"/>
      <c r="DA264" s="233"/>
      <c r="DB264" s="233"/>
      <c r="DC264" s="233"/>
      <c r="DD264" s="233"/>
      <c r="DE264" s="233"/>
      <c r="DF264" s="233"/>
      <c r="DG264" s="233"/>
      <c r="DH264" s="233"/>
    </row>
    <row r="265" spans="15:118" ht="20.100000000000001" customHeight="1" x14ac:dyDescent="0.4">
      <c r="O265" s="199"/>
      <c r="P265" s="199"/>
      <c r="Q265" s="201"/>
      <c r="R265" s="200"/>
      <c r="S265" s="199"/>
      <c r="U265" s="233"/>
      <c r="V265" s="233"/>
      <c r="W265" s="233"/>
      <c r="X265" s="233"/>
      <c r="Y265" s="233"/>
      <c r="Z265" s="233"/>
      <c r="AA265" s="233"/>
      <c r="AB265" s="233"/>
      <c r="AC265" s="233"/>
      <c r="AD265" s="233"/>
      <c r="AE265" s="233"/>
      <c r="AF265" s="233"/>
      <c r="AG265" s="233"/>
      <c r="AH265" s="233"/>
      <c r="AI265" s="233"/>
      <c r="AJ265" s="233"/>
      <c r="AK265" s="233"/>
      <c r="AL265" s="233"/>
      <c r="AM265" s="233"/>
      <c r="AN265" s="233"/>
      <c r="AO265" s="233"/>
      <c r="AP265" s="233"/>
      <c r="AQ265" s="233"/>
      <c r="AR265" s="233"/>
      <c r="AS265" s="233"/>
      <c r="AT265" s="233"/>
      <c r="AU265" s="233"/>
      <c r="AV265" s="233"/>
      <c r="AW265" s="233"/>
      <c r="AX265" s="233"/>
      <c r="AY265" s="233"/>
      <c r="AZ265" s="233"/>
      <c r="BA265" s="233"/>
      <c r="BB265" s="233"/>
      <c r="BC265" s="233"/>
      <c r="BD265" s="233"/>
      <c r="BE265" s="233"/>
      <c r="BF265" s="233"/>
      <c r="BG265" s="233"/>
      <c r="BH265" s="233"/>
      <c r="BI265" s="233"/>
      <c r="BJ265" s="233"/>
      <c r="BK265" s="233"/>
      <c r="BL265" s="233"/>
      <c r="BM265" s="233"/>
      <c r="BN265" s="233"/>
      <c r="BO265" s="233"/>
      <c r="BP265" s="233"/>
      <c r="BQ265" s="233"/>
      <c r="BR265" s="233"/>
      <c r="BS265" s="233"/>
      <c r="BT265" s="233"/>
      <c r="BU265" s="233"/>
      <c r="BV265" s="233"/>
      <c r="BW265" s="233"/>
      <c r="BX265" s="233"/>
      <c r="BY265" s="233"/>
      <c r="BZ265" s="233"/>
      <c r="CA265" s="233"/>
      <c r="CB265" s="233"/>
      <c r="CC265" s="233"/>
      <c r="CD265" s="233"/>
      <c r="CE265" s="233"/>
      <c r="CF265" s="233"/>
      <c r="CG265" s="233"/>
      <c r="CH265" s="233"/>
      <c r="CI265" s="233"/>
      <c r="CJ265" s="233"/>
      <c r="CK265" s="233"/>
      <c r="CL265" s="233"/>
      <c r="CM265" s="233"/>
      <c r="CN265" s="233"/>
      <c r="CO265" s="233"/>
      <c r="CP265" s="233"/>
      <c r="CQ265" s="233"/>
      <c r="CR265" s="233"/>
      <c r="CS265" s="233"/>
      <c r="CT265" s="233"/>
      <c r="CU265" s="233"/>
      <c r="CV265" s="233"/>
      <c r="CW265" s="233"/>
      <c r="CX265" s="233"/>
      <c r="CY265" s="233"/>
      <c r="CZ265" s="233"/>
      <c r="DA265" s="233"/>
      <c r="DB265" s="233"/>
      <c r="DC265" s="233"/>
      <c r="DD265" s="233"/>
      <c r="DE265" s="233"/>
      <c r="DF265" s="233"/>
      <c r="DG265" s="233"/>
      <c r="DH265" s="233"/>
    </row>
    <row r="266" spans="15:118" ht="20.100000000000001" customHeight="1" x14ac:dyDescent="0.4">
      <c r="O266" s="199"/>
      <c r="P266" s="199"/>
      <c r="Q266" s="199"/>
      <c r="R266" s="200"/>
      <c r="S266" s="199"/>
      <c r="U266" s="233"/>
      <c r="V266" s="240"/>
      <c r="W266" s="241"/>
      <c r="X266" s="242"/>
      <c r="Y266" s="243"/>
      <c r="Z266" s="233"/>
      <c r="AA266" s="233"/>
      <c r="AB266" s="233"/>
      <c r="AC266" s="233"/>
      <c r="AD266" s="233"/>
      <c r="AE266" s="233"/>
      <c r="AF266" s="233"/>
      <c r="AG266" s="233"/>
      <c r="AH266" s="233"/>
      <c r="AI266" s="233"/>
      <c r="AJ266" s="233"/>
      <c r="AK266" s="233"/>
      <c r="AL266" s="233"/>
      <c r="AM266" s="233"/>
      <c r="AN266" s="233"/>
      <c r="AO266" s="233"/>
      <c r="AP266" s="233"/>
      <c r="AQ266" s="233"/>
      <c r="AR266" s="233"/>
      <c r="AS266" s="233"/>
      <c r="AT266" s="233"/>
      <c r="AU266" s="233"/>
      <c r="AV266" s="233"/>
      <c r="AW266" s="233"/>
      <c r="AX266" s="233"/>
      <c r="AY266" s="233"/>
      <c r="AZ266" s="233"/>
      <c r="BA266" s="233"/>
      <c r="BB266" s="233"/>
      <c r="BC266" s="233"/>
      <c r="BD266" s="240"/>
      <c r="BE266" s="241"/>
      <c r="BF266" s="242"/>
      <c r="BG266" s="243"/>
      <c r="BH266" s="233"/>
      <c r="BI266" s="233"/>
      <c r="BJ266" s="233"/>
      <c r="BK266" s="233"/>
      <c r="BL266" s="233"/>
      <c r="BM266" s="233"/>
      <c r="BN266" s="233"/>
      <c r="BO266" s="233"/>
      <c r="BP266" s="233"/>
      <c r="BQ266" s="244"/>
      <c r="BR266" s="131"/>
      <c r="BS266" s="131"/>
      <c r="BT266" s="230"/>
      <c r="BU266" s="233"/>
      <c r="BV266" s="233"/>
      <c r="BW266" s="233"/>
      <c r="BX266" s="233"/>
      <c r="BY266" s="233"/>
      <c r="BZ266" s="244"/>
      <c r="CA266" s="131"/>
      <c r="CB266" s="131"/>
      <c r="CC266" s="230"/>
      <c r="CD266" s="233"/>
      <c r="CE266" s="233"/>
      <c r="CF266" s="233"/>
      <c r="CG266" s="233"/>
      <c r="CH266" s="244"/>
      <c r="CI266" s="131"/>
      <c r="CJ266" s="131"/>
      <c r="CK266" s="230"/>
      <c r="CL266" s="233"/>
      <c r="CM266" s="233"/>
      <c r="CN266" s="233"/>
      <c r="CO266" s="233"/>
      <c r="CP266" s="244"/>
      <c r="CQ266" s="131"/>
      <c r="CR266" s="131"/>
      <c r="CS266" s="230"/>
      <c r="CT266" s="233"/>
      <c r="CU266" s="233"/>
      <c r="CV266" s="233"/>
      <c r="CW266" s="233"/>
      <c r="CX266" s="244"/>
      <c r="CY266" s="131"/>
      <c r="CZ266" s="131"/>
      <c r="DA266" s="230"/>
      <c r="DB266" s="233"/>
      <c r="DC266" s="233"/>
      <c r="DD266" s="233"/>
      <c r="DE266" s="233"/>
      <c r="DF266" s="244"/>
      <c r="DG266" s="131"/>
      <c r="DH266" s="131"/>
      <c r="DI266" s="230"/>
      <c r="DJ266" s="233"/>
      <c r="DK266" s="233"/>
      <c r="DL266" s="233"/>
      <c r="DM266" s="233"/>
      <c r="DN266" s="244"/>
    </row>
    <row r="267" spans="15:118" ht="20.100000000000001" customHeight="1" x14ac:dyDescent="0.4">
      <c r="U267" s="233"/>
      <c r="V267" s="244"/>
      <c r="W267" s="131"/>
      <c r="X267" s="131"/>
      <c r="Y267" s="230"/>
      <c r="Z267" s="233"/>
      <c r="AA267" s="233"/>
      <c r="AB267" s="233"/>
      <c r="AC267" s="233"/>
      <c r="AD267" s="233"/>
      <c r="AE267" s="233"/>
      <c r="AF267" s="233"/>
      <c r="AG267" s="233"/>
      <c r="AH267" s="233"/>
      <c r="AI267" s="233"/>
      <c r="AJ267" s="233"/>
      <c r="AK267" s="233"/>
      <c r="AL267" s="233"/>
      <c r="AM267" s="233"/>
      <c r="AN267" s="233"/>
      <c r="AO267" s="233"/>
      <c r="AP267" s="233"/>
      <c r="AQ267" s="233"/>
      <c r="AR267" s="233"/>
      <c r="AS267" s="233"/>
      <c r="AT267" s="233"/>
      <c r="AU267" s="233"/>
      <c r="AV267" s="233"/>
      <c r="AW267" s="233"/>
      <c r="AX267" s="233"/>
      <c r="AY267" s="233"/>
      <c r="AZ267" s="233"/>
      <c r="BA267" s="233"/>
      <c r="BB267" s="233"/>
      <c r="BC267" s="233"/>
      <c r="BD267" s="244"/>
      <c r="BE267" s="131"/>
      <c r="BF267" s="131"/>
      <c r="BG267" s="230"/>
      <c r="BH267" s="233"/>
      <c r="BI267" s="233"/>
      <c r="BJ267" s="233"/>
      <c r="BK267" s="233"/>
      <c r="BL267" s="233"/>
      <c r="BM267" s="233"/>
      <c r="BN267" s="233"/>
      <c r="BO267" s="233"/>
      <c r="BP267" s="233"/>
      <c r="BQ267" s="245"/>
      <c r="BR267" s="131"/>
      <c r="BS267" s="131"/>
      <c r="BT267" s="230"/>
      <c r="BU267" s="233"/>
      <c r="BV267" s="233"/>
      <c r="BW267" s="233"/>
      <c r="BX267" s="233"/>
      <c r="BY267" s="233"/>
      <c r="BZ267" s="245"/>
      <c r="CA267" s="131"/>
      <c r="CB267" s="131"/>
      <c r="CC267" s="230"/>
      <c r="CD267" s="233"/>
      <c r="CE267" s="233"/>
      <c r="CF267" s="233"/>
      <c r="CG267" s="233"/>
      <c r="CH267" s="245"/>
      <c r="CI267" s="131"/>
      <c r="CJ267" s="131"/>
      <c r="CK267" s="230"/>
      <c r="CL267" s="233"/>
      <c r="CM267" s="233"/>
      <c r="CN267" s="233"/>
      <c r="CO267" s="233"/>
      <c r="CP267" s="245"/>
      <c r="CQ267" s="131"/>
      <c r="CR267" s="131"/>
      <c r="CS267" s="230"/>
      <c r="CT267" s="233"/>
      <c r="CU267" s="233"/>
      <c r="CV267" s="233"/>
      <c r="CW267" s="233"/>
      <c r="CX267" s="245"/>
      <c r="CY267" s="131"/>
      <c r="CZ267" s="131"/>
      <c r="DA267" s="230"/>
      <c r="DB267" s="233"/>
      <c r="DC267" s="233"/>
      <c r="DD267" s="233"/>
      <c r="DE267" s="233"/>
      <c r="DF267" s="245"/>
      <c r="DG267" s="131"/>
      <c r="DH267" s="131"/>
      <c r="DI267" s="230"/>
      <c r="DJ267" s="233"/>
      <c r="DK267" s="233"/>
      <c r="DL267" s="233"/>
      <c r="DM267" s="233"/>
      <c r="DN267" s="245"/>
    </row>
    <row r="268" spans="15:118" ht="20.100000000000001" customHeight="1" x14ac:dyDescent="0.4">
      <c r="U268" s="233"/>
      <c r="V268" s="244"/>
      <c r="W268" s="131"/>
      <c r="X268" s="131"/>
      <c r="Y268" s="230"/>
      <c r="Z268" s="233"/>
      <c r="AA268" s="233"/>
      <c r="AB268" s="233"/>
      <c r="AC268" s="233"/>
      <c r="AD268" s="233"/>
      <c r="AE268" s="233"/>
      <c r="AF268" s="233"/>
      <c r="AG268" s="233"/>
      <c r="AH268" s="233"/>
      <c r="AI268" s="233"/>
      <c r="AJ268" s="233"/>
      <c r="AK268" s="233"/>
      <c r="AL268" s="233"/>
      <c r="AM268" s="233"/>
      <c r="AN268" s="233"/>
      <c r="AO268" s="233"/>
      <c r="AP268" s="233"/>
      <c r="AQ268" s="233"/>
      <c r="AR268" s="233"/>
      <c r="AS268" s="233"/>
      <c r="AT268" s="233"/>
      <c r="AU268" s="233"/>
      <c r="AV268" s="233"/>
      <c r="AW268" s="233"/>
      <c r="AX268" s="233"/>
      <c r="AY268" s="233"/>
      <c r="AZ268" s="233"/>
      <c r="BA268" s="233"/>
      <c r="BB268" s="233"/>
      <c r="BC268" s="233"/>
      <c r="BD268" s="244"/>
      <c r="BE268" s="131"/>
      <c r="BF268" s="131"/>
      <c r="BG268" s="230"/>
      <c r="BH268" s="233"/>
      <c r="BI268" s="233"/>
      <c r="BJ268" s="233"/>
      <c r="BK268" s="233"/>
      <c r="BL268" s="233"/>
      <c r="BM268" s="233"/>
      <c r="BN268" s="233"/>
      <c r="BO268" s="233"/>
      <c r="BP268" s="233"/>
      <c r="BQ268" s="245"/>
      <c r="BR268" s="131"/>
      <c r="BS268" s="131"/>
      <c r="BT268" s="230"/>
      <c r="BU268" s="233"/>
      <c r="BV268" s="233"/>
      <c r="BW268" s="233"/>
      <c r="BX268" s="233"/>
      <c r="BY268" s="233"/>
      <c r="BZ268" s="245"/>
      <c r="CA268" s="131"/>
      <c r="CB268" s="131"/>
      <c r="CC268" s="230"/>
      <c r="CD268" s="233"/>
      <c r="CE268" s="233"/>
      <c r="CF268" s="233"/>
      <c r="CG268" s="233"/>
      <c r="CH268" s="245"/>
      <c r="CI268" s="131"/>
      <c r="CJ268" s="131"/>
      <c r="CK268" s="230"/>
      <c r="CL268" s="233"/>
      <c r="CM268" s="233"/>
      <c r="CN268" s="233"/>
      <c r="CO268" s="233"/>
      <c r="CP268" s="245"/>
      <c r="CQ268" s="131"/>
      <c r="CR268" s="131"/>
      <c r="CS268" s="230"/>
      <c r="CT268" s="233"/>
      <c r="CU268" s="233"/>
      <c r="CV268" s="233"/>
      <c r="CW268" s="233"/>
      <c r="CX268" s="245"/>
      <c r="CY268" s="131"/>
      <c r="CZ268" s="131"/>
      <c r="DA268" s="230"/>
      <c r="DB268" s="233"/>
      <c r="DC268" s="233"/>
      <c r="DD268" s="233"/>
      <c r="DE268" s="233"/>
      <c r="DF268" s="245"/>
      <c r="DG268" s="131"/>
      <c r="DH268" s="131"/>
      <c r="DI268" s="230"/>
      <c r="DJ268" s="233"/>
      <c r="DK268" s="233"/>
      <c r="DL268" s="233"/>
      <c r="DM268" s="233"/>
      <c r="DN268" s="245"/>
    </row>
    <row r="269" spans="15:118" ht="20.100000000000001" customHeight="1" x14ac:dyDescent="0.4">
      <c r="U269" s="233"/>
      <c r="V269" s="233"/>
      <c r="W269" s="244"/>
      <c r="X269" s="131"/>
      <c r="Y269" s="131"/>
      <c r="Z269" s="230"/>
      <c r="AA269" s="233"/>
      <c r="AB269" s="233"/>
      <c r="AC269" s="244"/>
      <c r="AD269" s="131"/>
      <c r="AE269" s="131"/>
      <c r="AF269" s="230"/>
      <c r="AG269" s="233"/>
      <c r="AH269" s="233"/>
      <c r="AI269" s="244"/>
      <c r="AJ269" s="131"/>
      <c r="AK269" s="131"/>
      <c r="AL269" s="230"/>
      <c r="AM269" s="233"/>
      <c r="AN269" s="233"/>
      <c r="AO269" s="244"/>
      <c r="AP269" s="131"/>
      <c r="AQ269" s="131"/>
      <c r="AR269" s="230"/>
      <c r="AS269" s="233"/>
      <c r="AT269" s="233"/>
      <c r="AU269" s="233"/>
      <c r="AV269" s="233"/>
      <c r="AW269" s="244"/>
      <c r="AX269" s="131"/>
      <c r="AY269" s="131"/>
      <c r="AZ269" s="230"/>
      <c r="BA269" s="233"/>
      <c r="BB269" s="233"/>
      <c r="BC269" s="233"/>
      <c r="BD269" s="233"/>
      <c r="BE269" s="244"/>
      <c r="BF269" s="131"/>
      <c r="BG269" s="131"/>
      <c r="BH269" s="230"/>
      <c r="BI269" s="233"/>
      <c r="BJ269" s="233"/>
      <c r="BK269" s="233"/>
      <c r="BL269" s="233"/>
      <c r="BM269" s="244"/>
      <c r="BN269" s="233"/>
      <c r="BO269" s="233"/>
      <c r="BP269" s="233"/>
      <c r="BQ269" s="244"/>
      <c r="BR269" s="135"/>
      <c r="BS269" s="135"/>
      <c r="BT269" s="230"/>
      <c r="BU269" s="233"/>
      <c r="BV269" s="233"/>
      <c r="BW269" s="233"/>
      <c r="BX269" s="233"/>
      <c r="BY269" s="233"/>
      <c r="BZ269" s="244"/>
      <c r="CA269" s="135"/>
      <c r="CB269" s="135"/>
      <c r="CC269" s="230"/>
      <c r="CD269" s="233"/>
      <c r="CE269" s="233"/>
      <c r="CF269" s="233"/>
      <c r="CG269" s="233"/>
      <c r="CH269" s="244"/>
      <c r="CI269" s="135"/>
      <c r="CJ269" s="135"/>
      <c r="CK269" s="230"/>
      <c r="CL269" s="233"/>
      <c r="CM269" s="233"/>
      <c r="CN269" s="233"/>
      <c r="CO269" s="233"/>
      <c r="CP269" s="244"/>
      <c r="CQ269" s="135"/>
      <c r="CR269" s="135"/>
      <c r="CS269" s="230"/>
      <c r="CT269" s="233"/>
      <c r="CU269" s="233"/>
      <c r="CV269" s="233"/>
      <c r="CW269" s="233"/>
      <c r="CX269" s="244"/>
      <c r="CY269" s="135"/>
      <c r="CZ269" s="135"/>
      <c r="DA269" s="230"/>
      <c r="DB269" s="233"/>
      <c r="DC269" s="233"/>
      <c r="DD269" s="233"/>
      <c r="DE269" s="233"/>
      <c r="DF269" s="244"/>
      <c r="DG269" s="135"/>
      <c r="DH269" s="135"/>
      <c r="DI269" s="230"/>
      <c r="DJ269" s="233"/>
      <c r="DK269" s="233"/>
      <c r="DL269" s="233"/>
      <c r="DM269" s="233"/>
      <c r="DN269" s="244"/>
    </row>
    <row r="270" spans="15:118" ht="20.100000000000001" customHeight="1" x14ac:dyDescent="0.4">
      <c r="U270" s="233"/>
      <c r="V270" s="233"/>
      <c r="W270" s="245"/>
      <c r="X270" s="131"/>
      <c r="Y270" s="131"/>
      <c r="Z270" s="230"/>
      <c r="AA270" s="233"/>
      <c r="AB270" s="233"/>
      <c r="AC270" s="245"/>
      <c r="AD270" s="131"/>
      <c r="AE270" s="131"/>
      <c r="AF270" s="230"/>
      <c r="AG270" s="233"/>
      <c r="AH270" s="233"/>
      <c r="AI270" s="245"/>
      <c r="AJ270" s="131"/>
      <c r="AK270" s="131"/>
      <c r="AL270" s="230"/>
      <c r="AM270" s="233"/>
      <c r="AN270" s="233"/>
      <c r="AO270" s="245"/>
      <c r="AP270" s="131"/>
      <c r="AQ270" s="131"/>
      <c r="AR270" s="230"/>
      <c r="AS270" s="233"/>
      <c r="AT270" s="233"/>
      <c r="AU270" s="233"/>
      <c r="AV270" s="233"/>
      <c r="AW270" s="245"/>
      <c r="AX270" s="131"/>
      <c r="AY270" s="131"/>
      <c r="AZ270" s="230"/>
      <c r="BA270" s="233"/>
      <c r="BB270" s="233"/>
      <c r="BC270" s="233"/>
      <c r="BD270" s="233"/>
      <c r="BE270" s="245"/>
      <c r="BF270" s="131"/>
      <c r="BG270" s="131"/>
      <c r="BH270" s="230"/>
      <c r="BI270" s="233"/>
      <c r="BJ270" s="233"/>
      <c r="BK270" s="233"/>
      <c r="BL270" s="233"/>
      <c r="BM270" s="245"/>
      <c r="BN270" s="233"/>
      <c r="BO270" s="233"/>
      <c r="BP270" s="233"/>
      <c r="BQ270" s="244"/>
      <c r="BR270" s="131"/>
      <c r="BS270" s="131"/>
      <c r="BT270" s="230"/>
      <c r="BU270" s="233"/>
      <c r="BV270" s="233"/>
      <c r="BW270" s="233"/>
      <c r="BX270" s="233"/>
      <c r="BY270" s="233"/>
      <c r="BZ270" s="244"/>
      <c r="CA270" s="131"/>
      <c r="CB270" s="131"/>
      <c r="CC270" s="230"/>
      <c r="CD270" s="233"/>
      <c r="CE270" s="233"/>
      <c r="CF270" s="233"/>
      <c r="CG270" s="233"/>
      <c r="CH270" s="244"/>
      <c r="CI270" s="131"/>
      <c r="CJ270" s="131"/>
      <c r="CK270" s="230"/>
      <c r="CL270" s="233"/>
      <c r="CM270" s="233"/>
      <c r="CN270" s="233"/>
      <c r="CO270" s="233"/>
      <c r="CP270" s="244"/>
      <c r="CQ270" s="131"/>
      <c r="CR270" s="131"/>
      <c r="CS270" s="230"/>
      <c r="CT270" s="233"/>
      <c r="CU270" s="233"/>
      <c r="CV270" s="233"/>
      <c r="CW270" s="233"/>
      <c r="CX270" s="244"/>
      <c r="CY270" s="131"/>
      <c r="CZ270" s="131"/>
      <c r="DA270" s="230"/>
      <c r="DB270" s="233"/>
      <c r="DC270" s="233"/>
      <c r="DD270" s="233"/>
      <c r="DE270" s="233"/>
      <c r="DF270" s="244"/>
      <c r="DG270" s="131"/>
      <c r="DH270" s="131"/>
      <c r="DI270" s="230"/>
      <c r="DJ270" s="233"/>
      <c r="DK270" s="233"/>
      <c r="DL270" s="233"/>
      <c r="DM270" s="233"/>
      <c r="DN270" s="244"/>
    </row>
    <row r="271" spans="15:118" ht="20.100000000000001" customHeight="1" x14ac:dyDescent="0.4">
      <c r="U271" s="233"/>
      <c r="V271" s="233"/>
      <c r="W271" s="245"/>
      <c r="X271" s="131"/>
      <c r="Y271" s="131"/>
      <c r="Z271" s="230"/>
      <c r="AA271" s="233"/>
      <c r="AB271" s="233"/>
      <c r="AC271" s="245"/>
      <c r="AD271" s="131"/>
      <c r="AE271" s="131"/>
      <c r="AF271" s="230"/>
      <c r="AG271" s="233"/>
      <c r="AH271" s="233"/>
      <c r="AI271" s="245"/>
      <c r="AJ271" s="131"/>
      <c r="AK271" s="131"/>
      <c r="AL271" s="230"/>
      <c r="AM271" s="233"/>
      <c r="AN271" s="233"/>
      <c r="AO271" s="245"/>
      <c r="AP271" s="131"/>
      <c r="AQ271" s="131"/>
      <c r="AR271" s="230"/>
      <c r="AS271" s="233"/>
      <c r="AT271" s="233"/>
      <c r="AU271" s="233"/>
      <c r="AV271" s="233"/>
      <c r="AW271" s="245"/>
      <c r="AX271" s="131"/>
      <c r="AY271" s="131"/>
      <c r="AZ271" s="230"/>
      <c r="BA271" s="233"/>
      <c r="BB271" s="233"/>
      <c r="BC271" s="233"/>
      <c r="BD271" s="233"/>
      <c r="BE271" s="245"/>
      <c r="BF271" s="131"/>
      <c r="BG271" s="131"/>
      <c r="BH271" s="230"/>
      <c r="BI271" s="233"/>
      <c r="BJ271" s="233"/>
      <c r="BK271" s="233"/>
      <c r="BL271" s="233"/>
      <c r="BM271" s="245"/>
      <c r="BN271" s="233"/>
      <c r="BO271" s="233"/>
      <c r="BP271" s="233"/>
      <c r="BQ271" s="244"/>
      <c r="BR271" s="131"/>
      <c r="BS271" s="131"/>
      <c r="BT271" s="230"/>
      <c r="BU271" s="233"/>
      <c r="BV271" s="233"/>
      <c r="BW271" s="233"/>
      <c r="BX271" s="233"/>
      <c r="BY271" s="233"/>
      <c r="BZ271" s="244"/>
      <c r="CA271" s="131"/>
      <c r="CB271" s="131"/>
      <c r="CC271" s="230"/>
      <c r="CD271" s="233"/>
      <c r="CE271" s="233"/>
      <c r="CF271" s="233"/>
      <c r="CG271" s="233"/>
      <c r="CH271" s="244"/>
      <c r="CI271" s="131"/>
      <c r="CJ271" s="131"/>
      <c r="CK271" s="230"/>
      <c r="CL271" s="233"/>
      <c r="CM271" s="233"/>
      <c r="CN271" s="233"/>
      <c r="CO271" s="233"/>
      <c r="CP271" s="244"/>
      <c r="CQ271" s="131"/>
      <c r="CR271" s="131"/>
      <c r="CS271" s="230"/>
      <c r="CT271" s="233"/>
      <c r="CU271" s="233"/>
      <c r="CV271" s="233"/>
      <c r="CW271" s="233"/>
      <c r="CX271" s="244"/>
      <c r="CY271" s="131"/>
      <c r="CZ271" s="131"/>
      <c r="DA271" s="230"/>
      <c r="DB271" s="233"/>
      <c r="DC271" s="233"/>
      <c r="DD271" s="233"/>
      <c r="DE271" s="233"/>
      <c r="DF271" s="244"/>
      <c r="DG271" s="131"/>
      <c r="DH271" s="131"/>
      <c r="DI271" s="230"/>
      <c r="DJ271" s="233"/>
      <c r="DK271" s="233"/>
      <c r="DL271" s="233"/>
      <c r="DM271" s="233"/>
      <c r="DN271" s="244"/>
    </row>
    <row r="272" spans="15:118" ht="20.100000000000001" customHeight="1" x14ac:dyDescent="0.4">
      <c r="U272" s="233"/>
      <c r="V272" s="233"/>
      <c r="W272" s="244"/>
      <c r="X272" s="135"/>
      <c r="Y272" s="135"/>
      <c r="Z272" s="230"/>
      <c r="AA272" s="233"/>
      <c r="AB272" s="233"/>
      <c r="AC272" s="244"/>
      <c r="AD272" s="135"/>
      <c r="AE272" s="135"/>
      <c r="AF272" s="230"/>
      <c r="AG272" s="233"/>
      <c r="AH272" s="233"/>
      <c r="AI272" s="244"/>
      <c r="AJ272" s="135"/>
      <c r="AK272" s="135"/>
      <c r="AL272" s="230"/>
      <c r="AM272" s="233"/>
      <c r="AN272" s="233"/>
      <c r="AO272" s="244"/>
      <c r="AP272" s="135"/>
      <c r="AQ272" s="135"/>
      <c r="AR272" s="230"/>
      <c r="AS272" s="233"/>
      <c r="AT272" s="233"/>
      <c r="AU272" s="233"/>
      <c r="AV272" s="233"/>
      <c r="AW272" s="244"/>
      <c r="AX272" s="135"/>
      <c r="AY272" s="135"/>
      <c r="AZ272" s="230"/>
      <c r="BA272" s="233"/>
      <c r="BB272" s="233"/>
      <c r="BC272" s="233"/>
      <c r="BD272" s="233"/>
      <c r="BE272" s="244"/>
      <c r="BF272" s="135"/>
      <c r="BG272" s="135"/>
      <c r="BH272" s="230"/>
      <c r="BI272" s="233"/>
      <c r="BJ272" s="233"/>
      <c r="BK272" s="233"/>
      <c r="BL272" s="233"/>
      <c r="BM272" s="244"/>
      <c r="BN272" s="233"/>
      <c r="BO272" s="233"/>
      <c r="BP272" s="233"/>
      <c r="BQ272" s="244"/>
      <c r="BR272" s="135"/>
      <c r="BS272" s="135"/>
      <c r="BT272" s="230"/>
      <c r="BU272" s="233"/>
      <c r="BV272" s="233"/>
      <c r="BW272" s="233"/>
      <c r="BX272" s="233"/>
      <c r="BY272" s="233"/>
      <c r="BZ272" s="244"/>
      <c r="CA272" s="135"/>
      <c r="CB272" s="135"/>
      <c r="CC272" s="230"/>
      <c r="CD272" s="233"/>
      <c r="CE272" s="233"/>
      <c r="CF272" s="233"/>
      <c r="CG272" s="233"/>
      <c r="CH272" s="244"/>
      <c r="CI272" s="135"/>
      <c r="CJ272" s="135"/>
      <c r="CK272" s="230"/>
      <c r="CL272" s="233"/>
      <c r="CM272" s="233"/>
      <c r="CN272" s="233"/>
      <c r="CO272" s="233"/>
      <c r="CP272" s="244"/>
      <c r="CQ272" s="135"/>
      <c r="CR272" s="135"/>
      <c r="CS272" s="230"/>
      <c r="CT272" s="233"/>
      <c r="CU272" s="233"/>
      <c r="CV272" s="233"/>
      <c r="CW272" s="233"/>
      <c r="CX272" s="244"/>
      <c r="CY272" s="135"/>
      <c r="CZ272" s="135"/>
      <c r="DA272" s="230"/>
      <c r="DB272" s="233"/>
      <c r="DC272" s="233"/>
      <c r="DD272" s="233"/>
      <c r="DE272" s="233"/>
      <c r="DF272" s="244"/>
      <c r="DG272" s="135"/>
      <c r="DH272" s="135"/>
      <c r="DI272" s="230"/>
      <c r="DJ272" s="233"/>
      <c r="DK272" s="233"/>
      <c r="DL272" s="233"/>
      <c r="DM272" s="233"/>
      <c r="DN272" s="244"/>
    </row>
    <row r="273" spans="21:118" ht="20.100000000000001" customHeight="1" x14ac:dyDescent="0.4">
      <c r="U273" s="233"/>
      <c r="V273" s="233"/>
      <c r="W273" s="244"/>
      <c r="X273" s="131"/>
      <c r="Y273" s="131"/>
      <c r="Z273" s="230"/>
      <c r="AA273" s="233"/>
      <c r="AB273" s="233"/>
      <c r="AC273" s="244"/>
      <c r="AD273" s="131"/>
      <c r="AE273" s="131"/>
      <c r="AF273" s="230"/>
      <c r="AG273" s="233"/>
      <c r="AH273" s="233"/>
      <c r="AI273" s="244"/>
      <c r="AJ273" s="131"/>
      <c r="AK273" s="131"/>
      <c r="AL273" s="230"/>
      <c r="AM273" s="233"/>
      <c r="AN273" s="233"/>
      <c r="AO273" s="244"/>
      <c r="AP273" s="131"/>
      <c r="AQ273" s="131"/>
      <c r="AR273" s="230"/>
      <c r="AS273" s="233"/>
      <c r="AT273" s="233"/>
      <c r="AU273" s="233"/>
      <c r="AV273" s="233"/>
      <c r="AW273" s="244"/>
      <c r="AX273" s="131"/>
      <c r="AY273" s="131"/>
      <c r="AZ273" s="230"/>
      <c r="BA273" s="233"/>
      <c r="BB273" s="233"/>
      <c r="BC273" s="233"/>
      <c r="BD273" s="233"/>
      <c r="BE273" s="244"/>
      <c r="BF273" s="131"/>
      <c r="BG273" s="131"/>
      <c r="BH273" s="230"/>
      <c r="BI273" s="233"/>
      <c r="BJ273" s="233"/>
      <c r="BK273" s="233"/>
      <c r="BL273" s="233"/>
      <c r="BM273" s="244"/>
      <c r="BN273" s="233"/>
      <c r="BO273" s="233"/>
      <c r="BP273" s="233"/>
      <c r="BQ273" s="233"/>
      <c r="BR273" s="233"/>
      <c r="BS273" s="233"/>
      <c r="BT273" s="233"/>
      <c r="BU273" s="233"/>
      <c r="BV273" s="233"/>
      <c r="BW273" s="233"/>
      <c r="BX273" s="233"/>
      <c r="BY273" s="233"/>
      <c r="BZ273" s="233"/>
      <c r="CA273" s="233"/>
      <c r="CB273" s="233"/>
      <c r="CC273" s="233"/>
      <c r="CD273" s="233"/>
      <c r="CE273" s="233"/>
      <c r="CF273" s="233"/>
      <c r="CG273" s="233"/>
      <c r="CH273" s="233"/>
      <c r="CI273" s="233"/>
      <c r="CJ273" s="233"/>
      <c r="CK273" s="233"/>
      <c r="CL273" s="233"/>
      <c r="CM273" s="233"/>
      <c r="CN273" s="233"/>
      <c r="CO273" s="233"/>
      <c r="CP273" s="233"/>
      <c r="CQ273" s="233"/>
      <c r="CR273" s="233"/>
      <c r="CS273" s="233"/>
      <c r="CT273" s="233"/>
      <c r="CU273" s="233"/>
      <c r="CV273" s="233"/>
      <c r="CW273" s="233"/>
      <c r="CX273" s="233"/>
      <c r="CY273" s="233"/>
      <c r="CZ273" s="233"/>
      <c r="DA273" s="233"/>
      <c r="DB273" s="233"/>
      <c r="DC273" s="233"/>
      <c r="DD273" s="233"/>
      <c r="DE273" s="233"/>
      <c r="DF273" s="233"/>
      <c r="DG273" s="233"/>
      <c r="DH273" s="233"/>
      <c r="DI273" s="233"/>
      <c r="DJ273" s="233"/>
      <c r="DK273" s="233"/>
      <c r="DL273" s="233"/>
      <c r="DM273" s="233"/>
      <c r="DN273" s="233"/>
    </row>
    <row r="274" spans="21:118" ht="20.100000000000001" customHeight="1" x14ac:dyDescent="0.4">
      <c r="U274" s="233"/>
      <c r="V274" s="233"/>
      <c r="W274" s="244"/>
      <c r="X274" s="131"/>
      <c r="Y274" s="131"/>
      <c r="Z274" s="230"/>
      <c r="AA274" s="233"/>
      <c r="AB274" s="233"/>
      <c r="AC274" s="244"/>
      <c r="AD274" s="131"/>
      <c r="AE274" s="131"/>
      <c r="AF274" s="230"/>
      <c r="AG274" s="233"/>
      <c r="AH274" s="233"/>
      <c r="AI274" s="244"/>
      <c r="AJ274" s="233"/>
      <c r="AK274" s="233"/>
      <c r="AL274" s="233"/>
      <c r="AM274" s="131"/>
      <c r="AN274" s="230"/>
      <c r="AO274" s="233"/>
      <c r="AP274" s="233"/>
      <c r="AQ274" s="233"/>
      <c r="AR274" s="233"/>
      <c r="AS274" s="233"/>
      <c r="AT274" s="244"/>
      <c r="AU274" s="131"/>
      <c r="AV274" s="131"/>
      <c r="AW274" s="230"/>
      <c r="AX274" s="233"/>
      <c r="AY274" s="233"/>
      <c r="AZ274" s="233"/>
      <c r="BA274" s="233"/>
      <c r="BB274" s="244"/>
      <c r="BC274" s="131"/>
      <c r="BD274" s="131"/>
      <c r="BE274" s="230"/>
      <c r="BF274" s="233"/>
      <c r="BG274" s="233"/>
      <c r="BH274" s="233"/>
      <c r="BI274" s="233"/>
      <c r="BJ274" s="244"/>
      <c r="BK274" s="131"/>
      <c r="BL274" s="131"/>
      <c r="BM274" s="230"/>
      <c r="BN274" s="233"/>
      <c r="BO274" s="233"/>
      <c r="BP274" s="233"/>
      <c r="BQ274" s="240"/>
      <c r="BR274" s="241"/>
      <c r="BS274" s="242"/>
      <c r="BT274" s="243"/>
      <c r="BU274" s="233"/>
      <c r="BV274" s="233"/>
      <c r="BW274" s="233"/>
      <c r="BX274" s="233"/>
      <c r="BY274" s="233"/>
      <c r="BZ274" s="233"/>
      <c r="CA274" s="233"/>
      <c r="CB274" s="233"/>
      <c r="CC274" s="233"/>
      <c r="CD274" s="233"/>
      <c r="CE274" s="233"/>
      <c r="CF274" s="233"/>
      <c r="CG274" s="233"/>
      <c r="CH274" s="233"/>
      <c r="CI274" s="233"/>
      <c r="CJ274" s="233"/>
      <c r="CK274" s="233"/>
      <c r="CL274" s="233"/>
      <c r="CM274" s="233"/>
      <c r="CN274" s="233"/>
      <c r="CO274" s="233"/>
      <c r="CP274" s="233"/>
      <c r="CQ274" s="233"/>
      <c r="CR274" s="233"/>
      <c r="CS274" s="233"/>
      <c r="CT274" s="233"/>
      <c r="CU274" s="233"/>
      <c r="CV274" s="233"/>
      <c r="CW274" s="233"/>
      <c r="CX274" s="233"/>
      <c r="CY274" s="233"/>
      <c r="CZ274" s="233"/>
      <c r="DA274" s="233"/>
      <c r="DB274" s="233"/>
      <c r="DC274" s="233"/>
      <c r="DD274" s="233"/>
      <c r="DE274" s="233"/>
      <c r="DF274" s="240"/>
      <c r="DG274" s="241"/>
      <c r="DH274" s="242"/>
      <c r="DI274" s="243"/>
      <c r="DJ274" s="233"/>
      <c r="DK274" s="233"/>
      <c r="DL274" s="233"/>
      <c r="DM274" s="233"/>
      <c r="DN274" s="233"/>
    </row>
    <row r="275" spans="21:118" ht="20.100000000000001" customHeight="1" x14ac:dyDescent="0.4">
      <c r="U275" s="233"/>
      <c r="V275" s="233"/>
      <c r="W275" s="244"/>
      <c r="X275" s="135"/>
      <c r="Y275" s="135"/>
      <c r="Z275" s="230"/>
      <c r="AA275" s="233"/>
      <c r="AB275" s="233"/>
      <c r="AC275" s="244"/>
      <c r="AD275" s="135"/>
      <c r="AE275" s="135"/>
      <c r="AF275" s="230"/>
      <c r="AG275" s="233"/>
      <c r="AH275" s="233"/>
      <c r="AI275" s="244"/>
      <c r="AJ275" s="233"/>
      <c r="AK275" s="233"/>
      <c r="AL275" s="233"/>
      <c r="AM275" s="131"/>
      <c r="AN275" s="230"/>
      <c r="AO275" s="233"/>
      <c r="AP275" s="233"/>
      <c r="AQ275" s="233"/>
      <c r="AR275" s="233"/>
      <c r="AS275" s="233"/>
      <c r="AT275" s="245"/>
      <c r="AU275" s="131"/>
      <c r="AV275" s="131"/>
      <c r="AW275" s="230"/>
      <c r="AX275" s="233"/>
      <c r="AY275" s="233"/>
      <c r="AZ275" s="233"/>
      <c r="BA275" s="233"/>
      <c r="BB275" s="245"/>
      <c r="BC275" s="131"/>
      <c r="BD275" s="131"/>
      <c r="BE275" s="230"/>
      <c r="BF275" s="233"/>
      <c r="BG275" s="233"/>
      <c r="BH275" s="233"/>
      <c r="BI275" s="233"/>
      <c r="BJ275" s="245"/>
      <c r="BK275" s="131"/>
      <c r="BL275" s="131"/>
      <c r="BM275" s="230"/>
      <c r="BN275" s="233"/>
      <c r="BO275" s="233"/>
      <c r="BP275" s="233"/>
      <c r="BQ275" s="244"/>
      <c r="BR275" s="131"/>
      <c r="BS275" s="131"/>
      <c r="BT275" s="230"/>
      <c r="BU275" s="233"/>
      <c r="BV275" s="233"/>
      <c r="BW275" s="233"/>
      <c r="BX275" s="233"/>
      <c r="BY275" s="233"/>
      <c r="BZ275" s="233"/>
      <c r="CA275" s="233"/>
      <c r="CB275" s="233"/>
      <c r="CC275" s="233"/>
      <c r="CD275" s="233"/>
      <c r="CE275" s="233"/>
      <c r="CF275" s="233"/>
      <c r="CG275" s="233"/>
      <c r="CH275" s="233"/>
      <c r="CI275" s="233"/>
      <c r="CJ275" s="233"/>
      <c r="CK275" s="233"/>
      <c r="CL275" s="233"/>
      <c r="CM275" s="233"/>
      <c r="CN275" s="233"/>
      <c r="CO275" s="233"/>
      <c r="CP275" s="233"/>
      <c r="CQ275" s="233"/>
      <c r="CR275" s="233"/>
      <c r="CS275" s="233"/>
      <c r="CT275" s="233"/>
      <c r="CU275" s="233"/>
      <c r="CV275" s="233"/>
      <c r="CW275" s="233"/>
      <c r="CX275" s="233"/>
      <c r="CY275" s="233"/>
      <c r="CZ275" s="233"/>
      <c r="DA275" s="233"/>
      <c r="DB275" s="233"/>
      <c r="DC275" s="233"/>
      <c r="DD275" s="233"/>
      <c r="DE275" s="233"/>
      <c r="DF275" s="244"/>
      <c r="DG275" s="131"/>
      <c r="DH275" s="131"/>
      <c r="DI275" s="230"/>
      <c r="DJ275" s="233"/>
      <c r="DK275" s="233"/>
      <c r="DL275" s="233"/>
      <c r="DM275" s="233"/>
      <c r="DN275" s="233"/>
    </row>
    <row r="276" spans="21:118" ht="20.100000000000001" customHeight="1" x14ac:dyDescent="0.4">
      <c r="U276" s="233"/>
      <c r="V276" s="233"/>
      <c r="W276" s="233"/>
      <c r="X276" s="233"/>
      <c r="Y276" s="233"/>
      <c r="Z276" s="233"/>
      <c r="AA276" s="233"/>
      <c r="AB276" s="233"/>
      <c r="AC276" s="233"/>
      <c r="AD276" s="233"/>
      <c r="AE276" s="233"/>
      <c r="AF276" s="233"/>
      <c r="AG276" s="233"/>
      <c r="AH276" s="233"/>
      <c r="AI276" s="233"/>
      <c r="AJ276" s="233"/>
      <c r="AK276" s="233"/>
      <c r="AL276" s="233"/>
      <c r="AM276" s="131"/>
      <c r="AN276" s="230"/>
      <c r="AO276" s="233"/>
      <c r="AP276" s="233"/>
      <c r="AQ276" s="233"/>
      <c r="AR276" s="233"/>
      <c r="AS276" s="233"/>
      <c r="AT276" s="245"/>
      <c r="AU276" s="131"/>
      <c r="AV276" s="131"/>
      <c r="AW276" s="230"/>
      <c r="AX276" s="233"/>
      <c r="AY276" s="233"/>
      <c r="AZ276" s="233"/>
      <c r="BA276" s="233"/>
      <c r="BB276" s="245"/>
      <c r="BC276" s="131"/>
      <c r="BD276" s="131"/>
      <c r="BE276" s="230"/>
      <c r="BF276" s="233"/>
      <c r="BG276" s="233"/>
      <c r="BH276" s="233"/>
      <c r="BI276" s="233"/>
      <c r="BJ276" s="245"/>
      <c r="BK276" s="131"/>
      <c r="BL276" s="131"/>
      <c r="BM276" s="230"/>
      <c r="BN276" s="233"/>
      <c r="BO276" s="233"/>
      <c r="BP276" s="233"/>
      <c r="BQ276" s="244"/>
      <c r="BR276" s="131"/>
      <c r="BS276" s="131"/>
      <c r="BT276" s="230"/>
      <c r="BU276" s="233"/>
      <c r="BV276" s="233"/>
      <c r="BW276" s="233"/>
      <c r="BX276" s="233"/>
      <c r="BY276" s="233"/>
      <c r="BZ276" s="233"/>
      <c r="CA276" s="233"/>
      <c r="CB276" s="233"/>
      <c r="CC276" s="233"/>
      <c r="CD276" s="233"/>
      <c r="CE276" s="233"/>
      <c r="CF276" s="233"/>
      <c r="CG276" s="233"/>
      <c r="CH276" s="233"/>
      <c r="CI276" s="233"/>
      <c r="CJ276" s="233"/>
      <c r="CK276" s="233"/>
      <c r="CL276" s="233"/>
      <c r="CM276" s="233"/>
      <c r="CN276" s="233"/>
      <c r="CO276" s="233"/>
      <c r="CP276" s="233"/>
      <c r="CQ276" s="233"/>
      <c r="CR276" s="233"/>
      <c r="CS276" s="233"/>
      <c r="CT276" s="233"/>
      <c r="CU276" s="233"/>
      <c r="CV276" s="233"/>
      <c r="CW276" s="233"/>
      <c r="CX276" s="233"/>
      <c r="CY276" s="233"/>
      <c r="CZ276" s="233"/>
      <c r="DA276" s="233"/>
      <c r="DB276" s="233"/>
      <c r="DC276" s="233"/>
      <c r="DD276" s="233"/>
      <c r="DE276" s="233"/>
      <c r="DF276" s="244"/>
      <c r="DG276" s="131"/>
      <c r="DH276" s="131"/>
      <c r="DI276" s="230"/>
      <c r="DJ276" s="233"/>
      <c r="DK276" s="233"/>
      <c r="DL276" s="233"/>
      <c r="DM276" s="233"/>
      <c r="DN276" s="233"/>
    </row>
    <row r="277" spans="21:118" ht="20.100000000000001" customHeight="1" x14ac:dyDescent="0.4">
      <c r="U277" s="233"/>
      <c r="V277" s="233"/>
      <c r="W277" s="240"/>
      <c r="X277" s="241"/>
      <c r="Y277" s="242"/>
      <c r="Z277" s="243"/>
      <c r="AA277" s="233"/>
      <c r="AB277" s="233"/>
      <c r="AC277" s="233"/>
      <c r="AD277" s="233"/>
      <c r="AE277" s="233"/>
      <c r="AF277" s="233"/>
      <c r="AG277" s="233"/>
      <c r="AH277" s="233"/>
      <c r="AI277" s="233"/>
      <c r="AJ277" s="233"/>
      <c r="AK277" s="233"/>
      <c r="AL277" s="233"/>
      <c r="AM277" s="135"/>
      <c r="AN277" s="230"/>
      <c r="AO277" s="233"/>
      <c r="AP277" s="233"/>
      <c r="AQ277" s="233"/>
      <c r="AR277" s="233"/>
      <c r="AS277" s="233"/>
      <c r="AT277" s="244"/>
      <c r="AU277" s="135"/>
      <c r="AV277" s="135"/>
      <c r="AW277" s="230"/>
      <c r="AX277" s="233"/>
      <c r="AY277" s="233"/>
      <c r="AZ277" s="233"/>
      <c r="BA277" s="233"/>
      <c r="BB277" s="244"/>
      <c r="BC277" s="135"/>
      <c r="BD277" s="135"/>
      <c r="BE277" s="230"/>
      <c r="BF277" s="233"/>
      <c r="BG277" s="233"/>
      <c r="BH277" s="233"/>
      <c r="BI277" s="233"/>
      <c r="BJ277" s="244"/>
      <c r="BK277" s="135"/>
      <c r="BL277" s="135"/>
      <c r="BM277" s="230"/>
      <c r="BN277" s="233"/>
      <c r="BO277" s="233"/>
      <c r="BP277" s="233"/>
      <c r="BQ277" s="233"/>
      <c r="BR277" s="244"/>
      <c r="BS277" s="135"/>
      <c r="BT277" s="135"/>
      <c r="BU277" s="230"/>
      <c r="BV277" s="233"/>
      <c r="BW277" s="233"/>
      <c r="BX277" s="233"/>
      <c r="BY277" s="233"/>
      <c r="BZ277" s="244"/>
      <c r="CA277" s="135"/>
      <c r="CB277" s="135"/>
      <c r="CC277" s="230"/>
      <c r="CD277" s="233"/>
      <c r="CE277" s="233"/>
      <c r="CF277" s="233"/>
      <c r="CG277" s="233"/>
      <c r="CH277" s="244"/>
    </row>
    <row r="278" spans="21:118" ht="20.100000000000001" customHeight="1" x14ac:dyDescent="0.4">
      <c r="U278" s="233"/>
      <c r="V278" s="233"/>
      <c r="W278" s="244"/>
      <c r="X278" s="131"/>
      <c r="Y278" s="131"/>
      <c r="Z278" s="230"/>
      <c r="AA278" s="233"/>
      <c r="AB278" s="233"/>
      <c r="AC278" s="233"/>
      <c r="AD278" s="233"/>
      <c r="AE278" s="233"/>
      <c r="AF278" s="233"/>
      <c r="AG278" s="233"/>
      <c r="AH278" s="233"/>
      <c r="AI278" s="233"/>
      <c r="AJ278" s="233"/>
      <c r="AK278" s="233"/>
      <c r="AL278" s="233"/>
      <c r="AM278" s="131"/>
      <c r="AN278" s="230"/>
      <c r="AO278" s="233"/>
      <c r="AP278" s="233"/>
      <c r="AQ278" s="233"/>
      <c r="AR278" s="233"/>
      <c r="AS278" s="233"/>
      <c r="AT278" s="244"/>
      <c r="AU278" s="131"/>
      <c r="AV278" s="131"/>
      <c r="AW278" s="230"/>
      <c r="AX278" s="233"/>
      <c r="AY278" s="233"/>
      <c r="AZ278" s="233"/>
      <c r="BA278" s="233"/>
      <c r="BB278" s="244"/>
      <c r="BC278" s="131"/>
      <c r="BD278" s="131"/>
      <c r="BE278" s="230"/>
      <c r="BF278" s="233"/>
      <c r="BG278" s="233"/>
      <c r="BH278" s="233"/>
      <c r="BI278" s="233"/>
      <c r="BJ278" s="244"/>
      <c r="BK278" s="131"/>
      <c r="BL278" s="131"/>
      <c r="BM278" s="230"/>
      <c r="BN278" s="233"/>
      <c r="BO278" s="233"/>
      <c r="BP278" s="233"/>
      <c r="BQ278" s="233"/>
      <c r="BR278" s="244"/>
      <c r="BS278" s="131"/>
      <c r="BT278" s="131"/>
      <c r="BU278" s="230"/>
      <c r="BV278" s="233"/>
      <c r="BW278" s="233"/>
      <c r="BX278" s="233"/>
      <c r="BY278" s="233"/>
      <c r="BZ278" s="244"/>
      <c r="CA278" s="131"/>
      <c r="CB278" s="131"/>
      <c r="CC278" s="230"/>
      <c r="CD278" s="233"/>
      <c r="CE278" s="233"/>
      <c r="CF278" s="233"/>
      <c r="CG278" s="233"/>
      <c r="CH278" s="244"/>
    </row>
    <row r="279" spans="21:118" ht="20.100000000000001" customHeight="1" x14ac:dyDescent="0.4">
      <c r="U279" s="233"/>
      <c r="V279" s="233"/>
      <c r="W279" s="244"/>
      <c r="X279" s="131"/>
      <c r="Y279" s="131"/>
      <c r="Z279" s="230"/>
      <c r="AA279" s="233"/>
      <c r="AB279" s="233"/>
      <c r="AC279" s="233"/>
      <c r="AD279" s="233"/>
      <c r="AE279" s="233"/>
      <c r="AF279" s="233"/>
      <c r="AG279" s="233"/>
      <c r="AH279" s="233"/>
      <c r="AI279" s="233"/>
      <c r="AJ279" s="233"/>
      <c r="AK279" s="233"/>
      <c r="AL279" s="233"/>
      <c r="AM279" s="131"/>
      <c r="AN279" s="230"/>
      <c r="AO279" s="233"/>
      <c r="AP279" s="233"/>
      <c r="AQ279" s="233"/>
      <c r="AR279" s="233"/>
      <c r="AS279" s="233"/>
      <c r="AT279" s="244"/>
      <c r="AU279" s="131"/>
      <c r="AV279" s="131"/>
      <c r="AW279" s="230"/>
      <c r="AX279" s="233"/>
      <c r="AY279" s="233"/>
      <c r="AZ279" s="233"/>
      <c r="BA279" s="233"/>
      <c r="BB279" s="244"/>
      <c r="BC279" s="131"/>
      <c r="BD279" s="131"/>
      <c r="BE279" s="230"/>
      <c r="BF279" s="233"/>
      <c r="BG279" s="233"/>
      <c r="BH279" s="233"/>
      <c r="BI279" s="233"/>
      <c r="BJ279" s="244"/>
      <c r="BK279" s="131"/>
      <c r="BL279" s="131"/>
      <c r="BM279" s="230"/>
      <c r="BN279" s="233"/>
      <c r="BO279" s="233"/>
      <c r="BP279" s="233"/>
      <c r="BQ279" s="233"/>
      <c r="BR279" s="244"/>
      <c r="BS279" s="131"/>
      <c r="BT279" s="131"/>
      <c r="BU279" s="230"/>
      <c r="BV279" s="233"/>
      <c r="BW279" s="233"/>
      <c r="BX279" s="233"/>
      <c r="BY279" s="233"/>
      <c r="BZ279" s="244"/>
      <c r="CA279" s="131"/>
      <c r="CB279" s="131"/>
      <c r="CC279" s="230"/>
      <c r="CD279" s="233"/>
      <c r="CE279" s="233"/>
      <c r="CF279" s="233"/>
      <c r="CG279" s="233"/>
      <c r="CH279" s="244"/>
    </row>
    <row r="280" spans="21:118" ht="20.100000000000001" customHeight="1" x14ac:dyDescent="0.4">
      <c r="AJ280" s="233"/>
      <c r="AK280" s="233"/>
      <c r="AL280" s="233"/>
      <c r="AM280" s="135"/>
      <c r="AN280" s="230"/>
      <c r="AO280" s="233"/>
      <c r="AP280" s="233"/>
      <c r="AQ280" s="233"/>
      <c r="AR280" s="233"/>
      <c r="AS280" s="233"/>
      <c r="AT280" s="244"/>
      <c r="AU280" s="135"/>
      <c r="AV280" s="135"/>
      <c r="AW280" s="230"/>
      <c r="AX280" s="233"/>
      <c r="AY280" s="233"/>
      <c r="AZ280" s="233"/>
      <c r="BA280" s="233"/>
      <c r="BB280" s="244"/>
      <c r="BC280" s="135"/>
      <c r="BD280" s="135"/>
      <c r="BE280" s="230"/>
      <c r="BF280" s="233"/>
      <c r="BG280" s="233"/>
      <c r="BH280" s="233"/>
      <c r="BI280" s="233"/>
      <c r="BJ280" s="244"/>
      <c r="BK280" s="135"/>
      <c r="BL280" s="135"/>
      <c r="BM280" s="230"/>
      <c r="BN280" s="233"/>
      <c r="BO280" s="233"/>
      <c r="BP280" s="233"/>
      <c r="BQ280" s="233"/>
      <c r="BR280" s="244"/>
      <c r="BS280" s="135"/>
      <c r="BT280" s="135"/>
      <c r="BU280" s="230"/>
      <c r="BV280" s="233"/>
      <c r="BW280" s="233"/>
      <c r="BX280" s="233"/>
      <c r="BY280" s="233"/>
      <c r="BZ280" s="244"/>
      <c r="CA280" s="135"/>
      <c r="CB280" s="135"/>
      <c r="CC280" s="230"/>
      <c r="CD280" s="233"/>
      <c r="CE280" s="233"/>
      <c r="CF280" s="233"/>
      <c r="CG280" s="233"/>
      <c r="CH280" s="244"/>
    </row>
    <row r="281" spans="21:118" ht="20.100000000000001" customHeight="1" x14ac:dyDescent="0.4">
      <c r="AJ281" s="233"/>
      <c r="AK281" s="233"/>
      <c r="AL281" s="233"/>
      <c r="AM281" s="233"/>
      <c r="AN281" s="233"/>
      <c r="AO281" s="233"/>
      <c r="AP281" s="233"/>
      <c r="AQ281" s="233"/>
      <c r="AR281" s="233"/>
      <c r="AS281" s="233"/>
      <c r="AT281" s="233"/>
      <c r="AU281" s="233"/>
      <c r="AV281" s="233"/>
      <c r="AW281" s="233"/>
      <c r="AX281" s="233"/>
      <c r="AY281" s="233"/>
      <c r="AZ281" s="233"/>
      <c r="BA281" s="233"/>
      <c r="BB281" s="233"/>
      <c r="BC281" s="233"/>
      <c r="BD281" s="233"/>
      <c r="BE281" s="233"/>
      <c r="BF281" s="233"/>
      <c r="BG281" s="233"/>
      <c r="BH281" s="233"/>
      <c r="BI281" s="233"/>
      <c r="BJ281" s="233"/>
      <c r="BK281" s="233"/>
      <c r="BL281" s="233"/>
      <c r="BM281" s="233"/>
      <c r="BN281" s="233"/>
      <c r="BO281" s="233"/>
      <c r="BP281" s="233"/>
      <c r="BQ281" s="233"/>
      <c r="BR281" s="233"/>
      <c r="BS281" s="233"/>
      <c r="BT281" s="233"/>
      <c r="BU281" s="233"/>
      <c r="BV281" s="233"/>
      <c r="BW281" s="233"/>
      <c r="BX281" s="233"/>
      <c r="BY281" s="233"/>
      <c r="BZ281" s="233"/>
      <c r="CA281" s="233"/>
      <c r="CB281" s="233"/>
      <c r="CC281" s="233"/>
      <c r="CD281" s="233"/>
      <c r="CE281" s="233"/>
      <c r="CF281" s="233"/>
      <c r="CG281" s="233"/>
      <c r="CH281" s="233"/>
    </row>
    <row r="282" spans="21:118" ht="20.100000000000001" customHeight="1" x14ac:dyDescent="0.4">
      <c r="AJ282" s="233"/>
      <c r="AK282" s="233"/>
      <c r="AL282" s="233"/>
      <c r="AM282" s="242"/>
      <c r="AN282" s="243"/>
      <c r="AO282" s="233"/>
      <c r="AP282" s="233"/>
      <c r="AQ282" s="233"/>
      <c r="AR282" s="233"/>
      <c r="AS282" s="233"/>
      <c r="AT282" s="233"/>
      <c r="AU282" s="233"/>
      <c r="AV282" s="233"/>
      <c r="AW282" s="233"/>
      <c r="AX282" s="233"/>
      <c r="AY282" s="233"/>
      <c r="AZ282" s="233"/>
      <c r="BA282" s="233"/>
      <c r="BB282" s="233"/>
      <c r="BC282" s="233"/>
      <c r="BD282" s="233"/>
      <c r="BE282" s="233"/>
      <c r="BF282" s="233"/>
      <c r="BG282" s="233"/>
      <c r="BH282" s="233"/>
      <c r="BI282" s="233"/>
      <c r="BJ282" s="233"/>
      <c r="BK282" s="233"/>
      <c r="BL282" s="233"/>
      <c r="BM282" s="233"/>
      <c r="BN282" s="233"/>
      <c r="BO282" s="233"/>
      <c r="BP282" s="233"/>
      <c r="BQ282" s="233"/>
      <c r="BR282" s="233"/>
      <c r="BS282" s="233"/>
      <c r="BT282" s="233"/>
      <c r="BU282" s="233"/>
      <c r="BV282" s="233"/>
      <c r="BW282" s="233"/>
      <c r="BX282" s="233"/>
      <c r="BY282" s="233"/>
      <c r="BZ282" s="240"/>
      <c r="CA282" s="241"/>
      <c r="CB282" s="242"/>
      <c r="CC282" s="243"/>
      <c r="CD282" s="233"/>
      <c r="CE282" s="233"/>
      <c r="CF282" s="233"/>
      <c r="CG282" s="233"/>
      <c r="CH282" s="233"/>
    </row>
    <row r="283" spans="21:118" ht="20.100000000000001" customHeight="1" x14ac:dyDescent="0.4">
      <c r="AJ283" s="233"/>
      <c r="AK283" s="233"/>
      <c r="AL283" s="233"/>
      <c r="AM283" s="131"/>
      <c r="AN283" s="230"/>
      <c r="AO283" s="233"/>
      <c r="AP283" s="233"/>
      <c r="AQ283" s="233"/>
      <c r="AR283" s="233"/>
      <c r="AS283" s="233"/>
      <c r="AT283" s="233"/>
      <c r="AU283" s="233"/>
      <c r="AV283" s="233"/>
      <c r="AW283" s="233"/>
      <c r="AX283" s="233"/>
      <c r="AY283" s="233"/>
      <c r="AZ283" s="233"/>
      <c r="BA283" s="233"/>
      <c r="BB283" s="233"/>
      <c r="BC283" s="233"/>
      <c r="BD283" s="233"/>
      <c r="BE283" s="233"/>
      <c r="BF283" s="233"/>
      <c r="BG283" s="233"/>
      <c r="BH283" s="233"/>
      <c r="BI283" s="233"/>
      <c r="BJ283" s="233"/>
      <c r="BK283" s="233"/>
      <c r="BL283" s="233"/>
      <c r="BM283" s="233"/>
      <c r="BN283" s="233"/>
      <c r="BO283" s="233"/>
      <c r="BP283" s="233"/>
      <c r="BQ283" s="233"/>
      <c r="BR283" s="233"/>
      <c r="BS283" s="233"/>
      <c r="BT283" s="233"/>
      <c r="BU283" s="233"/>
      <c r="BV283" s="233"/>
      <c r="BW283" s="233"/>
      <c r="BX283" s="233"/>
      <c r="BY283" s="233"/>
      <c r="BZ283" s="244"/>
      <c r="CA283" s="131"/>
      <c r="CB283" s="131"/>
      <c r="CC283" s="230"/>
      <c r="CD283" s="233"/>
      <c r="CE283" s="233"/>
      <c r="CF283" s="233"/>
      <c r="CG283" s="233"/>
      <c r="CH283" s="233"/>
    </row>
    <row r="284" spans="21:118" ht="20.100000000000001" customHeight="1" x14ac:dyDescent="0.4">
      <c r="AJ284" s="233"/>
      <c r="AK284" s="233"/>
      <c r="AL284" s="233"/>
      <c r="AM284" s="131"/>
      <c r="AN284" s="230"/>
      <c r="AO284" s="233"/>
      <c r="AP284" s="233"/>
      <c r="AQ284" s="233"/>
      <c r="AR284" s="233"/>
      <c r="AS284" s="233"/>
      <c r="AT284" s="233"/>
      <c r="AU284" s="233"/>
      <c r="AV284" s="233"/>
      <c r="AW284" s="233"/>
      <c r="AX284" s="233"/>
      <c r="AY284" s="233"/>
      <c r="AZ284" s="233"/>
      <c r="BA284" s="233"/>
      <c r="BB284" s="233"/>
      <c r="BC284" s="233"/>
      <c r="BD284" s="233"/>
      <c r="BE284" s="233"/>
      <c r="BF284" s="233"/>
      <c r="BG284" s="233"/>
      <c r="BH284" s="233"/>
      <c r="BI284" s="233"/>
      <c r="BJ284" s="233"/>
      <c r="BK284" s="233"/>
      <c r="BL284" s="233"/>
      <c r="BM284" s="233"/>
      <c r="BN284" s="233"/>
      <c r="BO284" s="233"/>
      <c r="BP284" s="233"/>
      <c r="BQ284" s="233"/>
      <c r="BR284" s="233"/>
      <c r="BS284" s="233"/>
      <c r="BT284" s="233"/>
      <c r="BU284" s="233"/>
      <c r="BV284" s="233"/>
      <c r="BW284" s="233"/>
      <c r="BX284" s="233"/>
      <c r="BY284" s="233"/>
      <c r="BZ284" s="244"/>
      <c r="CA284" s="131"/>
      <c r="CB284" s="131"/>
      <c r="CC284" s="230"/>
      <c r="CD284" s="233"/>
      <c r="CE284" s="233"/>
      <c r="CF284" s="233"/>
      <c r="CG284" s="233"/>
      <c r="CH284" s="233"/>
    </row>
  </sheetData>
  <autoFilter ref="A1:CZ168" xr:uid="{00000000-0001-0000-0200-000000000000}"/>
  <dataConsolidate/>
  <mergeCells count="1483">
    <mergeCell ref="AB257:AC257"/>
    <mergeCell ref="AB258:AC258"/>
    <mergeCell ref="AB259:AC259"/>
    <mergeCell ref="AB260:AC260"/>
    <mergeCell ref="AB261:AC261"/>
    <mergeCell ref="AB262:AC262"/>
    <mergeCell ref="AB263:AC263"/>
    <mergeCell ref="AB264:AC264"/>
    <mergeCell ref="AB246:AC246"/>
    <mergeCell ref="AB247:AC247"/>
    <mergeCell ref="AB248:AC248"/>
    <mergeCell ref="AB249:AC249"/>
    <mergeCell ref="AB250:AC250"/>
    <mergeCell ref="AB251:AC251"/>
    <mergeCell ref="AB252:AC252"/>
    <mergeCell ref="AB253:AC253"/>
    <mergeCell ref="AB254:AC254"/>
    <mergeCell ref="AB231:AC231"/>
    <mergeCell ref="AB232:AC232"/>
    <mergeCell ref="AB233:AC233"/>
    <mergeCell ref="AB234:AC234"/>
    <mergeCell ref="AB216:AC216"/>
    <mergeCell ref="V244:W244"/>
    <mergeCell ref="V221:W221"/>
    <mergeCell ref="V222:W222"/>
    <mergeCell ref="V223:W223"/>
    <mergeCell ref="V224:W224"/>
    <mergeCell ref="P242:Q242"/>
    <mergeCell ref="P243:Q243"/>
    <mergeCell ref="P244:Q244"/>
    <mergeCell ref="AB237:AC237"/>
    <mergeCell ref="AB238:AC238"/>
    <mergeCell ref="AB239:AC239"/>
    <mergeCell ref="AB240:AC240"/>
    <mergeCell ref="AB241:AC241"/>
    <mergeCell ref="AB242:AC242"/>
    <mergeCell ref="AB243:AC243"/>
    <mergeCell ref="AB244:AC244"/>
    <mergeCell ref="AB226:AC226"/>
    <mergeCell ref="V218:W218"/>
    <mergeCell ref="V219:W219"/>
    <mergeCell ref="V220:W220"/>
    <mergeCell ref="P229:Q229"/>
    <mergeCell ref="P230:Q230"/>
    <mergeCell ref="V246:W246"/>
    <mergeCell ref="V247:W247"/>
    <mergeCell ref="V248:W248"/>
    <mergeCell ref="V249:W249"/>
    <mergeCell ref="N171:CY171"/>
    <mergeCell ref="N172:U172"/>
    <mergeCell ref="AN214:AU214"/>
    <mergeCell ref="CR191:CY191"/>
    <mergeCell ref="CR172:CY172"/>
    <mergeCell ref="AH213:AM213"/>
    <mergeCell ref="BT192:CA192"/>
    <mergeCell ref="CJ191:CQ191"/>
    <mergeCell ref="CR192:CY192"/>
    <mergeCell ref="AV191:BC191"/>
    <mergeCell ref="BD191:BK191"/>
    <mergeCell ref="AO224:AP224"/>
    <mergeCell ref="AW220:AX220"/>
    <mergeCell ref="BM224:BN224"/>
    <mergeCell ref="BE220:BF220"/>
    <mergeCell ref="BE221:BF221"/>
    <mergeCell ref="BE222:BF222"/>
    <mergeCell ref="BE223:BF223"/>
    <mergeCell ref="BE224:BF224"/>
    <mergeCell ref="AW216:AX216"/>
    <mergeCell ref="CS224:CT224"/>
    <mergeCell ref="AB236:AC236"/>
    <mergeCell ref="AB227:AC227"/>
    <mergeCell ref="AB228:AC228"/>
    <mergeCell ref="AB229:AC229"/>
    <mergeCell ref="AB230:AC230"/>
    <mergeCell ref="AW218:AX218"/>
    <mergeCell ref="AW219:AX219"/>
    <mergeCell ref="V250:W250"/>
    <mergeCell ref="V251:W251"/>
    <mergeCell ref="V252:W252"/>
    <mergeCell ref="V253:W253"/>
    <mergeCell ref="V254:W254"/>
    <mergeCell ref="V226:W226"/>
    <mergeCell ref="V227:W227"/>
    <mergeCell ref="V228:W228"/>
    <mergeCell ref="V229:W229"/>
    <mergeCell ref="V230:W230"/>
    <mergeCell ref="V231:W231"/>
    <mergeCell ref="K195:K197"/>
    <mergeCell ref="V232:W232"/>
    <mergeCell ref="V233:W233"/>
    <mergeCell ref="V234:W234"/>
    <mergeCell ref="V236:W236"/>
    <mergeCell ref="V237:W237"/>
    <mergeCell ref="V238:W238"/>
    <mergeCell ref="V239:W239"/>
    <mergeCell ref="V240:W240"/>
    <mergeCell ref="V241:W241"/>
    <mergeCell ref="V242:W242"/>
    <mergeCell ref="V243:W243"/>
    <mergeCell ref="N196:U196"/>
    <mergeCell ref="V196:AA196"/>
    <mergeCell ref="N195:CY195"/>
    <mergeCell ref="CR196:CY196"/>
    <mergeCell ref="AV213:BC213"/>
    <mergeCell ref="CR213:CY213"/>
    <mergeCell ref="V214:AA214"/>
    <mergeCell ref="BU223:BV223"/>
    <mergeCell ref="BU224:BV224"/>
    <mergeCell ref="J159:J160"/>
    <mergeCell ref="J153:J154"/>
    <mergeCell ref="P260:Q260"/>
    <mergeCell ref="P261:Q261"/>
    <mergeCell ref="K159:K160"/>
    <mergeCell ref="L159:L160"/>
    <mergeCell ref="M159:M160"/>
    <mergeCell ref="J155:J156"/>
    <mergeCell ref="K155:K156"/>
    <mergeCell ref="L155:L156"/>
    <mergeCell ref="M155:M156"/>
    <mergeCell ref="P237:Q237"/>
    <mergeCell ref="P238:Q238"/>
    <mergeCell ref="P239:Q239"/>
    <mergeCell ref="P240:Q240"/>
    <mergeCell ref="P241:Q241"/>
    <mergeCell ref="I184:I185"/>
    <mergeCell ref="L195:L197"/>
    <mergeCell ref="M195:M197"/>
    <mergeCell ref="J163:J164"/>
    <mergeCell ref="P227:Q227"/>
    <mergeCell ref="P228:Q228"/>
    <mergeCell ref="P233:Q233"/>
    <mergeCell ref="J167:M167"/>
    <mergeCell ref="E95:E96"/>
    <mergeCell ref="E101:E102"/>
    <mergeCell ref="F97:F98"/>
    <mergeCell ref="E103:E104"/>
    <mergeCell ref="F103:F104"/>
    <mergeCell ref="J115:J116"/>
    <mergeCell ref="K115:K116"/>
    <mergeCell ref="L115:L116"/>
    <mergeCell ref="K97:K98"/>
    <mergeCell ref="L97:L98"/>
    <mergeCell ref="J157:J158"/>
    <mergeCell ref="K157:K158"/>
    <mergeCell ref="L157:L158"/>
    <mergeCell ref="M157:M158"/>
    <mergeCell ref="H151:H152"/>
    <mergeCell ref="I151:I152"/>
    <mergeCell ref="J151:J152"/>
    <mergeCell ref="K151:K152"/>
    <mergeCell ref="L151:L152"/>
    <mergeCell ref="M151:M152"/>
    <mergeCell ref="E153:E154"/>
    <mergeCell ref="F153:F154"/>
    <mergeCell ref="G153:G154"/>
    <mergeCell ref="H153:H154"/>
    <mergeCell ref="I153:I154"/>
    <mergeCell ref="M141:M142"/>
    <mergeCell ref="M143:M144"/>
    <mergeCell ref="M113:M114"/>
    <mergeCell ref="M109:M110"/>
    <mergeCell ref="M147:M148"/>
    <mergeCell ref="J147:J148"/>
    <mergeCell ref="K147:K148"/>
    <mergeCell ref="E204:E205"/>
    <mergeCell ref="P256:Q256"/>
    <mergeCell ref="P257:Q257"/>
    <mergeCell ref="P258:Q258"/>
    <mergeCell ref="P259:Q259"/>
    <mergeCell ref="P216:Q216"/>
    <mergeCell ref="O213:U213"/>
    <mergeCell ref="E206:E207"/>
    <mergeCell ref="B202:B203"/>
    <mergeCell ref="E13:E14"/>
    <mergeCell ref="E15:E16"/>
    <mergeCell ref="E17:E18"/>
    <mergeCell ref="E19:E20"/>
    <mergeCell ref="M139:M140"/>
    <mergeCell ref="E127:E128"/>
    <mergeCell ref="F127:F128"/>
    <mergeCell ref="G127:G128"/>
    <mergeCell ref="H127:H128"/>
    <mergeCell ref="I127:I128"/>
    <mergeCell ref="M131:M132"/>
    <mergeCell ref="K127:K128"/>
    <mergeCell ref="M123:M124"/>
    <mergeCell ref="M119:M120"/>
    <mergeCell ref="M115:M116"/>
    <mergeCell ref="M111:M112"/>
    <mergeCell ref="M107:M108"/>
    <mergeCell ref="L117:L118"/>
    <mergeCell ref="I105:I106"/>
    <mergeCell ref="K105:K106"/>
    <mergeCell ref="L105:L106"/>
    <mergeCell ref="H97:H98"/>
    <mergeCell ref="C151:C152"/>
    <mergeCell ref="A161:A162"/>
    <mergeCell ref="B161:B162"/>
    <mergeCell ref="C161:C162"/>
    <mergeCell ref="D161:D162"/>
    <mergeCell ref="E161:E162"/>
    <mergeCell ref="F161:F162"/>
    <mergeCell ref="J161:J162"/>
    <mergeCell ref="K161:K162"/>
    <mergeCell ref="L161:L162"/>
    <mergeCell ref="M161:M162"/>
    <mergeCell ref="P264:Q264"/>
    <mergeCell ref="P246:Q246"/>
    <mergeCell ref="P247:Q247"/>
    <mergeCell ref="P248:Q248"/>
    <mergeCell ref="P249:Q249"/>
    <mergeCell ref="P250:Q250"/>
    <mergeCell ref="P251:Q251"/>
    <mergeCell ref="P252:Q252"/>
    <mergeCell ref="P253:Q253"/>
    <mergeCell ref="P254:Q254"/>
    <mergeCell ref="P262:Q262"/>
    <mergeCell ref="H198:H199"/>
    <mergeCell ref="I198:I199"/>
    <mergeCell ref="B198:B199"/>
    <mergeCell ref="M198:M199"/>
    <mergeCell ref="B206:B207"/>
    <mergeCell ref="C204:C205"/>
    <mergeCell ref="M204:M205"/>
    <mergeCell ref="J208:M208"/>
    <mergeCell ref="H208:H209"/>
    <mergeCell ref="M206:M207"/>
    <mergeCell ref="M200:M201"/>
    <mergeCell ref="A165:A166"/>
    <mergeCell ref="B165:B166"/>
    <mergeCell ref="C165:C166"/>
    <mergeCell ref="D165:D166"/>
    <mergeCell ref="E165:E166"/>
    <mergeCell ref="F165:F166"/>
    <mergeCell ref="G165:G166"/>
    <mergeCell ref="H165:H166"/>
    <mergeCell ref="I165:I166"/>
    <mergeCell ref="J165:J166"/>
    <mergeCell ref="K165:K166"/>
    <mergeCell ref="L165:L166"/>
    <mergeCell ref="M165:M166"/>
    <mergeCell ref="A163:A164"/>
    <mergeCell ref="B163:B164"/>
    <mergeCell ref="C163:C164"/>
    <mergeCell ref="D163:D164"/>
    <mergeCell ref="E163:E164"/>
    <mergeCell ref="F163:F164"/>
    <mergeCell ref="G163:G164"/>
    <mergeCell ref="H163:H164"/>
    <mergeCell ref="I163:I164"/>
    <mergeCell ref="D151:D152"/>
    <mergeCell ref="E151:E152"/>
    <mergeCell ref="F151:F152"/>
    <mergeCell ref="G151:G152"/>
    <mergeCell ref="A149:A150"/>
    <mergeCell ref="B149:B150"/>
    <mergeCell ref="C149:C150"/>
    <mergeCell ref="A159:A160"/>
    <mergeCell ref="B159:B160"/>
    <mergeCell ref="C159:C160"/>
    <mergeCell ref="D159:D160"/>
    <mergeCell ref="E159:E160"/>
    <mergeCell ref="F159:F160"/>
    <mergeCell ref="G159:G160"/>
    <mergeCell ref="A155:A156"/>
    <mergeCell ref="B155:B156"/>
    <mergeCell ref="C155:C156"/>
    <mergeCell ref="D155:D156"/>
    <mergeCell ref="E155:E156"/>
    <mergeCell ref="F155:F156"/>
    <mergeCell ref="G155:G156"/>
    <mergeCell ref="A157:A158"/>
    <mergeCell ref="B157:B158"/>
    <mergeCell ref="C157:C158"/>
    <mergeCell ref="D157:D158"/>
    <mergeCell ref="E157:E158"/>
    <mergeCell ref="F157:F158"/>
    <mergeCell ref="G157:G158"/>
    <mergeCell ref="A153:A154"/>
    <mergeCell ref="B153:B154"/>
    <mergeCell ref="C153:C154"/>
    <mergeCell ref="D153:D154"/>
    <mergeCell ref="A143:A144"/>
    <mergeCell ref="B143:B144"/>
    <mergeCell ref="C143:C144"/>
    <mergeCell ref="D143:D144"/>
    <mergeCell ref="E143:E144"/>
    <mergeCell ref="F143:F144"/>
    <mergeCell ref="G143:G144"/>
    <mergeCell ref="H143:H144"/>
    <mergeCell ref="I143:I144"/>
    <mergeCell ref="A147:A148"/>
    <mergeCell ref="B147:B148"/>
    <mergeCell ref="C147:C148"/>
    <mergeCell ref="D147:D148"/>
    <mergeCell ref="E147:E148"/>
    <mergeCell ref="F147:F148"/>
    <mergeCell ref="G147:G148"/>
    <mergeCell ref="H147:H148"/>
    <mergeCell ref="I147:I148"/>
    <mergeCell ref="A145:A146"/>
    <mergeCell ref="B145:B146"/>
    <mergeCell ref="C145:C146"/>
    <mergeCell ref="A151:A152"/>
    <mergeCell ref="B151:B152"/>
    <mergeCell ref="C133:C134"/>
    <mergeCell ref="D145:D146"/>
    <mergeCell ref="E145:E146"/>
    <mergeCell ref="A141:A142"/>
    <mergeCell ref="B141:B142"/>
    <mergeCell ref="C141:C142"/>
    <mergeCell ref="D141:D142"/>
    <mergeCell ref="E141:E142"/>
    <mergeCell ref="F141:F142"/>
    <mergeCell ref="G141:G142"/>
    <mergeCell ref="H141:H142"/>
    <mergeCell ref="I141:I142"/>
    <mergeCell ref="J141:J142"/>
    <mergeCell ref="K141:K142"/>
    <mergeCell ref="L141:L142"/>
    <mergeCell ref="J145:J146"/>
    <mergeCell ref="A139:A140"/>
    <mergeCell ref="B139:B140"/>
    <mergeCell ref="C139:C140"/>
    <mergeCell ref="D139:D140"/>
    <mergeCell ref="E139:E140"/>
    <mergeCell ref="F139:F140"/>
    <mergeCell ref="G139:G140"/>
    <mergeCell ref="H139:H140"/>
    <mergeCell ref="I139:I140"/>
    <mergeCell ref="J139:J140"/>
    <mergeCell ref="K143:K144"/>
    <mergeCell ref="L143:L144"/>
    <mergeCell ref="J143:J144"/>
    <mergeCell ref="F145:F146"/>
    <mergeCell ref="A121:A122"/>
    <mergeCell ref="B121:B122"/>
    <mergeCell ref="C121:C122"/>
    <mergeCell ref="D121:D122"/>
    <mergeCell ref="E121:E122"/>
    <mergeCell ref="K121:K122"/>
    <mergeCell ref="L121:L122"/>
    <mergeCell ref="H121:H122"/>
    <mergeCell ref="I121:I122"/>
    <mergeCell ref="H145:H146"/>
    <mergeCell ref="I145:I146"/>
    <mergeCell ref="J121:J122"/>
    <mergeCell ref="A137:A138"/>
    <mergeCell ref="B137:B138"/>
    <mergeCell ref="C137:C138"/>
    <mergeCell ref="D137:D138"/>
    <mergeCell ref="E137:E138"/>
    <mergeCell ref="F137:F138"/>
    <mergeCell ref="G137:G138"/>
    <mergeCell ref="H137:H138"/>
    <mergeCell ref="I137:I138"/>
    <mergeCell ref="J137:J138"/>
    <mergeCell ref="A135:A136"/>
    <mergeCell ref="B135:B136"/>
    <mergeCell ref="C135:C136"/>
    <mergeCell ref="D135:D136"/>
    <mergeCell ref="E135:E136"/>
    <mergeCell ref="F135:F136"/>
    <mergeCell ref="G135:G136"/>
    <mergeCell ref="H135:H136"/>
    <mergeCell ref="I135:I136"/>
    <mergeCell ref="J135:J136"/>
    <mergeCell ref="A131:A132"/>
    <mergeCell ref="B131:B132"/>
    <mergeCell ref="C131:C132"/>
    <mergeCell ref="D131:D132"/>
    <mergeCell ref="E131:E132"/>
    <mergeCell ref="F131:F132"/>
    <mergeCell ref="G131:G132"/>
    <mergeCell ref="H131:H132"/>
    <mergeCell ref="I131:I132"/>
    <mergeCell ref="J131:J132"/>
    <mergeCell ref="A125:A126"/>
    <mergeCell ref="B125:B126"/>
    <mergeCell ref="C125:C126"/>
    <mergeCell ref="D125:D126"/>
    <mergeCell ref="E125:E126"/>
    <mergeCell ref="F125:F126"/>
    <mergeCell ref="G125:G126"/>
    <mergeCell ref="H125:H126"/>
    <mergeCell ref="I125:I126"/>
    <mergeCell ref="J125:J126"/>
    <mergeCell ref="A107:A108"/>
    <mergeCell ref="A113:A114"/>
    <mergeCell ref="B113:B114"/>
    <mergeCell ref="C113:C114"/>
    <mergeCell ref="D113:D114"/>
    <mergeCell ref="E113:E114"/>
    <mergeCell ref="F113:F114"/>
    <mergeCell ref="L109:L110"/>
    <mergeCell ref="G111:G112"/>
    <mergeCell ref="H111:H112"/>
    <mergeCell ref="I111:I112"/>
    <mergeCell ref="G113:G114"/>
    <mergeCell ref="H113:H114"/>
    <mergeCell ref="I113:I114"/>
    <mergeCell ref="J113:J114"/>
    <mergeCell ref="K113:K114"/>
    <mergeCell ref="J111:J112"/>
    <mergeCell ref="K111:K112"/>
    <mergeCell ref="L111:L112"/>
    <mergeCell ref="B111:B112"/>
    <mergeCell ref="C111:C112"/>
    <mergeCell ref="D111:D112"/>
    <mergeCell ref="E111:E112"/>
    <mergeCell ref="F111:F112"/>
    <mergeCell ref="D107:D108"/>
    <mergeCell ref="E107:E108"/>
    <mergeCell ref="F107:F108"/>
    <mergeCell ref="G107:G108"/>
    <mergeCell ref="H107:H108"/>
    <mergeCell ref="L147:L148"/>
    <mergeCell ref="M117:M118"/>
    <mergeCell ref="H195:H197"/>
    <mergeCell ref="D133:D134"/>
    <mergeCell ref="E133:E134"/>
    <mergeCell ref="F133:F134"/>
    <mergeCell ref="G133:G134"/>
    <mergeCell ref="H133:H134"/>
    <mergeCell ref="I133:I134"/>
    <mergeCell ref="J133:J134"/>
    <mergeCell ref="F121:F122"/>
    <mergeCell ref="G121:G122"/>
    <mergeCell ref="D119:D120"/>
    <mergeCell ref="E119:E120"/>
    <mergeCell ref="H178:H179"/>
    <mergeCell ref="K149:K150"/>
    <mergeCell ref="L149:L150"/>
    <mergeCell ref="M149:M150"/>
    <mergeCell ref="H159:H160"/>
    <mergeCell ref="L171:L173"/>
    <mergeCell ref="H167:H168"/>
    <mergeCell ref="K131:K132"/>
    <mergeCell ref="L131:L132"/>
    <mergeCell ref="K117:K118"/>
    <mergeCell ref="M121:M122"/>
    <mergeCell ref="L127:L128"/>
    <mergeCell ref="G145:G146"/>
    <mergeCell ref="H155:H156"/>
    <mergeCell ref="I155:I156"/>
    <mergeCell ref="L135:L136"/>
    <mergeCell ref="K139:K140"/>
    <mergeCell ref="L139:L140"/>
    <mergeCell ref="CK218:CL218"/>
    <mergeCell ref="CK219:CL219"/>
    <mergeCell ref="CK220:CL220"/>
    <mergeCell ref="CK221:CL221"/>
    <mergeCell ref="CK222:CL222"/>
    <mergeCell ref="CK223:CL223"/>
    <mergeCell ref="CK224:CL224"/>
    <mergeCell ref="AW221:AX221"/>
    <mergeCell ref="BM216:BN216"/>
    <mergeCell ref="BM217:BN217"/>
    <mergeCell ref="BM218:BN218"/>
    <mergeCell ref="BM219:BN219"/>
    <mergeCell ref="BM220:BN220"/>
    <mergeCell ref="BM221:BN221"/>
    <mergeCell ref="BM222:BN222"/>
    <mergeCell ref="BM223:BN223"/>
    <mergeCell ref="CC222:CD222"/>
    <mergeCell ref="CC223:CD223"/>
    <mergeCell ref="CC224:CD224"/>
    <mergeCell ref="BE216:BF216"/>
    <mergeCell ref="BE217:BF217"/>
    <mergeCell ref="BE218:BF218"/>
    <mergeCell ref="BE219:BF219"/>
    <mergeCell ref="CC220:CD220"/>
    <mergeCell ref="AW217:AX217"/>
    <mergeCell ref="A115:A116"/>
    <mergeCell ref="CS216:CT216"/>
    <mergeCell ref="CS217:CT217"/>
    <mergeCell ref="A204:A205"/>
    <mergeCell ref="A119:A120"/>
    <mergeCell ref="B119:B120"/>
    <mergeCell ref="C119:C120"/>
    <mergeCell ref="H119:H120"/>
    <mergeCell ref="I119:I120"/>
    <mergeCell ref="B117:B118"/>
    <mergeCell ref="C117:C118"/>
    <mergeCell ref="D117:D118"/>
    <mergeCell ref="E117:E118"/>
    <mergeCell ref="F117:F118"/>
    <mergeCell ref="G117:G118"/>
    <mergeCell ref="H117:H118"/>
    <mergeCell ref="I117:I118"/>
    <mergeCell ref="B115:B116"/>
    <mergeCell ref="C115:C116"/>
    <mergeCell ref="D115:D116"/>
    <mergeCell ref="E115:E116"/>
    <mergeCell ref="F115:F116"/>
    <mergeCell ref="G115:G116"/>
    <mergeCell ref="H115:H116"/>
    <mergeCell ref="I115:I116"/>
    <mergeCell ref="K125:K126"/>
    <mergeCell ref="L125:L126"/>
    <mergeCell ref="M125:M126"/>
    <mergeCell ref="A123:A124"/>
    <mergeCell ref="B123:B124"/>
    <mergeCell ref="C123:C124"/>
    <mergeCell ref="CK216:CL216"/>
    <mergeCell ref="C176:C177"/>
    <mergeCell ref="CJ192:CQ192"/>
    <mergeCell ref="CJ196:CQ196"/>
    <mergeCell ref="CJ213:CQ213"/>
    <mergeCell ref="AN213:AU213"/>
    <mergeCell ref="M171:M173"/>
    <mergeCell ref="CJ172:CQ172"/>
    <mergeCell ref="CC216:CD216"/>
    <mergeCell ref="CC217:CD217"/>
    <mergeCell ref="V216:W216"/>
    <mergeCell ref="V217:W217"/>
    <mergeCell ref="BD192:BK192"/>
    <mergeCell ref="BL213:BS213"/>
    <mergeCell ref="V192:AA192"/>
    <mergeCell ref="AN192:AU192"/>
    <mergeCell ref="D180:D181"/>
    <mergeCell ref="A186:G187"/>
    <mergeCell ref="I182:I183"/>
    <mergeCell ref="I186:I187"/>
    <mergeCell ref="C182:C183"/>
    <mergeCell ref="A195:A197"/>
    <mergeCell ref="AO216:AP216"/>
    <mergeCell ref="AO217:AP217"/>
    <mergeCell ref="CJ214:CQ214"/>
    <mergeCell ref="BL196:BS196"/>
    <mergeCell ref="A180:A181"/>
    <mergeCell ref="CK217:CL217"/>
    <mergeCell ref="M174:M175"/>
    <mergeCell ref="K171:K173"/>
    <mergeCell ref="O192:U192"/>
    <mergeCell ref="BL214:BS214"/>
    <mergeCell ref="A182:A183"/>
    <mergeCell ref="CR214:CY214"/>
    <mergeCell ref="BD196:BK196"/>
    <mergeCell ref="CC218:CD218"/>
    <mergeCell ref="CC219:CD219"/>
    <mergeCell ref="AV196:BC196"/>
    <mergeCell ref="V213:AA213"/>
    <mergeCell ref="G204:G205"/>
    <mergeCell ref="I208:I209"/>
    <mergeCell ref="H206:H207"/>
    <mergeCell ref="CS218:CT218"/>
    <mergeCell ref="CS219:CT219"/>
    <mergeCell ref="A198:A199"/>
    <mergeCell ref="A206:A207"/>
    <mergeCell ref="A200:A201"/>
    <mergeCell ref="AO219:AP219"/>
    <mergeCell ref="C195:C197"/>
    <mergeCell ref="F195:F197"/>
    <mergeCell ref="E198:E199"/>
    <mergeCell ref="D206:D207"/>
    <mergeCell ref="D198:D199"/>
    <mergeCell ref="D195:D197"/>
    <mergeCell ref="G195:G197"/>
    <mergeCell ref="C202:C203"/>
    <mergeCell ref="I195:I197"/>
    <mergeCell ref="D202:D203"/>
    <mergeCell ref="B204:B205"/>
    <mergeCell ref="F206:F207"/>
    <mergeCell ref="E195:E197"/>
    <mergeCell ref="C198:C199"/>
    <mergeCell ref="B195:B197"/>
    <mergeCell ref="I204:I205"/>
    <mergeCell ref="I202:I203"/>
    <mergeCell ref="B178:B179"/>
    <mergeCell ref="B180:B181"/>
    <mergeCell ref="CB196:CI196"/>
    <mergeCell ref="CB213:CI213"/>
    <mergeCell ref="I176:I177"/>
    <mergeCell ref="I180:I181"/>
    <mergeCell ref="J195:J197"/>
    <mergeCell ref="AV192:BC192"/>
    <mergeCell ref="AN196:AU196"/>
    <mergeCell ref="BD214:BK214"/>
    <mergeCell ref="AV214:BC214"/>
    <mergeCell ref="AB213:AG213"/>
    <mergeCell ref="M178:M179"/>
    <mergeCell ref="M184:M185"/>
    <mergeCell ref="J186:M186"/>
    <mergeCell ref="K212:M212"/>
    <mergeCell ref="K211:M211"/>
    <mergeCell ref="AB192:AG192"/>
    <mergeCell ref="AH214:AM214"/>
    <mergeCell ref="O214:U214"/>
    <mergeCell ref="M202:M203"/>
    <mergeCell ref="E178:E179"/>
    <mergeCell ref="F178:F179"/>
    <mergeCell ref="G178:G179"/>
    <mergeCell ref="V191:AA191"/>
    <mergeCell ref="AB191:AG191"/>
    <mergeCell ref="AH191:AM191"/>
    <mergeCell ref="AN191:AU191"/>
    <mergeCell ref="BT214:CA214"/>
    <mergeCell ref="M180:M181"/>
    <mergeCell ref="M182:M183"/>
    <mergeCell ref="J187:M187"/>
    <mergeCell ref="H202:H203"/>
    <mergeCell ref="DC228:DD228"/>
    <mergeCell ref="DE228:DF228"/>
    <mergeCell ref="DC223:DD223"/>
    <mergeCell ref="DE223:DF223"/>
    <mergeCell ref="DC222:DD222"/>
    <mergeCell ref="DE222:DF222"/>
    <mergeCell ref="DE227:DF227"/>
    <mergeCell ref="DC227:DD227"/>
    <mergeCell ref="P217:Q217"/>
    <mergeCell ref="P218:Q218"/>
    <mergeCell ref="P219:Q219"/>
    <mergeCell ref="P220:Q220"/>
    <mergeCell ref="P221:Q221"/>
    <mergeCell ref="P222:Q222"/>
    <mergeCell ref="P223:Q223"/>
    <mergeCell ref="P224:Q224"/>
    <mergeCell ref="BU217:BV217"/>
    <mergeCell ref="BU218:BV218"/>
    <mergeCell ref="BU219:BV219"/>
    <mergeCell ref="BU220:BV220"/>
    <mergeCell ref="BU221:BV221"/>
    <mergeCell ref="BU222:BV222"/>
    <mergeCell ref="CS220:CT220"/>
    <mergeCell ref="CS221:CT221"/>
    <mergeCell ref="CS222:CT222"/>
    <mergeCell ref="CS223:CT223"/>
    <mergeCell ref="AW222:AX222"/>
    <mergeCell ref="AW223:AX223"/>
    <mergeCell ref="AW224:AX224"/>
    <mergeCell ref="AO218:AP218"/>
    <mergeCell ref="AO222:AP222"/>
    <mergeCell ref="BL172:BS172"/>
    <mergeCell ref="BT172:CA172"/>
    <mergeCell ref="BL191:BS191"/>
    <mergeCell ref="CB172:CI172"/>
    <mergeCell ref="CB191:CI191"/>
    <mergeCell ref="CB192:CI192"/>
    <mergeCell ref="BD172:BK172"/>
    <mergeCell ref="BD213:BK213"/>
    <mergeCell ref="BT213:CA213"/>
    <mergeCell ref="BT191:CA191"/>
    <mergeCell ref="BL192:BS192"/>
    <mergeCell ref="AH192:AM192"/>
    <mergeCell ref="AB196:AG196"/>
    <mergeCell ref="AH196:AM196"/>
    <mergeCell ref="CC221:CD221"/>
    <mergeCell ref="AB214:AG214"/>
    <mergeCell ref="AO220:AP220"/>
    <mergeCell ref="AO221:AP221"/>
    <mergeCell ref="AO223:AP223"/>
    <mergeCell ref="CB214:CI214"/>
    <mergeCell ref="BT196:CA196"/>
    <mergeCell ref="BU216:BV216"/>
    <mergeCell ref="J129:J130"/>
    <mergeCell ref="K129:K130"/>
    <mergeCell ref="L129:L130"/>
    <mergeCell ref="M129:M130"/>
    <mergeCell ref="M135:M136"/>
    <mergeCell ref="J168:M168"/>
    <mergeCell ref="I171:I173"/>
    <mergeCell ref="J171:J173"/>
    <mergeCell ref="H176:H177"/>
    <mergeCell ref="E176:E177"/>
    <mergeCell ref="J127:J128"/>
    <mergeCell ref="G171:G173"/>
    <mergeCell ref="M145:M146"/>
    <mergeCell ref="K153:K154"/>
    <mergeCell ref="L153:L154"/>
    <mergeCell ref="M153:M154"/>
    <mergeCell ref="K163:K164"/>
    <mergeCell ref="L163:L164"/>
    <mergeCell ref="M163:M164"/>
    <mergeCell ref="K137:K138"/>
    <mergeCell ref="L137:L138"/>
    <mergeCell ref="M137:M138"/>
    <mergeCell ref="K133:K134"/>
    <mergeCell ref="L133:L134"/>
    <mergeCell ref="M133:M134"/>
    <mergeCell ref="M176:M177"/>
    <mergeCell ref="I149:I150"/>
    <mergeCell ref="J149:J150"/>
    <mergeCell ref="K145:K146"/>
    <mergeCell ref="L145:L146"/>
    <mergeCell ref="J105:J106"/>
    <mergeCell ref="H105:H106"/>
    <mergeCell ref="E109:E110"/>
    <mergeCell ref="F109:F110"/>
    <mergeCell ref="G109:G110"/>
    <mergeCell ref="H109:H110"/>
    <mergeCell ref="I109:I110"/>
    <mergeCell ref="J109:J110"/>
    <mergeCell ref="K109:K110"/>
    <mergeCell ref="K119:K120"/>
    <mergeCell ref="L119:L120"/>
    <mergeCell ref="J123:J124"/>
    <mergeCell ref="K123:K124"/>
    <mergeCell ref="L123:L124"/>
    <mergeCell ref="J117:J118"/>
    <mergeCell ref="I107:I108"/>
    <mergeCell ref="J107:J108"/>
    <mergeCell ref="K107:K108"/>
    <mergeCell ref="L107:L108"/>
    <mergeCell ref="L113:L114"/>
    <mergeCell ref="K135:K136"/>
    <mergeCell ref="M127:M128"/>
    <mergeCell ref="E129:E130"/>
    <mergeCell ref="F129:F130"/>
    <mergeCell ref="G129:G130"/>
    <mergeCell ref="H129:H130"/>
    <mergeCell ref="I129:I130"/>
    <mergeCell ref="M97:M98"/>
    <mergeCell ref="H91:H92"/>
    <mergeCell ref="I91:I92"/>
    <mergeCell ref="K91:K92"/>
    <mergeCell ref="K99:K100"/>
    <mergeCell ref="L99:L100"/>
    <mergeCell ref="M101:M102"/>
    <mergeCell ref="G103:G104"/>
    <mergeCell ref="H103:H104"/>
    <mergeCell ref="I103:I104"/>
    <mergeCell ref="J103:J104"/>
    <mergeCell ref="K103:K104"/>
    <mergeCell ref="G101:G102"/>
    <mergeCell ref="M93:M94"/>
    <mergeCell ref="G97:G98"/>
    <mergeCell ref="J93:J94"/>
    <mergeCell ref="L93:L94"/>
    <mergeCell ref="J97:J98"/>
    <mergeCell ref="L91:L92"/>
    <mergeCell ref="J101:J102"/>
    <mergeCell ref="K101:K102"/>
    <mergeCell ref="L101:L102"/>
    <mergeCell ref="L95:L96"/>
    <mergeCell ref="M105:M106"/>
    <mergeCell ref="L103:L104"/>
    <mergeCell ref="M103:M104"/>
    <mergeCell ref="H101:H102"/>
    <mergeCell ref="I101:I102"/>
    <mergeCell ref="G95:G96"/>
    <mergeCell ref="H95:H96"/>
    <mergeCell ref="I95:I96"/>
    <mergeCell ref="J95:J96"/>
    <mergeCell ref="K95:K96"/>
    <mergeCell ref="M99:M100"/>
    <mergeCell ref="H99:H100"/>
    <mergeCell ref="I99:I100"/>
    <mergeCell ref="J99:J100"/>
    <mergeCell ref="M83:M84"/>
    <mergeCell ref="J83:J84"/>
    <mergeCell ref="M85:M86"/>
    <mergeCell ref="K83:K84"/>
    <mergeCell ref="L83:L84"/>
    <mergeCell ref="K85:K86"/>
    <mergeCell ref="G87:G88"/>
    <mergeCell ref="H87:H88"/>
    <mergeCell ref="K93:K94"/>
    <mergeCell ref="K87:K88"/>
    <mergeCell ref="M91:M92"/>
    <mergeCell ref="J89:J90"/>
    <mergeCell ref="K89:K90"/>
    <mergeCell ref="L89:L90"/>
    <mergeCell ref="G89:G90"/>
    <mergeCell ref="I97:I98"/>
    <mergeCell ref="M95:M96"/>
    <mergeCell ref="H83:H84"/>
    <mergeCell ref="D11:D12"/>
    <mergeCell ref="D13:D14"/>
    <mergeCell ref="G67:G68"/>
    <mergeCell ref="A53:A54"/>
    <mergeCell ref="B53:B54"/>
    <mergeCell ref="C53:C54"/>
    <mergeCell ref="D53:D54"/>
    <mergeCell ref="E53:E54"/>
    <mergeCell ref="F53:F54"/>
    <mergeCell ref="G53:G54"/>
    <mergeCell ref="F67:F68"/>
    <mergeCell ref="C57:C58"/>
    <mergeCell ref="D57:D58"/>
    <mergeCell ref="E57:E58"/>
    <mergeCell ref="F57:F58"/>
    <mergeCell ref="E61:E62"/>
    <mergeCell ref="F55:F56"/>
    <mergeCell ref="E21:E22"/>
    <mergeCell ref="F21:F22"/>
    <mergeCell ref="A27:A28"/>
    <mergeCell ref="B27:B28"/>
    <mergeCell ref="A21:A22"/>
    <mergeCell ref="B21:B22"/>
    <mergeCell ref="D63:D64"/>
    <mergeCell ref="E63:E64"/>
    <mergeCell ref="E29:E30"/>
    <mergeCell ref="C65:C66"/>
    <mergeCell ref="D65:D66"/>
    <mergeCell ref="E65:E66"/>
    <mergeCell ref="A59:A60"/>
    <mergeCell ref="B59:B60"/>
    <mergeCell ref="C59:C60"/>
    <mergeCell ref="A4:A6"/>
    <mergeCell ref="B4:B6"/>
    <mergeCell ref="B7:B8"/>
    <mergeCell ref="B9:B10"/>
    <mergeCell ref="A13:A14"/>
    <mergeCell ref="G9:G10"/>
    <mergeCell ref="G19:G20"/>
    <mergeCell ref="C13:C14"/>
    <mergeCell ref="G13:G14"/>
    <mergeCell ref="B17:B18"/>
    <mergeCell ref="F17:F18"/>
    <mergeCell ref="C27:C28"/>
    <mergeCell ref="D27:D28"/>
    <mergeCell ref="E27:E28"/>
    <mergeCell ref="F27:F28"/>
    <mergeCell ref="A19:A20"/>
    <mergeCell ref="B19:B20"/>
    <mergeCell ref="D9:D10"/>
    <mergeCell ref="A7:A8"/>
    <mergeCell ref="B13:B14"/>
    <mergeCell ref="B11:B12"/>
    <mergeCell ref="A15:A16"/>
    <mergeCell ref="B15:B16"/>
    <mergeCell ref="E4:E6"/>
    <mergeCell ref="A23:A24"/>
    <mergeCell ref="B23:B24"/>
    <mergeCell ref="A9:A10"/>
    <mergeCell ref="C9:C10"/>
    <mergeCell ref="D21:D22"/>
    <mergeCell ref="A11:A12"/>
    <mergeCell ref="A17:A18"/>
    <mergeCell ref="E11:E12"/>
    <mergeCell ref="F4:F6"/>
    <mergeCell ref="C4:C6"/>
    <mergeCell ref="E9:E10"/>
    <mergeCell ref="E7:E8"/>
    <mergeCell ref="D4:D6"/>
    <mergeCell ref="D7:D8"/>
    <mergeCell ref="F65:F66"/>
    <mergeCell ref="G65:G66"/>
    <mergeCell ref="F37:F38"/>
    <mergeCell ref="G37:G38"/>
    <mergeCell ref="G7:G8"/>
    <mergeCell ref="C7:C8"/>
    <mergeCell ref="F15:F16"/>
    <mergeCell ref="F9:F10"/>
    <mergeCell ref="F13:F14"/>
    <mergeCell ref="F11:F12"/>
    <mergeCell ref="C23:C24"/>
    <mergeCell ref="D23:D24"/>
    <mergeCell ref="G15:G16"/>
    <mergeCell ref="F29:F30"/>
    <mergeCell ref="F33:F34"/>
    <mergeCell ref="D29:D30"/>
    <mergeCell ref="C21:C22"/>
    <mergeCell ref="G23:G24"/>
    <mergeCell ref="C17:C18"/>
    <mergeCell ref="C15:C16"/>
    <mergeCell ref="C29:C30"/>
    <mergeCell ref="C31:C32"/>
    <mergeCell ref="D31:D32"/>
    <mergeCell ref="C47:C48"/>
    <mergeCell ref="C11:C12"/>
    <mergeCell ref="E23:E24"/>
    <mergeCell ref="G17:G18"/>
    <mergeCell ref="G21:G22"/>
    <mergeCell ref="H21:H22"/>
    <mergeCell ref="I21:I22"/>
    <mergeCell ref="J21:J22"/>
    <mergeCell ref="H23:H24"/>
    <mergeCell ref="I23:I24"/>
    <mergeCell ref="H17:H18"/>
    <mergeCell ref="G55:G56"/>
    <mergeCell ref="G57:G58"/>
    <mergeCell ref="H57:H58"/>
    <mergeCell ref="I57:I58"/>
    <mergeCell ref="J51:J52"/>
    <mergeCell ref="K51:K52"/>
    <mergeCell ref="H59:H60"/>
    <mergeCell ref="K55:K56"/>
    <mergeCell ref="I31:I32"/>
    <mergeCell ref="G41:G42"/>
    <mergeCell ref="G31:G32"/>
    <mergeCell ref="H31:H32"/>
    <mergeCell ref="G27:G28"/>
    <mergeCell ref="K57:K58"/>
    <mergeCell ref="K23:K24"/>
    <mergeCell ref="K27:K28"/>
    <mergeCell ref="I35:I36"/>
    <mergeCell ref="G29:G30"/>
    <mergeCell ref="J25:J26"/>
    <mergeCell ref="K25:K26"/>
    <mergeCell ref="K29:K30"/>
    <mergeCell ref="G35:G36"/>
    <mergeCell ref="G33:G34"/>
    <mergeCell ref="K45:K46"/>
    <mergeCell ref="I11:I12"/>
    <mergeCell ref="H19:H20"/>
    <mergeCell ref="J45:J46"/>
    <mergeCell ref="H53:H54"/>
    <mergeCell ref="H51:H52"/>
    <mergeCell ref="J53:J54"/>
    <mergeCell ref="J23:J24"/>
    <mergeCell ref="L51:L52"/>
    <mergeCell ref="H41:H42"/>
    <mergeCell ref="I41:I42"/>
    <mergeCell ref="J41:J42"/>
    <mergeCell ref="K41:K42"/>
    <mergeCell ref="L41:L42"/>
    <mergeCell ref="J49:J50"/>
    <mergeCell ref="K49:K50"/>
    <mergeCell ref="L49:L50"/>
    <mergeCell ref="M49:M50"/>
    <mergeCell ref="M51:M52"/>
    <mergeCell ref="M45:M46"/>
    <mergeCell ref="M31:M32"/>
    <mergeCell ref="M39:M40"/>
    <mergeCell ref="M47:M48"/>
    <mergeCell ref="L27:L28"/>
    <mergeCell ref="H29:H30"/>
    <mergeCell ref="I29:I30"/>
    <mergeCell ref="J29:J30"/>
    <mergeCell ref="L21:L22"/>
    <mergeCell ref="M21:M22"/>
    <mergeCell ref="I27:I28"/>
    <mergeCell ref="M29:M30"/>
    <mergeCell ref="L23:L24"/>
    <mergeCell ref="M23:M24"/>
    <mergeCell ref="CR5:CY5"/>
    <mergeCell ref="K35:K36"/>
    <mergeCell ref="L35:L36"/>
    <mergeCell ref="J39:J40"/>
    <mergeCell ref="K39:K40"/>
    <mergeCell ref="L39:L40"/>
    <mergeCell ref="J43:J44"/>
    <mergeCell ref="K43:K44"/>
    <mergeCell ref="L43:L44"/>
    <mergeCell ref="J47:J48"/>
    <mergeCell ref="K47:K48"/>
    <mergeCell ref="L47:L48"/>
    <mergeCell ref="J27:J28"/>
    <mergeCell ref="I17:I18"/>
    <mergeCell ref="I4:I6"/>
    <mergeCell ref="BL5:BS5"/>
    <mergeCell ref="BT5:CA5"/>
    <mergeCell ref="CB5:CI5"/>
    <mergeCell ref="BD5:BK5"/>
    <mergeCell ref="L29:L30"/>
    <mergeCell ref="J31:J32"/>
    <mergeCell ref="K31:K32"/>
    <mergeCell ref="L31:L32"/>
    <mergeCell ref="N4:CY4"/>
    <mergeCell ref="CJ5:CQ5"/>
    <mergeCell ref="M33:M34"/>
    <mergeCell ref="K4:K6"/>
    <mergeCell ref="M27:M28"/>
    <mergeCell ref="N5:U5"/>
    <mergeCell ref="L4:L6"/>
    <mergeCell ref="I19:I20"/>
    <mergeCell ref="I45:I46"/>
    <mergeCell ref="H4:H6"/>
    <mergeCell ref="M4:M6"/>
    <mergeCell ref="O191:U191"/>
    <mergeCell ref="F7:F8"/>
    <mergeCell ref="AH5:AM5"/>
    <mergeCell ref="M53:M54"/>
    <mergeCell ref="F176:F177"/>
    <mergeCell ref="G176:G177"/>
    <mergeCell ref="F91:F92"/>
    <mergeCell ref="M7:M8"/>
    <mergeCell ref="I53:I54"/>
    <mergeCell ref="L87:L88"/>
    <mergeCell ref="M87:M88"/>
    <mergeCell ref="H13:H14"/>
    <mergeCell ref="I13:I14"/>
    <mergeCell ref="G11:G12"/>
    <mergeCell ref="K79:K80"/>
    <mergeCell ref="I81:I82"/>
    <mergeCell ref="H73:H74"/>
    <mergeCell ref="K21:K22"/>
    <mergeCell ref="G105:G106"/>
    <mergeCell ref="F101:F102"/>
    <mergeCell ref="I15:I16"/>
    <mergeCell ref="I83:I84"/>
    <mergeCell ref="I7:I8"/>
    <mergeCell ref="G4:G6"/>
    <mergeCell ref="H11:H12"/>
    <mergeCell ref="H15:H16"/>
    <mergeCell ref="M35:M36"/>
    <mergeCell ref="H37:H38"/>
    <mergeCell ref="I37:I38"/>
    <mergeCell ref="M41:M42"/>
    <mergeCell ref="AN5:AU5"/>
    <mergeCell ref="AV5:BC5"/>
    <mergeCell ref="V172:AA172"/>
    <mergeCell ref="AB172:AG172"/>
    <mergeCell ref="AH172:AM172"/>
    <mergeCell ref="AN172:AU172"/>
    <mergeCell ref="AV172:BC172"/>
    <mergeCell ref="I59:I60"/>
    <mergeCell ref="J59:J60"/>
    <mergeCell ref="K59:K60"/>
    <mergeCell ref="H75:H76"/>
    <mergeCell ref="H79:H80"/>
    <mergeCell ref="I79:I80"/>
    <mergeCell ref="I65:I66"/>
    <mergeCell ref="H67:H68"/>
    <mergeCell ref="J67:J68"/>
    <mergeCell ref="K53:K54"/>
    <mergeCell ref="L53:L54"/>
    <mergeCell ref="V5:AA5"/>
    <mergeCell ref="AB5:AG5"/>
    <mergeCell ref="H7:H8"/>
    <mergeCell ref="H9:H10"/>
    <mergeCell ref="J4:J6"/>
    <mergeCell ref="M9:M10"/>
    <mergeCell ref="H47:H48"/>
    <mergeCell ref="H27:H28"/>
    <mergeCell ref="I9:I10"/>
    <mergeCell ref="H33:H34"/>
    <mergeCell ref="I33:I34"/>
    <mergeCell ref="J33:J34"/>
    <mergeCell ref="K33:K34"/>
    <mergeCell ref="L33:L34"/>
    <mergeCell ref="A174:A175"/>
    <mergeCell ref="D103:D104"/>
    <mergeCell ref="D171:D173"/>
    <mergeCell ref="E79:E80"/>
    <mergeCell ref="D87:D88"/>
    <mergeCell ref="F93:F94"/>
    <mergeCell ref="C99:C100"/>
    <mergeCell ref="A87:A88"/>
    <mergeCell ref="C87:C88"/>
    <mergeCell ref="B89:B90"/>
    <mergeCell ref="C174:C175"/>
    <mergeCell ref="D174:D175"/>
    <mergeCell ref="A171:A173"/>
    <mergeCell ref="C97:C98"/>
    <mergeCell ref="D97:D98"/>
    <mergeCell ref="C103:C104"/>
    <mergeCell ref="A103:A104"/>
    <mergeCell ref="B103:B104"/>
    <mergeCell ref="B105:B106"/>
    <mergeCell ref="C105:C106"/>
    <mergeCell ref="D105:D106"/>
    <mergeCell ref="A167:G168"/>
    <mergeCell ref="A129:A130"/>
    <mergeCell ref="C93:C94"/>
    <mergeCell ref="C95:C96"/>
    <mergeCell ref="C171:C173"/>
    <mergeCell ref="B171:B173"/>
    <mergeCell ref="E174:E175"/>
    <mergeCell ref="F174:F175"/>
    <mergeCell ref="B107:B108"/>
    <mergeCell ref="C107:C108"/>
    <mergeCell ref="A111:A112"/>
    <mergeCell ref="A184:A185"/>
    <mergeCell ref="C184:C185"/>
    <mergeCell ref="B129:B130"/>
    <mergeCell ref="C129:C130"/>
    <mergeCell ref="D129:D130"/>
    <mergeCell ref="A127:A128"/>
    <mergeCell ref="B127:B128"/>
    <mergeCell ref="C127:C128"/>
    <mergeCell ref="D127:D128"/>
    <mergeCell ref="E81:E82"/>
    <mergeCell ref="A97:A98"/>
    <mergeCell ref="B97:B98"/>
    <mergeCell ref="B87:B88"/>
    <mergeCell ref="B81:B82"/>
    <mergeCell ref="F95:F96"/>
    <mergeCell ref="A89:A90"/>
    <mergeCell ref="A101:A102"/>
    <mergeCell ref="E180:E181"/>
    <mergeCell ref="A176:A177"/>
    <mergeCell ref="B176:B177"/>
    <mergeCell ref="C178:C179"/>
    <mergeCell ref="D176:D177"/>
    <mergeCell ref="B174:B175"/>
    <mergeCell ref="A109:A110"/>
    <mergeCell ref="B109:B110"/>
    <mergeCell ref="C109:C110"/>
    <mergeCell ref="D109:D110"/>
    <mergeCell ref="A117:A118"/>
    <mergeCell ref="F180:F181"/>
    <mergeCell ref="F184:F185"/>
    <mergeCell ref="F81:F82"/>
    <mergeCell ref="B101:B102"/>
    <mergeCell ref="F198:F199"/>
    <mergeCell ref="G198:G199"/>
    <mergeCell ref="G206:G207"/>
    <mergeCell ref="E202:E203"/>
    <mergeCell ref="C206:C207"/>
    <mergeCell ref="F204:F205"/>
    <mergeCell ref="D204:D205"/>
    <mergeCell ref="H204:H205"/>
    <mergeCell ref="I206:I207"/>
    <mergeCell ref="B200:B201"/>
    <mergeCell ref="C200:C201"/>
    <mergeCell ref="D200:D201"/>
    <mergeCell ref="E200:E201"/>
    <mergeCell ref="F200:F201"/>
    <mergeCell ref="G200:G201"/>
    <mergeCell ref="H184:H185"/>
    <mergeCell ref="F87:F88"/>
    <mergeCell ref="F89:F90"/>
    <mergeCell ref="C91:C92"/>
    <mergeCell ref="B182:B183"/>
    <mergeCell ref="E184:E185"/>
    <mergeCell ref="H186:H187"/>
    <mergeCell ref="F182:F183"/>
    <mergeCell ref="G182:G183"/>
    <mergeCell ref="G174:G175"/>
    <mergeCell ref="I174:I175"/>
    <mergeCell ref="I178:I179"/>
    <mergeCell ref="H180:H181"/>
    <mergeCell ref="B184:B185"/>
    <mergeCell ref="D184:D185"/>
    <mergeCell ref="G184:G185"/>
    <mergeCell ref="E182:E183"/>
    <mergeCell ref="D182:D183"/>
    <mergeCell ref="H89:H90"/>
    <mergeCell ref="I89:I90"/>
    <mergeCell ref="G91:G92"/>
    <mergeCell ref="G180:G181"/>
    <mergeCell ref="H182:H183"/>
    <mergeCell ref="D101:D102"/>
    <mergeCell ref="E99:E100"/>
    <mergeCell ref="H171:H173"/>
    <mergeCell ref="D123:D124"/>
    <mergeCell ref="E123:E124"/>
    <mergeCell ref="F123:F124"/>
    <mergeCell ref="G123:G124"/>
    <mergeCell ref="H123:H124"/>
    <mergeCell ref="I123:I124"/>
    <mergeCell ref="D149:D150"/>
    <mergeCell ref="E149:E150"/>
    <mergeCell ref="F149:F150"/>
    <mergeCell ref="G149:G150"/>
    <mergeCell ref="H149:H150"/>
    <mergeCell ref="F171:F173"/>
    <mergeCell ref="F119:F120"/>
    <mergeCell ref="G119:G120"/>
    <mergeCell ref="G99:G100"/>
    <mergeCell ref="H174:H175"/>
    <mergeCell ref="I167:I168"/>
    <mergeCell ref="I159:I160"/>
    <mergeCell ref="H157:H158"/>
    <mergeCell ref="I157:I158"/>
    <mergeCell ref="G161:G162"/>
    <mergeCell ref="H161:H162"/>
    <mergeCell ref="I161:I162"/>
    <mergeCell ref="F99:F100"/>
    <mergeCell ref="G71:G72"/>
    <mergeCell ref="G73:G74"/>
    <mergeCell ref="E171:E173"/>
    <mergeCell ref="J119:J120"/>
    <mergeCell ref="C101:C102"/>
    <mergeCell ref="B93:B94"/>
    <mergeCell ref="A99:A100"/>
    <mergeCell ref="B99:B100"/>
    <mergeCell ref="A93:A94"/>
    <mergeCell ref="B83:B84"/>
    <mergeCell ref="F75:F76"/>
    <mergeCell ref="F77:F78"/>
    <mergeCell ref="G81:G82"/>
    <mergeCell ref="D77:D78"/>
    <mergeCell ref="F83:F84"/>
    <mergeCell ref="D73:D74"/>
    <mergeCell ref="J87:J88"/>
    <mergeCell ref="E97:E98"/>
    <mergeCell ref="G93:G94"/>
    <mergeCell ref="H93:H94"/>
    <mergeCell ref="I93:I94"/>
    <mergeCell ref="A133:A134"/>
    <mergeCell ref="B133:B134"/>
    <mergeCell ref="B91:B92"/>
    <mergeCell ref="G85:G86"/>
    <mergeCell ref="H85:H86"/>
    <mergeCell ref="I85:I86"/>
    <mergeCell ref="F85:F86"/>
    <mergeCell ref="I77:I78"/>
    <mergeCell ref="G75:G76"/>
    <mergeCell ref="G79:G80"/>
    <mergeCell ref="B37:B38"/>
    <mergeCell ref="E37:E38"/>
    <mergeCell ref="I43:I44"/>
    <mergeCell ref="E41:E42"/>
    <mergeCell ref="F41:F42"/>
    <mergeCell ref="J61:J62"/>
    <mergeCell ref="E45:E46"/>
    <mergeCell ref="F45:F46"/>
    <mergeCell ref="G45:G46"/>
    <mergeCell ref="M57:M58"/>
    <mergeCell ref="J57:J58"/>
    <mergeCell ref="H55:H56"/>
    <mergeCell ref="I55:I56"/>
    <mergeCell ref="I75:I76"/>
    <mergeCell ref="J85:J86"/>
    <mergeCell ref="H81:H82"/>
    <mergeCell ref="J91:J92"/>
    <mergeCell ref="E89:E90"/>
    <mergeCell ref="D85:D86"/>
    <mergeCell ref="I73:I74"/>
    <mergeCell ref="E85:E86"/>
    <mergeCell ref="I87:I88"/>
    <mergeCell ref="M89:M90"/>
    <mergeCell ref="L59:L60"/>
    <mergeCell ref="L55:L56"/>
    <mergeCell ref="L57:L58"/>
    <mergeCell ref="G59:G60"/>
    <mergeCell ref="G63:G64"/>
    <mergeCell ref="E87:E88"/>
    <mergeCell ref="I49:I50"/>
    <mergeCell ref="G51:G52"/>
    <mergeCell ref="F79:F80"/>
    <mergeCell ref="F31:F32"/>
    <mergeCell ref="D33:D34"/>
    <mergeCell ref="E33:E34"/>
    <mergeCell ref="A33:A34"/>
    <mergeCell ref="B33:B34"/>
    <mergeCell ref="C33:C34"/>
    <mergeCell ref="L45:L46"/>
    <mergeCell ref="C37:C38"/>
    <mergeCell ref="J35:J36"/>
    <mergeCell ref="D37:D38"/>
    <mergeCell ref="J37:J38"/>
    <mergeCell ref="K37:K38"/>
    <mergeCell ref="L37:L38"/>
    <mergeCell ref="M37:M38"/>
    <mergeCell ref="H35:H36"/>
    <mergeCell ref="M61:M62"/>
    <mergeCell ref="A41:A42"/>
    <mergeCell ref="B41:B42"/>
    <mergeCell ref="C41:C42"/>
    <mergeCell ref="A49:A50"/>
    <mergeCell ref="M43:M44"/>
    <mergeCell ref="H45:H46"/>
    <mergeCell ref="D41:D42"/>
    <mergeCell ref="E59:E60"/>
    <mergeCell ref="M55:M56"/>
    <mergeCell ref="A35:A36"/>
    <mergeCell ref="B35:B36"/>
    <mergeCell ref="C35:C36"/>
    <mergeCell ref="D35:D36"/>
    <mergeCell ref="E35:E36"/>
    <mergeCell ref="F35:F36"/>
    <mergeCell ref="A37:A38"/>
    <mergeCell ref="L25:L26"/>
    <mergeCell ref="A25:A26"/>
    <mergeCell ref="B25:B26"/>
    <mergeCell ref="C25:C26"/>
    <mergeCell ref="D25:D26"/>
    <mergeCell ref="E25:E26"/>
    <mergeCell ref="F25:F26"/>
    <mergeCell ref="G25:G26"/>
    <mergeCell ref="H25:H26"/>
    <mergeCell ref="I25:I26"/>
    <mergeCell ref="F23:F24"/>
    <mergeCell ref="F19:F20"/>
    <mergeCell ref="D45:D46"/>
    <mergeCell ref="M25:M26"/>
    <mergeCell ref="A45:A46"/>
    <mergeCell ref="B45:B46"/>
    <mergeCell ref="C45:C46"/>
    <mergeCell ref="C19:C20"/>
    <mergeCell ref="H39:H40"/>
    <mergeCell ref="I39:I40"/>
    <mergeCell ref="A43:A44"/>
    <mergeCell ref="B43:B44"/>
    <mergeCell ref="A39:A40"/>
    <mergeCell ref="B39:B40"/>
    <mergeCell ref="C39:C40"/>
    <mergeCell ref="D39:D40"/>
    <mergeCell ref="E39:E40"/>
    <mergeCell ref="F39:F40"/>
    <mergeCell ref="G39:G40"/>
    <mergeCell ref="C43:C44"/>
    <mergeCell ref="D43:D44"/>
    <mergeCell ref="E43:E44"/>
    <mergeCell ref="M71:M72"/>
    <mergeCell ref="M67:M68"/>
    <mergeCell ref="A65:A66"/>
    <mergeCell ref="F71:F72"/>
    <mergeCell ref="C67:C68"/>
    <mergeCell ref="J55:J56"/>
    <mergeCell ref="L61:L62"/>
    <mergeCell ref="M59:M60"/>
    <mergeCell ref="K61:K62"/>
    <mergeCell ref="H71:H72"/>
    <mergeCell ref="I67:I68"/>
    <mergeCell ref="D71:D72"/>
    <mergeCell ref="C63:C64"/>
    <mergeCell ref="A71:A72"/>
    <mergeCell ref="I69:I70"/>
    <mergeCell ref="E67:E68"/>
    <mergeCell ref="D67:D68"/>
    <mergeCell ref="K69:K70"/>
    <mergeCell ref="L69:L70"/>
    <mergeCell ref="J69:J70"/>
    <mergeCell ref="K67:K68"/>
    <mergeCell ref="J63:J64"/>
    <mergeCell ref="H77:H78"/>
    <mergeCell ref="C81:C82"/>
    <mergeCell ref="A57:A58"/>
    <mergeCell ref="B57:B58"/>
    <mergeCell ref="D55:D56"/>
    <mergeCell ref="E55:E56"/>
    <mergeCell ref="D81:D82"/>
    <mergeCell ref="C71:C72"/>
    <mergeCell ref="E77:E78"/>
    <mergeCell ref="A75:A76"/>
    <mergeCell ref="E75:E76"/>
    <mergeCell ref="A77:A78"/>
    <mergeCell ref="B77:B78"/>
    <mergeCell ref="D75:D76"/>
    <mergeCell ref="I61:I62"/>
    <mergeCell ref="F63:F64"/>
    <mergeCell ref="E71:E72"/>
    <mergeCell ref="G61:G62"/>
    <mergeCell ref="H61:H62"/>
    <mergeCell ref="D59:D60"/>
    <mergeCell ref="G77:G78"/>
    <mergeCell ref="I71:I72"/>
    <mergeCell ref="F59:F60"/>
    <mergeCell ref="A63:A64"/>
    <mergeCell ref="B63:B64"/>
    <mergeCell ref="I63:I64"/>
    <mergeCell ref="B67:B68"/>
    <mergeCell ref="I47:I48"/>
    <mergeCell ref="E47:E48"/>
    <mergeCell ref="A47:A48"/>
    <mergeCell ref="B47:B48"/>
    <mergeCell ref="A55:A56"/>
    <mergeCell ref="B55:B56"/>
    <mergeCell ref="C55:C56"/>
    <mergeCell ref="A61:A62"/>
    <mergeCell ref="B61:B62"/>
    <mergeCell ref="C61:C62"/>
    <mergeCell ref="B65:B66"/>
    <mergeCell ref="F73:F74"/>
    <mergeCell ref="G69:G70"/>
    <mergeCell ref="H65:H66"/>
    <mergeCell ref="G47:G48"/>
    <mergeCell ref="B49:B50"/>
    <mergeCell ref="I51:I52"/>
    <mergeCell ref="D47:D48"/>
    <mergeCell ref="A51:A52"/>
    <mergeCell ref="B51:B52"/>
    <mergeCell ref="E51:E52"/>
    <mergeCell ref="A69:A70"/>
    <mergeCell ref="B69:B70"/>
    <mergeCell ref="B71:B72"/>
    <mergeCell ref="F61:F62"/>
    <mergeCell ref="F51:F52"/>
    <mergeCell ref="E69:E70"/>
    <mergeCell ref="E83:E84"/>
    <mergeCell ref="C79:C80"/>
    <mergeCell ref="D79:D80"/>
    <mergeCell ref="B85:B86"/>
    <mergeCell ref="A81:A82"/>
    <mergeCell ref="A91:A92"/>
    <mergeCell ref="A85:A86"/>
    <mergeCell ref="A83:A84"/>
    <mergeCell ref="M81:M82"/>
    <mergeCell ref="L79:L80"/>
    <mergeCell ref="M63:M64"/>
    <mergeCell ref="K75:K76"/>
    <mergeCell ref="M79:M80"/>
    <mergeCell ref="J77:J78"/>
    <mergeCell ref="L75:L76"/>
    <mergeCell ref="J81:J82"/>
    <mergeCell ref="J79:J80"/>
    <mergeCell ref="J75:J76"/>
    <mergeCell ref="L67:L68"/>
    <mergeCell ref="L71:L72"/>
    <mergeCell ref="K73:K74"/>
    <mergeCell ref="L73:L74"/>
    <mergeCell ref="K71:K72"/>
    <mergeCell ref="L65:L66"/>
    <mergeCell ref="K65:K66"/>
    <mergeCell ref="M65:M66"/>
    <mergeCell ref="K63:K64"/>
    <mergeCell ref="L63:L64"/>
    <mergeCell ref="J65:J66"/>
    <mergeCell ref="M69:M70"/>
    <mergeCell ref="J73:J74"/>
    <mergeCell ref="J71:J72"/>
    <mergeCell ref="A105:A106"/>
    <mergeCell ref="E105:E106"/>
    <mergeCell ref="F105:F106"/>
    <mergeCell ref="G83:G84"/>
    <mergeCell ref="L85:L86"/>
    <mergeCell ref="K81:K82"/>
    <mergeCell ref="L81:L82"/>
    <mergeCell ref="M73:M74"/>
    <mergeCell ref="M75:M76"/>
    <mergeCell ref="M77:M78"/>
    <mergeCell ref="K77:K78"/>
    <mergeCell ref="L77:L78"/>
    <mergeCell ref="A178:A179"/>
    <mergeCell ref="C180:C181"/>
    <mergeCell ref="D178:D179"/>
    <mergeCell ref="D93:D94"/>
    <mergeCell ref="E93:E94"/>
    <mergeCell ref="C89:C90"/>
    <mergeCell ref="D89:D90"/>
    <mergeCell ref="D91:D92"/>
    <mergeCell ref="E91:E92"/>
    <mergeCell ref="D99:D100"/>
    <mergeCell ref="D95:D96"/>
    <mergeCell ref="A95:A96"/>
    <mergeCell ref="B95:B96"/>
    <mergeCell ref="A73:A74"/>
    <mergeCell ref="C85:C86"/>
    <mergeCell ref="B73:B74"/>
    <mergeCell ref="B75:B76"/>
    <mergeCell ref="C75:C76"/>
    <mergeCell ref="C83:C84"/>
    <mergeCell ref="D83:D84"/>
    <mergeCell ref="D17:D18"/>
    <mergeCell ref="D15:D16"/>
    <mergeCell ref="D19:D20"/>
    <mergeCell ref="C49:C50"/>
    <mergeCell ref="D49:D50"/>
    <mergeCell ref="E49:E50"/>
    <mergeCell ref="F49:F50"/>
    <mergeCell ref="G49:G50"/>
    <mergeCell ref="H49:H50"/>
    <mergeCell ref="C73:C74"/>
    <mergeCell ref="C77:C78"/>
    <mergeCell ref="D51:D52"/>
    <mergeCell ref="D61:D62"/>
    <mergeCell ref="C69:C70"/>
    <mergeCell ref="D69:D70"/>
    <mergeCell ref="B79:B80"/>
    <mergeCell ref="A79:A80"/>
    <mergeCell ref="A67:A68"/>
    <mergeCell ref="H69:H70"/>
    <mergeCell ref="H63:H64"/>
    <mergeCell ref="E73:E74"/>
    <mergeCell ref="F47:F48"/>
    <mergeCell ref="C51:C52"/>
    <mergeCell ref="F69:F70"/>
    <mergeCell ref="F43:F44"/>
    <mergeCell ref="G43:G44"/>
    <mergeCell ref="H43:H44"/>
    <mergeCell ref="A29:A30"/>
    <mergeCell ref="B29:B30"/>
    <mergeCell ref="A31:A32"/>
    <mergeCell ref="B31:B32"/>
    <mergeCell ref="E31:E32"/>
    <mergeCell ref="V263:W263"/>
    <mergeCell ref="V264:W264"/>
    <mergeCell ref="AB217:AC217"/>
    <mergeCell ref="AB218:AC218"/>
    <mergeCell ref="AB219:AC219"/>
    <mergeCell ref="AB220:AC220"/>
    <mergeCell ref="AB221:AC221"/>
    <mergeCell ref="AB222:AC222"/>
    <mergeCell ref="AB223:AC223"/>
    <mergeCell ref="AB224:AC224"/>
    <mergeCell ref="F202:F203"/>
    <mergeCell ref="G202:G203"/>
    <mergeCell ref="H200:H201"/>
    <mergeCell ref="I200:I201"/>
    <mergeCell ref="A208:G209"/>
    <mergeCell ref="K214:M214"/>
    <mergeCell ref="K213:M213"/>
    <mergeCell ref="J209:M209"/>
    <mergeCell ref="P226:Q226"/>
    <mergeCell ref="A202:A203"/>
    <mergeCell ref="V256:W256"/>
    <mergeCell ref="V257:W257"/>
    <mergeCell ref="V258:W258"/>
    <mergeCell ref="V259:W259"/>
    <mergeCell ref="V260:W260"/>
    <mergeCell ref="V261:W261"/>
    <mergeCell ref="V262:W262"/>
    <mergeCell ref="P231:Q231"/>
    <mergeCell ref="P232:Q232"/>
    <mergeCell ref="P236:Q236"/>
    <mergeCell ref="P234:Q234"/>
    <mergeCell ref="P263:Q263"/>
  </mergeCells>
  <phoneticPr fontId="2"/>
  <dataValidations count="2">
    <dataValidation type="list" allowBlank="1" showInputMessage="1" showErrorMessage="1" sqref="C174:C185 C198:C207 C7:C166" xr:uid="{00000000-0002-0000-0200-000000000000}">
      <formula1>Division</formula1>
    </dataValidation>
    <dataValidation type="list" allowBlank="1" showInputMessage="1" showErrorMessage="1" sqref="B198:B207 B174:B185 B7:B166" xr:uid="{00000000-0002-0000-0200-000001000000}">
      <formula1>Status</formula1>
    </dataValidation>
  </dataValidations>
  <hyperlinks>
    <hyperlink ref="G206:G207" location="休暇!A1" display="休暇" xr:uid="{00000000-0004-0000-0200-000000000000}"/>
  </hyperlinks>
  <pageMargins left="0.7" right="0.7" top="0.75" bottom="0.75" header="0.3" footer="0.3"/>
  <pageSetup paperSize="9" orientation="portrait"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J426"/>
  <sheetViews>
    <sheetView tabSelected="1" zoomScale="85" zoomScaleNormal="85" workbookViewId="0">
      <pane xSplit="5" ySplit="4" topLeftCell="F12" activePane="bottomRight" state="frozen"/>
      <selection pane="topRight" activeCell="F1" sqref="F1"/>
      <selection pane="bottomLeft" activeCell="A5" sqref="A5"/>
      <selection pane="bottomRight"/>
    </sheetView>
  </sheetViews>
  <sheetFormatPr defaultColWidth="9" defaultRowHeight="20.100000000000001" customHeight="1" outlineLevelRow="1" outlineLevelCol="1" x14ac:dyDescent="0.4"/>
  <cols>
    <col min="1" max="1" width="6.25" style="1" customWidth="1"/>
    <col min="2" max="2" width="6.25" style="1" customWidth="1" outlineLevel="1"/>
    <col min="3" max="3" width="9" style="1" customWidth="1" outlineLevel="1"/>
    <col min="4" max="4" width="11.375" style="1" customWidth="1" outlineLevel="1"/>
    <col min="5" max="5" width="38.625" style="301" customWidth="1"/>
    <col min="6" max="6" width="50.875" style="1" bestFit="1" customWidth="1"/>
    <col min="7" max="7" width="45.625" style="1" customWidth="1" outlineLevel="1"/>
    <col min="8" max="8" width="12.75" style="2" bestFit="1" customWidth="1"/>
    <col min="9" max="9" width="54.125" style="296" bestFit="1" customWidth="1"/>
    <col min="10" max="10" width="15.125" style="53" bestFit="1" customWidth="1"/>
    <col min="11" max="16384" width="9" style="1"/>
  </cols>
  <sheetData>
    <row r="1" spans="1:10" ht="30" customHeight="1" x14ac:dyDescent="0.4">
      <c r="A1" s="21" t="s">
        <v>33</v>
      </c>
      <c r="B1" s="21"/>
    </row>
    <row r="2" spans="1:10" ht="5.0999999999999996" customHeight="1" x14ac:dyDescent="0.4"/>
    <row r="3" spans="1:10" ht="31.5" customHeight="1" x14ac:dyDescent="0.4">
      <c r="A3" s="518" t="s">
        <v>0</v>
      </c>
      <c r="B3" s="531" t="s">
        <v>157</v>
      </c>
      <c r="C3" s="531" t="s">
        <v>2</v>
      </c>
      <c r="D3" s="531" t="s">
        <v>3</v>
      </c>
      <c r="E3" s="617" t="s">
        <v>1</v>
      </c>
      <c r="F3" s="513" t="s">
        <v>738</v>
      </c>
      <c r="G3" s="513" t="s">
        <v>760</v>
      </c>
      <c r="H3" s="606" t="s">
        <v>147</v>
      </c>
      <c r="I3" s="518" t="s">
        <v>4</v>
      </c>
    </row>
    <row r="4" spans="1:10" ht="31.5" customHeight="1" x14ac:dyDescent="0.4">
      <c r="A4" s="520"/>
      <c r="B4" s="531"/>
      <c r="C4" s="531"/>
      <c r="D4" s="531"/>
      <c r="E4" s="618"/>
      <c r="F4" s="515"/>
      <c r="G4" s="515"/>
      <c r="H4" s="606"/>
      <c r="I4" s="520"/>
    </row>
    <row r="5" spans="1:10" ht="20.100000000000001" hidden="1" customHeight="1" outlineLevel="1" x14ac:dyDescent="0.4">
      <c r="A5" s="614"/>
      <c r="B5" s="608"/>
      <c r="C5" s="608" t="s">
        <v>156</v>
      </c>
      <c r="D5" s="611" t="s">
        <v>154</v>
      </c>
      <c r="E5" s="619" t="s">
        <v>155</v>
      </c>
      <c r="F5" s="65" t="s">
        <v>150</v>
      </c>
      <c r="G5" s="66"/>
      <c r="H5" s="607"/>
      <c r="I5" s="622"/>
    </row>
    <row r="6" spans="1:10" ht="20.100000000000001" hidden="1" customHeight="1" outlineLevel="1" x14ac:dyDescent="0.4">
      <c r="A6" s="615"/>
      <c r="B6" s="609"/>
      <c r="C6" s="609"/>
      <c r="D6" s="612"/>
      <c r="E6" s="620"/>
      <c r="F6" s="67" t="s">
        <v>151</v>
      </c>
      <c r="G6" s="68"/>
      <c r="H6" s="607"/>
      <c r="I6" s="622"/>
    </row>
    <row r="7" spans="1:10" ht="21" hidden="1" customHeight="1" outlineLevel="1" x14ac:dyDescent="0.4">
      <c r="A7" s="615"/>
      <c r="B7" s="609"/>
      <c r="C7" s="609"/>
      <c r="D7" s="612"/>
      <c r="E7" s="620"/>
      <c r="F7" s="67" t="s">
        <v>152</v>
      </c>
      <c r="G7" s="68"/>
      <c r="H7" s="607"/>
      <c r="I7" s="622"/>
    </row>
    <row r="8" spans="1:10" ht="20.100000000000001" hidden="1" customHeight="1" outlineLevel="1" x14ac:dyDescent="0.4">
      <c r="A8" s="616"/>
      <c r="B8" s="610"/>
      <c r="C8" s="610"/>
      <c r="D8" s="613"/>
      <c r="E8" s="621"/>
      <c r="F8" s="69" t="s">
        <v>153</v>
      </c>
      <c r="G8" s="70"/>
      <c r="H8" s="607"/>
      <c r="I8" s="622"/>
    </row>
    <row r="9" spans="1:10" s="199" customFormat="1" ht="43.15" hidden="1" customHeight="1" outlineLevel="1" collapsed="1" x14ac:dyDescent="0.4">
      <c r="A9" s="294"/>
      <c r="B9" s="190" t="s">
        <v>333</v>
      </c>
      <c r="C9" s="190" t="s">
        <v>449</v>
      </c>
      <c r="D9" s="190" t="s">
        <v>334</v>
      </c>
      <c r="E9" s="302" t="s">
        <v>450</v>
      </c>
      <c r="F9" s="189" t="s">
        <v>565</v>
      </c>
      <c r="G9" s="189"/>
      <c r="H9" s="295">
        <v>46167</v>
      </c>
      <c r="I9" s="304"/>
      <c r="J9" s="53"/>
    </row>
    <row r="10" spans="1:10" s="199" customFormat="1" ht="43.15" hidden="1" customHeight="1" outlineLevel="1" collapsed="1" x14ac:dyDescent="0.4">
      <c r="A10" s="294"/>
      <c r="B10" s="190" t="s">
        <v>333</v>
      </c>
      <c r="C10" s="190" t="s">
        <v>449</v>
      </c>
      <c r="D10" s="190" t="s">
        <v>334</v>
      </c>
      <c r="E10" s="302" t="s">
        <v>451</v>
      </c>
      <c r="F10" s="189" t="s">
        <v>623</v>
      </c>
      <c r="G10" s="189"/>
      <c r="H10" s="295">
        <v>46199</v>
      </c>
      <c r="I10" s="304"/>
      <c r="J10" s="53"/>
    </row>
    <row r="11" spans="1:10" s="199" customFormat="1" ht="43.15" hidden="1" customHeight="1" outlineLevel="1" collapsed="1" x14ac:dyDescent="0.4">
      <c r="A11" s="294"/>
      <c r="B11" s="190" t="s">
        <v>333</v>
      </c>
      <c r="C11" s="190" t="s">
        <v>449</v>
      </c>
      <c r="D11" s="190" t="s">
        <v>334</v>
      </c>
      <c r="E11" s="302" t="s">
        <v>450</v>
      </c>
      <c r="F11" s="189" t="s">
        <v>739</v>
      </c>
      <c r="G11" s="189"/>
      <c r="H11" s="295">
        <v>46223</v>
      </c>
      <c r="I11" s="304"/>
      <c r="J11" s="53"/>
    </row>
    <row r="12" spans="1:10" s="199" customFormat="1" ht="43.15" customHeight="1" collapsed="1" x14ac:dyDescent="0.4">
      <c r="A12" s="294"/>
      <c r="B12" s="190" t="s">
        <v>333</v>
      </c>
      <c r="C12" s="190" t="s">
        <v>449</v>
      </c>
      <c r="D12" s="190" t="s">
        <v>334</v>
      </c>
      <c r="E12" s="302" t="s">
        <v>450</v>
      </c>
      <c r="F12" s="189" t="s">
        <v>761</v>
      </c>
      <c r="G12" s="189" t="s">
        <v>762</v>
      </c>
      <c r="H12" s="295">
        <v>46252</v>
      </c>
      <c r="I12" s="304"/>
      <c r="J12" s="53"/>
    </row>
    <row r="13" spans="1:10" s="199" customFormat="1" ht="15.75" x14ac:dyDescent="0.4">
      <c r="A13" s="630">
        <v>1</v>
      </c>
      <c r="B13" s="640" t="s">
        <v>348</v>
      </c>
      <c r="C13" s="640" t="s">
        <v>422</v>
      </c>
      <c r="D13" s="640" t="s">
        <v>452</v>
      </c>
      <c r="E13" s="643" t="s">
        <v>424</v>
      </c>
      <c r="F13" s="297"/>
      <c r="G13" s="297"/>
      <c r="H13" s="626"/>
      <c r="I13" s="646"/>
      <c r="J13" s="53"/>
    </row>
    <row r="14" spans="1:10" s="199" customFormat="1" ht="15.75" hidden="1" outlineLevel="1" x14ac:dyDescent="0.4">
      <c r="A14" s="631"/>
      <c r="B14" s="641"/>
      <c r="C14" s="641"/>
      <c r="D14" s="641"/>
      <c r="E14" s="644"/>
      <c r="F14" s="299" t="s">
        <v>468</v>
      </c>
      <c r="G14" s="300"/>
      <c r="H14" s="649"/>
      <c r="I14" s="647"/>
      <c r="J14" s="53"/>
    </row>
    <row r="15" spans="1:10" s="199" customFormat="1" ht="15.75" hidden="1" outlineLevel="1" x14ac:dyDescent="0.4">
      <c r="A15" s="631"/>
      <c r="B15" s="641"/>
      <c r="C15" s="641"/>
      <c r="D15" s="641"/>
      <c r="E15" s="644"/>
      <c r="F15" s="299" t="s">
        <v>524</v>
      </c>
      <c r="G15" s="300"/>
      <c r="H15" s="649"/>
      <c r="I15" s="647"/>
      <c r="J15" s="53"/>
    </row>
    <row r="16" spans="1:10" s="199" customFormat="1" ht="15.75" hidden="1" outlineLevel="1" x14ac:dyDescent="0.4">
      <c r="A16" s="631"/>
      <c r="B16" s="641"/>
      <c r="C16" s="641"/>
      <c r="D16" s="641"/>
      <c r="E16" s="644"/>
      <c r="F16" s="299" t="s">
        <v>525</v>
      </c>
      <c r="G16" s="300"/>
      <c r="H16" s="649"/>
      <c r="I16" s="647"/>
      <c r="J16" s="53"/>
    </row>
    <row r="17" spans="1:10" s="199" customFormat="1" ht="15.75" hidden="1" outlineLevel="1" x14ac:dyDescent="0.4">
      <c r="A17" s="631"/>
      <c r="B17" s="641"/>
      <c r="C17" s="641"/>
      <c r="D17" s="641"/>
      <c r="E17" s="644"/>
      <c r="F17" s="299" t="s">
        <v>541</v>
      </c>
      <c r="G17" s="300"/>
      <c r="H17" s="649"/>
      <c r="I17" s="647"/>
      <c r="J17" s="53"/>
    </row>
    <row r="18" spans="1:10" s="199" customFormat="1" ht="15.75" hidden="1" outlineLevel="1" x14ac:dyDescent="0.4">
      <c r="A18" s="631"/>
      <c r="B18" s="641"/>
      <c r="C18" s="641"/>
      <c r="D18" s="641"/>
      <c r="E18" s="644"/>
      <c r="F18" s="299" t="s">
        <v>573</v>
      </c>
      <c r="G18" s="300"/>
      <c r="H18" s="649"/>
      <c r="I18" s="647"/>
      <c r="J18" s="53"/>
    </row>
    <row r="19" spans="1:10" s="199" customFormat="1" ht="15.75" hidden="1" outlineLevel="1" x14ac:dyDescent="0.4">
      <c r="A19" s="631"/>
      <c r="B19" s="641"/>
      <c r="C19" s="641"/>
      <c r="D19" s="641"/>
      <c r="E19" s="644"/>
      <c r="F19" s="299" t="s">
        <v>617</v>
      </c>
      <c r="G19" s="300"/>
      <c r="H19" s="649"/>
      <c r="I19" s="647"/>
      <c r="J19" s="53"/>
    </row>
    <row r="20" spans="1:10" s="199" customFormat="1" ht="15.75" hidden="1" outlineLevel="1" x14ac:dyDescent="0.4">
      <c r="A20" s="631"/>
      <c r="B20" s="641"/>
      <c r="C20" s="641"/>
      <c r="D20" s="641"/>
      <c r="E20" s="644"/>
      <c r="F20" s="299" t="s">
        <v>624</v>
      </c>
      <c r="G20" s="300"/>
      <c r="H20" s="649"/>
      <c r="I20" s="647"/>
      <c r="J20" s="53"/>
    </row>
    <row r="21" spans="1:10" s="199" customFormat="1" ht="15.75" hidden="1" outlineLevel="1" x14ac:dyDescent="0.4">
      <c r="A21" s="631"/>
      <c r="B21" s="641"/>
      <c r="C21" s="641"/>
      <c r="D21" s="641"/>
      <c r="E21" s="644"/>
      <c r="F21" s="299" t="s">
        <v>740</v>
      </c>
      <c r="G21" s="300"/>
      <c r="H21" s="649"/>
      <c r="I21" s="647"/>
      <c r="J21" s="53"/>
    </row>
    <row r="22" spans="1:10" s="199" customFormat="1" ht="15.75" collapsed="1" x14ac:dyDescent="0.4">
      <c r="A22" s="631"/>
      <c r="B22" s="641"/>
      <c r="C22" s="641"/>
      <c r="D22" s="641"/>
      <c r="E22" s="644"/>
      <c r="F22" s="299" t="s">
        <v>763</v>
      </c>
      <c r="G22" s="300" t="s">
        <v>764</v>
      </c>
      <c r="H22" s="649"/>
      <c r="I22" s="647"/>
      <c r="J22" s="53"/>
    </row>
    <row r="23" spans="1:10" s="199" customFormat="1" ht="15.75" x14ac:dyDescent="0.4">
      <c r="A23" s="632"/>
      <c r="B23" s="642"/>
      <c r="C23" s="642"/>
      <c r="D23" s="642"/>
      <c r="E23" s="645"/>
      <c r="F23" s="298"/>
      <c r="G23" s="298"/>
      <c r="H23" s="650"/>
      <c r="I23" s="648"/>
      <c r="J23" s="53"/>
    </row>
    <row r="24" spans="1:10" ht="24" hidden="1" customHeight="1" outlineLevel="1" x14ac:dyDescent="0.4">
      <c r="A24" s="630">
        <v>2</v>
      </c>
      <c r="B24" s="640" t="s">
        <v>433</v>
      </c>
      <c r="C24" s="640" t="s">
        <v>427</v>
      </c>
      <c r="D24" s="640"/>
      <c r="E24" s="643" t="s">
        <v>428</v>
      </c>
      <c r="F24" s="297"/>
      <c r="G24" s="297"/>
      <c r="H24" s="626">
        <v>46115</v>
      </c>
      <c r="I24" s="646" t="s">
        <v>466</v>
      </c>
    </row>
    <row r="25" spans="1:10" s="199" customFormat="1" ht="24" hidden="1" customHeight="1" outlineLevel="1" x14ac:dyDescent="0.4">
      <c r="A25" s="631"/>
      <c r="B25" s="641"/>
      <c r="C25" s="641"/>
      <c r="D25" s="641"/>
      <c r="E25" s="651"/>
      <c r="F25" s="299" t="s">
        <v>453</v>
      </c>
      <c r="G25" s="300"/>
      <c r="H25" s="649"/>
      <c r="I25" s="647"/>
      <c r="J25" s="53"/>
    </row>
    <row r="26" spans="1:10" s="199" customFormat="1" ht="24" hidden="1" customHeight="1" outlineLevel="1" x14ac:dyDescent="0.4">
      <c r="A26" s="632"/>
      <c r="B26" s="642"/>
      <c r="C26" s="642"/>
      <c r="D26" s="642"/>
      <c r="E26" s="645"/>
      <c r="F26" s="298"/>
      <c r="G26" s="298"/>
      <c r="H26" s="649"/>
      <c r="I26" s="648"/>
      <c r="J26" s="53" t="s">
        <v>486</v>
      </c>
    </row>
    <row r="27" spans="1:10" s="199" customFormat="1" ht="20.100000000000001" hidden="1" customHeight="1" outlineLevel="1" collapsed="1" x14ac:dyDescent="0.4">
      <c r="A27" s="630">
        <v>3</v>
      </c>
      <c r="B27" s="381" t="s">
        <v>430</v>
      </c>
      <c r="C27" s="381" t="s">
        <v>431</v>
      </c>
      <c r="D27" s="381" t="s">
        <v>429</v>
      </c>
      <c r="E27" s="634" t="s">
        <v>432</v>
      </c>
      <c r="F27" s="193"/>
      <c r="G27" s="315"/>
      <c r="H27" s="309"/>
      <c r="I27" s="623" t="s">
        <v>466</v>
      </c>
      <c r="J27" s="53"/>
    </row>
    <row r="28" spans="1:10" s="199" customFormat="1" ht="20.100000000000001" hidden="1" customHeight="1" outlineLevel="1" x14ac:dyDescent="0.4">
      <c r="A28" s="631"/>
      <c r="B28" s="588"/>
      <c r="C28" s="588"/>
      <c r="D28" s="588"/>
      <c r="E28" s="637"/>
      <c r="F28" s="303" t="s">
        <v>455</v>
      </c>
      <c r="G28" s="314"/>
      <c r="H28" s="311">
        <v>46097</v>
      </c>
      <c r="I28" s="624"/>
      <c r="J28" s="53"/>
    </row>
    <row r="29" spans="1:10" s="199" customFormat="1" ht="20.100000000000001" hidden="1" customHeight="1" outlineLevel="1" x14ac:dyDescent="0.4">
      <c r="A29" s="631"/>
      <c r="B29" s="588"/>
      <c r="C29" s="588"/>
      <c r="D29" s="588"/>
      <c r="E29" s="637"/>
      <c r="F29" s="303" t="s">
        <v>456</v>
      </c>
      <c r="G29" s="314"/>
      <c r="H29" s="308">
        <v>46107</v>
      </c>
      <c r="I29" s="624"/>
      <c r="J29" s="53"/>
    </row>
    <row r="30" spans="1:10" s="199" customFormat="1" ht="20.100000000000001" hidden="1" customHeight="1" outlineLevel="1" x14ac:dyDescent="0.4">
      <c r="A30" s="631"/>
      <c r="B30" s="588"/>
      <c r="C30" s="588"/>
      <c r="D30" s="588"/>
      <c r="E30" s="637"/>
      <c r="F30" s="303" t="s">
        <v>462</v>
      </c>
      <c r="G30" s="314"/>
      <c r="H30" s="310">
        <v>46119</v>
      </c>
      <c r="I30" s="624"/>
      <c r="J30" s="53"/>
    </row>
    <row r="31" spans="1:10" s="199" customFormat="1" ht="20.100000000000001" hidden="1" customHeight="1" outlineLevel="1" collapsed="1" x14ac:dyDescent="0.4">
      <c r="A31" s="631"/>
      <c r="B31" s="588"/>
      <c r="C31" s="588"/>
      <c r="D31" s="588"/>
      <c r="E31" s="637"/>
      <c r="F31" s="303" t="s">
        <v>523</v>
      </c>
      <c r="G31" s="314"/>
      <c r="H31" s="309">
        <v>46142</v>
      </c>
      <c r="I31" s="624"/>
      <c r="J31" s="53"/>
    </row>
    <row r="32" spans="1:10" s="199" customFormat="1" ht="20.100000000000001" hidden="1" customHeight="1" outlineLevel="1" x14ac:dyDescent="0.4">
      <c r="A32" s="632"/>
      <c r="B32" s="382"/>
      <c r="C32" s="382"/>
      <c r="D32" s="382"/>
      <c r="E32" s="636"/>
      <c r="F32" s="202"/>
      <c r="G32" s="87"/>
      <c r="H32" s="312"/>
      <c r="I32" s="584"/>
      <c r="J32" s="53" t="s">
        <v>486</v>
      </c>
    </row>
    <row r="33" spans="1:10" ht="20.100000000000001" hidden="1" customHeight="1" outlineLevel="1" collapsed="1" x14ac:dyDescent="0.4">
      <c r="A33" s="630">
        <v>4</v>
      </c>
      <c r="B33" s="381" t="s">
        <v>433</v>
      </c>
      <c r="C33" s="381" t="s">
        <v>434</v>
      </c>
      <c r="D33" s="381" t="s">
        <v>454</v>
      </c>
      <c r="E33" s="634" t="s">
        <v>435</v>
      </c>
      <c r="F33" s="193"/>
      <c r="G33" s="193"/>
      <c r="H33" s="596"/>
      <c r="I33" s="604" t="s">
        <v>619</v>
      </c>
    </row>
    <row r="34" spans="1:10" ht="20.100000000000001" hidden="1" customHeight="1" outlineLevel="1" x14ac:dyDescent="0.4">
      <c r="A34" s="631"/>
      <c r="B34" s="588"/>
      <c r="C34" s="588"/>
      <c r="D34" s="588"/>
      <c r="E34" s="635"/>
      <c r="F34" s="202" t="s">
        <v>457</v>
      </c>
      <c r="G34" s="188"/>
      <c r="H34" s="598"/>
      <c r="I34" s="584"/>
    </row>
    <row r="35" spans="1:10" s="199" customFormat="1" ht="20.100000000000001" hidden="1" customHeight="1" outlineLevel="1" x14ac:dyDescent="0.4">
      <c r="A35" s="631"/>
      <c r="B35" s="588"/>
      <c r="C35" s="588"/>
      <c r="D35" s="588"/>
      <c r="E35" s="635"/>
      <c r="F35" s="202" t="s">
        <v>455</v>
      </c>
      <c r="G35" s="202"/>
      <c r="H35" s="598"/>
      <c r="I35" s="584"/>
      <c r="J35" s="53"/>
    </row>
    <row r="36" spans="1:10" ht="20.100000000000001" hidden="1" customHeight="1" outlineLevel="1" x14ac:dyDescent="0.4">
      <c r="A36" s="631"/>
      <c r="B36" s="588"/>
      <c r="C36" s="588"/>
      <c r="D36" s="588"/>
      <c r="E36" s="635"/>
      <c r="F36" s="202" t="s">
        <v>462</v>
      </c>
      <c r="G36" s="202"/>
      <c r="H36" s="598"/>
      <c r="I36" s="584"/>
    </row>
    <row r="37" spans="1:10" s="199" customFormat="1" ht="20.100000000000001" hidden="1" customHeight="1" outlineLevel="1" x14ac:dyDescent="0.4">
      <c r="A37" s="631"/>
      <c r="B37" s="588"/>
      <c r="C37" s="588"/>
      <c r="D37" s="588"/>
      <c r="E37" s="635"/>
      <c r="F37" s="202" t="s">
        <v>568</v>
      </c>
      <c r="G37" s="202"/>
      <c r="H37" s="597"/>
      <c r="I37" s="584"/>
      <c r="J37" s="53"/>
    </row>
    <row r="38" spans="1:10" s="199" customFormat="1" ht="20.100000000000001" hidden="1" customHeight="1" outlineLevel="1" collapsed="1" x14ac:dyDescent="0.4">
      <c r="A38" s="631"/>
      <c r="B38" s="588"/>
      <c r="C38" s="588"/>
      <c r="D38" s="588"/>
      <c r="E38" s="635"/>
      <c r="F38" s="202"/>
      <c r="G38" s="202"/>
      <c r="H38" s="596">
        <v>46185</v>
      </c>
      <c r="I38" s="584"/>
      <c r="J38" s="53"/>
    </row>
    <row r="39" spans="1:10" s="199" customFormat="1" ht="20.100000000000001" hidden="1" customHeight="1" outlineLevel="1" x14ac:dyDescent="0.4">
      <c r="A39" s="631"/>
      <c r="B39" s="588"/>
      <c r="C39" s="588"/>
      <c r="D39" s="588"/>
      <c r="E39" s="635"/>
      <c r="F39" s="202" t="s">
        <v>598</v>
      </c>
      <c r="G39" s="202"/>
      <c r="H39" s="598"/>
      <c r="I39" s="584"/>
      <c r="J39" s="53"/>
    </row>
    <row r="40" spans="1:10" s="199" customFormat="1" ht="20.100000000000001" hidden="1" customHeight="1" outlineLevel="1" x14ac:dyDescent="0.4">
      <c r="A40" s="631"/>
      <c r="B40" s="588"/>
      <c r="C40" s="588"/>
      <c r="D40" s="588"/>
      <c r="E40" s="635"/>
      <c r="F40" s="87" t="s">
        <v>455</v>
      </c>
      <c r="G40" s="87"/>
      <c r="H40" s="597"/>
      <c r="I40" s="584"/>
      <c r="J40" s="53"/>
    </row>
    <row r="41" spans="1:10" s="199" customFormat="1" ht="20.100000000000001" hidden="1" customHeight="1" outlineLevel="1" collapsed="1" x14ac:dyDescent="0.4">
      <c r="A41" s="631"/>
      <c r="B41" s="588"/>
      <c r="C41" s="588"/>
      <c r="D41" s="588"/>
      <c r="E41" s="635"/>
      <c r="F41" s="202"/>
      <c r="G41" s="202"/>
      <c r="H41" s="596">
        <v>46192</v>
      </c>
      <c r="I41" s="584"/>
      <c r="J41" s="53"/>
    </row>
    <row r="42" spans="1:10" s="199" customFormat="1" ht="20.100000000000001" hidden="1" customHeight="1" outlineLevel="1" x14ac:dyDescent="0.4">
      <c r="A42" s="631"/>
      <c r="B42" s="588"/>
      <c r="C42" s="588"/>
      <c r="D42" s="588"/>
      <c r="E42" s="635"/>
      <c r="F42" s="202" t="s">
        <v>463</v>
      </c>
      <c r="G42" s="202"/>
      <c r="H42" s="598"/>
      <c r="I42" s="584"/>
      <c r="J42" s="53"/>
    </row>
    <row r="43" spans="1:10" s="199" customFormat="1" ht="20.100000000000001" hidden="1" customHeight="1" outlineLevel="1" x14ac:dyDescent="0.4">
      <c r="A43" s="631"/>
      <c r="B43" s="588"/>
      <c r="C43" s="588"/>
      <c r="D43" s="588"/>
      <c r="E43" s="635"/>
      <c r="F43" s="202" t="s">
        <v>455</v>
      </c>
      <c r="G43" s="202"/>
      <c r="H43" s="598"/>
      <c r="I43" s="584"/>
      <c r="J43" s="53"/>
    </row>
    <row r="44" spans="1:10" s="199" customFormat="1" ht="20.100000000000001" hidden="1" customHeight="1" outlineLevel="1" x14ac:dyDescent="0.4">
      <c r="A44" s="631"/>
      <c r="B44" s="588"/>
      <c r="C44" s="588"/>
      <c r="D44" s="588"/>
      <c r="E44" s="635"/>
      <c r="F44" s="202" t="s">
        <v>618</v>
      </c>
      <c r="G44" s="202"/>
      <c r="H44" s="598"/>
      <c r="I44" s="584"/>
      <c r="J44" s="53"/>
    </row>
    <row r="45" spans="1:10" ht="20.100000000000001" hidden="1" customHeight="1" outlineLevel="1" x14ac:dyDescent="0.4">
      <c r="A45" s="632"/>
      <c r="B45" s="382"/>
      <c r="C45" s="382"/>
      <c r="D45" s="382"/>
      <c r="E45" s="636"/>
      <c r="F45" s="87"/>
      <c r="G45" s="87"/>
      <c r="H45" s="597"/>
      <c r="I45" s="584"/>
      <c r="J45" s="347" t="s">
        <v>621</v>
      </c>
    </row>
    <row r="46" spans="1:10" ht="20.100000000000001" hidden="1" customHeight="1" outlineLevel="1" collapsed="1" x14ac:dyDescent="0.4">
      <c r="A46" s="630">
        <v>5</v>
      </c>
      <c r="B46" s="381" t="s">
        <v>348</v>
      </c>
      <c r="C46" s="381" t="s">
        <v>436</v>
      </c>
      <c r="D46" s="381" t="s">
        <v>437</v>
      </c>
      <c r="E46" s="525" t="s">
        <v>438</v>
      </c>
      <c r="F46" s="193" t="s">
        <v>458</v>
      </c>
      <c r="G46" s="193"/>
      <c r="H46" s="592" t="s">
        <v>469</v>
      </c>
      <c r="I46" s="604" t="s">
        <v>466</v>
      </c>
    </row>
    <row r="47" spans="1:10" ht="20.100000000000001" hidden="1" customHeight="1" outlineLevel="1" x14ac:dyDescent="0.4">
      <c r="A47" s="631"/>
      <c r="B47" s="588"/>
      <c r="C47" s="588"/>
      <c r="D47" s="588"/>
      <c r="E47" s="633"/>
      <c r="F47" s="202" t="s">
        <v>459</v>
      </c>
      <c r="G47" s="188"/>
      <c r="H47" s="593"/>
      <c r="I47" s="584"/>
    </row>
    <row r="48" spans="1:10" s="199" customFormat="1" ht="20.100000000000001" hidden="1" customHeight="1" outlineLevel="1" x14ac:dyDescent="0.4">
      <c r="A48" s="631"/>
      <c r="B48" s="588"/>
      <c r="C48" s="588"/>
      <c r="D48" s="588"/>
      <c r="E48" s="633"/>
      <c r="F48" s="202" t="s">
        <v>455</v>
      </c>
      <c r="G48" s="202"/>
      <c r="H48" s="593"/>
      <c r="I48" s="584"/>
      <c r="J48" s="53"/>
    </row>
    <row r="49" spans="1:10" s="199" customFormat="1" ht="20.100000000000001" hidden="1" customHeight="1" outlineLevel="1" x14ac:dyDescent="0.4">
      <c r="A49" s="631"/>
      <c r="B49" s="588"/>
      <c r="C49" s="588"/>
      <c r="D49" s="588"/>
      <c r="E49" s="633"/>
      <c r="F49" s="202" t="s">
        <v>491</v>
      </c>
      <c r="G49" s="202"/>
      <c r="H49" s="593"/>
      <c r="I49" s="584"/>
      <c r="J49" s="53"/>
    </row>
    <row r="50" spans="1:10" s="194" customFormat="1" ht="20.100000000000001" hidden="1" customHeight="1" outlineLevel="1" x14ac:dyDescent="0.4">
      <c r="A50" s="631"/>
      <c r="B50" s="588"/>
      <c r="C50" s="588"/>
      <c r="D50" s="588"/>
      <c r="E50" s="633"/>
      <c r="F50" s="202" t="s">
        <v>464</v>
      </c>
      <c r="G50" s="188"/>
      <c r="H50" s="593"/>
      <c r="I50" s="584"/>
      <c r="J50" s="53"/>
    </row>
    <row r="51" spans="1:10" s="199" customFormat="1" ht="20.100000000000001" hidden="1" customHeight="1" outlineLevel="1" x14ac:dyDescent="0.4">
      <c r="A51" s="631"/>
      <c r="B51" s="588"/>
      <c r="C51" s="588"/>
      <c r="D51" s="588"/>
      <c r="E51" s="633"/>
      <c r="F51" s="202" t="s">
        <v>496</v>
      </c>
      <c r="G51" s="202"/>
      <c r="H51" s="593"/>
      <c r="I51" s="584"/>
      <c r="J51" s="53"/>
    </row>
    <row r="52" spans="1:10" ht="20.100000000000001" hidden="1" customHeight="1" outlineLevel="1" x14ac:dyDescent="0.4">
      <c r="A52" s="632"/>
      <c r="B52" s="382"/>
      <c r="C52" s="382"/>
      <c r="D52" s="382"/>
      <c r="E52" s="526"/>
      <c r="F52" s="87" t="s">
        <v>503</v>
      </c>
      <c r="G52" s="87"/>
      <c r="H52" s="593"/>
      <c r="I52" s="584"/>
      <c r="J52" s="347" t="s">
        <v>487</v>
      </c>
    </row>
    <row r="53" spans="1:10" ht="20.100000000000001" hidden="1" customHeight="1" outlineLevel="1" collapsed="1" x14ac:dyDescent="0.4">
      <c r="A53" s="379">
        <f>A46+1</f>
        <v>6</v>
      </c>
      <c r="B53" s="381" t="s">
        <v>439</v>
      </c>
      <c r="C53" s="381" t="s">
        <v>440</v>
      </c>
      <c r="D53" s="381" t="s">
        <v>441</v>
      </c>
      <c r="E53" s="525" t="s">
        <v>460</v>
      </c>
      <c r="F53" s="193"/>
      <c r="G53" s="193"/>
      <c r="H53" s="596">
        <v>46157</v>
      </c>
      <c r="I53" s="604" t="s">
        <v>602</v>
      </c>
    </row>
    <row r="54" spans="1:10" ht="20.100000000000001" hidden="1" customHeight="1" outlineLevel="1" x14ac:dyDescent="0.4">
      <c r="A54" s="594"/>
      <c r="B54" s="588"/>
      <c r="C54" s="588"/>
      <c r="D54" s="588"/>
      <c r="E54" s="633"/>
      <c r="F54" s="202" t="s">
        <v>519</v>
      </c>
      <c r="G54" s="202"/>
      <c r="H54" s="598"/>
      <c r="I54" s="584"/>
    </row>
    <row r="55" spans="1:10" ht="20.100000000000001" hidden="1" customHeight="1" outlineLevel="1" x14ac:dyDescent="0.4">
      <c r="A55" s="594"/>
      <c r="B55" s="588"/>
      <c r="C55" s="588"/>
      <c r="D55" s="588"/>
      <c r="E55" s="633"/>
      <c r="F55" s="202" t="s">
        <v>461</v>
      </c>
      <c r="G55" s="202"/>
      <c r="H55" s="598"/>
      <c r="I55" s="584"/>
    </row>
    <row r="56" spans="1:10" s="199" customFormat="1" ht="20.100000000000001" hidden="1" customHeight="1" outlineLevel="1" x14ac:dyDescent="0.4">
      <c r="A56" s="594"/>
      <c r="B56" s="588"/>
      <c r="C56" s="588"/>
      <c r="D56" s="588"/>
      <c r="E56" s="633"/>
      <c r="F56" s="202" t="s">
        <v>462</v>
      </c>
      <c r="G56" s="202"/>
      <c r="H56" s="598"/>
      <c r="I56" s="584"/>
      <c r="J56" s="53"/>
    </row>
    <row r="57" spans="1:10" s="199" customFormat="1" ht="20.100000000000001" hidden="1" customHeight="1" outlineLevel="1" collapsed="1" x14ac:dyDescent="0.4">
      <c r="A57" s="594"/>
      <c r="B57" s="588"/>
      <c r="C57" s="588"/>
      <c r="D57" s="588"/>
      <c r="E57" s="633"/>
      <c r="F57" s="202"/>
      <c r="G57" s="202"/>
      <c r="H57" s="598"/>
      <c r="I57" s="584"/>
      <c r="J57" s="53"/>
    </row>
    <row r="58" spans="1:10" s="199" customFormat="1" ht="20.100000000000001" hidden="1" customHeight="1" outlineLevel="1" collapsed="1" x14ac:dyDescent="0.4">
      <c r="A58" s="594"/>
      <c r="B58" s="588"/>
      <c r="C58" s="588"/>
      <c r="D58" s="588"/>
      <c r="E58" s="633"/>
      <c r="F58" s="202" t="s">
        <v>520</v>
      </c>
      <c r="G58" s="202"/>
      <c r="H58" s="598"/>
      <c r="I58" s="584"/>
      <c r="J58" s="53"/>
    </row>
    <row r="59" spans="1:10" s="199" customFormat="1" ht="20.100000000000001" hidden="1" customHeight="1" outlineLevel="1" x14ac:dyDescent="0.4">
      <c r="A59" s="594"/>
      <c r="B59" s="588"/>
      <c r="C59" s="588"/>
      <c r="D59" s="588"/>
      <c r="E59" s="633"/>
      <c r="F59" s="202" t="s">
        <v>521</v>
      </c>
      <c r="G59" s="202"/>
      <c r="H59" s="598"/>
      <c r="I59" s="584"/>
      <c r="J59" s="53"/>
    </row>
    <row r="60" spans="1:10" s="199" customFormat="1" ht="20.100000000000001" hidden="1" customHeight="1" outlineLevel="1" x14ac:dyDescent="0.4">
      <c r="A60" s="594"/>
      <c r="B60" s="588"/>
      <c r="C60" s="588"/>
      <c r="D60" s="588"/>
      <c r="E60" s="633"/>
      <c r="F60" s="202" t="s">
        <v>461</v>
      </c>
      <c r="G60" s="202"/>
      <c r="H60" s="598"/>
      <c r="I60" s="584"/>
      <c r="J60" s="53"/>
    </row>
    <row r="61" spans="1:10" s="199" customFormat="1" ht="20.100000000000001" hidden="1" customHeight="1" outlineLevel="1" x14ac:dyDescent="0.4">
      <c r="A61" s="594"/>
      <c r="B61" s="588"/>
      <c r="C61" s="588"/>
      <c r="D61" s="588"/>
      <c r="E61" s="633"/>
      <c r="F61" s="202" t="s">
        <v>529</v>
      </c>
      <c r="G61" s="202"/>
      <c r="H61" s="598"/>
      <c r="I61" s="584"/>
      <c r="J61" s="53"/>
    </row>
    <row r="62" spans="1:10" s="199" customFormat="1" ht="20.100000000000001" hidden="1" customHeight="1" outlineLevel="1" x14ac:dyDescent="0.4">
      <c r="A62" s="594"/>
      <c r="B62" s="588"/>
      <c r="C62" s="588"/>
      <c r="D62" s="588"/>
      <c r="E62" s="633"/>
      <c r="F62" s="202" t="s">
        <v>496</v>
      </c>
      <c r="G62" s="202"/>
      <c r="H62" s="597"/>
      <c r="I62" s="584"/>
      <c r="J62" s="53"/>
    </row>
    <row r="63" spans="1:10" s="199" customFormat="1" ht="20.100000000000001" hidden="1" customHeight="1" outlineLevel="1" x14ac:dyDescent="0.4">
      <c r="A63" s="594"/>
      <c r="B63" s="588"/>
      <c r="C63" s="588"/>
      <c r="D63" s="588"/>
      <c r="E63" s="633"/>
      <c r="F63" s="202"/>
      <c r="G63" s="202"/>
      <c r="H63" s="325"/>
      <c r="I63" s="584"/>
      <c r="J63" s="53"/>
    </row>
    <row r="64" spans="1:10" s="199" customFormat="1" ht="20.100000000000001" hidden="1" customHeight="1" outlineLevel="1" collapsed="1" x14ac:dyDescent="0.4">
      <c r="A64" s="594"/>
      <c r="B64" s="588"/>
      <c r="C64" s="588"/>
      <c r="D64" s="588"/>
      <c r="E64" s="633"/>
      <c r="F64" s="202" t="s">
        <v>585</v>
      </c>
      <c r="G64" s="202"/>
      <c r="H64" s="596">
        <v>46178</v>
      </c>
      <c r="I64" s="584"/>
      <c r="J64" s="53"/>
    </row>
    <row r="65" spans="1:10" s="199" customFormat="1" ht="20.100000000000001" hidden="1" customHeight="1" outlineLevel="1" x14ac:dyDescent="0.4">
      <c r="A65" s="594"/>
      <c r="B65" s="588"/>
      <c r="C65" s="588"/>
      <c r="D65" s="588"/>
      <c r="E65" s="633"/>
      <c r="F65" s="202" t="s">
        <v>584</v>
      </c>
      <c r="G65" s="202"/>
      <c r="H65" s="598"/>
      <c r="I65" s="584"/>
      <c r="J65" s="53"/>
    </row>
    <row r="66" spans="1:10" s="199" customFormat="1" ht="20.100000000000001" hidden="1" customHeight="1" outlineLevel="1" x14ac:dyDescent="0.4">
      <c r="A66" s="594"/>
      <c r="B66" s="588"/>
      <c r="C66" s="588"/>
      <c r="D66" s="588"/>
      <c r="E66" s="633"/>
      <c r="F66" s="202" t="s">
        <v>461</v>
      </c>
      <c r="G66" s="202"/>
      <c r="H66" s="598"/>
      <c r="I66" s="584"/>
      <c r="J66" s="53"/>
    </row>
    <row r="67" spans="1:10" s="199" customFormat="1" ht="20.100000000000001" hidden="1" customHeight="1" outlineLevel="1" x14ac:dyDescent="0.4">
      <c r="A67" s="594"/>
      <c r="B67" s="588"/>
      <c r="C67" s="588"/>
      <c r="D67" s="588"/>
      <c r="E67" s="633"/>
      <c r="F67" s="202" t="s">
        <v>529</v>
      </c>
      <c r="G67" s="202"/>
      <c r="H67" s="598"/>
      <c r="I67" s="584"/>
      <c r="J67" s="53"/>
    </row>
    <row r="68" spans="1:10" s="199" customFormat="1" ht="20.100000000000001" hidden="1" customHeight="1" outlineLevel="1" x14ac:dyDescent="0.4">
      <c r="A68" s="594"/>
      <c r="B68" s="588"/>
      <c r="C68" s="588"/>
      <c r="D68" s="588"/>
      <c r="E68" s="633"/>
      <c r="F68" s="202"/>
      <c r="G68" s="202"/>
      <c r="H68" s="598"/>
      <c r="I68" s="584"/>
      <c r="J68" s="53"/>
    </row>
    <row r="69" spans="1:10" ht="20.100000000000001" hidden="1" customHeight="1" outlineLevel="1" collapsed="1" x14ac:dyDescent="0.4">
      <c r="A69" s="380"/>
      <c r="B69" s="382"/>
      <c r="C69" s="382"/>
      <c r="D69" s="382"/>
      <c r="E69" s="526"/>
      <c r="F69" s="87"/>
      <c r="G69" s="87"/>
      <c r="H69" s="597"/>
      <c r="I69" s="584"/>
      <c r="J69" s="53" t="s">
        <v>531</v>
      </c>
    </row>
    <row r="70" spans="1:10" ht="20.100000000000001" hidden="1" customHeight="1" outlineLevel="1" collapsed="1" x14ac:dyDescent="0.4">
      <c r="A70" s="379">
        <f>A53+1</f>
        <v>7</v>
      </c>
      <c r="B70" s="381" t="s">
        <v>348</v>
      </c>
      <c r="C70" s="381" t="s">
        <v>443</v>
      </c>
      <c r="D70" s="381" t="s">
        <v>444</v>
      </c>
      <c r="E70" s="627" t="s">
        <v>445</v>
      </c>
      <c r="F70" s="193" t="s">
        <v>463</v>
      </c>
      <c r="G70" s="202"/>
      <c r="H70" s="592">
        <v>46122</v>
      </c>
      <c r="I70" s="604" t="s">
        <v>466</v>
      </c>
    </row>
    <row r="71" spans="1:10" s="199" customFormat="1" ht="20.100000000000001" hidden="1" customHeight="1" outlineLevel="1" x14ac:dyDescent="0.4">
      <c r="A71" s="594"/>
      <c r="B71" s="588"/>
      <c r="C71" s="588"/>
      <c r="D71" s="588"/>
      <c r="E71" s="628"/>
      <c r="F71" s="202" t="s">
        <v>455</v>
      </c>
      <c r="G71" s="202"/>
      <c r="H71" s="593"/>
      <c r="I71" s="584"/>
      <c r="J71" s="53"/>
    </row>
    <row r="72" spans="1:10" ht="20.100000000000001" hidden="1" customHeight="1" outlineLevel="1" x14ac:dyDescent="0.4">
      <c r="A72" s="594"/>
      <c r="B72" s="588"/>
      <c r="C72" s="588"/>
      <c r="D72" s="588"/>
      <c r="E72" s="628"/>
      <c r="F72" s="202" t="s">
        <v>491</v>
      </c>
      <c r="G72" s="202"/>
      <c r="H72" s="593"/>
      <c r="I72" s="584"/>
    </row>
    <row r="73" spans="1:10" ht="20.100000000000001" hidden="1" customHeight="1" outlineLevel="1" x14ac:dyDescent="0.4">
      <c r="A73" s="594"/>
      <c r="B73" s="588"/>
      <c r="C73" s="588"/>
      <c r="D73" s="588"/>
      <c r="E73" s="628"/>
      <c r="F73" s="202" t="s">
        <v>464</v>
      </c>
      <c r="G73" s="202"/>
      <c r="H73" s="593"/>
      <c r="I73" s="584"/>
    </row>
    <row r="74" spans="1:10" s="199" customFormat="1" ht="20.100000000000001" hidden="1" customHeight="1" outlineLevel="1" x14ac:dyDescent="0.4">
      <c r="A74" s="594"/>
      <c r="B74" s="588"/>
      <c r="C74" s="588"/>
      <c r="D74" s="588"/>
      <c r="E74" s="628"/>
      <c r="F74" s="202" t="s">
        <v>496</v>
      </c>
      <c r="G74" s="202"/>
      <c r="H74" s="593"/>
      <c r="I74" s="584"/>
      <c r="J74" s="53"/>
    </row>
    <row r="75" spans="1:10" ht="20.100000000000001" hidden="1" customHeight="1" outlineLevel="1" x14ac:dyDescent="0.4">
      <c r="A75" s="380"/>
      <c r="B75" s="382"/>
      <c r="C75" s="382"/>
      <c r="D75" s="382"/>
      <c r="E75" s="629"/>
      <c r="F75" s="87" t="s">
        <v>503</v>
      </c>
      <c r="G75" s="87"/>
      <c r="H75" s="593"/>
      <c r="I75" s="584"/>
      <c r="J75" s="347" t="s">
        <v>488</v>
      </c>
    </row>
    <row r="76" spans="1:10" s="191" customFormat="1" ht="20.100000000000001" hidden="1" customHeight="1" outlineLevel="1" collapsed="1" x14ac:dyDescent="0.4">
      <c r="A76" s="379">
        <v>8</v>
      </c>
      <c r="B76" s="381" t="s">
        <v>348</v>
      </c>
      <c r="C76" s="381" t="s">
        <v>465</v>
      </c>
      <c r="D76" s="381" t="s">
        <v>447</v>
      </c>
      <c r="E76" s="627" t="s">
        <v>448</v>
      </c>
      <c r="F76" s="193" t="s">
        <v>470</v>
      </c>
      <c r="G76" s="193"/>
      <c r="H76" s="592">
        <v>46122</v>
      </c>
      <c r="I76" s="604" t="s">
        <v>504</v>
      </c>
      <c r="J76" s="53"/>
    </row>
    <row r="77" spans="1:10" s="199" customFormat="1" ht="20.100000000000001" hidden="1" customHeight="1" outlineLevel="1" x14ac:dyDescent="0.4">
      <c r="A77" s="594"/>
      <c r="B77" s="588"/>
      <c r="C77" s="588"/>
      <c r="D77" s="588"/>
      <c r="E77" s="628"/>
      <c r="F77" s="202" t="s">
        <v>455</v>
      </c>
      <c r="G77" s="202"/>
      <c r="H77" s="593"/>
      <c r="I77" s="605"/>
      <c r="J77" s="53"/>
    </row>
    <row r="78" spans="1:10" s="199" customFormat="1" ht="20.100000000000001" hidden="1" customHeight="1" outlineLevel="1" x14ac:dyDescent="0.4">
      <c r="A78" s="594"/>
      <c r="B78" s="588"/>
      <c r="C78" s="588"/>
      <c r="D78" s="588"/>
      <c r="E78" s="628"/>
      <c r="F78" s="202" t="s">
        <v>491</v>
      </c>
      <c r="G78" s="202"/>
      <c r="H78" s="593"/>
      <c r="I78" s="605"/>
      <c r="J78" s="53"/>
    </row>
    <row r="79" spans="1:10" s="199" customFormat="1" ht="20.100000000000001" hidden="1" customHeight="1" outlineLevel="1" x14ac:dyDescent="0.4">
      <c r="A79" s="594"/>
      <c r="B79" s="588"/>
      <c r="C79" s="588"/>
      <c r="D79" s="588"/>
      <c r="E79" s="628"/>
      <c r="F79" s="202" t="s">
        <v>496</v>
      </c>
      <c r="G79" s="202"/>
      <c r="H79" s="593"/>
      <c r="I79" s="605"/>
      <c r="J79" s="53"/>
    </row>
    <row r="80" spans="1:10" s="191" customFormat="1" ht="20.100000000000001" hidden="1" customHeight="1" outlineLevel="1" x14ac:dyDescent="0.4">
      <c r="A80" s="380"/>
      <c r="B80" s="382"/>
      <c r="C80" s="382"/>
      <c r="D80" s="382"/>
      <c r="E80" s="629"/>
      <c r="F80" s="87" t="s">
        <v>503</v>
      </c>
      <c r="G80" s="87"/>
      <c r="H80" s="593"/>
      <c r="I80" s="605"/>
      <c r="J80" s="347" t="s">
        <v>489</v>
      </c>
    </row>
    <row r="81" spans="1:10" s="191" customFormat="1" ht="18.75" hidden="1" customHeight="1" outlineLevel="1" collapsed="1" x14ac:dyDescent="0.4">
      <c r="A81" s="379">
        <v>9</v>
      </c>
      <c r="B81" s="381" t="s">
        <v>348</v>
      </c>
      <c r="C81" s="381" t="s">
        <v>471</v>
      </c>
      <c r="D81" s="381" t="s">
        <v>472</v>
      </c>
      <c r="E81" s="634" t="s">
        <v>473</v>
      </c>
      <c r="F81" s="193" t="s">
        <v>463</v>
      </c>
      <c r="G81" s="193"/>
      <c r="H81" s="592">
        <v>46122</v>
      </c>
      <c r="I81" s="585" t="s">
        <v>466</v>
      </c>
      <c r="J81" s="53"/>
    </row>
    <row r="82" spans="1:10" s="199" customFormat="1" ht="18.75" hidden="1" customHeight="1" outlineLevel="1" x14ac:dyDescent="0.4">
      <c r="A82" s="594"/>
      <c r="B82" s="588"/>
      <c r="C82" s="588"/>
      <c r="D82" s="588"/>
      <c r="E82" s="635"/>
      <c r="F82" s="202" t="s">
        <v>455</v>
      </c>
      <c r="G82" s="202"/>
      <c r="H82" s="592"/>
      <c r="I82" s="599"/>
      <c r="J82" s="53"/>
    </row>
    <row r="83" spans="1:10" s="199" customFormat="1" ht="18.75" hidden="1" customHeight="1" outlineLevel="1" x14ac:dyDescent="0.4">
      <c r="A83" s="594"/>
      <c r="B83" s="588"/>
      <c r="C83" s="588"/>
      <c r="D83" s="588"/>
      <c r="E83" s="635"/>
      <c r="F83" s="202" t="s">
        <v>496</v>
      </c>
      <c r="G83" s="202"/>
      <c r="H83" s="593"/>
      <c r="I83" s="586"/>
      <c r="J83" s="53"/>
    </row>
    <row r="84" spans="1:10" s="191" customFormat="1" ht="18.75" hidden="1" customHeight="1" outlineLevel="1" x14ac:dyDescent="0.4">
      <c r="A84" s="380"/>
      <c r="B84" s="382"/>
      <c r="C84" s="382"/>
      <c r="D84" s="382"/>
      <c r="E84" s="636"/>
      <c r="F84" s="87" t="s">
        <v>503</v>
      </c>
      <c r="G84" s="87"/>
      <c r="H84" s="593"/>
      <c r="I84" s="587"/>
      <c r="J84" s="347" t="s">
        <v>490</v>
      </c>
    </row>
    <row r="85" spans="1:10" s="191" customFormat="1" ht="20.100000000000001" hidden="1" customHeight="1" outlineLevel="1" x14ac:dyDescent="0.4">
      <c r="A85" s="379">
        <v>10</v>
      </c>
      <c r="B85" s="381" t="s">
        <v>481</v>
      </c>
      <c r="C85" s="381" t="s">
        <v>478</v>
      </c>
      <c r="D85" s="381"/>
      <c r="E85" s="589" t="s">
        <v>474</v>
      </c>
      <c r="F85" s="193"/>
      <c r="G85" s="193"/>
      <c r="H85" s="592">
        <v>46122</v>
      </c>
      <c r="I85" s="583" t="s">
        <v>466</v>
      </c>
      <c r="J85" s="53"/>
    </row>
    <row r="86" spans="1:10" s="191" customFormat="1" ht="20.100000000000001" hidden="1" customHeight="1" outlineLevel="1" x14ac:dyDescent="0.4">
      <c r="A86" s="594"/>
      <c r="B86" s="588"/>
      <c r="C86" s="588"/>
      <c r="D86" s="588"/>
      <c r="E86" s="590"/>
      <c r="F86" s="202" t="s">
        <v>493</v>
      </c>
      <c r="G86" s="202"/>
      <c r="H86" s="593"/>
      <c r="I86" s="584"/>
      <c r="J86" s="53"/>
    </row>
    <row r="87" spans="1:10" s="191" customFormat="1" ht="20.100000000000001" hidden="1" customHeight="1" outlineLevel="1" x14ac:dyDescent="0.4">
      <c r="A87" s="380"/>
      <c r="B87" s="382"/>
      <c r="C87" s="382"/>
      <c r="D87" s="382"/>
      <c r="E87" s="591"/>
      <c r="F87" s="87"/>
      <c r="G87" s="87"/>
      <c r="H87" s="593"/>
      <c r="I87" s="584"/>
      <c r="J87" s="347" t="s">
        <v>489</v>
      </c>
    </row>
    <row r="88" spans="1:10" s="191" customFormat="1" ht="20.100000000000001" hidden="1" customHeight="1" outlineLevel="1" collapsed="1" x14ac:dyDescent="0.4">
      <c r="A88" s="379">
        <v>11</v>
      </c>
      <c r="B88" s="381" t="s">
        <v>482</v>
      </c>
      <c r="C88" s="381" t="s">
        <v>479</v>
      </c>
      <c r="D88" s="381" t="s">
        <v>477</v>
      </c>
      <c r="E88" s="589" t="s">
        <v>475</v>
      </c>
      <c r="F88" s="193"/>
      <c r="G88" s="193"/>
      <c r="H88" s="305"/>
      <c r="I88" s="601" t="s">
        <v>466</v>
      </c>
      <c r="J88" s="53"/>
    </row>
    <row r="89" spans="1:10" s="191" customFormat="1" ht="20.100000000000001" hidden="1" customHeight="1" outlineLevel="1" x14ac:dyDescent="0.4">
      <c r="A89" s="594"/>
      <c r="B89" s="588"/>
      <c r="C89" s="588"/>
      <c r="D89" s="588"/>
      <c r="E89" s="590"/>
      <c r="F89" s="202" t="s">
        <v>455</v>
      </c>
      <c r="G89" s="202"/>
      <c r="H89" s="598">
        <v>46136</v>
      </c>
      <c r="I89" s="602"/>
      <c r="J89" s="53"/>
    </row>
    <row r="90" spans="1:10" s="199" customFormat="1" ht="20.100000000000001" hidden="1" customHeight="1" outlineLevel="1" x14ac:dyDescent="0.4">
      <c r="A90" s="594"/>
      <c r="B90" s="588"/>
      <c r="C90" s="588"/>
      <c r="D90" s="588"/>
      <c r="E90" s="590"/>
      <c r="F90" s="202" t="s">
        <v>492</v>
      </c>
      <c r="G90" s="202"/>
      <c r="H90" s="598"/>
      <c r="I90" s="602"/>
      <c r="J90" s="53"/>
    </row>
    <row r="91" spans="1:10" s="199" customFormat="1" ht="20.100000000000001" hidden="1" customHeight="1" outlineLevel="1" x14ac:dyDescent="0.4">
      <c r="A91" s="594"/>
      <c r="B91" s="588"/>
      <c r="C91" s="588"/>
      <c r="D91" s="588"/>
      <c r="E91" s="590"/>
      <c r="F91" s="202" t="s">
        <v>517</v>
      </c>
      <c r="G91" s="202"/>
      <c r="H91" s="598"/>
      <c r="I91" s="602"/>
      <c r="J91" s="53"/>
    </row>
    <row r="92" spans="1:10" s="191" customFormat="1" ht="20.100000000000001" hidden="1" customHeight="1" outlineLevel="1" x14ac:dyDescent="0.4">
      <c r="A92" s="594"/>
      <c r="B92" s="588"/>
      <c r="C92" s="588"/>
      <c r="D92" s="588"/>
      <c r="E92" s="590"/>
      <c r="F92" s="87" t="s">
        <v>516</v>
      </c>
      <c r="G92" s="87"/>
      <c r="H92" s="598"/>
      <c r="I92" s="602"/>
      <c r="J92" s="53" t="s">
        <v>486</v>
      </c>
    </row>
    <row r="93" spans="1:10" s="199" customFormat="1" ht="20.100000000000001" hidden="1" customHeight="1" outlineLevel="1" x14ac:dyDescent="0.4">
      <c r="A93" s="594"/>
      <c r="B93" s="588"/>
      <c r="C93" s="588"/>
      <c r="D93" s="588"/>
      <c r="E93" s="590"/>
      <c r="F93" s="202" t="s">
        <v>494</v>
      </c>
      <c r="G93" s="202"/>
      <c r="H93" s="596">
        <v>46140</v>
      </c>
      <c r="I93" s="602"/>
      <c r="J93" s="53"/>
    </row>
    <row r="94" spans="1:10" s="199" customFormat="1" ht="20.100000000000001" hidden="1" customHeight="1" outlineLevel="1" x14ac:dyDescent="0.4">
      <c r="A94" s="594"/>
      <c r="B94" s="588"/>
      <c r="C94" s="588"/>
      <c r="D94" s="588"/>
      <c r="E94" s="590"/>
      <c r="F94" s="202" t="s">
        <v>495</v>
      </c>
      <c r="G94" s="202"/>
      <c r="H94" s="598"/>
      <c r="I94" s="602"/>
      <c r="J94" s="53"/>
    </row>
    <row r="95" spans="1:10" s="199" customFormat="1" ht="20.100000000000001" hidden="1" customHeight="1" outlineLevel="1" x14ac:dyDescent="0.4">
      <c r="A95" s="594"/>
      <c r="B95" s="588"/>
      <c r="C95" s="588"/>
      <c r="D95" s="588"/>
      <c r="E95" s="590"/>
      <c r="F95" s="202" t="s">
        <v>515</v>
      </c>
      <c r="G95" s="202"/>
      <c r="H95" s="598"/>
      <c r="I95" s="602"/>
      <c r="J95" s="53"/>
    </row>
    <row r="96" spans="1:10" s="199" customFormat="1" ht="20.100000000000001" hidden="1" customHeight="1" outlineLevel="1" x14ac:dyDescent="0.4">
      <c r="A96" s="594"/>
      <c r="B96" s="588"/>
      <c r="C96" s="588"/>
      <c r="D96" s="588"/>
      <c r="E96" s="590"/>
      <c r="F96" s="320" t="s">
        <v>516</v>
      </c>
      <c r="G96" s="87"/>
      <c r="H96" s="597"/>
      <c r="I96" s="603"/>
      <c r="J96" s="53"/>
    </row>
    <row r="97" spans="1:10" s="199" customFormat="1" ht="20.100000000000001" hidden="1" customHeight="1" outlineLevel="1" collapsed="1" x14ac:dyDescent="0.4">
      <c r="A97" s="594"/>
      <c r="B97" s="588"/>
      <c r="C97" s="588"/>
      <c r="D97" s="588"/>
      <c r="E97" s="590"/>
      <c r="F97" s="303"/>
      <c r="G97" s="202"/>
      <c r="H97" s="626">
        <v>46169</v>
      </c>
      <c r="I97" s="585" t="s">
        <v>572</v>
      </c>
      <c r="J97" s="53"/>
    </row>
    <row r="98" spans="1:10" s="199" customFormat="1" ht="20.100000000000001" hidden="1" customHeight="1" outlineLevel="1" x14ac:dyDescent="0.4">
      <c r="A98" s="594"/>
      <c r="B98" s="588"/>
      <c r="C98" s="588"/>
      <c r="D98" s="588"/>
      <c r="E98" s="590"/>
      <c r="F98" s="202" t="s">
        <v>542</v>
      </c>
      <c r="G98" s="202"/>
      <c r="H98" s="598"/>
      <c r="I98" s="586"/>
      <c r="J98" s="53"/>
    </row>
    <row r="99" spans="1:10" s="199" customFormat="1" ht="20.100000000000001" hidden="1" customHeight="1" outlineLevel="1" x14ac:dyDescent="0.4">
      <c r="A99" s="594"/>
      <c r="B99" s="588"/>
      <c r="C99" s="588"/>
      <c r="D99" s="588"/>
      <c r="E99" s="590"/>
      <c r="F99" s="202" t="s">
        <v>543</v>
      </c>
      <c r="G99" s="202"/>
      <c r="H99" s="598"/>
      <c r="I99" s="586"/>
      <c r="J99" s="53"/>
    </row>
    <row r="100" spans="1:10" s="199" customFormat="1" ht="20.100000000000001" hidden="1" customHeight="1" outlineLevel="1" x14ac:dyDescent="0.4">
      <c r="A100" s="594"/>
      <c r="B100" s="588"/>
      <c r="C100" s="588"/>
      <c r="D100" s="588"/>
      <c r="E100" s="590"/>
      <c r="F100" s="202" t="s">
        <v>566</v>
      </c>
      <c r="G100" s="202"/>
      <c r="H100" s="598"/>
      <c r="I100" s="586"/>
      <c r="J100" s="53"/>
    </row>
    <row r="101" spans="1:10" s="199" customFormat="1" ht="20.100000000000001" hidden="1" customHeight="1" outlineLevel="1" x14ac:dyDescent="0.4">
      <c r="A101" s="594"/>
      <c r="B101" s="588"/>
      <c r="C101" s="588"/>
      <c r="D101" s="588"/>
      <c r="E101" s="590"/>
      <c r="F101" s="202" t="s">
        <v>516</v>
      </c>
      <c r="G101" s="202"/>
      <c r="H101" s="598"/>
      <c r="I101" s="586"/>
      <c r="J101" s="53"/>
    </row>
    <row r="102" spans="1:10" s="201" customFormat="1" ht="20.100000000000001" hidden="1" customHeight="1" outlineLevel="1" x14ac:dyDescent="0.4">
      <c r="A102" s="380"/>
      <c r="B102" s="382"/>
      <c r="C102" s="382"/>
      <c r="D102" s="382"/>
      <c r="E102" s="591"/>
      <c r="F102" s="306"/>
      <c r="G102" s="87"/>
      <c r="H102" s="597"/>
      <c r="I102" s="587"/>
      <c r="J102" s="53" t="s">
        <v>486</v>
      </c>
    </row>
    <row r="103" spans="1:10" s="191" customFormat="1" ht="20.100000000000001" hidden="1" customHeight="1" outlineLevel="1" x14ac:dyDescent="0.4">
      <c r="A103" s="379">
        <v>12</v>
      </c>
      <c r="B103" s="381" t="s">
        <v>481</v>
      </c>
      <c r="C103" s="381" t="s">
        <v>480</v>
      </c>
      <c r="D103" s="381"/>
      <c r="E103" s="625" t="s">
        <v>476</v>
      </c>
      <c r="F103" s="193"/>
      <c r="G103" s="193"/>
      <c r="H103" s="592">
        <v>46120</v>
      </c>
      <c r="I103" s="585" t="s">
        <v>466</v>
      </c>
      <c r="J103" s="53"/>
    </row>
    <row r="104" spans="1:10" s="191" customFormat="1" ht="20.100000000000001" hidden="1" customHeight="1" outlineLevel="1" x14ac:dyDescent="0.4">
      <c r="A104" s="594"/>
      <c r="B104" s="588"/>
      <c r="C104" s="588"/>
      <c r="D104" s="588"/>
      <c r="E104" s="590"/>
      <c r="F104" s="202" t="s">
        <v>483</v>
      </c>
      <c r="G104" s="202"/>
      <c r="H104" s="593"/>
      <c r="I104" s="586"/>
      <c r="J104" s="53"/>
    </row>
    <row r="105" spans="1:10" s="199" customFormat="1" ht="20.100000000000001" hidden="1" customHeight="1" outlineLevel="1" x14ac:dyDescent="0.4">
      <c r="A105" s="594"/>
      <c r="B105" s="588"/>
      <c r="C105" s="588"/>
      <c r="D105" s="588"/>
      <c r="E105" s="590"/>
      <c r="F105" s="202" t="s">
        <v>484</v>
      </c>
      <c r="G105" s="202"/>
      <c r="H105" s="593"/>
      <c r="I105" s="586"/>
      <c r="J105" s="53"/>
    </row>
    <row r="106" spans="1:10" s="199" customFormat="1" ht="20.100000000000001" hidden="1" customHeight="1" outlineLevel="1" x14ac:dyDescent="0.4">
      <c r="A106" s="594"/>
      <c r="B106" s="588"/>
      <c r="C106" s="588"/>
      <c r="D106" s="588"/>
      <c r="E106" s="590"/>
      <c r="F106" s="202" t="s">
        <v>485</v>
      </c>
      <c r="G106" s="202"/>
      <c r="H106" s="593"/>
      <c r="I106" s="586"/>
      <c r="J106" s="53"/>
    </row>
    <row r="107" spans="1:10" s="191" customFormat="1" ht="20.100000000000001" hidden="1" customHeight="1" outlineLevel="1" x14ac:dyDescent="0.4">
      <c r="A107" s="380"/>
      <c r="B107" s="382"/>
      <c r="C107" s="382"/>
      <c r="D107" s="382"/>
      <c r="E107" s="591"/>
      <c r="F107" s="87"/>
      <c r="G107" s="87"/>
      <c r="H107" s="593"/>
      <c r="I107" s="587"/>
      <c r="J107" s="347" t="s">
        <v>487</v>
      </c>
    </row>
    <row r="108" spans="1:10" s="199" customFormat="1" ht="20.100000000000001" hidden="1" customHeight="1" outlineLevel="1" collapsed="1" x14ac:dyDescent="0.4">
      <c r="A108" s="379">
        <v>13</v>
      </c>
      <c r="B108" s="381" t="s">
        <v>505</v>
      </c>
      <c r="C108" s="381" t="s">
        <v>506</v>
      </c>
      <c r="D108" s="381"/>
      <c r="E108" s="625" t="s">
        <v>507</v>
      </c>
      <c r="F108" s="193" t="s">
        <v>463</v>
      </c>
      <c r="G108" s="193"/>
      <c r="H108" s="592">
        <v>46143</v>
      </c>
      <c r="I108" s="585" t="s">
        <v>504</v>
      </c>
      <c r="J108" s="53"/>
    </row>
    <row r="109" spans="1:10" s="199" customFormat="1" ht="20.100000000000001" hidden="1" customHeight="1" outlineLevel="1" x14ac:dyDescent="0.4">
      <c r="A109" s="594"/>
      <c r="B109" s="588"/>
      <c r="C109" s="588"/>
      <c r="D109" s="588"/>
      <c r="E109" s="590"/>
      <c r="F109" s="202" t="s">
        <v>455</v>
      </c>
      <c r="G109" s="202"/>
      <c r="H109" s="593"/>
      <c r="I109" s="586"/>
      <c r="J109" s="53"/>
    </row>
    <row r="110" spans="1:10" s="199" customFormat="1" ht="20.100000000000001" hidden="1" customHeight="1" outlineLevel="1" x14ac:dyDescent="0.4">
      <c r="A110" s="594"/>
      <c r="B110" s="588"/>
      <c r="C110" s="588"/>
      <c r="D110" s="588"/>
      <c r="E110" s="590"/>
      <c r="F110" s="202" t="s">
        <v>464</v>
      </c>
      <c r="G110" s="202"/>
      <c r="H110" s="593"/>
      <c r="I110" s="586"/>
      <c r="J110" s="53"/>
    </row>
    <row r="111" spans="1:10" s="199" customFormat="1" ht="20.100000000000001" hidden="1" customHeight="1" outlineLevel="1" x14ac:dyDescent="0.4">
      <c r="A111" s="594"/>
      <c r="B111" s="588"/>
      <c r="C111" s="588"/>
      <c r="D111" s="588"/>
      <c r="E111" s="590"/>
      <c r="F111" s="202" t="s">
        <v>496</v>
      </c>
      <c r="G111" s="202"/>
      <c r="H111" s="593"/>
      <c r="I111" s="586"/>
      <c r="J111" s="53"/>
    </row>
    <row r="112" spans="1:10" s="199" customFormat="1" ht="20.100000000000001" hidden="1" customHeight="1" outlineLevel="1" x14ac:dyDescent="0.4">
      <c r="A112" s="380"/>
      <c r="B112" s="382"/>
      <c r="C112" s="382"/>
      <c r="D112" s="382"/>
      <c r="E112" s="591"/>
      <c r="F112" s="87" t="s">
        <v>503</v>
      </c>
      <c r="G112" s="87"/>
      <c r="H112" s="593"/>
      <c r="I112" s="587"/>
      <c r="J112" s="53" t="s">
        <v>518</v>
      </c>
    </row>
    <row r="113" spans="1:10" s="199" customFormat="1" ht="20.100000000000001" hidden="1" customHeight="1" outlineLevel="1" collapsed="1" x14ac:dyDescent="0.4">
      <c r="A113" s="379">
        <v>14</v>
      </c>
      <c r="B113" s="381" t="s">
        <v>433</v>
      </c>
      <c r="C113" s="381" t="s">
        <v>509</v>
      </c>
      <c r="D113" s="381"/>
      <c r="E113" s="625" t="s">
        <v>508</v>
      </c>
      <c r="F113" s="202" t="s">
        <v>463</v>
      </c>
      <c r="G113" s="202"/>
      <c r="H113" s="596">
        <v>46142</v>
      </c>
      <c r="I113" s="638" t="s">
        <v>504</v>
      </c>
      <c r="J113" s="53"/>
    </row>
    <row r="114" spans="1:10" s="199" customFormat="1" ht="20.100000000000001" hidden="1" customHeight="1" outlineLevel="1" x14ac:dyDescent="0.4">
      <c r="A114" s="594"/>
      <c r="B114" s="588"/>
      <c r="C114" s="588"/>
      <c r="D114" s="588"/>
      <c r="E114" s="590"/>
      <c r="F114" s="202" t="s">
        <v>461</v>
      </c>
      <c r="G114" s="202"/>
      <c r="H114" s="598"/>
      <c r="I114" s="639"/>
      <c r="J114" s="53"/>
    </row>
    <row r="115" spans="1:10" s="199" customFormat="1" ht="20.100000000000001" hidden="1" customHeight="1" outlineLevel="1" x14ac:dyDescent="0.4">
      <c r="A115" s="594"/>
      <c r="B115" s="588"/>
      <c r="C115" s="588"/>
      <c r="D115" s="588"/>
      <c r="E115" s="590"/>
      <c r="F115" s="202" t="s">
        <v>491</v>
      </c>
      <c r="G115" s="202"/>
      <c r="H115" s="598"/>
      <c r="I115" s="639"/>
      <c r="J115" s="53"/>
    </row>
    <row r="116" spans="1:10" s="199" customFormat="1" ht="20.100000000000001" hidden="1" customHeight="1" outlineLevel="1" x14ac:dyDescent="0.4">
      <c r="A116" s="594"/>
      <c r="B116" s="588"/>
      <c r="C116" s="588"/>
      <c r="D116" s="588"/>
      <c r="E116" s="590"/>
      <c r="F116" s="202" t="s">
        <v>496</v>
      </c>
      <c r="G116" s="202"/>
      <c r="H116" s="598"/>
      <c r="I116" s="639"/>
      <c r="J116" s="53"/>
    </row>
    <row r="117" spans="1:10" s="199" customFormat="1" ht="20.100000000000001" hidden="1" customHeight="1" outlineLevel="1" x14ac:dyDescent="0.4">
      <c r="A117" s="594"/>
      <c r="B117" s="588"/>
      <c r="C117" s="588"/>
      <c r="D117" s="588"/>
      <c r="E117" s="590"/>
      <c r="F117" s="202" t="s">
        <v>599</v>
      </c>
      <c r="G117" s="202"/>
      <c r="H117" s="597"/>
      <c r="I117" s="639"/>
      <c r="J117" s="53"/>
    </row>
    <row r="118" spans="1:10" s="199" customFormat="1" ht="20.100000000000001" hidden="1" customHeight="1" outlineLevel="1" collapsed="1" x14ac:dyDescent="0.4">
      <c r="A118" s="594"/>
      <c r="B118" s="588"/>
      <c r="C118" s="588"/>
      <c r="D118" s="588"/>
      <c r="E118" s="590"/>
      <c r="F118" s="202" t="s">
        <v>601</v>
      </c>
      <c r="G118" s="202"/>
      <c r="H118" s="630" t="s">
        <v>600</v>
      </c>
      <c r="I118" s="586" t="s">
        <v>603</v>
      </c>
      <c r="J118" s="53"/>
    </row>
    <row r="119" spans="1:10" s="199" customFormat="1" ht="20.100000000000001" hidden="1" customHeight="1" outlineLevel="1" x14ac:dyDescent="0.4">
      <c r="A119" s="380"/>
      <c r="B119" s="382"/>
      <c r="C119" s="382"/>
      <c r="D119" s="382"/>
      <c r="E119" s="591"/>
      <c r="F119" s="202"/>
      <c r="G119" s="87"/>
      <c r="H119" s="632"/>
      <c r="I119" s="587"/>
      <c r="J119" s="53" t="s">
        <v>530</v>
      </c>
    </row>
    <row r="120" spans="1:10" s="199" customFormat="1" ht="20.100000000000001" hidden="1" customHeight="1" outlineLevel="1" collapsed="1" x14ac:dyDescent="0.4">
      <c r="A120" s="379">
        <v>15</v>
      </c>
      <c r="B120" s="381" t="s">
        <v>513</v>
      </c>
      <c r="C120" s="381" t="s">
        <v>533</v>
      </c>
      <c r="D120" s="381" t="s">
        <v>534</v>
      </c>
      <c r="E120" s="625" t="s">
        <v>532</v>
      </c>
      <c r="F120" s="193"/>
      <c r="G120" s="193"/>
      <c r="H120" s="305"/>
      <c r="I120" s="585" t="s">
        <v>619</v>
      </c>
      <c r="J120" s="53"/>
    </row>
    <row r="121" spans="1:10" s="199" customFormat="1" ht="20.100000000000001" hidden="1" customHeight="1" outlineLevel="1" x14ac:dyDescent="0.4">
      <c r="A121" s="594"/>
      <c r="B121" s="588"/>
      <c r="C121" s="588"/>
      <c r="D121" s="588"/>
      <c r="E121" s="590"/>
      <c r="F121" s="202" t="s">
        <v>537</v>
      </c>
      <c r="G121" s="202"/>
      <c r="H121" s="596">
        <v>46186</v>
      </c>
      <c r="I121" s="586"/>
      <c r="J121" s="53"/>
    </row>
    <row r="122" spans="1:10" s="199" customFormat="1" ht="20.100000000000001" hidden="1" customHeight="1" outlineLevel="1" x14ac:dyDescent="0.4">
      <c r="A122" s="594"/>
      <c r="B122" s="588"/>
      <c r="C122" s="588"/>
      <c r="D122" s="588"/>
      <c r="E122" s="590"/>
      <c r="F122" s="202" t="s">
        <v>586</v>
      </c>
      <c r="G122" s="202"/>
      <c r="H122" s="598"/>
      <c r="I122" s="586"/>
      <c r="J122" s="53"/>
    </row>
    <row r="123" spans="1:10" s="199" customFormat="1" ht="20.100000000000001" hidden="1" customHeight="1" outlineLevel="1" x14ac:dyDescent="0.4">
      <c r="A123" s="594"/>
      <c r="B123" s="588"/>
      <c r="C123" s="588"/>
      <c r="D123" s="588"/>
      <c r="E123" s="590"/>
      <c r="F123" s="202" t="s">
        <v>462</v>
      </c>
      <c r="G123" s="202"/>
      <c r="H123" s="598"/>
      <c r="I123" s="586"/>
      <c r="J123" s="53"/>
    </row>
    <row r="124" spans="1:10" s="199" customFormat="1" ht="20.100000000000001" hidden="1" customHeight="1" outlineLevel="1" collapsed="1" x14ac:dyDescent="0.4">
      <c r="A124" s="594"/>
      <c r="B124" s="588"/>
      <c r="C124" s="588"/>
      <c r="D124" s="588"/>
      <c r="E124" s="590"/>
      <c r="F124" s="202" t="s">
        <v>604</v>
      </c>
      <c r="G124" s="202"/>
      <c r="H124" s="598" t="s">
        <v>614</v>
      </c>
      <c r="I124" s="586"/>
      <c r="J124" s="53"/>
    </row>
    <row r="125" spans="1:10" s="199" customFormat="1" ht="20.100000000000001" hidden="1" customHeight="1" outlineLevel="1" x14ac:dyDescent="0.4">
      <c r="A125" s="594"/>
      <c r="B125" s="588"/>
      <c r="C125" s="588"/>
      <c r="D125" s="588"/>
      <c r="E125" s="590"/>
      <c r="F125" s="202" t="s">
        <v>615</v>
      </c>
      <c r="G125" s="202"/>
      <c r="H125" s="598"/>
      <c r="I125" s="586"/>
      <c r="J125" s="53"/>
    </row>
    <row r="126" spans="1:10" s="199" customFormat="1" ht="20.100000000000001" hidden="1" customHeight="1" outlineLevel="1" x14ac:dyDescent="0.4">
      <c r="A126" s="594"/>
      <c r="B126" s="588"/>
      <c r="C126" s="588"/>
      <c r="D126" s="588"/>
      <c r="E126" s="590"/>
      <c r="F126" s="202" t="s">
        <v>496</v>
      </c>
      <c r="G126" s="202"/>
      <c r="H126" s="598"/>
      <c r="I126" s="586"/>
      <c r="J126" s="53"/>
    </row>
    <row r="127" spans="1:10" s="199" customFormat="1" ht="20.100000000000001" hidden="1" customHeight="1" outlineLevel="1" x14ac:dyDescent="0.4">
      <c r="A127" s="380"/>
      <c r="B127" s="382"/>
      <c r="C127" s="382"/>
      <c r="D127" s="382"/>
      <c r="E127" s="591"/>
      <c r="F127" s="87"/>
      <c r="G127" s="87"/>
      <c r="H127" s="597"/>
      <c r="I127" s="587"/>
      <c r="J127" s="53" t="s">
        <v>486</v>
      </c>
    </row>
    <row r="128" spans="1:10" ht="20.100000000000001" customHeight="1" collapsed="1" x14ac:dyDescent="0.4">
      <c r="A128" s="379">
        <v>16</v>
      </c>
      <c r="B128" s="381" t="s">
        <v>430</v>
      </c>
      <c r="C128" s="381" t="s">
        <v>536</v>
      </c>
      <c r="D128" s="381" t="s">
        <v>429</v>
      </c>
      <c r="E128" s="589" t="s">
        <v>535</v>
      </c>
      <c r="F128" s="193"/>
      <c r="G128" s="193"/>
      <c r="H128" s="305"/>
      <c r="I128" s="604"/>
    </row>
    <row r="129" spans="1:10" ht="20.100000000000001" hidden="1" customHeight="1" outlineLevel="1" x14ac:dyDescent="0.4">
      <c r="A129" s="594"/>
      <c r="B129" s="588"/>
      <c r="C129" s="588"/>
      <c r="D129" s="588"/>
      <c r="E129" s="590"/>
      <c r="F129" s="202" t="s">
        <v>538</v>
      </c>
      <c r="G129" s="202"/>
      <c r="H129" s="343">
        <v>46164</v>
      </c>
      <c r="I129" s="605"/>
    </row>
    <row r="130" spans="1:10" s="199" customFormat="1" ht="20.100000000000001" hidden="1" customHeight="1" outlineLevel="1" x14ac:dyDescent="0.4">
      <c r="A130" s="594"/>
      <c r="B130" s="588"/>
      <c r="C130" s="588"/>
      <c r="D130" s="588"/>
      <c r="E130" s="590"/>
      <c r="F130" s="202" t="s">
        <v>540</v>
      </c>
      <c r="G130" s="202"/>
      <c r="H130" s="343">
        <v>46202</v>
      </c>
      <c r="I130" s="605"/>
      <c r="J130" s="53"/>
    </row>
    <row r="131" spans="1:10" ht="20.100000000000001" hidden="1" customHeight="1" outlineLevel="1" x14ac:dyDescent="0.4">
      <c r="A131" s="594"/>
      <c r="B131" s="588"/>
      <c r="C131" s="588"/>
      <c r="D131" s="588"/>
      <c r="E131" s="590"/>
      <c r="F131" s="202" t="s">
        <v>544</v>
      </c>
      <c r="G131" s="202"/>
      <c r="H131" s="343">
        <v>46204</v>
      </c>
      <c r="I131" s="605"/>
    </row>
    <row r="132" spans="1:10" s="199" customFormat="1" ht="20.100000000000001" hidden="1" customHeight="1" outlineLevel="1" x14ac:dyDescent="0.4">
      <c r="A132" s="594"/>
      <c r="B132" s="588"/>
      <c r="C132" s="588"/>
      <c r="D132" s="588"/>
      <c r="E132" s="590"/>
      <c r="F132" s="202" t="s">
        <v>455</v>
      </c>
      <c r="G132" s="202"/>
      <c r="H132" s="343">
        <v>46212</v>
      </c>
      <c r="I132" s="605"/>
      <c r="J132" s="53"/>
    </row>
    <row r="133" spans="1:10" s="199" customFormat="1" ht="20.100000000000001" hidden="1" customHeight="1" outlineLevel="1" collapsed="1" x14ac:dyDescent="0.4">
      <c r="A133" s="594"/>
      <c r="B133" s="588"/>
      <c r="C133" s="588"/>
      <c r="D133" s="588"/>
      <c r="E133" s="590"/>
      <c r="F133" s="202" t="s">
        <v>689</v>
      </c>
      <c r="G133" s="202"/>
      <c r="H133" s="343">
        <v>46213</v>
      </c>
      <c r="I133" s="605"/>
      <c r="J133" s="53"/>
    </row>
    <row r="134" spans="1:10" s="199" customFormat="1" ht="20.100000000000001" hidden="1" customHeight="1" outlineLevel="1" x14ac:dyDescent="0.4">
      <c r="A134" s="594"/>
      <c r="B134" s="588"/>
      <c r="C134" s="588"/>
      <c r="D134" s="588"/>
      <c r="E134" s="590"/>
      <c r="F134" s="202" t="s">
        <v>741</v>
      </c>
      <c r="G134" s="202"/>
      <c r="H134" s="343">
        <v>46219</v>
      </c>
      <c r="I134" s="605"/>
      <c r="J134" s="53"/>
    </row>
    <row r="135" spans="1:10" s="199" customFormat="1" ht="20.100000000000001" customHeight="1" collapsed="1" x14ac:dyDescent="0.4">
      <c r="A135" s="594"/>
      <c r="B135" s="588"/>
      <c r="C135" s="588"/>
      <c r="D135" s="588"/>
      <c r="E135" s="590"/>
      <c r="F135" s="202" t="s">
        <v>766</v>
      </c>
      <c r="G135" s="202" t="s">
        <v>769</v>
      </c>
      <c r="H135" s="596">
        <v>46240</v>
      </c>
      <c r="I135" s="605"/>
      <c r="J135" s="53"/>
    </row>
    <row r="136" spans="1:10" s="199" customFormat="1" ht="20.100000000000001" customHeight="1" x14ac:dyDescent="0.4">
      <c r="A136" s="594"/>
      <c r="B136" s="588"/>
      <c r="C136" s="588"/>
      <c r="D136" s="588"/>
      <c r="E136" s="590"/>
      <c r="F136" s="202" t="s">
        <v>767</v>
      </c>
      <c r="G136" s="202"/>
      <c r="H136" s="598"/>
      <c r="I136" s="605"/>
      <c r="J136" s="53"/>
    </row>
    <row r="137" spans="1:10" s="199" customFormat="1" ht="20.100000000000001" customHeight="1" x14ac:dyDescent="0.4">
      <c r="A137" s="594"/>
      <c r="B137" s="588"/>
      <c r="C137" s="588"/>
      <c r="D137" s="588"/>
      <c r="E137" s="590"/>
      <c r="F137" s="202" t="s">
        <v>768</v>
      </c>
      <c r="G137" s="202"/>
      <c r="H137" s="597"/>
      <c r="I137" s="605"/>
      <c r="J137" s="53"/>
    </row>
    <row r="138" spans="1:10" ht="20.100000000000001" customHeight="1" x14ac:dyDescent="0.4">
      <c r="A138" s="380"/>
      <c r="B138" s="382"/>
      <c r="C138" s="382"/>
      <c r="D138" s="382"/>
      <c r="E138" s="591"/>
      <c r="F138" s="202"/>
      <c r="G138" s="87"/>
      <c r="H138" s="329"/>
      <c r="I138" s="605"/>
      <c r="J138" s="53" t="s">
        <v>518</v>
      </c>
    </row>
    <row r="139" spans="1:10" ht="20.100000000000001" customHeight="1" x14ac:dyDescent="0.4">
      <c r="A139" s="379">
        <v>17</v>
      </c>
      <c r="B139" s="381" t="s">
        <v>555</v>
      </c>
      <c r="C139" s="381" t="s">
        <v>556</v>
      </c>
      <c r="D139" s="381"/>
      <c r="E139" s="589" t="s">
        <v>557</v>
      </c>
      <c r="F139" s="193"/>
      <c r="G139" s="193"/>
      <c r="H139" s="305"/>
      <c r="I139" s="585"/>
    </row>
    <row r="140" spans="1:10" ht="20.100000000000001" hidden="1" customHeight="1" outlineLevel="1" x14ac:dyDescent="0.4">
      <c r="A140" s="594"/>
      <c r="B140" s="588"/>
      <c r="C140" s="588"/>
      <c r="D140" s="588"/>
      <c r="E140" s="590"/>
      <c r="F140" s="202" t="s">
        <v>567</v>
      </c>
      <c r="G140" s="202"/>
      <c r="H140" s="326">
        <v>46164</v>
      </c>
      <c r="I140" s="586"/>
    </row>
    <row r="141" spans="1:10" s="199" customFormat="1" ht="20.100000000000001" hidden="1" customHeight="1" outlineLevel="1" x14ac:dyDescent="0.4">
      <c r="A141" s="594"/>
      <c r="B141" s="588"/>
      <c r="C141" s="588"/>
      <c r="D141" s="588"/>
      <c r="E141" s="590"/>
      <c r="F141" s="202" t="s">
        <v>625</v>
      </c>
      <c r="G141" s="202"/>
      <c r="H141" s="326">
        <v>46202</v>
      </c>
      <c r="I141" s="586"/>
      <c r="J141" s="53"/>
    </row>
    <row r="142" spans="1:10" s="199" customFormat="1" ht="20.100000000000001" hidden="1" customHeight="1" outlineLevel="1" x14ac:dyDescent="0.4">
      <c r="A142" s="594"/>
      <c r="B142" s="588"/>
      <c r="C142" s="588"/>
      <c r="D142" s="588"/>
      <c r="E142" s="590"/>
      <c r="F142" s="202" t="s">
        <v>626</v>
      </c>
      <c r="G142" s="202"/>
      <c r="H142" s="330">
        <v>46204</v>
      </c>
      <c r="I142" s="586"/>
      <c r="J142" s="53"/>
    </row>
    <row r="143" spans="1:10" s="199" customFormat="1" ht="20.100000000000001" hidden="1" customHeight="1" outlineLevel="1" collapsed="1" x14ac:dyDescent="0.4">
      <c r="A143" s="594"/>
      <c r="B143" s="588"/>
      <c r="C143" s="588"/>
      <c r="D143" s="588"/>
      <c r="E143" s="590"/>
      <c r="F143" s="202" t="s">
        <v>697</v>
      </c>
      <c r="G143" s="202"/>
      <c r="H143" s="330">
        <v>46212</v>
      </c>
      <c r="I143" s="586"/>
      <c r="J143" s="53"/>
    </row>
    <row r="144" spans="1:10" s="199" customFormat="1" ht="20.100000000000001" hidden="1" customHeight="1" outlineLevel="1" x14ac:dyDescent="0.4">
      <c r="A144" s="594"/>
      <c r="B144" s="588"/>
      <c r="C144" s="588"/>
      <c r="D144" s="588"/>
      <c r="E144" s="590"/>
      <c r="F144" s="202" t="s">
        <v>706</v>
      </c>
      <c r="G144" s="202"/>
      <c r="H144" s="326">
        <v>46216</v>
      </c>
      <c r="I144" s="586"/>
      <c r="J144" s="53"/>
    </row>
    <row r="145" spans="1:10" ht="20.100000000000001" customHeight="1" collapsed="1" x14ac:dyDescent="0.4">
      <c r="A145" s="594"/>
      <c r="B145" s="588"/>
      <c r="C145" s="588"/>
      <c r="D145" s="588"/>
      <c r="E145" s="590"/>
      <c r="F145" s="202" t="s">
        <v>770</v>
      </c>
      <c r="G145" s="202"/>
      <c r="H145" s="326">
        <v>46227</v>
      </c>
      <c r="I145" s="586"/>
    </row>
    <row r="146" spans="1:10" s="199" customFormat="1" ht="20.100000000000001" customHeight="1" x14ac:dyDescent="0.4">
      <c r="A146" s="594"/>
      <c r="B146" s="588"/>
      <c r="C146" s="588"/>
      <c r="D146" s="588"/>
      <c r="E146" s="590"/>
      <c r="F146" s="202" t="s">
        <v>742</v>
      </c>
      <c r="G146" s="202" t="s">
        <v>743</v>
      </c>
      <c r="H146" s="346">
        <v>46238</v>
      </c>
      <c r="I146" s="586"/>
      <c r="J146" s="53"/>
    </row>
    <row r="147" spans="1:10" s="199" customFormat="1" ht="20.100000000000001" customHeight="1" x14ac:dyDescent="0.4">
      <c r="A147" s="594"/>
      <c r="B147" s="588"/>
      <c r="C147" s="588"/>
      <c r="D147" s="588"/>
      <c r="E147" s="590"/>
      <c r="F147" s="202" t="s">
        <v>685</v>
      </c>
      <c r="G147" s="202"/>
      <c r="H147" s="326">
        <v>46248</v>
      </c>
      <c r="I147" s="586"/>
      <c r="J147" s="53"/>
    </row>
    <row r="148" spans="1:10" ht="20.100000000000001" customHeight="1" x14ac:dyDescent="0.4">
      <c r="A148" s="380"/>
      <c r="B148" s="382"/>
      <c r="C148" s="382"/>
      <c r="D148" s="382"/>
      <c r="E148" s="591"/>
      <c r="F148" s="87"/>
      <c r="G148" s="87"/>
      <c r="H148" s="326"/>
      <c r="I148" s="586"/>
      <c r="J148" s="53" t="s">
        <v>518</v>
      </c>
    </row>
    <row r="149" spans="1:10" ht="20.100000000000001" hidden="1" customHeight="1" outlineLevel="1" collapsed="1" x14ac:dyDescent="0.4">
      <c r="A149" s="379">
        <v>18</v>
      </c>
      <c r="B149" s="381" t="s">
        <v>558</v>
      </c>
      <c r="C149" s="381" t="s">
        <v>559</v>
      </c>
      <c r="D149" s="381" t="s">
        <v>564</v>
      </c>
      <c r="E149" s="589" t="s">
        <v>552</v>
      </c>
      <c r="F149" s="193" t="s">
        <v>463</v>
      </c>
      <c r="G149" s="193"/>
      <c r="H149" s="592">
        <v>46178</v>
      </c>
      <c r="I149" s="595" t="s">
        <v>466</v>
      </c>
    </row>
    <row r="150" spans="1:10" s="199" customFormat="1" ht="20.100000000000001" hidden="1" customHeight="1" outlineLevel="1" x14ac:dyDescent="0.4">
      <c r="A150" s="594"/>
      <c r="B150" s="588"/>
      <c r="C150" s="588"/>
      <c r="D150" s="588"/>
      <c r="E150" s="590"/>
      <c r="F150" s="202" t="s">
        <v>455</v>
      </c>
      <c r="G150" s="202"/>
      <c r="H150" s="593"/>
      <c r="I150" s="586"/>
      <c r="J150" s="53"/>
    </row>
    <row r="151" spans="1:10" s="199" customFormat="1" ht="20.100000000000001" hidden="1" customHeight="1" outlineLevel="1" x14ac:dyDescent="0.4">
      <c r="A151" s="594"/>
      <c r="B151" s="588"/>
      <c r="C151" s="588"/>
      <c r="D151" s="588"/>
      <c r="E151" s="590"/>
      <c r="F151" s="202" t="s">
        <v>491</v>
      </c>
      <c r="G151" s="202"/>
      <c r="H151" s="593"/>
      <c r="I151" s="586"/>
      <c r="J151" s="53"/>
    </row>
    <row r="152" spans="1:10" s="199" customFormat="1" ht="20.100000000000001" hidden="1" customHeight="1" outlineLevel="1" x14ac:dyDescent="0.4">
      <c r="A152" s="594"/>
      <c r="B152" s="588"/>
      <c r="C152" s="588"/>
      <c r="D152" s="588"/>
      <c r="E152" s="590"/>
      <c r="F152" s="202" t="s">
        <v>464</v>
      </c>
      <c r="G152" s="202"/>
      <c r="H152" s="593"/>
      <c r="I152" s="586"/>
      <c r="J152" s="53"/>
    </row>
    <row r="153" spans="1:10" ht="20.100000000000001" hidden="1" customHeight="1" outlineLevel="1" collapsed="1" x14ac:dyDescent="0.4">
      <c r="A153" s="379">
        <v>19</v>
      </c>
      <c r="B153" s="381" t="s">
        <v>560</v>
      </c>
      <c r="C153" s="381" t="s">
        <v>561</v>
      </c>
      <c r="D153" s="381" t="s">
        <v>563</v>
      </c>
      <c r="E153" s="589" t="s">
        <v>562</v>
      </c>
      <c r="F153" s="193"/>
      <c r="G153" s="193"/>
      <c r="H153" s="592">
        <v>46178</v>
      </c>
      <c r="I153" s="595"/>
    </row>
    <row r="154" spans="1:10" s="199" customFormat="1" ht="20.100000000000001" hidden="1" customHeight="1" outlineLevel="1" x14ac:dyDescent="0.4">
      <c r="A154" s="594"/>
      <c r="B154" s="588"/>
      <c r="C154" s="588"/>
      <c r="D154" s="588"/>
      <c r="E154" s="590"/>
      <c r="F154" s="202" t="s">
        <v>579</v>
      </c>
      <c r="G154" s="202"/>
      <c r="H154" s="592"/>
      <c r="I154" s="586"/>
      <c r="J154" s="53"/>
    </row>
    <row r="155" spans="1:10" s="199" customFormat="1" ht="20.100000000000001" hidden="1" customHeight="1" outlineLevel="1" x14ac:dyDescent="0.4">
      <c r="A155" s="594"/>
      <c r="B155" s="588"/>
      <c r="C155" s="588"/>
      <c r="D155" s="588"/>
      <c r="E155" s="590"/>
      <c r="F155" s="202" t="s">
        <v>580</v>
      </c>
      <c r="G155" s="202"/>
      <c r="H155" s="592"/>
      <c r="I155" s="586"/>
      <c r="J155" s="53"/>
    </row>
    <row r="156" spans="1:10" s="199" customFormat="1" ht="20.100000000000001" hidden="1" customHeight="1" outlineLevel="1" x14ac:dyDescent="0.4">
      <c r="A156" s="594"/>
      <c r="B156" s="588"/>
      <c r="C156" s="588"/>
      <c r="D156" s="588"/>
      <c r="E156" s="590"/>
      <c r="F156" s="202" t="s">
        <v>581</v>
      </c>
      <c r="G156" s="202"/>
      <c r="H156" s="592"/>
      <c r="I156" s="586"/>
      <c r="J156" s="53"/>
    </row>
    <row r="157" spans="1:10" ht="20.100000000000001" hidden="1" customHeight="1" outlineLevel="1" x14ac:dyDescent="0.4">
      <c r="A157" s="380"/>
      <c r="B157" s="382"/>
      <c r="C157" s="382"/>
      <c r="D157" s="382"/>
      <c r="E157" s="591"/>
      <c r="F157" s="87"/>
      <c r="G157" s="87"/>
      <c r="H157" s="593"/>
      <c r="I157" s="587"/>
      <c r="J157" s="53" t="s">
        <v>583</v>
      </c>
    </row>
    <row r="158" spans="1:10" ht="20.100000000000001" hidden="1" customHeight="1" outlineLevel="1" collapsed="1" x14ac:dyDescent="0.4">
      <c r="A158" s="379">
        <v>20</v>
      </c>
      <c r="B158" s="381" t="s">
        <v>576</v>
      </c>
      <c r="C158" s="381" t="s">
        <v>577</v>
      </c>
      <c r="D158" s="381"/>
      <c r="E158" s="589" t="s">
        <v>578</v>
      </c>
      <c r="F158" s="193"/>
      <c r="G158" s="193"/>
      <c r="H158" s="592">
        <v>46178</v>
      </c>
      <c r="I158" s="595" t="s">
        <v>602</v>
      </c>
    </row>
    <row r="159" spans="1:10" ht="20.100000000000001" hidden="1" customHeight="1" outlineLevel="1" x14ac:dyDescent="0.4">
      <c r="A159" s="594"/>
      <c r="B159" s="588"/>
      <c r="C159" s="588"/>
      <c r="D159" s="588"/>
      <c r="E159" s="590"/>
      <c r="F159" s="202" t="s">
        <v>582</v>
      </c>
      <c r="G159" s="202"/>
      <c r="H159" s="593"/>
      <c r="I159" s="586"/>
    </row>
    <row r="160" spans="1:10" s="199" customFormat="1" ht="20.100000000000001" hidden="1" customHeight="1" outlineLevel="1" x14ac:dyDescent="0.4">
      <c r="A160" s="594"/>
      <c r="B160" s="588"/>
      <c r="C160" s="588"/>
      <c r="D160" s="588"/>
      <c r="E160" s="590"/>
      <c r="F160" s="202" t="s">
        <v>587</v>
      </c>
      <c r="G160" s="202"/>
      <c r="H160" s="593"/>
      <c r="I160" s="586"/>
      <c r="J160" s="53"/>
    </row>
    <row r="161" spans="1:10" ht="20.100000000000001" hidden="1" customHeight="1" outlineLevel="1" x14ac:dyDescent="0.4">
      <c r="A161" s="594"/>
      <c r="B161" s="588"/>
      <c r="C161" s="588"/>
      <c r="D161" s="588"/>
      <c r="E161" s="590"/>
      <c r="F161" s="202" t="s">
        <v>588</v>
      </c>
      <c r="G161" s="202"/>
      <c r="H161" s="593"/>
      <c r="I161" s="586"/>
    </row>
    <row r="162" spans="1:10" s="199" customFormat="1" ht="20.100000000000001" hidden="1" customHeight="1" outlineLevel="1" x14ac:dyDescent="0.4">
      <c r="A162" s="594"/>
      <c r="B162" s="588"/>
      <c r="C162" s="588"/>
      <c r="D162" s="588"/>
      <c r="E162" s="590"/>
      <c r="F162" s="202" t="s">
        <v>589</v>
      </c>
      <c r="G162" s="202"/>
      <c r="H162" s="593"/>
      <c r="I162" s="586"/>
      <c r="J162" s="53"/>
    </row>
    <row r="163" spans="1:10" ht="20.100000000000001" hidden="1" customHeight="1" outlineLevel="1" x14ac:dyDescent="0.4">
      <c r="A163" s="380"/>
      <c r="B163" s="382"/>
      <c r="C163" s="382"/>
      <c r="D163" s="382"/>
      <c r="E163" s="591"/>
      <c r="F163" s="87"/>
      <c r="G163" s="87"/>
      <c r="H163" s="593"/>
      <c r="I163" s="587"/>
      <c r="J163" s="53" t="s">
        <v>486</v>
      </c>
    </row>
    <row r="164" spans="1:10" s="199" customFormat="1" ht="20.100000000000001" hidden="1" customHeight="1" outlineLevel="1" collapsed="1" x14ac:dyDescent="0.4">
      <c r="A164" s="379">
        <v>21</v>
      </c>
      <c r="B164" s="381" t="s">
        <v>610</v>
      </c>
      <c r="C164" s="381" t="s">
        <v>611</v>
      </c>
      <c r="D164" s="381"/>
      <c r="E164" s="589" t="s">
        <v>609</v>
      </c>
      <c r="F164" s="193"/>
      <c r="G164" s="193"/>
      <c r="H164" s="328"/>
      <c r="I164" s="595" t="s">
        <v>504</v>
      </c>
      <c r="J164" s="53"/>
    </row>
    <row r="165" spans="1:10" s="199" customFormat="1" ht="20.100000000000001" hidden="1" customHeight="1" outlineLevel="1" x14ac:dyDescent="0.4">
      <c r="A165" s="594"/>
      <c r="B165" s="588"/>
      <c r="C165" s="588"/>
      <c r="D165" s="588"/>
      <c r="E165" s="590"/>
      <c r="F165" s="202" t="s">
        <v>612</v>
      </c>
      <c r="G165" s="202"/>
      <c r="H165" s="327">
        <v>46190</v>
      </c>
      <c r="I165" s="586"/>
      <c r="J165" s="53"/>
    </row>
    <row r="166" spans="1:10" s="199" customFormat="1" ht="20.100000000000001" hidden="1" customHeight="1" outlineLevel="1" x14ac:dyDescent="0.4">
      <c r="A166" s="594"/>
      <c r="B166" s="588"/>
      <c r="C166" s="588"/>
      <c r="D166" s="588"/>
      <c r="E166" s="590"/>
      <c r="F166" s="202" t="s">
        <v>616</v>
      </c>
      <c r="G166" s="202"/>
      <c r="H166" s="327">
        <v>46192</v>
      </c>
      <c r="I166" s="586"/>
      <c r="J166" s="53"/>
    </row>
    <row r="167" spans="1:10" s="199" customFormat="1" ht="20.100000000000001" hidden="1" customHeight="1" outlineLevel="1" x14ac:dyDescent="0.4">
      <c r="A167" s="594"/>
      <c r="B167" s="588"/>
      <c r="C167" s="588"/>
      <c r="D167" s="588"/>
      <c r="E167" s="590"/>
      <c r="F167" s="202" t="s">
        <v>620</v>
      </c>
      <c r="G167" s="202"/>
      <c r="H167" s="327">
        <v>46196</v>
      </c>
      <c r="I167" s="586"/>
      <c r="J167" s="53"/>
    </row>
    <row r="168" spans="1:10" s="199" customFormat="1" ht="20.100000000000001" hidden="1" customHeight="1" outlineLevel="1" x14ac:dyDescent="0.4">
      <c r="A168" s="594"/>
      <c r="B168" s="588"/>
      <c r="C168" s="588"/>
      <c r="D168" s="588"/>
      <c r="E168" s="590"/>
      <c r="F168" s="202" t="s">
        <v>627</v>
      </c>
      <c r="G168" s="202"/>
      <c r="H168" s="327">
        <v>46198</v>
      </c>
      <c r="I168" s="586"/>
      <c r="J168" s="53"/>
    </row>
    <row r="169" spans="1:10" s="199" customFormat="1" ht="20.100000000000001" hidden="1" customHeight="1" outlineLevel="1" collapsed="1" x14ac:dyDescent="0.4">
      <c r="A169" s="594"/>
      <c r="B169" s="588"/>
      <c r="C169" s="588"/>
      <c r="D169" s="588"/>
      <c r="E169" s="590"/>
      <c r="F169" s="202" t="s">
        <v>698</v>
      </c>
      <c r="G169" s="202"/>
      <c r="H169" s="331">
        <v>46217</v>
      </c>
      <c r="I169" s="586"/>
      <c r="J169" s="53"/>
    </row>
    <row r="170" spans="1:10" s="199" customFormat="1" ht="20.100000000000001" hidden="1" customHeight="1" outlineLevel="1" x14ac:dyDescent="0.4">
      <c r="A170" s="594"/>
      <c r="B170" s="588"/>
      <c r="C170" s="588"/>
      <c r="D170" s="588"/>
      <c r="E170" s="590"/>
      <c r="F170" s="202" t="s">
        <v>628</v>
      </c>
      <c r="G170" s="202"/>
      <c r="H170" s="327">
        <v>46206</v>
      </c>
      <c r="I170" s="586"/>
      <c r="J170" s="53"/>
    </row>
    <row r="171" spans="1:10" s="199" customFormat="1" ht="20.100000000000001" hidden="1" customHeight="1" outlineLevel="1" collapsed="1" x14ac:dyDescent="0.4">
      <c r="A171" s="594"/>
      <c r="B171" s="588"/>
      <c r="C171" s="588"/>
      <c r="D171" s="588"/>
      <c r="E171" s="590"/>
      <c r="F171" s="202" t="s">
        <v>462</v>
      </c>
      <c r="G171" s="202"/>
      <c r="H171" s="327">
        <v>46217</v>
      </c>
      <c r="I171" s="586"/>
      <c r="J171" s="53"/>
    </row>
    <row r="172" spans="1:10" s="199" customFormat="1" ht="20.100000000000001" hidden="1" customHeight="1" outlineLevel="1" collapsed="1" x14ac:dyDescent="0.4">
      <c r="A172" s="594"/>
      <c r="B172" s="588"/>
      <c r="C172" s="588"/>
      <c r="D172" s="588"/>
      <c r="E172" s="590"/>
      <c r="F172" s="202" t="s">
        <v>745</v>
      </c>
      <c r="G172" s="202"/>
      <c r="H172" s="344">
        <v>46225</v>
      </c>
      <c r="I172" s="586"/>
      <c r="J172" s="53"/>
    </row>
    <row r="173" spans="1:10" s="199" customFormat="1" ht="20.100000000000001" hidden="1" customHeight="1" outlineLevel="1" collapsed="1" x14ac:dyDescent="0.4">
      <c r="A173" s="380"/>
      <c r="B173" s="382"/>
      <c r="C173" s="382"/>
      <c r="D173" s="382"/>
      <c r="E173" s="591"/>
      <c r="F173" s="87"/>
      <c r="G173" s="87"/>
      <c r="H173" s="329"/>
      <c r="I173" s="587"/>
      <c r="J173" s="53" t="s">
        <v>613</v>
      </c>
    </row>
    <row r="174" spans="1:10" s="199" customFormat="1" ht="20.100000000000001" hidden="1" customHeight="1" outlineLevel="1" x14ac:dyDescent="0.4">
      <c r="A174" s="379">
        <v>22</v>
      </c>
      <c r="B174" s="381" t="s">
        <v>631</v>
      </c>
      <c r="C174" s="381" t="s">
        <v>629</v>
      </c>
      <c r="D174" s="381" t="s">
        <v>727</v>
      </c>
      <c r="E174" s="589" t="s">
        <v>630</v>
      </c>
      <c r="F174" s="193"/>
      <c r="G174" s="193"/>
      <c r="H174" s="592">
        <v>46212</v>
      </c>
      <c r="I174" s="595" t="s">
        <v>504</v>
      </c>
      <c r="J174" s="53"/>
    </row>
    <row r="175" spans="1:10" s="199" customFormat="1" ht="20.100000000000001" hidden="1" customHeight="1" outlineLevel="1" x14ac:dyDescent="0.4">
      <c r="A175" s="594"/>
      <c r="B175" s="588"/>
      <c r="C175" s="588"/>
      <c r="D175" s="588"/>
      <c r="E175" s="590"/>
      <c r="F175" s="202" t="s">
        <v>690</v>
      </c>
      <c r="G175" s="202"/>
      <c r="H175" s="592"/>
      <c r="I175" s="586"/>
      <c r="J175" s="53"/>
    </row>
    <row r="176" spans="1:10" s="199" customFormat="1" ht="20.100000000000001" hidden="1" customHeight="1" outlineLevel="1" x14ac:dyDescent="0.4">
      <c r="A176" s="594"/>
      <c r="B176" s="588"/>
      <c r="C176" s="588"/>
      <c r="D176" s="588"/>
      <c r="E176" s="590"/>
      <c r="F176" s="202" t="s">
        <v>700</v>
      </c>
      <c r="G176" s="202"/>
      <c r="H176" s="593"/>
      <c r="I176" s="586"/>
      <c r="J176" s="53"/>
    </row>
    <row r="177" spans="1:10" s="199" customFormat="1" ht="20.100000000000001" hidden="1" customHeight="1" outlineLevel="1" x14ac:dyDescent="0.4">
      <c r="A177" s="380"/>
      <c r="B177" s="382"/>
      <c r="C177" s="382"/>
      <c r="D177" s="382"/>
      <c r="E177" s="591"/>
      <c r="F177" s="87"/>
      <c r="G177" s="87"/>
      <c r="H177" s="593"/>
      <c r="I177" s="587"/>
      <c r="J177" s="53" t="s">
        <v>632</v>
      </c>
    </row>
    <row r="178" spans="1:10" s="199" customFormat="1" ht="20.100000000000001" hidden="1" customHeight="1" outlineLevel="1" x14ac:dyDescent="0.4">
      <c r="A178" s="379">
        <v>23</v>
      </c>
      <c r="B178" s="381" t="s">
        <v>652</v>
      </c>
      <c r="C178" s="381" t="s">
        <v>641</v>
      </c>
      <c r="D178" s="381"/>
      <c r="E178" s="589" t="s">
        <v>639</v>
      </c>
      <c r="F178" s="193" t="s">
        <v>680</v>
      </c>
      <c r="G178" s="193"/>
      <c r="H178" s="592">
        <v>46212</v>
      </c>
      <c r="I178" s="595" t="s">
        <v>466</v>
      </c>
      <c r="J178" s="53"/>
    </row>
    <row r="179" spans="1:10" s="199" customFormat="1" ht="20.100000000000001" hidden="1" customHeight="1" outlineLevel="1" x14ac:dyDescent="0.4">
      <c r="A179" s="594"/>
      <c r="B179" s="588"/>
      <c r="C179" s="588"/>
      <c r="D179" s="588"/>
      <c r="E179" s="590"/>
      <c r="F179" s="202" t="s">
        <v>681</v>
      </c>
      <c r="G179" s="202"/>
      <c r="H179" s="592"/>
      <c r="I179" s="586"/>
      <c r="J179" s="53"/>
    </row>
    <row r="180" spans="1:10" s="199" customFormat="1" ht="20.100000000000001" hidden="1" customHeight="1" outlineLevel="1" x14ac:dyDescent="0.4">
      <c r="A180" s="594"/>
      <c r="B180" s="588"/>
      <c r="C180" s="588"/>
      <c r="D180" s="588"/>
      <c r="E180" s="590"/>
      <c r="F180" s="202" t="s">
        <v>464</v>
      </c>
      <c r="G180" s="202"/>
      <c r="H180" s="593"/>
      <c r="I180" s="586"/>
      <c r="J180" s="53"/>
    </row>
    <row r="181" spans="1:10" s="199" customFormat="1" ht="20.100000000000001" hidden="1" customHeight="1" outlineLevel="1" x14ac:dyDescent="0.4">
      <c r="A181" s="380"/>
      <c r="B181" s="382"/>
      <c r="C181" s="382"/>
      <c r="D181" s="382"/>
      <c r="E181" s="591"/>
      <c r="F181" s="87" t="s">
        <v>679</v>
      </c>
      <c r="G181" s="87"/>
      <c r="H181" s="593"/>
      <c r="I181" s="587"/>
      <c r="J181" s="53" t="s">
        <v>682</v>
      </c>
    </row>
    <row r="182" spans="1:10" s="199" customFormat="1" ht="20.100000000000001" hidden="1" customHeight="1" outlineLevel="1" x14ac:dyDescent="0.4">
      <c r="A182" s="379">
        <v>24</v>
      </c>
      <c r="B182" s="381" t="s">
        <v>653</v>
      </c>
      <c r="C182" s="381" t="s">
        <v>642</v>
      </c>
      <c r="D182" s="381" t="s">
        <v>725</v>
      </c>
      <c r="E182" s="589" t="s">
        <v>726</v>
      </c>
      <c r="F182" s="193" t="s">
        <v>463</v>
      </c>
      <c r="G182" s="193"/>
      <c r="H182" s="592">
        <v>46219</v>
      </c>
      <c r="I182" s="595" t="s">
        <v>699</v>
      </c>
      <c r="J182" s="53"/>
    </row>
    <row r="183" spans="1:10" s="199" customFormat="1" ht="20.100000000000001" hidden="1" customHeight="1" outlineLevel="1" x14ac:dyDescent="0.4">
      <c r="A183" s="594"/>
      <c r="B183" s="588"/>
      <c r="C183" s="588"/>
      <c r="D183" s="588"/>
      <c r="E183" s="590"/>
      <c r="F183" s="202" t="s">
        <v>455</v>
      </c>
      <c r="G183" s="202"/>
      <c r="H183" s="592"/>
      <c r="I183" s="586"/>
      <c r="J183" s="53"/>
    </row>
    <row r="184" spans="1:10" s="199" customFormat="1" ht="20.100000000000001" hidden="1" customHeight="1" outlineLevel="1" x14ac:dyDescent="0.4">
      <c r="A184" s="594"/>
      <c r="B184" s="588"/>
      <c r="C184" s="588"/>
      <c r="D184" s="588"/>
      <c r="E184" s="590"/>
      <c r="F184" s="202" t="s">
        <v>491</v>
      </c>
      <c r="G184" s="202"/>
      <c r="H184" s="592"/>
      <c r="I184" s="586"/>
      <c r="J184" s="53"/>
    </row>
    <row r="185" spans="1:10" s="199" customFormat="1" ht="20.100000000000001" hidden="1" customHeight="1" outlineLevel="1" x14ac:dyDescent="0.4">
      <c r="A185" s="594"/>
      <c r="B185" s="588"/>
      <c r="C185" s="588"/>
      <c r="D185" s="588"/>
      <c r="E185" s="590"/>
      <c r="F185" s="202" t="s">
        <v>464</v>
      </c>
      <c r="G185" s="202"/>
      <c r="H185" s="592"/>
      <c r="I185" s="586"/>
      <c r="J185" s="53"/>
    </row>
    <row r="186" spans="1:10" s="199" customFormat="1" ht="20.100000000000001" hidden="1" customHeight="1" outlineLevel="1" x14ac:dyDescent="0.4">
      <c r="A186" s="594"/>
      <c r="B186" s="588"/>
      <c r="C186" s="588"/>
      <c r="D186" s="588"/>
      <c r="E186" s="590"/>
      <c r="F186" s="202" t="s">
        <v>496</v>
      </c>
      <c r="G186" s="202"/>
      <c r="H186" s="593"/>
      <c r="I186" s="586"/>
      <c r="J186" s="53"/>
    </row>
    <row r="187" spans="1:10" s="199" customFormat="1" ht="20.100000000000001" hidden="1" customHeight="1" outlineLevel="1" x14ac:dyDescent="0.4">
      <c r="A187" s="380"/>
      <c r="B187" s="382"/>
      <c r="C187" s="382"/>
      <c r="D187" s="382"/>
      <c r="E187" s="591"/>
      <c r="F187" s="87" t="s">
        <v>503</v>
      </c>
      <c r="G187" s="87"/>
      <c r="H187" s="593"/>
      <c r="I187" s="587"/>
      <c r="J187" s="53" t="s">
        <v>683</v>
      </c>
    </row>
    <row r="188" spans="1:10" s="199" customFormat="1" ht="20.100000000000001" hidden="1" customHeight="1" outlineLevel="1" x14ac:dyDescent="0.4">
      <c r="A188" s="379">
        <v>25</v>
      </c>
      <c r="B188" s="381" t="s">
        <v>654</v>
      </c>
      <c r="C188" s="381" t="s">
        <v>643</v>
      </c>
      <c r="D188" s="381"/>
      <c r="E188" s="589" t="s">
        <v>640</v>
      </c>
      <c r="F188" s="193"/>
      <c r="G188" s="193"/>
      <c r="H188" s="592">
        <v>46211</v>
      </c>
      <c r="I188" s="585" t="s">
        <v>504</v>
      </c>
      <c r="J188" s="53"/>
    </row>
    <row r="189" spans="1:10" s="199" customFormat="1" ht="20.100000000000001" hidden="1" customHeight="1" outlineLevel="1" x14ac:dyDescent="0.4">
      <c r="A189" s="594"/>
      <c r="B189" s="588"/>
      <c r="C189" s="588"/>
      <c r="D189" s="588"/>
      <c r="E189" s="590"/>
      <c r="F189" s="202" t="s">
        <v>691</v>
      </c>
      <c r="G189" s="202"/>
      <c r="H189" s="593"/>
      <c r="I189" s="599"/>
      <c r="J189" s="53"/>
    </row>
    <row r="190" spans="1:10" s="199" customFormat="1" ht="20.100000000000001" hidden="1" customHeight="1" outlineLevel="1" x14ac:dyDescent="0.4">
      <c r="A190" s="594"/>
      <c r="B190" s="588"/>
      <c r="C190" s="588"/>
      <c r="D190" s="588"/>
      <c r="E190" s="590"/>
      <c r="F190" s="202" t="s">
        <v>701</v>
      </c>
      <c r="G190" s="202"/>
      <c r="H190" s="593"/>
      <c r="I190" s="599"/>
      <c r="J190" s="53"/>
    </row>
    <row r="191" spans="1:10" s="199" customFormat="1" ht="20.100000000000001" hidden="1" customHeight="1" outlineLevel="1" x14ac:dyDescent="0.4">
      <c r="A191" s="380"/>
      <c r="B191" s="382"/>
      <c r="C191" s="382"/>
      <c r="D191" s="382"/>
      <c r="E191" s="591"/>
      <c r="F191" s="87"/>
      <c r="G191" s="87"/>
      <c r="H191" s="593"/>
      <c r="I191" s="600"/>
      <c r="J191" s="53" t="s">
        <v>687</v>
      </c>
    </row>
    <row r="192" spans="1:10" s="199" customFormat="1" ht="20.100000000000001" customHeight="1" collapsed="1" x14ac:dyDescent="0.4">
      <c r="A192" s="379">
        <v>26</v>
      </c>
      <c r="B192" s="381" t="s">
        <v>655</v>
      </c>
      <c r="C192" s="381" t="s">
        <v>644</v>
      </c>
      <c r="D192" s="381"/>
      <c r="E192" s="589" t="s">
        <v>645</v>
      </c>
      <c r="F192" s="193"/>
      <c r="G192" s="193"/>
      <c r="H192" s="592">
        <v>46234</v>
      </c>
      <c r="I192" s="583" t="s">
        <v>504</v>
      </c>
      <c r="J192" s="53"/>
    </row>
    <row r="193" spans="1:10" s="199" customFormat="1" ht="20.100000000000001" customHeight="1" x14ac:dyDescent="0.4">
      <c r="A193" s="594"/>
      <c r="B193" s="588"/>
      <c r="C193" s="588"/>
      <c r="D193" s="588"/>
      <c r="E193" s="590"/>
      <c r="F193" s="202" t="s">
        <v>463</v>
      </c>
      <c r="G193" s="202"/>
      <c r="H193" s="592"/>
      <c r="I193" s="584"/>
      <c r="J193" s="53"/>
    </row>
    <row r="194" spans="1:10" s="199" customFormat="1" ht="20.100000000000001" customHeight="1" x14ac:dyDescent="0.4">
      <c r="A194" s="594"/>
      <c r="B194" s="588"/>
      <c r="C194" s="588"/>
      <c r="D194" s="588"/>
      <c r="E194" s="590"/>
      <c r="F194" s="202" t="s">
        <v>455</v>
      </c>
      <c r="G194" s="202"/>
      <c r="H194" s="593"/>
      <c r="I194" s="584"/>
      <c r="J194" s="53"/>
    </row>
    <row r="195" spans="1:10" s="199" customFormat="1" ht="20.100000000000001" customHeight="1" x14ac:dyDescent="0.4">
      <c r="A195" s="380"/>
      <c r="B195" s="382"/>
      <c r="C195" s="382"/>
      <c r="D195" s="382"/>
      <c r="E195" s="591"/>
      <c r="F195" s="202"/>
      <c r="G195" s="202"/>
      <c r="H195" s="593"/>
      <c r="I195" s="584"/>
      <c r="J195" s="347" t="s">
        <v>487</v>
      </c>
    </row>
    <row r="196" spans="1:10" s="199" customFormat="1" ht="20.100000000000001" hidden="1" customHeight="1" outlineLevel="1" x14ac:dyDescent="0.4">
      <c r="A196" s="379">
        <v>27</v>
      </c>
      <c r="B196" s="381" t="s">
        <v>656</v>
      </c>
      <c r="C196" s="381" t="s">
        <v>647</v>
      </c>
      <c r="D196" s="381" t="s">
        <v>724</v>
      </c>
      <c r="E196" s="589" t="s">
        <v>646</v>
      </c>
      <c r="F196" s="193"/>
      <c r="G196" s="193"/>
      <c r="H196" s="596">
        <v>46210</v>
      </c>
      <c r="I196" s="585" t="s">
        <v>466</v>
      </c>
      <c r="J196" s="53"/>
    </row>
    <row r="197" spans="1:10" s="199" customFormat="1" ht="20.100000000000001" hidden="1" customHeight="1" outlineLevel="1" x14ac:dyDescent="0.4">
      <c r="A197" s="594"/>
      <c r="B197" s="588"/>
      <c r="C197" s="588"/>
      <c r="D197" s="588"/>
      <c r="E197" s="590"/>
      <c r="F197" s="202" t="s">
        <v>692</v>
      </c>
      <c r="G197" s="202"/>
      <c r="H197" s="598"/>
      <c r="I197" s="586"/>
      <c r="J197" s="53"/>
    </row>
    <row r="198" spans="1:10" s="199" customFormat="1" ht="20.100000000000001" hidden="1" customHeight="1" outlineLevel="1" x14ac:dyDescent="0.4">
      <c r="A198" s="594"/>
      <c r="B198" s="588"/>
      <c r="C198" s="588"/>
      <c r="D198" s="588"/>
      <c r="E198" s="590"/>
      <c r="F198" s="202" t="s">
        <v>693</v>
      </c>
      <c r="G198" s="202"/>
      <c r="H198" s="598"/>
      <c r="I198" s="586"/>
      <c r="J198" s="53"/>
    </row>
    <row r="199" spans="1:10" s="199" customFormat="1" ht="20.100000000000001" hidden="1" customHeight="1" outlineLevel="1" x14ac:dyDescent="0.4">
      <c r="A199" s="594"/>
      <c r="B199" s="588"/>
      <c r="C199" s="588"/>
      <c r="D199" s="588"/>
      <c r="E199" s="590"/>
      <c r="F199" s="202" t="s">
        <v>694</v>
      </c>
      <c r="G199" s="202"/>
      <c r="H199" s="597"/>
      <c r="I199" s="586"/>
      <c r="J199" s="53"/>
    </row>
    <row r="200" spans="1:10" s="199" customFormat="1" ht="20.100000000000001" hidden="1" customHeight="1" outlineLevel="1" x14ac:dyDescent="0.4">
      <c r="A200" s="594"/>
      <c r="B200" s="588"/>
      <c r="C200" s="588"/>
      <c r="D200" s="588"/>
      <c r="E200" s="590"/>
      <c r="F200" s="202" t="s">
        <v>702</v>
      </c>
      <c r="G200" s="202"/>
      <c r="H200" s="343">
        <v>46212</v>
      </c>
      <c r="I200" s="586"/>
      <c r="J200" s="53"/>
    </row>
    <row r="201" spans="1:10" s="199" customFormat="1" ht="20.100000000000001" hidden="1" customHeight="1" outlineLevel="1" x14ac:dyDescent="0.4">
      <c r="A201" s="594"/>
      <c r="B201" s="588"/>
      <c r="C201" s="588"/>
      <c r="D201" s="588"/>
      <c r="E201" s="590"/>
      <c r="F201" s="202" t="s">
        <v>704</v>
      </c>
      <c r="G201" s="202"/>
      <c r="H201" s="598">
        <v>46213</v>
      </c>
      <c r="I201" s="586"/>
      <c r="J201" s="53"/>
    </row>
    <row r="202" spans="1:10" s="199" customFormat="1" ht="20.100000000000001" hidden="1" customHeight="1" outlineLevel="1" x14ac:dyDescent="0.4">
      <c r="A202" s="594"/>
      <c r="B202" s="588"/>
      <c r="C202" s="588"/>
      <c r="D202" s="588"/>
      <c r="E202" s="590"/>
      <c r="F202" s="202" t="s">
        <v>705</v>
      </c>
      <c r="G202" s="202"/>
      <c r="H202" s="598"/>
      <c r="I202" s="586"/>
      <c r="J202" s="53"/>
    </row>
    <row r="203" spans="1:10" s="199" customFormat="1" ht="20.100000000000001" hidden="1" customHeight="1" outlineLevel="1" x14ac:dyDescent="0.4">
      <c r="A203" s="594"/>
      <c r="B203" s="588"/>
      <c r="C203" s="588"/>
      <c r="D203" s="588"/>
      <c r="E203" s="590"/>
      <c r="F203" s="202" t="s">
        <v>703</v>
      </c>
      <c r="G203" s="202"/>
      <c r="H203" s="598"/>
      <c r="I203" s="586"/>
      <c r="J203" s="53"/>
    </row>
    <row r="204" spans="1:10" s="199" customFormat="1" ht="20.100000000000001" hidden="1" customHeight="1" outlineLevel="1" x14ac:dyDescent="0.4">
      <c r="A204" s="380"/>
      <c r="B204" s="382"/>
      <c r="C204" s="382"/>
      <c r="D204" s="382"/>
      <c r="E204" s="591"/>
      <c r="F204" s="87"/>
      <c r="G204" s="87"/>
      <c r="H204" s="345"/>
      <c r="I204" s="587"/>
      <c r="J204" s="347" t="s">
        <v>688</v>
      </c>
    </row>
    <row r="205" spans="1:10" s="199" customFormat="1" ht="20.100000000000001" customHeight="1" collapsed="1" x14ac:dyDescent="0.4">
      <c r="A205" s="379">
        <v>28</v>
      </c>
      <c r="B205" s="381" t="s">
        <v>657</v>
      </c>
      <c r="C205" s="381" t="s">
        <v>649</v>
      </c>
      <c r="D205" s="381" t="s">
        <v>723</v>
      </c>
      <c r="E205" s="589" t="s">
        <v>648</v>
      </c>
      <c r="F205" s="193"/>
      <c r="G205" s="193"/>
      <c r="H205" s="596">
        <v>46223</v>
      </c>
      <c r="I205" s="583"/>
      <c r="J205" s="53"/>
    </row>
    <row r="206" spans="1:10" s="199" customFormat="1" ht="20.100000000000001" customHeight="1" x14ac:dyDescent="0.4">
      <c r="A206" s="594"/>
      <c r="B206" s="588"/>
      <c r="C206" s="588"/>
      <c r="D206" s="588"/>
      <c r="E206" s="590"/>
      <c r="F206" s="202" t="s">
        <v>746</v>
      </c>
      <c r="G206" s="202"/>
      <c r="H206" s="597"/>
      <c r="I206" s="583"/>
      <c r="J206" s="53"/>
    </row>
    <row r="207" spans="1:10" s="199" customFormat="1" ht="20.100000000000001" customHeight="1" x14ac:dyDescent="0.4">
      <c r="A207" s="594"/>
      <c r="B207" s="588"/>
      <c r="C207" s="588"/>
      <c r="D207" s="588"/>
      <c r="E207" s="590"/>
      <c r="F207" s="202" t="s">
        <v>747</v>
      </c>
      <c r="G207" s="202"/>
      <c r="H207" s="341">
        <v>46223</v>
      </c>
      <c r="I207" s="584"/>
      <c r="J207" s="53"/>
    </row>
    <row r="208" spans="1:10" s="199" customFormat="1" ht="20.100000000000001" customHeight="1" x14ac:dyDescent="0.4">
      <c r="A208" s="594"/>
      <c r="B208" s="588"/>
      <c r="C208" s="588"/>
      <c r="D208" s="588"/>
      <c r="E208" s="590"/>
      <c r="F208" s="202" t="s">
        <v>771</v>
      </c>
      <c r="G208" s="202"/>
      <c r="H208" s="341">
        <v>46227</v>
      </c>
      <c r="I208" s="584"/>
      <c r="J208" s="53"/>
    </row>
    <row r="209" spans="1:10" s="199" customFormat="1" ht="20.100000000000001" customHeight="1" x14ac:dyDescent="0.4">
      <c r="A209" s="594"/>
      <c r="B209" s="588"/>
      <c r="C209" s="588"/>
      <c r="D209" s="588"/>
      <c r="E209" s="590"/>
      <c r="F209" s="202" t="s">
        <v>772</v>
      </c>
      <c r="G209" s="202" t="s">
        <v>757</v>
      </c>
      <c r="H209" s="341">
        <v>46234</v>
      </c>
      <c r="I209" s="584"/>
      <c r="J209" s="53"/>
    </row>
    <row r="210" spans="1:10" s="199" customFormat="1" ht="20.100000000000001" customHeight="1" x14ac:dyDescent="0.4">
      <c r="A210" s="594"/>
      <c r="B210" s="588"/>
      <c r="C210" s="588"/>
      <c r="D210" s="588"/>
      <c r="E210" s="590"/>
      <c r="F210" s="202" t="s">
        <v>695</v>
      </c>
      <c r="G210" s="202"/>
      <c r="H210" s="341">
        <v>46241</v>
      </c>
      <c r="I210" s="584"/>
      <c r="J210" s="53"/>
    </row>
    <row r="211" spans="1:10" s="199" customFormat="1" ht="20.100000000000001" customHeight="1" x14ac:dyDescent="0.4">
      <c r="A211" s="594"/>
      <c r="B211" s="588"/>
      <c r="C211" s="588"/>
      <c r="D211" s="588"/>
      <c r="E211" s="590"/>
      <c r="F211" s="202" t="s">
        <v>696</v>
      </c>
      <c r="G211" s="202"/>
      <c r="H211" s="341">
        <v>46241</v>
      </c>
      <c r="I211" s="584"/>
      <c r="J211" s="53"/>
    </row>
    <row r="212" spans="1:10" s="199" customFormat="1" ht="20.100000000000001" customHeight="1" x14ac:dyDescent="0.4">
      <c r="A212" s="380"/>
      <c r="B212" s="382"/>
      <c r="C212" s="382"/>
      <c r="D212" s="382"/>
      <c r="E212" s="591"/>
      <c r="F212" s="87"/>
      <c r="G212" s="87"/>
      <c r="H212" s="329"/>
      <c r="I212" s="584"/>
      <c r="J212" s="53" t="s">
        <v>789</v>
      </c>
    </row>
    <row r="213" spans="1:10" s="199" customFormat="1" ht="20.100000000000001" hidden="1" customHeight="1" outlineLevel="1" x14ac:dyDescent="0.4">
      <c r="A213" s="379">
        <v>29</v>
      </c>
      <c r="B213" s="381" t="s">
        <v>658</v>
      </c>
      <c r="C213" s="381" t="s">
        <v>650</v>
      </c>
      <c r="D213" s="381" t="s">
        <v>721</v>
      </c>
      <c r="E213" s="589" t="s">
        <v>722</v>
      </c>
      <c r="F213" s="193" t="s">
        <v>463</v>
      </c>
      <c r="G213" s="193"/>
      <c r="H213" s="592">
        <v>46227</v>
      </c>
      <c r="I213" s="583" t="s">
        <v>504</v>
      </c>
      <c r="J213" s="53"/>
    </row>
    <row r="214" spans="1:10" s="199" customFormat="1" ht="20.100000000000001" hidden="1" customHeight="1" outlineLevel="1" x14ac:dyDescent="0.4">
      <c r="A214" s="594"/>
      <c r="B214" s="588"/>
      <c r="C214" s="588"/>
      <c r="D214" s="588"/>
      <c r="E214" s="590"/>
      <c r="F214" s="202" t="s">
        <v>455</v>
      </c>
      <c r="G214" s="202"/>
      <c r="H214" s="593"/>
      <c r="I214" s="584"/>
      <c r="J214" s="53"/>
    </row>
    <row r="215" spans="1:10" s="199" customFormat="1" ht="20.100000000000001" hidden="1" customHeight="1" outlineLevel="1" x14ac:dyDescent="0.4">
      <c r="A215" s="594"/>
      <c r="B215" s="588"/>
      <c r="C215" s="588"/>
      <c r="D215" s="588"/>
      <c r="E215" s="590"/>
      <c r="F215" s="202" t="s">
        <v>464</v>
      </c>
      <c r="G215" s="202"/>
      <c r="H215" s="593"/>
      <c r="I215" s="584"/>
      <c r="J215" s="53"/>
    </row>
    <row r="216" spans="1:10" s="199" customFormat="1" ht="20.100000000000001" hidden="1" customHeight="1" outlineLevel="1" x14ac:dyDescent="0.4">
      <c r="A216" s="380"/>
      <c r="B216" s="382"/>
      <c r="C216" s="382"/>
      <c r="D216" s="382"/>
      <c r="E216" s="591"/>
      <c r="F216" s="87" t="s">
        <v>496</v>
      </c>
      <c r="G216" s="87"/>
      <c r="H216" s="593"/>
      <c r="I216" s="584"/>
      <c r="J216" s="53" t="s">
        <v>686</v>
      </c>
    </row>
    <row r="217" spans="1:10" s="199" customFormat="1" ht="20.100000000000001" customHeight="1" collapsed="1" x14ac:dyDescent="0.4">
      <c r="A217" s="379">
        <v>30</v>
      </c>
      <c r="B217" s="381" t="s">
        <v>659</v>
      </c>
      <c r="C217" s="381" t="s">
        <v>651</v>
      </c>
      <c r="D217" s="381" t="s">
        <v>713</v>
      </c>
      <c r="E217" s="589" t="s">
        <v>717</v>
      </c>
      <c r="F217" s="193" t="s">
        <v>463</v>
      </c>
      <c r="G217" s="193"/>
      <c r="H217" s="592">
        <v>46226</v>
      </c>
      <c r="I217" s="595" t="s">
        <v>504</v>
      </c>
      <c r="J217" s="53"/>
    </row>
    <row r="218" spans="1:10" s="199" customFormat="1" ht="20.100000000000001" customHeight="1" x14ac:dyDescent="0.4">
      <c r="A218" s="594"/>
      <c r="B218" s="588"/>
      <c r="C218" s="588"/>
      <c r="D218" s="588"/>
      <c r="E218" s="590"/>
      <c r="F218" s="202" t="s">
        <v>455</v>
      </c>
      <c r="G218" s="202"/>
      <c r="H218" s="592"/>
      <c r="I218" s="586"/>
      <c r="J218" s="53"/>
    </row>
    <row r="219" spans="1:10" s="199" customFormat="1" ht="20.100000000000001" customHeight="1" x14ac:dyDescent="0.4">
      <c r="A219" s="594"/>
      <c r="B219" s="588"/>
      <c r="C219" s="588"/>
      <c r="D219" s="588"/>
      <c r="E219" s="590"/>
      <c r="F219" s="202" t="s">
        <v>491</v>
      </c>
      <c r="G219" s="202"/>
      <c r="H219" s="592"/>
      <c r="I219" s="586"/>
      <c r="J219" s="53"/>
    </row>
    <row r="220" spans="1:10" s="199" customFormat="1" ht="20.100000000000001" customHeight="1" x14ac:dyDescent="0.4">
      <c r="A220" s="594"/>
      <c r="B220" s="588"/>
      <c r="C220" s="588"/>
      <c r="D220" s="588"/>
      <c r="E220" s="590"/>
      <c r="F220" s="202" t="s">
        <v>464</v>
      </c>
      <c r="G220" s="202"/>
      <c r="H220" s="592"/>
      <c r="I220" s="586"/>
      <c r="J220" s="53"/>
    </row>
    <row r="221" spans="1:10" s="199" customFormat="1" ht="20.100000000000001" customHeight="1" x14ac:dyDescent="0.4">
      <c r="A221" s="594"/>
      <c r="B221" s="588"/>
      <c r="C221" s="588"/>
      <c r="D221" s="588"/>
      <c r="E221" s="590"/>
      <c r="F221" s="202" t="s">
        <v>496</v>
      </c>
      <c r="G221" s="202"/>
      <c r="H221" s="593"/>
      <c r="I221" s="586"/>
      <c r="J221" s="53"/>
    </row>
    <row r="222" spans="1:10" s="199" customFormat="1" ht="20.100000000000001" customHeight="1" x14ac:dyDescent="0.4">
      <c r="A222" s="380"/>
      <c r="B222" s="382"/>
      <c r="C222" s="382"/>
      <c r="D222" s="382"/>
      <c r="E222" s="591"/>
      <c r="F222" s="87" t="s">
        <v>503</v>
      </c>
      <c r="G222" s="87"/>
      <c r="H222" s="593"/>
      <c r="I222" s="587"/>
      <c r="J222" s="53" t="s">
        <v>687</v>
      </c>
    </row>
    <row r="223" spans="1:10" s="199" customFormat="1" ht="20.100000000000001" customHeight="1" x14ac:dyDescent="0.4">
      <c r="A223" s="379">
        <v>31</v>
      </c>
      <c r="B223" s="381" t="s">
        <v>735</v>
      </c>
      <c r="C223" s="381" t="s">
        <v>707</v>
      </c>
      <c r="D223" s="381" t="s">
        <v>714</v>
      </c>
      <c r="E223" s="589" t="s">
        <v>718</v>
      </c>
      <c r="F223" s="193" t="s">
        <v>463</v>
      </c>
      <c r="G223" s="193"/>
      <c r="H223" s="592">
        <v>46226</v>
      </c>
      <c r="I223" s="595" t="s">
        <v>504</v>
      </c>
      <c r="J223" s="53"/>
    </row>
    <row r="224" spans="1:10" s="199" customFormat="1" ht="20.100000000000001" customHeight="1" x14ac:dyDescent="0.4">
      <c r="A224" s="594"/>
      <c r="B224" s="588"/>
      <c r="C224" s="588"/>
      <c r="D224" s="588"/>
      <c r="E224" s="590"/>
      <c r="F224" s="202" t="s">
        <v>455</v>
      </c>
      <c r="G224" s="202"/>
      <c r="H224" s="592"/>
      <c r="I224" s="586"/>
      <c r="J224" s="53"/>
    </row>
    <row r="225" spans="1:10" s="199" customFormat="1" ht="20.100000000000001" customHeight="1" x14ac:dyDescent="0.4">
      <c r="A225" s="594"/>
      <c r="B225" s="588"/>
      <c r="C225" s="588"/>
      <c r="D225" s="588"/>
      <c r="E225" s="590"/>
      <c r="F225" s="202" t="s">
        <v>491</v>
      </c>
      <c r="G225" s="202"/>
      <c r="H225" s="592"/>
      <c r="I225" s="586"/>
      <c r="J225" s="53"/>
    </row>
    <row r="226" spans="1:10" s="199" customFormat="1" ht="20.100000000000001" customHeight="1" x14ac:dyDescent="0.4">
      <c r="A226" s="594"/>
      <c r="B226" s="588"/>
      <c r="C226" s="588"/>
      <c r="D226" s="588"/>
      <c r="E226" s="590"/>
      <c r="F226" s="202" t="s">
        <v>464</v>
      </c>
      <c r="G226" s="202"/>
      <c r="H226" s="592"/>
      <c r="I226" s="586"/>
      <c r="J226" s="53"/>
    </row>
    <row r="227" spans="1:10" s="199" customFormat="1" ht="20.100000000000001" customHeight="1" x14ac:dyDescent="0.4">
      <c r="A227" s="594"/>
      <c r="B227" s="588"/>
      <c r="C227" s="588"/>
      <c r="D227" s="588"/>
      <c r="E227" s="590"/>
      <c r="F227" s="202" t="s">
        <v>496</v>
      </c>
      <c r="G227" s="202"/>
      <c r="H227" s="593"/>
      <c r="I227" s="586"/>
      <c r="J227" s="53"/>
    </row>
    <row r="228" spans="1:10" s="199" customFormat="1" ht="20.100000000000001" customHeight="1" x14ac:dyDescent="0.4">
      <c r="A228" s="380"/>
      <c r="B228" s="382"/>
      <c r="C228" s="382"/>
      <c r="D228" s="382"/>
      <c r="E228" s="591"/>
      <c r="F228" s="87" t="s">
        <v>503</v>
      </c>
      <c r="G228" s="87"/>
      <c r="H228" s="593"/>
      <c r="I228" s="587"/>
      <c r="J228" s="53" t="s">
        <v>710</v>
      </c>
    </row>
    <row r="229" spans="1:10" s="199" customFormat="1" ht="20.100000000000001" customHeight="1" x14ac:dyDescent="0.4">
      <c r="A229" s="379">
        <v>32</v>
      </c>
      <c r="B229" s="381" t="s">
        <v>736</v>
      </c>
      <c r="C229" s="381" t="s">
        <v>708</v>
      </c>
      <c r="D229" s="381" t="s">
        <v>715</v>
      </c>
      <c r="E229" s="589" t="s">
        <v>719</v>
      </c>
      <c r="F229" s="193" t="s">
        <v>463</v>
      </c>
      <c r="G229" s="193"/>
      <c r="H229" s="592">
        <v>46233</v>
      </c>
      <c r="I229" s="583"/>
      <c r="J229" s="53"/>
    </row>
    <row r="230" spans="1:10" s="199" customFormat="1" ht="20.100000000000001" customHeight="1" x14ac:dyDescent="0.4">
      <c r="A230" s="594"/>
      <c r="B230" s="588"/>
      <c r="C230" s="588"/>
      <c r="D230" s="588"/>
      <c r="E230" s="590"/>
      <c r="F230" s="202" t="s">
        <v>455</v>
      </c>
      <c r="G230" s="202"/>
      <c r="H230" s="592"/>
      <c r="I230" s="583"/>
      <c r="J230" s="53"/>
    </row>
    <row r="231" spans="1:10" s="199" customFormat="1" ht="20.100000000000001" customHeight="1" x14ac:dyDescent="0.4">
      <c r="A231" s="594"/>
      <c r="B231" s="588"/>
      <c r="C231" s="588"/>
      <c r="D231" s="588"/>
      <c r="E231" s="590"/>
      <c r="F231" s="202" t="s">
        <v>491</v>
      </c>
      <c r="G231" s="202"/>
      <c r="H231" s="592"/>
      <c r="I231" s="584"/>
      <c r="J231" s="53"/>
    </row>
    <row r="232" spans="1:10" s="199" customFormat="1" ht="20.100000000000001" customHeight="1" x14ac:dyDescent="0.4">
      <c r="A232" s="594"/>
      <c r="B232" s="588"/>
      <c r="C232" s="588"/>
      <c r="D232" s="588"/>
      <c r="E232" s="590"/>
      <c r="F232" s="202" t="s">
        <v>464</v>
      </c>
      <c r="G232" s="202"/>
      <c r="H232" s="592"/>
      <c r="I232" s="584"/>
      <c r="J232" s="53"/>
    </row>
    <row r="233" spans="1:10" s="199" customFormat="1" ht="20.100000000000001" customHeight="1" x14ac:dyDescent="0.4">
      <c r="A233" s="594"/>
      <c r="B233" s="588"/>
      <c r="C233" s="588"/>
      <c r="D233" s="588"/>
      <c r="E233" s="590"/>
      <c r="F233" s="202" t="s">
        <v>684</v>
      </c>
      <c r="G233" s="202" t="s">
        <v>748</v>
      </c>
      <c r="H233" s="593"/>
      <c r="I233" s="584"/>
      <c r="J233" s="53"/>
    </row>
    <row r="234" spans="1:10" s="199" customFormat="1" ht="20.100000000000001" customHeight="1" x14ac:dyDescent="0.4">
      <c r="A234" s="380"/>
      <c r="B234" s="382"/>
      <c r="C234" s="382"/>
      <c r="D234" s="382"/>
      <c r="E234" s="591"/>
      <c r="F234" s="87" t="s">
        <v>787</v>
      </c>
      <c r="G234" s="87" t="s">
        <v>788</v>
      </c>
      <c r="H234" s="593"/>
      <c r="I234" s="584"/>
      <c r="J234" s="53" t="s">
        <v>711</v>
      </c>
    </row>
    <row r="235" spans="1:10" s="199" customFormat="1" ht="20.100000000000001" customHeight="1" x14ac:dyDescent="0.4">
      <c r="A235" s="379">
        <v>33</v>
      </c>
      <c r="B235" s="381" t="s">
        <v>737</v>
      </c>
      <c r="C235" s="381" t="s">
        <v>709</v>
      </c>
      <c r="D235" s="381" t="s">
        <v>716</v>
      </c>
      <c r="E235" s="589" t="s">
        <v>720</v>
      </c>
      <c r="F235" s="193" t="s">
        <v>463</v>
      </c>
      <c r="G235" s="193"/>
      <c r="H235" s="592">
        <v>46227</v>
      </c>
      <c r="I235" s="595" t="s">
        <v>504</v>
      </c>
      <c r="J235" s="53"/>
    </row>
    <row r="236" spans="1:10" s="199" customFormat="1" ht="20.100000000000001" customHeight="1" x14ac:dyDescent="0.4">
      <c r="A236" s="594"/>
      <c r="B236" s="588"/>
      <c r="C236" s="588"/>
      <c r="D236" s="588"/>
      <c r="E236" s="590"/>
      <c r="F236" s="202" t="s">
        <v>455</v>
      </c>
      <c r="G236" s="202"/>
      <c r="H236" s="592"/>
      <c r="I236" s="586"/>
      <c r="J236" s="53"/>
    </row>
    <row r="237" spans="1:10" s="199" customFormat="1" ht="20.100000000000001" customHeight="1" x14ac:dyDescent="0.4">
      <c r="A237" s="594"/>
      <c r="B237" s="588"/>
      <c r="C237" s="588"/>
      <c r="D237" s="588"/>
      <c r="E237" s="590"/>
      <c r="F237" s="202" t="s">
        <v>491</v>
      </c>
      <c r="G237" s="202"/>
      <c r="H237" s="592"/>
      <c r="I237" s="586"/>
      <c r="J237" s="53"/>
    </row>
    <row r="238" spans="1:10" s="199" customFormat="1" ht="20.100000000000001" customHeight="1" x14ac:dyDescent="0.4">
      <c r="A238" s="594"/>
      <c r="B238" s="588"/>
      <c r="C238" s="588"/>
      <c r="D238" s="588"/>
      <c r="E238" s="590"/>
      <c r="F238" s="202" t="s">
        <v>464</v>
      </c>
      <c r="G238" s="202"/>
      <c r="H238" s="592"/>
      <c r="I238" s="586"/>
      <c r="J238" s="53"/>
    </row>
    <row r="239" spans="1:10" s="199" customFormat="1" ht="20.100000000000001" customHeight="1" x14ac:dyDescent="0.4">
      <c r="A239" s="594"/>
      <c r="B239" s="588"/>
      <c r="C239" s="588"/>
      <c r="D239" s="588"/>
      <c r="E239" s="590"/>
      <c r="F239" s="202" t="s">
        <v>496</v>
      </c>
      <c r="G239" s="202"/>
      <c r="H239" s="593"/>
      <c r="I239" s="586"/>
      <c r="J239" s="53"/>
    </row>
    <row r="240" spans="1:10" s="199" customFormat="1" ht="20.100000000000001" customHeight="1" x14ac:dyDescent="0.4">
      <c r="A240" s="380"/>
      <c r="B240" s="382"/>
      <c r="C240" s="382"/>
      <c r="D240" s="382"/>
      <c r="E240" s="591"/>
      <c r="F240" s="87" t="s">
        <v>503</v>
      </c>
      <c r="G240" s="87"/>
      <c r="H240" s="593"/>
      <c r="I240" s="587"/>
      <c r="J240" s="53" t="s">
        <v>712</v>
      </c>
    </row>
    <row r="241" spans="1:10" s="199" customFormat="1" ht="20.100000000000001" customHeight="1" x14ac:dyDescent="0.4">
      <c r="A241" s="379">
        <v>34</v>
      </c>
      <c r="B241" s="381" t="s">
        <v>752</v>
      </c>
      <c r="C241" s="381" t="s">
        <v>754</v>
      </c>
      <c r="D241" s="381" t="s">
        <v>753</v>
      </c>
      <c r="E241" s="589" t="s">
        <v>751</v>
      </c>
      <c r="F241" s="193"/>
      <c r="G241" s="193"/>
      <c r="H241" s="592">
        <v>46234</v>
      </c>
      <c r="I241" s="583"/>
      <c r="J241" s="53"/>
    </row>
    <row r="242" spans="1:10" s="199" customFormat="1" ht="20.100000000000001" customHeight="1" x14ac:dyDescent="0.4">
      <c r="A242" s="594"/>
      <c r="B242" s="588"/>
      <c r="C242" s="588"/>
      <c r="D242" s="588"/>
      <c r="E242" s="590"/>
      <c r="F242" s="202" t="s">
        <v>463</v>
      </c>
      <c r="G242" s="202"/>
      <c r="H242" s="593"/>
      <c r="I242" s="584"/>
      <c r="J242" s="53"/>
    </row>
    <row r="243" spans="1:10" s="199" customFormat="1" ht="20.100000000000001" customHeight="1" x14ac:dyDescent="0.4">
      <c r="A243" s="594"/>
      <c r="B243" s="588"/>
      <c r="C243" s="588"/>
      <c r="D243" s="588"/>
      <c r="E243" s="590"/>
      <c r="F243" s="202" t="s">
        <v>455</v>
      </c>
      <c r="G243" s="202"/>
      <c r="H243" s="593"/>
      <c r="I243" s="584"/>
      <c r="J243" s="53"/>
    </row>
    <row r="244" spans="1:10" s="199" customFormat="1" ht="20.100000000000001" customHeight="1" x14ac:dyDescent="0.4">
      <c r="A244" s="594"/>
      <c r="B244" s="588"/>
      <c r="C244" s="588"/>
      <c r="D244" s="588"/>
      <c r="E244" s="590"/>
      <c r="F244" s="202" t="s">
        <v>781</v>
      </c>
      <c r="G244" s="202" t="s">
        <v>782</v>
      </c>
      <c r="H244" s="593"/>
      <c r="I244" s="584"/>
      <c r="J244" s="53"/>
    </row>
    <row r="245" spans="1:10" s="199" customFormat="1" ht="20.100000000000001" customHeight="1" x14ac:dyDescent="0.4">
      <c r="A245" s="380"/>
      <c r="B245" s="382"/>
      <c r="C245" s="382"/>
      <c r="D245" s="382"/>
      <c r="E245" s="591"/>
      <c r="F245" s="87"/>
      <c r="G245" s="87"/>
      <c r="H245" s="593"/>
      <c r="I245" s="584"/>
      <c r="J245" s="53" t="s">
        <v>486</v>
      </c>
    </row>
    <row r="246" spans="1:10" s="199" customFormat="1" ht="20.100000000000001" customHeight="1" x14ac:dyDescent="0.4">
      <c r="A246" s="379">
        <v>35</v>
      </c>
      <c r="B246" s="381" t="s">
        <v>430</v>
      </c>
      <c r="C246" s="381" t="s">
        <v>750</v>
      </c>
      <c r="D246" s="381" t="s">
        <v>755</v>
      </c>
      <c r="E246" s="589" t="s">
        <v>756</v>
      </c>
      <c r="F246" s="193" t="s">
        <v>463</v>
      </c>
      <c r="G246" s="193"/>
      <c r="H246" s="592">
        <v>46233</v>
      </c>
      <c r="I246" s="583"/>
      <c r="J246" s="53"/>
    </row>
    <row r="247" spans="1:10" s="199" customFormat="1" ht="20.100000000000001" customHeight="1" x14ac:dyDescent="0.4">
      <c r="A247" s="594"/>
      <c r="B247" s="588"/>
      <c r="C247" s="588"/>
      <c r="D247" s="588"/>
      <c r="E247" s="590"/>
      <c r="F247" s="202" t="s">
        <v>455</v>
      </c>
      <c r="G247" s="202"/>
      <c r="H247" s="592"/>
      <c r="I247" s="584"/>
      <c r="J247" s="53"/>
    </row>
    <row r="248" spans="1:10" s="199" customFormat="1" ht="20.100000000000001" customHeight="1" x14ac:dyDescent="0.4">
      <c r="A248" s="594"/>
      <c r="B248" s="588"/>
      <c r="C248" s="588"/>
      <c r="D248" s="588"/>
      <c r="E248" s="590"/>
      <c r="F248" s="202" t="s">
        <v>491</v>
      </c>
      <c r="G248" s="202"/>
      <c r="H248" s="592"/>
      <c r="I248" s="584"/>
      <c r="J248" s="53"/>
    </row>
    <row r="249" spans="1:10" s="199" customFormat="1" ht="20.100000000000001" customHeight="1" x14ac:dyDescent="0.4">
      <c r="A249" s="594"/>
      <c r="B249" s="588"/>
      <c r="C249" s="588"/>
      <c r="D249" s="588"/>
      <c r="E249" s="590"/>
      <c r="F249" s="202" t="s">
        <v>464</v>
      </c>
      <c r="G249" s="202"/>
      <c r="H249" s="592"/>
      <c r="I249" s="584"/>
      <c r="J249" s="53"/>
    </row>
    <row r="250" spans="1:10" s="199" customFormat="1" ht="20.100000000000001" customHeight="1" x14ac:dyDescent="0.4">
      <c r="A250" s="594"/>
      <c r="B250" s="588"/>
      <c r="C250" s="588"/>
      <c r="D250" s="588"/>
      <c r="E250" s="590"/>
      <c r="F250" s="202" t="s">
        <v>684</v>
      </c>
      <c r="G250" s="202" t="s">
        <v>748</v>
      </c>
      <c r="H250" s="593"/>
      <c r="I250" s="584"/>
      <c r="J250" s="53"/>
    </row>
    <row r="251" spans="1:10" s="199" customFormat="1" ht="20.100000000000001" customHeight="1" x14ac:dyDescent="0.4">
      <c r="A251" s="380"/>
      <c r="B251" s="382"/>
      <c r="C251" s="382"/>
      <c r="D251" s="382"/>
      <c r="E251" s="591"/>
      <c r="F251" s="87" t="s">
        <v>503</v>
      </c>
      <c r="G251" s="87"/>
      <c r="H251" s="593"/>
      <c r="I251" s="584"/>
      <c r="J251" s="53" t="s">
        <v>749</v>
      </c>
    </row>
    <row r="252" spans="1:10" s="199" customFormat="1" ht="20.100000000000001" customHeight="1" x14ac:dyDescent="0.4">
      <c r="A252" s="379">
        <v>36</v>
      </c>
      <c r="B252" s="381" t="s">
        <v>482</v>
      </c>
      <c r="C252" s="381" t="s">
        <v>759</v>
      </c>
      <c r="D252" s="381"/>
      <c r="E252" s="589" t="s">
        <v>758</v>
      </c>
      <c r="F252" s="193"/>
      <c r="G252" s="193"/>
      <c r="H252" s="592">
        <v>46231</v>
      </c>
      <c r="I252" s="585" t="s">
        <v>504</v>
      </c>
      <c r="J252" s="53"/>
    </row>
    <row r="253" spans="1:10" s="199" customFormat="1" ht="20.100000000000001" customHeight="1" x14ac:dyDescent="0.4">
      <c r="A253" s="594"/>
      <c r="B253" s="588"/>
      <c r="C253" s="588"/>
      <c r="D253" s="588"/>
      <c r="E253" s="590"/>
      <c r="F253" s="202" t="s">
        <v>773</v>
      </c>
      <c r="G253" s="202"/>
      <c r="H253" s="592"/>
      <c r="I253" s="599"/>
      <c r="J253" s="53"/>
    </row>
    <row r="254" spans="1:10" s="199" customFormat="1" ht="20.100000000000001" customHeight="1" x14ac:dyDescent="0.4">
      <c r="A254" s="594"/>
      <c r="B254" s="588"/>
      <c r="C254" s="588"/>
      <c r="D254" s="588"/>
      <c r="E254" s="590"/>
      <c r="F254" s="202" t="s">
        <v>774</v>
      </c>
      <c r="G254" s="202"/>
      <c r="H254" s="593"/>
      <c r="I254" s="599"/>
      <c r="J254" s="53"/>
    </row>
    <row r="255" spans="1:10" s="199" customFormat="1" ht="20.100000000000001" customHeight="1" x14ac:dyDescent="0.4">
      <c r="A255" s="594"/>
      <c r="B255" s="588"/>
      <c r="C255" s="588"/>
      <c r="D255" s="588"/>
      <c r="E255" s="590"/>
      <c r="F255" s="202" t="s">
        <v>775</v>
      </c>
      <c r="G255" s="202"/>
      <c r="H255" s="593"/>
      <c r="I255" s="599"/>
      <c r="J255" s="53"/>
    </row>
    <row r="256" spans="1:10" s="199" customFormat="1" ht="20.100000000000001" customHeight="1" x14ac:dyDescent="0.4">
      <c r="A256" s="380"/>
      <c r="B256" s="382"/>
      <c r="C256" s="382"/>
      <c r="D256" s="382"/>
      <c r="E256" s="591"/>
      <c r="F256" s="87"/>
      <c r="G256" s="87"/>
      <c r="H256" s="593"/>
      <c r="I256" s="600"/>
      <c r="J256" s="53" t="s">
        <v>486</v>
      </c>
    </row>
    <row r="257" spans="1:10" s="199" customFormat="1" ht="20.100000000000001" customHeight="1" x14ac:dyDescent="0.4">
      <c r="A257" s="379">
        <v>37</v>
      </c>
      <c r="B257" s="381" t="s">
        <v>778</v>
      </c>
      <c r="C257" s="381" t="s">
        <v>777</v>
      </c>
      <c r="D257" s="381"/>
      <c r="E257" s="589" t="s">
        <v>776</v>
      </c>
      <c r="F257" s="193"/>
      <c r="G257" s="193"/>
      <c r="H257" s="592">
        <v>46231</v>
      </c>
      <c r="I257" s="595" t="s">
        <v>504</v>
      </c>
      <c r="J257" s="53"/>
    </row>
    <row r="258" spans="1:10" s="199" customFormat="1" ht="20.100000000000001" customHeight="1" x14ac:dyDescent="0.4">
      <c r="A258" s="594"/>
      <c r="B258" s="588"/>
      <c r="C258" s="588"/>
      <c r="D258" s="588"/>
      <c r="E258" s="590"/>
      <c r="F258" s="202" t="s">
        <v>779</v>
      </c>
      <c r="G258" s="202"/>
      <c r="H258" s="593"/>
      <c r="I258" s="586"/>
      <c r="J258" s="53"/>
    </row>
    <row r="259" spans="1:10" s="199" customFormat="1" ht="20.100000000000001" customHeight="1" x14ac:dyDescent="0.4">
      <c r="A259" s="594"/>
      <c r="B259" s="588"/>
      <c r="C259" s="588"/>
      <c r="D259" s="588"/>
      <c r="E259" s="590"/>
      <c r="F259" s="202" t="s">
        <v>780</v>
      </c>
      <c r="G259" s="202"/>
      <c r="H259" s="593"/>
      <c r="I259" s="586"/>
      <c r="J259" s="53"/>
    </row>
    <row r="260" spans="1:10" s="199" customFormat="1" ht="20.100000000000001" customHeight="1" x14ac:dyDescent="0.4">
      <c r="A260" s="380"/>
      <c r="B260" s="382"/>
      <c r="C260" s="382"/>
      <c r="D260" s="382"/>
      <c r="E260" s="591"/>
      <c r="F260" s="87"/>
      <c r="G260" s="87"/>
      <c r="H260" s="593"/>
      <c r="I260" s="587"/>
      <c r="J260" s="53" t="s">
        <v>790</v>
      </c>
    </row>
    <row r="261" spans="1:10" s="199" customFormat="1" ht="20.100000000000001" hidden="1" customHeight="1" outlineLevel="1" x14ac:dyDescent="0.4">
      <c r="A261" s="379">
        <v>38</v>
      </c>
      <c r="B261" s="381"/>
      <c r="C261" s="381"/>
      <c r="D261" s="381"/>
      <c r="E261" s="589"/>
      <c r="F261" s="193"/>
      <c r="G261" s="193"/>
      <c r="H261" s="592"/>
      <c r="I261" s="583"/>
      <c r="J261" s="53"/>
    </row>
    <row r="262" spans="1:10" s="199" customFormat="1" ht="20.100000000000001" hidden="1" customHeight="1" outlineLevel="1" x14ac:dyDescent="0.4">
      <c r="A262" s="594"/>
      <c r="B262" s="588"/>
      <c r="C262" s="588"/>
      <c r="D262" s="588"/>
      <c r="E262" s="590"/>
      <c r="F262" s="202"/>
      <c r="G262" s="202"/>
      <c r="H262" s="593"/>
      <c r="I262" s="584"/>
      <c r="J262" s="53"/>
    </row>
    <row r="263" spans="1:10" s="199" customFormat="1" ht="20.100000000000001" hidden="1" customHeight="1" outlineLevel="1" x14ac:dyDescent="0.4">
      <c r="A263" s="594"/>
      <c r="B263" s="588"/>
      <c r="C263" s="588"/>
      <c r="D263" s="588"/>
      <c r="E263" s="590"/>
      <c r="F263" s="202"/>
      <c r="G263" s="202"/>
      <c r="H263" s="593"/>
      <c r="I263" s="584"/>
      <c r="J263" s="53"/>
    </row>
    <row r="264" spans="1:10" s="199" customFormat="1" ht="20.100000000000001" hidden="1" customHeight="1" outlineLevel="1" x14ac:dyDescent="0.4">
      <c r="A264" s="594"/>
      <c r="B264" s="588"/>
      <c r="C264" s="588"/>
      <c r="D264" s="588"/>
      <c r="E264" s="590"/>
      <c r="F264" s="202"/>
      <c r="G264" s="202"/>
      <c r="H264" s="593"/>
      <c r="I264" s="584"/>
      <c r="J264" s="53"/>
    </row>
    <row r="265" spans="1:10" s="199" customFormat="1" ht="20.100000000000001" hidden="1" customHeight="1" outlineLevel="1" x14ac:dyDescent="0.4">
      <c r="A265" s="380"/>
      <c r="B265" s="382"/>
      <c r="C265" s="382"/>
      <c r="D265" s="382"/>
      <c r="E265" s="591"/>
      <c r="F265" s="87"/>
      <c r="G265" s="87"/>
      <c r="H265" s="593"/>
      <c r="I265" s="584"/>
      <c r="J265" s="53"/>
    </row>
    <row r="266" spans="1:10" s="199" customFormat="1" ht="20.100000000000001" hidden="1" customHeight="1" outlineLevel="1" x14ac:dyDescent="0.4">
      <c r="A266" s="379">
        <v>39</v>
      </c>
      <c r="B266" s="381"/>
      <c r="C266" s="381"/>
      <c r="D266" s="381"/>
      <c r="E266" s="589"/>
      <c r="F266" s="193"/>
      <c r="G266" s="193"/>
      <c r="H266" s="592"/>
      <c r="I266" s="583"/>
      <c r="J266" s="53"/>
    </row>
    <row r="267" spans="1:10" s="199" customFormat="1" ht="20.100000000000001" hidden="1" customHeight="1" outlineLevel="1" x14ac:dyDescent="0.4">
      <c r="A267" s="594"/>
      <c r="B267" s="588"/>
      <c r="C267" s="588"/>
      <c r="D267" s="588"/>
      <c r="E267" s="590"/>
      <c r="F267" s="202"/>
      <c r="G267" s="202"/>
      <c r="H267" s="593"/>
      <c r="I267" s="584"/>
      <c r="J267" s="53"/>
    </row>
    <row r="268" spans="1:10" s="199" customFormat="1" ht="20.100000000000001" hidden="1" customHeight="1" outlineLevel="1" x14ac:dyDescent="0.4">
      <c r="A268" s="594"/>
      <c r="B268" s="588"/>
      <c r="C268" s="588"/>
      <c r="D268" s="588"/>
      <c r="E268" s="590"/>
      <c r="F268" s="202"/>
      <c r="G268" s="202"/>
      <c r="H268" s="593"/>
      <c r="I268" s="584"/>
      <c r="J268" s="53"/>
    </row>
    <row r="269" spans="1:10" s="199" customFormat="1" ht="20.100000000000001" hidden="1" customHeight="1" outlineLevel="1" x14ac:dyDescent="0.4">
      <c r="A269" s="594"/>
      <c r="B269" s="588"/>
      <c r="C269" s="588"/>
      <c r="D269" s="588"/>
      <c r="E269" s="590"/>
      <c r="F269" s="202"/>
      <c r="G269" s="202"/>
      <c r="H269" s="593"/>
      <c r="I269" s="584"/>
      <c r="J269" s="53"/>
    </row>
    <row r="270" spans="1:10" s="199" customFormat="1" ht="20.100000000000001" hidden="1" customHeight="1" outlineLevel="1" x14ac:dyDescent="0.4">
      <c r="A270" s="380"/>
      <c r="B270" s="382"/>
      <c r="C270" s="382"/>
      <c r="D270" s="382"/>
      <c r="E270" s="591"/>
      <c r="F270" s="87"/>
      <c r="G270" s="87"/>
      <c r="H270" s="593"/>
      <c r="I270" s="584"/>
      <c r="J270" s="53"/>
    </row>
    <row r="271" spans="1:10" s="199" customFormat="1" ht="20.100000000000001" hidden="1" customHeight="1" outlineLevel="1" x14ac:dyDescent="0.4">
      <c r="A271" s="379">
        <v>40</v>
      </c>
      <c r="B271" s="381"/>
      <c r="C271" s="381"/>
      <c r="D271" s="381"/>
      <c r="E271" s="589"/>
      <c r="F271" s="193"/>
      <c r="G271" s="193"/>
      <c r="H271" s="592"/>
      <c r="I271" s="583"/>
      <c r="J271" s="53"/>
    </row>
    <row r="272" spans="1:10" s="199" customFormat="1" ht="20.100000000000001" hidden="1" customHeight="1" outlineLevel="1" x14ac:dyDescent="0.4">
      <c r="A272" s="594"/>
      <c r="B272" s="588"/>
      <c r="C272" s="588"/>
      <c r="D272" s="588"/>
      <c r="E272" s="590"/>
      <c r="F272" s="202"/>
      <c r="G272" s="202"/>
      <c r="H272" s="593"/>
      <c r="I272" s="584"/>
      <c r="J272" s="53"/>
    </row>
    <row r="273" spans="1:10" s="199" customFormat="1" ht="20.100000000000001" hidden="1" customHeight="1" outlineLevel="1" x14ac:dyDescent="0.4">
      <c r="A273" s="594"/>
      <c r="B273" s="588"/>
      <c r="C273" s="588"/>
      <c r="D273" s="588"/>
      <c r="E273" s="590"/>
      <c r="F273" s="202"/>
      <c r="G273" s="202"/>
      <c r="H273" s="593"/>
      <c r="I273" s="584"/>
      <c r="J273" s="53"/>
    </row>
    <row r="274" spans="1:10" s="199" customFormat="1" ht="20.100000000000001" hidden="1" customHeight="1" outlineLevel="1" x14ac:dyDescent="0.4">
      <c r="A274" s="594"/>
      <c r="B274" s="588"/>
      <c r="C274" s="588"/>
      <c r="D274" s="588"/>
      <c r="E274" s="590"/>
      <c r="F274" s="202"/>
      <c r="G274" s="202"/>
      <c r="H274" s="593"/>
      <c r="I274" s="584"/>
      <c r="J274" s="53"/>
    </row>
    <row r="275" spans="1:10" s="199" customFormat="1" ht="20.100000000000001" hidden="1" customHeight="1" outlineLevel="1" x14ac:dyDescent="0.4">
      <c r="A275" s="380"/>
      <c r="B275" s="382"/>
      <c r="C275" s="382"/>
      <c r="D275" s="382"/>
      <c r="E275" s="591"/>
      <c r="F275" s="87"/>
      <c r="G275" s="87"/>
      <c r="H275" s="593"/>
      <c r="I275" s="584"/>
      <c r="J275" s="53"/>
    </row>
    <row r="276" spans="1:10" s="199" customFormat="1" ht="20.100000000000001" hidden="1" customHeight="1" outlineLevel="1" x14ac:dyDescent="0.4">
      <c r="A276" s="379">
        <v>41</v>
      </c>
      <c r="B276" s="381"/>
      <c r="C276" s="381"/>
      <c r="D276" s="381"/>
      <c r="E276" s="589"/>
      <c r="F276" s="193"/>
      <c r="G276" s="193"/>
      <c r="H276" s="592"/>
      <c r="I276" s="583"/>
      <c r="J276" s="53"/>
    </row>
    <row r="277" spans="1:10" s="199" customFormat="1" ht="20.100000000000001" hidden="1" customHeight="1" outlineLevel="1" x14ac:dyDescent="0.4">
      <c r="A277" s="594"/>
      <c r="B277" s="588"/>
      <c r="C277" s="588"/>
      <c r="D277" s="588"/>
      <c r="E277" s="590"/>
      <c r="F277" s="202"/>
      <c r="G277" s="202"/>
      <c r="H277" s="593"/>
      <c r="I277" s="584"/>
      <c r="J277" s="53"/>
    </row>
    <row r="278" spans="1:10" s="199" customFormat="1" ht="20.100000000000001" hidden="1" customHeight="1" outlineLevel="1" x14ac:dyDescent="0.4">
      <c r="A278" s="594"/>
      <c r="B278" s="588"/>
      <c r="C278" s="588"/>
      <c r="D278" s="588"/>
      <c r="E278" s="590"/>
      <c r="F278" s="202"/>
      <c r="G278" s="202"/>
      <c r="H278" s="593"/>
      <c r="I278" s="584"/>
      <c r="J278" s="53"/>
    </row>
    <row r="279" spans="1:10" s="199" customFormat="1" ht="20.100000000000001" hidden="1" customHeight="1" outlineLevel="1" x14ac:dyDescent="0.4">
      <c r="A279" s="594"/>
      <c r="B279" s="588"/>
      <c r="C279" s="588"/>
      <c r="D279" s="588"/>
      <c r="E279" s="590"/>
      <c r="F279" s="202"/>
      <c r="G279" s="202"/>
      <c r="H279" s="593"/>
      <c r="I279" s="584"/>
      <c r="J279" s="53"/>
    </row>
    <row r="280" spans="1:10" s="199" customFormat="1" ht="20.100000000000001" hidden="1" customHeight="1" outlineLevel="1" x14ac:dyDescent="0.4">
      <c r="A280" s="380"/>
      <c r="B280" s="382"/>
      <c r="C280" s="382"/>
      <c r="D280" s="382"/>
      <c r="E280" s="591"/>
      <c r="F280" s="87"/>
      <c r="G280" s="87"/>
      <c r="H280" s="593"/>
      <c r="I280" s="584"/>
      <c r="J280" s="53"/>
    </row>
    <row r="281" spans="1:10" s="199" customFormat="1" ht="20.100000000000001" hidden="1" customHeight="1" outlineLevel="1" x14ac:dyDescent="0.4">
      <c r="A281" s="379">
        <v>42</v>
      </c>
      <c r="B281" s="381"/>
      <c r="C281" s="381"/>
      <c r="D281" s="381"/>
      <c r="E281" s="589"/>
      <c r="F281" s="193"/>
      <c r="G281" s="193"/>
      <c r="H281" s="592"/>
      <c r="I281" s="583"/>
      <c r="J281" s="53"/>
    </row>
    <row r="282" spans="1:10" s="199" customFormat="1" ht="20.100000000000001" hidden="1" customHeight="1" outlineLevel="1" x14ac:dyDescent="0.4">
      <c r="A282" s="594"/>
      <c r="B282" s="588"/>
      <c r="C282" s="588"/>
      <c r="D282" s="588"/>
      <c r="E282" s="590"/>
      <c r="F282" s="202"/>
      <c r="G282" s="202"/>
      <c r="H282" s="593"/>
      <c r="I282" s="584"/>
      <c r="J282" s="53"/>
    </row>
    <row r="283" spans="1:10" s="199" customFormat="1" ht="20.100000000000001" hidden="1" customHeight="1" outlineLevel="1" x14ac:dyDescent="0.4">
      <c r="A283" s="594"/>
      <c r="B283" s="588"/>
      <c r="C283" s="588"/>
      <c r="D283" s="588"/>
      <c r="E283" s="590"/>
      <c r="F283" s="202"/>
      <c r="G283" s="202"/>
      <c r="H283" s="593"/>
      <c r="I283" s="584"/>
      <c r="J283" s="53"/>
    </row>
    <row r="284" spans="1:10" s="199" customFormat="1" ht="20.100000000000001" hidden="1" customHeight="1" outlineLevel="1" x14ac:dyDescent="0.4">
      <c r="A284" s="594"/>
      <c r="B284" s="588"/>
      <c r="C284" s="588"/>
      <c r="D284" s="588"/>
      <c r="E284" s="590"/>
      <c r="F284" s="202"/>
      <c r="G284" s="202"/>
      <c r="H284" s="593"/>
      <c r="I284" s="584"/>
      <c r="J284" s="53"/>
    </row>
    <row r="285" spans="1:10" s="199" customFormat="1" ht="20.100000000000001" hidden="1" customHeight="1" outlineLevel="1" x14ac:dyDescent="0.4">
      <c r="A285" s="380"/>
      <c r="B285" s="382"/>
      <c r="C285" s="382"/>
      <c r="D285" s="382"/>
      <c r="E285" s="591"/>
      <c r="F285" s="87"/>
      <c r="G285" s="87"/>
      <c r="H285" s="593"/>
      <c r="I285" s="584"/>
      <c r="J285" s="53"/>
    </row>
    <row r="286" spans="1:10" s="199" customFormat="1" ht="20.100000000000001" hidden="1" customHeight="1" outlineLevel="1" x14ac:dyDescent="0.4">
      <c r="A286" s="379">
        <v>43</v>
      </c>
      <c r="B286" s="381"/>
      <c r="C286" s="381"/>
      <c r="D286" s="381"/>
      <c r="E286" s="589"/>
      <c r="F286" s="193"/>
      <c r="G286" s="193"/>
      <c r="H286" s="592"/>
      <c r="I286" s="583"/>
      <c r="J286" s="53"/>
    </row>
    <row r="287" spans="1:10" s="199" customFormat="1" ht="20.100000000000001" hidden="1" customHeight="1" outlineLevel="1" x14ac:dyDescent="0.4">
      <c r="A287" s="594"/>
      <c r="B287" s="588"/>
      <c r="C287" s="588"/>
      <c r="D287" s="588"/>
      <c r="E287" s="590"/>
      <c r="F287" s="202"/>
      <c r="G287" s="202"/>
      <c r="H287" s="593"/>
      <c r="I287" s="584"/>
      <c r="J287" s="53"/>
    </row>
    <row r="288" spans="1:10" s="199" customFormat="1" ht="20.100000000000001" hidden="1" customHeight="1" outlineLevel="1" x14ac:dyDescent="0.4">
      <c r="A288" s="594"/>
      <c r="B288" s="588"/>
      <c r="C288" s="588"/>
      <c r="D288" s="588"/>
      <c r="E288" s="590"/>
      <c r="F288" s="202"/>
      <c r="G288" s="202"/>
      <c r="H288" s="593"/>
      <c r="I288" s="584"/>
      <c r="J288" s="53"/>
    </row>
    <row r="289" spans="1:10" s="199" customFormat="1" ht="20.100000000000001" hidden="1" customHeight="1" outlineLevel="1" x14ac:dyDescent="0.4">
      <c r="A289" s="594"/>
      <c r="B289" s="588"/>
      <c r="C289" s="588"/>
      <c r="D289" s="588"/>
      <c r="E289" s="590"/>
      <c r="F289" s="202"/>
      <c r="G289" s="202"/>
      <c r="H289" s="593"/>
      <c r="I289" s="584"/>
      <c r="J289" s="53"/>
    </row>
    <row r="290" spans="1:10" s="199" customFormat="1" ht="20.100000000000001" hidden="1" customHeight="1" outlineLevel="1" x14ac:dyDescent="0.4">
      <c r="A290" s="380"/>
      <c r="B290" s="382"/>
      <c r="C290" s="382"/>
      <c r="D290" s="382"/>
      <c r="E290" s="591"/>
      <c r="F290" s="87"/>
      <c r="G290" s="87"/>
      <c r="H290" s="593"/>
      <c r="I290" s="584"/>
      <c r="J290" s="53"/>
    </row>
    <row r="291" spans="1:10" s="199" customFormat="1" ht="20.100000000000001" hidden="1" customHeight="1" outlineLevel="1" x14ac:dyDescent="0.4">
      <c r="A291" s="379">
        <v>44</v>
      </c>
      <c r="B291" s="381"/>
      <c r="C291" s="381"/>
      <c r="D291" s="381"/>
      <c r="E291" s="589"/>
      <c r="F291" s="193"/>
      <c r="G291" s="193"/>
      <c r="H291" s="592"/>
      <c r="I291" s="583"/>
      <c r="J291" s="53"/>
    </row>
    <row r="292" spans="1:10" s="199" customFormat="1" ht="20.100000000000001" hidden="1" customHeight="1" outlineLevel="1" x14ac:dyDescent="0.4">
      <c r="A292" s="594"/>
      <c r="B292" s="588"/>
      <c r="C292" s="588"/>
      <c r="D292" s="588"/>
      <c r="E292" s="590"/>
      <c r="F292" s="202"/>
      <c r="G292" s="202"/>
      <c r="H292" s="593"/>
      <c r="I292" s="584"/>
      <c r="J292" s="53"/>
    </row>
    <row r="293" spans="1:10" s="199" customFormat="1" ht="20.100000000000001" hidden="1" customHeight="1" outlineLevel="1" x14ac:dyDescent="0.4">
      <c r="A293" s="594"/>
      <c r="B293" s="588"/>
      <c r="C293" s="588"/>
      <c r="D293" s="588"/>
      <c r="E293" s="590"/>
      <c r="F293" s="202"/>
      <c r="G293" s="202"/>
      <c r="H293" s="593"/>
      <c r="I293" s="584"/>
      <c r="J293" s="53"/>
    </row>
    <row r="294" spans="1:10" s="199" customFormat="1" ht="20.100000000000001" hidden="1" customHeight="1" outlineLevel="1" x14ac:dyDescent="0.4">
      <c r="A294" s="594"/>
      <c r="B294" s="588"/>
      <c r="C294" s="588"/>
      <c r="D294" s="588"/>
      <c r="E294" s="590"/>
      <c r="F294" s="202"/>
      <c r="G294" s="202"/>
      <c r="H294" s="593"/>
      <c r="I294" s="584"/>
      <c r="J294" s="53"/>
    </row>
    <row r="295" spans="1:10" s="199" customFormat="1" ht="20.100000000000001" hidden="1" customHeight="1" outlineLevel="1" x14ac:dyDescent="0.4">
      <c r="A295" s="380"/>
      <c r="B295" s="382"/>
      <c r="C295" s="382"/>
      <c r="D295" s="382"/>
      <c r="E295" s="591"/>
      <c r="F295" s="87"/>
      <c r="G295" s="87"/>
      <c r="H295" s="593"/>
      <c r="I295" s="584"/>
      <c r="J295" s="53"/>
    </row>
    <row r="296" spans="1:10" s="199" customFormat="1" ht="20.100000000000001" hidden="1" customHeight="1" outlineLevel="1" x14ac:dyDescent="0.4">
      <c r="A296" s="379">
        <v>45</v>
      </c>
      <c r="B296" s="381"/>
      <c r="C296" s="381"/>
      <c r="D296" s="381"/>
      <c r="E296" s="589"/>
      <c r="F296" s="193"/>
      <c r="G296" s="193"/>
      <c r="H296" s="592"/>
      <c r="I296" s="583"/>
      <c r="J296" s="53"/>
    </row>
    <row r="297" spans="1:10" s="199" customFormat="1" ht="20.100000000000001" hidden="1" customHeight="1" outlineLevel="1" x14ac:dyDescent="0.4">
      <c r="A297" s="594"/>
      <c r="B297" s="588"/>
      <c r="C297" s="588"/>
      <c r="D297" s="588"/>
      <c r="E297" s="590"/>
      <c r="F297" s="202"/>
      <c r="G297" s="202"/>
      <c r="H297" s="593"/>
      <c r="I297" s="584"/>
      <c r="J297" s="53"/>
    </row>
    <row r="298" spans="1:10" s="199" customFormat="1" ht="20.100000000000001" hidden="1" customHeight="1" outlineLevel="1" x14ac:dyDescent="0.4">
      <c r="A298" s="594"/>
      <c r="B298" s="588"/>
      <c r="C298" s="588"/>
      <c r="D298" s="588"/>
      <c r="E298" s="590"/>
      <c r="F298" s="202"/>
      <c r="G298" s="202"/>
      <c r="H298" s="593"/>
      <c r="I298" s="584"/>
      <c r="J298" s="53"/>
    </row>
    <row r="299" spans="1:10" s="199" customFormat="1" ht="20.100000000000001" hidden="1" customHeight="1" outlineLevel="1" x14ac:dyDescent="0.4">
      <c r="A299" s="594"/>
      <c r="B299" s="588"/>
      <c r="C299" s="588"/>
      <c r="D299" s="588"/>
      <c r="E299" s="590"/>
      <c r="F299" s="202"/>
      <c r="G299" s="202"/>
      <c r="H299" s="593"/>
      <c r="I299" s="584"/>
      <c r="J299" s="53"/>
    </row>
    <row r="300" spans="1:10" s="199" customFormat="1" ht="20.100000000000001" hidden="1" customHeight="1" outlineLevel="1" x14ac:dyDescent="0.4">
      <c r="A300" s="380"/>
      <c r="B300" s="382"/>
      <c r="C300" s="382"/>
      <c r="D300" s="382"/>
      <c r="E300" s="591"/>
      <c r="F300" s="87"/>
      <c r="G300" s="87"/>
      <c r="H300" s="593"/>
      <c r="I300" s="584"/>
      <c r="J300" s="53"/>
    </row>
    <row r="301" spans="1:10" s="199" customFormat="1" ht="20.100000000000001" hidden="1" customHeight="1" outlineLevel="1" x14ac:dyDescent="0.4">
      <c r="A301" s="379">
        <v>46</v>
      </c>
      <c r="B301" s="381"/>
      <c r="C301" s="381"/>
      <c r="D301" s="381"/>
      <c r="E301" s="589"/>
      <c r="F301" s="193"/>
      <c r="G301" s="193"/>
      <c r="H301" s="592"/>
      <c r="I301" s="585"/>
      <c r="J301" s="53"/>
    </row>
    <row r="302" spans="1:10" s="199" customFormat="1" ht="20.100000000000001" hidden="1" customHeight="1" outlineLevel="1" x14ac:dyDescent="0.4">
      <c r="A302" s="594"/>
      <c r="B302" s="588"/>
      <c r="C302" s="588"/>
      <c r="D302" s="588"/>
      <c r="E302" s="590"/>
      <c r="F302" s="202"/>
      <c r="G302" s="202"/>
      <c r="H302" s="592"/>
      <c r="I302" s="599"/>
      <c r="J302" s="53"/>
    </row>
    <row r="303" spans="1:10" s="199" customFormat="1" ht="20.100000000000001" hidden="1" customHeight="1" outlineLevel="1" x14ac:dyDescent="0.4">
      <c r="A303" s="594"/>
      <c r="B303" s="588"/>
      <c r="C303" s="588"/>
      <c r="D303" s="588"/>
      <c r="E303" s="590"/>
      <c r="F303" s="202"/>
      <c r="G303" s="202"/>
      <c r="H303" s="593"/>
      <c r="I303" s="599"/>
      <c r="J303" s="53"/>
    </row>
    <row r="304" spans="1:10" s="199" customFormat="1" ht="20.100000000000001" hidden="1" customHeight="1" outlineLevel="1" x14ac:dyDescent="0.4">
      <c r="A304" s="594"/>
      <c r="B304" s="588"/>
      <c r="C304" s="588"/>
      <c r="D304" s="588"/>
      <c r="E304" s="590"/>
      <c r="F304" s="202"/>
      <c r="G304" s="202"/>
      <c r="H304" s="593"/>
      <c r="I304" s="599"/>
      <c r="J304" s="53"/>
    </row>
    <row r="305" spans="1:10" s="199" customFormat="1" ht="20.100000000000001" hidden="1" customHeight="1" outlineLevel="1" x14ac:dyDescent="0.4">
      <c r="A305" s="594"/>
      <c r="B305" s="588"/>
      <c r="C305" s="588"/>
      <c r="D305" s="588"/>
      <c r="E305" s="590"/>
      <c r="F305" s="202"/>
      <c r="G305" s="202"/>
      <c r="H305" s="593"/>
      <c r="I305" s="599"/>
      <c r="J305" s="53"/>
    </row>
    <row r="306" spans="1:10" s="199" customFormat="1" ht="20.100000000000001" hidden="1" customHeight="1" outlineLevel="1" x14ac:dyDescent="0.4">
      <c r="A306" s="380"/>
      <c r="B306" s="382"/>
      <c r="C306" s="382"/>
      <c r="D306" s="382"/>
      <c r="E306" s="591"/>
      <c r="F306" s="202"/>
      <c r="G306" s="202"/>
      <c r="H306" s="593"/>
      <c r="I306" s="600"/>
      <c r="J306" s="53"/>
    </row>
    <row r="307" spans="1:10" s="199" customFormat="1" ht="20.100000000000001" hidden="1" customHeight="1" outlineLevel="1" x14ac:dyDescent="0.4">
      <c r="A307" s="379">
        <v>47</v>
      </c>
      <c r="B307" s="381"/>
      <c r="C307" s="381"/>
      <c r="D307" s="381"/>
      <c r="E307" s="589"/>
      <c r="F307" s="193"/>
      <c r="G307" s="193"/>
      <c r="H307" s="592"/>
      <c r="I307" s="595"/>
      <c r="J307" s="53"/>
    </row>
    <row r="308" spans="1:10" s="199" customFormat="1" ht="20.100000000000001" hidden="1" customHeight="1" outlineLevel="1" x14ac:dyDescent="0.4">
      <c r="A308" s="594"/>
      <c r="B308" s="588"/>
      <c r="C308" s="588"/>
      <c r="D308" s="588"/>
      <c r="E308" s="590"/>
      <c r="F308" s="202"/>
      <c r="G308" s="202"/>
      <c r="H308" s="593"/>
      <c r="I308" s="586"/>
      <c r="J308" s="53"/>
    </row>
    <row r="309" spans="1:10" s="199" customFormat="1" ht="20.100000000000001" hidden="1" customHeight="1" outlineLevel="1" x14ac:dyDescent="0.4">
      <c r="A309" s="594"/>
      <c r="B309" s="588"/>
      <c r="C309" s="588"/>
      <c r="D309" s="588"/>
      <c r="E309" s="590"/>
      <c r="F309" s="202"/>
      <c r="G309" s="202"/>
      <c r="H309" s="593"/>
      <c r="I309" s="586"/>
      <c r="J309" s="53"/>
    </row>
    <row r="310" spans="1:10" s="199" customFormat="1" ht="20.100000000000001" hidden="1" customHeight="1" outlineLevel="1" x14ac:dyDescent="0.4">
      <c r="A310" s="380"/>
      <c r="B310" s="382"/>
      <c r="C310" s="382"/>
      <c r="D310" s="382"/>
      <c r="E310" s="591"/>
      <c r="F310" s="87"/>
      <c r="G310" s="87"/>
      <c r="H310" s="593"/>
      <c r="I310" s="587"/>
      <c r="J310" s="53"/>
    </row>
    <row r="311" spans="1:10" s="199" customFormat="1" ht="20.100000000000001" hidden="1" customHeight="1" outlineLevel="1" x14ac:dyDescent="0.4">
      <c r="A311" s="379">
        <v>48</v>
      </c>
      <c r="B311" s="381"/>
      <c r="C311" s="381"/>
      <c r="D311" s="381"/>
      <c r="E311" s="589"/>
      <c r="F311" s="193"/>
      <c r="G311" s="193"/>
      <c r="H311" s="592"/>
      <c r="I311" s="583"/>
      <c r="J311" s="53"/>
    </row>
    <row r="312" spans="1:10" s="199" customFormat="1" ht="20.100000000000001" hidden="1" customHeight="1" outlineLevel="1" x14ac:dyDescent="0.4">
      <c r="A312" s="594"/>
      <c r="B312" s="588"/>
      <c r="C312" s="588"/>
      <c r="D312" s="588"/>
      <c r="E312" s="590"/>
      <c r="F312" s="202"/>
      <c r="G312" s="202"/>
      <c r="H312" s="593"/>
      <c r="I312" s="584"/>
      <c r="J312" s="53"/>
    </row>
    <row r="313" spans="1:10" s="199" customFormat="1" ht="20.100000000000001" hidden="1" customHeight="1" outlineLevel="1" x14ac:dyDescent="0.4">
      <c r="A313" s="594"/>
      <c r="B313" s="588"/>
      <c r="C313" s="588"/>
      <c r="D313" s="588"/>
      <c r="E313" s="590"/>
      <c r="F313" s="202"/>
      <c r="G313" s="202"/>
      <c r="H313" s="593"/>
      <c r="I313" s="584"/>
      <c r="J313" s="53"/>
    </row>
    <row r="314" spans="1:10" s="199" customFormat="1" ht="20.100000000000001" hidden="1" customHeight="1" outlineLevel="1" x14ac:dyDescent="0.4">
      <c r="A314" s="594"/>
      <c r="B314" s="588"/>
      <c r="C314" s="588"/>
      <c r="D314" s="588"/>
      <c r="E314" s="590"/>
      <c r="F314" s="202"/>
      <c r="G314" s="202"/>
      <c r="H314" s="593"/>
      <c r="I314" s="584"/>
      <c r="J314" s="53"/>
    </row>
    <row r="315" spans="1:10" s="199" customFormat="1" ht="20.100000000000001" hidden="1" customHeight="1" outlineLevel="1" x14ac:dyDescent="0.4">
      <c r="A315" s="380"/>
      <c r="B315" s="382"/>
      <c r="C315" s="382"/>
      <c r="D315" s="382"/>
      <c r="E315" s="591"/>
      <c r="F315" s="87"/>
      <c r="G315" s="87"/>
      <c r="H315" s="593"/>
      <c r="I315" s="584"/>
      <c r="J315" s="53"/>
    </row>
    <row r="316" spans="1:10" s="199" customFormat="1" ht="20.100000000000001" hidden="1" customHeight="1" outlineLevel="1" x14ac:dyDescent="0.4">
      <c r="A316" s="379">
        <v>49</v>
      </c>
      <c r="B316" s="381"/>
      <c r="C316" s="381"/>
      <c r="D316" s="381"/>
      <c r="E316" s="589"/>
      <c r="F316" s="193"/>
      <c r="G316" s="193"/>
      <c r="H316" s="592"/>
      <c r="I316" s="583"/>
      <c r="J316" s="53"/>
    </row>
    <row r="317" spans="1:10" s="199" customFormat="1" ht="20.100000000000001" hidden="1" customHeight="1" outlineLevel="1" x14ac:dyDescent="0.4">
      <c r="A317" s="594"/>
      <c r="B317" s="588"/>
      <c r="C317" s="588"/>
      <c r="D317" s="588"/>
      <c r="E317" s="590"/>
      <c r="F317" s="202"/>
      <c r="G317" s="202"/>
      <c r="H317" s="593"/>
      <c r="I317" s="584"/>
      <c r="J317" s="53"/>
    </row>
    <row r="318" spans="1:10" s="199" customFormat="1" ht="20.100000000000001" hidden="1" customHeight="1" outlineLevel="1" x14ac:dyDescent="0.4">
      <c r="A318" s="594"/>
      <c r="B318" s="588"/>
      <c r="C318" s="588"/>
      <c r="D318" s="588"/>
      <c r="E318" s="590"/>
      <c r="F318" s="202"/>
      <c r="G318" s="202"/>
      <c r="H318" s="593"/>
      <c r="I318" s="584"/>
      <c r="J318" s="53"/>
    </row>
    <row r="319" spans="1:10" s="199" customFormat="1" ht="20.100000000000001" hidden="1" customHeight="1" outlineLevel="1" x14ac:dyDescent="0.4">
      <c r="A319" s="594"/>
      <c r="B319" s="588"/>
      <c r="C319" s="588"/>
      <c r="D319" s="588"/>
      <c r="E319" s="590"/>
      <c r="F319" s="202"/>
      <c r="G319" s="202"/>
      <c r="H319" s="593"/>
      <c r="I319" s="584"/>
      <c r="J319" s="53"/>
    </row>
    <row r="320" spans="1:10" s="199" customFormat="1" ht="20.100000000000001" hidden="1" customHeight="1" outlineLevel="1" x14ac:dyDescent="0.4">
      <c r="A320" s="380"/>
      <c r="B320" s="382"/>
      <c r="C320" s="382"/>
      <c r="D320" s="382"/>
      <c r="E320" s="591"/>
      <c r="F320" s="87"/>
      <c r="G320" s="87"/>
      <c r="H320" s="593"/>
      <c r="I320" s="584"/>
      <c r="J320" s="53"/>
    </row>
    <row r="321" spans="1:10" s="199" customFormat="1" ht="20.100000000000001" hidden="1" customHeight="1" outlineLevel="1" x14ac:dyDescent="0.4">
      <c r="A321" s="379">
        <v>50</v>
      </c>
      <c r="B321" s="381"/>
      <c r="C321" s="381"/>
      <c r="D321" s="381"/>
      <c r="E321" s="589"/>
      <c r="F321" s="193"/>
      <c r="G321" s="193"/>
      <c r="H321" s="592"/>
      <c r="I321" s="583"/>
      <c r="J321" s="53"/>
    </row>
    <row r="322" spans="1:10" s="199" customFormat="1" ht="20.100000000000001" hidden="1" customHeight="1" outlineLevel="1" x14ac:dyDescent="0.4">
      <c r="A322" s="594"/>
      <c r="B322" s="588"/>
      <c r="C322" s="588"/>
      <c r="D322" s="588"/>
      <c r="E322" s="590"/>
      <c r="F322" s="202"/>
      <c r="G322" s="202"/>
      <c r="H322" s="593"/>
      <c r="I322" s="584"/>
      <c r="J322" s="53"/>
    </row>
    <row r="323" spans="1:10" s="199" customFormat="1" ht="20.100000000000001" hidden="1" customHeight="1" outlineLevel="1" x14ac:dyDescent="0.4">
      <c r="A323" s="594"/>
      <c r="B323" s="588"/>
      <c r="C323" s="588"/>
      <c r="D323" s="588"/>
      <c r="E323" s="590"/>
      <c r="F323" s="202"/>
      <c r="G323" s="202"/>
      <c r="H323" s="593"/>
      <c r="I323" s="584"/>
      <c r="J323" s="53"/>
    </row>
    <row r="324" spans="1:10" s="199" customFormat="1" ht="20.100000000000001" hidden="1" customHeight="1" outlineLevel="1" x14ac:dyDescent="0.4">
      <c r="A324" s="594"/>
      <c r="B324" s="588"/>
      <c r="C324" s="588"/>
      <c r="D324" s="588"/>
      <c r="E324" s="590"/>
      <c r="F324" s="202"/>
      <c r="G324" s="202"/>
      <c r="H324" s="593"/>
      <c r="I324" s="584"/>
      <c r="J324" s="53"/>
    </row>
    <row r="325" spans="1:10" s="199" customFormat="1" ht="20.100000000000001" hidden="1" customHeight="1" outlineLevel="1" x14ac:dyDescent="0.4">
      <c r="A325" s="380"/>
      <c r="B325" s="382"/>
      <c r="C325" s="382"/>
      <c r="D325" s="382"/>
      <c r="E325" s="591"/>
      <c r="F325" s="87"/>
      <c r="G325" s="87"/>
      <c r="H325" s="593"/>
      <c r="I325" s="584"/>
      <c r="J325" s="53"/>
    </row>
    <row r="326" spans="1:10" s="199" customFormat="1" ht="20.100000000000001" hidden="1" customHeight="1" outlineLevel="1" x14ac:dyDescent="0.4">
      <c r="A326" s="379">
        <v>51</v>
      </c>
      <c r="B326" s="381"/>
      <c r="C326" s="381"/>
      <c r="D326" s="381"/>
      <c r="E326" s="589"/>
      <c r="F326" s="193"/>
      <c r="G326" s="193"/>
      <c r="H326" s="592"/>
      <c r="I326" s="583"/>
      <c r="J326" s="53"/>
    </row>
    <row r="327" spans="1:10" s="199" customFormat="1" ht="20.100000000000001" hidden="1" customHeight="1" outlineLevel="1" x14ac:dyDescent="0.4">
      <c r="A327" s="594"/>
      <c r="B327" s="588"/>
      <c r="C327" s="588"/>
      <c r="D327" s="588"/>
      <c r="E327" s="590"/>
      <c r="F327" s="202"/>
      <c r="G327" s="202"/>
      <c r="H327" s="593"/>
      <c r="I327" s="584"/>
      <c r="J327" s="53"/>
    </row>
    <row r="328" spans="1:10" s="199" customFormat="1" ht="20.100000000000001" hidden="1" customHeight="1" outlineLevel="1" x14ac:dyDescent="0.4">
      <c r="A328" s="594"/>
      <c r="B328" s="588"/>
      <c r="C328" s="588"/>
      <c r="D328" s="588"/>
      <c r="E328" s="590"/>
      <c r="F328" s="202"/>
      <c r="G328" s="202"/>
      <c r="H328" s="593"/>
      <c r="I328" s="584"/>
      <c r="J328" s="53"/>
    </row>
    <row r="329" spans="1:10" s="199" customFormat="1" ht="20.100000000000001" hidden="1" customHeight="1" outlineLevel="1" x14ac:dyDescent="0.4">
      <c r="A329" s="594"/>
      <c r="B329" s="588"/>
      <c r="C329" s="588"/>
      <c r="D329" s="588"/>
      <c r="E329" s="590"/>
      <c r="F329" s="202"/>
      <c r="G329" s="202"/>
      <c r="H329" s="593"/>
      <c r="I329" s="584"/>
      <c r="J329" s="53"/>
    </row>
    <row r="330" spans="1:10" s="199" customFormat="1" ht="20.100000000000001" hidden="1" customHeight="1" outlineLevel="1" x14ac:dyDescent="0.4">
      <c r="A330" s="380"/>
      <c r="B330" s="382"/>
      <c r="C330" s="382"/>
      <c r="D330" s="382"/>
      <c r="E330" s="591"/>
      <c r="F330" s="87"/>
      <c r="G330" s="87"/>
      <c r="H330" s="593"/>
      <c r="I330" s="584"/>
      <c r="J330" s="53"/>
    </row>
    <row r="331" spans="1:10" s="199" customFormat="1" ht="20.100000000000001" hidden="1" customHeight="1" outlineLevel="1" x14ac:dyDescent="0.4">
      <c r="A331" s="379">
        <v>52</v>
      </c>
      <c r="B331" s="381"/>
      <c r="C331" s="381"/>
      <c r="D331" s="381"/>
      <c r="E331" s="589"/>
      <c r="F331" s="193"/>
      <c r="G331" s="193"/>
      <c r="H331" s="592"/>
      <c r="I331" s="583"/>
      <c r="J331" s="53"/>
    </row>
    <row r="332" spans="1:10" s="199" customFormat="1" ht="20.100000000000001" hidden="1" customHeight="1" outlineLevel="1" x14ac:dyDescent="0.4">
      <c r="A332" s="594"/>
      <c r="B332" s="588"/>
      <c r="C332" s="588"/>
      <c r="D332" s="588"/>
      <c r="E332" s="590"/>
      <c r="F332" s="202"/>
      <c r="G332" s="202"/>
      <c r="H332" s="593"/>
      <c r="I332" s="584"/>
      <c r="J332" s="53"/>
    </row>
    <row r="333" spans="1:10" s="199" customFormat="1" ht="20.100000000000001" hidden="1" customHeight="1" outlineLevel="1" x14ac:dyDescent="0.4">
      <c r="A333" s="594"/>
      <c r="B333" s="588"/>
      <c r="C333" s="588"/>
      <c r="D333" s="588"/>
      <c r="E333" s="590"/>
      <c r="F333" s="202"/>
      <c r="G333" s="202"/>
      <c r="H333" s="593"/>
      <c r="I333" s="584"/>
      <c r="J333" s="53"/>
    </row>
    <row r="334" spans="1:10" s="199" customFormat="1" ht="20.100000000000001" hidden="1" customHeight="1" outlineLevel="1" x14ac:dyDescent="0.4">
      <c r="A334" s="594"/>
      <c r="B334" s="588"/>
      <c r="C334" s="588"/>
      <c r="D334" s="588"/>
      <c r="E334" s="590"/>
      <c r="F334" s="202"/>
      <c r="G334" s="202"/>
      <c r="H334" s="593"/>
      <c r="I334" s="584"/>
      <c r="J334" s="53"/>
    </row>
    <row r="335" spans="1:10" s="199" customFormat="1" ht="20.100000000000001" hidden="1" customHeight="1" outlineLevel="1" x14ac:dyDescent="0.4">
      <c r="A335" s="380"/>
      <c r="B335" s="382"/>
      <c r="C335" s="382"/>
      <c r="D335" s="382"/>
      <c r="E335" s="591"/>
      <c r="F335" s="87"/>
      <c r="G335" s="87"/>
      <c r="H335" s="593"/>
      <c r="I335" s="584"/>
      <c r="J335" s="53"/>
    </row>
    <row r="336" spans="1:10" s="199" customFormat="1" ht="20.100000000000001" hidden="1" customHeight="1" outlineLevel="1" x14ac:dyDescent="0.4">
      <c r="A336" s="379">
        <v>53</v>
      </c>
      <c r="B336" s="381"/>
      <c r="C336" s="381"/>
      <c r="D336" s="381"/>
      <c r="E336" s="589"/>
      <c r="F336" s="193"/>
      <c r="G336" s="193"/>
      <c r="H336" s="592"/>
      <c r="I336" s="583"/>
      <c r="J336" s="53"/>
    </row>
    <row r="337" spans="1:10" s="199" customFormat="1" ht="20.100000000000001" hidden="1" customHeight="1" outlineLevel="1" x14ac:dyDescent="0.4">
      <c r="A337" s="594"/>
      <c r="B337" s="588"/>
      <c r="C337" s="588"/>
      <c r="D337" s="588"/>
      <c r="E337" s="590"/>
      <c r="F337" s="202"/>
      <c r="G337" s="202"/>
      <c r="H337" s="593"/>
      <c r="I337" s="584"/>
      <c r="J337" s="53"/>
    </row>
    <row r="338" spans="1:10" s="199" customFormat="1" ht="20.100000000000001" hidden="1" customHeight="1" outlineLevel="1" x14ac:dyDescent="0.4">
      <c r="A338" s="594"/>
      <c r="B338" s="588"/>
      <c r="C338" s="588"/>
      <c r="D338" s="588"/>
      <c r="E338" s="590"/>
      <c r="F338" s="202"/>
      <c r="G338" s="202"/>
      <c r="H338" s="593"/>
      <c r="I338" s="584"/>
      <c r="J338" s="53"/>
    </row>
    <row r="339" spans="1:10" s="199" customFormat="1" ht="20.100000000000001" hidden="1" customHeight="1" outlineLevel="1" x14ac:dyDescent="0.4">
      <c r="A339" s="594"/>
      <c r="B339" s="588"/>
      <c r="C339" s="588"/>
      <c r="D339" s="588"/>
      <c r="E339" s="590"/>
      <c r="F339" s="202"/>
      <c r="G339" s="202"/>
      <c r="H339" s="593"/>
      <c r="I339" s="584"/>
      <c r="J339" s="53"/>
    </row>
    <row r="340" spans="1:10" s="199" customFormat="1" ht="20.100000000000001" hidden="1" customHeight="1" outlineLevel="1" x14ac:dyDescent="0.4">
      <c r="A340" s="380"/>
      <c r="B340" s="382"/>
      <c r="C340" s="382"/>
      <c r="D340" s="382"/>
      <c r="E340" s="591"/>
      <c r="F340" s="87"/>
      <c r="G340" s="87"/>
      <c r="H340" s="593"/>
      <c r="I340" s="584"/>
      <c r="J340" s="53"/>
    </row>
    <row r="341" spans="1:10" s="199" customFormat="1" ht="20.100000000000001" hidden="1" customHeight="1" outlineLevel="1" x14ac:dyDescent="0.4">
      <c r="A341" s="379">
        <v>54</v>
      </c>
      <c r="B341" s="381"/>
      <c r="C341" s="381"/>
      <c r="D341" s="381"/>
      <c r="E341" s="589"/>
      <c r="F341" s="193"/>
      <c r="G341" s="193"/>
      <c r="H341" s="592"/>
      <c r="I341" s="583"/>
      <c r="J341" s="53"/>
    </row>
    <row r="342" spans="1:10" s="199" customFormat="1" ht="20.100000000000001" hidden="1" customHeight="1" outlineLevel="1" x14ac:dyDescent="0.4">
      <c r="A342" s="594"/>
      <c r="B342" s="588"/>
      <c r="C342" s="588"/>
      <c r="D342" s="588"/>
      <c r="E342" s="590"/>
      <c r="F342" s="202"/>
      <c r="G342" s="202"/>
      <c r="H342" s="593"/>
      <c r="I342" s="584"/>
      <c r="J342" s="53"/>
    </row>
    <row r="343" spans="1:10" s="199" customFormat="1" ht="20.100000000000001" hidden="1" customHeight="1" outlineLevel="1" x14ac:dyDescent="0.4">
      <c r="A343" s="594"/>
      <c r="B343" s="588"/>
      <c r="C343" s="588"/>
      <c r="D343" s="588"/>
      <c r="E343" s="590"/>
      <c r="F343" s="202"/>
      <c r="G343" s="202"/>
      <c r="H343" s="593"/>
      <c r="I343" s="584"/>
      <c r="J343" s="53"/>
    </row>
    <row r="344" spans="1:10" s="199" customFormat="1" ht="20.100000000000001" hidden="1" customHeight="1" outlineLevel="1" x14ac:dyDescent="0.4">
      <c r="A344" s="594"/>
      <c r="B344" s="588"/>
      <c r="C344" s="588"/>
      <c r="D344" s="588"/>
      <c r="E344" s="590"/>
      <c r="F344" s="202"/>
      <c r="G344" s="202"/>
      <c r="H344" s="593"/>
      <c r="I344" s="584"/>
      <c r="J344" s="53"/>
    </row>
    <row r="345" spans="1:10" s="199" customFormat="1" ht="20.100000000000001" hidden="1" customHeight="1" outlineLevel="1" x14ac:dyDescent="0.4">
      <c r="A345" s="380"/>
      <c r="B345" s="382"/>
      <c r="C345" s="382"/>
      <c r="D345" s="382"/>
      <c r="E345" s="591"/>
      <c r="F345" s="87"/>
      <c r="G345" s="87"/>
      <c r="H345" s="593"/>
      <c r="I345" s="584"/>
      <c r="J345" s="53"/>
    </row>
    <row r="346" spans="1:10" s="199" customFormat="1" ht="20.100000000000001" hidden="1" customHeight="1" outlineLevel="1" x14ac:dyDescent="0.4">
      <c r="A346" s="379">
        <v>55</v>
      </c>
      <c r="B346" s="381"/>
      <c r="C346" s="381"/>
      <c r="D346" s="381"/>
      <c r="E346" s="589"/>
      <c r="F346" s="193"/>
      <c r="G346" s="193"/>
      <c r="H346" s="592"/>
      <c r="I346" s="583"/>
      <c r="J346" s="53"/>
    </row>
    <row r="347" spans="1:10" s="199" customFormat="1" ht="20.100000000000001" hidden="1" customHeight="1" outlineLevel="1" x14ac:dyDescent="0.4">
      <c r="A347" s="594"/>
      <c r="B347" s="588"/>
      <c r="C347" s="588"/>
      <c r="D347" s="588"/>
      <c r="E347" s="590"/>
      <c r="F347" s="202"/>
      <c r="G347" s="202"/>
      <c r="H347" s="593"/>
      <c r="I347" s="584"/>
      <c r="J347" s="53"/>
    </row>
    <row r="348" spans="1:10" s="199" customFormat="1" ht="20.100000000000001" hidden="1" customHeight="1" outlineLevel="1" x14ac:dyDescent="0.4">
      <c r="A348" s="594"/>
      <c r="B348" s="588"/>
      <c r="C348" s="588"/>
      <c r="D348" s="588"/>
      <c r="E348" s="590"/>
      <c r="F348" s="202"/>
      <c r="G348" s="202"/>
      <c r="H348" s="593"/>
      <c r="I348" s="584"/>
      <c r="J348" s="53"/>
    </row>
    <row r="349" spans="1:10" s="199" customFormat="1" ht="20.100000000000001" hidden="1" customHeight="1" outlineLevel="1" x14ac:dyDescent="0.4">
      <c r="A349" s="594"/>
      <c r="B349" s="588"/>
      <c r="C349" s="588"/>
      <c r="D349" s="588"/>
      <c r="E349" s="590"/>
      <c r="F349" s="202"/>
      <c r="G349" s="202"/>
      <c r="H349" s="593"/>
      <c r="I349" s="584"/>
      <c r="J349" s="53"/>
    </row>
    <row r="350" spans="1:10" s="199" customFormat="1" ht="20.100000000000001" hidden="1" customHeight="1" outlineLevel="1" x14ac:dyDescent="0.4">
      <c r="A350" s="380"/>
      <c r="B350" s="382"/>
      <c r="C350" s="382"/>
      <c r="D350" s="382"/>
      <c r="E350" s="591"/>
      <c r="F350" s="87"/>
      <c r="G350" s="87"/>
      <c r="H350" s="593"/>
      <c r="I350" s="584"/>
      <c r="J350" s="53"/>
    </row>
    <row r="351" spans="1:10" s="199" customFormat="1" ht="20.100000000000001" hidden="1" customHeight="1" outlineLevel="1" x14ac:dyDescent="0.4">
      <c r="A351" s="379">
        <v>56</v>
      </c>
      <c r="B351" s="381"/>
      <c r="C351" s="381"/>
      <c r="D351" s="381"/>
      <c r="E351" s="589"/>
      <c r="F351" s="193"/>
      <c r="G351" s="193"/>
      <c r="H351" s="592"/>
      <c r="I351" s="585"/>
      <c r="J351" s="53"/>
    </row>
    <row r="352" spans="1:10" s="199" customFormat="1" ht="20.100000000000001" hidden="1" customHeight="1" outlineLevel="1" x14ac:dyDescent="0.4">
      <c r="A352" s="594"/>
      <c r="B352" s="588"/>
      <c r="C352" s="588"/>
      <c r="D352" s="588"/>
      <c r="E352" s="590"/>
      <c r="F352" s="202"/>
      <c r="G352" s="202"/>
      <c r="H352" s="592"/>
      <c r="I352" s="599"/>
      <c r="J352" s="53"/>
    </row>
    <row r="353" spans="1:10" s="199" customFormat="1" ht="20.100000000000001" hidden="1" customHeight="1" outlineLevel="1" x14ac:dyDescent="0.4">
      <c r="A353" s="594"/>
      <c r="B353" s="588"/>
      <c r="C353" s="588"/>
      <c r="D353" s="588"/>
      <c r="E353" s="590"/>
      <c r="F353" s="202"/>
      <c r="G353" s="202"/>
      <c r="H353" s="593"/>
      <c r="I353" s="599"/>
      <c r="J353" s="53"/>
    </row>
    <row r="354" spans="1:10" s="199" customFormat="1" ht="20.100000000000001" hidden="1" customHeight="1" outlineLevel="1" x14ac:dyDescent="0.4">
      <c r="A354" s="594"/>
      <c r="B354" s="588"/>
      <c r="C354" s="588"/>
      <c r="D354" s="588"/>
      <c r="E354" s="590"/>
      <c r="F354" s="202"/>
      <c r="G354" s="202"/>
      <c r="H354" s="593"/>
      <c r="I354" s="599"/>
      <c r="J354" s="53"/>
    </row>
    <row r="355" spans="1:10" s="199" customFormat="1" ht="20.100000000000001" hidden="1" customHeight="1" outlineLevel="1" x14ac:dyDescent="0.4">
      <c r="A355" s="594"/>
      <c r="B355" s="588"/>
      <c r="C355" s="588"/>
      <c r="D355" s="588"/>
      <c r="E355" s="590"/>
      <c r="F355" s="202"/>
      <c r="G355" s="202"/>
      <c r="H355" s="593"/>
      <c r="I355" s="599"/>
      <c r="J355" s="53"/>
    </row>
    <row r="356" spans="1:10" s="199" customFormat="1" ht="20.100000000000001" hidden="1" customHeight="1" outlineLevel="1" x14ac:dyDescent="0.4">
      <c r="A356" s="380"/>
      <c r="B356" s="382"/>
      <c r="C356" s="382"/>
      <c r="D356" s="382"/>
      <c r="E356" s="591"/>
      <c r="F356" s="202"/>
      <c r="G356" s="202"/>
      <c r="H356" s="593"/>
      <c r="I356" s="600"/>
      <c r="J356" s="53"/>
    </row>
    <row r="357" spans="1:10" s="199" customFormat="1" ht="20.100000000000001" hidden="1" customHeight="1" outlineLevel="1" x14ac:dyDescent="0.4">
      <c r="A357" s="379">
        <v>57</v>
      </c>
      <c r="B357" s="381"/>
      <c r="C357" s="381"/>
      <c r="D357" s="381"/>
      <c r="E357" s="589"/>
      <c r="F357" s="193"/>
      <c r="G357" s="193"/>
      <c r="H357" s="592"/>
      <c r="I357" s="595"/>
      <c r="J357" s="53"/>
    </row>
    <row r="358" spans="1:10" s="199" customFormat="1" ht="20.100000000000001" hidden="1" customHeight="1" outlineLevel="1" x14ac:dyDescent="0.4">
      <c r="A358" s="594"/>
      <c r="B358" s="588"/>
      <c r="C358" s="588"/>
      <c r="D358" s="588"/>
      <c r="E358" s="590"/>
      <c r="F358" s="202"/>
      <c r="G358" s="202"/>
      <c r="H358" s="593"/>
      <c r="I358" s="586"/>
      <c r="J358" s="53"/>
    </row>
    <row r="359" spans="1:10" s="199" customFormat="1" ht="20.100000000000001" hidden="1" customHeight="1" outlineLevel="1" x14ac:dyDescent="0.4">
      <c r="A359" s="594"/>
      <c r="B359" s="588"/>
      <c r="C359" s="588"/>
      <c r="D359" s="588"/>
      <c r="E359" s="590"/>
      <c r="F359" s="202"/>
      <c r="G359" s="202"/>
      <c r="H359" s="593"/>
      <c r="I359" s="586"/>
      <c r="J359" s="53"/>
    </row>
    <row r="360" spans="1:10" s="199" customFormat="1" ht="20.100000000000001" hidden="1" customHeight="1" outlineLevel="1" x14ac:dyDescent="0.4">
      <c r="A360" s="380"/>
      <c r="B360" s="382"/>
      <c r="C360" s="382"/>
      <c r="D360" s="382"/>
      <c r="E360" s="591"/>
      <c r="F360" s="87"/>
      <c r="G360" s="87"/>
      <c r="H360" s="593"/>
      <c r="I360" s="587"/>
      <c r="J360" s="53"/>
    </row>
    <row r="361" spans="1:10" s="199" customFormat="1" ht="20.100000000000001" hidden="1" customHeight="1" outlineLevel="1" x14ac:dyDescent="0.4">
      <c r="A361" s="379">
        <v>58</v>
      </c>
      <c r="B361" s="381"/>
      <c r="C361" s="381"/>
      <c r="D361" s="381"/>
      <c r="E361" s="589"/>
      <c r="F361" s="193"/>
      <c r="G361" s="193"/>
      <c r="H361" s="592"/>
      <c r="I361" s="583"/>
      <c r="J361" s="53"/>
    </row>
    <row r="362" spans="1:10" s="199" customFormat="1" ht="20.100000000000001" hidden="1" customHeight="1" outlineLevel="1" x14ac:dyDescent="0.4">
      <c r="A362" s="594"/>
      <c r="B362" s="588"/>
      <c r="C362" s="588"/>
      <c r="D362" s="588"/>
      <c r="E362" s="590"/>
      <c r="F362" s="202"/>
      <c r="G362" s="202"/>
      <c r="H362" s="593"/>
      <c r="I362" s="584"/>
      <c r="J362" s="53"/>
    </row>
    <row r="363" spans="1:10" s="199" customFormat="1" ht="20.100000000000001" hidden="1" customHeight="1" outlineLevel="1" x14ac:dyDescent="0.4">
      <c r="A363" s="594"/>
      <c r="B363" s="588"/>
      <c r="C363" s="588"/>
      <c r="D363" s="588"/>
      <c r="E363" s="590"/>
      <c r="F363" s="202"/>
      <c r="G363" s="202"/>
      <c r="H363" s="593"/>
      <c r="I363" s="584"/>
      <c r="J363" s="53"/>
    </row>
    <row r="364" spans="1:10" s="199" customFormat="1" ht="20.100000000000001" hidden="1" customHeight="1" outlineLevel="1" x14ac:dyDescent="0.4">
      <c r="A364" s="594"/>
      <c r="B364" s="588"/>
      <c r="C364" s="588"/>
      <c r="D364" s="588"/>
      <c r="E364" s="590"/>
      <c r="F364" s="202"/>
      <c r="G364" s="202"/>
      <c r="H364" s="593"/>
      <c r="I364" s="584"/>
      <c r="J364" s="53"/>
    </row>
    <row r="365" spans="1:10" s="199" customFormat="1" ht="20.100000000000001" hidden="1" customHeight="1" outlineLevel="1" x14ac:dyDescent="0.4">
      <c r="A365" s="380"/>
      <c r="B365" s="382"/>
      <c r="C365" s="382"/>
      <c r="D365" s="382"/>
      <c r="E365" s="591"/>
      <c r="F365" s="87"/>
      <c r="G365" s="87"/>
      <c r="H365" s="593"/>
      <c r="I365" s="584"/>
      <c r="J365" s="53"/>
    </row>
    <row r="366" spans="1:10" s="199" customFormat="1" ht="20.100000000000001" hidden="1" customHeight="1" outlineLevel="1" x14ac:dyDescent="0.4">
      <c r="A366" s="379">
        <v>59</v>
      </c>
      <c r="B366" s="381"/>
      <c r="C366" s="381"/>
      <c r="D366" s="381"/>
      <c r="E366" s="589"/>
      <c r="F366" s="193"/>
      <c r="G366" s="193"/>
      <c r="H366" s="592"/>
      <c r="I366" s="583"/>
      <c r="J366" s="53"/>
    </row>
    <row r="367" spans="1:10" s="199" customFormat="1" ht="20.100000000000001" hidden="1" customHeight="1" outlineLevel="1" x14ac:dyDescent="0.4">
      <c r="A367" s="594"/>
      <c r="B367" s="588"/>
      <c r="C367" s="588"/>
      <c r="D367" s="588"/>
      <c r="E367" s="590"/>
      <c r="F367" s="202"/>
      <c r="G367" s="202"/>
      <c r="H367" s="593"/>
      <c r="I367" s="584"/>
      <c r="J367" s="53"/>
    </row>
    <row r="368" spans="1:10" s="199" customFormat="1" ht="20.100000000000001" hidden="1" customHeight="1" outlineLevel="1" x14ac:dyDescent="0.4">
      <c r="A368" s="594"/>
      <c r="B368" s="588"/>
      <c r="C368" s="588"/>
      <c r="D368" s="588"/>
      <c r="E368" s="590"/>
      <c r="F368" s="202"/>
      <c r="G368" s="202"/>
      <c r="H368" s="593"/>
      <c r="I368" s="584"/>
      <c r="J368" s="53"/>
    </row>
    <row r="369" spans="1:10" s="199" customFormat="1" ht="20.100000000000001" hidden="1" customHeight="1" outlineLevel="1" x14ac:dyDescent="0.4">
      <c r="A369" s="594"/>
      <c r="B369" s="588"/>
      <c r="C369" s="588"/>
      <c r="D369" s="588"/>
      <c r="E369" s="590"/>
      <c r="F369" s="202"/>
      <c r="G369" s="202"/>
      <c r="H369" s="593"/>
      <c r="I369" s="584"/>
      <c r="J369" s="53"/>
    </row>
    <row r="370" spans="1:10" s="199" customFormat="1" ht="20.100000000000001" hidden="1" customHeight="1" outlineLevel="1" x14ac:dyDescent="0.4">
      <c r="A370" s="380"/>
      <c r="B370" s="382"/>
      <c r="C370" s="382"/>
      <c r="D370" s="382"/>
      <c r="E370" s="591"/>
      <c r="F370" s="87"/>
      <c r="G370" s="87"/>
      <c r="H370" s="593"/>
      <c r="I370" s="584"/>
      <c r="J370" s="53"/>
    </row>
    <row r="371" spans="1:10" s="199" customFormat="1" ht="20.100000000000001" hidden="1" customHeight="1" outlineLevel="1" x14ac:dyDescent="0.4">
      <c r="A371" s="379">
        <v>60</v>
      </c>
      <c r="B371" s="381"/>
      <c r="C371" s="381"/>
      <c r="D371" s="381"/>
      <c r="E371" s="589"/>
      <c r="F371" s="193"/>
      <c r="G371" s="193"/>
      <c r="H371" s="592"/>
      <c r="I371" s="583"/>
      <c r="J371" s="53"/>
    </row>
    <row r="372" spans="1:10" s="199" customFormat="1" ht="20.100000000000001" hidden="1" customHeight="1" outlineLevel="1" x14ac:dyDescent="0.4">
      <c r="A372" s="594"/>
      <c r="B372" s="588"/>
      <c r="C372" s="588"/>
      <c r="D372" s="588"/>
      <c r="E372" s="590"/>
      <c r="F372" s="202"/>
      <c r="G372" s="202"/>
      <c r="H372" s="593"/>
      <c r="I372" s="584"/>
      <c r="J372" s="53"/>
    </row>
    <row r="373" spans="1:10" s="199" customFormat="1" ht="20.100000000000001" hidden="1" customHeight="1" outlineLevel="1" x14ac:dyDescent="0.4">
      <c r="A373" s="594"/>
      <c r="B373" s="588"/>
      <c r="C373" s="588"/>
      <c r="D373" s="588"/>
      <c r="E373" s="590"/>
      <c r="F373" s="202"/>
      <c r="G373" s="202"/>
      <c r="H373" s="593"/>
      <c r="I373" s="584"/>
      <c r="J373" s="53"/>
    </row>
    <row r="374" spans="1:10" s="199" customFormat="1" ht="20.100000000000001" hidden="1" customHeight="1" outlineLevel="1" x14ac:dyDescent="0.4">
      <c r="A374" s="594"/>
      <c r="B374" s="588"/>
      <c r="C374" s="588"/>
      <c r="D374" s="588"/>
      <c r="E374" s="590"/>
      <c r="F374" s="202"/>
      <c r="G374" s="202"/>
      <c r="H374" s="593"/>
      <c r="I374" s="584"/>
      <c r="J374" s="53"/>
    </row>
    <row r="375" spans="1:10" s="199" customFormat="1" ht="20.100000000000001" hidden="1" customHeight="1" outlineLevel="1" x14ac:dyDescent="0.4">
      <c r="A375" s="380"/>
      <c r="B375" s="382"/>
      <c r="C375" s="382"/>
      <c r="D375" s="382"/>
      <c r="E375" s="591"/>
      <c r="F375" s="87"/>
      <c r="G375" s="87"/>
      <c r="H375" s="593"/>
      <c r="I375" s="584"/>
      <c r="J375" s="53"/>
    </row>
    <row r="376" spans="1:10" s="199" customFormat="1" ht="20.100000000000001" hidden="1" customHeight="1" outlineLevel="1" x14ac:dyDescent="0.4">
      <c r="A376" s="379">
        <v>61</v>
      </c>
      <c r="B376" s="381"/>
      <c r="C376" s="381"/>
      <c r="D376" s="381"/>
      <c r="E376" s="589"/>
      <c r="F376" s="193"/>
      <c r="G376" s="193"/>
      <c r="H376" s="592"/>
      <c r="I376" s="583"/>
      <c r="J376" s="53"/>
    </row>
    <row r="377" spans="1:10" s="199" customFormat="1" ht="20.100000000000001" hidden="1" customHeight="1" outlineLevel="1" x14ac:dyDescent="0.4">
      <c r="A377" s="594"/>
      <c r="B377" s="588"/>
      <c r="C377" s="588"/>
      <c r="D377" s="588"/>
      <c r="E377" s="590"/>
      <c r="F377" s="202"/>
      <c r="G377" s="202"/>
      <c r="H377" s="593"/>
      <c r="I377" s="584"/>
      <c r="J377" s="53"/>
    </row>
    <row r="378" spans="1:10" s="199" customFormat="1" ht="20.100000000000001" hidden="1" customHeight="1" outlineLevel="1" x14ac:dyDescent="0.4">
      <c r="A378" s="594"/>
      <c r="B378" s="588"/>
      <c r="C378" s="588"/>
      <c r="D378" s="588"/>
      <c r="E378" s="590"/>
      <c r="F378" s="202"/>
      <c r="G378" s="202"/>
      <c r="H378" s="593"/>
      <c r="I378" s="584"/>
      <c r="J378" s="53"/>
    </row>
    <row r="379" spans="1:10" s="199" customFormat="1" ht="20.100000000000001" hidden="1" customHeight="1" outlineLevel="1" x14ac:dyDescent="0.4">
      <c r="A379" s="594"/>
      <c r="B379" s="588"/>
      <c r="C379" s="588"/>
      <c r="D379" s="588"/>
      <c r="E379" s="590"/>
      <c r="F379" s="202"/>
      <c r="G379" s="202"/>
      <c r="H379" s="593"/>
      <c r="I379" s="584"/>
      <c r="J379" s="53"/>
    </row>
    <row r="380" spans="1:10" s="199" customFormat="1" ht="20.100000000000001" hidden="1" customHeight="1" outlineLevel="1" x14ac:dyDescent="0.4">
      <c r="A380" s="380"/>
      <c r="B380" s="382"/>
      <c r="C380" s="382"/>
      <c r="D380" s="382"/>
      <c r="E380" s="591"/>
      <c r="F380" s="87"/>
      <c r="G380" s="87"/>
      <c r="H380" s="593"/>
      <c r="I380" s="584"/>
      <c r="J380" s="53"/>
    </row>
    <row r="381" spans="1:10" s="199" customFormat="1" ht="20.100000000000001" hidden="1" customHeight="1" outlineLevel="1" x14ac:dyDescent="0.4">
      <c r="A381" s="379">
        <v>62</v>
      </c>
      <c r="B381" s="381"/>
      <c r="C381" s="381"/>
      <c r="D381" s="381"/>
      <c r="E381" s="589"/>
      <c r="F381" s="193"/>
      <c r="G381" s="193"/>
      <c r="H381" s="592"/>
      <c r="I381" s="583"/>
      <c r="J381" s="53"/>
    </row>
    <row r="382" spans="1:10" s="199" customFormat="1" ht="20.100000000000001" hidden="1" customHeight="1" outlineLevel="1" x14ac:dyDescent="0.4">
      <c r="A382" s="594"/>
      <c r="B382" s="588"/>
      <c r="C382" s="588"/>
      <c r="D382" s="588"/>
      <c r="E382" s="590"/>
      <c r="F382" s="202"/>
      <c r="G382" s="202"/>
      <c r="H382" s="593"/>
      <c r="I382" s="584"/>
      <c r="J382" s="53"/>
    </row>
    <row r="383" spans="1:10" s="199" customFormat="1" ht="20.100000000000001" hidden="1" customHeight="1" outlineLevel="1" x14ac:dyDescent="0.4">
      <c r="A383" s="594"/>
      <c r="B383" s="588"/>
      <c r="C383" s="588"/>
      <c r="D383" s="588"/>
      <c r="E383" s="590"/>
      <c r="F383" s="202"/>
      <c r="G383" s="202"/>
      <c r="H383" s="593"/>
      <c r="I383" s="584"/>
      <c r="J383" s="53"/>
    </row>
    <row r="384" spans="1:10" s="199" customFormat="1" ht="20.100000000000001" hidden="1" customHeight="1" outlineLevel="1" x14ac:dyDescent="0.4">
      <c r="A384" s="594"/>
      <c r="B384" s="588"/>
      <c r="C384" s="588"/>
      <c r="D384" s="588"/>
      <c r="E384" s="590"/>
      <c r="F384" s="202"/>
      <c r="G384" s="202"/>
      <c r="H384" s="593"/>
      <c r="I384" s="584"/>
      <c r="J384" s="53"/>
    </row>
    <row r="385" spans="1:10" s="199" customFormat="1" ht="20.100000000000001" hidden="1" customHeight="1" outlineLevel="1" x14ac:dyDescent="0.4">
      <c r="A385" s="380"/>
      <c r="B385" s="382"/>
      <c r="C385" s="382"/>
      <c r="D385" s="382"/>
      <c r="E385" s="591"/>
      <c r="F385" s="87"/>
      <c r="G385" s="87"/>
      <c r="H385" s="593"/>
      <c r="I385" s="584"/>
      <c r="J385" s="53"/>
    </row>
    <row r="386" spans="1:10" s="199" customFormat="1" ht="20.100000000000001" hidden="1" customHeight="1" outlineLevel="1" x14ac:dyDescent="0.4">
      <c r="A386" s="379">
        <v>63</v>
      </c>
      <c r="B386" s="381"/>
      <c r="C386" s="381"/>
      <c r="D386" s="381"/>
      <c r="E386" s="589"/>
      <c r="F386" s="193"/>
      <c r="G386" s="193"/>
      <c r="H386" s="592"/>
      <c r="I386" s="583"/>
      <c r="J386" s="53"/>
    </row>
    <row r="387" spans="1:10" s="199" customFormat="1" ht="20.100000000000001" hidden="1" customHeight="1" outlineLevel="1" x14ac:dyDescent="0.4">
      <c r="A387" s="594"/>
      <c r="B387" s="588"/>
      <c r="C387" s="588"/>
      <c r="D387" s="588"/>
      <c r="E387" s="590"/>
      <c r="F387" s="202"/>
      <c r="G387" s="202"/>
      <c r="H387" s="593"/>
      <c r="I387" s="584"/>
      <c r="J387" s="53"/>
    </row>
    <row r="388" spans="1:10" s="199" customFormat="1" ht="20.100000000000001" hidden="1" customHeight="1" outlineLevel="1" x14ac:dyDescent="0.4">
      <c r="A388" s="594"/>
      <c r="B388" s="588"/>
      <c r="C388" s="588"/>
      <c r="D388" s="588"/>
      <c r="E388" s="590"/>
      <c r="F388" s="202"/>
      <c r="G388" s="202"/>
      <c r="H388" s="593"/>
      <c r="I388" s="584"/>
      <c r="J388" s="53"/>
    </row>
    <row r="389" spans="1:10" s="199" customFormat="1" ht="20.100000000000001" hidden="1" customHeight="1" outlineLevel="1" x14ac:dyDescent="0.4">
      <c r="A389" s="594"/>
      <c r="B389" s="588"/>
      <c r="C389" s="588"/>
      <c r="D389" s="588"/>
      <c r="E389" s="590"/>
      <c r="F389" s="202"/>
      <c r="G389" s="202"/>
      <c r="H389" s="593"/>
      <c r="I389" s="584"/>
      <c r="J389" s="53"/>
    </row>
    <row r="390" spans="1:10" s="199" customFormat="1" ht="20.100000000000001" hidden="1" customHeight="1" outlineLevel="1" x14ac:dyDescent="0.4">
      <c r="A390" s="380"/>
      <c r="B390" s="382"/>
      <c r="C390" s="382"/>
      <c r="D390" s="382"/>
      <c r="E390" s="591"/>
      <c r="F390" s="87"/>
      <c r="G390" s="87"/>
      <c r="H390" s="593"/>
      <c r="I390" s="584"/>
      <c r="J390" s="53"/>
    </row>
    <row r="391" spans="1:10" s="199" customFormat="1" ht="20.100000000000001" hidden="1" customHeight="1" outlineLevel="1" x14ac:dyDescent="0.4">
      <c r="A391" s="379">
        <v>64</v>
      </c>
      <c r="B391" s="381"/>
      <c r="C391" s="381"/>
      <c r="D391" s="381"/>
      <c r="E391" s="589"/>
      <c r="F391" s="193"/>
      <c r="G391" s="193"/>
      <c r="H391" s="592"/>
      <c r="I391" s="583"/>
      <c r="J391" s="53"/>
    </row>
    <row r="392" spans="1:10" s="199" customFormat="1" ht="20.100000000000001" hidden="1" customHeight="1" outlineLevel="1" x14ac:dyDescent="0.4">
      <c r="A392" s="594"/>
      <c r="B392" s="588"/>
      <c r="C392" s="588"/>
      <c r="D392" s="588"/>
      <c r="E392" s="590"/>
      <c r="F392" s="202"/>
      <c r="G392" s="202"/>
      <c r="H392" s="593"/>
      <c r="I392" s="584"/>
      <c r="J392" s="53"/>
    </row>
    <row r="393" spans="1:10" s="199" customFormat="1" ht="20.100000000000001" hidden="1" customHeight="1" outlineLevel="1" x14ac:dyDescent="0.4">
      <c r="A393" s="594"/>
      <c r="B393" s="588"/>
      <c r="C393" s="588"/>
      <c r="D393" s="588"/>
      <c r="E393" s="590"/>
      <c r="F393" s="202"/>
      <c r="G393" s="202"/>
      <c r="H393" s="593"/>
      <c r="I393" s="584"/>
      <c r="J393" s="53"/>
    </row>
    <row r="394" spans="1:10" s="199" customFormat="1" ht="20.100000000000001" hidden="1" customHeight="1" outlineLevel="1" x14ac:dyDescent="0.4">
      <c r="A394" s="594"/>
      <c r="B394" s="588"/>
      <c r="C394" s="588"/>
      <c r="D394" s="588"/>
      <c r="E394" s="590"/>
      <c r="F394" s="202"/>
      <c r="G394" s="202"/>
      <c r="H394" s="593"/>
      <c r="I394" s="584"/>
      <c r="J394" s="53"/>
    </row>
    <row r="395" spans="1:10" s="199" customFormat="1" ht="20.100000000000001" hidden="1" customHeight="1" outlineLevel="1" x14ac:dyDescent="0.4">
      <c r="A395" s="380"/>
      <c r="B395" s="382"/>
      <c r="C395" s="382"/>
      <c r="D395" s="382"/>
      <c r="E395" s="591"/>
      <c r="F395" s="87"/>
      <c r="G395" s="87"/>
      <c r="H395" s="593"/>
      <c r="I395" s="584"/>
      <c r="J395" s="53"/>
    </row>
    <row r="396" spans="1:10" s="199" customFormat="1" ht="20.100000000000001" hidden="1" customHeight="1" outlineLevel="1" x14ac:dyDescent="0.4">
      <c r="A396" s="379">
        <v>65</v>
      </c>
      <c r="B396" s="381"/>
      <c r="C396" s="381"/>
      <c r="D396" s="381"/>
      <c r="E396" s="589"/>
      <c r="F396" s="193"/>
      <c r="G396" s="193"/>
      <c r="H396" s="592"/>
      <c r="I396" s="583"/>
      <c r="J396" s="53"/>
    </row>
    <row r="397" spans="1:10" s="199" customFormat="1" ht="20.100000000000001" hidden="1" customHeight="1" outlineLevel="1" x14ac:dyDescent="0.4">
      <c r="A397" s="594"/>
      <c r="B397" s="588"/>
      <c r="C397" s="588"/>
      <c r="D397" s="588"/>
      <c r="E397" s="590"/>
      <c r="F397" s="202"/>
      <c r="G397" s="202"/>
      <c r="H397" s="593"/>
      <c r="I397" s="584"/>
      <c r="J397" s="53"/>
    </row>
    <row r="398" spans="1:10" s="199" customFormat="1" ht="20.100000000000001" hidden="1" customHeight="1" outlineLevel="1" x14ac:dyDescent="0.4">
      <c r="A398" s="594"/>
      <c r="B398" s="588"/>
      <c r="C398" s="588"/>
      <c r="D398" s="588"/>
      <c r="E398" s="590"/>
      <c r="F398" s="202"/>
      <c r="G398" s="202"/>
      <c r="H398" s="593"/>
      <c r="I398" s="584"/>
      <c r="J398" s="53"/>
    </row>
    <row r="399" spans="1:10" s="199" customFormat="1" ht="20.100000000000001" hidden="1" customHeight="1" outlineLevel="1" x14ac:dyDescent="0.4">
      <c r="A399" s="594"/>
      <c r="B399" s="588"/>
      <c r="C399" s="588"/>
      <c r="D399" s="588"/>
      <c r="E399" s="590"/>
      <c r="F399" s="202"/>
      <c r="G399" s="202"/>
      <c r="H399" s="593"/>
      <c r="I399" s="584"/>
      <c r="J399" s="53"/>
    </row>
    <row r="400" spans="1:10" s="199" customFormat="1" ht="20.100000000000001" hidden="1" customHeight="1" outlineLevel="1" x14ac:dyDescent="0.4">
      <c r="A400" s="380"/>
      <c r="B400" s="382"/>
      <c r="C400" s="382"/>
      <c r="D400" s="382"/>
      <c r="E400" s="591"/>
      <c r="F400" s="87"/>
      <c r="G400" s="87"/>
      <c r="H400" s="593"/>
      <c r="I400" s="584"/>
      <c r="J400" s="53"/>
    </row>
    <row r="401" spans="1:10" s="199" customFormat="1" ht="20.100000000000001" hidden="1" customHeight="1" outlineLevel="1" x14ac:dyDescent="0.4">
      <c r="A401" s="379">
        <v>66</v>
      </c>
      <c r="B401" s="381"/>
      <c r="C401" s="381"/>
      <c r="D401" s="381"/>
      <c r="E401" s="589"/>
      <c r="F401" s="193"/>
      <c r="G401" s="193"/>
      <c r="H401" s="592"/>
      <c r="I401" s="585"/>
      <c r="J401" s="53"/>
    </row>
    <row r="402" spans="1:10" s="199" customFormat="1" ht="20.100000000000001" hidden="1" customHeight="1" outlineLevel="1" x14ac:dyDescent="0.4">
      <c r="A402" s="594"/>
      <c r="B402" s="588"/>
      <c r="C402" s="588"/>
      <c r="D402" s="588"/>
      <c r="E402" s="590"/>
      <c r="F402" s="202"/>
      <c r="G402" s="202"/>
      <c r="H402" s="592"/>
      <c r="I402" s="599"/>
      <c r="J402" s="53"/>
    </row>
    <row r="403" spans="1:10" s="199" customFormat="1" ht="20.100000000000001" hidden="1" customHeight="1" outlineLevel="1" x14ac:dyDescent="0.4">
      <c r="A403" s="594"/>
      <c r="B403" s="588"/>
      <c r="C403" s="588"/>
      <c r="D403" s="588"/>
      <c r="E403" s="590"/>
      <c r="F403" s="202"/>
      <c r="G403" s="202"/>
      <c r="H403" s="593"/>
      <c r="I403" s="599"/>
      <c r="J403" s="53"/>
    </row>
    <row r="404" spans="1:10" s="199" customFormat="1" ht="20.100000000000001" hidden="1" customHeight="1" outlineLevel="1" x14ac:dyDescent="0.4">
      <c r="A404" s="594"/>
      <c r="B404" s="588"/>
      <c r="C404" s="588"/>
      <c r="D404" s="588"/>
      <c r="E404" s="590"/>
      <c r="F404" s="202"/>
      <c r="G404" s="202"/>
      <c r="H404" s="593"/>
      <c r="I404" s="599"/>
      <c r="J404" s="53"/>
    </row>
    <row r="405" spans="1:10" s="199" customFormat="1" ht="20.100000000000001" hidden="1" customHeight="1" outlineLevel="1" x14ac:dyDescent="0.4">
      <c r="A405" s="594"/>
      <c r="B405" s="588"/>
      <c r="C405" s="588"/>
      <c r="D405" s="588"/>
      <c r="E405" s="590"/>
      <c r="F405" s="202"/>
      <c r="G405" s="202"/>
      <c r="H405" s="593"/>
      <c r="I405" s="599"/>
      <c r="J405" s="53"/>
    </row>
    <row r="406" spans="1:10" s="199" customFormat="1" ht="20.100000000000001" hidden="1" customHeight="1" outlineLevel="1" x14ac:dyDescent="0.4">
      <c r="A406" s="380"/>
      <c r="B406" s="382"/>
      <c r="C406" s="382"/>
      <c r="D406" s="382"/>
      <c r="E406" s="591"/>
      <c r="F406" s="202"/>
      <c r="G406" s="202"/>
      <c r="H406" s="593"/>
      <c r="I406" s="600"/>
      <c r="J406" s="53"/>
    </row>
    <row r="407" spans="1:10" s="199" customFormat="1" ht="20.100000000000001" hidden="1" customHeight="1" outlineLevel="1" x14ac:dyDescent="0.4">
      <c r="A407" s="379">
        <v>67</v>
      </c>
      <c r="B407" s="381"/>
      <c r="C407" s="381"/>
      <c r="D407" s="381"/>
      <c r="E407" s="589"/>
      <c r="F407" s="193"/>
      <c r="G407" s="193"/>
      <c r="H407" s="592"/>
      <c r="I407" s="595"/>
      <c r="J407" s="53"/>
    </row>
    <row r="408" spans="1:10" s="199" customFormat="1" ht="20.100000000000001" hidden="1" customHeight="1" outlineLevel="1" x14ac:dyDescent="0.4">
      <c r="A408" s="594"/>
      <c r="B408" s="588"/>
      <c r="C408" s="588"/>
      <c r="D408" s="588"/>
      <c r="E408" s="590"/>
      <c r="F408" s="202"/>
      <c r="G408" s="202"/>
      <c r="H408" s="593"/>
      <c r="I408" s="586"/>
      <c r="J408" s="53"/>
    </row>
    <row r="409" spans="1:10" s="199" customFormat="1" ht="20.100000000000001" hidden="1" customHeight="1" outlineLevel="1" x14ac:dyDescent="0.4">
      <c r="A409" s="594"/>
      <c r="B409" s="588"/>
      <c r="C409" s="588"/>
      <c r="D409" s="588"/>
      <c r="E409" s="590"/>
      <c r="F409" s="202"/>
      <c r="G409" s="202"/>
      <c r="H409" s="593"/>
      <c r="I409" s="586"/>
      <c r="J409" s="53"/>
    </row>
    <row r="410" spans="1:10" s="199" customFormat="1" ht="20.100000000000001" hidden="1" customHeight="1" outlineLevel="1" x14ac:dyDescent="0.4">
      <c r="A410" s="380"/>
      <c r="B410" s="382"/>
      <c r="C410" s="382"/>
      <c r="D410" s="382"/>
      <c r="E410" s="591"/>
      <c r="F410" s="87"/>
      <c r="G410" s="87"/>
      <c r="H410" s="593"/>
      <c r="I410" s="587"/>
      <c r="J410" s="53"/>
    </row>
    <row r="411" spans="1:10" s="199" customFormat="1" ht="20.100000000000001" hidden="1" customHeight="1" outlineLevel="1" x14ac:dyDescent="0.4">
      <c r="A411" s="379">
        <v>68</v>
      </c>
      <c r="B411" s="381"/>
      <c r="C411" s="381"/>
      <c r="D411" s="381"/>
      <c r="E411" s="589"/>
      <c r="F411" s="193"/>
      <c r="G411" s="193"/>
      <c r="H411" s="592"/>
      <c r="I411" s="583"/>
      <c r="J411" s="53"/>
    </row>
    <row r="412" spans="1:10" s="199" customFormat="1" ht="20.100000000000001" hidden="1" customHeight="1" outlineLevel="1" x14ac:dyDescent="0.4">
      <c r="A412" s="594"/>
      <c r="B412" s="588"/>
      <c r="C412" s="588"/>
      <c r="D412" s="588"/>
      <c r="E412" s="590"/>
      <c r="F412" s="202"/>
      <c r="G412" s="202"/>
      <c r="H412" s="593"/>
      <c r="I412" s="584"/>
      <c r="J412" s="53"/>
    </row>
    <row r="413" spans="1:10" s="199" customFormat="1" ht="20.100000000000001" hidden="1" customHeight="1" outlineLevel="1" x14ac:dyDescent="0.4">
      <c r="A413" s="594"/>
      <c r="B413" s="588"/>
      <c r="C413" s="588"/>
      <c r="D413" s="588"/>
      <c r="E413" s="590"/>
      <c r="F413" s="202"/>
      <c r="G413" s="202"/>
      <c r="H413" s="593"/>
      <c r="I413" s="584"/>
      <c r="J413" s="53"/>
    </row>
    <row r="414" spans="1:10" s="199" customFormat="1" ht="20.100000000000001" hidden="1" customHeight="1" outlineLevel="1" x14ac:dyDescent="0.4">
      <c r="A414" s="594"/>
      <c r="B414" s="588"/>
      <c r="C414" s="588"/>
      <c r="D414" s="588"/>
      <c r="E414" s="590"/>
      <c r="F414" s="202"/>
      <c r="G414" s="202"/>
      <c r="H414" s="593"/>
      <c r="I414" s="584"/>
      <c r="J414" s="53"/>
    </row>
    <row r="415" spans="1:10" s="199" customFormat="1" ht="20.100000000000001" hidden="1" customHeight="1" outlineLevel="1" x14ac:dyDescent="0.4">
      <c r="A415" s="380"/>
      <c r="B415" s="382"/>
      <c r="C415" s="382"/>
      <c r="D415" s="382"/>
      <c r="E415" s="591"/>
      <c r="F415" s="87"/>
      <c r="G415" s="87"/>
      <c r="H415" s="593"/>
      <c r="I415" s="584"/>
      <c r="J415" s="53"/>
    </row>
    <row r="416" spans="1:10" s="199" customFormat="1" ht="20.100000000000001" hidden="1" customHeight="1" outlineLevel="1" x14ac:dyDescent="0.4">
      <c r="A416" s="379">
        <v>69</v>
      </c>
      <c r="B416" s="381"/>
      <c r="C416" s="381"/>
      <c r="D416" s="381"/>
      <c r="E416" s="589"/>
      <c r="F416" s="193"/>
      <c r="G416" s="193"/>
      <c r="H416" s="592"/>
      <c r="I416" s="583"/>
      <c r="J416" s="53"/>
    </row>
    <row r="417" spans="1:10" s="199" customFormat="1" ht="20.100000000000001" hidden="1" customHeight="1" outlineLevel="1" x14ac:dyDescent="0.4">
      <c r="A417" s="594"/>
      <c r="B417" s="588"/>
      <c r="C417" s="588"/>
      <c r="D417" s="588"/>
      <c r="E417" s="590"/>
      <c r="F417" s="202"/>
      <c r="G417" s="202"/>
      <c r="H417" s="593"/>
      <c r="I417" s="584"/>
      <c r="J417" s="53"/>
    </row>
    <row r="418" spans="1:10" s="199" customFormat="1" ht="20.100000000000001" hidden="1" customHeight="1" outlineLevel="1" x14ac:dyDescent="0.4">
      <c r="A418" s="594"/>
      <c r="B418" s="588"/>
      <c r="C418" s="588"/>
      <c r="D418" s="588"/>
      <c r="E418" s="590"/>
      <c r="F418" s="202"/>
      <c r="G418" s="202"/>
      <c r="H418" s="593"/>
      <c r="I418" s="584"/>
      <c r="J418" s="53"/>
    </row>
    <row r="419" spans="1:10" s="199" customFormat="1" ht="20.100000000000001" hidden="1" customHeight="1" outlineLevel="1" x14ac:dyDescent="0.4">
      <c r="A419" s="594"/>
      <c r="B419" s="588"/>
      <c r="C419" s="588"/>
      <c r="D419" s="588"/>
      <c r="E419" s="590"/>
      <c r="F419" s="202"/>
      <c r="G419" s="202"/>
      <c r="H419" s="593"/>
      <c r="I419" s="584"/>
      <c r="J419" s="53"/>
    </row>
    <row r="420" spans="1:10" s="199" customFormat="1" ht="20.100000000000001" hidden="1" customHeight="1" outlineLevel="1" x14ac:dyDescent="0.4">
      <c r="A420" s="380"/>
      <c r="B420" s="382"/>
      <c r="C420" s="382"/>
      <c r="D420" s="382"/>
      <c r="E420" s="591"/>
      <c r="F420" s="87"/>
      <c r="G420" s="87"/>
      <c r="H420" s="593"/>
      <c r="I420" s="584"/>
      <c r="J420" s="53"/>
    </row>
    <row r="421" spans="1:10" s="199" customFormat="1" ht="20.100000000000001" hidden="1" customHeight="1" outlineLevel="1" x14ac:dyDescent="0.4">
      <c r="A421" s="379">
        <v>70</v>
      </c>
      <c r="B421" s="381"/>
      <c r="C421" s="381"/>
      <c r="D421" s="381"/>
      <c r="E421" s="589"/>
      <c r="F421" s="193"/>
      <c r="G421" s="193"/>
      <c r="H421" s="592"/>
      <c r="I421" s="583"/>
      <c r="J421" s="53"/>
    </row>
    <row r="422" spans="1:10" s="199" customFormat="1" ht="20.100000000000001" hidden="1" customHeight="1" outlineLevel="1" x14ac:dyDescent="0.4">
      <c r="A422" s="594"/>
      <c r="B422" s="588"/>
      <c r="C422" s="588"/>
      <c r="D422" s="588"/>
      <c r="E422" s="590"/>
      <c r="F422" s="202"/>
      <c r="G422" s="202"/>
      <c r="H422" s="593"/>
      <c r="I422" s="584"/>
      <c r="J422" s="53"/>
    </row>
    <row r="423" spans="1:10" s="199" customFormat="1" ht="20.100000000000001" hidden="1" customHeight="1" outlineLevel="1" x14ac:dyDescent="0.4">
      <c r="A423" s="594"/>
      <c r="B423" s="588"/>
      <c r="C423" s="588"/>
      <c r="D423" s="588"/>
      <c r="E423" s="590"/>
      <c r="F423" s="202"/>
      <c r="G423" s="202"/>
      <c r="H423" s="593"/>
      <c r="I423" s="584"/>
      <c r="J423" s="53"/>
    </row>
    <row r="424" spans="1:10" s="199" customFormat="1" ht="20.100000000000001" hidden="1" customHeight="1" outlineLevel="1" x14ac:dyDescent="0.4">
      <c r="A424" s="594"/>
      <c r="B424" s="588"/>
      <c r="C424" s="588"/>
      <c r="D424" s="588"/>
      <c r="E424" s="590"/>
      <c r="F424" s="202"/>
      <c r="G424" s="202"/>
      <c r="H424" s="593"/>
      <c r="I424" s="584"/>
      <c r="J424" s="53"/>
    </row>
    <row r="425" spans="1:10" s="199" customFormat="1" ht="20.100000000000001" hidden="1" customHeight="1" outlineLevel="1" x14ac:dyDescent="0.4">
      <c r="A425" s="380"/>
      <c r="B425" s="382"/>
      <c r="C425" s="382"/>
      <c r="D425" s="382"/>
      <c r="E425" s="591"/>
      <c r="F425" s="87"/>
      <c r="G425" s="87"/>
      <c r="H425" s="593"/>
      <c r="I425" s="584"/>
      <c r="J425" s="53"/>
    </row>
    <row r="426" spans="1:10" ht="20.100000000000001" customHeight="1" collapsed="1" x14ac:dyDescent="0.4"/>
  </sheetData>
  <autoFilter ref="A4:J425" xr:uid="{00000000-0001-0000-0300-000000000000}"/>
  <mergeCells count="513">
    <mergeCell ref="H135:H137"/>
    <mergeCell ref="H201:H203"/>
    <mergeCell ref="A421:A425"/>
    <mergeCell ref="B421:B425"/>
    <mergeCell ref="C421:C425"/>
    <mergeCell ref="D421:D425"/>
    <mergeCell ref="E421:E425"/>
    <mergeCell ref="H421:H425"/>
    <mergeCell ref="I421:I425"/>
    <mergeCell ref="A411:A415"/>
    <mergeCell ref="B411:B415"/>
    <mergeCell ref="C411:C415"/>
    <mergeCell ref="D411:D415"/>
    <mergeCell ref="E411:E415"/>
    <mergeCell ref="H411:H415"/>
    <mergeCell ref="I411:I415"/>
    <mergeCell ref="A416:A420"/>
    <mergeCell ref="B416:B420"/>
    <mergeCell ref="C416:C420"/>
    <mergeCell ref="D416:D420"/>
    <mergeCell ref="E416:E420"/>
    <mergeCell ref="H416:H420"/>
    <mergeCell ref="I416:I420"/>
    <mergeCell ref="A401:A406"/>
    <mergeCell ref="B401:B406"/>
    <mergeCell ref="C401:C406"/>
    <mergeCell ref="D401:D406"/>
    <mergeCell ref="E401:E406"/>
    <mergeCell ref="H401:H406"/>
    <mergeCell ref="I401:I406"/>
    <mergeCell ref="A407:A410"/>
    <mergeCell ref="B407:B410"/>
    <mergeCell ref="C407:C410"/>
    <mergeCell ref="D407:D410"/>
    <mergeCell ref="E407:E410"/>
    <mergeCell ref="H407:H410"/>
    <mergeCell ref="I407:I410"/>
    <mergeCell ref="A391:A395"/>
    <mergeCell ref="B391:B395"/>
    <mergeCell ref="C391:C395"/>
    <mergeCell ref="D391:D395"/>
    <mergeCell ref="E391:E395"/>
    <mergeCell ref="H391:H395"/>
    <mergeCell ref="I391:I395"/>
    <mergeCell ref="A396:A400"/>
    <mergeCell ref="B396:B400"/>
    <mergeCell ref="C396:C400"/>
    <mergeCell ref="D396:D400"/>
    <mergeCell ref="E396:E400"/>
    <mergeCell ref="H396:H400"/>
    <mergeCell ref="I396:I400"/>
    <mergeCell ref="A381:A385"/>
    <mergeCell ref="B381:B385"/>
    <mergeCell ref="C381:C385"/>
    <mergeCell ref="D381:D385"/>
    <mergeCell ref="E381:E385"/>
    <mergeCell ref="H381:H385"/>
    <mergeCell ref="I381:I385"/>
    <mergeCell ref="A386:A390"/>
    <mergeCell ref="B386:B390"/>
    <mergeCell ref="C386:C390"/>
    <mergeCell ref="D386:D390"/>
    <mergeCell ref="E386:E390"/>
    <mergeCell ref="H386:H390"/>
    <mergeCell ref="I386:I390"/>
    <mergeCell ref="A371:A375"/>
    <mergeCell ref="B371:B375"/>
    <mergeCell ref="C371:C375"/>
    <mergeCell ref="D371:D375"/>
    <mergeCell ref="E371:E375"/>
    <mergeCell ref="H371:H375"/>
    <mergeCell ref="I371:I375"/>
    <mergeCell ref="A376:A380"/>
    <mergeCell ref="B376:B380"/>
    <mergeCell ref="C376:C380"/>
    <mergeCell ref="D376:D380"/>
    <mergeCell ref="E376:E380"/>
    <mergeCell ref="H376:H380"/>
    <mergeCell ref="I376:I380"/>
    <mergeCell ref="A361:A365"/>
    <mergeCell ref="B361:B365"/>
    <mergeCell ref="C361:C365"/>
    <mergeCell ref="D361:D365"/>
    <mergeCell ref="E361:E365"/>
    <mergeCell ref="H361:H365"/>
    <mergeCell ref="I361:I365"/>
    <mergeCell ref="A366:A370"/>
    <mergeCell ref="B366:B370"/>
    <mergeCell ref="C366:C370"/>
    <mergeCell ref="D366:D370"/>
    <mergeCell ref="E366:E370"/>
    <mergeCell ref="H366:H370"/>
    <mergeCell ref="I366:I370"/>
    <mergeCell ref="A351:A356"/>
    <mergeCell ref="B351:B356"/>
    <mergeCell ref="C351:C356"/>
    <mergeCell ref="D351:D356"/>
    <mergeCell ref="E351:E356"/>
    <mergeCell ref="H351:H356"/>
    <mergeCell ref="I351:I356"/>
    <mergeCell ref="A357:A360"/>
    <mergeCell ref="B357:B360"/>
    <mergeCell ref="C357:C360"/>
    <mergeCell ref="D357:D360"/>
    <mergeCell ref="E357:E360"/>
    <mergeCell ref="H357:H360"/>
    <mergeCell ref="I357:I360"/>
    <mergeCell ref="A341:A345"/>
    <mergeCell ref="B341:B345"/>
    <mergeCell ref="C341:C345"/>
    <mergeCell ref="D341:D345"/>
    <mergeCell ref="E341:E345"/>
    <mergeCell ref="H341:H345"/>
    <mergeCell ref="I341:I345"/>
    <mergeCell ref="A346:A350"/>
    <mergeCell ref="B346:B350"/>
    <mergeCell ref="C346:C350"/>
    <mergeCell ref="D346:D350"/>
    <mergeCell ref="E346:E350"/>
    <mergeCell ref="H346:H350"/>
    <mergeCell ref="I346:I350"/>
    <mergeCell ref="A331:A335"/>
    <mergeCell ref="B331:B335"/>
    <mergeCell ref="C331:C335"/>
    <mergeCell ref="D331:D335"/>
    <mergeCell ref="E331:E335"/>
    <mergeCell ref="H331:H335"/>
    <mergeCell ref="I331:I335"/>
    <mergeCell ref="A336:A340"/>
    <mergeCell ref="B336:B340"/>
    <mergeCell ref="C336:C340"/>
    <mergeCell ref="D336:D340"/>
    <mergeCell ref="E336:E340"/>
    <mergeCell ref="H336:H340"/>
    <mergeCell ref="I336:I340"/>
    <mergeCell ref="A321:A325"/>
    <mergeCell ref="B321:B325"/>
    <mergeCell ref="C321:C325"/>
    <mergeCell ref="D321:D325"/>
    <mergeCell ref="E321:E325"/>
    <mergeCell ref="H321:H325"/>
    <mergeCell ref="I321:I325"/>
    <mergeCell ref="A326:A330"/>
    <mergeCell ref="B326:B330"/>
    <mergeCell ref="C326:C330"/>
    <mergeCell ref="D326:D330"/>
    <mergeCell ref="E326:E330"/>
    <mergeCell ref="H326:H330"/>
    <mergeCell ref="I326:I330"/>
    <mergeCell ref="A311:A315"/>
    <mergeCell ref="B311:B315"/>
    <mergeCell ref="C311:C315"/>
    <mergeCell ref="D311:D315"/>
    <mergeCell ref="E311:E315"/>
    <mergeCell ref="H311:H315"/>
    <mergeCell ref="I311:I315"/>
    <mergeCell ref="A316:A320"/>
    <mergeCell ref="B316:B320"/>
    <mergeCell ref="C316:C320"/>
    <mergeCell ref="D316:D320"/>
    <mergeCell ref="E316:E320"/>
    <mergeCell ref="H316:H320"/>
    <mergeCell ref="I316:I320"/>
    <mergeCell ref="A301:A306"/>
    <mergeCell ref="B301:B306"/>
    <mergeCell ref="C301:C306"/>
    <mergeCell ref="D301:D306"/>
    <mergeCell ref="E301:E306"/>
    <mergeCell ref="H301:H306"/>
    <mergeCell ref="I301:I306"/>
    <mergeCell ref="A307:A310"/>
    <mergeCell ref="B307:B310"/>
    <mergeCell ref="C307:C310"/>
    <mergeCell ref="D307:D310"/>
    <mergeCell ref="E307:E310"/>
    <mergeCell ref="H307:H310"/>
    <mergeCell ref="I307:I310"/>
    <mergeCell ref="A291:A295"/>
    <mergeCell ref="B291:B295"/>
    <mergeCell ref="C291:C295"/>
    <mergeCell ref="D291:D295"/>
    <mergeCell ref="E291:E295"/>
    <mergeCell ref="H291:H295"/>
    <mergeCell ref="I291:I295"/>
    <mergeCell ref="A296:A300"/>
    <mergeCell ref="B296:B300"/>
    <mergeCell ref="C296:C300"/>
    <mergeCell ref="D296:D300"/>
    <mergeCell ref="E296:E300"/>
    <mergeCell ref="H296:H300"/>
    <mergeCell ref="I296:I300"/>
    <mergeCell ref="A281:A285"/>
    <mergeCell ref="B281:B285"/>
    <mergeCell ref="C281:C285"/>
    <mergeCell ref="D281:D285"/>
    <mergeCell ref="E281:E285"/>
    <mergeCell ref="H281:H285"/>
    <mergeCell ref="I281:I285"/>
    <mergeCell ref="A286:A290"/>
    <mergeCell ref="B286:B290"/>
    <mergeCell ref="C286:C290"/>
    <mergeCell ref="D286:D290"/>
    <mergeCell ref="E286:E290"/>
    <mergeCell ref="H286:H290"/>
    <mergeCell ref="I286:I290"/>
    <mergeCell ref="A271:A275"/>
    <mergeCell ref="B271:B275"/>
    <mergeCell ref="C271:C275"/>
    <mergeCell ref="D271:D275"/>
    <mergeCell ref="E271:E275"/>
    <mergeCell ref="H271:H275"/>
    <mergeCell ref="I271:I275"/>
    <mergeCell ref="A276:A280"/>
    <mergeCell ref="B276:B280"/>
    <mergeCell ref="C276:C280"/>
    <mergeCell ref="D276:D280"/>
    <mergeCell ref="E276:E280"/>
    <mergeCell ref="H276:H280"/>
    <mergeCell ref="I276:I280"/>
    <mergeCell ref="A261:A265"/>
    <mergeCell ref="B261:B265"/>
    <mergeCell ref="C261:C265"/>
    <mergeCell ref="D261:D265"/>
    <mergeCell ref="E261:E265"/>
    <mergeCell ref="H261:H265"/>
    <mergeCell ref="I261:I265"/>
    <mergeCell ref="A266:A270"/>
    <mergeCell ref="B266:B270"/>
    <mergeCell ref="C266:C270"/>
    <mergeCell ref="D266:D270"/>
    <mergeCell ref="E266:E270"/>
    <mergeCell ref="H266:H270"/>
    <mergeCell ref="I266:I270"/>
    <mergeCell ref="A252:A256"/>
    <mergeCell ref="B252:B256"/>
    <mergeCell ref="C252:C256"/>
    <mergeCell ref="D252:D256"/>
    <mergeCell ref="E252:E256"/>
    <mergeCell ref="H252:H256"/>
    <mergeCell ref="I252:I256"/>
    <mergeCell ref="A257:A260"/>
    <mergeCell ref="B257:B260"/>
    <mergeCell ref="C257:C260"/>
    <mergeCell ref="D257:D260"/>
    <mergeCell ref="E257:E260"/>
    <mergeCell ref="H257:H260"/>
    <mergeCell ref="I257:I260"/>
    <mergeCell ref="A13:A23"/>
    <mergeCell ref="B13:B23"/>
    <mergeCell ref="C13:C23"/>
    <mergeCell ref="D13:D23"/>
    <mergeCell ref="E13:E23"/>
    <mergeCell ref="I13:I23"/>
    <mergeCell ref="H13:H23"/>
    <mergeCell ref="A24:A26"/>
    <mergeCell ref="B24:B26"/>
    <mergeCell ref="C24:C26"/>
    <mergeCell ref="D24:D26"/>
    <mergeCell ref="E24:E26"/>
    <mergeCell ref="H24:H26"/>
    <mergeCell ref="I24:I26"/>
    <mergeCell ref="I120:I127"/>
    <mergeCell ref="A113:A119"/>
    <mergeCell ref="B113:B119"/>
    <mergeCell ref="H113:H117"/>
    <mergeCell ref="I113:I117"/>
    <mergeCell ref="H118:H119"/>
    <mergeCell ref="D108:D112"/>
    <mergeCell ref="E108:E112"/>
    <mergeCell ref="H108:H112"/>
    <mergeCell ref="I108:I112"/>
    <mergeCell ref="A108:A112"/>
    <mergeCell ref="B108:B112"/>
    <mergeCell ref="C108:C112"/>
    <mergeCell ref="C113:C119"/>
    <mergeCell ref="D113:D119"/>
    <mergeCell ref="E113:E119"/>
    <mergeCell ref="A120:A127"/>
    <mergeCell ref="B120:B127"/>
    <mergeCell ref="C120:C127"/>
    <mergeCell ref="D120:D127"/>
    <mergeCell ref="E120:E127"/>
    <mergeCell ref="I118:I119"/>
    <mergeCell ref="H124:H127"/>
    <mergeCell ref="H121:H123"/>
    <mergeCell ref="H46:H52"/>
    <mergeCell ref="A70:A75"/>
    <mergeCell ref="B70:B75"/>
    <mergeCell ref="C70:C75"/>
    <mergeCell ref="D70:D75"/>
    <mergeCell ref="E70:E75"/>
    <mergeCell ref="A53:A69"/>
    <mergeCell ref="B53:B69"/>
    <mergeCell ref="C53:C69"/>
    <mergeCell ref="D53:D69"/>
    <mergeCell ref="E53:E69"/>
    <mergeCell ref="H53:H62"/>
    <mergeCell ref="H64:H69"/>
    <mergeCell ref="B46:B52"/>
    <mergeCell ref="H70:H75"/>
    <mergeCell ref="D76:D80"/>
    <mergeCell ref="E76:E80"/>
    <mergeCell ref="A81:A84"/>
    <mergeCell ref="B81:B84"/>
    <mergeCell ref="A33:A45"/>
    <mergeCell ref="B33:B45"/>
    <mergeCell ref="A46:A52"/>
    <mergeCell ref="A27:A32"/>
    <mergeCell ref="B27:B32"/>
    <mergeCell ref="E46:E52"/>
    <mergeCell ref="C27:C32"/>
    <mergeCell ref="C33:C45"/>
    <mergeCell ref="D33:D45"/>
    <mergeCell ref="E33:E45"/>
    <mergeCell ref="C46:C52"/>
    <mergeCell ref="D46:D52"/>
    <mergeCell ref="D27:D32"/>
    <mergeCell ref="E27:E32"/>
    <mergeCell ref="A76:A80"/>
    <mergeCell ref="B76:B80"/>
    <mergeCell ref="C76:C80"/>
    <mergeCell ref="C81:C84"/>
    <mergeCell ref="D81:D84"/>
    <mergeCell ref="E81:E84"/>
    <mergeCell ref="H89:H92"/>
    <mergeCell ref="H93:H96"/>
    <mergeCell ref="H97:H102"/>
    <mergeCell ref="D85:D87"/>
    <mergeCell ref="E85:E87"/>
    <mergeCell ref="H81:H84"/>
    <mergeCell ref="A85:A87"/>
    <mergeCell ref="H85:H87"/>
    <mergeCell ref="A88:A102"/>
    <mergeCell ref="B88:B102"/>
    <mergeCell ref="C88:C102"/>
    <mergeCell ref="D88:D102"/>
    <mergeCell ref="C139:C148"/>
    <mergeCell ref="D139:D148"/>
    <mergeCell ref="E139:E148"/>
    <mergeCell ref="B85:B87"/>
    <mergeCell ref="C85:C87"/>
    <mergeCell ref="B103:B107"/>
    <mergeCell ref="C103:C107"/>
    <mergeCell ref="D103:D107"/>
    <mergeCell ref="E103:E107"/>
    <mergeCell ref="I3:I4"/>
    <mergeCell ref="I5:I8"/>
    <mergeCell ref="I33:I45"/>
    <mergeCell ref="I46:I52"/>
    <mergeCell ref="I53:I69"/>
    <mergeCell ref="I70:I75"/>
    <mergeCell ref="I76:I80"/>
    <mergeCell ref="I85:I87"/>
    <mergeCell ref="I81:I84"/>
    <mergeCell ref="I27:I32"/>
    <mergeCell ref="H76:H80"/>
    <mergeCell ref="H158:H163"/>
    <mergeCell ref="A158:A163"/>
    <mergeCell ref="B158:B163"/>
    <mergeCell ref="C158:C163"/>
    <mergeCell ref="D158:D163"/>
    <mergeCell ref="E158:E163"/>
    <mergeCell ref="H149:H152"/>
    <mergeCell ref="A153:A157"/>
    <mergeCell ref="B153:B157"/>
    <mergeCell ref="C153:C157"/>
    <mergeCell ref="D153:D157"/>
    <mergeCell ref="E153:E157"/>
    <mergeCell ref="H153:H157"/>
    <mergeCell ref="A149:A152"/>
    <mergeCell ref="B149:B152"/>
    <mergeCell ref="C149:C152"/>
    <mergeCell ref="A128:A138"/>
    <mergeCell ref="B128:B138"/>
    <mergeCell ref="C128:C138"/>
    <mergeCell ref="D128:D138"/>
    <mergeCell ref="E128:E138"/>
    <mergeCell ref="A139:A148"/>
    <mergeCell ref="B139:B148"/>
    <mergeCell ref="H3:H4"/>
    <mergeCell ref="H5:H8"/>
    <mergeCell ref="G3:G4"/>
    <mergeCell ref="F3:F4"/>
    <mergeCell ref="A3:A4"/>
    <mergeCell ref="B3:B4"/>
    <mergeCell ref="B5:B8"/>
    <mergeCell ref="C5:C8"/>
    <mergeCell ref="D5:D8"/>
    <mergeCell ref="A5:A8"/>
    <mergeCell ref="C3:C4"/>
    <mergeCell ref="D3:D4"/>
    <mergeCell ref="E3:E4"/>
    <mergeCell ref="E5:E8"/>
    <mergeCell ref="I88:I96"/>
    <mergeCell ref="I97:I102"/>
    <mergeCell ref="D235:D240"/>
    <mergeCell ref="E235:E240"/>
    <mergeCell ref="H235:H240"/>
    <mergeCell ref="I235:I240"/>
    <mergeCell ref="H223:H228"/>
    <mergeCell ref="I223:I228"/>
    <mergeCell ref="D149:D152"/>
    <mergeCell ref="E149:E152"/>
    <mergeCell ref="E88:E102"/>
    <mergeCell ref="I103:I107"/>
    <mergeCell ref="I128:I138"/>
    <mergeCell ref="I139:I148"/>
    <mergeCell ref="I149:I152"/>
    <mergeCell ref="H103:H107"/>
    <mergeCell ref="D182:D187"/>
    <mergeCell ref="E182:E187"/>
    <mergeCell ref="H182:H187"/>
    <mergeCell ref="D174:D177"/>
    <mergeCell ref="E174:E177"/>
    <mergeCell ref="H174:H177"/>
    <mergeCell ref="D164:D173"/>
    <mergeCell ref="D188:D191"/>
    <mergeCell ref="A223:A228"/>
    <mergeCell ref="B223:B228"/>
    <mergeCell ref="C223:C228"/>
    <mergeCell ref="D223:D228"/>
    <mergeCell ref="E223:E228"/>
    <mergeCell ref="I153:I157"/>
    <mergeCell ref="I158:I163"/>
    <mergeCell ref="I164:I173"/>
    <mergeCell ref="I174:I177"/>
    <mergeCell ref="B182:B187"/>
    <mergeCell ref="C182:C187"/>
    <mergeCell ref="A174:A177"/>
    <mergeCell ref="B174:B177"/>
    <mergeCell ref="C174:C177"/>
    <mergeCell ref="A164:A173"/>
    <mergeCell ref="B164:B173"/>
    <mergeCell ref="C164:C173"/>
    <mergeCell ref="E164:E173"/>
    <mergeCell ref="I178:I181"/>
    <mergeCell ref="I182:I187"/>
    <mergeCell ref="I188:I191"/>
    <mergeCell ref="A188:A191"/>
    <mergeCell ref="B188:B191"/>
    <mergeCell ref="C188:C191"/>
    <mergeCell ref="A246:A251"/>
    <mergeCell ref="B246:B251"/>
    <mergeCell ref="C246:C251"/>
    <mergeCell ref="D246:D251"/>
    <mergeCell ref="E246:E251"/>
    <mergeCell ref="H246:H251"/>
    <mergeCell ref="I246:I251"/>
    <mergeCell ref="A229:A234"/>
    <mergeCell ref="B229:B234"/>
    <mergeCell ref="C229:C234"/>
    <mergeCell ref="D229:D234"/>
    <mergeCell ref="E229:E234"/>
    <mergeCell ref="H229:H234"/>
    <mergeCell ref="I229:I234"/>
    <mergeCell ref="A235:A240"/>
    <mergeCell ref="B235:B240"/>
    <mergeCell ref="C235:C240"/>
    <mergeCell ref="D241:D245"/>
    <mergeCell ref="E241:E245"/>
    <mergeCell ref="H241:H245"/>
    <mergeCell ref="I241:I245"/>
    <mergeCell ref="A241:A245"/>
    <mergeCell ref="B241:B245"/>
    <mergeCell ref="C241:C245"/>
    <mergeCell ref="H33:H37"/>
    <mergeCell ref="H38:H40"/>
    <mergeCell ref="H41:H45"/>
    <mergeCell ref="A205:A212"/>
    <mergeCell ref="B205:B212"/>
    <mergeCell ref="C205:C212"/>
    <mergeCell ref="D205:D212"/>
    <mergeCell ref="E205:E212"/>
    <mergeCell ref="A192:A195"/>
    <mergeCell ref="B192:B195"/>
    <mergeCell ref="C192:C195"/>
    <mergeCell ref="D192:D195"/>
    <mergeCell ref="E192:E195"/>
    <mergeCell ref="H192:H195"/>
    <mergeCell ref="A196:A204"/>
    <mergeCell ref="B196:B204"/>
    <mergeCell ref="C196:C204"/>
    <mergeCell ref="D196:D204"/>
    <mergeCell ref="E196:E204"/>
    <mergeCell ref="E188:E191"/>
    <mergeCell ref="H188:H191"/>
    <mergeCell ref="A178:A181"/>
    <mergeCell ref="H196:H199"/>
    <mergeCell ref="A103:A107"/>
    <mergeCell ref="I192:I195"/>
    <mergeCell ref="I196:I204"/>
    <mergeCell ref="B178:B181"/>
    <mergeCell ref="C178:C181"/>
    <mergeCell ref="D178:D181"/>
    <mergeCell ref="E178:E181"/>
    <mergeCell ref="H178:H181"/>
    <mergeCell ref="A217:A222"/>
    <mergeCell ref="B217:B222"/>
    <mergeCell ref="C217:C222"/>
    <mergeCell ref="D217:D222"/>
    <mergeCell ref="E217:E222"/>
    <mergeCell ref="H217:H222"/>
    <mergeCell ref="I217:I222"/>
    <mergeCell ref="I205:I212"/>
    <mergeCell ref="A213:A216"/>
    <mergeCell ref="B213:B216"/>
    <mergeCell ref="C213:C216"/>
    <mergeCell ref="D213:D216"/>
    <mergeCell ref="E213:E216"/>
    <mergeCell ref="H213:H216"/>
    <mergeCell ref="I213:I216"/>
    <mergeCell ref="A182:A187"/>
    <mergeCell ref="H205:H206"/>
  </mergeCells>
  <phoneticPr fontId="2"/>
  <pageMargins left="0.7" right="0.7" top="0.75" bottom="0.75" header="0.3" footer="0.3"/>
  <pageSetup paperSize="9" orientation="portrait"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B1:AJ136"/>
  <sheetViews>
    <sheetView topLeftCell="A12" zoomScale="85" zoomScaleNormal="85" workbookViewId="0">
      <selection activeCell="A12" sqref="A12"/>
    </sheetView>
  </sheetViews>
  <sheetFormatPr defaultColWidth="9" defaultRowHeight="20.100000000000001" customHeight="1" outlineLevelRow="1" x14ac:dyDescent="0.4"/>
  <cols>
    <col min="1" max="1" width="4.5" style="1" customWidth="1"/>
    <col min="2" max="2" width="12.25" style="1" customWidth="1"/>
    <col min="3" max="31" width="3.625" style="2" customWidth="1"/>
    <col min="32" max="33" width="3.625" style="1" customWidth="1"/>
    <col min="34" max="34" width="9" style="1"/>
    <col min="35" max="35" width="10.875" style="1" customWidth="1"/>
    <col min="36" max="16384" width="9" style="1"/>
  </cols>
  <sheetData>
    <row r="1" spans="2:36" ht="20.100000000000001" hidden="1" customHeight="1" x14ac:dyDescent="0.4"/>
    <row r="2" spans="2:36" ht="20.100000000000001" hidden="1" customHeight="1" x14ac:dyDescent="0.4">
      <c r="B2" s="518" t="s">
        <v>30</v>
      </c>
      <c r="C2" s="6">
        <v>1</v>
      </c>
      <c r="D2" s="6">
        <v>2</v>
      </c>
      <c r="E2" s="6">
        <v>3</v>
      </c>
      <c r="F2" s="6">
        <v>4</v>
      </c>
      <c r="G2" s="6">
        <v>5</v>
      </c>
      <c r="H2" s="6">
        <v>6</v>
      </c>
      <c r="I2" s="6">
        <v>7</v>
      </c>
      <c r="J2" s="6">
        <v>8</v>
      </c>
      <c r="K2" s="6">
        <v>9</v>
      </c>
      <c r="L2" s="6">
        <v>10</v>
      </c>
      <c r="M2" s="6">
        <v>11</v>
      </c>
      <c r="N2" s="6">
        <v>12</v>
      </c>
      <c r="O2" s="6">
        <v>13</v>
      </c>
      <c r="P2" s="6">
        <v>14</v>
      </c>
      <c r="Q2" s="6">
        <v>15</v>
      </c>
      <c r="R2" s="6">
        <v>16</v>
      </c>
      <c r="S2" s="6">
        <v>17</v>
      </c>
      <c r="T2" s="6">
        <v>18</v>
      </c>
      <c r="U2" s="6">
        <v>19</v>
      </c>
      <c r="V2" s="6">
        <v>20</v>
      </c>
      <c r="W2" s="6">
        <v>21</v>
      </c>
      <c r="X2" s="6">
        <v>22</v>
      </c>
      <c r="Y2" s="6">
        <v>23</v>
      </c>
      <c r="Z2" s="6">
        <v>24</v>
      </c>
      <c r="AA2" s="6">
        <v>25</v>
      </c>
      <c r="AB2" s="6">
        <v>26</v>
      </c>
      <c r="AC2" s="6">
        <v>27</v>
      </c>
      <c r="AD2" s="6">
        <v>28</v>
      </c>
      <c r="AE2" s="6">
        <v>29</v>
      </c>
    </row>
    <row r="3" spans="2:36" ht="20.100000000000001" hidden="1" customHeight="1" x14ac:dyDescent="0.4">
      <c r="B3" s="520"/>
      <c r="C3" s="6" t="s">
        <v>68</v>
      </c>
      <c r="D3" s="6" t="s">
        <v>67</v>
      </c>
      <c r="E3" s="6" t="s">
        <v>70</v>
      </c>
      <c r="F3" s="6" t="s">
        <v>72</v>
      </c>
      <c r="G3" s="6" t="s">
        <v>73</v>
      </c>
      <c r="H3" s="6" t="s">
        <v>74</v>
      </c>
      <c r="I3" s="6" t="s">
        <v>75</v>
      </c>
      <c r="J3" s="6" t="s">
        <v>68</v>
      </c>
      <c r="K3" s="6" t="s">
        <v>67</v>
      </c>
      <c r="L3" s="6" t="s">
        <v>70</v>
      </c>
      <c r="M3" s="6" t="s">
        <v>72</v>
      </c>
      <c r="N3" s="6" t="s">
        <v>73</v>
      </c>
      <c r="O3" s="6" t="s">
        <v>74</v>
      </c>
      <c r="P3" s="6" t="s">
        <v>75</v>
      </c>
      <c r="Q3" s="6" t="s">
        <v>68</v>
      </c>
      <c r="R3" s="6" t="s">
        <v>67</v>
      </c>
      <c r="S3" s="6" t="s">
        <v>70</v>
      </c>
      <c r="T3" s="6" t="s">
        <v>72</v>
      </c>
      <c r="U3" s="6" t="s">
        <v>73</v>
      </c>
      <c r="V3" s="6" t="s">
        <v>74</v>
      </c>
      <c r="W3" s="6" t="s">
        <v>75</v>
      </c>
      <c r="X3" s="6" t="s">
        <v>68</v>
      </c>
      <c r="Y3" s="6" t="s">
        <v>67</v>
      </c>
      <c r="Z3" s="6" t="s">
        <v>70</v>
      </c>
      <c r="AA3" s="6" t="s">
        <v>72</v>
      </c>
      <c r="AB3" s="6" t="s">
        <v>73</v>
      </c>
      <c r="AC3" s="6" t="s">
        <v>74</v>
      </c>
      <c r="AD3" s="6" t="s">
        <v>75</v>
      </c>
      <c r="AE3" s="6" t="s">
        <v>68</v>
      </c>
    </row>
    <row r="4" spans="2:36" ht="20.100000000000001" hidden="1" customHeight="1" x14ac:dyDescent="0.4">
      <c r="B4" s="4" t="s">
        <v>60</v>
      </c>
      <c r="C4" s="3"/>
      <c r="D4" s="3"/>
      <c r="E4" s="3"/>
      <c r="F4" s="3"/>
      <c r="G4" s="3"/>
      <c r="H4" s="3"/>
      <c r="I4" s="3"/>
      <c r="J4" s="3"/>
      <c r="K4" s="3"/>
      <c r="L4" s="3"/>
      <c r="M4" s="3"/>
      <c r="N4" s="3"/>
      <c r="O4" s="3"/>
      <c r="P4" s="3"/>
      <c r="Q4" s="3"/>
      <c r="R4" s="3"/>
      <c r="S4" s="3"/>
      <c r="T4" s="3"/>
      <c r="U4" s="3"/>
      <c r="V4" s="3"/>
      <c r="W4" s="3"/>
      <c r="X4" s="3"/>
      <c r="Y4" s="3"/>
      <c r="Z4" s="3"/>
      <c r="AA4" s="3"/>
      <c r="AB4" s="3"/>
      <c r="AC4" s="3"/>
      <c r="AD4" s="3"/>
      <c r="AE4" s="3"/>
    </row>
    <row r="5" spans="2:36" ht="20.100000000000001" hidden="1" customHeight="1" x14ac:dyDescent="0.4">
      <c r="B5" s="4" t="s">
        <v>61</v>
      </c>
      <c r="C5" s="3"/>
      <c r="D5" s="3"/>
      <c r="E5" s="3"/>
      <c r="F5" s="3"/>
      <c r="G5" s="3"/>
      <c r="H5" s="3"/>
      <c r="I5" s="3"/>
      <c r="J5" s="3"/>
      <c r="K5" s="3"/>
      <c r="L5" s="3"/>
      <c r="M5" s="3"/>
      <c r="N5" s="3"/>
      <c r="O5" s="3" t="s">
        <v>77</v>
      </c>
      <c r="P5" s="3"/>
      <c r="Q5" s="3"/>
      <c r="R5" s="3"/>
      <c r="S5" s="3"/>
      <c r="T5" s="3"/>
      <c r="U5" s="3"/>
      <c r="V5" s="3"/>
      <c r="W5" s="3"/>
      <c r="X5" s="3"/>
      <c r="Y5" s="3"/>
      <c r="Z5" s="3"/>
      <c r="AA5" s="3"/>
      <c r="AB5" s="3"/>
      <c r="AC5" s="3"/>
      <c r="AD5" s="3"/>
      <c r="AE5" s="3"/>
    </row>
    <row r="6" spans="2:36" ht="20.100000000000001" hidden="1" customHeight="1" x14ac:dyDescent="0.4">
      <c r="B6" s="4" t="s">
        <v>62</v>
      </c>
      <c r="C6" s="3"/>
      <c r="D6" s="3"/>
      <c r="E6" s="3"/>
      <c r="F6" s="3"/>
      <c r="G6" s="3"/>
      <c r="H6" s="3"/>
      <c r="I6" s="3"/>
      <c r="J6" s="3"/>
      <c r="K6" s="3"/>
      <c r="L6" s="3"/>
      <c r="M6" s="3"/>
      <c r="N6" s="3"/>
      <c r="O6" s="3"/>
      <c r="P6" s="3"/>
      <c r="Q6" s="3"/>
      <c r="R6" s="3"/>
      <c r="S6" s="3" t="s">
        <v>76</v>
      </c>
      <c r="T6" s="3"/>
      <c r="U6" s="3"/>
      <c r="V6" s="3"/>
      <c r="W6" s="3"/>
      <c r="X6" s="3"/>
      <c r="Y6" s="3"/>
      <c r="Z6" s="3"/>
      <c r="AA6" s="3"/>
      <c r="AB6" s="3"/>
      <c r="AC6" s="3"/>
      <c r="AD6" s="3"/>
      <c r="AE6" s="3"/>
    </row>
    <row r="7" spans="2:36" ht="20.100000000000001" hidden="1" customHeight="1" x14ac:dyDescent="0.4">
      <c r="B7" s="4" t="s">
        <v>63</v>
      </c>
      <c r="C7" s="3"/>
      <c r="D7" s="3"/>
      <c r="E7" s="3"/>
      <c r="F7" s="3"/>
      <c r="G7" s="3"/>
      <c r="H7" s="3"/>
      <c r="I7" s="3" t="s">
        <v>78</v>
      </c>
      <c r="J7" s="3"/>
      <c r="K7" s="3"/>
      <c r="L7" s="3"/>
      <c r="M7" s="3"/>
      <c r="N7" s="3"/>
      <c r="O7" s="3"/>
      <c r="P7" s="3"/>
      <c r="Q7" s="3"/>
      <c r="R7" s="3"/>
      <c r="S7" s="3"/>
      <c r="T7" s="3"/>
      <c r="U7" s="3" t="s">
        <v>77</v>
      </c>
      <c r="V7" s="3" t="s">
        <v>76</v>
      </c>
      <c r="W7" s="3"/>
      <c r="X7" s="3"/>
      <c r="Y7" s="3"/>
      <c r="Z7" s="3"/>
      <c r="AA7" s="3"/>
      <c r="AB7" s="3"/>
      <c r="AC7" s="3"/>
      <c r="AD7" s="3"/>
      <c r="AE7" s="3"/>
    </row>
    <row r="8" spans="2:36" ht="20.100000000000001" hidden="1" customHeight="1" x14ac:dyDescent="0.4">
      <c r="B8" s="4" t="s">
        <v>64</v>
      </c>
      <c r="C8" s="3"/>
      <c r="D8" s="3"/>
      <c r="E8" s="3"/>
      <c r="F8" s="3"/>
      <c r="G8" s="3"/>
      <c r="H8" s="3"/>
      <c r="I8" s="3"/>
      <c r="J8" s="3"/>
      <c r="K8" s="3"/>
      <c r="L8" s="3"/>
      <c r="M8" s="3"/>
      <c r="N8" s="3"/>
      <c r="O8" s="3"/>
      <c r="P8" s="3"/>
      <c r="Q8" s="3"/>
      <c r="R8" s="3"/>
      <c r="S8" s="3"/>
      <c r="T8" s="3"/>
      <c r="U8" s="3"/>
      <c r="V8" s="3"/>
      <c r="W8" s="3"/>
      <c r="X8" s="3"/>
      <c r="Y8" s="3"/>
      <c r="Z8" s="3"/>
      <c r="AA8" s="3"/>
      <c r="AB8" s="3"/>
      <c r="AC8" s="3"/>
      <c r="AD8" s="3"/>
      <c r="AE8" s="3"/>
    </row>
    <row r="9" spans="2:36" ht="20.100000000000001" hidden="1" customHeight="1" x14ac:dyDescent="0.4">
      <c r="B9" s="4" t="s">
        <v>65</v>
      </c>
      <c r="C9" s="3"/>
      <c r="D9" s="3"/>
      <c r="E9" s="3"/>
      <c r="F9" s="3"/>
      <c r="G9" s="3"/>
      <c r="H9" s="3"/>
      <c r="I9" s="3"/>
      <c r="J9" s="3"/>
      <c r="K9" s="3"/>
      <c r="L9" s="3"/>
      <c r="M9" s="3"/>
      <c r="N9" s="3"/>
      <c r="O9" s="3"/>
      <c r="P9" s="3"/>
      <c r="Q9" s="3"/>
      <c r="R9" s="3"/>
      <c r="S9" s="3"/>
      <c r="T9" s="3"/>
      <c r="U9" s="3"/>
      <c r="V9" s="3"/>
      <c r="W9" s="3"/>
      <c r="X9" s="3"/>
      <c r="Y9" s="3"/>
      <c r="Z9" s="3"/>
      <c r="AA9" s="3"/>
      <c r="AB9" s="3"/>
      <c r="AC9" s="3"/>
      <c r="AD9" s="3"/>
      <c r="AE9" s="3"/>
    </row>
    <row r="10" spans="2:36" ht="20.100000000000001" hidden="1" customHeight="1" x14ac:dyDescent="0.4">
      <c r="B10" s="4" t="s">
        <v>66</v>
      </c>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row>
    <row r="11" spans="2:36" ht="20.100000000000001" hidden="1" customHeight="1" x14ac:dyDescent="0.4"/>
    <row r="13" spans="2:36" ht="20.100000000000001" customHeight="1" x14ac:dyDescent="0.4">
      <c r="B13" s="47" t="s">
        <v>100</v>
      </c>
    </row>
    <row r="14" spans="2:36" ht="20.100000000000001" customHeight="1" x14ac:dyDescent="0.4">
      <c r="B14" s="47" t="s">
        <v>101</v>
      </c>
    </row>
    <row r="15" spans="2:36" ht="20.100000000000001" hidden="1" customHeight="1" outlineLevel="1" x14ac:dyDescent="0.4">
      <c r="AI15" s="199">
        <f>AI18*7.5</f>
        <v>120</v>
      </c>
    </row>
    <row r="16" spans="2:36" ht="20.100000000000001" hidden="1" customHeight="1" outlineLevel="1" x14ac:dyDescent="0.4">
      <c r="B16" s="652">
        <v>46113</v>
      </c>
      <c r="C16" s="6">
        <v>1</v>
      </c>
      <c r="D16" s="6">
        <v>2</v>
      </c>
      <c r="E16" s="6">
        <v>3</v>
      </c>
      <c r="F16" s="6">
        <v>4</v>
      </c>
      <c r="G16" s="6">
        <v>5</v>
      </c>
      <c r="H16" s="6">
        <v>6</v>
      </c>
      <c r="I16" s="6">
        <v>7</v>
      </c>
      <c r="J16" s="6">
        <v>8</v>
      </c>
      <c r="K16" s="6">
        <v>9</v>
      </c>
      <c r="L16" s="6">
        <v>10</v>
      </c>
      <c r="M16" s="6">
        <v>11</v>
      </c>
      <c r="N16" s="6">
        <v>12</v>
      </c>
      <c r="O16" s="6">
        <v>13</v>
      </c>
      <c r="P16" s="6">
        <v>14</v>
      </c>
      <c r="Q16" s="6">
        <v>15</v>
      </c>
      <c r="R16" s="6">
        <v>16</v>
      </c>
      <c r="S16" s="6">
        <v>17</v>
      </c>
      <c r="T16" s="6">
        <v>18</v>
      </c>
      <c r="U16" s="6">
        <v>19</v>
      </c>
      <c r="V16" s="6">
        <v>20</v>
      </c>
      <c r="W16" s="6">
        <v>21</v>
      </c>
      <c r="X16" s="6">
        <v>22</v>
      </c>
      <c r="Y16" s="6">
        <v>23</v>
      </c>
      <c r="Z16" s="6">
        <v>24</v>
      </c>
      <c r="AA16" s="6">
        <v>25</v>
      </c>
      <c r="AB16" s="6">
        <v>26</v>
      </c>
      <c r="AC16" s="6">
        <v>27</v>
      </c>
      <c r="AD16" s="6">
        <v>28</v>
      </c>
      <c r="AE16" s="6">
        <v>29</v>
      </c>
      <c r="AF16" s="6">
        <v>30</v>
      </c>
      <c r="AG16" s="6"/>
      <c r="AH16" s="518" t="s">
        <v>105</v>
      </c>
      <c r="AI16" s="513" t="s">
        <v>106</v>
      </c>
      <c r="AJ16" s="186" t="s">
        <v>501</v>
      </c>
    </row>
    <row r="17" spans="2:36" ht="20.100000000000001" hidden="1" customHeight="1" outlineLevel="1" x14ac:dyDescent="0.4">
      <c r="B17" s="653"/>
      <c r="C17" s="6" t="s">
        <v>107</v>
      </c>
      <c r="D17" s="6" t="s">
        <v>108</v>
      </c>
      <c r="E17" s="6" t="s">
        <v>109</v>
      </c>
      <c r="F17" s="6" t="s">
        <v>110</v>
      </c>
      <c r="G17" s="6" t="s">
        <v>421</v>
      </c>
      <c r="H17" s="6" t="s">
        <v>420</v>
      </c>
      <c r="I17" s="6" t="s">
        <v>71</v>
      </c>
      <c r="J17" s="6" t="s">
        <v>107</v>
      </c>
      <c r="K17" s="6" t="s">
        <v>108</v>
      </c>
      <c r="L17" s="6" t="s">
        <v>109</v>
      </c>
      <c r="M17" s="6" t="s">
        <v>110</v>
      </c>
      <c r="N17" s="6" t="s">
        <v>111</v>
      </c>
      <c r="O17" s="6" t="s">
        <v>69</v>
      </c>
      <c r="P17" s="6" t="s">
        <v>71</v>
      </c>
      <c r="Q17" s="6" t="s">
        <v>107</v>
      </c>
      <c r="R17" s="6" t="s">
        <v>498</v>
      </c>
      <c r="S17" s="6" t="s">
        <v>109</v>
      </c>
      <c r="T17" s="6" t="s">
        <v>110</v>
      </c>
      <c r="U17" s="6" t="s">
        <v>111</v>
      </c>
      <c r="V17" s="6" t="s">
        <v>69</v>
      </c>
      <c r="W17" s="6" t="s">
        <v>71</v>
      </c>
      <c r="X17" s="6" t="s">
        <v>497</v>
      </c>
      <c r="Y17" s="6" t="s">
        <v>108</v>
      </c>
      <c r="Z17" s="6" t="s">
        <v>500</v>
      </c>
      <c r="AA17" s="6" t="s">
        <v>110</v>
      </c>
      <c r="AB17" s="6" t="s">
        <v>111</v>
      </c>
      <c r="AC17" s="6" t="s">
        <v>69</v>
      </c>
      <c r="AD17" s="6" t="s">
        <v>71</v>
      </c>
      <c r="AE17" s="6" t="s">
        <v>107</v>
      </c>
      <c r="AF17" s="6" t="s">
        <v>108</v>
      </c>
      <c r="AG17" s="6"/>
      <c r="AH17" s="520"/>
      <c r="AI17" s="515"/>
      <c r="AJ17" s="186" t="s">
        <v>526</v>
      </c>
    </row>
    <row r="18" spans="2:36" ht="20.100000000000001" hidden="1" customHeight="1" outlineLevel="1" x14ac:dyDescent="0.4">
      <c r="B18" s="4" t="s">
        <v>163</v>
      </c>
      <c r="C18" s="3" t="s">
        <v>409</v>
      </c>
      <c r="D18" s="3" t="s">
        <v>409</v>
      </c>
      <c r="E18" s="3" t="s">
        <v>409</v>
      </c>
      <c r="F18" s="3" t="s">
        <v>410</v>
      </c>
      <c r="G18" s="3" t="s">
        <v>410</v>
      </c>
      <c r="H18" s="3" t="s">
        <v>409</v>
      </c>
      <c r="I18" s="3" t="s">
        <v>409</v>
      </c>
      <c r="J18" s="3" t="s">
        <v>409</v>
      </c>
      <c r="K18" s="3" t="s">
        <v>409</v>
      </c>
      <c r="L18" s="3" t="s">
        <v>409</v>
      </c>
      <c r="M18" s="3" t="s">
        <v>410</v>
      </c>
      <c r="N18" s="3" t="s">
        <v>410</v>
      </c>
      <c r="O18" s="3" t="s">
        <v>411</v>
      </c>
      <c r="P18" s="3" t="s">
        <v>411</v>
      </c>
      <c r="Q18" s="3" t="s">
        <v>411</v>
      </c>
      <c r="R18" s="3" t="s">
        <v>411</v>
      </c>
      <c r="S18" s="3" t="s">
        <v>411</v>
      </c>
      <c r="T18" s="3" t="s">
        <v>410</v>
      </c>
      <c r="U18" s="3" t="s">
        <v>410</v>
      </c>
      <c r="V18" s="3" t="s">
        <v>409</v>
      </c>
      <c r="W18" s="3" t="s">
        <v>409</v>
      </c>
      <c r="X18" s="3" t="s">
        <v>409</v>
      </c>
      <c r="Y18" s="3" t="s">
        <v>409</v>
      </c>
      <c r="Z18" s="3" t="s">
        <v>409</v>
      </c>
      <c r="AA18" s="3" t="s">
        <v>410</v>
      </c>
      <c r="AB18" s="3" t="s">
        <v>410</v>
      </c>
      <c r="AC18" s="3" t="s">
        <v>409</v>
      </c>
      <c r="AD18" s="3" t="s">
        <v>409</v>
      </c>
      <c r="AE18" s="3" t="s">
        <v>409</v>
      </c>
      <c r="AF18" s="3" t="s">
        <v>411</v>
      </c>
      <c r="AG18" s="3"/>
      <c r="AH18" s="4">
        <f>COUNTIF(C18:AG18,"L")</f>
        <v>0</v>
      </c>
      <c r="AI18" s="4">
        <f>COUNTIF(C18:AG18,"A")</f>
        <v>16</v>
      </c>
      <c r="AJ18" s="186" t="s">
        <v>408</v>
      </c>
    </row>
    <row r="19" spans="2:36" ht="20.100000000000001" hidden="1" customHeight="1" outlineLevel="1" x14ac:dyDescent="0.4">
      <c r="B19" s="4" t="s">
        <v>402</v>
      </c>
      <c r="C19" s="3" t="s">
        <v>412</v>
      </c>
      <c r="D19" s="3" t="s">
        <v>412</v>
      </c>
      <c r="E19" s="3" t="s">
        <v>412</v>
      </c>
      <c r="F19" s="3" t="s">
        <v>410</v>
      </c>
      <c r="G19" s="3" t="s">
        <v>410</v>
      </c>
      <c r="H19" s="3" t="s">
        <v>412</v>
      </c>
      <c r="I19" s="3" t="s">
        <v>412</v>
      </c>
      <c r="J19" s="3" t="s">
        <v>412</v>
      </c>
      <c r="K19" s="3" t="s">
        <v>412</v>
      </c>
      <c r="L19" s="3" t="s">
        <v>412</v>
      </c>
      <c r="M19" s="3" t="s">
        <v>410</v>
      </c>
      <c r="N19" s="3" t="s">
        <v>410</v>
      </c>
      <c r="O19" s="3" t="s">
        <v>411</v>
      </c>
      <c r="P19" s="3" t="s">
        <v>411</v>
      </c>
      <c r="Q19" s="3" t="s">
        <v>411</v>
      </c>
      <c r="R19" s="3" t="s">
        <v>411</v>
      </c>
      <c r="S19" s="3" t="s">
        <v>411</v>
      </c>
      <c r="T19" s="3" t="s">
        <v>410</v>
      </c>
      <c r="U19" s="3" t="s">
        <v>410</v>
      </c>
      <c r="V19" s="3" t="s">
        <v>412</v>
      </c>
      <c r="W19" s="3" t="s">
        <v>412</v>
      </c>
      <c r="X19" s="3" t="s">
        <v>412</v>
      </c>
      <c r="Y19" s="3" t="s">
        <v>412</v>
      </c>
      <c r="Z19" s="3" t="s">
        <v>412</v>
      </c>
      <c r="AA19" s="3" t="s">
        <v>410</v>
      </c>
      <c r="AB19" s="3" t="s">
        <v>410</v>
      </c>
      <c r="AC19" s="3" t="s">
        <v>412</v>
      </c>
      <c r="AD19" s="3" t="s">
        <v>412</v>
      </c>
      <c r="AE19" s="3" t="s">
        <v>412</v>
      </c>
      <c r="AF19" s="3" t="s">
        <v>411</v>
      </c>
      <c r="AG19" s="3"/>
      <c r="AH19" s="4">
        <f t="shared" ref="AH19:AH24" si="0">COUNTIF(C19:AG19,"L")</f>
        <v>16</v>
      </c>
      <c r="AI19" s="4">
        <f t="shared" ref="AI19:AI24" si="1">COUNTIF(C19:AG19,"A")</f>
        <v>0</v>
      </c>
      <c r="AJ19" s="186" t="s">
        <v>502</v>
      </c>
    </row>
    <row r="20" spans="2:36" ht="20.100000000000001" hidden="1" customHeight="1" outlineLevel="1" x14ac:dyDescent="0.4">
      <c r="B20" s="4" t="s">
        <v>174</v>
      </c>
      <c r="C20" s="3" t="s">
        <v>409</v>
      </c>
      <c r="D20" s="3" t="s">
        <v>409</v>
      </c>
      <c r="E20" s="3" t="s">
        <v>409</v>
      </c>
      <c r="F20" s="3" t="s">
        <v>410</v>
      </c>
      <c r="G20" s="3" t="s">
        <v>410</v>
      </c>
      <c r="H20" s="3" t="s">
        <v>409</v>
      </c>
      <c r="I20" s="3" t="s">
        <v>409</v>
      </c>
      <c r="J20" s="3" t="s">
        <v>409</v>
      </c>
      <c r="K20" s="3" t="s">
        <v>409</v>
      </c>
      <c r="L20" s="3" t="s">
        <v>409</v>
      </c>
      <c r="M20" s="3" t="s">
        <v>410</v>
      </c>
      <c r="N20" s="3" t="s">
        <v>410</v>
      </c>
      <c r="O20" s="3" t="s">
        <v>411</v>
      </c>
      <c r="P20" s="3" t="s">
        <v>411</v>
      </c>
      <c r="Q20" s="3" t="s">
        <v>411</v>
      </c>
      <c r="R20" s="3" t="s">
        <v>411</v>
      </c>
      <c r="S20" s="3" t="s">
        <v>411</v>
      </c>
      <c r="T20" s="3" t="s">
        <v>410</v>
      </c>
      <c r="U20" s="3" t="s">
        <v>410</v>
      </c>
      <c r="V20" s="3" t="s">
        <v>409</v>
      </c>
      <c r="W20" s="3" t="s">
        <v>409</v>
      </c>
      <c r="X20" s="3" t="s">
        <v>409</v>
      </c>
      <c r="Y20" s="3" t="s">
        <v>409</v>
      </c>
      <c r="Z20" s="3" t="s">
        <v>409</v>
      </c>
      <c r="AA20" s="3" t="s">
        <v>410</v>
      </c>
      <c r="AB20" s="3" t="s">
        <v>410</v>
      </c>
      <c r="AC20" s="3" t="s">
        <v>409</v>
      </c>
      <c r="AD20" s="3" t="s">
        <v>409</v>
      </c>
      <c r="AE20" s="3" t="s">
        <v>409</v>
      </c>
      <c r="AF20" s="3" t="s">
        <v>411</v>
      </c>
      <c r="AG20" s="3"/>
      <c r="AH20" s="4">
        <f t="shared" si="0"/>
        <v>0</v>
      </c>
      <c r="AI20" s="4">
        <f t="shared" si="1"/>
        <v>16</v>
      </c>
      <c r="AJ20" s="56"/>
    </row>
    <row r="21" spans="2:36" ht="20.100000000000001" hidden="1" customHeight="1" outlineLevel="1" x14ac:dyDescent="0.4">
      <c r="B21" s="4" t="s">
        <v>403</v>
      </c>
      <c r="C21" s="3" t="s">
        <v>409</v>
      </c>
      <c r="D21" s="3" t="s">
        <v>409</v>
      </c>
      <c r="E21" s="3" t="s">
        <v>409</v>
      </c>
      <c r="F21" s="3" t="s">
        <v>410</v>
      </c>
      <c r="G21" s="3" t="s">
        <v>410</v>
      </c>
      <c r="H21" s="3" t="s">
        <v>409</v>
      </c>
      <c r="I21" s="3" t="s">
        <v>409</v>
      </c>
      <c r="J21" s="3" t="s">
        <v>409</v>
      </c>
      <c r="K21" s="3" t="s">
        <v>409</v>
      </c>
      <c r="L21" s="3" t="s">
        <v>409</v>
      </c>
      <c r="M21" s="3" t="s">
        <v>410</v>
      </c>
      <c r="N21" s="3" t="s">
        <v>410</v>
      </c>
      <c r="O21" s="3" t="s">
        <v>411</v>
      </c>
      <c r="P21" s="3" t="s">
        <v>411</v>
      </c>
      <c r="Q21" s="3" t="s">
        <v>411</v>
      </c>
      <c r="R21" s="3" t="s">
        <v>411</v>
      </c>
      <c r="S21" s="3" t="s">
        <v>411</v>
      </c>
      <c r="T21" s="3" t="s">
        <v>410</v>
      </c>
      <c r="U21" s="3" t="s">
        <v>410</v>
      </c>
      <c r="V21" s="3" t="s">
        <v>409</v>
      </c>
      <c r="W21" s="3" t="s">
        <v>409</v>
      </c>
      <c r="X21" s="3" t="s">
        <v>409</v>
      </c>
      <c r="Y21" s="3" t="s">
        <v>409</v>
      </c>
      <c r="Z21" s="3" t="s">
        <v>409</v>
      </c>
      <c r="AA21" s="3" t="s">
        <v>410</v>
      </c>
      <c r="AB21" s="3" t="s">
        <v>410</v>
      </c>
      <c r="AC21" s="3" t="s">
        <v>409</v>
      </c>
      <c r="AD21" s="3" t="s">
        <v>409</v>
      </c>
      <c r="AE21" s="3" t="s">
        <v>409</v>
      </c>
      <c r="AF21" s="3" t="s">
        <v>411</v>
      </c>
      <c r="AG21" s="3"/>
      <c r="AH21" s="4">
        <f t="shared" si="0"/>
        <v>0</v>
      </c>
      <c r="AI21" s="4">
        <f t="shared" si="1"/>
        <v>16</v>
      </c>
      <c r="AJ21" s="186"/>
    </row>
    <row r="22" spans="2:36" ht="20.100000000000001" hidden="1" customHeight="1" outlineLevel="1" x14ac:dyDescent="0.4">
      <c r="B22" s="4" t="s">
        <v>404</v>
      </c>
      <c r="C22" s="3" t="s">
        <v>409</v>
      </c>
      <c r="D22" s="3" t="s">
        <v>409</v>
      </c>
      <c r="E22" s="3" t="s">
        <v>409</v>
      </c>
      <c r="F22" s="3" t="s">
        <v>410</v>
      </c>
      <c r="G22" s="3" t="s">
        <v>410</v>
      </c>
      <c r="H22" s="3" t="s">
        <v>409</v>
      </c>
      <c r="I22" s="3" t="s">
        <v>409</v>
      </c>
      <c r="J22" s="3" t="s">
        <v>409</v>
      </c>
      <c r="K22" s="3" t="s">
        <v>409</v>
      </c>
      <c r="L22" s="3" t="s">
        <v>409</v>
      </c>
      <c r="M22" s="3" t="s">
        <v>410</v>
      </c>
      <c r="N22" s="3" t="s">
        <v>410</v>
      </c>
      <c r="O22" s="3" t="s">
        <v>411</v>
      </c>
      <c r="P22" s="3" t="s">
        <v>411</v>
      </c>
      <c r="Q22" s="3" t="s">
        <v>411</v>
      </c>
      <c r="R22" s="3" t="s">
        <v>411</v>
      </c>
      <c r="S22" s="3" t="s">
        <v>411</v>
      </c>
      <c r="T22" s="3" t="s">
        <v>410</v>
      </c>
      <c r="U22" s="3" t="s">
        <v>410</v>
      </c>
      <c r="V22" s="3" t="s">
        <v>409</v>
      </c>
      <c r="W22" s="3" t="s">
        <v>409</v>
      </c>
      <c r="X22" s="3" t="s">
        <v>409</v>
      </c>
      <c r="Y22" s="3" t="s">
        <v>409</v>
      </c>
      <c r="Z22" s="3" t="s">
        <v>409</v>
      </c>
      <c r="AA22" s="3" t="s">
        <v>410</v>
      </c>
      <c r="AB22" s="3" t="s">
        <v>410</v>
      </c>
      <c r="AC22" s="3" t="s">
        <v>409</v>
      </c>
      <c r="AD22" s="3" t="s">
        <v>409</v>
      </c>
      <c r="AE22" s="3" t="s">
        <v>409</v>
      </c>
      <c r="AF22" s="3" t="s">
        <v>411</v>
      </c>
      <c r="AG22" s="3"/>
      <c r="AH22" s="4">
        <f t="shared" si="0"/>
        <v>0</v>
      </c>
      <c r="AI22" s="4">
        <f t="shared" si="1"/>
        <v>16</v>
      </c>
      <c r="AJ22" s="186"/>
    </row>
    <row r="23" spans="2:36" ht="20.100000000000001" hidden="1" customHeight="1" outlineLevel="1" x14ac:dyDescent="0.4">
      <c r="B23" s="4" t="s">
        <v>405</v>
      </c>
      <c r="C23" s="3" t="s">
        <v>409</v>
      </c>
      <c r="D23" s="3" t="s">
        <v>409</v>
      </c>
      <c r="E23" s="3" t="s">
        <v>409</v>
      </c>
      <c r="F23" s="3" t="s">
        <v>410</v>
      </c>
      <c r="G23" s="3" t="s">
        <v>410</v>
      </c>
      <c r="H23" s="3" t="s">
        <v>409</v>
      </c>
      <c r="I23" s="3" t="s">
        <v>409</v>
      </c>
      <c r="J23" s="3" t="s">
        <v>409</v>
      </c>
      <c r="K23" s="3" t="s">
        <v>409</v>
      </c>
      <c r="L23" s="3" t="s">
        <v>409</v>
      </c>
      <c r="M23" s="3" t="s">
        <v>410</v>
      </c>
      <c r="N23" s="3" t="s">
        <v>410</v>
      </c>
      <c r="O23" s="3" t="s">
        <v>411</v>
      </c>
      <c r="P23" s="3" t="s">
        <v>411</v>
      </c>
      <c r="Q23" s="3" t="s">
        <v>411</v>
      </c>
      <c r="R23" s="3" t="s">
        <v>411</v>
      </c>
      <c r="S23" s="3" t="s">
        <v>411</v>
      </c>
      <c r="T23" s="3" t="s">
        <v>410</v>
      </c>
      <c r="U23" s="3" t="s">
        <v>410</v>
      </c>
      <c r="V23" s="3" t="s">
        <v>409</v>
      </c>
      <c r="W23" s="3" t="s">
        <v>409</v>
      </c>
      <c r="X23" s="3" t="s">
        <v>409</v>
      </c>
      <c r="Y23" s="3" t="s">
        <v>409</v>
      </c>
      <c r="Z23" s="3" t="s">
        <v>409</v>
      </c>
      <c r="AA23" s="3" t="s">
        <v>410</v>
      </c>
      <c r="AB23" s="3" t="s">
        <v>410</v>
      </c>
      <c r="AC23" s="3" t="s">
        <v>409</v>
      </c>
      <c r="AD23" s="3" t="s">
        <v>409</v>
      </c>
      <c r="AE23" s="3" t="s">
        <v>409</v>
      </c>
      <c r="AF23" s="3" t="s">
        <v>411</v>
      </c>
      <c r="AG23" s="3"/>
      <c r="AH23" s="4">
        <f t="shared" si="0"/>
        <v>0</v>
      </c>
      <c r="AI23" s="4">
        <f t="shared" si="1"/>
        <v>16</v>
      </c>
      <c r="AJ23" s="186"/>
    </row>
    <row r="24" spans="2:36" ht="20.100000000000001" hidden="1" customHeight="1" outlineLevel="1" x14ac:dyDescent="0.4">
      <c r="B24" s="4" t="s">
        <v>406</v>
      </c>
      <c r="C24" s="3" t="s">
        <v>409</v>
      </c>
      <c r="D24" s="3" t="s">
        <v>409</v>
      </c>
      <c r="E24" s="3" t="s">
        <v>409</v>
      </c>
      <c r="F24" s="3" t="s">
        <v>410</v>
      </c>
      <c r="G24" s="3" t="s">
        <v>410</v>
      </c>
      <c r="H24" s="3" t="s">
        <v>409</v>
      </c>
      <c r="I24" s="3" t="s">
        <v>409</v>
      </c>
      <c r="J24" s="3" t="s">
        <v>409</v>
      </c>
      <c r="K24" s="3" t="s">
        <v>409</v>
      </c>
      <c r="L24" s="3" t="s">
        <v>409</v>
      </c>
      <c r="M24" s="3" t="s">
        <v>410</v>
      </c>
      <c r="N24" s="3" t="s">
        <v>410</v>
      </c>
      <c r="O24" s="3" t="s">
        <v>411</v>
      </c>
      <c r="P24" s="3" t="s">
        <v>411</v>
      </c>
      <c r="Q24" s="3" t="s">
        <v>411</v>
      </c>
      <c r="R24" s="3" t="s">
        <v>411</v>
      </c>
      <c r="S24" s="3" t="s">
        <v>411</v>
      </c>
      <c r="T24" s="3" t="s">
        <v>410</v>
      </c>
      <c r="U24" s="3" t="s">
        <v>410</v>
      </c>
      <c r="V24" s="3" t="s">
        <v>409</v>
      </c>
      <c r="W24" s="3" t="s">
        <v>409</v>
      </c>
      <c r="X24" s="3" t="s">
        <v>409</v>
      </c>
      <c r="Y24" s="3" t="s">
        <v>409</v>
      </c>
      <c r="Z24" s="3" t="s">
        <v>409</v>
      </c>
      <c r="AA24" s="3" t="s">
        <v>410</v>
      </c>
      <c r="AB24" s="3" t="s">
        <v>410</v>
      </c>
      <c r="AC24" s="3" t="s">
        <v>409</v>
      </c>
      <c r="AD24" s="3" t="s">
        <v>409</v>
      </c>
      <c r="AE24" s="3" t="s">
        <v>409</v>
      </c>
      <c r="AF24" s="3" t="s">
        <v>411</v>
      </c>
      <c r="AG24" s="3"/>
      <c r="AH24" s="4">
        <f t="shared" si="0"/>
        <v>0</v>
      </c>
      <c r="AI24" s="4">
        <f t="shared" si="1"/>
        <v>16</v>
      </c>
      <c r="AJ24" s="186"/>
    </row>
    <row r="25" spans="2:36" s="199" customFormat="1" ht="20.100000000000001" hidden="1" customHeight="1" outlineLevel="1" collapsed="1" x14ac:dyDescent="0.4">
      <c r="C25" s="277" t="s">
        <v>413</v>
      </c>
      <c r="D25" s="2"/>
      <c r="E25" s="2"/>
      <c r="F25" s="2"/>
      <c r="G25" s="2"/>
      <c r="H25" s="2"/>
      <c r="I25" s="2"/>
      <c r="J25" s="2"/>
      <c r="K25" s="2"/>
      <c r="L25" s="2"/>
      <c r="M25" s="654" t="s">
        <v>407</v>
      </c>
      <c r="N25" s="654"/>
      <c r="O25" s="654"/>
      <c r="P25" s="654"/>
      <c r="Q25" s="654"/>
      <c r="R25" s="654"/>
      <c r="S25" s="654"/>
      <c r="T25" s="654"/>
      <c r="U25" s="654"/>
      <c r="V25" s="2"/>
      <c r="W25" s="2"/>
      <c r="X25" s="2"/>
      <c r="Y25" s="2"/>
      <c r="Z25" s="2"/>
      <c r="AA25" s="2"/>
      <c r="AB25" s="2"/>
      <c r="AC25" s="2"/>
      <c r="AD25" s="2"/>
      <c r="AE25" s="2"/>
    </row>
    <row r="26" spans="2:36" s="199" customFormat="1" ht="20.100000000000001" hidden="1" customHeight="1" outlineLevel="1" collapsed="1" x14ac:dyDescent="0.4">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I26" s="199">
        <f>AI29*7.5</f>
        <v>142.5</v>
      </c>
    </row>
    <row r="27" spans="2:36" s="199" customFormat="1" ht="20.100000000000001" hidden="1" customHeight="1" outlineLevel="1" x14ac:dyDescent="0.4">
      <c r="B27" s="652">
        <f>DATE(YEAR(B16),MONTH(B16)+1,DAY(B16))</f>
        <v>46143</v>
      </c>
      <c r="C27" s="6">
        <v>1</v>
      </c>
      <c r="D27" s="6">
        <v>2</v>
      </c>
      <c r="E27" s="6">
        <v>3</v>
      </c>
      <c r="F27" s="6">
        <v>4</v>
      </c>
      <c r="G27" s="6">
        <v>5</v>
      </c>
      <c r="H27" s="6">
        <v>6</v>
      </c>
      <c r="I27" s="6">
        <v>7</v>
      </c>
      <c r="J27" s="6">
        <v>8</v>
      </c>
      <c r="K27" s="6">
        <v>9</v>
      </c>
      <c r="L27" s="6">
        <v>10</v>
      </c>
      <c r="M27" s="6">
        <v>11</v>
      </c>
      <c r="N27" s="6">
        <v>12</v>
      </c>
      <c r="O27" s="6">
        <v>13</v>
      </c>
      <c r="P27" s="6">
        <v>14</v>
      </c>
      <c r="Q27" s="6">
        <v>15</v>
      </c>
      <c r="R27" s="6">
        <v>16</v>
      </c>
      <c r="S27" s="6">
        <v>17</v>
      </c>
      <c r="T27" s="6">
        <v>18</v>
      </c>
      <c r="U27" s="6">
        <v>19</v>
      </c>
      <c r="V27" s="6">
        <v>20</v>
      </c>
      <c r="W27" s="6">
        <v>21</v>
      </c>
      <c r="X27" s="6">
        <v>22</v>
      </c>
      <c r="Y27" s="6">
        <v>23</v>
      </c>
      <c r="Z27" s="6">
        <v>24</v>
      </c>
      <c r="AA27" s="6">
        <v>25</v>
      </c>
      <c r="AB27" s="6">
        <v>26</v>
      </c>
      <c r="AC27" s="6">
        <v>27</v>
      </c>
      <c r="AD27" s="6">
        <v>28</v>
      </c>
      <c r="AE27" s="6">
        <v>29</v>
      </c>
      <c r="AF27" s="6">
        <v>30</v>
      </c>
      <c r="AG27" s="6">
        <v>31</v>
      </c>
      <c r="AH27" s="518" t="s">
        <v>105</v>
      </c>
      <c r="AI27" s="513" t="s">
        <v>106</v>
      </c>
      <c r="AJ27" s="186" t="s">
        <v>501</v>
      </c>
    </row>
    <row r="28" spans="2:36" ht="20.100000000000001" hidden="1" customHeight="1" outlineLevel="1" x14ac:dyDescent="0.4">
      <c r="B28" s="653"/>
      <c r="C28" s="6" t="s">
        <v>109</v>
      </c>
      <c r="D28" s="6" t="s">
        <v>110</v>
      </c>
      <c r="E28" s="6" t="s">
        <v>111</v>
      </c>
      <c r="F28" s="6" t="s">
        <v>69</v>
      </c>
      <c r="G28" s="6" t="s">
        <v>71</v>
      </c>
      <c r="H28" s="6" t="s">
        <v>107</v>
      </c>
      <c r="I28" s="6" t="s">
        <v>108</v>
      </c>
      <c r="J28" s="6" t="s">
        <v>109</v>
      </c>
      <c r="K28" s="6" t="s">
        <v>110</v>
      </c>
      <c r="L28" s="6" t="s">
        <v>111</v>
      </c>
      <c r="M28" s="6" t="s">
        <v>69</v>
      </c>
      <c r="N28" s="6" t="s">
        <v>71</v>
      </c>
      <c r="O28" s="6" t="s">
        <v>107</v>
      </c>
      <c r="P28" s="6" t="s">
        <v>108</v>
      </c>
      <c r="Q28" s="6" t="s">
        <v>109</v>
      </c>
      <c r="R28" s="6" t="s">
        <v>110</v>
      </c>
      <c r="S28" s="6" t="s">
        <v>111</v>
      </c>
      <c r="T28" s="6" t="s">
        <v>69</v>
      </c>
      <c r="U28" s="6" t="s">
        <v>71</v>
      </c>
      <c r="V28" s="6" t="s">
        <v>107</v>
      </c>
      <c r="W28" s="6" t="s">
        <v>108</v>
      </c>
      <c r="X28" s="6" t="s">
        <v>109</v>
      </c>
      <c r="Y28" s="6" t="s">
        <v>110</v>
      </c>
      <c r="Z28" s="6" t="s">
        <v>111</v>
      </c>
      <c r="AA28" s="6" t="s">
        <v>69</v>
      </c>
      <c r="AB28" s="6" t="s">
        <v>71</v>
      </c>
      <c r="AC28" s="6" t="s">
        <v>107</v>
      </c>
      <c r="AD28" s="6" t="s">
        <v>498</v>
      </c>
      <c r="AE28" s="6" t="s">
        <v>109</v>
      </c>
      <c r="AF28" s="6" t="s">
        <v>110</v>
      </c>
      <c r="AG28" s="6" t="s">
        <v>111</v>
      </c>
      <c r="AH28" s="520"/>
      <c r="AI28" s="515"/>
      <c r="AJ28" s="186" t="s">
        <v>571</v>
      </c>
    </row>
    <row r="29" spans="2:36" ht="20.100000000000001" hidden="1" customHeight="1" outlineLevel="1" x14ac:dyDescent="0.4">
      <c r="B29" s="4" t="s">
        <v>163</v>
      </c>
      <c r="C29" s="3" t="s">
        <v>411</v>
      </c>
      <c r="D29" s="3" t="s">
        <v>410</v>
      </c>
      <c r="E29" s="3" t="s">
        <v>410</v>
      </c>
      <c r="F29" s="3" t="s">
        <v>409</v>
      </c>
      <c r="G29" s="3" t="s">
        <v>409</v>
      </c>
      <c r="H29" s="3" t="s">
        <v>409</v>
      </c>
      <c r="I29" s="3" t="s">
        <v>409</v>
      </c>
      <c r="J29" s="3" t="s">
        <v>409</v>
      </c>
      <c r="K29" s="3" t="s">
        <v>410</v>
      </c>
      <c r="L29" s="3" t="s">
        <v>410</v>
      </c>
      <c r="M29" s="3" t="s">
        <v>409</v>
      </c>
      <c r="N29" s="3" t="s">
        <v>409</v>
      </c>
      <c r="O29" s="3" t="s">
        <v>409</v>
      </c>
      <c r="P29" s="3" t="s">
        <v>409</v>
      </c>
      <c r="Q29" s="3" t="s">
        <v>409</v>
      </c>
      <c r="R29" s="3" t="s">
        <v>410</v>
      </c>
      <c r="S29" s="3" t="s">
        <v>410</v>
      </c>
      <c r="T29" s="3" t="s">
        <v>409</v>
      </c>
      <c r="U29" s="3" t="s">
        <v>409</v>
      </c>
      <c r="V29" s="3" t="s">
        <v>409</v>
      </c>
      <c r="W29" s="3" t="s">
        <v>409</v>
      </c>
      <c r="X29" s="3" t="s">
        <v>409</v>
      </c>
      <c r="Y29" s="3" t="s">
        <v>410</v>
      </c>
      <c r="Z29" s="3" t="s">
        <v>410</v>
      </c>
      <c r="AA29" s="3" t="s">
        <v>409</v>
      </c>
      <c r="AB29" s="3" t="s">
        <v>409</v>
      </c>
      <c r="AC29" s="3" t="s">
        <v>409</v>
      </c>
      <c r="AD29" s="3" t="s">
        <v>411</v>
      </c>
      <c r="AE29" s="3" t="s">
        <v>409</v>
      </c>
      <c r="AF29" s="3" t="s">
        <v>410</v>
      </c>
      <c r="AG29" s="3" t="s">
        <v>410</v>
      </c>
      <c r="AH29" s="4">
        <f>COUNTIF(C29:AG29,"L")</f>
        <v>0</v>
      </c>
      <c r="AI29" s="4">
        <f>COUNTIF(C29:AG29,"A")</f>
        <v>19</v>
      </c>
      <c r="AJ29" s="186" t="s">
        <v>408</v>
      </c>
    </row>
    <row r="30" spans="2:36" ht="20.100000000000001" hidden="1" customHeight="1" outlineLevel="1" x14ac:dyDescent="0.4">
      <c r="B30" s="4" t="s">
        <v>402</v>
      </c>
      <c r="C30" s="3" t="s">
        <v>411</v>
      </c>
      <c r="D30" s="3" t="s">
        <v>410</v>
      </c>
      <c r="E30" s="3" t="s">
        <v>410</v>
      </c>
      <c r="F30" s="3" t="s">
        <v>412</v>
      </c>
      <c r="G30" s="3" t="s">
        <v>412</v>
      </c>
      <c r="H30" s="3" t="s">
        <v>412</v>
      </c>
      <c r="I30" s="3" t="s">
        <v>412</v>
      </c>
      <c r="J30" s="3" t="s">
        <v>412</v>
      </c>
      <c r="K30" s="3" t="s">
        <v>410</v>
      </c>
      <c r="L30" s="3" t="s">
        <v>410</v>
      </c>
      <c r="M30" s="3" t="s">
        <v>412</v>
      </c>
      <c r="N30" s="3" t="s">
        <v>412</v>
      </c>
      <c r="O30" s="3" t="s">
        <v>412</v>
      </c>
      <c r="P30" s="3" t="s">
        <v>412</v>
      </c>
      <c r="Q30" s="3" t="s">
        <v>412</v>
      </c>
      <c r="R30" s="3" t="s">
        <v>410</v>
      </c>
      <c r="S30" s="3" t="s">
        <v>410</v>
      </c>
      <c r="T30" s="3" t="s">
        <v>412</v>
      </c>
      <c r="U30" s="3" t="s">
        <v>412</v>
      </c>
      <c r="V30" s="3" t="s">
        <v>412</v>
      </c>
      <c r="W30" s="3" t="s">
        <v>412</v>
      </c>
      <c r="X30" s="3" t="s">
        <v>412</v>
      </c>
      <c r="Y30" s="3" t="s">
        <v>410</v>
      </c>
      <c r="Z30" s="3" t="s">
        <v>410</v>
      </c>
      <c r="AA30" s="3" t="s">
        <v>412</v>
      </c>
      <c r="AB30" s="3" t="s">
        <v>412</v>
      </c>
      <c r="AC30" s="3" t="s">
        <v>412</v>
      </c>
      <c r="AD30" s="3" t="s">
        <v>411</v>
      </c>
      <c r="AE30" s="3" t="s">
        <v>412</v>
      </c>
      <c r="AF30" s="3" t="s">
        <v>410</v>
      </c>
      <c r="AG30" s="3" t="s">
        <v>410</v>
      </c>
      <c r="AH30" s="4">
        <f t="shared" ref="AH30:AH34" si="2">COUNTIF(C30:AG30,"L")</f>
        <v>19</v>
      </c>
      <c r="AI30" s="4">
        <f t="shared" ref="AI30:AI34" si="3">COUNTIF(C30:AG30,"A")</f>
        <v>0</v>
      </c>
      <c r="AJ30" s="186" t="s">
        <v>502</v>
      </c>
    </row>
    <row r="31" spans="2:36" ht="20.100000000000001" hidden="1" customHeight="1" outlineLevel="1" x14ac:dyDescent="0.4">
      <c r="B31" s="4" t="s">
        <v>174</v>
      </c>
      <c r="C31" s="3" t="s">
        <v>411</v>
      </c>
      <c r="D31" s="3" t="s">
        <v>410</v>
      </c>
      <c r="E31" s="3" t="s">
        <v>410</v>
      </c>
      <c r="F31" s="3" t="s">
        <v>409</v>
      </c>
      <c r="G31" s="3" t="s">
        <v>409</v>
      </c>
      <c r="H31" s="3" t="s">
        <v>409</v>
      </c>
      <c r="I31" s="3" t="s">
        <v>409</v>
      </c>
      <c r="J31" s="3" t="s">
        <v>409</v>
      </c>
      <c r="K31" s="3" t="s">
        <v>410</v>
      </c>
      <c r="L31" s="3" t="s">
        <v>410</v>
      </c>
      <c r="M31" s="3" t="s">
        <v>409</v>
      </c>
      <c r="N31" s="3" t="s">
        <v>409</v>
      </c>
      <c r="O31" s="3" t="s">
        <v>409</v>
      </c>
      <c r="P31" s="3" t="s">
        <v>409</v>
      </c>
      <c r="Q31" s="3" t="s">
        <v>409</v>
      </c>
      <c r="R31" s="3" t="s">
        <v>410</v>
      </c>
      <c r="S31" s="3" t="s">
        <v>410</v>
      </c>
      <c r="T31" s="3" t="s">
        <v>409</v>
      </c>
      <c r="U31" s="3" t="s">
        <v>409</v>
      </c>
      <c r="V31" s="3" t="s">
        <v>409</v>
      </c>
      <c r="W31" s="3" t="s">
        <v>409</v>
      </c>
      <c r="X31" s="3" t="s">
        <v>409</v>
      </c>
      <c r="Y31" s="3" t="s">
        <v>410</v>
      </c>
      <c r="Z31" s="3" t="s">
        <v>410</v>
      </c>
      <c r="AA31" s="3" t="s">
        <v>409</v>
      </c>
      <c r="AB31" s="3" t="s">
        <v>409</v>
      </c>
      <c r="AC31" s="3" t="s">
        <v>409</v>
      </c>
      <c r="AD31" s="3" t="s">
        <v>411</v>
      </c>
      <c r="AE31" s="3" t="s">
        <v>409</v>
      </c>
      <c r="AF31" s="3" t="s">
        <v>410</v>
      </c>
      <c r="AG31" s="3" t="s">
        <v>410</v>
      </c>
      <c r="AH31" s="4">
        <f t="shared" si="2"/>
        <v>0</v>
      </c>
      <c r="AI31" s="4">
        <f t="shared" si="3"/>
        <v>19</v>
      </c>
      <c r="AJ31" s="186"/>
    </row>
    <row r="32" spans="2:36" ht="20.100000000000001" hidden="1" customHeight="1" outlineLevel="1" x14ac:dyDescent="0.4">
      <c r="B32" s="4" t="s">
        <v>404</v>
      </c>
      <c r="C32" s="3" t="s">
        <v>411</v>
      </c>
      <c r="D32" s="3" t="s">
        <v>410</v>
      </c>
      <c r="E32" s="3" t="s">
        <v>410</v>
      </c>
      <c r="F32" s="3" t="s">
        <v>409</v>
      </c>
      <c r="G32" s="3" t="s">
        <v>409</v>
      </c>
      <c r="H32" s="3" t="s">
        <v>409</v>
      </c>
      <c r="I32" s="3" t="s">
        <v>409</v>
      </c>
      <c r="J32" s="3" t="s">
        <v>409</v>
      </c>
      <c r="K32" s="3" t="s">
        <v>410</v>
      </c>
      <c r="L32" s="3" t="s">
        <v>410</v>
      </c>
      <c r="M32" s="3" t="s">
        <v>409</v>
      </c>
      <c r="N32" s="3" t="s">
        <v>409</v>
      </c>
      <c r="O32" s="3" t="s">
        <v>409</v>
      </c>
      <c r="P32" s="3" t="s">
        <v>409</v>
      </c>
      <c r="Q32" s="3" t="s">
        <v>409</v>
      </c>
      <c r="R32" s="3" t="s">
        <v>410</v>
      </c>
      <c r="S32" s="3" t="s">
        <v>410</v>
      </c>
      <c r="T32" s="3" t="s">
        <v>409</v>
      </c>
      <c r="U32" s="3" t="s">
        <v>409</v>
      </c>
      <c r="V32" s="3" t="s">
        <v>409</v>
      </c>
      <c r="W32" s="3" t="s">
        <v>409</v>
      </c>
      <c r="X32" s="3" t="s">
        <v>409</v>
      </c>
      <c r="Y32" s="3" t="s">
        <v>410</v>
      </c>
      <c r="Z32" s="3" t="s">
        <v>410</v>
      </c>
      <c r="AA32" s="3" t="s">
        <v>409</v>
      </c>
      <c r="AB32" s="3" t="s">
        <v>409</v>
      </c>
      <c r="AC32" s="3" t="s">
        <v>409</v>
      </c>
      <c r="AD32" s="3" t="s">
        <v>411</v>
      </c>
      <c r="AE32" s="3" t="s">
        <v>409</v>
      </c>
      <c r="AF32" s="3" t="s">
        <v>410</v>
      </c>
      <c r="AG32" s="3" t="s">
        <v>410</v>
      </c>
      <c r="AH32" s="4">
        <f t="shared" si="2"/>
        <v>0</v>
      </c>
      <c r="AI32" s="4">
        <f t="shared" si="3"/>
        <v>19</v>
      </c>
      <c r="AJ32" s="75"/>
    </row>
    <row r="33" spans="2:36" ht="20.100000000000001" hidden="1" customHeight="1" outlineLevel="1" x14ac:dyDescent="0.4">
      <c r="B33" s="4" t="s">
        <v>405</v>
      </c>
      <c r="C33" s="3" t="s">
        <v>411</v>
      </c>
      <c r="D33" s="3" t="s">
        <v>410</v>
      </c>
      <c r="E33" s="3" t="s">
        <v>410</v>
      </c>
      <c r="F33" s="3" t="s">
        <v>409</v>
      </c>
      <c r="G33" s="3" t="s">
        <v>409</v>
      </c>
      <c r="H33" s="3" t="s">
        <v>409</v>
      </c>
      <c r="I33" s="3" t="s">
        <v>409</v>
      </c>
      <c r="J33" s="3" t="s">
        <v>409</v>
      </c>
      <c r="K33" s="3" t="s">
        <v>410</v>
      </c>
      <c r="L33" s="3" t="s">
        <v>410</v>
      </c>
      <c r="M33" s="3" t="s">
        <v>409</v>
      </c>
      <c r="N33" s="3" t="s">
        <v>409</v>
      </c>
      <c r="O33" s="3" t="s">
        <v>409</v>
      </c>
      <c r="P33" s="3" t="s">
        <v>409</v>
      </c>
      <c r="Q33" s="3" t="s">
        <v>409</v>
      </c>
      <c r="R33" s="3" t="s">
        <v>410</v>
      </c>
      <c r="S33" s="3" t="s">
        <v>410</v>
      </c>
      <c r="T33" s="3" t="s">
        <v>409</v>
      </c>
      <c r="U33" s="3" t="s">
        <v>409</v>
      </c>
      <c r="V33" s="3" t="s">
        <v>409</v>
      </c>
      <c r="W33" s="3" t="s">
        <v>409</v>
      </c>
      <c r="X33" s="3" t="s">
        <v>409</v>
      </c>
      <c r="Y33" s="3" t="s">
        <v>410</v>
      </c>
      <c r="Z33" s="3" t="s">
        <v>410</v>
      </c>
      <c r="AA33" s="3" t="s">
        <v>409</v>
      </c>
      <c r="AB33" s="3" t="s">
        <v>409</v>
      </c>
      <c r="AC33" s="3" t="s">
        <v>409</v>
      </c>
      <c r="AD33" s="3" t="s">
        <v>411</v>
      </c>
      <c r="AE33" s="3" t="s">
        <v>409</v>
      </c>
      <c r="AF33" s="3" t="s">
        <v>410</v>
      </c>
      <c r="AG33" s="3" t="s">
        <v>410</v>
      </c>
      <c r="AH33" s="4">
        <f t="shared" si="2"/>
        <v>0</v>
      </c>
      <c r="AI33" s="4">
        <f t="shared" si="3"/>
        <v>19</v>
      </c>
      <c r="AJ33" s="186"/>
    </row>
    <row r="34" spans="2:36" ht="20.100000000000001" hidden="1" customHeight="1" outlineLevel="1" x14ac:dyDescent="0.4">
      <c r="B34" s="4" t="s">
        <v>406</v>
      </c>
      <c r="C34" s="3" t="s">
        <v>411</v>
      </c>
      <c r="D34" s="3" t="s">
        <v>410</v>
      </c>
      <c r="E34" s="3" t="s">
        <v>410</v>
      </c>
      <c r="F34" s="3" t="s">
        <v>409</v>
      </c>
      <c r="G34" s="3" t="s">
        <v>409</v>
      </c>
      <c r="H34" s="3" t="s">
        <v>409</v>
      </c>
      <c r="I34" s="3" t="s">
        <v>409</v>
      </c>
      <c r="J34" s="3" t="s">
        <v>409</v>
      </c>
      <c r="K34" s="3" t="s">
        <v>410</v>
      </c>
      <c r="L34" s="3" t="s">
        <v>410</v>
      </c>
      <c r="M34" s="3" t="s">
        <v>409</v>
      </c>
      <c r="N34" s="3" t="s">
        <v>409</v>
      </c>
      <c r="O34" s="3" t="s">
        <v>409</v>
      </c>
      <c r="P34" s="3" t="s">
        <v>409</v>
      </c>
      <c r="Q34" s="3" t="s">
        <v>409</v>
      </c>
      <c r="R34" s="3" t="s">
        <v>410</v>
      </c>
      <c r="S34" s="3" t="s">
        <v>410</v>
      </c>
      <c r="T34" s="3" t="s">
        <v>409</v>
      </c>
      <c r="U34" s="3" t="s">
        <v>409</v>
      </c>
      <c r="V34" s="3" t="s">
        <v>409</v>
      </c>
      <c r="W34" s="3" t="s">
        <v>409</v>
      </c>
      <c r="X34" s="3" t="s">
        <v>409</v>
      </c>
      <c r="Y34" s="3" t="s">
        <v>410</v>
      </c>
      <c r="Z34" s="3" t="s">
        <v>410</v>
      </c>
      <c r="AA34" s="3" t="s">
        <v>409</v>
      </c>
      <c r="AB34" s="3" t="s">
        <v>409</v>
      </c>
      <c r="AC34" s="3" t="s">
        <v>409</v>
      </c>
      <c r="AD34" s="3" t="s">
        <v>411</v>
      </c>
      <c r="AE34" s="3" t="s">
        <v>409</v>
      </c>
      <c r="AF34" s="3" t="s">
        <v>410</v>
      </c>
      <c r="AG34" s="3" t="s">
        <v>410</v>
      </c>
      <c r="AH34" s="4">
        <f t="shared" si="2"/>
        <v>0</v>
      </c>
      <c r="AI34" s="4">
        <f t="shared" si="3"/>
        <v>19</v>
      </c>
    </row>
    <row r="35" spans="2:36" s="199" customFormat="1" ht="20.100000000000001" hidden="1" customHeight="1" outlineLevel="1" x14ac:dyDescent="0.4">
      <c r="B35" s="201"/>
      <c r="C35" s="272" t="s">
        <v>413</v>
      </c>
      <c r="D35" s="225"/>
      <c r="E35" s="225"/>
      <c r="F35" s="225"/>
      <c r="G35" s="225"/>
      <c r="H35" s="225"/>
      <c r="I35" s="225"/>
      <c r="J35" s="225"/>
      <c r="K35" s="225"/>
      <c r="L35" s="225"/>
      <c r="M35" s="225"/>
      <c r="N35" s="225"/>
      <c r="O35" s="225"/>
      <c r="P35" s="225"/>
      <c r="Q35" s="225"/>
      <c r="R35" s="225"/>
      <c r="S35" s="225"/>
      <c r="T35" s="225"/>
      <c r="U35" s="225"/>
      <c r="V35" s="225"/>
      <c r="W35" s="225"/>
      <c r="X35" s="225"/>
      <c r="Y35" s="225"/>
      <c r="Z35" s="225"/>
      <c r="AA35" s="225"/>
      <c r="AB35" s="225"/>
      <c r="AC35" s="225"/>
      <c r="AD35" s="225"/>
      <c r="AE35" s="225"/>
      <c r="AF35" s="225"/>
      <c r="AG35" s="225"/>
      <c r="AH35" s="201"/>
      <c r="AI35" s="201"/>
    </row>
    <row r="36" spans="2:36" ht="20.100000000000001" hidden="1" customHeight="1" outlineLevel="1" collapsed="1" x14ac:dyDescent="0.4">
      <c r="B36" s="199"/>
      <c r="AF36" s="199"/>
      <c r="AG36" s="199"/>
      <c r="AH36" s="199"/>
      <c r="AI36" s="199">
        <f>AI39*7.5</f>
        <v>165</v>
      </c>
    </row>
    <row r="37" spans="2:36" ht="20.100000000000001" hidden="1" customHeight="1" outlineLevel="1" x14ac:dyDescent="0.4">
      <c r="B37" s="652">
        <f>DATE(YEAR(B27),MONTH(B27)+1,DAY(B27))</f>
        <v>46174</v>
      </c>
      <c r="C37" s="6">
        <v>1</v>
      </c>
      <c r="D37" s="6">
        <v>2</v>
      </c>
      <c r="E37" s="6">
        <v>3</v>
      </c>
      <c r="F37" s="6">
        <v>4</v>
      </c>
      <c r="G37" s="6">
        <v>5</v>
      </c>
      <c r="H37" s="6">
        <v>6</v>
      </c>
      <c r="I37" s="6">
        <v>7</v>
      </c>
      <c r="J37" s="6">
        <v>8</v>
      </c>
      <c r="K37" s="6">
        <v>9</v>
      </c>
      <c r="L37" s="6">
        <v>10</v>
      </c>
      <c r="M37" s="6">
        <v>11</v>
      </c>
      <c r="N37" s="6">
        <v>12</v>
      </c>
      <c r="O37" s="6">
        <v>13</v>
      </c>
      <c r="P37" s="6">
        <v>14</v>
      </c>
      <c r="Q37" s="6">
        <v>15</v>
      </c>
      <c r="R37" s="6">
        <v>16</v>
      </c>
      <c r="S37" s="6">
        <v>17</v>
      </c>
      <c r="T37" s="6">
        <v>18</v>
      </c>
      <c r="U37" s="6">
        <v>19</v>
      </c>
      <c r="V37" s="6">
        <v>20</v>
      </c>
      <c r="W37" s="6">
        <v>21</v>
      </c>
      <c r="X37" s="6">
        <v>22</v>
      </c>
      <c r="Y37" s="6">
        <v>23</v>
      </c>
      <c r="Z37" s="6">
        <v>24</v>
      </c>
      <c r="AA37" s="6">
        <v>25</v>
      </c>
      <c r="AB37" s="6">
        <v>26</v>
      </c>
      <c r="AC37" s="6">
        <v>27</v>
      </c>
      <c r="AD37" s="6">
        <v>28</v>
      </c>
      <c r="AE37" s="6">
        <v>29</v>
      </c>
      <c r="AF37" s="6">
        <v>30</v>
      </c>
      <c r="AG37" s="6"/>
      <c r="AH37" s="518" t="s">
        <v>105</v>
      </c>
      <c r="AI37" s="513" t="s">
        <v>106</v>
      </c>
      <c r="AJ37" s="186" t="s">
        <v>590</v>
      </c>
    </row>
    <row r="38" spans="2:36" ht="20.100000000000001" hidden="1" customHeight="1" outlineLevel="1" x14ac:dyDescent="0.4">
      <c r="B38" s="653"/>
      <c r="C38" s="6" t="s">
        <v>69</v>
      </c>
      <c r="D38" s="6" t="s">
        <v>71</v>
      </c>
      <c r="E38" s="6" t="s">
        <v>107</v>
      </c>
      <c r="F38" s="6" t="s">
        <v>108</v>
      </c>
      <c r="G38" s="6" t="s">
        <v>109</v>
      </c>
      <c r="H38" s="6" t="s">
        <v>110</v>
      </c>
      <c r="I38" s="6" t="s">
        <v>111</v>
      </c>
      <c r="J38" s="6" t="s">
        <v>69</v>
      </c>
      <c r="K38" s="6" t="s">
        <v>71</v>
      </c>
      <c r="L38" s="6" t="s">
        <v>107</v>
      </c>
      <c r="M38" s="6" t="s">
        <v>108</v>
      </c>
      <c r="N38" s="6" t="s">
        <v>109</v>
      </c>
      <c r="O38" s="6" t="s">
        <v>110</v>
      </c>
      <c r="P38" s="6" t="s">
        <v>111</v>
      </c>
      <c r="Q38" s="6" t="s">
        <v>69</v>
      </c>
      <c r="R38" s="6" t="s">
        <v>71</v>
      </c>
      <c r="S38" s="6" t="s">
        <v>107</v>
      </c>
      <c r="T38" s="6" t="s">
        <v>108</v>
      </c>
      <c r="U38" s="6" t="s">
        <v>109</v>
      </c>
      <c r="V38" s="6" t="s">
        <v>110</v>
      </c>
      <c r="W38" s="6" t="s">
        <v>111</v>
      </c>
      <c r="X38" s="6" t="s">
        <v>69</v>
      </c>
      <c r="Y38" s="6" t="s">
        <v>71</v>
      </c>
      <c r="Z38" s="6" t="s">
        <v>107</v>
      </c>
      <c r="AA38" s="6" t="s">
        <v>108</v>
      </c>
      <c r="AB38" s="6" t="s">
        <v>109</v>
      </c>
      <c r="AC38" s="6" t="s">
        <v>110</v>
      </c>
      <c r="AD38" s="6" t="s">
        <v>111</v>
      </c>
      <c r="AE38" s="6" t="s">
        <v>69</v>
      </c>
      <c r="AF38" s="6" t="s">
        <v>71</v>
      </c>
      <c r="AG38" s="6"/>
      <c r="AH38" s="520"/>
      <c r="AI38" s="515"/>
      <c r="AJ38" s="186" t="s">
        <v>594</v>
      </c>
    </row>
    <row r="39" spans="2:36" ht="20.100000000000001" hidden="1" customHeight="1" outlineLevel="1" x14ac:dyDescent="0.4">
      <c r="B39" s="4" t="s">
        <v>163</v>
      </c>
      <c r="C39" s="3" t="s">
        <v>409</v>
      </c>
      <c r="D39" s="3" t="s">
        <v>409</v>
      </c>
      <c r="E39" s="3" t="s">
        <v>409</v>
      </c>
      <c r="F39" s="3" t="s">
        <v>409</v>
      </c>
      <c r="G39" s="3" t="s">
        <v>409</v>
      </c>
      <c r="H39" s="3" t="s">
        <v>410</v>
      </c>
      <c r="I39" s="3" t="s">
        <v>410</v>
      </c>
      <c r="J39" s="3" t="s">
        <v>409</v>
      </c>
      <c r="K39" s="3" t="s">
        <v>409</v>
      </c>
      <c r="L39" s="3" t="s">
        <v>409</v>
      </c>
      <c r="M39" s="3" t="s">
        <v>409</v>
      </c>
      <c r="N39" s="3" t="s">
        <v>409</v>
      </c>
      <c r="O39" s="3" t="s">
        <v>410</v>
      </c>
      <c r="P39" s="3" t="s">
        <v>410</v>
      </c>
      <c r="Q39" s="3" t="s">
        <v>409</v>
      </c>
      <c r="R39" s="3" t="s">
        <v>409</v>
      </c>
      <c r="S39" s="3" t="s">
        <v>409</v>
      </c>
      <c r="T39" s="3" t="s">
        <v>409</v>
      </c>
      <c r="U39" s="3" t="s">
        <v>409</v>
      </c>
      <c r="V39" s="3" t="s">
        <v>410</v>
      </c>
      <c r="W39" s="3" t="s">
        <v>410</v>
      </c>
      <c r="X39" s="3" t="s">
        <v>409</v>
      </c>
      <c r="Y39" s="3" t="s">
        <v>409</v>
      </c>
      <c r="Z39" s="3" t="s">
        <v>409</v>
      </c>
      <c r="AA39" s="3" t="s">
        <v>409</v>
      </c>
      <c r="AB39" s="3" t="s">
        <v>409</v>
      </c>
      <c r="AC39" s="3" t="s">
        <v>410</v>
      </c>
      <c r="AD39" s="3" t="s">
        <v>410</v>
      </c>
      <c r="AE39" s="3" t="s">
        <v>409</v>
      </c>
      <c r="AF39" s="3" t="s">
        <v>409</v>
      </c>
      <c r="AG39" s="3"/>
      <c r="AH39" s="4">
        <f>COUNTIF(C39:AG39,"L")</f>
        <v>0</v>
      </c>
      <c r="AI39" s="4">
        <f>COUNTIF(C39:AG39,"A")</f>
        <v>22</v>
      </c>
      <c r="AJ39" s="186" t="s">
        <v>592</v>
      </c>
    </row>
    <row r="40" spans="2:36" ht="20.100000000000001" hidden="1" customHeight="1" outlineLevel="1" x14ac:dyDescent="0.4">
      <c r="B40" s="4" t="s">
        <v>402</v>
      </c>
      <c r="C40" s="3" t="s">
        <v>412</v>
      </c>
      <c r="D40" s="3" t="s">
        <v>412</v>
      </c>
      <c r="E40" s="3" t="s">
        <v>412</v>
      </c>
      <c r="F40" s="3" t="s">
        <v>412</v>
      </c>
      <c r="G40" s="3" t="s">
        <v>412</v>
      </c>
      <c r="H40" s="3" t="s">
        <v>410</v>
      </c>
      <c r="I40" s="3" t="s">
        <v>410</v>
      </c>
      <c r="J40" s="3" t="s">
        <v>412</v>
      </c>
      <c r="K40" s="3" t="s">
        <v>412</v>
      </c>
      <c r="L40" s="3" t="s">
        <v>412</v>
      </c>
      <c r="M40" s="3" t="s">
        <v>412</v>
      </c>
      <c r="N40" s="3" t="s">
        <v>412</v>
      </c>
      <c r="O40" s="3" t="s">
        <v>410</v>
      </c>
      <c r="P40" s="3" t="s">
        <v>410</v>
      </c>
      <c r="Q40" s="3" t="s">
        <v>412</v>
      </c>
      <c r="R40" s="3" t="s">
        <v>409</v>
      </c>
      <c r="S40" s="3" t="s">
        <v>409</v>
      </c>
      <c r="T40" s="3" t="s">
        <v>409</v>
      </c>
      <c r="U40" s="3" t="s">
        <v>409</v>
      </c>
      <c r="V40" s="3" t="s">
        <v>410</v>
      </c>
      <c r="W40" s="3" t="s">
        <v>410</v>
      </c>
      <c r="X40" s="3" t="s">
        <v>409</v>
      </c>
      <c r="Y40" s="3" t="s">
        <v>409</v>
      </c>
      <c r="Z40" s="3" t="s">
        <v>409</v>
      </c>
      <c r="AA40" s="3" t="s">
        <v>409</v>
      </c>
      <c r="AB40" s="3" t="s">
        <v>409</v>
      </c>
      <c r="AC40" s="3" t="s">
        <v>410</v>
      </c>
      <c r="AD40" s="3" t="s">
        <v>410</v>
      </c>
      <c r="AE40" s="3" t="s">
        <v>409</v>
      </c>
      <c r="AF40" s="3" t="s">
        <v>409</v>
      </c>
      <c r="AG40" s="3"/>
      <c r="AH40" s="4">
        <f t="shared" ref="AH40:AH44" si="4">COUNTIF(C40:AG40,"L")</f>
        <v>11</v>
      </c>
      <c r="AI40" s="4">
        <f t="shared" ref="AI40:AI44" si="5">COUNTIF(C40:AG40,"A")</f>
        <v>11</v>
      </c>
      <c r="AJ40" s="186" t="s">
        <v>593</v>
      </c>
    </row>
    <row r="41" spans="2:36" ht="20.100000000000001" hidden="1" customHeight="1" outlineLevel="1" x14ac:dyDescent="0.4">
      <c r="B41" s="4" t="s">
        <v>174</v>
      </c>
      <c r="C41" s="3" t="s">
        <v>409</v>
      </c>
      <c r="D41" s="3" t="s">
        <v>409</v>
      </c>
      <c r="E41" s="3" t="s">
        <v>409</v>
      </c>
      <c r="F41" s="3" t="s">
        <v>409</v>
      </c>
      <c r="G41" s="3" t="s">
        <v>409</v>
      </c>
      <c r="H41" s="3" t="s">
        <v>410</v>
      </c>
      <c r="I41" s="3" t="s">
        <v>410</v>
      </c>
      <c r="J41" s="3" t="s">
        <v>409</v>
      </c>
      <c r="K41" s="3" t="s">
        <v>409</v>
      </c>
      <c r="L41" s="3" t="s">
        <v>409</v>
      </c>
      <c r="M41" s="3" t="s">
        <v>409</v>
      </c>
      <c r="N41" s="3" t="s">
        <v>409</v>
      </c>
      <c r="O41" s="3" t="s">
        <v>410</v>
      </c>
      <c r="P41" s="3" t="s">
        <v>410</v>
      </c>
      <c r="Q41" s="3" t="s">
        <v>409</v>
      </c>
      <c r="R41" s="3" t="s">
        <v>409</v>
      </c>
      <c r="S41" s="3" t="s">
        <v>409</v>
      </c>
      <c r="T41" s="3" t="s">
        <v>409</v>
      </c>
      <c r="U41" s="3" t="s">
        <v>409</v>
      </c>
      <c r="V41" s="3" t="s">
        <v>410</v>
      </c>
      <c r="W41" s="3" t="s">
        <v>410</v>
      </c>
      <c r="X41" s="3" t="s">
        <v>409</v>
      </c>
      <c r="Y41" s="3" t="s">
        <v>409</v>
      </c>
      <c r="Z41" s="3" t="s">
        <v>409</v>
      </c>
      <c r="AA41" s="3" t="s">
        <v>409</v>
      </c>
      <c r="AB41" s="3" t="s">
        <v>409</v>
      </c>
      <c r="AC41" s="3" t="s">
        <v>410</v>
      </c>
      <c r="AD41" s="3" t="s">
        <v>410</v>
      </c>
      <c r="AE41" s="3" t="s">
        <v>409</v>
      </c>
      <c r="AF41" s="3" t="s">
        <v>409</v>
      </c>
      <c r="AG41" s="3"/>
      <c r="AH41" s="4">
        <f t="shared" si="4"/>
        <v>0</v>
      </c>
      <c r="AI41" s="4">
        <f t="shared" si="5"/>
        <v>22</v>
      </c>
    </row>
    <row r="42" spans="2:36" ht="20.100000000000001" hidden="1" customHeight="1" outlineLevel="1" x14ac:dyDescent="0.4">
      <c r="B42" s="4" t="s">
        <v>404</v>
      </c>
      <c r="C42" s="3" t="s">
        <v>409</v>
      </c>
      <c r="D42" s="3" t="s">
        <v>409</v>
      </c>
      <c r="E42" s="3" t="s">
        <v>409</v>
      </c>
      <c r="F42" s="3" t="s">
        <v>409</v>
      </c>
      <c r="G42" s="3" t="s">
        <v>409</v>
      </c>
      <c r="H42" s="3" t="s">
        <v>410</v>
      </c>
      <c r="I42" s="3" t="s">
        <v>410</v>
      </c>
      <c r="J42" s="3" t="s">
        <v>409</v>
      </c>
      <c r="K42" s="3" t="s">
        <v>409</v>
      </c>
      <c r="L42" s="3" t="s">
        <v>409</v>
      </c>
      <c r="M42" s="3" t="s">
        <v>409</v>
      </c>
      <c r="N42" s="3" t="s">
        <v>409</v>
      </c>
      <c r="O42" s="3" t="s">
        <v>410</v>
      </c>
      <c r="P42" s="3" t="s">
        <v>410</v>
      </c>
      <c r="Q42" s="3" t="s">
        <v>409</v>
      </c>
      <c r="R42" s="3" t="s">
        <v>409</v>
      </c>
      <c r="S42" s="3" t="s">
        <v>409</v>
      </c>
      <c r="T42" s="3" t="s">
        <v>409</v>
      </c>
      <c r="U42" s="3" t="s">
        <v>409</v>
      </c>
      <c r="V42" s="3" t="s">
        <v>410</v>
      </c>
      <c r="W42" s="3" t="s">
        <v>410</v>
      </c>
      <c r="X42" s="3" t="s">
        <v>409</v>
      </c>
      <c r="Y42" s="3" t="s">
        <v>409</v>
      </c>
      <c r="Z42" s="3" t="s">
        <v>409</v>
      </c>
      <c r="AA42" s="3" t="s">
        <v>409</v>
      </c>
      <c r="AB42" s="3" t="s">
        <v>409</v>
      </c>
      <c r="AC42" s="3" t="s">
        <v>410</v>
      </c>
      <c r="AD42" s="3" t="s">
        <v>410</v>
      </c>
      <c r="AE42" s="3" t="s">
        <v>409</v>
      </c>
      <c r="AF42" s="3" t="s">
        <v>409</v>
      </c>
      <c r="AG42" s="3"/>
      <c r="AH42" s="4">
        <f t="shared" si="4"/>
        <v>0</v>
      </c>
      <c r="AI42" s="4">
        <f t="shared" si="5"/>
        <v>22</v>
      </c>
      <c r="AJ42" s="186"/>
    </row>
    <row r="43" spans="2:36" ht="20.100000000000001" hidden="1" customHeight="1" outlineLevel="1" x14ac:dyDescent="0.4">
      <c r="B43" s="4" t="s">
        <v>405</v>
      </c>
      <c r="C43" s="3" t="s">
        <v>409</v>
      </c>
      <c r="D43" s="3" t="s">
        <v>409</v>
      </c>
      <c r="E43" s="3" t="s">
        <v>409</v>
      </c>
      <c r="F43" s="3" t="s">
        <v>409</v>
      </c>
      <c r="G43" s="3" t="s">
        <v>409</v>
      </c>
      <c r="H43" s="3" t="s">
        <v>410</v>
      </c>
      <c r="I43" s="3" t="s">
        <v>410</v>
      </c>
      <c r="J43" s="3" t="s">
        <v>409</v>
      </c>
      <c r="K43" s="3" t="s">
        <v>409</v>
      </c>
      <c r="L43" s="3" t="s">
        <v>409</v>
      </c>
      <c r="M43" s="3" t="s">
        <v>409</v>
      </c>
      <c r="N43" s="3" t="s">
        <v>409</v>
      </c>
      <c r="O43" s="3" t="s">
        <v>410</v>
      </c>
      <c r="P43" s="3" t="s">
        <v>410</v>
      </c>
      <c r="Q43" s="3" t="s">
        <v>409</v>
      </c>
      <c r="R43" s="3" t="s">
        <v>409</v>
      </c>
      <c r="S43" s="3" t="s">
        <v>409</v>
      </c>
      <c r="T43" s="3" t="s">
        <v>409</v>
      </c>
      <c r="U43" s="3" t="s">
        <v>409</v>
      </c>
      <c r="V43" s="3" t="s">
        <v>410</v>
      </c>
      <c r="W43" s="3" t="s">
        <v>410</v>
      </c>
      <c r="X43" s="3" t="s">
        <v>409</v>
      </c>
      <c r="Y43" s="3" t="s">
        <v>409</v>
      </c>
      <c r="Z43" s="3" t="s">
        <v>409</v>
      </c>
      <c r="AA43" s="3" t="s">
        <v>409</v>
      </c>
      <c r="AB43" s="3" t="s">
        <v>409</v>
      </c>
      <c r="AC43" s="3" t="s">
        <v>410</v>
      </c>
      <c r="AD43" s="3" t="s">
        <v>410</v>
      </c>
      <c r="AE43" s="3" t="s">
        <v>409</v>
      </c>
      <c r="AF43" s="3" t="s">
        <v>409</v>
      </c>
      <c r="AG43" s="3"/>
      <c r="AH43" s="4">
        <f t="shared" si="4"/>
        <v>0</v>
      </c>
      <c r="AI43" s="4">
        <f t="shared" si="5"/>
        <v>22</v>
      </c>
      <c r="AJ43" s="186"/>
    </row>
    <row r="44" spans="2:36" ht="20.100000000000001" hidden="1" customHeight="1" outlineLevel="1" x14ac:dyDescent="0.4">
      <c r="B44" s="4" t="s">
        <v>406</v>
      </c>
      <c r="C44" s="3" t="s">
        <v>409</v>
      </c>
      <c r="D44" s="3" t="s">
        <v>409</v>
      </c>
      <c r="E44" s="3" t="s">
        <v>409</v>
      </c>
      <c r="F44" s="3" t="s">
        <v>409</v>
      </c>
      <c r="G44" s="3" t="s">
        <v>409</v>
      </c>
      <c r="H44" s="3" t="s">
        <v>410</v>
      </c>
      <c r="I44" s="3" t="s">
        <v>410</v>
      </c>
      <c r="J44" s="3" t="s">
        <v>409</v>
      </c>
      <c r="K44" s="3" t="s">
        <v>409</v>
      </c>
      <c r="L44" s="3" t="s">
        <v>409</v>
      </c>
      <c r="M44" s="3" t="s">
        <v>409</v>
      </c>
      <c r="N44" s="3" t="s">
        <v>409</v>
      </c>
      <c r="O44" s="3" t="s">
        <v>410</v>
      </c>
      <c r="P44" s="3" t="s">
        <v>410</v>
      </c>
      <c r="Q44" s="3" t="s">
        <v>409</v>
      </c>
      <c r="R44" s="3" t="s">
        <v>409</v>
      </c>
      <c r="S44" s="3" t="s">
        <v>409</v>
      </c>
      <c r="T44" s="3" t="s">
        <v>409</v>
      </c>
      <c r="U44" s="3" t="s">
        <v>409</v>
      </c>
      <c r="V44" s="3" t="s">
        <v>410</v>
      </c>
      <c r="W44" s="3" t="s">
        <v>410</v>
      </c>
      <c r="X44" s="3" t="s">
        <v>409</v>
      </c>
      <c r="Y44" s="3" t="s">
        <v>409</v>
      </c>
      <c r="Z44" s="3" t="s">
        <v>409</v>
      </c>
      <c r="AA44" s="3" t="s">
        <v>409</v>
      </c>
      <c r="AB44" s="3" t="s">
        <v>409</v>
      </c>
      <c r="AC44" s="3" t="s">
        <v>410</v>
      </c>
      <c r="AD44" s="3" t="s">
        <v>410</v>
      </c>
      <c r="AE44" s="3" t="s">
        <v>409</v>
      </c>
      <c r="AF44" s="3" t="s">
        <v>409</v>
      </c>
      <c r="AG44" s="3"/>
      <c r="AH44" s="4">
        <f t="shared" si="4"/>
        <v>0</v>
      </c>
      <c r="AI44" s="4">
        <f t="shared" si="5"/>
        <v>22</v>
      </c>
      <c r="AJ44" s="186"/>
    </row>
    <row r="45" spans="2:36" s="199" customFormat="1" ht="20.100000000000001" customHeight="1" collapsed="1" x14ac:dyDescent="0.4">
      <c r="B45" s="201"/>
      <c r="C45" s="272"/>
      <c r="D45" s="225"/>
      <c r="E45" s="225"/>
      <c r="F45" s="225"/>
      <c r="G45" s="225"/>
      <c r="H45" s="225"/>
      <c r="I45" s="225"/>
      <c r="J45" s="225"/>
      <c r="K45" s="225"/>
      <c r="L45" s="225"/>
      <c r="M45" s="225"/>
      <c r="N45" s="225"/>
      <c r="O45" s="225"/>
      <c r="P45" s="225"/>
      <c r="Q45" s="225"/>
      <c r="R45" s="225"/>
      <c r="S45" s="225"/>
      <c r="T45" s="225"/>
      <c r="U45" s="225"/>
      <c r="V45" s="225"/>
      <c r="W45" s="225"/>
      <c r="X45" s="225"/>
      <c r="Y45" s="225"/>
      <c r="Z45" s="225"/>
      <c r="AA45" s="225"/>
      <c r="AB45" s="225"/>
      <c r="AC45" s="225"/>
      <c r="AD45" s="225"/>
      <c r="AE45" s="225"/>
      <c r="AF45" s="225"/>
      <c r="AG45" s="225"/>
      <c r="AH45" s="201"/>
      <c r="AI45" s="201"/>
      <c r="AJ45" s="186"/>
    </row>
    <row r="46" spans="2:36" ht="20.100000000000001" customHeight="1" x14ac:dyDescent="0.4">
      <c r="B46" s="199"/>
      <c r="AF46" s="199"/>
      <c r="AG46" s="199"/>
      <c r="AH46" s="199"/>
      <c r="AI46" s="199">
        <f>AI49*7.5</f>
        <v>165</v>
      </c>
    </row>
    <row r="47" spans="2:36" ht="20.100000000000001" customHeight="1" x14ac:dyDescent="0.4">
      <c r="B47" s="652">
        <f>DATE(YEAR(B37),MONTH(B37)+1,DAY(B37))</f>
        <v>46204</v>
      </c>
      <c r="C47" s="6">
        <v>1</v>
      </c>
      <c r="D47" s="6">
        <v>2</v>
      </c>
      <c r="E47" s="6">
        <v>3</v>
      </c>
      <c r="F47" s="6">
        <v>4</v>
      </c>
      <c r="G47" s="6">
        <v>5</v>
      </c>
      <c r="H47" s="6">
        <v>6</v>
      </c>
      <c r="I47" s="6">
        <v>7</v>
      </c>
      <c r="J47" s="6">
        <v>8</v>
      </c>
      <c r="K47" s="6">
        <v>9</v>
      </c>
      <c r="L47" s="6">
        <v>10</v>
      </c>
      <c r="M47" s="6">
        <v>11</v>
      </c>
      <c r="N47" s="6">
        <v>12</v>
      </c>
      <c r="O47" s="6">
        <v>13</v>
      </c>
      <c r="P47" s="6">
        <v>14</v>
      </c>
      <c r="Q47" s="6">
        <v>15</v>
      </c>
      <c r="R47" s="6">
        <v>16</v>
      </c>
      <c r="S47" s="6">
        <v>17</v>
      </c>
      <c r="T47" s="6">
        <v>18</v>
      </c>
      <c r="U47" s="6">
        <v>19</v>
      </c>
      <c r="V47" s="6">
        <v>20</v>
      </c>
      <c r="W47" s="6">
        <v>21</v>
      </c>
      <c r="X47" s="6">
        <v>22</v>
      </c>
      <c r="Y47" s="6">
        <v>23</v>
      </c>
      <c r="Z47" s="6">
        <v>24</v>
      </c>
      <c r="AA47" s="6">
        <v>25</v>
      </c>
      <c r="AB47" s="6">
        <v>26</v>
      </c>
      <c r="AC47" s="6">
        <v>27</v>
      </c>
      <c r="AD47" s="6">
        <v>28</v>
      </c>
      <c r="AE47" s="6">
        <v>29</v>
      </c>
      <c r="AF47" s="6">
        <v>30</v>
      </c>
      <c r="AG47" s="6">
        <v>31</v>
      </c>
      <c r="AH47" s="518" t="s">
        <v>105</v>
      </c>
      <c r="AI47" s="513" t="s">
        <v>106</v>
      </c>
      <c r="AJ47" s="186" t="s">
        <v>590</v>
      </c>
    </row>
    <row r="48" spans="2:36" ht="20.100000000000001" customHeight="1" x14ac:dyDescent="0.4">
      <c r="B48" s="653"/>
      <c r="C48" s="6" t="s">
        <v>107</v>
      </c>
      <c r="D48" s="6" t="s">
        <v>108</v>
      </c>
      <c r="E48" s="6" t="s">
        <v>109</v>
      </c>
      <c r="F48" s="6" t="s">
        <v>110</v>
      </c>
      <c r="G48" s="6" t="s">
        <v>111</v>
      </c>
      <c r="H48" s="6" t="s">
        <v>69</v>
      </c>
      <c r="I48" s="6" t="s">
        <v>71</v>
      </c>
      <c r="J48" s="6" t="s">
        <v>107</v>
      </c>
      <c r="K48" s="6" t="s">
        <v>108</v>
      </c>
      <c r="L48" s="6" t="s">
        <v>109</v>
      </c>
      <c r="M48" s="6" t="s">
        <v>110</v>
      </c>
      <c r="N48" s="6" t="s">
        <v>111</v>
      </c>
      <c r="O48" s="6" t="s">
        <v>69</v>
      </c>
      <c r="P48" s="6" t="s">
        <v>71</v>
      </c>
      <c r="Q48" s="6" t="s">
        <v>107</v>
      </c>
      <c r="R48" s="6" t="s">
        <v>108</v>
      </c>
      <c r="S48" s="6" t="s">
        <v>109</v>
      </c>
      <c r="T48" s="6" t="s">
        <v>110</v>
      </c>
      <c r="U48" s="6" t="s">
        <v>111</v>
      </c>
      <c r="V48" s="6" t="s">
        <v>69</v>
      </c>
      <c r="W48" s="6" t="s">
        <v>71</v>
      </c>
      <c r="X48" s="6" t="s">
        <v>107</v>
      </c>
      <c r="Y48" s="6" t="s">
        <v>108</v>
      </c>
      <c r="Z48" s="6" t="s">
        <v>109</v>
      </c>
      <c r="AA48" s="6" t="s">
        <v>110</v>
      </c>
      <c r="AB48" s="6" t="s">
        <v>111</v>
      </c>
      <c r="AC48" s="6" t="s">
        <v>69</v>
      </c>
      <c r="AD48" s="6" t="s">
        <v>71</v>
      </c>
      <c r="AE48" s="6" t="s">
        <v>497</v>
      </c>
      <c r="AF48" s="6" t="s">
        <v>108</v>
      </c>
      <c r="AG48" s="6" t="s">
        <v>109</v>
      </c>
      <c r="AH48" s="520"/>
      <c r="AI48" s="515"/>
      <c r="AJ48" s="186" t="s">
        <v>765</v>
      </c>
    </row>
    <row r="49" spans="2:36" ht="20.100000000000001" customHeight="1" x14ac:dyDescent="0.4">
      <c r="B49" s="4" t="s">
        <v>163</v>
      </c>
      <c r="C49" s="3" t="s">
        <v>104</v>
      </c>
      <c r="D49" s="3" t="s">
        <v>104</v>
      </c>
      <c r="E49" s="3" t="s">
        <v>104</v>
      </c>
      <c r="F49" s="3" t="s">
        <v>102</v>
      </c>
      <c r="G49" s="3" t="s">
        <v>102</v>
      </c>
      <c r="H49" s="3" t="s">
        <v>104</v>
      </c>
      <c r="I49" s="3" t="s">
        <v>104</v>
      </c>
      <c r="J49" s="3" t="s">
        <v>104</v>
      </c>
      <c r="K49" s="3" t="s">
        <v>104</v>
      </c>
      <c r="L49" s="3" t="s">
        <v>104</v>
      </c>
      <c r="M49" s="3" t="s">
        <v>102</v>
      </c>
      <c r="N49" s="3" t="s">
        <v>102</v>
      </c>
      <c r="O49" s="3" t="s">
        <v>104</v>
      </c>
      <c r="P49" s="3" t="s">
        <v>104</v>
      </c>
      <c r="Q49" s="3" t="s">
        <v>104</v>
      </c>
      <c r="R49" s="3" t="s">
        <v>104</v>
      </c>
      <c r="S49" s="3" t="s">
        <v>104</v>
      </c>
      <c r="T49" s="3" t="s">
        <v>102</v>
      </c>
      <c r="U49" s="3" t="s">
        <v>102</v>
      </c>
      <c r="V49" s="3" t="s">
        <v>104</v>
      </c>
      <c r="W49" s="3" t="s">
        <v>104</v>
      </c>
      <c r="X49" s="3" t="s">
        <v>104</v>
      </c>
      <c r="Y49" s="3" t="s">
        <v>104</v>
      </c>
      <c r="Z49" s="3" t="s">
        <v>104</v>
      </c>
      <c r="AA49" s="3" t="s">
        <v>102</v>
      </c>
      <c r="AB49" s="3" t="s">
        <v>102</v>
      </c>
      <c r="AC49" s="3" t="s">
        <v>104</v>
      </c>
      <c r="AD49" s="3" t="s">
        <v>104</v>
      </c>
      <c r="AE49" s="3" t="s">
        <v>103</v>
      </c>
      <c r="AF49" s="3" t="s">
        <v>104</v>
      </c>
      <c r="AG49" s="3" t="s">
        <v>104</v>
      </c>
      <c r="AH49" s="4">
        <f>COUNTIF(C49:AG49,"L")</f>
        <v>0</v>
      </c>
      <c r="AI49" s="4">
        <f>COUNTIF(C49:AG49,"A")</f>
        <v>22</v>
      </c>
      <c r="AJ49" s="186" t="s">
        <v>592</v>
      </c>
    </row>
    <row r="50" spans="2:36" ht="20.100000000000001" customHeight="1" x14ac:dyDescent="0.4">
      <c r="B50" s="4" t="s">
        <v>402</v>
      </c>
      <c r="C50" s="3" t="s">
        <v>104</v>
      </c>
      <c r="D50" s="3" t="s">
        <v>104</v>
      </c>
      <c r="E50" s="3" t="s">
        <v>104</v>
      </c>
      <c r="F50" s="3" t="s">
        <v>102</v>
      </c>
      <c r="G50" s="3" t="s">
        <v>102</v>
      </c>
      <c r="H50" s="3" t="s">
        <v>104</v>
      </c>
      <c r="I50" s="3" t="s">
        <v>104</v>
      </c>
      <c r="J50" s="3" t="s">
        <v>104</v>
      </c>
      <c r="K50" s="3" t="s">
        <v>104</v>
      </c>
      <c r="L50" s="3" t="s">
        <v>104</v>
      </c>
      <c r="M50" s="3" t="s">
        <v>102</v>
      </c>
      <c r="N50" s="3" t="s">
        <v>102</v>
      </c>
      <c r="O50" s="3" t="s">
        <v>104</v>
      </c>
      <c r="P50" s="3" t="s">
        <v>104</v>
      </c>
      <c r="Q50" s="3" t="s">
        <v>104</v>
      </c>
      <c r="R50" s="3" t="s">
        <v>104</v>
      </c>
      <c r="S50" s="3" t="s">
        <v>104</v>
      </c>
      <c r="T50" s="3" t="s">
        <v>102</v>
      </c>
      <c r="U50" s="3" t="s">
        <v>102</v>
      </c>
      <c r="V50" s="3" t="s">
        <v>104</v>
      </c>
      <c r="W50" s="3" t="s">
        <v>104</v>
      </c>
      <c r="X50" s="3" t="s">
        <v>104</v>
      </c>
      <c r="Y50" s="3" t="s">
        <v>104</v>
      </c>
      <c r="Z50" s="3" t="s">
        <v>104</v>
      </c>
      <c r="AA50" s="3" t="s">
        <v>102</v>
      </c>
      <c r="AB50" s="3" t="s">
        <v>102</v>
      </c>
      <c r="AC50" s="3" t="s">
        <v>104</v>
      </c>
      <c r="AD50" s="3" t="s">
        <v>104</v>
      </c>
      <c r="AE50" s="3" t="s">
        <v>103</v>
      </c>
      <c r="AF50" s="3" t="s">
        <v>104</v>
      </c>
      <c r="AG50" s="3" t="s">
        <v>104</v>
      </c>
      <c r="AH50" s="4">
        <f t="shared" ref="AH50:AH54" si="6">COUNTIF(C50:AG50,"L")</f>
        <v>0</v>
      </c>
      <c r="AI50" s="4">
        <f t="shared" ref="AI50:AI54" si="7">COUNTIF(C50:AG50,"A")</f>
        <v>22</v>
      </c>
      <c r="AJ50" s="186" t="s">
        <v>593</v>
      </c>
    </row>
    <row r="51" spans="2:36" ht="20.100000000000001" customHeight="1" x14ac:dyDescent="0.4">
      <c r="B51" s="4" t="s">
        <v>174</v>
      </c>
      <c r="C51" s="3" t="s">
        <v>104</v>
      </c>
      <c r="D51" s="3" t="s">
        <v>104</v>
      </c>
      <c r="E51" s="3" t="s">
        <v>104</v>
      </c>
      <c r="F51" s="3" t="s">
        <v>102</v>
      </c>
      <c r="G51" s="3" t="s">
        <v>102</v>
      </c>
      <c r="H51" s="3" t="s">
        <v>104</v>
      </c>
      <c r="I51" s="3" t="s">
        <v>104</v>
      </c>
      <c r="J51" s="3" t="s">
        <v>104</v>
      </c>
      <c r="K51" s="3" t="s">
        <v>104</v>
      </c>
      <c r="L51" s="3" t="s">
        <v>104</v>
      </c>
      <c r="M51" s="3" t="s">
        <v>102</v>
      </c>
      <c r="N51" s="3" t="s">
        <v>102</v>
      </c>
      <c r="O51" s="3" t="s">
        <v>104</v>
      </c>
      <c r="P51" s="3" t="s">
        <v>104</v>
      </c>
      <c r="Q51" s="3" t="s">
        <v>104</v>
      </c>
      <c r="R51" s="3" t="s">
        <v>104</v>
      </c>
      <c r="S51" s="3" t="s">
        <v>104</v>
      </c>
      <c r="T51" s="3" t="s">
        <v>102</v>
      </c>
      <c r="U51" s="3" t="s">
        <v>102</v>
      </c>
      <c r="V51" s="3" t="s">
        <v>104</v>
      </c>
      <c r="W51" s="3" t="s">
        <v>104</v>
      </c>
      <c r="X51" s="3" t="s">
        <v>104</v>
      </c>
      <c r="Y51" s="3" t="s">
        <v>104</v>
      </c>
      <c r="Z51" s="3" t="s">
        <v>104</v>
      </c>
      <c r="AA51" s="3" t="s">
        <v>102</v>
      </c>
      <c r="AB51" s="3" t="s">
        <v>102</v>
      </c>
      <c r="AC51" s="3" t="s">
        <v>104</v>
      </c>
      <c r="AD51" s="3" t="s">
        <v>104</v>
      </c>
      <c r="AE51" s="3" t="s">
        <v>103</v>
      </c>
      <c r="AF51" s="3" t="s">
        <v>104</v>
      </c>
      <c r="AG51" s="3" t="s">
        <v>104</v>
      </c>
      <c r="AH51" s="4">
        <f t="shared" si="6"/>
        <v>0</v>
      </c>
      <c r="AI51" s="4">
        <f t="shared" si="7"/>
        <v>22</v>
      </c>
      <c r="AJ51" s="186"/>
    </row>
    <row r="52" spans="2:36" ht="20.100000000000001" customHeight="1" x14ac:dyDescent="0.4">
      <c r="B52" s="4" t="s">
        <v>404</v>
      </c>
      <c r="C52" s="3" t="s">
        <v>104</v>
      </c>
      <c r="D52" s="3" t="s">
        <v>104</v>
      </c>
      <c r="E52" s="3" t="s">
        <v>104</v>
      </c>
      <c r="F52" s="3" t="s">
        <v>102</v>
      </c>
      <c r="G52" s="3" t="s">
        <v>102</v>
      </c>
      <c r="H52" s="3" t="s">
        <v>104</v>
      </c>
      <c r="I52" s="3" t="s">
        <v>104</v>
      </c>
      <c r="J52" s="3" t="s">
        <v>104</v>
      </c>
      <c r="K52" s="3" t="s">
        <v>104</v>
      </c>
      <c r="L52" s="3" t="s">
        <v>104</v>
      </c>
      <c r="M52" s="3" t="s">
        <v>102</v>
      </c>
      <c r="N52" s="3" t="s">
        <v>102</v>
      </c>
      <c r="O52" s="3" t="s">
        <v>104</v>
      </c>
      <c r="P52" s="3" t="s">
        <v>104</v>
      </c>
      <c r="Q52" s="3" t="s">
        <v>104</v>
      </c>
      <c r="R52" s="3" t="s">
        <v>104</v>
      </c>
      <c r="S52" s="3" t="s">
        <v>104</v>
      </c>
      <c r="T52" s="3" t="s">
        <v>102</v>
      </c>
      <c r="U52" s="3" t="s">
        <v>102</v>
      </c>
      <c r="V52" s="3" t="s">
        <v>104</v>
      </c>
      <c r="W52" s="3" t="s">
        <v>104</v>
      </c>
      <c r="X52" s="3" t="s">
        <v>104</v>
      </c>
      <c r="Y52" s="3" t="s">
        <v>104</v>
      </c>
      <c r="Z52" s="3" t="s">
        <v>104</v>
      </c>
      <c r="AA52" s="3" t="s">
        <v>102</v>
      </c>
      <c r="AB52" s="3" t="s">
        <v>102</v>
      </c>
      <c r="AC52" s="3" t="s">
        <v>104</v>
      </c>
      <c r="AD52" s="3" t="s">
        <v>104</v>
      </c>
      <c r="AE52" s="3" t="s">
        <v>103</v>
      </c>
      <c r="AF52" s="3" t="s">
        <v>104</v>
      </c>
      <c r="AG52" s="3" t="s">
        <v>104</v>
      </c>
      <c r="AH52" s="4">
        <f t="shared" si="6"/>
        <v>0</v>
      </c>
      <c r="AI52" s="4">
        <f t="shared" si="7"/>
        <v>22</v>
      </c>
      <c r="AJ52" s="186"/>
    </row>
    <row r="53" spans="2:36" ht="20.100000000000001" customHeight="1" x14ac:dyDescent="0.4">
      <c r="B53" s="4" t="s">
        <v>405</v>
      </c>
      <c r="C53" s="3" t="s">
        <v>104</v>
      </c>
      <c r="D53" s="3" t="s">
        <v>104</v>
      </c>
      <c r="E53" s="3" t="s">
        <v>104</v>
      </c>
      <c r="F53" s="3" t="s">
        <v>102</v>
      </c>
      <c r="G53" s="3" t="s">
        <v>102</v>
      </c>
      <c r="H53" s="3" t="s">
        <v>104</v>
      </c>
      <c r="I53" s="3" t="s">
        <v>104</v>
      </c>
      <c r="J53" s="3" t="s">
        <v>104</v>
      </c>
      <c r="K53" s="3" t="s">
        <v>104</v>
      </c>
      <c r="L53" s="3" t="s">
        <v>104</v>
      </c>
      <c r="M53" s="3" t="s">
        <v>102</v>
      </c>
      <c r="N53" s="3" t="s">
        <v>102</v>
      </c>
      <c r="O53" s="3" t="s">
        <v>104</v>
      </c>
      <c r="P53" s="3" t="s">
        <v>104</v>
      </c>
      <c r="Q53" s="3" t="s">
        <v>104</v>
      </c>
      <c r="R53" s="3" t="s">
        <v>104</v>
      </c>
      <c r="S53" s="3" t="s">
        <v>104</v>
      </c>
      <c r="T53" s="3" t="s">
        <v>102</v>
      </c>
      <c r="U53" s="3" t="s">
        <v>102</v>
      </c>
      <c r="V53" s="3" t="s">
        <v>104</v>
      </c>
      <c r="W53" s="3" t="s">
        <v>104</v>
      </c>
      <c r="X53" s="3" t="s">
        <v>104</v>
      </c>
      <c r="Y53" s="3" t="s">
        <v>104</v>
      </c>
      <c r="Z53" s="3" t="s">
        <v>104</v>
      </c>
      <c r="AA53" s="3" t="s">
        <v>102</v>
      </c>
      <c r="AB53" s="3" t="s">
        <v>102</v>
      </c>
      <c r="AC53" s="3" t="s">
        <v>104</v>
      </c>
      <c r="AD53" s="3" t="s">
        <v>104</v>
      </c>
      <c r="AE53" s="3" t="s">
        <v>103</v>
      </c>
      <c r="AF53" s="3" t="s">
        <v>104</v>
      </c>
      <c r="AG53" s="3" t="s">
        <v>104</v>
      </c>
      <c r="AH53" s="4">
        <f t="shared" si="6"/>
        <v>0</v>
      </c>
      <c r="AI53" s="4">
        <f t="shared" si="7"/>
        <v>22</v>
      </c>
    </row>
    <row r="54" spans="2:36" ht="20.100000000000001" customHeight="1" x14ac:dyDescent="0.4">
      <c r="B54" s="4" t="s">
        <v>406</v>
      </c>
      <c r="C54" s="3" t="s">
        <v>104</v>
      </c>
      <c r="D54" s="3" t="s">
        <v>104</v>
      </c>
      <c r="E54" s="3" t="s">
        <v>104</v>
      </c>
      <c r="F54" s="3" t="s">
        <v>102</v>
      </c>
      <c r="G54" s="3" t="s">
        <v>102</v>
      </c>
      <c r="H54" s="3" t="s">
        <v>104</v>
      </c>
      <c r="I54" s="3" t="s">
        <v>104</v>
      </c>
      <c r="J54" s="3" t="s">
        <v>104</v>
      </c>
      <c r="K54" s="3" t="s">
        <v>104</v>
      </c>
      <c r="L54" s="3" t="s">
        <v>104</v>
      </c>
      <c r="M54" s="3" t="s">
        <v>102</v>
      </c>
      <c r="N54" s="3" t="s">
        <v>102</v>
      </c>
      <c r="O54" s="3" t="s">
        <v>104</v>
      </c>
      <c r="P54" s="3" t="s">
        <v>104</v>
      </c>
      <c r="Q54" s="3" t="s">
        <v>104</v>
      </c>
      <c r="R54" s="3" t="s">
        <v>104</v>
      </c>
      <c r="S54" s="3" t="s">
        <v>104</v>
      </c>
      <c r="T54" s="3" t="s">
        <v>102</v>
      </c>
      <c r="U54" s="3" t="s">
        <v>102</v>
      </c>
      <c r="V54" s="3" t="s">
        <v>104</v>
      </c>
      <c r="W54" s="3" t="s">
        <v>104</v>
      </c>
      <c r="X54" s="3" t="s">
        <v>104</v>
      </c>
      <c r="Y54" s="3" t="s">
        <v>104</v>
      </c>
      <c r="Z54" s="3" t="s">
        <v>104</v>
      </c>
      <c r="AA54" s="3" t="s">
        <v>102</v>
      </c>
      <c r="AB54" s="3" t="s">
        <v>102</v>
      </c>
      <c r="AC54" s="3" t="s">
        <v>104</v>
      </c>
      <c r="AD54" s="3" t="s">
        <v>104</v>
      </c>
      <c r="AE54" s="3" t="s">
        <v>103</v>
      </c>
      <c r="AF54" s="3" t="s">
        <v>104</v>
      </c>
      <c r="AG54" s="3" t="s">
        <v>104</v>
      </c>
      <c r="AH54" s="4">
        <f t="shared" si="6"/>
        <v>0</v>
      </c>
      <c r="AI54" s="4">
        <f t="shared" si="7"/>
        <v>22</v>
      </c>
    </row>
    <row r="55" spans="2:36" ht="20.100000000000001" customHeight="1" x14ac:dyDescent="0.4">
      <c r="AI55" s="199">
        <f>AI58*7.5</f>
        <v>157.5</v>
      </c>
    </row>
    <row r="56" spans="2:36" ht="20.100000000000001" customHeight="1" x14ac:dyDescent="0.4">
      <c r="B56" s="652">
        <f>DATE(YEAR(B47),MONTH(B47)+1,DAY(B47))</f>
        <v>46235</v>
      </c>
      <c r="C56" s="6">
        <v>1</v>
      </c>
      <c r="D56" s="6">
        <v>2</v>
      </c>
      <c r="E56" s="6">
        <v>3</v>
      </c>
      <c r="F56" s="6">
        <v>4</v>
      </c>
      <c r="G56" s="6">
        <v>5</v>
      </c>
      <c r="H56" s="6">
        <v>6</v>
      </c>
      <c r="I56" s="6">
        <v>7</v>
      </c>
      <c r="J56" s="6">
        <v>8</v>
      </c>
      <c r="K56" s="6">
        <v>9</v>
      </c>
      <c r="L56" s="6">
        <v>10</v>
      </c>
      <c r="M56" s="6">
        <v>11</v>
      </c>
      <c r="N56" s="6">
        <v>12</v>
      </c>
      <c r="O56" s="6">
        <v>13</v>
      </c>
      <c r="P56" s="6">
        <v>14</v>
      </c>
      <c r="Q56" s="6">
        <v>15</v>
      </c>
      <c r="R56" s="6">
        <v>16</v>
      </c>
      <c r="S56" s="6">
        <v>17</v>
      </c>
      <c r="T56" s="6">
        <v>18</v>
      </c>
      <c r="U56" s="6">
        <v>19</v>
      </c>
      <c r="V56" s="6">
        <v>20</v>
      </c>
      <c r="W56" s="6">
        <v>21</v>
      </c>
      <c r="X56" s="6">
        <v>22</v>
      </c>
      <c r="Y56" s="6">
        <v>23</v>
      </c>
      <c r="Z56" s="6">
        <v>24</v>
      </c>
      <c r="AA56" s="6">
        <v>25</v>
      </c>
      <c r="AB56" s="6">
        <v>26</v>
      </c>
      <c r="AC56" s="6">
        <v>27</v>
      </c>
      <c r="AD56" s="6">
        <v>28</v>
      </c>
      <c r="AE56" s="6">
        <v>29</v>
      </c>
      <c r="AF56" s="6">
        <v>30</v>
      </c>
      <c r="AG56" s="6">
        <v>31</v>
      </c>
      <c r="AH56" s="518" t="s">
        <v>105</v>
      </c>
      <c r="AI56" s="513" t="s">
        <v>106</v>
      </c>
    </row>
    <row r="57" spans="2:36" ht="20.100000000000001" customHeight="1" x14ac:dyDescent="0.4">
      <c r="B57" s="653"/>
      <c r="C57" s="6" t="s">
        <v>110</v>
      </c>
      <c r="D57" s="6" t="s">
        <v>111</v>
      </c>
      <c r="E57" s="6" t="s">
        <v>69</v>
      </c>
      <c r="F57" s="6" t="s">
        <v>71</v>
      </c>
      <c r="G57" s="6" t="s">
        <v>107</v>
      </c>
      <c r="H57" s="6" t="s">
        <v>108</v>
      </c>
      <c r="I57" s="6" t="s">
        <v>109</v>
      </c>
      <c r="J57" s="6" t="s">
        <v>110</v>
      </c>
      <c r="K57" s="6" t="s">
        <v>111</v>
      </c>
      <c r="L57" s="6" t="s">
        <v>69</v>
      </c>
      <c r="M57" s="6" t="s">
        <v>71</v>
      </c>
      <c r="N57" s="6" t="s">
        <v>107</v>
      </c>
      <c r="O57" s="6" t="s">
        <v>108</v>
      </c>
      <c r="P57" s="6" t="s">
        <v>109</v>
      </c>
      <c r="Q57" s="6" t="s">
        <v>110</v>
      </c>
      <c r="R57" s="6" t="s">
        <v>111</v>
      </c>
      <c r="S57" s="6" t="s">
        <v>69</v>
      </c>
      <c r="T57" s="6" t="s">
        <v>71</v>
      </c>
      <c r="U57" s="6" t="s">
        <v>107</v>
      </c>
      <c r="V57" s="6" t="s">
        <v>108</v>
      </c>
      <c r="W57" s="6" t="s">
        <v>109</v>
      </c>
      <c r="X57" s="6" t="s">
        <v>110</v>
      </c>
      <c r="Y57" s="6" t="s">
        <v>111</v>
      </c>
      <c r="Z57" s="6" t="s">
        <v>69</v>
      </c>
      <c r="AA57" s="6" t="s">
        <v>71</v>
      </c>
      <c r="AB57" s="6" t="s">
        <v>107</v>
      </c>
      <c r="AC57" s="6" t="s">
        <v>108</v>
      </c>
      <c r="AD57" s="6" t="s">
        <v>109</v>
      </c>
      <c r="AE57" s="6" t="s">
        <v>110</v>
      </c>
      <c r="AF57" s="6" t="s">
        <v>111</v>
      </c>
      <c r="AG57" s="6" t="s">
        <v>69</v>
      </c>
      <c r="AH57" s="520"/>
      <c r="AI57" s="515"/>
    </row>
    <row r="58" spans="2:36" ht="20.100000000000001" customHeight="1" x14ac:dyDescent="0.4">
      <c r="B58" s="4" t="s">
        <v>163</v>
      </c>
      <c r="C58" s="3" t="s">
        <v>102</v>
      </c>
      <c r="D58" s="3" t="s">
        <v>102</v>
      </c>
      <c r="E58" s="3" t="s">
        <v>104</v>
      </c>
      <c r="F58" s="3" t="s">
        <v>104</v>
      </c>
      <c r="G58" s="3" t="s">
        <v>104</v>
      </c>
      <c r="H58" s="3" t="s">
        <v>104</v>
      </c>
      <c r="I58" s="3" t="s">
        <v>104</v>
      </c>
      <c r="J58" s="3" t="s">
        <v>102</v>
      </c>
      <c r="K58" s="3" t="s">
        <v>102</v>
      </c>
      <c r="L58" s="3" t="s">
        <v>104</v>
      </c>
      <c r="M58" s="3" t="s">
        <v>104</v>
      </c>
      <c r="N58" s="3" t="s">
        <v>104</v>
      </c>
      <c r="O58" s="3" t="s">
        <v>104</v>
      </c>
      <c r="P58" s="3" t="s">
        <v>104</v>
      </c>
      <c r="Q58" s="3" t="s">
        <v>102</v>
      </c>
      <c r="R58" s="3" t="s">
        <v>102</v>
      </c>
      <c r="S58" s="3" t="s">
        <v>104</v>
      </c>
      <c r="T58" s="3" t="s">
        <v>104</v>
      </c>
      <c r="U58" s="3" t="s">
        <v>104</v>
      </c>
      <c r="V58" s="3" t="s">
        <v>104</v>
      </c>
      <c r="W58" s="3" t="s">
        <v>104</v>
      </c>
      <c r="X58" s="3" t="s">
        <v>102</v>
      </c>
      <c r="Y58" s="3" t="s">
        <v>102</v>
      </c>
      <c r="Z58" s="3" t="s">
        <v>104</v>
      </c>
      <c r="AA58" s="3" t="s">
        <v>104</v>
      </c>
      <c r="AB58" s="3" t="s">
        <v>104</v>
      </c>
      <c r="AC58" s="3" t="s">
        <v>104</v>
      </c>
      <c r="AD58" s="3" t="s">
        <v>104</v>
      </c>
      <c r="AE58" s="3" t="s">
        <v>102</v>
      </c>
      <c r="AF58" s="3" t="s">
        <v>102</v>
      </c>
      <c r="AG58" s="3" t="s">
        <v>104</v>
      </c>
      <c r="AH58" s="4">
        <f>COUNTIF(C58:AG58,"L")</f>
        <v>0</v>
      </c>
      <c r="AI58" s="4">
        <f>COUNTIF(C58:AG58,"A")</f>
        <v>21</v>
      </c>
    </row>
    <row r="59" spans="2:36" ht="20.100000000000001" customHeight="1" x14ac:dyDescent="0.4">
      <c r="B59" s="4" t="s">
        <v>402</v>
      </c>
      <c r="C59" s="3" t="s">
        <v>102</v>
      </c>
      <c r="D59" s="3" t="s">
        <v>102</v>
      </c>
      <c r="E59" s="3" t="s">
        <v>104</v>
      </c>
      <c r="F59" s="3" t="s">
        <v>104</v>
      </c>
      <c r="G59" s="3" t="s">
        <v>104</v>
      </c>
      <c r="H59" s="3" t="s">
        <v>104</v>
      </c>
      <c r="I59" s="3" t="s">
        <v>104</v>
      </c>
      <c r="J59" s="3" t="s">
        <v>102</v>
      </c>
      <c r="K59" s="3" t="s">
        <v>102</v>
      </c>
      <c r="L59" s="3" t="s">
        <v>104</v>
      </c>
      <c r="M59" s="3" t="s">
        <v>104</v>
      </c>
      <c r="N59" s="3" t="s">
        <v>104</v>
      </c>
      <c r="O59" s="3" t="s">
        <v>104</v>
      </c>
      <c r="P59" s="3" t="s">
        <v>104</v>
      </c>
      <c r="Q59" s="3" t="s">
        <v>102</v>
      </c>
      <c r="R59" s="3" t="s">
        <v>102</v>
      </c>
      <c r="S59" s="3" t="s">
        <v>104</v>
      </c>
      <c r="T59" s="3" t="s">
        <v>104</v>
      </c>
      <c r="U59" s="3" t="s">
        <v>104</v>
      </c>
      <c r="V59" s="3" t="s">
        <v>104</v>
      </c>
      <c r="W59" s="3" t="s">
        <v>104</v>
      </c>
      <c r="X59" s="3" t="s">
        <v>102</v>
      </c>
      <c r="Y59" s="3" t="s">
        <v>102</v>
      </c>
      <c r="Z59" s="3" t="s">
        <v>104</v>
      </c>
      <c r="AA59" s="3" t="s">
        <v>104</v>
      </c>
      <c r="AB59" s="3" t="s">
        <v>104</v>
      </c>
      <c r="AC59" s="3" t="s">
        <v>104</v>
      </c>
      <c r="AD59" s="3" t="s">
        <v>104</v>
      </c>
      <c r="AE59" s="3" t="s">
        <v>102</v>
      </c>
      <c r="AF59" s="3" t="s">
        <v>102</v>
      </c>
      <c r="AG59" s="3" t="s">
        <v>104</v>
      </c>
      <c r="AH59" s="4">
        <f t="shared" ref="AH59:AH63" si="8">COUNTIF(C59:AG59,"L")</f>
        <v>0</v>
      </c>
      <c r="AI59" s="4">
        <f t="shared" ref="AI59:AI63" si="9">COUNTIF(C59:AG59,"A")</f>
        <v>21</v>
      </c>
    </row>
    <row r="60" spans="2:36" ht="20.100000000000001" customHeight="1" x14ac:dyDescent="0.4">
      <c r="B60" s="4" t="s">
        <v>174</v>
      </c>
      <c r="C60" s="3" t="s">
        <v>102</v>
      </c>
      <c r="D60" s="3" t="s">
        <v>102</v>
      </c>
      <c r="E60" s="3" t="s">
        <v>104</v>
      </c>
      <c r="F60" s="3" t="s">
        <v>104</v>
      </c>
      <c r="G60" s="3" t="s">
        <v>104</v>
      </c>
      <c r="H60" s="3" t="s">
        <v>104</v>
      </c>
      <c r="I60" s="3" t="s">
        <v>104</v>
      </c>
      <c r="J60" s="3" t="s">
        <v>102</v>
      </c>
      <c r="K60" s="3" t="s">
        <v>102</v>
      </c>
      <c r="L60" s="3" t="s">
        <v>104</v>
      </c>
      <c r="M60" s="3" t="s">
        <v>104</v>
      </c>
      <c r="N60" s="3" t="s">
        <v>104</v>
      </c>
      <c r="O60" s="3" t="s">
        <v>104</v>
      </c>
      <c r="P60" s="3" t="s">
        <v>104</v>
      </c>
      <c r="Q60" s="3" t="s">
        <v>102</v>
      </c>
      <c r="R60" s="3" t="s">
        <v>102</v>
      </c>
      <c r="S60" s="3" t="s">
        <v>104</v>
      </c>
      <c r="T60" s="3" t="s">
        <v>104</v>
      </c>
      <c r="U60" s="3" t="s">
        <v>104</v>
      </c>
      <c r="V60" s="3" t="s">
        <v>104</v>
      </c>
      <c r="W60" s="3" t="s">
        <v>104</v>
      </c>
      <c r="X60" s="3" t="s">
        <v>102</v>
      </c>
      <c r="Y60" s="3" t="s">
        <v>102</v>
      </c>
      <c r="Z60" s="3" t="s">
        <v>104</v>
      </c>
      <c r="AA60" s="3" t="s">
        <v>104</v>
      </c>
      <c r="AB60" s="3" t="s">
        <v>104</v>
      </c>
      <c r="AC60" s="3" t="s">
        <v>104</v>
      </c>
      <c r="AD60" s="3" t="s">
        <v>104</v>
      </c>
      <c r="AE60" s="3" t="s">
        <v>102</v>
      </c>
      <c r="AF60" s="3" t="s">
        <v>102</v>
      </c>
      <c r="AG60" s="3" t="s">
        <v>104</v>
      </c>
      <c r="AH60" s="4">
        <f t="shared" ref="AH60:AH62" si="10">COUNTIF(C60:AG60,"L")</f>
        <v>0</v>
      </c>
      <c r="AI60" s="4">
        <f t="shared" ref="AI60:AI62" si="11">COUNTIF(C60:AG60,"A")</f>
        <v>21</v>
      </c>
    </row>
    <row r="61" spans="2:36" ht="20.100000000000001" customHeight="1" x14ac:dyDescent="0.4">
      <c r="B61" s="4" t="s">
        <v>404</v>
      </c>
      <c r="C61" s="3" t="s">
        <v>102</v>
      </c>
      <c r="D61" s="3" t="s">
        <v>102</v>
      </c>
      <c r="E61" s="3" t="s">
        <v>104</v>
      </c>
      <c r="F61" s="3" t="s">
        <v>104</v>
      </c>
      <c r="G61" s="3" t="s">
        <v>104</v>
      </c>
      <c r="H61" s="3" t="s">
        <v>104</v>
      </c>
      <c r="I61" s="3" t="s">
        <v>104</v>
      </c>
      <c r="J61" s="3" t="s">
        <v>102</v>
      </c>
      <c r="K61" s="3" t="s">
        <v>102</v>
      </c>
      <c r="L61" s="3" t="s">
        <v>104</v>
      </c>
      <c r="M61" s="3" t="s">
        <v>104</v>
      </c>
      <c r="N61" s="3" t="s">
        <v>104</v>
      </c>
      <c r="O61" s="3" t="s">
        <v>104</v>
      </c>
      <c r="P61" s="3" t="s">
        <v>104</v>
      </c>
      <c r="Q61" s="3" t="s">
        <v>102</v>
      </c>
      <c r="R61" s="3" t="s">
        <v>102</v>
      </c>
      <c r="S61" s="3" t="s">
        <v>104</v>
      </c>
      <c r="T61" s="3" t="s">
        <v>104</v>
      </c>
      <c r="U61" s="3" t="s">
        <v>104</v>
      </c>
      <c r="V61" s="3" t="s">
        <v>104</v>
      </c>
      <c r="W61" s="3" t="s">
        <v>104</v>
      </c>
      <c r="X61" s="3" t="s">
        <v>102</v>
      </c>
      <c r="Y61" s="3" t="s">
        <v>102</v>
      </c>
      <c r="Z61" s="3" t="s">
        <v>104</v>
      </c>
      <c r="AA61" s="3" t="s">
        <v>104</v>
      </c>
      <c r="AB61" s="3" t="s">
        <v>104</v>
      </c>
      <c r="AC61" s="3" t="s">
        <v>104</v>
      </c>
      <c r="AD61" s="3" t="s">
        <v>104</v>
      </c>
      <c r="AE61" s="3" t="s">
        <v>102</v>
      </c>
      <c r="AF61" s="3" t="s">
        <v>102</v>
      </c>
      <c r="AG61" s="3" t="s">
        <v>104</v>
      </c>
      <c r="AH61" s="4">
        <f t="shared" si="10"/>
        <v>0</v>
      </c>
      <c r="AI61" s="4">
        <f t="shared" si="11"/>
        <v>21</v>
      </c>
    </row>
    <row r="62" spans="2:36" ht="20.100000000000001" customHeight="1" x14ac:dyDescent="0.4">
      <c r="B62" s="4" t="s">
        <v>405</v>
      </c>
      <c r="C62" s="3" t="s">
        <v>102</v>
      </c>
      <c r="D62" s="3" t="s">
        <v>102</v>
      </c>
      <c r="E62" s="3" t="s">
        <v>104</v>
      </c>
      <c r="F62" s="3" t="s">
        <v>104</v>
      </c>
      <c r="G62" s="3" t="s">
        <v>104</v>
      </c>
      <c r="H62" s="3" t="s">
        <v>104</v>
      </c>
      <c r="I62" s="3" t="s">
        <v>104</v>
      </c>
      <c r="J62" s="3" t="s">
        <v>102</v>
      </c>
      <c r="K62" s="3" t="s">
        <v>102</v>
      </c>
      <c r="L62" s="3" t="s">
        <v>104</v>
      </c>
      <c r="M62" s="3" t="s">
        <v>104</v>
      </c>
      <c r="N62" s="3" t="s">
        <v>104</v>
      </c>
      <c r="O62" s="3" t="s">
        <v>104</v>
      </c>
      <c r="P62" s="3" t="s">
        <v>104</v>
      </c>
      <c r="Q62" s="3" t="s">
        <v>102</v>
      </c>
      <c r="R62" s="3" t="s">
        <v>102</v>
      </c>
      <c r="S62" s="3" t="s">
        <v>104</v>
      </c>
      <c r="T62" s="3" t="s">
        <v>104</v>
      </c>
      <c r="U62" s="3" t="s">
        <v>104</v>
      </c>
      <c r="V62" s="3" t="s">
        <v>104</v>
      </c>
      <c r="W62" s="3" t="s">
        <v>104</v>
      </c>
      <c r="X62" s="3" t="s">
        <v>102</v>
      </c>
      <c r="Y62" s="3" t="s">
        <v>102</v>
      </c>
      <c r="Z62" s="3" t="s">
        <v>104</v>
      </c>
      <c r="AA62" s="3" t="s">
        <v>104</v>
      </c>
      <c r="AB62" s="3" t="s">
        <v>104</v>
      </c>
      <c r="AC62" s="3" t="s">
        <v>104</v>
      </c>
      <c r="AD62" s="3" t="s">
        <v>104</v>
      </c>
      <c r="AE62" s="3" t="s">
        <v>102</v>
      </c>
      <c r="AF62" s="3" t="s">
        <v>102</v>
      </c>
      <c r="AG62" s="3" t="s">
        <v>104</v>
      </c>
      <c r="AH62" s="4">
        <f t="shared" si="10"/>
        <v>0</v>
      </c>
      <c r="AI62" s="4">
        <f t="shared" si="11"/>
        <v>21</v>
      </c>
    </row>
    <row r="63" spans="2:36" ht="20.100000000000001" customHeight="1" x14ac:dyDescent="0.4">
      <c r="B63" s="4" t="s">
        <v>406</v>
      </c>
      <c r="C63" s="3" t="s">
        <v>102</v>
      </c>
      <c r="D63" s="3" t="s">
        <v>102</v>
      </c>
      <c r="E63" s="3" t="s">
        <v>104</v>
      </c>
      <c r="F63" s="3" t="s">
        <v>104</v>
      </c>
      <c r="G63" s="3" t="s">
        <v>104</v>
      </c>
      <c r="H63" s="3" t="s">
        <v>104</v>
      </c>
      <c r="I63" s="3" t="s">
        <v>104</v>
      </c>
      <c r="J63" s="3" t="s">
        <v>102</v>
      </c>
      <c r="K63" s="3" t="s">
        <v>102</v>
      </c>
      <c r="L63" s="3" t="s">
        <v>104</v>
      </c>
      <c r="M63" s="3" t="s">
        <v>104</v>
      </c>
      <c r="N63" s="3" t="s">
        <v>104</v>
      </c>
      <c r="O63" s="3" t="s">
        <v>104</v>
      </c>
      <c r="P63" s="3" t="s">
        <v>104</v>
      </c>
      <c r="Q63" s="3" t="s">
        <v>102</v>
      </c>
      <c r="R63" s="3" t="s">
        <v>102</v>
      </c>
      <c r="S63" s="3" t="s">
        <v>104</v>
      </c>
      <c r="T63" s="3" t="s">
        <v>104</v>
      </c>
      <c r="U63" s="3" t="s">
        <v>104</v>
      </c>
      <c r="V63" s="3" t="s">
        <v>104</v>
      </c>
      <c r="W63" s="3" t="s">
        <v>104</v>
      </c>
      <c r="X63" s="3" t="s">
        <v>102</v>
      </c>
      <c r="Y63" s="3" t="s">
        <v>102</v>
      </c>
      <c r="Z63" s="3" t="s">
        <v>104</v>
      </c>
      <c r="AA63" s="3" t="s">
        <v>104</v>
      </c>
      <c r="AB63" s="3" t="s">
        <v>104</v>
      </c>
      <c r="AC63" s="3" t="s">
        <v>104</v>
      </c>
      <c r="AD63" s="3" t="s">
        <v>104</v>
      </c>
      <c r="AE63" s="3" t="s">
        <v>102</v>
      </c>
      <c r="AF63" s="3" t="s">
        <v>102</v>
      </c>
      <c r="AG63" s="3" t="s">
        <v>104</v>
      </c>
      <c r="AH63" s="4">
        <f t="shared" si="8"/>
        <v>0</v>
      </c>
      <c r="AI63" s="4">
        <f t="shared" si="9"/>
        <v>21</v>
      </c>
    </row>
    <row r="64" spans="2:36" ht="20.100000000000001" hidden="1" customHeight="1" outlineLevel="1" x14ac:dyDescent="0.4">
      <c r="AI64" s="199">
        <f>AI67*7.5</f>
        <v>165</v>
      </c>
    </row>
    <row r="65" spans="2:36" ht="20.100000000000001" hidden="1" customHeight="1" outlineLevel="1" x14ac:dyDescent="0.4">
      <c r="B65" s="652">
        <f>DATE(YEAR(B56),MONTH(B56)+1,DAY(B56))</f>
        <v>46266</v>
      </c>
      <c r="C65" s="6">
        <v>1</v>
      </c>
      <c r="D65" s="6">
        <v>2</v>
      </c>
      <c r="E65" s="6">
        <v>3</v>
      </c>
      <c r="F65" s="6">
        <v>4</v>
      </c>
      <c r="G65" s="6">
        <v>5</v>
      </c>
      <c r="H65" s="6">
        <v>6</v>
      </c>
      <c r="I65" s="6">
        <v>7</v>
      </c>
      <c r="J65" s="6">
        <v>8</v>
      </c>
      <c r="K65" s="6">
        <v>9</v>
      </c>
      <c r="L65" s="6">
        <v>10</v>
      </c>
      <c r="M65" s="6">
        <v>11</v>
      </c>
      <c r="N65" s="6">
        <v>12</v>
      </c>
      <c r="O65" s="6">
        <v>13</v>
      </c>
      <c r="P65" s="6">
        <v>14</v>
      </c>
      <c r="Q65" s="6">
        <v>15</v>
      </c>
      <c r="R65" s="6">
        <v>16</v>
      </c>
      <c r="S65" s="6">
        <v>17</v>
      </c>
      <c r="T65" s="6">
        <v>18</v>
      </c>
      <c r="U65" s="6">
        <v>19</v>
      </c>
      <c r="V65" s="6">
        <v>20</v>
      </c>
      <c r="W65" s="6">
        <v>21</v>
      </c>
      <c r="X65" s="6">
        <v>22</v>
      </c>
      <c r="Y65" s="6">
        <v>23</v>
      </c>
      <c r="Z65" s="6">
        <v>24</v>
      </c>
      <c r="AA65" s="6">
        <v>25</v>
      </c>
      <c r="AB65" s="6">
        <v>26</v>
      </c>
      <c r="AC65" s="6">
        <v>27</v>
      </c>
      <c r="AD65" s="6">
        <v>28</v>
      </c>
      <c r="AE65" s="6">
        <v>29</v>
      </c>
      <c r="AF65" s="6">
        <v>30</v>
      </c>
      <c r="AG65" s="6"/>
      <c r="AH65" s="518" t="s">
        <v>105</v>
      </c>
      <c r="AI65" s="513" t="s">
        <v>106</v>
      </c>
      <c r="AJ65" s="186" t="s">
        <v>590</v>
      </c>
    </row>
    <row r="66" spans="2:36" ht="20.100000000000001" hidden="1" customHeight="1" outlineLevel="1" x14ac:dyDescent="0.4">
      <c r="B66" s="653"/>
      <c r="C66" s="6" t="s">
        <v>71</v>
      </c>
      <c r="D66" s="6" t="s">
        <v>107</v>
      </c>
      <c r="E66" s="6" t="s">
        <v>108</v>
      </c>
      <c r="F66" s="6" t="s">
        <v>109</v>
      </c>
      <c r="G66" s="6" t="s">
        <v>110</v>
      </c>
      <c r="H66" s="6" t="s">
        <v>111</v>
      </c>
      <c r="I66" s="6" t="s">
        <v>69</v>
      </c>
      <c r="J66" s="6" t="s">
        <v>71</v>
      </c>
      <c r="K66" s="6" t="s">
        <v>107</v>
      </c>
      <c r="L66" s="6" t="s">
        <v>108</v>
      </c>
      <c r="M66" s="6" t="s">
        <v>109</v>
      </c>
      <c r="N66" s="6" t="s">
        <v>110</v>
      </c>
      <c r="O66" s="6" t="s">
        <v>111</v>
      </c>
      <c r="P66" s="6" t="s">
        <v>69</v>
      </c>
      <c r="Q66" s="6" t="s">
        <v>71</v>
      </c>
      <c r="R66" s="6" t="s">
        <v>107</v>
      </c>
      <c r="S66" s="6" t="s">
        <v>108</v>
      </c>
      <c r="T66" s="6" t="s">
        <v>109</v>
      </c>
      <c r="U66" s="6" t="s">
        <v>110</v>
      </c>
      <c r="V66" s="6" t="s">
        <v>111</v>
      </c>
      <c r="W66" s="6" t="s">
        <v>69</v>
      </c>
      <c r="X66" s="6" t="s">
        <v>71</v>
      </c>
      <c r="Y66" s="6" t="s">
        <v>107</v>
      </c>
      <c r="Z66" s="6" t="s">
        <v>108</v>
      </c>
      <c r="AA66" s="6" t="s">
        <v>109</v>
      </c>
      <c r="AB66" s="6" t="s">
        <v>110</v>
      </c>
      <c r="AC66" s="6" t="s">
        <v>111</v>
      </c>
      <c r="AD66" s="6" t="s">
        <v>69</v>
      </c>
      <c r="AE66" s="6" t="s">
        <v>71</v>
      </c>
      <c r="AF66" s="6" t="s">
        <v>107</v>
      </c>
      <c r="AG66" s="6"/>
      <c r="AH66" s="520"/>
      <c r="AI66" s="515"/>
      <c r="AJ66" s="186" t="s">
        <v>591</v>
      </c>
    </row>
    <row r="67" spans="2:36" ht="20.100000000000001" hidden="1" customHeight="1" outlineLevel="1" x14ac:dyDescent="0.4">
      <c r="B67" s="4" t="s">
        <v>163</v>
      </c>
      <c r="C67" s="203" t="s">
        <v>104</v>
      </c>
      <c r="D67" s="203" t="s">
        <v>104</v>
      </c>
      <c r="E67" s="203" t="s">
        <v>104</v>
      </c>
      <c r="F67" s="203" t="s">
        <v>104</v>
      </c>
      <c r="G67" s="3" t="s">
        <v>102</v>
      </c>
      <c r="H67" s="3" t="s">
        <v>102</v>
      </c>
      <c r="I67" s="203" t="s">
        <v>104</v>
      </c>
      <c r="J67" s="203" t="s">
        <v>104</v>
      </c>
      <c r="K67" s="203" t="s">
        <v>104</v>
      </c>
      <c r="L67" s="203" t="s">
        <v>104</v>
      </c>
      <c r="M67" s="203" t="s">
        <v>104</v>
      </c>
      <c r="N67" s="3" t="s">
        <v>102</v>
      </c>
      <c r="O67" s="3" t="s">
        <v>102</v>
      </c>
      <c r="P67" s="203" t="s">
        <v>104</v>
      </c>
      <c r="Q67" s="203" t="s">
        <v>104</v>
      </c>
      <c r="R67" s="203" t="s">
        <v>104</v>
      </c>
      <c r="S67" s="203" t="s">
        <v>104</v>
      </c>
      <c r="T67" s="203" t="s">
        <v>104</v>
      </c>
      <c r="U67" s="3" t="s">
        <v>102</v>
      </c>
      <c r="V67" s="3" t="s">
        <v>102</v>
      </c>
      <c r="W67" s="203" t="s">
        <v>104</v>
      </c>
      <c r="X67" s="203" t="s">
        <v>104</v>
      </c>
      <c r="Y67" s="203" t="s">
        <v>104</v>
      </c>
      <c r="Z67" s="203" t="s">
        <v>104</v>
      </c>
      <c r="AA67" s="203" t="s">
        <v>104</v>
      </c>
      <c r="AB67" s="3" t="s">
        <v>102</v>
      </c>
      <c r="AC67" s="3" t="s">
        <v>102</v>
      </c>
      <c r="AD67" s="203" t="s">
        <v>104</v>
      </c>
      <c r="AE67" s="203" t="s">
        <v>104</v>
      </c>
      <c r="AF67" s="203" t="s">
        <v>104</v>
      </c>
      <c r="AG67" s="60"/>
      <c r="AH67" s="4">
        <f>COUNTIF(C67:AG67,"L")</f>
        <v>0</v>
      </c>
      <c r="AI67" s="4">
        <f>COUNTIF(C67:AG67,"A")</f>
        <v>22</v>
      </c>
      <c r="AJ67" s="186" t="s">
        <v>592</v>
      </c>
    </row>
    <row r="68" spans="2:36" ht="20.100000000000001" hidden="1" customHeight="1" outlineLevel="1" x14ac:dyDescent="0.4">
      <c r="B68" s="4" t="s">
        <v>402</v>
      </c>
      <c r="C68" s="203" t="s">
        <v>104</v>
      </c>
      <c r="D68" s="203" t="s">
        <v>104</v>
      </c>
      <c r="E68" s="203" t="s">
        <v>104</v>
      </c>
      <c r="F68" s="203" t="s">
        <v>104</v>
      </c>
      <c r="G68" s="3" t="s">
        <v>102</v>
      </c>
      <c r="H68" s="3" t="s">
        <v>102</v>
      </c>
      <c r="I68" s="203" t="s">
        <v>104</v>
      </c>
      <c r="J68" s="203" t="s">
        <v>104</v>
      </c>
      <c r="K68" s="203" t="s">
        <v>104</v>
      </c>
      <c r="L68" s="203" t="s">
        <v>104</v>
      </c>
      <c r="M68" s="203" t="s">
        <v>104</v>
      </c>
      <c r="N68" s="3" t="s">
        <v>102</v>
      </c>
      <c r="O68" s="3" t="s">
        <v>102</v>
      </c>
      <c r="P68" s="203" t="s">
        <v>104</v>
      </c>
      <c r="Q68" s="203" t="s">
        <v>104</v>
      </c>
      <c r="R68" s="203" t="s">
        <v>104</v>
      </c>
      <c r="S68" s="203" t="s">
        <v>104</v>
      </c>
      <c r="T68" s="203" t="s">
        <v>104</v>
      </c>
      <c r="U68" s="3" t="s">
        <v>102</v>
      </c>
      <c r="V68" s="3" t="s">
        <v>102</v>
      </c>
      <c r="W68" s="203" t="s">
        <v>104</v>
      </c>
      <c r="X68" s="203" t="s">
        <v>104</v>
      </c>
      <c r="Y68" s="203" t="s">
        <v>104</v>
      </c>
      <c r="Z68" s="203" t="s">
        <v>104</v>
      </c>
      <c r="AA68" s="203" t="s">
        <v>104</v>
      </c>
      <c r="AB68" s="3" t="s">
        <v>102</v>
      </c>
      <c r="AC68" s="3" t="s">
        <v>102</v>
      </c>
      <c r="AD68" s="203" t="s">
        <v>104</v>
      </c>
      <c r="AE68" s="203" t="s">
        <v>104</v>
      </c>
      <c r="AF68" s="203" t="s">
        <v>104</v>
      </c>
      <c r="AG68" s="60"/>
      <c r="AH68" s="4">
        <f t="shared" ref="AH68:AH73" si="12">COUNTIF(C68:AG68,"L")</f>
        <v>0</v>
      </c>
      <c r="AI68" s="4">
        <f t="shared" ref="AI68:AI73" si="13">COUNTIF(C68:AG68,"A")</f>
        <v>22</v>
      </c>
      <c r="AJ68" s="186" t="s">
        <v>593</v>
      </c>
    </row>
    <row r="69" spans="2:36" ht="20.100000000000001" hidden="1" customHeight="1" outlineLevel="1" x14ac:dyDescent="0.4">
      <c r="B69" s="4" t="s">
        <v>174</v>
      </c>
      <c r="C69" s="203" t="s">
        <v>104</v>
      </c>
      <c r="D69" s="203" t="s">
        <v>104</v>
      </c>
      <c r="E69" s="203" t="s">
        <v>104</v>
      </c>
      <c r="F69" s="203" t="s">
        <v>104</v>
      </c>
      <c r="G69" s="3" t="s">
        <v>102</v>
      </c>
      <c r="H69" s="3" t="s">
        <v>102</v>
      </c>
      <c r="I69" s="203" t="s">
        <v>104</v>
      </c>
      <c r="J69" s="203" t="s">
        <v>104</v>
      </c>
      <c r="K69" s="203" t="s">
        <v>104</v>
      </c>
      <c r="L69" s="203" t="s">
        <v>104</v>
      </c>
      <c r="M69" s="203" t="s">
        <v>104</v>
      </c>
      <c r="N69" s="3" t="s">
        <v>102</v>
      </c>
      <c r="O69" s="3" t="s">
        <v>102</v>
      </c>
      <c r="P69" s="203" t="s">
        <v>104</v>
      </c>
      <c r="Q69" s="203" t="s">
        <v>104</v>
      </c>
      <c r="R69" s="203" t="s">
        <v>104</v>
      </c>
      <c r="S69" s="203" t="s">
        <v>104</v>
      </c>
      <c r="T69" s="203" t="s">
        <v>104</v>
      </c>
      <c r="U69" s="3" t="s">
        <v>102</v>
      </c>
      <c r="V69" s="3" t="s">
        <v>102</v>
      </c>
      <c r="W69" s="203" t="s">
        <v>104</v>
      </c>
      <c r="X69" s="203" t="s">
        <v>104</v>
      </c>
      <c r="Y69" s="203" t="s">
        <v>104</v>
      </c>
      <c r="Z69" s="203" t="s">
        <v>104</v>
      </c>
      <c r="AA69" s="203" t="s">
        <v>104</v>
      </c>
      <c r="AB69" s="3" t="s">
        <v>102</v>
      </c>
      <c r="AC69" s="3" t="s">
        <v>102</v>
      </c>
      <c r="AD69" s="203" t="s">
        <v>104</v>
      </c>
      <c r="AE69" s="203" t="s">
        <v>104</v>
      </c>
      <c r="AF69" s="203" t="s">
        <v>104</v>
      </c>
      <c r="AG69" s="74"/>
      <c r="AH69" s="4">
        <f t="shared" ref="AH69:AH71" si="14">COUNTIF(C69:AG69,"L")</f>
        <v>0</v>
      </c>
      <c r="AI69" s="4">
        <f t="shared" ref="AI69:AI71" si="15">COUNTIF(C69:AG69,"A")</f>
        <v>22</v>
      </c>
      <c r="AJ69" s="186"/>
    </row>
    <row r="70" spans="2:36" ht="20.100000000000001" hidden="1" customHeight="1" outlineLevel="1" x14ac:dyDescent="0.4">
      <c r="B70" s="4" t="s">
        <v>403</v>
      </c>
      <c r="C70" s="203" t="s">
        <v>104</v>
      </c>
      <c r="D70" s="203" t="s">
        <v>104</v>
      </c>
      <c r="E70" s="203" t="s">
        <v>104</v>
      </c>
      <c r="F70" s="203" t="s">
        <v>104</v>
      </c>
      <c r="G70" s="3" t="s">
        <v>102</v>
      </c>
      <c r="H70" s="3" t="s">
        <v>102</v>
      </c>
      <c r="I70" s="203" t="s">
        <v>104</v>
      </c>
      <c r="J70" s="203" t="s">
        <v>104</v>
      </c>
      <c r="K70" s="203" t="s">
        <v>104</v>
      </c>
      <c r="L70" s="203" t="s">
        <v>104</v>
      </c>
      <c r="M70" s="203" t="s">
        <v>104</v>
      </c>
      <c r="N70" s="3" t="s">
        <v>102</v>
      </c>
      <c r="O70" s="3" t="s">
        <v>102</v>
      </c>
      <c r="P70" s="203" t="s">
        <v>104</v>
      </c>
      <c r="Q70" s="203" t="s">
        <v>104</v>
      </c>
      <c r="R70" s="203" t="s">
        <v>104</v>
      </c>
      <c r="S70" s="203" t="s">
        <v>104</v>
      </c>
      <c r="T70" s="203" t="s">
        <v>104</v>
      </c>
      <c r="U70" s="3" t="s">
        <v>102</v>
      </c>
      <c r="V70" s="3" t="s">
        <v>102</v>
      </c>
      <c r="W70" s="203" t="s">
        <v>104</v>
      </c>
      <c r="X70" s="203" t="s">
        <v>104</v>
      </c>
      <c r="Y70" s="203" t="s">
        <v>104</v>
      </c>
      <c r="Z70" s="203" t="s">
        <v>104</v>
      </c>
      <c r="AA70" s="203" t="s">
        <v>104</v>
      </c>
      <c r="AB70" s="3" t="s">
        <v>102</v>
      </c>
      <c r="AC70" s="3" t="s">
        <v>102</v>
      </c>
      <c r="AD70" s="203" t="s">
        <v>104</v>
      </c>
      <c r="AE70" s="203" t="s">
        <v>104</v>
      </c>
      <c r="AF70" s="203" t="s">
        <v>104</v>
      </c>
      <c r="AG70" s="74"/>
      <c r="AH70" s="4">
        <f t="shared" si="14"/>
        <v>0</v>
      </c>
      <c r="AI70" s="4">
        <f t="shared" si="15"/>
        <v>22</v>
      </c>
      <c r="AJ70" s="186"/>
    </row>
    <row r="71" spans="2:36" ht="20.100000000000001" hidden="1" customHeight="1" outlineLevel="1" x14ac:dyDescent="0.4">
      <c r="B71" s="4" t="s">
        <v>404</v>
      </c>
      <c r="C71" s="203" t="s">
        <v>104</v>
      </c>
      <c r="D71" s="203" t="s">
        <v>104</v>
      </c>
      <c r="E71" s="203" t="s">
        <v>104</v>
      </c>
      <c r="F71" s="203" t="s">
        <v>104</v>
      </c>
      <c r="G71" s="3" t="s">
        <v>102</v>
      </c>
      <c r="H71" s="3" t="s">
        <v>102</v>
      </c>
      <c r="I71" s="203" t="s">
        <v>104</v>
      </c>
      <c r="J71" s="203" t="s">
        <v>104</v>
      </c>
      <c r="K71" s="203" t="s">
        <v>104</v>
      </c>
      <c r="L71" s="203" t="s">
        <v>104</v>
      </c>
      <c r="M71" s="203" t="s">
        <v>104</v>
      </c>
      <c r="N71" s="3" t="s">
        <v>102</v>
      </c>
      <c r="O71" s="3" t="s">
        <v>102</v>
      </c>
      <c r="P71" s="203" t="s">
        <v>104</v>
      </c>
      <c r="Q71" s="203" t="s">
        <v>104</v>
      </c>
      <c r="R71" s="203" t="s">
        <v>104</v>
      </c>
      <c r="S71" s="203" t="s">
        <v>104</v>
      </c>
      <c r="T71" s="203" t="s">
        <v>104</v>
      </c>
      <c r="U71" s="3" t="s">
        <v>102</v>
      </c>
      <c r="V71" s="3" t="s">
        <v>102</v>
      </c>
      <c r="W71" s="203" t="s">
        <v>104</v>
      </c>
      <c r="X71" s="203" t="s">
        <v>104</v>
      </c>
      <c r="Y71" s="203" t="s">
        <v>104</v>
      </c>
      <c r="Z71" s="203" t="s">
        <v>104</v>
      </c>
      <c r="AA71" s="203" t="s">
        <v>104</v>
      </c>
      <c r="AB71" s="3" t="s">
        <v>102</v>
      </c>
      <c r="AC71" s="3" t="s">
        <v>102</v>
      </c>
      <c r="AD71" s="203" t="s">
        <v>104</v>
      </c>
      <c r="AE71" s="203" t="s">
        <v>104</v>
      </c>
      <c r="AF71" s="203" t="s">
        <v>104</v>
      </c>
      <c r="AG71" s="74"/>
      <c r="AH71" s="4">
        <f t="shared" si="14"/>
        <v>0</v>
      </c>
      <c r="AI71" s="4">
        <f t="shared" si="15"/>
        <v>22</v>
      </c>
    </row>
    <row r="72" spans="2:36" ht="20.100000000000001" hidden="1" customHeight="1" outlineLevel="1" x14ac:dyDescent="0.4">
      <c r="B72" s="4" t="s">
        <v>405</v>
      </c>
      <c r="C72" s="203" t="s">
        <v>104</v>
      </c>
      <c r="D72" s="203" t="s">
        <v>104</v>
      </c>
      <c r="E72" s="203" t="s">
        <v>104</v>
      </c>
      <c r="F72" s="203" t="s">
        <v>104</v>
      </c>
      <c r="G72" s="3" t="s">
        <v>102</v>
      </c>
      <c r="H72" s="3" t="s">
        <v>102</v>
      </c>
      <c r="I72" s="203" t="s">
        <v>104</v>
      </c>
      <c r="J72" s="203" t="s">
        <v>104</v>
      </c>
      <c r="K72" s="203" t="s">
        <v>104</v>
      </c>
      <c r="L72" s="203" t="s">
        <v>104</v>
      </c>
      <c r="M72" s="203" t="s">
        <v>104</v>
      </c>
      <c r="N72" s="3" t="s">
        <v>102</v>
      </c>
      <c r="O72" s="3" t="s">
        <v>102</v>
      </c>
      <c r="P72" s="203" t="s">
        <v>104</v>
      </c>
      <c r="Q72" s="203" t="s">
        <v>104</v>
      </c>
      <c r="R72" s="203" t="s">
        <v>104</v>
      </c>
      <c r="S72" s="203" t="s">
        <v>104</v>
      </c>
      <c r="T72" s="203" t="s">
        <v>104</v>
      </c>
      <c r="U72" s="3" t="s">
        <v>102</v>
      </c>
      <c r="V72" s="3" t="s">
        <v>102</v>
      </c>
      <c r="W72" s="203" t="s">
        <v>104</v>
      </c>
      <c r="X72" s="203" t="s">
        <v>104</v>
      </c>
      <c r="Y72" s="203" t="s">
        <v>104</v>
      </c>
      <c r="Z72" s="203" t="s">
        <v>104</v>
      </c>
      <c r="AA72" s="203" t="s">
        <v>104</v>
      </c>
      <c r="AB72" s="3" t="s">
        <v>102</v>
      </c>
      <c r="AC72" s="3" t="s">
        <v>102</v>
      </c>
      <c r="AD72" s="203" t="s">
        <v>104</v>
      </c>
      <c r="AE72" s="203" t="s">
        <v>104</v>
      </c>
      <c r="AF72" s="203" t="s">
        <v>104</v>
      </c>
      <c r="AG72" s="60"/>
      <c r="AH72" s="4">
        <f t="shared" si="12"/>
        <v>0</v>
      </c>
      <c r="AI72" s="4">
        <f t="shared" si="13"/>
        <v>22</v>
      </c>
    </row>
    <row r="73" spans="2:36" ht="20.100000000000001" hidden="1" customHeight="1" outlineLevel="1" x14ac:dyDescent="0.4">
      <c r="B73" s="4" t="s">
        <v>406</v>
      </c>
      <c r="C73" s="203" t="s">
        <v>104</v>
      </c>
      <c r="D73" s="203" t="s">
        <v>104</v>
      </c>
      <c r="E73" s="203" t="s">
        <v>104</v>
      </c>
      <c r="F73" s="203" t="s">
        <v>104</v>
      </c>
      <c r="G73" s="3" t="s">
        <v>102</v>
      </c>
      <c r="H73" s="3" t="s">
        <v>102</v>
      </c>
      <c r="I73" s="203" t="s">
        <v>104</v>
      </c>
      <c r="J73" s="203" t="s">
        <v>104</v>
      </c>
      <c r="K73" s="203" t="s">
        <v>104</v>
      </c>
      <c r="L73" s="203" t="s">
        <v>104</v>
      </c>
      <c r="M73" s="203" t="s">
        <v>104</v>
      </c>
      <c r="N73" s="3" t="s">
        <v>102</v>
      </c>
      <c r="O73" s="3" t="s">
        <v>102</v>
      </c>
      <c r="P73" s="203" t="s">
        <v>104</v>
      </c>
      <c r="Q73" s="203" t="s">
        <v>104</v>
      </c>
      <c r="R73" s="203" t="s">
        <v>104</v>
      </c>
      <c r="S73" s="203" t="s">
        <v>104</v>
      </c>
      <c r="T73" s="203" t="s">
        <v>104</v>
      </c>
      <c r="U73" s="3" t="s">
        <v>102</v>
      </c>
      <c r="V73" s="3" t="s">
        <v>102</v>
      </c>
      <c r="W73" s="203" t="s">
        <v>104</v>
      </c>
      <c r="X73" s="203" t="s">
        <v>104</v>
      </c>
      <c r="Y73" s="203" t="s">
        <v>104</v>
      </c>
      <c r="Z73" s="203" t="s">
        <v>104</v>
      </c>
      <c r="AA73" s="203" t="s">
        <v>104</v>
      </c>
      <c r="AB73" s="3" t="s">
        <v>102</v>
      </c>
      <c r="AC73" s="3" t="s">
        <v>102</v>
      </c>
      <c r="AD73" s="203" t="s">
        <v>104</v>
      </c>
      <c r="AE73" s="203" t="s">
        <v>104</v>
      </c>
      <c r="AF73" s="203" t="s">
        <v>104</v>
      </c>
      <c r="AG73" s="60"/>
      <c r="AH73" s="4">
        <f t="shared" si="12"/>
        <v>0</v>
      </c>
      <c r="AI73" s="4">
        <f t="shared" si="13"/>
        <v>22</v>
      </c>
    </row>
    <row r="74" spans="2:36" ht="20.100000000000001" hidden="1" customHeight="1" outlineLevel="1" x14ac:dyDescent="0.4">
      <c r="AI74" s="199">
        <f>AI77*7.5</f>
        <v>150</v>
      </c>
    </row>
    <row r="75" spans="2:36" ht="20.100000000000001" hidden="1" customHeight="1" outlineLevel="1" x14ac:dyDescent="0.4">
      <c r="B75" s="652">
        <f>DATE(YEAR(B65),MONTH(B65)+1,DAY(B65))</f>
        <v>46296</v>
      </c>
      <c r="C75" s="6">
        <v>1</v>
      </c>
      <c r="D75" s="6">
        <v>2</v>
      </c>
      <c r="E75" s="6">
        <v>3</v>
      </c>
      <c r="F75" s="6">
        <v>4</v>
      </c>
      <c r="G75" s="6">
        <v>5</v>
      </c>
      <c r="H75" s="6">
        <v>6</v>
      </c>
      <c r="I75" s="6">
        <v>7</v>
      </c>
      <c r="J75" s="6">
        <v>8</v>
      </c>
      <c r="K75" s="6">
        <v>9</v>
      </c>
      <c r="L75" s="6">
        <v>10</v>
      </c>
      <c r="M75" s="6">
        <v>11</v>
      </c>
      <c r="N75" s="6">
        <v>12</v>
      </c>
      <c r="O75" s="6">
        <v>13</v>
      </c>
      <c r="P75" s="6">
        <v>14</v>
      </c>
      <c r="Q75" s="6">
        <v>15</v>
      </c>
      <c r="R75" s="6">
        <v>16</v>
      </c>
      <c r="S75" s="6">
        <v>17</v>
      </c>
      <c r="T75" s="6">
        <v>18</v>
      </c>
      <c r="U75" s="6">
        <v>19</v>
      </c>
      <c r="V75" s="6">
        <v>20</v>
      </c>
      <c r="W75" s="6">
        <v>21</v>
      </c>
      <c r="X75" s="6">
        <v>22</v>
      </c>
      <c r="Y75" s="6">
        <v>23</v>
      </c>
      <c r="Z75" s="6">
        <v>24</v>
      </c>
      <c r="AA75" s="6">
        <v>25</v>
      </c>
      <c r="AB75" s="6">
        <v>26</v>
      </c>
      <c r="AC75" s="6">
        <v>27</v>
      </c>
      <c r="AD75" s="6">
        <v>28</v>
      </c>
      <c r="AE75" s="6">
        <v>29</v>
      </c>
      <c r="AF75" s="6">
        <v>30</v>
      </c>
      <c r="AG75" s="6">
        <v>31</v>
      </c>
      <c r="AH75" s="518" t="s">
        <v>105</v>
      </c>
      <c r="AI75" s="513" t="s">
        <v>106</v>
      </c>
      <c r="AJ75" s="186" t="s">
        <v>590</v>
      </c>
    </row>
    <row r="76" spans="2:36" ht="20.100000000000001" hidden="1" customHeight="1" outlineLevel="1" x14ac:dyDescent="0.4">
      <c r="B76" s="653"/>
      <c r="C76" s="6" t="s">
        <v>108</v>
      </c>
      <c r="D76" s="6" t="s">
        <v>109</v>
      </c>
      <c r="E76" s="6" t="s">
        <v>110</v>
      </c>
      <c r="F76" s="6" t="s">
        <v>111</v>
      </c>
      <c r="G76" s="6" t="s">
        <v>69</v>
      </c>
      <c r="H76" s="6" t="s">
        <v>71</v>
      </c>
      <c r="I76" s="6" t="s">
        <v>107</v>
      </c>
      <c r="J76" s="6" t="s">
        <v>108</v>
      </c>
      <c r="K76" s="6" t="s">
        <v>109</v>
      </c>
      <c r="L76" s="6" t="s">
        <v>110</v>
      </c>
      <c r="M76" s="6" t="s">
        <v>111</v>
      </c>
      <c r="N76" s="6" t="s">
        <v>69</v>
      </c>
      <c r="O76" s="6" t="s">
        <v>71</v>
      </c>
      <c r="P76" s="6" t="s">
        <v>107</v>
      </c>
      <c r="Q76" s="6" t="s">
        <v>108</v>
      </c>
      <c r="R76" s="6" t="s">
        <v>109</v>
      </c>
      <c r="S76" s="6" t="s">
        <v>110</v>
      </c>
      <c r="T76" s="6" t="s">
        <v>111</v>
      </c>
      <c r="U76" s="6" t="s">
        <v>69</v>
      </c>
      <c r="V76" s="6" t="s">
        <v>71</v>
      </c>
      <c r="W76" s="6" t="s">
        <v>107</v>
      </c>
      <c r="X76" s="6" t="s">
        <v>108</v>
      </c>
      <c r="Y76" s="6" t="s">
        <v>109</v>
      </c>
      <c r="Z76" s="6" t="s">
        <v>110</v>
      </c>
      <c r="AA76" s="6" t="s">
        <v>111</v>
      </c>
      <c r="AB76" s="6" t="s">
        <v>69</v>
      </c>
      <c r="AC76" s="6" t="s">
        <v>71</v>
      </c>
      <c r="AD76" s="6" t="s">
        <v>107</v>
      </c>
      <c r="AE76" s="6" t="s">
        <v>108</v>
      </c>
      <c r="AF76" s="6" t="s">
        <v>109</v>
      </c>
      <c r="AG76" s="6" t="s">
        <v>110</v>
      </c>
      <c r="AH76" s="520"/>
      <c r="AI76" s="515"/>
      <c r="AJ76" s="186" t="s">
        <v>595</v>
      </c>
    </row>
    <row r="77" spans="2:36" ht="20.100000000000001" hidden="1" customHeight="1" outlineLevel="1" x14ac:dyDescent="0.4">
      <c r="B77" s="4" t="s">
        <v>163</v>
      </c>
      <c r="C77" s="203" t="s">
        <v>104</v>
      </c>
      <c r="D77" s="203" t="s">
        <v>104</v>
      </c>
      <c r="E77" s="3" t="s">
        <v>102</v>
      </c>
      <c r="F77" s="3" t="s">
        <v>102</v>
      </c>
      <c r="G77" s="203" t="s">
        <v>104</v>
      </c>
      <c r="H77" s="203" t="s">
        <v>104</v>
      </c>
      <c r="I77" s="203" t="s">
        <v>104</v>
      </c>
      <c r="J77" s="203" t="s">
        <v>104</v>
      </c>
      <c r="K77" s="203" t="s">
        <v>104</v>
      </c>
      <c r="L77" s="3" t="s">
        <v>102</v>
      </c>
      <c r="M77" s="3" t="s">
        <v>102</v>
      </c>
      <c r="N77" s="203" t="s">
        <v>104</v>
      </c>
      <c r="O77" s="203" t="s">
        <v>104</v>
      </c>
      <c r="P77" s="203" t="s">
        <v>104</v>
      </c>
      <c r="Q77" s="203" t="s">
        <v>104</v>
      </c>
      <c r="R77" s="203" t="s">
        <v>104</v>
      </c>
      <c r="S77" s="3" t="s">
        <v>102</v>
      </c>
      <c r="T77" s="3" t="s">
        <v>102</v>
      </c>
      <c r="U77" s="203" t="s">
        <v>104</v>
      </c>
      <c r="V77" s="203" t="s">
        <v>104</v>
      </c>
      <c r="W77" s="203" t="s">
        <v>104</v>
      </c>
      <c r="X77" s="203" t="s">
        <v>104</v>
      </c>
      <c r="Y77" s="203" t="s">
        <v>104</v>
      </c>
      <c r="Z77" s="3" t="s">
        <v>102</v>
      </c>
      <c r="AA77" s="3" t="s">
        <v>102</v>
      </c>
      <c r="AB77" s="3" t="s">
        <v>411</v>
      </c>
      <c r="AC77" s="3" t="s">
        <v>411</v>
      </c>
      <c r="AD77" s="203" t="s">
        <v>104</v>
      </c>
      <c r="AE77" s="203" t="s">
        <v>104</v>
      </c>
      <c r="AF77" s="203" t="s">
        <v>104</v>
      </c>
      <c r="AG77" s="3" t="s">
        <v>102</v>
      </c>
      <c r="AH77" s="4">
        <f>COUNTIF(C77:AG77,"L")</f>
        <v>0</v>
      </c>
      <c r="AI77" s="4">
        <f>COUNTIF(C77:AG77,"A")</f>
        <v>20</v>
      </c>
      <c r="AJ77" s="186" t="s">
        <v>592</v>
      </c>
    </row>
    <row r="78" spans="2:36" ht="20.100000000000001" hidden="1" customHeight="1" outlineLevel="1" x14ac:dyDescent="0.4">
      <c r="B78" s="4" t="s">
        <v>402</v>
      </c>
      <c r="C78" s="203" t="s">
        <v>104</v>
      </c>
      <c r="D78" s="203" t="s">
        <v>104</v>
      </c>
      <c r="E78" s="3" t="s">
        <v>102</v>
      </c>
      <c r="F78" s="3" t="s">
        <v>102</v>
      </c>
      <c r="G78" s="203" t="s">
        <v>104</v>
      </c>
      <c r="H78" s="203" t="s">
        <v>104</v>
      </c>
      <c r="I78" s="203" t="s">
        <v>104</v>
      </c>
      <c r="J78" s="203" t="s">
        <v>104</v>
      </c>
      <c r="K78" s="203" t="s">
        <v>104</v>
      </c>
      <c r="L78" s="3" t="s">
        <v>102</v>
      </c>
      <c r="M78" s="3" t="s">
        <v>102</v>
      </c>
      <c r="N78" s="203" t="s">
        <v>104</v>
      </c>
      <c r="O78" s="203" t="s">
        <v>104</v>
      </c>
      <c r="P78" s="203" t="s">
        <v>104</v>
      </c>
      <c r="Q78" s="203" t="s">
        <v>104</v>
      </c>
      <c r="R78" s="203" t="s">
        <v>104</v>
      </c>
      <c r="S78" s="3" t="s">
        <v>102</v>
      </c>
      <c r="T78" s="3" t="s">
        <v>102</v>
      </c>
      <c r="U78" s="203" t="s">
        <v>104</v>
      </c>
      <c r="V78" s="203" t="s">
        <v>104</v>
      </c>
      <c r="W78" s="203" t="s">
        <v>104</v>
      </c>
      <c r="X78" s="203" t="s">
        <v>104</v>
      </c>
      <c r="Y78" s="203" t="s">
        <v>104</v>
      </c>
      <c r="Z78" s="3" t="s">
        <v>102</v>
      </c>
      <c r="AA78" s="3" t="s">
        <v>102</v>
      </c>
      <c r="AB78" s="3" t="s">
        <v>411</v>
      </c>
      <c r="AC78" s="3" t="s">
        <v>411</v>
      </c>
      <c r="AD78" s="203" t="s">
        <v>104</v>
      </c>
      <c r="AE78" s="203" t="s">
        <v>104</v>
      </c>
      <c r="AF78" s="203" t="s">
        <v>104</v>
      </c>
      <c r="AG78" s="3" t="s">
        <v>102</v>
      </c>
      <c r="AH78" s="4">
        <f t="shared" ref="AH78:AH83" si="16">COUNTIF(C78:AG78,"L")</f>
        <v>0</v>
      </c>
      <c r="AI78" s="4">
        <f t="shared" ref="AI78:AI83" si="17">COUNTIF(C78:AG78,"A")</f>
        <v>20</v>
      </c>
      <c r="AJ78" s="186" t="s">
        <v>596</v>
      </c>
    </row>
    <row r="79" spans="2:36" ht="20.100000000000001" hidden="1" customHeight="1" outlineLevel="1" x14ac:dyDescent="0.4">
      <c r="B79" s="4" t="s">
        <v>174</v>
      </c>
      <c r="C79" s="203" t="s">
        <v>104</v>
      </c>
      <c r="D79" s="203" t="s">
        <v>104</v>
      </c>
      <c r="E79" s="3" t="s">
        <v>102</v>
      </c>
      <c r="F79" s="3" t="s">
        <v>102</v>
      </c>
      <c r="G79" s="203" t="s">
        <v>104</v>
      </c>
      <c r="H79" s="203" t="s">
        <v>104</v>
      </c>
      <c r="I79" s="203" t="s">
        <v>104</v>
      </c>
      <c r="J79" s="203" t="s">
        <v>104</v>
      </c>
      <c r="K79" s="203" t="s">
        <v>104</v>
      </c>
      <c r="L79" s="3" t="s">
        <v>102</v>
      </c>
      <c r="M79" s="3" t="s">
        <v>102</v>
      </c>
      <c r="N79" s="203" t="s">
        <v>104</v>
      </c>
      <c r="O79" s="203" t="s">
        <v>104</v>
      </c>
      <c r="P79" s="203" t="s">
        <v>104</v>
      </c>
      <c r="Q79" s="203" t="s">
        <v>104</v>
      </c>
      <c r="R79" s="203" t="s">
        <v>104</v>
      </c>
      <c r="S79" s="3" t="s">
        <v>102</v>
      </c>
      <c r="T79" s="3" t="s">
        <v>102</v>
      </c>
      <c r="U79" s="203" t="s">
        <v>104</v>
      </c>
      <c r="V79" s="203" t="s">
        <v>104</v>
      </c>
      <c r="W79" s="203" t="s">
        <v>104</v>
      </c>
      <c r="X79" s="203" t="s">
        <v>104</v>
      </c>
      <c r="Y79" s="203" t="s">
        <v>104</v>
      </c>
      <c r="Z79" s="3" t="s">
        <v>102</v>
      </c>
      <c r="AA79" s="3" t="s">
        <v>102</v>
      </c>
      <c r="AB79" s="3" t="s">
        <v>411</v>
      </c>
      <c r="AC79" s="3" t="s">
        <v>411</v>
      </c>
      <c r="AD79" s="203" t="s">
        <v>104</v>
      </c>
      <c r="AE79" s="203" t="s">
        <v>104</v>
      </c>
      <c r="AF79" s="203" t="s">
        <v>104</v>
      </c>
      <c r="AG79" s="3" t="s">
        <v>102</v>
      </c>
      <c r="AH79" s="4">
        <f t="shared" ref="AH79:AH81" si="18">COUNTIF(C79:AG79,"L")</f>
        <v>0</v>
      </c>
      <c r="AI79" s="4">
        <f t="shared" ref="AI79:AI81" si="19">COUNTIF(C79:AG79,"A")</f>
        <v>20</v>
      </c>
      <c r="AJ79" s="186"/>
    </row>
    <row r="80" spans="2:36" ht="20.100000000000001" hidden="1" customHeight="1" outlineLevel="1" x14ac:dyDescent="0.4">
      <c r="B80" s="4" t="s">
        <v>403</v>
      </c>
      <c r="C80" s="203" t="s">
        <v>104</v>
      </c>
      <c r="D80" s="203" t="s">
        <v>104</v>
      </c>
      <c r="E80" s="3" t="s">
        <v>102</v>
      </c>
      <c r="F80" s="3" t="s">
        <v>102</v>
      </c>
      <c r="G80" s="203" t="s">
        <v>104</v>
      </c>
      <c r="H80" s="203" t="s">
        <v>104</v>
      </c>
      <c r="I80" s="203" t="s">
        <v>104</v>
      </c>
      <c r="J80" s="203" t="s">
        <v>104</v>
      </c>
      <c r="K80" s="203" t="s">
        <v>104</v>
      </c>
      <c r="L80" s="3" t="s">
        <v>102</v>
      </c>
      <c r="M80" s="3" t="s">
        <v>102</v>
      </c>
      <c r="N80" s="203" t="s">
        <v>104</v>
      </c>
      <c r="O80" s="203" t="s">
        <v>104</v>
      </c>
      <c r="P80" s="203" t="s">
        <v>104</v>
      </c>
      <c r="Q80" s="203" t="s">
        <v>104</v>
      </c>
      <c r="R80" s="203" t="s">
        <v>104</v>
      </c>
      <c r="S80" s="3" t="s">
        <v>102</v>
      </c>
      <c r="T80" s="3" t="s">
        <v>102</v>
      </c>
      <c r="U80" s="203" t="s">
        <v>104</v>
      </c>
      <c r="V80" s="203" t="s">
        <v>104</v>
      </c>
      <c r="W80" s="203" t="s">
        <v>104</v>
      </c>
      <c r="X80" s="203" t="s">
        <v>104</v>
      </c>
      <c r="Y80" s="203" t="s">
        <v>104</v>
      </c>
      <c r="Z80" s="3" t="s">
        <v>102</v>
      </c>
      <c r="AA80" s="3" t="s">
        <v>102</v>
      </c>
      <c r="AB80" s="3" t="s">
        <v>411</v>
      </c>
      <c r="AC80" s="3" t="s">
        <v>411</v>
      </c>
      <c r="AD80" s="203" t="s">
        <v>104</v>
      </c>
      <c r="AE80" s="203" t="s">
        <v>104</v>
      </c>
      <c r="AF80" s="203" t="s">
        <v>104</v>
      </c>
      <c r="AG80" s="3" t="s">
        <v>102</v>
      </c>
      <c r="AH80" s="4">
        <f t="shared" si="18"/>
        <v>0</v>
      </c>
      <c r="AI80" s="4">
        <f t="shared" si="19"/>
        <v>20</v>
      </c>
      <c r="AJ80" s="186"/>
    </row>
    <row r="81" spans="2:36" ht="20.100000000000001" hidden="1" customHeight="1" outlineLevel="1" x14ac:dyDescent="0.4">
      <c r="B81" s="4" t="s">
        <v>404</v>
      </c>
      <c r="C81" s="203" t="s">
        <v>104</v>
      </c>
      <c r="D81" s="203" t="s">
        <v>104</v>
      </c>
      <c r="E81" s="3" t="s">
        <v>102</v>
      </c>
      <c r="F81" s="3" t="s">
        <v>102</v>
      </c>
      <c r="G81" s="203" t="s">
        <v>104</v>
      </c>
      <c r="H81" s="203" t="s">
        <v>104</v>
      </c>
      <c r="I81" s="203" t="s">
        <v>104</v>
      </c>
      <c r="J81" s="203" t="s">
        <v>104</v>
      </c>
      <c r="K81" s="203" t="s">
        <v>104</v>
      </c>
      <c r="L81" s="3" t="s">
        <v>102</v>
      </c>
      <c r="M81" s="3" t="s">
        <v>102</v>
      </c>
      <c r="N81" s="203" t="s">
        <v>104</v>
      </c>
      <c r="O81" s="203" t="s">
        <v>104</v>
      </c>
      <c r="P81" s="203" t="s">
        <v>104</v>
      </c>
      <c r="Q81" s="203" t="s">
        <v>104</v>
      </c>
      <c r="R81" s="203" t="s">
        <v>104</v>
      </c>
      <c r="S81" s="3" t="s">
        <v>102</v>
      </c>
      <c r="T81" s="3" t="s">
        <v>102</v>
      </c>
      <c r="U81" s="203" t="s">
        <v>104</v>
      </c>
      <c r="V81" s="203" t="s">
        <v>104</v>
      </c>
      <c r="W81" s="203" t="s">
        <v>104</v>
      </c>
      <c r="X81" s="203" t="s">
        <v>104</v>
      </c>
      <c r="Y81" s="203" t="s">
        <v>104</v>
      </c>
      <c r="Z81" s="3" t="s">
        <v>102</v>
      </c>
      <c r="AA81" s="3" t="s">
        <v>102</v>
      </c>
      <c r="AB81" s="3" t="s">
        <v>411</v>
      </c>
      <c r="AC81" s="3" t="s">
        <v>411</v>
      </c>
      <c r="AD81" s="203" t="s">
        <v>104</v>
      </c>
      <c r="AE81" s="203" t="s">
        <v>104</v>
      </c>
      <c r="AF81" s="203" t="s">
        <v>104</v>
      </c>
      <c r="AG81" s="3" t="s">
        <v>102</v>
      </c>
      <c r="AH81" s="4">
        <f t="shared" si="18"/>
        <v>0</v>
      </c>
      <c r="AI81" s="4">
        <f t="shared" si="19"/>
        <v>20</v>
      </c>
    </row>
    <row r="82" spans="2:36" ht="20.100000000000001" hidden="1" customHeight="1" outlineLevel="1" x14ac:dyDescent="0.4">
      <c r="B82" s="4" t="s">
        <v>405</v>
      </c>
      <c r="C82" s="203" t="s">
        <v>104</v>
      </c>
      <c r="D82" s="203" t="s">
        <v>104</v>
      </c>
      <c r="E82" s="3" t="s">
        <v>102</v>
      </c>
      <c r="F82" s="3" t="s">
        <v>102</v>
      </c>
      <c r="G82" s="203" t="s">
        <v>104</v>
      </c>
      <c r="H82" s="203" t="s">
        <v>104</v>
      </c>
      <c r="I82" s="203" t="s">
        <v>104</v>
      </c>
      <c r="J82" s="203" t="s">
        <v>104</v>
      </c>
      <c r="K82" s="203" t="s">
        <v>104</v>
      </c>
      <c r="L82" s="3" t="s">
        <v>102</v>
      </c>
      <c r="M82" s="3" t="s">
        <v>102</v>
      </c>
      <c r="N82" s="203" t="s">
        <v>104</v>
      </c>
      <c r="O82" s="203" t="s">
        <v>104</v>
      </c>
      <c r="P82" s="203" t="s">
        <v>104</v>
      </c>
      <c r="Q82" s="203" t="s">
        <v>104</v>
      </c>
      <c r="R82" s="203" t="s">
        <v>104</v>
      </c>
      <c r="S82" s="3" t="s">
        <v>102</v>
      </c>
      <c r="T82" s="3" t="s">
        <v>102</v>
      </c>
      <c r="U82" s="203" t="s">
        <v>104</v>
      </c>
      <c r="V82" s="203" t="s">
        <v>104</v>
      </c>
      <c r="W82" s="203" t="s">
        <v>104</v>
      </c>
      <c r="X82" s="203" t="s">
        <v>104</v>
      </c>
      <c r="Y82" s="203" t="s">
        <v>104</v>
      </c>
      <c r="Z82" s="3" t="s">
        <v>102</v>
      </c>
      <c r="AA82" s="3" t="s">
        <v>102</v>
      </c>
      <c r="AB82" s="3" t="s">
        <v>411</v>
      </c>
      <c r="AC82" s="3" t="s">
        <v>411</v>
      </c>
      <c r="AD82" s="203" t="s">
        <v>104</v>
      </c>
      <c r="AE82" s="203" t="s">
        <v>104</v>
      </c>
      <c r="AF82" s="203" t="s">
        <v>104</v>
      </c>
      <c r="AG82" s="3" t="s">
        <v>102</v>
      </c>
      <c r="AH82" s="4">
        <f t="shared" si="16"/>
        <v>0</v>
      </c>
      <c r="AI82" s="4">
        <f t="shared" si="17"/>
        <v>20</v>
      </c>
    </row>
    <row r="83" spans="2:36" ht="20.100000000000001" hidden="1" customHeight="1" outlineLevel="1" x14ac:dyDescent="0.4">
      <c r="B83" s="4" t="s">
        <v>406</v>
      </c>
      <c r="C83" s="203" t="s">
        <v>104</v>
      </c>
      <c r="D83" s="203" t="s">
        <v>104</v>
      </c>
      <c r="E83" s="3" t="s">
        <v>102</v>
      </c>
      <c r="F83" s="3" t="s">
        <v>102</v>
      </c>
      <c r="G83" s="203" t="s">
        <v>104</v>
      </c>
      <c r="H83" s="203" t="s">
        <v>104</v>
      </c>
      <c r="I83" s="203" t="s">
        <v>104</v>
      </c>
      <c r="J83" s="203" t="s">
        <v>104</v>
      </c>
      <c r="K83" s="203" t="s">
        <v>104</v>
      </c>
      <c r="L83" s="3" t="s">
        <v>102</v>
      </c>
      <c r="M83" s="3" t="s">
        <v>102</v>
      </c>
      <c r="N83" s="203" t="s">
        <v>104</v>
      </c>
      <c r="O83" s="203" t="s">
        <v>104</v>
      </c>
      <c r="P83" s="203" t="s">
        <v>104</v>
      </c>
      <c r="Q83" s="203" t="s">
        <v>104</v>
      </c>
      <c r="R83" s="203" t="s">
        <v>104</v>
      </c>
      <c r="S83" s="3" t="s">
        <v>102</v>
      </c>
      <c r="T83" s="3" t="s">
        <v>102</v>
      </c>
      <c r="U83" s="203" t="s">
        <v>104</v>
      </c>
      <c r="V83" s="203" t="s">
        <v>104</v>
      </c>
      <c r="W83" s="203" t="s">
        <v>104</v>
      </c>
      <c r="X83" s="203" t="s">
        <v>104</v>
      </c>
      <c r="Y83" s="203" t="s">
        <v>104</v>
      </c>
      <c r="Z83" s="3" t="s">
        <v>102</v>
      </c>
      <c r="AA83" s="3" t="s">
        <v>102</v>
      </c>
      <c r="AB83" s="3" t="s">
        <v>411</v>
      </c>
      <c r="AC83" s="3" t="s">
        <v>411</v>
      </c>
      <c r="AD83" s="203" t="s">
        <v>104</v>
      </c>
      <c r="AE83" s="203" t="s">
        <v>104</v>
      </c>
      <c r="AF83" s="203" t="s">
        <v>104</v>
      </c>
      <c r="AG83" s="3" t="s">
        <v>102</v>
      </c>
      <c r="AH83" s="4">
        <f t="shared" si="16"/>
        <v>0</v>
      </c>
      <c r="AI83" s="4">
        <f t="shared" si="17"/>
        <v>20</v>
      </c>
    </row>
    <row r="84" spans="2:36" ht="20.100000000000001" hidden="1" customHeight="1" outlineLevel="1" x14ac:dyDescent="0.4">
      <c r="AI84" s="199">
        <f>AI87*7.5</f>
        <v>142.5</v>
      </c>
    </row>
    <row r="85" spans="2:36" ht="20.100000000000001" hidden="1" customHeight="1" outlineLevel="1" x14ac:dyDescent="0.4">
      <c r="B85" s="652">
        <f>DATE(YEAR(B75),MONTH(B75)+1,DAY(B75))</f>
        <v>46327</v>
      </c>
      <c r="C85" s="6">
        <v>1</v>
      </c>
      <c r="D85" s="6">
        <v>2</v>
      </c>
      <c r="E85" s="6">
        <v>3</v>
      </c>
      <c r="F85" s="6">
        <v>4</v>
      </c>
      <c r="G85" s="6">
        <v>5</v>
      </c>
      <c r="H85" s="6">
        <v>6</v>
      </c>
      <c r="I85" s="6">
        <v>7</v>
      </c>
      <c r="J85" s="6">
        <v>8</v>
      </c>
      <c r="K85" s="6">
        <v>9</v>
      </c>
      <c r="L85" s="6">
        <v>10</v>
      </c>
      <c r="M85" s="6">
        <v>11</v>
      </c>
      <c r="N85" s="6">
        <v>12</v>
      </c>
      <c r="O85" s="6">
        <v>13</v>
      </c>
      <c r="P85" s="6">
        <v>14</v>
      </c>
      <c r="Q85" s="6">
        <v>15</v>
      </c>
      <c r="R85" s="6">
        <v>16</v>
      </c>
      <c r="S85" s="6">
        <v>17</v>
      </c>
      <c r="T85" s="6">
        <v>18</v>
      </c>
      <c r="U85" s="6">
        <v>19</v>
      </c>
      <c r="V85" s="6">
        <v>20</v>
      </c>
      <c r="W85" s="6">
        <v>21</v>
      </c>
      <c r="X85" s="6">
        <v>22</v>
      </c>
      <c r="Y85" s="6">
        <v>23</v>
      </c>
      <c r="Z85" s="6">
        <v>24</v>
      </c>
      <c r="AA85" s="6">
        <v>25</v>
      </c>
      <c r="AB85" s="6">
        <v>26</v>
      </c>
      <c r="AC85" s="6">
        <v>27</v>
      </c>
      <c r="AD85" s="6">
        <v>28</v>
      </c>
      <c r="AE85" s="6">
        <v>29</v>
      </c>
      <c r="AF85" s="6">
        <v>30</v>
      </c>
      <c r="AG85" s="6"/>
      <c r="AH85" s="518" t="s">
        <v>105</v>
      </c>
      <c r="AI85" s="513" t="s">
        <v>106</v>
      </c>
      <c r="AJ85" s="186"/>
    </row>
    <row r="86" spans="2:36" ht="20.100000000000001" hidden="1" customHeight="1" outlineLevel="1" x14ac:dyDescent="0.4">
      <c r="B86" s="653"/>
      <c r="C86" s="6" t="s">
        <v>111</v>
      </c>
      <c r="D86" s="6" t="s">
        <v>69</v>
      </c>
      <c r="E86" s="6" t="s">
        <v>71</v>
      </c>
      <c r="F86" s="6" t="s">
        <v>107</v>
      </c>
      <c r="G86" s="6" t="s">
        <v>108</v>
      </c>
      <c r="H86" s="6" t="s">
        <v>109</v>
      </c>
      <c r="I86" s="6" t="s">
        <v>110</v>
      </c>
      <c r="J86" s="6" t="s">
        <v>111</v>
      </c>
      <c r="K86" s="6" t="s">
        <v>69</v>
      </c>
      <c r="L86" s="6" t="s">
        <v>71</v>
      </c>
      <c r="M86" s="6" t="s">
        <v>107</v>
      </c>
      <c r="N86" s="6" t="s">
        <v>108</v>
      </c>
      <c r="O86" s="6" t="s">
        <v>109</v>
      </c>
      <c r="P86" s="6" t="s">
        <v>110</v>
      </c>
      <c r="Q86" s="6" t="s">
        <v>111</v>
      </c>
      <c r="R86" s="6" t="s">
        <v>69</v>
      </c>
      <c r="S86" s="6" t="s">
        <v>71</v>
      </c>
      <c r="T86" s="6" t="s">
        <v>107</v>
      </c>
      <c r="U86" s="6" t="s">
        <v>108</v>
      </c>
      <c r="V86" s="6" t="s">
        <v>109</v>
      </c>
      <c r="W86" s="6" t="s">
        <v>110</v>
      </c>
      <c r="X86" s="6" t="s">
        <v>111</v>
      </c>
      <c r="Y86" s="6" t="s">
        <v>69</v>
      </c>
      <c r="Z86" s="6" t="s">
        <v>71</v>
      </c>
      <c r="AA86" s="6" t="s">
        <v>107</v>
      </c>
      <c r="AB86" s="6" t="s">
        <v>108</v>
      </c>
      <c r="AC86" s="6" t="s">
        <v>109</v>
      </c>
      <c r="AD86" s="6" t="s">
        <v>110</v>
      </c>
      <c r="AE86" s="6" t="s">
        <v>111</v>
      </c>
      <c r="AF86" s="6" t="s">
        <v>69</v>
      </c>
      <c r="AG86" s="6"/>
      <c r="AH86" s="520"/>
      <c r="AI86" s="515"/>
      <c r="AJ86" s="186"/>
    </row>
    <row r="87" spans="2:36" ht="20.100000000000001" hidden="1" customHeight="1" outlineLevel="1" x14ac:dyDescent="0.4">
      <c r="B87" s="4" t="s">
        <v>163</v>
      </c>
      <c r="C87" s="3" t="s">
        <v>102</v>
      </c>
      <c r="D87" s="203" t="s">
        <v>104</v>
      </c>
      <c r="E87" s="203" t="s">
        <v>104</v>
      </c>
      <c r="F87" s="203" t="s">
        <v>104</v>
      </c>
      <c r="G87" s="203" t="s">
        <v>104</v>
      </c>
      <c r="H87" s="203" t="s">
        <v>104</v>
      </c>
      <c r="I87" s="203" t="s">
        <v>102</v>
      </c>
      <c r="J87" s="203" t="s">
        <v>102</v>
      </c>
      <c r="K87" s="203" t="s">
        <v>104</v>
      </c>
      <c r="L87" s="203" t="s">
        <v>104</v>
      </c>
      <c r="M87" s="203" t="s">
        <v>104</v>
      </c>
      <c r="N87" s="203" t="s">
        <v>104</v>
      </c>
      <c r="O87" s="203" t="s">
        <v>104</v>
      </c>
      <c r="P87" s="203" t="s">
        <v>102</v>
      </c>
      <c r="Q87" s="203" t="s">
        <v>102</v>
      </c>
      <c r="R87" s="203" t="s">
        <v>104</v>
      </c>
      <c r="S87" s="203" t="s">
        <v>104</v>
      </c>
      <c r="T87" s="203" t="s">
        <v>104</v>
      </c>
      <c r="U87" s="203" t="s">
        <v>104</v>
      </c>
      <c r="V87" s="203" t="s">
        <v>104</v>
      </c>
      <c r="W87" s="203" t="s">
        <v>102</v>
      </c>
      <c r="X87" s="203" t="s">
        <v>102</v>
      </c>
      <c r="Y87" s="3" t="s">
        <v>411</v>
      </c>
      <c r="Z87" s="3" t="s">
        <v>411</v>
      </c>
      <c r="AA87" s="203" t="s">
        <v>104</v>
      </c>
      <c r="AB87" s="203" t="s">
        <v>104</v>
      </c>
      <c r="AC87" s="203" t="s">
        <v>104</v>
      </c>
      <c r="AD87" s="203" t="s">
        <v>102</v>
      </c>
      <c r="AE87" s="203" t="s">
        <v>102</v>
      </c>
      <c r="AF87" s="203" t="s">
        <v>104</v>
      </c>
      <c r="AG87" s="60"/>
      <c r="AH87" s="4">
        <f>COUNTIF(C87:AG87,"L")</f>
        <v>0</v>
      </c>
      <c r="AI87" s="4">
        <f>COUNTIF(C87:AG87,"A")</f>
        <v>19</v>
      </c>
      <c r="AJ87" s="186"/>
    </row>
    <row r="88" spans="2:36" ht="20.100000000000001" hidden="1" customHeight="1" outlineLevel="1" x14ac:dyDescent="0.4">
      <c r="B88" s="4" t="s">
        <v>402</v>
      </c>
      <c r="C88" s="3" t="s">
        <v>102</v>
      </c>
      <c r="D88" s="203" t="s">
        <v>104</v>
      </c>
      <c r="E88" s="203" t="s">
        <v>104</v>
      </c>
      <c r="F88" s="203" t="s">
        <v>104</v>
      </c>
      <c r="G88" s="203" t="s">
        <v>104</v>
      </c>
      <c r="H88" s="203" t="s">
        <v>104</v>
      </c>
      <c r="I88" s="203" t="s">
        <v>102</v>
      </c>
      <c r="J88" s="203" t="s">
        <v>102</v>
      </c>
      <c r="K88" s="203" t="s">
        <v>104</v>
      </c>
      <c r="L88" s="203" t="s">
        <v>104</v>
      </c>
      <c r="M88" s="203" t="s">
        <v>104</v>
      </c>
      <c r="N88" s="203" t="s">
        <v>104</v>
      </c>
      <c r="O88" s="203" t="s">
        <v>104</v>
      </c>
      <c r="P88" s="203" t="s">
        <v>102</v>
      </c>
      <c r="Q88" s="203" t="s">
        <v>102</v>
      </c>
      <c r="R88" s="203" t="s">
        <v>104</v>
      </c>
      <c r="S88" s="203" t="s">
        <v>104</v>
      </c>
      <c r="T88" s="203" t="s">
        <v>104</v>
      </c>
      <c r="U88" s="203" t="s">
        <v>104</v>
      </c>
      <c r="V88" s="203" t="s">
        <v>104</v>
      </c>
      <c r="W88" s="203" t="s">
        <v>102</v>
      </c>
      <c r="X88" s="203" t="s">
        <v>102</v>
      </c>
      <c r="Y88" s="3" t="s">
        <v>411</v>
      </c>
      <c r="Z88" s="3" t="s">
        <v>411</v>
      </c>
      <c r="AA88" s="203" t="s">
        <v>104</v>
      </c>
      <c r="AB88" s="203" t="s">
        <v>104</v>
      </c>
      <c r="AC88" s="203" t="s">
        <v>104</v>
      </c>
      <c r="AD88" s="203" t="s">
        <v>102</v>
      </c>
      <c r="AE88" s="203" t="s">
        <v>102</v>
      </c>
      <c r="AF88" s="203" t="s">
        <v>104</v>
      </c>
      <c r="AG88" s="60"/>
      <c r="AH88" s="4">
        <f t="shared" ref="AH88:AH93" si="20">COUNTIF(C88:AG88,"L")</f>
        <v>0</v>
      </c>
      <c r="AI88" s="4">
        <f t="shared" ref="AI88:AI93" si="21">COUNTIF(C88:AG88,"A")</f>
        <v>19</v>
      </c>
      <c r="AJ88" s="215"/>
    </row>
    <row r="89" spans="2:36" ht="20.100000000000001" hidden="1" customHeight="1" outlineLevel="1" x14ac:dyDescent="0.4">
      <c r="B89" s="4" t="s">
        <v>174</v>
      </c>
      <c r="C89" s="3" t="s">
        <v>102</v>
      </c>
      <c r="D89" s="203" t="s">
        <v>104</v>
      </c>
      <c r="E89" s="203" t="s">
        <v>104</v>
      </c>
      <c r="F89" s="203" t="s">
        <v>104</v>
      </c>
      <c r="G89" s="203" t="s">
        <v>104</v>
      </c>
      <c r="H89" s="203" t="s">
        <v>104</v>
      </c>
      <c r="I89" s="203" t="s">
        <v>102</v>
      </c>
      <c r="J89" s="203" t="s">
        <v>102</v>
      </c>
      <c r="K89" s="203" t="s">
        <v>104</v>
      </c>
      <c r="L89" s="203" t="s">
        <v>104</v>
      </c>
      <c r="M89" s="203" t="s">
        <v>104</v>
      </c>
      <c r="N89" s="203" t="s">
        <v>104</v>
      </c>
      <c r="O89" s="203" t="s">
        <v>104</v>
      </c>
      <c r="P89" s="203" t="s">
        <v>102</v>
      </c>
      <c r="Q89" s="203" t="s">
        <v>102</v>
      </c>
      <c r="R89" s="203" t="s">
        <v>104</v>
      </c>
      <c r="S89" s="203" t="s">
        <v>104</v>
      </c>
      <c r="T89" s="203" t="s">
        <v>104</v>
      </c>
      <c r="U89" s="203" t="s">
        <v>104</v>
      </c>
      <c r="V89" s="203" t="s">
        <v>104</v>
      </c>
      <c r="W89" s="203" t="s">
        <v>102</v>
      </c>
      <c r="X89" s="203" t="s">
        <v>102</v>
      </c>
      <c r="Y89" s="3" t="s">
        <v>411</v>
      </c>
      <c r="Z89" s="3" t="s">
        <v>411</v>
      </c>
      <c r="AA89" s="203" t="s">
        <v>104</v>
      </c>
      <c r="AB89" s="203" t="s">
        <v>104</v>
      </c>
      <c r="AC89" s="203" t="s">
        <v>104</v>
      </c>
      <c r="AD89" s="203" t="s">
        <v>102</v>
      </c>
      <c r="AE89" s="203" t="s">
        <v>102</v>
      </c>
      <c r="AF89" s="203" t="s">
        <v>104</v>
      </c>
      <c r="AG89" s="74"/>
      <c r="AH89" s="4">
        <f t="shared" ref="AH89:AH91" si="22">COUNTIF(C89:AG89,"L")</f>
        <v>0</v>
      </c>
      <c r="AI89" s="4">
        <f t="shared" ref="AI89:AI91" si="23">COUNTIF(C89:AG89,"A")</f>
        <v>19</v>
      </c>
    </row>
    <row r="90" spans="2:36" ht="20.100000000000001" hidden="1" customHeight="1" outlineLevel="1" x14ac:dyDescent="0.4">
      <c r="B90" s="4" t="s">
        <v>403</v>
      </c>
      <c r="C90" s="3" t="s">
        <v>102</v>
      </c>
      <c r="D90" s="203" t="s">
        <v>104</v>
      </c>
      <c r="E90" s="203" t="s">
        <v>104</v>
      </c>
      <c r="F90" s="203" t="s">
        <v>104</v>
      </c>
      <c r="G90" s="203" t="s">
        <v>104</v>
      </c>
      <c r="H90" s="203" t="s">
        <v>104</v>
      </c>
      <c r="I90" s="203" t="s">
        <v>102</v>
      </c>
      <c r="J90" s="203" t="s">
        <v>102</v>
      </c>
      <c r="K90" s="203" t="s">
        <v>104</v>
      </c>
      <c r="L90" s="203" t="s">
        <v>104</v>
      </c>
      <c r="M90" s="203" t="s">
        <v>104</v>
      </c>
      <c r="N90" s="203" t="s">
        <v>104</v>
      </c>
      <c r="O90" s="203" t="s">
        <v>104</v>
      </c>
      <c r="P90" s="203" t="s">
        <v>102</v>
      </c>
      <c r="Q90" s="203" t="s">
        <v>102</v>
      </c>
      <c r="R90" s="203" t="s">
        <v>104</v>
      </c>
      <c r="S90" s="203" t="s">
        <v>104</v>
      </c>
      <c r="T90" s="203" t="s">
        <v>104</v>
      </c>
      <c r="U90" s="203" t="s">
        <v>104</v>
      </c>
      <c r="V90" s="203" t="s">
        <v>104</v>
      </c>
      <c r="W90" s="203" t="s">
        <v>102</v>
      </c>
      <c r="X90" s="203" t="s">
        <v>102</v>
      </c>
      <c r="Y90" s="3" t="s">
        <v>411</v>
      </c>
      <c r="Z90" s="3" t="s">
        <v>411</v>
      </c>
      <c r="AA90" s="203" t="s">
        <v>104</v>
      </c>
      <c r="AB90" s="203" t="s">
        <v>104</v>
      </c>
      <c r="AC90" s="203" t="s">
        <v>104</v>
      </c>
      <c r="AD90" s="203" t="s">
        <v>102</v>
      </c>
      <c r="AE90" s="203" t="s">
        <v>102</v>
      </c>
      <c r="AF90" s="203" t="s">
        <v>104</v>
      </c>
      <c r="AG90" s="74"/>
      <c r="AH90" s="4">
        <f t="shared" si="22"/>
        <v>0</v>
      </c>
      <c r="AI90" s="4">
        <f t="shared" si="23"/>
        <v>19</v>
      </c>
      <c r="AJ90" s="186"/>
    </row>
    <row r="91" spans="2:36" ht="20.100000000000001" hidden="1" customHeight="1" outlineLevel="1" x14ac:dyDescent="0.4">
      <c r="B91" s="4" t="s">
        <v>404</v>
      </c>
      <c r="C91" s="3" t="s">
        <v>102</v>
      </c>
      <c r="D91" s="203" t="s">
        <v>104</v>
      </c>
      <c r="E91" s="203" t="s">
        <v>104</v>
      </c>
      <c r="F91" s="203" t="s">
        <v>104</v>
      </c>
      <c r="G91" s="203" t="s">
        <v>104</v>
      </c>
      <c r="H91" s="203" t="s">
        <v>104</v>
      </c>
      <c r="I91" s="203" t="s">
        <v>102</v>
      </c>
      <c r="J91" s="203" t="s">
        <v>102</v>
      </c>
      <c r="K91" s="203" t="s">
        <v>104</v>
      </c>
      <c r="L91" s="203" t="s">
        <v>104</v>
      </c>
      <c r="M91" s="203" t="s">
        <v>104</v>
      </c>
      <c r="N91" s="203" t="s">
        <v>104</v>
      </c>
      <c r="O91" s="203" t="s">
        <v>104</v>
      </c>
      <c r="P91" s="203" t="s">
        <v>102</v>
      </c>
      <c r="Q91" s="203" t="s">
        <v>102</v>
      </c>
      <c r="R91" s="203" t="s">
        <v>104</v>
      </c>
      <c r="S91" s="203" t="s">
        <v>104</v>
      </c>
      <c r="T91" s="203" t="s">
        <v>104</v>
      </c>
      <c r="U91" s="203" t="s">
        <v>104</v>
      </c>
      <c r="V91" s="203" t="s">
        <v>104</v>
      </c>
      <c r="W91" s="203" t="s">
        <v>102</v>
      </c>
      <c r="X91" s="203" t="s">
        <v>102</v>
      </c>
      <c r="Y91" s="3" t="s">
        <v>411</v>
      </c>
      <c r="Z91" s="3" t="s">
        <v>411</v>
      </c>
      <c r="AA91" s="203" t="s">
        <v>104</v>
      </c>
      <c r="AB91" s="203" t="s">
        <v>104</v>
      </c>
      <c r="AC91" s="203" t="s">
        <v>104</v>
      </c>
      <c r="AD91" s="203" t="s">
        <v>102</v>
      </c>
      <c r="AE91" s="203" t="s">
        <v>102</v>
      </c>
      <c r="AF91" s="203" t="s">
        <v>104</v>
      </c>
      <c r="AG91" s="74"/>
      <c r="AH91" s="4">
        <f t="shared" si="22"/>
        <v>0</v>
      </c>
      <c r="AI91" s="4">
        <f t="shared" si="23"/>
        <v>19</v>
      </c>
      <c r="AJ91" s="199"/>
    </row>
    <row r="92" spans="2:36" ht="20.100000000000001" hidden="1" customHeight="1" outlineLevel="1" x14ac:dyDescent="0.4">
      <c r="B92" s="4" t="s">
        <v>405</v>
      </c>
      <c r="C92" s="3" t="s">
        <v>102</v>
      </c>
      <c r="D92" s="203" t="s">
        <v>104</v>
      </c>
      <c r="E92" s="203" t="s">
        <v>104</v>
      </c>
      <c r="F92" s="203" t="s">
        <v>104</v>
      </c>
      <c r="G92" s="203" t="s">
        <v>104</v>
      </c>
      <c r="H92" s="203" t="s">
        <v>104</v>
      </c>
      <c r="I92" s="203" t="s">
        <v>102</v>
      </c>
      <c r="J92" s="203" t="s">
        <v>102</v>
      </c>
      <c r="K92" s="203" t="s">
        <v>104</v>
      </c>
      <c r="L92" s="203" t="s">
        <v>104</v>
      </c>
      <c r="M92" s="203" t="s">
        <v>104</v>
      </c>
      <c r="N92" s="203" t="s">
        <v>104</v>
      </c>
      <c r="O92" s="203" t="s">
        <v>104</v>
      </c>
      <c r="P92" s="203" t="s">
        <v>102</v>
      </c>
      <c r="Q92" s="203" t="s">
        <v>102</v>
      </c>
      <c r="R92" s="203" t="s">
        <v>104</v>
      </c>
      <c r="S92" s="203" t="s">
        <v>104</v>
      </c>
      <c r="T92" s="203" t="s">
        <v>104</v>
      </c>
      <c r="U92" s="203" t="s">
        <v>104</v>
      </c>
      <c r="V92" s="203" t="s">
        <v>104</v>
      </c>
      <c r="W92" s="203" t="s">
        <v>102</v>
      </c>
      <c r="X92" s="203" t="s">
        <v>102</v>
      </c>
      <c r="Y92" s="3" t="s">
        <v>411</v>
      </c>
      <c r="Z92" s="3" t="s">
        <v>411</v>
      </c>
      <c r="AA92" s="203" t="s">
        <v>104</v>
      </c>
      <c r="AB92" s="203" t="s">
        <v>104</v>
      </c>
      <c r="AC92" s="203" t="s">
        <v>104</v>
      </c>
      <c r="AD92" s="203" t="s">
        <v>102</v>
      </c>
      <c r="AE92" s="203" t="s">
        <v>102</v>
      </c>
      <c r="AF92" s="203" t="s">
        <v>104</v>
      </c>
      <c r="AG92" s="60"/>
      <c r="AH92" s="4">
        <f t="shared" si="20"/>
        <v>0</v>
      </c>
      <c r="AI92" s="4">
        <f t="shared" si="21"/>
        <v>19</v>
      </c>
      <c r="AJ92" s="215"/>
    </row>
    <row r="93" spans="2:36" ht="20.100000000000001" hidden="1" customHeight="1" outlineLevel="1" x14ac:dyDescent="0.4">
      <c r="B93" s="4" t="s">
        <v>406</v>
      </c>
      <c r="C93" s="3" t="s">
        <v>102</v>
      </c>
      <c r="D93" s="203" t="s">
        <v>104</v>
      </c>
      <c r="E93" s="203" t="s">
        <v>104</v>
      </c>
      <c r="F93" s="203" t="s">
        <v>104</v>
      </c>
      <c r="G93" s="203" t="s">
        <v>104</v>
      </c>
      <c r="H93" s="203" t="s">
        <v>104</v>
      </c>
      <c r="I93" s="203" t="s">
        <v>102</v>
      </c>
      <c r="J93" s="203" t="s">
        <v>102</v>
      </c>
      <c r="K93" s="203" t="s">
        <v>104</v>
      </c>
      <c r="L93" s="203" t="s">
        <v>104</v>
      </c>
      <c r="M93" s="203" t="s">
        <v>104</v>
      </c>
      <c r="N93" s="203" t="s">
        <v>104</v>
      </c>
      <c r="O93" s="203" t="s">
        <v>104</v>
      </c>
      <c r="P93" s="203" t="s">
        <v>102</v>
      </c>
      <c r="Q93" s="203" t="s">
        <v>102</v>
      </c>
      <c r="R93" s="203" t="s">
        <v>104</v>
      </c>
      <c r="S93" s="203" t="s">
        <v>104</v>
      </c>
      <c r="T93" s="203" t="s">
        <v>104</v>
      </c>
      <c r="U93" s="203" t="s">
        <v>104</v>
      </c>
      <c r="V93" s="203" t="s">
        <v>104</v>
      </c>
      <c r="W93" s="203" t="s">
        <v>102</v>
      </c>
      <c r="X93" s="203" t="s">
        <v>102</v>
      </c>
      <c r="Y93" s="3" t="s">
        <v>411</v>
      </c>
      <c r="Z93" s="3" t="s">
        <v>411</v>
      </c>
      <c r="AA93" s="203" t="s">
        <v>104</v>
      </c>
      <c r="AB93" s="203" t="s">
        <v>104</v>
      </c>
      <c r="AC93" s="203" t="s">
        <v>104</v>
      </c>
      <c r="AD93" s="203" t="s">
        <v>102</v>
      </c>
      <c r="AE93" s="203" t="s">
        <v>102</v>
      </c>
      <c r="AF93" s="203" t="s">
        <v>104</v>
      </c>
      <c r="AG93" s="60"/>
      <c r="AH93" s="4">
        <f t="shared" si="20"/>
        <v>0</v>
      </c>
      <c r="AI93" s="4">
        <f t="shared" si="21"/>
        <v>19</v>
      </c>
    </row>
    <row r="94" spans="2:36" ht="20.100000000000001" hidden="1" customHeight="1" outlineLevel="1" collapsed="1" x14ac:dyDescent="0.4">
      <c r="AI94" s="199">
        <f>AI97*7.5</f>
        <v>165</v>
      </c>
    </row>
    <row r="95" spans="2:36" ht="20.100000000000001" hidden="1" customHeight="1" outlineLevel="1" x14ac:dyDescent="0.4">
      <c r="B95" s="652">
        <f>DATE(YEAR(B85),MONTH(B85)+1,DAY(B85))</f>
        <v>46357</v>
      </c>
      <c r="C95" s="6">
        <v>1</v>
      </c>
      <c r="D95" s="6">
        <v>2</v>
      </c>
      <c r="E95" s="6">
        <v>3</v>
      </c>
      <c r="F95" s="6">
        <v>4</v>
      </c>
      <c r="G95" s="6">
        <v>5</v>
      </c>
      <c r="H95" s="6">
        <v>6</v>
      </c>
      <c r="I95" s="6">
        <v>7</v>
      </c>
      <c r="J95" s="6">
        <v>8</v>
      </c>
      <c r="K95" s="6">
        <v>9</v>
      </c>
      <c r="L95" s="6">
        <v>10</v>
      </c>
      <c r="M95" s="6">
        <v>11</v>
      </c>
      <c r="N95" s="6">
        <v>12</v>
      </c>
      <c r="O95" s="6">
        <v>13</v>
      </c>
      <c r="P95" s="6">
        <v>14</v>
      </c>
      <c r="Q95" s="6">
        <v>15</v>
      </c>
      <c r="R95" s="6">
        <v>16</v>
      </c>
      <c r="S95" s="6">
        <v>17</v>
      </c>
      <c r="T95" s="6">
        <v>18</v>
      </c>
      <c r="U95" s="6">
        <v>19</v>
      </c>
      <c r="V95" s="6">
        <v>20</v>
      </c>
      <c r="W95" s="6">
        <v>21</v>
      </c>
      <c r="X95" s="6">
        <v>22</v>
      </c>
      <c r="Y95" s="6">
        <v>23</v>
      </c>
      <c r="Z95" s="6">
        <v>24</v>
      </c>
      <c r="AA95" s="6">
        <v>25</v>
      </c>
      <c r="AB95" s="6">
        <v>26</v>
      </c>
      <c r="AC95" s="6">
        <v>27</v>
      </c>
      <c r="AD95" s="6">
        <v>28</v>
      </c>
      <c r="AE95" s="6">
        <v>29</v>
      </c>
      <c r="AF95" s="6">
        <v>30</v>
      </c>
      <c r="AG95" s="6">
        <v>31</v>
      </c>
      <c r="AH95" s="518" t="s">
        <v>105</v>
      </c>
      <c r="AI95" s="513" t="s">
        <v>106</v>
      </c>
      <c r="AJ95" s="186"/>
    </row>
    <row r="96" spans="2:36" ht="20.100000000000001" hidden="1" customHeight="1" outlineLevel="1" x14ac:dyDescent="0.4">
      <c r="B96" s="653"/>
      <c r="C96" s="6" t="s">
        <v>71</v>
      </c>
      <c r="D96" s="6" t="s">
        <v>107</v>
      </c>
      <c r="E96" s="6" t="s">
        <v>108</v>
      </c>
      <c r="F96" s="6" t="s">
        <v>109</v>
      </c>
      <c r="G96" s="6" t="s">
        <v>110</v>
      </c>
      <c r="H96" s="6" t="s">
        <v>111</v>
      </c>
      <c r="I96" s="6" t="s">
        <v>69</v>
      </c>
      <c r="J96" s="6" t="s">
        <v>71</v>
      </c>
      <c r="K96" s="6" t="s">
        <v>107</v>
      </c>
      <c r="L96" s="6" t="s">
        <v>108</v>
      </c>
      <c r="M96" s="6" t="s">
        <v>109</v>
      </c>
      <c r="N96" s="6" t="s">
        <v>110</v>
      </c>
      <c r="O96" s="6" t="s">
        <v>111</v>
      </c>
      <c r="P96" s="6" t="s">
        <v>69</v>
      </c>
      <c r="Q96" s="6" t="s">
        <v>71</v>
      </c>
      <c r="R96" s="6" t="s">
        <v>107</v>
      </c>
      <c r="S96" s="6" t="s">
        <v>108</v>
      </c>
      <c r="T96" s="6" t="s">
        <v>109</v>
      </c>
      <c r="U96" s="6" t="s">
        <v>110</v>
      </c>
      <c r="V96" s="6" t="s">
        <v>111</v>
      </c>
      <c r="W96" s="6" t="s">
        <v>69</v>
      </c>
      <c r="X96" s="6" t="s">
        <v>71</v>
      </c>
      <c r="Y96" s="6" t="s">
        <v>107</v>
      </c>
      <c r="Z96" s="6" t="s">
        <v>108</v>
      </c>
      <c r="AA96" s="6" t="s">
        <v>109</v>
      </c>
      <c r="AB96" s="6" t="s">
        <v>110</v>
      </c>
      <c r="AC96" s="6" t="s">
        <v>111</v>
      </c>
      <c r="AD96" s="6" t="s">
        <v>69</v>
      </c>
      <c r="AE96" s="6" t="s">
        <v>71</v>
      </c>
      <c r="AF96" s="6" t="s">
        <v>107</v>
      </c>
      <c r="AG96" s="6" t="s">
        <v>108</v>
      </c>
      <c r="AH96" s="520"/>
      <c r="AI96" s="515"/>
      <c r="AJ96" s="186"/>
    </row>
    <row r="97" spans="2:36" ht="20.100000000000001" hidden="1" customHeight="1" outlineLevel="1" x14ac:dyDescent="0.4">
      <c r="B97" s="4" t="s">
        <v>163</v>
      </c>
      <c r="C97" s="203" t="s">
        <v>104</v>
      </c>
      <c r="D97" s="203" t="s">
        <v>104</v>
      </c>
      <c r="E97" s="203" t="s">
        <v>104</v>
      </c>
      <c r="F97" s="3" t="s">
        <v>411</v>
      </c>
      <c r="G97" s="203" t="s">
        <v>102</v>
      </c>
      <c r="H97" s="203" t="s">
        <v>102</v>
      </c>
      <c r="I97" s="203" t="s">
        <v>104</v>
      </c>
      <c r="J97" s="203" t="s">
        <v>104</v>
      </c>
      <c r="K97" s="203" t="s">
        <v>104</v>
      </c>
      <c r="L97" s="203" t="s">
        <v>104</v>
      </c>
      <c r="M97" s="203" t="s">
        <v>104</v>
      </c>
      <c r="N97" s="203" t="s">
        <v>102</v>
      </c>
      <c r="O97" s="203" t="s">
        <v>102</v>
      </c>
      <c r="P97" s="203" t="s">
        <v>104</v>
      </c>
      <c r="Q97" s="203" t="s">
        <v>104</v>
      </c>
      <c r="R97" s="203" t="s">
        <v>104</v>
      </c>
      <c r="S97" s="203" t="s">
        <v>104</v>
      </c>
      <c r="T97" s="203" t="s">
        <v>104</v>
      </c>
      <c r="U97" s="203" t="s">
        <v>102</v>
      </c>
      <c r="V97" s="203" t="s">
        <v>102</v>
      </c>
      <c r="W97" s="203" t="s">
        <v>104</v>
      </c>
      <c r="X97" s="203" t="s">
        <v>104</v>
      </c>
      <c r="Y97" s="203" t="s">
        <v>104</v>
      </c>
      <c r="Z97" s="203" t="s">
        <v>104</v>
      </c>
      <c r="AA97" s="203" t="s">
        <v>104</v>
      </c>
      <c r="AB97" s="203" t="s">
        <v>102</v>
      </c>
      <c r="AC97" s="203" t="s">
        <v>102</v>
      </c>
      <c r="AD97" s="203" t="s">
        <v>104</v>
      </c>
      <c r="AE97" s="203" t="s">
        <v>104</v>
      </c>
      <c r="AF97" s="203" t="s">
        <v>104</v>
      </c>
      <c r="AG97" s="203" t="s">
        <v>104</v>
      </c>
      <c r="AH97" s="4">
        <f>COUNTIF(C97:AG97,"L")</f>
        <v>0</v>
      </c>
      <c r="AI97" s="4">
        <f>COUNTIF(C97:AG97,"A")</f>
        <v>22</v>
      </c>
      <c r="AJ97" s="186"/>
    </row>
    <row r="98" spans="2:36" ht="20.100000000000001" hidden="1" customHeight="1" outlineLevel="1" x14ac:dyDescent="0.4">
      <c r="B98" s="4" t="s">
        <v>402</v>
      </c>
      <c r="C98" s="203" t="s">
        <v>104</v>
      </c>
      <c r="D98" s="203" t="s">
        <v>104</v>
      </c>
      <c r="E98" s="203" t="s">
        <v>104</v>
      </c>
      <c r="F98" s="3" t="s">
        <v>411</v>
      </c>
      <c r="G98" s="203" t="s">
        <v>102</v>
      </c>
      <c r="H98" s="203" t="s">
        <v>102</v>
      </c>
      <c r="I98" s="203" t="s">
        <v>104</v>
      </c>
      <c r="J98" s="203" t="s">
        <v>104</v>
      </c>
      <c r="K98" s="203" t="s">
        <v>104</v>
      </c>
      <c r="L98" s="203" t="s">
        <v>104</v>
      </c>
      <c r="M98" s="203" t="s">
        <v>104</v>
      </c>
      <c r="N98" s="203" t="s">
        <v>102</v>
      </c>
      <c r="O98" s="203" t="s">
        <v>102</v>
      </c>
      <c r="P98" s="203" t="s">
        <v>104</v>
      </c>
      <c r="Q98" s="203" t="s">
        <v>104</v>
      </c>
      <c r="R98" s="203" t="s">
        <v>104</v>
      </c>
      <c r="S98" s="203" t="s">
        <v>104</v>
      </c>
      <c r="T98" s="203" t="s">
        <v>104</v>
      </c>
      <c r="U98" s="203" t="s">
        <v>102</v>
      </c>
      <c r="V98" s="203" t="s">
        <v>102</v>
      </c>
      <c r="W98" s="203" t="s">
        <v>104</v>
      </c>
      <c r="X98" s="203" t="s">
        <v>104</v>
      </c>
      <c r="Y98" s="203" t="s">
        <v>104</v>
      </c>
      <c r="Z98" s="203" t="s">
        <v>104</v>
      </c>
      <c r="AA98" s="203" t="s">
        <v>104</v>
      </c>
      <c r="AB98" s="203" t="s">
        <v>102</v>
      </c>
      <c r="AC98" s="203" t="s">
        <v>102</v>
      </c>
      <c r="AD98" s="203" t="s">
        <v>104</v>
      </c>
      <c r="AE98" s="203" t="s">
        <v>104</v>
      </c>
      <c r="AF98" s="203" t="s">
        <v>104</v>
      </c>
      <c r="AG98" s="203" t="s">
        <v>104</v>
      </c>
      <c r="AH98" s="4">
        <f t="shared" ref="AH98:AH103" si="24">COUNTIF(C98:AG98,"L")</f>
        <v>0</v>
      </c>
      <c r="AI98" s="4">
        <f t="shared" ref="AI98:AI103" si="25">COUNTIF(C98:AG98,"A")</f>
        <v>22</v>
      </c>
      <c r="AJ98" s="186"/>
    </row>
    <row r="99" spans="2:36" ht="20.100000000000001" hidden="1" customHeight="1" outlineLevel="1" x14ac:dyDescent="0.4">
      <c r="B99" s="4" t="s">
        <v>174</v>
      </c>
      <c r="C99" s="203" t="s">
        <v>104</v>
      </c>
      <c r="D99" s="203" t="s">
        <v>104</v>
      </c>
      <c r="E99" s="203" t="s">
        <v>104</v>
      </c>
      <c r="F99" s="3" t="s">
        <v>411</v>
      </c>
      <c r="G99" s="203" t="s">
        <v>102</v>
      </c>
      <c r="H99" s="203" t="s">
        <v>102</v>
      </c>
      <c r="I99" s="203" t="s">
        <v>104</v>
      </c>
      <c r="J99" s="203" t="s">
        <v>104</v>
      </c>
      <c r="K99" s="203" t="s">
        <v>104</v>
      </c>
      <c r="L99" s="203" t="s">
        <v>104</v>
      </c>
      <c r="M99" s="203" t="s">
        <v>104</v>
      </c>
      <c r="N99" s="203" t="s">
        <v>102</v>
      </c>
      <c r="O99" s="203" t="s">
        <v>102</v>
      </c>
      <c r="P99" s="203" t="s">
        <v>104</v>
      </c>
      <c r="Q99" s="203" t="s">
        <v>104</v>
      </c>
      <c r="R99" s="203" t="s">
        <v>104</v>
      </c>
      <c r="S99" s="203" t="s">
        <v>104</v>
      </c>
      <c r="T99" s="203" t="s">
        <v>104</v>
      </c>
      <c r="U99" s="203" t="s">
        <v>102</v>
      </c>
      <c r="V99" s="203" t="s">
        <v>102</v>
      </c>
      <c r="W99" s="203" t="s">
        <v>104</v>
      </c>
      <c r="X99" s="203" t="s">
        <v>104</v>
      </c>
      <c r="Y99" s="203" t="s">
        <v>104</v>
      </c>
      <c r="Z99" s="203" t="s">
        <v>104</v>
      </c>
      <c r="AA99" s="203" t="s">
        <v>104</v>
      </c>
      <c r="AB99" s="203" t="s">
        <v>102</v>
      </c>
      <c r="AC99" s="203" t="s">
        <v>102</v>
      </c>
      <c r="AD99" s="203" t="s">
        <v>104</v>
      </c>
      <c r="AE99" s="203" t="s">
        <v>104</v>
      </c>
      <c r="AF99" s="203" t="s">
        <v>104</v>
      </c>
      <c r="AG99" s="203" t="s">
        <v>104</v>
      </c>
      <c r="AH99" s="4">
        <f t="shared" si="24"/>
        <v>0</v>
      </c>
      <c r="AI99" s="4">
        <f t="shared" ref="AI99:AI101" si="26">COUNTIF(C99:AG99,"A")</f>
        <v>22</v>
      </c>
    </row>
    <row r="100" spans="2:36" ht="20.100000000000001" hidden="1" customHeight="1" outlineLevel="1" x14ac:dyDescent="0.4">
      <c r="B100" s="4" t="s">
        <v>403</v>
      </c>
      <c r="C100" s="203" t="s">
        <v>104</v>
      </c>
      <c r="D100" s="203" t="s">
        <v>104</v>
      </c>
      <c r="E100" s="203" t="s">
        <v>104</v>
      </c>
      <c r="F100" s="3" t="s">
        <v>411</v>
      </c>
      <c r="G100" s="203" t="s">
        <v>102</v>
      </c>
      <c r="H100" s="203" t="s">
        <v>102</v>
      </c>
      <c r="I100" s="203" t="s">
        <v>104</v>
      </c>
      <c r="J100" s="203" t="s">
        <v>104</v>
      </c>
      <c r="K100" s="203" t="s">
        <v>104</v>
      </c>
      <c r="L100" s="203" t="s">
        <v>104</v>
      </c>
      <c r="M100" s="203" t="s">
        <v>104</v>
      </c>
      <c r="N100" s="203" t="s">
        <v>102</v>
      </c>
      <c r="O100" s="203" t="s">
        <v>102</v>
      </c>
      <c r="P100" s="203" t="s">
        <v>104</v>
      </c>
      <c r="Q100" s="203" t="s">
        <v>104</v>
      </c>
      <c r="R100" s="203" t="s">
        <v>104</v>
      </c>
      <c r="S100" s="203" t="s">
        <v>104</v>
      </c>
      <c r="T100" s="203" t="s">
        <v>104</v>
      </c>
      <c r="U100" s="203" t="s">
        <v>102</v>
      </c>
      <c r="V100" s="203" t="s">
        <v>102</v>
      </c>
      <c r="W100" s="203" t="s">
        <v>104</v>
      </c>
      <c r="X100" s="203" t="s">
        <v>104</v>
      </c>
      <c r="Y100" s="203" t="s">
        <v>104</v>
      </c>
      <c r="Z100" s="203" t="s">
        <v>104</v>
      </c>
      <c r="AA100" s="203" t="s">
        <v>104</v>
      </c>
      <c r="AB100" s="203" t="s">
        <v>102</v>
      </c>
      <c r="AC100" s="203" t="s">
        <v>102</v>
      </c>
      <c r="AD100" s="203" t="s">
        <v>104</v>
      </c>
      <c r="AE100" s="203" t="s">
        <v>104</v>
      </c>
      <c r="AF100" s="203" t="s">
        <v>104</v>
      </c>
      <c r="AG100" s="203" t="s">
        <v>104</v>
      </c>
      <c r="AH100" s="4">
        <f t="shared" si="24"/>
        <v>0</v>
      </c>
      <c r="AI100" s="4">
        <f t="shared" si="26"/>
        <v>22</v>
      </c>
    </row>
    <row r="101" spans="2:36" ht="20.100000000000001" hidden="1" customHeight="1" outlineLevel="1" x14ac:dyDescent="0.4">
      <c r="B101" s="4" t="s">
        <v>404</v>
      </c>
      <c r="C101" s="203" t="s">
        <v>104</v>
      </c>
      <c r="D101" s="203" t="s">
        <v>104</v>
      </c>
      <c r="E101" s="203" t="s">
        <v>104</v>
      </c>
      <c r="F101" s="3" t="s">
        <v>411</v>
      </c>
      <c r="G101" s="203" t="s">
        <v>102</v>
      </c>
      <c r="H101" s="203" t="s">
        <v>102</v>
      </c>
      <c r="I101" s="203" t="s">
        <v>104</v>
      </c>
      <c r="J101" s="203" t="s">
        <v>104</v>
      </c>
      <c r="K101" s="203" t="s">
        <v>104</v>
      </c>
      <c r="L101" s="203" t="s">
        <v>104</v>
      </c>
      <c r="M101" s="203" t="s">
        <v>104</v>
      </c>
      <c r="N101" s="203" t="s">
        <v>102</v>
      </c>
      <c r="O101" s="203" t="s">
        <v>102</v>
      </c>
      <c r="P101" s="203" t="s">
        <v>104</v>
      </c>
      <c r="Q101" s="203" t="s">
        <v>104</v>
      </c>
      <c r="R101" s="203" t="s">
        <v>104</v>
      </c>
      <c r="S101" s="203" t="s">
        <v>104</v>
      </c>
      <c r="T101" s="203" t="s">
        <v>104</v>
      </c>
      <c r="U101" s="203" t="s">
        <v>102</v>
      </c>
      <c r="V101" s="203" t="s">
        <v>102</v>
      </c>
      <c r="W101" s="203" t="s">
        <v>104</v>
      </c>
      <c r="X101" s="203" t="s">
        <v>104</v>
      </c>
      <c r="Y101" s="203" t="s">
        <v>104</v>
      </c>
      <c r="Z101" s="203" t="s">
        <v>104</v>
      </c>
      <c r="AA101" s="203" t="s">
        <v>104</v>
      </c>
      <c r="AB101" s="203" t="s">
        <v>102</v>
      </c>
      <c r="AC101" s="203" t="s">
        <v>102</v>
      </c>
      <c r="AD101" s="203" t="s">
        <v>104</v>
      </c>
      <c r="AE101" s="203" t="s">
        <v>104</v>
      </c>
      <c r="AF101" s="203" t="s">
        <v>104</v>
      </c>
      <c r="AG101" s="203" t="s">
        <v>104</v>
      </c>
      <c r="AH101" s="4">
        <f t="shared" si="24"/>
        <v>0</v>
      </c>
      <c r="AI101" s="4">
        <f t="shared" si="26"/>
        <v>22</v>
      </c>
      <c r="AJ101" s="186"/>
    </row>
    <row r="102" spans="2:36" ht="20.100000000000001" hidden="1" customHeight="1" outlineLevel="1" x14ac:dyDescent="0.4">
      <c r="B102" s="4" t="s">
        <v>405</v>
      </c>
      <c r="C102" s="203" t="s">
        <v>104</v>
      </c>
      <c r="D102" s="203" t="s">
        <v>104</v>
      </c>
      <c r="E102" s="203" t="s">
        <v>104</v>
      </c>
      <c r="F102" s="3" t="s">
        <v>411</v>
      </c>
      <c r="G102" s="203" t="s">
        <v>102</v>
      </c>
      <c r="H102" s="203" t="s">
        <v>102</v>
      </c>
      <c r="I102" s="203" t="s">
        <v>104</v>
      </c>
      <c r="J102" s="203" t="s">
        <v>104</v>
      </c>
      <c r="K102" s="203" t="s">
        <v>104</v>
      </c>
      <c r="L102" s="203" t="s">
        <v>104</v>
      </c>
      <c r="M102" s="203" t="s">
        <v>104</v>
      </c>
      <c r="N102" s="203" t="s">
        <v>102</v>
      </c>
      <c r="O102" s="203" t="s">
        <v>102</v>
      </c>
      <c r="P102" s="203" t="s">
        <v>104</v>
      </c>
      <c r="Q102" s="203" t="s">
        <v>104</v>
      </c>
      <c r="R102" s="203" t="s">
        <v>104</v>
      </c>
      <c r="S102" s="203" t="s">
        <v>104</v>
      </c>
      <c r="T102" s="203" t="s">
        <v>104</v>
      </c>
      <c r="U102" s="203" t="s">
        <v>102</v>
      </c>
      <c r="V102" s="203" t="s">
        <v>102</v>
      </c>
      <c r="W102" s="203" t="s">
        <v>104</v>
      </c>
      <c r="X102" s="203" t="s">
        <v>104</v>
      </c>
      <c r="Y102" s="203" t="s">
        <v>104</v>
      </c>
      <c r="Z102" s="203" t="s">
        <v>104</v>
      </c>
      <c r="AA102" s="203" t="s">
        <v>104</v>
      </c>
      <c r="AB102" s="203" t="s">
        <v>102</v>
      </c>
      <c r="AC102" s="203" t="s">
        <v>102</v>
      </c>
      <c r="AD102" s="203" t="s">
        <v>104</v>
      </c>
      <c r="AE102" s="203" t="s">
        <v>104</v>
      </c>
      <c r="AF102" s="203" t="s">
        <v>104</v>
      </c>
      <c r="AG102" s="203" t="s">
        <v>104</v>
      </c>
      <c r="AH102" s="4">
        <f t="shared" si="24"/>
        <v>0</v>
      </c>
      <c r="AI102" s="4">
        <f t="shared" si="25"/>
        <v>22</v>
      </c>
    </row>
    <row r="103" spans="2:36" ht="20.100000000000001" hidden="1" customHeight="1" outlineLevel="1" x14ac:dyDescent="0.4">
      <c r="B103" s="4" t="s">
        <v>406</v>
      </c>
      <c r="C103" s="203" t="s">
        <v>104</v>
      </c>
      <c r="D103" s="203" t="s">
        <v>104</v>
      </c>
      <c r="E103" s="203" t="s">
        <v>104</v>
      </c>
      <c r="F103" s="3" t="s">
        <v>411</v>
      </c>
      <c r="G103" s="203" t="s">
        <v>102</v>
      </c>
      <c r="H103" s="203" t="s">
        <v>102</v>
      </c>
      <c r="I103" s="203" t="s">
        <v>104</v>
      </c>
      <c r="J103" s="203" t="s">
        <v>104</v>
      </c>
      <c r="K103" s="203" t="s">
        <v>104</v>
      </c>
      <c r="L103" s="203" t="s">
        <v>104</v>
      </c>
      <c r="M103" s="203" t="s">
        <v>104</v>
      </c>
      <c r="N103" s="203" t="s">
        <v>102</v>
      </c>
      <c r="O103" s="203" t="s">
        <v>102</v>
      </c>
      <c r="P103" s="203" t="s">
        <v>104</v>
      </c>
      <c r="Q103" s="203" t="s">
        <v>104</v>
      </c>
      <c r="R103" s="203" t="s">
        <v>104</v>
      </c>
      <c r="S103" s="203" t="s">
        <v>104</v>
      </c>
      <c r="T103" s="203" t="s">
        <v>104</v>
      </c>
      <c r="U103" s="203" t="s">
        <v>102</v>
      </c>
      <c r="V103" s="203" t="s">
        <v>102</v>
      </c>
      <c r="W103" s="203" t="s">
        <v>104</v>
      </c>
      <c r="X103" s="203" t="s">
        <v>104</v>
      </c>
      <c r="Y103" s="203" t="s">
        <v>104</v>
      </c>
      <c r="Z103" s="203" t="s">
        <v>104</v>
      </c>
      <c r="AA103" s="203" t="s">
        <v>104</v>
      </c>
      <c r="AB103" s="203" t="s">
        <v>102</v>
      </c>
      <c r="AC103" s="203" t="s">
        <v>102</v>
      </c>
      <c r="AD103" s="203" t="s">
        <v>104</v>
      </c>
      <c r="AE103" s="203" t="s">
        <v>104</v>
      </c>
      <c r="AF103" s="203" t="s">
        <v>104</v>
      </c>
      <c r="AG103" s="203" t="s">
        <v>104</v>
      </c>
      <c r="AH103" s="4">
        <f t="shared" si="24"/>
        <v>0</v>
      </c>
      <c r="AI103" s="4">
        <f t="shared" si="25"/>
        <v>22</v>
      </c>
    </row>
    <row r="104" spans="2:36" ht="20.100000000000001" hidden="1" customHeight="1" outlineLevel="1" x14ac:dyDescent="0.4">
      <c r="AI104" s="199">
        <f>AI107*7.5</f>
        <v>142.5</v>
      </c>
    </row>
    <row r="105" spans="2:36" ht="20.100000000000001" hidden="1" customHeight="1" outlineLevel="1" x14ac:dyDescent="0.4">
      <c r="B105" s="652">
        <f>DATE(YEAR(B95),MONTH(B95)+1,DAY(B95))</f>
        <v>46388</v>
      </c>
      <c r="C105" s="6">
        <v>1</v>
      </c>
      <c r="D105" s="6">
        <v>2</v>
      </c>
      <c r="E105" s="6">
        <v>3</v>
      </c>
      <c r="F105" s="6">
        <v>4</v>
      </c>
      <c r="G105" s="6">
        <v>5</v>
      </c>
      <c r="H105" s="6">
        <v>6</v>
      </c>
      <c r="I105" s="6">
        <v>7</v>
      </c>
      <c r="J105" s="6">
        <v>8</v>
      </c>
      <c r="K105" s="6">
        <v>9</v>
      </c>
      <c r="L105" s="6">
        <v>10</v>
      </c>
      <c r="M105" s="6">
        <v>11</v>
      </c>
      <c r="N105" s="6">
        <v>12</v>
      </c>
      <c r="O105" s="6">
        <v>13</v>
      </c>
      <c r="P105" s="6">
        <v>14</v>
      </c>
      <c r="Q105" s="6">
        <v>15</v>
      </c>
      <c r="R105" s="6">
        <v>16</v>
      </c>
      <c r="S105" s="6">
        <v>17</v>
      </c>
      <c r="T105" s="6">
        <v>18</v>
      </c>
      <c r="U105" s="6">
        <v>19</v>
      </c>
      <c r="V105" s="6">
        <v>20</v>
      </c>
      <c r="W105" s="6">
        <v>21</v>
      </c>
      <c r="X105" s="6">
        <v>22</v>
      </c>
      <c r="Y105" s="6">
        <v>23</v>
      </c>
      <c r="Z105" s="6">
        <v>24</v>
      </c>
      <c r="AA105" s="6">
        <v>25</v>
      </c>
      <c r="AB105" s="6">
        <v>26</v>
      </c>
      <c r="AC105" s="6">
        <v>27</v>
      </c>
      <c r="AD105" s="6">
        <v>28</v>
      </c>
      <c r="AE105" s="6">
        <v>29</v>
      </c>
      <c r="AF105" s="6">
        <v>30</v>
      </c>
      <c r="AG105" s="6">
        <v>31</v>
      </c>
      <c r="AH105" s="518" t="s">
        <v>105</v>
      </c>
      <c r="AI105" s="513" t="s">
        <v>106</v>
      </c>
      <c r="AJ105" s="186"/>
    </row>
    <row r="106" spans="2:36" ht="20.100000000000001" hidden="1" customHeight="1" outlineLevel="1" x14ac:dyDescent="0.4">
      <c r="B106" s="653"/>
      <c r="C106" s="6" t="s">
        <v>109</v>
      </c>
      <c r="D106" s="6" t="s">
        <v>110</v>
      </c>
      <c r="E106" s="6" t="s">
        <v>111</v>
      </c>
      <c r="F106" s="6" t="s">
        <v>69</v>
      </c>
      <c r="G106" s="6" t="s">
        <v>71</v>
      </c>
      <c r="H106" s="6" t="s">
        <v>107</v>
      </c>
      <c r="I106" s="6" t="s">
        <v>108</v>
      </c>
      <c r="J106" s="6" t="s">
        <v>109</v>
      </c>
      <c r="K106" s="6" t="s">
        <v>110</v>
      </c>
      <c r="L106" s="6" t="s">
        <v>111</v>
      </c>
      <c r="M106" s="6" t="s">
        <v>69</v>
      </c>
      <c r="N106" s="6" t="s">
        <v>71</v>
      </c>
      <c r="O106" s="6" t="s">
        <v>107</v>
      </c>
      <c r="P106" s="6" t="s">
        <v>108</v>
      </c>
      <c r="Q106" s="6" t="s">
        <v>109</v>
      </c>
      <c r="R106" s="6" t="s">
        <v>110</v>
      </c>
      <c r="S106" s="6" t="s">
        <v>111</v>
      </c>
      <c r="T106" s="6" t="s">
        <v>69</v>
      </c>
      <c r="U106" s="6" t="s">
        <v>71</v>
      </c>
      <c r="V106" s="6" t="s">
        <v>107</v>
      </c>
      <c r="W106" s="6" t="s">
        <v>108</v>
      </c>
      <c r="X106" s="6" t="s">
        <v>109</v>
      </c>
      <c r="Y106" s="6" t="s">
        <v>110</v>
      </c>
      <c r="Z106" s="6" t="s">
        <v>111</v>
      </c>
      <c r="AA106" s="6" t="s">
        <v>69</v>
      </c>
      <c r="AB106" s="6" t="s">
        <v>71</v>
      </c>
      <c r="AC106" s="6" t="s">
        <v>107</v>
      </c>
      <c r="AD106" s="6" t="s">
        <v>108</v>
      </c>
      <c r="AE106" s="6" t="s">
        <v>109</v>
      </c>
      <c r="AF106" s="6" t="s">
        <v>110</v>
      </c>
      <c r="AG106" s="6" t="s">
        <v>111</v>
      </c>
      <c r="AH106" s="520"/>
      <c r="AI106" s="515"/>
      <c r="AJ106" s="186"/>
    </row>
    <row r="107" spans="2:36" ht="20.100000000000001" hidden="1" customHeight="1" outlineLevel="1" x14ac:dyDescent="0.4">
      <c r="B107" s="4" t="s">
        <v>163</v>
      </c>
      <c r="C107" s="3" t="s">
        <v>411</v>
      </c>
      <c r="D107" s="203" t="s">
        <v>102</v>
      </c>
      <c r="E107" s="203" t="s">
        <v>102</v>
      </c>
      <c r="F107" s="203" t="s">
        <v>104</v>
      </c>
      <c r="G107" s="203" t="s">
        <v>104</v>
      </c>
      <c r="H107" s="203" t="s">
        <v>104</v>
      </c>
      <c r="I107" s="203" t="s">
        <v>104</v>
      </c>
      <c r="J107" s="203" t="s">
        <v>104</v>
      </c>
      <c r="K107" s="203" t="s">
        <v>102</v>
      </c>
      <c r="L107" s="203" t="s">
        <v>102</v>
      </c>
      <c r="M107" s="203" t="s">
        <v>104</v>
      </c>
      <c r="N107" s="203" t="s">
        <v>104</v>
      </c>
      <c r="O107" s="203" t="s">
        <v>104</v>
      </c>
      <c r="P107" s="203" t="s">
        <v>104</v>
      </c>
      <c r="Q107" s="203" t="s">
        <v>104</v>
      </c>
      <c r="R107" s="203" t="s">
        <v>102</v>
      </c>
      <c r="S107" s="203" t="s">
        <v>102</v>
      </c>
      <c r="T107" s="203" t="s">
        <v>104</v>
      </c>
      <c r="U107" s="203" t="s">
        <v>104</v>
      </c>
      <c r="V107" s="203" t="s">
        <v>104</v>
      </c>
      <c r="W107" s="203" t="s">
        <v>104</v>
      </c>
      <c r="X107" s="203" t="s">
        <v>104</v>
      </c>
      <c r="Y107" s="203" t="s">
        <v>102</v>
      </c>
      <c r="Z107" s="203" t="s">
        <v>102</v>
      </c>
      <c r="AA107" s="3" t="s">
        <v>411</v>
      </c>
      <c r="AB107" s="203" t="s">
        <v>104</v>
      </c>
      <c r="AC107" s="203" t="s">
        <v>104</v>
      </c>
      <c r="AD107" s="203" t="s">
        <v>104</v>
      </c>
      <c r="AE107" s="203" t="s">
        <v>104</v>
      </c>
      <c r="AF107" s="203" t="s">
        <v>102</v>
      </c>
      <c r="AG107" s="203" t="s">
        <v>102</v>
      </c>
      <c r="AH107" s="4">
        <f t="shared" ref="AH107:AH113" si="27">COUNTIF(C107:AF107,"L")</f>
        <v>0</v>
      </c>
      <c r="AI107" s="4">
        <f t="shared" ref="AI107:AI113" si="28">COUNTIF(C107:AF107,"A")</f>
        <v>19</v>
      </c>
      <c r="AJ107" s="186"/>
    </row>
    <row r="108" spans="2:36" ht="20.100000000000001" hidden="1" customHeight="1" outlineLevel="1" x14ac:dyDescent="0.4">
      <c r="B108" s="4" t="s">
        <v>402</v>
      </c>
      <c r="C108" s="3" t="s">
        <v>411</v>
      </c>
      <c r="D108" s="203" t="s">
        <v>102</v>
      </c>
      <c r="E108" s="203" t="s">
        <v>102</v>
      </c>
      <c r="F108" s="203" t="s">
        <v>104</v>
      </c>
      <c r="G108" s="203" t="s">
        <v>104</v>
      </c>
      <c r="H108" s="203" t="s">
        <v>104</v>
      </c>
      <c r="I108" s="203" t="s">
        <v>104</v>
      </c>
      <c r="J108" s="203" t="s">
        <v>104</v>
      </c>
      <c r="K108" s="203" t="s">
        <v>102</v>
      </c>
      <c r="L108" s="203" t="s">
        <v>102</v>
      </c>
      <c r="M108" s="203" t="s">
        <v>104</v>
      </c>
      <c r="N108" s="203" t="s">
        <v>104</v>
      </c>
      <c r="O108" s="203" t="s">
        <v>104</v>
      </c>
      <c r="P108" s="203" t="s">
        <v>104</v>
      </c>
      <c r="Q108" s="203" t="s">
        <v>104</v>
      </c>
      <c r="R108" s="203" t="s">
        <v>102</v>
      </c>
      <c r="S108" s="203" t="s">
        <v>102</v>
      </c>
      <c r="T108" s="203" t="s">
        <v>104</v>
      </c>
      <c r="U108" s="203" t="s">
        <v>104</v>
      </c>
      <c r="V108" s="203" t="s">
        <v>104</v>
      </c>
      <c r="W108" s="203" t="s">
        <v>104</v>
      </c>
      <c r="X108" s="203" t="s">
        <v>104</v>
      </c>
      <c r="Y108" s="203" t="s">
        <v>102</v>
      </c>
      <c r="Z108" s="203" t="s">
        <v>102</v>
      </c>
      <c r="AA108" s="3" t="s">
        <v>411</v>
      </c>
      <c r="AB108" s="203" t="s">
        <v>104</v>
      </c>
      <c r="AC108" s="203" t="s">
        <v>104</v>
      </c>
      <c r="AD108" s="203" t="s">
        <v>104</v>
      </c>
      <c r="AE108" s="203" t="s">
        <v>104</v>
      </c>
      <c r="AF108" s="203" t="s">
        <v>102</v>
      </c>
      <c r="AG108" s="203" t="s">
        <v>102</v>
      </c>
      <c r="AH108" s="4">
        <f t="shared" si="27"/>
        <v>0</v>
      </c>
      <c r="AI108" s="4">
        <f t="shared" si="28"/>
        <v>19</v>
      </c>
      <c r="AJ108" s="186"/>
    </row>
    <row r="109" spans="2:36" ht="20.100000000000001" hidden="1" customHeight="1" outlineLevel="1" x14ac:dyDescent="0.4">
      <c r="B109" s="4" t="s">
        <v>174</v>
      </c>
      <c r="C109" s="3" t="s">
        <v>411</v>
      </c>
      <c r="D109" s="203" t="s">
        <v>102</v>
      </c>
      <c r="E109" s="203" t="s">
        <v>102</v>
      </c>
      <c r="F109" s="203" t="s">
        <v>104</v>
      </c>
      <c r="G109" s="203" t="s">
        <v>104</v>
      </c>
      <c r="H109" s="203" t="s">
        <v>104</v>
      </c>
      <c r="I109" s="203" t="s">
        <v>104</v>
      </c>
      <c r="J109" s="203" t="s">
        <v>104</v>
      </c>
      <c r="K109" s="203" t="s">
        <v>102</v>
      </c>
      <c r="L109" s="203" t="s">
        <v>102</v>
      </c>
      <c r="M109" s="203" t="s">
        <v>104</v>
      </c>
      <c r="N109" s="203" t="s">
        <v>104</v>
      </c>
      <c r="O109" s="203" t="s">
        <v>104</v>
      </c>
      <c r="P109" s="203" t="s">
        <v>104</v>
      </c>
      <c r="Q109" s="203" t="s">
        <v>104</v>
      </c>
      <c r="R109" s="203" t="s">
        <v>102</v>
      </c>
      <c r="S109" s="203" t="s">
        <v>102</v>
      </c>
      <c r="T109" s="203" t="s">
        <v>104</v>
      </c>
      <c r="U109" s="203" t="s">
        <v>104</v>
      </c>
      <c r="V109" s="203" t="s">
        <v>104</v>
      </c>
      <c r="W109" s="203" t="s">
        <v>104</v>
      </c>
      <c r="X109" s="203" t="s">
        <v>104</v>
      </c>
      <c r="Y109" s="203" t="s">
        <v>102</v>
      </c>
      <c r="Z109" s="203" t="s">
        <v>102</v>
      </c>
      <c r="AA109" s="3" t="s">
        <v>411</v>
      </c>
      <c r="AB109" s="203" t="s">
        <v>104</v>
      </c>
      <c r="AC109" s="203" t="s">
        <v>104</v>
      </c>
      <c r="AD109" s="203" t="s">
        <v>104</v>
      </c>
      <c r="AE109" s="203" t="s">
        <v>104</v>
      </c>
      <c r="AF109" s="203" t="s">
        <v>102</v>
      </c>
      <c r="AG109" s="203" t="s">
        <v>102</v>
      </c>
      <c r="AH109" s="4">
        <f t="shared" si="27"/>
        <v>0</v>
      </c>
      <c r="AI109" s="4">
        <f t="shared" si="28"/>
        <v>19</v>
      </c>
    </row>
    <row r="110" spans="2:36" ht="20.100000000000001" hidden="1" customHeight="1" outlineLevel="1" x14ac:dyDescent="0.4">
      <c r="B110" s="4" t="s">
        <v>403</v>
      </c>
      <c r="C110" s="3" t="s">
        <v>411</v>
      </c>
      <c r="D110" s="203" t="s">
        <v>102</v>
      </c>
      <c r="E110" s="203" t="s">
        <v>102</v>
      </c>
      <c r="F110" s="203" t="s">
        <v>104</v>
      </c>
      <c r="G110" s="203" t="s">
        <v>104</v>
      </c>
      <c r="H110" s="203" t="s">
        <v>104</v>
      </c>
      <c r="I110" s="203" t="s">
        <v>104</v>
      </c>
      <c r="J110" s="203" t="s">
        <v>104</v>
      </c>
      <c r="K110" s="203" t="s">
        <v>102</v>
      </c>
      <c r="L110" s="203" t="s">
        <v>102</v>
      </c>
      <c r="M110" s="203" t="s">
        <v>104</v>
      </c>
      <c r="N110" s="203" t="s">
        <v>104</v>
      </c>
      <c r="O110" s="203" t="s">
        <v>104</v>
      </c>
      <c r="P110" s="203" t="s">
        <v>104</v>
      </c>
      <c r="Q110" s="203" t="s">
        <v>104</v>
      </c>
      <c r="R110" s="203" t="s">
        <v>102</v>
      </c>
      <c r="S110" s="203" t="s">
        <v>102</v>
      </c>
      <c r="T110" s="203" t="s">
        <v>104</v>
      </c>
      <c r="U110" s="203" t="s">
        <v>104</v>
      </c>
      <c r="V110" s="203" t="s">
        <v>104</v>
      </c>
      <c r="W110" s="203" t="s">
        <v>104</v>
      </c>
      <c r="X110" s="203" t="s">
        <v>104</v>
      </c>
      <c r="Y110" s="203" t="s">
        <v>102</v>
      </c>
      <c r="Z110" s="203" t="s">
        <v>102</v>
      </c>
      <c r="AA110" s="3" t="s">
        <v>411</v>
      </c>
      <c r="AB110" s="203" t="s">
        <v>104</v>
      </c>
      <c r="AC110" s="203" t="s">
        <v>104</v>
      </c>
      <c r="AD110" s="203" t="s">
        <v>104</v>
      </c>
      <c r="AE110" s="203" t="s">
        <v>104</v>
      </c>
      <c r="AF110" s="203" t="s">
        <v>102</v>
      </c>
      <c r="AG110" s="203" t="s">
        <v>102</v>
      </c>
      <c r="AH110" s="4">
        <f t="shared" si="27"/>
        <v>0</v>
      </c>
      <c r="AI110" s="4">
        <f t="shared" si="28"/>
        <v>19</v>
      </c>
      <c r="AJ110" s="199"/>
    </row>
    <row r="111" spans="2:36" ht="20.100000000000001" hidden="1" customHeight="1" outlineLevel="1" x14ac:dyDescent="0.4">
      <c r="B111" s="4" t="s">
        <v>404</v>
      </c>
      <c r="C111" s="3" t="s">
        <v>411</v>
      </c>
      <c r="D111" s="203" t="s">
        <v>102</v>
      </c>
      <c r="E111" s="203" t="s">
        <v>102</v>
      </c>
      <c r="F111" s="203" t="s">
        <v>104</v>
      </c>
      <c r="G111" s="203" t="s">
        <v>104</v>
      </c>
      <c r="H111" s="203" t="s">
        <v>104</v>
      </c>
      <c r="I111" s="203" t="s">
        <v>104</v>
      </c>
      <c r="J111" s="203" t="s">
        <v>104</v>
      </c>
      <c r="K111" s="203" t="s">
        <v>102</v>
      </c>
      <c r="L111" s="203" t="s">
        <v>102</v>
      </c>
      <c r="M111" s="203" t="s">
        <v>104</v>
      </c>
      <c r="N111" s="203" t="s">
        <v>104</v>
      </c>
      <c r="O111" s="203" t="s">
        <v>104</v>
      </c>
      <c r="P111" s="203" t="s">
        <v>104</v>
      </c>
      <c r="Q111" s="203" t="s">
        <v>104</v>
      </c>
      <c r="R111" s="203" t="s">
        <v>102</v>
      </c>
      <c r="S111" s="203" t="s">
        <v>102</v>
      </c>
      <c r="T111" s="203" t="s">
        <v>104</v>
      </c>
      <c r="U111" s="203" t="s">
        <v>104</v>
      </c>
      <c r="V111" s="203" t="s">
        <v>104</v>
      </c>
      <c r="W111" s="203" t="s">
        <v>104</v>
      </c>
      <c r="X111" s="203" t="s">
        <v>104</v>
      </c>
      <c r="Y111" s="203" t="s">
        <v>102</v>
      </c>
      <c r="Z111" s="203" t="s">
        <v>102</v>
      </c>
      <c r="AA111" s="3" t="s">
        <v>411</v>
      </c>
      <c r="AB111" s="203" t="s">
        <v>104</v>
      </c>
      <c r="AC111" s="203" t="s">
        <v>104</v>
      </c>
      <c r="AD111" s="203" t="s">
        <v>104</v>
      </c>
      <c r="AE111" s="203" t="s">
        <v>104</v>
      </c>
      <c r="AF111" s="203" t="s">
        <v>102</v>
      </c>
      <c r="AG111" s="203" t="s">
        <v>102</v>
      </c>
      <c r="AH111" s="4">
        <f t="shared" si="27"/>
        <v>0</v>
      </c>
      <c r="AI111" s="4">
        <f t="shared" si="28"/>
        <v>19</v>
      </c>
    </row>
    <row r="112" spans="2:36" ht="20.100000000000001" hidden="1" customHeight="1" outlineLevel="1" x14ac:dyDescent="0.4">
      <c r="B112" s="4" t="s">
        <v>405</v>
      </c>
      <c r="C112" s="3" t="s">
        <v>411</v>
      </c>
      <c r="D112" s="203" t="s">
        <v>102</v>
      </c>
      <c r="E112" s="203" t="s">
        <v>102</v>
      </c>
      <c r="F112" s="203" t="s">
        <v>104</v>
      </c>
      <c r="G112" s="203" t="s">
        <v>104</v>
      </c>
      <c r="H112" s="203" t="s">
        <v>104</v>
      </c>
      <c r="I112" s="203" t="s">
        <v>104</v>
      </c>
      <c r="J112" s="203" t="s">
        <v>104</v>
      </c>
      <c r="K112" s="203" t="s">
        <v>102</v>
      </c>
      <c r="L112" s="203" t="s">
        <v>102</v>
      </c>
      <c r="M112" s="203" t="s">
        <v>104</v>
      </c>
      <c r="N112" s="203" t="s">
        <v>104</v>
      </c>
      <c r="O112" s="203" t="s">
        <v>104</v>
      </c>
      <c r="P112" s="203" t="s">
        <v>104</v>
      </c>
      <c r="Q112" s="203" t="s">
        <v>104</v>
      </c>
      <c r="R112" s="203" t="s">
        <v>102</v>
      </c>
      <c r="S112" s="203" t="s">
        <v>102</v>
      </c>
      <c r="T112" s="203" t="s">
        <v>104</v>
      </c>
      <c r="U112" s="203" t="s">
        <v>104</v>
      </c>
      <c r="V112" s="203" t="s">
        <v>104</v>
      </c>
      <c r="W112" s="203" t="s">
        <v>104</v>
      </c>
      <c r="X112" s="203" t="s">
        <v>104</v>
      </c>
      <c r="Y112" s="203" t="s">
        <v>102</v>
      </c>
      <c r="Z112" s="203" t="s">
        <v>102</v>
      </c>
      <c r="AA112" s="3" t="s">
        <v>411</v>
      </c>
      <c r="AB112" s="203" t="s">
        <v>104</v>
      </c>
      <c r="AC112" s="203" t="s">
        <v>104</v>
      </c>
      <c r="AD112" s="203" t="s">
        <v>104</v>
      </c>
      <c r="AE112" s="203" t="s">
        <v>104</v>
      </c>
      <c r="AF112" s="203" t="s">
        <v>102</v>
      </c>
      <c r="AG112" s="203" t="s">
        <v>102</v>
      </c>
      <c r="AH112" s="4">
        <f t="shared" si="27"/>
        <v>0</v>
      </c>
      <c r="AI112" s="4">
        <f t="shared" si="28"/>
        <v>19</v>
      </c>
    </row>
    <row r="113" spans="2:36" ht="20.100000000000001" hidden="1" customHeight="1" outlineLevel="1" x14ac:dyDescent="0.4">
      <c r="B113" s="4" t="s">
        <v>406</v>
      </c>
      <c r="C113" s="3" t="s">
        <v>411</v>
      </c>
      <c r="D113" s="203" t="s">
        <v>102</v>
      </c>
      <c r="E113" s="203" t="s">
        <v>102</v>
      </c>
      <c r="F113" s="203" t="s">
        <v>104</v>
      </c>
      <c r="G113" s="203" t="s">
        <v>104</v>
      </c>
      <c r="H113" s="203" t="s">
        <v>104</v>
      </c>
      <c r="I113" s="203" t="s">
        <v>104</v>
      </c>
      <c r="J113" s="203" t="s">
        <v>104</v>
      </c>
      <c r="K113" s="203" t="s">
        <v>102</v>
      </c>
      <c r="L113" s="203" t="s">
        <v>102</v>
      </c>
      <c r="M113" s="203" t="s">
        <v>104</v>
      </c>
      <c r="N113" s="203" t="s">
        <v>104</v>
      </c>
      <c r="O113" s="203" t="s">
        <v>104</v>
      </c>
      <c r="P113" s="203" t="s">
        <v>104</v>
      </c>
      <c r="Q113" s="203" t="s">
        <v>104</v>
      </c>
      <c r="R113" s="203" t="s">
        <v>102</v>
      </c>
      <c r="S113" s="203" t="s">
        <v>102</v>
      </c>
      <c r="T113" s="203" t="s">
        <v>104</v>
      </c>
      <c r="U113" s="203" t="s">
        <v>104</v>
      </c>
      <c r="V113" s="203" t="s">
        <v>104</v>
      </c>
      <c r="W113" s="203" t="s">
        <v>104</v>
      </c>
      <c r="X113" s="203" t="s">
        <v>104</v>
      </c>
      <c r="Y113" s="203" t="s">
        <v>102</v>
      </c>
      <c r="Z113" s="203" t="s">
        <v>102</v>
      </c>
      <c r="AA113" s="3" t="s">
        <v>411</v>
      </c>
      <c r="AB113" s="203" t="s">
        <v>104</v>
      </c>
      <c r="AC113" s="203" t="s">
        <v>104</v>
      </c>
      <c r="AD113" s="203" t="s">
        <v>104</v>
      </c>
      <c r="AE113" s="203" t="s">
        <v>104</v>
      </c>
      <c r="AF113" s="203" t="s">
        <v>102</v>
      </c>
      <c r="AG113" s="203" t="s">
        <v>102</v>
      </c>
      <c r="AH113" s="4">
        <f t="shared" si="27"/>
        <v>0</v>
      </c>
      <c r="AI113" s="4">
        <f t="shared" si="28"/>
        <v>19</v>
      </c>
    </row>
    <row r="114" spans="2:36" ht="20.100000000000001" hidden="1" customHeight="1" outlineLevel="1" x14ac:dyDescent="0.4">
      <c r="AI114" s="199">
        <f>AI117*7.5</f>
        <v>127.5</v>
      </c>
    </row>
    <row r="115" spans="2:36" ht="20.100000000000001" hidden="1" customHeight="1" outlineLevel="1" x14ac:dyDescent="0.4">
      <c r="B115" s="652">
        <f>DATE(YEAR(B105),MONTH(B105)+1,DAY(B105))</f>
        <v>46419</v>
      </c>
      <c r="C115" s="6">
        <v>1</v>
      </c>
      <c r="D115" s="6">
        <v>2</v>
      </c>
      <c r="E115" s="6">
        <v>3</v>
      </c>
      <c r="F115" s="6">
        <v>4</v>
      </c>
      <c r="G115" s="6">
        <v>5</v>
      </c>
      <c r="H115" s="6">
        <v>6</v>
      </c>
      <c r="I115" s="6">
        <v>7</v>
      </c>
      <c r="J115" s="6">
        <v>8</v>
      </c>
      <c r="K115" s="6">
        <v>9</v>
      </c>
      <c r="L115" s="6">
        <v>10</v>
      </c>
      <c r="M115" s="6">
        <v>11</v>
      </c>
      <c r="N115" s="6">
        <v>12</v>
      </c>
      <c r="O115" s="6">
        <v>13</v>
      </c>
      <c r="P115" s="6">
        <v>14</v>
      </c>
      <c r="Q115" s="6">
        <v>15</v>
      </c>
      <c r="R115" s="6">
        <v>16</v>
      </c>
      <c r="S115" s="6">
        <v>17</v>
      </c>
      <c r="T115" s="6">
        <v>18</v>
      </c>
      <c r="U115" s="6">
        <v>19</v>
      </c>
      <c r="V115" s="6">
        <v>20</v>
      </c>
      <c r="W115" s="6">
        <v>21</v>
      </c>
      <c r="X115" s="6">
        <v>22</v>
      </c>
      <c r="Y115" s="6">
        <v>23</v>
      </c>
      <c r="Z115" s="6">
        <v>24</v>
      </c>
      <c r="AA115" s="6">
        <v>25</v>
      </c>
      <c r="AB115" s="6">
        <v>26</v>
      </c>
      <c r="AC115" s="6">
        <v>27</v>
      </c>
      <c r="AD115" s="6">
        <v>28</v>
      </c>
      <c r="AE115" s="6"/>
      <c r="AF115" s="6"/>
      <c r="AG115" s="6"/>
      <c r="AH115" s="518" t="s">
        <v>105</v>
      </c>
      <c r="AI115" s="513" t="s">
        <v>106</v>
      </c>
      <c r="AJ115" s="186"/>
    </row>
    <row r="116" spans="2:36" ht="20.100000000000001" hidden="1" customHeight="1" outlineLevel="1" x14ac:dyDescent="0.4">
      <c r="B116" s="653"/>
      <c r="C116" s="6" t="s">
        <v>69</v>
      </c>
      <c r="D116" s="6" t="s">
        <v>71</v>
      </c>
      <c r="E116" s="6" t="s">
        <v>107</v>
      </c>
      <c r="F116" s="6" t="s">
        <v>108</v>
      </c>
      <c r="G116" s="6" t="s">
        <v>109</v>
      </c>
      <c r="H116" s="6" t="s">
        <v>110</v>
      </c>
      <c r="I116" s="6" t="s">
        <v>111</v>
      </c>
      <c r="J116" s="6" t="s">
        <v>69</v>
      </c>
      <c r="K116" s="6" t="s">
        <v>71</v>
      </c>
      <c r="L116" s="6" t="s">
        <v>107</v>
      </c>
      <c r="M116" s="6" t="s">
        <v>108</v>
      </c>
      <c r="N116" s="6" t="s">
        <v>109</v>
      </c>
      <c r="O116" s="6" t="s">
        <v>110</v>
      </c>
      <c r="P116" s="6" t="s">
        <v>111</v>
      </c>
      <c r="Q116" s="6" t="s">
        <v>69</v>
      </c>
      <c r="R116" s="6" t="s">
        <v>71</v>
      </c>
      <c r="S116" s="6" t="s">
        <v>107</v>
      </c>
      <c r="T116" s="6" t="s">
        <v>108</v>
      </c>
      <c r="U116" s="6" t="s">
        <v>109</v>
      </c>
      <c r="V116" s="6" t="s">
        <v>110</v>
      </c>
      <c r="W116" s="6" t="s">
        <v>111</v>
      </c>
      <c r="X116" s="6" t="s">
        <v>69</v>
      </c>
      <c r="Y116" s="6" t="s">
        <v>71</v>
      </c>
      <c r="Z116" s="6" t="s">
        <v>107</v>
      </c>
      <c r="AA116" s="6" t="s">
        <v>108</v>
      </c>
      <c r="AB116" s="6" t="s">
        <v>109</v>
      </c>
      <c r="AC116" s="6" t="s">
        <v>110</v>
      </c>
      <c r="AD116" s="6" t="s">
        <v>111</v>
      </c>
      <c r="AE116" s="6"/>
      <c r="AF116" s="6"/>
      <c r="AG116" s="6"/>
      <c r="AH116" s="520"/>
      <c r="AI116" s="515"/>
      <c r="AJ116" s="186"/>
    </row>
    <row r="117" spans="2:36" ht="20.100000000000001" hidden="1" customHeight="1" outlineLevel="1" x14ac:dyDescent="0.4">
      <c r="B117" s="4" t="s">
        <v>163</v>
      </c>
      <c r="C117" s="203" t="s">
        <v>104</v>
      </c>
      <c r="D117" s="203" t="s">
        <v>104</v>
      </c>
      <c r="E117" s="203" t="s">
        <v>104</v>
      </c>
      <c r="F117" s="203" t="s">
        <v>104</v>
      </c>
      <c r="G117" s="203" t="s">
        <v>104</v>
      </c>
      <c r="H117" s="203" t="s">
        <v>102</v>
      </c>
      <c r="I117" s="203" t="s">
        <v>102</v>
      </c>
      <c r="J117" s="203" t="s">
        <v>104</v>
      </c>
      <c r="K117" s="203" t="s">
        <v>104</v>
      </c>
      <c r="L117" s="203" t="s">
        <v>104</v>
      </c>
      <c r="M117" s="203" t="s">
        <v>104</v>
      </c>
      <c r="N117" s="3" t="s">
        <v>411</v>
      </c>
      <c r="O117" s="203" t="s">
        <v>102</v>
      </c>
      <c r="P117" s="203" t="s">
        <v>102</v>
      </c>
      <c r="Q117" s="203" t="s">
        <v>104</v>
      </c>
      <c r="R117" s="3" t="s">
        <v>411</v>
      </c>
      <c r="S117" s="3" t="s">
        <v>411</v>
      </c>
      <c r="T117" s="203" t="s">
        <v>104</v>
      </c>
      <c r="U117" s="203" t="s">
        <v>104</v>
      </c>
      <c r="V117" s="203" t="s">
        <v>102</v>
      </c>
      <c r="W117" s="203" t="s">
        <v>102</v>
      </c>
      <c r="X117" s="203" t="s">
        <v>104</v>
      </c>
      <c r="Y117" s="203" t="s">
        <v>104</v>
      </c>
      <c r="Z117" s="203" t="s">
        <v>104</v>
      </c>
      <c r="AA117" s="203" t="s">
        <v>104</v>
      </c>
      <c r="AB117" s="203" t="s">
        <v>104</v>
      </c>
      <c r="AC117" s="203" t="s">
        <v>102</v>
      </c>
      <c r="AD117" s="203" t="s">
        <v>102</v>
      </c>
      <c r="AE117" s="203"/>
      <c r="AF117" s="60"/>
      <c r="AG117" s="60"/>
      <c r="AH117" s="4">
        <f>COUNTIF(C117:AG117,"L")</f>
        <v>0</v>
      </c>
      <c r="AI117" s="4">
        <f>COUNTIF(C117:AG117,"A")</f>
        <v>17</v>
      </c>
      <c r="AJ117" s="186"/>
    </row>
    <row r="118" spans="2:36" ht="20.100000000000001" hidden="1" customHeight="1" outlineLevel="1" x14ac:dyDescent="0.4">
      <c r="B118" s="4" t="s">
        <v>402</v>
      </c>
      <c r="C118" s="203" t="s">
        <v>104</v>
      </c>
      <c r="D118" s="203" t="s">
        <v>104</v>
      </c>
      <c r="E118" s="203" t="s">
        <v>104</v>
      </c>
      <c r="F118" s="203" t="s">
        <v>104</v>
      </c>
      <c r="G118" s="203" t="s">
        <v>104</v>
      </c>
      <c r="H118" s="203" t="s">
        <v>102</v>
      </c>
      <c r="I118" s="203" t="s">
        <v>102</v>
      </c>
      <c r="J118" s="203" t="s">
        <v>104</v>
      </c>
      <c r="K118" s="203" t="s">
        <v>104</v>
      </c>
      <c r="L118" s="203" t="s">
        <v>104</v>
      </c>
      <c r="M118" s="203" t="s">
        <v>104</v>
      </c>
      <c r="N118" s="3" t="s">
        <v>411</v>
      </c>
      <c r="O118" s="203" t="s">
        <v>102</v>
      </c>
      <c r="P118" s="203" t="s">
        <v>102</v>
      </c>
      <c r="Q118" s="203" t="s">
        <v>104</v>
      </c>
      <c r="R118" s="3" t="s">
        <v>411</v>
      </c>
      <c r="S118" s="3" t="s">
        <v>411</v>
      </c>
      <c r="T118" s="203" t="s">
        <v>104</v>
      </c>
      <c r="U118" s="203" t="s">
        <v>104</v>
      </c>
      <c r="V118" s="203" t="s">
        <v>102</v>
      </c>
      <c r="W118" s="203" t="s">
        <v>102</v>
      </c>
      <c r="X118" s="203" t="s">
        <v>104</v>
      </c>
      <c r="Y118" s="203" t="s">
        <v>104</v>
      </c>
      <c r="Z118" s="203" t="s">
        <v>104</v>
      </c>
      <c r="AA118" s="203" t="s">
        <v>104</v>
      </c>
      <c r="AB118" s="203" t="s">
        <v>104</v>
      </c>
      <c r="AC118" s="203" t="s">
        <v>102</v>
      </c>
      <c r="AD118" s="203" t="s">
        <v>102</v>
      </c>
      <c r="AE118" s="203"/>
      <c r="AF118" s="60"/>
      <c r="AG118" s="60"/>
      <c r="AH118" s="4">
        <f t="shared" ref="AH118:AH123" si="29">COUNTIF(C118:AG118,"L")</f>
        <v>0</v>
      </c>
      <c r="AI118" s="4">
        <f t="shared" ref="AI118:AI123" si="30">COUNTIF(C118:AG118,"A")</f>
        <v>17</v>
      </c>
      <c r="AJ118" s="186"/>
    </row>
    <row r="119" spans="2:36" ht="20.100000000000001" hidden="1" customHeight="1" outlineLevel="1" x14ac:dyDescent="0.4">
      <c r="B119" s="4" t="s">
        <v>174</v>
      </c>
      <c r="C119" s="203" t="s">
        <v>104</v>
      </c>
      <c r="D119" s="203" t="s">
        <v>104</v>
      </c>
      <c r="E119" s="203" t="s">
        <v>104</v>
      </c>
      <c r="F119" s="203" t="s">
        <v>104</v>
      </c>
      <c r="G119" s="203" t="s">
        <v>104</v>
      </c>
      <c r="H119" s="203" t="s">
        <v>102</v>
      </c>
      <c r="I119" s="203" t="s">
        <v>102</v>
      </c>
      <c r="J119" s="203" t="s">
        <v>104</v>
      </c>
      <c r="K119" s="203" t="s">
        <v>104</v>
      </c>
      <c r="L119" s="203" t="s">
        <v>104</v>
      </c>
      <c r="M119" s="203" t="s">
        <v>104</v>
      </c>
      <c r="N119" s="3" t="s">
        <v>411</v>
      </c>
      <c r="O119" s="203" t="s">
        <v>102</v>
      </c>
      <c r="P119" s="203" t="s">
        <v>102</v>
      </c>
      <c r="Q119" s="203" t="s">
        <v>104</v>
      </c>
      <c r="R119" s="3" t="s">
        <v>411</v>
      </c>
      <c r="S119" s="3" t="s">
        <v>411</v>
      </c>
      <c r="T119" s="203" t="s">
        <v>104</v>
      </c>
      <c r="U119" s="203" t="s">
        <v>104</v>
      </c>
      <c r="V119" s="203" t="s">
        <v>102</v>
      </c>
      <c r="W119" s="203" t="s">
        <v>102</v>
      </c>
      <c r="X119" s="203" t="s">
        <v>104</v>
      </c>
      <c r="Y119" s="203" t="s">
        <v>104</v>
      </c>
      <c r="Z119" s="203" t="s">
        <v>104</v>
      </c>
      <c r="AA119" s="203" t="s">
        <v>104</v>
      </c>
      <c r="AB119" s="203" t="s">
        <v>104</v>
      </c>
      <c r="AC119" s="203" t="s">
        <v>102</v>
      </c>
      <c r="AD119" s="203" t="s">
        <v>102</v>
      </c>
      <c r="AE119" s="203"/>
      <c r="AF119" s="74"/>
      <c r="AG119" s="74"/>
      <c r="AH119" s="4">
        <f t="shared" ref="AH119:AH121" si="31">COUNTIF(C119:AG119,"L")</f>
        <v>0</v>
      </c>
      <c r="AI119" s="4">
        <f t="shared" ref="AI119:AI121" si="32">COUNTIF(C119:AG119,"A")</f>
        <v>17</v>
      </c>
    </row>
    <row r="120" spans="2:36" ht="20.100000000000001" hidden="1" customHeight="1" outlineLevel="1" x14ac:dyDescent="0.4">
      <c r="B120" s="4" t="s">
        <v>403</v>
      </c>
      <c r="C120" s="203" t="s">
        <v>104</v>
      </c>
      <c r="D120" s="203" t="s">
        <v>104</v>
      </c>
      <c r="E120" s="203" t="s">
        <v>104</v>
      </c>
      <c r="F120" s="203" t="s">
        <v>104</v>
      </c>
      <c r="G120" s="203" t="s">
        <v>104</v>
      </c>
      <c r="H120" s="203" t="s">
        <v>102</v>
      </c>
      <c r="I120" s="203" t="s">
        <v>102</v>
      </c>
      <c r="J120" s="203" t="s">
        <v>104</v>
      </c>
      <c r="K120" s="203" t="s">
        <v>104</v>
      </c>
      <c r="L120" s="203" t="s">
        <v>104</v>
      </c>
      <c r="M120" s="203" t="s">
        <v>104</v>
      </c>
      <c r="N120" s="3" t="s">
        <v>411</v>
      </c>
      <c r="O120" s="203" t="s">
        <v>102</v>
      </c>
      <c r="P120" s="203" t="s">
        <v>102</v>
      </c>
      <c r="Q120" s="203" t="s">
        <v>104</v>
      </c>
      <c r="R120" s="3" t="s">
        <v>411</v>
      </c>
      <c r="S120" s="3" t="s">
        <v>411</v>
      </c>
      <c r="T120" s="203" t="s">
        <v>104</v>
      </c>
      <c r="U120" s="203" t="s">
        <v>104</v>
      </c>
      <c r="V120" s="203" t="s">
        <v>102</v>
      </c>
      <c r="W120" s="203" t="s">
        <v>102</v>
      </c>
      <c r="X120" s="203" t="s">
        <v>104</v>
      </c>
      <c r="Y120" s="203" t="s">
        <v>104</v>
      </c>
      <c r="Z120" s="203" t="s">
        <v>104</v>
      </c>
      <c r="AA120" s="203" t="s">
        <v>104</v>
      </c>
      <c r="AB120" s="203" t="s">
        <v>104</v>
      </c>
      <c r="AC120" s="203" t="s">
        <v>102</v>
      </c>
      <c r="AD120" s="203" t="s">
        <v>102</v>
      </c>
      <c r="AE120" s="203"/>
      <c r="AF120" s="74"/>
      <c r="AG120" s="74"/>
      <c r="AH120" s="4">
        <f t="shared" si="31"/>
        <v>0</v>
      </c>
      <c r="AI120" s="4">
        <f t="shared" si="32"/>
        <v>17</v>
      </c>
      <c r="AJ120" s="199"/>
    </row>
    <row r="121" spans="2:36" ht="20.100000000000001" hidden="1" customHeight="1" outlineLevel="1" x14ac:dyDescent="0.4">
      <c r="B121" s="4" t="s">
        <v>404</v>
      </c>
      <c r="C121" s="203" t="s">
        <v>104</v>
      </c>
      <c r="D121" s="203" t="s">
        <v>104</v>
      </c>
      <c r="E121" s="203" t="s">
        <v>104</v>
      </c>
      <c r="F121" s="203" t="s">
        <v>104</v>
      </c>
      <c r="G121" s="203" t="s">
        <v>104</v>
      </c>
      <c r="H121" s="203" t="s">
        <v>102</v>
      </c>
      <c r="I121" s="203" t="s">
        <v>102</v>
      </c>
      <c r="J121" s="203" t="s">
        <v>104</v>
      </c>
      <c r="K121" s="203" t="s">
        <v>104</v>
      </c>
      <c r="L121" s="203" t="s">
        <v>104</v>
      </c>
      <c r="M121" s="203" t="s">
        <v>104</v>
      </c>
      <c r="N121" s="3" t="s">
        <v>411</v>
      </c>
      <c r="O121" s="203" t="s">
        <v>102</v>
      </c>
      <c r="P121" s="203" t="s">
        <v>102</v>
      </c>
      <c r="Q121" s="203" t="s">
        <v>104</v>
      </c>
      <c r="R121" s="3" t="s">
        <v>411</v>
      </c>
      <c r="S121" s="3" t="s">
        <v>411</v>
      </c>
      <c r="T121" s="203" t="s">
        <v>104</v>
      </c>
      <c r="U121" s="203" t="s">
        <v>104</v>
      </c>
      <c r="V121" s="203" t="s">
        <v>102</v>
      </c>
      <c r="W121" s="203" t="s">
        <v>102</v>
      </c>
      <c r="X121" s="203" t="s">
        <v>104</v>
      </c>
      <c r="Y121" s="203" t="s">
        <v>104</v>
      </c>
      <c r="Z121" s="203" t="s">
        <v>104</v>
      </c>
      <c r="AA121" s="203" t="s">
        <v>104</v>
      </c>
      <c r="AB121" s="203" t="s">
        <v>104</v>
      </c>
      <c r="AC121" s="203" t="s">
        <v>102</v>
      </c>
      <c r="AD121" s="203" t="s">
        <v>102</v>
      </c>
      <c r="AE121" s="203"/>
      <c r="AF121" s="74"/>
      <c r="AG121" s="74"/>
      <c r="AH121" s="4">
        <f t="shared" si="31"/>
        <v>0</v>
      </c>
      <c r="AI121" s="4">
        <f t="shared" si="32"/>
        <v>17</v>
      </c>
      <c r="AJ121" s="186"/>
    </row>
    <row r="122" spans="2:36" ht="20.100000000000001" hidden="1" customHeight="1" outlineLevel="1" x14ac:dyDescent="0.4">
      <c r="B122" s="4" t="s">
        <v>405</v>
      </c>
      <c r="C122" s="203" t="s">
        <v>104</v>
      </c>
      <c r="D122" s="203" t="s">
        <v>104</v>
      </c>
      <c r="E122" s="203" t="s">
        <v>104</v>
      </c>
      <c r="F122" s="203" t="s">
        <v>104</v>
      </c>
      <c r="G122" s="203" t="s">
        <v>104</v>
      </c>
      <c r="H122" s="203" t="s">
        <v>102</v>
      </c>
      <c r="I122" s="203" t="s">
        <v>102</v>
      </c>
      <c r="J122" s="203" t="s">
        <v>104</v>
      </c>
      <c r="K122" s="203" t="s">
        <v>104</v>
      </c>
      <c r="L122" s="203" t="s">
        <v>104</v>
      </c>
      <c r="M122" s="203" t="s">
        <v>104</v>
      </c>
      <c r="N122" s="3" t="s">
        <v>411</v>
      </c>
      <c r="O122" s="203" t="s">
        <v>102</v>
      </c>
      <c r="P122" s="203" t="s">
        <v>102</v>
      </c>
      <c r="Q122" s="203" t="s">
        <v>104</v>
      </c>
      <c r="R122" s="3" t="s">
        <v>411</v>
      </c>
      <c r="S122" s="3" t="s">
        <v>411</v>
      </c>
      <c r="T122" s="203" t="s">
        <v>104</v>
      </c>
      <c r="U122" s="203" t="s">
        <v>104</v>
      </c>
      <c r="V122" s="203" t="s">
        <v>102</v>
      </c>
      <c r="W122" s="203" t="s">
        <v>102</v>
      </c>
      <c r="X122" s="203" t="s">
        <v>104</v>
      </c>
      <c r="Y122" s="203" t="s">
        <v>104</v>
      </c>
      <c r="Z122" s="203" t="s">
        <v>104</v>
      </c>
      <c r="AA122" s="203" t="s">
        <v>104</v>
      </c>
      <c r="AB122" s="203" t="s">
        <v>104</v>
      </c>
      <c r="AC122" s="203" t="s">
        <v>102</v>
      </c>
      <c r="AD122" s="203" t="s">
        <v>102</v>
      </c>
      <c r="AE122" s="203"/>
      <c r="AF122" s="60"/>
      <c r="AG122" s="60"/>
      <c r="AH122" s="4">
        <f t="shared" si="29"/>
        <v>0</v>
      </c>
      <c r="AI122" s="4">
        <f t="shared" si="30"/>
        <v>17</v>
      </c>
    </row>
    <row r="123" spans="2:36" ht="20.100000000000001" hidden="1" customHeight="1" outlineLevel="1" x14ac:dyDescent="0.4">
      <c r="B123" s="4" t="s">
        <v>406</v>
      </c>
      <c r="C123" s="203" t="s">
        <v>104</v>
      </c>
      <c r="D123" s="203" t="s">
        <v>104</v>
      </c>
      <c r="E123" s="203" t="s">
        <v>104</v>
      </c>
      <c r="F123" s="203" t="s">
        <v>104</v>
      </c>
      <c r="G123" s="203" t="s">
        <v>104</v>
      </c>
      <c r="H123" s="203" t="s">
        <v>102</v>
      </c>
      <c r="I123" s="203" t="s">
        <v>102</v>
      </c>
      <c r="J123" s="203" t="s">
        <v>104</v>
      </c>
      <c r="K123" s="203" t="s">
        <v>104</v>
      </c>
      <c r="L123" s="203" t="s">
        <v>104</v>
      </c>
      <c r="M123" s="203" t="s">
        <v>104</v>
      </c>
      <c r="N123" s="3" t="s">
        <v>411</v>
      </c>
      <c r="O123" s="203" t="s">
        <v>102</v>
      </c>
      <c r="P123" s="203" t="s">
        <v>102</v>
      </c>
      <c r="Q123" s="203" t="s">
        <v>104</v>
      </c>
      <c r="R123" s="3" t="s">
        <v>411</v>
      </c>
      <c r="S123" s="3" t="s">
        <v>411</v>
      </c>
      <c r="T123" s="203" t="s">
        <v>104</v>
      </c>
      <c r="U123" s="203" t="s">
        <v>104</v>
      </c>
      <c r="V123" s="203" t="s">
        <v>102</v>
      </c>
      <c r="W123" s="203" t="s">
        <v>102</v>
      </c>
      <c r="X123" s="203" t="s">
        <v>104</v>
      </c>
      <c r="Y123" s="203" t="s">
        <v>104</v>
      </c>
      <c r="Z123" s="203" t="s">
        <v>104</v>
      </c>
      <c r="AA123" s="203" t="s">
        <v>104</v>
      </c>
      <c r="AB123" s="203" t="s">
        <v>104</v>
      </c>
      <c r="AC123" s="203" t="s">
        <v>102</v>
      </c>
      <c r="AD123" s="203" t="s">
        <v>102</v>
      </c>
      <c r="AE123" s="203"/>
      <c r="AF123" s="60"/>
      <c r="AG123" s="60"/>
      <c r="AH123" s="4">
        <f t="shared" si="29"/>
        <v>0</v>
      </c>
      <c r="AI123" s="4">
        <f t="shared" si="30"/>
        <v>17</v>
      </c>
    </row>
    <row r="124" spans="2:36" ht="20.100000000000001" hidden="1" customHeight="1" outlineLevel="1" x14ac:dyDescent="0.4">
      <c r="AI124" s="199">
        <f>AI127*7.5</f>
        <v>165</v>
      </c>
    </row>
    <row r="125" spans="2:36" ht="20.100000000000001" hidden="1" customHeight="1" outlineLevel="1" x14ac:dyDescent="0.4">
      <c r="B125" s="652">
        <f>DATE(YEAR(B115),MONTH(B115)+1,DAY(B115))</f>
        <v>46447</v>
      </c>
      <c r="C125" s="6">
        <v>1</v>
      </c>
      <c r="D125" s="6">
        <v>2</v>
      </c>
      <c r="E125" s="6">
        <v>3</v>
      </c>
      <c r="F125" s="6">
        <v>4</v>
      </c>
      <c r="G125" s="6">
        <v>5</v>
      </c>
      <c r="H125" s="6">
        <v>6</v>
      </c>
      <c r="I125" s="6">
        <v>7</v>
      </c>
      <c r="J125" s="6">
        <v>8</v>
      </c>
      <c r="K125" s="6">
        <v>9</v>
      </c>
      <c r="L125" s="6">
        <v>10</v>
      </c>
      <c r="M125" s="6">
        <v>11</v>
      </c>
      <c r="N125" s="6">
        <v>12</v>
      </c>
      <c r="O125" s="6">
        <v>13</v>
      </c>
      <c r="P125" s="6">
        <v>14</v>
      </c>
      <c r="Q125" s="6">
        <v>15</v>
      </c>
      <c r="R125" s="6">
        <v>16</v>
      </c>
      <c r="S125" s="6">
        <v>17</v>
      </c>
      <c r="T125" s="6">
        <v>18</v>
      </c>
      <c r="U125" s="6">
        <v>19</v>
      </c>
      <c r="V125" s="6">
        <v>20</v>
      </c>
      <c r="W125" s="6">
        <v>21</v>
      </c>
      <c r="X125" s="6">
        <v>22</v>
      </c>
      <c r="Y125" s="6">
        <v>23</v>
      </c>
      <c r="Z125" s="6">
        <v>24</v>
      </c>
      <c r="AA125" s="6">
        <v>25</v>
      </c>
      <c r="AB125" s="6">
        <v>26</v>
      </c>
      <c r="AC125" s="6">
        <v>27</v>
      </c>
      <c r="AD125" s="6">
        <v>28</v>
      </c>
      <c r="AE125" s="6">
        <v>29</v>
      </c>
      <c r="AF125" s="6">
        <v>30</v>
      </c>
      <c r="AG125" s="6">
        <v>31</v>
      </c>
      <c r="AH125" s="518" t="s">
        <v>105</v>
      </c>
      <c r="AI125" s="513" t="s">
        <v>106</v>
      </c>
    </row>
    <row r="126" spans="2:36" ht="20.100000000000001" hidden="1" customHeight="1" outlineLevel="1" x14ac:dyDescent="0.4">
      <c r="B126" s="653"/>
      <c r="C126" s="6" t="s">
        <v>69</v>
      </c>
      <c r="D126" s="6" t="s">
        <v>71</v>
      </c>
      <c r="E126" s="6" t="s">
        <v>107</v>
      </c>
      <c r="F126" s="6" t="s">
        <v>108</v>
      </c>
      <c r="G126" s="6" t="s">
        <v>109</v>
      </c>
      <c r="H126" s="6" t="s">
        <v>110</v>
      </c>
      <c r="I126" s="6" t="s">
        <v>111</v>
      </c>
      <c r="J126" s="6" t="s">
        <v>69</v>
      </c>
      <c r="K126" s="6" t="s">
        <v>71</v>
      </c>
      <c r="L126" s="6" t="s">
        <v>107</v>
      </c>
      <c r="M126" s="6" t="s">
        <v>108</v>
      </c>
      <c r="N126" s="6" t="s">
        <v>109</v>
      </c>
      <c r="O126" s="6" t="s">
        <v>110</v>
      </c>
      <c r="P126" s="6" t="s">
        <v>111</v>
      </c>
      <c r="Q126" s="6" t="s">
        <v>69</v>
      </c>
      <c r="R126" s="6" t="s">
        <v>71</v>
      </c>
      <c r="S126" s="6" t="s">
        <v>107</v>
      </c>
      <c r="T126" s="6" t="s">
        <v>108</v>
      </c>
      <c r="U126" s="6" t="s">
        <v>109</v>
      </c>
      <c r="V126" s="6" t="s">
        <v>110</v>
      </c>
      <c r="W126" s="6" t="s">
        <v>111</v>
      </c>
      <c r="X126" s="6" t="s">
        <v>69</v>
      </c>
      <c r="Y126" s="6" t="s">
        <v>71</v>
      </c>
      <c r="Z126" s="6" t="s">
        <v>107</v>
      </c>
      <c r="AA126" s="6" t="s">
        <v>108</v>
      </c>
      <c r="AB126" s="6" t="s">
        <v>109</v>
      </c>
      <c r="AC126" s="6" t="s">
        <v>110</v>
      </c>
      <c r="AD126" s="6" t="s">
        <v>111</v>
      </c>
      <c r="AE126" s="6" t="s">
        <v>69</v>
      </c>
      <c r="AF126" s="6" t="s">
        <v>71</v>
      </c>
      <c r="AG126" s="6" t="s">
        <v>107</v>
      </c>
      <c r="AH126" s="520"/>
      <c r="AI126" s="515"/>
    </row>
    <row r="127" spans="2:36" ht="20.100000000000001" hidden="1" customHeight="1" outlineLevel="1" x14ac:dyDescent="0.4">
      <c r="B127" s="4" t="s">
        <v>163</v>
      </c>
      <c r="C127" s="203" t="s">
        <v>104</v>
      </c>
      <c r="D127" s="3" t="s">
        <v>411</v>
      </c>
      <c r="E127" s="203" t="s">
        <v>104</v>
      </c>
      <c r="F127" s="203" t="s">
        <v>104</v>
      </c>
      <c r="G127" s="203" t="s">
        <v>104</v>
      </c>
      <c r="H127" s="203" t="s">
        <v>102</v>
      </c>
      <c r="I127" s="203" t="s">
        <v>102</v>
      </c>
      <c r="J127" s="203" t="s">
        <v>104</v>
      </c>
      <c r="K127" s="203" t="s">
        <v>104</v>
      </c>
      <c r="L127" s="203" t="s">
        <v>104</v>
      </c>
      <c r="M127" s="203" t="s">
        <v>104</v>
      </c>
      <c r="N127" s="203" t="s">
        <v>104</v>
      </c>
      <c r="O127" s="203" t="s">
        <v>102</v>
      </c>
      <c r="P127" s="203" t="s">
        <v>102</v>
      </c>
      <c r="Q127" s="203" t="s">
        <v>104</v>
      </c>
      <c r="R127" s="203" t="s">
        <v>104</v>
      </c>
      <c r="S127" s="203" t="s">
        <v>104</v>
      </c>
      <c r="T127" s="203" t="s">
        <v>104</v>
      </c>
      <c r="U127" s="203" t="s">
        <v>104</v>
      </c>
      <c r="V127" s="203" t="s">
        <v>102</v>
      </c>
      <c r="W127" s="203" t="s">
        <v>102</v>
      </c>
      <c r="X127" s="203" t="s">
        <v>104</v>
      </c>
      <c r="Y127" s="203" t="s">
        <v>104</v>
      </c>
      <c r="Z127" s="203" t="s">
        <v>104</v>
      </c>
      <c r="AA127" s="203" t="s">
        <v>104</v>
      </c>
      <c r="AB127" s="203" t="s">
        <v>104</v>
      </c>
      <c r="AC127" s="203" t="s">
        <v>102</v>
      </c>
      <c r="AD127" s="203" t="s">
        <v>102</v>
      </c>
      <c r="AE127" s="203" t="s">
        <v>104</v>
      </c>
      <c r="AF127" s="203" t="s">
        <v>104</v>
      </c>
      <c r="AG127" s="203" t="s">
        <v>104</v>
      </c>
      <c r="AH127" s="4">
        <f>COUNTIF(C127:AG127,"L")</f>
        <v>0</v>
      </c>
      <c r="AI127" s="4">
        <f>COUNTIF(C127:AG127,"A")</f>
        <v>22</v>
      </c>
    </row>
    <row r="128" spans="2:36" ht="20.100000000000001" hidden="1" customHeight="1" outlineLevel="1" x14ac:dyDescent="0.4">
      <c r="B128" s="4" t="s">
        <v>402</v>
      </c>
      <c r="C128" s="203" t="s">
        <v>104</v>
      </c>
      <c r="D128" s="3" t="s">
        <v>411</v>
      </c>
      <c r="E128" s="203" t="s">
        <v>104</v>
      </c>
      <c r="F128" s="203" t="s">
        <v>104</v>
      </c>
      <c r="G128" s="203" t="s">
        <v>104</v>
      </c>
      <c r="H128" s="203" t="s">
        <v>102</v>
      </c>
      <c r="I128" s="203" t="s">
        <v>102</v>
      </c>
      <c r="J128" s="203" t="s">
        <v>104</v>
      </c>
      <c r="K128" s="203" t="s">
        <v>104</v>
      </c>
      <c r="L128" s="203" t="s">
        <v>104</v>
      </c>
      <c r="M128" s="203" t="s">
        <v>104</v>
      </c>
      <c r="N128" s="203" t="s">
        <v>104</v>
      </c>
      <c r="O128" s="203" t="s">
        <v>102</v>
      </c>
      <c r="P128" s="203" t="s">
        <v>102</v>
      </c>
      <c r="Q128" s="203" t="s">
        <v>104</v>
      </c>
      <c r="R128" s="203" t="s">
        <v>104</v>
      </c>
      <c r="S128" s="203" t="s">
        <v>104</v>
      </c>
      <c r="T128" s="203" t="s">
        <v>104</v>
      </c>
      <c r="U128" s="203" t="s">
        <v>104</v>
      </c>
      <c r="V128" s="203" t="s">
        <v>102</v>
      </c>
      <c r="W128" s="203" t="s">
        <v>102</v>
      </c>
      <c r="X128" s="203" t="s">
        <v>104</v>
      </c>
      <c r="Y128" s="203" t="s">
        <v>104</v>
      </c>
      <c r="Z128" s="203" t="s">
        <v>104</v>
      </c>
      <c r="AA128" s="203" t="s">
        <v>104</v>
      </c>
      <c r="AB128" s="203" t="s">
        <v>104</v>
      </c>
      <c r="AC128" s="203" t="s">
        <v>102</v>
      </c>
      <c r="AD128" s="203" t="s">
        <v>102</v>
      </c>
      <c r="AE128" s="203" t="s">
        <v>104</v>
      </c>
      <c r="AF128" s="203" t="s">
        <v>104</v>
      </c>
      <c r="AG128" s="203" t="s">
        <v>104</v>
      </c>
      <c r="AH128" s="4">
        <f t="shared" ref="AH128:AH133" si="33">COUNTIF(C128:AG128,"L")</f>
        <v>0</v>
      </c>
      <c r="AI128" s="4">
        <f t="shared" ref="AI128:AI133" si="34">COUNTIF(C128:AG128,"A")</f>
        <v>22</v>
      </c>
    </row>
    <row r="129" spans="2:35" ht="20.100000000000001" hidden="1" customHeight="1" outlineLevel="1" x14ac:dyDescent="0.4">
      <c r="B129" s="4" t="s">
        <v>174</v>
      </c>
      <c r="C129" s="203" t="s">
        <v>104</v>
      </c>
      <c r="D129" s="3" t="s">
        <v>411</v>
      </c>
      <c r="E129" s="203" t="s">
        <v>104</v>
      </c>
      <c r="F129" s="203" t="s">
        <v>104</v>
      </c>
      <c r="G129" s="203" t="s">
        <v>104</v>
      </c>
      <c r="H129" s="203" t="s">
        <v>102</v>
      </c>
      <c r="I129" s="203" t="s">
        <v>102</v>
      </c>
      <c r="J129" s="203" t="s">
        <v>104</v>
      </c>
      <c r="K129" s="203" t="s">
        <v>104</v>
      </c>
      <c r="L129" s="203" t="s">
        <v>104</v>
      </c>
      <c r="M129" s="203" t="s">
        <v>104</v>
      </c>
      <c r="N129" s="203" t="s">
        <v>104</v>
      </c>
      <c r="O129" s="203" t="s">
        <v>102</v>
      </c>
      <c r="P129" s="203" t="s">
        <v>102</v>
      </c>
      <c r="Q129" s="203" t="s">
        <v>104</v>
      </c>
      <c r="R129" s="203" t="s">
        <v>104</v>
      </c>
      <c r="S129" s="203" t="s">
        <v>104</v>
      </c>
      <c r="T129" s="203" t="s">
        <v>104</v>
      </c>
      <c r="U129" s="203" t="s">
        <v>104</v>
      </c>
      <c r="V129" s="203" t="s">
        <v>102</v>
      </c>
      <c r="W129" s="203" t="s">
        <v>102</v>
      </c>
      <c r="X129" s="203" t="s">
        <v>104</v>
      </c>
      <c r="Y129" s="203" t="s">
        <v>104</v>
      </c>
      <c r="Z129" s="203" t="s">
        <v>104</v>
      </c>
      <c r="AA129" s="203" t="s">
        <v>104</v>
      </c>
      <c r="AB129" s="203" t="s">
        <v>104</v>
      </c>
      <c r="AC129" s="203" t="s">
        <v>102</v>
      </c>
      <c r="AD129" s="203" t="s">
        <v>102</v>
      </c>
      <c r="AE129" s="203" t="s">
        <v>104</v>
      </c>
      <c r="AF129" s="203" t="s">
        <v>104</v>
      </c>
      <c r="AG129" s="203" t="s">
        <v>104</v>
      </c>
      <c r="AH129" s="4">
        <f t="shared" ref="AH129:AH131" si="35">COUNTIF(C129:AG129,"L")</f>
        <v>0</v>
      </c>
      <c r="AI129" s="4">
        <f t="shared" ref="AI129:AI131" si="36">COUNTIF(C129:AG129,"A")</f>
        <v>22</v>
      </c>
    </row>
    <row r="130" spans="2:35" ht="20.100000000000001" hidden="1" customHeight="1" outlineLevel="1" x14ac:dyDescent="0.4">
      <c r="B130" s="4" t="s">
        <v>403</v>
      </c>
      <c r="C130" s="203" t="s">
        <v>104</v>
      </c>
      <c r="D130" s="3" t="s">
        <v>411</v>
      </c>
      <c r="E130" s="203" t="s">
        <v>104</v>
      </c>
      <c r="F130" s="203" t="s">
        <v>104</v>
      </c>
      <c r="G130" s="203" t="s">
        <v>104</v>
      </c>
      <c r="H130" s="203" t="s">
        <v>102</v>
      </c>
      <c r="I130" s="203" t="s">
        <v>102</v>
      </c>
      <c r="J130" s="203" t="s">
        <v>104</v>
      </c>
      <c r="K130" s="203" t="s">
        <v>104</v>
      </c>
      <c r="L130" s="203" t="s">
        <v>104</v>
      </c>
      <c r="M130" s="203" t="s">
        <v>104</v>
      </c>
      <c r="N130" s="203" t="s">
        <v>104</v>
      </c>
      <c r="O130" s="203" t="s">
        <v>102</v>
      </c>
      <c r="P130" s="203" t="s">
        <v>102</v>
      </c>
      <c r="Q130" s="203" t="s">
        <v>104</v>
      </c>
      <c r="R130" s="203" t="s">
        <v>104</v>
      </c>
      <c r="S130" s="203" t="s">
        <v>104</v>
      </c>
      <c r="T130" s="203" t="s">
        <v>104</v>
      </c>
      <c r="U130" s="203" t="s">
        <v>104</v>
      </c>
      <c r="V130" s="203" t="s">
        <v>102</v>
      </c>
      <c r="W130" s="203" t="s">
        <v>102</v>
      </c>
      <c r="X130" s="203" t="s">
        <v>104</v>
      </c>
      <c r="Y130" s="203" t="s">
        <v>104</v>
      </c>
      <c r="Z130" s="203" t="s">
        <v>104</v>
      </c>
      <c r="AA130" s="203" t="s">
        <v>104</v>
      </c>
      <c r="AB130" s="203" t="s">
        <v>104</v>
      </c>
      <c r="AC130" s="203" t="s">
        <v>102</v>
      </c>
      <c r="AD130" s="203" t="s">
        <v>102</v>
      </c>
      <c r="AE130" s="203" t="s">
        <v>104</v>
      </c>
      <c r="AF130" s="203" t="s">
        <v>104</v>
      </c>
      <c r="AG130" s="203" t="s">
        <v>104</v>
      </c>
      <c r="AH130" s="4">
        <f t="shared" si="35"/>
        <v>0</v>
      </c>
      <c r="AI130" s="4">
        <f t="shared" si="36"/>
        <v>22</v>
      </c>
    </row>
    <row r="131" spans="2:35" ht="20.100000000000001" hidden="1" customHeight="1" outlineLevel="1" x14ac:dyDescent="0.4">
      <c r="B131" s="4" t="s">
        <v>404</v>
      </c>
      <c r="C131" s="203" t="s">
        <v>104</v>
      </c>
      <c r="D131" s="3" t="s">
        <v>411</v>
      </c>
      <c r="E131" s="203" t="s">
        <v>104</v>
      </c>
      <c r="F131" s="203" t="s">
        <v>104</v>
      </c>
      <c r="G131" s="203" t="s">
        <v>104</v>
      </c>
      <c r="H131" s="203" t="s">
        <v>102</v>
      </c>
      <c r="I131" s="203" t="s">
        <v>102</v>
      </c>
      <c r="J131" s="203" t="s">
        <v>104</v>
      </c>
      <c r="K131" s="203" t="s">
        <v>104</v>
      </c>
      <c r="L131" s="203" t="s">
        <v>104</v>
      </c>
      <c r="M131" s="203" t="s">
        <v>104</v>
      </c>
      <c r="N131" s="203" t="s">
        <v>104</v>
      </c>
      <c r="O131" s="203" t="s">
        <v>102</v>
      </c>
      <c r="P131" s="203" t="s">
        <v>102</v>
      </c>
      <c r="Q131" s="203" t="s">
        <v>104</v>
      </c>
      <c r="R131" s="203" t="s">
        <v>104</v>
      </c>
      <c r="S131" s="203" t="s">
        <v>104</v>
      </c>
      <c r="T131" s="203" t="s">
        <v>104</v>
      </c>
      <c r="U131" s="203" t="s">
        <v>104</v>
      </c>
      <c r="V131" s="203" t="s">
        <v>102</v>
      </c>
      <c r="W131" s="203" t="s">
        <v>102</v>
      </c>
      <c r="X131" s="203" t="s">
        <v>104</v>
      </c>
      <c r="Y131" s="203" t="s">
        <v>104</v>
      </c>
      <c r="Z131" s="203" t="s">
        <v>104</v>
      </c>
      <c r="AA131" s="203" t="s">
        <v>104</v>
      </c>
      <c r="AB131" s="203" t="s">
        <v>104</v>
      </c>
      <c r="AC131" s="203" t="s">
        <v>102</v>
      </c>
      <c r="AD131" s="203" t="s">
        <v>102</v>
      </c>
      <c r="AE131" s="203" t="s">
        <v>104</v>
      </c>
      <c r="AF131" s="203" t="s">
        <v>104</v>
      </c>
      <c r="AG131" s="203" t="s">
        <v>104</v>
      </c>
      <c r="AH131" s="4">
        <f t="shared" si="35"/>
        <v>0</v>
      </c>
      <c r="AI131" s="4">
        <f t="shared" si="36"/>
        <v>22</v>
      </c>
    </row>
    <row r="132" spans="2:35" ht="20.100000000000001" hidden="1" customHeight="1" outlineLevel="1" x14ac:dyDescent="0.4">
      <c r="B132" s="4" t="s">
        <v>405</v>
      </c>
      <c r="C132" s="203" t="s">
        <v>104</v>
      </c>
      <c r="D132" s="3" t="s">
        <v>411</v>
      </c>
      <c r="E132" s="203" t="s">
        <v>104</v>
      </c>
      <c r="F132" s="203" t="s">
        <v>104</v>
      </c>
      <c r="G132" s="203" t="s">
        <v>104</v>
      </c>
      <c r="H132" s="203" t="s">
        <v>102</v>
      </c>
      <c r="I132" s="203" t="s">
        <v>102</v>
      </c>
      <c r="J132" s="203" t="s">
        <v>104</v>
      </c>
      <c r="K132" s="203" t="s">
        <v>104</v>
      </c>
      <c r="L132" s="203" t="s">
        <v>104</v>
      </c>
      <c r="M132" s="203" t="s">
        <v>104</v>
      </c>
      <c r="N132" s="203" t="s">
        <v>104</v>
      </c>
      <c r="O132" s="203" t="s">
        <v>102</v>
      </c>
      <c r="P132" s="203" t="s">
        <v>102</v>
      </c>
      <c r="Q132" s="203" t="s">
        <v>104</v>
      </c>
      <c r="R132" s="203" t="s">
        <v>104</v>
      </c>
      <c r="S132" s="203" t="s">
        <v>104</v>
      </c>
      <c r="T132" s="203" t="s">
        <v>104</v>
      </c>
      <c r="U132" s="203" t="s">
        <v>104</v>
      </c>
      <c r="V132" s="203" t="s">
        <v>102</v>
      </c>
      <c r="W132" s="203" t="s">
        <v>102</v>
      </c>
      <c r="X132" s="203" t="s">
        <v>104</v>
      </c>
      <c r="Y132" s="203" t="s">
        <v>104</v>
      </c>
      <c r="Z132" s="203" t="s">
        <v>104</v>
      </c>
      <c r="AA132" s="203" t="s">
        <v>104</v>
      </c>
      <c r="AB132" s="203" t="s">
        <v>104</v>
      </c>
      <c r="AC132" s="203" t="s">
        <v>102</v>
      </c>
      <c r="AD132" s="203" t="s">
        <v>102</v>
      </c>
      <c r="AE132" s="203" t="s">
        <v>104</v>
      </c>
      <c r="AF132" s="203" t="s">
        <v>104</v>
      </c>
      <c r="AG132" s="203" t="s">
        <v>104</v>
      </c>
      <c r="AH132" s="4">
        <f t="shared" si="33"/>
        <v>0</v>
      </c>
      <c r="AI132" s="4">
        <f t="shared" si="34"/>
        <v>22</v>
      </c>
    </row>
    <row r="133" spans="2:35" ht="20.100000000000001" hidden="1" customHeight="1" outlineLevel="1" x14ac:dyDescent="0.4">
      <c r="B133" s="4" t="s">
        <v>406</v>
      </c>
      <c r="C133" s="203" t="s">
        <v>104</v>
      </c>
      <c r="D133" s="3" t="s">
        <v>411</v>
      </c>
      <c r="E133" s="203" t="s">
        <v>104</v>
      </c>
      <c r="F133" s="203" t="s">
        <v>104</v>
      </c>
      <c r="G133" s="203" t="s">
        <v>104</v>
      </c>
      <c r="H133" s="203" t="s">
        <v>102</v>
      </c>
      <c r="I133" s="203" t="s">
        <v>102</v>
      </c>
      <c r="J133" s="203" t="s">
        <v>104</v>
      </c>
      <c r="K133" s="203" t="s">
        <v>104</v>
      </c>
      <c r="L133" s="203" t="s">
        <v>104</v>
      </c>
      <c r="M133" s="203" t="s">
        <v>104</v>
      </c>
      <c r="N133" s="203" t="s">
        <v>104</v>
      </c>
      <c r="O133" s="203" t="s">
        <v>102</v>
      </c>
      <c r="P133" s="203" t="s">
        <v>102</v>
      </c>
      <c r="Q133" s="203" t="s">
        <v>104</v>
      </c>
      <c r="R133" s="203" t="s">
        <v>104</v>
      </c>
      <c r="S133" s="203" t="s">
        <v>104</v>
      </c>
      <c r="T133" s="203" t="s">
        <v>104</v>
      </c>
      <c r="U133" s="203" t="s">
        <v>104</v>
      </c>
      <c r="V133" s="203" t="s">
        <v>102</v>
      </c>
      <c r="W133" s="203" t="s">
        <v>102</v>
      </c>
      <c r="X133" s="203" t="s">
        <v>104</v>
      </c>
      <c r="Y133" s="203" t="s">
        <v>104</v>
      </c>
      <c r="Z133" s="203" t="s">
        <v>104</v>
      </c>
      <c r="AA133" s="203" t="s">
        <v>104</v>
      </c>
      <c r="AB133" s="203" t="s">
        <v>104</v>
      </c>
      <c r="AC133" s="203" t="s">
        <v>102</v>
      </c>
      <c r="AD133" s="203" t="s">
        <v>102</v>
      </c>
      <c r="AE133" s="203" t="s">
        <v>104</v>
      </c>
      <c r="AF133" s="203" t="s">
        <v>104</v>
      </c>
      <c r="AG133" s="203" t="s">
        <v>104</v>
      </c>
      <c r="AH133" s="4">
        <f t="shared" si="33"/>
        <v>0</v>
      </c>
      <c r="AI133" s="4">
        <f t="shared" si="34"/>
        <v>22</v>
      </c>
    </row>
    <row r="134" spans="2:35" ht="20.100000000000001" hidden="1" customHeight="1" outlineLevel="1" x14ac:dyDescent="0.4"/>
    <row r="135" spans="2:35" ht="20.100000000000001" hidden="1" customHeight="1" outlineLevel="1" collapsed="1" x14ac:dyDescent="0.4">
      <c r="C135" s="307" t="s">
        <v>413</v>
      </c>
    </row>
    <row r="136" spans="2:35" ht="20.100000000000001" customHeight="1" collapsed="1" x14ac:dyDescent="0.4"/>
  </sheetData>
  <mergeCells count="38">
    <mergeCell ref="B37:B38"/>
    <mergeCell ref="AH37:AH38"/>
    <mergeCell ref="AI37:AI38"/>
    <mergeCell ref="B47:B48"/>
    <mergeCell ref="AH47:AH48"/>
    <mergeCell ref="AI47:AI48"/>
    <mergeCell ref="B2:B3"/>
    <mergeCell ref="B16:B17"/>
    <mergeCell ref="AH16:AH17"/>
    <mergeCell ref="AI16:AI17"/>
    <mergeCell ref="B27:B28"/>
    <mergeCell ref="AH27:AH28"/>
    <mergeCell ref="AI27:AI28"/>
    <mergeCell ref="M25:U25"/>
    <mergeCell ref="B56:B57"/>
    <mergeCell ref="AH56:AH57"/>
    <mergeCell ref="AI56:AI57"/>
    <mergeCell ref="B65:B66"/>
    <mergeCell ref="AH65:AH66"/>
    <mergeCell ref="AI65:AI66"/>
    <mergeCell ref="B75:B76"/>
    <mergeCell ref="AH75:AH76"/>
    <mergeCell ref="AI75:AI76"/>
    <mergeCell ref="B85:B86"/>
    <mergeCell ref="AH85:AH86"/>
    <mergeCell ref="AI85:AI86"/>
    <mergeCell ref="B95:B96"/>
    <mergeCell ref="AH95:AH96"/>
    <mergeCell ref="AI95:AI96"/>
    <mergeCell ref="B125:B126"/>
    <mergeCell ref="AH125:AH126"/>
    <mergeCell ref="AI125:AI126"/>
    <mergeCell ref="B105:B106"/>
    <mergeCell ref="AH105:AH106"/>
    <mergeCell ref="AI105:AI106"/>
    <mergeCell ref="B115:B116"/>
    <mergeCell ref="AH115:AH116"/>
    <mergeCell ref="AI115:AI116"/>
  </mergeCells>
  <phoneticPr fontId="2"/>
  <conditionalFormatting sqref="C4:AE10">
    <cfRule type="expression" dxfId="54" priority="57450">
      <formula>C$3="日"</formula>
    </cfRule>
    <cfRule type="expression" dxfId="53" priority="57449">
      <formula>C$3="H"</formula>
    </cfRule>
    <cfRule type="expression" dxfId="52" priority="57451">
      <formula>C$3="土"</formula>
    </cfRule>
  </conditionalFormatting>
  <conditionalFormatting sqref="C18:AG24 C49:AG54">
    <cfRule type="cellIs" dxfId="51" priority="347" operator="equal">
      <formula>"L"</formula>
    </cfRule>
    <cfRule type="cellIs" dxfId="50" priority="348" operator="equal">
      <formula>"HL"</formula>
    </cfRule>
    <cfRule type="cellIs" dxfId="49" priority="346" operator="equal">
      <formula>"S"</formula>
    </cfRule>
    <cfRule type="cellIs" dxfId="48" priority="345" operator="equal">
      <formula>"H"</formula>
    </cfRule>
  </conditionalFormatting>
  <conditionalFormatting sqref="C29:AG34 D30:E35 K30:L35 R30:S35 Y30:Z35 AF30:AG35">
    <cfRule type="cellIs" dxfId="47" priority="429" operator="equal">
      <formula>"H"</formula>
    </cfRule>
    <cfRule type="cellIs" dxfId="46" priority="432" operator="equal">
      <formula>"HL"</formula>
    </cfRule>
    <cfRule type="cellIs" dxfId="45" priority="431" operator="equal">
      <formula>"L"</formula>
    </cfRule>
    <cfRule type="cellIs" dxfId="44" priority="430" operator="equal">
      <formula>"S"</formula>
    </cfRule>
  </conditionalFormatting>
  <conditionalFormatting sqref="C39:AG44 H40:I45 O40:P45 V40:Y45 AC40:AF45 J41:K45">
    <cfRule type="cellIs" dxfId="43" priority="388" operator="equal">
      <formula>"HL"</formula>
    </cfRule>
    <cfRule type="cellIs" dxfId="42" priority="387" operator="equal">
      <formula>"L"</formula>
    </cfRule>
    <cfRule type="cellIs" dxfId="41" priority="386" operator="equal">
      <formula>"S"</formula>
    </cfRule>
    <cfRule type="cellIs" dxfId="40" priority="385" operator="equal">
      <formula>"H"</formula>
    </cfRule>
  </conditionalFormatting>
  <conditionalFormatting sqref="C58:AG63">
    <cfRule type="cellIs" dxfId="39" priority="203" operator="equal">
      <formula>"L"</formula>
    </cfRule>
    <cfRule type="cellIs" dxfId="38" priority="201" operator="equal">
      <formula>"H"</formula>
    </cfRule>
    <cfRule type="cellIs" dxfId="37" priority="204" operator="equal">
      <formula>"HL"</formula>
    </cfRule>
    <cfRule type="cellIs" dxfId="36" priority="202" operator="equal">
      <formula>"S"</formula>
    </cfRule>
  </conditionalFormatting>
  <conditionalFormatting sqref="C67:AG73">
    <cfRule type="cellIs" dxfId="35" priority="260" operator="equal">
      <formula>"HL"</formula>
    </cfRule>
    <cfRule type="cellIs" dxfId="34" priority="259" operator="equal">
      <formula>"L"</formula>
    </cfRule>
    <cfRule type="cellIs" dxfId="33" priority="258" operator="equal">
      <formula>"S"</formula>
    </cfRule>
    <cfRule type="cellIs" dxfId="32" priority="257" operator="equal">
      <formula>"H"</formula>
    </cfRule>
  </conditionalFormatting>
  <conditionalFormatting sqref="C77:AG83">
    <cfRule type="cellIs" dxfId="31" priority="34" operator="equal">
      <formula>"S"</formula>
    </cfRule>
    <cfRule type="cellIs" dxfId="30" priority="33" operator="equal">
      <formula>"H"</formula>
    </cfRule>
    <cfRule type="cellIs" dxfId="29" priority="35" operator="equal">
      <formula>"L"</formula>
    </cfRule>
    <cfRule type="cellIs" dxfId="28" priority="36" operator="equal">
      <formula>"HL"</formula>
    </cfRule>
  </conditionalFormatting>
  <conditionalFormatting sqref="C87:AG93">
    <cfRule type="cellIs" dxfId="27" priority="28" operator="equal">
      <formula>"HL"</formula>
    </cfRule>
    <cfRule type="cellIs" dxfId="26" priority="27" operator="equal">
      <formula>"L"</formula>
    </cfRule>
    <cfRule type="cellIs" dxfId="25" priority="26" operator="equal">
      <formula>"S"</formula>
    </cfRule>
    <cfRule type="cellIs" dxfId="24" priority="25" operator="equal">
      <formula>"H"</formula>
    </cfRule>
  </conditionalFormatting>
  <conditionalFormatting sqref="C97:AG103">
    <cfRule type="cellIs" dxfId="23" priority="21" operator="equal">
      <formula>"H"</formula>
    </cfRule>
    <cfRule type="cellIs" dxfId="22" priority="24" operator="equal">
      <formula>"HL"</formula>
    </cfRule>
    <cfRule type="cellIs" dxfId="21" priority="23" operator="equal">
      <formula>"L"</formula>
    </cfRule>
    <cfRule type="cellIs" dxfId="20" priority="22" operator="equal">
      <formula>"S"</formula>
    </cfRule>
  </conditionalFormatting>
  <conditionalFormatting sqref="C107:AG113">
    <cfRule type="cellIs" dxfId="19" priority="16" operator="equal">
      <formula>"HL"</formula>
    </cfRule>
    <cfRule type="cellIs" dxfId="18" priority="15" operator="equal">
      <formula>"L"</formula>
    </cfRule>
    <cfRule type="cellIs" dxfId="17" priority="14" operator="equal">
      <formula>"S"</formula>
    </cfRule>
    <cfRule type="cellIs" dxfId="16" priority="13" operator="equal">
      <formula>"H"</formula>
    </cfRule>
  </conditionalFormatting>
  <conditionalFormatting sqref="C117:AG123">
    <cfRule type="cellIs" dxfId="15" priority="1" operator="equal">
      <formula>"H"</formula>
    </cfRule>
    <cfRule type="cellIs" dxfId="14" priority="4" operator="equal">
      <formula>"HL"</formula>
    </cfRule>
    <cfRule type="cellIs" dxfId="13" priority="3" operator="equal">
      <formula>"L"</formula>
    </cfRule>
    <cfRule type="cellIs" dxfId="12" priority="2" operator="equal">
      <formula>"S"</formula>
    </cfRule>
  </conditionalFormatting>
  <conditionalFormatting sqref="C127:AG133">
    <cfRule type="cellIs" dxfId="11" priority="7" operator="equal">
      <formula>"L"</formula>
    </cfRule>
    <cfRule type="cellIs" dxfId="10" priority="8" operator="equal">
      <formula>"HL"</formula>
    </cfRule>
    <cfRule type="cellIs" dxfId="9" priority="6" operator="equal">
      <formula>"S"</formula>
    </cfRule>
    <cfRule type="cellIs" dxfId="8" priority="5" operator="equal">
      <formula>"H"</formula>
    </cfRule>
  </conditionalFormatting>
  <conditionalFormatting sqref="D35:AG35">
    <cfRule type="cellIs" dxfId="7" priority="341" operator="equal">
      <formula>"H"</formula>
    </cfRule>
    <cfRule type="cellIs" dxfId="6" priority="342" operator="equal">
      <formula>"S"</formula>
    </cfRule>
    <cfRule type="cellIs" dxfId="5" priority="343" operator="equal">
      <formula>"L"</formula>
    </cfRule>
    <cfRule type="cellIs" dxfId="4" priority="344" operator="equal">
      <formula>"HL"</formula>
    </cfRule>
  </conditionalFormatting>
  <conditionalFormatting sqref="D45:AG45">
    <cfRule type="cellIs" dxfId="3" priority="337" operator="equal">
      <formula>"H"</formula>
    </cfRule>
    <cfRule type="cellIs" dxfId="2" priority="338" operator="equal">
      <formula>"S"</formula>
    </cfRule>
    <cfRule type="cellIs" dxfId="1" priority="339" operator="equal">
      <formula>"L"</formula>
    </cfRule>
    <cfRule type="cellIs" dxfId="0" priority="340" operator="equal">
      <formula>"HL"</formula>
    </cfRule>
  </conditionalFormatting>
  <pageMargins left="0.7" right="0.7" top="0.75" bottom="0.75" header="0.3" footer="0.3"/>
  <pageSetup paperSize="9" orientation="portrait" verticalDpi="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B2:I32"/>
  <sheetViews>
    <sheetView view="pageBreakPreview" topLeftCell="A11" zoomScale="85" zoomScaleNormal="85" zoomScaleSheetLayoutView="85" workbookViewId="0">
      <selection activeCell="A11" sqref="A11"/>
    </sheetView>
  </sheetViews>
  <sheetFormatPr defaultColWidth="9" defaultRowHeight="20.100000000000001" customHeight="1" x14ac:dyDescent="0.4"/>
  <cols>
    <col min="1" max="1" width="4.5" style="1" customWidth="1"/>
    <col min="2" max="2" width="9" style="1"/>
    <col min="3" max="3" width="27.25" style="1" bestFit="1" customWidth="1"/>
    <col min="4" max="4" width="28.125" style="1" bestFit="1" customWidth="1"/>
    <col min="5" max="5" width="11.625" style="1" bestFit="1" customWidth="1"/>
    <col min="6" max="6" width="18.125" style="1" customWidth="1"/>
    <col min="7" max="7" width="9" style="1"/>
    <col min="8" max="8" width="11.125" style="1" customWidth="1"/>
    <col min="9" max="9" width="28.125" style="1" customWidth="1"/>
    <col min="10" max="16384" width="9" style="1"/>
  </cols>
  <sheetData>
    <row r="2" spans="2:9" ht="20.100000000000001" customHeight="1" x14ac:dyDescent="0.4">
      <c r="B2" s="34" t="s">
        <v>384</v>
      </c>
      <c r="C2" s="29"/>
      <c r="D2" s="30"/>
      <c r="E2" s="199"/>
      <c r="F2" s="199"/>
      <c r="G2" s="34" t="s">
        <v>385</v>
      </c>
      <c r="H2" s="29"/>
      <c r="I2" s="30"/>
    </row>
    <row r="3" spans="2:9" ht="20.100000000000001" customHeight="1" x14ac:dyDescent="0.4">
      <c r="B3" s="31" t="s">
        <v>49</v>
      </c>
      <c r="C3" s="32">
        <v>46023</v>
      </c>
      <c r="D3" s="198" t="s">
        <v>386</v>
      </c>
      <c r="E3" s="199"/>
      <c r="F3" s="199"/>
      <c r="G3" s="2" t="s">
        <v>112</v>
      </c>
      <c r="H3" s="32">
        <v>46023</v>
      </c>
      <c r="I3" s="33" t="s">
        <v>50</v>
      </c>
    </row>
    <row r="4" spans="2:9" ht="20.100000000000001" customHeight="1" x14ac:dyDescent="0.4">
      <c r="B4" s="31"/>
      <c r="C4" s="32">
        <v>46024</v>
      </c>
      <c r="D4" s="198" t="s">
        <v>386</v>
      </c>
      <c r="E4" s="199"/>
      <c r="F4" s="199"/>
      <c r="G4" s="2"/>
      <c r="H4" s="32">
        <v>46024</v>
      </c>
      <c r="I4" s="33" t="s">
        <v>50</v>
      </c>
    </row>
    <row r="5" spans="2:9" ht="20.100000000000001" customHeight="1" x14ac:dyDescent="0.4">
      <c r="B5" s="31"/>
      <c r="C5" s="32">
        <v>46025</v>
      </c>
      <c r="D5" s="198" t="s">
        <v>341</v>
      </c>
      <c r="E5" s="199"/>
      <c r="F5" s="199"/>
      <c r="G5" s="199"/>
      <c r="H5" s="32">
        <v>46025</v>
      </c>
      <c r="I5" s="33" t="s">
        <v>50</v>
      </c>
    </row>
    <row r="6" spans="2:9" ht="20.100000000000001" customHeight="1" x14ac:dyDescent="0.4">
      <c r="B6" s="31"/>
      <c r="C6" s="32">
        <v>46026</v>
      </c>
      <c r="D6" s="198" t="s">
        <v>336</v>
      </c>
      <c r="E6" s="199"/>
      <c r="F6" s="199"/>
      <c r="G6" s="199"/>
      <c r="H6" s="32">
        <v>46034</v>
      </c>
      <c r="I6" s="33" t="s">
        <v>113</v>
      </c>
    </row>
    <row r="7" spans="2:9" ht="20.100000000000001" customHeight="1" x14ac:dyDescent="0.4">
      <c r="B7" s="31" t="s">
        <v>51</v>
      </c>
      <c r="C7" s="32">
        <v>46065</v>
      </c>
      <c r="D7" s="198" t="s">
        <v>387</v>
      </c>
      <c r="E7" s="199"/>
      <c r="F7" s="199"/>
      <c r="G7" s="2" t="s">
        <v>116</v>
      </c>
      <c r="H7" s="32">
        <v>46064</v>
      </c>
      <c r="I7" s="33" t="s">
        <v>177</v>
      </c>
    </row>
    <row r="8" spans="2:9" ht="20.100000000000001" customHeight="1" x14ac:dyDescent="0.4">
      <c r="B8" s="31"/>
      <c r="C8" s="32">
        <v>46066</v>
      </c>
      <c r="D8" s="198" t="s">
        <v>388</v>
      </c>
      <c r="E8" s="199"/>
      <c r="F8" s="199"/>
      <c r="G8" s="199"/>
      <c r="H8" s="32">
        <v>46076</v>
      </c>
      <c r="I8" s="199" t="s">
        <v>114</v>
      </c>
    </row>
    <row r="9" spans="2:9" ht="20.100000000000001" customHeight="1" x14ac:dyDescent="0.4">
      <c r="B9" s="31"/>
      <c r="C9" s="32">
        <v>46069</v>
      </c>
      <c r="D9" s="198" t="s">
        <v>389</v>
      </c>
      <c r="E9" s="199"/>
      <c r="F9" s="199"/>
      <c r="G9" s="2" t="s">
        <v>115</v>
      </c>
      <c r="H9" s="32">
        <v>46101</v>
      </c>
      <c r="I9" s="199" t="s">
        <v>117</v>
      </c>
    </row>
    <row r="10" spans="2:9" ht="20.100000000000001" customHeight="1" x14ac:dyDescent="0.4">
      <c r="B10" s="31"/>
      <c r="C10" s="32">
        <v>46070</v>
      </c>
      <c r="D10" s="198" t="s">
        <v>390</v>
      </c>
      <c r="E10" s="199"/>
      <c r="F10" s="199"/>
      <c r="G10" s="2" t="s">
        <v>118</v>
      </c>
      <c r="H10" s="32">
        <v>46141</v>
      </c>
      <c r="I10" s="199" t="s">
        <v>119</v>
      </c>
    </row>
    <row r="11" spans="2:9" ht="20.100000000000001" customHeight="1" x14ac:dyDescent="0.4">
      <c r="B11" s="31" t="s">
        <v>52</v>
      </c>
      <c r="C11" s="32">
        <v>46083</v>
      </c>
      <c r="D11" s="198" t="s">
        <v>391</v>
      </c>
      <c r="E11" s="199"/>
      <c r="F11" s="199"/>
      <c r="G11" s="2" t="s">
        <v>120</v>
      </c>
      <c r="H11" s="32">
        <v>46145</v>
      </c>
      <c r="I11" s="199" t="s">
        <v>121</v>
      </c>
    </row>
    <row r="12" spans="2:9" ht="20.100000000000001" customHeight="1" x14ac:dyDescent="0.4">
      <c r="B12" s="199"/>
      <c r="C12" s="32">
        <v>46108</v>
      </c>
      <c r="D12" s="198" t="s">
        <v>53</v>
      </c>
      <c r="E12" s="199"/>
      <c r="F12" s="199"/>
      <c r="G12" s="2"/>
      <c r="H12" s="32">
        <v>46146</v>
      </c>
      <c r="I12" s="199" t="s">
        <v>122</v>
      </c>
    </row>
    <row r="13" spans="2:9" ht="20.100000000000001" customHeight="1" x14ac:dyDescent="0.4">
      <c r="B13" s="31" t="s">
        <v>54</v>
      </c>
      <c r="C13" s="32">
        <v>46125</v>
      </c>
      <c r="D13" s="198" t="s">
        <v>392</v>
      </c>
      <c r="E13" s="199"/>
      <c r="F13" s="199"/>
      <c r="G13" s="2"/>
      <c r="H13" s="32">
        <v>46147</v>
      </c>
      <c r="I13" s="199" t="s">
        <v>123</v>
      </c>
    </row>
    <row r="14" spans="2:9" ht="20.100000000000001" customHeight="1" x14ac:dyDescent="0.4">
      <c r="B14" s="199"/>
      <c r="C14" s="32">
        <v>46126</v>
      </c>
      <c r="D14" s="198" t="s">
        <v>337</v>
      </c>
      <c r="E14" s="199"/>
      <c r="F14" s="199"/>
      <c r="G14" s="199"/>
      <c r="H14" s="32">
        <v>46148</v>
      </c>
      <c r="I14" s="33" t="s">
        <v>341</v>
      </c>
    </row>
    <row r="15" spans="2:9" ht="20.100000000000001" customHeight="1" x14ac:dyDescent="0.4">
      <c r="B15" s="199"/>
      <c r="C15" s="32">
        <v>46127</v>
      </c>
      <c r="D15" s="198" t="s">
        <v>337</v>
      </c>
      <c r="E15" s="199"/>
      <c r="F15" s="199"/>
      <c r="G15" s="2" t="s">
        <v>124</v>
      </c>
      <c r="H15" s="32">
        <v>46223</v>
      </c>
      <c r="I15" s="199" t="s">
        <v>125</v>
      </c>
    </row>
    <row r="16" spans="2:9" ht="20.100000000000001" customHeight="1" x14ac:dyDescent="0.4">
      <c r="B16" s="199"/>
      <c r="C16" s="32">
        <v>46128</v>
      </c>
      <c r="D16" s="198" t="s">
        <v>337</v>
      </c>
      <c r="E16" s="199"/>
      <c r="F16" s="199"/>
      <c r="G16" s="2" t="s">
        <v>126</v>
      </c>
      <c r="H16" s="32">
        <v>46245</v>
      </c>
      <c r="I16" s="199" t="s">
        <v>127</v>
      </c>
    </row>
    <row r="17" spans="2:9" ht="20.100000000000001" customHeight="1" x14ac:dyDescent="0.4">
      <c r="B17" s="199"/>
      <c r="C17" s="32">
        <v>46129</v>
      </c>
      <c r="D17" s="198" t="s">
        <v>337</v>
      </c>
      <c r="E17" s="199"/>
      <c r="F17" s="199"/>
      <c r="G17" s="2" t="s">
        <v>128</v>
      </c>
      <c r="H17" s="32">
        <v>46286</v>
      </c>
      <c r="I17" s="199" t="s">
        <v>129</v>
      </c>
    </row>
    <row r="18" spans="2:9" ht="20.100000000000001" customHeight="1" x14ac:dyDescent="0.4">
      <c r="B18" s="199"/>
      <c r="C18" s="32">
        <v>46130</v>
      </c>
      <c r="D18" s="198" t="s">
        <v>337</v>
      </c>
      <c r="E18" s="199"/>
      <c r="F18" s="199"/>
      <c r="G18" s="2"/>
      <c r="H18" s="32">
        <v>46287</v>
      </c>
      <c r="I18" s="199" t="s">
        <v>393</v>
      </c>
    </row>
    <row r="19" spans="2:9" ht="20.100000000000001" customHeight="1" x14ac:dyDescent="0.4">
      <c r="B19" s="199"/>
      <c r="C19" s="32">
        <v>46131</v>
      </c>
      <c r="D19" s="198" t="s">
        <v>337</v>
      </c>
      <c r="E19" s="199"/>
      <c r="F19" s="199"/>
      <c r="G19" s="2"/>
      <c r="H19" s="32">
        <v>46288</v>
      </c>
      <c r="I19" s="199" t="s">
        <v>130</v>
      </c>
    </row>
    <row r="20" spans="2:9" ht="20.100000000000001" customHeight="1" x14ac:dyDescent="0.4">
      <c r="B20" s="199"/>
      <c r="C20" s="32">
        <v>45777</v>
      </c>
      <c r="D20" s="198" t="s">
        <v>338</v>
      </c>
      <c r="E20" s="199"/>
      <c r="F20" s="199"/>
      <c r="G20" s="31" t="s">
        <v>57</v>
      </c>
      <c r="H20" s="32">
        <v>46307</v>
      </c>
      <c r="I20" s="33" t="s">
        <v>162</v>
      </c>
    </row>
    <row r="21" spans="2:9" ht="20.100000000000001" customHeight="1" x14ac:dyDescent="0.4">
      <c r="B21" s="31" t="s">
        <v>55</v>
      </c>
      <c r="C21" s="32">
        <v>46143</v>
      </c>
      <c r="D21" s="271" t="s">
        <v>394</v>
      </c>
      <c r="E21" s="199"/>
      <c r="F21" s="199"/>
      <c r="G21" s="31" t="s">
        <v>131</v>
      </c>
      <c r="H21" s="32">
        <v>46329</v>
      </c>
      <c r="I21" s="33" t="s">
        <v>132</v>
      </c>
    </row>
    <row r="22" spans="2:9" ht="20.100000000000001" customHeight="1" x14ac:dyDescent="0.4">
      <c r="B22" s="31" t="s">
        <v>395</v>
      </c>
      <c r="C22" s="32">
        <v>46170</v>
      </c>
      <c r="D22" s="271" t="s">
        <v>546</v>
      </c>
      <c r="E22" s="323"/>
      <c r="F22" s="199"/>
      <c r="G22" s="199"/>
      <c r="H22" s="32">
        <v>46349</v>
      </c>
      <c r="I22" s="199" t="s">
        <v>133</v>
      </c>
    </row>
    <row r="23" spans="2:9" ht="20.100000000000001" customHeight="1" x14ac:dyDescent="0.4">
      <c r="B23" s="31" t="s">
        <v>56</v>
      </c>
      <c r="C23" s="32">
        <v>46222</v>
      </c>
      <c r="D23" s="198" t="s">
        <v>339</v>
      </c>
      <c r="E23" s="199"/>
      <c r="F23" s="199"/>
      <c r="G23" s="2" t="s">
        <v>148</v>
      </c>
      <c r="H23" s="32">
        <v>46387</v>
      </c>
      <c r="I23" s="199" t="s">
        <v>149</v>
      </c>
    </row>
    <row r="24" spans="2:9" ht="20.100000000000001" customHeight="1" x14ac:dyDescent="0.4">
      <c r="B24" s="199"/>
      <c r="C24" s="32">
        <v>46232</v>
      </c>
      <c r="D24" s="198" t="s">
        <v>397</v>
      </c>
      <c r="E24" s="199"/>
      <c r="F24" s="199"/>
      <c r="G24" s="199"/>
      <c r="H24" s="199"/>
      <c r="I24" s="199"/>
    </row>
    <row r="25" spans="2:9" ht="20.100000000000001" customHeight="1" x14ac:dyDescent="0.4">
      <c r="B25" s="31" t="s">
        <v>57</v>
      </c>
      <c r="C25" s="32">
        <v>46320</v>
      </c>
      <c r="D25" s="198" t="s">
        <v>340</v>
      </c>
      <c r="E25" s="199"/>
      <c r="F25" s="199"/>
      <c r="G25" s="199"/>
      <c r="H25" s="199"/>
      <c r="I25" s="199"/>
    </row>
    <row r="26" spans="2:9" ht="20.100000000000001" customHeight="1" x14ac:dyDescent="0.4">
      <c r="B26" s="199"/>
      <c r="C26" s="32">
        <v>46321</v>
      </c>
      <c r="D26" s="198" t="s">
        <v>340</v>
      </c>
      <c r="E26" s="199"/>
      <c r="F26" s="199"/>
      <c r="G26" s="2"/>
      <c r="H26" s="32"/>
      <c r="I26" s="199"/>
    </row>
    <row r="27" spans="2:9" ht="20.100000000000001" customHeight="1" x14ac:dyDescent="0.4">
      <c r="B27" s="199"/>
      <c r="C27" s="32">
        <v>46322</v>
      </c>
      <c r="D27" s="198" t="s">
        <v>340</v>
      </c>
      <c r="E27" s="199"/>
      <c r="F27" s="199"/>
      <c r="G27" s="2"/>
      <c r="H27" s="32"/>
      <c r="I27" s="199"/>
    </row>
    <row r="28" spans="2:9" ht="20.100000000000001" customHeight="1" x14ac:dyDescent="0.4">
      <c r="B28" s="199"/>
      <c r="C28" s="32" t="s">
        <v>396</v>
      </c>
      <c r="D28" s="198" t="s">
        <v>545</v>
      </c>
      <c r="E28" s="199"/>
      <c r="F28" s="199"/>
      <c r="G28" s="31"/>
      <c r="H28" s="32"/>
      <c r="I28" s="198"/>
    </row>
    <row r="29" spans="2:9" ht="20.100000000000001" customHeight="1" x14ac:dyDescent="0.4">
      <c r="B29" s="31" t="s">
        <v>58</v>
      </c>
      <c r="C29" s="32">
        <v>46349</v>
      </c>
      <c r="D29" s="198" t="s">
        <v>398</v>
      </c>
      <c r="E29" s="199"/>
      <c r="F29" s="199"/>
      <c r="G29" s="199"/>
      <c r="H29" s="32"/>
      <c r="I29" s="198"/>
    </row>
    <row r="30" spans="2:9" ht="20.100000000000001" customHeight="1" x14ac:dyDescent="0.4">
      <c r="B30" s="199"/>
      <c r="C30" s="32">
        <v>46350</v>
      </c>
      <c r="D30" s="198" t="s">
        <v>399</v>
      </c>
      <c r="E30" s="199"/>
      <c r="F30" s="199"/>
      <c r="G30" s="31"/>
      <c r="H30" s="32"/>
      <c r="I30" s="198"/>
    </row>
    <row r="31" spans="2:9" ht="20.100000000000001" customHeight="1" x14ac:dyDescent="0.4">
      <c r="B31" s="31" t="s">
        <v>59</v>
      </c>
      <c r="C31" s="32">
        <v>46360</v>
      </c>
      <c r="D31" s="198" t="s">
        <v>400</v>
      </c>
      <c r="E31" s="199"/>
      <c r="F31" s="199"/>
      <c r="G31" s="199"/>
      <c r="H31" s="32"/>
      <c r="I31" s="198"/>
    </row>
    <row r="32" spans="2:9" ht="20.100000000000001" customHeight="1" x14ac:dyDescent="0.4">
      <c r="B32" s="199"/>
      <c r="C32" s="32">
        <v>46381</v>
      </c>
      <c r="D32" s="198" t="s">
        <v>401</v>
      </c>
      <c r="E32" s="199"/>
      <c r="F32" s="199"/>
      <c r="G32" s="199"/>
      <c r="H32" s="199"/>
      <c r="I32" s="199"/>
    </row>
  </sheetData>
  <phoneticPr fontId="2"/>
  <pageMargins left="0.7" right="0.7" top="0.75" bottom="0.75" header="0.3" footer="0.3"/>
  <pageSetup paperSize="9" scale="51" orientation="portrait" verticalDpi="0"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F51E92-E9B0-4CF6-B1CE-7720D76122D0}">
  <dimension ref="A1:P17"/>
  <sheetViews>
    <sheetView view="pageBreakPreview" zoomScale="85" zoomScaleNormal="100" zoomScaleSheetLayoutView="85" workbookViewId="0"/>
  </sheetViews>
  <sheetFormatPr defaultColWidth="8.75" defaultRowHeight="18.75" x14ac:dyDescent="0.4"/>
  <cols>
    <col min="1" max="1" width="25.375" style="198" bestFit="1" customWidth="1"/>
    <col min="2" max="2" width="6" style="198" customWidth="1"/>
    <col min="3" max="11" width="9.5" style="198" bestFit="1" customWidth="1"/>
    <col min="12" max="14" width="8.75" style="198"/>
    <col min="15" max="16" width="8.875" style="198" customWidth="1"/>
    <col min="17" max="16384" width="8.75" style="198"/>
  </cols>
  <sheetData>
    <row r="1" spans="1:16" x14ac:dyDescent="0.4">
      <c r="A1" s="251"/>
      <c r="B1" s="251"/>
      <c r="C1" s="252" t="s">
        <v>360</v>
      </c>
      <c r="D1" s="252" t="s">
        <v>361</v>
      </c>
      <c r="E1" s="252" t="s">
        <v>362</v>
      </c>
      <c r="F1" s="252" t="s">
        <v>363</v>
      </c>
      <c r="G1" s="252" t="s">
        <v>364</v>
      </c>
      <c r="H1" s="252" t="s">
        <v>365</v>
      </c>
      <c r="I1" s="252" t="s">
        <v>366</v>
      </c>
      <c r="J1" s="252" t="s">
        <v>367</v>
      </c>
      <c r="K1" s="252" t="s">
        <v>368</v>
      </c>
      <c r="L1" s="252" t="s">
        <v>369</v>
      </c>
      <c r="M1" s="252" t="s">
        <v>370</v>
      </c>
      <c r="N1" s="252" t="s">
        <v>371</v>
      </c>
    </row>
    <row r="2" spans="1:16" x14ac:dyDescent="0.4">
      <c r="A2" s="253" t="s">
        <v>372</v>
      </c>
      <c r="B2" s="253"/>
      <c r="C2" s="254">
        <v>5</v>
      </c>
      <c r="D2" s="254">
        <v>5</v>
      </c>
      <c r="E2" s="254">
        <v>5</v>
      </c>
      <c r="F2" s="254">
        <v>5</v>
      </c>
      <c r="G2" s="254">
        <v>5</v>
      </c>
      <c r="H2" s="254">
        <v>5</v>
      </c>
      <c r="I2" s="254">
        <v>5</v>
      </c>
      <c r="J2" s="254">
        <v>5</v>
      </c>
      <c r="K2" s="254">
        <v>5</v>
      </c>
      <c r="L2" s="254">
        <v>5</v>
      </c>
      <c r="M2" s="254">
        <v>5</v>
      </c>
      <c r="N2" s="254">
        <v>5</v>
      </c>
    </row>
    <row r="3" spans="1:16" x14ac:dyDescent="0.4">
      <c r="A3" s="255" t="s">
        <v>17</v>
      </c>
      <c r="B3" s="256"/>
      <c r="C3" s="256"/>
      <c r="D3" s="256"/>
      <c r="E3" s="256"/>
      <c r="F3" s="256"/>
      <c r="G3" s="256"/>
      <c r="H3" s="256"/>
      <c r="I3" s="256"/>
      <c r="J3" s="256"/>
      <c r="K3" s="256"/>
      <c r="L3" s="256"/>
      <c r="M3" s="256"/>
      <c r="N3" s="256"/>
    </row>
    <row r="4" spans="1:16" x14ac:dyDescent="0.4">
      <c r="A4" s="257" t="s">
        <v>373</v>
      </c>
      <c r="B4" s="257" t="s">
        <v>24</v>
      </c>
      <c r="C4" s="258">
        <f>'案件．要員情報まとめ'!O166</f>
        <v>5.1041666666666661</v>
      </c>
      <c r="D4" s="258">
        <f>'案件．要員情報まとめ'!P166</f>
        <v>3.6771929824561398</v>
      </c>
      <c r="E4" s="258">
        <f>'案件．要員情報まとめ'!Q166</f>
        <v>4.3939393939393936</v>
      </c>
      <c r="F4" s="258">
        <f>'案件．要員情報まとめ'!R166</f>
        <v>5.0545454545454538</v>
      </c>
      <c r="G4" s="258">
        <f>'案件．要員情報まとめ'!S166</f>
        <v>0</v>
      </c>
      <c r="H4" s="258">
        <f>'案件．要員情報まとめ'!T166</f>
        <v>0</v>
      </c>
      <c r="I4" s="258">
        <f>'案件．要員情報まとめ'!U166</f>
        <v>0</v>
      </c>
      <c r="J4" s="258">
        <f>'案件．要員情報まとめ'!V166</f>
        <v>0</v>
      </c>
      <c r="K4" s="258">
        <f>'案件．要員情報まとめ'!W166</f>
        <v>0</v>
      </c>
      <c r="L4" s="258">
        <f>'案件．要員情報まとめ'!X166</f>
        <v>0</v>
      </c>
      <c r="M4" s="258">
        <f>'案件．要員情報まとめ'!Y166</f>
        <v>0</v>
      </c>
      <c r="N4" s="258">
        <f>'案件．要員情報まとめ'!Z166</f>
        <v>0</v>
      </c>
    </row>
    <row r="5" spans="1:16" x14ac:dyDescent="0.4">
      <c r="A5" s="257" t="s">
        <v>374</v>
      </c>
      <c r="B5" s="257" t="s">
        <v>25</v>
      </c>
      <c r="C5" s="258">
        <f>'案件．要員情報まとめ'!O167</f>
        <v>4.6708333333333325</v>
      </c>
      <c r="D5" s="258">
        <f>'案件．要員情報まとめ'!P167</f>
        <v>3.3228070175438598</v>
      </c>
      <c r="E5" s="258">
        <f>'案件．要員情報まとめ'!Q167</f>
        <v>4.0333333333333332</v>
      </c>
      <c r="F5" s="258">
        <f>'案件．要員情報まとめ'!R167</f>
        <v>4.4363636363636365</v>
      </c>
      <c r="G5" s="258">
        <f>'案件．要員情報まとめ'!S167</f>
        <v>0</v>
      </c>
      <c r="H5" s="258">
        <f>'案件．要員情報まとめ'!T167</f>
        <v>0</v>
      </c>
      <c r="I5" s="258">
        <f>'案件．要員情報まとめ'!U167</f>
        <v>0</v>
      </c>
      <c r="J5" s="258">
        <f>'案件．要員情報まとめ'!V167</f>
        <v>0</v>
      </c>
      <c r="K5" s="258">
        <f>'案件．要員情報まとめ'!W167</f>
        <v>0</v>
      </c>
      <c r="L5" s="258">
        <f>'案件．要員情報まとめ'!X167</f>
        <v>0</v>
      </c>
      <c r="M5" s="258">
        <f>'案件．要員情報まとめ'!Y167</f>
        <v>0</v>
      </c>
      <c r="N5" s="258">
        <f>'案件．要員情報まとめ'!Z167</f>
        <v>0</v>
      </c>
    </row>
    <row r="6" spans="1:16" s="262" customFormat="1" x14ac:dyDescent="0.4">
      <c r="A6" s="259" t="s">
        <v>375</v>
      </c>
      <c r="B6" s="260"/>
      <c r="C6" s="261">
        <f>C2-C5</f>
        <v>0.3291666666666675</v>
      </c>
      <c r="D6" s="261">
        <f>D2-D5</f>
        <v>1.6771929824561402</v>
      </c>
      <c r="E6" s="261">
        <f t="shared" ref="E6:N6" si="0">E2-E5</f>
        <v>0.96666666666666679</v>
      </c>
      <c r="F6" s="261">
        <f>F2-F5</f>
        <v>0.56363636363636349</v>
      </c>
      <c r="G6" s="261">
        <f>G2-G5</f>
        <v>5</v>
      </c>
      <c r="H6" s="261">
        <f t="shared" si="0"/>
        <v>5</v>
      </c>
      <c r="I6" s="261">
        <f t="shared" si="0"/>
        <v>5</v>
      </c>
      <c r="J6" s="261">
        <f t="shared" si="0"/>
        <v>5</v>
      </c>
      <c r="K6" s="261">
        <f t="shared" si="0"/>
        <v>5</v>
      </c>
      <c r="L6" s="261">
        <f t="shared" si="0"/>
        <v>5</v>
      </c>
      <c r="M6" s="261">
        <f t="shared" si="0"/>
        <v>5</v>
      </c>
      <c r="N6" s="261">
        <f t="shared" si="0"/>
        <v>5</v>
      </c>
    </row>
    <row r="7" spans="1:16" x14ac:dyDescent="0.4">
      <c r="A7" s="255" t="s">
        <v>29</v>
      </c>
      <c r="B7" s="256"/>
      <c r="C7" s="256"/>
      <c r="D7" s="256"/>
      <c r="E7" s="256"/>
      <c r="F7" s="256"/>
      <c r="G7" s="256"/>
      <c r="H7" s="256"/>
      <c r="I7" s="256"/>
      <c r="J7" s="256"/>
      <c r="K7" s="256"/>
      <c r="L7" s="256"/>
      <c r="M7" s="256"/>
      <c r="N7" s="256"/>
    </row>
    <row r="8" spans="1:16" x14ac:dyDescent="0.4">
      <c r="A8" s="257" t="s">
        <v>376</v>
      </c>
      <c r="B8" s="257" t="s">
        <v>24</v>
      </c>
      <c r="C8" s="258">
        <f>'案件．要員情報まとめ'!O184</f>
        <v>0.9</v>
      </c>
      <c r="D8" s="258">
        <f>'案件．要員情報まとめ'!P184</f>
        <v>0.80701754385964908</v>
      </c>
      <c r="E8" s="258">
        <f>'案件．要員情報まとめ'!Q184</f>
        <v>0.90909090909090895</v>
      </c>
      <c r="F8" s="258">
        <f>'案件．要員情報まとめ'!R184</f>
        <v>0.89090909090909087</v>
      </c>
      <c r="G8" s="258">
        <f>'案件．要員情報まとめ'!S184</f>
        <v>0</v>
      </c>
      <c r="H8" s="258">
        <f>'案件．要員情報まとめ'!T184</f>
        <v>0</v>
      </c>
      <c r="I8" s="258">
        <f>'案件．要員情報まとめ'!U184</f>
        <v>0</v>
      </c>
      <c r="J8" s="258">
        <f>'案件．要員情報まとめ'!V184</f>
        <v>0</v>
      </c>
      <c r="K8" s="258">
        <f>'案件．要員情報まとめ'!W184</f>
        <v>0</v>
      </c>
      <c r="L8" s="258">
        <f>'案件．要員情報まとめ'!X184</f>
        <v>0</v>
      </c>
      <c r="M8" s="258">
        <f>'案件．要員情報まとめ'!Y184</f>
        <v>0</v>
      </c>
      <c r="N8" s="258">
        <f>'案件．要員情報まとめ'!Z184</f>
        <v>0</v>
      </c>
    </row>
    <row r="9" spans="1:16" x14ac:dyDescent="0.4">
      <c r="A9" s="257" t="s">
        <v>377</v>
      </c>
      <c r="B9" s="257" t="s">
        <v>25</v>
      </c>
      <c r="C9" s="258">
        <f>'案件．要員情報まとめ'!O185</f>
        <v>0.85416666666666663</v>
      </c>
      <c r="D9" s="258">
        <f>'案件．要員情報まとめ'!P185</f>
        <v>0.67368421052631589</v>
      </c>
      <c r="E9" s="258">
        <f>'案件．要員情報まとめ'!Q185</f>
        <v>0.86969696969696964</v>
      </c>
      <c r="F9" s="258">
        <f>'案件．要員情報まとめ'!R185</f>
        <v>0.70606060606060606</v>
      </c>
      <c r="G9" s="258">
        <f>'案件．要員情報まとめ'!S185</f>
        <v>0</v>
      </c>
      <c r="H9" s="258">
        <f>'案件．要員情報まとめ'!T185</f>
        <v>0</v>
      </c>
      <c r="I9" s="258">
        <f>'案件．要員情報まとめ'!U185</f>
        <v>0</v>
      </c>
      <c r="J9" s="258">
        <f>'案件．要員情報まとめ'!V185</f>
        <v>0</v>
      </c>
      <c r="K9" s="258">
        <f>'案件．要員情報まとめ'!W185</f>
        <v>0</v>
      </c>
      <c r="L9" s="258">
        <f>'案件．要員情報まとめ'!X185</f>
        <v>0</v>
      </c>
      <c r="M9" s="258">
        <f>'案件．要員情報まとめ'!Y185</f>
        <v>0</v>
      </c>
      <c r="N9" s="258">
        <f>'案件．要員情報まとめ'!Z185</f>
        <v>0</v>
      </c>
    </row>
    <row r="10" spans="1:16" x14ac:dyDescent="0.4">
      <c r="A10" s="255" t="s">
        <v>378</v>
      </c>
      <c r="B10" s="256"/>
      <c r="C10" s="256"/>
      <c r="D10" s="256"/>
      <c r="E10" s="256"/>
      <c r="F10" s="256"/>
      <c r="G10" s="256"/>
      <c r="H10" s="256"/>
      <c r="I10" s="256"/>
      <c r="J10" s="256"/>
      <c r="K10" s="256"/>
      <c r="L10" s="256"/>
      <c r="M10" s="256"/>
      <c r="N10" s="256"/>
    </row>
    <row r="11" spans="1:16" x14ac:dyDescent="0.4">
      <c r="A11" s="257" t="s">
        <v>379</v>
      </c>
      <c r="B11" s="257" t="s">
        <v>24</v>
      </c>
      <c r="C11" s="258">
        <f>'案件．要員情報まとめ'!O187</f>
        <v>6.0041666666666664</v>
      </c>
      <c r="D11" s="258">
        <f>'案件．要員情報まとめ'!P187</f>
        <v>4.4842105263157892</v>
      </c>
      <c r="E11" s="258">
        <f>'案件．要員情報まとめ'!Q187</f>
        <v>5.3030303030303028</v>
      </c>
      <c r="F11" s="258">
        <f>'案件．要員情報まとめ'!R187</f>
        <v>5.9454545454545444</v>
      </c>
      <c r="G11" s="258">
        <f>'案件．要員情報まとめ'!S187</f>
        <v>0</v>
      </c>
      <c r="H11" s="258">
        <f>'案件．要員情報まとめ'!T187</f>
        <v>0</v>
      </c>
      <c r="I11" s="258">
        <f>'案件．要員情報まとめ'!U187</f>
        <v>0</v>
      </c>
      <c r="J11" s="258">
        <f>'案件．要員情報まとめ'!V187</f>
        <v>0</v>
      </c>
      <c r="K11" s="258">
        <f>'案件．要員情報まとめ'!W187</f>
        <v>0</v>
      </c>
      <c r="L11" s="258">
        <f>'案件．要員情報まとめ'!X187</f>
        <v>0</v>
      </c>
      <c r="M11" s="258">
        <f>'案件．要員情報まとめ'!Y187</f>
        <v>0</v>
      </c>
      <c r="N11" s="258">
        <f>'案件．要員情報まとめ'!Z187</f>
        <v>0</v>
      </c>
      <c r="O11" s="322">
        <f>SUM(C11:N11)/2</f>
        <v>10.868431020733651</v>
      </c>
    </row>
    <row r="12" spans="1:16" ht="19.5" customHeight="1" x14ac:dyDescent="0.4">
      <c r="A12" s="257" t="s">
        <v>379</v>
      </c>
      <c r="B12" s="257" t="s">
        <v>25</v>
      </c>
      <c r="C12" s="258">
        <f>'案件．要員情報まとめ'!O188</f>
        <v>5.5249999999999995</v>
      </c>
      <c r="D12" s="258">
        <f>'案件．要員情報まとめ'!P188</f>
        <v>3.9964912280701759</v>
      </c>
      <c r="E12" s="258">
        <f>'案件．要員情報まとめ'!Q188</f>
        <v>4.9030303030303024</v>
      </c>
      <c r="F12" s="258">
        <f>'案件．要員情報まとめ'!R188</f>
        <v>5.1424242424242426</v>
      </c>
      <c r="G12" s="258">
        <f>'案件．要員情報まとめ'!S188</f>
        <v>0</v>
      </c>
      <c r="H12" s="258">
        <f>'案件．要員情報まとめ'!T188</f>
        <v>0</v>
      </c>
      <c r="I12" s="258">
        <f>'案件．要員情報まとめ'!U188</f>
        <v>0</v>
      </c>
      <c r="J12" s="258">
        <f>'案件．要員情報まとめ'!V188</f>
        <v>0</v>
      </c>
      <c r="K12" s="258">
        <f>'案件．要員情報まとめ'!W188</f>
        <v>0</v>
      </c>
      <c r="L12" s="258">
        <f>'案件．要員情報まとめ'!X188</f>
        <v>0</v>
      </c>
      <c r="M12" s="258">
        <f>'案件．要員情報まとめ'!Y188</f>
        <v>0</v>
      </c>
      <c r="N12" s="258">
        <f>'案件．要員情報まとめ'!Z188</f>
        <v>0</v>
      </c>
      <c r="O12" s="322">
        <f>SUM(C12:N12)/1</f>
        <v>19.566945773524722</v>
      </c>
    </row>
    <row r="13" spans="1:16" s="262" customFormat="1" ht="19.5" customHeight="1" x14ac:dyDescent="0.4">
      <c r="A13" s="263" t="s">
        <v>375</v>
      </c>
      <c r="B13" s="260"/>
      <c r="C13" s="261">
        <f t="shared" ref="C13:N13" si="1">C2-C12</f>
        <v>-0.52499999999999947</v>
      </c>
      <c r="D13" s="261">
        <f t="shared" si="1"/>
        <v>1.0035087719298241</v>
      </c>
      <c r="E13" s="261">
        <f t="shared" si="1"/>
        <v>9.6969696969697594E-2</v>
      </c>
      <c r="F13" s="261">
        <f t="shared" si="1"/>
        <v>-0.14242424242424256</v>
      </c>
      <c r="G13" s="261">
        <f t="shared" si="1"/>
        <v>5</v>
      </c>
      <c r="H13" s="261">
        <f t="shared" si="1"/>
        <v>5</v>
      </c>
      <c r="I13" s="261">
        <f t="shared" si="1"/>
        <v>5</v>
      </c>
      <c r="J13" s="261">
        <f t="shared" si="1"/>
        <v>5</v>
      </c>
      <c r="K13" s="261">
        <f t="shared" si="1"/>
        <v>5</v>
      </c>
      <c r="L13" s="261">
        <f t="shared" si="1"/>
        <v>5</v>
      </c>
      <c r="M13" s="261">
        <f t="shared" si="1"/>
        <v>5</v>
      </c>
      <c r="N13" s="261">
        <f t="shared" si="1"/>
        <v>5</v>
      </c>
    </row>
    <row r="14" spans="1:16" x14ac:dyDescent="0.4">
      <c r="A14" s="264" t="s">
        <v>380</v>
      </c>
      <c r="B14" s="265"/>
      <c r="C14" s="266"/>
      <c r="D14" s="266"/>
      <c r="E14" s="266"/>
      <c r="F14" s="266"/>
      <c r="G14" s="266"/>
      <c r="H14" s="266"/>
      <c r="I14" s="266"/>
      <c r="J14" s="266"/>
      <c r="K14" s="266"/>
      <c r="L14" s="266"/>
      <c r="M14" s="266"/>
      <c r="N14" s="266"/>
    </row>
    <row r="15" spans="1:16" x14ac:dyDescent="0.4">
      <c r="A15" s="267" t="s">
        <v>381</v>
      </c>
      <c r="B15" s="268"/>
      <c r="C15" s="269">
        <f>C12/C2</f>
        <v>1.105</v>
      </c>
      <c r="D15" s="269">
        <v>0.80199999999999994</v>
      </c>
      <c r="E15" s="269">
        <v>0.98199999999999998</v>
      </c>
      <c r="F15" s="269" t="s">
        <v>382</v>
      </c>
      <c r="G15" s="269" t="s">
        <v>382</v>
      </c>
      <c r="H15" s="269" t="s">
        <v>382</v>
      </c>
      <c r="I15" s="269" t="s">
        <v>382</v>
      </c>
      <c r="J15" s="269" t="s">
        <v>382</v>
      </c>
      <c r="K15" s="269" t="s">
        <v>382</v>
      </c>
      <c r="L15" s="269" t="s">
        <v>382</v>
      </c>
      <c r="M15" s="269" t="s">
        <v>382</v>
      </c>
      <c r="N15" s="269" t="s">
        <v>382</v>
      </c>
      <c r="O15" s="321">
        <f>SUM(C15:N15)/2</f>
        <v>1.4445000000000001</v>
      </c>
      <c r="P15" s="270"/>
    </row>
    <row r="16" spans="1:16" ht="19.5" customHeight="1" x14ac:dyDescent="0.4">
      <c r="A16" s="267" t="s">
        <v>383</v>
      </c>
      <c r="B16" s="268"/>
      <c r="C16" s="269">
        <f>C11/C12</f>
        <v>1.0867269984917045</v>
      </c>
      <c r="D16" s="269">
        <v>1.117206982543641</v>
      </c>
      <c r="E16" s="269">
        <v>1.0794297352342159</v>
      </c>
      <c r="F16" s="269" t="s">
        <v>382</v>
      </c>
      <c r="G16" s="269" t="s">
        <v>382</v>
      </c>
      <c r="H16" s="269" t="s">
        <v>382</v>
      </c>
      <c r="I16" s="269" t="s">
        <v>382</v>
      </c>
      <c r="J16" s="269" t="s">
        <v>382</v>
      </c>
      <c r="K16" s="269" t="s">
        <v>382</v>
      </c>
      <c r="L16" s="269" t="s">
        <v>382</v>
      </c>
      <c r="M16" s="269" t="s">
        <v>382</v>
      </c>
      <c r="N16" s="269" t="s">
        <v>382</v>
      </c>
      <c r="O16" s="321">
        <f>SUM(C16:N16)/2</f>
        <v>1.6416818581347807</v>
      </c>
      <c r="P16" s="270"/>
    </row>
    <row r="17" spans="1:14" s="262" customFormat="1" ht="19.5" customHeight="1" x14ac:dyDescent="0.4">
      <c r="A17" s="263"/>
      <c r="B17" s="260"/>
      <c r="C17" s="261"/>
      <c r="D17" s="261"/>
      <c r="E17" s="261"/>
      <c r="F17" s="261"/>
      <c r="G17" s="261"/>
      <c r="H17" s="261"/>
      <c r="I17" s="261"/>
      <c r="J17" s="261"/>
      <c r="K17" s="261"/>
      <c r="L17" s="261"/>
      <c r="M17" s="261"/>
      <c r="N17" s="261"/>
    </row>
  </sheetData>
  <phoneticPr fontId="2"/>
  <pageMargins left="0.7" right="0.7" top="0.75" bottom="0.75" header="0.3" footer="0.3"/>
  <pageSetup paperSize="9" scale="36" orientation="portrait" verticalDpi="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6"/>
  <dimension ref="B1:B13"/>
  <sheetViews>
    <sheetView workbookViewId="0"/>
  </sheetViews>
  <sheetFormatPr defaultRowHeight="18.75" x14ac:dyDescent="0.4"/>
  <sheetData>
    <row r="1" spans="2:2" x14ac:dyDescent="0.4">
      <c r="B1" t="s">
        <v>16</v>
      </c>
    </row>
    <row r="2" spans="2:2" x14ac:dyDescent="0.4">
      <c r="B2" t="s">
        <v>10</v>
      </c>
    </row>
    <row r="3" spans="2:2" x14ac:dyDescent="0.4">
      <c r="B3" t="s">
        <v>11</v>
      </c>
    </row>
    <row r="4" spans="2:2" x14ac:dyDescent="0.4">
      <c r="B4" t="s">
        <v>12</v>
      </c>
    </row>
    <row r="5" spans="2:2" x14ac:dyDescent="0.4">
      <c r="B5" t="s">
        <v>13</v>
      </c>
    </row>
    <row r="6" spans="2:2" x14ac:dyDescent="0.4">
      <c r="B6" t="s">
        <v>28</v>
      </c>
    </row>
    <row r="7" spans="2:2" x14ac:dyDescent="0.4">
      <c r="B7" t="s">
        <v>15</v>
      </c>
    </row>
    <row r="9" spans="2:2" x14ac:dyDescent="0.4">
      <c r="B9" t="s">
        <v>44</v>
      </c>
    </row>
    <row r="10" spans="2:2" x14ac:dyDescent="0.4">
      <c r="B10" t="s">
        <v>45</v>
      </c>
    </row>
    <row r="11" spans="2:2" x14ac:dyDescent="0.4">
      <c r="B11" t="s">
        <v>46</v>
      </c>
    </row>
    <row r="12" spans="2:2" x14ac:dyDescent="0.4">
      <c r="B12" t="s">
        <v>48</v>
      </c>
    </row>
    <row r="13" spans="2:2" x14ac:dyDescent="0.4">
      <c r="B13" t="s">
        <v>47</v>
      </c>
    </row>
  </sheetData>
  <phoneticPr fontId="2"/>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8</vt:i4>
      </vt:variant>
      <vt:variant>
        <vt:lpstr>名前付き一覧</vt:lpstr>
      </vt:variant>
      <vt:variant>
        <vt:i4>4</vt:i4>
      </vt:variant>
    </vt:vector>
  </HeadingPairs>
  <TitlesOfParts>
    <vt:vector size="12" baseType="lpstr">
      <vt:lpstr>説明</vt:lpstr>
      <vt:lpstr>案件．要員情報まとめ</vt:lpstr>
      <vt:lpstr>案件．要員情報</vt:lpstr>
      <vt:lpstr>週次報告</vt:lpstr>
      <vt:lpstr>休暇</vt:lpstr>
      <vt:lpstr>祝日</vt:lpstr>
      <vt:lpstr>DIRタスク対応の人月まとめ</vt:lpstr>
      <vt:lpstr>Not Available</vt:lpstr>
      <vt:lpstr>Division</vt:lpstr>
      <vt:lpstr>DIRタスク対応の人月まとめ!Print_Area</vt:lpstr>
      <vt:lpstr>案件．要員情報まとめ!Status</vt:lpstr>
      <vt:lpstr>Status</vt:lpstr>
    </vt:vector>
  </TitlesOfParts>
  <Company>Daiwa Institute of Research Ltd.</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チーそーウィン/DIR-BI金融システム開発第一部</dc:creator>
  <cp:lastModifiedBy>ティンザー アウン/DIR金融フロントシステム第一部</cp:lastModifiedBy>
  <dcterms:created xsi:type="dcterms:W3CDTF">2020-02-26T11:03:32Z</dcterms:created>
  <dcterms:modified xsi:type="dcterms:W3CDTF">2026-07-28T06:36:45Z</dcterms:modified>
</cp:coreProperties>
</file>