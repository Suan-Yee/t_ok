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sys.dir.co.jp\document\部室別エリア\B50_金融フロントシステム第一部\PUBLIC\パートナー\DAT\SS_ALL\09 Weekly Report\(WB4)週次報告_20261001~1007\"/>
    </mc:Choice>
  </mc:AlternateContent>
  <xr:revisionPtr revIDLastSave="0" documentId="13_ncr:1_{5DB55D1B-A1C7-4ED7-8CDC-EF77237415B2}" xr6:coauthVersionLast="47" xr6:coauthVersionMax="47" xr10:uidLastSave="{00000000-0000-0000-0000-000000000000}"/>
  <bookViews>
    <workbookView xWindow="-120" yWindow="-120" windowWidth="29040" windowHeight="15720" tabRatio="825" activeTab="3" xr2:uid="{00000000-000D-0000-FFFF-FFFF00000000}"/>
  </bookViews>
  <sheets>
    <sheet name="説明" sheetId="11" r:id="rId1"/>
    <sheet name="案件．要員情報まとめ" sheetId="10" r:id="rId2"/>
    <sheet name="案件．要員情報" sheetId="1" r:id="rId3"/>
    <sheet name="週次報告" sheetId="6" r:id="rId4"/>
    <sheet name="休暇" sheetId="8" r:id="rId5"/>
    <sheet name="祝日" sheetId="7" r:id="rId6"/>
    <sheet name="DIRタスク対応の人月まとめ" sheetId="12" r:id="rId7"/>
    <sheet name="AI活用PoC結果推移" sheetId="13" r:id="rId8"/>
    <sheet name="Not Available" sheetId="4" r:id="rId9"/>
  </sheets>
  <externalReferences>
    <externalReference r:id="rId10"/>
  </externalReferences>
  <definedNames>
    <definedName name="_xlnm._FilterDatabase" localSheetId="2" hidden="1">'案件．要員情報'!$A$1:$CU$168</definedName>
    <definedName name="_xlnm._FilterDatabase" localSheetId="1" hidden="1">'案件．要員情報まとめ'!$A$1:$AA$167</definedName>
    <definedName name="_xlnm._FilterDatabase" localSheetId="3" hidden="1">週次報告!$A$4:$J$457</definedName>
    <definedName name="Division" localSheetId="6">'[1]Not Available'!$B$2:$B$7</definedName>
    <definedName name="Division">'Not Available'!$B$2:$B$7</definedName>
    <definedName name="_xlnm.Print_Area" localSheetId="7">AI活用PoC結果推移!$A$1:$N$20</definedName>
    <definedName name="_xlnm.Print_Area" localSheetId="6">DIRタスク対応の人月まとめ!$A$1:$Q$31</definedName>
    <definedName name="Status" localSheetId="6">'[1]Not Available'!$B$10:$B$13</definedName>
    <definedName name="Status" localSheetId="1">'Not Available'!$B$10:$B$13</definedName>
    <definedName name="Status">'Not Available'!$B$10:$B$13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42" i="1" l="1"/>
  <c r="BD168" i="1"/>
  <c r="BF179" i="1"/>
  <c r="BF177" i="1"/>
  <c r="BF175" i="1"/>
  <c r="BF168" i="1"/>
  <c r="BF167" i="1"/>
  <c r="BE168" i="1"/>
  <c r="BC168" i="1"/>
  <c r="BB168" i="1"/>
  <c r="BA168" i="1"/>
  <c r="AZ168" i="1"/>
  <c r="BD199" i="1"/>
  <c r="AZ183" i="1"/>
  <c r="BE179" i="1"/>
  <c r="BD179" i="1"/>
  <c r="BC179" i="1"/>
  <c r="I178" i="1" s="1"/>
  <c r="BB179" i="1"/>
  <c r="BA179" i="1"/>
  <c r="AZ179" i="1"/>
  <c r="BE177" i="1"/>
  <c r="BD177" i="1"/>
  <c r="BC177" i="1"/>
  <c r="I176" i="1" s="1"/>
  <c r="BB177" i="1"/>
  <c r="BA177" i="1"/>
  <c r="AZ177" i="1"/>
  <c r="BE175" i="1"/>
  <c r="BD175" i="1"/>
  <c r="BC175" i="1"/>
  <c r="I174" i="1" s="1"/>
  <c r="BB175" i="1"/>
  <c r="BA175" i="1"/>
  <c r="AZ175" i="1"/>
  <c r="AZ182" i="1"/>
  <c r="BF178" i="1"/>
  <c r="BE178" i="1"/>
  <c r="BD178" i="1"/>
  <c r="BD186" i="1" s="1"/>
  <c r="BC178" i="1"/>
  <c r="H178" i="1" s="1"/>
  <c r="BB178" i="1"/>
  <c r="BA178" i="1"/>
  <c r="AZ178" i="1"/>
  <c r="BF176" i="1"/>
  <c r="BE176" i="1"/>
  <c r="BD176" i="1"/>
  <c r="BC176" i="1"/>
  <c r="H176" i="1" s="1"/>
  <c r="BB176" i="1"/>
  <c r="BA176" i="1"/>
  <c r="AZ176" i="1"/>
  <c r="BF174" i="1"/>
  <c r="BE174" i="1"/>
  <c r="BD174" i="1"/>
  <c r="BC174" i="1"/>
  <c r="BB174" i="1"/>
  <c r="BA174" i="1"/>
  <c r="AZ174" i="1"/>
  <c r="BE125" i="1"/>
  <c r="BB125" i="1"/>
  <c r="BD121" i="1"/>
  <c r="BA121" i="1"/>
  <c r="BB121" i="1"/>
  <c r="BC123" i="1"/>
  <c r="BB123" i="1"/>
  <c r="H123" i="1" s="1"/>
  <c r="BE119" i="1"/>
  <c r="BE117" i="1"/>
  <c r="BA117" i="1"/>
  <c r="BD117" i="1"/>
  <c r="BA115" i="1"/>
  <c r="BD115" i="1"/>
  <c r="BC113" i="1"/>
  <c r="BE83" i="1"/>
  <c r="BB51" i="1"/>
  <c r="BD41" i="1"/>
  <c r="AZ125" i="1"/>
  <c r="AZ123" i="1"/>
  <c r="AZ121" i="1"/>
  <c r="AZ119" i="1"/>
  <c r="AZ117" i="1"/>
  <c r="AZ115" i="1"/>
  <c r="AZ113" i="1"/>
  <c r="AZ107" i="1"/>
  <c r="AZ83" i="1"/>
  <c r="AZ51" i="1"/>
  <c r="AZ41" i="1"/>
  <c r="BE7" i="1"/>
  <c r="BD7" i="1"/>
  <c r="BC7" i="1"/>
  <c r="BB7" i="1"/>
  <c r="H7" i="1" s="1"/>
  <c r="BA7" i="1"/>
  <c r="BA100" i="1"/>
  <c r="BE84" i="1"/>
  <c r="BB84" i="1"/>
  <c r="AZ84" i="1"/>
  <c r="BC114" i="1"/>
  <c r="BA114" i="1"/>
  <c r="AZ114" i="1"/>
  <c r="AZ42" i="1"/>
  <c r="BE118" i="1"/>
  <c r="BD118" i="1"/>
  <c r="BA118" i="1"/>
  <c r="AZ118" i="1"/>
  <c r="BD116" i="1"/>
  <c r="BA116" i="1"/>
  <c r="I115" i="1" s="1"/>
  <c r="AZ116" i="1"/>
  <c r="BE120" i="1"/>
  <c r="BF120" i="1"/>
  <c r="AZ120" i="1"/>
  <c r="BA108" i="1"/>
  <c r="AZ108" i="1"/>
  <c r="BD8" i="1"/>
  <c r="BC8" i="1"/>
  <c r="BB52" i="1"/>
  <c r="AZ52" i="1"/>
  <c r="AZ126" i="1"/>
  <c r="BC124" i="1"/>
  <c r="BB124" i="1"/>
  <c r="I123" i="1" s="1"/>
  <c r="AZ124" i="1"/>
  <c r="AZ122" i="1"/>
  <c r="I125" i="1"/>
  <c r="H125" i="1"/>
  <c r="I121" i="1"/>
  <c r="H121" i="1"/>
  <c r="I119" i="1"/>
  <c r="H119" i="1"/>
  <c r="I117" i="1"/>
  <c r="H117" i="1"/>
  <c r="H115" i="1"/>
  <c r="H113" i="1"/>
  <c r="BF126" i="1"/>
  <c r="BE126" i="1"/>
  <c r="BD126" i="1"/>
  <c r="BC126" i="1"/>
  <c r="BB126" i="1"/>
  <c r="BA126" i="1"/>
  <c r="BF125" i="1"/>
  <c r="BD125" i="1"/>
  <c r="BC125" i="1"/>
  <c r="BA125" i="1"/>
  <c r="BF124" i="1"/>
  <c r="BE124" i="1"/>
  <c r="BD124" i="1"/>
  <c r="BA124" i="1"/>
  <c r="BF123" i="1"/>
  <c r="BE123" i="1"/>
  <c r="BD123" i="1"/>
  <c r="BA123" i="1"/>
  <c r="BF122" i="1"/>
  <c r="BE122" i="1"/>
  <c r="BD122" i="1"/>
  <c r="BC122" i="1"/>
  <c r="BB122" i="1"/>
  <c r="BA122" i="1"/>
  <c r="BF121" i="1"/>
  <c r="BE121" i="1"/>
  <c r="BC121" i="1"/>
  <c r="BD120" i="1"/>
  <c r="BC120" i="1"/>
  <c r="BB120" i="1"/>
  <c r="BA120" i="1"/>
  <c r="BF119" i="1"/>
  <c r="BD119" i="1"/>
  <c r="BC119" i="1"/>
  <c r="BB119" i="1"/>
  <c r="BA119" i="1"/>
  <c r="BF118" i="1"/>
  <c r="BC118" i="1"/>
  <c r="BB118" i="1"/>
  <c r="BF117" i="1"/>
  <c r="BC117" i="1"/>
  <c r="BB117" i="1"/>
  <c r="BF116" i="1"/>
  <c r="BE116" i="1"/>
  <c r="BC116" i="1"/>
  <c r="BB116" i="1"/>
  <c r="BF115" i="1"/>
  <c r="BE115" i="1"/>
  <c r="BC115" i="1"/>
  <c r="BB115" i="1"/>
  <c r="H51" i="1"/>
  <c r="CU208" i="1"/>
  <c r="BF209" i="1"/>
  <c r="BE209" i="1"/>
  <c r="BF208" i="1"/>
  <c r="BE208" i="1"/>
  <c r="BD209" i="1"/>
  <c r="CU209" i="1" s="1"/>
  <c r="BC209" i="1"/>
  <c r="BB209" i="1"/>
  <c r="BA209" i="1"/>
  <c r="AZ209" i="1"/>
  <c r="BD208" i="1"/>
  <c r="BC208" i="1"/>
  <c r="BB208" i="1"/>
  <c r="BA208" i="1"/>
  <c r="AZ208" i="1"/>
  <c r="BF187" i="1"/>
  <c r="BE187" i="1"/>
  <c r="BF186" i="1"/>
  <c r="BE186" i="1"/>
  <c r="BD187" i="1"/>
  <c r="BB187" i="1"/>
  <c r="BA187" i="1"/>
  <c r="AZ187" i="1"/>
  <c r="BB186" i="1"/>
  <c r="BA186" i="1"/>
  <c r="AZ186" i="1"/>
  <c r="BE167" i="1"/>
  <c r="BD167" i="1"/>
  <c r="BC167" i="1"/>
  <c r="BB167" i="1"/>
  <c r="BA167" i="1"/>
  <c r="AZ167" i="1"/>
  <c r="BF207" i="1"/>
  <c r="BE207" i="1"/>
  <c r="BD207" i="1"/>
  <c r="BC207" i="1"/>
  <c r="I206" i="1" s="1"/>
  <c r="BB207" i="1"/>
  <c r="BA207" i="1"/>
  <c r="AZ207" i="1"/>
  <c r="BF206" i="1"/>
  <c r="BE206" i="1"/>
  <c r="BD206" i="1"/>
  <c r="BC206" i="1"/>
  <c r="BB206" i="1"/>
  <c r="H206" i="1" s="1"/>
  <c r="BA206" i="1"/>
  <c r="AZ206" i="1"/>
  <c r="BF205" i="1"/>
  <c r="BE205" i="1"/>
  <c r="BD205" i="1"/>
  <c r="BC205" i="1"/>
  <c r="BB205" i="1"/>
  <c r="BA205" i="1"/>
  <c r="AZ205" i="1"/>
  <c r="BF204" i="1"/>
  <c r="BE204" i="1"/>
  <c r="BD204" i="1"/>
  <c r="BC204" i="1"/>
  <c r="BB204" i="1"/>
  <c r="BA204" i="1"/>
  <c r="AZ204" i="1"/>
  <c r="H204" i="1" s="1"/>
  <c r="BF203" i="1"/>
  <c r="BE203" i="1"/>
  <c r="BD203" i="1"/>
  <c r="BC203" i="1"/>
  <c r="I202" i="1" s="1"/>
  <c r="BB203" i="1"/>
  <c r="BA203" i="1"/>
  <c r="AZ203" i="1"/>
  <c r="BF202" i="1"/>
  <c r="BE202" i="1"/>
  <c r="BD202" i="1"/>
  <c r="BC202" i="1"/>
  <c r="BB202" i="1"/>
  <c r="BA202" i="1"/>
  <c r="AZ202" i="1"/>
  <c r="BF201" i="1"/>
  <c r="BE201" i="1"/>
  <c r="BD201" i="1"/>
  <c r="BC201" i="1"/>
  <c r="BB201" i="1"/>
  <c r="BA201" i="1"/>
  <c r="I200" i="1" s="1"/>
  <c r="AZ201" i="1"/>
  <c r="BF200" i="1"/>
  <c r="BE200" i="1"/>
  <c r="BD200" i="1"/>
  <c r="BC200" i="1"/>
  <c r="BB200" i="1"/>
  <c r="BA200" i="1"/>
  <c r="AZ200" i="1"/>
  <c r="BF199" i="1"/>
  <c r="BE199" i="1"/>
  <c r="BC199" i="1"/>
  <c r="I198" i="1" s="1"/>
  <c r="BB199" i="1"/>
  <c r="BA199" i="1"/>
  <c r="AZ199" i="1"/>
  <c r="BF198" i="1"/>
  <c r="BE198" i="1"/>
  <c r="BD198" i="1"/>
  <c r="BC198" i="1"/>
  <c r="BB198" i="1"/>
  <c r="H198" i="1" s="1"/>
  <c r="BA198" i="1"/>
  <c r="AZ198" i="1"/>
  <c r="BF185" i="1"/>
  <c r="BE185" i="1"/>
  <c r="BD185" i="1"/>
  <c r="BC185" i="1"/>
  <c r="I184" i="1" s="1"/>
  <c r="BB185" i="1"/>
  <c r="BA185" i="1"/>
  <c r="AZ185" i="1"/>
  <c r="BF184" i="1"/>
  <c r="BE184" i="1"/>
  <c r="BD184" i="1"/>
  <c r="BC184" i="1"/>
  <c r="BB184" i="1"/>
  <c r="H184" i="1" s="1"/>
  <c r="BA184" i="1"/>
  <c r="AZ184" i="1"/>
  <c r="BF183" i="1"/>
  <c r="BE183" i="1"/>
  <c r="BD183" i="1"/>
  <c r="BC183" i="1"/>
  <c r="BB183" i="1"/>
  <c r="BA183" i="1"/>
  <c r="BF182" i="1"/>
  <c r="BE182" i="1"/>
  <c r="BD182" i="1"/>
  <c r="BC182" i="1"/>
  <c r="BB182" i="1"/>
  <c r="BA182" i="1"/>
  <c r="H182" i="1"/>
  <c r="BF181" i="1"/>
  <c r="BE181" i="1"/>
  <c r="BD181" i="1"/>
  <c r="BC181" i="1"/>
  <c r="I180" i="1" s="1"/>
  <c r="BB181" i="1"/>
  <c r="BA181" i="1"/>
  <c r="AZ181" i="1"/>
  <c r="BF180" i="1"/>
  <c r="BE180" i="1"/>
  <c r="BD180" i="1"/>
  <c r="BC180" i="1"/>
  <c r="BB180" i="1"/>
  <c r="H180" i="1" s="1"/>
  <c r="BA180" i="1"/>
  <c r="AZ180" i="1"/>
  <c r="H174" i="1"/>
  <c r="BF114" i="1"/>
  <c r="BE114" i="1"/>
  <c r="BD114" i="1"/>
  <c r="I113" i="1"/>
  <c r="BB114" i="1"/>
  <c r="BF113" i="1"/>
  <c r="BE113" i="1"/>
  <c r="BD113" i="1"/>
  <c r="BB113" i="1"/>
  <c r="BA113" i="1"/>
  <c r="BF112" i="1"/>
  <c r="BE112" i="1"/>
  <c r="BD112" i="1"/>
  <c r="BC112" i="1"/>
  <c r="BB112" i="1"/>
  <c r="BA112" i="1"/>
  <c r="AZ112" i="1"/>
  <c r="BF111" i="1"/>
  <c r="BE111" i="1"/>
  <c r="BD111" i="1"/>
  <c r="BC111" i="1"/>
  <c r="BB111" i="1"/>
  <c r="BA111" i="1"/>
  <c r="AZ111" i="1"/>
  <c r="H111" i="1" s="1"/>
  <c r="BF110" i="1"/>
  <c r="BE110" i="1"/>
  <c r="BD110" i="1"/>
  <c r="BC110" i="1"/>
  <c r="I109" i="1" s="1"/>
  <c r="BB110" i="1"/>
  <c r="BA110" i="1"/>
  <c r="AZ110" i="1"/>
  <c r="BF109" i="1"/>
  <c r="BE109" i="1"/>
  <c r="BD109" i="1"/>
  <c r="BC109" i="1"/>
  <c r="BB109" i="1"/>
  <c r="H109" i="1" s="1"/>
  <c r="BA109" i="1"/>
  <c r="AZ109" i="1"/>
  <c r="BF108" i="1"/>
  <c r="BE108" i="1"/>
  <c r="BD108" i="1"/>
  <c r="BC108" i="1"/>
  <c r="BB108" i="1"/>
  <c r="I107" i="1"/>
  <c r="BF107" i="1"/>
  <c r="BE107" i="1"/>
  <c r="BD107" i="1"/>
  <c r="BC107" i="1"/>
  <c r="BB107" i="1"/>
  <c r="BA107" i="1"/>
  <c r="BF106" i="1"/>
  <c r="BE106" i="1"/>
  <c r="BD106" i="1"/>
  <c r="BC106" i="1"/>
  <c r="I105" i="1" s="1"/>
  <c r="BB106" i="1"/>
  <c r="BA106" i="1"/>
  <c r="AZ106" i="1"/>
  <c r="BF105" i="1"/>
  <c r="BE105" i="1"/>
  <c r="BD105" i="1"/>
  <c r="BC105" i="1"/>
  <c r="BB105" i="1"/>
  <c r="H105" i="1" s="1"/>
  <c r="BA105" i="1"/>
  <c r="AZ105" i="1"/>
  <c r="BF104" i="1"/>
  <c r="BE104" i="1"/>
  <c r="BD104" i="1"/>
  <c r="BC104" i="1"/>
  <c r="BB104" i="1"/>
  <c r="BA104" i="1"/>
  <c r="I103" i="1" s="1"/>
  <c r="AZ104" i="1"/>
  <c r="BF103" i="1"/>
  <c r="BE103" i="1"/>
  <c r="BD103" i="1"/>
  <c r="BC103" i="1"/>
  <c r="BB103" i="1"/>
  <c r="BA103" i="1"/>
  <c r="AZ103" i="1"/>
  <c r="H103" i="1" s="1"/>
  <c r="BF102" i="1"/>
  <c r="BE102" i="1"/>
  <c r="BD102" i="1"/>
  <c r="BC102" i="1"/>
  <c r="BB102" i="1"/>
  <c r="BA102" i="1"/>
  <c r="AZ102" i="1"/>
  <c r="BF101" i="1"/>
  <c r="BE101" i="1"/>
  <c r="BD101" i="1"/>
  <c r="BC101" i="1"/>
  <c r="BB101" i="1"/>
  <c r="BA101" i="1"/>
  <c r="AZ101" i="1"/>
  <c r="BF100" i="1"/>
  <c r="BE100" i="1"/>
  <c r="BD100" i="1"/>
  <c r="BC100" i="1"/>
  <c r="BB100" i="1"/>
  <c r="I99" i="1"/>
  <c r="AZ100" i="1"/>
  <c r="BF99" i="1"/>
  <c r="BE99" i="1"/>
  <c r="BD99" i="1"/>
  <c r="BC99" i="1"/>
  <c r="BB99" i="1"/>
  <c r="BA99" i="1"/>
  <c r="AZ99" i="1"/>
  <c r="H99" i="1" s="1"/>
  <c r="BF98" i="1"/>
  <c r="BE98" i="1"/>
  <c r="BD98" i="1"/>
  <c r="BC98" i="1"/>
  <c r="I97" i="1" s="1"/>
  <c r="BB98" i="1"/>
  <c r="BA98" i="1"/>
  <c r="AZ98" i="1"/>
  <c r="BF97" i="1"/>
  <c r="BE97" i="1"/>
  <c r="BD97" i="1"/>
  <c r="BC97" i="1"/>
  <c r="BB97" i="1"/>
  <c r="H97" i="1" s="1"/>
  <c r="BA97" i="1"/>
  <c r="AZ97" i="1"/>
  <c r="BF96" i="1"/>
  <c r="BE96" i="1"/>
  <c r="BD96" i="1"/>
  <c r="BC96" i="1"/>
  <c r="BB96" i="1"/>
  <c r="BA96" i="1"/>
  <c r="AZ96" i="1"/>
  <c r="BF95" i="1"/>
  <c r="BE95" i="1"/>
  <c r="BD95" i="1"/>
  <c r="BC95" i="1"/>
  <c r="BB95" i="1"/>
  <c r="BA95" i="1"/>
  <c r="AZ95" i="1"/>
  <c r="H95" i="1" s="1"/>
  <c r="BF94" i="1"/>
  <c r="BE94" i="1"/>
  <c r="BD94" i="1"/>
  <c r="BC94" i="1"/>
  <c r="I93" i="1" s="1"/>
  <c r="BB94" i="1"/>
  <c r="BA94" i="1"/>
  <c r="AZ94" i="1"/>
  <c r="BF93" i="1"/>
  <c r="BE93" i="1"/>
  <c r="BD93" i="1"/>
  <c r="BC93" i="1"/>
  <c r="BB93" i="1"/>
  <c r="H93" i="1" s="1"/>
  <c r="BA93" i="1"/>
  <c r="AZ93" i="1"/>
  <c r="BF92" i="1"/>
  <c r="BE92" i="1"/>
  <c r="BD92" i="1"/>
  <c r="BC92" i="1"/>
  <c r="BB92" i="1"/>
  <c r="BA92" i="1"/>
  <c r="I91" i="1" s="1"/>
  <c r="AZ92" i="1"/>
  <c r="BF91" i="1"/>
  <c r="BE91" i="1"/>
  <c r="BD91" i="1"/>
  <c r="BC91" i="1"/>
  <c r="BB91" i="1"/>
  <c r="BA91" i="1"/>
  <c r="AZ91" i="1"/>
  <c r="BF90" i="1"/>
  <c r="BE90" i="1"/>
  <c r="BD90" i="1"/>
  <c r="BC90" i="1"/>
  <c r="I89" i="1" s="1"/>
  <c r="BB90" i="1"/>
  <c r="BA90" i="1"/>
  <c r="AZ90" i="1"/>
  <c r="BF89" i="1"/>
  <c r="BE89" i="1"/>
  <c r="BD89" i="1"/>
  <c r="BC89" i="1"/>
  <c r="BB89" i="1"/>
  <c r="H89" i="1" s="1"/>
  <c r="BA89" i="1"/>
  <c r="AZ89" i="1"/>
  <c r="BF88" i="1"/>
  <c r="BE88" i="1"/>
  <c r="BD88" i="1"/>
  <c r="BC88" i="1"/>
  <c r="BB88" i="1"/>
  <c r="BA88" i="1"/>
  <c r="I87" i="1" s="1"/>
  <c r="AZ88" i="1"/>
  <c r="BF87" i="1"/>
  <c r="BE87" i="1"/>
  <c r="BD87" i="1"/>
  <c r="BC87" i="1"/>
  <c r="BB87" i="1"/>
  <c r="BA87" i="1"/>
  <c r="AZ87" i="1"/>
  <c r="H87" i="1" s="1"/>
  <c r="BF86" i="1"/>
  <c r="BE86" i="1"/>
  <c r="BD86" i="1"/>
  <c r="BC86" i="1"/>
  <c r="BB86" i="1"/>
  <c r="BA86" i="1"/>
  <c r="AZ86" i="1"/>
  <c r="BF85" i="1"/>
  <c r="BE85" i="1"/>
  <c r="BD85" i="1"/>
  <c r="BC85" i="1"/>
  <c r="BB85" i="1"/>
  <c r="BA85" i="1"/>
  <c r="AZ85" i="1"/>
  <c r="BF84" i="1"/>
  <c r="BD84" i="1"/>
  <c r="BC84" i="1"/>
  <c r="BA84" i="1"/>
  <c r="I83" i="1" s="1"/>
  <c r="BF83" i="1"/>
  <c r="BD83" i="1"/>
  <c r="BC83" i="1"/>
  <c r="BB83" i="1"/>
  <c r="BA83" i="1"/>
  <c r="H83" i="1"/>
  <c r="BF82" i="1"/>
  <c r="BE82" i="1"/>
  <c r="BD82" i="1"/>
  <c r="BC82" i="1"/>
  <c r="I81" i="1" s="1"/>
  <c r="BB82" i="1"/>
  <c r="BA82" i="1"/>
  <c r="AZ82" i="1"/>
  <c r="BF81" i="1"/>
  <c r="BE81" i="1"/>
  <c r="BD81" i="1"/>
  <c r="BC81" i="1"/>
  <c r="BB81" i="1"/>
  <c r="H81" i="1" s="1"/>
  <c r="BA81" i="1"/>
  <c r="AZ81" i="1"/>
  <c r="BF80" i="1"/>
  <c r="BE80" i="1"/>
  <c r="BD80" i="1"/>
  <c r="BC80" i="1"/>
  <c r="BB80" i="1"/>
  <c r="BA80" i="1"/>
  <c r="AZ80" i="1"/>
  <c r="BF79" i="1"/>
  <c r="BE79" i="1"/>
  <c r="BD79" i="1"/>
  <c r="BC79" i="1"/>
  <c r="BB79" i="1"/>
  <c r="BA79" i="1"/>
  <c r="AZ79" i="1"/>
  <c r="H79" i="1" s="1"/>
  <c r="BF78" i="1"/>
  <c r="BE78" i="1"/>
  <c r="BD78" i="1"/>
  <c r="BC78" i="1"/>
  <c r="I77" i="1" s="1"/>
  <c r="BB78" i="1"/>
  <c r="BA78" i="1"/>
  <c r="AZ78" i="1"/>
  <c r="BF77" i="1"/>
  <c r="BE77" i="1"/>
  <c r="BD77" i="1"/>
  <c r="BC77" i="1"/>
  <c r="BB77" i="1"/>
  <c r="H77" i="1" s="1"/>
  <c r="BA77" i="1"/>
  <c r="AZ77" i="1"/>
  <c r="BF76" i="1"/>
  <c r="BE76" i="1"/>
  <c r="BD76" i="1"/>
  <c r="BC76" i="1"/>
  <c r="BB76" i="1"/>
  <c r="BA76" i="1"/>
  <c r="I75" i="1" s="1"/>
  <c r="AZ76" i="1"/>
  <c r="BF75" i="1"/>
  <c r="BE75" i="1"/>
  <c r="BD75" i="1"/>
  <c r="BC75" i="1"/>
  <c r="BB75" i="1"/>
  <c r="BA75" i="1"/>
  <c r="AZ75" i="1"/>
  <c r="BF74" i="1"/>
  <c r="BE74" i="1"/>
  <c r="BD74" i="1"/>
  <c r="BC74" i="1"/>
  <c r="I73" i="1" s="1"/>
  <c r="BB74" i="1"/>
  <c r="BA74" i="1"/>
  <c r="AZ74" i="1"/>
  <c r="BF73" i="1"/>
  <c r="BE73" i="1"/>
  <c r="BD73" i="1"/>
  <c r="BC73" i="1"/>
  <c r="BB73" i="1"/>
  <c r="H73" i="1" s="1"/>
  <c r="BA73" i="1"/>
  <c r="AZ73" i="1"/>
  <c r="BF72" i="1"/>
  <c r="BE72" i="1"/>
  <c r="BD72" i="1"/>
  <c r="BC72" i="1"/>
  <c r="BB72" i="1"/>
  <c r="BA72" i="1"/>
  <c r="I71" i="1" s="1"/>
  <c r="AZ72" i="1"/>
  <c r="BF71" i="1"/>
  <c r="BE71" i="1"/>
  <c r="BD71" i="1"/>
  <c r="BC71" i="1"/>
  <c r="BB71" i="1"/>
  <c r="BA71" i="1"/>
  <c r="AZ71" i="1"/>
  <c r="H71" i="1" s="1"/>
  <c r="BF70" i="1"/>
  <c r="BE70" i="1"/>
  <c r="BD70" i="1"/>
  <c r="BC70" i="1"/>
  <c r="BB70" i="1"/>
  <c r="BA70" i="1"/>
  <c r="AZ70" i="1"/>
  <c r="BF69" i="1"/>
  <c r="BE69" i="1"/>
  <c r="BD69" i="1"/>
  <c r="BC69" i="1"/>
  <c r="BB69" i="1"/>
  <c r="BA69" i="1"/>
  <c r="AZ69" i="1"/>
  <c r="BF68" i="1"/>
  <c r="BE68" i="1"/>
  <c r="BD68" i="1"/>
  <c r="BC68" i="1"/>
  <c r="BB68" i="1"/>
  <c r="BA68" i="1"/>
  <c r="I67" i="1" s="1"/>
  <c r="AZ68" i="1"/>
  <c r="BF67" i="1"/>
  <c r="BE67" i="1"/>
  <c r="BD67" i="1"/>
  <c r="BC67" i="1"/>
  <c r="BB67" i="1"/>
  <c r="BA67" i="1"/>
  <c r="AZ67" i="1"/>
  <c r="H67" i="1" s="1"/>
  <c r="BF66" i="1"/>
  <c r="BE66" i="1"/>
  <c r="BD66" i="1"/>
  <c r="BC66" i="1"/>
  <c r="I65" i="1" s="1"/>
  <c r="BB66" i="1"/>
  <c r="BA66" i="1"/>
  <c r="AZ66" i="1"/>
  <c r="BF65" i="1"/>
  <c r="BE65" i="1"/>
  <c r="BD65" i="1"/>
  <c r="BC65" i="1"/>
  <c r="BB65" i="1"/>
  <c r="H65" i="1" s="1"/>
  <c r="BA65" i="1"/>
  <c r="AZ65" i="1"/>
  <c r="BF64" i="1"/>
  <c r="BE64" i="1"/>
  <c r="BD64" i="1"/>
  <c r="BC64" i="1"/>
  <c r="BB64" i="1"/>
  <c r="BA64" i="1"/>
  <c r="AZ64" i="1"/>
  <c r="BF63" i="1"/>
  <c r="BE63" i="1"/>
  <c r="BD63" i="1"/>
  <c r="BC63" i="1"/>
  <c r="BB63" i="1"/>
  <c r="BA63" i="1"/>
  <c r="AZ63" i="1"/>
  <c r="H63" i="1" s="1"/>
  <c r="BF62" i="1"/>
  <c r="BE62" i="1"/>
  <c r="BD62" i="1"/>
  <c r="BC62" i="1"/>
  <c r="I61" i="1" s="1"/>
  <c r="BB62" i="1"/>
  <c r="BA62" i="1"/>
  <c r="AZ62" i="1"/>
  <c r="BF61" i="1"/>
  <c r="BE61" i="1"/>
  <c r="BD61" i="1"/>
  <c r="BC61" i="1"/>
  <c r="BB61" i="1"/>
  <c r="H61" i="1" s="1"/>
  <c r="BA61" i="1"/>
  <c r="AZ61" i="1"/>
  <c r="BF60" i="1"/>
  <c r="BE60" i="1"/>
  <c r="BD60" i="1"/>
  <c r="BC60" i="1"/>
  <c r="BB60" i="1"/>
  <c r="BA60" i="1"/>
  <c r="I59" i="1" s="1"/>
  <c r="AZ60" i="1"/>
  <c r="BF59" i="1"/>
  <c r="BE59" i="1"/>
  <c r="BD59" i="1"/>
  <c r="BC59" i="1"/>
  <c r="BB59" i="1"/>
  <c r="BA59" i="1"/>
  <c r="AZ59" i="1"/>
  <c r="BF58" i="1"/>
  <c r="BE58" i="1"/>
  <c r="BD58" i="1"/>
  <c r="BC58" i="1"/>
  <c r="I57" i="1" s="1"/>
  <c r="BB58" i="1"/>
  <c r="BA58" i="1"/>
  <c r="AZ58" i="1"/>
  <c r="BF57" i="1"/>
  <c r="BE57" i="1"/>
  <c r="BD57" i="1"/>
  <c r="BC57" i="1"/>
  <c r="BB57" i="1"/>
  <c r="H57" i="1" s="1"/>
  <c r="BA57" i="1"/>
  <c r="AZ57" i="1"/>
  <c r="BF56" i="1"/>
  <c r="BE56" i="1"/>
  <c r="BD56" i="1"/>
  <c r="BC56" i="1"/>
  <c r="BB56" i="1"/>
  <c r="BA56" i="1"/>
  <c r="I55" i="1" s="1"/>
  <c r="AZ56" i="1"/>
  <c r="BF55" i="1"/>
  <c r="BE55" i="1"/>
  <c r="BD55" i="1"/>
  <c r="BC55" i="1"/>
  <c r="BB55" i="1"/>
  <c r="BA55" i="1"/>
  <c r="AZ55" i="1"/>
  <c r="H55" i="1" s="1"/>
  <c r="BF54" i="1"/>
  <c r="BE54" i="1"/>
  <c r="BD54" i="1"/>
  <c r="BC54" i="1"/>
  <c r="BB54" i="1"/>
  <c r="BA54" i="1"/>
  <c r="AZ54" i="1"/>
  <c r="BF53" i="1"/>
  <c r="BE53" i="1"/>
  <c r="BD53" i="1"/>
  <c r="BC53" i="1"/>
  <c r="BB53" i="1"/>
  <c r="BA53" i="1"/>
  <c r="AZ53" i="1"/>
  <c r="BF52" i="1"/>
  <c r="BE52" i="1"/>
  <c r="BD52" i="1"/>
  <c r="BC52" i="1"/>
  <c r="BA52" i="1"/>
  <c r="I51" i="1" s="1"/>
  <c r="BF51" i="1"/>
  <c r="BE51" i="1"/>
  <c r="BD51" i="1"/>
  <c r="BC51" i="1"/>
  <c r="BA51" i="1"/>
  <c r="BF50" i="1"/>
  <c r="BE50" i="1"/>
  <c r="BD50" i="1"/>
  <c r="BC50" i="1"/>
  <c r="I49" i="1" s="1"/>
  <c r="BB50" i="1"/>
  <c r="BA50" i="1"/>
  <c r="AZ50" i="1"/>
  <c r="BF49" i="1"/>
  <c r="BE49" i="1"/>
  <c r="BD49" i="1"/>
  <c r="BC49" i="1"/>
  <c r="BB49" i="1"/>
  <c r="H49" i="1" s="1"/>
  <c r="BA49" i="1"/>
  <c r="AZ49" i="1"/>
  <c r="BF48" i="1"/>
  <c r="BE48" i="1"/>
  <c r="BD48" i="1"/>
  <c r="BC48" i="1"/>
  <c r="BB48" i="1"/>
  <c r="BA48" i="1"/>
  <c r="AZ48" i="1"/>
  <c r="BF47" i="1"/>
  <c r="BE47" i="1"/>
  <c r="BD47" i="1"/>
  <c r="BC47" i="1"/>
  <c r="BB47" i="1"/>
  <c r="BA47" i="1"/>
  <c r="AZ47" i="1"/>
  <c r="H47" i="1" s="1"/>
  <c r="BF46" i="1"/>
  <c r="BE46" i="1"/>
  <c r="BD46" i="1"/>
  <c r="BC46" i="1"/>
  <c r="I45" i="1" s="1"/>
  <c r="BB46" i="1"/>
  <c r="BA46" i="1"/>
  <c r="AZ46" i="1"/>
  <c r="BF45" i="1"/>
  <c r="BE45" i="1"/>
  <c r="BD45" i="1"/>
  <c r="BC45" i="1"/>
  <c r="BB45" i="1"/>
  <c r="H45" i="1" s="1"/>
  <c r="BA45" i="1"/>
  <c r="AZ45" i="1"/>
  <c r="BF44" i="1"/>
  <c r="BE44" i="1"/>
  <c r="BD44" i="1"/>
  <c r="BC44" i="1"/>
  <c r="BB44" i="1"/>
  <c r="BA44" i="1"/>
  <c r="I43" i="1" s="1"/>
  <c r="AZ44" i="1"/>
  <c r="BF43" i="1"/>
  <c r="BE43" i="1"/>
  <c r="BD43" i="1"/>
  <c r="BC43" i="1"/>
  <c r="BB43" i="1"/>
  <c r="BA43" i="1"/>
  <c r="AZ43" i="1"/>
  <c r="BF42" i="1"/>
  <c r="BE42" i="1"/>
  <c r="BC42" i="1"/>
  <c r="I41" i="1" s="1"/>
  <c r="BB42" i="1"/>
  <c r="BA42" i="1"/>
  <c r="BF41" i="1"/>
  <c r="BE41" i="1"/>
  <c r="BC41" i="1"/>
  <c r="BB41" i="1"/>
  <c r="H41" i="1" s="1"/>
  <c r="BA41" i="1"/>
  <c r="BF40" i="1"/>
  <c r="BE40" i="1"/>
  <c r="BD40" i="1"/>
  <c r="BC40" i="1"/>
  <c r="BB40" i="1"/>
  <c r="BA40" i="1"/>
  <c r="I39" i="1" s="1"/>
  <c r="AZ40" i="1"/>
  <c r="BF39" i="1"/>
  <c r="BE39" i="1"/>
  <c r="BD39" i="1"/>
  <c r="BC39" i="1"/>
  <c r="BB39" i="1"/>
  <c r="BA39" i="1"/>
  <c r="AZ39" i="1"/>
  <c r="H39" i="1" s="1"/>
  <c r="BF38" i="1"/>
  <c r="BE38" i="1"/>
  <c r="BD38" i="1"/>
  <c r="BC38" i="1"/>
  <c r="BB38" i="1"/>
  <c r="BA38" i="1"/>
  <c r="AZ38" i="1"/>
  <c r="BF37" i="1"/>
  <c r="BE37" i="1"/>
  <c r="BD37" i="1"/>
  <c r="BC37" i="1"/>
  <c r="BB37" i="1"/>
  <c r="BA37" i="1"/>
  <c r="AZ37" i="1"/>
  <c r="BF36" i="1"/>
  <c r="BE36" i="1"/>
  <c r="BD36" i="1"/>
  <c r="BC36" i="1"/>
  <c r="BB36" i="1"/>
  <c r="BA36" i="1"/>
  <c r="I35" i="1" s="1"/>
  <c r="AZ36" i="1"/>
  <c r="BF35" i="1"/>
  <c r="BE35" i="1"/>
  <c r="BD35" i="1"/>
  <c r="BC35" i="1"/>
  <c r="BB35" i="1"/>
  <c r="BA35" i="1"/>
  <c r="AZ35" i="1"/>
  <c r="H35" i="1" s="1"/>
  <c r="BF34" i="1"/>
  <c r="BE34" i="1"/>
  <c r="BD34" i="1"/>
  <c r="BC34" i="1"/>
  <c r="I33" i="1" s="1"/>
  <c r="BB34" i="1"/>
  <c r="BA34" i="1"/>
  <c r="AZ34" i="1"/>
  <c r="BF33" i="1"/>
  <c r="BE33" i="1"/>
  <c r="BD33" i="1"/>
  <c r="BC33" i="1"/>
  <c r="BB33" i="1"/>
  <c r="H33" i="1" s="1"/>
  <c r="BA33" i="1"/>
  <c r="AZ33" i="1"/>
  <c r="BF32" i="1"/>
  <c r="BE32" i="1"/>
  <c r="BD32" i="1"/>
  <c r="BC32" i="1"/>
  <c r="BB32" i="1"/>
  <c r="BA32" i="1"/>
  <c r="AZ32" i="1"/>
  <c r="BF31" i="1"/>
  <c r="BE31" i="1"/>
  <c r="BD31" i="1"/>
  <c r="BC31" i="1"/>
  <c r="BB31" i="1"/>
  <c r="BA31" i="1"/>
  <c r="AZ31" i="1"/>
  <c r="H31" i="1" s="1"/>
  <c r="BF30" i="1"/>
  <c r="BE30" i="1"/>
  <c r="BD30" i="1"/>
  <c r="BC30" i="1"/>
  <c r="I29" i="1" s="1"/>
  <c r="BB30" i="1"/>
  <c r="BA30" i="1"/>
  <c r="AZ30" i="1"/>
  <c r="BF29" i="1"/>
  <c r="BE29" i="1"/>
  <c r="BD29" i="1"/>
  <c r="BC29" i="1"/>
  <c r="BB29" i="1"/>
  <c r="H29" i="1" s="1"/>
  <c r="BA29" i="1"/>
  <c r="AZ29" i="1"/>
  <c r="BF28" i="1"/>
  <c r="BE28" i="1"/>
  <c r="BD28" i="1"/>
  <c r="BC28" i="1"/>
  <c r="BB28" i="1"/>
  <c r="BA28" i="1"/>
  <c r="I27" i="1" s="1"/>
  <c r="AZ28" i="1"/>
  <c r="BF27" i="1"/>
  <c r="BE27" i="1"/>
  <c r="BD27" i="1"/>
  <c r="BC27" i="1"/>
  <c r="BB27" i="1"/>
  <c r="BA27" i="1"/>
  <c r="AZ27" i="1"/>
  <c r="BF26" i="1"/>
  <c r="BE26" i="1"/>
  <c r="BD26" i="1"/>
  <c r="BC26" i="1"/>
  <c r="I25" i="1" s="1"/>
  <c r="BB26" i="1"/>
  <c r="BA26" i="1"/>
  <c r="AZ26" i="1"/>
  <c r="BF25" i="1"/>
  <c r="BE25" i="1"/>
  <c r="BD25" i="1"/>
  <c r="BC25" i="1"/>
  <c r="BB25" i="1"/>
  <c r="H25" i="1" s="1"/>
  <c r="BA25" i="1"/>
  <c r="AZ25" i="1"/>
  <c r="BF24" i="1"/>
  <c r="BE24" i="1"/>
  <c r="BD24" i="1"/>
  <c r="BC24" i="1"/>
  <c r="BB24" i="1"/>
  <c r="BA24" i="1"/>
  <c r="I23" i="1" s="1"/>
  <c r="AZ24" i="1"/>
  <c r="BF23" i="1"/>
  <c r="BE23" i="1"/>
  <c r="BD23" i="1"/>
  <c r="BC23" i="1"/>
  <c r="BB23" i="1"/>
  <c r="BA23" i="1"/>
  <c r="AZ23" i="1"/>
  <c r="H23" i="1" s="1"/>
  <c r="BF22" i="1"/>
  <c r="BE22" i="1"/>
  <c r="BD22" i="1"/>
  <c r="BC22" i="1"/>
  <c r="BB22" i="1"/>
  <c r="BA22" i="1"/>
  <c r="AZ22" i="1"/>
  <c r="BF21" i="1"/>
  <c r="BE21" i="1"/>
  <c r="BD21" i="1"/>
  <c r="BC21" i="1"/>
  <c r="BB21" i="1"/>
  <c r="BA21" i="1"/>
  <c r="AZ21" i="1"/>
  <c r="BF20" i="1"/>
  <c r="BE20" i="1"/>
  <c r="BD20" i="1"/>
  <c r="BC20" i="1"/>
  <c r="BB20" i="1"/>
  <c r="BA20" i="1"/>
  <c r="I19" i="1" s="1"/>
  <c r="AZ20" i="1"/>
  <c r="BF19" i="1"/>
  <c r="BE19" i="1"/>
  <c r="BD19" i="1"/>
  <c r="BC19" i="1"/>
  <c r="BB19" i="1"/>
  <c r="BA19" i="1"/>
  <c r="AZ19" i="1"/>
  <c r="H19" i="1" s="1"/>
  <c r="BF18" i="1"/>
  <c r="BE18" i="1"/>
  <c r="BD18" i="1"/>
  <c r="BC18" i="1"/>
  <c r="I17" i="1" s="1"/>
  <c r="BB18" i="1"/>
  <c r="BA18" i="1"/>
  <c r="AZ18" i="1"/>
  <c r="BF17" i="1"/>
  <c r="BE17" i="1"/>
  <c r="BD17" i="1"/>
  <c r="BC17" i="1"/>
  <c r="BB17" i="1"/>
  <c r="H17" i="1" s="1"/>
  <c r="BA17" i="1"/>
  <c r="AZ17" i="1"/>
  <c r="BF16" i="1"/>
  <c r="BE16" i="1"/>
  <c r="BD16" i="1"/>
  <c r="BC16" i="1"/>
  <c r="BB16" i="1"/>
  <c r="BA16" i="1"/>
  <c r="AZ16" i="1"/>
  <c r="BF15" i="1"/>
  <c r="BE15" i="1"/>
  <c r="BD15" i="1"/>
  <c r="BC15" i="1"/>
  <c r="BB15" i="1"/>
  <c r="BA15" i="1"/>
  <c r="AZ15" i="1"/>
  <c r="H15" i="1" s="1"/>
  <c r="BF14" i="1"/>
  <c r="BE14" i="1"/>
  <c r="BD14" i="1"/>
  <c r="BC14" i="1"/>
  <c r="I13" i="1" s="1"/>
  <c r="BB14" i="1"/>
  <c r="BA14" i="1"/>
  <c r="AZ14" i="1"/>
  <c r="BF13" i="1"/>
  <c r="BE13" i="1"/>
  <c r="BD13" i="1"/>
  <c r="BC13" i="1"/>
  <c r="BB13" i="1"/>
  <c r="H13" i="1" s="1"/>
  <c r="BA13" i="1"/>
  <c r="AZ13" i="1"/>
  <c r="BF8" i="1"/>
  <c r="BE8" i="1"/>
  <c r="BB8" i="1"/>
  <c r="BF7" i="1"/>
  <c r="BA8" i="1"/>
  <c r="AZ8" i="1"/>
  <c r="AZ7" i="1"/>
  <c r="I204" i="1"/>
  <c r="H200" i="1"/>
  <c r="I182" i="1"/>
  <c r="I111" i="1"/>
  <c r="H107" i="1"/>
  <c r="I101" i="1"/>
  <c r="I95" i="1"/>
  <c r="H91" i="1"/>
  <c r="I85" i="1"/>
  <c r="I79" i="1"/>
  <c r="H75" i="1"/>
  <c r="I69" i="1"/>
  <c r="I63" i="1"/>
  <c r="H59" i="1"/>
  <c r="I53" i="1"/>
  <c r="I47" i="1"/>
  <c r="H43" i="1"/>
  <c r="I37" i="1"/>
  <c r="I31" i="1"/>
  <c r="H27" i="1"/>
  <c r="I21" i="1"/>
  <c r="I15" i="1"/>
  <c r="H202" i="1"/>
  <c r="H101" i="1"/>
  <c r="H85" i="1"/>
  <c r="H69" i="1"/>
  <c r="H53" i="1"/>
  <c r="H37" i="1"/>
  <c r="H21" i="1"/>
  <c r="BC187" i="1" l="1"/>
  <c r="CU187" i="1" s="1"/>
  <c r="BC186" i="1"/>
  <c r="CU186" i="1" s="1"/>
  <c r="AZ189" i="1"/>
  <c r="CU167" i="1"/>
  <c r="CU168" i="1"/>
  <c r="I7" i="1"/>
  <c r="AY198" i="1"/>
  <c r="AX198" i="1"/>
  <c r="AW198" i="1"/>
  <c r="AV198" i="1"/>
  <c r="AU198" i="1"/>
  <c r="AT182" i="1"/>
  <c r="AU113" i="1"/>
  <c r="AT113" i="1"/>
  <c r="AY111" i="1"/>
  <c r="AV111" i="1"/>
  <c r="AY109" i="1"/>
  <c r="AV109" i="1"/>
  <c r="AT111" i="1"/>
  <c r="AT109" i="1"/>
  <c r="AY107" i="1"/>
  <c r="AT107" i="1"/>
  <c r="AU107" i="1"/>
  <c r="AU105" i="1"/>
  <c r="AW105" i="1"/>
  <c r="AT105" i="1"/>
  <c r="AY103" i="1"/>
  <c r="AV103" i="1"/>
  <c r="AX101" i="1"/>
  <c r="AT99" i="1"/>
  <c r="AX99" i="1"/>
  <c r="AW99" i="1"/>
  <c r="AU99" i="1"/>
  <c r="AT97" i="1"/>
  <c r="AU97" i="1"/>
  <c r="AW97" i="1"/>
  <c r="AY83" i="1"/>
  <c r="AU83" i="1"/>
  <c r="AV83" i="1"/>
  <c r="AX83" i="1"/>
  <c r="AW83" i="1"/>
  <c r="AT83" i="1"/>
  <c r="AT51" i="1"/>
  <c r="AY51" i="1"/>
  <c r="AV51" i="1"/>
  <c r="AU51" i="1"/>
  <c r="AT41" i="1"/>
  <c r="AU41" i="1"/>
  <c r="AX41" i="1"/>
  <c r="AW41" i="1"/>
  <c r="AU101" i="1"/>
  <c r="AY49" i="1"/>
  <c r="AU49" i="1"/>
  <c r="AX39" i="1"/>
  <c r="AW39" i="1"/>
  <c r="AT49" i="1"/>
  <c r="AT13" i="1"/>
  <c r="AY13" i="1"/>
  <c r="AV13" i="1"/>
  <c r="AW7" i="1"/>
  <c r="AV7" i="1"/>
  <c r="AY7" i="1"/>
  <c r="AX7" i="1"/>
  <c r="AU7" i="1"/>
  <c r="AT7" i="1"/>
  <c r="AY177" i="1"/>
  <c r="AY199" i="1"/>
  <c r="AX199" i="1"/>
  <c r="AW199" i="1"/>
  <c r="AT199" i="1"/>
  <c r="AW183" i="1"/>
  <c r="AU183" i="1"/>
  <c r="AT183" i="1"/>
  <c r="AY179" i="1"/>
  <c r="AX179" i="1"/>
  <c r="AW179" i="1"/>
  <c r="AV179" i="1"/>
  <c r="AU179" i="1"/>
  <c r="AT179" i="1"/>
  <c r="AX177" i="1"/>
  <c r="AW177" i="1"/>
  <c r="AV177" i="1"/>
  <c r="AU177" i="1"/>
  <c r="AT177" i="1"/>
  <c r="AY175" i="1"/>
  <c r="AX175" i="1"/>
  <c r="AW175" i="1"/>
  <c r="AV175" i="1"/>
  <c r="AU175" i="1"/>
  <c r="AT175" i="1"/>
  <c r="AX100" i="1"/>
  <c r="AY84" i="1"/>
  <c r="AX84" i="1"/>
  <c r="AW84" i="1"/>
  <c r="AU84" i="1"/>
  <c r="AU114" i="1"/>
  <c r="AX42" i="1"/>
  <c r="AW42" i="1"/>
  <c r="AY108" i="1"/>
  <c r="AU108" i="1"/>
  <c r="AU106" i="1"/>
  <c r="AY112" i="1"/>
  <c r="AV112" i="1"/>
  <c r="AT112" i="1"/>
  <c r="AY8" i="1"/>
  <c r="AX8" i="1"/>
  <c r="AW8" i="1"/>
  <c r="AV8" i="1"/>
  <c r="AV52" i="1"/>
  <c r="AT52" i="1"/>
  <c r="AY114" i="1"/>
  <c r="AX114" i="1"/>
  <c r="AW114" i="1"/>
  <c r="AV114" i="1"/>
  <c r="AT114" i="1"/>
  <c r="AY113" i="1"/>
  <c r="AX113" i="1"/>
  <c r="AW113" i="1"/>
  <c r="AV113" i="1"/>
  <c r="AX112" i="1"/>
  <c r="AW112" i="1"/>
  <c r="AU112" i="1"/>
  <c r="AX111" i="1"/>
  <c r="AW111" i="1"/>
  <c r="AU111" i="1"/>
  <c r="AW100" i="1" l="1"/>
  <c r="AU100" i="1"/>
  <c r="AT100" i="1"/>
  <c r="AV84" i="1"/>
  <c r="AT84" i="1"/>
  <c r="AU42" i="1"/>
  <c r="AT42" i="1"/>
  <c r="AT108" i="1"/>
  <c r="AW106" i="1"/>
  <c r="AT106" i="1"/>
  <c r="AY110" i="1"/>
  <c r="AV110" i="1"/>
  <c r="AT110" i="1"/>
  <c r="AU8" i="1"/>
  <c r="AY52" i="1"/>
  <c r="AX110" i="1"/>
  <c r="AW110" i="1"/>
  <c r="AU110" i="1"/>
  <c r="AX109" i="1"/>
  <c r="AW109" i="1"/>
  <c r="AU109" i="1"/>
  <c r="AV199" i="1"/>
  <c r="AU98" i="1"/>
  <c r="AW52" i="1"/>
  <c r="AU52" i="1"/>
  <c r="AY42" i="1"/>
  <c r="AY14" i="1"/>
  <c r="AV14" i="1"/>
  <c r="AT14" i="1"/>
  <c r="AX108" i="1" l="1"/>
  <c r="AW108" i="1"/>
  <c r="AV108" i="1"/>
  <c r="AX107" i="1"/>
  <c r="AW107" i="1"/>
  <c r="AV107" i="1"/>
  <c r="AY106" i="1"/>
  <c r="AX106" i="1"/>
  <c r="AV106" i="1"/>
  <c r="AY105" i="1"/>
  <c r="AX105" i="1"/>
  <c r="AV105" i="1"/>
  <c r="AT103" i="1" l="1"/>
  <c r="AT101" i="1"/>
  <c r="AT39" i="1"/>
  <c r="AU199" i="1"/>
  <c r="AY50" i="1"/>
  <c r="AU50" i="1"/>
  <c r="AT50" i="1"/>
  <c r="AX50" i="1"/>
  <c r="AW50" i="1"/>
  <c r="AV50" i="1"/>
  <c r="AX49" i="1"/>
  <c r="AW49" i="1"/>
  <c r="AV49" i="1"/>
  <c r="AW98" i="1"/>
  <c r="AT98" i="1"/>
  <c r="AY104" i="1"/>
  <c r="AV104" i="1"/>
  <c r="AT104" i="1"/>
  <c r="AX102" i="1"/>
  <c r="AU102" i="1"/>
  <c r="AT102" i="1"/>
  <c r="AX40" i="1"/>
  <c r="AT40" i="1"/>
  <c r="AX14" i="1"/>
  <c r="AW14" i="1"/>
  <c r="AU14" i="1"/>
  <c r="AX13" i="1"/>
  <c r="AW13" i="1"/>
  <c r="AU13" i="1"/>
  <c r="AX104" i="1"/>
  <c r="AW104" i="1"/>
  <c r="AU104" i="1"/>
  <c r="AX103" i="1"/>
  <c r="AW103" i="1"/>
  <c r="AU103" i="1"/>
  <c r="AY102" i="1"/>
  <c r="AW102" i="1"/>
  <c r="AV102" i="1"/>
  <c r="AY101" i="1"/>
  <c r="AW101" i="1"/>
  <c r="AV101" i="1"/>
  <c r="AR200" i="1" l="1"/>
  <c r="AQ200" i="1"/>
  <c r="AO200" i="1"/>
  <c r="AN200" i="1"/>
  <c r="AS200" i="1"/>
  <c r="AP200" i="1"/>
  <c r="AP198" i="1"/>
  <c r="AS198" i="1"/>
  <c r="AR198" i="1"/>
  <c r="AQ198" i="1"/>
  <c r="AO198" i="1"/>
  <c r="AN182" i="1"/>
  <c r="AQ97" i="1"/>
  <c r="AO97" i="1"/>
  <c r="AO95" i="1"/>
  <c r="AS93" i="1"/>
  <c r="AO93" i="1"/>
  <c r="AP93" i="1"/>
  <c r="AN93" i="1"/>
  <c r="AS91" i="1"/>
  <c r="AQ91" i="1"/>
  <c r="AN91" i="1"/>
  <c r="AR89" i="1"/>
  <c r="AO89" i="1"/>
  <c r="AN89" i="1"/>
  <c r="AS87" i="1"/>
  <c r="AO87" i="1"/>
  <c r="AN87" i="1"/>
  <c r="AN85" i="1"/>
  <c r="AO85" i="1"/>
  <c r="AQ85" i="1"/>
  <c r="AO83" i="1"/>
  <c r="AS83" i="1"/>
  <c r="AP83" i="1"/>
  <c r="AN83" i="1"/>
  <c r="AS75" i="1"/>
  <c r="AP75" i="1"/>
  <c r="AN75" i="1"/>
  <c r="AO63" i="1"/>
  <c r="AS51" i="1"/>
  <c r="AP51" i="1"/>
  <c r="AS41" i="1"/>
  <c r="AN41" i="1"/>
  <c r="AQ41" i="1"/>
  <c r="AR41" i="1"/>
  <c r="AO41" i="1"/>
  <c r="AR39" i="1"/>
  <c r="AR33" i="1"/>
  <c r="AN33" i="1"/>
  <c r="AS7" i="1"/>
  <c r="AY176" i="1"/>
  <c r="AX176" i="1"/>
  <c r="AW176" i="1"/>
  <c r="AV176" i="1"/>
  <c r="AU176" i="1"/>
  <c r="AT176" i="1"/>
  <c r="AY178" i="1"/>
  <c r="AX178" i="1"/>
  <c r="AW178" i="1"/>
  <c r="AV178" i="1"/>
  <c r="AU178" i="1"/>
  <c r="AT178" i="1"/>
  <c r="AY174" i="1"/>
  <c r="AX174" i="1"/>
  <c r="AW174" i="1"/>
  <c r="AV174" i="1"/>
  <c r="AU174" i="1"/>
  <c r="AT174" i="1"/>
  <c r="AN174" i="1"/>
  <c r="AW40" i="1" l="1"/>
  <c r="AQ201" i="1"/>
  <c r="AO201" i="1"/>
  <c r="AN201" i="1"/>
  <c r="AR199" i="1"/>
  <c r="AN183" i="1"/>
  <c r="AS179" i="1"/>
  <c r="AR179" i="1"/>
  <c r="AQ179" i="1"/>
  <c r="AP179" i="1"/>
  <c r="AO179" i="1"/>
  <c r="AN179" i="1"/>
  <c r="AS177" i="1"/>
  <c r="AR177" i="1"/>
  <c r="AQ177" i="1"/>
  <c r="AP177" i="1"/>
  <c r="AO177" i="1"/>
  <c r="AN177" i="1"/>
  <c r="AS175" i="1"/>
  <c r="AR175" i="1"/>
  <c r="AQ175" i="1"/>
  <c r="AP175" i="1"/>
  <c r="AO175" i="1"/>
  <c r="AN175" i="1"/>
  <c r="AS84" i="1" l="1"/>
  <c r="AP84" i="1"/>
  <c r="AN84" i="1"/>
  <c r="AR42" i="1"/>
  <c r="AQ42" i="1"/>
  <c r="AO42" i="1"/>
  <c r="AN42" i="1"/>
  <c r="AO96" i="1"/>
  <c r="AQ98" i="1"/>
  <c r="AO98" i="1"/>
  <c r="AS100" i="1"/>
  <c r="AR100" i="1"/>
  <c r="AQ100" i="1"/>
  <c r="AP100" i="1"/>
  <c r="AO100" i="1"/>
  <c r="AS99" i="1"/>
  <c r="AR99" i="1"/>
  <c r="AQ99" i="1"/>
  <c r="AP99" i="1"/>
  <c r="AO99" i="1"/>
  <c r="AS98" i="1"/>
  <c r="AR98" i="1"/>
  <c r="AP98" i="1"/>
  <c r="AS97" i="1"/>
  <c r="AR97" i="1"/>
  <c r="AP97" i="1"/>
  <c r="AN100" i="1"/>
  <c r="AN99" i="1"/>
  <c r="AN98" i="1"/>
  <c r="AN97" i="1"/>
  <c r="AS52" i="1"/>
  <c r="AP52" i="1"/>
  <c r="AN52" i="1"/>
  <c r="AQ8" i="1"/>
  <c r="AY100" i="1"/>
  <c r="AV100" i="1"/>
  <c r="AY99" i="1"/>
  <c r="AV99" i="1"/>
  <c r="AY98" i="1"/>
  <c r="AX98" i="1"/>
  <c r="AV98" i="1"/>
  <c r="AY97" i="1"/>
  <c r="AX97" i="1"/>
  <c r="AV97" i="1"/>
  <c r="AY207" i="1"/>
  <c r="AX207" i="1"/>
  <c r="AW207" i="1"/>
  <c r="AV207" i="1"/>
  <c r="AU207" i="1"/>
  <c r="AT207" i="1"/>
  <c r="AY206" i="1"/>
  <c r="AX206" i="1"/>
  <c r="AW206" i="1"/>
  <c r="AV206" i="1"/>
  <c r="AU206" i="1"/>
  <c r="AT206" i="1"/>
  <c r="AY205" i="1"/>
  <c r="AX205" i="1"/>
  <c r="AW205" i="1"/>
  <c r="AV205" i="1"/>
  <c r="AU205" i="1"/>
  <c r="AT205" i="1"/>
  <c r="AY204" i="1"/>
  <c r="AX204" i="1"/>
  <c r="AW204" i="1"/>
  <c r="AV204" i="1"/>
  <c r="AU204" i="1"/>
  <c r="AT204" i="1"/>
  <c r="AY203" i="1"/>
  <c r="AX203" i="1"/>
  <c r="AW203" i="1"/>
  <c r="AV203" i="1"/>
  <c r="AU203" i="1"/>
  <c r="AT203" i="1"/>
  <c r="AY202" i="1"/>
  <c r="AX202" i="1"/>
  <c r="AW202" i="1"/>
  <c r="AV202" i="1"/>
  <c r="AU202" i="1"/>
  <c r="AT202" i="1"/>
  <c r="AY201" i="1"/>
  <c r="AY209" i="1" s="1"/>
  <c r="AX201" i="1"/>
  <c r="AX209" i="1" s="1"/>
  <c r="AW201" i="1"/>
  <c r="AW209" i="1" s="1"/>
  <c r="AV201" i="1"/>
  <c r="AV209" i="1" s="1"/>
  <c r="AU201" i="1"/>
  <c r="AU209" i="1" s="1"/>
  <c r="AT201" i="1"/>
  <c r="AY200" i="1"/>
  <c r="AY208" i="1" s="1"/>
  <c r="AX200" i="1"/>
  <c r="AX208" i="1" s="1"/>
  <c r="AW200" i="1"/>
  <c r="AW208" i="1" s="1"/>
  <c r="AV200" i="1"/>
  <c r="AV208" i="1" s="1"/>
  <c r="AU200" i="1"/>
  <c r="AU208" i="1" s="1"/>
  <c r="AT200" i="1"/>
  <c r="AT198" i="1"/>
  <c r="AY185" i="1"/>
  <c r="AX185" i="1"/>
  <c r="AW185" i="1"/>
  <c r="AV185" i="1"/>
  <c r="AU185" i="1"/>
  <c r="AT185" i="1"/>
  <c r="AY184" i="1"/>
  <c r="AX184" i="1"/>
  <c r="AW184" i="1"/>
  <c r="AV184" i="1"/>
  <c r="AU184" i="1"/>
  <c r="AT184" i="1"/>
  <c r="AY183" i="1"/>
  <c r="AX183" i="1"/>
  <c r="AV183" i="1"/>
  <c r="AY182" i="1"/>
  <c r="AX182" i="1"/>
  <c r="AW182" i="1"/>
  <c r="AV182" i="1"/>
  <c r="AU182" i="1"/>
  <c r="AY181" i="1"/>
  <c r="AY187" i="1" s="1"/>
  <c r="AX181" i="1"/>
  <c r="AX187" i="1" s="1"/>
  <c r="AW181" i="1"/>
  <c r="AW187" i="1" s="1"/>
  <c r="AV181" i="1"/>
  <c r="AV187" i="1" s="1"/>
  <c r="AU181" i="1"/>
  <c r="AU187" i="1" s="1"/>
  <c r="AT181" i="1"/>
  <c r="AY180" i="1"/>
  <c r="AY186" i="1" s="1"/>
  <c r="AX180" i="1"/>
  <c r="AX186" i="1" s="1"/>
  <c r="AW180" i="1"/>
  <c r="AW186" i="1" s="1"/>
  <c r="AV180" i="1"/>
  <c r="AV186" i="1" s="1"/>
  <c r="AU180" i="1"/>
  <c r="AU186" i="1" s="1"/>
  <c r="AT180" i="1"/>
  <c r="AY96" i="1"/>
  <c r="AX96" i="1"/>
  <c r="AW96" i="1"/>
  <c r="AV96" i="1"/>
  <c r="AU96" i="1"/>
  <c r="AT96" i="1"/>
  <c r="AY95" i="1"/>
  <c r="AX95" i="1"/>
  <c r="AW95" i="1"/>
  <c r="AV95" i="1"/>
  <c r="AU95" i="1"/>
  <c r="AT95" i="1"/>
  <c r="AY94" i="1"/>
  <c r="AX94" i="1"/>
  <c r="AW94" i="1"/>
  <c r="AV94" i="1"/>
  <c r="AU94" i="1"/>
  <c r="AT94" i="1"/>
  <c r="AY93" i="1"/>
  <c r="AX93" i="1"/>
  <c r="AW93" i="1"/>
  <c r="AV93" i="1"/>
  <c r="AU93" i="1"/>
  <c r="AT93" i="1"/>
  <c r="AY92" i="1"/>
  <c r="AX92" i="1"/>
  <c r="AW92" i="1"/>
  <c r="AV92" i="1"/>
  <c r="AU92" i="1"/>
  <c r="AT92" i="1"/>
  <c r="AY91" i="1"/>
  <c r="AX91" i="1"/>
  <c r="AW91" i="1"/>
  <c r="AV91" i="1"/>
  <c r="AU91" i="1"/>
  <c r="AT91" i="1"/>
  <c r="AY90" i="1"/>
  <c r="AX90" i="1"/>
  <c r="AW90" i="1"/>
  <c r="AV90" i="1"/>
  <c r="AU90" i="1"/>
  <c r="AT90" i="1"/>
  <c r="AY89" i="1"/>
  <c r="AX89" i="1"/>
  <c r="AW89" i="1"/>
  <c r="AV89" i="1"/>
  <c r="AU89" i="1"/>
  <c r="AT89" i="1"/>
  <c r="AY88" i="1"/>
  <c r="AX88" i="1"/>
  <c r="AW88" i="1"/>
  <c r="AV88" i="1"/>
  <c r="AU88" i="1"/>
  <c r="AT88" i="1"/>
  <c r="AY87" i="1"/>
  <c r="AX87" i="1"/>
  <c r="AW87" i="1"/>
  <c r="AV87" i="1"/>
  <c r="AU87" i="1"/>
  <c r="AT87" i="1"/>
  <c r="AY86" i="1"/>
  <c r="AX86" i="1"/>
  <c r="AW86" i="1"/>
  <c r="AV86" i="1"/>
  <c r="AU86" i="1"/>
  <c r="AT86" i="1"/>
  <c r="AY85" i="1"/>
  <c r="AX85" i="1"/>
  <c r="AW85" i="1"/>
  <c r="AV85" i="1"/>
  <c r="AU85" i="1"/>
  <c r="AT85" i="1"/>
  <c r="AY82" i="1"/>
  <c r="AX82" i="1"/>
  <c r="AW82" i="1"/>
  <c r="AV82" i="1"/>
  <c r="AU82" i="1"/>
  <c r="AT82" i="1"/>
  <c r="AY81" i="1"/>
  <c r="AX81" i="1"/>
  <c r="AW81" i="1"/>
  <c r="AV81" i="1"/>
  <c r="AU81" i="1"/>
  <c r="AT81" i="1"/>
  <c r="AY80" i="1"/>
  <c r="AX80" i="1"/>
  <c r="AW80" i="1"/>
  <c r="AV80" i="1"/>
  <c r="AU80" i="1"/>
  <c r="AT80" i="1"/>
  <c r="AY79" i="1"/>
  <c r="AX79" i="1"/>
  <c r="AW79" i="1"/>
  <c r="AV79" i="1"/>
  <c r="AU79" i="1"/>
  <c r="AT79" i="1"/>
  <c r="AY78" i="1"/>
  <c r="AX78" i="1"/>
  <c r="AW78" i="1"/>
  <c r="AV78" i="1"/>
  <c r="AU78" i="1"/>
  <c r="AT78" i="1"/>
  <c r="AY77" i="1"/>
  <c r="AX77" i="1"/>
  <c r="AW77" i="1"/>
  <c r="AV77" i="1"/>
  <c r="AU77" i="1"/>
  <c r="AT77" i="1"/>
  <c r="AY76" i="1"/>
  <c r="AX76" i="1"/>
  <c r="AW76" i="1"/>
  <c r="AV76" i="1"/>
  <c r="AU76" i="1"/>
  <c r="AT76" i="1"/>
  <c r="AY75" i="1"/>
  <c r="AX75" i="1"/>
  <c r="AW75" i="1"/>
  <c r="AV75" i="1"/>
  <c r="AU75" i="1"/>
  <c r="AT75" i="1"/>
  <c r="AY74" i="1"/>
  <c r="AX74" i="1"/>
  <c r="AW74" i="1"/>
  <c r="AV74" i="1"/>
  <c r="AU74" i="1"/>
  <c r="AT74" i="1"/>
  <c r="AY73" i="1"/>
  <c r="AX73" i="1"/>
  <c r="AW73" i="1"/>
  <c r="AV73" i="1"/>
  <c r="AU73" i="1"/>
  <c r="AT73" i="1"/>
  <c r="AY72" i="1"/>
  <c r="AX72" i="1"/>
  <c r="AW72" i="1"/>
  <c r="AV72" i="1"/>
  <c r="AU72" i="1"/>
  <c r="AT72" i="1"/>
  <c r="AY71" i="1"/>
  <c r="AX71" i="1"/>
  <c r="AW71" i="1"/>
  <c r="AV71" i="1"/>
  <c r="AU71" i="1"/>
  <c r="AT71" i="1"/>
  <c r="AY70" i="1"/>
  <c r="AX70" i="1"/>
  <c r="AW70" i="1"/>
  <c r="AV70" i="1"/>
  <c r="AU70" i="1"/>
  <c r="AT70" i="1"/>
  <c r="AY69" i="1"/>
  <c r="AX69" i="1"/>
  <c r="AW69" i="1"/>
  <c r="AV69" i="1"/>
  <c r="AU69" i="1"/>
  <c r="AT69" i="1"/>
  <c r="AY68" i="1"/>
  <c r="AX68" i="1"/>
  <c r="AW68" i="1"/>
  <c r="AV68" i="1"/>
  <c r="AU68" i="1"/>
  <c r="AT68" i="1"/>
  <c r="AY67" i="1"/>
  <c r="AX67" i="1"/>
  <c r="AW67" i="1"/>
  <c r="AV67" i="1"/>
  <c r="AU67" i="1"/>
  <c r="AT67" i="1"/>
  <c r="AY66" i="1"/>
  <c r="AX66" i="1"/>
  <c r="AW66" i="1"/>
  <c r="AV66" i="1"/>
  <c r="AU66" i="1"/>
  <c r="AT66" i="1"/>
  <c r="AY65" i="1"/>
  <c r="AX65" i="1"/>
  <c r="AW65" i="1"/>
  <c r="AV65" i="1"/>
  <c r="AU65" i="1"/>
  <c r="AT65" i="1"/>
  <c r="AY64" i="1"/>
  <c r="AX64" i="1"/>
  <c r="AW64" i="1"/>
  <c r="AV64" i="1"/>
  <c r="AU64" i="1"/>
  <c r="AT64" i="1"/>
  <c r="AY63" i="1"/>
  <c r="AX63" i="1"/>
  <c r="AW63" i="1"/>
  <c r="AV63" i="1"/>
  <c r="AU63" i="1"/>
  <c r="AT63" i="1"/>
  <c r="AY62" i="1"/>
  <c r="AX62" i="1"/>
  <c r="AW62" i="1"/>
  <c r="AV62" i="1"/>
  <c r="AU62" i="1"/>
  <c r="AT62" i="1"/>
  <c r="AY61" i="1"/>
  <c r="AX61" i="1"/>
  <c r="AW61" i="1"/>
  <c r="AV61" i="1"/>
  <c r="AU61" i="1"/>
  <c r="AT61" i="1"/>
  <c r="AY60" i="1"/>
  <c r="AX60" i="1"/>
  <c r="AW60" i="1"/>
  <c r="AV60" i="1"/>
  <c r="AU60" i="1"/>
  <c r="AT60" i="1"/>
  <c r="AY59" i="1"/>
  <c r="AX59" i="1"/>
  <c r="AW59" i="1"/>
  <c r="AV59" i="1"/>
  <c r="AU59" i="1"/>
  <c r="AT59" i="1"/>
  <c r="AY58" i="1"/>
  <c r="AX58" i="1"/>
  <c r="AW58" i="1"/>
  <c r="AV58" i="1"/>
  <c r="AU58" i="1"/>
  <c r="AT58" i="1"/>
  <c r="AY57" i="1"/>
  <c r="AX57" i="1"/>
  <c r="AW57" i="1"/>
  <c r="AV57" i="1"/>
  <c r="AU57" i="1"/>
  <c r="AT57" i="1"/>
  <c r="AY56" i="1"/>
  <c r="AX56" i="1"/>
  <c r="AW56" i="1"/>
  <c r="AV56" i="1"/>
  <c r="AU56" i="1"/>
  <c r="AT56" i="1"/>
  <c r="AY55" i="1"/>
  <c r="AX55" i="1"/>
  <c r="AW55" i="1"/>
  <c r="AV55" i="1"/>
  <c r="AU55" i="1"/>
  <c r="AT55" i="1"/>
  <c r="AY54" i="1"/>
  <c r="AX54" i="1"/>
  <c r="AW54" i="1"/>
  <c r="AV54" i="1"/>
  <c r="AU54" i="1"/>
  <c r="AT54" i="1"/>
  <c r="AY53" i="1"/>
  <c r="AX53" i="1"/>
  <c r="AW53" i="1"/>
  <c r="AV53" i="1"/>
  <c r="AU53" i="1"/>
  <c r="AT53" i="1"/>
  <c r="AX52" i="1"/>
  <c r="AX51" i="1"/>
  <c r="AW51" i="1"/>
  <c r="AY48" i="1"/>
  <c r="AX48" i="1"/>
  <c r="AW48" i="1"/>
  <c r="AV48" i="1"/>
  <c r="AU48" i="1"/>
  <c r="AT48" i="1"/>
  <c r="AY47" i="1"/>
  <c r="AX47" i="1"/>
  <c r="AW47" i="1"/>
  <c r="AV47" i="1"/>
  <c r="AU47" i="1"/>
  <c r="AT47" i="1"/>
  <c r="AY46" i="1"/>
  <c r="AX46" i="1"/>
  <c r="AW46" i="1"/>
  <c r="AV46" i="1"/>
  <c r="AU46" i="1"/>
  <c r="AT46" i="1"/>
  <c r="AY45" i="1"/>
  <c r="AX45" i="1"/>
  <c r="AW45" i="1"/>
  <c r="AV45" i="1"/>
  <c r="AU45" i="1"/>
  <c r="AT45" i="1"/>
  <c r="AY44" i="1"/>
  <c r="AX44" i="1"/>
  <c r="AW44" i="1"/>
  <c r="AV44" i="1"/>
  <c r="AU44" i="1"/>
  <c r="AT44" i="1"/>
  <c r="AY43" i="1"/>
  <c r="AX43" i="1"/>
  <c r="AW43" i="1"/>
  <c r="AV43" i="1"/>
  <c r="AU43" i="1"/>
  <c r="AT43" i="1"/>
  <c r="AV42" i="1"/>
  <c r="AY41" i="1"/>
  <c r="AV41" i="1"/>
  <c r="AY40" i="1"/>
  <c r="AV40" i="1"/>
  <c r="AU40" i="1"/>
  <c r="AY39" i="1"/>
  <c r="AV39" i="1"/>
  <c r="AU39" i="1"/>
  <c r="AY38" i="1"/>
  <c r="AX38" i="1"/>
  <c r="AW38" i="1"/>
  <c r="AV38" i="1"/>
  <c r="AU38" i="1"/>
  <c r="AT38" i="1"/>
  <c r="AY37" i="1"/>
  <c r="AX37" i="1"/>
  <c r="AW37" i="1"/>
  <c r="AV37" i="1"/>
  <c r="AU37" i="1"/>
  <c r="AT37" i="1"/>
  <c r="AY36" i="1"/>
  <c r="AX36" i="1"/>
  <c r="AW36" i="1"/>
  <c r="AV36" i="1"/>
  <c r="AU36" i="1"/>
  <c r="AT36" i="1"/>
  <c r="AY35" i="1"/>
  <c r="AX35" i="1"/>
  <c r="AW35" i="1"/>
  <c r="AV35" i="1"/>
  <c r="AU35" i="1"/>
  <c r="AT35" i="1"/>
  <c r="AY34" i="1"/>
  <c r="AX34" i="1"/>
  <c r="AW34" i="1"/>
  <c r="AV34" i="1"/>
  <c r="AU34" i="1"/>
  <c r="AT34" i="1"/>
  <c r="AY33" i="1"/>
  <c r="AX33" i="1"/>
  <c r="AW33" i="1"/>
  <c r="AV33" i="1"/>
  <c r="AU33" i="1"/>
  <c r="AT33" i="1"/>
  <c r="AT8" i="1"/>
  <c r="AT208" i="1" l="1"/>
  <c r="AT209" i="1"/>
  <c r="AT187" i="1"/>
  <c r="AT186" i="1"/>
  <c r="AS201" i="1"/>
  <c r="AS199" i="1"/>
  <c r="AO199" i="1"/>
  <c r="AP7" i="1"/>
  <c r="AN95" i="1"/>
  <c r="AN96" i="1"/>
  <c r="AS96" i="1"/>
  <c r="AR96" i="1"/>
  <c r="AQ96" i="1"/>
  <c r="AP96" i="1"/>
  <c r="AS95" i="1"/>
  <c r="AR95" i="1"/>
  <c r="AQ95" i="1"/>
  <c r="AP95" i="1"/>
  <c r="AS92" i="1"/>
  <c r="AQ92" i="1"/>
  <c r="AN92" i="1"/>
  <c r="AS94" i="1"/>
  <c r="AP94" i="1"/>
  <c r="AO94" i="1"/>
  <c r="AN94" i="1"/>
  <c r="AR8" i="1"/>
  <c r="AP8" i="1"/>
  <c r="H186" i="1" l="1"/>
  <c r="AR201" i="1"/>
  <c r="AP201" i="1"/>
  <c r="AQ199" i="1"/>
  <c r="AP199" i="1"/>
  <c r="AO84" i="1"/>
  <c r="AS42" i="1"/>
  <c r="AO90" i="1"/>
  <c r="AO86" i="1"/>
  <c r="AS88" i="1"/>
  <c r="AQ88" i="1"/>
  <c r="AO88" i="1"/>
  <c r="AS8" i="1"/>
  <c r="AR94" i="1"/>
  <c r="AQ94" i="1"/>
  <c r="AR93" i="1"/>
  <c r="AQ93" i="1"/>
  <c r="AR92" i="1"/>
  <c r="AP92" i="1"/>
  <c r="AO92" i="1"/>
  <c r="AR91" i="1"/>
  <c r="AP91" i="1"/>
  <c r="AO91" i="1"/>
  <c r="AQ86" i="1" l="1"/>
  <c r="AN51" i="1"/>
  <c r="AQ87" i="1"/>
  <c r="AR34" i="1"/>
  <c r="AN34" i="1"/>
  <c r="AR90" i="1"/>
  <c r="AN86" i="1"/>
  <c r="AS76" i="1"/>
  <c r="AP76" i="1"/>
  <c r="AN76" i="1"/>
  <c r="AN88" i="1"/>
  <c r="AO8" i="1"/>
  <c r="AS90" i="1"/>
  <c r="AQ90" i="1"/>
  <c r="AP90" i="1"/>
  <c r="AS89" i="1"/>
  <c r="AQ89" i="1"/>
  <c r="AP89" i="1"/>
  <c r="AR88" i="1"/>
  <c r="AP88" i="1"/>
  <c r="AR87" i="1"/>
  <c r="AP87" i="1"/>
  <c r="AN90" i="1"/>
  <c r="AK198" i="1" l="1"/>
  <c r="AM198" i="1"/>
  <c r="AI198" i="1"/>
  <c r="AJ198" i="1"/>
  <c r="AM200" i="1"/>
  <c r="AL200" i="1"/>
  <c r="AK200" i="1"/>
  <c r="AJ200" i="1"/>
  <c r="AI200" i="1"/>
  <c r="AH200" i="1"/>
  <c r="AH182" i="1"/>
  <c r="AI85" i="1"/>
  <c r="AH85" i="1"/>
  <c r="AH83" i="1"/>
  <c r="AH81" i="1"/>
  <c r="AI81" i="1"/>
  <c r="AJ79" i="1"/>
  <c r="AI79" i="1"/>
  <c r="AM79" i="1"/>
  <c r="AH79" i="1"/>
  <c r="AL77" i="1"/>
  <c r="AK77" i="1"/>
  <c r="AH77" i="1"/>
  <c r="AI75" i="1"/>
  <c r="AH75" i="1"/>
  <c r="AJ75" i="1"/>
  <c r="AH73" i="1"/>
  <c r="AK73" i="1"/>
  <c r="AJ73" i="1"/>
  <c r="AH71" i="1"/>
  <c r="AK71" i="1"/>
  <c r="AI71" i="1"/>
  <c r="AM69" i="1"/>
  <c r="AI69" i="1"/>
  <c r="AH69" i="1"/>
  <c r="AH63" i="1"/>
  <c r="AJ63" i="1"/>
  <c r="AM63" i="1"/>
  <c r="AI63" i="1"/>
  <c r="AM67" i="1"/>
  <c r="AJ67" i="1"/>
  <c r="AH67" i="1"/>
  <c r="AI65" i="1"/>
  <c r="AL65" i="1"/>
  <c r="AH65" i="1"/>
  <c r="AI61" i="1"/>
  <c r="AH61" i="1"/>
  <c r="AJ59" i="1"/>
  <c r="AM59" i="1"/>
  <c r="AH59" i="1"/>
  <c r="AJ57" i="1"/>
  <c r="AM57" i="1"/>
  <c r="AJ55" i="1"/>
  <c r="AM55" i="1"/>
  <c r="AH55" i="1"/>
  <c r="AM53" i="1"/>
  <c r="AI53" i="1"/>
  <c r="AH53" i="1"/>
  <c r="AJ51" i="1"/>
  <c r="AM51" i="1"/>
  <c r="AH51" i="1"/>
  <c r="AM49" i="1"/>
  <c r="AI49" i="1"/>
  <c r="AH49" i="1"/>
  <c r="AL41" i="1"/>
  <c r="AH41" i="1"/>
  <c r="AI41" i="1"/>
  <c r="AK41" i="1"/>
  <c r="AK39" i="1"/>
  <c r="AH39" i="1"/>
  <c r="AL7" i="1"/>
  <c r="AM7" i="1"/>
  <c r="AK7" i="1"/>
  <c r="AJ7" i="1"/>
  <c r="AI7" i="1"/>
  <c r="AO7" i="1"/>
  <c r="AS176" i="1"/>
  <c r="AR176" i="1"/>
  <c r="AQ176" i="1"/>
  <c r="AP176" i="1"/>
  <c r="AO176" i="1"/>
  <c r="AN176" i="1"/>
  <c r="AS178" i="1"/>
  <c r="AR178" i="1"/>
  <c r="AQ178" i="1"/>
  <c r="AP178" i="1"/>
  <c r="AO178" i="1"/>
  <c r="AN178" i="1"/>
  <c r="AS174" i="1"/>
  <c r="AR174" i="1"/>
  <c r="AQ174" i="1"/>
  <c r="AP174" i="1"/>
  <c r="AO174" i="1"/>
  <c r="AP42" i="1"/>
  <c r="AM34" i="1"/>
  <c r="AL34" i="1"/>
  <c r="AK34" i="1"/>
  <c r="AJ34" i="1"/>
  <c r="AI34" i="1"/>
  <c r="AM33" i="1"/>
  <c r="AL33" i="1"/>
  <c r="AK33" i="1"/>
  <c r="AJ33" i="1"/>
  <c r="AI33" i="1"/>
  <c r="AH34" i="1"/>
  <c r="AH33" i="1"/>
  <c r="AP34" i="1"/>
  <c r="AO34" i="1"/>
  <c r="AP33" i="1"/>
  <c r="AO33" i="1"/>
  <c r="AS34" i="1"/>
  <c r="AQ34" i="1"/>
  <c r="AS33" i="1"/>
  <c r="AQ33" i="1"/>
  <c r="AO64" i="1"/>
  <c r="AR40" i="1"/>
  <c r="AJ199" i="1"/>
  <c r="AH183" i="1"/>
  <c r="AM179" i="1"/>
  <c r="AL179" i="1"/>
  <c r="AK179" i="1"/>
  <c r="AJ179" i="1"/>
  <c r="AI179" i="1"/>
  <c r="AH179" i="1"/>
  <c r="AM177" i="1"/>
  <c r="AK177" i="1"/>
  <c r="AH177" i="1"/>
  <c r="AM175" i="1"/>
  <c r="AL175" i="1"/>
  <c r="AK175" i="1"/>
  <c r="AJ175" i="1"/>
  <c r="AI175" i="1"/>
  <c r="AH175" i="1"/>
  <c r="AI86" i="1"/>
  <c r="AH86" i="1"/>
  <c r="AH84" i="1"/>
  <c r="AM86" i="1"/>
  <c r="AL86" i="1"/>
  <c r="AK86" i="1"/>
  <c r="AJ86" i="1"/>
  <c r="AM85" i="1"/>
  <c r="AL85" i="1"/>
  <c r="AK85" i="1"/>
  <c r="AJ85" i="1"/>
  <c r="AM84" i="1"/>
  <c r="AL84" i="1"/>
  <c r="AK84" i="1"/>
  <c r="AJ84" i="1"/>
  <c r="AI84" i="1"/>
  <c r="AM83" i="1"/>
  <c r="AL83" i="1"/>
  <c r="AK83" i="1"/>
  <c r="AJ83" i="1"/>
  <c r="AI83" i="1"/>
  <c r="AS86" i="1"/>
  <c r="AR86" i="1"/>
  <c r="AP86" i="1"/>
  <c r="AS85" i="1"/>
  <c r="AR85" i="1"/>
  <c r="AP85" i="1"/>
  <c r="AR84" i="1"/>
  <c r="AQ84" i="1"/>
  <c r="AR83" i="1"/>
  <c r="AQ83" i="1"/>
  <c r="AL42" i="1"/>
  <c r="AK42" i="1"/>
  <c r="AI42" i="1"/>
  <c r="AH42" i="1"/>
  <c r="AI82" i="1"/>
  <c r="AH82" i="1"/>
  <c r="AM76" i="1"/>
  <c r="AJ76" i="1"/>
  <c r="AI76" i="1"/>
  <c r="AH76" i="1"/>
  <c r="AK72" i="1"/>
  <c r="AI72" i="1"/>
  <c r="AH72" i="1"/>
  <c r="AM64" i="1"/>
  <c r="AJ64" i="1"/>
  <c r="AI64" i="1"/>
  <c r="AM52" i="1"/>
  <c r="AL40" i="1"/>
  <c r="AK40" i="1"/>
  <c r="AH40" i="1"/>
  <c r="AS207" i="1"/>
  <c r="AR207" i="1"/>
  <c r="AQ207" i="1"/>
  <c r="AP207" i="1"/>
  <c r="AO207" i="1"/>
  <c r="AN207" i="1"/>
  <c r="AS206" i="1"/>
  <c r="AR206" i="1"/>
  <c r="AQ206" i="1"/>
  <c r="AP206" i="1"/>
  <c r="AO206" i="1"/>
  <c r="AN206" i="1"/>
  <c r="AS205" i="1"/>
  <c r="AR205" i="1"/>
  <c r="AQ205" i="1"/>
  <c r="AP205" i="1"/>
  <c r="AO205" i="1"/>
  <c r="AN205" i="1"/>
  <c r="AS204" i="1"/>
  <c r="AR204" i="1"/>
  <c r="AQ204" i="1"/>
  <c r="AP204" i="1"/>
  <c r="AO204" i="1"/>
  <c r="AN204" i="1"/>
  <c r="AS203" i="1"/>
  <c r="AS209" i="1" s="1"/>
  <c r="AR203" i="1"/>
  <c r="AQ203" i="1"/>
  <c r="AQ209" i="1" s="1"/>
  <c r="AP203" i="1"/>
  <c r="AP209" i="1" s="1"/>
  <c r="AO203" i="1"/>
  <c r="AO209" i="1" s="1"/>
  <c r="AN203" i="1"/>
  <c r="AS202" i="1"/>
  <c r="AR202" i="1"/>
  <c r="AQ202" i="1"/>
  <c r="AP202" i="1"/>
  <c r="AO202" i="1"/>
  <c r="AO208" i="1" s="1"/>
  <c r="AN202" i="1"/>
  <c r="AR209" i="1"/>
  <c r="AN199" i="1"/>
  <c r="AS208" i="1"/>
  <c r="AR208" i="1"/>
  <c r="AQ208" i="1"/>
  <c r="AN198" i="1"/>
  <c r="AS185" i="1"/>
  <c r="AR185" i="1"/>
  <c r="AQ185" i="1"/>
  <c r="AP185" i="1"/>
  <c r="AO185" i="1"/>
  <c r="AN185" i="1"/>
  <c r="AS184" i="1"/>
  <c r="AR184" i="1"/>
  <c r="AQ184" i="1"/>
  <c r="AP184" i="1"/>
  <c r="AO184" i="1"/>
  <c r="AN184" i="1"/>
  <c r="AS183" i="1"/>
  <c r="AR183" i="1"/>
  <c r="AQ183" i="1"/>
  <c r="AP183" i="1"/>
  <c r="AO183" i="1"/>
  <c r="AS182" i="1"/>
  <c r="AR182" i="1"/>
  <c r="AQ182" i="1"/>
  <c r="AP182" i="1"/>
  <c r="AO182" i="1"/>
  <c r="AS181" i="1"/>
  <c r="AR181" i="1"/>
  <c r="AQ181" i="1"/>
  <c r="AQ187" i="1" s="1"/>
  <c r="AP181" i="1"/>
  <c r="AO181" i="1"/>
  <c r="AN181" i="1"/>
  <c r="AS180" i="1"/>
  <c r="AS186" i="1" s="1"/>
  <c r="AR180" i="1"/>
  <c r="AQ180" i="1"/>
  <c r="AP180" i="1"/>
  <c r="AO180" i="1"/>
  <c r="AO186" i="1" s="1"/>
  <c r="AN180" i="1"/>
  <c r="AS82" i="1"/>
  <c r="AR82" i="1"/>
  <c r="AQ82" i="1"/>
  <c r="AP82" i="1"/>
  <c r="AO82" i="1"/>
  <c r="AN82" i="1"/>
  <c r="AS81" i="1"/>
  <c r="AR81" i="1"/>
  <c r="AQ81" i="1"/>
  <c r="AP81" i="1"/>
  <c r="AO81" i="1"/>
  <c r="AN81" i="1"/>
  <c r="AS80" i="1"/>
  <c r="AR80" i="1"/>
  <c r="AQ80" i="1"/>
  <c r="AP80" i="1"/>
  <c r="AO80" i="1"/>
  <c r="AN80" i="1"/>
  <c r="AS79" i="1"/>
  <c r="AR79" i="1"/>
  <c r="AQ79" i="1"/>
  <c r="AP79" i="1"/>
  <c r="AO79" i="1"/>
  <c r="AN79" i="1"/>
  <c r="AS78" i="1"/>
  <c r="AR78" i="1"/>
  <c r="AQ78" i="1"/>
  <c r="AP78" i="1"/>
  <c r="AO78" i="1"/>
  <c r="AN78" i="1"/>
  <c r="AS77" i="1"/>
  <c r="AR77" i="1"/>
  <c r="AQ77" i="1"/>
  <c r="AP77" i="1"/>
  <c r="AO77" i="1"/>
  <c r="AN77" i="1"/>
  <c r="AR76" i="1"/>
  <c r="AQ76" i="1"/>
  <c r="AO76" i="1"/>
  <c r="AR75" i="1"/>
  <c r="AQ75" i="1"/>
  <c r="AO75" i="1"/>
  <c r="AS74" i="1"/>
  <c r="AR74" i="1"/>
  <c r="AQ74" i="1"/>
  <c r="AP74" i="1"/>
  <c r="AO74" i="1"/>
  <c r="AN74" i="1"/>
  <c r="AS73" i="1"/>
  <c r="AR73" i="1"/>
  <c r="AQ73" i="1"/>
  <c r="AP73" i="1"/>
  <c r="AO73" i="1"/>
  <c r="AN73" i="1"/>
  <c r="AS72" i="1"/>
  <c r="AR72" i="1"/>
  <c r="AQ72" i="1"/>
  <c r="AP72" i="1"/>
  <c r="AO72" i="1"/>
  <c r="AN72" i="1"/>
  <c r="AS71" i="1"/>
  <c r="AR71" i="1"/>
  <c r="AQ71" i="1"/>
  <c r="AP71" i="1"/>
  <c r="AO71" i="1"/>
  <c r="AN71" i="1"/>
  <c r="AS70" i="1"/>
  <c r="AR70" i="1"/>
  <c r="AQ70" i="1"/>
  <c r="AP70" i="1"/>
  <c r="AO70" i="1"/>
  <c r="AN70" i="1"/>
  <c r="AS69" i="1"/>
  <c r="AR69" i="1"/>
  <c r="AQ69" i="1"/>
  <c r="AP69" i="1"/>
  <c r="AO69" i="1"/>
  <c r="AN69" i="1"/>
  <c r="AS68" i="1"/>
  <c r="AR68" i="1"/>
  <c r="AQ68" i="1"/>
  <c r="AP68" i="1"/>
  <c r="AO68" i="1"/>
  <c r="AN68" i="1"/>
  <c r="AS67" i="1"/>
  <c r="AR67" i="1"/>
  <c r="AQ67" i="1"/>
  <c r="AP67" i="1"/>
  <c r="AO67" i="1"/>
  <c r="AN67" i="1"/>
  <c r="AS66" i="1"/>
  <c r="AR66" i="1"/>
  <c r="AQ66" i="1"/>
  <c r="AP66" i="1"/>
  <c r="AO66" i="1"/>
  <c r="AN66" i="1"/>
  <c r="AS65" i="1"/>
  <c r="AR65" i="1"/>
  <c r="AQ65" i="1"/>
  <c r="AP65" i="1"/>
  <c r="AO65" i="1"/>
  <c r="AN65" i="1"/>
  <c r="AS64" i="1"/>
  <c r="AR64" i="1"/>
  <c r="AQ64" i="1"/>
  <c r="AP64" i="1"/>
  <c r="AN64" i="1"/>
  <c r="AS63" i="1"/>
  <c r="AR63" i="1"/>
  <c r="AQ63" i="1"/>
  <c r="AP63" i="1"/>
  <c r="AN63" i="1"/>
  <c r="AS62" i="1"/>
  <c r="AR62" i="1"/>
  <c r="AQ62" i="1"/>
  <c r="AP62" i="1"/>
  <c r="AO62" i="1"/>
  <c r="AN62" i="1"/>
  <c r="AS61" i="1"/>
  <c r="AR61" i="1"/>
  <c r="AQ61" i="1"/>
  <c r="AP61" i="1"/>
  <c r="AO61" i="1"/>
  <c r="AN61" i="1"/>
  <c r="AS60" i="1"/>
  <c r="AR60" i="1"/>
  <c r="AQ60" i="1"/>
  <c r="AP60" i="1"/>
  <c r="AO60" i="1"/>
  <c r="AN60" i="1"/>
  <c r="AS59" i="1"/>
  <c r="AR59" i="1"/>
  <c r="AQ59" i="1"/>
  <c r="AP59" i="1"/>
  <c r="AO59" i="1"/>
  <c r="AN59" i="1"/>
  <c r="AS58" i="1"/>
  <c r="AR58" i="1"/>
  <c r="AQ58" i="1"/>
  <c r="AP58" i="1"/>
  <c r="AO58" i="1"/>
  <c r="AN58" i="1"/>
  <c r="AS57" i="1"/>
  <c r="AR57" i="1"/>
  <c r="AQ57" i="1"/>
  <c r="AP57" i="1"/>
  <c r="AO57" i="1"/>
  <c r="AN57" i="1"/>
  <c r="AS56" i="1"/>
  <c r="AR56" i="1"/>
  <c r="AQ56" i="1"/>
  <c r="AP56" i="1"/>
  <c r="AO56" i="1"/>
  <c r="AN56" i="1"/>
  <c r="AS55" i="1"/>
  <c r="AR55" i="1"/>
  <c r="AQ55" i="1"/>
  <c r="AP55" i="1"/>
  <c r="AO55" i="1"/>
  <c r="AN55" i="1"/>
  <c r="AS54" i="1"/>
  <c r="AR54" i="1"/>
  <c r="AQ54" i="1"/>
  <c r="AP54" i="1"/>
  <c r="AO54" i="1"/>
  <c r="AN54" i="1"/>
  <c r="AS53" i="1"/>
  <c r="AR53" i="1"/>
  <c r="AQ53" i="1"/>
  <c r="AP53" i="1"/>
  <c r="AO53" i="1"/>
  <c r="AN53" i="1"/>
  <c r="AR52" i="1"/>
  <c r="AQ52" i="1"/>
  <c r="AO52" i="1"/>
  <c r="AR51" i="1"/>
  <c r="AQ51" i="1"/>
  <c r="AO51" i="1"/>
  <c r="AS50" i="1"/>
  <c r="AR50" i="1"/>
  <c r="AQ50" i="1"/>
  <c r="AP50" i="1"/>
  <c r="AO50" i="1"/>
  <c r="AN50" i="1"/>
  <c r="AS49" i="1"/>
  <c r="AR49" i="1"/>
  <c r="AQ49" i="1"/>
  <c r="AP49" i="1"/>
  <c r="AO49" i="1"/>
  <c r="AN49" i="1"/>
  <c r="AS48" i="1"/>
  <c r="AR48" i="1"/>
  <c r="AQ48" i="1"/>
  <c r="AP48" i="1"/>
  <c r="AO48" i="1"/>
  <c r="AN48" i="1"/>
  <c r="AS47" i="1"/>
  <c r="AR47" i="1"/>
  <c r="AQ47" i="1"/>
  <c r="AP47" i="1"/>
  <c r="AO47" i="1"/>
  <c r="AN47" i="1"/>
  <c r="AS46" i="1"/>
  <c r="AR46" i="1"/>
  <c r="AQ46" i="1"/>
  <c r="AP46" i="1"/>
  <c r="AO46" i="1"/>
  <c r="AN46" i="1"/>
  <c r="AS45" i="1"/>
  <c r="AR45" i="1"/>
  <c r="AQ45" i="1"/>
  <c r="AP45" i="1"/>
  <c r="AO45" i="1"/>
  <c r="AN45" i="1"/>
  <c r="AS44" i="1"/>
  <c r="AR44" i="1"/>
  <c r="AQ44" i="1"/>
  <c r="AP44" i="1"/>
  <c r="AO44" i="1"/>
  <c r="AN44" i="1"/>
  <c r="AS43" i="1"/>
  <c r="AR43" i="1"/>
  <c r="AQ43" i="1"/>
  <c r="AP43" i="1"/>
  <c r="AO43" i="1"/>
  <c r="AN43" i="1"/>
  <c r="AP41" i="1"/>
  <c r="AS40" i="1"/>
  <c r="AQ40" i="1"/>
  <c r="AP40" i="1"/>
  <c r="AO40" i="1"/>
  <c r="AN40" i="1"/>
  <c r="AS39" i="1"/>
  <c r="AQ39" i="1"/>
  <c r="AP39" i="1"/>
  <c r="AO39" i="1"/>
  <c r="AN39" i="1"/>
  <c r="AN8" i="1"/>
  <c r="AR7" i="1"/>
  <c r="AQ7" i="1"/>
  <c r="AN7" i="1"/>
  <c r="AL199" i="1"/>
  <c r="AJ177" i="1"/>
  <c r="AI177" i="1"/>
  <c r="AM50" i="1"/>
  <c r="AI50" i="1"/>
  <c r="AH50" i="1"/>
  <c r="AK78" i="1"/>
  <c r="AH78" i="1"/>
  <c r="AJ74" i="1"/>
  <c r="AH74" i="1"/>
  <c r="AM70" i="1"/>
  <c r="AH70" i="1"/>
  <c r="AM80" i="1"/>
  <c r="AJ80" i="1"/>
  <c r="AH80" i="1"/>
  <c r="AH64" i="1"/>
  <c r="AH60" i="1"/>
  <c r="AM8" i="1"/>
  <c r="AK8" i="1"/>
  <c r="AM82" i="1"/>
  <c r="AL82" i="1"/>
  <c r="AK82" i="1"/>
  <c r="AJ82" i="1"/>
  <c r="AM81" i="1"/>
  <c r="AL81" i="1"/>
  <c r="AK81" i="1"/>
  <c r="AJ81" i="1"/>
  <c r="AL59" i="1"/>
  <c r="AK59" i="1"/>
  <c r="AL39" i="1"/>
  <c r="AL177" i="1"/>
  <c r="AM199" i="1"/>
  <c r="AK199" i="1"/>
  <c r="AH199" i="1"/>
  <c r="AM75" i="1"/>
  <c r="AI70" i="1"/>
  <c r="AI66" i="1"/>
  <c r="AL66" i="1"/>
  <c r="AH66" i="1"/>
  <c r="AM60" i="1"/>
  <c r="AJ60" i="1"/>
  <c r="AI60" i="1"/>
  <c r="AJ52" i="1"/>
  <c r="AH52" i="1"/>
  <c r="AM39" i="1"/>
  <c r="AL80" i="1"/>
  <c r="AK80" i="1"/>
  <c r="AI80" i="1"/>
  <c r="AL79" i="1"/>
  <c r="AK79" i="1"/>
  <c r="AM78" i="1"/>
  <c r="AL78" i="1"/>
  <c r="AJ78" i="1"/>
  <c r="AI78" i="1"/>
  <c r="AM77" i="1"/>
  <c r="AJ77" i="1"/>
  <c r="AI77" i="1"/>
  <c r="AL76" i="1"/>
  <c r="AK76" i="1"/>
  <c r="AL75" i="1"/>
  <c r="AK75" i="1"/>
  <c r="AM58" i="1"/>
  <c r="AJ58" i="1"/>
  <c r="AH58" i="1"/>
  <c r="AK74" i="1"/>
  <c r="AM68" i="1"/>
  <c r="AJ68" i="1"/>
  <c r="AH68" i="1"/>
  <c r="AM56" i="1"/>
  <c r="AJ56" i="1"/>
  <c r="AH56" i="1"/>
  <c r="AL8" i="1"/>
  <c r="AI62" i="1"/>
  <c r="AH62" i="1"/>
  <c r="AM74" i="1"/>
  <c r="AL74" i="1"/>
  <c r="AI74" i="1"/>
  <c r="AM73" i="1"/>
  <c r="AL73" i="1"/>
  <c r="AI73" i="1"/>
  <c r="AM72" i="1"/>
  <c r="AL72" i="1"/>
  <c r="AJ72" i="1"/>
  <c r="AM71" i="1"/>
  <c r="AL71" i="1"/>
  <c r="AJ71" i="1"/>
  <c r="AL70" i="1"/>
  <c r="AK70" i="1"/>
  <c r="AJ70" i="1"/>
  <c r="AL69" i="1"/>
  <c r="AK69" i="1"/>
  <c r="AJ69" i="1"/>
  <c r="AM176" i="1"/>
  <c r="AL176" i="1"/>
  <c r="AK176" i="1"/>
  <c r="AJ176" i="1"/>
  <c r="AI176" i="1"/>
  <c r="AH176" i="1"/>
  <c r="AM178" i="1"/>
  <c r="AL178" i="1"/>
  <c r="AK178" i="1"/>
  <c r="AJ178" i="1"/>
  <c r="AI178" i="1"/>
  <c r="AH178" i="1"/>
  <c r="AM174" i="1"/>
  <c r="AL174" i="1"/>
  <c r="AK174" i="1"/>
  <c r="AJ174" i="1"/>
  <c r="AI174" i="1"/>
  <c r="AH174" i="1"/>
  <c r="AH57" i="1"/>
  <c r="AM201" i="1"/>
  <c r="AK201" i="1"/>
  <c r="AJ201" i="1"/>
  <c r="AI201" i="1"/>
  <c r="AI199" i="1"/>
  <c r="AM54" i="1"/>
  <c r="AI54" i="1"/>
  <c r="AH54" i="1"/>
  <c r="AL68" i="1"/>
  <c r="AK68" i="1"/>
  <c r="AI68" i="1"/>
  <c r="AL67" i="1"/>
  <c r="AK67" i="1"/>
  <c r="AI67" i="1"/>
  <c r="AM66" i="1"/>
  <c r="AK66" i="1"/>
  <c r="AJ66" i="1"/>
  <c r="AM65" i="1"/>
  <c r="AK65" i="1"/>
  <c r="AJ65" i="1"/>
  <c r="AL64" i="1"/>
  <c r="AK64" i="1"/>
  <c r="AL63" i="1"/>
  <c r="AK63" i="1"/>
  <c r="AM62" i="1"/>
  <c r="AL62" i="1"/>
  <c r="AK62" i="1"/>
  <c r="AJ62" i="1"/>
  <c r="AM61" i="1"/>
  <c r="AL61" i="1"/>
  <c r="AK61" i="1"/>
  <c r="AJ61" i="1"/>
  <c r="AL60" i="1"/>
  <c r="AK60" i="1"/>
  <c r="AI59" i="1"/>
  <c r="AL58" i="1"/>
  <c r="AK58" i="1"/>
  <c r="AI58" i="1"/>
  <c r="AL57" i="1"/>
  <c r="AK57" i="1"/>
  <c r="AI57" i="1"/>
  <c r="AL56" i="1"/>
  <c r="AK56" i="1"/>
  <c r="AI56" i="1"/>
  <c r="AL55" i="1"/>
  <c r="AK55" i="1"/>
  <c r="AI55" i="1"/>
  <c r="AL54" i="1"/>
  <c r="AK54" i="1"/>
  <c r="AJ54" i="1"/>
  <c r="AL53" i="1"/>
  <c r="AK53" i="1"/>
  <c r="AJ53" i="1"/>
  <c r="AD199" i="1"/>
  <c r="AD175" i="1"/>
  <c r="AC206" i="1"/>
  <c r="AG200" i="1"/>
  <c r="AF200" i="1"/>
  <c r="AE200" i="1"/>
  <c r="AD200" i="1"/>
  <c r="AC200" i="1"/>
  <c r="AB200" i="1"/>
  <c r="AG198" i="1"/>
  <c r="AE198" i="1"/>
  <c r="AC198" i="1"/>
  <c r="AB198" i="1"/>
  <c r="AB182" i="1"/>
  <c r="AG51" i="1"/>
  <c r="AD51" i="1"/>
  <c r="AG49" i="1"/>
  <c r="AB49" i="1"/>
  <c r="AC49" i="1"/>
  <c r="AD47" i="1"/>
  <c r="AG47" i="1"/>
  <c r="AD43" i="1"/>
  <c r="AB43" i="1"/>
  <c r="AE41" i="1"/>
  <c r="AC41" i="1"/>
  <c r="AF41" i="1"/>
  <c r="AB41" i="1"/>
  <c r="AD39" i="1"/>
  <c r="AB39" i="1"/>
  <c r="AD37" i="1"/>
  <c r="AG37" i="1"/>
  <c r="AB37" i="1"/>
  <c r="AG13" i="1"/>
  <c r="AD13" i="1"/>
  <c r="AF7" i="1"/>
  <c r="AD7" i="1"/>
  <c r="AR187" i="1" l="1"/>
  <c r="AQ186" i="1"/>
  <c r="AO187" i="1"/>
  <c r="AS187" i="1"/>
  <c r="AR186" i="1"/>
  <c r="AN187" i="1"/>
  <c r="AN208" i="1"/>
  <c r="AN209" i="1"/>
  <c r="AQ222" i="1" s="1"/>
  <c r="AR222" i="1" s="1"/>
  <c r="AP208" i="1"/>
  <c r="AN186" i="1"/>
  <c r="AP186" i="1"/>
  <c r="AQ219" i="1" s="1"/>
  <c r="AR219" i="1" s="1"/>
  <c r="AP187" i="1"/>
  <c r="AL201" i="1"/>
  <c r="AH201" i="1"/>
  <c r="AD198" i="1"/>
  <c r="AF39" i="1"/>
  <c r="AE39" i="1"/>
  <c r="AG7" i="1"/>
  <c r="AG201" i="1"/>
  <c r="AF201" i="1"/>
  <c r="AE201" i="1"/>
  <c r="AD201" i="1"/>
  <c r="AC201" i="1"/>
  <c r="AB201" i="1"/>
  <c r="AG185" i="1"/>
  <c r="AD185" i="1"/>
  <c r="AB183" i="1"/>
  <c r="AG177" i="1"/>
  <c r="AF177" i="1"/>
  <c r="AE177" i="1"/>
  <c r="AD177" i="1"/>
  <c r="AC177" i="1"/>
  <c r="AB177" i="1"/>
  <c r="AG179" i="1"/>
  <c r="AF179" i="1"/>
  <c r="AE179" i="1"/>
  <c r="AD179" i="1"/>
  <c r="AC179" i="1"/>
  <c r="AB179" i="1"/>
  <c r="AG175" i="1"/>
  <c r="AF175" i="1"/>
  <c r="AE175" i="1"/>
  <c r="AC175" i="1"/>
  <c r="AB175" i="1"/>
  <c r="AF42" i="1"/>
  <c r="AE42" i="1"/>
  <c r="AC42" i="1"/>
  <c r="AB42" i="1"/>
  <c r="AG50" i="1"/>
  <c r="AC50" i="1"/>
  <c r="AB50" i="1"/>
  <c r="AG8" i="1"/>
  <c r="AD8" i="1"/>
  <c r="AC8" i="1"/>
  <c r="AB51" i="1"/>
  <c r="AG52" i="1"/>
  <c r="AD52" i="1"/>
  <c r="AB52" i="1"/>
  <c r="AF40" i="1"/>
  <c r="AE40" i="1"/>
  <c r="AD40" i="1"/>
  <c r="AB14" i="1"/>
  <c r="AM207" i="1"/>
  <c r="AL207" i="1"/>
  <c r="AK207" i="1"/>
  <c r="AJ207" i="1"/>
  <c r="AI207" i="1"/>
  <c r="AH207" i="1"/>
  <c r="AM206" i="1"/>
  <c r="AL206" i="1"/>
  <c r="AK206" i="1"/>
  <c r="AJ206" i="1"/>
  <c r="AI206" i="1"/>
  <c r="AH206" i="1"/>
  <c r="AM205" i="1"/>
  <c r="AL205" i="1"/>
  <c r="AK205" i="1"/>
  <c r="AJ205" i="1"/>
  <c r="AI205" i="1"/>
  <c r="AH205" i="1"/>
  <c r="AM204" i="1"/>
  <c r="AL204" i="1"/>
  <c r="AK204" i="1"/>
  <c r="AJ204" i="1"/>
  <c r="AI204" i="1"/>
  <c r="AH204" i="1"/>
  <c r="AM203" i="1"/>
  <c r="AL203" i="1"/>
  <c r="AK203" i="1"/>
  <c r="AJ203" i="1"/>
  <c r="AI203" i="1"/>
  <c r="AH203" i="1"/>
  <c r="AM202" i="1"/>
  <c r="AL202" i="1"/>
  <c r="AK202" i="1"/>
  <c r="AJ202" i="1"/>
  <c r="AI202" i="1"/>
  <c r="AH202" i="1"/>
  <c r="AL198" i="1"/>
  <c r="AH198" i="1"/>
  <c r="AM185" i="1"/>
  <c r="AL185" i="1"/>
  <c r="AK185" i="1"/>
  <c r="AJ185" i="1"/>
  <c r="AI185" i="1"/>
  <c r="AH185" i="1"/>
  <c r="AM184" i="1"/>
  <c r="AL184" i="1"/>
  <c r="AK184" i="1"/>
  <c r="AJ184" i="1"/>
  <c r="AI184" i="1"/>
  <c r="AH184" i="1"/>
  <c r="AM183" i="1"/>
  <c r="AL183" i="1"/>
  <c r="AK183" i="1"/>
  <c r="AJ183" i="1"/>
  <c r="AI183" i="1"/>
  <c r="AM182" i="1"/>
  <c r="AL182" i="1"/>
  <c r="AK182" i="1"/>
  <c r="AJ182" i="1"/>
  <c r="AI182" i="1"/>
  <c r="AM181" i="1"/>
  <c r="AM187" i="1" s="1"/>
  <c r="AL181" i="1"/>
  <c r="AL187" i="1" s="1"/>
  <c r="AK181" i="1"/>
  <c r="AJ181" i="1"/>
  <c r="AI181" i="1"/>
  <c r="AI187" i="1" s="1"/>
  <c r="AH181" i="1"/>
  <c r="AH187" i="1" s="1"/>
  <c r="AM180" i="1"/>
  <c r="AL180" i="1"/>
  <c r="AK180" i="1"/>
  <c r="AJ180" i="1"/>
  <c r="AJ186" i="1" s="1"/>
  <c r="AI180" i="1"/>
  <c r="AH180" i="1"/>
  <c r="CT52" i="1"/>
  <c r="CS52" i="1"/>
  <c r="CR52" i="1"/>
  <c r="CQ52" i="1"/>
  <c r="CP52" i="1"/>
  <c r="CO52" i="1"/>
  <c r="CN52" i="1"/>
  <c r="CM52" i="1"/>
  <c r="CL52" i="1"/>
  <c r="CK52" i="1"/>
  <c r="CJ52" i="1"/>
  <c r="CI52" i="1"/>
  <c r="CH52" i="1"/>
  <c r="CG52" i="1"/>
  <c r="CF52" i="1"/>
  <c r="CE52" i="1"/>
  <c r="CD52" i="1"/>
  <c r="CC52" i="1"/>
  <c r="CB52" i="1"/>
  <c r="CA52" i="1"/>
  <c r="BZ52" i="1"/>
  <c r="BY52" i="1"/>
  <c r="BX52" i="1"/>
  <c r="BW52" i="1"/>
  <c r="BV52" i="1"/>
  <c r="BU52" i="1"/>
  <c r="BT52" i="1"/>
  <c r="BS52" i="1"/>
  <c r="BR52" i="1"/>
  <c r="BQ52" i="1"/>
  <c r="BP52" i="1"/>
  <c r="BO52" i="1"/>
  <c r="BN52" i="1"/>
  <c r="BM52" i="1"/>
  <c r="BL52" i="1"/>
  <c r="BK52" i="1"/>
  <c r="BJ52" i="1"/>
  <c r="BI52" i="1"/>
  <c r="BH52" i="1"/>
  <c r="BG52" i="1"/>
  <c r="AL52" i="1"/>
  <c r="AK52" i="1"/>
  <c r="AI52" i="1"/>
  <c r="CT51" i="1"/>
  <c r="CS51" i="1"/>
  <c r="CR51" i="1"/>
  <c r="CQ51" i="1"/>
  <c r="CP51" i="1"/>
  <c r="CO51" i="1"/>
  <c r="CN51" i="1"/>
  <c r="CM51" i="1"/>
  <c r="CL51" i="1"/>
  <c r="CK51" i="1"/>
  <c r="CJ51" i="1"/>
  <c r="CI51" i="1"/>
  <c r="CH51" i="1"/>
  <c r="CG51" i="1"/>
  <c r="CF51" i="1"/>
  <c r="CE51" i="1"/>
  <c r="CD51" i="1"/>
  <c r="CC51" i="1"/>
  <c r="CB51" i="1"/>
  <c r="CA51" i="1"/>
  <c r="BZ51" i="1"/>
  <c r="BY51" i="1"/>
  <c r="BX51" i="1"/>
  <c r="BW51" i="1"/>
  <c r="BV51" i="1"/>
  <c r="BU51" i="1"/>
  <c r="BT51" i="1"/>
  <c r="BS51" i="1"/>
  <c r="BR51" i="1"/>
  <c r="BQ51" i="1"/>
  <c r="BP51" i="1"/>
  <c r="BO51" i="1"/>
  <c r="BN51" i="1"/>
  <c r="BM51" i="1"/>
  <c r="BL51" i="1"/>
  <c r="BK51" i="1"/>
  <c r="BJ51" i="1"/>
  <c r="BI51" i="1"/>
  <c r="BH51" i="1"/>
  <c r="BG51" i="1"/>
  <c r="AL51" i="1"/>
  <c r="AK51" i="1"/>
  <c r="AI51" i="1"/>
  <c r="AK186" i="1" l="1"/>
  <c r="AJ187" i="1"/>
  <c r="AI186" i="1"/>
  <c r="AM186" i="1"/>
  <c r="AK187" i="1"/>
  <c r="AQ220" i="1"/>
  <c r="AR220" i="1" s="1"/>
  <c r="AQ221" i="1"/>
  <c r="AR221" i="1" s="1"/>
  <c r="AL186" i="1"/>
  <c r="AH186" i="1"/>
  <c r="AL50" i="1"/>
  <c r="AK50" i="1"/>
  <c r="AJ50" i="1"/>
  <c r="AL49" i="1"/>
  <c r="AK49" i="1"/>
  <c r="AJ49" i="1"/>
  <c r="AM48" i="1"/>
  <c r="AL48" i="1"/>
  <c r="AK48" i="1"/>
  <c r="AJ48" i="1"/>
  <c r="AI48" i="1"/>
  <c r="AH48" i="1"/>
  <c r="AM47" i="1"/>
  <c r="AL47" i="1"/>
  <c r="AK47" i="1"/>
  <c r="AJ47" i="1"/>
  <c r="AI47" i="1"/>
  <c r="AH47" i="1"/>
  <c r="AM46" i="1"/>
  <c r="AL46" i="1"/>
  <c r="AK46" i="1"/>
  <c r="AJ46" i="1"/>
  <c r="AI46" i="1"/>
  <c r="AH46" i="1"/>
  <c r="AM45" i="1"/>
  <c r="AL45" i="1"/>
  <c r="AK45" i="1"/>
  <c r="AJ45" i="1"/>
  <c r="AI45" i="1"/>
  <c r="AH45" i="1"/>
  <c r="AM44" i="1"/>
  <c r="AL44" i="1"/>
  <c r="AK44" i="1"/>
  <c r="AJ44" i="1"/>
  <c r="AI44" i="1"/>
  <c r="AH44" i="1"/>
  <c r="AM43" i="1"/>
  <c r="AL43" i="1"/>
  <c r="AK43" i="1"/>
  <c r="AJ43" i="1"/>
  <c r="AI43" i="1"/>
  <c r="AH43" i="1"/>
  <c r="AM42" i="1"/>
  <c r="AJ42" i="1"/>
  <c r="AM41" i="1"/>
  <c r="AJ41" i="1"/>
  <c r="AM40" i="1"/>
  <c r="AJ40" i="1"/>
  <c r="AI40" i="1"/>
  <c r="AJ39" i="1"/>
  <c r="AI39" i="1"/>
  <c r="AM38" i="1"/>
  <c r="AL38" i="1"/>
  <c r="AK38" i="1"/>
  <c r="AJ38" i="1"/>
  <c r="AI38" i="1"/>
  <c r="AH38" i="1"/>
  <c r="AM37" i="1"/>
  <c r="AL37" i="1"/>
  <c r="AK37" i="1"/>
  <c r="AJ37" i="1"/>
  <c r="AI37" i="1"/>
  <c r="AH37" i="1"/>
  <c r="AM36" i="1"/>
  <c r="AL36" i="1"/>
  <c r="AK36" i="1"/>
  <c r="AJ36" i="1"/>
  <c r="AI36" i="1"/>
  <c r="AH36" i="1"/>
  <c r="AM35" i="1"/>
  <c r="AL35" i="1"/>
  <c r="AK35" i="1"/>
  <c r="AJ35" i="1"/>
  <c r="AI35" i="1"/>
  <c r="AH35" i="1"/>
  <c r="AM32" i="1"/>
  <c r="AL32" i="1"/>
  <c r="AK32" i="1"/>
  <c r="AJ32" i="1"/>
  <c r="AI32" i="1"/>
  <c r="AH32" i="1"/>
  <c r="AM31" i="1"/>
  <c r="AL31" i="1"/>
  <c r="AK31" i="1"/>
  <c r="AJ31" i="1"/>
  <c r="AI31" i="1"/>
  <c r="AH31" i="1"/>
  <c r="AM30" i="1"/>
  <c r="AL30" i="1"/>
  <c r="AK30" i="1"/>
  <c r="AJ30" i="1"/>
  <c r="AI30" i="1"/>
  <c r="AH30" i="1"/>
  <c r="AM29" i="1"/>
  <c r="AL29" i="1"/>
  <c r="AK29" i="1"/>
  <c r="AJ29" i="1"/>
  <c r="AI29" i="1"/>
  <c r="AH29" i="1"/>
  <c r="AM28" i="1"/>
  <c r="AL28" i="1"/>
  <c r="AK28" i="1"/>
  <c r="AJ28" i="1"/>
  <c r="AI28" i="1"/>
  <c r="AH28" i="1"/>
  <c r="AM27" i="1"/>
  <c r="AL27" i="1"/>
  <c r="AK27" i="1"/>
  <c r="AJ27" i="1"/>
  <c r="AI27" i="1"/>
  <c r="AH27" i="1"/>
  <c r="AM26" i="1"/>
  <c r="AL26" i="1"/>
  <c r="AK26" i="1"/>
  <c r="AJ26" i="1"/>
  <c r="AI26" i="1"/>
  <c r="AH26" i="1"/>
  <c r="AM25" i="1"/>
  <c r="AL25" i="1"/>
  <c r="AK25" i="1"/>
  <c r="AJ25" i="1"/>
  <c r="AI25" i="1"/>
  <c r="AH25" i="1"/>
  <c r="AM24" i="1"/>
  <c r="AL24" i="1"/>
  <c r="AK24" i="1"/>
  <c r="AJ24" i="1"/>
  <c r="AI24" i="1"/>
  <c r="AH24" i="1"/>
  <c r="AM23" i="1"/>
  <c r="AL23" i="1"/>
  <c r="AK23" i="1"/>
  <c r="AJ23" i="1"/>
  <c r="AI23" i="1"/>
  <c r="AH23" i="1"/>
  <c r="AM22" i="1"/>
  <c r="AL22" i="1"/>
  <c r="AK22" i="1"/>
  <c r="AJ22" i="1"/>
  <c r="AI22" i="1"/>
  <c r="AH22" i="1"/>
  <c r="AM21" i="1"/>
  <c r="AL21" i="1"/>
  <c r="AK21" i="1"/>
  <c r="AJ21" i="1"/>
  <c r="AI21" i="1"/>
  <c r="AH21" i="1"/>
  <c r="AM20" i="1"/>
  <c r="AL20" i="1"/>
  <c r="AK20" i="1"/>
  <c r="AJ20" i="1"/>
  <c r="AI20" i="1"/>
  <c r="AH20" i="1"/>
  <c r="AM19" i="1"/>
  <c r="AL19" i="1"/>
  <c r="AK19" i="1"/>
  <c r="AJ19" i="1"/>
  <c r="AI19" i="1"/>
  <c r="AH19" i="1"/>
  <c r="AM18" i="1"/>
  <c r="AL18" i="1"/>
  <c r="AK18" i="1"/>
  <c r="AJ18" i="1"/>
  <c r="AI18" i="1"/>
  <c r="AH18" i="1"/>
  <c r="AM17" i="1"/>
  <c r="AL17" i="1"/>
  <c r="AK17" i="1"/>
  <c r="AJ17" i="1"/>
  <c r="AI17" i="1"/>
  <c r="AH17" i="1"/>
  <c r="AM16" i="1"/>
  <c r="AL16" i="1"/>
  <c r="AK16" i="1"/>
  <c r="AJ16" i="1"/>
  <c r="AI16" i="1"/>
  <c r="AH16" i="1"/>
  <c r="AM15" i="1"/>
  <c r="AL15" i="1"/>
  <c r="AK15" i="1"/>
  <c r="AJ15" i="1"/>
  <c r="AI15" i="1"/>
  <c r="AH15" i="1"/>
  <c r="AM14" i="1"/>
  <c r="AL14" i="1"/>
  <c r="AK14" i="1"/>
  <c r="AJ14" i="1"/>
  <c r="AI14" i="1"/>
  <c r="AH14" i="1"/>
  <c r="AM13" i="1"/>
  <c r="AL13" i="1"/>
  <c r="AK13" i="1"/>
  <c r="AJ13" i="1"/>
  <c r="AI13" i="1"/>
  <c r="AH13" i="1"/>
  <c r="AM12" i="1"/>
  <c r="AL12" i="1"/>
  <c r="AK12" i="1"/>
  <c r="AJ12" i="1"/>
  <c r="AI12" i="1"/>
  <c r="AH12" i="1"/>
  <c r="AM11" i="1"/>
  <c r="AL11" i="1"/>
  <c r="AK11" i="1"/>
  <c r="AJ11" i="1"/>
  <c r="AI11" i="1"/>
  <c r="AH11" i="1"/>
  <c r="AM10" i="1"/>
  <c r="AL10" i="1"/>
  <c r="AK10" i="1"/>
  <c r="AJ10" i="1"/>
  <c r="AI10" i="1"/>
  <c r="AH10" i="1"/>
  <c r="AM9" i="1"/>
  <c r="AL9" i="1"/>
  <c r="AK9" i="1"/>
  <c r="AJ9" i="1"/>
  <c r="AI9" i="1"/>
  <c r="AH9" i="1"/>
  <c r="AJ8" i="1"/>
  <c r="AI8" i="1"/>
  <c r="AH8" i="1"/>
  <c r="AH7" i="1"/>
  <c r="AF52" i="1"/>
  <c r="AE52" i="1"/>
  <c r="AC52" i="1"/>
  <c r="AF51" i="1"/>
  <c r="AE51" i="1"/>
  <c r="AC51" i="1"/>
  <c r="AG38" i="1"/>
  <c r="AD38" i="1"/>
  <c r="AB38" i="1"/>
  <c r="AB40" i="1"/>
  <c r="AG14" i="1"/>
  <c r="AD14" i="1"/>
  <c r="AC207" i="1"/>
  <c r="AG199" i="1"/>
  <c r="AE7" i="1"/>
  <c r="AF45" i="1"/>
  <c r="AF50" i="1"/>
  <c r="AE50" i="1"/>
  <c r="AD50" i="1"/>
  <c r="AF49" i="1"/>
  <c r="AE49" i="1"/>
  <c r="AD49" i="1"/>
  <c r="AB34" i="1"/>
  <c r="AF46" i="1"/>
  <c r="AB46" i="1"/>
  <c r="AF8" i="1"/>
  <c r="AE8" i="1"/>
  <c r="AF198" i="1" l="1"/>
  <c r="AF33" i="1"/>
  <c r="AB33" i="1"/>
  <c r="AB17" i="1"/>
  <c r="AF34" i="1"/>
  <c r="AD18" i="1"/>
  <c r="AB18" i="1"/>
  <c r="AG44" i="1"/>
  <c r="AG48" i="1"/>
  <c r="AD48" i="1"/>
  <c r="AG43" i="1" l="1"/>
  <c r="AD17" i="1"/>
  <c r="AB45" i="1"/>
  <c r="AB13" i="1"/>
  <c r="AA48" i="1"/>
  <c r="Z48" i="1"/>
  <c r="Y48" i="1"/>
  <c r="X48" i="1"/>
  <c r="W48" i="1"/>
  <c r="V48" i="1"/>
  <c r="AA47" i="1"/>
  <c r="Z47" i="1"/>
  <c r="Y47" i="1"/>
  <c r="X47" i="1"/>
  <c r="W47" i="1"/>
  <c r="V47" i="1"/>
  <c r="V14" i="1"/>
  <c r="V13" i="1"/>
  <c r="AA14" i="1"/>
  <c r="Z14" i="1"/>
  <c r="Y14" i="1"/>
  <c r="X14" i="1"/>
  <c r="W14" i="1"/>
  <c r="AA13" i="1"/>
  <c r="Z13" i="1"/>
  <c r="Y13" i="1"/>
  <c r="X13" i="1"/>
  <c r="W13" i="1"/>
  <c r="AF199" i="1"/>
  <c r="AG176" i="1"/>
  <c r="AF176" i="1"/>
  <c r="AE176" i="1"/>
  <c r="AD176" i="1"/>
  <c r="AC176" i="1"/>
  <c r="AB176" i="1"/>
  <c r="AG178" i="1"/>
  <c r="AF178" i="1"/>
  <c r="AE178" i="1"/>
  <c r="AD178" i="1"/>
  <c r="AC178" i="1"/>
  <c r="AB178" i="1"/>
  <c r="AG174" i="1"/>
  <c r="AF174" i="1"/>
  <c r="AE174" i="1"/>
  <c r="AD174" i="1"/>
  <c r="AC174" i="1"/>
  <c r="AB174" i="1"/>
  <c r="AD44" i="1"/>
  <c r="AB44" i="1"/>
  <c r="AF48" i="1"/>
  <c r="AE48" i="1"/>
  <c r="AC48" i="1"/>
  <c r="AB48" i="1"/>
  <c r="AF47" i="1"/>
  <c r="AE47" i="1"/>
  <c r="AC47" i="1"/>
  <c r="AB47" i="1"/>
  <c r="AG207" i="1"/>
  <c r="AF207" i="1"/>
  <c r="AE207" i="1"/>
  <c r="AD207" i="1"/>
  <c r="AB207" i="1"/>
  <c r="AG206" i="1"/>
  <c r="AF206" i="1"/>
  <c r="AE206" i="1"/>
  <c r="AD206" i="1"/>
  <c r="AB206" i="1"/>
  <c r="AG205" i="1"/>
  <c r="AF205" i="1"/>
  <c r="AE205" i="1"/>
  <c r="AD205" i="1"/>
  <c r="AC205" i="1"/>
  <c r="AB205" i="1"/>
  <c r="AG204" i="1"/>
  <c r="AF204" i="1"/>
  <c r="AE204" i="1"/>
  <c r="AD204" i="1"/>
  <c r="AC204" i="1"/>
  <c r="AB204" i="1"/>
  <c r="AG203" i="1"/>
  <c r="AF203" i="1"/>
  <c r="AE203" i="1"/>
  <c r="AD203" i="1"/>
  <c r="AC203" i="1"/>
  <c r="AB203" i="1"/>
  <c r="AG202" i="1"/>
  <c r="AF202" i="1"/>
  <c r="AE202" i="1"/>
  <c r="AD202" i="1"/>
  <c r="AC202" i="1"/>
  <c r="AB202" i="1"/>
  <c r="AE199" i="1"/>
  <c r="AC199" i="1"/>
  <c r="AB199" i="1"/>
  <c r="AF185" i="1"/>
  <c r="AE185" i="1"/>
  <c r="AC185" i="1"/>
  <c r="AB185" i="1"/>
  <c r="AG184" i="1"/>
  <c r="AF184" i="1"/>
  <c r="AE184" i="1"/>
  <c r="AD184" i="1"/>
  <c r="AC184" i="1"/>
  <c r="AB184" i="1"/>
  <c r="AG183" i="1"/>
  <c r="AF183" i="1"/>
  <c r="AE183" i="1"/>
  <c r="AD183" i="1"/>
  <c r="AC183" i="1"/>
  <c r="AG182" i="1"/>
  <c r="AF182" i="1"/>
  <c r="AE182" i="1"/>
  <c r="AD182" i="1"/>
  <c r="AC182" i="1"/>
  <c r="AG181" i="1"/>
  <c r="AF181" i="1"/>
  <c r="AE181" i="1"/>
  <c r="AD181" i="1"/>
  <c r="AC181" i="1"/>
  <c r="AB181" i="1"/>
  <c r="AG180" i="1"/>
  <c r="AF180" i="1"/>
  <c r="AE180" i="1"/>
  <c r="AD180" i="1"/>
  <c r="AC180" i="1"/>
  <c r="AB180" i="1"/>
  <c r="AG46" i="1"/>
  <c r="AE46" i="1"/>
  <c r="AD46" i="1"/>
  <c r="AC46" i="1"/>
  <c r="AG45" i="1"/>
  <c r="AE45" i="1"/>
  <c r="AD45" i="1"/>
  <c r="AC45" i="1"/>
  <c r="AF44" i="1"/>
  <c r="AE44" i="1"/>
  <c r="AC44" i="1"/>
  <c r="AF43" i="1"/>
  <c r="AE43" i="1"/>
  <c r="AC43" i="1"/>
  <c r="AG42" i="1"/>
  <c r="AD42" i="1"/>
  <c r="AG41" i="1"/>
  <c r="AD41" i="1"/>
  <c r="AG40" i="1"/>
  <c r="AC40" i="1"/>
  <c r="AG39" i="1"/>
  <c r="AC39" i="1"/>
  <c r="AF38" i="1"/>
  <c r="AE38" i="1"/>
  <c r="AC38" i="1"/>
  <c r="AF37" i="1"/>
  <c r="AE37" i="1"/>
  <c r="AC37" i="1"/>
  <c r="AG34" i="1"/>
  <c r="AE34" i="1"/>
  <c r="AD34" i="1"/>
  <c r="AC34" i="1"/>
  <c r="AG33" i="1"/>
  <c r="AE33" i="1"/>
  <c r="AD33" i="1"/>
  <c r="AC33" i="1"/>
  <c r="AG26" i="1"/>
  <c r="AF26" i="1"/>
  <c r="AE26" i="1"/>
  <c r="AD26" i="1"/>
  <c r="AC26" i="1"/>
  <c r="AB26" i="1"/>
  <c r="AG25" i="1"/>
  <c r="AF25" i="1"/>
  <c r="AE25" i="1"/>
  <c r="AD25" i="1"/>
  <c r="AC25" i="1"/>
  <c r="AB25" i="1"/>
  <c r="AG18" i="1"/>
  <c r="AF18" i="1"/>
  <c r="AE18" i="1"/>
  <c r="AC18" i="1"/>
  <c r="AG17" i="1"/>
  <c r="AF17" i="1"/>
  <c r="AE17" i="1"/>
  <c r="AC17" i="1"/>
  <c r="AF14" i="1"/>
  <c r="AE14" i="1"/>
  <c r="AC14" i="1"/>
  <c r="AF13" i="1"/>
  <c r="AE13" i="1"/>
  <c r="AC13" i="1"/>
  <c r="V198" i="1"/>
  <c r="Z198" i="1"/>
  <c r="Y198" i="1"/>
  <c r="X198" i="1"/>
  <c r="V200" i="1"/>
  <c r="W201" i="1"/>
  <c r="W200" i="1"/>
  <c r="V182" i="1"/>
  <c r="AA43" i="1"/>
  <c r="X43" i="1"/>
  <c r="Z41" i="1"/>
  <c r="Y41" i="1"/>
  <c r="V41" i="1"/>
  <c r="Z39" i="1"/>
  <c r="Y39" i="1"/>
  <c r="V39" i="1"/>
  <c r="X37" i="1"/>
  <c r="AA37" i="1"/>
  <c r="Z37" i="1"/>
  <c r="Y37" i="1"/>
  <c r="V37" i="1"/>
  <c r="X33" i="1"/>
  <c r="AA25" i="1"/>
  <c r="V25" i="1"/>
  <c r="V17" i="1"/>
  <c r="X17" i="1"/>
  <c r="Y7" i="1"/>
  <c r="W207" i="1"/>
  <c r="AA201" i="1"/>
  <c r="Z201" i="1"/>
  <c r="X201" i="1"/>
  <c r="Y199" i="1"/>
  <c r="V199" i="1"/>
  <c r="AA179" i="1"/>
  <c r="Z179" i="1"/>
  <c r="X179" i="1"/>
  <c r="AA175" i="1"/>
  <c r="Z175" i="1"/>
  <c r="X175" i="1"/>
  <c r="Z42" i="1"/>
  <c r="AA38" i="1"/>
  <c r="X38" i="1"/>
  <c r="AA44" i="1"/>
  <c r="X44" i="1"/>
  <c r="Z8" i="1"/>
  <c r="X8" i="1"/>
  <c r="V46" i="1"/>
  <c r="V45" i="1"/>
  <c r="AA46" i="1"/>
  <c r="Z46" i="1"/>
  <c r="Y46" i="1"/>
  <c r="X46" i="1"/>
  <c r="W46" i="1"/>
  <c r="AA45" i="1"/>
  <c r="Z45" i="1"/>
  <c r="Y45" i="1"/>
  <c r="X45" i="1"/>
  <c r="W45" i="1"/>
  <c r="AC7" i="1"/>
  <c r="AB8" i="1"/>
  <c r="AB7" i="1"/>
  <c r="AA33" i="1"/>
  <c r="Z33" i="1"/>
  <c r="Y33" i="1"/>
  <c r="AA26" i="1"/>
  <c r="AA8" i="1"/>
  <c r="AA176" i="1"/>
  <c r="Z176" i="1"/>
  <c r="Y176" i="1"/>
  <c r="X176" i="1"/>
  <c r="W176" i="1"/>
  <c r="V176" i="1"/>
  <c r="AA178" i="1"/>
  <c r="Z178" i="1"/>
  <c r="Y178" i="1"/>
  <c r="X178" i="1"/>
  <c r="W178" i="1"/>
  <c r="V178" i="1"/>
  <c r="AA174" i="1"/>
  <c r="Z174" i="1"/>
  <c r="Y174" i="1"/>
  <c r="X174" i="1"/>
  <c r="W174" i="1"/>
  <c r="V174" i="1"/>
  <c r="V40" i="1"/>
  <c r="Y201" i="1"/>
  <c r="V201" i="1"/>
  <c r="X199" i="1"/>
  <c r="AA177" i="1"/>
  <c r="Y177" i="1"/>
  <c r="V177" i="1"/>
  <c r="V183" i="1"/>
  <c r="V179" i="1"/>
  <c r="Y179" i="1"/>
  <c r="Y175" i="1"/>
  <c r="V175" i="1"/>
  <c r="Y42" i="1"/>
  <c r="V42" i="1"/>
  <c r="Z38" i="1"/>
  <c r="Y38" i="1"/>
  <c r="V38" i="1"/>
  <c r="V44" i="1"/>
  <c r="X26" i="1"/>
  <c r="V26" i="1"/>
  <c r="Z40" i="1"/>
  <c r="AA207" i="1"/>
  <c r="Z207" i="1"/>
  <c r="Y207" i="1"/>
  <c r="X207" i="1"/>
  <c r="V207" i="1"/>
  <c r="AA206" i="1"/>
  <c r="Z206" i="1"/>
  <c r="Y206" i="1"/>
  <c r="X206" i="1"/>
  <c r="W206" i="1"/>
  <c r="V206" i="1"/>
  <c r="AA205" i="1"/>
  <c r="Z205" i="1"/>
  <c r="Y205" i="1"/>
  <c r="X205" i="1"/>
  <c r="W205" i="1"/>
  <c r="V205" i="1"/>
  <c r="AA204" i="1"/>
  <c r="Z204" i="1"/>
  <c r="Y204" i="1"/>
  <c r="X204" i="1"/>
  <c r="W204" i="1"/>
  <c r="V204" i="1"/>
  <c r="AA203" i="1"/>
  <c r="Z203" i="1"/>
  <c r="Y203" i="1"/>
  <c r="X203" i="1"/>
  <c r="W203" i="1"/>
  <c r="V203" i="1"/>
  <c r="AA202" i="1"/>
  <c r="Z202" i="1"/>
  <c r="Y202" i="1"/>
  <c r="X202" i="1"/>
  <c r="W202" i="1"/>
  <c r="V202" i="1"/>
  <c r="AA200" i="1"/>
  <c r="Z200" i="1"/>
  <c r="Y200" i="1"/>
  <c r="X200" i="1"/>
  <c r="AA199" i="1"/>
  <c r="Z199" i="1"/>
  <c r="W199" i="1"/>
  <c r="AA198" i="1"/>
  <c r="W198" i="1"/>
  <c r="Y40" i="1"/>
  <c r="AA185" i="1"/>
  <c r="Z185" i="1"/>
  <c r="Y185" i="1"/>
  <c r="X185" i="1"/>
  <c r="W185" i="1"/>
  <c r="V185" i="1"/>
  <c r="AA184" i="1"/>
  <c r="Z184" i="1"/>
  <c r="Y184" i="1"/>
  <c r="X184" i="1"/>
  <c r="W184" i="1"/>
  <c r="V184" i="1"/>
  <c r="AA183" i="1"/>
  <c r="Z183" i="1"/>
  <c r="Y183" i="1"/>
  <c r="X183" i="1"/>
  <c r="W183" i="1"/>
  <c r="AA182" i="1"/>
  <c r="Z182" i="1"/>
  <c r="Y182" i="1"/>
  <c r="X182" i="1"/>
  <c r="W182" i="1"/>
  <c r="AA181" i="1"/>
  <c r="Z181" i="1"/>
  <c r="Y181" i="1"/>
  <c r="X181" i="1"/>
  <c r="W181" i="1"/>
  <c r="V181" i="1"/>
  <c r="AA180" i="1"/>
  <c r="Z180" i="1"/>
  <c r="Y180" i="1"/>
  <c r="X180" i="1"/>
  <c r="W180" i="1"/>
  <c r="V180" i="1"/>
  <c r="W179" i="1"/>
  <c r="Z177" i="1"/>
  <c r="X177" i="1"/>
  <c r="W177" i="1"/>
  <c r="W175" i="1"/>
  <c r="Z44" i="1"/>
  <c r="Y44" i="1"/>
  <c r="W44" i="1"/>
  <c r="Z43" i="1"/>
  <c r="Y43" i="1"/>
  <c r="W43" i="1"/>
  <c r="V43" i="1"/>
  <c r="AA42" i="1"/>
  <c r="X42" i="1"/>
  <c r="W42" i="1"/>
  <c r="AA41" i="1"/>
  <c r="X41" i="1"/>
  <c r="W41" i="1"/>
  <c r="AA40" i="1"/>
  <c r="X40" i="1"/>
  <c r="W40" i="1"/>
  <c r="AA39" i="1"/>
  <c r="X39" i="1"/>
  <c r="W39" i="1"/>
  <c r="W38" i="1"/>
  <c r="W37" i="1"/>
  <c r="AA36" i="1"/>
  <c r="Z36" i="1"/>
  <c r="Y36" i="1"/>
  <c r="X36" i="1"/>
  <c r="W36" i="1"/>
  <c r="V36" i="1"/>
  <c r="AA35" i="1"/>
  <c r="Z35" i="1"/>
  <c r="Y35" i="1"/>
  <c r="X35" i="1"/>
  <c r="W35" i="1"/>
  <c r="V35" i="1"/>
  <c r="AA34" i="1"/>
  <c r="Z34" i="1"/>
  <c r="Y34" i="1"/>
  <c r="X34" i="1"/>
  <c r="W34" i="1"/>
  <c r="V34" i="1"/>
  <c r="W33" i="1"/>
  <c r="V33" i="1"/>
  <c r="AA32" i="1"/>
  <c r="Z32" i="1"/>
  <c r="Y32" i="1"/>
  <c r="X32" i="1"/>
  <c r="W32" i="1"/>
  <c r="V32" i="1"/>
  <c r="AA31" i="1"/>
  <c r="Z31" i="1"/>
  <c r="Y31" i="1"/>
  <c r="X31" i="1"/>
  <c r="W31" i="1"/>
  <c r="V31" i="1"/>
  <c r="AA30" i="1"/>
  <c r="Z30" i="1"/>
  <c r="Y30" i="1"/>
  <c r="X30" i="1"/>
  <c r="W30" i="1"/>
  <c r="V30" i="1"/>
  <c r="AA29" i="1"/>
  <c r="Z29" i="1"/>
  <c r="Y29" i="1"/>
  <c r="X29" i="1"/>
  <c r="W29" i="1"/>
  <c r="V29" i="1"/>
  <c r="AA28" i="1"/>
  <c r="Z28" i="1"/>
  <c r="Y28" i="1"/>
  <c r="X28" i="1"/>
  <c r="W28" i="1"/>
  <c r="V28" i="1"/>
  <c r="AA27" i="1"/>
  <c r="Z27" i="1"/>
  <c r="Y27" i="1"/>
  <c r="X27" i="1"/>
  <c r="W27" i="1"/>
  <c r="V27" i="1"/>
  <c r="Z26" i="1"/>
  <c r="Y26" i="1"/>
  <c r="W26" i="1"/>
  <c r="Z25" i="1"/>
  <c r="Y25" i="1"/>
  <c r="X25" i="1"/>
  <c r="W25" i="1"/>
  <c r="AA24" i="1"/>
  <c r="Z24" i="1"/>
  <c r="Y24" i="1"/>
  <c r="X24" i="1"/>
  <c r="W24" i="1"/>
  <c r="V24" i="1"/>
  <c r="AA23" i="1"/>
  <c r="Z23" i="1"/>
  <c r="Y23" i="1"/>
  <c r="X23" i="1"/>
  <c r="W23" i="1"/>
  <c r="V23" i="1"/>
  <c r="AA22" i="1"/>
  <c r="Z22" i="1"/>
  <c r="Y22" i="1"/>
  <c r="X22" i="1"/>
  <c r="W22" i="1"/>
  <c r="V22" i="1"/>
  <c r="AA21" i="1"/>
  <c r="Z21" i="1"/>
  <c r="Y21" i="1"/>
  <c r="X21" i="1"/>
  <c r="W21" i="1"/>
  <c r="V21" i="1"/>
  <c r="AA20" i="1"/>
  <c r="Z20" i="1"/>
  <c r="Y20" i="1"/>
  <c r="X20" i="1"/>
  <c r="W20" i="1"/>
  <c r="V20" i="1"/>
  <c r="AA19" i="1"/>
  <c r="Z19" i="1"/>
  <c r="Y19" i="1"/>
  <c r="X19" i="1"/>
  <c r="W19" i="1"/>
  <c r="V19" i="1"/>
  <c r="AA18" i="1"/>
  <c r="Z18" i="1"/>
  <c r="Y18" i="1"/>
  <c r="X18" i="1"/>
  <c r="W18" i="1"/>
  <c r="V18" i="1"/>
  <c r="AA17" i="1"/>
  <c r="Z17" i="1"/>
  <c r="Y17" i="1"/>
  <c r="W17" i="1"/>
  <c r="AA16" i="1"/>
  <c r="Z16" i="1"/>
  <c r="Y16" i="1"/>
  <c r="X16" i="1"/>
  <c r="W16" i="1"/>
  <c r="V16" i="1"/>
  <c r="AA15" i="1"/>
  <c r="Z15" i="1"/>
  <c r="Y15" i="1"/>
  <c r="X15" i="1"/>
  <c r="W15" i="1"/>
  <c r="V15" i="1"/>
  <c r="AA12" i="1"/>
  <c r="Z12" i="1"/>
  <c r="Y12" i="1"/>
  <c r="X12" i="1"/>
  <c r="W12" i="1"/>
  <c r="V12" i="1"/>
  <c r="I11" i="1" s="1"/>
  <c r="AA11" i="1"/>
  <c r="Z11" i="1"/>
  <c r="Y11" i="1"/>
  <c r="X11" i="1"/>
  <c r="W11" i="1"/>
  <c r="V11" i="1"/>
  <c r="H11" i="1" s="1"/>
  <c r="AA10" i="1"/>
  <c r="Z10" i="1"/>
  <c r="Y10" i="1"/>
  <c r="X10" i="1"/>
  <c r="W10" i="1"/>
  <c r="V10" i="1"/>
  <c r="AA9" i="1"/>
  <c r="Z9" i="1"/>
  <c r="Y9" i="1"/>
  <c r="X9" i="1"/>
  <c r="W9" i="1"/>
  <c r="V9" i="1"/>
  <c r="Y8" i="1"/>
  <c r="W8" i="1"/>
  <c r="V8" i="1"/>
  <c r="AA7" i="1"/>
  <c r="Z7" i="1"/>
  <c r="X7" i="1"/>
  <c r="W7" i="1"/>
  <c r="V7" i="1"/>
  <c r="H9" i="1" l="1"/>
  <c r="H167" i="1" s="1"/>
  <c r="I9" i="1"/>
  <c r="I167" i="1" s="1"/>
  <c r="P47" i="10"/>
  <c r="P44" i="10"/>
  <c r="P45" i="10"/>
  <c r="P46" i="10"/>
  <c r="I186" i="1" l="1"/>
  <c r="I208" i="1"/>
  <c r="V208" i="1" l="1"/>
  <c r="AA209" i="1"/>
  <c r="Z209" i="1"/>
  <c r="Y209" i="1"/>
  <c r="X209" i="1"/>
  <c r="W209" i="1"/>
  <c r="V209" i="1"/>
  <c r="AA208" i="1"/>
  <c r="Z208" i="1"/>
  <c r="Y208" i="1"/>
  <c r="X208" i="1"/>
  <c r="W208" i="1"/>
  <c r="CT207" i="1"/>
  <c r="CS207" i="1"/>
  <c r="CR207" i="1"/>
  <c r="CQ207" i="1"/>
  <c r="CP207" i="1"/>
  <c r="CO207" i="1"/>
  <c r="CN207" i="1"/>
  <c r="CM207" i="1"/>
  <c r="CL207" i="1"/>
  <c r="CK207" i="1"/>
  <c r="CJ207" i="1"/>
  <c r="CI207" i="1"/>
  <c r="CH207" i="1"/>
  <c r="CG207" i="1"/>
  <c r="CF207" i="1"/>
  <c r="CE207" i="1"/>
  <c r="CD207" i="1"/>
  <c r="CC207" i="1"/>
  <c r="CB207" i="1"/>
  <c r="CA207" i="1"/>
  <c r="BZ207" i="1"/>
  <c r="BY207" i="1"/>
  <c r="BX207" i="1"/>
  <c r="BW207" i="1"/>
  <c r="BV207" i="1"/>
  <c r="BU207" i="1"/>
  <c r="BT207" i="1"/>
  <c r="BS207" i="1"/>
  <c r="BR207" i="1"/>
  <c r="BQ207" i="1"/>
  <c r="BP207" i="1"/>
  <c r="BO207" i="1"/>
  <c r="BN207" i="1"/>
  <c r="BM207" i="1"/>
  <c r="BL207" i="1"/>
  <c r="BK207" i="1"/>
  <c r="BJ207" i="1"/>
  <c r="BI207" i="1"/>
  <c r="BH207" i="1"/>
  <c r="BG207" i="1"/>
  <c r="CT206" i="1"/>
  <c r="CS206" i="1"/>
  <c r="CR206" i="1"/>
  <c r="CQ206" i="1"/>
  <c r="CP206" i="1"/>
  <c r="CO206" i="1"/>
  <c r="CN206" i="1"/>
  <c r="CM206" i="1"/>
  <c r="CL206" i="1"/>
  <c r="CK206" i="1"/>
  <c r="CJ206" i="1"/>
  <c r="CI206" i="1"/>
  <c r="CH206" i="1"/>
  <c r="CG206" i="1"/>
  <c r="CF206" i="1"/>
  <c r="CE206" i="1"/>
  <c r="CD206" i="1"/>
  <c r="CC206" i="1"/>
  <c r="CB206" i="1"/>
  <c r="CA206" i="1"/>
  <c r="BZ206" i="1"/>
  <c r="BY206" i="1"/>
  <c r="BX206" i="1"/>
  <c r="BW206" i="1"/>
  <c r="BV206" i="1"/>
  <c r="BU206" i="1"/>
  <c r="BT206" i="1"/>
  <c r="BS206" i="1"/>
  <c r="BR206" i="1"/>
  <c r="BQ206" i="1"/>
  <c r="BP206" i="1"/>
  <c r="BO206" i="1"/>
  <c r="BN206" i="1"/>
  <c r="BM206" i="1"/>
  <c r="BL206" i="1"/>
  <c r="BK206" i="1"/>
  <c r="BJ206" i="1"/>
  <c r="BI206" i="1"/>
  <c r="BH206" i="1"/>
  <c r="BG206" i="1"/>
  <c r="CT205" i="1"/>
  <c r="CS205" i="1"/>
  <c r="CR205" i="1"/>
  <c r="CQ205" i="1"/>
  <c r="CP205" i="1"/>
  <c r="CO205" i="1"/>
  <c r="CN205" i="1"/>
  <c r="CM205" i="1"/>
  <c r="CL205" i="1"/>
  <c r="CK205" i="1"/>
  <c r="CJ205" i="1"/>
  <c r="CI205" i="1"/>
  <c r="CH205" i="1"/>
  <c r="CG205" i="1"/>
  <c r="CF205" i="1"/>
  <c r="CE205" i="1"/>
  <c r="CD205" i="1"/>
  <c r="CC205" i="1"/>
  <c r="CB205" i="1"/>
  <c r="CA205" i="1"/>
  <c r="BZ205" i="1"/>
  <c r="BY205" i="1"/>
  <c r="BX205" i="1"/>
  <c r="BW205" i="1"/>
  <c r="BV205" i="1"/>
  <c r="BU205" i="1"/>
  <c r="BT205" i="1"/>
  <c r="BS205" i="1"/>
  <c r="BR205" i="1"/>
  <c r="BQ205" i="1"/>
  <c r="BP205" i="1"/>
  <c r="BO205" i="1"/>
  <c r="BN205" i="1"/>
  <c r="BM205" i="1"/>
  <c r="BL205" i="1"/>
  <c r="BK205" i="1"/>
  <c r="BJ205" i="1"/>
  <c r="BI205" i="1"/>
  <c r="BH205" i="1"/>
  <c r="BG205" i="1"/>
  <c r="CT204" i="1"/>
  <c r="CS204" i="1"/>
  <c r="CR204" i="1"/>
  <c r="CQ204" i="1"/>
  <c r="CP204" i="1"/>
  <c r="CO204" i="1"/>
  <c r="CN204" i="1"/>
  <c r="CM204" i="1"/>
  <c r="CL204" i="1"/>
  <c r="CK204" i="1"/>
  <c r="CJ204" i="1"/>
  <c r="CI204" i="1"/>
  <c r="CH204" i="1"/>
  <c r="CG204" i="1"/>
  <c r="CF204" i="1"/>
  <c r="CE204" i="1"/>
  <c r="CD204" i="1"/>
  <c r="CC204" i="1"/>
  <c r="CB204" i="1"/>
  <c r="CA204" i="1"/>
  <c r="BZ204" i="1"/>
  <c r="BY204" i="1"/>
  <c r="BX204" i="1"/>
  <c r="BW204" i="1"/>
  <c r="BV204" i="1"/>
  <c r="BU204" i="1"/>
  <c r="BT204" i="1"/>
  <c r="BS204" i="1"/>
  <c r="BR204" i="1"/>
  <c r="BQ204" i="1"/>
  <c r="BP204" i="1"/>
  <c r="BO204" i="1"/>
  <c r="BN204" i="1"/>
  <c r="BM204" i="1"/>
  <c r="BL204" i="1"/>
  <c r="BK204" i="1"/>
  <c r="BJ204" i="1"/>
  <c r="BI204" i="1"/>
  <c r="BH204" i="1"/>
  <c r="BG204" i="1"/>
  <c r="CT203" i="1"/>
  <c r="CS203" i="1"/>
  <c r="CR203" i="1"/>
  <c r="CQ203" i="1"/>
  <c r="CP203" i="1"/>
  <c r="CO203" i="1"/>
  <c r="CN203" i="1"/>
  <c r="CM203" i="1"/>
  <c r="CL203" i="1"/>
  <c r="CK203" i="1"/>
  <c r="CJ203" i="1"/>
  <c r="CI203" i="1"/>
  <c r="CH203" i="1"/>
  <c r="CG203" i="1"/>
  <c r="CF203" i="1"/>
  <c r="CE203" i="1"/>
  <c r="CD203" i="1"/>
  <c r="CC203" i="1"/>
  <c r="CB203" i="1"/>
  <c r="CA203" i="1"/>
  <c r="BZ203" i="1"/>
  <c r="BY203" i="1"/>
  <c r="BX203" i="1"/>
  <c r="BW203" i="1"/>
  <c r="BV203" i="1"/>
  <c r="BU203" i="1"/>
  <c r="BT203" i="1"/>
  <c r="BS203" i="1"/>
  <c r="BR203" i="1"/>
  <c r="BQ203" i="1"/>
  <c r="BP203" i="1"/>
  <c r="BO203" i="1"/>
  <c r="BN203" i="1"/>
  <c r="BM203" i="1"/>
  <c r="BL203" i="1"/>
  <c r="BK203" i="1"/>
  <c r="BJ203" i="1"/>
  <c r="BI203" i="1"/>
  <c r="BH203" i="1"/>
  <c r="BG203" i="1"/>
  <c r="CT202" i="1"/>
  <c r="CS202" i="1"/>
  <c r="CR202" i="1"/>
  <c r="CQ202" i="1"/>
  <c r="CP202" i="1"/>
  <c r="CO202" i="1"/>
  <c r="CN202" i="1"/>
  <c r="CM202" i="1"/>
  <c r="CL202" i="1"/>
  <c r="CK202" i="1"/>
  <c r="CJ202" i="1"/>
  <c r="CI202" i="1"/>
  <c r="CH202" i="1"/>
  <c r="CG202" i="1"/>
  <c r="CF202" i="1"/>
  <c r="CE202" i="1"/>
  <c r="CD202" i="1"/>
  <c r="CC202" i="1"/>
  <c r="CB202" i="1"/>
  <c r="CA202" i="1"/>
  <c r="BZ202" i="1"/>
  <c r="BY202" i="1"/>
  <c r="BX202" i="1"/>
  <c r="BW202" i="1"/>
  <c r="BV202" i="1"/>
  <c r="BU202" i="1"/>
  <c r="BT202" i="1"/>
  <c r="BS202" i="1"/>
  <c r="BR202" i="1"/>
  <c r="BQ202" i="1"/>
  <c r="BP202" i="1"/>
  <c r="BO202" i="1"/>
  <c r="BN202" i="1"/>
  <c r="BM202" i="1"/>
  <c r="BL202" i="1"/>
  <c r="BK202" i="1"/>
  <c r="BJ202" i="1"/>
  <c r="BI202" i="1"/>
  <c r="BH202" i="1"/>
  <c r="BG202" i="1"/>
  <c r="CT201" i="1"/>
  <c r="CS201" i="1"/>
  <c r="CR201" i="1"/>
  <c r="CQ201" i="1"/>
  <c r="CP201" i="1"/>
  <c r="CO201" i="1"/>
  <c r="CN201" i="1"/>
  <c r="CM201" i="1"/>
  <c r="CL201" i="1"/>
  <c r="CK201" i="1"/>
  <c r="CJ201" i="1"/>
  <c r="CI201" i="1"/>
  <c r="CH201" i="1"/>
  <c r="CG201" i="1"/>
  <c r="CF201" i="1"/>
  <c r="CE201" i="1"/>
  <c r="CD201" i="1"/>
  <c r="CC201" i="1"/>
  <c r="CB201" i="1"/>
  <c r="CA201" i="1"/>
  <c r="BZ201" i="1"/>
  <c r="BY201" i="1"/>
  <c r="BX201" i="1"/>
  <c r="BW201" i="1"/>
  <c r="BV201" i="1"/>
  <c r="BU201" i="1"/>
  <c r="BT201" i="1"/>
  <c r="BS201" i="1"/>
  <c r="BR201" i="1"/>
  <c r="BQ201" i="1"/>
  <c r="BP201" i="1"/>
  <c r="BO201" i="1"/>
  <c r="BN201" i="1"/>
  <c r="BM201" i="1"/>
  <c r="BL201" i="1"/>
  <c r="BK201" i="1"/>
  <c r="BJ201" i="1"/>
  <c r="BI201" i="1"/>
  <c r="BH201" i="1"/>
  <c r="BG201" i="1"/>
  <c r="CT200" i="1"/>
  <c r="CS200" i="1"/>
  <c r="CR200" i="1"/>
  <c r="CQ200" i="1"/>
  <c r="CP200" i="1"/>
  <c r="CO200" i="1"/>
  <c r="CN200" i="1"/>
  <c r="CM200" i="1"/>
  <c r="CL200" i="1"/>
  <c r="CK200" i="1"/>
  <c r="CJ200" i="1"/>
  <c r="CI200" i="1"/>
  <c r="CH200" i="1"/>
  <c r="CG200" i="1"/>
  <c r="CF200" i="1"/>
  <c r="CE200" i="1"/>
  <c r="CD200" i="1"/>
  <c r="CC200" i="1"/>
  <c r="CB200" i="1"/>
  <c r="CA200" i="1"/>
  <c r="BZ200" i="1"/>
  <c r="BY200" i="1"/>
  <c r="BX200" i="1"/>
  <c r="BW200" i="1"/>
  <c r="BV200" i="1"/>
  <c r="BU200" i="1"/>
  <c r="BT200" i="1"/>
  <c r="BS200" i="1"/>
  <c r="BR200" i="1"/>
  <c r="BQ200" i="1"/>
  <c r="BP200" i="1"/>
  <c r="BO200" i="1"/>
  <c r="BN200" i="1"/>
  <c r="BM200" i="1"/>
  <c r="BL200" i="1"/>
  <c r="BK200" i="1"/>
  <c r="BJ200" i="1"/>
  <c r="BI200" i="1"/>
  <c r="BH200" i="1"/>
  <c r="BG200" i="1"/>
  <c r="CT199" i="1"/>
  <c r="CS199" i="1"/>
  <c r="CR199" i="1"/>
  <c r="CQ199" i="1"/>
  <c r="CP199" i="1"/>
  <c r="CO199" i="1"/>
  <c r="CN199" i="1"/>
  <c r="CM199" i="1"/>
  <c r="CL199" i="1"/>
  <c r="CK199" i="1"/>
  <c r="CJ199" i="1"/>
  <c r="CI199" i="1"/>
  <c r="CH199" i="1"/>
  <c r="CG199" i="1"/>
  <c r="CF199" i="1"/>
  <c r="CE199" i="1"/>
  <c r="CD199" i="1"/>
  <c r="CC199" i="1"/>
  <c r="CB199" i="1"/>
  <c r="CA199" i="1"/>
  <c r="BZ199" i="1"/>
  <c r="BY199" i="1"/>
  <c r="BX199" i="1"/>
  <c r="BW199" i="1"/>
  <c r="BV199" i="1"/>
  <c r="BU199" i="1"/>
  <c r="BT199" i="1"/>
  <c r="BS199" i="1"/>
  <c r="BR199" i="1"/>
  <c r="BQ199" i="1"/>
  <c r="BP199" i="1"/>
  <c r="BO199" i="1"/>
  <c r="BN199" i="1"/>
  <c r="BM199" i="1"/>
  <c r="BL199" i="1"/>
  <c r="BK199" i="1"/>
  <c r="BJ199" i="1"/>
  <c r="BI199" i="1"/>
  <c r="BH199" i="1"/>
  <c r="BG199" i="1"/>
  <c r="CT198" i="1"/>
  <c r="CS198" i="1"/>
  <c r="CR198" i="1"/>
  <c r="CQ198" i="1"/>
  <c r="CP198" i="1"/>
  <c r="CO198" i="1"/>
  <c r="CN198" i="1"/>
  <c r="CM198" i="1"/>
  <c r="CL198" i="1"/>
  <c r="CK198" i="1"/>
  <c r="CJ198" i="1"/>
  <c r="CI198" i="1"/>
  <c r="CH198" i="1"/>
  <c r="CG198" i="1"/>
  <c r="CF198" i="1"/>
  <c r="CE198" i="1"/>
  <c r="CD198" i="1"/>
  <c r="CC198" i="1"/>
  <c r="CB198" i="1"/>
  <c r="CA198" i="1"/>
  <c r="BZ198" i="1"/>
  <c r="BY198" i="1"/>
  <c r="BX198" i="1"/>
  <c r="BW198" i="1"/>
  <c r="BV198" i="1"/>
  <c r="BU198" i="1"/>
  <c r="BT198" i="1"/>
  <c r="BS198" i="1"/>
  <c r="BR198" i="1"/>
  <c r="BQ198" i="1"/>
  <c r="BP198" i="1"/>
  <c r="BO198" i="1"/>
  <c r="BN198" i="1"/>
  <c r="BM198" i="1"/>
  <c r="BL198" i="1"/>
  <c r="BK198" i="1"/>
  <c r="BJ198" i="1"/>
  <c r="BI198" i="1"/>
  <c r="BH198" i="1"/>
  <c r="BG198" i="1"/>
  <c r="P206" i="1"/>
  <c r="U198" i="1"/>
  <c r="S198" i="1"/>
  <c r="R198" i="1"/>
  <c r="Q198" i="1"/>
  <c r="O198" i="1"/>
  <c r="O182" i="1"/>
  <c r="P178" i="1"/>
  <c r="P176" i="1"/>
  <c r="P174" i="1"/>
  <c r="O33" i="1"/>
  <c r="S33" i="1"/>
  <c r="T33" i="1"/>
  <c r="S31" i="1"/>
  <c r="T31" i="1"/>
  <c r="R31" i="1"/>
  <c r="O31" i="1"/>
  <c r="T27" i="1"/>
  <c r="S27" i="1"/>
  <c r="O27" i="1"/>
  <c r="U25" i="1"/>
  <c r="Q25" i="1"/>
  <c r="O25" i="1"/>
  <c r="O29" i="1"/>
  <c r="S23" i="1"/>
  <c r="Q23" i="1"/>
  <c r="U23" i="1"/>
  <c r="T21" i="1"/>
  <c r="O19" i="1"/>
  <c r="Q17" i="1"/>
  <c r="O17" i="1"/>
  <c r="T15" i="1"/>
  <c r="S13" i="1"/>
  <c r="R13" i="1"/>
  <c r="O11" i="1"/>
  <c r="U11" i="1"/>
  <c r="Q11" i="1"/>
  <c r="Q9" i="1"/>
  <c r="O9" i="1"/>
  <c r="S7" i="1"/>
  <c r="R7" i="1"/>
  <c r="T7" i="1"/>
  <c r="Q7" i="1"/>
  <c r="U8" i="1" l="1"/>
  <c r="P207" i="1"/>
  <c r="U199" i="1"/>
  <c r="Q199" i="1"/>
  <c r="O183" i="1"/>
  <c r="U177" i="1"/>
  <c r="T177" i="1"/>
  <c r="S177" i="1"/>
  <c r="R177" i="1"/>
  <c r="Q177" i="1"/>
  <c r="O177" i="1"/>
  <c r="U179" i="1"/>
  <c r="T179" i="1"/>
  <c r="S179" i="1"/>
  <c r="R179" i="1"/>
  <c r="Q179" i="1"/>
  <c r="O179" i="1"/>
  <c r="U175" i="1"/>
  <c r="T175" i="1"/>
  <c r="S175" i="1"/>
  <c r="R175" i="1"/>
  <c r="Q175" i="1"/>
  <c r="O175" i="1"/>
  <c r="U12" i="1"/>
  <c r="Q12" i="1"/>
  <c r="T34" i="1"/>
  <c r="S34" i="1"/>
  <c r="O34" i="1"/>
  <c r="Q18" i="1"/>
  <c r="O18" i="1"/>
  <c r="T32" i="1"/>
  <c r="S32" i="1"/>
  <c r="R32" i="1"/>
  <c r="O32" i="1"/>
  <c r="S16" i="1"/>
  <c r="O16" i="1"/>
  <c r="U26" i="1"/>
  <c r="Q26" i="1"/>
  <c r="O26" i="1"/>
  <c r="T8" i="1"/>
  <c r="S8" i="1"/>
  <c r="R8" i="1"/>
  <c r="O35" i="1"/>
  <c r="O36" i="1"/>
  <c r="U36" i="1"/>
  <c r="T36" i="1"/>
  <c r="S36" i="1"/>
  <c r="R36" i="1"/>
  <c r="Q36" i="1"/>
  <c r="P36" i="1"/>
  <c r="U35" i="1"/>
  <c r="T35" i="1"/>
  <c r="S35" i="1"/>
  <c r="R35" i="1"/>
  <c r="Q35" i="1"/>
  <c r="P35" i="1"/>
  <c r="U34" i="1"/>
  <c r="R34" i="1"/>
  <c r="Q34" i="1"/>
  <c r="P34" i="1"/>
  <c r="U33" i="1"/>
  <c r="R33" i="1"/>
  <c r="Q33" i="1"/>
  <c r="P33" i="1"/>
  <c r="U32" i="1"/>
  <c r="Q32" i="1"/>
  <c r="P32" i="1"/>
  <c r="U31" i="1"/>
  <c r="Q31" i="1"/>
  <c r="P31" i="1"/>
  <c r="U24" i="1"/>
  <c r="Q24" i="1"/>
  <c r="O24" i="1"/>
  <c r="T22" i="1"/>
  <c r="S22" i="1"/>
  <c r="O22" i="1"/>
  <c r="U20" i="1"/>
  <c r="R20" i="1"/>
  <c r="T16" i="1"/>
  <c r="S14" i="1"/>
  <c r="R14" i="1"/>
  <c r="O14" i="1"/>
  <c r="O199" i="1"/>
  <c r="T25" i="1"/>
  <c r="S21" i="1"/>
  <c r="R19" i="1"/>
  <c r="T19" i="1"/>
  <c r="S29" i="1"/>
  <c r="T30" i="1"/>
  <c r="O30" i="1"/>
  <c r="S24" i="1"/>
  <c r="O20" i="1"/>
  <c r="T28" i="1"/>
  <c r="T29" i="1"/>
  <c r="R27" i="1"/>
  <c r="R15" i="1"/>
  <c r="U14" i="1"/>
  <c r="T26" i="1"/>
  <c r="T20" i="1"/>
  <c r="T12" i="1"/>
  <c r="S30" i="1"/>
  <c r="S199" i="1"/>
  <c r="S28" i="1"/>
  <c r="R199" i="1"/>
  <c r="R28" i="1"/>
  <c r="R24" i="1"/>
  <c r="R16" i="1"/>
  <c r="P177" i="1"/>
  <c r="S15" i="1"/>
  <c r="U19" i="1"/>
  <c r="O23" i="1"/>
  <c r="O12" i="1"/>
  <c r="Q10" i="1"/>
  <c r="O10" i="1"/>
  <c r="O28" i="1"/>
  <c r="U30" i="1"/>
  <c r="R30" i="1"/>
  <c r="Q30" i="1"/>
  <c r="P30" i="1"/>
  <c r="U29" i="1"/>
  <c r="R29" i="1"/>
  <c r="Q29" i="1"/>
  <c r="P29" i="1"/>
  <c r="U28" i="1"/>
  <c r="Q28" i="1"/>
  <c r="P28" i="1"/>
  <c r="U27" i="1"/>
  <c r="Q27" i="1"/>
  <c r="P27" i="1"/>
  <c r="S26" i="1"/>
  <c r="R26" i="1"/>
  <c r="P26" i="1"/>
  <c r="S25" i="1"/>
  <c r="R25" i="1"/>
  <c r="P25" i="1"/>
  <c r="T24" i="1"/>
  <c r="P24" i="1"/>
  <c r="T23" i="1"/>
  <c r="R23" i="1"/>
  <c r="P23" i="1"/>
  <c r="Q8" i="1"/>
  <c r="O21" i="1"/>
  <c r="O15" i="1"/>
  <c r="O13" i="1"/>
  <c r="O7" i="1"/>
  <c r="U22" i="1"/>
  <c r="R22" i="1"/>
  <c r="Q22" i="1"/>
  <c r="P22" i="1"/>
  <c r="U21" i="1"/>
  <c r="R21" i="1"/>
  <c r="Q21" i="1"/>
  <c r="P21" i="1"/>
  <c r="S20" i="1"/>
  <c r="Q20" i="1"/>
  <c r="P20" i="1"/>
  <c r="S19" i="1"/>
  <c r="Q19" i="1"/>
  <c r="P19" i="1"/>
  <c r="U18" i="1"/>
  <c r="T18" i="1"/>
  <c r="S18" i="1"/>
  <c r="R18" i="1"/>
  <c r="P18" i="1"/>
  <c r="U17" i="1"/>
  <c r="T17" i="1"/>
  <c r="S17" i="1"/>
  <c r="R17" i="1"/>
  <c r="P17" i="1"/>
  <c r="U16" i="1"/>
  <c r="Q16" i="1"/>
  <c r="P16" i="1"/>
  <c r="U15" i="1"/>
  <c r="Q15" i="1"/>
  <c r="P15" i="1"/>
  <c r="T14" i="1"/>
  <c r="Q14" i="1"/>
  <c r="P14" i="1"/>
  <c r="U13" i="1"/>
  <c r="T13" i="1"/>
  <c r="Q13" i="1"/>
  <c r="P13" i="1"/>
  <c r="S12" i="1"/>
  <c r="R12" i="1"/>
  <c r="P12" i="1"/>
  <c r="T11" i="1"/>
  <c r="S11" i="1"/>
  <c r="R11" i="1"/>
  <c r="P11" i="1"/>
  <c r="U176" i="1"/>
  <c r="T176" i="1"/>
  <c r="S176" i="1"/>
  <c r="R176" i="1"/>
  <c r="Q176" i="1"/>
  <c r="O176" i="1"/>
  <c r="U178" i="1"/>
  <c r="T178" i="1"/>
  <c r="S178" i="1"/>
  <c r="R178" i="1"/>
  <c r="Q178" i="1"/>
  <c r="O178" i="1"/>
  <c r="U174" i="1"/>
  <c r="T174" i="1"/>
  <c r="S174" i="1"/>
  <c r="R174" i="1"/>
  <c r="Q174" i="1"/>
  <c r="O174" i="1"/>
  <c r="P179" i="1"/>
  <c r="P175" i="1"/>
  <c r="U207" i="1"/>
  <c r="T207" i="1"/>
  <c r="S207" i="1"/>
  <c r="R207" i="1"/>
  <c r="Q207" i="1"/>
  <c r="O207" i="1"/>
  <c r="U206" i="1"/>
  <c r="T206" i="1"/>
  <c r="S206" i="1"/>
  <c r="R206" i="1"/>
  <c r="Q206" i="1"/>
  <c r="O206" i="1"/>
  <c r="U205" i="1"/>
  <c r="T205" i="1"/>
  <c r="S205" i="1"/>
  <c r="R205" i="1"/>
  <c r="Q205" i="1"/>
  <c r="P205" i="1"/>
  <c r="O205" i="1"/>
  <c r="U204" i="1"/>
  <c r="T204" i="1"/>
  <c r="S204" i="1"/>
  <c r="R204" i="1"/>
  <c r="Q204" i="1"/>
  <c r="P204" i="1"/>
  <c r="O204" i="1"/>
  <c r="U203" i="1"/>
  <c r="T203" i="1"/>
  <c r="S203" i="1"/>
  <c r="R203" i="1"/>
  <c r="Q203" i="1"/>
  <c r="P203" i="1"/>
  <c r="O203" i="1"/>
  <c r="U202" i="1"/>
  <c r="T202" i="1"/>
  <c r="S202" i="1"/>
  <c r="R202" i="1"/>
  <c r="Q202" i="1"/>
  <c r="P202" i="1"/>
  <c r="O202" i="1"/>
  <c r="U201" i="1"/>
  <c r="T201" i="1"/>
  <c r="S201" i="1"/>
  <c r="R201" i="1"/>
  <c r="Q201" i="1"/>
  <c r="P201" i="1"/>
  <c r="O201" i="1"/>
  <c r="U200" i="1"/>
  <c r="T200" i="1"/>
  <c r="S200" i="1"/>
  <c r="R200" i="1"/>
  <c r="Q200" i="1"/>
  <c r="P200" i="1"/>
  <c r="O200" i="1"/>
  <c r="T199" i="1"/>
  <c r="P199" i="1"/>
  <c r="T198" i="1"/>
  <c r="P198" i="1"/>
  <c r="U185" i="1"/>
  <c r="T185" i="1"/>
  <c r="S185" i="1"/>
  <c r="R185" i="1"/>
  <c r="Q185" i="1"/>
  <c r="P185" i="1"/>
  <c r="O185" i="1"/>
  <c r="U184" i="1"/>
  <c r="T184" i="1"/>
  <c r="S184" i="1"/>
  <c r="R184" i="1"/>
  <c r="Q184" i="1"/>
  <c r="P184" i="1"/>
  <c r="O184" i="1"/>
  <c r="U183" i="1"/>
  <c r="T183" i="1"/>
  <c r="S183" i="1"/>
  <c r="R183" i="1"/>
  <c r="Q183" i="1"/>
  <c r="P183" i="1"/>
  <c r="U182" i="1"/>
  <c r="T182" i="1"/>
  <c r="S182" i="1"/>
  <c r="R182" i="1"/>
  <c r="Q182" i="1"/>
  <c r="P182" i="1"/>
  <c r="U181" i="1"/>
  <c r="T181" i="1"/>
  <c r="S181" i="1"/>
  <c r="R181" i="1"/>
  <c r="Q181" i="1"/>
  <c r="P181" i="1"/>
  <c r="O181" i="1"/>
  <c r="U180" i="1"/>
  <c r="T180" i="1"/>
  <c r="S180" i="1"/>
  <c r="R180" i="1"/>
  <c r="Q180" i="1"/>
  <c r="P180" i="1"/>
  <c r="O180" i="1"/>
  <c r="U10" i="1" l="1"/>
  <c r="T10" i="1"/>
  <c r="S10" i="1"/>
  <c r="R10" i="1"/>
  <c r="P10" i="1"/>
  <c r="U9" i="1"/>
  <c r="T9" i="1"/>
  <c r="S9" i="1"/>
  <c r="R9" i="1"/>
  <c r="P9" i="1"/>
  <c r="U7" i="1"/>
  <c r="P8" i="1"/>
  <c r="P7" i="1"/>
  <c r="O8" i="1"/>
  <c r="AH18" i="8" l="1"/>
  <c r="AI18" i="8"/>
  <c r="AI15" i="8" s="1"/>
  <c r="AH19" i="8"/>
  <c r="AI19" i="8"/>
  <c r="AH20" i="8"/>
  <c r="AI20" i="8"/>
  <c r="AH21" i="8"/>
  <c r="AI21" i="8"/>
  <c r="AH22" i="8"/>
  <c r="AI22" i="8"/>
  <c r="AH23" i="8"/>
  <c r="AI23" i="8"/>
  <c r="AH24" i="8"/>
  <c r="AI24" i="8"/>
  <c r="B27" i="8"/>
  <c r="B37" i="8" s="1"/>
  <c r="B47" i="8" s="1"/>
  <c r="AH29" i="8"/>
  <c r="AI29" i="8"/>
  <c r="AI26" i="8" s="1"/>
  <c r="AH30" i="8"/>
  <c r="AI30" i="8"/>
  <c r="AH31" i="8"/>
  <c r="AI31" i="8"/>
  <c r="AH32" i="8"/>
  <c r="AI32" i="8"/>
  <c r="AH33" i="8"/>
  <c r="AI33" i="8"/>
  <c r="AH34" i="8"/>
  <c r="AI34" i="8"/>
  <c r="AH39" i="8"/>
  <c r="AI39" i="8"/>
  <c r="AI36" i="8" s="1"/>
  <c r="AH40" i="8"/>
  <c r="AI40" i="8"/>
  <c r="AH41" i="8"/>
  <c r="AI41" i="8"/>
  <c r="AH42" i="8"/>
  <c r="AI42" i="8"/>
  <c r="AH43" i="8"/>
  <c r="AI43" i="8"/>
  <c r="AH44" i="8"/>
  <c r="AI44" i="8"/>
  <c r="AH49" i="8"/>
  <c r="AI49" i="8"/>
  <c r="AI46" i="8" s="1"/>
  <c r="AH50" i="8"/>
  <c r="AI50" i="8"/>
  <c r="AH51" i="8"/>
  <c r="AI51" i="8"/>
  <c r="AH52" i="8"/>
  <c r="AI52" i="8"/>
  <c r="AH53" i="8"/>
  <c r="AI53" i="8"/>
  <c r="AH106" i="8" l="1"/>
  <c r="AH107" i="8"/>
  <c r="AH108" i="8"/>
  <c r="AH109" i="8"/>
  <c r="AH110" i="8"/>
  <c r="AH111" i="8"/>
  <c r="AH112" i="8"/>
  <c r="B56" i="8"/>
  <c r="AI54" i="8"/>
  <c r="AH54" i="8"/>
  <c r="CT166" i="1" l="1"/>
  <c r="CS166" i="1"/>
  <c r="CR166" i="1"/>
  <c r="CQ166" i="1"/>
  <c r="CP166" i="1"/>
  <c r="CO166" i="1"/>
  <c r="CN166" i="1"/>
  <c r="CM166" i="1"/>
  <c r="Z165" i="10" s="1"/>
  <c r="CL166" i="1"/>
  <c r="CK166" i="1"/>
  <c r="CJ166" i="1"/>
  <c r="CI166" i="1"/>
  <c r="CH166" i="1"/>
  <c r="CG166" i="1"/>
  <c r="CF166" i="1"/>
  <c r="CE166" i="1"/>
  <c r="Y165" i="10" s="1"/>
  <c r="CD166" i="1"/>
  <c r="CC166" i="1"/>
  <c r="CB166" i="1"/>
  <c r="CA166" i="1"/>
  <c r="BZ166" i="1"/>
  <c r="BY166" i="1"/>
  <c r="BX166" i="1"/>
  <c r="BW166" i="1"/>
  <c r="BV166" i="1"/>
  <c r="BU166" i="1"/>
  <c r="BT166" i="1"/>
  <c r="BS166" i="1"/>
  <c r="BR166" i="1"/>
  <c r="BQ166" i="1"/>
  <c r="BP166" i="1"/>
  <c r="BO166" i="1"/>
  <c r="W165" i="10" s="1"/>
  <c r="BN166" i="1"/>
  <c r="BM166" i="1"/>
  <c r="BL166" i="1"/>
  <c r="BK166" i="1"/>
  <c r="BJ166" i="1"/>
  <c r="BI166" i="1"/>
  <c r="BH166" i="1"/>
  <c r="BG166" i="1"/>
  <c r="V165" i="10" s="1"/>
  <c r="BF166" i="1"/>
  <c r="BE166" i="1"/>
  <c r="BD166" i="1"/>
  <c r="BC166" i="1"/>
  <c r="BB166" i="1"/>
  <c r="BA166" i="1"/>
  <c r="AZ166" i="1"/>
  <c r="AY166" i="1"/>
  <c r="AX166" i="1"/>
  <c r="AW166" i="1"/>
  <c r="AV166" i="1"/>
  <c r="AU166" i="1"/>
  <c r="AT166" i="1"/>
  <c r="AS166" i="1"/>
  <c r="AR166" i="1"/>
  <c r="AQ166" i="1"/>
  <c r="AP166" i="1"/>
  <c r="AO166" i="1"/>
  <c r="AN166" i="1"/>
  <c r="AM166" i="1"/>
  <c r="AL166" i="1"/>
  <c r="AK166" i="1"/>
  <c r="AJ166" i="1"/>
  <c r="AI166" i="1"/>
  <c r="AH166" i="1"/>
  <c r="AG166" i="1"/>
  <c r="AF166" i="1"/>
  <c r="AE166" i="1"/>
  <c r="AD166" i="1"/>
  <c r="AC166" i="1"/>
  <c r="AB166" i="1"/>
  <c r="AA166" i="1"/>
  <c r="Z166" i="1"/>
  <c r="Y166" i="1"/>
  <c r="X166" i="1"/>
  <c r="W166" i="1"/>
  <c r="V166" i="1"/>
  <c r="U166" i="1"/>
  <c r="T166" i="1"/>
  <c r="S166" i="1"/>
  <c r="R166" i="1"/>
  <c r="Q166" i="1"/>
  <c r="P166" i="1"/>
  <c r="O166" i="1"/>
  <c r="CT165" i="1"/>
  <c r="CS165" i="1"/>
  <c r="CR165" i="1"/>
  <c r="CQ165" i="1"/>
  <c r="CP165" i="1"/>
  <c r="CO165" i="1"/>
  <c r="CN165" i="1"/>
  <c r="CM165" i="1"/>
  <c r="CL165" i="1"/>
  <c r="CK165" i="1"/>
  <c r="CJ165" i="1"/>
  <c r="CI165" i="1"/>
  <c r="CH165" i="1"/>
  <c r="CG165" i="1"/>
  <c r="CF165" i="1"/>
  <c r="CE165" i="1"/>
  <c r="CD165" i="1"/>
  <c r="CC165" i="1"/>
  <c r="CB165" i="1"/>
  <c r="CA165" i="1"/>
  <c r="BZ165" i="1"/>
  <c r="BY165" i="1"/>
  <c r="BX165" i="1"/>
  <c r="BW165" i="1"/>
  <c r="BV165" i="1"/>
  <c r="BU165" i="1"/>
  <c r="BT165" i="1"/>
  <c r="BS165" i="1"/>
  <c r="BR165" i="1"/>
  <c r="BQ165" i="1"/>
  <c r="BP165" i="1"/>
  <c r="BO165" i="1"/>
  <c r="BN165" i="1"/>
  <c r="BM165" i="1"/>
  <c r="BL165" i="1"/>
  <c r="BK165" i="1"/>
  <c r="BJ165" i="1"/>
  <c r="BI165" i="1"/>
  <c r="BH165" i="1"/>
  <c r="BG165" i="1"/>
  <c r="BF165" i="1"/>
  <c r="BE165" i="1"/>
  <c r="BD165" i="1"/>
  <c r="BC165" i="1"/>
  <c r="BB165" i="1"/>
  <c r="BA165" i="1"/>
  <c r="AZ165" i="1"/>
  <c r="AY165" i="1"/>
  <c r="AX165" i="1"/>
  <c r="AW165" i="1"/>
  <c r="AV165" i="1"/>
  <c r="AU165" i="1"/>
  <c r="AT165" i="1"/>
  <c r="AS165" i="1"/>
  <c r="AR165" i="1"/>
  <c r="AQ165" i="1"/>
  <c r="AP165" i="1"/>
  <c r="AO165" i="1"/>
  <c r="AN165" i="1"/>
  <c r="AM165" i="1"/>
  <c r="AL165" i="1"/>
  <c r="AK165" i="1"/>
  <c r="AJ165" i="1"/>
  <c r="AI165" i="1"/>
  <c r="AH165" i="1"/>
  <c r="AG165" i="1"/>
  <c r="AF165" i="1"/>
  <c r="AE165" i="1"/>
  <c r="AD165" i="1"/>
  <c r="AC165" i="1"/>
  <c r="AB165" i="1"/>
  <c r="AA165" i="1"/>
  <c r="Z165" i="1"/>
  <c r="Y165" i="1"/>
  <c r="X165" i="1"/>
  <c r="W165" i="1"/>
  <c r="V165" i="1"/>
  <c r="U165" i="1"/>
  <c r="T165" i="1"/>
  <c r="S165" i="1"/>
  <c r="R165" i="1"/>
  <c r="Q165" i="1"/>
  <c r="P165" i="1"/>
  <c r="O165" i="1"/>
  <c r="CT164" i="1"/>
  <c r="CS164" i="1"/>
  <c r="CR164" i="1"/>
  <c r="CQ164" i="1"/>
  <c r="CP164" i="1"/>
  <c r="CO164" i="1"/>
  <c r="CN164" i="1"/>
  <c r="CM164" i="1"/>
  <c r="CL164" i="1"/>
  <c r="CK164" i="1"/>
  <c r="CJ164" i="1"/>
  <c r="CI164" i="1"/>
  <c r="CH164" i="1"/>
  <c r="CG164" i="1"/>
  <c r="CF164" i="1"/>
  <c r="CE164" i="1"/>
  <c r="CD164" i="1"/>
  <c r="CC164" i="1"/>
  <c r="CB164" i="1"/>
  <c r="CA164" i="1"/>
  <c r="BZ164" i="1"/>
  <c r="BY164" i="1"/>
  <c r="BX164" i="1"/>
  <c r="BW164" i="1"/>
  <c r="BV164" i="1"/>
  <c r="BU164" i="1"/>
  <c r="BT164" i="1"/>
  <c r="BS164" i="1"/>
  <c r="BR164" i="1"/>
  <c r="BQ164" i="1"/>
  <c r="BP164" i="1"/>
  <c r="BO164" i="1"/>
  <c r="BN164" i="1"/>
  <c r="BM164" i="1"/>
  <c r="BL164" i="1"/>
  <c r="BK164" i="1"/>
  <c r="BJ164" i="1"/>
  <c r="BI164" i="1"/>
  <c r="BH164" i="1"/>
  <c r="BG164" i="1"/>
  <c r="BF164" i="1"/>
  <c r="BE164" i="1"/>
  <c r="BD164" i="1"/>
  <c r="BC164" i="1"/>
  <c r="BB164" i="1"/>
  <c r="BA164"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Y164" i="1"/>
  <c r="X164" i="1"/>
  <c r="W164" i="1"/>
  <c r="V164" i="1"/>
  <c r="U164" i="1"/>
  <c r="T164" i="1"/>
  <c r="S164" i="1"/>
  <c r="R164" i="1"/>
  <c r="Q164" i="1"/>
  <c r="P164" i="1"/>
  <c r="O164" i="1"/>
  <c r="CT163" i="1"/>
  <c r="CS163" i="1"/>
  <c r="CR163" i="1"/>
  <c r="CQ163" i="1"/>
  <c r="CP163" i="1"/>
  <c r="CO163" i="1"/>
  <c r="CN163" i="1"/>
  <c r="CM163" i="1"/>
  <c r="CL163" i="1"/>
  <c r="CK163" i="1"/>
  <c r="CJ163" i="1"/>
  <c r="CI163" i="1"/>
  <c r="CH163" i="1"/>
  <c r="CG163" i="1"/>
  <c r="CF163" i="1"/>
  <c r="CE163" i="1"/>
  <c r="CD163" i="1"/>
  <c r="CC163" i="1"/>
  <c r="CB163" i="1"/>
  <c r="CA163" i="1"/>
  <c r="BZ163" i="1"/>
  <c r="BY163" i="1"/>
  <c r="BX163" i="1"/>
  <c r="BW163" i="1"/>
  <c r="BV163" i="1"/>
  <c r="BU163" i="1"/>
  <c r="BT163" i="1"/>
  <c r="BS163" i="1"/>
  <c r="BR163" i="1"/>
  <c r="BQ163" i="1"/>
  <c r="BP163" i="1"/>
  <c r="BO163" i="1"/>
  <c r="BN163" i="1"/>
  <c r="BM163" i="1"/>
  <c r="BL163" i="1"/>
  <c r="BK163" i="1"/>
  <c r="BJ163" i="1"/>
  <c r="BI163" i="1"/>
  <c r="BH163" i="1"/>
  <c r="BG163" i="1"/>
  <c r="BF163" i="1"/>
  <c r="BE163" i="1"/>
  <c r="BD163" i="1"/>
  <c r="BC163" i="1"/>
  <c r="BB163" i="1"/>
  <c r="BA163" i="1"/>
  <c r="AZ163" i="1"/>
  <c r="AY163" i="1"/>
  <c r="AX163" i="1"/>
  <c r="AW163" i="1"/>
  <c r="AV163" i="1"/>
  <c r="AU163" i="1"/>
  <c r="AT163" i="1"/>
  <c r="AS163" i="1"/>
  <c r="AR163" i="1"/>
  <c r="AQ163" i="1"/>
  <c r="AP163" i="1"/>
  <c r="AO163" i="1"/>
  <c r="AN163" i="1"/>
  <c r="AM163" i="1"/>
  <c r="AL163" i="1"/>
  <c r="AK163" i="1"/>
  <c r="AJ163" i="1"/>
  <c r="AI163" i="1"/>
  <c r="AH163" i="1"/>
  <c r="AG163" i="1"/>
  <c r="AF163" i="1"/>
  <c r="AE163" i="1"/>
  <c r="AD163" i="1"/>
  <c r="AC163" i="1"/>
  <c r="AB163" i="1"/>
  <c r="AA163" i="1"/>
  <c r="Z163" i="1"/>
  <c r="Y163" i="1"/>
  <c r="X163" i="1"/>
  <c r="W163" i="1"/>
  <c r="V163" i="1"/>
  <c r="U163" i="1"/>
  <c r="T163" i="1"/>
  <c r="S163" i="1"/>
  <c r="R163" i="1"/>
  <c r="Q163" i="1"/>
  <c r="P163" i="1"/>
  <c r="O163" i="1"/>
  <c r="CT162" i="1"/>
  <c r="CS162" i="1"/>
  <c r="CR162" i="1"/>
  <c r="CQ162" i="1"/>
  <c r="CP162" i="1"/>
  <c r="CO162" i="1"/>
  <c r="CN162" i="1"/>
  <c r="CM162" i="1"/>
  <c r="CL162" i="1"/>
  <c r="CK162" i="1"/>
  <c r="CJ162" i="1"/>
  <c r="CI162" i="1"/>
  <c r="CH162" i="1"/>
  <c r="CG162" i="1"/>
  <c r="CF162" i="1"/>
  <c r="CE162" i="1"/>
  <c r="CD162" i="1"/>
  <c r="CC162" i="1"/>
  <c r="CB162" i="1"/>
  <c r="CA162" i="1"/>
  <c r="BZ162" i="1"/>
  <c r="BY162" i="1"/>
  <c r="BX162" i="1"/>
  <c r="BW162" i="1"/>
  <c r="BV162" i="1"/>
  <c r="BU162" i="1"/>
  <c r="BT162" i="1"/>
  <c r="BS162" i="1"/>
  <c r="BR162" i="1"/>
  <c r="BQ162" i="1"/>
  <c r="BP162" i="1"/>
  <c r="BO162" i="1"/>
  <c r="BN162" i="1"/>
  <c r="BM162" i="1"/>
  <c r="BL162" i="1"/>
  <c r="BK162" i="1"/>
  <c r="BJ162" i="1"/>
  <c r="BI162" i="1"/>
  <c r="BH162" i="1"/>
  <c r="BG162" i="1"/>
  <c r="BF162" i="1"/>
  <c r="BE162" i="1"/>
  <c r="BD162" i="1"/>
  <c r="BC162" i="1"/>
  <c r="BB162" i="1"/>
  <c r="BA162" i="1"/>
  <c r="AZ162" i="1"/>
  <c r="AY162" i="1"/>
  <c r="AX162" i="1"/>
  <c r="AW162" i="1"/>
  <c r="AV162" i="1"/>
  <c r="AU162" i="1"/>
  <c r="AT162" i="1"/>
  <c r="AS162" i="1"/>
  <c r="AR162" i="1"/>
  <c r="AQ162" i="1"/>
  <c r="AP162" i="1"/>
  <c r="AO162" i="1"/>
  <c r="AN162" i="1"/>
  <c r="AM162" i="1"/>
  <c r="AL162" i="1"/>
  <c r="AK162" i="1"/>
  <c r="AJ162" i="1"/>
  <c r="AI162" i="1"/>
  <c r="AH162" i="1"/>
  <c r="AG162" i="1"/>
  <c r="AF162" i="1"/>
  <c r="AE162" i="1"/>
  <c r="AD162" i="1"/>
  <c r="AC162" i="1"/>
  <c r="AB162" i="1"/>
  <c r="AA162" i="1"/>
  <c r="Z162" i="1"/>
  <c r="Y162" i="1"/>
  <c r="X162" i="1"/>
  <c r="W162" i="1"/>
  <c r="V162" i="1"/>
  <c r="U162" i="1"/>
  <c r="T162" i="1"/>
  <c r="S162" i="1"/>
  <c r="R162" i="1"/>
  <c r="Q162" i="1"/>
  <c r="P162" i="1"/>
  <c r="O162" i="1"/>
  <c r="CT161" i="1"/>
  <c r="CS161" i="1"/>
  <c r="CR161" i="1"/>
  <c r="CQ161" i="1"/>
  <c r="CP161" i="1"/>
  <c r="CO161" i="1"/>
  <c r="CN161" i="1"/>
  <c r="CM161" i="1"/>
  <c r="CL161" i="1"/>
  <c r="CK161" i="1"/>
  <c r="CJ161" i="1"/>
  <c r="CI161" i="1"/>
  <c r="CH161" i="1"/>
  <c r="CG161" i="1"/>
  <c r="CF161" i="1"/>
  <c r="CE161" i="1"/>
  <c r="CD161" i="1"/>
  <c r="CC161" i="1"/>
  <c r="CB161" i="1"/>
  <c r="CA161" i="1"/>
  <c r="BZ161" i="1"/>
  <c r="BY161" i="1"/>
  <c r="BX161" i="1"/>
  <c r="BW161" i="1"/>
  <c r="BV161" i="1"/>
  <c r="BU161" i="1"/>
  <c r="BT161" i="1"/>
  <c r="BS161" i="1"/>
  <c r="BR161" i="1"/>
  <c r="BQ161" i="1"/>
  <c r="BP161" i="1"/>
  <c r="BO161" i="1"/>
  <c r="BN161" i="1"/>
  <c r="BM161" i="1"/>
  <c r="BL161" i="1"/>
  <c r="BK161" i="1"/>
  <c r="BJ161" i="1"/>
  <c r="BI161" i="1"/>
  <c r="BH161" i="1"/>
  <c r="BG161" i="1"/>
  <c r="BF161" i="1"/>
  <c r="BE161" i="1"/>
  <c r="BD161" i="1"/>
  <c r="BC161" i="1"/>
  <c r="BB161" i="1"/>
  <c r="BA161" i="1"/>
  <c r="AZ161" i="1"/>
  <c r="AY161" i="1"/>
  <c r="AX161" i="1"/>
  <c r="AW161" i="1"/>
  <c r="AV161" i="1"/>
  <c r="AU161" i="1"/>
  <c r="AT161" i="1"/>
  <c r="AS161" i="1"/>
  <c r="AR161" i="1"/>
  <c r="AQ161" i="1"/>
  <c r="AP161" i="1"/>
  <c r="AO161" i="1"/>
  <c r="AN161" i="1"/>
  <c r="AM161" i="1"/>
  <c r="AL161" i="1"/>
  <c r="AK161" i="1"/>
  <c r="AJ161" i="1"/>
  <c r="AI161" i="1"/>
  <c r="AH161" i="1"/>
  <c r="AG161" i="1"/>
  <c r="AF161" i="1"/>
  <c r="AE161" i="1"/>
  <c r="AD161" i="1"/>
  <c r="AC161" i="1"/>
  <c r="AB161" i="1"/>
  <c r="AA161" i="1"/>
  <c r="Z161" i="1"/>
  <c r="Y161" i="1"/>
  <c r="X161" i="1"/>
  <c r="W161" i="1"/>
  <c r="V161" i="1"/>
  <c r="U161" i="1"/>
  <c r="T161" i="1"/>
  <c r="S161" i="1"/>
  <c r="R161" i="1"/>
  <c r="Q161" i="1"/>
  <c r="P161" i="1"/>
  <c r="O161" i="1"/>
  <c r="CT160" i="1"/>
  <c r="CS160" i="1"/>
  <c r="CR160" i="1"/>
  <c r="CQ160" i="1"/>
  <c r="CP160" i="1"/>
  <c r="CO160" i="1"/>
  <c r="CN160" i="1"/>
  <c r="CM160" i="1"/>
  <c r="CL160" i="1"/>
  <c r="CK160" i="1"/>
  <c r="CJ160" i="1"/>
  <c r="CI160" i="1"/>
  <c r="CH160" i="1"/>
  <c r="CG160" i="1"/>
  <c r="CF160" i="1"/>
  <c r="CE160" i="1"/>
  <c r="CD160" i="1"/>
  <c r="CC160" i="1"/>
  <c r="CB160" i="1"/>
  <c r="CA160" i="1"/>
  <c r="BZ160" i="1"/>
  <c r="BY160" i="1"/>
  <c r="BX160" i="1"/>
  <c r="BW160" i="1"/>
  <c r="BV160" i="1"/>
  <c r="BU160" i="1"/>
  <c r="BT160" i="1"/>
  <c r="BS160" i="1"/>
  <c r="BR160" i="1"/>
  <c r="BQ160" i="1"/>
  <c r="BP160" i="1"/>
  <c r="BO160" i="1"/>
  <c r="BN160" i="1"/>
  <c r="BM160" i="1"/>
  <c r="BL160" i="1"/>
  <c r="BK160" i="1"/>
  <c r="BJ160" i="1"/>
  <c r="BI160" i="1"/>
  <c r="BH160" i="1"/>
  <c r="BG160" i="1"/>
  <c r="BF160" i="1"/>
  <c r="BE160" i="1"/>
  <c r="BD160" i="1"/>
  <c r="BC160" i="1"/>
  <c r="BB160" i="1"/>
  <c r="BA160" i="1"/>
  <c r="AZ160" i="1"/>
  <c r="AY160" i="1"/>
  <c r="AX160" i="1"/>
  <c r="AW160" i="1"/>
  <c r="AV160" i="1"/>
  <c r="AU160" i="1"/>
  <c r="AT160" i="1"/>
  <c r="AS160" i="1"/>
  <c r="AR160" i="1"/>
  <c r="AQ160" i="1"/>
  <c r="AP160" i="1"/>
  <c r="AO160" i="1"/>
  <c r="AN160" i="1"/>
  <c r="AM160" i="1"/>
  <c r="AL160" i="1"/>
  <c r="AK160" i="1"/>
  <c r="AJ160" i="1"/>
  <c r="AI160" i="1"/>
  <c r="AH160" i="1"/>
  <c r="AG160" i="1"/>
  <c r="AF160" i="1"/>
  <c r="AE160" i="1"/>
  <c r="AD160" i="1"/>
  <c r="AC160" i="1"/>
  <c r="AB160" i="1"/>
  <c r="AA160" i="1"/>
  <c r="Z160" i="1"/>
  <c r="Y160" i="1"/>
  <c r="X160" i="1"/>
  <c r="W160" i="1"/>
  <c r="V160" i="1"/>
  <c r="U160" i="1"/>
  <c r="T160" i="1"/>
  <c r="S160" i="1"/>
  <c r="R160" i="1"/>
  <c r="Q160" i="1"/>
  <c r="P160" i="1"/>
  <c r="O160" i="1"/>
  <c r="CT159" i="1"/>
  <c r="CS159" i="1"/>
  <c r="CR159" i="1"/>
  <c r="CQ159" i="1"/>
  <c r="CP159" i="1"/>
  <c r="CO159" i="1"/>
  <c r="CN159" i="1"/>
  <c r="CM159" i="1"/>
  <c r="CL159" i="1"/>
  <c r="CK159" i="1"/>
  <c r="CJ159" i="1"/>
  <c r="CI159" i="1"/>
  <c r="CH159" i="1"/>
  <c r="CG159" i="1"/>
  <c r="CF159" i="1"/>
  <c r="CE159" i="1"/>
  <c r="CD159" i="1"/>
  <c r="CC159" i="1"/>
  <c r="CB159" i="1"/>
  <c r="CA159" i="1"/>
  <c r="BZ159" i="1"/>
  <c r="BY159" i="1"/>
  <c r="BX159" i="1"/>
  <c r="BW159" i="1"/>
  <c r="BV159" i="1"/>
  <c r="BU159" i="1"/>
  <c r="BT159" i="1"/>
  <c r="BS159" i="1"/>
  <c r="BR159" i="1"/>
  <c r="BQ159" i="1"/>
  <c r="BP159" i="1"/>
  <c r="BO159" i="1"/>
  <c r="BN159" i="1"/>
  <c r="BM159" i="1"/>
  <c r="BL159" i="1"/>
  <c r="BK159" i="1"/>
  <c r="BJ159" i="1"/>
  <c r="BI159" i="1"/>
  <c r="BH159" i="1"/>
  <c r="BG159" i="1"/>
  <c r="BF159" i="1"/>
  <c r="BE159" i="1"/>
  <c r="BD159" i="1"/>
  <c r="BC159" i="1"/>
  <c r="BB159" i="1"/>
  <c r="BA159" i="1"/>
  <c r="AZ159" i="1"/>
  <c r="AY159" i="1"/>
  <c r="AX159" i="1"/>
  <c r="AW159" i="1"/>
  <c r="AV159" i="1"/>
  <c r="AU159" i="1"/>
  <c r="AT159" i="1"/>
  <c r="AS159" i="1"/>
  <c r="AR159" i="1"/>
  <c r="AQ159" i="1"/>
  <c r="AP159" i="1"/>
  <c r="AO159" i="1"/>
  <c r="AN159" i="1"/>
  <c r="AM159" i="1"/>
  <c r="AL159" i="1"/>
  <c r="AK159" i="1"/>
  <c r="AJ159" i="1"/>
  <c r="AI159" i="1"/>
  <c r="AH159" i="1"/>
  <c r="AG159" i="1"/>
  <c r="AF159" i="1"/>
  <c r="AE159" i="1"/>
  <c r="AD159" i="1"/>
  <c r="AC159" i="1"/>
  <c r="AB159" i="1"/>
  <c r="AA159" i="1"/>
  <c r="Z159" i="1"/>
  <c r="Y159" i="1"/>
  <c r="X159" i="1"/>
  <c r="W159" i="1"/>
  <c r="V159" i="1"/>
  <c r="U159" i="1"/>
  <c r="T159" i="1"/>
  <c r="S159" i="1"/>
  <c r="R159" i="1"/>
  <c r="Q159" i="1"/>
  <c r="P159" i="1"/>
  <c r="O159" i="1"/>
  <c r="CT158" i="1"/>
  <c r="CS158" i="1"/>
  <c r="CR158" i="1"/>
  <c r="CQ158" i="1"/>
  <c r="CP158" i="1"/>
  <c r="CO158" i="1"/>
  <c r="CN158" i="1"/>
  <c r="CM158" i="1"/>
  <c r="CL158" i="1"/>
  <c r="CK158" i="1"/>
  <c r="CJ158" i="1"/>
  <c r="CI158" i="1"/>
  <c r="CH158" i="1"/>
  <c r="CG158" i="1"/>
  <c r="CF158" i="1"/>
  <c r="CE158" i="1"/>
  <c r="CD158" i="1"/>
  <c r="CC158" i="1"/>
  <c r="CB158" i="1"/>
  <c r="CA158" i="1"/>
  <c r="BZ158" i="1"/>
  <c r="BY158" i="1"/>
  <c r="BX158" i="1"/>
  <c r="BW158" i="1"/>
  <c r="BV158" i="1"/>
  <c r="BU158" i="1"/>
  <c r="BT158" i="1"/>
  <c r="BS158" i="1"/>
  <c r="BR158" i="1"/>
  <c r="BQ158" i="1"/>
  <c r="BP158" i="1"/>
  <c r="BO158" i="1"/>
  <c r="BN158" i="1"/>
  <c r="BM158" i="1"/>
  <c r="BL158" i="1"/>
  <c r="BK158" i="1"/>
  <c r="BJ158" i="1"/>
  <c r="BI158" i="1"/>
  <c r="BH158" i="1"/>
  <c r="BG158" i="1"/>
  <c r="BF158" i="1"/>
  <c r="BE158" i="1"/>
  <c r="BD158" i="1"/>
  <c r="BC158" i="1"/>
  <c r="BB158" i="1"/>
  <c r="BA158" i="1"/>
  <c r="AZ158" i="1"/>
  <c r="AY158" i="1"/>
  <c r="AX158" i="1"/>
  <c r="AW158" i="1"/>
  <c r="AV158" i="1"/>
  <c r="AU158" i="1"/>
  <c r="AT158" i="1"/>
  <c r="AS158" i="1"/>
  <c r="AR158" i="1"/>
  <c r="AQ158" i="1"/>
  <c r="AP158" i="1"/>
  <c r="AO158" i="1"/>
  <c r="AN158" i="1"/>
  <c r="AM158" i="1"/>
  <c r="AL158" i="1"/>
  <c r="AK158" i="1"/>
  <c r="AJ158" i="1"/>
  <c r="AI158" i="1"/>
  <c r="AH158" i="1"/>
  <c r="AG158" i="1"/>
  <c r="AF158" i="1"/>
  <c r="AE158" i="1"/>
  <c r="AD158" i="1"/>
  <c r="AC158" i="1"/>
  <c r="AB158" i="1"/>
  <c r="AA158" i="1"/>
  <c r="Z158" i="1"/>
  <c r="Y158" i="1"/>
  <c r="X158" i="1"/>
  <c r="W158" i="1"/>
  <c r="V158" i="1"/>
  <c r="U158" i="1"/>
  <c r="T158" i="1"/>
  <c r="S158" i="1"/>
  <c r="R158" i="1"/>
  <c r="Q158" i="1"/>
  <c r="P158" i="1"/>
  <c r="O158" i="1"/>
  <c r="CT157" i="1"/>
  <c r="CS157" i="1"/>
  <c r="CR157" i="1"/>
  <c r="CQ157" i="1"/>
  <c r="CP157" i="1"/>
  <c r="CO157" i="1"/>
  <c r="CN157" i="1"/>
  <c r="CM157" i="1"/>
  <c r="CL157" i="1"/>
  <c r="CK157" i="1"/>
  <c r="CJ157" i="1"/>
  <c r="CI157" i="1"/>
  <c r="CH157" i="1"/>
  <c r="CG157" i="1"/>
  <c r="CF157" i="1"/>
  <c r="CE157" i="1"/>
  <c r="CD157" i="1"/>
  <c r="CC157" i="1"/>
  <c r="CB157" i="1"/>
  <c r="CA157" i="1"/>
  <c r="BZ157" i="1"/>
  <c r="BY157" i="1"/>
  <c r="BX157" i="1"/>
  <c r="BW157" i="1"/>
  <c r="BV157" i="1"/>
  <c r="BU157" i="1"/>
  <c r="BT157" i="1"/>
  <c r="BS157" i="1"/>
  <c r="BR157" i="1"/>
  <c r="BQ157" i="1"/>
  <c r="BP157" i="1"/>
  <c r="BO157" i="1"/>
  <c r="BN157" i="1"/>
  <c r="BM157" i="1"/>
  <c r="BL157" i="1"/>
  <c r="BK157" i="1"/>
  <c r="BJ157" i="1"/>
  <c r="BI157" i="1"/>
  <c r="BH157" i="1"/>
  <c r="BG157" i="1"/>
  <c r="BF157" i="1"/>
  <c r="BE157" i="1"/>
  <c r="BD157" i="1"/>
  <c r="BC157" i="1"/>
  <c r="BB157" i="1"/>
  <c r="BA157" i="1"/>
  <c r="AZ157" i="1"/>
  <c r="AY157" i="1"/>
  <c r="AX157" i="1"/>
  <c r="AW157" i="1"/>
  <c r="AV157" i="1"/>
  <c r="AU157" i="1"/>
  <c r="AT157" i="1"/>
  <c r="AS157" i="1"/>
  <c r="AR157" i="1"/>
  <c r="AQ157" i="1"/>
  <c r="AP157" i="1"/>
  <c r="AO157" i="1"/>
  <c r="AN157" i="1"/>
  <c r="AM157" i="1"/>
  <c r="AL157" i="1"/>
  <c r="AK157" i="1"/>
  <c r="AJ157" i="1"/>
  <c r="AI157" i="1"/>
  <c r="AH157" i="1"/>
  <c r="R156" i="10" s="1"/>
  <c r="AG157" i="1"/>
  <c r="AF157" i="1"/>
  <c r="AE157" i="1"/>
  <c r="AD157" i="1"/>
  <c r="AC157" i="1"/>
  <c r="AB157" i="1"/>
  <c r="AA157" i="1"/>
  <c r="Z157" i="1"/>
  <c r="Y157" i="1"/>
  <c r="X157" i="1"/>
  <c r="W157" i="1"/>
  <c r="V157" i="1"/>
  <c r="U157" i="1"/>
  <c r="T157" i="1"/>
  <c r="S157" i="1"/>
  <c r="R157" i="1"/>
  <c r="Q157" i="1"/>
  <c r="P157" i="1"/>
  <c r="O157" i="1"/>
  <c r="CT156" i="1"/>
  <c r="CS156" i="1"/>
  <c r="CR156" i="1"/>
  <c r="CQ156" i="1"/>
  <c r="CP156" i="1"/>
  <c r="CO156" i="1"/>
  <c r="CN156" i="1"/>
  <c r="CM156" i="1"/>
  <c r="CL156" i="1"/>
  <c r="CK156" i="1"/>
  <c r="CJ156" i="1"/>
  <c r="CI156" i="1"/>
  <c r="CH156" i="1"/>
  <c r="CG156" i="1"/>
  <c r="CF156" i="1"/>
  <c r="CE156" i="1"/>
  <c r="CD156" i="1"/>
  <c r="CC156" i="1"/>
  <c r="CB156" i="1"/>
  <c r="CA156" i="1"/>
  <c r="BZ156" i="1"/>
  <c r="BY156" i="1"/>
  <c r="BX156" i="1"/>
  <c r="BW156" i="1"/>
  <c r="BV156" i="1"/>
  <c r="BU156" i="1"/>
  <c r="BT156" i="1"/>
  <c r="BS156" i="1"/>
  <c r="BR156" i="1"/>
  <c r="BQ156" i="1"/>
  <c r="BP156" i="1"/>
  <c r="BO156" i="1"/>
  <c r="BN156" i="1"/>
  <c r="BM156" i="1"/>
  <c r="BL156" i="1"/>
  <c r="BK156" i="1"/>
  <c r="BJ156" i="1"/>
  <c r="BI156" i="1"/>
  <c r="BH156" i="1"/>
  <c r="BG156" i="1"/>
  <c r="BF156" i="1"/>
  <c r="BE156" i="1"/>
  <c r="BD156" i="1"/>
  <c r="BC156" i="1"/>
  <c r="BB156" i="1"/>
  <c r="BA156"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Y156" i="1"/>
  <c r="X156" i="1"/>
  <c r="W156" i="1"/>
  <c r="V156" i="1"/>
  <c r="U156" i="1"/>
  <c r="T156" i="1"/>
  <c r="S156" i="1"/>
  <c r="R156" i="1"/>
  <c r="Q156" i="1"/>
  <c r="P156" i="1"/>
  <c r="O156" i="1"/>
  <c r="CT155" i="1"/>
  <c r="CS155" i="1"/>
  <c r="CR155" i="1"/>
  <c r="CQ155" i="1"/>
  <c r="CP155" i="1"/>
  <c r="CO155" i="1"/>
  <c r="CN155" i="1"/>
  <c r="CM155" i="1"/>
  <c r="CL155" i="1"/>
  <c r="CK155" i="1"/>
  <c r="CJ155" i="1"/>
  <c r="CI155" i="1"/>
  <c r="CH155" i="1"/>
  <c r="CG155" i="1"/>
  <c r="CF155" i="1"/>
  <c r="CE155" i="1"/>
  <c r="CD155"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BF155" i="1"/>
  <c r="BE155" i="1"/>
  <c r="BD155" i="1"/>
  <c r="BC155" i="1"/>
  <c r="BB155" i="1"/>
  <c r="BA155" i="1"/>
  <c r="AZ155" i="1"/>
  <c r="AY155" i="1"/>
  <c r="AX155" i="1"/>
  <c r="AW155" i="1"/>
  <c r="AV155" i="1"/>
  <c r="AU155" i="1"/>
  <c r="AT155" i="1"/>
  <c r="AS155"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CT154" i="1"/>
  <c r="CS154" i="1"/>
  <c r="CR154" i="1"/>
  <c r="CQ154" i="1"/>
  <c r="CP154" i="1"/>
  <c r="CO154" i="1"/>
  <c r="CN154" i="1"/>
  <c r="CM154" i="1"/>
  <c r="CL154" i="1"/>
  <c r="CK154" i="1"/>
  <c r="CJ154" i="1"/>
  <c r="CI154" i="1"/>
  <c r="CH154" i="1"/>
  <c r="CG154" i="1"/>
  <c r="CF154" i="1"/>
  <c r="CE154" i="1"/>
  <c r="CD154" i="1"/>
  <c r="CC154" i="1"/>
  <c r="CB154" i="1"/>
  <c r="CA154" i="1"/>
  <c r="BZ154" i="1"/>
  <c r="BY154" i="1"/>
  <c r="BX154" i="1"/>
  <c r="BW154" i="1"/>
  <c r="BV154" i="1"/>
  <c r="BU154" i="1"/>
  <c r="BT154" i="1"/>
  <c r="BS154" i="1"/>
  <c r="BR154" i="1"/>
  <c r="BQ154" i="1"/>
  <c r="BP154" i="1"/>
  <c r="BO154" i="1"/>
  <c r="BN154" i="1"/>
  <c r="BM154" i="1"/>
  <c r="BL154" i="1"/>
  <c r="BK154" i="1"/>
  <c r="BJ154" i="1"/>
  <c r="BI154" i="1"/>
  <c r="BH154" i="1"/>
  <c r="BG154" i="1"/>
  <c r="BF154" i="1"/>
  <c r="BE154" i="1"/>
  <c r="BD154" i="1"/>
  <c r="BC154" i="1"/>
  <c r="BB154" i="1"/>
  <c r="BA154" i="1"/>
  <c r="AZ154" i="1"/>
  <c r="AY154" i="1"/>
  <c r="AX154" i="1"/>
  <c r="AW154" i="1"/>
  <c r="AV154" i="1"/>
  <c r="AU154" i="1"/>
  <c r="AT154" i="1"/>
  <c r="AS154" i="1"/>
  <c r="AR154" i="1"/>
  <c r="AQ154" i="1"/>
  <c r="AP154" i="1"/>
  <c r="AO154" i="1"/>
  <c r="AN154" i="1"/>
  <c r="AM154" i="1"/>
  <c r="AL154" i="1"/>
  <c r="AK154" i="1"/>
  <c r="AJ154" i="1"/>
  <c r="AI154" i="1"/>
  <c r="AH154" i="1"/>
  <c r="AG154" i="1"/>
  <c r="AF154" i="1"/>
  <c r="AE154" i="1"/>
  <c r="AD154" i="1"/>
  <c r="AC154" i="1"/>
  <c r="AB154" i="1"/>
  <c r="AA154" i="1"/>
  <c r="Z154" i="1"/>
  <c r="Y154" i="1"/>
  <c r="X154" i="1"/>
  <c r="W154" i="1"/>
  <c r="V154" i="1"/>
  <c r="U154" i="1"/>
  <c r="T154" i="1"/>
  <c r="S154" i="1"/>
  <c r="R154" i="1"/>
  <c r="Q154" i="1"/>
  <c r="P154" i="1"/>
  <c r="O154" i="1"/>
  <c r="CT153" i="1"/>
  <c r="CS153" i="1"/>
  <c r="CR153" i="1"/>
  <c r="CQ153" i="1"/>
  <c r="CP153" i="1"/>
  <c r="CO153" i="1"/>
  <c r="CN153" i="1"/>
  <c r="CM153" i="1"/>
  <c r="CL153" i="1"/>
  <c r="CK153" i="1"/>
  <c r="CJ153" i="1"/>
  <c r="CI153" i="1"/>
  <c r="CH153" i="1"/>
  <c r="CG153" i="1"/>
  <c r="CF153" i="1"/>
  <c r="CE153" i="1"/>
  <c r="CD153" i="1"/>
  <c r="CC153" i="1"/>
  <c r="CB153" i="1"/>
  <c r="CA153" i="1"/>
  <c r="BZ153" i="1"/>
  <c r="BY153" i="1"/>
  <c r="BX153" i="1"/>
  <c r="BW153" i="1"/>
  <c r="BV153" i="1"/>
  <c r="BU153" i="1"/>
  <c r="BT153" i="1"/>
  <c r="BS153" i="1"/>
  <c r="BR153" i="1"/>
  <c r="BQ153" i="1"/>
  <c r="BP153" i="1"/>
  <c r="BO153" i="1"/>
  <c r="BN153" i="1"/>
  <c r="BM153" i="1"/>
  <c r="BL153" i="1"/>
  <c r="BK153" i="1"/>
  <c r="BJ153" i="1"/>
  <c r="BI153" i="1"/>
  <c r="BH153" i="1"/>
  <c r="BG153" i="1"/>
  <c r="BF153" i="1"/>
  <c r="BE153" i="1"/>
  <c r="BD153" i="1"/>
  <c r="BC153" i="1"/>
  <c r="BB153" i="1"/>
  <c r="BA153" i="1"/>
  <c r="AZ153" i="1"/>
  <c r="AY153" i="1"/>
  <c r="AX153" i="1"/>
  <c r="AW153" i="1"/>
  <c r="AV153" i="1"/>
  <c r="AU153" i="1"/>
  <c r="AT153" i="1"/>
  <c r="AS153" i="1"/>
  <c r="AR153" i="1"/>
  <c r="AQ153" i="1"/>
  <c r="AP153" i="1"/>
  <c r="AO153" i="1"/>
  <c r="AN153" i="1"/>
  <c r="AM153" i="1"/>
  <c r="AL153" i="1"/>
  <c r="AK153" i="1"/>
  <c r="AJ153" i="1"/>
  <c r="AI153" i="1"/>
  <c r="AH153" i="1"/>
  <c r="AG153" i="1"/>
  <c r="AF153" i="1"/>
  <c r="AE153" i="1"/>
  <c r="AD153" i="1"/>
  <c r="AC153" i="1"/>
  <c r="AB153" i="1"/>
  <c r="AA153" i="1"/>
  <c r="Z153" i="1"/>
  <c r="Y153" i="1"/>
  <c r="X153" i="1"/>
  <c r="W153" i="1"/>
  <c r="V153" i="1"/>
  <c r="U153" i="1"/>
  <c r="T153" i="1"/>
  <c r="S153" i="1"/>
  <c r="R153" i="1"/>
  <c r="Q153" i="1"/>
  <c r="P153" i="1"/>
  <c r="O153" i="1"/>
  <c r="CT152" i="1"/>
  <c r="CS152" i="1"/>
  <c r="CR152" i="1"/>
  <c r="CQ152" i="1"/>
  <c r="CP152" i="1"/>
  <c r="CO152" i="1"/>
  <c r="CN152" i="1"/>
  <c r="CM152" i="1"/>
  <c r="CL152" i="1"/>
  <c r="CK152" i="1"/>
  <c r="CJ152" i="1"/>
  <c r="CI152" i="1"/>
  <c r="CH152" i="1"/>
  <c r="CG152" i="1"/>
  <c r="CF152" i="1"/>
  <c r="CE152" i="1"/>
  <c r="CD152" i="1"/>
  <c r="CC152" i="1"/>
  <c r="CB152" i="1"/>
  <c r="CA152" i="1"/>
  <c r="BZ152" i="1"/>
  <c r="BY152" i="1"/>
  <c r="BX152" i="1"/>
  <c r="BW152" i="1"/>
  <c r="BV152" i="1"/>
  <c r="BU152" i="1"/>
  <c r="BT152" i="1"/>
  <c r="BS152" i="1"/>
  <c r="BR152" i="1"/>
  <c r="BQ152" i="1"/>
  <c r="BP152" i="1"/>
  <c r="BO152" i="1"/>
  <c r="BN152" i="1"/>
  <c r="BM152" i="1"/>
  <c r="BL152" i="1"/>
  <c r="BK152" i="1"/>
  <c r="BJ152" i="1"/>
  <c r="BI152" i="1"/>
  <c r="BH152" i="1"/>
  <c r="BG152" i="1"/>
  <c r="BF152" i="1"/>
  <c r="BE152" i="1"/>
  <c r="BD152" i="1"/>
  <c r="BC152" i="1"/>
  <c r="BB152" i="1"/>
  <c r="BA152" i="1"/>
  <c r="AZ152" i="1"/>
  <c r="AY152" i="1"/>
  <c r="AX152" i="1"/>
  <c r="AW152" i="1"/>
  <c r="AV152" i="1"/>
  <c r="AU152" i="1"/>
  <c r="AT152" i="1"/>
  <c r="AS152" i="1"/>
  <c r="AR152" i="1"/>
  <c r="AQ152" i="1"/>
  <c r="AP152" i="1"/>
  <c r="AO152" i="1"/>
  <c r="AN152" i="1"/>
  <c r="AM152" i="1"/>
  <c r="AL152" i="1"/>
  <c r="AK152" i="1"/>
  <c r="AJ152" i="1"/>
  <c r="AI152" i="1"/>
  <c r="AH152" i="1"/>
  <c r="AG152" i="1"/>
  <c r="AF152" i="1"/>
  <c r="AE152" i="1"/>
  <c r="AD152" i="1"/>
  <c r="AC152" i="1"/>
  <c r="AB152" i="1"/>
  <c r="AA152" i="1"/>
  <c r="Z152" i="1"/>
  <c r="Y152" i="1"/>
  <c r="X152" i="1"/>
  <c r="W152" i="1"/>
  <c r="V152" i="1"/>
  <c r="U152" i="1"/>
  <c r="T152" i="1"/>
  <c r="S152" i="1"/>
  <c r="R152" i="1"/>
  <c r="Q152" i="1"/>
  <c r="P152" i="1"/>
  <c r="O152" i="1"/>
  <c r="CT151" i="1"/>
  <c r="CS151" i="1"/>
  <c r="CR151" i="1"/>
  <c r="CQ151" i="1"/>
  <c r="CP151" i="1"/>
  <c r="CO151" i="1"/>
  <c r="CN151" i="1"/>
  <c r="CM151" i="1"/>
  <c r="CL151" i="1"/>
  <c r="CK151" i="1"/>
  <c r="CJ151" i="1"/>
  <c r="CI151" i="1"/>
  <c r="CH151" i="1"/>
  <c r="CG151" i="1"/>
  <c r="CF151" i="1"/>
  <c r="CE151" i="1"/>
  <c r="CD151" i="1"/>
  <c r="CC151" i="1"/>
  <c r="CB151" i="1"/>
  <c r="CA151" i="1"/>
  <c r="BZ151" i="1"/>
  <c r="BY151" i="1"/>
  <c r="BX151" i="1"/>
  <c r="BW151" i="1"/>
  <c r="BV151" i="1"/>
  <c r="BU151" i="1"/>
  <c r="BT151" i="1"/>
  <c r="BS151" i="1"/>
  <c r="BR151" i="1"/>
  <c r="BQ151" i="1"/>
  <c r="BP151" i="1"/>
  <c r="BO151" i="1"/>
  <c r="BN151" i="1"/>
  <c r="BM151" i="1"/>
  <c r="BL151" i="1"/>
  <c r="BK151" i="1"/>
  <c r="BJ151" i="1"/>
  <c r="BI151" i="1"/>
  <c r="BH151" i="1"/>
  <c r="BG151" i="1"/>
  <c r="BF151" i="1"/>
  <c r="BE151" i="1"/>
  <c r="BD151" i="1"/>
  <c r="BC151" i="1"/>
  <c r="BB151" i="1"/>
  <c r="BA151" i="1"/>
  <c r="AZ151" i="1"/>
  <c r="AY151" i="1"/>
  <c r="AX151" i="1"/>
  <c r="AW151" i="1"/>
  <c r="AV151" i="1"/>
  <c r="AU151" i="1"/>
  <c r="AT151" i="1"/>
  <c r="AS151" i="1"/>
  <c r="AR151" i="1"/>
  <c r="AQ151" i="1"/>
  <c r="AP151" i="1"/>
  <c r="AO151"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CT150" i="1"/>
  <c r="CS150" i="1"/>
  <c r="CR150" i="1"/>
  <c r="CQ150" i="1"/>
  <c r="CP150" i="1"/>
  <c r="CO150" i="1"/>
  <c r="CN150" i="1"/>
  <c r="CM150" i="1"/>
  <c r="CL150" i="1"/>
  <c r="CK150" i="1"/>
  <c r="CJ150" i="1"/>
  <c r="CI150" i="1"/>
  <c r="CH150" i="1"/>
  <c r="CG150" i="1"/>
  <c r="CF150" i="1"/>
  <c r="CE150" i="1"/>
  <c r="CD150" i="1"/>
  <c r="CC150" i="1"/>
  <c r="CB150" i="1"/>
  <c r="CA150" i="1"/>
  <c r="BZ150" i="1"/>
  <c r="BY150" i="1"/>
  <c r="BX150" i="1"/>
  <c r="BW150" i="1"/>
  <c r="BV150" i="1"/>
  <c r="BU150" i="1"/>
  <c r="BT150" i="1"/>
  <c r="BS150" i="1"/>
  <c r="BR150" i="1"/>
  <c r="BQ150" i="1"/>
  <c r="BP150" i="1"/>
  <c r="BO150" i="1"/>
  <c r="BN150" i="1"/>
  <c r="BM150" i="1"/>
  <c r="BL150" i="1"/>
  <c r="BK150" i="1"/>
  <c r="BJ150" i="1"/>
  <c r="BI150" i="1"/>
  <c r="BH150" i="1"/>
  <c r="BG150" i="1"/>
  <c r="BF150" i="1"/>
  <c r="BE150" i="1"/>
  <c r="BD150" i="1"/>
  <c r="BC150" i="1"/>
  <c r="BB150" i="1"/>
  <c r="BA150" i="1"/>
  <c r="AZ150" i="1"/>
  <c r="AY150" i="1"/>
  <c r="AX150" i="1"/>
  <c r="AW150" i="1"/>
  <c r="AV150" i="1"/>
  <c r="AU150" i="1"/>
  <c r="AT150" i="1"/>
  <c r="AS150" i="1"/>
  <c r="AR150" i="1"/>
  <c r="AQ150" i="1"/>
  <c r="AP150" i="1"/>
  <c r="AO150" i="1"/>
  <c r="AN150" i="1"/>
  <c r="AM150" i="1"/>
  <c r="AL150" i="1"/>
  <c r="AK150" i="1"/>
  <c r="AJ150" i="1"/>
  <c r="AI150" i="1"/>
  <c r="AH150" i="1"/>
  <c r="AG150" i="1"/>
  <c r="AF150" i="1"/>
  <c r="AE150" i="1"/>
  <c r="AD150" i="1"/>
  <c r="AC150" i="1"/>
  <c r="AB150" i="1"/>
  <c r="AA150" i="1"/>
  <c r="Z150" i="1"/>
  <c r="Y150" i="1"/>
  <c r="X150" i="1"/>
  <c r="W150" i="1"/>
  <c r="V150" i="1"/>
  <c r="U150" i="1"/>
  <c r="T150" i="1"/>
  <c r="S150" i="1"/>
  <c r="R150" i="1"/>
  <c r="Q150" i="1"/>
  <c r="P150" i="1"/>
  <c r="O150" i="1"/>
  <c r="CT149" i="1"/>
  <c r="CS149" i="1"/>
  <c r="CR149" i="1"/>
  <c r="CQ149" i="1"/>
  <c r="CP149" i="1"/>
  <c r="CO149" i="1"/>
  <c r="CN149" i="1"/>
  <c r="CM149" i="1"/>
  <c r="CL149" i="1"/>
  <c r="CK149" i="1"/>
  <c r="CJ149" i="1"/>
  <c r="CI149" i="1"/>
  <c r="CH149" i="1"/>
  <c r="CG149" i="1"/>
  <c r="CF149" i="1"/>
  <c r="CE149" i="1"/>
  <c r="CD149" i="1"/>
  <c r="CC149" i="1"/>
  <c r="CB149" i="1"/>
  <c r="CA149" i="1"/>
  <c r="BZ149" i="1"/>
  <c r="BY149" i="1"/>
  <c r="BX149" i="1"/>
  <c r="BW149" i="1"/>
  <c r="BV149" i="1"/>
  <c r="BU149" i="1"/>
  <c r="BT149" i="1"/>
  <c r="BS149" i="1"/>
  <c r="BR149" i="1"/>
  <c r="BQ149" i="1"/>
  <c r="BP149" i="1"/>
  <c r="BO149" i="1"/>
  <c r="BN149" i="1"/>
  <c r="BM149" i="1"/>
  <c r="BL149" i="1"/>
  <c r="BK149" i="1"/>
  <c r="BJ149" i="1"/>
  <c r="BI149" i="1"/>
  <c r="BH149" i="1"/>
  <c r="BG149" i="1"/>
  <c r="BF149" i="1"/>
  <c r="BE149" i="1"/>
  <c r="BD149" i="1"/>
  <c r="BC149" i="1"/>
  <c r="BB149" i="1"/>
  <c r="BA149" i="1"/>
  <c r="AZ149" i="1"/>
  <c r="AY149" i="1"/>
  <c r="AX149" i="1"/>
  <c r="AW149" i="1"/>
  <c r="AV149" i="1"/>
  <c r="AU149" i="1"/>
  <c r="AT149" i="1"/>
  <c r="AS149" i="1"/>
  <c r="AR149" i="1"/>
  <c r="AQ149" i="1"/>
  <c r="AP149" i="1"/>
  <c r="AO149" i="1"/>
  <c r="AN149" i="1"/>
  <c r="AM149" i="1"/>
  <c r="AL149" i="1"/>
  <c r="AK149" i="1"/>
  <c r="AJ149" i="1"/>
  <c r="AI149" i="1"/>
  <c r="AH149" i="1"/>
  <c r="AG149" i="1"/>
  <c r="AF149" i="1"/>
  <c r="AE149" i="1"/>
  <c r="AD149" i="1"/>
  <c r="AC149" i="1"/>
  <c r="AB149" i="1"/>
  <c r="AA149" i="1"/>
  <c r="Z149" i="1"/>
  <c r="Y149" i="1"/>
  <c r="X149" i="1"/>
  <c r="W149" i="1"/>
  <c r="V149" i="1"/>
  <c r="U149" i="1"/>
  <c r="T149" i="1"/>
  <c r="S149" i="1"/>
  <c r="R149" i="1"/>
  <c r="Q149" i="1"/>
  <c r="P149" i="1"/>
  <c r="O149" i="1"/>
  <c r="CT148" i="1"/>
  <c r="CS148" i="1"/>
  <c r="CR148" i="1"/>
  <c r="CQ148" i="1"/>
  <c r="CP148" i="1"/>
  <c r="CO148" i="1"/>
  <c r="CN148" i="1"/>
  <c r="CM148" i="1"/>
  <c r="CL148" i="1"/>
  <c r="CK148" i="1"/>
  <c r="CJ148" i="1"/>
  <c r="CI148" i="1"/>
  <c r="CH148" i="1"/>
  <c r="CG148" i="1"/>
  <c r="CF148" i="1"/>
  <c r="CE148" i="1"/>
  <c r="CD148" i="1"/>
  <c r="CC148" i="1"/>
  <c r="CB148" i="1"/>
  <c r="CA148" i="1"/>
  <c r="BZ148" i="1"/>
  <c r="BY148" i="1"/>
  <c r="BX148" i="1"/>
  <c r="BW148" i="1"/>
  <c r="BV148" i="1"/>
  <c r="BU148" i="1"/>
  <c r="BT148" i="1"/>
  <c r="BS148" i="1"/>
  <c r="BR148" i="1"/>
  <c r="BQ148" i="1"/>
  <c r="BP148" i="1"/>
  <c r="BO148" i="1"/>
  <c r="BN148" i="1"/>
  <c r="BM148" i="1"/>
  <c r="BL148" i="1"/>
  <c r="BK148" i="1"/>
  <c r="BJ148" i="1"/>
  <c r="BI148" i="1"/>
  <c r="BH148" i="1"/>
  <c r="BG148" i="1"/>
  <c r="BF148" i="1"/>
  <c r="BE148" i="1"/>
  <c r="BD148" i="1"/>
  <c r="BC148" i="1"/>
  <c r="BB148" i="1"/>
  <c r="BA148"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Y148" i="1"/>
  <c r="X148" i="1"/>
  <c r="W148" i="1"/>
  <c r="V148" i="1"/>
  <c r="U148" i="1"/>
  <c r="T148" i="1"/>
  <c r="S148" i="1"/>
  <c r="R148" i="1"/>
  <c r="Q148" i="1"/>
  <c r="P148" i="1"/>
  <c r="O148" i="1"/>
  <c r="CT147" i="1"/>
  <c r="CS147" i="1"/>
  <c r="CR147" i="1"/>
  <c r="CQ147" i="1"/>
  <c r="CP147" i="1"/>
  <c r="CO147" i="1"/>
  <c r="CN147" i="1"/>
  <c r="CM147" i="1"/>
  <c r="CL147" i="1"/>
  <c r="CK147" i="1"/>
  <c r="CJ147" i="1"/>
  <c r="CI147" i="1"/>
  <c r="CH147" i="1"/>
  <c r="CG147" i="1"/>
  <c r="CF147" i="1"/>
  <c r="CE147" i="1"/>
  <c r="CD147" i="1"/>
  <c r="CC147" i="1"/>
  <c r="CB147" i="1"/>
  <c r="CA147" i="1"/>
  <c r="BZ147" i="1"/>
  <c r="BY147" i="1"/>
  <c r="BX147" i="1"/>
  <c r="BW147" i="1"/>
  <c r="BV147" i="1"/>
  <c r="BU147" i="1"/>
  <c r="BT147" i="1"/>
  <c r="BS147" i="1"/>
  <c r="BR147" i="1"/>
  <c r="BQ147" i="1"/>
  <c r="BP147" i="1"/>
  <c r="BO147" i="1"/>
  <c r="BN147" i="1"/>
  <c r="BM147" i="1"/>
  <c r="BL147" i="1"/>
  <c r="BK147" i="1"/>
  <c r="BJ147" i="1"/>
  <c r="BI147" i="1"/>
  <c r="BH147" i="1"/>
  <c r="BG147" i="1"/>
  <c r="BF147" i="1"/>
  <c r="BE147" i="1"/>
  <c r="BD147" i="1"/>
  <c r="BC147" i="1"/>
  <c r="BB147" i="1"/>
  <c r="BA147" i="1"/>
  <c r="AZ147" i="1"/>
  <c r="AY147" i="1"/>
  <c r="AX147" i="1"/>
  <c r="AW147" i="1"/>
  <c r="AV147" i="1"/>
  <c r="AU147" i="1"/>
  <c r="AT147" i="1"/>
  <c r="AS147" i="1"/>
  <c r="AR147" i="1"/>
  <c r="AQ147" i="1"/>
  <c r="AP147" i="1"/>
  <c r="AO147" i="1"/>
  <c r="AN147" i="1"/>
  <c r="AM147" i="1"/>
  <c r="AL147" i="1"/>
  <c r="AK147" i="1"/>
  <c r="AJ147" i="1"/>
  <c r="AI147" i="1"/>
  <c r="AH147" i="1"/>
  <c r="AG147" i="1"/>
  <c r="AF147" i="1"/>
  <c r="AE147" i="1"/>
  <c r="AD147" i="1"/>
  <c r="AC147" i="1"/>
  <c r="AB147" i="1"/>
  <c r="AA147" i="1"/>
  <c r="Z147" i="1"/>
  <c r="Y147" i="1"/>
  <c r="X147" i="1"/>
  <c r="W147" i="1"/>
  <c r="V147" i="1"/>
  <c r="U147" i="1"/>
  <c r="T147" i="1"/>
  <c r="S147" i="1"/>
  <c r="R147" i="1"/>
  <c r="Q147" i="1"/>
  <c r="P147" i="1"/>
  <c r="O147" i="1"/>
  <c r="CT146" i="1"/>
  <c r="CS146" i="1"/>
  <c r="CR146" i="1"/>
  <c r="CQ146" i="1"/>
  <c r="CP146" i="1"/>
  <c r="CO146" i="1"/>
  <c r="CN146" i="1"/>
  <c r="CM146" i="1"/>
  <c r="CL146" i="1"/>
  <c r="CK146" i="1"/>
  <c r="CJ146" i="1"/>
  <c r="CI146" i="1"/>
  <c r="CH146" i="1"/>
  <c r="CG146" i="1"/>
  <c r="CF146" i="1"/>
  <c r="CE146" i="1"/>
  <c r="CD146" i="1"/>
  <c r="CC146" i="1"/>
  <c r="CB146" i="1"/>
  <c r="CA146" i="1"/>
  <c r="BZ146" i="1"/>
  <c r="BY146" i="1"/>
  <c r="BX146" i="1"/>
  <c r="BW146" i="1"/>
  <c r="BV146" i="1"/>
  <c r="BU146" i="1"/>
  <c r="BT146" i="1"/>
  <c r="BS146" i="1"/>
  <c r="BR146" i="1"/>
  <c r="BQ146" i="1"/>
  <c r="BP146" i="1"/>
  <c r="BO146" i="1"/>
  <c r="BN146" i="1"/>
  <c r="BM146" i="1"/>
  <c r="BL146" i="1"/>
  <c r="BK146" i="1"/>
  <c r="BJ146" i="1"/>
  <c r="BI146" i="1"/>
  <c r="BH146" i="1"/>
  <c r="BG146" i="1"/>
  <c r="BF146" i="1"/>
  <c r="BE146" i="1"/>
  <c r="BD146" i="1"/>
  <c r="BC146" i="1"/>
  <c r="BB146" i="1"/>
  <c r="BA146" i="1"/>
  <c r="AZ146" i="1"/>
  <c r="AY146" i="1"/>
  <c r="AX146" i="1"/>
  <c r="AW146" i="1"/>
  <c r="AV146" i="1"/>
  <c r="AU146" i="1"/>
  <c r="AT146" i="1"/>
  <c r="AS146" i="1"/>
  <c r="AR146" i="1"/>
  <c r="AQ146" i="1"/>
  <c r="AP146" i="1"/>
  <c r="AO146" i="1"/>
  <c r="AN146" i="1"/>
  <c r="AM146" i="1"/>
  <c r="AL146" i="1"/>
  <c r="AK146" i="1"/>
  <c r="AJ146" i="1"/>
  <c r="AI146" i="1"/>
  <c r="AH146" i="1"/>
  <c r="AG146" i="1"/>
  <c r="AF146" i="1"/>
  <c r="AE146" i="1"/>
  <c r="AD146" i="1"/>
  <c r="AC146" i="1"/>
  <c r="AB146" i="1"/>
  <c r="AA146" i="1"/>
  <c r="Z146" i="1"/>
  <c r="Y146" i="1"/>
  <c r="X146" i="1"/>
  <c r="W146" i="1"/>
  <c r="V146" i="1"/>
  <c r="U146" i="1"/>
  <c r="T146" i="1"/>
  <c r="S146" i="1"/>
  <c r="R146" i="1"/>
  <c r="Q146" i="1"/>
  <c r="P146" i="1"/>
  <c r="O146" i="1"/>
  <c r="CT145" i="1"/>
  <c r="CS145" i="1"/>
  <c r="CR145" i="1"/>
  <c r="CQ145" i="1"/>
  <c r="CP145" i="1"/>
  <c r="CO145" i="1"/>
  <c r="CN145" i="1"/>
  <c r="CM145" i="1"/>
  <c r="CL145" i="1"/>
  <c r="CK145" i="1"/>
  <c r="CJ145" i="1"/>
  <c r="CI145" i="1"/>
  <c r="CH145" i="1"/>
  <c r="CG145" i="1"/>
  <c r="CF145" i="1"/>
  <c r="CE145" i="1"/>
  <c r="CD145" i="1"/>
  <c r="CC145" i="1"/>
  <c r="CB145" i="1"/>
  <c r="CA145" i="1"/>
  <c r="BZ145" i="1"/>
  <c r="BY145" i="1"/>
  <c r="BX145" i="1"/>
  <c r="BW145" i="1"/>
  <c r="BV145" i="1"/>
  <c r="BU145" i="1"/>
  <c r="BT145" i="1"/>
  <c r="BS145" i="1"/>
  <c r="BR145" i="1"/>
  <c r="BQ145" i="1"/>
  <c r="BP145" i="1"/>
  <c r="BO145" i="1"/>
  <c r="BN145" i="1"/>
  <c r="BM145" i="1"/>
  <c r="BL145" i="1"/>
  <c r="BK145" i="1"/>
  <c r="BJ145" i="1"/>
  <c r="BI145" i="1"/>
  <c r="BH145" i="1"/>
  <c r="BG145" i="1"/>
  <c r="BF145" i="1"/>
  <c r="BE145" i="1"/>
  <c r="BD145" i="1"/>
  <c r="BC145" i="1"/>
  <c r="BB145" i="1"/>
  <c r="BA145" i="1"/>
  <c r="AZ145" i="1"/>
  <c r="AY145" i="1"/>
  <c r="AX145" i="1"/>
  <c r="AW145" i="1"/>
  <c r="AV145" i="1"/>
  <c r="AU145" i="1"/>
  <c r="AT145" i="1"/>
  <c r="AS145" i="1"/>
  <c r="AR145" i="1"/>
  <c r="AQ145" i="1"/>
  <c r="AP145" i="1"/>
  <c r="AO145" i="1"/>
  <c r="AN145" i="1"/>
  <c r="AM145" i="1"/>
  <c r="AL145" i="1"/>
  <c r="AK145" i="1"/>
  <c r="AJ145" i="1"/>
  <c r="AI145" i="1"/>
  <c r="AH145" i="1"/>
  <c r="AG145" i="1"/>
  <c r="AF145" i="1"/>
  <c r="AE145" i="1"/>
  <c r="AD145" i="1"/>
  <c r="AC145" i="1"/>
  <c r="AB145" i="1"/>
  <c r="AA145" i="1"/>
  <c r="Z145" i="1"/>
  <c r="Y145" i="1"/>
  <c r="X145" i="1"/>
  <c r="W145" i="1"/>
  <c r="V145" i="1"/>
  <c r="U145" i="1"/>
  <c r="T145" i="1"/>
  <c r="S145" i="1"/>
  <c r="R145" i="1"/>
  <c r="Q145" i="1"/>
  <c r="P145" i="1"/>
  <c r="O145" i="1"/>
  <c r="CT144" i="1"/>
  <c r="CS144" i="1"/>
  <c r="CR144" i="1"/>
  <c r="CQ144" i="1"/>
  <c r="CP144" i="1"/>
  <c r="CO144" i="1"/>
  <c r="CN144" i="1"/>
  <c r="CM144" i="1"/>
  <c r="CL144" i="1"/>
  <c r="CK144" i="1"/>
  <c r="CJ144" i="1"/>
  <c r="CI144" i="1"/>
  <c r="CH144" i="1"/>
  <c r="CG144" i="1"/>
  <c r="CF144" i="1"/>
  <c r="CE144" i="1"/>
  <c r="CD144" i="1"/>
  <c r="CC144" i="1"/>
  <c r="CB144" i="1"/>
  <c r="CA144" i="1"/>
  <c r="BZ144" i="1"/>
  <c r="BY144" i="1"/>
  <c r="BX144" i="1"/>
  <c r="BW144" i="1"/>
  <c r="BV144" i="1"/>
  <c r="BU144" i="1"/>
  <c r="BT144" i="1"/>
  <c r="BS144" i="1"/>
  <c r="BR144" i="1"/>
  <c r="BQ144" i="1"/>
  <c r="BP144" i="1"/>
  <c r="BO144" i="1"/>
  <c r="BN144" i="1"/>
  <c r="BM144" i="1"/>
  <c r="BL144" i="1"/>
  <c r="BK144" i="1"/>
  <c r="BJ144" i="1"/>
  <c r="BI144" i="1"/>
  <c r="BH144" i="1"/>
  <c r="BG144" i="1"/>
  <c r="BF144" i="1"/>
  <c r="BE144" i="1"/>
  <c r="BD144" i="1"/>
  <c r="BC144" i="1"/>
  <c r="BB144" i="1"/>
  <c r="BA144" i="1"/>
  <c r="AZ144" i="1"/>
  <c r="AY144" i="1"/>
  <c r="AX144" i="1"/>
  <c r="AW144" i="1"/>
  <c r="AV144" i="1"/>
  <c r="AU144" i="1"/>
  <c r="AT144" i="1"/>
  <c r="AS144" i="1"/>
  <c r="AR144" i="1"/>
  <c r="AQ144" i="1"/>
  <c r="AP144" i="1"/>
  <c r="AO144" i="1"/>
  <c r="AN144" i="1"/>
  <c r="AM144" i="1"/>
  <c r="AL144" i="1"/>
  <c r="AK144" i="1"/>
  <c r="AJ144" i="1"/>
  <c r="AI144" i="1"/>
  <c r="AH144" i="1"/>
  <c r="AG144" i="1"/>
  <c r="AF144" i="1"/>
  <c r="AE144" i="1"/>
  <c r="AD144" i="1"/>
  <c r="AC144" i="1"/>
  <c r="AB144" i="1"/>
  <c r="AA144" i="1"/>
  <c r="Z144" i="1"/>
  <c r="Y144" i="1"/>
  <c r="X144" i="1"/>
  <c r="W144" i="1"/>
  <c r="V144" i="1"/>
  <c r="U144" i="1"/>
  <c r="T144" i="1"/>
  <c r="S144" i="1"/>
  <c r="R144" i="1"/>
  <c r="Q144" i="1"/>
  <c r="P144" i="1"/>
  <c r="O144" i="1"/>
  <c r="CT143" i="1"/>
  <c r="CS143" i="1"/>
  <c r="CR143" i="1"/>
  <c r="CQ143" i="1"/>
  <c r="CP143" i="1"/>
  <c r="CO143" i="1"/>
  <c r="CN143" i="1"/>
  <c r="CM143" i="1"/>
  <c r="CL143" i="1"/>
  <c r="CK143" i="1"/>
  <c r="CJ143" i="1"/>
  <c r="CI143" i="1"/>
  <c r="CH143" i="1"/>
  <c r="CG143" i="1"/>
  <c r="CF143" i="1"/>
  <c r="CE143" i="1"/>
  <c r="CD143" i="1"/>
  <c r="CC143" i="1"/>
  <c r="CB143" i="1"/>
  <c r="CA143" i="1"/>
  <c r="BZ143" i="1"/>
  <c r="BY143" i="1"/>
  <c r="BX143" i="1"/>
  <c r="BW143" i="1"/>
  <c r="BV143" i="1"/>
  <c r="BU143" i="1"/>
  <c r="BT143" i="1"/>
  <c r="BS143" i="1"/>
  <c r="BR143" i="1"/>
  <c r="BQ143" i="1"/>
  <c r="BP143" i="1"/>
  <c r="BO143" i="1"/>
  <c r="BN143" i="1"/>
  <c r="BM143" i="1"/>
  <c r="BL143" i="1"/>
  <c r="BK143" i="1"/>
  <c r="BJ143" i="1"/>
  <c r="BI143" i="1"/>
  <c r="BH143" i="1"/>
  <c r="BG143" i="1"/>
  <c r="BF143" i="1"/>
  <c r="BE143" i="1"/>
  <c r="BD143" i="1"/>
  <c r="BC143" i="1"/>
  <c r="BB143" i="1"/>
  <c r="BA143" i="1"/>
  <c r="AZ143" i="1"/>
  <c r="AY143" i="1"/>
  <c r="AX143" i="1"/>
  <c r="AW143" i="1"/>
  <c r="AV143" i="1"/>
  <c r="AU143" i="1"/>
  <c r="AT143" i="1"/>
  <c r="AS143" i="1"/>
  <c r="AR143" i="1"/>
  <c r="AQ143" i="1"/>
  <c r="AP143" i="1"/>
  <c r="AO143" i="1"/>
  <c r="AN143" i="1"/>
  <c r="AM143" i="1"/>
  <c r="AL143" i="1"/>
  <c r="AK143" i="1"/>
  <c r="AJ143" i="1"/>
  <c r="AI143" i="1"/>
  <c r="AH143" i="1"/>
  <c r="AG143" i="1"/>
  <c r="AF143" i="1"/>
  <c r="AE143" i="1"/>
  <c r="AD143" i="1"/>
  <c r="AC143" i="1"/>
  <c r="AB143" i="1"/>
  <c r="AA143" i="1"/>
  <c r="Z143" i="1"/>
  <c r="Y143" i="1"/>
  <c r="X143" i="1"/>
  <c r="W143" i="1"/>
  <c r="V143" i="1"/>
  <c r="U143" i="1"/>
  <c r="T143" i="1"/>
  <c r="S143" i="1"/>
  <c r="R143" i="1"/>
  <c r="Q143" i="1"/>
  <c r="P143" i="1"/>
  <c r="O143" i="1"/>
  <c r="CT142" i="1"/>
  <c r="CS142" i="1"/>
  <c r="CR142" i="1"/>
  <c r="CQ142" i="1"/>
  <c r="CP142" i="1"/>
  <c r="CO142" i="1"/>
  <c r="CN142" i="1"/>
  <c r="CM142" i="1"/>
  <c r="CL142" i="1"/>
  <c r="CK142" i="1"/>
  <c r="CJ142" i="1"/>
  <c r="CI142" i="1"/>
  <c r="CH142" i="1"/>
  <c r="CG142" i="1"/>
  <c r="CF142" i="1"/>
  <c r="CE142" i="1"/>
  <c r="CD142" i="1"/>
  <c r="CC142" i="1"/>
  <c r="CB142" i="1"/>
  <c r="CA142" i="1"/>
  <c r="BZ142" i="1"/>
  <c r="BY142" i="1"/>
  <c r="BX142" i="1"/>
  <c r="BW142" i="1"/>
  <c r="BV142" i="1"/>
  <c r="BU142" i="1"/>
  <c r="BT142" i="1"/>
  <c r="BS142" i="1"/>
  <c r="BR142" i="1"/>
  <c r="BQ142" i="1"/>
  <c r="BP142" i="1"/>
  <c r="BO142" i="1"/>
  <c r="BN142" i="1"/>
  <c r="BM142" i="1"/>
  <c r="BL142" i="1"/>
  <c r="BK142" i="1"/>
  <c r="BJ142" i="1"/>
  <c r="BI142" i="1"/>
  <c r="BH142" i="1"/>
  <c r="BG142" i="1"/>
  <c r="BF142" i="1"/>
  <c r="BE142" i="1"/>
  <c r="BD142" i="1"/>
  <c r="BC142" i="1"/>
  <c r="BB142" i="1"/>
  <c r="BA142" i="1"/>
  <c r="AZ142" i="1"/>
  <c r="AY142" i="1"/>
  <c r="AX142" i="1"/>
  <c r="AW142" i="1"/>
  <c r="AV142" i="1"/>
  <c r="AU142" i="1"/>
  <c r="AT142" i="1"/>
  <c r="AS142" i="1"/>
  <c r="AR142" i="1"/>
  <c r="AQ142" i="1"/>
  <c r="AP142" i="1"/>
  <c r="AO142" i="1"/>
  <c r="AN142" i="1"/>
  <c r="AM142" i="1"/>
  <c r="AL142" i="1"/>
  <c r="AK142" i="1"/>
  <c r="AJ142" i="1"/>
  <c r="AI142" i="1"/>
  <c r="AH142" i="1"/>
  <c r="AG142" i="1"/>
  <c r="AF142" i="1"/>
  <c r="AE142" i="1"/>
  <c r="AD142" i="1"/>
  <c r="AC142" i="1"/>
  <c r="AB142" i="1"/>
  <c r="AA142" i="1"/>
  <c r="Z142" i="1"/>
  <c r="Y142" i="1"/>
  <c r="X142" i="1"/>
  <c r="W142" i="1"/>
  <c r="V142" i="1"/>
  <c r="U142" i="1"/>
  <c r="T142" i="1"/>
  <c r="S142" i="1"/>
  <c r="R142" i="1"/>
  <c r="Q142" i="1"/>
  <c r="P142" i="1"/>
  <c r="O142" i="1"/>
  <c r="CT141" i="1"/>
  <c r="CS141" i="1"/>
  <c r="CR141" i="1"/>
  <c r="CQ141" i="1"/>
  <c r="CP141" i="1"/>
  <c r="CO141" i="1"/>
  <c r="CN141" i="1"/>
  <c r="CM141" i="1"/>
  <c r="CL141" i="1"/>
  <c r="CK141" i="1"/>
  <c r="CJ141" i="1"/>
  <c r="CI141" i="1"/>
  <c r="CH141" i="1"/>
  <c r="CG141" i="1"/>
  <c r="CF141" i="1"/>
  <c r="CE141" i="1"/>
  <c r="CD141" i="1"/>
  <c r="CC141" i="1"/>
  <c r="CB141" i="1"/>
  <c r="CA141" i="1"/>
  <c r="BZ141" i="1"/>
  <c r="BY141" i="1"/>
  <c r="BX141" i="1"/>
  <c r="BW141" i="1"/>
  <c r="BV141" i="1"/>
  <c r="BU141" i="1"/>
  <c r="BT141" i="1"/>
  <c r="BS141" i="1"/>
  <c r="BR141" i="1"/>
  <c r="BQ141" i="1"/>
  <c r="BP141" i="1"/>
  <c r="BO141" i="1"/>
  <c r="BN141" i="1"/>
  <c r="BM141" i="1"/>
  <c r="BL141" i="1"/>
  <c r="BK141" i="1"/>
  <c r="BJ141" i="1"/>
  <c r="BI141" i="1"/>
  <c r="BH141" i="1"/>
  <c r="BG141" i="1"/>
  <c r="BF141" i="1"/>
  <c r="BE141" i="1"/>
  <c r="BD141" i="1"/>
  <c r="BC141" i="1"/>
  <c r="BB141" i="1"/>
  <c r="BA141" i="1"/>
  <c r="AZ141" i="1"/>
  <c r="AY141" i="1"/>
  <c r="AX141" i="1"/>
  <c r="AW141" i="1"/>
  <c r="AV141" i="1"/>
  <c r="AU141" i="1"/>
  <c r="AT141" i="1"/>
  <c r="AS141" i="1"/>
  <c r="AR141" i="1"/>
  <c r="AQ141" i="1"/>
  <c r="AP141" i="1"/>
  <c r="AO141" i="1"/>
  <c r="AN141" i="1"/>
  <c r="AM141" i="1"/>
  <c r="AL141" i="1"/>
  <c r="AK141" i="1"/>
  <c r="AJ141" i="1"/>
  <c r="AI141" i="1"/>
  <c r="AH141" i="1"/>
  <c r="AG141" i="1"/>
  <c r="AF141" i="1"/>
  <c r="AE141" i="1"/>
  <c r="AD141" i="1"/>
  <c r="AC141" i="1"/>
  <c r="AB141" i="1"/>
  <c r="AA141" i="1"/>
  <c r="Z141" i="1"/>
  <c r="Y141" i="1"/>
  <c r="X141" i="1"/>
  <c r="W141" i="1"/>
  <c r="V141" i="1"/>
  <c r="U141" i="1"/>
  <c r="T141" i="1"/>
  <c r="S141" i="1"/>
  <c r="R141" i="1"/>
  <c r="Q141" i="1"/>
  <c r="P141" i="1"/>
  <c r="O141" i="1"/>
  <c r="CT140" i="1"/>
  <c r="CS140" i="1"/>
  <c r="CR140" i="1"/>
  <c r="CQ140" i="1"/>
  <c r="CP140" i="1"/>
  <c r="CO140" i="1"/>
  <c r="CN140" i="1"/>
  <c r="CM140" i="1"/>
  <c r="CL140" i="1"/>
  <c r="CK140" i="1"/>
  <c r="CJ140" i="1"/>
  <c r="CI140" i="1"/>
  <c r="CH140" i="1"/>
  <c r="CG140" i="1"/>
  <c r="CF140" i="1"/>
  <c r="CE140" i="1"/>
  <c r="CD140" i="1"/>
  <c r="CC140" i="1"/>
  <c r="CB140" i="1"/>
  <c r="CA140" i="1"/>
  <c r="BZ140" i="1"/>
  <c r="BY140" i="1"/>
  <c r="BX140" i="1"/>
  <c r="BW140" i="1"/>
  <c r="BV140" i="1"/>
  <c r="BU140" i="1"/>
  <c r="BT140" i="1"/>
  <c r="BS140" i="1"/>
  <c r="BR140" i="1"/>
  <c r="BQ140" i="1"/>
  <c r="BP140" i="1"/>
  <c r="BO140" i="1"/>
  <c r="BN140" i="1"/>
  <c r="BM140" i="1"/>
  <c r="BL140" i="1"/>
  <c r="BK140" i="1"/>
  <c r="BJ140" i="1"/>
  <c r="BI140" i="1"/>
  <c r="BH140" i="1"/>
  <c r="BG140" i="1"/>
  <c r="BF140" i="1"/>
  <c r="BE140" i="1"/>
  <c r="BD140" i="1"/>
  <c r="BC140" i="1"/>
  <c r="BB140" i="1"/>
  <c r="BA140"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Y140" i="1"/>
  <c r="X140" i="1"/>
  <c r="W140" i="1"/>
  <c r="V140" i="1"/>
  <c r="U140" i="1"/>
  <c r="T140" i="1"/>
  <c r="S140" i="1"/>
  <c r="R140" i="1"/>
  <c r="Q140" i="1"/>
  <c r="P140" i="1"/>
  <c r="O140" i="1"/>
  <c r="CT139" i="1"/>
  <c r="CS139" i="1"/>
  <c r="CR139" i="1"/>
  <c r="CQ139" i="1"/>
  <c r="CP139" i="1"/>
  <c r="CO139" i="1"/>
  <c r="CN139" i="1"/>
  <c r="CM139" i="1"/>
  <c r="CL139" i="1"/>
  <c r="CK139" i="1"/>
  <c r="CJ139" i="1"/>
  <c r="CI139" i="1"/>
  <c r="CH139" i="1"/>
  <c r="CG139" i="1"/>
  <c r="CF139" i="1"/>
  <c r="CE139" i="1"/>
  <c r="CD139" i="1"/>
  <c r="CC139" i="1"/>
  <c r="CB139" i="1"/>
  <c r="CA139" i="1"/>
  <c r="BZ139" i="1"/>
  <c r="BY139" i="1"/>
  <c r="BX139" i="1"/>
  <c r="BW139" i="1"/>
  <c r="BV139" i="1"/>
  <c r="BU139" i="1"/>
  <c r="BT139" i="1"/>
  <c r="BS139" i="1"/>
  <c r="BR139" i="1"/>
  <c r="BQ139" i="1"/>
  <c r="BP139" i="1"/>
  <c r="BO139" i="1"/>
  <c r="BN139" i="1"/>
  <c r="BM139" i="1"/>
  <c r="BL139" i="1"/>
  <c r="BK139" i="1"/>
  <c r="BJ139" i="1"/>
  <c r="BI139" i="1"/>
  <c r="BH139" i="1"/>
  <c r="BG139" i="1"/>
  <c r="BF139" i="1"/>
  <c r="BE139" i="1"/>
  <c r="BD139" i="1"/>
  <c r="BC139" i="1"/>
  <c r="BB139" i="1"/>
  <c r="BA139" i="1"/>
  <c r="AZ139" i="1"/>
  <c r="AY139" i="1"/>
  <c r="AX139" i="1"/>
  <c r="AW139" i="1"/>
  <c r="AV139" i="1"/>
  <c r="AU139" i="1"/>
  <c r="AT139" i="1"/>
  <c r="AS139" i="1"/>
  <c r="AR139" i="1"/>
  <c r="AQ139" i="1"/>
  <c r="AP139" i="1"/>
  <c r="AO139" i="1"/>
  <c r="AN139" i="1"/>
  <c r="AM139" i="1"/>
  <c r="AL139" i="1"/>
  <c r="AK139" i="1"/>
  <c r="AJ139" i="1"/>
  <c r="AI139" i="1"/>
  <c r="AH139" i="1"/>
  <c r="AG139" i="1"/>
  <c r="AF139" i="1"/>
  <c r="AE139" i="1"/>
  <c r="AD139" i="1"/>
  <c r="AC139" i="1"/>
  <c r="AB139" i="1"/>
  <c r="AA139" i="1"/>
  <c r="Z139" i="1"/>
  <c r="Y139" i="1"/>
  <c r="X139" i="1"/>
  <c r="W139" i="1"/>
  <c r="V139" i="1"/>
  <c r="U139" i="1"/>
  <c r="T139" i="1"/>
  <c r="S139" i="1"/>
  <c r="R139" i="1"/>
  <c r="Q139" i="1"/>
  <c r="P139" i="1"/>
  <c r="O139" i="1"/>
  <c r="CT138" i="1"/>
  <c r="CS138" i="1"/>
  <c r="CR138" i="1"/>
  <c r="CQ138" i="1"/>
  <c r="CP138" i="1"/>
  <c r="CO138" i="1"/>
  <c r="CN138" i="1"/>
  <c r="CM138" i="1"/>
  <c r="CL138" i="1"/>
  <c r="CK138" i="1"/>
  <c r="CJ138" i="1"/>
  <c r="CI138" i="1"/>
  <c r="CH138" i="1"/>
  <c r="CG138" i="1"/>
  <c r="CF138" i="1"/>
  <c r="CE138" i="1"/>
  <c r="CD138" i="1"/>
  <c r="CC138" i="1"/>
  <c r="CB138" i="1"/>
  <c r="CA138" i="1"/>
  <c r="BZ138" i="1"/>
  <c r="BY138" i="1"/>
  <c r="BX138" i="1"/>
  <c r="BW138" i="1"/>
  <c r="BV138" i="1"/>
  <c r="BU138" i="1"/>
  <c r="BT138" i="1"/>
  <c r="BS138" i="1"/>
  <c r="BR138" i="1"/>
  <c r="BQ138" i="1"/>
  <c r="BP138" i="1"/>
  <c r="BO138" i="1"/>
  <c r="BN138" i="1"/>
  <c r="BM138" i="1"/>
  <c r="BL138" i="1"/>
  <c r="BK138" i="1"/>
  <c r="BJ138" i="1"/>
  <c r="BI138" i="1"/>
  <c r="BH138" i="1"/>
  <c r="BG138" i="1"/>
  <c r="BF138" i="1"/>
  <c r="BE138" i="1"/>
  <c r="BD138" i="1"/>
  <c r="BC138" i="1"/>
  <c r="BB138" i="1"/>
  <c r="BA138" i="1"/>
  <c r="AZ138" i="1"/>
  <c r="AY138" i="1"/>
  <c r="AX138" i="1"/>
  <c r="AW138" i="1"/>
  <c r="AV138" i="1"/>
  <c r="AU138" i="1"/>
  <c r="AT138" i="1"/>
  <c r="AS138" i="1"/>
  <c r="AR138" i="1"/>
  <c r="AQ138" i="1"/>
  <c r="AP138" i="1"/>
  <c r="AO138" i="1"/>
  <c r="AN138" i="1"/>
  <c r="AM138" i="1"/>
  <c r="AL138" i="1"/>
  <c r="AK138" i="1"/>
  <c r="AJ138" i="1"/>
  <c r="AI138" i="1"/>
  <c r="AH138" i="1"/>
  <c r="AG138" i="1"/>
  <c r="AF138" i="1"/>
  <c r="AE138" i="1"/>
  <c r="AD138" i="1"/>
  <c r="AC138" i="1"/>
  <c r="AB138" i="1"/>
  <c r="AA138" i="1"/>
  <c r="Z138" i="1"/>
  <c r="Y138" i="1"/>
  <c r="X138" i="1"/>
  <c r="W138" i="1"/>
  <c r="V138" i="1"/>
  <c r="U138" i="1"/>
  <c r="T138" i="1"/>
  <c r="S138" i="1"/>
  <c r="R138" i="1"/>
  <c r="Q138" i="1"/>
  <c r="P138" i="1"/>
  <c r="O138" i="1"/>
  <c r="CT137" i="1"/>
  <c r="CS137" i="1"/>
  <c r="CR137" i="1"/>
  <c r="CQ137" i="1"/>
  <c r="CP137" i="1"/>
  <c r="CO137" i="1"/>
  <c r="CN137" i="1"/>
  <c r="CM137" i="1"/>
  <c r="CL137" i="1"/>
  <c r="CK137" i="1"/>
  <c r="CJ137" i="1"/>
  <c r="CI137" i="1"/>
  <c r="CH137" i="1"/>
  <c r="CG137" i="1"/>
  <c r="CF137" i="1"/>
  <c r="CE137" i="1"/>
  <c r="CD137" i="1"/>
  <c r="CC137" i="1"/>
  <c r="CB137" i="1"/>
  <c r="CA137" i="1"/>
  <c r="BZ137" i="1"/>
  <c r="BY137" i="1"/>
  <c r="BX137" i="1"/>
  <c r="BW137" i="1"/>
  <c r="BV137" i="1"/>
  <c r="BU137" i="1"/>
  <c r="BT137" i="1"/>
  <c r="BS137" i="1"/>
  <c r="BR137" i="1"/>
  <c r="BQ137" i="1"/>
  <c r="BP137" i="1"/>
  <c r="BO137" i="1"/>
  <c r="BN137" i="1"/>
  <c r="BM137" i="1"/>
  <c r="BL137" i="1"/>
  <c r="BK137" i="1"/>
  <c r="BJ137" i="1"/>
  <c r="BI137" i="1"/>
  <c r="BH137" i="1"/>
  <c r="BG137" i="1"/>
  <c r="BF137" i="1"/>
  <c r="BE137" i="1"/>
  <c r="BD137" i="1"/>
  <c r="BC137" i="1"/>
  <c r="BB137" i="1"/>
  <c r="BA137" i="1"/>
  <c r="AZ137" i="1"/>
  <c r="AY137" i="1"/>
  <c r="AX137" i="1"/>
  <c r="AW137" i="1"/>
  <c r="AV137" i="1"/>
  <c r="AU137" i="1"/>
  <c r="AT137" i="1"/>
  <c r="AS137" i="1"/>
  <c r="AR137" i="1"/>
  <c r="AQ137" i="1"/>
  <c r="AP137" i="1"/>
  <c r="AO137" i="1"/>
  <c r="AN137" i="1"/>
  <c r="AM137" i="1"/>
  <c r="AL137" i="1"/>
  <c r="AK137" i="1"/>
  <c r="AJ137" i="1"/>
  <c r="AI137" i="1"/>
  <c r="AH137" i="1"/>
  <c r="AG137" i="1"/>
  <c r="AF137" i="1"/>
  <c r="AE137" i="1"/>
  <c r="AD137" i="1"/>
  <c r="AC137" i="1"/>
  <c r="AB137" i="1"/>
  <c r="AA137" i="1"/>
  <c r="Z137" i="1"/>
  <c r="Y137" i="1"/>
  <c r="X137" i="1"/>
  <c r="W137" i="1"/>
  <c r="V137" i="1"/>
  <c r="U137" i="1"/>
  <c r="T137" i="1"/>
  <c r="S137" i="1"/>
  <c r="R137" i="1"/>
  <c r="Q137" i="1"/>
  <c r="P137" i="1"/>
  <c r="O137" i="1"/>
  <c r="CT136" i="1"/>
  <c r="CS136" i="1"/>
  <c r="CR136" i="1"/>
  <c r="CQ136" i="1"/>
  <c r="CP136" i="1"/>
  <c r="CO136" i="1"/>
  <c r="CN136" i="1"/>
  <c r="CM136" i="1"/>
  <c r="CL136" i="1"/>
  <c r="CK136" i="1"/>
  <c r="CJ136" i="1"/>
  <c r="CI136" i="1"/>
  <c r="CH136" i="1"/>
  <c r="CG136" i="1"/>
  <c r="CF136" i="1"/>
  <c r="CE136" i="1"/>
  <c r="CD136" i="1"/>
  <c r="CC136" i="1"/>
  <c r="CB136" i="1"/>
  <c r="CA136" i="1"/>
  <c r="BZ136" i="1"/>
  <c r="BY136" i="1"/>
  <c r="BX136" i="1"/>
  <c r="BW136" i="1"/>
  <c r="BV136" i="1"/>
  <c r="BU136" i="1"/>
  <c r="BT136" i="1"/>
  <c r="BS136" i="1"/>
  <c r="BR136" i="1"/>
  <c r="BQ136" i="1"/>
  <c r="BP136" i="1"/>
  <c r="BO136" i="1"/>
  <c r="BN136" i="1"/>
  <c r="BM136" i="1"/>
  <c r="BL136" i="1"/>
  <c r="BK136" i="1"/>
  <c r="BJ136" i="1"/>
  <c r="BI136" i="1"/>
  <c r="BH136" i="1"/>
  <c r="BG136" i="1"/>
  <c r="BF136" i="1"/>
  <c r="BE136" i="1"/>
  <c r="BD136" i="1"/>
  <c r="BC136" i="1"/>
  <c r="BB136" i="1"/>
  <c r="BA136" i="1"/>
  <c r="AZ136" i="1"/>
  <c r="AY136" i="1"/>
  <c r="AX136" i="1"/>
  <c r="AW136" i="1"/>
  <c r="AV136" i="1"/>
  <c r="AU136" i="1"/>
  <c r="AT136" i="1"/>
  <c r="AS136" i="1"/>
  <c r="AR136" i="1"/>
  <c r="AQ136"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CT135" i="1"/>
  <c r="CS135" i="1"/>
  <c r="CR135" i="1"/>
  <c r="CQ135" i="1"/>
  <c r="CP135" i="1"/>
  <c r="CO135" i="1"/>
  <c r="CN135" i="1"/>
  <c r="CM135" i="1"/>
  <c r="CL135" i="1"/>
  <c r="CK135" i="1"/>
  <c r="CJ135" i="1"/>
  <c r="CI135" i="1"/>
  <c r="CH135" i="1"/>
  <c r="CG135" i="1"/>
  <c r="CF135" i="1"/>
  <c r="CE135" i="1"/>
  <c r="CD135" i="1"/>
  <c r="CC135" i="1"/>
  <c r="CB135" i="1"/>
  <c r="CA135" i="1"/>
  <c r="BZ135" i="1"/>
  <c r="BY135" i="1"/>
  <c r="BX135" i="1"/>
  <c r="BW135" i="1"/>
  <c r="BV135" i="1"/>
  <c r="BU135" i="1"/>
  <c r="BT135" i="1"/>
  <c r="BS135" i="1"/>
  <c r="BR135" i="1"/>
  <c r="BQ135" i="1"/>
  <c r="BP135" i="1"/>
  <c r="BO135" i="1"/>
  <c r="BN135" i="1"/>
  <c r="BM135" i="1"/>
  <c r="BL135" i="1"/>
  <c r="BK135" i="1"/>
  <c r="BJ135" i="1"/>
  <c r="BI135" i="1"/>
  <c r="BH135" i="1"/>
  <c r="BG135" i="1"/>
  <c r="BF135" i="1"/>
  <c r="BE135" i="1"/>
  <c r="BD135" i="1"/>
  <c r="BC135" i="1"/>
  <c r="BB135" i="1"/>
  <c r="BA135" i="1"/>
  <c r="AZ135" i="1"/>
  <c r="AY135" i="1"/>
  <c r="AX135" i="1"/>
  <c r="AW135" i="1"/>
  <c r="AV135" i="1"/>
  <c r="AU135" i="1"/>
  <c r="AT135" i="1"/>
  <c r="AS135" i="1"/>
  <c r="AR135" i="1"/>
  <c r="AQ135" i="1"/>
  <c r="AP135" i="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CT134" i="1"/>
  <c r="CS134" i="1"/>
  <c r="CR134" i="1"/>
  <c r="CQ134" i="1"/>
  <c r="CP134" i="1"/>
  <c r="CO134" i="1"/>
  <c r="CN134" i="1"/>
  <c r="CM134" i="1"/>
  <c r="CL134" i="1"/>
  <c r="CK134" i="1"/>
  <c r="CJ134" i="1"/>
  <c r="CI134" i="1"/>
  <c r="CH134" i="1"/>
  <c r="CG134" i="1"/>
  <c r="CF134" i="1"/>
  <c r="CE134" i="1"/>
  <c r="CD134" i="1"/>
  <c r="CC134" i="1"/>
  <c r="CB134" i="1"/>
  <c r="CA134" i="1"/>
  <c r="BZ134" i="1"/>
  <c r="BY134" i="1"/>
  <c r="BX134" i="1"/>
  <c r="BW134" i="1"/>
  <c r="BV134" i="1"/>
  <c r="BU134" i="1"/>
  <c r="BT134" i="1"/>
  <c r="BS134" i="1"/>
  <c r="BR134" i="1"/>
  <c r="BQ134" i="1"/>
  <c r="BP134" i="1"/>
  <c r="BO134" i="1"/>
  <c r="BN134" i="1"/>
  <c r="BM134" i="1"/>
  <c r="BL134" i="1"/>
  <c r="BK134" i="1"/>
  <c r="BJ134" i="1"/>
  <c r="BI134" i="1"/>
  <c r="BH134" i="1"/>
  <c r="BG134" i="1"/>
  <c r="BF134" i="1"/>
  <c r="BE134" i="1"/>
  <c r="BD134" i="1"/>
  <c r="BC134" i="1"/>
  <c r="BB134" i="1"/>
  <c r="BA134" i="1"/>
  <c r="AZ134" i="1"/>
  <c r="AY134" i="1"/>
  <c r="AX134" i="1"/>
  <c r="AW134" i="1"/>
  <c r="AV134" i="1"/>
  <c r="AU134" i="1"/>
  <c r="AT134" i="1"/>
  <c r="AS134" i="1"/>
  <c r="AR134" i="1"/>
  <c r="AQ134" i="1"/>
  <c r="AP134" i="1"/>
  <c r="AO134" i="1"/>
  <c r="AN134" i="1"/>
  <c r="AM134" i="1"/>
  <c r="AL134" i="1"/>
  <c r="AK134" i="1"/>
  <c r="AJ134" i="1"/>
  <c r="AI134" i="1"/>
  <c r="AH134" i="1"/>
  <c r="AG134" i="1"/>
  <c r="AF134" i="1"/>
  <c r="AE134" i="1"/>
  <c r="AD134" i="1"/>
  <c r="AC134" i="1"/>
  <c r="AB134" i="1"/>
  <c r="AA134" i="1"/>
  <c r="Z134" i="1"/>
  <c r="Y134" i="1"/>
  <c r="X134" i="1"/>
  <c r="W134" i="1"/>
  <c r="V134" i="1"/>
  <c r="U134" i="1"/>
  <c r="T134" i="1"/>
  <c r="S134" i="1"/>
  <c r="R134" i="1"/>
  <c r="Q134" i="1"/>
  <c r="P134" i="1"/>
  <c r="O134" i="1"/>
  <c r="CT133" i="1"/>
  <c r="CS133" i="1"/>
  <c r="CR133" i="1"/>
  <c r="CQ133" i="1"/>
  <c r="CP133" i="1"/>
  <c r="CO133" i="1"/>
  <c r="CN133" i="1"/>
  <c r="CM133" i="1"/>
  <c r="CL133" i="1"/>
  <c r="CK133" i="1"/>
  <c r="CJ133" i="1"/>
  <c r="CI133" i="1"/>
  <c r="CH133" i="1"/>
  <c r="CG133" i="1"/>
  <c r="CF133" i="1"/>
  <c r="CE133" i="1"/>
  <c r="CD133" i="1"/>
  <c r="CC133" i="1"/>
  <c r="CB133" i="1"/>
  <c r="CA133" i="1"/>
  <c r="BZ133" i="1"/>
  <c r="BY133" i="1"/>
  <c r="BX133" i="1"/>
  <c r="BW133" i="1"/>
  <c r="BV133" i="1"/>
  <c r="BU133" i="1"/>
  <c r="BT133" i="1"/>
  <c r="BS133" i="1"/>
  <c r="BR133" i="1"/>
  <c r="BQ133" i="1"/>
  <c r="BP133" i="1"/>
  <c r="BO133" i="1"/>
  <c r="BN133" i="1"/>
  <c r="BM133" i="1"/>
  <c r="BL133" i="1"/>
  <c r="BK133" i="1"/>
  <c r="BJ133" i="1"/>
  <c r="BI133" i="1"/>
  <c r="BH133" i="1"/>
  <c r="BG133" i="1"/>
  <c r="BF133" i="1"/>
  <c r="BE133" i="1"/>
  <c r="BD133" i="1"/>
  <c r="BC133" i="1"/>
  <c r="BB133" i="1"/>
  <c r="BA133" i="1"/>
  <c r="AZ133" i="1"/>
  <c r="AY133" i="1"/>
  <c r="AX133" i="1"/>
  <c r="AW133" i="1"/>
  <c r="AV133" i="1"/>
  <c r="AU133" i="1"/>
  <c r="AT133" i="1"/>
  <c r="AS133" i="1"/>
  <c r="AR133" i="1"/>
  <c r="AQ133" i="1"/>
  <c r="AP133" i="1"/>
  <c r="AO133" i="1"/>
  <c r="AN133" i="1"/>
  <c r="AM133" i="1"/>
  <c r="AL133" i="1"/>
  <c r="AK133" i="1"/>
  <c r="AJ133" i="1"/>
  <c r="AI133" i="1"/>
  <c r="AH133" i="1"/>
  <c r="AG133" i="1"/>
  <c r="AF133" i="1"/>
  <c r="AE133" i="1"/>
  <c r="AD133" i="1"/>
  <c r="AC133" i="1"/>
  <c r="AB133" i="1"/>
  <c r="AA133" i="1"/>
  <c r="Z133" i="1"/>
  <c r="Y133" i="1"/>
  <c r="X133" i="1"/>
  <c r="W133" i="1"/>
  <c r="V133" i="1"/>
  <c r="U133" i="1"/>
  <c r="T133" i="1"/>
  <c r="S133" i="1"/>
  <c r="R133" i="1"/>
  <c r="Q133" i="1"/>
  <c r="P133" i="1"/>
  <c r="O133" i="1"/>
  <c r="CT132" i="1"/>
  <c r="CS132" i="1"/>
  <c r="CR132" i="1"/>
  <c r="CQ132" i="1"/>
  <c r="CP132" i="1"/>
  <c r="CO132" i="1"/>
  <c r="CN132" i="1"/>
  <c r="CM132" i="1"/>
  <c r="CL132" i="1"/>
  <c r="CK132" i="1"/>
  <c r="CJ132" i="1"/>
  <c r="CI132" i="1"/>
  <c r="CH132" i="1"/>
  <c r="CG132" i="1"/>
  <c r="CF132" i="1"/>
  <c r="CE132" i="1"/>
  <c r="CD132" i="1"/>
  <c r="CC132" i="1"/>
  <c r="CB132" i="1"/>
  <c r="CA132" i="1"/>
  <c r="BZ132" i="1"/>
  <c r="BY132" i="1"/>
  <c r="BX132" i="1"/>
  <c r="BW132" i="1"/>
  <c r="BV132" i="1"/>
  <c r="BU132" i="1"/>
  <c r="BT132" i="1"/>
  <c r="BS132" i="1"/>
  <c r="BR132" i="1"/>
  <c r="BQ132" i="1"/>
  <c r="BP132" i="1"/>
  <c r="BO132" i="1"/>
  <c r="BN132" i="1"/>
  <c r="BM132" i="1"/>
  <c r="BL132" i="1"/>
  <c r="BK132" i="1"/>
  <c r="BJ132" i="1"/>
  <c r="BI132" i="1"/>
  <c r="BH132" i="1"/>
  <c r="BG132" i="1"/>
  <c r="BF132" i="1"/>
  <c r="BE132" i="1"/>
  <c r="BD132" i="1"/>
  <c r="BC132" i="1"/>
  <c r="BB132" i="1"/>
  <c r="BA132"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Y132" i="1"/>
  <c r="X132" i="1"/>
  <c r="W132" i="1"/>
  <c r="V132" i="1"/>
  <c r="U132" i="1"/>
  <c r="T132" i="1"/>
  <c r="S132" i="1"/>
  <c r="R132" i="1"/>
  <c r="Q132" i="1"/>
  <c r="P132" i="1"/>
  <c r="O132" i="1"/>
  <c r="CT131" i="1"/>
  <c r="CS131" i="1"/>
  <c r="CR131" i="1"/>
  <c r="CQ131" i="1"/>
  <c r="CP131" i="1"/>
  <c r="CO131" i="1"/>
  <c r="CN131" i="1"/>
  <c r="CM131" i="1"/>
  <c r="CL131" i="1"/>
  <c r="CK131" i="1"/>
  <c r="CJ131" i="1"/>
  <c r="CI131" i="1"/>
  <c r="CH131" i="1"/>
  <c r="CG131" i="1"/>
  <c r="CF131" i="1"/>
  <c r="CE131" i="1"/>
  <c r="CD131" i="1"/>
  <c r="CC131" i="1"/>
  <c r="CB131" i="1"/>
  <c r="CA131" i="1"/>
  <c r="BZ131" i="1"/>
  <c r="BY131" i="1"/>
  <c r="BX131" i="1"/>
  <c r="BW131" i="1"/>
  <c r="BV131" i="1"/>
  <c r="BU131" i="1"/>
  <c r="BT131" i="1"/>
  <c r="BS131" i="1"/>
  <c r="BR131" i="1"/>
  <c r="BQ131" i="1"/>
  <c r="BP131" i="1"/>
  <c r="BO131" i="1"/>
  <c r="BN131" i="1"/>
  <c r="BM131" i="1"/>
  <c r="BL131" i="1"/>
  <c r="BK131" i="1"/>
  <c r="BJ131" i="1"/>
  <c r="BI131" i="1"/>
  <c r="BH131" i="1"/>
  <c r="BG131" i="1"/>
  <c r="BF131" i="1"/>
  <c r="BE131" i="1"/>
  <c r="BD131" i="1"/>
  <c r="BC131" i="1"/>
  <c r="BB131" i="1"/>
  <c r="BA131" i="1"/>
  <c r="AZ131" i="1"/>
  <c r="AY131" i="1"/>
  <c r="AX131" i="1"/>
  <c r="AW131" i="1"/>
  <c r="AV131" i="1"/>
  <c r="AU131" i="1"/>
  <c r="AT131" i="1"/>
  <c r="AS131" i="1"/>
  <c r="AR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R131" i="1"/>
  <c r="Q131" i="1"/>
  <c r="P131" i="1"/>
  <c r="O131" i="1"/>
  <c r="CT130" i="1"/>
  <c r="CS130" i="1"/>
  <c r="CR130" i="1"/>
  <c r="CQ130" i="1"/>
  <c r="CP130" i="1"/>
  <c r="CO130" i="1"/>
  <c r="CN130" i="1"/>
  <c r="CM130" i="1"/>
  <c r="CL130" i="1"/>
  <c r="CK130" i="1"/>
  <c r="CJ130" i="1"/>
  <c r="CI130" i="1"/>
  <c r="CH130" i="1"/>
  <c r="CG130" i="1"/>
  <c r="CF130" i="1"/>
  <c r="CE130" i="1"/>
  <c r="CD130" i="1"/>
  <c r="CC130" i="1"/>
  <c r="CB130" i="1"/>
  <c r="CA130" i="1"/>
  <c r="BZ130" i="1"/>
  <c r="BY130" i="1"/>
  <c r="BX130" i="1"/>
  <c r="BW130" i="1"/>
  <c r="BV130" i="1"/>
  <c r="BU130" i="1"/>
  <c r="BT130" i="1"/>
  <c r="BS130" i="1"/>
  <c r="BR130" i="1"/>
  <c r="BQ130" i="1"/>
  <c r="BP130" i="1"/>
  <c r="BO130" i="1"/>
  <c r="BN130" i="1"/>
  <c r="BM130" i="1"/>
  <c r="BL130" i="1"/>
  <c r="BK130" i="1"/>
  <c r="BJ130" i="1"/>
  <c r="BI130" i="1"/>
  <c r="BH130" i="1"/>
  <c r="BG130" i="1"/>
  <c r="BF130" i="1"/>
  <c r="BE130" i="1"/>
  <c r="BD130" i="1"/>
  <c r="BC130" i="1"/>
  <c r="BB130" i="1"/>
  <c r="BA130" i="1"/>
  <c r="AZ130" i="1"/>
  <c r="AY130" i="1"/>
  <c r="AX130" i="1"/>
  <c r="AW130" i="1"/>
  <c r="AV130"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CT129" i="1"/>
  <c r="CS129" i="1"/>
  <c r="CR129" i="1"/>
  <c r="CQ129" i="1"/>
  <c r="CP129" i="1"/>
  <c r="CO129" i="1"/>
  <c r="CN129" i="1"/>
  <c r="CM129" i="1"/>
  <c r="CL129" i="1"/>
  <c r="CK129" i="1"/>
  <c r="CJ129" i="1"/>
  <c r="CI129" i="1"/>
  <c r="CH129" i="1"/>
  <c r="CG129" i="1"/>
  <c r="CF129" i="1"/>
  <c r="CE129" i="1"/>
  <c r="CD129" i="1"/>
  <c r="CC129" i="1"/>
  <c r="CB129" i="1"/>
  <c r="CA129" i="1"/>
  <c r="BZ129" i="1"/>
  <c r="BY129" i="1"/>
  <c r="BX129" i="1"/>
  <c r="BW129" i="1"/>
  <c r="BV129" i="1"/>
  <c r="BU129" i="1"/>
  <c r="BT129" i="1"/>
  <c r="BS129" i="1"/>
  <c r="BR129" i="1"/>
  <c r="BQ129" i="1"/>
  <c r="BP129" i="1"/>
  <c r="BO129" i="1"/>
  <c r="BN129" i="1"/>
  <c r="BM129" i="1"/>
  <c r="BL129" i="1"/>
  <c r="BK129" i="1"/>
  <c r="BJ129" i="1"/>
  <c r="BI129" i="1"/>
  <c r="BH129" i="1"/>
  <c r="BG129" i="1"/>
  <c r="BF129" i="1"/>
  <c r="BE129" i="1"/>
  <c r="BD129" i="1"/>
  <c r="BC129" i="1"/>
  <c r="BB129" i="1"/>
  <c r="BA129" i="1"/>
  <c r="AZ129" i="1"/>
  <c r="AY129" i="1"/>
  <c r="AX129" i="1"/>
  <c r="AW129" i="1"/>
  <c r="AV129" i="1"/>
  <c r="AU129" i="1"/>
  <c r="AT129" i="1"/>
  <c r="AS129"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CT128" i="1"/>
  <c r="CS128" i="1"/>
  <c r="CR128" i="1"/>
  <c r="CQ128" i="1"/>
  <c r="CP128" i="1"/>
  <c r="CO128" i="1"/>
  <c r="CN128" i="1"/>
  <c r="CM128" i="1"/>
  <c r="CL128" i="1"/>
  <c r="CK128" i="1"/>
  <c r="CJ128" i="1"/>
  <c r="CI128" i="1"/>
  <c r="CH128" i="1"/>
  <c r="CG128" i="1"/>
  <c r="CF128" i="1"/>
  <c r="CE128" i="1"/>
  <c r="CD128" i="1"/>
  <c r="CC128" i="1"/>
  <c r="CB128" i="1"/>
  <c r="CA128" i="1"/>
  <c r="BZ128" i="1"/>
  <c r="BY128" i="1"/>
  <c r="BX128" i="1"/>
  <c r="BW128" i="1"/>
  <c r="BV128" i="1"/>
  <c r="BU128" i="1"/>
  <c r="BT128" i="1"/>
  <c r="BS128" i="1"/>
  <c r="BR128" i="1"/>
  <c r="BQ128" i="1"/>
  <c r="BP128" i="1"/>
  <c r="BO128" i="1"/>
  <c r="BN128" i="1"/>
  <c r="BM128" i="1"/>
  <c r="BL128" i="1"/>
  <c r="BK128" i="1"/>
  <c r="BJ128" i="1"/>
  <c r="BI128" i="1"/>
  <c r="BH128" i="1"/>
  <c r="BG128" i="1"/>
  <c r="BF128" i="1"/>
  <c r="BE128" i="1"/>
  <c r="BD128" i="1"/>
  <c r="BC128" i="1"/>
  <c r="BB128" i="1"/>
  <c r="BA128" i="1"/>
  <c r="AZ128" i="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CT127" i="1"/>
  <c r="CS127" i="1"/>
  <c r="CR127" i="1"/>
  <c r="CQ127" i="1"/>
  <c r="CP127" i="1"/>
  <c r="CO127" i="1"/>
  <c r="CN127" i="1"/>
  <c r="CM127" i="1"/>
  <c r="CL127" i="1"/>
  <c r="CK127" i="1"/>
  <c r="CJ127" i="1"/>
  <c r="CI127" i="1"/>
  <c r="CH127" i="1"/>
  <c r="CG127" i="1"/>
  <c r="CF127" i="1"/>
  <c r="CE127" i="1"/>
  <c r="CD127" i="1"/>
  <c r="CC127" i="1"/>
  <c r="CB127" i="1"/>
  <c r="CA127" i="1"/>
  <c r="BZ127" i="1"/>
  <c r="BY127" i="1"/>
  <c r="BX127" i="1"/>
  <c r="BW127" i="1"/>
  <c r="BV127" i="1"/>
  <c r="BU127" i="1"/>
  <c r="BT127" i="1"/>
  <c r="BS127" i="1"/>
  <c r="BR127" i="1"/>
  <c r="BQ127" i="1"/>
  <c r="BP127" i="1"/>
  <c r="BO127" i="1"/>
  <c r="BN127" i="1"/>
  <c r="BM127" i="1"/>
  <c r="BL127" i="1"/>
  <c r="BK127" i="1"/>
  <c r="BJ127" i="1"/>
  <c r="BI127" i="1"/>
  <c r="BH127" i="1"/>
  <c r="BG127" i="1"/>
  <c r="BF127" i="1"/>
  <c r="BE127" i="1"/>
  <c r="BD127" i="1"/>
  <c r="BC127" i="1"/>
  <c r="BB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CT126" i="1"/>
  <c r="CS126" i="1"/>
  <c r="CR126" i="1"/>
  <c r="CQ126" i="1"/>
  <c r="CP126" i="1"/>
  <c r="CO126" i="1"/>
  <c r="CN126" i="1"/>
  <c r="CM126" i="1"/>
  <c r="CL126" i="1"/>
  <c r="CK126" i="1"/>
  <c r="CJ126" i="1"/>
  <c r="CI126" i="1"/>
  <c r="CH126" i="1"/>
  <c r="CG126" i="1"/>
  <c r="CF126" i="1"/>
  <c r="CE126" i="1"/>
  <c r="CD126" i="1"/>
  <c r="CC126" i="1"/>
  <c r="CB126" i="1"/>
  <c r="CA126" i="1"/>
  <c r="BZ126" i="1"/>
  <c r="BY126" i="1"/>
  <c r="BX126" i="1"/>
  <c r="BW126" i="1"/>
  <c r="BV126" i="1"/>
  <c r="BU126" i="1"/>
  <c r="BT126" i="1"/>
  <c r="BS126" i="1"/>
  <c r="BR126" i="1"/>
  <c r="BQ126" i="1"/>
  <c r="BP126" i="1"/>
  <c r="BO126" i="1"/>
  <c r="BN126" i="1"/>
  <c r="BM126" i="1"/>
  <c r="BL126" i="1"/>
  <c r="BK126" i="1"/>
  <c r="BJ126" i="1"/>
  <c r="BI126" i="1"/>
  <c r="BH126" i="1"/>
  <c r="BG126" i="1"/>
  <c r="AY126" i="1"/>
  <c r="AX126" i="1"/>
  <c r="AW126" i="1"/>
  <c r="AV126" i="1"/>
  <c r="AU126" i="1"/>
  <c r="AT126" i="1"/>
  <c r="AS126" i="1"/>
  <c r="AR126" i="1"/>
  <c r="AQ126"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CT125" i="1"/>
  <c r="CS125" i="1"/>
  <c r="CR125" i="1"/>
  <c r="CQ125" i="1"/>
  <c r="CP125" i="1"/>
  <c r="CO125" i="1"/>
  <c r="CN125" i="1"/>
  <c r="CM125" i="1"/>
  <c r="CL125" i="1"/>
  <c r="CK125" i="1"/>
  <c r="CJ125" i="1"/>
  <c r="CI125" i="1"/>
  <c r="CH125" i="1"/>
  <c r="CG125" i="1"/>
  <c r="CF125" i="1"/>
  <c r="CE125" i="1"/>
  <c r="CD125" i="1"/>
  <c r="CC125" i="1"/>
  <c r="CB125" i="1"/>
  <c r="CA125" i="1"/>
  <c r="BZ125" i="1"/>
  <c r="BY125" i="1"/>
  <c r="BX125" i="1"/>
  <c r="BW125" i="1"/>
  <c r="BV125" i="1"/>
  <c r="BU125" i="1"/>
  <c r="BT125" i="1"/>
  <c r="BS125" i="1"/>
  <c r="BR125" i="1"/>
  <c r="BQ125" i="1"/>
  <c r="BP125" i="1"/>
  <c r="BO125" i="1"/>
  <c r="BN125" i="1"/>
  <c r="BM125" i="1"/>
  <c r="BL125" i="1"/>
  <c r="BK125" i="1"/>
  <c r="BJ125" i="1"/>
  <c r="BI125" i="1"/>
  <c r="BH125" i="1"/>
  <c r="BG125" i="1"/>
  <c r="AY125" i="1"/>
  <c r="AX125" i="1"/>
  <c r="AW125" i="1"/>
  <c r="AV125" i="1"/>
  <c r="AU125" i="1"/>
  <c r="AT125" i="1"/>
  <c r="AS125"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CT124" i="1"/>
  <c r="CS124" i="1"/>
  <c r="CR124" i="1"/>
  <c r="CQ124" i="1"/>
  <c r="CP124" i="1"/>
  <c r="CO124" i="1"/>
  <c r="CN124" i="1"/>
  <c r="CM124" i="1"/>
  <c r="CL124" i="1"/>
  <c r="CK124" i="1"/>
  <c r="CJ124" i="1"/>
  <c r="CI124" i="1"/>
  <c r="CH124" i="1"/>
  <c r="CG124" i="1"/>
  <c r="CF124" i="1"/>
  <c r="CE124" i="1"/>
  <c r="CD124" i="1"/>
  <c r="CC124" i="1"/>
  <c r="CB124" i="1"/>
  <c r="CA124" i="1"/>
  <c r="BZ124" i="1"/>
  <c r="BY124" i="1"/>
  <c r="BX124" i="1"/>
  <c r="BW124" i="1"/>
  <c r="BV124" i="1"/>
  <c r="BU124" i="1"/>
  <c r="BT124" i="1"/>
  <c r="BS124" i="1"/>
  <c r="BR124" i="1"/>
  <c r="BQ124" i="1"/>
  <c r="BP124" i="1"/>
  <c r="BO124" i="1"/>
  <c r="BN124" i="1"/>
  <c r="BM124" i="1"/>
  <c r="BL124" i="1"/>
  <c r="BK124" i="1"/>
  <c r="BJ124" i="1"/>
  <c r="BI124" i="1"/>
  <c r="BH124" i="1"/>
  <c r="BG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Y124" i="1"/>
  <c r="X124" i="1"/>
  <c r="W124" i="1"/>
  <c r="V124" i="1"/>
  <c r="U124" i="1"/>
  <c r="T124" i="1"/>
  <c r="S124" i="1"/>
  <c r="R124" i="1"/>
  <c r="Q124" i="1"/>
  <c r="P124" i="1"/>
  <c r="O124" i="1"/>
  <c r="CT123" i="1"/>
  <c r="CS123" i="1"/>
  <c r="CR123" i="1"/>
  <c r="CQ123" i="1"/>
  <c r="CP123" i="1"/>
  <c r="CO123" i="1"/>
  <c r="CN123" i="1"/>
  <c r="CM123" i="1"/>
  <c r="CL123" i="1"/>
  <c r="CK123" i="1"/>
  <c r="CJ123" i="1"/>
  <c r="CI123" i="1"/>
  <c r="CH123" i="1"/>
  <c r="CG123" i="1"/>
  <c r="CF123" i="1"/>
  <c r="CE123" i="1"/>
  <c r="CD123" i="1"/>
  <c r="CC123" i="1"/>
  <c r="CB123" i="1"/>
  <c r="CA123" i="1"/>
  <c r="BZ123" i="1"/>
  <c r="BY123" i="1"/>
  <c r="BX123" i="1"/>
  <c r="BW123" i="1"/>
  <c r="BV123" i="1"/>
  <c r="BU123" i="1"/>
  <c r="BT123" i="1"/>
  <c r="BS123" i="1"/>
  <c r="BR123" i="1"/>
  <c r="BQ123" i="1"/>
  <c r="BP123" i="1"/>
  <c r="BO123" i="1"/>
  <c r="BN123" i="1"/>
  <c r="BM123" i="1"/>
  <c r="BL123" i="1"/>
  <c r="BK123" i="1"/>
  <c r="BJ123" i="1"/>
  <c r="BI123" i="1"/>
  <c r="BH123" i="1"/>
  <c r="BG123" i="1"/>
  <c r="AY123" i="1"/>
  <c r="AX123" i="1"/>
  <c r="AW123" i="1"/>
  <c r="AV123" i="1"/>
  <c r="AU123" i="1"/>
  <c r="AT123" i="1"/>
  <c r="AS123" i="1"/>
  <c r="AR123" i="1"/>
  <c r="AQ123" i="1"/>
  <c r="AP123" i="1"/>
  <c r="AO123" i="1"/>
  <c r="AN123" i="1"/>
  <c r="AM123" i="1"/>
  <c r="AL123" i="1"/>
  <c r="AK123" i="1"/>
  <c r="AJ123" i="1"/>
  <c r="AI123" i="1"/>
  <c r="AH123" i="1"/>
  <c r="AG123" i="1"/>
  <c r="AF123" i="1"/>
  <c r="AE123" i="1"/>
  <c r="AD123" i="1"/>
  <c r="AC123" i="1"/>
  <c r="AB123" i="1"/>
  <c r="AA123" i="1"/>
  <c r="Z123" i="1"/>
  <c r="Y123" i="1"/>
  <c r="X123" i="1"/>
  <c r="W123" i="1"/>
  <c r="V123" i="1"/>
  <c r="U123" i="1"/>
  <c r="T123" i="1"/>
  <c r="S123" i="1"/>
  <c r="R123" i="1"/>
  <c r="Q123" i="1"/>
  <c r="P123" i="1"/>
  <c r="O123" i="1"/>
  <c r="CT122" i="1"/>
  <c r="CS122" i="1"/>
  <c r="CR122" i="1"/>
  <c r="CQ122" i="1"/>
  <c r="CP122" i="1"/>
  <c r="CO122" i="1"/>
  <c r="CN122" i="1"/>
  <c r="CM122" i="1"/>
  <c r="CL122" i="1"/>
  <c r="CK122" i="1"/>
  <c r="CJ122" i="1"/>
  <c r="CI122" i="1"/>
  <c r="CH122" i="1"/>
  <c r="CG122" i="1"/>
  <c r="CF122" i="1"/>
  <c r="CE122" i="1"/>
  <c r="CD122" i="1"/>
  <c r="CC122" i="1"/>
  <c r="CB122" i="1"/>
  <c r="CA122" i="1"/>
  <c r="BZ122" i="1"/>
  <c r="BY122" i="1"/>
  <c r="BX122" i="1"/>
  <c r="BW122" i="1"/>
  <c r="BV122" i="1"/>
  <c r="BU122" i="1"/>
  <c r="BT122" i="1"/>
  <c r="BS122" i="1"/>
  <c r="BR122" i="1"/>
  <c r="BQ122" i="1"/>
  <c r="BP122" i="1"/>
  <c r="BO122" i="1"/>
  <c r="BN122" i="1"/>
  <c r="BM122" i="1"/>
  <c r="BL122" i="1"/>
  <c r="BK122" i="1"/>
  <c r="BJ122" i="1"/>
  <c r="BI122" i="1"/>
  <c r="BH122" i="1"/>
  <c r="BG122" i="1"/>
  <c r="AY122" i="1"/>
  <c r="AX122" i="1"/>
  <c r="AW122" i="1"/>
  <c r="AV122" i="1"/>
  <c r="AU122" i="1"/>
  <c r="AT122" i="1"/>
  <c r="AS122" i="1"/>
  <c r="AR122" i="1"/>
  <c r="AQ122" i="1"/>
  <c r="AP122" i="1"/>
  <c r="AO122" i="1"/>
  <c r="AN122" i="1"/>
  <c r="AM122" i="1"/>
  <c r="AL122" i="1"/>
  <c r="AK122" i="1"/>
  <c r="AJ122" i="1"/>
  <c r="AI122" i="1"/>
  <c r="AH122" i="1"/>
  <c r="AG122" i="1"/>
  <c r="AF122" i="1"/>
  <c r="AE122" i="1"/>
  <c r="AD122" i="1"/>
  <c r="AC122" i="1"/>
  <c r="AB122" i="1"/>
  <c r="AA122" i="1"/>
  <c r="Z122" i="1"/>
  <c r="Y122" i="1"/>
  <c r="X122" i="1"/>
  <c r="W122" i="1"/>
  <c r="V122" i="1"/>
  <c r="U122" i="1"/>
  <c r="T122" i="1"/>
  <c r="S122" i="1"/>
  <c r="R122" i="1"/>
  <c r="Q122" i="1"/>
  <c r="P122" i="1"/>
  <c r="O122" i="1"/>
  <c r="CT121" i="1"/>
  <c r="CS121" i="1"/>
  <c r="CR121" i="1"/>
  <c r="CQ121" i="1"/>
  <c r="CP121" i="1"/>
  <c r="CO121" i="1"/>
  <c r="CN121" i="1"/>
  <c r="CM121" i="1"/>
  <c r="CL121" i="1"/>
  <c r="CK121" i="1"/>
  <c r="CJ121" i="1"/>
  <c r="CI121" i="1"/>
  <c r="CH121" i="1"/>
  <c r="CG121" i="1"/>
  <c r="CF121" i="1"/>
  <c r="CE121" i="1"/>
  <c r="CD121" i="1"/>
  <c r="CC121" i="1"/>
  <c r="CB121" i="1"/>
  <c r="CA121" i="1"/>
  <c r="BZ121" i="1"/>
  <c r="BY121" i="1"/>
  <c r="BX121" i="1"/>
  <c r="BW121" i="1"/>
  <c r="BV121" i="1"/>
  <c r="BU121" i="1"/>
  <c r="BT121" i="1"/>
  <c r="BS121" i="1"/>
  <c r="BR121" i="1"/>
  <c r="BQ121" i="1"/>
  <c r="BP121" i="1"/>
  <c r="BO121" i="1"/>
  <c r="BN121" i="1"/>
  <c r="BM121" i="1"/>
  <c r="BL121" i="1"/>
  <c r="BK121" i="1"/>
  <c r="BJ121" i="1"/>
  <c r="BI121" i="1"/>
  <c r="BH121" i="1"/>
  <c r="BG121" i="1"/>
  <c r="AY121" i="1"/>
  <c r="AX121" i="1"/>
  <c r="AW121" i="1"/>
  <c r="AV121" i="1"/>
  <c r="AU121" i="1"/>
  <c r="AT121" i="1"/>
  <c r="AS121" i="1"/>
  <c r="AR121" i="1"/>
  <c r="AQ121"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Q121" i="1"/>
  <c r="P121" i="1"/>
  <c r="O121" i="1"/>
  <c r="CT120" i="1"/>
  <c r="CS120" i="1"/>
  <c r="CR120" i="1"/>
  <c r="CQ120" i="1"/>
  <c r="CP120" i="1"/>
  <c r="CO120" i="1"/>
  <c r="CN120" i="1"/>
  <c r="CM120" i="1"/>
  <c r="CL120" i="1"/>
  <c r="CK120" i="1"/>
  <c r="CJ120" i="1"/>
  <c r="CI120" i="1"/>
  <c r="CH120" i="1"/>
  <c r="CG120" i="1"/>
  <c r="CF120" i="1"/>
  <c r="CE120" i="1"/>
  <c r="CD120" i="1"/>
  <c r="CC120" i="1"/>
  <c r="CB120" i="1"/>
  <c r="CA120" i="1"/>
  <c r="BZ120" i="1"/>
  <c r="BY120" i="1"/>
  <c r="BX120" i="1"/>
  <c r="BW120" i="1"/>
  <c r="BV120" i="1"/>
  <c r="BU120" i="1"/>
  <c r="BT120" i="1"/>
  <c r="BS120" i="1"/>
  <c r="BR120" i="1"/>
  <c r="BQ120" i="1"/>
  <c r="BP120" i="1"/>
  <c r="BO120" i="1"/>
  <c r="BN120" i="1"/>
  <c r="BM120" i="1"/>
  <c r="BL120" i="1"/>
  <c r="BK120" i="1"/>
  <c r="BJ120" i="1"/>
  <c r="BI120" i="1"/>
  <c r="BH120" i="1"/>
  <c r="BG120" i="1"/>
  <c r="AY120" i="1"/>
  <c r="AX120" i="1"/>
  <c r="AW120" i="1"/>
  <c r="AV120" i="1"/>
  <c r="AU120" i="1"/>
  <c r="AT120" i="1"/>
  <c r="AS120" i="1"/>
  <c r="AR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O120" i="1"/>
  <c r="CT119" i="1"/>
  <c r="CS119" i="1"/>
  <c r="CR119" i="1"/>
  <c r="CQ119" i="1"/>
  <c r="CP119" i="1"/>
  <c r="CO119" i="1"/>
  <c r="CN119" i="1"/>
  <c r="CM119" i="1"/>
  <c r="CL119" i="1"/>
  <c r="CK119" i="1"/>
  <c r="CJ119" i="1"/>
  <c r="CI119" i="1"/>
  <c r="CH119" i="1"/>
  <c r="CG119" i="1"/>
  <c r="CF119" i="1"/>
  <c r="CE119" i="1"/>
  <c r="CD119" i="1"/>
  <c r="CC119" i="1"/>
  <c r="CB119" i="1"/>
  <c r="CA119" i="1"/>
  <c r="BZ119" i="1"/>
  <c r="BY119" i="1"/>
  <c r="BX119" i="1"/>
  <c r="BW119" i="1"/>
  <c r="BV119" i="1"/>
  <c r="BU119" i="1"/>
  <c r="BT119" i="1"/>
  <c r="BS119" i="1"/>
  <c r="BR119" i="1"/>
  <c r="BQ119" i="1"/>
  <c r="BP119" i="1"/>
  <c r="BO119" i="1"/>
  <c r="BN119" i="1"/>
  <c r="BM119" i="1"/>
  <c r="BL119" i="1"/>
  <c r="BK119" i="1"/>
  <c r="BJ119" i="1"/>
  <c r="BI119" i="1"/>
  <c r="BH119" i="1"/>
  <c r="BG119" i="1"/>
  <c r="AY119" i="1"/>
  <c r="AX119" i="1"/>
  <c r="AW119" i="1"/>
  <c r="AV119" i="1"/>
  <c r="AU119" i="1"/>
  <c r="AT119" i="1"/>
  <c r="AS119" i="1"/>
  <c r="AR119" i="1"/>
  <c r="AQ119" i="1"/>
  <c r="AP119" i="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CT118" i="1"/>
  <c r="CS118" i="1"/>
  <c r="CR118" i="1"/>
  <c r="CQ118" i="1"/>
  <c r="CP118" i="1"/>
  <c r="CO118" i="1"/>
  <c r="CN118" i="1"/>
  <c r="CM118" i="1"/>
  <c r="CL118" i="1"/>
  <c r="CK118" i="1"/>
  <c r="CJ118" i="1"/>
  <c r="CI118" i="1"/>
  <c r="CH118" i="1"/>
  <c r="CG118" i="1"/>
  <c r="CF118" i="1"/>
  <c r="CE118" i="1"/>
  <c r="CD118" i="1"/>
  <c r="CC118" i="1"/>
  <c r="CB118" i="1"/>
  <c r="CA118" i="1"/>
  <c r="BZ118" i="1"/>
  <c r="BY118" i="1"/>
  <c r="BX118" i="1"/>
  <c r="BW118" i="1"/>
  <c r="BV118" i="1"/>
  <c r="BU118" i="1"/>
  <c r="BT118" i="1"/>
  <c r="BS118" i="1"/>
  <c r="BR118" i="1"/>
  <c r="BQ118" i="1"/>
  <c r="BP118" i="1"/>
  <c r="BO118" i="1"/>
  <c r="BN118" i="1"/>
  <c r="BM118" i="1"/>
  <c r="BL118" i="1"/>
  <c r="BK118" i="1"/>
  <c r="BJ118" i="1"/>
  <c r="BI118" i="1"/>
  <c r="BH118" i="1"/>
  <c r="BG118" i="1"/>
  <c r="AY118" i="1"/>
  <c r="AX118" i="1"/>
  <c r="AW118" i="1"/>
  <c r="AV118" i="1"/>
  <c r="AU118" i="1"/>
  <c r="AT118" i="1"/>
  <c r="AS118" i="1"/>
  <c r="AR118" i="1"/>
  <c r="AQ118" i="1"/>
  <c r="AP118" i="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CT117" i="1"/>
  <c r="CS117" i="1"/>
  <c r="CR117" i="1"/>
  <c r="CQ117" i="1"/>
  <c r="CP117" i="1"/>
  <c r="CO117" i="1"/>
  <c r="CN117" i="1"/>
  <c r="CM117" i="1"/>
  <c r="CL117" i="1"/>
  <c r="CK117" i="1"/>
  <c r="CJ117" i="1"/>
  <c r="CI117" i="1"/>
  <c r="CH117" i="1"/>
  <c r="CG117" i="1"/>
  <c r="CF117" i="1"/>
  <c r="CE117" i="1"/>
  <c r="CD117" i="1"/>
  <c r="CC117" i="1"/>
  <c r="CB117" i="1"/>
  <c r="CA117" i="1"/>
  <c r="BZ117" i="1"/>
  <c r="BY117" i="1"/>
  <c r="BX117" i="1"/>
  <c r="BW117" i="1"/>
  <c r="BV117" i="1"/>
  <c r="BU117" i="1"/>
  <c r="BT117" i="1"/>
  <c r="BS117" i="1"/>
  <c r="BR117" i="1"/>
  <c r="BQ117" i="1"/>
  <c r="BP117" i="1"/>
  <c r="BO117" i="1"/>
  <c r="BN117" i="1"/>
  <c r="BM117" i="1"/>
  <c r="BL117" i="1"/>
  <c r="BK117" i="1"/>
  <c r="BJ117" i="1"/>
  <c r="BI117" i="1"/>
  <c r="BH117" i="1"/>
  <c r="BG117" i="1"/>
  <c r="AY117" i="1"/>
  <c r="AX117" i="1"/>
  <c r="AW117" i="1"/>
  <c r="AV117" i="1"/>
  <c r="AU117" i="1"/>
  <c r="AT117" i="1"/>
  <c r="AS117" i="1"/>
  <c r="AR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CT116" i="1"/>
  <c r="CS116" i="1"/>
  <c r="CR116" i="1"/>
  <c r="CQ116" i="1"/>
  <c r="CP116" i="1"/>
  <c r="CO116" i="1"/>
  <c r="CN116" i="1"/>
  <c r="CM116" i="1"/>
  <c r="CL116" i="1"/>
  <c r="CK116" i="1"/>
  <c r="CJ116" i="1"/>
  <c r="CI116" i="1"/>
  <c r="CH116" i="1"/>
  <c r="CG116" i="1"/>
  <c r="CF116" i="1"/>
  <c r="CE116" i="1"/>
  <c r="CD116" i="1"/>
  <c r="CC116" i="1"/>
  <c r="CB116" i="1"/>
  <c r="CA116" i="1"/>
  <c r="BZ116" i="1"/>
  <c r="BY116" i="1"/>
  <c r="BX116" i="1"/>
  <c r="BW116" i="1"/>
  <c r="BV116" i="1"/>
  <c r="BU116" i="1"/>
  <c r="BT116" i="1"/>
  <c r="BS116" i="1"/>
  <c r="BR116" i="1"/>
  <c r="BQ116" i="1"/>
  <c r="BP116" i="1"/>
  <c r="BO116" i="1"/>
  <c r="BN116" i="1"/>
  <c r="BM116" i="1"/>
  <c r="BL116" i="1"/>
  <c r="BK116" i="1"/>
  <c r="BJ116" i="1"/>
  <c r="BI116" i="1"/>
  <c r="BH116" i="1"/>
  <c r="BG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Y116" i="1"/>
  <c r="X116" i="1"/>
  <c r="W116" i="1"/>
  <c r="V116" i="1"/>
  <c r="U116" i="1"/>
  <c r="T116" i="1"/>
  <c r="S116" i="1"/>
  <c r="R116" i="1"/>
  <c r="Q116" i="1"/>
  <c r="P116" i="1"/>
  <c r="O116" i="1"/>
  <c r="CT115" i="1"/>
  <c r="CS115" i="1"/>
  <c r="CR115" i="1"/>
  <c r="CQ115" i="1"/>
  <c r="CP115" i="1"/>
  <c r="CO115" i="1"/>
  <c r="CN115" i="1"/>
  <c r="CM115" i="1"/>
  <c r="CL115" i="1"/>
  <c r="CK115" i="1"/>
  <c r="CJ115" i="1"/>
  <c r="CI115" i="1"/>
  <c r="CH115" i="1"/>
  <c r="CG115" i="1"/>
  <c r="CF115" i="1"/>
  <c r="CE115" i="1"/>
  <c r="CD115" i="1"/>
  <c r="CC115" i="1"/>
  <c r="CB115" i="1"/>
  <c r="CA115" i="1"/>
  <c r="BZ115" i="1"/>
  <c r="BY115" i="1"/>
  <c r="BX115" i="1"/>
  <c r="BW115" i="1"/>
  <c r="BV115" i="1"/>
  <c r="BU115" i="1"/>
  <c r="BT115" i="1"/>
  <c r="BS115" i="1"/>
  <c r="BR115" i="1"/>
  <c r="BQ115" i="1"/>
  <c r="BP115" i="1"/>
  <c r="BO115" i="1"/>
  <c r="BN115" i="1"/>
  <c r="BM115" i="1"/>
  <c r="BL115" i="1"/>
  <c r="BK115" i="1"/>
  <c r="BJ115" i="1"/>
  <c r="BI115" i="1"/>
  <c r="BH115" i="1"/>
  <c r="BG115" i="1"/>
  <c r="AY115" i="1"/>
  <c r="AX115" i="1"/>
  <c r="AW115" i="1"/>
  <c r="AV115" i="1"/>
  <c r="AU115" i="1"/>
  <c r="AT115" i="1"/>
  <c r="AS115" i="1"/>
  <c r="AR115" i="1"/>
  <c r="AQ115" i="1"/>
  <c r="AP115" i="1"/>
  <c r="AO115" i="1"/>
  <c r="AN115" i="1"/>
  <c r="AM115" i="1"/>
  <c r="AL115" i="1"/>
  <c r="AK115" i="1"/>
  <c r="AJ115" i="1"/>
  <c r="AI115" i="1"/>
  <c r="AH115" i="1"/>
  <c r="AG115" i="1"/>
  <c r="AF115" i="1"/>
  <c r="AE115" i="1"/>
  <c r="AD115" i="1"/>
  <c r="AC115" i="1"/>
  <c r="AB115" i="1"/>
  <c r="AA115" i="1"/>
  <c r="Z115" i="1"/>
  <c r="Y115" i="1"/>
  <c r="X115" i="1"/>
  <c r="W115" i="1"/>
  <c r="V115" i="1"/>
  <c r="U115" i="1"/>
  <c r="T115" i="1"/>
  <c r="S115" i="1"/>
  <c r="R115" i="1"/>
  <c r="Q115" i="1"/>
  <c r="P115" i="1"/>
  <c r="O115" i="1"/>
  <c r="CT114" i="1"/>
  <c r="CS114" i="1"/>
  <c r="CR114" i="1"/>
  <c r="CQ114" i="1"/>
  <c r="CP114" i="1"/>
  <c r="CO114" i="1"/>
  <c r="CN114" i="1"/>
  <c r="CM114" i="1"/>
  <c r="CL114" i="1"/>
  <c r="CK114" i="1"/>
  <c r="CJ114" i="1"/>
  <c r="CI114" i="1"/>
  <c r="CH114" i="1"/>
  <c r="CG114" i="1"/>
  <c r="CF114" i="1"/>
  <c r="CE114" i="1"/>
  <c r="CD114" i="1"/>
  <c r="CC114" i="1"/>
  <c r="CB114" i="1"/>
  <c r="CA114" i="1"/>
  <c r="BZ114" i="1"/>
  <c r="BY114" i="1"/>
  <c r="BX114" i="1"/>
  <c r="BW114" i="1"/>
  <c r="BV114" i="1"/>
  <c r="BU114" i="1"/>
  <c r="BT114" i="1"/>
  <c r="BS114" i="1"/>
  <c r="BR114" i="1"/>
  <c r="BQ114" i="1"/>
  <c r="BP114" i="1"/>
  <c r="BO114" i="1"/>
  <c r="BN114" i="1"/>
  <c r="BM114" i="1"/>
  <c r="BL114" i="1"/>
  <c r="BK114" i="1"/>
  <c r="BJ114" i="1"/>
  <c r="BI114" i="1"/>
  <c r="BH114" i="1"/>
  <c r="BG114" i="1"/>
  <c r="AS114" i="1"/>
  <c r="AR114" i="1"/>
  <c r="AQ114" i="1"/>
  <c r="AP114" i="1"/>
  <c r="AO114" i="1"/>
  <c r="AN114" i="1"/>
  <c r="AM114" i="1"/>
  <c r="AL114" i="1"/>
  <c r="AK114" i="1"/>
  <c r="AJ114" i="1"/>
  <c r="AI114" i="1"/>
  <c r="AH114" i="1"/>
  <c r="AG114" i="1"/>
  <c r="AF114" i="1"/>
  <c r="AE114" i="1"/>
  <c r="AD114" i="1"/>
  <c r="AC114" i="1"/>
  <c r="AB114" i="1"/>
  <c r="AA114" i="1"/>
  <c r="Z114" i="1"/>
  <c r="Y114" i="1"/>
  <c r="X114" i="1"/>
  <c r="W114" i="1"/>
  <c r="V114" i="1"/>
  <c r="U114" i="1"/>
  <c r="T114" i="1"/>
  <c r="S114" i="1"/>
  <c r="R114" i="1"/>
  <c r="Q114" i="1"/>
  <c r="P114" i="1"/>
  <c r="O114" i="1"/>
  <c r="CT113" i="1"/>
  <c r="CS113" i="1"/>
  <c r="CR113" i="1"/>
  <c r="CQ113" i="1"/>
  <c r="CP113" i="1"/>
  <c r="CO113" i="1"/>
  <c r="CN113" i="1"/>
  <c r="CM113" i="1"/>
  <c r="CL113" i="1"/>
  <c r="CK113" i="1"/>
  <c r="CJ113" i="1"/>
  <c r="CI113" i="1"/>
  <c r="CH113" i="1"/>
  <c r="CG113" i="1"/>
  <c r="CF113" i="1"/>
  <c r="CE113" i="1"/>
  <c r="CD113" i="1"/>
  <c r="CC113" i="1"/>
  <c r="CB113" i="1"/>
  <c r="CA113" i="1"/>
  <c r="BZ113" i="1"/>
  <c r="BY113" i="1"/>
  <c r="BX113" i="1"/>
  <c r="BW113" i="1"/>
  <c r="BV113" i="1"/>
  <c r="BU113" i="1"/>
  <c r="BT113" i="1"/>
  <c r="BS113" i="1"/>
  <c r="BR113" i="1"/>
  <c r="BQ113" i="1"/>
  <c r="BP113" i="1"/>
  <c r="BO113" i="1"/>
  <c r="BN113" i="1"/>
  <c r="BM113" i="1"/>
  <c r="BL113" i="1"/>
  <c r="BK113" i="1"/>
  <c r="BJ113" i="1"/>
  <c r="BI113" i="1"/>
  <c r="BH113" i="1"/>
  <c r="BG113" i="1"/>
  <c r="AS113" i="1"/>
  <c r="AR113" i="1"/>
  <c r="AQ113" i="1"/>
  <c r="AP113" i="1"/>
  <c r="AO113" i="1"/>
  <c r="AN113" i="1"/>
  <c r="AM113" i="1"/>
  <c r="AL113" i="1"/>
  <c r="AK113" i="1"/>
  <c r="AJ113" i="1"/>
  <c r="AI113" i="1"/>
  <c r="AH113" i="1"/>
  <c r="R112" i="10" s="1"/>
  <c r="AG113" i="1"/>
  <c r="AF113" i="1"/>
  <c r="AE113" i="1"/>
  <c r="AD113" i="1"/>
  <c r="AC113" i="1"/>
  <c r="AB113" i="1"/>
  <c r="AA113" i="1"/>
  <c r="Z113" i="1"/>
  <c r="Y113" i="1"/>
  <c r="X113" i="1"/>
  <c r="W113" i="1"/>
  <c r="V113" i="1"/>
  <c r="U113" i="1"/>
  <c r="T113" i="1"/>
  <c r="S113" i="1"/>
  <c r="R113" i="1"/>
  <c r="Q113" i="1"/>
  <c r="P113" i="1"/>
  <c r="O113" i="1"/>
  <c r="CT112" i="1"/>
  <c r="CS112" i="1"/>
  <c r="CR112" i="1"/>
  <c r="CQ112" i="1"/>
  <c r="CP112" i="1"/>
  <c r="CO112" i="1"/>
  <c r="CN112" i="1"/>
  <c r="CM112" i="1"/>
  <c r="CL112" i="1"/>
  <c r="CK112" i="1"/>
  <c r="CJ112" i="1"/>
  <c r="CI112" i="1"/>
  <c r="CH112" i="1"/>
  <c r="CG112" i="1"/>
  <c r="CF112" i="1"/>
  <c r="CE112" i="1"/>
  <c r="CD112" i="1"/>
  <c r="CC112" i="1"/>
  <c r="CB112" i="1"/>
  <c r="CA112" i="1"/>
  <c r="BZ112" i="1"/>
  <c r="BY112" i="1"/>
  <c r="BX112" i="1"/>
  <c r="BW112" i="1"/>
  <c r="BV112" i="1"/>
  <c r="BU112" i="1"/>
  <c r="BT112" i="1"/>
  <c r="BS112" i="1"/>
  <c r="BR112" i="1"/>
  <c r="BQ112" i="1"/>
  <c r="BP112" i="1"/>
  <c r="BO112" i="1"/>
  <c r="BN112" i="1"/>
  <c r="BM112" i="1"/>
  <c r="BL112" i="1"/>
  <c r="BK112" i="1"/>
  <c r="BJ112" i="1"/>
  <c r="BI112" i="1"/>
  <c r="BH112" i="1"/>
  <c r="BG112" i="1"/>
  <c r="AS112" i="1"/>
  <c r="AR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CT111" i="1"/>
  <c r="CS111" i="1"/>
  <c r="CR111" i="1"/>
  <c r="CQ111" i="1"/>
  <c r="CP111" i="1"/>
  <c r="CO111" i="1"/>
  <c r="CN111" i="1"/>
  <c r="CM111" i="1"/>
  <c r="CL111" i="1"/>
  <c r="CK111" i="1"/>
  <c r="CJ111" i="1"/>
  <c r="CI111" i="1"/>
  <c r="CH111" i="1"/>
  <c r="CG111" i="1"/>
  <c r="CF111" i="1"/>
  <c r="CE111" i="1"/>
  <c r="CD111" i="1"/>
  <c r="CC111" i="1"/>
  <c r="CB111" i="1"/>
  <c r="CA111" i="1"/>
  <c r="BZ111" i="1"/>
  <c r="BY111" i="1"/>
  <c r="BX111" i="1"/>
  <c r="BW111" i="1"/>
  <c r="BV111" i="1"/>
  <c r="BU111" i="1"/>
  <c r="BT111" i="1"/>
  <c r="BS111" i="1"/>
  <c r="BR111" i="1"/>
  <c r="BQ111" i="1"/>
  <c r="BP111" i="1"/>
  <c r="BO111" i="1"/>
  <c r="BN111" i="1"/>
  <c r="BM111" i="1"/>
  <c r="BL111" i="1"/>
  <c r="BK111" i="1"/>
  <c r="BJ111" i="1"/>
  <c r="BI111" i="1"/>
  <c r="BH111" i="1"/>
  <c r="BG111" i="1"/>
  <c r="AS111" i="1"/>
  <c r="AR111" i="1"/>
  <c r="AQ111" i="1"/>
  <c r="AP111" i="1"/>
  <c r="AO111" i="1"/>
  <c r="AN111" i="1"/>
  <c r="AM111" i="1"/>
  <c r="AL111" i="1"/>
  <c r="AK111" i="1"/>
  <c r="AJ111" i="1"/>
  <c r="AI111" i="1"/>
  <c r="AH111" i="1"/>
  <c r="AG111" i="1"/>
  <c r="AF111" i="1"/>
  <c r="AE111" i="1"/>
  <c r="AD111" i="1"/>
  <c r="AC111" i="1"/>
  <c r="AB111" i="1"/>
  <c r="AA111" i="1"/>
  <c r="Z111" i="1"/>
  <c r="Y111" i="1"/>
  <c r="X111" i="1"/>
  <c r="W111" i="1"/>
  <c r="V111" i="1"/>
  <c r="U111" i="1"/>
  <c r="T111" i="1"/>
  <c r="S111" i="1"/>
  <c r="R111" i="1"/>
  <c r="Q111" i="1"/>
  <c r="P111" i="1"/>
  <c r="O111" i="1"/>
  <c r="CT110" i="1"/>
  <c r="CS110" i="1"/>
  <c r="CR110" i="1"/>
  <c r="CQ110" i="1"/>
  <c r="CP110" i="1"/>
  <c r="CO110" i="1"/>
  <c r="CN110" i="1"/>
  <c r="CM110" i="1"/>
  <c r="CL110" i="1"/>
  <c r="CK110" i="1"/>
  <c r="CJ110" i="1"/>
  <c r="CI110" i="1"/>
  <c r="CH110" i="1"/>
  <c r="CG110" i="1"/>
  <c r="CF110" i="1"/>
  <c r="CE110" i="1"/>
  <c r="CD110" i="1"/>
  <c r="CC110" i="1"/>
  <c r="CB110" i="1"/>
  <c r="CA110" i="1"/>
  <c r="BZ110" i="1"/>
  <c r="BY110" i="1"/>
  <c r="BX110" i="1"/>
  <c r="BW110" i="1"/>
  <c r="BV110" i="1"/>
  <c r="BU110" i="1"/>
  <c r="BT110" i="1"/>
  <c r="BS110" i="1"/>
  <c r="BR110" i="1"/>
  <c r="BQ110" i="1"/>
  <c r="BP110" i="1"/>
  <c r="BO110" i="1"/>
  <c r="BN110" i="1"/>
  <c r="BM110" i="1"/>
  <c r="BL110" i="1"/>
  <c r="BK110" i="1"/>
  <c r="BJ110" i="1"/>
  <c r="BI110" i="1"/>
  <c r="BH110" i="1"/>
  <c r="BG110" i="1"/>
  <c r="AS110"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CT109" i="1"/>
  <c r="CS109" i="1"/>
  <c r="CR109" i="1"/>
  <c r="CQ109" i="1"/>
  <c r="CP109" i="1"/>
  <c r="CO109" i="1"/>
  <c r="CN109" i="1"/>
  <c r="CM109" i="1"/>
  <c r="CL109" i="1"/>
  <c r="CK109" i="1"/>
  <c r="CJ109" i="1"/>
  <c r="CI109" i="1"/>
  <c r="CH109" i="1"/>
  <c r="CG109" i="1"/>
  <c r="CF109" i="1"/>
  <c r="CE109" i="1"/>
  <c r="CD109" i="1"/>
  <c r="CC109" i="1"/>
  <c r="CB109" i="1"/>
  <c r="CA109" i="1"/>
  <c r="BZ109" i="1"/>
  <c r="BY109" i="1"/>
  <c r="BX109" i="1"/>
  <c r="BW109" i="1"/>
  <c r="BV109" i="1"/>
  <c r="BU109" i="1"/>
  <c r="BT109" i="1"/>
  <c r="BS109" i="1"/>
  <c r="BR109" i="1"/>
  <c r="BQ109" i="1"/>
  <c r="BP109" i="1"/>
  <c r="BO109" i="1"/>
  <c r="BN109" i="1"/>
  <c r="BM109" i="1"/>
  <c r="BL109" i="1"/>
  <c r="BK109" i="1"/>
  <c r="BJ109" i="1"/>
  <c r="BI109" i="1"/>
  <c r="BH109" i="1"/>
  <c r="BG109" i="1"/>
  <c r="AS109" i="1"/>
  <c r="AR109" i="1"/>
  <c r="AQ109" i="1"/>
  <c r="AP109" i="1"/>
  <c r="AO109" i="1"/>
  <c r="AN109" i="1"/>
  <c r="AM109" i="1"/>
  <c r="AL109" i="1"/>
  <c r="AK109" i="1"/>
  <c r="AJ109" i="1"/>
  <c r="AI109" i="1"/>
  <c r="AH109" i="1"/>
  <c r="AG109" i="1"/>
  <c r="AF109" i="1"/>
  <c r="AE109" i="1"/>
  <c r="AD109" i="1"/>
  <c r="AC109" i="1"/>
  <c r="AB109" i="1"/>
  <c r="AA109" i="1"/>
  <c r="Z109" i="1"/>
  <c r="Y109" i="1"/>
  <c r="X109" i="1"/>
  <c r="W109" i="1"/>
  <c r="V109" i="1"/>
  <c r="U109" i="1"/>
  <c r="T109" i="1"/>
  <c r="S109" i="1"/>
  <c r="R109" i="1"/>
  <c r="Q109" i="1"/>
  <c r="P109" i="1"/>
  <c r="O109" i="1"/>
  <c r="CT108" i="1"/>
  <c r="CS108" i="1"/>
  <c r="CR108" i="1"/>
  <c r="CQ108" i="1"/>
  <c r="CP108" i="1"/>
  <c r="CO108" i="1"/>
  <c r="CN108" i="1"/>
  <c r="CM108" i="1"/>
  <c r="CL108" i="1"/>
  <c r="CK108" i="1"/>
  <c r="CJ108" i="1"/>
  <c r="CI108" i="1"/>
  <c r="CH108" i="1"/>
  <c r="CG108" i="1"/>
  <c r="CF108" i="1"/>
  <c r="CE108" i="1"/>
  <c r="CD108" i="1"/>
  <c r="CC108" i="1"/>
  <c r="CB108" i="1"/>
  <c r="CA108" i="1"/>
  <c r="BZ108" i="1"/>
  <c r="BY108" i="1"/>
  <c r="BX108" i="1"/>
  <c r="BW108" i="1"/>
  <c r="BV108" i="1"/>
  <c r="BU108" i="1"/>
  <c r="BT108" i="1"/>
  <c r="BS108" i="1"/>
  <c r="BR108" i="1"/>
  <c r="BQ108" i="1"/>
  <c r="BP108" i="1"/>
  <c r="BO108" i="1"/>
  <c r="BN108" i="1"/>
  <c r="BM108" i="1"/>
  <c r="BL108" i="1"/>
  <c r="BK108" i="1"/>
  <c r="BJ108" i="1"/>
  <c r="BI108" i="1"/>
  <c r="BH108" i="1"/>
  <c r="BG108" i="1"/>
  <c r="AS108" i="1"/>
  <c r="AR108" i="1"/>
  <c r="AQ108" i="1"/>
  <c r="AP108" i="1"/>
  <c r="AO108" i="1"/>
  <c r="AN108" i="1"/>
  <c r="AM108" i="1"/>
  <c r="AL108" i="1"/>
  <c r="AK108" i="1"/>
  <c r="AJ108" i="1"/>
  <c r="AI108" i="1"/>
  <c r="AH108" i="1"/>
  <c r="AG108" i="1"/>
  <c r="AF108" i="1"/>
  <c r="AE108" i="1"/>
  <c r="AD108" i="1"/>
  <c r="AC108" i="1"/>
  <c r="AB108" i="1"/>
  <c r="AA108" i="1"/>
  <c r="Z108" i="1"/>
  <c r="Y108" i="1"/>
  <c r="X108" i="1"/>
  <c r="W108" i="1"/>
  <c r="V108" i="1"/>
  <c r="U108" i="1"/>
  <c r="T108" i="1"/>
  <c r="S108" i="1"/>
  <c r="R108" i="1"/>
  <c r="Q108" i="1"/>
  <c r="P108" i="1"/>
  <c r="O108" i="1"/>
  <c r="CT107" i="1"/>
  <c r="CS107" i="1"/>
  <c r="CR107" i="1"/>
  <c r="CQ107" i="1"/>
  <c r="CP107" i="1"/>
  <c r="CO107" i="1"/>
  <c r="CN107" i="1"/>
  <c r="CM107" i="1"/>
  <c r="CL107" i="1"/>
  <c r="CK107" i="1"/>
  <c r="CJ107" i="1"/>
  <c r="CI107" i="1"/>
  <c r="CH107" i="1"/>
  <c r="CG107" i="1"/>
  <c r="CF107" i="1"/>
  <c r="CE107" i="1"/>
  <c r="CD107" i="1"/>
  <c r="CC107" i="1"/>
  <c r="CB107" i="1"/>
  <c r="CA107" i="1"/>
  <c r="BZ107" i="1"/>
  <c r="BY107" i="1"/>
  <c r="BX107" i="1"/>
  <c r="BW107" i="1"/>
  <c r="BV107" i="1"/>
  <c r="BU107" i="1"/>
  <c r="BT107" i="1"/>
  <c r="BS107" i="1"/>
  <c r="BR107" i="1"/>
  <c r="BQ107" i="1"/>
  <c r="BP107" i="1"/>
  <c r="BO107" i="1"/>
  <c r="BN107" i="1"/>
  <c r="BM107" i="1"/>
  <c r="BL107" i="1"/>
  <c r="BK107" i="1"/>
  <c r="BJ107" i="1"/>
  <c r="BI107" i="1"/>
  <c r="BH107" i="1"/>
  <c r="BG107" i="1"/>
  <c r="AS107" i="1"/>
  <c r="AR107" i="1"/>
  <c r="AQ107" i="1"/>
  <c r="AP107" i="1"/>
  <c r="AO107" i="1"/>
  <c r="AN107" i="1"/>
  <c r="AM107" i="1"/>
  <c r="AL107" i="1"/>
  <c r="AK107" i="1"/>
  <c r="AJ107" i="1"/>
  <c r="AI107" i="1"/>
  <c r="AH107" i="1"/>
  <c r="AG107" i="1"/>
  <c r="AF107" i="1"/>
  <c r="AE107" i="1"/>
  <c r="AD107" i="1"/>
  <c r="AC107" i="1"/>
  <c r="AB107" i="1"/>
  <c r="AA107" i="1"/>
  <c r="Z107" i="1"/>
  <c r="Y107" i="1"/>
  <c r="X107" i="1"/>
  <c r="W107" i="1"/>
  <c r="V107" i="1"/>
  <c r="U107" i="1"/>
  <c r="T107" i="1"/>
  <c r="S107" i="1"/>
  <c r="R107" i="1"/>
  <c r="Q107" i="1"/>
  <c r="P107" i="1"/>
  <c r="O107" i="1"/>
  <c r="U165" i="10" l="1"/>
  <c r="T165" i="10"/>
  <c r="Q162" i="10"/>
  <c r="S165" i="10"/>
  <c r="X165" i="10"/>
  <c r="H127" i="1"/>
  <c r="R129" i="10"/>
  <c r="R141" i="10"/>
  <c r="R149" i="10"/>
  <c r="I165" i="1"/>
  <c r="S112" i="10"/>
  <c r="T112" i="10"/>
  <c r="U112" i="10"/>
  <c r="V112" i="10"/>
  <c r="W112" i="10"/>
  <c r="X112" i="10"/>
  <c r="Z112" i="10"/>
  <c r="O113" i="10"/>
  <c r="H155" i="1"/>
  <c r="S156" i="10"/>
  <c r="T156" i="10"/>
  <c r="U156" i="10"/>
  <c r="V156" i="10"/>
  <c r="W156" i="10"/>
  <c r="X156" i="10"/>
  <c r="Y156" i="10"/>
  <c r="Z156" i="10"/>
  <c r="O157" i="10"/>
  <c r="R165" i="10"/>
  <c r="Q109" i="10"/>
  <c r="S129" i="10"/>
  <c r="T129" i="10"/>
  <c r="U129" i="10"/>
  <c r="V129" i="10"/>
  <c r="W129" i="10"/>
  <c r="X129" i="10"/>
  <c r="Y129" i="10"/>
  <c r="O134" i="10"/>
  <c r="O138" i="10"/>
  <c r="S141" i="10"/>
  <c r="T141" i="10"/>
  <c r="U141" i="10"/>
  <c r="V141" i="10"/>
  <c r="X141" i="10"/>
  <c r="Y141" i="10"/>
  <c r="Z141" i="10"/>
  <c r="O142" i="10"/>
  <c r="S149" i="10"/>
  <c r="T149" i="10"/>
  <c r="U149" i="10"/>
  <c r="V149" i="10"/>
  <c r="X149" i="10"/>
  <c r="Y149" i="10"/>
  <c r="Z149" i="10"/>
  <c r="O150" i="10"/>
  <c r="Q153" i="10"/>
  <c r="S109" i="10"/>
  <c r="T109" i="10"/>
  <c r="W109" i="10"/>
  <c r="X109" i="10"/>
  <c r="Y109" i="10"/>
  <c r="Z109" i="10"/>
  <c r="Q129" i="10"/>
  <c r="P135" i="10"/>
  <c r="Q141" i="10"/>
  <c r="Q149" i="10"/>
  <c r="R109" i="10"/>
  <c r="R125" i="10"/>
  <c r="S125" i="10"/>
  <c r="T125" i="10"/>
  <c r="U125" i="10"/>
  <c r="V125" i="10"/>
  <c r="W125" i="10"/>
  <c r="X125" i="10"/>
  <c r="Y125" i="10"/>
  <c r="Z125" i="10"/>
  <c r="Q128" i="10"/>
  <c r="H131" i="1"/>
  <c r="I159" i="1"/>
  <c r="O160" i="10"/>
  <c r="R164" i="10"/>
  <c r="S164" i="10"/>
  <c r="T164" i="10"/>
  <c r="Y112" i="10"/>
  <c r="R153" i="10"/>
  <c r="S153" i="10"/>
  <c r="T153" i="10"/>
  <c r="U153" i="10"/>
  <c r="V153" i="10"/>
  <c r="W153" i="10"/>
  <c r="X153" i="10"/>
  <c r="Q156" i="10"/>
  <c r="R162" i="10"/>
  <c r="S162" i="10"/>
  <c r="Q165" i="10"/>
  <c r="O116" i="10"/>
  <c r="Q125" i="10"/>
  <c r="R128" i="10"/>
  <c r="S128" i="10"/>
  <c r="T128" i="10"/>
  <c r="H159" i="1"/>
  <c r="I163" i="1"/>
  <c r="Q164" i="10"/>
  <c r="Q112" i="10"/>
  <c r="Q108" i="10"/>
  <c r="R108" i="10"/>
  <c r="U108" i="10"/>
  <c r="V108" i="10"/>
  <c r="W108" i="10"/>
  <c r="X108" i="10"/>
  <c r="Y108" i="10"/>
  <c r="Z108" i="10"/>
  <c r="O109" i="10"/>
  <c r="O112" i="10"/>
  <c r="Q121" i="10"/>
  <c r="R121" i="10"/>
  <c r="S121" i="10"/>
  <c r="T121" i="10"/>
  <c r="U121" i="10"/>
  <c r="V121" i="10"/>
  <c r="W121" i="10"/>
  <c r="X121" i="10"/>
  <c r="Y121" i="10"/>
  <c r="Z121" i="10"/>
  <c r="Q124" i="10"/>
  <c r="R124" i="10"/>
  <c r="S124" i="10"/>
  <c r="T124" i="10"/>
  <c r="U124" i="10"/>
  <c r="V124" i="10"/>
  <c r="W124" i="10"/>
  <c r="X124" i="10"/>
  <c r="Y124" i="10"/>
  <c r="Z124" i="10"/>
  <c r="O125" i="10"/>
  <c r="O128" i="10"/>
  <c r="T162" i="10"/>
  <c r="U162" i="10"/>
  <c r="V162" i="10"/>
  <c r="W162" i="10"/>
  <c r="U128" i="10"/>
  <c r="V128" i="10"/>
  <c r="W128" i="10"/>
  <c r="X128" i="10"/>
  <c r="Y128" i="10"/>
  <c r="Z128" i="10"/>
  <c r="O129" i="10"/>
  <c r="O132" i="10"/>
  <c r="Q134" i="10"/>
  <c r="R134" i="10"/>
  <c r="S134" i="10"/>
  <c r="T134" i="10"/>
  <c r="U134" i="10"/>
  <c r="V134" i="10"/>
  <c r="W134" i="10"/>
  <c r="X134" i="10"/>
  <c r="Y134" i="10"/>
  <c r="Z134" i="10"/>
  <c r="O135" i="10"/>
  <c r="H137" i="1"/>
  <c r="Q138" i="10"/>
  <c r="R138" i="10"/>
  <c r="S138" i="10"/>
  <c r="H139" i="1"/>
  <c r="Q142" i="10"/>
  <c r="R142" i="10"/>
  <c r="S142" i="10"/>
  <c r="T142" i="10"/>
  <c r="U142" i="10"/>
  <c r="V142" i="10"/>
  <c r="W142" i="10"/>
  <c r="X142" i="10"/>
  <c r="Y142" i="10"/>
  <c r="Z142" i="10"/>
  <c r="O143" i="10"/>
  <c r="H145" i="1"/>
  <c r="H147" i="1"/>
  <c r="Q150" i="10"/>
  <c r="R150" i="10"/>
  <c r="S150" i="10"/>
  <c r="T150" i="10"/>
  <c r="U150" i="10"/>
  <c r="V150" i="10"/>
  <c r="W150" i="10"/>
  <c r="X150" i="10"/>
  <c r="Y150" i="10"/>
  <c r="Z150" i="10"/>
  <c r="O151" i="10"/>
  <c r="O154" i="10"/>
  <c r="Q157" i="10"/>
  <c r="R157" i="10"/>
  <c r="S157" i="10"/>
  <c r="T157" i="10"/>
  <c r="U157" i="10"/>
  <c r="Q160" i="10"/>
  <c r="R160" i="10"/>
  <c r="S160" i="10"/>
  <c r="T160" i="10"/>
  <c r="U160" i="10"/>
  <c r="V160" i="10"/>
  <c r="W160" i="10"/>
  <c r="X160" i="10"/>
  <c r="Y160" i="10"/>
  <c r="Z160" i="10"/>
  <c r="O161" i="10"/>
  <c r="U109" i="10"/>
  <c r="V109" i="10"/>
  <c r="Q113" i="10"/>
  <c r="R113" i="10"/>
  <c r="S113" i="10"/>
  <c r="T113" i="10"/>
  <c r="U113" i="10"/>
  <c r="V113" i="10"/>
  <c r="W113" i="10"/>
  <c r="X113" i="10"/>
  <c r="Y113" i="10"/>
  <c r="Z113" i="10"/>
  <c r="R116" i="10"/>
  <c r="S116" i="10"/>
  <c r="T116" i="10"/>
  <c r="U116" i="10"/>
  <c r="V116" i="10"/>
  <c r="W116" i="10"/>
  <c r="X116" i="10"/>
  <c r="Y116" i="10"/>
  <c r="Z116" i="10"/>
  <c r="O117" i="10"/>
  <c r="O120" i="10"/>
  <c r="I127" i="1"/>
  <c r="Z129" i="10"/>
  <c r="Q132" i="10"/>
  <c r="R132" i="10"/>
  <c r="S132" i="10"/>
  <c r="T132" i="10"/>
  <c r="U132" i="10"/>
  <c r="V132" i="10"/>
  <c r="H133" i="1"/>
  <c r="Q135" i="10"/>
  <c r="R135" i="10"/>
  <c r="S135" i="10"/>
  <c r="T135" i="10"/>
  <c r="U135" i="10"/>
  <c r="V135" i="10"/>
  <c r="X135" i="10"/>
  <c r="Y135" i="10"/>
  <c r="O140" i="10"/>
  <c r="Q143" i="10"/>
  <c r="R143" i="10"/>
  <c r="S143" i="10"/>
  <c r="T143" i="10"/>
  <c r="U143" i="10"/>
  <c r="V143" i="10"/>
  <c r="X143" i="10"/>
  <c r="Y143" i="10"/>
  <c r="Z143" i="10"/>
  <c r="O148" i="10"/>
  <c r="Q151" i="10"/>
  <c r="R151" i="10"/>
  <c r="S151" i="10"/>
  <c r="I151" i="1"/>
  <c r="O152" i="10"/>
  <c r="Q154" i="10"/>
  <c r="R154" i="10"/>
  <c r="S154" i="10"/>
  <c r="T154" i="10"/>
  <c r="U154" i="10"/>
  <c r="O158" i="10"/>
  <c r="Q161" i="10"/>
  <c r="R161" i="10"/>
  <c r="S161" i="10"/>
  <c r="T161" i="10"/>
  <c r="U161" i="10"/>
  <c r="V161" i="10"/>
  <c r="W161" i="10"/>
  <c r="H163" i="1"/>
  <c r="O164" i="10"/>
  <c r="O108" i="10"/>
  <c r="Q117" i="10"/>
  <c r="R117" i="10"/>
  <c r="S117" i="10"/>
  <c r="T117" i="10"/>
  <c r="U117" i="10"/>
  <c r="V117" i="10"/>
  <c r="W117" i="10"/>
  <c r="X117" i="10"/>
  <c r="Y117" i="10"/>
  <c r="Z117" i="10"/>
  <c r="Q120" i="10"/>
  <c r="R120" i="10"/>
  <c r="S120" i="10"/>
  <c r="T120" i="10"/>
  <c r="U120" i="10"/>
  <c r="V120" i="10"/>
  <c r="W120" i="10"/>
  <c r="X120" i="10"/>
  <c r="Y120" i="10"/>
  <c r="Z120" i="10"/>
  <c r="O121" i="10"/>
  <c r="O124" i="10"/>
  <c r="I131" i="1"/>
  <c r="I133" i="1"/>
  <c r="H135" i="1"/>
  <c r="Q140" i="10"/>
  <c r="R140" i="10"/>
  <c r="S140" i="10"/>
  <c r="T140" i="10"/>
  <c r="U140" i="10"/>
  <c r="V140" i="10"/>
  <c r="W140" i="10"/>
  <c r="X140" i="10"/>
  <c r="Y140" i="10"/>
  <c r="Z140" i="10"/>
  <c r="O141" i="10"/>
  <c r="Q148" i="10"/>
  <c r="R148" i="10"/>
  <c r="S148" i="10"/>
  <c r="T148" i="10"/>
  <c r="U148" i="10"/>
  <c r="V148" i="10"/>
  <c r="W148" i="10"/>
  <c r="X148" i="10"/>
  <c r="Y148" i="10"/>
  <c r="Z148" i="10"/>
  <c r="O149" i="10"/>
  <c r="Q152" i="10"/>
  <c r="R152" i="10"/>
  <c r="S152" i="10"/>
  <c r="T152" i="10"/>
  <c r="U152" i="10"/>
  <c r="V152" i="10"/>
  <c r="X152" i="10"/>
  <c r="Y152" i="10"/>
  <c r="Z152" i="10"/>
  <c r="O153" i="10"/>
  <c r="I155" i="1"/>
  <c r="O156" i="10"/>
  <c r="Q158" i="10"/>
  <c r="R158" i="10"/>
  <c r="S158" i="10"/>
  <c r="T158" i="10"/>
  <c r="O162" i="10"/>
  <c r="U164" i="10"/>
  <c r="V164" i="10"/>
  <c r="W164" i="10"/>
  <c r="X164" i="10"/>
  <c r="Y164" i="10"/>
  <c r="Z164" i="10"/>
  <c r="O165" i="10"/>
  <c r="S108" i="10"/>
  <c r="T108" i="10"/>
  <c r="Q116" i="10"/>
  <c r="P106" i="10"/>
  <c r="P107" i="10"/>
  <c r="P110" i="10"/>
  <c r="P111" i="10"/>
  <c r="P114" i="10"/>
  <c r="P115" i="10"/>
  <c r="P118" i="10"/>
  <c r="P119" i="10"/>
  <c r="P122" i="10"/>
  <c r="P123" i="10"/>
  <c r="P126" i="10"/>
  <c r="P127" i="10"/>
  <c r="P130" i="10"/>
  <c r="P131" i="10"/>
  <c r="I135" i="1"/>
  <c r="W135" i="10"/>
  <c r="Z135" i="10"/>
  <c r="P136" i="10"/>
  <c r="P137" i="10"/>
  <c r="W143" i="10"/>
  <c r="I143" i="1"/>
  <c r="W152" i="10"/>
  <c r="H153" i="1"/>
  <c r="O106" i="10"/>
  <c r="R106" i="10"/>
  <c r="S106" i="10"/>
  <c r="V106" i="10"/>
  <c r="X106" i="10"/>
  <c r="Z106" i="10"/>
  <c r="O107" i="10"/>
  <c r="R107" i="10"/>
  <c r="S107" i="10"/>
  <c r="V107" i="10"/>
  <c r="X107" i="10"/>
  <c r="Y107" i="10"/>
  <c r="Q110" i="10"/>
  <c r="T110" i="10"/>
  <c r="U110" i="10"/>
  <c r="Z110" i="10"/>
  <c r="O111" i="10"/>
  <c r="S111" i="10"/>
  <c r="U111" i="10"/>
  <c r="W111" i="10"/>
  <c r="X111" i="10"/>
  <c r="Y111" i="10"/>
  <c r="Z111" i="10"/>
  <c r="O114" i="10"/>
  <c r="R114" i="10"/>
  <c r="W114" i="10"/>
  <c r="Z114" i="10"/>
  <c r="Q115" i="10"/>
  <c r="S115" i="10"/>
  <c r="U115" i="10"/>
  <c r="W115" i="10"/>
  <c r="X115" i="10"/>
  <c r="Y115" i="10"/>
  <c r="O118" i="10"/>
  <c r="Q118" i="10"/>
  <c r="S118" i="10"/>
  <c r="T118" i="10"/>
  <c r="U118" i="10"/>
  <c r="V118" i="10"/>
  <c r="X118" i="10"/>
  <c r="Y118" i="10"/>
  <c r="S119" i="10"/>
  <c r="U119" i="10"/>
  <c r="W119" i="10"/>
  <c r="X119" i="10"/>
  <c r="Z119" i="10"/>
  <c r="O122" i="10"/>
  <c r="S122" i="10"/>
  <c r="U122" i="10"/>
  <c r="X122" i="10"/>
  <c r="Z122" i="10"/>
  <c r="O123" i="10"/>
  <c r="Q123" i="10"/>
  <c r="R123" i="10"/>
  <c r="S123" i="10"/>
  <c r="T123" i="10"/>
  <c r="V123" i="10"/>
  <c r="W123" i="10"/>
  <c r="X123" i="10"/>
  <c r="Y123" i="10"/>
  <c r="Z123" i="10"/>
  <c r="O126" i="10"/>
  <c r="Q126" i="10"/>
  <c r="R126" i="10"/>
  <c r="S126" i="10"/>
  <c r="T126" i="10"/>
  <c r="U126" i="10"/>
  <c r="V126" i="10"/>
  <c r="W126" i="10"/>
  <c r="X126" i="10"/>
  <c r="Y126" i="10"/>
  <c r="Z126" i="10"/>
  <c r="O127" i="10"/>
  <c r="Q127" i="10"/>
  <c r="R127" i="10"/>
  <c r="S127" i="10"/>
  <c r="T127" i="10"/>
  <c r="U127" i="10"/>
  <c r="V127" i="10"/>
  <c r="W127" i="10"/>
  <c r="X127" i="10"/>
  <c r="Y127" i="10"/>
  <c r="Z127" i="10"/>
  <c r="H129" i="1"/>
  <c r="O130" i="10"/>
  <c r="Q130" i="10"/>
  <c r="R130" i="10"/>
  <c r="S130" i="10"/>
  <c r="T130" i="10"/>
  <c r="U130" i="10"/>
  <c r="V130" i="10"/>
  <c r="W130" i="10"/>
  <c r="X130" i="10"/>
  <c r="Y130" i="10"/>
  <c r="Z130" i="10"/>
  <c r="O131" i="10"/>
  <c r="Q131" i="10"/>
  <c r="R131" i="10"/>
  <c r="S131" i="10"/>
  <c r="T131" i="10"/>
  <c r="U131" i="10"/>
  <c r="V131" i="10"/>
  <c r="W131" i="10"/>
  <c r="X131" i="10"/>
  <c r="Y131" i="10"/>
  <c r="Z131" i="10"/>
  <c r="O136" i="10"/>
  <c r="Q136" i="10"/>
  <c r="R136" i="10"/>
  <c r="S136" i="10"/>
  <c r="T136" i="10"/>
  <c r="U136" i="10"/>
  <c r="V136" i="10"/>
  <c r="W136" i="10"/>
  <c r="X136" i="10"/>
  <c r="Y136" i="10"/>
  <c r="Z136" i="10"/>
  <c r="O137" i="10"/>
  <c r="Q137" i="10"/>
  <c r="R137" i="10"/>
  <c r="S137" i="10"/>
  <c r="T137" i="10"/>
  <c r="U137" i="10"/>
  <c r="V137" i="10"/>
  <c r="I137" i="1"/>
  <c r="W137" i="10"/>
  <c r="X137" i="10"/>
  <c r="Y137" i="10"/>
  <c r="Z137" i="10"/>
  <c r="O144" i="10"/>
  <c r="Q144" i="10"/>
  <c r="R144" i="10"/>
  <c r="S144" i="10"/>
  <c r="T144" i="10"/>
  <c r="U144" i="10"/>
  <c r="V144" i="10"/>
  <c r="W144" i="10"/>
  <c r="X144" i="10"/>
  <c r="Y144" i="10"/>
  <c r="Z144" i="10"/>
  <c r="O145" i="10"/>
  <c r="Q145" i="10"/>
  <c r="R145" i="10"/>
  <c r="S145" i="10"/>
  <c r="T145" i="10"/>
  <c r="U145" i="10"/>
  <c r="V145" i="10"/>
  <c r="W145" i="10"/>
  <c r="I145" i="1"/>
  <c r="X145" i="10"/>
  <c r="Y145" i="10"/>
  <c r="Z145" i="10"/>
  <c r="Q106" i="10"/>
  <c r="T106" i="10"/>
  <c r="U106" i="10"/>
  <c r="W106" i="10"/>
  <c r="Y106" i="10"/>
  <c r="Q107" i="10"/>
  <c r="T107" i="10"/>
  <c r="U107" i="10"/>
  <c r="W107" i="10"/>
  <c r="Z107" i="10"/>
  <c r="O110" i="10"/>
  <c r="R110" i="10"/>
  <c r="S110" i="10"/>
  <c r="V110" i="10"/>
  <c r="W110" i="10"/>
  <c r="X110" i="10"/>
  <c r="Y110" i="10"/>
  <c r="Q111" i="10"/>
  <c r="R111" i="10"/>
  <c r="T111" i="10"/>
  <c r="V111" i="10"/>
  <c r="Q114" i="10"/>
  <c r="S114" i="10"/>
  <c r="T114" i="10"/>
  <c r="U114" i="10"/>
  <c r="V114" i="10"/>
  <c r="X114" i="10"/>
  <c r="Y114" i="10"/>
  <c r="O115" i="10"/>
  <c r="R115" i="10"/>
  <c r="T115" i="10"/>
  <c r="V115" i="10"/>
  <c r="Z115" i="10"/>
  <c r="R118" i="10"/>
  <c r="W118" i="10"/>
  <c r="Z118" i="10"/>
  <c r="O119" i="10"/>
  <c r="Q119" i="10"/>
  <c r="R119" i="10"/>
  <c r="T119" i="10"/>
  <c r="V119" i="10"/>
  <c r="Y119" i="10"/>
  <c r="Q122" i="10"/>
  <c r="R122" i="10"/>
  <c r="T122" i="10"/>
  <c r="V122" i="10"/>
  <c r="W122" i="10"/>
  <c r="Y122" i="10"/>
  <c r="U123" i="10"/>
  <c r="P108" i="10"/>
  <c r="P109" i="10"/>
  <c r="P112" i="10"/>
  <c r="P113" i="10"/>
  <c r="P116" i="10"/>
  <c r="P117" i="10"/>
  <c r="P120" i="10"/>
  <c r="P121" i="10"/>
  <c r="P124" i="10"/>
  <c r="P125" i="10"/>
  <c r="I129" i="1"/>
  <c r="P128" i="10"/>
  <c r="P129" i="10"/>
  <c r="P132" i="10"/>
  <c r="P133" i="10"/>
  <c r="T138" i="10"/>
  <c r="U138" i="10"/>
  <c r="V138" i="10"/>
  <c r="W138" i="10"/>
  <c r="X138" i="10"/>
  <c r="Y138" i="10"/>
  <c r="Z138" i="10"/>
  <c r="O139" i="10"/>
  <c r="Q139" i="10"/>
  <c r="R139" i="10"/>
  <c r="S139" i="10"/>
  <c r="T139" i="10"/>
  <c r="U139" i="10"/>
  <c r="V139" i="10"/>
  <c r="W139" i="10"/>
  <c r="I139" i="1"/>
  <c r="X139" i="10"/>
  <c r="Y139" i="10"/>
  <c r="Z139" i="10"/>
  <c r="H141" i="1"/>
  <c r="O146" i="10"/>
  <c r="Q146" i="10"/>
  <c r="R146" i="10"/>
  <c r="S146" i="10"/>
  <c r="T146" i="10"/>
  <c r="U146" i="10"/>
  <c r="V146" i="10"/>
  <c r="W146" i="10"/>
  <c r="X146" i="10"/>
  <c r="Y146" i="10"/>
  <c r="Z146" i="10"/>
  <c r="O147" i="10"/>
  <c r="Q147" i="10"/>
  <c r="R147" i="10"/>
  <c r="S147" i="10"/>
  <c r="T147" i="10"/>
  <c r="U147" i="10"/>
  <c r="V147" i="10"/>
  <c r="W147" i="10"/>
  <c r="I147" i="1"/>
  <c r="X147" i="10"/>
  <c r="Y147" i="10"/>
  <c r="Z147" i="10"/>
  <c r="H149" i="1"/>
  <c r="W132" i="10"/>
  <c r="X132" i="10"/>
  <c r="Y132" i="10"/>
  <c r="Z132" i="10"/>
  <c r="O133" i="10"/>
  <c r="Q133" i="10"/>
  <c r="R133" i="10"/>
  <c r="S133" i="10"/>
  <c r="T133" i="10"/>
  <c r="U133" i="10"/>
  <c r="V133" i="10"/>
  <c r="W133" i="10"/>
  <c r="X133" i="10"/>
  <c r="Y133" i="10"/>
  <c r="Z133" i="10"/>
  <c r="P134" i="10"/>
  <c r="W141" i="10"/>
  <c r="I141" i="1"/>
  <c r="H143" i="1"/>
  <c r="W149" i="10"/>
  <c r="I149" i="1"/>
  <c r="H151" i="1"/>
  <c r="Y153" i="10"/>
  <c r="Z153" i="10"/>
  <c r="V157" i="10"/>
  <c r="W157" i="10"/>
  <c r="X157" i="10"/>
  <c r="Y157" i="10"/>
  <c r="Z157" i="10"/>
  <c r="X161" i="10"/>
  <c r="Y161" i="10"/>
  <c r="Z161" i="10"/>
  <c r="P138" i="10"/>
  <c r="P139" i="10"/>
  <c r="P142" i="10"/>
  <c r="P143" i="10"/>
  <c r="P146" i="10"/>
  <c r="P147" i="10"/>
  <c r="P150" i="10"/>
  <c r="P151" i="10"/>
  <c r="P154" i="10"/>
  <c r="P155" i="10"/>
  <c r="P158" i="10"/>
  <c r="P159" i="10"/>
  <c r="P162" i="10"/>
  <c r="P163" i="10"/>
  <c r="T151" i="10"/>
  <c r="U151" i="10"/>
  <c r="V151" i="10"/>
  <c r="W151" i="10"/>
  <c r="X151" i="10"/>
  <c r="Y151" i="10"/>
  <c r="Z151" i="10"/>
  <c r="V154" i="10"/>
  <c r="W154" i="10"/>
  <c r="X154" i="10"/>
  <c r="Y154" i="10"/>
  <c r="Z154" i="10"/>
  <c r="O155" i="10"/>
  <c r="Q155" i="10"/>
  <c r="R155" i="10"/>
  <c r="S155" i="10"/>
  <c r="T155" i="10"/>
  <c r="U155" i="10"/>
  <c r="V155" i="10"/>
  <c r="W155" i="10"/>
  <c r="X155" i="10"/>
  <c r="Y155" i="10"/>
  <c r="Z155" i="10"/>
  <c r="H157" i="1"/>
  <c r="U158" i="10"/>
  <c r="V158" i="10"/>
  <c r="W158" i="10"/>
  <c r="X158" i="10"/>
  <c r="Y158" i="10"/>
  <c r="Z158" i="10"/>
  <c r="O159" i="10"/>
  <c r="Q159" i="10"/>
  <c r="R159" i="10"/>
  <c r="S159" i="10"/>
  <c r="T159" i="10"/>
  <c r="U159" i="10"/>
  <c r="V159" i="10"/>
  <c r="W159" i="10"/>
  <c r="X159" i="10"/>
  <c r="Y159" i="10"/>
  <c r="Z159" i="10"/>
  <c r="H161" i="1"/>
  <c r="X162" i="10"/>
  <c r="Y162" i="10"/>
  <c r="Z162" i="10"/>
  <c r="O163" i="10"/>
  <c r="Q163" i="10"/>
  <c r="R163" i="10"/>
  <c r="S163" i="10"/>
  <c r="T163" i="10"/>
  <c r="U163" i="10"/>
  <c r="V163" i="10"/>
  <c r="W163" i="10"/>
  <c r="X163" i="10"/>
  <c r="Y163" i="10"/>
  <c r="Z163" i="10"/>
  <c r="H165" i="1"/>
  <c r="P140" i="10"/>
  <c r="P141" i="10"/>
  <c r="P144" i="10"/>
  <c r="P145" i="10"/>
  <c r="P148" i="10"/>
  <c r="P149" i="10"/>
  <c r="I153" i="1"/>
  <c r="P152" i="10"/>
  <c r="P153" i="10"/>
  <c r="I157" i="1"/>
  <c r="P156" i="10"/>
  <c r="P157" i="10"/>
  <c r="I161" i="1"/>
  <c r="P160" i="10"/>
  <c r="P161" i="10"/>
  <c r="P164" i="10"/>
  <c r="P165" i="10"/>
  <c r="CT209" i="1"/>
  <c r="CS209" i="1"/>
  <c r="CT208" i="1"/>
  <c r="CS208" i="1"/>
  <c r="CR208" i="1"/>
  <c r="CT185" i="1"/>
  <c r="CS185" i="1"/>
  <c r="CR185" i="1"/>
  <c r="CT184" i="1"/>
  <c r="CS184" i="1"/>
  <c r="CR184" i="1"/>
  <c r="CT183" i="1"/>
  <c r="CS183" i="1"/>
  <c r="CR183" i="1"/>
  <c r="CT182" i="1"/>
  <c r="CS182" i="1"/>
  <c r="CR182" i="1"/>
  <c r="CT181" i="1"/>
  <c r="CS181" i="1"/>
  <c r="CR181" i="1"/>
  <c r="CT180" i="1"/>
  <c r="CS180" i="1"/>
  <c r="CR180" i="1"/>
  <c r="CT179" i="1"/>
  <c r="CS179" i="1"/>
  <c r="CR179" i="1"/>
  <c r="CT178" i="1"/>
  <c r="CS178" i="1"/>
  <c r="CR178" i="1"/>
  <c r="CT177" i="1"/>
  <c r="CS177" i="1"/>
  <c r="CR177" i="1"/>
  <c r="CT176" i="1"/>
  <c r="CS176" i="1"/>
  <c r="CR176" i="1"/>
  <c r="CT175" i="1"/>
  <c r="CS175" i="1"/>
  <c r="CS187" i="1" s="1"/>
  <c r="CR175" i="1"/>
  <c r="CT174" i="1"/>
  <c r="CS174" i="1"/>
  <c r="CR174" i="1"/>
  <c r="CR186" i="1" s="1"/>
  <c r="CT106" i="1"/>
  <c r="CS106" i="1"/>
  <c r="CR106" i="1"/>
  <c r="CT105" i="1"/>
  <c r="CS105" i="1"/>
  <c r="CR105" i="1"/>
  <c r="CT104" i="1"/>
  <c r="CS104" i="1"/>
  <c r="CR104" i="1"/>
  <c r="CT103" i="1"/>
  <c r="CS103" i="1"/>
  <c r="CR103" i="1"/>
  <c r="CT102" i="1"/>
  <c r="CS102" i="1"/>
  <c r="CR102" i="1"/>
  <c r="CT101" i="1"/>
  <c r="CS101" i="1"/>
  <c r="CR101" i="1"/>
  <c r="CT100" i="1"/>
  <c r="CS100" i="1"/>
  <c r="CR100" i="1"/>
  <c r="CT99" i="1"/>
  <c r="CS99" i="1"/>
  <c r="CR99" i="1"/>
  <c r="CT98" i="1"/>
  <c r="CS98" i="1"/>
  <c r="CR98" i="1"/>
  <c r="CT97" i="1"/>
  <c r="CS97" i="1"/>
  <c r="CR97" i="1"/>
  <c r="CT96" i="1"/>
  <c r="CS96" i="1"/>
  <c r="CR96" i="1"/>
  <c r="CT95" i="1"/>
  <c r="CS95" i="1"/>
  <c r="CR95" i="1"/>
  <c r="CT94" i="1"/>
  <c r="CS94" i="1"/>
  <c r="CR94" i="1"/>
  <c r="CT93" i="1"/>
  <c r="CS93" i="1"/>
  <c r="CR93" i="1"/>
  <c r="CT92" i="1"/>
  <c r="CS92" i="1"/>
  <c r="CR92" i="1"/>
  <c r="CT91" i="1"/>
  <c r="CS91" i="1"/>
  <c r="CR91" i="1"/>
  <c r="CT90" i="1"/>
  <c r="CS90" i="1"/>
  <c r="CR90" i="1"/>
  <c r="CT89" i="1"/>
  <c r="CS89" i="1"/>
  <c r="CR89" i="1"/>
  <c r="CT88" i="1"/>
  <c r="CS88" i="1"/>
  <c r="CR88" i="1"/>
  <c r="CT87" i="1"/>
  <c r="CS87" i="1"/>
  <c r="CR87" i="1"/>
  <c r="CT86" i="1"/>
  <c r="CS86" i="1"/>
  <c r="CR86" i="1"/>
  <c r="CT85" i="1"/>
  <c r="CS85" i="1"/>
  <c r="CR85" i="1"/>
  <c r="CT84" i="1"/>
  <c r="CS84" i="1"/>
  <c r="CR84" i="1"/>
  <c r="CT83" i="1"/>
  <c r="CS83" i="1"/>
  <c r="CR83" i="1"/>
  <c r="CT82" i="1"/>
  <c r="CS82" i="1"/>
  <c r="CR82" i="1"/>
  <c r="CT81" i="1"/>
  <c r="CS81" i="1"/>
  <c r="CR81" i="1"/>
  <c r="CT80" i="1"/>
  <c r="CS80" i="1"/>
  <c r="CR80" i="1"/>
  <c r="CT79" i="1"/>
  <c r="CS79" i="1"/>
  <c r="CR79" i="1"/>
  <c r="CT78" i="1"/>
  <c r="CS78" i="1"/>
  <c r="CR78" i="1"/>
  <c r="CT77" i="1"/>
  <c r="CS77" i="1"/>
  <c r="CR77" i="1"/>
  <c r="CT76" i="1"/>
  <c r="CS76" i="1"/>
  <c r="CR76" i="1"/>
  <c r="CT75" i="1"/>
  <c r="CS75" i="1"/>
  <c r="CR75" i="1"/>
  <c r="CT74" i="1"/>
  <c r="CS74" i="1"/>
  <c r="CR74" i="1"/>
  <c r="CT73" i="1"/>
  <c r="CS73" i="1"/>
  <c r="CR73" i="1"/>
  <c r="CT72" i="1"/>
  <c r="CS72" i="1"/>
  <c r="CR72" i="1"/>
  <c r="CT71" i="1"/>
  <c r="CS71" i="1"/>
  <c r="CR71" i="1"/>
  <c r="CT70" i="1"/>
  <c r="CS70" i="1"/>
  <c r="CR70" i="1"/>
  <c r="CT69" i="1"/>
  <c r="CS69" i="1"/>
  <c r="CR69" i="1"/>
  <c r="CT68" i="1"/>
  <c r="CS68" i="1"/>
  <c r="CR68" i="1"/>
  <c r="CT67" i="1"/>
  <c r="CS67" i="1"/>
  <c r="CR67" i="1"/>
  <c r="CT66" i="1"/>
  <c r="CS66" i="1"/>
  <c r="CR66" i="1"/>
  <c r="CT65" i="1"/>
  <c r="CS65" i="1"/>
  <c r="CR65" i="1"/>
  <c r="CT64" i="1"/>
  <c r="CS64" i="1"/>
  <c r="CR64" i="1"/>
  <c r="CT63" i="1"/>
  <c r="CS63" i="1"/>
  <c r="CR63" i="1"/>
  <c r="CT62" i="1"/>
  <c r="CS62" i="1"/>
  <c r="CR62" i="1"/>
  <c r="CT61" i="1"/>
  <c r="CS61" i="1"/>
  <c r="CR61" i="1"/>
  <c r="CT60" i="1"/>
  <c r="CS60" i="1"/>
  <c r="CR60" i="1"/>
  <c r="CT59" i="1"/>
  <c r="CS59" i="1"/>
  <c r="CR59" i="1"/>
  <c r="CT58" i="1"/>
  <c r="CS58" i="1"/>
  <c r="CR58" i="1"/>
  <c r="CT57" i="1"/>
  <c r="CS57" i="1"/>
  <c r="CR57" i="1"/>
  <c r="CT56" i="1"/>
  <c r="CS56" i="1"/>
  <c r="CR56" i="1"/>
  <c r="CT55" i="1"/>
  <c r="CS55" i="1"/>
  <c r="CR55" i="1"/>
  <c r="CT54" i="1"/>
  <c r="CS54" i="1"/>
  <c r="CR54" i="1"/>
  <c r="CT53" i="1"/>
  <c r="CS53" i="1"/>
  <c r="CR53" i="1"/>
  <c r="CT50" i="1"/>
  <c r="CS50" i="1"/>
  <c r="CR50" i="1"/>
  <c r="CT49" i="1"/>
  <c r="CS49" i="1"/>
  <c r="CR49" i="1"/>
  <c r="CT48" i="1"/>
  <c r="CS48" i="1"/>
  <c r="CR48" i="1"/>
  <c r="CT47" i="1"/>
  <c r="CS47" i="1"/>
  <c r="CR47" i="1"/>
  <c r="CT46" i="1"/>
  <c r="CS46" i="1"/>
  <c r="CR46" i="1"/>
  <c r="CT45" i="1"/>
  <c r="CS45" i="1"/>
  <c r="CR45" i="1"/>
  <c r="CT44" i="1"/>
  <c r="CS44" i="1"/>
  <c r="CR44" i="1"/>
  <c r="CT43" i="1"/>
  <c r="CS43" i="1"/>
  <c r="CR43" i="1"/>
  <c r="CT42" i="1"/>
  <c r="CS42" i="1"/>
  <c r="CR42" i="1"/>
  <c r="CT41" i="1"/>
  <c r="CS41" i="1"/>
  <c r="CR41" i="1"/>
  <c r="CT40" i="1"/>
  <c r="CS40" i="1"/>
  <c r="CR40" i="1"/>
  <c r="CT39" i="1"/>
  <c r="CS39" i="1"/>
  <c r="CR39" i="1"/>
  <c r="CT38" i="1"/>
  <c r="CS38" i="1"/>
  <c r="CR38" i="1"/>
  <c r="CT37" i="1"/>
  <c r="CS37" i="1"/>
  <c r="CR37" i="1"/>
  <c r="CT36" i="1"/>
  <c r="CS36" i="1"/>
  <c r="CR36" i="1"/>
  <c r="CT35" i="1"/>
  <c r="CS35" i="1"/>
  <c r="CR35" i="1"/>
  <c r="CT34" i="1"/>
  <c r="CS34" i="1"/>
  <c r="CR34" i="1"/>
  <c r="CT33" i="1"/>
  <c r="CS33" i="1"/>
  <c r="CR33" i="1"/>
  <c r="CT32" i="1"/>
  <c r="CS32" i="1"/>
  <c r="CR32" i="1"/>
  <c r="CT31" i="1"/>
  <c r="CS31" i="1"/>
  <c r="CR31" i="1"/>
  <c r="CT30" i="1"/>
  <c r="CS30" i="1"/>
  <c r="CR30" i="1"/>
  <c r="CT29" i="1"/>
  <c r="CS29" i="1"/>
  <c r="CR29" i="1"/>
  <c r="CT28" i="1"/>
  <c r="CS28" i="1"/>
  <c r="CR28" i="1"/>
  <c r="CT27" i="1"/>
  <c r="CS27" i="1"/>
  <c r="CR27" i="1"/>
  <c r="CT26" i="1"/>
  <c r="CS26" i="1"/>
  <c r="CR26" i="1"/>
  <c r="CT25" i="1"/>
  <c r="CS25" i="1"/>
  <c r="CR25" i="1"/>
  <c r="CT24" i="1"/>
  <c r="CS24" i="1"/>
  <c r="CR24" i="1"/>
  <c r="CT23" i="1"/>
  <c r="CS23" i="1"/>
  <c r="CR23" i="1"/>
  <c r="CT22" i="1"/>
  <c r="CS22" i="1"/>
  <c r="CR22" i="1"/>
  <c r="CT21" i="1"/>
  <c r="CS21" i="1"/>
  <c r="CR21" i="1"/>
  <c r="CT20" i="1"/>
  <c r="CS20" i="1"/>
  <c r="CR20" i="1"/>
  <c r="CT19" i="1"/>
  <c r="CS19" i="1"/>
  <c r="CR19" i="1"/>
  <c r="CT18" i="1"/>
  <c r="CS18" i="1"/>
  <c r="CR18" i="1"/>
  <c r="CT17" i="1"/>
  <c r="CS17" i="1"/>
  <c r="CR17" i="1"/>
  <c r="CT16" i="1"/>
  <c r="CS16" i="1"/>
  <c r="CR16" i="1"/>
  <c r="CT15" i="1"/>
  <c r="CS15" i="1"/>
  <c r="CR15" i="1"/>
  <c r="CT14" i="1"/>
  <c r="CS14" i="1"/>
  <c r="CR14" i="1"/>
  <c r="CT13" i="1"/>
  <c r="CS13" i="1"/>
  <c r="CR13" i="1"/>
  <c r="CT12" i="1"/>
  <c r="CS12" i="1"/>
  <c r="CR12" i="1"/>
  <c r="CT11" i="1"/>
  <c r="CS11" i="1"/>
  <c r="CR11" i="1"/>
  <c r="CT10" i="1"/>
  <c r="CS10" i="1"/>
  <c r="CR10" i="1"/>
  <c r="CT9" i="1"/>
  <c r="CS9" i="1"/>
  <c r="CR9" i="1"/>
  <c r="CT8" i="1"/>
  <c r="CS8" i="1"/>
  <c r="CR8" i="1"/>
  <c r="CR168" i="1" s="1"/>
  <c r="CT7" i="1"/>
  <c r="CS7" i="1"/>
  <c r="CR7" i="1"/>
  <c r="CR167" i="1" s="1"/>
  <c r="CR189" i="1" s="1"/>
  <c r="CR211" i="1" s="1"/>
  <c r="CJ209" i="1"/>
  <c r="CL208" i="1"/>
  <c r="CL185" i="1"/>
  <c r="CK185" i="1"/>
  <c r="CJ185" i="1"/>
  <c r="CL184" i="1"/>
  <c r="CK184" i="1"/>
  <c r="CJ184" i="1"/>
  <c r="CL183" i="1"/>
  <c r="CK183" i="1"/>
  <c r="CJ183" i="1"/>
  <c r="CL182" i="1"/>
  <c r="CK182" i="1"/>
  <c r="CJ182" i="1"/>
  <c r="CL181" i="1"/>
  <c r="CK181" i="1"/>
  <c r="CJ181" i="1"/>
  <c r="CL180" i="1"/>
  <c r="CK180" i="1"/>
  <c r="CJ180" i="1"/>
  <c r="CL179" i="1"/>
  <c r="CK179" i="1"/>
  <c r="CJ179" i="1"/>
  <c r="CL178" i="1"/>
  <c r="CK178" i="1"/>
  <c r="CJ178" i="1"/>
  <c r="CL177" i="1"/>
  <c r="CK177" i="1"/>
  <c r="CJ177" i="1"/>
  <c r="CL176" i="1"/>
  <c r="CK176" i="1"/>
  <c r="CJ176" i="1"/>
  <c r="CL175" i="1"/>
  <c r="CK175" i="1"/>
  <c r="CJ175" i="1"/>
  <c r="CL174" i="1"/>
  <c r="CL186" i="1" s="1"/>
  <c r="CK174" i="1"/>
  <c r="CJ174" i="1"/>
  <c r="CL106" i="1"/>
  <c r="CK106" i="1"/>
  <c r="CJ106" i="1"/>
  <c r="CL105" i="1"/>
  <c r="CK105" i="1"/>
  <c r="CJ105" i="1"/>
  <c r="CL104" i="1"/>
  <c r="CK104" i="1"/>
  <c r="CJ104" i="1"/>
  <c r="CL103" i="1"/>
  <c r="CK103" i="1"/>
  <c r="CJ103" i="1"/>
  <c r="CL102" i="1"/>
  <c r="CK102" i="1"/>
  <c r="CJ102" i="1"/>
  <c r="CL101" i="1"/>
  <c r="CK101" i="1"/>
  <c r="CJ101" i="1"/>
  <c r="CL100" i="1"/>
  <c r="CK100" i="1"/>
  <c r="CJ100" i="1"/>
  <c r="CL99" i="1"/>
  <c r="CK99" i="1"/>
  <c r="CJ99" i="1"/>
  <c r="CL98" i="1"/>
  <c r="CK98" i="1"/>
  <c r="CJ98" i="1"/>
  <c r="CL97" i="1"/>
  <c r="CK97" i="1"/>
  <c r="CJ97" i="1"/>
  <c r="CL96" i="1"/>
  <c r="CK96" i="1"/>
  <c r="CJ96" i="1"/>
  <c r="CL95" i="1"/>
  <c r="CK95" i="1"/>
  <c r="CJ95" i="1"/>
  <c r="CL94" i="1"/>
  <c r="CK94" i="1"/>
  <c r="CJ94" i="1"/>
  <c r="CL93" i="1"/>
  <c r="CK93" i="1"/>
  <c r="CJ93" i="1"/>
  <c r="CL92" i="1"/>
  <c r="CK92" i="1"/>
  <c r="CJ92" i="1"/>
  <c r="CL91" i="1"/>
  <c r="CK91" i="1"/>
  <c r="CJ91" i="1"/>
  <c r="CL90" i="1"/>
  <c r="CK90" i="1"/>
  <c r="CJ90" i="1"/>
  <c r="CL89" i="1"/>
  <c r="CK89" i="1"/>
  <c r="CJ89" i="1"/>
  <c r="CL88" i="1"/>
  <c r="CK88" i="1"/>
  <c r="CJ88" i="1"/>
  <c r="CL87" i="1"/>
  <c r="CK87" i="1"/>
  <c r="CJ87" i="1"/>
  <c r="CL86" i="1"/>
  <c r="CK86" i="1"/>
  <c r="CJ86" i="1"/>
  <c r="CL85" i="1"/>
  <c r="CK85" i="1"/>
  <c r="CJ85" i="1"/>
  <c r="CL84" i="1"/>
  <c r="CK84" i="1"/>
  <c r="CJ84" i="1"/>
  <c r="CL83" i="1"/>
  <c r="CK83" i="1"/>
  <c r="CJ83" i="1"/>
  <c r="CL82" i="1"/>
  <c r="CK82" i="1"/>
  <c r="CJ82" i="1"/>
  <c r="CL81" i="1"/>
  <c r="CK81" i="1"/>
  <c r="CJ81" i="1"/>
  <c r="CL80" i="1"/>
  <c r="CK80" i="1"/>
  <c r="CJ80" i="1"/>
  <c r="CL79" i="1"/>
  <c r="CK79" i="1"/>
  <c r="CJ79" i="1"/>
  <c r="CL78" i="1"/>
  <c r="CK78" i="1"/>
  <c r="CJ78" i="1"/>
  <c r="CL77" i="1"/>
  <c r="CK77" i="1"/>
  <c r="CJ77" i="1"/>
  <c r="CL76" i="1"/>
  <c r="CK76" i="1"/>
  <c r="CJ76" i="1"/>
  <c r="CL75" i="1"/>
  <c r="CK75" i="1"/>
  <c r="CJ75" i="1"/>
  <c r="CL74" i="1"/>
  <c r="CK74" i="1"/>
  <c r="CJ74" i="1"/>
  <c r="CL73" i="1"/>
  <c r="CK73" i="1"/>
  <c r="CJ73" i="1"/>
  <c r="CL72" i="1"/>
  <c r="CK72" i="1"/>
  <c r="CJ72" i="1"/>
  <c r="CL71" i="1"/>
  <c r="CK71" i="1"/>
  <c r="CJ71" i="1"/>
  <c r="CL70" i="1"/>
  <c r="CK70" i="1"/>
  <c r="CJ70" i="1"/>
  <c r="CL69" i="1"/>
  <c r="CK69" i="1"/>
  <c r="CJ69" i="1"/>
  <c r="CL68" i="1"/>
  <c r="CK68" i="1"/>
  <c r="CJ68" i="1"/>
  <c r="CL67" i="1"/>
  <c r="CK67" i="1"/>
  <c r="CJ67" i="1"/>
  <c r="CL66" i="1"/>
  <c r="CK66" i="1"/>
  <c r="CJ66" i="1"/>
  <c r="CL65" i="1"/>
  <c r="CK65" i="1"/>
  <c r="CJ65" i="1"/>
  <c r="CL64" i="1"/>
  <c r="CK64" i="1"/>
  <c r="CJ64" i="1"/>
  <c r="CL63" i="1"/>
  <c r="CK63" i="1"/>
  <c r="CJ63" i="1"/>
  <c r="CL62" i="1"/>
  <c r="CK62" i="1"/>
  <c r="CJ62" i="1"/>
  <c r="CL61" i="1"/>
  <c r="CK61" i="1"/>
  <c r="CJ61" i="1"/>
  <c r="CL60" i="1"/>
  <c r="CK60" i="1"/>
  <c r="CJ60" i="1"/>
  <c r="CL59" i="1"/>
  <c r="CK59" i="1"/>
  <c r="CJ59" i="1"/>
  <c r="CL58" i="1"/>
  <c r="CK58" i="1"/>
  <c r="CJ58" i="1"/>
  <c r="CL57" i="1"/>
  <c r="CK57" i="1"/>
  <c r="CJ57" i="1"/>
  <c r="CL56" i="1"/>
  <c r="CK56" i="1"/>
  <c r="CJ56" i="1"/>
  <c r="CL55" i="1"/>
  <c r="CK55" i="1"/>
  <c r="CJ55" i="1"/>
  <c r="CL54" i="1"/>
  <c r="CK54" i="1"/>
  <c r="CJ54" i="1"/>
  <c r="CL53" i="1"/>
  <c r="CK53" i="1"/>
  <c r="CJ53" i="1"/>
  <c r="CL50" i="1"/>
  <c r="CK50" i="1"/>
  <c r="CJ50" i="1"/>
  <c r="CL49" i="1"/>
  <c r="CK49" i="1"/>
  <c r="CJ49" i="1"/>
  <c r="CL48" i="1"/>
  <c r="CK48" i="1"/>
  <c r="CJ48" i="1"/>
  <c r="CL47" i="1"/>
  <c r="CK47" i="1"/>
  <c r="CJ47" i="1"/>
  <c r="CL46" i="1"/>
  <c r="CK46" i="1"/>
  <c r="CJ46" i="1"/>
  <c r="CL45" i="1"/>
  <c r="CK45" i="1"/>
  <c r="CJ45" i="1"/>
  <c r="CL44" i="1"/>
  <c r="CK44" i="1"/>
  <c r="CJ44" i="1"/>
  <c r="CL43" i="1"/>
  <c r="CK43" i="1"/>
  <c r="CJ43" i="1"/>
  <c r="CL42" i="1"/>
  <c r="CK42" i="1"/>
  <c r="CJ42" i="1"/>
  <c r="CL41" i="1"/>
  <c r="CK41" i="1"/>
  <c r="CJ41" i="1"/>
  <c r="CL40" i="1"/>
  <c r="CK40" i="1"/>
  <c r="CJ40" i="1"/>
  <c r="CL39" i="1"/>
  <c r="CK39" i="1"/>
  <c r="CJ39" i="1"/>
  <c r="CL38" i="1"/>
  <c r="CK38" i="1"/>
  <c r="CJ38" i="1"/>
  <c r="CL37" i="1"/>
  <c r="CK37" i="1"/>
  <c r="CJ37" i="1"/>
  <c r="CL36" i="1"/>
  <c r="CK36" i="1"/>
  <c r="CJ36" i="1"/>
  <c r="CL35" i="1"/>
  <c r="CK35" i="1"/>
  <c r="CJ35" i="1"/>
  <c r="CL34" i="1"/>
  <c r="CK34" i="1"/>
  <c r="CJ34" i="1"/>
  <c r="CL33" i="1"/>
  <c r="CK33" i="1"/>
  <c r="CJ33" i="1"/>
  <c r="CL32" i="1"/>
  <c r="CK32" i="1"/>
  <c r="CJ32" i="1"/>
  <c r="CL31" i="1"/>
  <c r="CK31" i="1"/>
  <c r="CJ31" i="1"/>
  <c r="CL30" i="1"/>
  <c r="CK30" i="1"/>
  <c r="CJ30" i="1"/>
  <c r="CL29" i="1"/>
  <c r="CK29" i="1"/>
  <c r="CJ29" i="1"/>
  <c r="CL28" i="1"/>
  <c r="CK28" i="1"/>
  <c r="CJ28" i="1"/>
  <c r="CL27" i="1"/>
  <c r="CK27" i="1"/>
  <c r="CJ27" i="1"/>
  <c r="CL26" i="1"/>
  <c r="CK26" i="1"/>
  <c r="CJ26" i="1"/>
  <c r="CL25" i="1"/>
  <c r="CK25" i="1"/>
  <c r="CJ25" i="1"/>
  <c r="CL24" i="1"/>
  <c r="CK24" i="1"/>
  <c r="CJ24" i="1"/>
  <c r="CL23" i="1"/>
  <c r="CK23" i="1"/>
  <c r="CJ23" i="1"/>
  <c r="CL22" i="1"/>
  <c r="CK22" i="1"/>
  <c r="CJ22" i="1"/>
  <c r="CL21" i="1"/>
  <c r="CK21" i="1"/>
  <c r="CJ21" i="1"/>
  <c r="CL20" i="1"/>
  <c r="CK20" i="1"/>
  <c r="CJ20" i="1"/>
  <c r="CL19" i="1"/>
  <c r="CK19" i="1"/>
  <c r="CJ19" i="1"/>
  <c r="CL18" i="1"/>
  <c r="CK18" i="1"/>
  <c r="CJ18" i="1"/>
  <c r="CL17" i="1"/>
  <c r="CK17" i="1"/>
  <c r="CJ17" i="1"/>
  <c r="CL16" i="1"/>
  <c r="CK16" i="1"/>
  <c r="CJ16" i="1"/>
  <c r="CL15" i="1"/>
  <c r="CK15" i="1"/>
  <c r="CJ15" i="1"/>
  <c r="CL14" i="1"/>
  <c r="CK14" i="1"/>
  <c r="CJ14" i="1"/>
  <c r="CL13" i="1"/>
  <c r="CK13" i="1"/>
  <c r="CJ13" i="1"/>
  <c r="CL12" i="1"/>
  <c r="CK12" i="1"/>
  <c r="CJ12" i="1"/>
  <c r="CL11" i="1"/>
  <c r="CK11" i="1"/>
  <c r="CJ11" i="1"/>
  <c r="CL10" i="1"/>
  <c r="CK10" i="1"/>
  <c r="CJ10" i="1"/>
  <c r="CL9" i="1"/>
  <c r="CK9" i="1"/>
  <c r="CJ9" i="1"/>
  <c r="CL8" i="1"/>
  <c r="CL168" i="1" s="1"/>
  <c r="CK8" i="1"/>
  <c r="CJ8" i="1"/>
  <c r="CL7" i="1"/>
  <c r="CK7" i="1"/>
  <c r="CK167" i="1" s="1"/>
  <c r="CJ7" i="1"/>
  <c r="CB209" i="1"/>
  <c r="CD208" i="1"/>
  <c r="CD185" i="1"/>
  <c r="CC185" i="1"/>
  <c r="CB185" i="1"/>
  <c r="CD184" i="1"/>
  <c r="CC184" i="1"/>
  <c r="CB184" i="1"/>
  <c r="CD183" i="1"/>
  <c r="CC183" i="1"/>
  <c r="CB183" i="1"/>
  <c r="CD182" i="1"/>
  <c r="CC182" i="1"/>
  <c r="CB182" i="1"/>
  <c r="CD181" i="1"/>
  <c r="CC181" i="1"/>
  <c r="CB181" i="1"/>
  <c r="CD180" i="1"/>
  <c r="CC180" i="1"/>
  <c r="CB180" i="1"/>
  <c r="CD179" i="1"/>
  <c r="CC179" i="1"/>
  <c r="CB179" i="1"/>
  <c r="CD178" i="1"/>
  <c r="CC178" i="1"/>
  <c r="CB178" i="1"/>
  <c r="CD177" i="1"/>
  <c r="CC177" i="1"/>
  <c r="CB177" i="1"/>
  <c r="CD176" i="1"/>
  <c r="CC176" i="1"/>
  <c r="CB176" i="1"/>
  <c r="CD175" i="1"/>
  <c r="CC175" i="1"/>
  <c r="CB175" i="1"/>
  <c r="CB187" i="1" s="1"/>
  <c r="CD174" i="1"/>
  <c r="CC174" i="1"/>
  <c r="CB174" i="1"/>
  <c r="CD106" i="1"/>
  <c r="CC106" i="1"/>
  <c r="CB106" i="1"/>
  <c r="CD105" i="1"/>
  <c r="CC105" i="1"/>
  <c r="CB105" i="1"/>
  <c r="CD104" i="1"/>
  <c r="CC104" i="1"/>
  <c r="CB104" i="1"/>
  <c r="CD103" i="1"/>
  <c r="CC103" i="1"/>
  <c r="CB103" i="1"/>
  <c r="CD102" i="1"/>
  <c r="CC102" i="1"/>
  <c r="CB102" i="1"/>
  <c r="CD101" i="1"/>
  <c r="CC101" i="1"/>
  <c r="CB101" i="1"/>
  <c r="CD100" i="1"/>
  <c r="CC100" i="1"/>
  <c r="CB100" i="1"/>
  <c r="CD99" i="1"/>
  <c r="CC99" i="1"/>
  <c r="CB99" i="1"/>
  <c r="CD98" i="1"/>
  <c r="CC98" i="1"/>
  <c r="CB98" i="1"/>
  <c r="CD97" i="1"/>
  <c r="CC97" i="1"/>
  <c r="CB97" i="1"/>
  <c r="CD96" i="1"/>
  <c r="CC96" i="1"/>
  <c r="CB96" i="1"/>
  <c r="CD95" i="1"/>
  <c r="CC95" i="1"/>
  <c r="CB95" i="1"/>
  <c r="CD94" i="1"/>
  <c r="CC94" i="1"/>
  <c r="CB94" i="1"/>
  <c r="CD93" i="1"/>
  <c r="CC93" i="1"/>
  <c r="CB93" i="1"/>
  <c r="CD92" i="1"/>
  <c r="CC92" i="1"/>
  <c r="CB92" i="1"/>
  <c r="CD91" i="1"/>
  <c r="CC91" i="1"/>
  <c r="CB91" i="1"/>
  <c r="CD90" i="1"/>
  <c r="CC90" i="1"/>
  <c r="CB90" i="1"/>
  <c r="CD89" i="1"/>
  <c r="CC89" i="1"/>
  <c r="CB89" i="1"/>
  <c r="CD88" i="1"/>
  <c r="CC88" i="1"/>
  <c r="CB88" i="1"/>
  <c r="CD87" i="1"/>
  <c r="CC87" i="1"/>
  <c r="CB87" i="1"/>
  <c r="CD86" i="1"/>
  <c r="CC86" i="1"/>
  <c r="CB86" i="1"/>
  <c r="CD85" i="1"/>
  <c r="CC85" i="1"/>
  <c r="CB85" i="1"/>
  <c r="CD84" i="1"/>
  <c r="CC84" i="1"/>
  <c r="CB84" i="1"/>
  <c r="CD83" i="1"/>
  <c r="CC83" i="1"/>
  <c r="CB83" i="1"/>
  <c r="CD82" i="1"/>
  <c r="CC82" i="1"/>
  <c r="CB82" i="1"/>
  <c r="CD81" i="1"/>
  <c r="CC81" i="1"/>
  <c r="CB81" i="1"/>
  <c r="CD80" i="1"/>
  <c r="CC80" i="1"/>
  <c r="CB80" i="1"/>
  <c r="CD79" i="1"/>
  <c r="CC79" i="1"/>
  <c r="CB79" i="1"/>
  <c r="CD78" i="1"/>
  <c r="CC78" i="1"/>
  <c r="CB78" i="1"/>
  <c r="CD77" i="1"/>
  <c r="CC77" i="1"/>
  <c r="CB77" i="1"/>
  <c r="CD76" i="1"/>
  <c r="CC76" i="1"/>
  <c r="CB76" i="1"/>
  <c r="CD75" i="1"/>
  <c r="CC75" i="1"/>
  <c r="CB75" i="1"/>
  <c r="CD74" i="1"/>
  <c r="CC74" i="1"/>
  <c r="CB74" i="1"/>
  <c r="CD73" i="1"/>
  <c r="CC73" i="1"/>
  <c r="CB73" i="1"/>
  <c r="CD72" i="1"/>
  <c r="CC72" i="1"/>
  <c r="CB72" i="1"/>
  <c r="CD71" i="1"/>
  <c r="CC71" i="1"/>
  <c r="CB71" i="1"/>
  <c r="CD70" i="1"/>
  <c r="CC70" i="1"/>
  <c r="CB70" i="1"/>
  <c r="CD69" i="1"/>
  <c r="CC69" i="1"/>
  <c r="CB69" i="1"/>
  <c r="CD68" i="1"/>
  <c r="CC68" i="1"/>
  <c r="CB68" i="1"/>
  <c r="CD67" i="1"/>
  <c r="CC67" i="1"/>
  <c r="CB67" i="1"/>
  <c r="CD66" i="1"/>
  <c r="CC66" i="1"/>
  <c r="CB66" i="1"/>
  <c r="CD65" i="1"/>
  <c r="CC65" i="1"/>
  <c r="CB65" i="1"/>
  <c r="CD64" i="1"/>
  <c r="CC64" i="1"/>
  <c r="CB64" i="1"/>
  <c r="CD63" i="1"/>
  <c r="CC63" i="1"/>
  <c r="CB63" i="1"/>
  <c r="CD62" i="1"/>
  <c r="CC62" i="1"/>
  <c r="CB62" i="1"/>
  <c r="CD61" i="1"/>
  <c r="CC61" i="1"/>
  <c r="CB61" i="1"/>
  <c r="CD60" i="1"/>
  <c r="CC60" i="1"/>
  <c r="CB60" i="1"/>
  <c r="CD59" i="1"/>
  <c r="CC59" i="1"/>
  <c r="CB59" i="1"/>
  <c r="CD58" i="1"/>
  <c r="CC58" i="1"/>
  <c r="CB58" i="1"/>
  <c r="CD57" i="1"/>
  <c r="CC57" i="1"/>
  <c r="CB57" i="1"/>
  <c r="CD56" i="1"/>
  <c r="CC56" i="1"/>
  <c r="CB56" i="1"/>
  <c r="CD55" i="1"/>
  <c r="CC55" i="1"/>
  <c r="CB55" i="1"/>
  <c r="CD54" i="1"/>
  <c r="CC54" i="1"/>
  <c r="CB54" i="1"/>
  <c r="CD53" i="1"/>
  <c r="CC53" i="1"/>
  <c r="CB53" i="1"/>
  <c r="CD50" i="1"/>
  <c r="CC50" i="1"/>
  <c r="CB50" i="1"/>
  <c r="CD49" i="1"/>
  <c r="CC49" i="1"/>
  <c r="CB49" i="1"/>
  <c r="CD48" i="1"/>
  <c r="CC48" i="1"/>
  <c r="CB48" i="1"/>
  <c r="CD47" i="1"/>
  <c r="CC47" i="1"/>
  <c r="CB47" i="1"/>
  <c r="CD46" i="1"/>
  <c r="CC46" i="1"/>
  <c r="CB46" i="1"/>
  <c r="CD45" i="1"/>
  <c r="CC45" i="1"/>
  <c r="CB45" i="1"/>
  <c r="CD44" i="1"/>
  <c r="CC44" i="1"/>
  <c r="CB44" i="1"/>
  <c r="CD43" i="1"/>
  <c r="CC43" i="1"/>
  <c r="CB43" i="1"/>
  <c r="CD42" i="1"/>
  <c r="CC42" i="1"/>
  <c r="CB42" i="1"/>
  <c r="CD41" i="1"/>
  <c r="CC41" i="1"/>
  <c r="CB41" i="1"/>
  <c r="CD40" i="1"/>
  <c r="CC40" i="1"/>
  <c r="CB40" i="1"/>
  <c r="CD39" i="1"/>
  <c r="CC39" i="1"/>
  <c r="CB39" i="1"/>
  <c r="CD38" i="1"/>
  <c r="CC38" i="1"/>
  <c r="CB38" i="1"/>
  <c r="CD37" i="1"/>
  <c r="CC37" i="1"/>
  <c r="CB37" i="1"/>
  <c r="CD36" i="1"/>
  <c r="CC36" i="1"/>
  <c r="CB36" i="1"/>
  <c r="CD35" i="1"/>
  <c r="CC35" i="1"/>
  <c r="CB35" i="1"/>
  <c r="CD34" i="1"/>
  <c r="CC34" i="1"/>
  <c r="CB34" i="1"/>
  <c r="CD33" i="1"/>
  <c r="CC33" i="1"/>
  <c r="CB33" i="1"/>
  <c r="CD32" i="1"/>
  <c r="CC32" i="1"/>
  <c r="CB32" i="1"/>
  <c r="CD31" i="1"/>
  <c r="CC31" i="1"/>
  <c r="CB31" i="1"/>
  <c r="CD30" i="1"/>
  <c r="CC30" i="1"/>
  <c r="CB30" i="1"/>
  <c r="CD29" i="1"/>
  <c r="CC29" i="1"/>
  <c r="CB29" i="1"/>
  <c r="CD28" i="1"/>
  <c r="CC28" i="1"/>
  <c r="CB28" i="1"/>
  <c r="CD27" i="1"/>
  <c r="CC27" i="1"/>
  <c r="CB27" i="1"/>
  <c r="CD26" i="1"/>
  <c r="CC26" i="1"/>
  <c r="CB26" i="1"/>
  <c r="CD25" i="1"/>
  <c r="CC25" i="1"/>
  <c r="CB25" i="1"/>
  <c r="CD24" i="1"/>
  <c r="CC24" i="1"/>
  <c r="CB24" i="1"/>
  <c r="CD23" i="1"/>
  <c r="CC23" i="1"/>
  <c r="CB23" i="1"/>
  <c r="CD22" i="1"/>
  <c r="CC22" i="1"/>
  <c r="CB22" i="1"/>
  <c r="CD21" i="1"/>
  <c r="CC21" i="1"/>
  <c r="CB21" i="1"/>
  <c r="CD20" i="1"/>
  <c r="CC20" i="1"/>
  <c r="CB20" i="1"/>
  <c r="CD19" i="1"/>
  <c r="CC19" i="1"/>
  <c r="CB19" i="1"/>
  <c r="CD18" i="1"/>
  <c r="CC18" i="1"/>
  <c r="CB18" i="1"/>
  <c r="CD17" i="1"/>
  <c r="CC17" i="1"/>
  <c r="CB17" i="1"/>
  <c r="CD16" i="1"/>
  <c r="CC16" i="1"/>
  <c r="CB16" i="1"/>
  <c r="CD15" i="1"/>
  <c r="CC15" i="1"/>
  <c r="CB15" i="1"/>
  <c r="CD14" i="1"/>
  <c r="CC14" i="1"/>
  <c r="CB14" i="1"/>
  <c r="CD13" i="1"/>
  <c r="CC13" i="1"/>
  <c r="CB13" i="1"/>
  <c r="CD12" i="1"/>
  <c r="CC12" i="1"/>
  <c r="CB12" i="1"/>
  <c r="CD11" i="1"/>
  <c r="CC11" i="1"/>
  <c r="CB11" i="1"/>
  <c r="CD10" i="1"/>
  <c r="CC10" i="1"/>
  <c r="CB10" i="1"/>
  <c r="CD9" i="1"/>
  <c r="CC9" i="1"/>
  <c r="CB9" i="1"/>
  <c r="CD8" i="1"/>
  <c r="CC8" i="1"/>
  <c r="CC168" i="1" s="1"/>
  <c r="CB8" i="1"/>
  <c r="CD7" i="1"/>
  <c r="CC7" i="1"/>
  <c r="CB7" i="1"/>
  <c r="CB167" i="1" s="1"/>
  <c r="BT209" i="1"/>
  <c r="BV208" i="1"/>
  <c r="BV185" i="1"/>
  <c r="BU185" i="1"/>
  <c r="BT185" i="1"/>
  <c r="BV184" i="1"/>
  <c r="BU184" i="1"/>
  <c r="BT184" i="1"/>
  <c r="BV183" i="1"/>
  <c r="BU183" i="1"/>
  <c r="BT183" i="1"/>
  <c r="BV182" i="1"/>
  <c r="BU182" i="1"/>
  <c r="BT182" i="1"/>
  <c r="BV181" i="1"/>
  <c r="BU181" i="1"/>
  <c r="BT181" i="1"/>
  <c r="BV180" i="1"/>
  <c r="BU180" i="1"/>
  <c r="BT180" i="1"/>
  <c r="BV179" i="1"/>
  <c r="BU179" i="1"/>
  <c r="BT179" i="1"/>
  <c r="BV178" i="1"/>
  <c r="BU178" i="1"/>
  <c r="BT178" i="1"/>
  <c r="BV177" i="1"/>
  <c r="BU177" i="1"/>
  <c r="BT177" i="1"/>
  <c r="BV176" i="1"/>
  <c r="BU176" i="1"/>
  <c r="BT176" i="1"/>
  <c r="BV175" i="1"/>
  <c r="BU175" i="1"/>
  <c r="BT175" i="1"/>
  <c r="BV174" i="1"/>
  <c r="BV186" i="1" s="1"/>
  <c r="BU174" i="1"/>
  <c r="BT174" i="1"/>
  <c r="BV106" i="1"/>
  <c r="BU106" i="1"/>
  <c r="BT106" i="1"/>
  <c r="BV105" i="1"/>
  <c r="BU105" i="1"/>
  <c r="BT105" i="1"/>
  <c r="BV104" i="1"/>
  <c r="BU104" i="1"/>
  <c r="BT104" i="1"/>
  <c r="BV103" i="1"/>
  <c r="BU103" i="1"/>
  <c r="BT103" i="1"/>
  <c r="BV102" i="1"/>
  <c r="BU102" i="1"/>
  <c r="BT102" i="1"/>
  <c r="BV101" i="1"/>
  <c r="BU101" i="1"/>
  <c r="BT101" i="1"/>
  <c r="BV100" i="1"/>
  <c r="BU100" i="1"/>
  <c r="BT100" i="1"/>
  <c r="BV99" i="1"/>
  <c r="BU99" i="1"/>
  <c r="BT99" i="1"/>
  <c r="BV98" i="1"/>
  <c r="BU98" i="1"/>
  <c r="BT98" i="1"/>
  <c r="BV97" i="1"/>
  <c r="BU97" i="1"/>
  <c r="BT97" i="1"/>
  <c r="BV96" i="1"/>
  <c r="BU96" i="1"/>
  <c r="BT96" i="1"/>
  <c r="BV95" i="1"/>
  <c r="BU95" i="1"/>
  <c r="BT95" i="1"/>
  <c r="BV94" i="1"/>
  <c r="BU94" i="1"/>
  <c r="BT94" i="1"/>
  <c r="BV93" i="1"/>
  <c r="BU93" i="1"/>
  <c r="BT93" i="1"/>
  <c r="BV92" i="1"/>
  <c r="BU92" i="1"/>
  <c r="BT92" i="1"/>
  <c r="BV91" i="1"/>
  <c r="BU91" i="1"/>
  <c r="BT91" i="1"/>
  <c r="BV90" i="1"/>
  <c r="BU90" i="1"/>
  <c r="BT90" i="1"/>
  <c r="BV89" i="1"/>
  <c r="BU89" i="1"/>
  <c r="BT89" i="1"/>
  <c r="BV88" i="1"/>
  <c r="BU88" i="1"/>
  <c r="BT88" i="1"/>
  <c r="BV87" i="1"/>
  <c r="BU87" i="1"/>
  <c r="BT87" i="1"/>
  <c r="BV86" i="1"/>
  <c r="BU86" i="1"/>
  <c r="BT86" i="1"/>
  <c r="BV85" i="1"/>
  <c r="BU85" i="1"/>
  <c r="BT85" i="1"/>
  <c r="BV84" i="1"/>
  <c r="BU84" i="1"/>
  <c r="BT84" i="1"/>
  <c r="BV83" i="1"/>
  <c r="BU83" i="1"/>
  <c r="BT83" i="1"/>
  <c r="BV82" i="1"/>
  <c r="BU82" i="1"/>
  <c r="BT82" i="1"/>
  <c r="BV81" i="1"/>
  <c r="BU81" i="1"/>
  <c r="BT81" i="1"/>
  <c r="BV80" i="1"/>
  <c r="BU80" i="1"/>
  <c r="BT80" i="1"/>
  <c r="BV79" i="1"/>
  <c r="BU79" i="1"/>
  <c r="BT79" i="1"/>
  <c r="BV78" i="1"/>
  <c r="BU78" i="1"/>
  <c r="BT78" i="1"/>
  <c r="BV77" i="1"/>
  <c r="BU77" i="1"/>
  <c r="BT77" i="1"/>
  <c r="BV76" i="1"/>
  <c r="BU76" i="1"/>
  <c r="BT76" i="1"/>
  <c r="BV75" i="1"/>
  <c r="BU75" i="1"/>
  <c r="BT75" i="1"/>
  <c r="BV74" i="1"/>
  <c r="BU74" i="1"/>
  <c r="BT74" i="1"/>
  <c r="BV73" i="1"/>
  <c r="BU73" i="1"/>
  <c r="BT73" i="1"/>
  <c r="BV72" i="1"/>
  <c r="BU72" i="1"/>
  <c r="BT72" i="1"/>
  <c r="BV71" i="1"/>
  <c r="BU71" i="1"/>
  <c r="BT71" i="1"/>
  <c r="BV70" i="1"/>
  <c r="BU70" i="1"/>
  <c r="BT70" i="1"/>
  <c r="BV69" i="1"/>
  <c r="BU69" i="1"/>
  <c r="BT69" i="1"/>
  <c r="BV68" i="1"/>
  <c r="BU68" i="1"/>
  <c r="BT68" i="1"/>
  <c r="BV67" i="1"/>
  <c r="BU67" i="1"/>
  <c r="BT67" i="1"/>
  <c r="BV66" i="1"/>
  <c r="BU66" i="1"/>
  <c r="BT66" i="1"/>
  <c r="BV65" i="1"/>
  <c r="BU65" i="1"/>
  <c r="BT65" i="1"/>
  <c r="BV64" i="1"/>
  <c r="BU64" i="1"/>
  <c r="BT64" i="1"/>
  <c r="BV63" i="1"/>
  <c r="BU63" i="1"/>
  <c r="BT63" i="1"/>
  <c r="BV62" i="1"/>
  <c r="BU62" i="1"/>
  <c r="BT62" i="1"/>
  <c r="BV61" i="1"/>
  <c r="BU61" i="1"/>
  <c r="BT61" i="1"/>
  <c r="BV60" i="1"/>
  <c r="BU60" i="1"/>
  <c r="BT60" i="1"/>
  <c r="BV59" i="1"/>
  <c r="BU59" i="1"/>
  <c r="BT59" i="1"/>
  <c r="BV58" i="1"/>
  <c r="BU58" i="1"/>
  <c r="BT58" i="1"/>
  <c r="BV57" i="1"/>
  <c r="BU57" i="1"/>
  <c r="BT57" i="1"/>
  <c r="BV56" i="1"/>
  <c r="BU56" i="1"/>
  <c r="BT56" i="1"/>
  <c r="BV55" i="1"/>
  <c r="BU55" i="1"/>
  <c r="BT55" i="1"/>
  <c r="BV54" i="1"/>
  <c r="BU54" i="1"/>
  <c r="BT54" i="1"/>
  <c r="BV53" i="1"/>
  <c r="BU53" i="1"/>
  <c r="BT53" i="1"/>
  <c r="BV50" i="1"/>
  <c r="BU50" i="1"/>
  <c r="BT50" i="1"/>
  <c r="BV49" i="1"/>
  <c r="BU49" i="1"/>
  <c r="BT49" i="1"/>
  <c r="BV48" i="1"/>
  <c r="BU48" i="1"/>
  <c r="BT48" i="1"/>
  <c r="BV47" i="1"/>
  <c r="BU47" i="1"/>
  <c r="BT47" i="1"/>
  <c r="BV46" i="1"/>
  <c r="BU46" i="1"/>
  <c r="BT46" i="1"/>
  <c r="BV45" i="1"/>
  <c r="BU45" i="1"/>
  <c r="BT45" i="1"/>
  <c r="BV44" i="1"/>
  <c r="BU44" i="1"/>
  <c r="BT44" i="1"/>
  <c r="BV43" i="1"/>
  <c r="BU43" i="1"/>
  <c r="BT43" i="1"/>
  <c r="BV42" i="1"/>
  <c r="BU42" i="1"/>
  <c r="BT42" i="1"/>
  <c r="BV41" i="1"/>
  <c r="BU41" i="1"/>
  <c r="BT41" i="1"/>
  <c r="BV40" i="1"/>
  <c r="BU40" i="1"/>
  <c r="BT40" i="1"/>
  <c r="BV39" i="1"/>
  <c r="BU39" i="1"/>
  <c r="BT39" i="1"/>
  <c r="BV38" i="1"/>
  <c r="BU38" i="1"/>
  <c r="BT38" i="1"/>
  <c r="BV37" i="1"/>
  <c r="BU37" i="1"/>
  <c r="BT37" i="1"/>
  <c r="BV36" i="1"/>
  <c r="BU36" i="1"/>
  <c r="BT36" i="1"/>
  <c r="BV35" i="1"/>
  <c r="BU35" i="1"/>
  <c r="BT35" i="1"/>
  <c r="BV34" i="1"/>
  <c r="BU34" i="1"/>
  <c r="BT34" i="1"/>
  <c r="BV33" i="1"/>
  <c r="BU33" i="1"/>
  <c r="BT33" i="1"/>
  <c r="BV32" i="1"/>
  <c r="BU32" i="1"/>
  <c r="BT32" i="1"/>
  <c r="BV31" i="1"/>
  <c r="BU31" i="1"/>
  <c r="BT31" i="1"/>
  <c r="BV30" i="1"/>
  <c r="BU30" i="1"/>
  <c r="BT30" i="1"/>
  <c r="BV29" i="1"/>
  <c r="BU29" i="1"/>
  <c r="BT29" i="1"/>
  <c r="BV28" i="1"/>
  <c r="BU28" i="1"/>
  <c r="BT28" i="1"/>
  <c r="BV27" i="1"/>
  <c r="BU27" i="1"/>
  <c r="BT27" i="1"/>
  <c r="BV26" i="1"/>
  <c r="BU26" i="1"/>
  <c r="BT26" i="1"/>
  <c r="BV25" i="1"/>
  <c r="BU25" i="1"/>
  <c r="BT25" i="1"/>
  <c r="BV24" i="1"/>
  <c r="BU24" i="1"/>
  <c r="BT24" i="1"/>
  <c r="BV23" i="1"/>
  <c r="BU23" i="1"/>
  <c r="BT23" i="1"/>
  <c r="BV22" i="1"/>
  <c r="BU22" i="1"/>
  <c r="BT22" i="1"/>
  <c r="BV21" i="1"/>
  <c r="BU21" i="1"/>
  <c r="BT21" i="1"/>
  <c r="BV20" i="1"/>
  <c r="BU20" i="1"/>
  <c r="BT20" i="1"/>
  <c r="BV19" i="1"/>
  <c r="BU19" i="1"/>
  <c r="BT19" i="1"/>
  <c r="BV18" i="1"/>
  <c r="BU18" i="1"/>
  <c r="BT18" i="1"/>
  <c r="BV17" i="1"/>
  <c r="BU17" i="1"/>
  <c r="BT17" i="1"/>
  <c r="BV16" i="1"/>
  <c r="BU16" i="1"/>
  <c r="BT16" i="1"/>
  <c r="BV15" i="1"/>
  <c r="BU15" i="1"/>
  <c r="BT15" i="1"/>
  <c r="BV14" i="1"/>
  <c r="BU14" i="1"/>
  <c r="BT14" i="1"/>
  <c r="BV13" i="1"/>
  <c r="BU13" i="1"/>
  <c r="BT13" i="1"/>
  <c r="BV12" i="1"/>
  <c r="BU12" i="1"/>
  <c r="BT12" i="1"/>
  <c r="BV11" i="1"/>
  <c r="BU11" i="1"/>
  <c r="BT11" i="1"/>
  <c r="BV10" i="1"/>
  <c r="BU10" i="1"/>
  <c r="BT10" i="1"/>
  <c r="BV9" i="1"/>
  <c r="BU9" i="1"/>
  <c r="BT9" i="1"/>
  <c r="BV8" i="1"/>
  <c r="BV168" i="1" s="1"/>
  <c r="BU8" i="1"/>
  <c r="BT8" i="1"/>
  <c r="BV7" i="1"/>
  <c r="BU7" i="1"/>
  <c r="BU167" i="1" s="1"/>
  <c r="BT7" i="1"/>
  <c r="BL209" i="1"/>
  <c r="BN208" i="1"/>
  <c r="BN185" i="1"/>
  <c r="BM185" i="1"/>
  <c r="BL185" i="1"/>
  <c r="BN184" i="1"/>
  <c r="BM184" i="1"/>
  <c r="BL184" i="1"/>
  <c r="BN183" i="1"/>
  <c r="BM183" i="1"/>
  <c r="BL183" i="1"/>
  <c r="BN182" i="1"/>
  <c r="BM182" i="1"/>
  <c r="BL182" i="1"/>
  <c r="BN181" i="1"/>
  <c r="BM181" i="1"/>
  <c r="BL181" i="1"/>
  <c r="BN180" i="1"/>
  <c r="BM180" i="1"/>
  <c r="BL180" i="1"/>
  <c r="BN179" i="1"/>
  <c r="BM179" i="1"/>
  <c r="BL179" i="1"/>
  <c r="BN178" i="1"/>
  <c r="BM178" i="1"/>
  <c r="BL178" i="1"/>
  <c r="BN177" i="1"/>
  <c r="BM177" i="1"/>
  <c r="BL177" i="1"/>
  <c r="BN176" i="1"/>
  <c r="BM176" i="1"/>
  <c r="BL176" i="1"/>
  <c r="BN175" i="1"/>
  <c r="BM175" i="1"/>
  <c r="BL175" i="1"/>
  <c r="BL187" i="1" s="1"/>
  <c r="BN174" i="1"/>
  <c r="BM174" i="1"/>
  <c r="BL174" i="1"/>
  <c r="BN106" i="1"/>
  <c r="BM106" i="1"/>
  <c r="BL106" i="1"/>
  <c r="BN105" i="1"/>
  <c r="BM105" i="1"/>
  <c r="BL105" i="1"/>
  <c r="BN104" i="1"/>
  <c r="BM104" i="1"/>
  <c r="BL104" i="1"/>
  <c r="BN103" i="1"/>
  <c r="BM103" i="1"/>
  <c r="BL103" i="1"/>
  <c r="BN102" i="1"/>
  <c r="BM102" i="1"/>
  <c r="BL102" i="1"/>
  <c r="BN101" i="1"/>
  <c r="BM101" i="1"/>
  <c r="BL101" i="1"/>
  <c r="BN100" i="1"/>
  <c r="BM100" i="1"/>
  <c r="BL100" i="1"/>
  <c r="BN99" i="1"/>
  <c r="BM99" i="1"/>
  <c r="BL99" i="1"/>
  <c r="BN98" i="1"/>
  <c r="BM98" i="1"/>
  <c r="BL98" i="1"/>
  <c r="BN97" i="1"/>
  <c r="BM97" i="1"/>
  <c r="BL97" i="1"/>
  <c r="BN96" i="1"/>
  <c r="BM96" i="1"/>
  <c r="BL96" i="1"/>
  <c r="BN95" i="1"/>
  <c r="BM95" i="1"/>
  <c r="BL95" i="1"/>
  <c r="BN94" i="1"/>
  <c r="BM94" i="1"/>
  <c r="BL94" i="1"/>
  <c r="BN93" i="1"/>
  <c r="BM93" i="1"/>
  <c r="BL93" i="1"/>
  <c r="BN92" i="1"/>
  <c r="BM92" i="1"/>
  <c r="BL92" i="1"/>
  <c r="BN91" i="1"/>
  <c r="BM91" i="1"/>
  <c r="BL91" i="1"/>
  <c r="BN90" i="1"/>
  <c r="BM90" i="1"/>
  <c r="BL90" i="1"/>
  <c r="BN89" i="1"/>
  <c r="BM89" i="1"/>
  <c r="BL89" i="1"/>
  <c r="BN88" i="1"/>
  <c r="BM88" i="1"/>
  <c r="BL88" i="1"/>
  <c r="BN87" i="1"/>
  <c r="BM87" i="1"/>
  <c r="BL87" i="1"/>
  <c r="BN86" i="1"/>
  <c r="BM86" i="1"/>
  <c r="BL86" i="1"/>
  <c r="BN85" i="1"/>
  <c r="BM85" i="1"/>
  <c r="BL85" i="1"/>
  <c r="BN84" i="1"/>
  <c r="BM84" i="1"/>
  <c r="BL84" i="1"/>
  <c r="BN83" i="1"/>
  <c r="BM83" i="1"/>
  <c r="BL83" i="1"/>
  <c r="BN82" i="1"/>
  <c r="BM82" i="1"/>
  <c r="BL82" i="1"/>
  <c r="BN81" i="1"/>
  <c r="BM81" i="1"/>
  <c r="BL81" i="1"/>
  <c r="BN80" i="1"/>
  <c r="BM80" i="1"/>
  <c r="BL80" i="1"/>
  <c r="BN79" i="1"/>
  <c r="BM79" i="1"/>
  <c r="BL79" i="1"/>
  <c r="BN78" i="1"/>
  <c r="BM78" i="1"/>
  <c r="BL78" i="1"/>
  <c r="BN77" i="1"/>
  <c r="BM77" i="1"/>
  <c r="BL77" i="1"/>
  <c r="BN76" i="1"/>
  <c r="BM76" i="1"/>
  <c r="BL76" i="1"/>
  <c r="BN75" i="1"/>
  <c r="BM75" i="1"/>
  <c r="BL75" i="1"/>
  <c r="BN74" i="1"/>
  <c r="BM74" i="1"/>
  <c r="BL74" i="1"/>
  <c r="BN73" i="1"/>
  <c r="BM73" i="1"/>
  <c r="BL73" i="1"/>
  <c r="BN72" i="1"/>
  <c r="BM72" i="1"/>
  <c r="BL72" i="1"/>
  <c r="BN71" i="1"/>
  <c r="BM71" i="1"/>
  <c r="BL71" i="1"/>
  <c r="BN70" i="1"/>
  <c r="BM70" i="1"/>
  <c r="BL70" i="1"/>
  <c r="BN69" i="1"/>
  <c r="BM69" i="1"/>
  <c r="BL69" i="1"/>
  <c r="BN68" i="1"/>
  <c r="BM68" i="1"/>
  <c r="BL68" i="1"/>
  <c r="BN67" i="1"/>
  <c r="BM67" i="1"/>
  <c r="BL67" i="1"/>
  <c r="BN66" i="1"/>
  <c r="BM66" i="1"/>
  <c r="BL66" i="1"/>
  <c r="BN65" i="1"/>
  <c r="BM65" i="1"/>
  <c r="BL65" i="1"/>
  <c r="BN64" i="1"/>
  <c r="BM64" i="1"/>
  <c r="BL64" i="1"/>
  <c r="BN63" i="1"/>
  <c r="BM63" i="1"/>
  <c r="BL63" i="1"/>
  <c r="BN62" i="1"/>
  <c r="BM62" i="1"/>
  <c r="BL62" i="1"/>
  <c r="BN61" i="1"/>
  <c r="BM61" i="1"/>
  <c r="BL61" i="1"/>
  <c r="BN60" i="1"/>
  <c r="BM60" i="1"/>
  <c r="BL60" i="1"/>
  <c r="BN59" i="1"/>
  <c r="BM59" i="1"/>
  <c r="BL59" i="1"/>
  <c r="BN58" i="1"/>
  <c r="BM58" i="1"/>
  <c r="BL58" i="1"/>
  <c r="BN57" i="1"/>
  <c r="BM57" i="1"/>
  <c r="BL57" i="1"/>
  <c r="BN56" i="1"/>
  <c r="BM56" i="1"/>
  <c r="BL56" i="1"/>
  <c r="BN55" i="1"/>
  <c r="BM55" i="1"/>
  <c r="BL55" i="1"/>
  <c r="BN54" i="1"/>
  <c r="BM54" i="1"/>
  <c r="BL54" i="1"/>
  <c r="BN53" i="1"/>
  <c r="BM53" i="1"/>
  <c r="BL53" i="1"/>
  <c r="BN50" i="1"/>
  <c r="BM50" i="1"/>
  <c r="BL50" i="1"/>
  <c r="BN49" i="1"/>
  <c r="BM49" i="1"/>
  <c r="BL49" i="1"/>
  <c r="BN48" i="1"/>
  <c r="BM48" i="1"/>
  <c r="BL48" i="1"/>
  <c r="BN47" i="1"/>
  <c r="BM47" i="1"/>
  <c r="BL47" i="1"/>
  <c r="BN46" i="1"/>
  <c r="BM46" i="1"/>
  <c r="BL46" i="1"/>
  <c r="BN45" i="1"/>
  <c r="BM45" i="1"/>
  <c r="BL45" i="1"/>
  <c r="BN44" i="1"/>
  <c r="BM44" i="1"/>
  <c r="BL44" i="1"/>
  <c r="BN43" i="1"/>
  <c r="BM43" i="1"/>
  <c r="BL43" i="1"/>
  <c r="BN42" i="1"/>
  <c r="BM42" i="1"/>
  <c r="BL42" i="1"/>
  <c r="BN41" i="1"/>
  <c r="BM41" i="1"/>
  <c r="BL41" i="1"/>
  <c r="BN40" i="1"/>
  <c r="BM40" i="1"/>
  <c r="BL40" i="1"/>
  <c r="BN39" i="1"/>
  <c r="BM39" i="1"/>
  <c r="BL39" i="1"/>
  <c r="BN38" i="1"/>
  <c r="BM38" i="1"/>
  <c r="BL38" i="1"/>
  <c r="BN37" i="1"/>
  <c r="BM37" i="1"/>
  <c r="BL37" i="1"/>
  <c r="BN36" i="1"/>
  <c r="BM36" i="1"/>
  <c r="BL36" i="1"/>
  <c r="BN35" i="1"/>
  <c r="BM35" i="1"/>
  <c r="BL35" i="1"/>
  <c r="BN34" i="1"/>
  <c r="BM34" i="1"/>
  <c r="BL34" i="1"/>
  <c r="BN33" i="1"/>
  <c r="BM33" i="1"/>
  <c r="BL33" i="1"/>
  <c r="BN32" i="1"/>
  <c r="BM32" i="1"/>
  <c r="BL32" i="1"/>
  <c r="BN31" i="1"/>
  <c r="BM31" i="1"/>
  <c r="BL31" i="1"/>
  <c r="BN30" i="1"/>
  <c r="BM30" i="1"/>
  <c r="BL30" i="1"/>
  <c r="BN29" i="1"/>
  <c r="BM29" i="1"/>
  <c r="BL29" i="1"/>
  <c r="BN28" i="1"/>
  <c r="BM28" i="1"/>
  <c r="BL28" i="1"/>
  <c r="BN27" i="1"/>
  <c r="BM27" i="1"/>
  <c r="BL27" i="1"/>
  <c r="BN26" i="1"/>
  <c r="BM26" i="1"/>
  <c r="BL26" i="1"/>
  <c r="BN25" i="1"/>
  <c r="BM25" i="1"/>
  <c r="BL25" i="1"/>
  <c r="BN24" i="1"/>
  <c r="BM24" i="1"/>
  <c r="BL24" i="1"/>
  <c r="BN23" i="1"/>
  <c r="BM23" i="1"/>
  <c r="BL23" i="1"/>
  <c r="BN22" i="1"/>
  <c r="BM22" i="1"/>
  <c r="BL22" i="1"/>
  <c r="BN21" i="1"/>
  <c r="BM21" i="1"/>
  <c r="BL21" i="1"/>
  <c r="BN20" i="1"/>
  <c r="BM20" i="1"/>
  <c r="BL20" i="1"/>
  <c r="BN19" i="1"/>
  <c r="BM19" i="1"/>
  <c r="BL19" i="1"/>
  <c r="BN18" i="1"/>
  <c r="BM18" i="1"/>
  <c r="BL18" i="1"/>
  <c r="BN17" i="1"/>
  <c r="BM17" i="1"/>
  <c r="BL17" i="1"/>
  <c r="BN16" i="1"/>
  <c r="BM16" i="1"/>
  <c r="BL16" i="1"/>
  <c r="BN15" i="1"/>
  <c r="BM15" i="1"/>
  <c r="BL15" i="1"/>
  <c r="BN14" i="1"/>
  <c r="BM14" i="1"/>
  <c r="BL14" i="1"/>
  <c r="BN13" i="1"/>
  <c r="BM13" i="1"/>
  <c r="BL13" i="1"/>
  <c r="BN12" i="1"/>
  <c r="BM12" i="1"/>
  <c r="BL12" i="1"/>
  <c r="BN11" i="1"/>
  <c r="BM11" i="1"/>
  <c r="BL11" i="1"/>
  <c r="BN10" i="1"/>
  <c r="BM10" i="1"/>
  <c r="BL10" i="1"/>
  <c r="BN9" i="1"/>
  <c r="BM9" i="1"/>
  <c r="BL9" i="1"/>
  <c r="BN8" i="1"/>
  <c r="BM8" i="1"/>
  <c r="BM168" i="1" s="1"/>
  <c r="BL8" i="1"/>
  <c r="BN7" i="1"/>
  <c r="BM7" i="1"/>
  <c r="BL7" i="1"/>
  <c r="BL167" i="1" s="1"/>
  <c r="BF12" i="1"/>
  <c r="BE12" i="1"/>
  <c r="BF11" i="1"/>
  <c r="BE11" i="1"/>
  <c r="BF10" i="1"/>
  <c r="BE10" i="1"/>
  <c r="BF9" i="1"/>
  <c r="BE9" i="1"/>
  <c r="AX32" i="1"/>
  <c r="AX31" i="1"/>
  <c r="AX30" i="1"/>
  <c r="AX29" i="1"/>
  <c r="AX28" i="1"/>
  <c r="AX27" i="1"/>
  <c r="AX26" i="1"/>
  <c r="AX25" i="1"/>
  <c r="AX24" i="1"/>
  <c r="AX23" i="1"/>
  <c r="AX22" i="1"/>
  <c r="AX21" i="1"/>
  <c r="AX20" i="1"/>
  <c r="AX19" i="1"/>
  <c r="AX18" i="1"/>
  <c r="AX17" i="1"/>
  <c r="AX16" i="1"/>
  <c r="AX15" i="1"/>
  <c r="AX12" i="1"/>
  <c r="AX11" i="1"/>
  <c r="AX10" i="1"/>
  <c r="AX168" i="1" s="1"/>
  <c r="AX9" i="1"/>
  <c r="AX167" i="1" s="1"/>
  <c r="AS106" i="1"/>
  <c r="AS105" i="1"/>
  <c r="AS104" i="1"/>
  <c r="AS103" i="1"/>
  <c r="AS102" i="1"/>
  <c r="AS101" i="1"/>
  <c r="AS38" i="1"/>
  <c r="AS37" i="1"/>
  <c r="AS36" i="1"/>
  <c r="AS35" i="1"/>
  <c r="AS32" i="1"/>
  <c r="AS31" i="1"/>
  <c r="AS30" i="1"/>
  <c r="AS29" i="1"/>
  <c r="AS28" i="1"/>
  <c r="AS27" i="1"/>
  <c r="AS26" i="1"/>
  <c r="AS25" i="1"/>
  <c r="AS24" i="1"/>
  <c r="AS23" i="1"/>
  <c r="AS22" i="1"/>
  <c r="AS21" i="1"/>
  <c r="AS20" i="1"/>
  <c r="AS19" i="1"/>
  <c r="AS18" i="1"/>
  <c r="AS17" i="1"/>
  <c r="AS16" i="1"/>
  <c r="AS15" i="1"/>
  <c r="AS14" i="1"/>
  <c r="AS13" i="1"/>
  <c r="AS12" i="1"/>
  <c r="AS11" i="1"/>
  <c r="AS10" i="1"/>
  <c r="AS9" i="1"/>
  <c r="AM208" i="1"/>
  <c r="AM106" i="1"/>
  <c r="AM105" i="1"/>
  <c r="AM104" i="1"/>
  <c r="AM103" i="1"/>
  <c r="AM102" i="1"/>
  <c r="AM101" i="1"/>
  <c r="AM100" i="1"/>
  <c r="AM99" i="1"/>
  <c r="AM98" i="1"/>
  <c r="AM97" i="1"/>
  <c r="AM96" i="1"/>
  <c r="AM95" i="1"/>
  <c r="AM94" i="1"/>
  <c r="AM93" i="1"/>
  <c r="AM92" i="1"/>
  <c r="AM91" i="1"/>
  <c r="AM90" i="1"/>
  <c r="AM89" i="1"/>
  <c r="AM88" i="1"/>
  <c r="AM87" i="1"/>
  <c r="AM167" i="1" s="1"/>
  <c r="AM168" i="1"/>
  <c r="AA186"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168" i="1"/>
  <c r="AA167" i="1"/>
  <c r="AS167" i="1" l="1"/>
  <c r="AS168" i="1"/>
  <c r="CS168" i="1"/>
  <c r="CS190" i="1" s="1"/>
  <c r="BV167" i="1"/>
  <c r="BV189" i="1" s="1"/>
  <c r="BL168" i="1"/>
  <c r="BL190" i="1" s="1"/>
  <c r="BL212" i="1" s="1"/>
  <c r="CB168" i="1"/>
  <c r="CB190" i="1" s="1"/>
  <c r="CB212" i="1" s="1"/>
  <c r="AS189" i="1"/>
  <c r="AS211" i="1" s="1"/>
  <c r="BF189" i="1"/>
  <c r="BF211" i="1" s="1"/>
  <c r="CL167" i="1"/>
  <c r="CL189" i="1" s="1"/>
  <c r="CL211" i="1" s="1"/>
  <c r="AM189" i="1"/>
  <c r="AM211" i="1" s="1"/>
  <c r="AA141" i="10"/>
  <c r="AM190" i="1"/>
  <c r="BM167" i="1"/>
  <c r="BT168" i="1"/>
  <c r="BT187" i="1"/>
  <c r="CC167" i="1"/>
  <c r="CD168" i="1"/>
  <c r="CJ168" i="1"/>
  <c r="CJ187" i="1"/>
  <c r="CS167" i="1"/>
  <c r="CT168" i="1"/>
  <c r="CT190" i="1" s="1"/>
  <c r="CT212" i="1" s="1"/>
  <c r="CS186" i="1"/>
  <c r="CT187" i="1"/>
  <c r="AA165" i="10"/>
  <c r="BN167" i="1"/>
  <c r="BN186" i="1"/>
  <c r="BT167" i="1"/>
  <c r="BU168" i="1"/>
  <c r="CD167" i="1"/>
  <c r="CD186" i="1"/>
  <c r="CJ167" i="1"/>
  <c r="CK168" i="1"/>
  <c r="CT167" i="1"/>
  <c r="CT186" i="1"/>
  <c r="AA164" i="10"/>
  <c r="AA152" i="10"/>
  <c r="AA150" i="10"/>
  <c r="AA142" i="10"/>
  <c r="AA125" i="10"/>
  <c r="AA120" i="10"/>
  <c r="AA109" i="10"/>
  <c r="AA156" i="10"/>
  <c r="AA129" i="10"/>
  <c r="BN168" i="1"/>
  <c r="CJ186" i="1"/>
  <c r="AA189" i="1"/>
  <c r="AA124" i="10"/>
  <c r="AA113" i="10"/>
  <c r="AA108" i="10"/>
  <c r="AA160" i="10"/>
  <c r="AA128" i="10"/>
  <c r="AA117" i="10"/>
  <c r="AA112" i="10"/>
  <c r="AA148" i="10"/>
  <c r="AA140" i="10"/>
  <c r="AA143" i="10"/>
  <c r="AA134" i="10"/>
  <c r="AA121" i="10"/>
  <c r="AA116" i="10"/>
  <c r="BV211" i="1"/>
  <c r="CS212" i="1"/>
  <c r="CR187" i="1"/>
  <c r="CR190" i="1" s="1"/>
  <c r="CR209" i="1"/>
  <c r="BL186" i="1"/>
  <c r="BL189" i="1" s="1"/>
  <c r="BM187" i="1"/>
  <c r="BM190" i="1" s="1"/>
  <c r="CB186" i="1"/>
  <c r="CB189" i="1" s="1"/>
  <c r="BM186" i="1"/>
  <c r="CC186" i="1"/>
  <c r="CD187" i="1"/>
  <c r="BT186" i="1"/>
  <c r="CK187" i="1"/>
  <c r="AA153" i="10"/>
  <c r="AA157" i="10"/>
  <c r="AA161" i="10"/>
  <c r="AA149" i="10"/>
  <c r="AA138" i="10"/>
  <c r="AA135" i="10"/>
  <c r="AA162" i="10"/>
  <c r="AA132" i="10"/>
  <c r="AA154" i="10"/>
  <c r="AA151" i="10"/>
  <c r="AA158" i="10"/>
  <c r="AM209" i="1"/>
  <c r="BN187" i="1"/>
  <c r="BM208" i="1"/>
  <c r="BN209" i="1"/>
  <c r="CC208" i="1"/>
  <c r="CD209" i="1"/>
  <c r="AA155" i="10"/>
  <c r="AA144" i="10"/>
  <c r="AA137" i="10"/>
  <c r="AA126" i="10"/>
  <c r="AA122" i="10"/>
  <c r="AA114" i="10"/>
  <c r="AA111" i="10"/>
  <c r="BU187" i="1"/>
  <c r="BT208" i="1"/>
  <c r="BU209" i="1"/>
  <c r="CJ208" i="1"/>
  <c r="CK209" i="1"/>
  <c r="AA163" i="10"/>
  <c r="AA159" i="10"/>
  <c r="AA119" i="10"/>
  <c r="AA115" i="10"/>
  <c r="AA145" i="10"/>
  <c r="AA130" i="10"/>
  <c r="AA127" i="10"/>
  <c r="AA118" i="10"/>
  <c r="AA106" i="10"/>
  <c r="AA187" i="1"/>
  <c r="AA190" i="1" s="1"/>
  <c r="AS190" i="1"/>
  <c r="BF190" i="1"/>
  <c r="BU186" i="1"/>
  <c r="BU189" i="1" s="1"/>
  <c r="BV187" i="1"/>
  <c r="BV190" i="1" s="1"/>
  <c r="BU208" i="1"/>
  <c r="BV209" i="1"/>
  <c r="CK186" i="1"/>
  <c r="CK189" i="1" s="1"/>
  <c r="CL187" i="1"/>
  <c r="CL190" i="1" s="1"/>
  <c r="CK208" i="1"/>
  <c r="CL209" i="1"/>
  <c r="AA133" i="10"/>
  <c r="AA146" i="10"/>
  <c r="AA131" i="10"/>
  <c r="BL208" i="1"/>
  <c r="BM209" i="1"/>
  <c r="CC187" i="1"/>
  <c r="CC190" i="1" s="1"/>
  <c r="CB208" i="1"/>
  <c r="CC209" i="1"/>
  <c r="AA147" i="10"/>
  <c r="AA139" i="10"/>
  <c r="AA110" i="10"/>
  <c r="AA136" i="10"/>
  <c r="AA123" i="10"/>
  <c r="AA107" i="10"/>
  <c r="CQ185" i="1"/>
  <c r="CP185" i="1"/>
  <c r="CO185" i="1"/>
  <c r="CN185" i="1"/>
  <c r="CM185" i="1"/>
  <c r="CQ184" i="1"/>
  <c r="CP184" i="1"/>
  <c r="CO184" i="1"/>
  <c r="CN184" i="1"/>
  <c r="CM184" i="1"/>
  <c r="CQ183" i="1"/>
  <c r="CP183" i="1"/>
  <c r="CO183" i="1"/>
  <c r="CN183" i="1"/>
  <c r="CM183" i="1"/>
  <c r="CQ182" i="1"/>
  <c r="CP182" i="1"/>
  <c r="CO182" i="1"/>
  <c r="CN182" i="1"/>
  <c r="CM182" i="1"/>
  <c r="CQ181" i="1"/>
  <c r="CP181" i="1"/>
  <c r="CO181" i="1"/>
  <c r="CN181" i="1"/>
  <c r="CM181" i="1"/>
  <c r="CQ180" i="1"/>
  <c r="CP180" i="1"/>
  <c r="CO180" i="1"/>
  <c r="CN180" i="1"/>
  <c r="CM180" i="1"/>
  <c r="CQ179" i="1"/>
  <c r="CP179" i="1"/>
  <c r="CO179" i="1"/>
  <c r="CN179" i="1"/>
  <c r="CM179" i="1"/>
  <c r="CQ178" i="1"/>
  <c r="CP178" i="1"/>
  <c r="CO178" i="1"/>
  <c r="CN178" i="1"/>
  <c r="CM178" i="1"/>
  <c r="CQ177" i="1"/>
  <c r="CP177" i="1"/>
  <c r="CO177" i="1"/>
  <c r="CN177" i="1"/>
  <c r="CM177" i="1"/>
  <c r="CQ176" i="1"/>
  <c r="CP176" i="1"/>
  <c r="CO176" i="1"/>
  <c r="CN176" i="1"/>
  <c r="CM176" i="1"/>
  <c r="CQ175" i="1"/>
  <c r="CP175" i="1"/>
  <c r="CO175" i="1"/>
  <c r="CN175" i="1"/>
  <c r="CM175" i="1"/>
  <c r="CQ174" i="1"/>
  <c r="CP174" i="1"/>
  <c r="CO174" i="1"/>
  <c r="CN174" i="1"/>
  <c r="CM174" i="1"/>
  <c r="CQ106" i="1"/>
  <c r="CP106" i="1"/>
  <c r="CO106" i="1"/>
  <c r="CN106" i="1"/>
  <c r="CM106" i="1"/>
  <c r="CQ105" i="1"/>
  <c r="CP105" i="1"/>
  <c r="CO105" i="1"/>
  <c r="CN105" i="1"/>
  <c r="CM105" i="1"/>
  <c r="CQ104" i="1"/>
  <c r="CP104" i="1"/>
  <c r="CO104" i="1"/>
  <c r="CN104" i="1"/>
  <c r="CM104" i="1"/>
  <c r="CQ103" i="1"/>
  <c r="CP103" i="1"/>
  <c r="CO103" i="1"/>
  <c r="CN103" i="1"/>
  <c r="CM103" i="1"/>
  <c r="CQ102" i="1"/>
  <c r="CP102" i="1"/>
  <c r="CO102" i="1"/>
  <c r="CN102" i="1"/>
  <c r="CM102" i="1"/>
  <c r="CQ101" i="1"/>
  <c r="CP101" i="1"/>
  <c r="CO101" i="1"/>
  <c r="CN101" i="1"/>
  <c r="CM101" i="1"/>
  <c r="CQ100" i="1"/>
  <c r="CP100" i="1"/>
  <c r="CO100" i="1"/>
  <c r="CN100" i="1"/>
  <c r="CM100" i="1"/>
  <c r="CQ99" i="1"/>
  <c r="CP99" i="1"/>
  <c r="CO99" i="1"/>
  <c r="CN99" i="1"/>
  <c r="CM99" i="1"/>
  <c r="CQ98" i="1"/>
  <c r="CP98" i="1"/>
  <c r="CO98" i="1"/>
  <c r="CN98" i="1"/>
  <c r="CM98" i="1"/>
  <c r="CQ97" i="1"/>
  <c r="CP97" i="1"/>
  <c r="CO97" i="1"/>
  <c r="CN97" i="1"/>
  <c r="CM97" i="1"/>
  <c r="CQ96" i="1"/>
  <c r="CP96" i="1"/>
  <c r="CO96" i="1"/>
  <c r="CN96" i="1"/>
  <c r="CM96" i="1"/>
  <c r="CQ95" i="1"/>
  <c r="CP95" i="1"/>
  <c r="CO95" i="1"/>
  <c r="CN95" i="1"/>
  <c r="CM95" i="1"/>
  <c r="CQ94" i="1"/>
  <c r="CP94" i="1"/>
  <c r="CO94" i="1"/>
  <c r="CN94" i="1"/>
  <c r="CM94" i="1"/>
  <c r="CQ93" i="1"/>
  <c r="CP93" i="1"/>
  <c r="CO93" i="1"/>
  <c r="CN93" i="1"/>
  <c r="CM93" i="1"/>
  <c r="CQ92" i="1"/>
  <c r="CP92" i="1"/>
  <c r="CO92" i="1"/>
  <c r="CN92" i="1"/>
  <c r="CM92" i="1"/>
  <c r="CQ91" i="1"/>
  <c r="CP91" i="1"/>
  <c r="CO91" i="1"/>
  <c r="CN91" i="1"/>
  <c r="CM91" i="1"/>
  <c r="CQ90" i="1"/>
  <c r="CP90" i="1"/>
  <c r="CO90" i="1"/>
  <c r="CN90" i="1"/>
  <c r="CM90" i="1"/>
  <c r="CQ89" i="1"/>
  <c r="CP89" i="1"/>
  <c r="CO89" i="1"/>
  <c r="CN89" i="1"/>
  <c r="CM89" i="1"/>
  <c r="CQ88" i="1"/>
  <c r="CP88" i="1"/>
  <c r="CO88" i="1"/>
  <c r="CN88" i="1"/>
  <c r="CM88" i="1"/>
  <c r="CQ87" i="1"/>
  <c r="CP87" i="1"/>
  <c r="CO87" i="1"/>
  <c r="CN87" i="1"/>
  <c r="CM87" i="1"/>
  <c r="CQ86" i="1"/>
  <c r="CP86" i="1"/>
  <c r="CO86" i="1"/>
  <c r="CN86" i="1"/>
  <c r="CM86" i="1"/>
  <c r="CQ85" i="1"/>
  <c r="CP85" i="1"/>
  <c r="CO85" i="1"/>
  <c r="CN85" i="1"/>
  <c r="CM85" i="1"/>
  <c r="CQ84" i="1"/>
  <c r="CP84" i="1"/>
  <c r="CO84" i="1"/>
  <c r="CN84" i="1"/>
  <c r="CM84" i="1"/>
  <c r="CQ83" i="1"/>
  <c r="CP83" i="1"/>
  <c r="CO83" i="1"/>
  <c r="CN83" i="1"/>
  <c r="CM83" i="1"/>
  <c r="CQ82" i="1"/>
  <c r="CP82" i="1"/>
  <c r="CO82" i="1"/>
  <c r="CN82" i="1"/>
  <c r="CM82" i="1"/>
  <c r="CQ81" i="1"/>
  <c r="CP81" i="1"/>
  <c r="CO81" i="1"/>
  <c r="CN81" i="1"/>
  <c r="CM81" i="1"/>
  <c r="CQ80" i="1"/>
  <c r="CP80" i="1"/>
  <c r="CO80" i="1"/>
  <c r="CN80" i="1"/>
  <c r="CM80" i="1"/>
  <c r="CQ79" i="1"/>
  <c r="CP79" i="1"/>
  <c r="CO79" i="1"/>
  <c r="CN79" i="1"/>
  <c r="CM79" i="1"/>
  <c r="CQ78" i="1"/>
  <c r="CP78" i="1"/>
  <c r="CO78" i="1"/>
  <c r="CN78" i="1"/>
  <c r="CM78" i="1"/>
  <c r="CQ77" i="1"/>
  <c r="CP77" i="1"/>
  <c r="CO77" i="1"/>
  <c r="CN77" i="1"/>
  <c r="CM77" i="1"/>
  <c r="CQ76" i="1"/>
  <c r="CP76" i="1"/>
  <c r="CO76" i="1"/>
  <c r="CN76" i="1"/>
  <c r="CM76" i="1"/>
  <c r="CQ75" i="1"/>
  <c r="CP75" i="1"/>
  <c r="CO75" i="1"/>
  <c r="CN75" i="1"/>
  <c r="CM75" i="1"/>
  <c r="CQ74" i="1"/>
  <c r="CP74" i="1"/>
  <c r="CO74" i="1"/>
  <c r="CN74" i="1"/>
  <c r="CM74" i="1"/>
  <c r="CQ73" i="1"/>
  <c r="CP73" i="1"/>
  <c r="CO73" i="1"/>
  <c r="CN73" i="1"/>
  <c r="CM73" i="1"/>
  <c r="CQ72" i="1"/>
  <c r="CP72" i="1"/>
  <c r="CO72" i="1"/>
  <c r="CN72" i="1"/>
  <c r="CM72" i="1"/>
  <c r="CQ71" i="1"/>
  <c r="CP71" i="1"/>
  <c r="CO71" i="1"/>
  <c r="CN71" i="1"/>
  <c r="CM71" i="1"/>
  <c r="CQ70" i="1"/>
  <c r="CP70" i="1"/>
  <c r="CO70" i="1"/>
  <c r="CN70" i="1"/>
  <c r="CM70" i="1"/>
  <c r="CQ69" i="1"/>
  <c r="CP69" i="1"/>
  <c r="CO69" i="1"/>
  <c r="CN69" i="1"/>
  <c r="CM69" i="1"/>
  <c r="CQ68" i="1"/>
  <c r="CP68" i="1"/>
  <c r="CO68" i="1"/>
  <c r="CN68" i="1"/>
  <c r="CM68" i="1"/>
  <c r="CQ67" i="1"/>
  <c r="CP67" i="1"/>
  <c r="CO67" i="1"/>
  <c r="CN67" i="1"/>
  <c r="CM67" i="1"/>
  <c r="CQ66" i="1"/>
  <c r="CP66" i="1"/>
  <c r="CO66" i="1"/>
  <c r="CN66" i="1"/>
  <c r="CM66" i="1"/>
  <c r="CQ65" i="1"/>
  <c r="CP65" i="1"/>
  <c r="CO65" i="1"/>
  <c r="CN65" i="1"/>
  <c r="CM65" i="1"/>
  <c r="CQ64" i="1"/>
  <c r="CP64" i="1"/>
  <c r="CO64" i="1"/>
  <c r="CN64" i="1"/>
  <c r="CM64" i="1"/>
  <c r="CQ63" i="1"/>
  <c r="CP63" i="1"/>
  <c r="CO63" i="1"/>
  <c r="CN63" i="1"/>
  <c r="CM63" i="1"/>
  <c r="CQ62" i="1"/>
  <c r="CP62" i="1"/>
  <c r="CO62" i="1"/>
  <c r="CN62" i="1"/>
  <c r="CM62" i="1"/>
  <c r="CQ61" i="1"/>
  <c r="CP61" i="1"/>
  <c r="CO61" i="1"/>
  <c r="CN61" i="1"/>
  <c r="CM61" i="1"/>
  <c r="CQ60" i="1"/>
  <c r="CP60" i="1"/>
  <c r="CO60" i="1"/>
  <c r="CN60" i="1"/>
  <c r="CM60" i="1"/>
  <c r="CQ59" i="1"/>
  <c r="CP59" i="1"/>
  <c r="CO59" i="1"/>
  <c r="CN59" i="1"/>
  <c r="CM59" i="1"/>
  <c r="CQ58" i="1"/>
  <c r="CP58" i="1"/>
  <c r="CO58" i="1"/>
  <c r="CN58" i="1"/>
  <c r="CM58" i="1"/>
  <c r="CQ57" i="1"/>
  <c r="CP57" i="1"/>
  <c r="CO57" i="1"/>
  <c r="CN57" i="1"/>
  <c r="CM57" i="1"/>
  <c r="CQ56" i="1"/>
  <c r="CP56" i="1"/>
  <c r="CO56" i="1"/>
  <c r="CN56" i="1"/>
  <c r="CM56" i="1"/>
  <c r="CQ55" i="1"/>
  <c r="CP55" i="1"/>
  <c r="CO55" i="1"/>
  <c r="CN55" i="1"/>
  <c r="CM55" i="1"/>
  <c r="CQ54" i="1"/>
  <c r="CP54" i="1"/>
  <c r="CO54" i="1"/>
  <c r="CN54" i="1"/>
  <c r="CM54" i="1"/>
  <c r="CQ53" i="1"/>
  <c r="CP53" i="1"/>
  <c r="CO53" i="1"/>
  <c r="CN53" i="1"/>
  <c r="CM53" i="1"/>
  <c r="CQ50" i="1"/>
  <c r="CP50" i="1"/>
  <c r="CO50" i="1"/>
  <c r="CN50" i="1"/>
  <c r="CM50" i="1"/>
  <c r="CQ49" i="1"/>
  <c r="CP49" i="1"/>
  <c r="CO49" i="1"/>
  <c r="CN49" i="1"/>
  <c r="CM49" i="1"/>
  <c r="CQ48" i="1"/>
  <c r="CP48" i="1"/>
  <c r="CO48" i="1"/>
  <c r="CN48" i="1"/>
  <c r="CM48" i="1"/>
  <c r="CQ47" i="1"/>
  <c r="CP47" i="1"/>
  <c r="CO47" i="1"/>
  <c r="CN47" i="1"/>
  <c r="CM47" i="1"/>
  <c r="CQ46" i="1"/>
  <c r="CP46" i="1"/>
  <c r="CO46" i="1"/>
  <c r="CN46" i="1"/>
  <c r="CM46" i="1"/>
  <c r="CQ45" i="1"/>
  <c r="CP45" i="1"/>
  <c r="CO45" i="1"/>
  <c r="CN45" i="1"/>
  <c r="CM45" i="1"/>
  <c r="CQ44" i="1"/>
  <c r="CP44" i="1"/>
  <c r="CO44" i="1"/>
  <c r="CN44" i="1"/>
  <c r="CM44" i="1"/>
  <c r="CQ43" i="1"/>
  <c r="CP43" i="1"/>
  <c r="CO43" i="1"/>
  <c r="CN43" i="1"/>
  <c r="CM43" i="1"/>
  <c r="CQ42" i="1"/>
  <c r="CP42" i="1"/>
  <c r="CO42" i="1"/>
  <c r="CN42" i="1"/>
  <c r="CM42" i="1"/>
  <c r="CQ41" i="1"/>
  <c r="CP41" i="1"/>
  <c r="CO41" i="1"/>
  <c r="CN41" i="1"/>
  <c r="CM41" i="1"/>
  <c r="CQ40" i="1"/>
  <c r="CP40" i="1"/>
  <c r="CO40" i="1"/>
  <c r="CN40" i="1"/>
  <c r="CM40" i="1"/>
  <c r="CQ39" i="1"/>
  <c r="CP39" i="1"/>
  <c r="CO39" i="1"/>
  <c r="CN39" i="1"/>
  <c r="CM39" i="1"/>
  <c r="CQ38" i="1"/>
  <c r="CP38" i="1"/>
  <c r="CO38" i="1"/>
  <c r="CN38" i="1"/>
  <c r="CM38" i="1"/>
  <c r="CQ37" i="1"/>
  <c r="CP37" i="1"/>
  <c r="CO37" i="1"/>
  <c r="CN37" i="1"/>
  <c r="CM37" i="1"/>
  <c r="CQ36" i="1"/>
  <c r="CP36" i="1"/>
  <c r="CO36" i="1"/>
  <c r="CN36" i="1"/>
  <c r="CM36" i="1"/>
  <c r="CQ35" i="1"/>
  <c r="CP35" i="1"/>
  <c r="CO35" i="1"/>
  <c r="CN35" i="1"/>
  <c r="CM35" i="1"/>
  <c r="CQ34" i="1"/>
  <c r="CP34" i="1"/>
  <c r="CO34" i="1"/>
  <c r="CN34" i="1"/>
  <c r="CM34" i="1"/>
  <c r="CQ33" i="1"/>
  <c r="CP33" i="1"/>
  <c r="CO33" i="1"/>
  <c r="CN33" i="1"/>
  <c r="CM33" i="1"/>
  <c r="CQ32" i="1"/>
  <c r="CP32" i="1"/>
  <c r="CO32" i="1"/>
  <c r="CN32" i="1"/>
  <c r="CM32" i="1"/>
  <c r="CQ31" i="1"/>
  <c r="CP31" i="1"/>
  <c r="CO31" i="1"/>
  <c r="CN31" i="1"/>
  <c r="CM31" i="1"/>
  <c r="CQ30" i="1"/>
  <c r="CP30" i="1"/>
  <c r="CO30" i="1"/>
  <c r="CN30" i="1"/>
  <c r="CM30" i="1"/>
  <c r="CQ29" i="1"/>
  <c r="CP29" i="1"/>
  <c r="CO29" i="1"/>
  <c r="CN29" i="1"/>
  <c r="CM29" i="1"/>
  <c r="CQ28" i="1"/>
  <c r="CP28" i="1"/>
  <c r="CO28" i="1"/>
  <c r="CN28" i="1"/>
  <c r="CM28" i="1"/>
  <c r="CQ27" i="1"/>
  <c r="CP27" i="1"/>
  <c r="CO27" i="1"/>
  <c r="CN27" i="1"/>
  <c r="CM27" i="1"/>
  <c r="CQ26" i="1"/>
  <c r="CP26" i="1"/>
  <c r="CO26" i="1"/>
  <c r="CN26" i="1"/>
  <c r="CM26" i="1"/>
  <c r="CQ25" i="1"/>
  <c r="CP25" i="1"/>
  <c r="CO25" i="1"/>
  <c r="CN25" i="1"/>
  <c r="CM25" i="1"/>
  <c r="CQ24" i="1"/>
  <c r="CP24" i="1"/>
  <c r="CO24" i="1"/>
  <c r="CN24" i="1"/>
  <c r="CM24" i="1"/>
  <c r="CQ23" i="1"/>
  <c r="CP23" i="1"/>
  <c r="CO23" i="1"/>
  <c r="CN23" i="1"/>
  <c r="CM23" i="1"/>
  <c r="CQ22" i="1"/>
  <c r="CP22" i="1"/>
  <c r="CO22" i="1"/>
  <c r="CN22" i="1"/>
  <c r="CM22" i="1"/>
  <c r="CQ21" i="1"/>
  <c r="CP21" i="1"/>
  <c r="CO21" i="1"/>
  <c r="CN21" i="1"/>
  <c r="CM21" i="1"/>
  <c r="CQ20" i="1"/>
  <c r="CP20" i="1"/>
  <c r="CO20" i="1"/>
  <c r="CN20" i="1"/>
  <c r="CM20" i="1"/>
  <c r="CQ19" i="1"/>
  <c r="CP19" i="1"/>
  <c r="CO19" i="1"/>
  <c r="CN19" i="1"/>
  <c r="CM19" i="1"/>
  <c r="CQ18" i="1"/>
  <c r="CP18" i="1"/>
  <c r="CO18" i="1"/>
  <c r="CN18" i="1"/>
  <c r="CM18" i="1"/>
  <c r="CQ17" i="1"/>
  <c r="CP17" i="1"/>
  <c r="CO17" i="1"/>
  <c r="CN17" i="1"/>
  <c r="CM17" i="1"/>
  <c r="CQ16" i="1"/>
  <c r="CP16" i="1"/>
  <c r="CO16" i="1"/>
  <c r="CN16" i="1"/>
  <c r="CM16" i="1"/>
  <c r="CQ15" i="1"/>
  <c r="CP15" i="1"/>
  <c r="CO15" i="1"/>
  <c r="CN15" i="1"/>
  <c r="CM15" i="1"/>
  <c r="CQ14" i="1"/>
  <c r="CP14" i="1"/>
  <c r="CO14" i="1"/>
  <c r="CN14" i="1"/>
  <c r="CM14" i="1"/>
  <c r="CQ13" i="1"/>
  <c r="CP13" i="1"/>
  <c r="CO13" i="1"/>
  <c r="CN13" i="1"/>
  <c r="CM13" i="1"/>
  <c r="CQ12" i="1"/>
  <c r="CP12" i="1"/>
  <c r="CO12" i="1"/>
  <c r="CN12" i="1"/>
  <c r="CM12" i="1"/>
  <c r="CQ11" i="1"/>
  <c r="CP11" i="1"/>
  <c r="CO11" i="1"/>
  <c r="CN11" i="1"/>
  <c r="CM11" i="1"/>
  <c r="CQ10" i="1"/>
  <c r="CP10" i="1"/>
  <c r="CO10" i="1"/>
  <c r="CN10" i="1"/>
  <c r="CM10" i="1"/>
  <c r="CQ9" i="1"/>
  <c r="CP9" i="1"/>
  <c r="CO9" i="1"/>
  <c r="CN9" i="1"/>
  <c r="CM9" i="1"/>
  <c r="CQ8" i="1"/>
  <c r="CP8" i="1"/>
  <c r="CO8" i="1"/>
  <c r="CN8" i="1"/>
  <c r="CM8" i="1"/>
  <c r="CQ7" i="1"/>
  <c r="CP7" i="1"/>
  <c r="CO7" i="1"/>
  <c r="CN7" i="1"/>
  <c r="CM7" i="1"/>
  <c r="CI185" i="1"/>
  <c r="CH185" i="1"/>
  <c r="CG185" i="1"/>
  <c r="CF185" i="1"/>
  <c r="CE185" i="1"/>
  <c r="CI184" i="1"/>
  <c r="CH184" i="1"/>
  <c r="CG184" i="1"/>
  <c r="CF184" i="1"/>
  <c r="CE184" i="1"/>
  <c r="CI183" i="1"/>
  <c r="CH183" i="1"/>
  <c r="CG183" i="1"/>
  <c r="CF183" i="1"/>
  <c r="CE183" i="1"/>
  <c r="CI182" i="1"/>
  <c r="CH182" i="1"/>
  <c r="CG182" i="1"/>
  <c r="CF182" i="1"/>
  <c r="CE182" i="1"/>
  <c r="CI181" i="1"/>
  <c r="CH181" i="1"/>
  <c r="CG181" i="1"/>
  <c r="CF181" i="1"/>
  <c r="CE181" i="1"/>
  <c r="CI180" i="1"/>
  <c r="CH180" i="1"/>
  <c r="CG180" i="1"/>
  <c r="CF180" i="1"/>
  <c r="CE180" i="1"/>
  <c r="CI179" i="1"/>
  <c r="CH179" i="1"/>
  <c r="CG179" i="1"/>
  <c r="CF179" i="1"/>
  <c r="CE179" i="1"/>
  <c r="CI178" i="1"/>
  <c r="CH178" i="1"/>
  <c r="CG178" i="1"/>
  <c r="CF178" i="1"/>
  <c r="CE178" i="1"/>
  <c r="CI177" i="1"/>
  <c r="CH177" i="1"/>
  <c r="CG177" i="1"/>
  <c r="CF177" i="1"/>
  <c r="CE177" i="1"/>
  <c r="CI176" i="1"/>
  <c r="CH176" i="1"/>
  <c r="CG176" i="1"/>
  <c r="CF176" i="1"/>
  <c r="CE176" i="1"/>
  <c r="CI175" i="1"/>
  <c r="CH175" i="1"/>
  <c r="CG175" i="1"/>
  <c r="CF175" i="1"/>
  <c r="CE175" i="1"/>
  <c r="CI174" i="1"/>
  <c r="CH174" i="1"/>
  <c r="CG174" i="1"/>
  <c r="CF174" i="1"/>
  <c r="CE174" i="1"/>
  <c r="CI106" i="1"/>
  <c r="CH106" i="1"/>
  <c r="CG106" i="1"/>
  <c r="CF106" i="1"/>
  <c r="CE106" i="1"/>
  <c r="CI105" i="1"/>
  <c r="CH105" i="1"/>
  <c r="CG105" i="1"/>
  <c r="CF105" i="1"/>
  <c r="CE105" i="1"/>
  <c r="CI104" i="1"/>
  <c r="CH104" i="1"/>
  <c r="CG104" i="1"/>
  <c r="CF104" i="1"/>
  <c r="CE104" i="1"/>
  <c r="CI103" i="1"/>
  <c r="CH103" i="1"/>
  <c r="CG103" i="1"/>
  <c r="CF103" i="1"/>
  <c r="CE103" i="1"/>
  <c r="CI102" i="1"/>
  <c r="CH102" i="1"/>
  <c r="CG102" i="1"/>
  <c r="CF102" i="1"/>
  <c r="CE102" i="1"/>
  <c r="CI101" i="1"/>
  <c r="CH101" i="1"/>
  <c r="CG101" i="1"/>
  <c r="CF101" i="1"/>
  <c r="CE101" i="1"/>
  <c r="CI100" i="1"/>
  <c r="CH100" i="1"/>
  <c r="CG100" i="1"/>
  <c r="CF100" i="1"/>
  <c r="CE100" i="1"/>
  <c r="CI99" i="1"/>
  <c r="CH99" i="1"/>
  <c r="CG99" i="1"/>
  <c r="CF99" i="1"/>
  <c r="CE99" i="1"/>
  <c r="CI98" i="1"/>
  <c r="CH98" i="1"/>
  <c r="CG98" i="1"/>
  <c r="CF98" i="1"/>
  <c r="CE98" i="1"/>
  <c r="CI97" i="1"/>
  <c r="CH97" i="1"/>
  <c r="CG97" i="1"/>
  <c r="CF97" i="1"/>
  <c r="CE97" i="1"/>
  <c r="CI96" i="1"/>
  <c r="CH96" i="1"/>
  <c r="CG96" i="1"/>
  <c r="CF96" i="1"/>
  <c r="CE96" i="1"/>
  <c r="CI95" i="1"/>
  <c r="CH95" i="1"/>
  <c r="CG95" i="1"/>
  <c r="CF95" i="1"/>
  <c r="CE95" i="1"/>
  <c r="CI94" i="1"/>
  <c r="CH94" i="1"/>
  <c r="CG94" i="1"/>
  <c r="CF94" i="1"/>
  <c r="CE94" i="1"/>
  <c r="CI93" i="1"/>
  <c r="CH93" i="1"/>
  <c r="CG93" i="1"/>
  <c r="CF93" i="1"/>
  <c r="CE93" i="1"/>
  <c r="CI92" i="1"/>
  <c r="CH92" i="1"/>
  <c r="CG92" i="1"/>
  <c r="CF92" i="1"/>
  <c r="CE92" i="1"/>
  <c r="CI91" i="1"/>
  <c r="CH91" i="1"/>
  <c r="CG91" i="1"/>
  <c r="CF91" i="1"/>
  <c r="CE91" i="1"/>
  <c r="CI90" i="1"/>
  <c r="CH90" i="1"/>
  <c r="CG90" i="1"/>
  <c r="CF90" i="1"/>
  <c r="CE90" i="1"/>
  <c r="CI89" i="1"/>
  <c r="CH89" i="1"/>
  <c r="CG89" i="1"/>
  <c r="CF89" i="1"/>
  <c r="CE89" i="1"/>
  <c r="CI88" i="1"/>
  <c r="CH88" i="1"/>
  <c r="CG88" i="1"/>
  <c r="CF88" i="1"/>
  <c r="CE88" i="1"/>
  <c r="CI87" i="1"/>
  <c r="CH87" i="1"/>
  <c r="CG87" i="1"/>
  <c r="CF87" i="1"/>
  <c r="CE87" i="1"/>
  <c r="CI86" i="1"/>
  <c r="CH86" i="1"/>
  <c r="CG86" i="1"/>
  <c r="CF86" i="1"/>
  <c r="CE86" i="1"/>
  <c r="CI85" i="1"/>
  <c r="CH85" i="1"/>
  <c r="CG85" i="1"/>
  <c r="CF85" i="1"/>
  <c r="CE85" i="1"/>
  <c r="CI84" i="1"/>
  <c r="CH84" i="1"/>
  <c r="CG84" i="1"/>
  <c r="CF84" i="1"/>
  <c r="CE84" i="1"/>
  <c r="CI83" i="1"/>
  <c r="CH83" i="1"/>
  <c r="CG83" i="1"/>
  <c r="CF83" i="1"/>
  <c r="CE83" i="1"/>
  <c r="CI82" i="1"/>
  <c r="CH82" i="1"/>
  <c r="CG82" i="1"/>
  <c r="CF82" i="1"/>
  <c r="CE82" i="1"/>
  <c r="CI81" i="1"/>
  <c r="CH81" i="1"/>
  <c r="CG81" i="1"/>
  <c r="CF81" i="1"/>
  <c r="CE81" i="1"/>
  <c r="CI80" i="1"/>
  <c r="CH80" i="1"/>
  <c r="CG80" i="1"/>
  <c r="CF80" i="1"/>
  <c r="CE80" i="1"/>
  <c r="CI79" i="1"/>
  <c r="CH79" i="1"/>
  <c r="CG79" i="1"/>
  <c r="CF79" i="1"/>
  <c r="CE79" i="1"/>
  <c r="CI78" i="1"/>
  <c r="CH78" i="1"/>
  <c r="CG78" i="1"/>
  <c r="CF78" i="1"/>
  <c r="CE78" i="1"/>
  <c r="CI77" i="1"/>
  <c r="CH77" i="1"/>
  <c r="CG77" i="1"/>
  <c r="CF77" i="1"/>
  <c r="CE77" i="1"/>
  <c r="CI76" i="1"/>
  <c r="CH76" i="1"/>
  <c r="CG76" i="1"/>
  <c r="CF76" i="1"/>
  <c r="CE76" i="1"/>
  <c r="CI75" i="1"/>
  <c r="CH75" i="1"/>
  <c r="CG75" i="1"/>
  <c r="CF75" i="1"/>
  <c r="CE75" i="1"/>
  <c r="CI74" i="1"/>
  <c r="CH74" i="1"/>
  <c r="CG74" i="1"/>
  <c r="CF74" i="1"/>
  <c r="CE74" i="1"/>
  <c r="CI73" i="1"/>
  <c r="CH73" i="1"/>
  <c r="CG73" i="1"/>
  <c r="CF73" i="1"/>
  <c r="CE73" i="1"/>
  <c r="CI72" i="1"/>
  <c r="CH72" i="1"/>
  <c r="CG72" i="1"/>
  <c r="CF72" i="1"/>
  <c r="CE72" i="1"/>
  <c r="CI71" i="1"/>
  <c r="CH71" i="1"/>
  <c r="CG71" i="1"/>
  <c r="CF71" i="1"/>
  <c r="CE71" i="1"/>
  <c r="CI70" i="1"/>
  <c r="CH70" i="1"/>
  <c r="CG70" i="1"/>
  <c r="CF70" i="1"/>
  <c r="CE70" i="1"/>
  <c r="CI69" i="1"/>
  <c r="CH69" i="1"/>
  <c r="CG69" i="1"/>
  <c r="CF69" i="1"/>
  <c r="CE69" i="1"/>
  <c r="CI68" i="1"/>
  <c r="CH68" i="1"/>
  <c r="CG68" i="1"/>
  <c r="CF68" i="1"/>
  <c r="CE68" i="1"/>
  <c r="CI67" i="1"/>
  <c r="CH67" i="1"/>
  <c r="CG67" i="1"/>
  <c r="CF67" i="1"/>
  <c r="CE67" i="1"/>
  <c r="CI66" i="1"/>
  <c r="CH66" i="1"/>
  <c r="CG66" i="1"/>
  <c r="CF66" i="1"/>
  <c r="CE66" i="1"/>
  <c r="CI65" i="1"/>
  <c r="CH65" i="1"/>
  <c r="CG65" i="1"/>
  <c r="CF65" i="1"/>
  <c r="CE65" i="1"/>
  <c r="CI64" i="1"/>
  <c r="CH64" i="1"/>
  <c r="CG64" i="1"/>
  <c r="CF64" i="1"/>
  <c r="CE64" i="1"/>
  <c r="CI63" i="1"/>
  <c r="CH63" i="1"/>
  <c r="CG63" i="1"/>
  <c r="CF63" i="1"/>
  <c r="CE63" i="1"/>
  <c r="CI62" i="1"/>
  <c r="CH62" i="1"/>
  <c r="CG62" i="1"/>
  <c r="CF62" i="1"/>
  <c r="CE62" i="1"/>
  <c r="CI61" i="1"/>
  <c r="CH61" i="1"/>
  <c r="CG61" i="1"/>
  <c r="CF61" i="1"/>
  <c r="CE61" i="1"/>
  <c r="CI60" i="1"/>
  <c r="CH60" i="1"/>
  <c r="CG60" i="1"/>
  <c r="CF60" i="1"/>
  <c r="CE60" i="1"/>
  <c r="CI59" i="1"/>
  <c r="CH59" i="1"/>
  <c r="CG59" i="1"/>
  <c r="CF59" i="1"/>
  <c r="CE59" i="1"/>
  <c r="CI58" i="1"/>
  <c r="CH58" i="1"/>
  <c r="CG58" i="1"/>
  <c r="CF58" i="1"/>
  <c r="CE58" i="1"/>
  <c r="CI57" i="1"/>
  <c r="CH57" i="1"/>
  <c r="CG57" i="1"/>
  <c r="CF57" i="1"/>
  <c r="CE57" i="1"/>
  <c r="CI56" i="1"/>
  <c r="CH56" i="1"/>
  <c r="CG56" i="1"/>
  <c r="CF56" i="1"/>
  <c r="CE56" i="1"/>
  <c r="CI55" i="1"/>
  <c r="CH55" i="1"/>
  <c r="CG55" i="1"/>
  <c r="CF55" i="1"/>
  <c r="CE55" i="1"/>
  <c r="CI54" i="1"/>
  <c r="CH54" i="1"/>
  <c r="CG54" i="1"/>
  <c r="CF54" i="1"/>
  <c r="CE54" i="1"/>
  <c r="CI53" i="1"/>
  <c r="CH53" i="1"/>
  <c r="CG53" i="1"/>
  <c r="CF53" i="1"/>
  <c r="CE53" i="1"/>
  <c r="CI50" i="1"/>
  <c r="CH50" i="1"/>
  <c r="CG50" i="1"/>
  <c r="CF50" i="1"/>
  <c r="CE50" i="1"/>
  <c r="CI49" i="1"/>
  <c r="CH49" i="1"/>
  <c r="CG49" i="1"/>
  <c r="CF49" i="1"/>
  <c r="CE49" i="1"/>
  <c r="CI48" i="1"/>
  <c r="CH48" i="1"/>
  <c r="CG48" i="1"/>
  <c r="CF48" i="1"/>
  <c r="CE48" i="1"/>
  <c r="CI47" i="1"/>
  <c r="CH47" i="1"/>
  <c r="CG47" i="1"/>
  <c r="CF47" i="1"/>
  <c r="CE47" i="1"/>
  <c r="CI46" i="1"/>
  <c r="CH46" i="1"/>
  <c r="CG46" i="1"/>
  <c r="CF46" i="1"/>
  <c r="CE46" i="1"/>
  <c r="CI45" i="1"/>
  <c r="CH45" i="1"/>
  <c r="CG45" i="1"/>
  <c r="CF45" i="1"/>
  <c r="CE45" i="1"/>
  <c r="CI44" i="1"/>
  <c r="CH44" i="1"/>
  <c r="CG44" i="1"/>
  <c r="CF44" i="1"/>
  <c r="CE44" i="1"/>
  <c r="CI43" i="1"/>
  <c r="CH43" i="1"/>
  <c r="CG43" i="1"/>
  <c r="CF43" i="1"/>
  <c r="CE43" i="1"/>
  <c r="CI42" i="1"/>
  <c r="CH42" i="1"/>
  <c r="CG42" i="1"/>
  <c r="CF42" i="1"/>
  <c r="CE42" i="1"/>
  <c r="CI41" i="1"/>
  <c r="CH41" i="1"/>
  <c r="CG41" i="1"/>
  <c r="CF41" i="1"/>
  <c r="CE41" i="1"/>
  <c r="CI40" i="1"/>
  <c r="CH40" i="1"/>
  <c r="CG40" i="1"/>
  <c r="CF40" i="1"/>
  <c r="CE40" i="1"/>
  <c r="CI39" i="1"/>
  <c r="CH39" i="1"/>
  <c r="CG39" i="1"/>
  <c r="CF39" i="1"/>
  <c r="CE39" i="1"/>
  <c r="CI38" i="1"/>
  <c r="CH38" i="1"/>
  <c r="CG38" i="1"/>
  <c r="CF38" i="1"/>
  <c r="CE38" i="1"/>
  <c r="CI37" i="1"/>
  <c r="CH37" i="1"/>
  <c r="CG37" i="1"/>
  <c r="CF37" i="1"/>
  <c r="CE37" i="1"/>
  <c r="CI36" i="1"/>
  <c r="CH36" i="1"/>
  <c r="CG36" i="1"/>
  <c r="CF36" i="1"/>
  <c r="CE36" i="1"/>
  <c r="CI35" i="1"/>
  <c r="CH35" i="1"/>
  <c r="CG35" i="1"/>
  <c r="CF35" i="1"/>
  <c r="CE35" i="1"/>
  <c r="CI34" i="1"/>
  <c r="CH34" i="1"/>
  <c r="CG34" i="1"/>
  <c r="CF34" i="1"/>
  <c r="CE34" i="1"/>
  <c r="CI33" i="1"/>
  <c r="CH33" i="1"/>
  <c r="CG33" i="1"/>
  <c r="CF33" i="1"/>
  <c r="CE33" i="1"/>
  <c r="CI32" i="1"/>
  <c r="CH32" i="1"/>
  <c r="CG32" i="1"/>
  <c r="CF32" i="1"/>
  <c r="CE32" i="1"/>
  <c r="CI31" i="1"/>
  <c r="CH31" i="1"/>
  <c r="CG31" i="1"/>
  <c r="CF31" i="1"/>
  <c r="CE31" i="1"/>
  <c r="CI30" i="1"/>
  <c r="CH30" i="1"/>
  <c r="CG30" i="1"/>
  <c r="CF30" i="1"/>
  <c r="CE30" i="1"/>
  <c r="CI29" i="1"/>
  <c r="CH29" i="1"/>
  <c r="CG29" i="1"/>
  <c r="CF29" i="1"/>
  <c r="CE29" i="1"/>
  <c r="CI28" i="1"/>
  <c r="CH28" i="1"/>
  <c r="CG28" i="1"/>
  <c r="CF28" i="1"/>
  <c r="CE28" i="1"/>
  <c r="CI27" i="1"/>
  <c r="CH27" i="1"/>
  <c r="CG27" i="1"/>
  <c r="CF27" i="1"/>
  <c r="CE27" i="1"/>
  <c r="CI26" i="1"/>
  <c r="CH26" i="1"/>
  <c r="CG26" i="1"/>
  <c r="CF26" i="1"/>
  <c r="CE26" i="1"/>
  <c r="CI25" i="1"/>
  <c r="CH25" i="1"/>
  <c r="CG25" i="1"/>
  <c r="CF25" i="1"/>
  <c r="CE25" i="1"/>
  <c r="CI24" i="1"/>
  <c r="CH24" i="1"/>
  <c r="CG24" i="1"/>
  <c r="CF24" i="1"/>
  <c r="CE24" i="1"/>
  <c r="CI23" i="1"/>
  <c r="CH23" i="1"/>
  <c r="CG23" i="1"/>
  <c r="CF23" i="1"/>
  <c r="CE23" i="1"/>
  <c r="CI22" i="1"/>
  <c r="CH22" i="1"/>
  <c r="CG22" i="1"/>
  <c r="CF22" i="1"/>
  <c r="CE22" i="1"/>
  <c r="CI21" i="1"/>
  <c r="CH21" i="1"/>
  <c r="CG21" i="1"/>
  <c r="CF21" i="1"/>
  <c r="CE21" i="1"/>
  <c r="CI20" i="1"/>
  <c r="CH20" i="1"/>
  <c r="CG20" i="1"/>
  <c r="CF20" i="1"/>
  <c r="CE20" i="1"/>
  <c r="CI19" i="1"/>
  <c r="CH19" i="1"/>
  <c r="CG19" i="1"/>
  <c r="CF19" i="1"/>
  <c r="CE19" i="1"/>
  <c r="CI18" i="1"/>
  <c r="CH18" i="1"/>
  <c r="CG18" i="1"/>
  <c r="CF18" i="1"/>
  <c r="CE18" i="1"/>
  <c r="CI17" i="1"/>
  <c r="CH17" i="1"/>
  <c r="CG17" i="1"/>
  <c r="CF17" i="1"/>
  <c r="CE17" i="1"/>
  <c r="CI16" i="1"/>
  <c r="CH16" i="1"/>
  <c r="CG16" i="1"/>
  <c r="CF16" i="1"/>
  <c r="CE16" i="1"/>
  <c r="CI15" i="1"/>
  <c r="CH15" i="1"/>
  <c r="CG15" i="1"/>
  <c r="CF15" i="1"/>
  <c r="CE15" i="1"/>
  <c r="CI14" i="1"/>
  <c r="CH14" i="1"/>
  <c r="CG14" i="1"/>
  <c r="CF14" i="1"/>
  <c r="CE14" i="1"/>
  <c r="CI13" i="1"/>
  <c r="CH13" i="1"/>
  <c r="CG13" i="1"/>
  <c r="CF13" i="1"/>
  <c r="CE13" i="1"/>
  <c r="CI12" i="1"/>
  <c r="CH12" i="1"/>
  <c r="CG12" i="1"/>
  <c r="CF12" i="1"/>
  <c r="CE12" i="1"/>
  <c r="CI11" i="1"/>
  <c r="CH11" i="1"/>
  <c r="CG11" i="1"/>
  <c r="CF11" i="1"/>
  <c r="CE11" i="1"/>
  <c r="CI10" i="1"/>
  <c r="CH10" i="1"/>
  <c r="CG10" i="1"/>
  <c r="CF10" i="1"/>
  <c r="CE10" i="1"/>
  <c r="CI9" i="1"/>
  <c r="CH9" i="1"/>
  <c r="CG9" i="1"/>
  <c r="CF9" i="1"/>
  <c r="CE9" i="1"/>
  <c r="CI8" i="1"/>
  <c r="CH8" i="1"/>
  <c r="CG8" i="1"/>
  <c r="CF8" i="1"/>
  <c r="CE8" i="1"/>
  <c r="CI7" i="1"/>
  <c r="CH7" i="1"/>
  <c r="CG7" i="1"/>
  <c r="CF7" i="1"/>
  <c r="CE7" i="1"/>
  <c r="BS185" i="1"/>
  <c r="BR185" i="1"/>
  <c r="BQ185" i="1"/>
  <c r="BP185" i="1"/>
  <c r="BO185" i="1"/>
  <c r="BS184" i="1"/>
  <c r="BR184" i="1"/>
  <c r="BQ184" i="1"/>
  <c r="BP184" i="1"/>
  <c r="BO184" i="1"/>
  <c r="BS183" i="1"/>
  <c r="BR183" i="1"/>
  <c r="BQ183" i="1"/>
  <c r="BP183" i="1"/>
  <c r="BO183" i="1"/>
  <c r="BS182" i="1"/>
  <c r="BR182" i="1"/>
  <c r="BQ182" i="1"/>
  <c r="BP182" i="1"/>
  <c r="BO182" i="1"/>
  <c r="BS181" i="1"/>
  <c r="BR181" i="1"/>
  <c r="BQ181" i="1"/>
  <c r="BP181" i="1"/>
  <c r="BO181" i="1"/>
  <c r="BS180" i="1"/>
  <c r="BR180" i="1"/>
  <c r="BQ180" i="1"/>
  <c r="BP180" i="1"/>
  <c r="BO180" i="1"/>
  <c r="BS179" i="1"/>
  <c r="BR179" i="1"/>
  <c r="BQ179" i="1"/>
  <c r="BP179" i="1"/>
  <c r="BO179" i="1"/>
  <c r="BS178" i="1"/>
  <c r="BR178" i="1"/>
  <c r="BQ178" i="1"/>
  <c r="BP178" i="1"/>
  <c r="BO178" i="1"/>
  <c r="BS177" i="1"/>
  <c r="BR177" i="1"/>
  <c r="BQ177" i="1"/>
  <c r="BP177" i="1"/>
  <c r="BO177" i="1"/>
  <c r="BS176" i="1"/>
  <c r="BR176" i="1"/>
  <c r="BQ176" i="1"/>
  <c r="BP176" i="1"/>
  <c r="BO176" i="1"/>
  <c r="BS175" i="1"/>
  <c r="BR175" i="1"/>
  <c r="BQ175" i="1"/>
  <c r="BP175" i="1"/>
  <c r="BO175" i="1"/>
  <c r="BS174" i="1"/>
  <c r="BR174" i="1"/>
  <c r="BQ174" i="1"/>
  <c r="BP174" i="1"/>
  <c r="BO174" i="1"/>
  <c r="BS106" i="1"/>
  <c r="BR106" i="1"/>
  <c r="BQ106" i="1"/>
  <c r="BP106" i="1"/>
  <c r="BO106" i="1"/>
  <c r="BS105" i="1"/>
  <c r="BR105" i="1"/>
  <c r="BQ105" i="1"/>
  <c r="BP105" i="1"/>
  <c r="BO105" i="1"/>
  <c r="BS104" i="1"/>
  <c r="BR104" i="1"/>
  <c r="BQ104" i="1"/>
  <c r="BP104" i="1"/>
  <c r="BO104" i="1"/>
  <c r="BS103" i="1"/>
  <c r="BR103" i="1"/>
  <c r="BQ103" i="1"/>
  <c r="BP103" i="1"/>
  <c r="BO103" i="1"/>
  <c r="BS102" i="1"/>
  <c r="BR102" i="1"/>
  <c r="BQ102" i="1"/>
  <c r="BP102" i="1"/>
  <c r="BO102" i="1"/>
  <c r="BS101" i="1"/>
  <c r="BR101" i="1"/>
  <c r="BQ101" i="1"/>
  <c r="BP101" i="1"/>
  <c r="BO101" i="1"/>
  <c r="BS100" i="1"/>
  <c r="BR100" i="1"/>
  <c r="BQ100" i="1"/>
  <c r="BP100" i="1"/>
  <c r="BO100" i="1"/>
  <c r="BS99" i="1"/>
  <c r="BR99" i="1"/>
  <c r="BQ99" i="1"/>
  <c r="BP99" i="1"/>
  <c r="BO99" i="1"/>
  <c r="BS98" i="1"/>
  <c r="BR98" i="1"/>
  <c r="BQ98" i="1"/>
  <c r="BP98" i="1"/>
  <c r="BO98" i="1"/>
  <c r="BS97" i="1"/>
  <c r="BR97" i="1"/>
  <c r="BQ97" i="1"/>
  <c r="BP97" i="1"/>
  <c r="BO97" i="1"/>
  <c r="BS96" i="1"/>
  <c r="BR96" i="1"/>
  <c r="BQ96" i="1"/>
  <c r="BP96" i="1"/>
  <c r="BO96" i="1"/>
  <c r="BS95" i="1"/>
  <c r="BR95" i="1"/>
  <c r="BQ95" i="1"/>
  <c r="BP95" i="1"/>
  <c r="BO95" i="1"/>
  <c r="BS94" i="1"/>
  <c r="BR94" i="1"/>
  <c r="BQ94" i="1"/>
  <c r="BP94" i="1"/>
  <c r="BO94" i="1"/>
  <c r="BS93" i="1"/>
  <c r="BR93" i="1"/>
  <c r="BQ93" i="1"/>
  <c r="BP93" i="1"/>
  <c r="BO93" i="1"/>
  <c r="BS92" i="1"/>
  <c r="BR92" i="1"/>
  <c r="BQ92" i="1"/>
  <c r="BP92" i="1"/>
  <c r="BO92" i="1"/>
  <c r="BS91" i="1"/>
  <c r="BR91" i="1"/>
  <c r="BQ91" i="1"/>
  <c r="BP91" i="1"/>
  <c r="BO91" i="1"/>
  <c r="BS90" i="1"/>
  <c r="BR90" i="1"/>
  <c r="BQ90" i="1"/>
  <c r="BP90" i="1"/>
  <c r="BO90" i="1"/>
  <c r="BS89" i="1"/>
  <c r="BR89" i="1"/>
  <c r="BQ89" i="1"/>
  <c r="BP89" i="1"/>
  <c r="BO89" i="1"/>
  <c r="BS88" i="1"/>
  <c r="BR88" i="1"/>
  <c r="BQ88" i="1"/>
  <c r="BP88" i="1"/>
  <c r="BO88" i="1"/>
  <c r="BS87" i="1"/>
  <c r="BR87" i="1"/>
  <c r="BQ87" i="1"/>
  <c r="BP87" i="1"/>
  <c r="BO87" i="1"/>
  <c r="BS86" i="1"/>
  <c r="BR86" i="1"/>
  <c r="BQ86" i="1"/>
  <c r="BP86" i="1"/>
  <c r="BO86" i="1"/>
  <c r="BS85" i="1"/>
  <c r="BR85" i="1"/>
  <c r="BQ85" i="1"/>
  <c r="BP85" i="1"/>
  <c r="BO85" i="1"/>
  <c r="BS84" i="1"/>
  <c r="BR84" i="1"/>
  <c r="BQ84" i="1"/>
  <c r="BP84" i="1"/>
  <c r="BO84" i="1"/>
  <c r="BS83" i="1"/>
  <c r="BR83" i="1"/>
  <c r="BQ83" i="1"/>
  <c r="BP83" i="1"/>
  <c r="BO83" i="1"/>
  <c r="BS82" i="1"/>
  <c r="BR82" i="1"/>
  <c r="BQ82" i="1"/>
  <c r="BP82" i="1"/>
  <c r="BO82" i="1"/>
  <c r="BS81" i="1"/>
  <c r="BR81" i="1"/>
  <c r="BQ81" i="1"/>
  <c r="BP81" i="1"/>
  <c r="BO81" i="1"/>
  <c r="BS80" i="1"/>
  <c r="BR80" i="1"/>
  <c r="BQ80" i="1"/>
  <c r="BP80" i="1"/>
  <c r="BO80" i="1"/>
  <c r="BS79" i="1"/>
  <c r="BR79" i="1"/>
  <c r="BQ79" i="1"/>
  <c r="BP79" i="1"/>
  <c r="BO79" i="1"/>
  <c r="BS78" i="1"/>
  <c r="BR78" i="1"/>
  <c r="BQ78" i="1"/>
  <c r="BP78" i="1"/>
  <c r="BO78" i="1"/>
  <c r="BS77" i="1"/>
  <c r="BR77" i="1"/>
  <c r="BQ77" i="1"/>
  <c r="BP77" i="1"/>
  <c r="BO77" i="1"/>
  <c r="BS76" i="1"/>
  <c r="BR76" i="1"/>
  <c r="BQ76" i="1"/>
  <c r="BP76" i="1"/>
  <c r="BO76" i="1"/>
  <c r="BS75" i="1"/>
  <c r="BR75" i="1"/>
  <c r="BQ75" i="1"/>
  <c r="BP75" i="1"/>
  <c r="BO75" i="1"/>
  <c r="BS74" i="1"/>
  <c r="BR74" i="1"/>
  <c r="BQ74" i="1"/>
  <c r="BP74" i="1"/>
  <c r="BO74" i="1"/>
  <c r="BS73" i="1"/>
  <c r="BR73" i="1"/>
  <c r="BQ73" i="1"/>
  <c r="BP73" i="1"/>
  <c r="BO73" i="1"/>
  <c r="BS72" i="1"/>
  <c r="BR72" i="1"/>
  <c r="BQ72" i="1"/>
  <c r="BP72" i="1"/>
  <c r="BO72" i="1"/>
  <c r="BS71" i="1"/>
  <c r="BR71" i="1"/>
  <c r="BQ71" i="1"/>
  <c r="BP71" i="1"/>
  <c r="BO71" i="1"/>
  <c r="BS70" i="1"/>
  <c r="BR70" i="1"/>
  <c r="BQ70" i="1"/>
  <c r="BP70" i="1"/>
  <c r="BO70" i="1"/>
  <c r="BS69" i="1"/>
  <c r="BR69" i="1"/>
  <c r="BQ69" i="1"/>
  <c r="BP69" i="1"/>
  <c r="BO69" i="1"/>
  <c r="BS68" i="1"/>
  <c r="BR68" i="1"/>
  <c r="BQ68" i="1"/>
  <c r="BP68" i="1"/>
  <c r="BO68" i="1"/>
  <c r="BS67" i="1"/>
  <c r="BR67" i="1"/>
  <c r="BQ67" i="1"/>
  <c r="BP67" i="1"/>
  <c r="BO67" i="1"/>
  <c r="BS66" i="1"/>
  <c r="BR66" i="1"/>
  <c r="BQ66" i="1"/>
  <c r="BP66" i="1"/>
  <c r="BO66" i="1"/>
  <c r="BS65" i="1"/>
  <c r="BR65" i="1"/>
  <c r="BQ65" i="1"/>
  <c r="BP65" i="1"/>
  <c r="BO65" i="1"/>
  <c r="BS64" i="1"/>
  <c r="BR64" i="1"/>
  <c r="BQ64" i="1"/>
  <c r="BP64" i="1"/>
  <c r="BO64" i="1"/>
  <c r="BS63" i="1"/>
  <c r="BR63" i="1"/>
  <c r="BQ63" i="1"/>
  <c r="BP63" i="1"/>
  <c r="BO63" i="1"/>
  <c r="BS62" i="1"/>
  <c r="BR62" i="1"/>
  <c r="BQ62" i="1"/>
  <c r="BP62" i="1"/>
  <c r="BO62" i="1"/>
  <c r="BS61" i="1"/>
  <c r="BR61" i="1"/>
  <c r="BQ61" i="1"/>
  <c r="BP61" i="1"/>
  <c r="BO61" i="1"/>
  <c r="BS60" i="1"/>
  <c r="BR60" i="1"/>
  <c r="BQ60" i="1"/>
  <c r="BP60" i="1"/>
  <c r="BO60" i="1"/>
  <c r="BS59" i="1"/>
  <c r="BR59" i="1"/>
  <c r="BQ59" i="1"/>
  <c r="BP59" i="1"/>
  <c r="BO59" i="1"/>
  <c r="BS58" i="1"/>
  <c r="BR58" i="1"/>
  <c r="BQ58" i="1"/>
  <c r="BP58" i="1"/>
  <c r="BO58" i="1"/>
  <c r="BS57" i="1"/>
  <c r="BR57" i="1"/>
  <c r="BQ57" i="1"/>
  <c r="BP57" i="1"/>
  <c r="BO57" i="1"/>
  <c r="BS56" i="1"/>
  <c r="BR56" i="1"/>
  <c r="BQ56" i="1"/>
  <c r="BP56" i="1"/>
  <c r="BO56" i="1"/>
  <c r="BS55" i="1"/>
  <c r="BR55" i="1"/>
  <c r="BQ55" i="1"/>
  <c r="BP55" i="1"/>
  <c r="BO55" i="1"/>
  <c r="BS54" i="1"/>
  <c r="BR54" i="1"/>
  <c r="BQ54" i="1"/>
  <c r="BP54" i="1"/>
  <c r="BO54" i="1"/>
  <c r="BS53" i="1"/>
  <c r="BR53" i="1"/>
  <c r="BQ53" i="1"/>
  <c r="BP53" i="1"/>
  <c r="BO53" i="1"/>
  <c r="BS50" i="1"/>
  <c r="BR50" i="1"/>
  <c r="BQ50" i="1"/>
  <c r="BP50" i="1"/>
  <c r="BO50" i="1"/>
  <c r="BS49" i="1"/>
  <c r="BR49" i="1"/>
  <c r="BQ49" i="1"/>
  <c r="BP49" i="1"/>
  <c r="BO49" i="1"/>
  <c r="BS48" i="1"/>
  <c r="BR48" i="1"/>
  <c r="BQ48" i="1"/>
  <c r="BP48" i="1"/>
  <c r="BO48" i="1"/>
  <c r="BS47" i="1"/>
  <c r="BR47" i="1"/>
  <c r="BQ47" i="1"/>
  <c r="BP47" i="1"/>
  <c r="BO47" i="1"/>
  <c r="BS46" i="1"/>
  <c r="BR46" i="1"/>
  <c r="BQ46" i="1"/>
  <c r="BP46" i="1"/>
  <c r="BO46" i="1"/>
  <c r="BS45" i="1"/>
  <c r="BR45" i="1"/>
  <c r="BQ45" i="1"/>
  <c r="BP45" i="1"/>
  <c r="BO45" i="1"/>
  <c r="BS44" i="1"/>
  <c r="BR44" i="1"/>
  <c r="BQ44" i="1"/>
  <c r="BP44" i="1"/>
  <c r="BO44" i="1"/>
  <c r="BS43" i="1"/>
  <c r="BR43" i="1"/>
  <c r="BQ43" i="1"/>
  <c r="BP43" i="1"/>
  <c r="BO43" i="1"/>
  <c r="BS42" i="1"/>
  <c r="BR42" i="1"/>
  <c r="BQ42" i="1"/>
  <c r="BP42" i="1"/>
  <c r="BO42" i="1"/>
  <c r="BS41" i="1"/>
  <c r="BR41" i="1"/>
  <c r="BQ41" i="1"/>
  <c r="BP41" i="1"/>
  <c r="BO41" i="1"/>
  <c r="BS40" i="1"/>
  <c r="BR40" i="1"/>
  <c r="BQ40" i="1"/>
  <c r="BP40" i="1"/>
  <c r="BO40" i="1"/>
  <c r="BS39" i="1"/>
  <c r="BR39" i="1"/>
  <c r="BQ39" i="1"/>
  <c r="BP39" i="1"/>
  <c r="BO39" i="1"/>
  <c r="BS38" i="1"/>
  <c r="BR38" i="1"/>
  <c r="BQ38" i="1"/>
  <c r="BP38" i="1"/>
  <c r="BO38" i="1"/>
  <c r="BS37" i="1"/>
  <c r="BR37" i="1"/>
  <c r="BQ37" i="1"/>
  <c r="BP37" i="1"/>
  <c r="BO37" i="1"/>
  <c r="BS36" i="1"/>
  <c r="BR36" i="1"/>
  <c r="BQ36" i="1"/>
  <c r="BP36" i="1"/>
  <c r="BO36" i="1"/>
  <c r="BS35" i="1"/>
  <c r="BR35" i="1"/>
  <c r="BQ35" i="1"/>
  <c r="BP35" i="1"/>
  <c r="BO35" i="1"/>
  <c r="BS34" i="1"/>
  <c r="BR34" i="1"/>
  <c r="BQ34" i="1"/>
  <c r="BP34" i="1"/>
  <c r="BO34" i="1"/>
  <c r="BS33" i="1"/>
  <c r="BR33" i="1"/>
  <c r="BQ33" i="1"/>
  <c r="BP33" i="1"/>
  <c r="BO33" i="1"/>
  <c r="BS32" i="1"/>
  <c r="BR32" i="1"/>
  <c r="BQ32" i="1"/>
  <c r="BP32" i="1"/>
  <c r="BO32" i="1"/>
  <c r="BS31" i="1"/>
  <c r="BR31" i="1"/>
  <c r="BQ31" i="1"/>
  <c r="BP31" i="1"/>
  <c r="BO31" i="1"/>
  <c r="BS30" i="1"/>
  <c r="BR30" i="1"/>
  <c r="BQ30" i="1"/>
  <c r="BP30" i="1"/>
  <c r="BO30" i="1"/>
  <c r="BS29" i="1"/>
  <c r="BR29" i="1"/>
  <c r="BQ29" i="1"/>
  <c r="BP29" i="1"/>
  <c r="BO29" i="1"/>
  <c r="BS28" i="1"/>
  <c r="BR28" i="1"/>
  <c r="BQ28" i="1"/>
  <c r="BP28" i="1"/>
  <c r="BO28" i="1"/>
  <c r="BS27" i="1"/>
  <c r="BR27" i="1"/>
  <c r="BQ27" i="1"/>
  <c r="BP27" i="1"/>
  <c r="BO27" i="1"/>
  <c r="BS26" i="1"/>
  <c r="BR26" i="1"/>
  <c r="BQ26" i="1"/>
  <c r="BP26" i="1"/>
  <c r="BO26" i="1"/>
  <c r="BS25" i="1"/>
  <c r="BR25" i="1"/>
  <c r="BQ25" i="1"/>
  <c r="BP25" i="1"/>
  <c r="BO25" i="1"/>
  <c r="BS24" i="1"/>
  <c r="BR24" i="1"/>
  <c r="BQ24" i="1"/>
  <c r="BP24" i="1"/>
  <c r="BO24" i="1"/>
  <c r="BS23" i="1"/>
  <c r="BR23" i="1"/>
  <c r="BQ23" i="1"/>
  <c r="BP23" i="1"/>
  <c r="BO23" i="1"/>
  <c r="BS22" i="1"/>
  <c r="BR22" i="1"/>
  <c r="BQ22" i="1"/>
  <c r="BP22" i="1"/>
  <c r="BO22" i="1"/>
  <c r="BS21" i="1"/>
  <c r="BR21" i="1"/>
  <c r="BQ21" i="1"/>
  <c r="BP21" i="1"/>
  <c r="BO21" i="1"/>
  <c r="BS20" i="1"/>
  <c r="BR20" i="1"/>
  <c r="BQ20" i="1"/>
  <c r="BP20" i="1"/>
  <c r="BO20" i="1"/>
  <c r="BS19" i="1"/>
  <c r="BR19" i="1"/>
  <c r="BQ19" i="1"/>
  <c r="BP19" i="1"/>
  <c r="BO19" i="1"/>
  <c r="BS18" i="1"/>
  <c r="BR18" i="1"/>
  <c r="BQ18" i="1"/>
  <c r="BP18" i="1"/>
  <c r="BO18" i="1"/>
  <c r="BS17" i="1"/>
  <c r="BR17" i="1"/>
  <c r="BQ17" i="1"/>
  <c r="BP17" i="1"/>
  <c r="BO17" i="1"/>
  <c r="BS16" i="1"/>
  <c r="BR16" i="1"/>
  <c r="BQ16" i="1"/>
  <c r="BP16" i="1"/>
  <c r="BO16" i="1"/>
  <c r="BS15" i="1"/>
  <c r="BR15" i="1"/>
  <c r="BQ15" i="1"/>
  <c r="BP15" i="1"/>
  <c r="BO15" i="1"/>
  <c r="BS14" i="1"/>
  <c r="BR14" i="1"/>
  <c r="BQ14" i="1"/>
  <c r="BP14" i="1"/>
  <c r="BO14" i="1"/>
  <c r="BS13" i="1"/>
  <c r="BR13" i="1"/>
  <c r="BQ13" i="1"/>
  <c r="BP13" i="1"/>
  <c r="BO13" i="1"/>
  <c r="BS12" i="1"/>
  <c r="BR12" i="1"/>
  <c r="BQ12" i="1"/>
  <c r="BP12" i="1"/>
  <c r="BO12" i="1"/>
  <c r="BS11" i="1"/>
  <c r="BR11" i="1"/>
  <c r="BQ11" i="1"/>
  <c r="BP11" i="1"/>
  <c r="BO11" i="1"/>
  <c r="BS10" i="1"/>
  <c r="BR10" i="1"/>
  <c r="BQ10" i="1"/>
  <c r="BP10" i="1"/>
  <c r="BO10" i="1"/>
  <c r="BS9" i="1"/>
  <c r="BR9" i="1"/>
  <c r="BQ9" i="1"/>
  <c r="BP9" i="1"/>
  <c r="BO9" i="1"/>
  <c r="BS8" i="1"/>
  <c r="BR8" i="1"/>
  <c r="BQ8" i="1"/>
  <c r="BP8" i="1"/>
  <c r="BO8" i="1"/>
  <c r="BS7" i="1"/>
  <c r="BR7" i="1"/>
  <c r="BQ7" i="1"/>
  <c r="BP7" i="1"/>
  <c r="BO7" i="1"/>
  <c r="AH102" i="8"/>
  <c r="AH101" i="8"/>
  <c r="AH100" i="8"/>
  <c r="AH99" i="8"/>
  <c r="AH98" i="8"/>
  <c r="AH97" i="8"/>
  <c r="AH96" i="8"/>
  <c r="BK185" i="1"/>
  <c r="BJ185" i="1"/>
  <c r="BI185" i="1"/>
  <c r="BH185" i="1"/>
  <c r="BG185" i="1"/>
  <c r="BK184" i="1"/>
  <c r="BJ184" i="1"/>
  <c r="BI184" i="1"/>
  <c r="BH184" i="1"/>
  <c r="BG184" i="1"/>
  <c r="BK183" i="1"/>
  <c r="BJ183" i="1"/>
  <c r="BI183" i="1"/>
  <c r="BH183" i="1"/>
  <c r="BG183" i="1"/>
  <c r="BK182" i="1"/>
  <c r="BJ182" i="1"/>
  <c r="BI182" i="1"/>
  <c r="BH182" i="1"/>
  <c r="BG182" i="1"/>
  <c r="BK181" i="1"/>
  <c r="BJ181" i="1"/>
  <c r="BI181" i="1"/>
  <c r="BH181" i="1"/>
  <c r="BG181" i="1"/>
  <c r="BK180" i="1"/>
  <c r="BJ180" i="1"/>
  <c r="BI180" i="1"/>
  <c r="BH180" i="1"/>
  <c r="BG180" i="1"/>
  <c r="BK179" i="1"/>
  <c r="BJ179" i="1"/>
  <c r="BI179" i="1"/>
  <c r="BH179" i="1"/>
  <c r="BG179" i="1"/>
  <c r="BK178" i="1"/>
  <c r="BJ178" i="1"/>
  <c r="BI178" i="1"/>
  <c r="BH178" i="1"/>
  <c r="BG178" i="1"/>
  <c r="BK177" i="1"/>
  <c r="BJ177" i="1"/>
  <c r="BI177" i="1"/>
  <c r="BH177" i="1"/>
  <c r="BG177" i="1"/>
  <c r="BK176" i="1"/>
  <c r="BJ176" i="1"/>
  <c r="BI176" i="1"/>
  <c r="BH176" i="1"/>
  <c r="BG176" i="1"/>
  <c r="BK175" i="1"/>
  <c r="BJ175" i="1"/>
  <c r="BI175" i="1"/>
  <c r="BH175" i="1"/>
  <c r="BG175" i="1"/>
  <c r="BK174" i="1"/>
  <c r="BJ174" i="1"/>
  <c r="BI174" i="1"/>
  <c r="BH174" i="1"/>
  <c r="BG174" i="1"/>
  <c r="BK106" i="1"/>
  <c r="BJ106" i="1"/>
  <c r="BI106" i="1"/>
  <c r="BH106" i="1"/>
  <c r="BG106" i="1"/>
  <c r="BK105" i="1"/>
  <c r="BJ105" i="1"/>
  <c r="BI105" i="1"/>
  <c r="BH105" i="1"/>
  <c r="BG105" i="1"/>
  <c r="BK104" i="1"/>
  <c r="BJ104" i="1"/>
  <c r="BI104" i="1"/>
  <c r="BH104" i="1"/>
  <c r="BG104" i="1"/>
  <c r="BK103" i="1"/>
  <c r="BJ103" i="1"/>
  <c r="BI103" i="1"/>
  <c r="BH103" i="1"/>
  <c r="BG103" i="1"/>
  <c r="BK102" i="1"/>
  <c r="BJ102" i="1"/>
  <c r="BI102" i="1"/>
  <c r="BH102" i="1"/>
  <c r="BG102" i="1"/>
  <c r="BK101" i="1"/>
  <c r="BJ101" i="1"/>
  <c r="BI101" i="1"/>
  <c r="BH101" i="1"/>
  <c r="BG101" i="1"/>
  <c r="BK100" i="1"/>
  <c r="BJ100" i="1"/>
  <c r="BI100" i="1"/>
  <c r="BH100" i="1"/>
  <c r="BG100" i="1"/>
  <c r="BK99" i="1"/>
  <c r="BJ99" i="1"/>
  <c r="BI99" i="1"/>
  <c r="BH99" i="1"/>
  <c r="BG99" i="1"/>
  <c r="BK98" i="1"/>
  <c r="BJ98" i="1"/>
  <c r="BI98" i="1"/>
  <c r="BH98" i="1"/>
  <c r="BG98" i="1"/>
  <c r="BK97" i="1"/>
  <c r="BJ97" i="1"/>
  <c r="BI97" i="1"/>
  <c r="BH97" i="1"/>
  <c r="BG97" i="1"/>
  <c r="BK96" i="1"/>
  <c r="BJ96" i="1"/>
  <c r="BI96" i="1"/>
  <c r="BH96" i="1"/>
  <c r="BG96" i="1"/>
  <c r="BK95" i="1"/>
  <c r="BJ95" i="1"/>
  <c r="BI95" i="1"/>
  <c r="BH95" i="1"/>
  <c r="BG95" i="1"/>
  <c r="BK94" i="1"/>
  <c r="BJ94" i="1"/>
  <c r="BI94" i="1"/>
  <c r="BH94" i="1"/>
  <c r="BG94" i="1"/>
  <c r="BK93" i="1"/>
  <c r="BJ93" i="1"/>
  <c r="BI93" i="1"/>
  <c r="BH93" i="1"/>
  <c r="BG93" i="1"/>
  <c r="BK92" i="1"/>
  <c r="BJ92" i="1"/>
  <c r="BI92" i="1"/>
  <c r="BH92" i="1"/>
  <c r="BG92" i="1"/>
  <c r="BK91" i="1"/>
  <c r="BJ91" i="1"/>
  <c r="BI91" i="1"/>
  <c r="BH91" i="1"/>
  <c r="BG91" i="1"/>
  <c r="BK90" i="1"/>
  <c r="BJ90" i="1"/>
  <c r="BI90" i="1"/>
  <c r="BH90" i="1"/>
  <c r="BG90" i="1"/>
  <c r="BK89" i="1"/>
  <c r="BJ89" i="1"/>
  <c r="BI89" i="1"/>
  <c r="BH89" i="1"/>
  <c r="BG89" i="1"/>
  <c r="BK88" i="1"/>
  <c r="BJ88" i="1"/>
  <c r="BI88" i="1"/>
  <c r="BH88" i="1"/>
  <c r="BG88" i="1"/>
  <c r="BK87" i="1"/>
  <c r="BJ87" i="1"/>
  <c r="BI87" i="1"/>
  <c r="BH87" i="1"/>
  <c r="BG87" i="1"/>
  <c r="BK86" i="1"/>
  <c r="BJ86" i="1"/>
  <c r="BI86" i="1"/>
  <c r="BH86" i="1"/>
  <c r="BG86" i="1"/>
  <c r="BK85" i="1"/>
  <c r="BJ85" i="1"/>
  <c r="BI85" i="1"/>
  <c r="BH85" i="1"/>
  <c r="BG85" i="1"/>
  <c r="BK84" i="1"/>
  <c r="BJ84" i="1"/>
  <c r="BI84" i="1"/>
  <c r="BH84" i="1"/>
  <c r="BG84" i="1"/>
  <c r="BK83" i="1"/>
  <c r="BJ83" i="1"/>
  <c r="BI83" i="1"/>
  <c r="BH83" i="1"/>
  <c r="BG83" i="1"/>
  <c r="BK82" i="1"/>
  <c r="BJ82" i="1"/>
  <c r="BI82" i="1"/>
  <c r="BH82" i="1"/>
  <c r="BG82" i="1"/>
  <c r="BK81" i="1"/>
  <c r="BJ81" i="1"/>
  <c r="BI81" i="1"/>
  <c r="BH81" i="1"/>
  <c r="BG81" i="1"/>
  <c r="BK80" i="1"/>
  <c r="BJ80" i="1"/>
  <c r="BI80" i="1"/>
  <c r="BH80" i="1"/>
  <c r="BG80" i="1"/>
  <c r="BK79" i="1"/>
  <c r="BJ79" i="1"/>
  <c r="BI79" i="1"/>
  <c r="BH79" i="1"/>
  <c r="BG79" i="1"/>
  <c r="BK78" i="1"/>
  <c r="BJ78" i="1"/>
  <c r="BI78" i="1"/>
  <c r="BH78" i="1"/>
  <c r="BG78" i="1"/>
  <c r="BK77" i="1"/>
  <c r="BJ77" i="1"/>
  <c r="BI77" i="1"/>
  <c r="BH77" i="1"/>
  <c r="BG77" i="1"/>
  <c r="BK76" i="1"/>
  <c r="BJ76" i="1"/>
  <c r="BI76" i="1"/>
  <c r="BH76" i="1"/>
  <c r="BG76" i="1"/>
  <c r="BK75" i="1"/>
  <c r="BJ75" i="1"/>
  <c r="BI75" i="1"/>
  <c r="BH75" i="1"/>
  <c r="BG75" i="1"/>
  <c r="BK74" i="1"/>
  <c r="BJ74" i="1"/>
  <c r="BI74" i="1"/>
  <c r="BH74" i="1"/>
  <c r="BG74" i="1"/>
  <c r="BK73" i="1"/>
  <c r="BJ73" i="1"/>
  <c r="BI73" i="1"/>
  <c r="BH73" i="1"/>
  <c r="BG73" i="1"/>
  <c r="BK72" i="1"/>
  <c r="BJ72" i="1"/>
  <c r="BI72" i="1"/>
  <c r="BH72" i="1"/>
  <c r="BG72" i="1"/>
  <c r="BK71" i="1"/>
  <c r="BJ71" i="1"/>
  <c r="BI71" i="1"/>
  <c r="BH71" i="1"/>
  <c r="BG71" i="1"/>
  <c r="BK70" i="1"/>
  <c r="BJ70" i="1"/>
  <c r="BI70" i="1"/>
  <c r="BH70" i="1"/>
  <c r="BG70" i="1"/>
  <c r="BK69" i="1"/>
  <c r="BJ69" i="1"/>
  <c r="BI69" i="1"/>
  <c r="BH69" i="1"/>
  <c r="BG69" i="1"/>
  <c r="BK68" i="1"/>
  <c r="BJ68" i="1"/>
  <c r="BI68" i="1"/>
  <c r="BH68" i="1"/>
  <c r="BG68" i="1"/>
  <c r="BK67" i="1"/>
  <c r="BJ67" i="1"/>
  <c r="BI67" i="1"/>
  <c r="BH67" i="1"/>
  <c r="BG67" i="1"/>
  <c r="BK66" i="1"/>
  <c r="BJ66" i="1"/>
  <c r="BI66" i="1"/>
  <c r="BH66" i="1"/>
  <c r="BG66" i="1"/>
  <c r="BK65" i="1"/>
  <c r="BJ65" i="1"/>
  <c r="BI65" i="1"/>
  <c r="BH65" i="1"/>
  <c r="BG65" i="1"/>
  <c r="BK64" i="1"/>
  <c r="BJ64" i="1"/>
  <c r="BI64" i="1"/>
  <c r="BH64" i="1"/>
  <c r="BG64" i="1"/>
  <c r="BK63" i="1"/>
  <c r="BJ63" i="1"/>
  <c r="BI63" i="1"/>
  <c r="BH63" i="1"/>
  <c r="BG63" i="1"/>
  <c r="BK62" i="1"/>
  <c r="BJ62" i="1"/>
  <c r="BI62" i="1"/>
  <c r="BH62" i="1"/>
  <c r="BG62" i="1"/>
  <c r="BK61" i="1"/>
  <c r="BJ61" i="1"/>
  <c r="BI61" i="1"/>
  <c r="BH61" i="1"/>
  <c r="BG61" i="1"/>
  <c r="BK60" i="1"/>
  <c r="BJ60" i="1"/>
  <c r="BI60" i="1"/>
  <c r="BH60" i="1"/>
  <c r="BG60" i="1"/>
  <c r="BK59" i="1"/>
  <c r="BJ59" i="1"/>
  <c r="BI59" i="1"/>
  <c r="BH59" i="1"/>
  <c r="BG59" i="1"/>
  <c r="BK58" i="1"/>
  <c r="BJ58" i="1"/>
  <c r="BI58" i="1"/>
  <c r="BH58" i="1"/>
  <c r="BG58" i="1"/>
  <c r="BK57" i="1"/>
  <c r="BJ57" i="1"/>
  <c r="BI57" i="1"/>
  <c r="BH57" i="1"/>
  <c r="BG57" i="1"/>
  <c r="BK56" i="1"/>
  <c r="BJ56" i="1"/>
  <c r="BI56" i="1"/>
  <c r="BH56" i="1"/>
  <c r="BG56" i="1"/>
  <c r="BK55" i="1"/>
  <c r="BJ55" i="1"/>
  <c r="BI55" i="1"/>
  <c r="BH55" i="1"/>
  <c r="BG55" i="1"/>
  <c r="BK54" i="1"/>
  <c r="BJ54" i="1"/>
  <c r="BI54" i="1"/>
  <c r="BH54" i="1"/>
  <c r="BG54" i="1"/>
  <c r="BK53" i="1"/>
  <c r="BJ53" i="1"/>
  <c r="BI53" i="1"/>
  <c r="BH53" i="1"/>
  <c r="BG53" i="1"/>
  <c r="BK50" i="1"/>
  <c r="BJ50" i="1"/>
  <c r="BI50" i="1"/>
  <c r="BH50" i="1"/>
  <c r="BG50" i="1"/>
  <c r="BK49" i="1"/>
  <c r="BJ49" i="1"/>
  <c r="BI49" i="1"/>
  <c r="BH49" i="1"/>
  <c r="BG49" i="1"/>
  <c r="BK48" i="1"/>
  <c r="BJ48" i="1"/>
  <c r="BI48" i="1"/>
  <c r="BH48" i="1"/>
  <c r="BG48" i="1"/>
  <c r="BK47" i="1"/>
  <c r="BJ47" i="1"/>
  <c r="BI47" i="1"/>
  <c r="BH47" i="1"/>
  <c r="BG47" i="1"/>
  <c r="BK46" i="1"/>
  <c r="BJ46" i="1"/>
  <c r="BI46" i="1"/>
  <c r="BH46" i="1"/>
  <c r="BG46" i="1"/>
  <c r="BK45" i="1"/>
  <c r="BJ45" i="1"/>
  <c r="BI45" i="1"/>
  <c r="BH45" i="1"/>
  <c r="BG45" i="1"/>
  <c r="BK44" i="1"/>
  <c r="BJ44" i="1"/>
  <c r="BI44" i="1"/>
  <c r="BH44" i="1"/>
  <c r="BG44" i="1"/>
  <c r="BK43" i="1"/>
  <c r="BJ43" i="1"/>
  <c r="BI43" i="1"/>
  <c r="BH43" i="1"/>
  <c r="BG43" i="1"/>
  <c r="BK42" i="1"/>
  <c r="BJ42" i="1"/>
  <c r="BI42" i="1"/>
  <c r="BH42" i="1"/>
  <c r="BG42" i="1"/>
  <c r="BK41" i="1"/>
  <c r="BJ41" i="1"/>
  <c r="BI41" i="1"/>
  <c r="BH41" i="1"/>
  <c r="BG41" i="1"/>
  <c r="BK40" i="1"/>
  <c r="BJ40" i="1"/>
  <c r="BI40" i="1"/>
  <c r="BH40" i="1"/>
  <c r="BG40" i="1"/>
  <c r="BK39" i="1"/>
  <c r="BJ39" i="1"/>
  <c r="BI39" i="1"/>
  <c r="BH39" i="1"/>
  <c r="BG39" i="1"/>
  <c r="BK38" i="1"/>
  <c r="BJ38" i="1"/>
  <c r="BI38" i="1"/>
  <c r="BH38" i="1"/>
  <c r="BG38" i="1"/>
  <c r="BK37" i="1"/>
  <c r="BJ37" i="1"/>
  <c r="BI37" i="1"/>
  <c r="BH37" i="1"/>
  <c r="BG37" i="1"/>
  <c r="BK36" i="1"/>
  <c r="BJ36" i="1"/>
  <c r="BI36" i="1"/>
  <c r="BH36" i="1"/>
  <c r="BG36" i="1"/>
  <c r="BK35" i="1"/>
  <c r="BJ35" i="1"/>
  <c r="BI35" i="1"/>
  <c r="BH35" i="1"/>
  <c r="BG35" i="1"/>
  <c r="BK34" i="1"/>
  <c r="BJ34" i="1"/>
  <c r="BI34" i="1"/>
  <c r="BH34" i="1"/>
  <c r="BG34" i="1"/>
  <c r="BK33" i="1"/>
  <c r="BJ33" i="1"/>
  <c r="BI33" i="1"/>
  <c r="BH33" i="1"/>
  <c r="BG33" i="1"/>
  <c r="BK32" i="1"/>
  <c r="BJ32" i="1"/>
  <c r="BI32" i="1"/>
  <c r="BH32" i="1"/>
  <c r="BG32" i="1"/>
  <c r="BK31" i="1"/>
  <c r="BJ31" i="1"/>
  <c r="BI31" i="1"/>
  <c r="BH31" i="1"/>
  <c r="BG31" i="1"/>
  <c r="BK30" i="1"/>
  <c r="BJ30" i="1"/>
  <c r="BI30" i="1"/>
  <c r="BH30" i="1"/>
  <c r="BG30" i="1"/>
  <c r="BK29" i="1"/>
  <c r="BJ29" i="1"/>
  <c r="BI29" i="1"/>
  <c r="BH29" i="1"/>
  <c r="BG29" i="1"/>
  <c r="BK28" i="1"/>
  <c r="BJ28" i="1"/>
  <c r="BI28" i="1"/>
  <c r="BH28" i="1"/>
  <c r="BG28" i="1"/>
  <c r="BK27" i="1"/>
  <c r="BJ27" i="1"/>
  <c r="BI27" i="1"/>
  <c r="BH27" i="1"/>
  <c r="BG27" i="1"/>
  <c r="BK26" i="1"/>
  <c r="BJ26" i="1"/>
  <c r="BI26" i="1"/>
  <c r="BH26" i="1"/>
  <c r="BG26" i="1"/>
  <c r="BK25" i="1"/>
  <c r="BJ25" i="1"/>
  <c r="BI25" i="1"/>
  <c r="BH25" i="1"/>
  <c r="BG25" i="1"/>
  <c r="BK24" i="1"/>
  <c r="BJ24" i="1"/>
  <c r="BI24" i="1"/>
  <c r="BH24" i="1"/>
  <c r="BG24" i="1"/>
  <c r="BK23" i="1"/>
  <c r="BJ23" i="1"/>
  <c r="BI23" i="1"/>
  <c r="BH23" i="1"/>
  <c r="BG23" i="1"/>
  <c r="BK22" i="1"/>
  <c r="BJ22" i="1"/>
  <c r="BI22" i="1"/>
  <c r="BH22" i="1"/>
  <c r="BG22" i="1"/>
  <c r="BK21" i="1"/>
  <c r="BJ21" i="1"/>
  <c r="BI21" i="1"/>
  <c r="BH21" i="1"/>
  <c r="BG21" i="1"/>
  <c r="BK20" i="1"/>
  <c r="BJ20" i="1"/>
  <c r="BI20" i="1"/>
  <c r="BH20" i="1"/>
  <c r="BG20" i="1"/>
  <c r="BK19" i="1"/>
  <c r="BJ19" i="1"/>
  <c r="BI19" i="1"/>
  <c r="BH19" i="1"/>
  <c r="BG19" i="1"/>
  <c r="BK18" i="1"/>
  <c r="BJ18" i="1"/>
  <c r="BI18" i="1"/>
  <c r="BH18" i="1"/>
  <c r="BG18" i="1"/>
  <c r="BK17" i="1"/>
  <c r="BJ17" i="1"/>
  <c r="BI17" i="1"/>
  <c r="BH17" i="1"/>
  <c r="BG17" i="1"/>
  <c r="BK16" i="1"/>
  <c r="BJ16" i="1"/>
  <c r="BI16" i="1"/>
  <c r="BH16" i="1"/>
  <c r="BG16" i="1"/>
  <c r="BK15" i="1"/>
  <c r="BJ15" i="1"/>
  <c r="BI15" i="1"/>
  <c r="BH15" i="1"/>
  <c r="BG15" i="1"/>
  <c r="BK14" i="1"/>
  <c r="BJ14" i="1"/>
  <c r="BI14" i="1"/>
  <c r="BH14" i="1"/>
  <c r="BG14" i="1"/>
  <c r="BK13" i="1"/>
  <c r="BJ13" i="1"/>
  <c r="BI13" i="1"/>
  <c r="BH13" i="1"/>
  <c r="BG13" i="1"/>
  <c r="BK12" i="1"/>
  <c r="BJ12" i="1"/>
  <c r="BI12" i="1"/>
  <c r="BH12" i="1"/>
  <c r="BG12" i="1"/>
  <c r="BK11" i="1"/>
  <c r="BJ11" i="1"/>
  <c r="BI11" i="1"/>
  <c r="BH11" i="1"/>
  <c r="BG11" i="1"/>
  <c r="BK10" i="1"/>
  <c r="BJ10" i="1"/>
  <c r="BI10" i="1"/>
  <c r="BH10" i="1"/>
  <c r="BG10" i="1"/>
  <c r="BK9" i="1"/>
  <c r="BJ9" i="1"/>
  <c r="BI9" i="1"/>
  <c r="BH9" i="1"/>
  <c r="BG9" i="1"/>
  <c r="BK8" i="1"/>
  <c r="BJ8" i="1"/>
  <c r="BI8" i="1"/>
  <c r="BH8" i="1"/>
  <c r="BG8" i="1"/>
  <c r="BK7" i="1"/>
  <c r="BJ7" i="1"/>
  <c r="BI7" i="1"/>
  <c r="BH7" i="1"/>
  <c r="BG7" i="1"/>
  <c r="BE189" i="1" l="1"/>
  <c r="BE211" i="1" s="1"/>
  <c r="CJ190" i="1"/>
  <c r="CJ212" i="1" s="1"/>
  <c r="BT190" i="1"/>
  <c r="BT212" i="1" s="1"/>
  <c r="AX189" i="1"/>
  <c r="AX211" i="1" s="1"/>
  <c r="CD190" i="1"/>
  <c r="CD212" i="1" s="1"/>
  <c r="BT189" i="1"/>
  <c r="BT211" i="1" s="1"/>
  <c r="BM189" i="1"/>
  <c r="BM211" i="1" s="1"/>
  <c r="CC189" i="1"/>
  <c r="CC211" i="1" s="1"/>
  <c r="BN190" i="1"/>
  <c r="CK190" i="1"/>
  <c r="CK212" i="1" s="1"/>
  <c r="BU190" i="1"/>
  <c r="BU212" i="1" s="1"/>
  <c r="CS189" i="1"/>
  <c r="CS211" i="1" s="1"/>
  <c r="CJ189" i="1"/>
  <c r="CJ211" i="1" s="1"/>
  <c r="CT189" i="1"/>
  <c r="CT211" i="1" s="1"/>
  <c r="CD189" i="1"/>
  <c r="CD211" i="1" s="1"/>
  <c r="BN189" i="1"/>
  <c r="BN211" i="1" s="1"/>
  <c r="BE190" i="1"/>
  <c r="BE212" i="1" s="1"/>
  <c r="AX190" i="1"/>
  <c r="AX212" i="1" s="1"/>
  <c r="Y222" i="1"/>
  <c r="Z222" i="1" s="1"/>
  <c r="AA211" i="1"/>
  <c r="Y221" i="1"/>
  <c r="Z221" i="1" s="1"/>
  <c r="CR212" i="1"/>
  <c r="BM212" i="1"/>
  <c r="BL211" i="1"/>
  <c r="CB211" i="1"/>
  <c r="CL212" i="1"/>
  <c r="AM212" i="1"/>
  <c r="AA212" i="1"/>
  <c r="BU211" i="1"/>
  <c r="BF212" i="1"/>
  <c r="BN212" i="1"/>
  <c r="CC212" i="1"/>
  <c r="CK211" i="1"/>
  <c r="AS212" i="1"/>
  <c r="BV212" i="1"/>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5" i="10"/>
  <c r="Z96" i="10"/>
  <c r="Z97" i="10"/>
  <c r="Z98" i="10"/>
  <c r="Z99" i="10"/>
  <c r="Z100" i="10"/>
  <c r="Z101" i="10"/>
  <c r="Z102" i="10"/>
  <c r="Z103" i="10"/>
  <c r="Z104" i="10"/>
  <c r="Z10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AC208" i="1" l="1"/>
  <c r="CA185" i="1"/>
  <c r="BZ185" i="1"/>
  <c r="BY185" i="1"/>
  <c r="BX185" i="1"/>
  <c r="BW185" i="1"/>
  <c r="CA184" i="1"/>
  <c r="BZ184" i="1"/>
  <c r="BY184" i="1"/>
  <c r="BX184" i="1"/>
  <c r="BW184" i="1"/>
  <c r="CA183" i="1"/>
  <c r="BZ183" i="1"/>
  <c r="BY183" i="1"/>
  <c r="BX183" i="1"/>
  <c r="BW183" i="1"/>
  <c r="CA182" i="1"/>
  <c r="BZ182" i="1"/>
  <c r="BY182" i="1"/>
  <c r="BX182" i="1"/>
  <c r="BW182" i="1"/>
  <c r="CA181" i="1"/>
  <c r="BZ181" i="1"/>
  <c r="BY181" i="1"/>
  <c r="BX181" i="1"/>
  <c r="BW181" i="1"/>
  <c r="CA180" i="1"/>
  <c r="BZ180" i="1"/>
  <c r="BY180" i="1"/>
  <c r="BX180" i="1"/>
  <c r="BW180" i="1"/>
  <c r="CA179" i="1"/>
  <c r="BZ179" i="1"/>
  <c r="BY179" i="1"/>
  <c r="BX179" i="1"/>
  <c r="BW179" i="1"/>
  <c r="CA178" i="1"/>
  <c r="BZ178" i="1"/>
  <c r="BY178" i="1"/>
  <c r="BX178" i="1"/>
  <c r="BW178" i="1"/>
  <c r="CA177" i="1"/>
  <c r="BZ177" i="1"/>
  <c r="BY177" i="1"/>
  <c r="BX177" i="1"/>
  <c r="BW177" i="1"/>
  <c r="CA176" i="1"/>
  <c r="BZ176" i="1"/>
  <c r="BY176" i="1"/>
  <c r="BX176" i="1"/>
  <c r="BW176" i="1"/>
  <c r="CA175" i="1"/>
  <c r="BZ175" i="1"/>
  <c r="BY175" i="1"/>
  <c r="BX175" i="1"/>
  <c r="BW175" i="1"/>
  <c r="CA174" i="1"/>
  <c r="BZ174" i="1"/>
  <c r="BY174" i="1"/>
  <c r="BX174" i="1"/>
  <c r="BW174" i="1"/>
  <c r="CQ168" i="1"/>
  <c r="CP168" i="1"/>
  <c r="CO168" i="1"/>
  <c r="CN168" i="1"/>
  <c r="CM168" i="1"/>
  <c r="CQ167" i="1"/>
  <c r="CP167" i="1"/>
  <c r="CO167" i="1"/>
  <c r="CN167" i="1"/>
  <c r="CM167" i="1"/>
  <c r="CI168" i="1"/>
  <c r="CH168" i="1"/>
  <c r="CG168" i="1"/>
  <c r="CF168" i="1"/>
  <c r="CE168" i="1"/>
  <c r="CI167" i="1"/>
  <c r="CH167" i="1"/>
  <c r="CG167" i="1"/>
  <c r="CF167" i="1"/>
  <c r="CE167" i="1"/>
  <c r="CA106" i="1"/>
  <c r="BZ106" i="1"/>
  <c r="BY106" i="1"/>
  <c r="BX106" i="1"/>
  <c r="BW106" i="1"/>
  <c r="CA105" i="1"/>
  <c r="BZ105" i="1"/>
  <c r="BY105" i="1"/>
  <c r="BX105" i="1"/>
  <c r="BW105" i="1"/>
  <c r="CA104" i="1"/>
  <c r="BZ104" i="1"/>
  <c r="BY104" i="1"/>
  <c r="BX104" i="1"/>
  <c r="BW104" i="1"/>
  <c r="CA103" i="1"/>
  <c r="BZ103" i="1"/>
  <c r="BY103" i="1"/>
  <c r="BX103" i="1"/>
  <c r="BW103" i="1"/>
  <c r="CA102" i="1"/>
  <c r="BZ102" i="1"/>
  <c r="BY102" i="1"/>
  <c r="BX102" i="1"/>
  <c r="BW102" i="1"/>
  <c r="CA101" i="1"/>
  <c r="BZ101" i="1"/>
  <c r="BY101" i="1"/>
  <c r="BX101" i="1"/>
  <c r="BW101" i="1"/>
  <c r="CA100" i="1"/>
  <c r="BZ100" i="1"/>
  <c r="BY100" i="1"/>
  <c r="BX100" i="1"/>
  <c r="BW100" i="1"/>
  <c r="CA99" i="1"/>
  <c r="BZ99" i="1"/>
  <c r="BY99" i="1"/>
  <c r="BX99" i="1"/>
  <c r="BW99" i="1"/>
  <c r="CA98" i="1"/>
  <c r="BZ98" i="1"/>
  <c r="BY98" i="1"/>
  <c r="BX98" i="1"/>
  <c r="BW98" i="1"/>
  <c r="CA97" i="1"/>
  <c r="BZ97" i="1"/>
  <c r="BY97" i="1"/>
  <c r="BX97" i="1"/>
  <c r="BW97" i="1"/>
  <c r="CA96" i="1"/>
  <c r="BZ96" i="1"/>
  <c r="BY96" i="1"/>
  <c r="BX96" i="1"/>
  <c r="BW96" i="1"/>
  <c r="CA95" i="1"/>
  <c r="BZ95" i="1"/>
  <c r="BY95" i="1"/>
  <c r="BX95" i="1"/>
  <c r="BW95" i="1"/>
  <c r="CA94" i="1"/>
  <c r="BZ94" i="1"/>
  <c r="BY94" i="1"/>
  <c r="BX94" i="1"/>
  <c r="BW94" i="1"/>
  <c r="CA93" i="1"/>
  <c r="BZ93" i="1"/>
  <c r="BY93" i="1"/>
  <c r="BX93" i="1"/>
  <c r="BW93" i="1"/>
  <c r="CA92" i="1"/>
  <c r="BZ92" i="1"/>
  <c r="BY92" i="1"/>
  <c r="BX92" i="1"/>
  <c r="BW92" i="1"/>
  <c r="CA91" i="1"/>
  <c r="BZ91" i="1"/>
  <c r="BY91" i="1"/>
  <c r="BX91" i="1"/>
  <c r="BW91" i="1"/>
  <c r="CA90" i="1"/>
  <c r="BZ90" i="1"/>
  <c r="BY90" i="1"/>
  <c r="BX90" i="1"/>
  <c r="BW90" i="1"/>
  <c r="CA89" i="1"/>
  <c r="BZ89" i="1"/>
  <c r="BY89" i="1"/>
  <c r="BX89" i="1"/>
  <c r="BW89" i="1"/>
  <c r="CA88" i="1"/>
  <c r="BZ88" i="1"/>
  <c r="BY88" i="1"/>
  <c r="BX88" i="1"/>
  <c r="BW88" i="1"/>
  <c r="CA87" i="1"/>
  <c r="BZ87" i="1"/>
  <c r="BY87" i="1"/>
  <c r="BX87" i="1"/>
  <c r="BW87" i="1"/>
  <c r="CA86" i="1"/>
  <c r="BZ86" i="1"/>
  <c r="BY86" i="1"/>
  <c r="BX86" i="1"/>
  <c r="BW86" i="1"/>
  <c r="CA85" i="1"/>
  <c r="BZ85" i="1"/>
  <c r="BY85" i="1"/>
  <c r="BX85" i="1"/>
  <c r="BW85" i="1"/>
  <c r="CA84" i="1"/>
  <c r="BZ84" i="1"/>
  <c r="BY84" i="1"/>
  <c r="BX84" i="1"/>
  <c r="BW84" i="1"/>
  <c r="CA83" i="1"/>
  <c r="BZ83" i="1"/>
  <c r="BY83" i="1"/>
  <c r="BX83" i="1"/>
  <c r="BW83" i="1"/>
  <c r="CA82" i="1"/>
  <c r="BZ82" i="1"/>
  <c r="BY82" i="1"/>
  <c r="BX82" i="1"/>
  <c r="BW82" i="1"/>
  <c r="CA81" i="1"/>
  <c r="BZ81" i="1"/>
  <c r="BY81" i="1"/>
  <c r="BX81" i="1"/>
  <c r="BW81" i="1"/>
  <c r="CA80" i="1"/>
  <c r="BZ80" i="1"/>
  <c r="BY80" i="1"/>
  <c r="BX80" i="1"/>
  <c r="BW80" i="1"/>
  <c r="CA79" i="1"/>
  <c r="BZ79" i="1"/>
  <c r="BY79" i="1"/>
  <c r="BX79" i="1"/>
  <c r="BW79" i="1"/>
  <c r="CA78" i="1"/>
  <c r="BZ78" i="1"/>
  <c r="BY78" i="1"/>
  <c r="BX78" i="1"/>
  <c r="BW78" i="1"/>
  <c r="CA77" i="1"/>
  <c r="BZ77" i="1"/>
  <c r="BY77" i="1"/>
  <c r="BX77" i="1"/>
  <c r="BW77" i="1"/>
  <c r="CA76" i="1"/>
  <c r="BZ76" i="1"/>
  <c r="BY76" i="1"/>
  <c r="BX76" i="1"/>
  <c r="BW76" i="1"/>
  <c r="CA75" i="1"/>
  <c r="BZ75" i="1"/>
  <c r="BY75" i="1"/>
  <c r="BX75" i="1"/>
  <c r="BW75" i="1"/>
  <c r="CA74" i="1"/>
  <c r="BZ74" i="1"/>
  <c r="BY74" i="1"/>
  <c r="BX74" i="1"/>
  <c r="BW74" i="1"/>
  <c r="CA73" i="1"/>
  <c r="BZ73" i="1"/>
  <c r="BY73" i="1"/>
  <c r="BX73" i="1"/>
  <c r="BW73" i="1"/>
  <c r="CA72" i="1"/>
  <c r="BZ72" i="1"/>
  <c r="BY72" i="1"/>
  <c r="BX72" i="1"/>
  <c r="BW72" i="1"/>
  <c r="CA71" i="1"/>
  <c r="BZ71" i="1"/>
  <c r="BY71" i="1"/>
  <c r="BX71" i="1"/>
  <c r="BW71" i="1"/>
  <c r="CA70" i="1"/>
  <c r="BZ70" i="1"/>
  <c r="BY70" i="1"/>
  <c r="BX70" i="1"/>
  <c r="BW70" i="1"/>
  <c r="CA69" i="1"/>
  <c r="BZ69" i="1"/>
  <c r="BY69" i="1"/>
  <c r="BX69" i="1"/>
  <c r="BW69" i="1"/>
  <c r="CA68" i="1"/>
  <c r="BZ68" i="1"/>
  <c r="BY68" i="1"/>
  <c r="BX68" i="1"/>
  <c r="BW68" i="1"/>
  <c r="CA67" i="1"/>
  <c r="BZ67" i="1"/>
  <c r="BY67" i="1"/>
  <c r="BX67" i="1"/>
  <c r="BW67" i="1"/>
  <c r="CA66" i="1"/>
  <c r="BZ66" i="1"/>
  <c r="BY66" i="1"/>
  <c r="BX66" i="1"/>
  <c r="BW66" i="1"/>
  <c r="CA65" i="1"/>
  <c r="BZ65" i="1"/>
  <c r="BY65" i="1"/>
  <c r="BX65" i="1"/>
  <c r="BW65" i="1"/>
  <c r="CA64" i="1"/>
  <c r="BZ64" i="1"/>
  <c r="BY64" i="1"/>
  <c r="BX64" i="1"/>
  <c r="BW64" i="1"/>
  <c r="CA63" i="1"/>
  <c r="BZ63" i="1"/>
  <c r="BY63" i="1"/>
  <c r="BX63" i="1"/>
  <c r="BW63" i="1"/>
  <c r="CA62" i="1"/>
  <c r="BZ62" i="1"/>
  <c r="BY62" i="1"/>
  <c r="BX62" i="1"/>
  <c r="BW62" i="1"/>
  <c r="CA61" i="1"/>
  <c r="BZ61" i="1"/>
  <c r="BY61" i="1"/>
  <c r="BX61" i="1"/>
  <c r="BW61" i="1"/>
  <c r="CA60" i="1"/>
  <c r="BZ60" i="1"/>
  <c r="BY60" i="1"/>
  <c r="BX60" i="1"/>
  <c r="BW60" i="1"/>
  <c r="CA59" i="1"/>
  <c r="BZ59" i="1"/>
  <c r="BY59" i="1"/>
  <c r="BX59" i="1"/>
  <c r="BW59" i="1"/>
  <c r="CA58" i="1"/>
  <c r="BZ58" i="1"/>
  <c r="BY58" i="1"/>
  <c r="BX58" i="1"/>
  <c r="BW58" i="1"/>
  <c r="CA57" i="1"/>
  <c r="BZ57" i="1"/>
  <c r="BY57" i="1"/>
  <c r="BX57" i="1"/>
  <c r="BW57" i="1"/>
  <c r="CA56" i="1"/>
  <c r="BZ56" i="1"/>
  <c r="BY56" i="1"/>
  <c r="BX56" i="1"/>
  <c r="BW56" i="1"/>
  <c r="CA55" i="1"/>
  <c r="BZ55" i="1"/>
  <c r="BY55" i="1"/>
  <c r="BX55" i="1"/>
  <c r="BW55" i="1"/>
  <c r="CA54" i="1"/>
  <c r="BZ54" i="1"/>
  <c r="BY54" i="1"/>
  <c r="BX54" i="1"/>
  <c r="BW54" i="1"/>
  <c r="CA53" i="1"/>
  <c r="BZ53" i="1"/>
  <c r="BY53" i="1"/>
  <c r="BX53" i="1"/>
  <c r="BW53" i="1"/>
  <c r="X51" i="10"/>
  <c r="CA50" i="1"/>
  <c r="BZ50" i="1"/>
  <c r="BY50" i="1"/>
  <c r="BX50" i="1"/>
  <c r="BW50" i="1"/>
  <c r="CA49" i="1"/>
  <c r="BZ49" i="1"/>
  <c r="BY49" i="1"/>
  <c r="BX49" i="1"/>
  <c r="BW49" i="1"/>
  <c r="CA48" i="1"/>
  <c r="BZ48" i="1"/>
  <c r="BY48" i="1"/>
  <c r="BX48" i="1"/>
  <c r="BW48" i="1"/>
  <c r="CA47" i="1"/>
  <c r="BZ47" i="1"/>
  <c r="BY47" i="1"/>
  <c r="BX47" i="1"/>
  <c r="BW47" i="1"/>
  <c r="CA46" i="1"/>
  <c r="BZ46" i="1"/>
  <c r="BY46" i="1"/>
  <c r="BX46" i="1"/>
  <c r="BW46" i="1"/>
  <c r="CA45" i="1"/>
  <c r="BZ45" i="1"/>
  <c r="BY45" i="1"/>
  <c r="BX45" i="1"/>
  <c r="BW45" i="1"/>
  <c r="CA44" i="1"/>
  <c r="BZ44" i="1"/>
  <c r="BY44" i="1"/>
  <c r="BX44" i="1"/>
  <c r="BW44" i="1"/>
  <c r="CA43" i="1"/>
  <c r="BZ43" i="1"/>
  <c r="BY43" i="1"/>
  <c r="BX43" i="1"/>
  <c r="BW43" i="1"/>
  <c r="CA42" i="1"/>
  <c r="BZ42" i="1"/>
  <c r="BY42" i="1"/>
  <c r="BX42" i="1"/>
  <c r="BW42" i="1"/>
  <c r="CA41" i="1"/>
  <c r="BZ41" i="1"/>
  <c r="BY41" i="1"/>
  <c r="BX41" i="1"/>
  <c r="BW41" i="1"/>
  <c r="CA40" i="1"/>
  <c r="BZ40" i="1"/>
  <c r="BY40" i="1"/>
  <c r="BX40" i="1"/>
  <c r="BW40" i="1"/>
  <c r="CA39" i="1"/>
  <c r="BZ39" i="1"/>
  <c r="BY39" i="1"/>
  <c r="BX39" i="1"/>
  <c r="BW39" i="1"/>
  <c r="CA38" i="1"/>
  <c r="BZ38" i="1"/>
  <c r="BY38" i="1"/>
  <c r="BX38" i="1"/>
  <c r="BW38" i="1"/>
  <c r="CA37" i="1"/>
  <c r="BZ37" i="1"/>
  <c r="BY37" i="1"/>
  <c r="BX37" i="1"/>
  <c r="BW37" i="1"/>
  <c r="CA36" i="1"/>
  <c r="BZ36" i="1"/>
  <c r="BY36" i="1"/>
  <c r="BX36" i="1"/>
  <c r="BW36" i="1"/>
  <c r="CA35" i="1"/>
  <c r="BZ35" i="1"/>
  <c r="BY35" i="1"/>
  <c r="BX35" i="1"/>
  <c r="BW35" i="1"/>
  <c r="CA34" i="1"/>
  <c r="BZ34" i="1"/>
  <c r="BY34" i="1"/>
  <c r="BX34" i="1"/>
  <c r="BW34" i="1"/>
  <c r="CA33" i="1"/>
  <c r="BZ33" i="1"/>
  <c r="BY33" i="1"/>
  <c r="BX33" i="1"/>
  <c r="BW33" i="1"/>
  <c r="CA32" i="1"/>
  <c r="BZ32" i="1"/>
  <c r="BY32" i="1"/>
  <c r="BX32" i="1"/>
  <c r="BW32" i="1"/>
  <c r="CA31" i="1"/>
  <c r="BZ31" i="1"/>
  <c r="BY31" i="1"/>
  <c r="BX31" i="1"/>
  <c r="BW31" i="1"/>
  <c r="CA30" i="1"/>
  <c r="BZ30" i="1"/>
  <c r="BY30" i="1"/>
  <c r="BX30" i="1"/>
  <c r="BW30" i="1"/>
  <c r="CA29" i="1"/>
  <c r="BZ29" i="1"/>
  <c r="BY29" i="1"/>
  <c r="BX29" i="1"/>
  <c r="BW29" i="1"/>
  <c r="CA28" i="1"/>
  <c r="BZ28" i="1"/>
  <c r="BY28" i="1"/>
  <c r="BX28" i="1"/>
  <c r="BW28" i="1"/>
  <c r="CA27" i="1"/>
  <c r="BZ27" i="1"/>
  <c r="BY27" i="1"/>
  <c r="BX27" i="1"/>
  <c r="BW27" i="1"/>
  <c r="CA26" i="1"/>
  <c r="BZ26" i="1"/>
  <c r="BY26" i="1"/>
  <c r="BX26" i="1"/>
  <c r="BW26" i="1"/>
  <c r="CA25" i="1"/>
  <c r="BZ25" i="1"/>
  <c r="BY25" i="1"/>
  <c r="BX25" i="1"/>
  <c r="BW25" i="1"/>
  <c r="CA24" i="1"/>
  <c r="BZ24" i="1"/>
  <c r="BY24" i="1"/>
  <c r="BX24" i="1"/>
  <c r="BW24" i="1"/>
  <c r="CA23" i="1"/>
  <c r="BZ23" i="1"/>
  <c r="BY23" i="1"/>
  <c r="BX23" i="1"/>
  <c r="BW23" i="1"/>
  <c r="CA22" i="1"/>
  <c r="BZ22" i="1"/>
  <c r="BY22" i="1"/>
  <c r="BX22" i="1"/>
  <c r="BW22" i="1"/>
  <c r="CA21" i="1"/>
  <c r="BZ21" i="1"/>
  <c r="BY21" i="1"/>
  <c r="BX21" i="1"/>
  <c r="BW21" i="1"/>
  <c r="CA20" i="1"/>
  <c r="BZ20" i="1"/>
  <c r="BY20" i="1"/>
  <c r="BX20" i="1"/>
  <c r="BW20" i="1"/>
  <c r="CA19" i="1"/>
  <c r="BZ19" i="1"/>
  <c r="BY19" i="1"/>
  <c r="BX19" i="1"/>
  <c r="BW19" i="1"/>
  <c r="CA18" i="1"/>
  <c r="BZ18" i="1"/>
  <c r="BY18" i="1"/>
  <c r="BX18" i="1"/>
  <c r="BW18" i="1"/>
  <c r="CA17" i="1"/>
  <c r="BZ17" i="1"/>
  <c r="BY17" i="1"/>
  <c r="BX17" i="1"/>
  <c r="BW17" i="1"/>
  <c r="CA16" i="1"/>
  <c r="BZ16" i="1"/>
  <c r="BY16" i="1"/>
  <c r="BX16" i="1"/>
  <c r="BW16" i="1"/>
  <c r="CA15" i="1"/>
  <c r="BZ15" i="1"/>
  <c r="BY15" i="1"/>
  <c r="BX15" i="1"/>
  <c r="BW15" i="1"/>
  <c r="CA14" i="1"/>
  <c r="BZ14" i="1"/>
  <c r="BY14" i="1"/>
  <c r="BX14" i="1"/>
  <c r="BW14" i="1"/>
  <c r="CA13" i="1"/>
  <c r="BZ13" i="1"/>
  <c r="BY13" i="1"/>
  <c r="BX13" i="1"/>
  <c r="BW13" i="1"/>
  <c r="CA12" i="1"/>
  <c r="BZ12" i="1"/>
  <c r="BY12" i="1"/>
  <c r="BX12" i="1"/>
  <c r="BW12" i="1"/>
  <c r="CA11" i="1"/>
  <c r="BZ11" i="1"/>
  <c r="BY11" i="1"/>
  <c r="BX11" i="1"/>
  <c r="BW11" i="1"/>
  <c r="CA10" i="1"/>
  <c r="BZ10" i="1"/>
  <c r="BY10" i="1"/>
  <c r="BX10" i="1"/>
  <c r="BW10" i="1"/>
  <c r="CA9" i="1"/>
  <c r="BZ9" i="1"/>
  <c r="BY9" i="1"/>
  <c r="BX9" i="1"/>
  <c r="BW9" i="1"/>
  <c r="CA8" i="1"/>
  <c r="BZ8" i="1"/>
  <c r="BZ168" i="1" s="1"/>
  <c r="BY8" i="1"/>
  <c r="BX8" i="1"/>
  <c r="CA7" i="1"/>
  <c r="BZ7" i="1"/>
  <c r="BY7" i="1"/>
  <c r="BX7" i="1"/>
  <c r="BR168" i="1"/>
  <c r="BS168" i="1"/>
  <c r="BQ168" i="1"/>
  <c r="BP168" i="1"/>
  <c r="BO168" i="1"/>
  <c r="BS167" i="1"/>
  <c r="BR167" i="1"/>
  <c r="BQ167" i="1"/>
  <c r="BP167" i="1"/>
  <c r="BO167" i="1"/>
  <c r="BK168" i="1"/>
  <c r="BJ168" i="1"/>
  <c r="BI168" i="1"/>
  <c r="BH168" i="1"/>
  <c r="BG168" i="1"/>
  <c r="BK167" i="1"/>
  <c r="BJ167" i="1"/>
  <c r="BI167" i="1"/>
  <c r="BH167" i="1"/>
  <c r="BG167" i="1"/>
  <c r="U51" i="10"/>
  <c r="U27" i="10"/>
  <c r="U23" i="10"/>
  <c r="U19" i="10"/>
  <c r="BD12" i="1"/>
  <c r="BC12" i="1"/>
  <c r="BB12" i="1"/>
  <c r="BA12" i="1"/>
  <c r="AZ12" i="1"/>
  <c r="BD11" i="1"/>
  <c r="BC11" i="1"/>
  <c r="BB11" i="1"/>
  <c r="BA11" i="1"/>
  <c r="AZ11" i="1"/>
  <c r="BD10" i="1"/>
  <c r="BC10" i="1"/>
  <c r="BB10" i="1"/>
  <c r="BA10" i="1"/>
  <c r="AZ10" i="1"/>
  <c r="BD9" i="1"/>
  <c r="BC9" i="1"/>
  <c r="BB9" i="1"/>
  <c r="BA9" i="1"/>
  <c r="AZ9" i="1"/>
  <c r="AY32" i="1"/>
  <c r="AW32" i="1"/>
  <c r="AV32" i="1"/>
  <c r="AU32" i="1"/>
  <c r="AT32" i="1"/>
  <c r="AY31" i="1"/>
  <c r="AW31" i="1"/>
  <c r="AV31" i="1"/>
  <c r="AU31" i="1"/>
  <c r="AT31" i="1"/>
  <c r="AY30" i="1"/>
  <c r="AW30" i="1"/>
  <c r="AV30" i="1"/>
  <c r="AU30" i="1"/>
  <c r="AT30" i="1"/>
  <c r="AY29" i="1"/>
  <c r="AW29" i="1"/>
  <c r="AV29" i="1"/>
  <c r="AU29" i="1"/>
  <c r="AT29" i="1"/>
  <c r="AY28" i="1"/>
  <c r="AW28" i="1"/>
  <c r="AV28" i="1"/>
  <c r="AU28" i="1"/>
  <c r="AT28" i="1"/>
  <c r="AY27" i="1"/>
  <c r="AW27" i="1"/>
  <c r="AV27" i="1"/>
  <c r="AU27" i="1"/>
  <c r="AT27" i="1"/>
  <c r="AY26" i="1"/>
  <c r="AW26" i="1"/>
  <c r="AV26" i="1"/>
  <c r="AU26" i="1"/>
  <c r="AT26" i="1"/>
  <c r="AY25" i="1"/>
  <c r="AW25" i="1"/>
  <c r="AV25" i="1"/>
  <c r="AU25" i="1"/>
  <c r="AT25" i="1"/>
  <c r="AY24" i="1"/>
  <c r="AW24" i="1"/>
  <c r="AV24" i="1"/>
  <c r="AU24" i="1"/>
  <c r="AT24" i="1"/>
  <c r="AY23" i="1"/>
  <c r="AW23" i="1"/>
  <c r="AV23" i="1"/>
  <c r="AU23" i="1"/>
  <c r="AT23" i="1"/>
  <c r="AY22" i="1"/>
  <c r="AW22" i="1"/>
  <c r="AV22" i="1"/>
  <c r="AU22" i="1"/>
  <c r="AT22" i="1"/>
  <c r="AY21" i="1"/>
  <c r="AW21" i="1"/>
  <c r="AV21" i="1"/>
  <c r="AU21" i="1"/>
  <c r="AT21" i="1"/>
  <c r="AY20" i="1"/>
  <c r="AW20" i="1"/>
  <c r="AV20" i="1"/>
  <c r="AU20" i="1"/>
  <c r="AT20" i="1"/>
  <c r="AY19" i="1"/>
  <c r="AW19" i="1"/>
  <c r="AV19" i="1"/>
  <c r="AU19" i="1"/>
  <c r="AT19" i="1"/>
  <c r="AY18" i="1"/>
  <c r="AW18" i="1"/>
  <c r="AV18" i="1"/>
  <c r="AU18" i="1"/>
  <c r="AT18" i="1"/>
  <c r="AY17" i="1"/>
  <c r="AW17" i="1"/>
  <c r="AV17" i="1"/>
  <c r="AU17" i="1"/>
  <c r="AT17" i="1"/>
  <c r="AY16" i="1"/>
  <c r="AW16" i="1"/>
  <c r="AV16" i="1"/>
  <c r="AU16" i="1"/>
  <c r="AT16" i="1"/>
  <c r="AY15" i="1"/>
  <c r="AW15" i="1"/>
  <c r="AV15" i="1"/>
  <c r="AU15" i="1"/>
  <c r="AT15" i="1"/>
  <c r="AY12" i="1"/>
  <c r="AW12" i="1"/>
  <c r="AV12" i="1"/>
  <c r="AU12" i="1"/>
  <c r="AT12" i="1"/>
  <c r="AY11" i="1"/>
  <c r="AW11" i="1"/>
  <c r="AV11" i="1"/>
  <c r="AU11" i="1"/>
  <c r="AT11" i="1"/>
  <c r="AY10" i="1"/>
  <c r="AW10" i="1"/>
  <c r="AW168" i="1" s="1"/>
  <c r="AV10" i="1"/>
  <c r="AV168" i="1" s="1"/>
  <c r="AU10" i="1"/>
  <c r="AU168" i="1" s="1"/>
  <c r="AT10" i="1"/>
  <c r="AY9" i="1"/>
  <c r="AY167" i="1" s="1"/>
  <c r="AW9" i="1"/>
  <c r="AW167" i="1" s="1"/>
  <c r="AV9" i="1"/>
  <c r="AV167" i="1" s="1"/>
  <c r="AU9" i="1"/>
  <c r="AT9" i="1"/>
  <c r="AT167" i="1" s="1"/>
  <c r="AR106" i="1"/>
  <c r="AQ106" i="1"/>
  <c r="AP106" i="1"/>
  <c r="AO106" i="1"/>
  <c r="AN106" i="1"/>
  <c r="AR105" i="1"/>
  <c r="AQ105" i="1"/>
  <c r="AP105" i="1"/>
  <c r="AO105" i="1"/>
  <c r="AN105" i="1"/>
  <c r="AR104" i="1"/>
  <c r="AQ104" i="1"/>
  <c r="AP104" i="1"/>
  <c r="AO104" i="1"/>
  <c r="AN104" i="1"/>
  <c r="AR103" i="1"/>
  <c r="AQ103" i="1"/>
  <c r="AP103" i="1"/>
  <c r="AO103" i="1"/>
  <c r="AN103" i="1"/>
  <c r="AR102" i="1"/>
  <c r="AQ102" i="1"/>
  <c r="AP102" i="1"/>
  <c r="AO102" i="1"/>
  <c r="AN102" i="1"/>
  <c r="AR101" i="1"/>
  <c r="AQ101" i="1"/>
  <c r="AP101" i="1"/>
  <c r="AO101" i="1"/>
  <c r="AN101" i="1"/>
  <c r="AR38" i="1"/>
  <c r="AQ38" i="1"/>
  <c r="AP38" i="1"/>
  <c r="AO38" i="1"/>
  <c r="AN38" i="1"/>
  <c r="AR37" i="1"/>
  <c r="AQ37" i="1"/>
  <c r="AP37" i="1"/>
  <c r="AO37" i="1"/>
  <c r="AN37" i="1"/>
  <c r="AR36" i="1"/>
  <c r="AQ36" i="1"/>
  <c r="AP36" i="1"/>
  <c r="AO36" i="1"/>
  <c r="AN36" i="1"/>
  <c r="AR35" i="1"/>
  <c r="AQ35" i="1"/>
  <c r="AP35" i="1"/>
  <c r="AO35" i="1"/>
  <c r="AN35" i="1"/>
  <c r="AR32" i="1"/>
  <c r="AQ32" i="1"/>
  <c r="AP32" i="1"/>
  <c r="AO32" i="1"/>
  <c r="AN32" i="1"/>
  <c r="AR31" i="1"/>
  <c r="AQ31" i="1"/>
  <c r="AP31" i="1"/>
  <c r="AO31" i="1"/>
  <c r="AN31" i="1"/>
  <c r="AR30" i="1"/>
  <c r="AQ30" i="1"/>
  <c r="AP30" i="1"/>
  <c r="AO30" i="1"/>
  <c r="AN30" i="1"/>
  <c r="AR29" i="1"/>
  <c r="AQ29" i="1"/>
  <c r="AP29" i="1"/>
  <c r="AO29" i="1"/>
  <c r="AN29" i="1"/>
  <c r="AR28" i="1"/>
  <c r="AQ28" i="1"/>
  <c r="AP28" i="1"/>
  <c r="AO28" i="1"/>
  <c r="AN28" i="1"/>
  <c r="AR27" i="1"/>
  <c r="AQ27" i="1"/>
  <c r="AP27" i="1"/>
  <c r="AO27" i="1"/>
  <c r="AN27" i="1"/>
  <c r="AR26" i="1"/>
  <c r="AQ26" i="1"/>
  <c r="AP26" i="1"/>
  <c r="AO26" i="1"/>
  <c r="AN26" i="1"/>
  <c r="AR25" i="1"/>
  <c r="AQ25" i="1"/>
  <c r="AP25" i="1"/>
  <c r="AO25" i="1"/>
  <c r="AN25" i="1"/>
  <c r="AR24" i="1"/>
  <c r="AQ24" i="1"/>
  <c r="AP24" i="1"/>
  <c r="AO24" i="1"/>
  <c r="AN24" i="1"/>
  <c r="AR23" i="1"/>
  <c r="AQ23" i="1"/>
  <c r="AP23" i="1"/>
  <c r="AO23" i="1"/>
  <c r="AN23" i="1"/>
  <c r="AR22" i="1"/>
  <c r="AQ22" i="1"/>
  <c r="AP22" i="1"/>
  <c r="AO22" i="1"/>
  <c r="AN22" i="1"/>
  <c r="AR21" i="1"/>
  <c r="AQ21" i="1"/>
  <c r="AP21" i="1"/>
  <c r="AO21" i="1"/>
  <c r="AN21" i="1"/>
  <c r="AR20" i="1"/>
  <c r="AQ20" i="1"/>
  <c r="AP20" i="1"/>
  <c r="AO20" i="1"/>
  <c r="AN20" i="1"/>
  <c r="AR19" i="1"/>
  <c r="AQ19" i="1"/>
  <c r="AP19" i="1"/>
  <c r="AO19" i="1"/>
  <c r="AN19" i="1"/>
  <c r="AR18" i="1"/>
  <c r="AQ18" i="1"/>
  <c r="AP18" i="1"/>
  <c r="AO18" i="1"/>
  <c r="AN18" i="1"/>
  <c r="AR17" i="1"/>
  <c r="AQ17" i="1"/>
  <c r="AP17" i="1"/>
  <c r="AO17" i="1"/>
  <c r="AN17" i="1"/>
  <c r="AG106" i="1"/>
  <c r="AF106" i="1"/>
  <c r="AE106" i="1"/>
  <c r="AD106" i="1"/>
  <c r="AC106" i="1"/>
  <c r="AB106" i="1"/>
  <c r="AG105" i="1"/>
  <c r="AF105" i="1"/>
  <c r="AE105" i="1"/>
  <c r="AD105" i="1"/>
  <c r="AC105" i="1"/>
  <c r="AB105" i="1"/>
  <c r="AG104" i="1"/>
  <c r="AF104" i="1"/>
  <c r="AE104" i="1"/>
  <c r="AD104" i="1"/>
  <c r="AC104" i="1"/>
  <c r="AB104" i="1"/>
  <c r="AG103" i="1"/>
  <c r="AF103" i="1"/>
  <c r="AE103" i="1"/>
  <c r="AD103" i="1"/>
  <c r="AC103" i="1"/>
  <c r="AB103" i="1"/>
  <c r="AG102" i="1"/>
  <c r="AF102" i="1"/>
  <c r="AE102" i="1"/>
  <c r="AD102" i="1"/>
  <c r="AC102" i="1"/>
  <c r="AB102" i="1"/>
  <c r="AG101" i="1"/>
  <c r="AF101" i="1"/>
  <c r="AE101" i="1"/>
  <c r="AD101" i="1"/>
  <c r="AC101" i="1"/>
  <c r="AB101" i="1"/>
  <c r="AG100" i="1"/>
  <c r="AF100" i="1"/>
  <c r="AE100" i="1"/>
  <c r="AD100" i="1"/>
  <c r="AC100" i="1"/>
  <c r="AB100" i="1"/>
  <c r="AG99" i="1"/>
  <c r="AF99" i="1"/>
  <c r="AE99" i="1"/>
  <c r="AD99" i="1"/>
  <c r="AC99" i="1"/>
  <c r="AB99" i="1"/>
  <c r="AG98" i="1"/>
  <c r="AF98" i="1"/>
  <c r="AE98" i="1"/>
  <c r="AD98" i="1"/>
  <c r="AC98" i="1"/>
  <c r="AB98" i="1"/>
  <c r="AG97" i="1"/>
  <c r="AF97" i="1"/>
  <c r="AE97" i="1"/>
  <c r="AD97" i="1"/>
  <c r="AC97" i="1"/>
  <c r="AB97" i="1"/>
  <c r="AG96" i="1"/>
  <c r="AF96" i="1"/>
  <c r="AE96" i="1"/>
  <c r="AD96" i="1"/>
  <c r="AC96" i="1"/>
  <c r="AB96" i="1"/>
  <c r="AG95" i="1"/>
  <c r="AF95" i="1"/>
  <c r="AE95" i="1"/>
  <c r="AD95" i="1"/>
  <c r="AC95" i="1"/>
  <c r="AB95" i="1"/>
  <c r="AG94" i="1"/>
  <c r="AF94" i="1"/>
  <c r="AE94" i="1"/>
  <c r="AD94" i="1"/>
  <c r="AC94" i="1"/>
  <c r="AB94" i="1"/>
  <c r="AG93" i="1"/>
  <c r="AF93" i="1"/>
  <c r="AE93" i="1"/>
  <c r="AD93" i="1"/>
  <c r="AC93" i="1"/>
  <c r="AB93" i="1"/>
  <c r="AG92" i="1"/>
  <c r="AF92" i="1"/>
  <c r="AE92" i="1"/>
  <c r="AD92" i="1"/>
  <c r="AC92" i="1"/>
  <c r="AB92" i="1"/>
  <c r="AG91" i="1"/>
  <c r="AF91" i="1"/>
  <c r="AE91" i="1"/>
  <c r="AD91" i="1"/>
  <c r="AC91" i="1"/>
  <c r="AB91" i="1"/>
  <c r="AG90" i="1"/>
  <c r="AF90" i="1"/>
  <c r="AE90" i="1"/>
  <c r="AD90" i="1"/>
  <c r="AC90" i="1"/>
  <c r="AB90" i="1"/>
  <c r="AG89" i="1"/>
  <c r="AF89" i="1"/>
  <c r="AE89" i="1"/>
  <c r="AD89" i="1"/>
  <c r="AC89" i="1"/>
  <c r="AB89" i="1"/>
  <c r="AG88" i="1"/>
  <c r="AF88" i="1"/>
  <c r="AE88" i="1"/>
  <c r="AD88" i="1"/>
  <c r="AC88" i="1"/>
  <c r="AB88" i="1"/>
  <c r="AG87" i="1"/>
  <c r="AF87" i="1"/>
  <c r="AE87" i="1"/>
  <c r="AD87" i="1"/>
  <c r="AC87" i="1"/>
  <c r="AB87" i="1"/>
  <c r="AG86" i="1"/>
  <c r="AF86" i="1"/>
  <c r="AE86" i="1"/>
  <c r="AD86" i="1"/>
  <c r="AC86" i="1"/>
  <c r="AB86" i="1"/>
  <c r="AG85" i="1"/>
  <c r="AF85" i="1"/>
  <c r="AE85" i="1"/>
  <c r="AD85" i="1"/>
  <c r="AC85" i="1"/>
  <c r="AB85" i="1"/>
  <c r="AG84" i="1"/>
  <c r="AF84" i="1"/>
  <c r="AE84" i="1"/>
  <c r="AD84" i="1"/>
  <c r="AC84" i="1"/>
  <c r="AB84" i="1"/>
  <c r="AG83" i="1"/>
  <c r="AF83" i="1"/>
  <c r="AE83" i="1"/>
  <c r="AD83" i="1"/>
  <c r="AC83" i="1"/>
  <c r="AB83" i="1"/>
  <c r="AG82" i="1"/>
  <c r="AF82" i="1"/>
  <c r="AE82" i="1"/>
  <c r="AD82" i="1"/>
  <c r="AC82" i="1"/>
  <c r="AB82" i="1"/>
  <c r="AG81" i="1"/>
  <c r="AF81" i="1"/>
  <c r="AE81" i="1"/>
  <c r="AD81" i="1"/>
  <c r="AC81" i="1"/>
  <c r="AB81" i="1"/>
  <c r="AG80" i="1"/>
  <c r="AF80" i="1"/>
  <c r="AE80" i="1"/>
  <c r="AD80" i="1"/>
  <c r="AC80" i="1"/>
  <c r="AB80" i="1"/>
  <c r="AG79" i="1"/>
  <c r="AF79" i="1"/>
  <c r="AE79" i="1"/>
  <c r="AD79" i="1"/>
  <c r="AC79" i="1"/>
  <c r="AB79" i="1"/>
  <c r="AG78" i="1"/>
  <c r="AF78" i="1"/>
  <c r="AE78" i="1"/>
  <c r="AD78" i="1"/>
  <c r="AC78" i="1"/>
  <c r="AB78" i="1"/>
  <c r="AG77" i="1"/>
  <c r="AF77" i="1"/>
  <c r="AE77" i="1"/>
  <c r="AD77" i="1"/>
  <c r="AC77" i="1"/>
  <c r="AB77" i="1"/>
  <c r="AG76" i="1"/>
  <c r="AF76" i="1"/>
  <c r="AE76" i="1"/>
  <c r="AD76" i="1"/>
  <c r="AC76" i="1"/>
  <c r="AB76" i="1"/>
  <c r="AG75" i="1"/>
  <c r="AF75" i="1"/>
  <c r="AE75" i="1"/>
  <c r="AD75" i="1"/>
  <c r="AC75" i="1"/>
  <c r="AB75" i="1"/>
  <c r="AG74" i="1"/>
  <c r="AF74" i="1"/>
  <c r="AE74" i="1"/>
  <c r="AD74" i="1"/>
  <c r="AC74" i="1"/>
  <c r="AB74" i="1"/>
  <c r="AG73" i="1"/>
  <c r="AF73" i="1"/>
  <c r="AE73" i="1"/>
  <c r="AD73" i="1"/>
  <c r="AC73" i="1"/>
  <c r="AB73" i="1"/>
  <c r="AG72" i="1"/>
  <c r="AF72" i="1"/>
  <c r="AE72" i="1"/>
  <c r="AD72" i="1"/>
  <c r="AC72" i="1"/>
  <c r="AB72" i="1"/>
  <c r="AG71" i="1"/>
  <c r="AF71" i="1"/>
  <c r="AE71" i="1"/>
  <c r="AD71" i="1"/>
  <c r="AC71" i="1"/>
  <c r="AB71" i="1"/>
  <c r="AG70" i="1"/>
  <c r="AF70" i="1"/>
  <c r="AE70" i="1"/>
  <c r="AD70" i="1"/>
  <c r="AC70" i="1"/>
  <c r="AB70" i="1"/>
  <c r="AG69" i="1"/>
  <c r="AF69" i="1"/>
  <c r="AE69" i="1"/>
  <c r="AD69" i="1"/>
  <c r="AC69" i="1"/>
  <c r="AB69" i="1"/>
  <c r="AG68" i="1"/>
  <c r="AF68" i="1"/>
  <c r="AE68" i="1"/>
  <c r="AD68" i="1"/>
  <c r="AC68" i="1"/>
  <c r="AB68" i="1"/>
  <c r="AG67" i="1"/>
  <c r="AF67" i="1"/>
  <c r="AE67" i="1"/>
  <c r="AD67" i="1"/>
  <c r="AC67" i="1"/>
  <c r="AB67" i="1"/>
  <c r="AG66" i="1"/>
  <c r="AF66" i="1"/>
  <c r="AE66" i="1"/>
  <c r="AD66" i="1"/>
  <c r="AC66" i="1"/>
  <c r="AB66" i="1"/>
  <c r="AG65" i="1"/>
  <c r="AF65" i="1"/>
  <c r="AE65" i="1"/>
  <c r="AD65" i="1"/>
  <c r="AC65" i="1"/>
  <c r="AB65" i="1"/>
  <c r="AG64" i="1"/>
  <c r="AF64" i="1"/>
  <c r="AE64" i="1"/>
  <c r="AD64" i="1"/>
  <c r="AC64" i="1"/>
  <c r="AB64" i="1"/>
  <c r="AG63" i="1"/>
  <c r="AF63" i="1"/>
  <c r="AE63" i="1"/>
  <c r="AD63" i="1"/>
  <c r="AC63" i="1"/>
  <c r="AB63" i="1"/>
  <c r="AG62" i="1"/>
  <c r="AF62" i="1"/>
  <c r="AE62" i="1"/>
  <c r="AD62" i="1"/>
  <c r="AC62" i="1"/>
  <c r="AB62" i="1"/>
  <c r="AG61" i="1"/>
  <c r="AF61" i="1"/>
  <c r="AE61" i="1"/>
  <c r="AD61" i="1"/>
  <c r="AC61" i="1"/>
  <c r="AB61" i="1"/>
  <c r="AG60" i="1"/>
  <c r="AF60" i="1"/>
  <c r="AE60" i="1"/>
  <c r="AD60" i="1"/>
  <c r="AC60" i="1"/>
  <c r="AB60" i="1"/>
  <c r="AG59" i="1"/>
  <c r="AF59" i="1"/>
  <c r="AE59" i="1"/>
  <c r="AD59" i="1"/>
  <c r="AC59" i="1"/>
  <c r="AB59" i="1"/>
  <c r="AG58" i="1"/>
  <c r="AF58" i="1"/>
  <c r="AE58" i="1"/>
  <c r="AD58" i="1"/>
  <c r="AC58" i="1"/>
  <c r="AB58" i="1"/>
  <c r="AG57" i="1"/>
  <c r="AF57" i="1"/>
  <c r="AE57" i="1"/>
  <c r="AD57" i="1"/>
  <c r="AC57" i="1"/>
  <c r="AB57" i="1"/>
  <c r="AG56" i="1"/>
  <c r="AF56" i="1"/>
  <c r="AE56" i="1"/>
  <c r="AD56" i="1"/>
  <c r="AC56" i="1"/>
  <c r="AB56" i="1"/>
  <c r="AG55" i="1"/>
  <c r="AF55" i="1"/>
  <c r="AE55" i="1"/>
  <c r="AD55" i="1"/>
  <c r="AC55" i="1"/>
  <c r="AB55" i="1"/>
  <c r="AG54" i="1"/>
  <c r="AF54" i="1"/>
  <c r="AE54" i="1"/>
  <c r="AD54" i="1"/>
  <c r="AC54" i="1"/>
  <c r="AB54" i="1"/>
  <c r="AG53" i="1"/>
  <c r="AF53" i="1"/>
  <c r="AE53" i="1"/>
  <c r="AD53" i="1"/>
  <c r="AC53" i="1"/>
  <c r="AB53" i="1"/>
  <c r="AG36" i="1"/>
  <c r="AF36" i="1"/>
  <c r="AE36" i="1"/>
  <c r="AD36" i="1"/>
  <c r="AC36" i="1"/>
  <c r="AB36" i="1"/>
  <c r="AG35" i="1"/>
  <c r="AF35" i="1"/>
  <c r="AE35" i="1"/>
  <c r="AD35" i="1"/>
  <c r="AC35" i="1"/>
  <c r="AB35" i="1"/>
  <c r="AG32" i="1"/>
  <c r="AF32" i="1"/>
  <c r="AE32" i="1"/>
  <c r="AD32" i="1"/>
  <c r="AC32" i="1"/>
  <c r="AB32" i="1"/>
  <c r="AG31" i="1"/>
  <c r="AF31" i="1"/>
  <c r="AE31" i="1"/>
  <c r="AD31" i="1"/>
  <c r="AC31" i="1"/>
  <c r="AB31" i="1"/>
  <c r="AG30" i="1"/>
  <c r="AF30" i="1"/>
  <c r="AE30" i="1"/>
  <c r="AD30" i="1"/>
  <c r="AC30" i="1"/>
  <c r="AB30" i="1"/>
  <c r="AG29" i="1"/>
  <c r="AF29" i="1"/>
  <c r="AE29" i="1"/>
  <c r="AD29" i="1"/>
  <c r="AC29" i="1"/>
  <c r="AB29" i="1"/>
  <c r="AG28" i="1"/>
  <c r="AF28" i="1"/>
  <c r="AE28" i="1"/>
  <c r="AD28" i="1"/>
  <c r="AC28" i="1"/>
  <c r="AB28" i="1"/>
  <c r="AG27" i="1"/>
  <c r="AF27" i="1"/>
  <c r="AE27" i="1"/>
  <c r="AD27" i="1"/>
  <c r="AC27" i="1"/>
  <c r="AB27" i="1"/>
  <c r="AG24" i="1"/>
  <c r="AF24" i="1"/>
  <c r="AE24" i="1"/>
  <c r="AD24" i="1"/>
  <c r="AC24" i="1"/>
  <c r="AB24" i="1"/>
  <c r="AG23" i="1"/>
  <c r="AF23" i="1"/>
  <c r="AE23" i="1"/>
  <c r="AD23" i="1"/>
  <c r="AC23" i="1"/>
  <c r="AB23" i="1"/>
  <c r="AG22" i="1"/>
  <c r="AF22" i="1"/>
  <c r="AE22" i="1"/>
  <c r="AD22" i="1"/>
  <c r="AC22" i="1"/>
  <c r="AB22" i="1"/>
  <c r="AG21" i="1"/>
  <c r="AF21" i="1"/>
  <c r="AE21" i="1"/>
  <c r="AD21" i="1"/>
  <c r="AC21" i="1"/>
  <c r="AB21" i="1"/>
  <c r="AG20" i="1"/>
  <c r="AF20" i="1"/>
  <c r="AE20" i="1"/>
  <c r="AD20" i="1"/>
  <c r="AC20" i="1"/>
  <c r="AB20" i="1"/>
  <c r="AG19" i="1"/>
  <c r="AF19" i="1"/>
  <c r="AE19" i="1"/>
  <c r="AD19" i="1"/>
  <c r="AC19" i="1"/>
  <c r="AB19" i="1"/>
  <c r="Z106" i="1"/>
  <c r="Y106" i="1"/>
  <c r="X106" i="1"/>
  <c r="W106" i="1"/>
  <c r="V106" i="1"/>
  <c r="Z105" i="1"/>
  <c r="Y105" i="1"/>
  <c r="X105" i="1"/>
  <c r="W105" i="1"/>
  <c r="V105" i="1"/>
  <c r="Z104" i="1"/>
  <c r="Y104" i="1"/>
  <c r="X104" i="1"/>
  <c r="W104" i="1"/>
  <c r="V104" i="1"/>
  <c r="Z103" i="1"/>
  <c r="Y103" i="1"/>
  <c r="X103" i="1"/>
  <c r="W103" i="1"/>
  <c r="V103" i="1"/>
  <c r="Z102" i="1"/>
  <c r="Y102" i="1"/>
  <c r="X102" i="1"/>
  <c r="W102" i="1"/>
  <c r="V102" i="1"/>
  <c r="Z101" i="1"/>
  <c r="Y101" i="1"/>
  <c r="X101" i="1"/>
  <c r="W101" i="1"/>
  <c r="V101" i="1"/>
  <c r="Z100" i="1"/>
  <c r="Y100" i="1"/>
  <c r="X100" i="1"/>
  <c r="W100" i="1"/>
  <c r="V100" i="1"/>
  <c r="Z99" i="1"/>
  <c r="Y99" i="1"/>
  <c r="X99" i="1"/>
  <c r="W99" i="1"/>
  <c r="V99" i="1"/>
  <c r="Z98" i="1"/>
  <c r="Y98" i="1"/>
  <c r="X98" i="1"/>
  <c r="W98" i="1"/>
  <c r="V98" i="1"/>
  <c r="Z97" i="1"/>
  <c r="Y97" i="1"/>
  <c r="X97" i="1"/>
  <c r="W97" i="1"/>
  <c r="V97" i="1"/>
  <c r="Z96" i="1"/>
  <c r="Y96" i="1"/>
  <c r="X96" i="1"/>
  <c r="W96" i="1"/>
  <c r="V96" i="1"/>
  <c r="Z95" i="1"/>
  <c r="Y95" i="1"/>
  <c r="X95" i="1"/>
  <c r="W95" i="1"/>
  <c r="V95" i="1"/>
  <c r="Z94" i="1"/>
  <c r="Y94" i="1"/>
  <c r="X94" i="1"/>
  <c r="W94" i="1"/>
  <c r="V94" i="1"/>
  <c r="Z93" i="1"/>
  <c r="Y93" i="1"/>
  <c r="X93" i="1"/>
  <c r="W93" i="1"/>
  <c r="V93" i="1"/>
  <c r="Z92" i="1"/>
  <c r="Y92" i="1"/>
  <c r="X92" i="1"/>
  <c r="W92" i="1"/>
  <c r="V92" i="1"/>
  <c r="Z91" i="1"/>
  <c r="Y91" i="1"/>
  <c r="X91" i="1"/>
  <c r="W91" i="1"/>
  <c r="V91" i="1"/>
  <c r="Z90" i="1"/>
  <c r="Y90" i="1"/>
  <c r="X90" i="1"/>
  <c r="W90" i="1"/>
  <c r="V90" i="1"/>
  <c r="Z89" i="1"/>
  <c r="Y89" i="1"/>
  <c r="X89" i="1"/>
  <c r="W89" i="1"/>
  <c r="V89" i="1"/>
  <c r="Z88" i="1"/>
  <c r="Y88" i="1"/>
  <c r="X88" i="1"/>
  <c r="W88" i="1"/>
  <c r="V88" i="1"/>
  <c r="Z87" i="1"/>
  <c r="Y87" i="1"/>
  <c r="X87" i="1"/>
  <c r="W87" i="1"/>
  <c r="V87" i="1"/>
  <c r="Z86" i="1"/>
  <c r="Y86" i="1"/>
  <c r="X86" i="1"/>
  <c r="W86" i="1"/>
  <c r="V86" i="1"/>
  <c r="Z85" i="1"/>
  <c r="Y85" i="1"/>
  <c r="X85" i="1"/>
  <c r="W85" i="1"/>
  <c r="V85" i="1"/>
  <c r="Z84" i="1"/>
  <c r="Y84" i="1"/>
  <c r="X84" i="1"/>
  <c r="W84" i="1"/>
  <c r="V84" i="1"/>
  <c r="Z83" i="1"/>
  <c r="Y83" i="1"/>
  <c r="X83" i="1"/>
  <c r="W83" i="1"/>
  <c r="V83" i="1"/>
  <c r="Z82" i="1"/>
  <c r="Y82" i="1"/>
  <c r="X82" i="1"/>
  <c r="W82" i="1"/>
  <c r="V82" i="1"/>
  <c r="Z81" i="1"/>
  <c r="Y81" i="1"/>
  <c r="X81" i="1"/>
  <c r="W81" i="1"/>
  <c r="V81" i="1"/>
  <c r="Z80" i="1"/>
  <c r="Y80" i="1"/>
  <c r="X80" i="1"/>
  <c r="W80" i="1"/>
  <c r="V80" i="1"/>
  <c r="Z79" i="1"/>
  <c r="Y79" i="1"/>
  <c r="X79" i="1"/>
  <c r="W79" i="1"/>
  <c r="V79" i="1"/>
  <c r="Z78" i="1"/>
  <c r="Y78" i="1"/>
  <c r="X78" i="1"/>
  <c r="W78" i="1"/>
  <c r="V78" i="1"/>
  <c r="Z77" i="1"/>
  <c r="Y77" i="1"/>
  <c r="X77" i="1"/>
  <c r="W77" i="1"/>
  <c r="V77" i="1"/>
  <c r="Z76" i="1"/>
  <c r="Y76" i="1"/>
  <c r="X76" i="1"/>
  <c r="W76" i="1"/>
  <c r="V76" i="1"/>
  <c r="Z75" i="1"/>
  <c r="Y75" i="1"/>
  <c r="X75" i="1"/>
  <c r="W75" i="1"/>
  <c r="V75" i="1"/>
  <c r="Z74" i="1"/>
  <c r="Y74" i="1"/>
  <c r="X74" i="1"/>
  <c r="W74" i="1"/>
  <c r="V74" i="1"/>
  <c r="Z73" i="1"/>
  <c r="Y73" i="1"/>
  <c r="X73" i="1"/>
  <c r="W73" i="1"/>
  <c r="V73" i="1"/>
  <c r="Z72" i="1"/>
  <c r="Y72" i="1"/>
  <c r="X72" i="1"/>
  <c r="W72" i="1"/>
  <c r="V72" i="1"/>
  <c r="Z71" i="1"/>
  <c r="Y71" i="1"/>
  <c r="X71" i="1"/>
  <c r="W71" i="1"/>
  <c r="V71" i="1"/>
  <c r="Z70" i="1"/>
  <c r="Y70" i="1"/>
  <c r="X70" i="1"/>
  <c r="W70" i="1"/>
  <c r="V70" i="1"/>
  <c r="Z69" i="1"/>
  <c r="Y69" i="1"/>
  <c r="X69" i="1"/>
  <c r="W69" i="1"/>
  <c r="V69" i="1"/>
  <c r="Z68" i="1"/>
  <c r="Y68" i="1"/>
  <c r="X68" i="1"/>
  <c r="W68" i="1"/>
  <c r="V68" i="1"/>
  <c r="Z67" i="1"/>
  <c r="Y67" i="1"/>
  <c r="X67" i="1"/>
  <c r="W67" i="1"/>
  <c r="V67" i="1"/>
  <c r="Z66" i="1"/>
  <c r="Y66" i="1"/>
  <c r="X66" i="1"/>
  <c r="W66" i="1"/>
  <c r="V66" i="1"/>
  <c r="Z65" i="1"/>
  <c r="Y65" i="1"/>
  <c r="X65" i="1"/>
  <c r="W65" i="1"/>
  <c r="V65" i="1"/>
  <c r="Z64" i="1"/>
  <c r="Y64" i="1"/>
  <c r="X64" i="1"/>
  <c r="W64" i="1"/>
  <c r="V64" i="1"/>
  <c r="Z63" i="1"/>
  <c r="Y63" i="1"/>
  <c r="X63" i="1"/>
  <c r="W63" i="1"/>
  <c r="V63" i="1"/>
  <c r="Z62" i="1"/>
  <c r="Y62" i="1"/>
  <c r="X62" i="1"/>
  <c r="W62" i="1"/>
  <c r="V62" i="1"/>
  <c r="Z61" i="1"/>
  <c r="Y61" i="1"/>
  <c r="X61" i="1"/>
  <c r="W61" i="1"/>
  <c r="V61" i="1"/>
  <c r="Z60" i="1"/>
  <c r="Y60" i="1"/>
  <c r="X60" i="1"/>
  <c r="W60" i="1"/>
  <c r="V60" i="1"/>
  <c r="Z59" i="1"/>
  <c r="Y59" i="1"/>
  <c r="X59" i="1"/>
  <c r="W59" i="1"/>
  <c r="V59" i="1"/>
  <c r="Z58" i="1"/>
  <c r="Y58" i="1"/>
  <c r="X58" i="1"/>
  <c r="W58" i="1"/>
  <c r="V58" i="1"/>
  <c r="Z57" i="1"/>
  <c r="Y57" i="1"/>
  <c r="X57" i="1"/>
  <c r="W57" i="1"/>
  <c r="V57" i="1"/>
  <c r="Z56" i="1"/>
  <c r="Y56" i="1"/>
  <c r="X56" i="1"/>
  <c r="W56" i="1"/>
  <c r="V56" i="1"/>
  <c r="Z55" i="1"/>
  <c r="Y55" i="1"/>
  <c r="X55" i="1"/>
  <c r="W55" i="1"/>
  <c r="V55" i="1"/>
  <c r="Z54" i="1"/>
  <c r="Y54" i="1"/>
  <c r="X54" i="1"/>
  <c r="W54" i="1"/>
  <c r="V54" i="1"/>
  <c r="Z53" i="1"/>
  <c r="Y53" i="1"/>
  <c r="X53" i="1"/>
  <c r="W53" i="1"/>
  <c r="V53" i="1"/>
  <c r="Z52" i="1"/>
  <c r="Y52" i="1"/>
  <c r="X52" i="1"/>
  <c r="W52" i="1"/>
  <c r="W168" i="1" s="1"/>
  <c r="V52" i="1"/>
  <c r="Z51" i="1"/>
  <c r="Y51" i="1"/>
  <c r="X51" i="1"/>
  <c r="X167" i="1" s="1"/>
  <c r="W51" i="1"/>
  <c r="V51" i="1"/>
  <c r="Z50" i="1"/>
  <c r="Z168" i="1" s="1"/>
  <c r="Y50" i="1"/>
  <c r="Y168" i="1" s="1"/>
  <c r="X50" i="1"/>
  <c r="W50" i="1"/>
  <c r="V50" i="1"/>
  <c r="V168" i="1" s="1"/>
  <c r="Z49" i="1"/>
  <c r="Z167" i="1" s="1"/>
  <c r="Y49" i="1"/>
  <c r="X49" i="1"/>
  <c r="W49" i="1"/>
  <c r="W167" i="1" s="1"/>
  <c r="V49" i="1"/>
  <c r="V167" i="1" s="1"/>
  <c r="X168" i="1"/>
  <c r="U106" i="1"/>
  <c r="T106" i="1"/>
  <c r="S106" i="1"/>
  <c r="R106" i="1"/>
  <c r="Q106" i="1"/>
  <c r="P106" i="1"/>
  <c r="O106" i="1"/>
  <c r="U105" i="1"/>
  <c r="T105" i="1"/>
  <c r="S105" i="1"/>
  <c r="R105" i="1"/>
  <c r="Q105" i="1"/>
  <c r="P105" i="1"/>
  <c r="O105" i="1"/>
  <c r="U104" i="1"/>
  <c r="T104" i="1"/>
  <c r="S104" i="1"/>
  <c r="R104" i="1"/>
  <c r="Q104" i="1"/>
  <c r="P104" i="1"/>
  <c r="O104" i="1"/>
  <c r="U103" i="1"/>
  <c r="T103" i="1"/>
  <c r="S103" i="1"/>
  <c r="R103" i="1"/>
  <c r="Q103" i="1"/>
  <c r="P103" i="1"/>
  <c r="O103" i="1"/>
  <c r="U102" i="1"/>
  <c r="T102" i="1"/>
  <c r="S102" i="1"/>
  <c r="R102" i="1"/>
  <c r="Q102" i="1"/>
  <c r="P102" i="1"/>
  <c r="O102" i="1"/>
  <c r="U101" i="1"/>
  <c r="T101" i="1"/>
  <c r="S101" i="1"/>
  <c r="R101" i="1"/>
  <c r="Q101" i="1"/>
  <c r="P101" i="1"/>
  <c r="O101" i="1"/>
  <c r="U100" i="1"/>
  <c r="T100" i="1"/>
  <c r="S100" i="1"/>
  <c r="R100" i="1"/>
  <c r="Q100" i="1"/>
  <c r="P100" i="1"/>
  <c r="O100" i="1"/>
  <c r="U99" i="1"/>
  <c r="T99" i="1"/>
  <c r="S99" i="1"/>
  <c r="R99" i="1"/>
  <c r="Q99" i="1"/>
  <c r="P99" i="1"/>
  <c r="O99" i="1"/>
  <c r="U98" i="1"/>
  <c r="T98" i="1"/>
  <c r="S98" i="1"/>
  <c r="R98" i="1"/>
  <c r="Q98" i="1"/>
  <c r="P98" i="1"/>
  <c r="O98" i="1"/>
  <c r="U97" i="1"/>
  <c r="T97" i="1"/>
  <c r="S97" i="1"/>
  <c r="R97" i="1"/>
  <c r="Q97" i="1"/>
  <c r="P97" i="1"/>
  <c r="O97" i="1"/>
  <c r="U96" i="1"/>
  <c r="T96" i="1"/>
  <c r="S96" i="1"/>
  <c r="R96" i="1"/>
  <c r="Q96" i="1"/>
  <c r="P96" i="1"/>
  <c r="O96" i="1"/>
  <c r="U95" i="1"/>
  <c r="T95" i="1"/>
  <c r="S95" i="1"/>
  <c r="R95" i="1"/>
  <c r="Q95" i="1"/>
  <c r="P95" i="1"/>
  <c r="O95" i="1"/>
  <c r="U94" i="1"/>
  <c r="T94" i="1"/>
  <c r="S94" i="1"/>
  <c r="R94" i="1"/>
  <c r="Q94" i="1"/>
  <c r="P94" i="1"/>
  <c r="O94" i="1"/>
  <c r="U93" i="1"/>
  <c r="T93" i="1"/>
  <c r="S93" i="1"/>
  <c r="R93" i="1"/>
  <c r="Q93" i="1"/>
  <c r="P93" i="1"/>
  <c r="O93" i="1"/>
  <c r="U92" i="1"/>
  <c r="T92" i="1"/>
  <c r="S92" i="1"/>
  <c r="R92" i="1"/>
  <c r="Q92" i="1"/>
  <c r="P92" i="1"/>
  <c r="O92" i="1"/>
  <c r="U91" i="1"/>
  <c r="T91" i="1"/>
  <c r="S91" i="1"/>
  <c r="R91" i="1"/>
  <c r="Q91" i="1"/>
  <c r="P91" i="1"/>
  <c r="O91" i="1"/>
  <c r="U90" i="1"/>
  <c r="T90" i="1"/>
  <c r="S90" i="1"/>
  <c r="R90" i="1"/>
  <c r="Q90" i="1"/>
  <c r="P90" i="1"/>
  <c r="O90" i="1"/>
  <c r="U89" i="1"/>
  <c r="T89" i="1"/>
  <c r="S89" i="1"/>
  <c r="R89" i="1"/>
  <c r="Q89" i="1"/>
  <c r="P89" i="1"/>
  <c r="O89" i="1"/>
  <c r="U88" i="1"/>
  <c r="T88" i="1"/>
  <c r="S88" i="1"/>
  <c r="R88" i="1"/>
  <c r="Q88" i="1"/>
  <c r="P88" i="1"/>
  <c r="O88" i="1"/>
  <c r="U87" i="1"/>
  <c r="T87" i="1"/>
  <c r="S87" i="1"/>
  <c r="R87" i="1"/>
  <c r="Q87" i="1"/>
  <c r="P87" i="1"/>
  <c r="O87" i="1"/>
  <c r="U86" i="1"/>
  <c r="T86" i="1"/>
  <c r="S86" i="1"/>
  <c r="R86" i="1"/>
  <c r="Q86" i="1"/>
  <c r="P86" i="1"/>
  <c r="O86" i="1"/>
  <c r="U85" i="1"/>
  <c r="T85" i="1"/>
  <c r="S85" i="1"/>
  <c r="R85" i="1"/>
  <c r="Q85" i="1"/>
  <c r="P85" i="1"/>
  <c r="O85" i="1"/>
  <c r="U84" i="1"/>
  <c r="T84" i="1"/>
  <c r="S84" i="1"/>
  <c r="R84" i="1"/>
  <c r="Q84" i="1"/>
  <c r="P84" i="1"/>
  <c r="O84" i="1"/>
  <c r="U83" i="1"/>
  <c r="T83" i="1"/>
  <c r="S83" i="1"/>
  <c r="R83" i="1"/>
  <c r="Q83" i="1"/>
  <c r="P83" i="1"/>
  <c r="O83" i="1"/>
  <c r="U82" i="1"/>
  <c r="T82" i="1"/>
  <c r="S82" i="1"/>
  <c r="R82" i="1"/>
  <c r="Q82" i="1"/>
  <c r="P82" i="1"/>
  <c r="O82" i="1"/>
  <c r="U81" i="1"/>
  <c r="T81" i="1"/>
  <c r="S81" i="1"/>
  <c r="R81" i="1"/>
  <c r="Q81" i="1"/>
  <c r="P81" i="1"/>
  <c r="O81" i="1"/>
  <c r="U80" i="1"/>
  <c r="T80" i="1"/>
  <c r="S80" i="1"/>
  <c r="R80" i="1"/>
  <c r="Q80" i="1"/>
  <c r="P80" i="1"/>
  <c r="O80" i="1"/>
  <c r="U79" i="1"/>
  <c r="T79" i="1"/>
  <c r="S79" i="1"/>
  <c r="R79" i="1"/>
  <c r="Q79" i="1"/>
  <c r="P79" i="1"/>
  <c r="O79" i="1"/>
  <c r="U78" i="1"/>
  <c r="T78" i="1"/>
  <c r="S78" i="1"/>
  <c r="R78" i="1"/>
  <c r="Q78" i="1"/>
  <c r="P78" i="1"/>
  <c r="O78" i="1"/>
  <c r="U77" i="1"/>
  <c r="T77" i="1"/>
  <c r="S77" i="1"/>
  <c r="R77" i="1"/>
  <c r="Q77" i="1"/>
  <c r="P77" i="1"/>
  <c r="O77" i="1"/>
  <c r="U76" i="1"/>
  <c r="T76" i="1"/>
  <c r="S76" i="1"/>
  <c r="R76" i="1"/>
  <c r="Q76" i="1"/>
  <c r="P76" i="1"/>
  <c r="O76" i="1"/>
  <c r="U75" i="1"/>
  <c r="T75" i="1"/>
  <c r="S75" i="1"/>
  <c r="R75" i="1"/>
  <c r="Q75" i="1"/>
  <c r="P75" i="1"/>
  <c r="O75" i="1"/>
  <c r="U74" i="1"/>
  <c r="T74" i="1"/>
  <c r="S74" i="1"/>
  <c r="R74" i="1"/>
  <c r="Q74" i="1"/>
  <c r="P74" i="1"/>
  <c r="O74" i="1"/>
  <c r="U73" i="1"/>
  <c r="T73" i="1"/>
  <c r="S73" i="1"/>
  <c r="R73" i="1"/>
  <c r="Q73" i="1"/>
  <c r="P73" i="1"/>
  <c r="O73" i="1"/>
  <c r="U72" i="1"/>
  <c r="T72" i="1"/>
  <c r="S72" i="1"/>
  <c r="R72" i="1"/>
  <c r="Q72" i="1"/>
  <c r="P72" i="1"/>
  <c r="O72" i="1"/>
  <c r="U71" i="1"/>
  <c r="T71" i="1"/>
  <c r="S71" i="1"/>
  <c r="R71" i="1"/>
  <c r="Q71" i="1"/>
  <c r="P71" i="1"/>
  <c r="O71" i="1"/>
  <c r="U70" i="1"/>
  <c r="T70" i="1"/>
  <c r="S70" i="1"/>
  <c r="R70" i="1"/>
  <c r="Q70" i="1"/>
  <c r="P70" i="1"/>
  <c r="O70" i="1"/>
  <c r="U69" i="1"/>
  <c r="T69" i="1"/>
  <c r="S69" i="1"/>
  <c r="R69" i="1"/>
  <c r="Q69" i="1"/>
  <c r="P69" i="1"/>
  <c r="O69" i="1"/>
  <c r="U68" i="1"/>
  <c r="T68" i="1"/>
  <c r="S68" i="1"/>
  <c r="R68" i="1"/>
  <c r="Q68" i="1"/>
  <c r="P68" i="1"/>
  <c r="O68" i="1"/>
  <c r="U67" i="1"/>
  <c r="T67" i="1"/>
  <c r="S67" i="1"/>
  <c r="R67" i="1"/>
  <c r="Q67" i="1"/>
  <c r="P67" i="1"/>
  <c r="O67" i="1"/>
  <c r="U66" i="1"/>
  <c r="T66" i="1"/>
  <c r="S66" i="1"/>
  <c r="R66" i="1"/>
  <c r="Q66" i="1"/>
  <c r="P66" i="1"/>
  <c r="O66" i="1"/>
  <c r="U65" i="1"/>
  <c r="T65" i="1"/>
  <c r="S65" i="1"/>
  <c r="R65" i="1"/>
  <c r="Q65" i="1"/>
  <c r="P65" i="1"/>
  <c r="O65" i="1"/>
  <c r="U64" i="1"/>
  <c r="T64" i="1"/>
  <c r="S64" i="1"/>
  <c r="R64" i="1"/>
  <c r="Q64" i="1"/>
  <c r="P64" i="1"/>
  <c r="O64" i="1"/>
  <c r="U63" i="1"/>
  <c r="T63" i="1"/>
  <c r="S63" i="1"/>
  <c r="R63" i="1"/>
  <c r="Q63" i="1"/>
  <c r="P63" i="1"/>
  <c r="O63" i="1"/>
  <c r="U62" i="1"/>
  <c r="T62" i="1"/>
  <c r="S62" i="1"/>
  <c r="R62" i="1"/>
  <c r="Q62" i="1"/>
  <c r="P62" i="1"/>
  <c r="O62" i="1"/>
  <c r="U61" i="1"/>
  <c r="T61" i="1"/>
  <c r="S61" i="1"/>
  <c r="R61" i="1"/>
  <c r="Q61" i="1"/>
  <c r="P61" i="1"/>
  <c r="O61" i="1"/>
  <c r="U60" i="1"/>
  <c r="T60" i="1"/>
  <c r="S60" i="1"/>
  <c r="R60" i="1"/>
  <c r="Q60" i="1"/>
  <c r="P60" i="1"/>
  <c r="O60" i="1"/>
  <c r="U59" i="1"/>
  <c r="T59" i="1"/>
  <c r="S59" i="1"/>
  <c r="R59" i="1"/>
  <c r="Q59" i="1"/>
  <c r="P59" i="1"/>
  <c r="O59" i="1"/>
  <c r="U58" i="1"/>
  <c r="T58" i="1"/>
  <c r="S58" i="1"/>
  <c r="R58" i="1"/>
  <c r="Q58" i="1"/>
  <c r="P58" i="1"/>
  <c r="O58" i="1"/>
  <c r="U57" i="1"/>
  <c r="T57" i="1"/>
  <c r="S57" i="1"/>
  <c r="R57" i="1"/>
  <c r="Q57" i="1"/>
  <c r="P57" i="1"/>
  <c r="O57" i="1"/>
  <c r="U56" i="1"/>
  <c r="T56" i="1"/>
  <c r="S56" i="1"/>
  <c r="R56" i="1"/>
  <c r="Q56" i="1"/>
  <c r="P56" i="1"/>
  <c r="O56" i="1"/>
  <c r="U55" i="1"/>
  <c r="T55" i="1"/>
  <c r="S55" i="1"/>
  <c r="R55" i="1"/>
  <c r="Q55" i="1"/>
  <c r="P55" i="1"/>
  <c r="O55" i="1"/>
  <c r="U54" i="1"/>
  <c r="T54" i="1"/>
  <c r="S54" i="1"/>
  <c r="R54" i="1"/>
  <c r="Q54" i="1"/>
  <c r="P54" i="1"/>
  <c r="O54" i="1"/>
  <c r="U53" i="1"/>
  <c r="T53" i="1"/>
  <c r="S53" i="1"/>
  <c r="R53" i="1"/>
  <c r="Q53" i="1"/>
  <c r="P53" i="1"/>
  <c r="O53" i="1"/>
  <c r="U52" i="1"/>
  <c r="T52" i="1"/>
  <c r="S52" i="1"/>
  <c r="R52" i="1"/>
  <c r="Q52" i="1"/>
  <c r="P52" i="1"/>
  <c r="O52" i="1"/>
  <c r="U51" i="1"/>
  <c r="T51" i="1"/>
  <c r="S51" i="1"/>
  <c r="R51" i="1"/>
  <c r="Q51" i="1"/>
  <c r="P51" i="1"/>
  <c r="O51" i="1"/>
  <c r="U50" i="1"/>
  <c r="T50" i="1"/>
  <c r="S50" i="1"/>
  <c r="R50" i="1"/>
  <c r="Q50" i="1"/>
  <c r="P50" i="1"/>
  <c r="O50" i="1"/>
  <c r="U49" i="1"/>
  <c r="T49" i="1"/>
  <c r="S49" i="1"/>
  <c r="R49" i="1"/>
  <c r="Q49" i="1"/>
  <c r="P49" i="1"/>
  <c r="O49" i="1"/>
  <c r="U48" i="1"/>
  <c r="T48" i="1"/>
  <c r="S48" i="1"/>
  <c r="R48" i="1"/>
  <c r="Q48" i="1"/>
  <c r="P48" i="1"/>
  <c r="O48" i="1"/>
  <c r="U47" i="1"/>
  <c r="T47" i="1"/>
  <c r="S47" i="1"/>
  <c r="R47" i="1"/>
  <c r="Q47" i="1"/>
  <c r="P47" i="1"/>
  <c r="O47" i="1"/>
  <c r="U46" i="1"/>
  <c r="T46" i="1"/>
  <c r="S46" i="1"/>
  <c r="R46" i="1"/>
  <c r="Q46" i="1"/>
  <c r="P46" i="1"/>
  <c r="O46" i="1"/>
  <c r="U45" i="1"/>
  <c r="T45" i="1"/>
  <c r="S45" i="1"/>
  <c r="R45" i="1"/>
  <c r="Q45" i="1"/>
  <c r="P45" i="1"/>
  <c r="O45" i="1"/>
  <c r="U44" i="1"/>
  <c r="T44" i="1"/>
  <c r="S44" i="1"/>
  <c r="R44" i="1"/>
  <c r="Q44" i="1"/>
  <c r="P44" i="1"/>
  <c r="O44" i="1"/>
  <c r="U43" i="1"/>
  <c r="T43" i="1"/>
  <c r="S43" i="1"/>
  <c r="R43" i="1"/>
  <c r="Q43" i="1"/>
  <c r="P43" i="1"/>
  <c r="O43" i="1"/>
  <c r="U42" i="1"/>
  <c r="T42" i="1"/>
  <c r="S42" i="1"/>
  <c r="R42" i="1"/>
  <c r="Q42" i="1"/>
  <c r="P42" i="1"/>
  <c r="O42" i="1"/>
  <c r="U41" i="1"/>
  <c r="T41" i="1"/>
  <c r="S41" i="1"/>
  <c r="R41" i="1"/>
  <c r="Q41" i="1"/>
  <c r="P41" i="1"/>
  <c r="O41" i="1"/>
  <c r="U40" i="1"/>
  <c r="T40" i="1"/>
  <c r="S40" i="1"/>
  <c r="R40" i="1"/>
  <c r="Q40" i="1"/>
  <c r="P40" i="1"/>
  <c r="O40" i="1"/>
  <c r="U39" i="1"/>
  <c r="T39" i="1"/>
  <c r="S39" i="1"/>
  <c r="R39" i="1"/>
  <c r="Q39" i="1"/>
  <c r="P39" i="1"/>
  <c r="O39" i="1"/>
  <c r="U38" i="1"/>
  <c r="T38" i="1"/>
  <c r="S38" i="1"/>
  <c r="R38" i="1"/>
  <c r="Q38" i="1"/>
  <c r="P38" i="1"/>
  <c r="O38" i="1"/>
  <c r="U37" i="1"/>
  <c r="T37" i="1"/>
  <c r="S37" i="1"/>
  <c r="R37" i="1"/>
  <c r="Q37" i="1"/>
  <c r="P37" i="1"/>
  <c r="O37" i="1"/>
  <c r="O35" i="10"/>
  <c r="O31" i="10"/>
  <c r="O27" i="10"/>
  <c r="O23" i="10"/>
  <c r="O19" i="10"/>
  <c r="AR16" i="1"/>
  <c r="AQ16" i="1"/>
  <c r="AP16" i="1"/>
  <c r="AO16" i="1"/>
  <c r="AN16" i="1"/>
  <c r="AR15" i="1"/>
  <c r="AQ15" i="1"/>
  <c r="AP15" i="1"/>
  <c r="AO15" i="1"/>
  <c r="AN15" i="1"/>
  <c r="AR14" i="1"/>
  <c r="AQ14" i="1"/>
  <c r="AP14" i="1"/>
  <c r="AO14" i="1"/>
  <c r="AN14" i="1"/>
  <c r="AR13" i="1"/>
  <c r="AQ13" i="1"/>
  <c r="AP13" i="1"/>
  <c r="AO13" i="1"/>
  <c r="AN13" i="1"/>
  <c r="AR12" i="1"/>
  <c r="AQ12" i="1"/>
  <c r="AP12" i="1"/>
  <c r="AO12" i="1"/>
  <c r="AN12" i="1"/>
  <c r="AR11" i="1"/>
  <c r="AQ11" i="1"/>
  <c r="AP11" i="1"/>
  <c r="AO11" i="1"/>
  <c r="AN11" i="1"/>
  <c r="AR10" i="1"/>
  <c r="AR168" i="1" s="1"/>
  <c r="AQ10" i="1"/>
  <c r="AP10" i="1"/>
  <c r="AO10" i="1"/>
  <c r="AN10" i="1"/>
  <c r="AN168" i="1" s="1"/>
  <c r="AR9" i="1"/>
  <c r="AQ9" i="1"/>
  <c r="AP9" i="1"/>
  <c r="AO9" i="1"/>
  <c r="AO167" i="1" s="1"/>
  <c r="AN9" i="1"/>
  <c r="AG16" i="1"/>
  <c r="AF16" i="1"/>
  <c r="AE16" i="1"/>
  <c r="AD16" i="1"/>
  <c r="AC16" i="1"/>
  <c r="AB16" i="1"/>
  <c r="AG15" i="1"/>
  <c r="AF15" i="1"/>
  <c r="AE15" i="1"/>
  <c r="AD15" i="1"/>
  <c r="AC15" i="1"/>
  <c r="AB15" i="1"/>
  <c r="AG12" i="1"/>
  <c r="AF12" i="1"/>
  <c r="AE12" i="1"/>
  <c r="AD12" i="1"/>
  <c r="AC12" i="1"/>
  <c r="AB12" i="1"/>
  <c r="AG11" i="1"/>
  <c r="AF11" i="1"/>
  <c r="AE11" i="1"/>
  <c r="AD11" i="1"/>
  <c r="AC11" i="1"/>
  <c r="AB11" i="1"/>
  <c r="AG10" i="1"/>
  <c r="AG168" i="1" s="1"/>
  <c r="AF10" i="1"/>
  <c r="AF168" i="1" s="1"/>
  <c r="AE10" i="1"/>
  <c r="AE168" i="1" s="1"/>
  <c r="AD10" i="1"/>
  <c r="AD168" i="1" s="1"/>
  <c r="AC10" i="1"/>
  <c r="AC168" i="1" s="1"/>
  <c r="AB10" i="1"/>
  <c r="AB168" i="1" s="1"/>
  <c r="AG9" i="1"/>
  <c r="AG167" i="1" s="1"/>
  <c r="AF9" i="1"/>
  <c r="AF167" i="1" s="1"/>
  <c r="AE9" i="1"/>
  <c r="AE167" i="1" s="1"/>
  <c r="AD9" i="1"/>
  <c r="AD167" i="1" s="1"/>
  <c r="AC9" i="1"/>
  <c r="AC167" i="1" s="1"/>
  <c r="AB9" i="1"/>
  <c r="AB167" i="1" s="1"/>
  <c r="U167" i="1"/>
  <c r="T168" i="1"/>
  <c r="AQ167" i="1" l="1"/>
  <c r="AP168" i="1"/>
  <c r="CA167" i="1"/>
  <c r="AU167" i="1"/>
  <c r="AW217" i="1" s="1"/>
  <c r="AT168" i="1"/>
  <c r="AY168" i="1"/>
  <c r="AP167" i="1"/>
  <c r="AO168" i="1"/>
  <c r="T105" i="10"/>
  <c r="AN167" i="1"/>
  <c r="AR167" i="1"/>
  <c r="AQ168" i="1"/>
  <c r="AQ218" i="1" s="1"/>
  <c r="U55" i="10"/>
  <c r="U59" i="10"/>
  <c r="U63" i="10"/>
  <c r="U67" i="10"/>
  <c r="U71" i="10"/>
  <c r="U75" i="10"/>
  <c r="U79" i="10"/>
  <c r="U83" i="10"/>
  <c r="U87" i="10"/>
  <c r="U91" i="10"/>
  <c r="U95" i="10"/>
  <c r="U99" i="10"/>
  <c r="U103" i="10"/>
  <c r="BY167" i="1"/>
  <c r="BY168" i="1"/>
  <c r="U31" i="10"/>
  <c r="U35" i="10"/>
  <c r="U39" i="10"/>
  <c r="U43" i="10"/>
  <c r="U47" i="10"/>
  <c r="R167" i="1"/>
  <c r="O168" i="1"/>
  <c r="CA168" i="1"/>
  <c r="X19" i="10"/>
  <c r="X23" i="10"/>
  <c r="X27" i="10"/>
  <c r="X31" i="10"/>
  <c r="X35" i="10"/>
  <c r="X39" i="10"/>
  <c r="X43" i="10"/>
  <c r="X47" i="10"/>
  <c r="O167" i="1"/>
  <c r="P168" i="1"/>
  <c r="Y167" i="1"/>
  <c r="Y217" i="1" s="1"/>
  <c r="Z217" i="1" s="1"/>
  <c r="BX168" i="1"/>
  <c r="X61" i="10"/>
  <c r="X65" i="10"/>
  <c r="X69" i="10"/>
  <c r="X73" i="10"/>
  <c r="X77" i="10"/>
  <c r="X81" i="10"/>
  <c r="X85" i="10"/>
  <c r="X89" i="10"/>
  <c r="Y218" i="1"/>
  <c r="Z218" i="1" s="1"/>
  <c r="X93" i="10"/>
  <c r="X97" i="10"/>
  <c r="X101" i="10"/>
  <c r="X105" i="10"/>
  <c r="Q18" i="10"/>
  <c r="Q22" i="10"/>
  <c r="Q26" i="10"/>
  <c r="Q30" i="10"/>
  <c r="Q34" i="10"/>
  <c r="Q38" i="10"/>
  <c r="Q42" i="10"/>
  <c r="Q46" i="10"/>
  <c r="Q50" i="10"/>
  <c r="Q54" i="10"/>
  <c r="Q58" i="10"/>
  <c r="Q62" i="10"/>
  <c r="Q66" i="10"/>
  <c r="Q70" i="10"/>
  <c r="Q74" i="10"/>
  <c r="Q78" i="10"/>
  <c r="Q82" i="10"/>
  <c r="Q86" i="10"/>
  <c r="Q90" i="10"/>
  <c r="Q94" i="10"/>
  <c r="Q98" i="10"/>
  <c r="Q102" i="10"/>
  <c r="S20" i="10"/>
  <c r="S24" i="10"/>
  <c r="S28" i="10"/>
  <c r="S32" i="10"/>
  <c r="S36" i="10"/>
  <c r="S40" i="10"/>
  <c r="S44" i="10"/>
  <c r="S48" i="10"/>
  <c r="S52" i="10"/>
  <c r="S56" i="10"/>
  <c r="S60" i="10"/>
  <c r="S64" i="10"/>
  <c r="S68" i="10"/>
  <c r="S72" i="10"/>
  <c r="S76" i="10"/>
  <c r="S80" i="10"/>
  <c r="S84" i="10"/>
  <c r="S88" i="10"/>
  <c r="S92" i="10"/>
  <c r="S96" i="10"/>
  <c r="S100" i="10"/>
  <c r="S104" i="10"/>
  <c r="T16" i="10"/>
  <c r="T20" i="10"/>
  <c r="T24" i="10"/>
  <c r="T28" i="10"/>
  <c r="T32" i="10"/>
  <c r="T36" i="10"/>
  <c r="T40" i="10"/>
  <c r="T44" i="10"/>
  <c r="T48" i="10"/>
  <c r="T52" i="10"/>
  <c r="T56" i="10"/>
  <c r="T60" i="10"/>
  <c r="T64" i="10"/>
  <c r="T68" i="10"/>
  <c r="T72" i="10"/>
  <c r="T76" i="10"/>
  <c r="T80" i="10"/>
  <c r="T84" i="10"/>
  <c r="T88" i="10"/>
  <c r="T92" i="10"/>
  <c r="T96" i="10"/>
  <c r="T100" i="10"/>
  <c r="X55" i="10"/>
  <c r="O39" i="10"/>
  <c r="O43" i="10"/>
  <c r="O47" i="10"/>
  <c r="O51" i="10"/>
  <c r="O55" i="10"/>
  <c r="O59" i="10"/>
  <c r="O63" i="10"/>
  <c r="O67" i="10"/>
  <c r="O71" i="10"/>
  <c r="O75" i="10"/>
  <c r="O79" i="10"/>
  <c r="O83" i="10"/>
  <c r="O87" i="10"/>
  <c r="O91" i="10"/>
  <c r="O95" i="10"/>
  <c r="O99" i="10"/>
  <c r="O103" i="10"/>
  <c r="X17" i="10"/>
  <c r="BS218" i="1"/>
  <c r="BK218" i="1"/>
  <c r="BL218" i="1" s="1"/>
  <c r="CQ218" i="1"/>
  <c r="CR218" i="1" s="1"/>
  <c r="T104" i="10"/>
  <c r="U16" i="10"/>
  <c r="U20" i="10"/>
  <c r="U24" i="10"/>
  <c r="U28" i="10"/>
  <c r="U32" i="10"/>
  <c r="U36" i="10"/>
  <c r="U40" i="10"/>
  <c r="U44" i="10"/>
  <c r="U48" i="10"/>
  <c r="U52" i="10"/>
  <c r="U56" i="10"/>
  <c r="U60" i="10"/>
  <c r="U64" i="10"/>
  <c r="U68" i="10"/>
  <c r="U72" i="10"/>
  <c r="U76" i="10"/>
  <c r="U80" i="10"/>
  <c r="U84" i="10"/>
  <c r="U88" i="10"/>
  <c r="U92" i="10"/>
  <c r="U96" i="10"/>
  <c r="U100" i="10"/>
  <c r="U104" i="10"/>
  <c r="BS217" i="1"/>
  <c r="BZ167" i="1"/>
  <c r="X18" i="10"/>
  <c r="X22" i="10"/>
  <c r="X26" i="10"/>
  <c r="X30" i="10"/>
  <c r="X34" i="10"/>
  <c r="X38" i="10"/>
  <c r="X42" i="10"/>
  <c r="X46" i="10"/>
  <c r="X50" i="10"/>
  <c r="X54" i="10"/>
  <c r="X58" i="10"/>
  <c r="X62" i="10"/>
  <c r="X66" i="10"/>
  <c r="X70" i="10"/>
  <c r="X74" i="10"/>
  <c r="X78" i="10"/>
  <c r="X82" i="10"/>
  <c r="X86" i="10"/>
  <c r="X90" i="10"/>
  <c r="X94" i="10"/>
  <c r="X98" i="10"/>
  <c r="X102" i="10"/>
  <c r="CI217" i="1"/>
  <c r="CJ217" i="1" s="1"/>
  <c r="S167" i="1"/>
  <c r="O22" i="10"/>
  <c r="O30" i="10"/>
  <c r="O42" i="10"/>
  <c r="O50" i="10"/>
  <c r="O74" i="10"/>
  <c r="O78" i="10"/>
  <c r="O82" i="10"/>
  <c r="O86" i="10"/>
  <c r="O90" i="10"/>
  <c r="O94" i="10"/>
  <c r="O98" i="10"/>
  <c r="O102" i="10"/>
  <c r="Q17" i="10"/>
  <c r="Q21" i="10"/>
  <c r="Q25" i="10"/>
  <c r="Q29" i="10"/>
  <c r="Q33" i="10"/>
  <c r="Q37" i="10"/>
  <c r="Q41" i="10"/>
  <c r="Q45" i="10"/>
  <c r="Q49" i="10"/>
  <c r="Q53" i="10"/>
  <c r="Q57" i="10"/>
  <c r="Q61" i="10"/>
  <c r="Q65" i="10"/>
  <c r="Q69" i="10"/>
  <c r="Q73" i="10"/>
  <c r="Q77" i="10"/>
  <c r="Q81" i="10"/>
  <c r="Q85" i="10"/>
  <c r="Q89" i="10"/>
  <c r="Q93" i="10"/>
  <c r="Q97" i="10"/>
  <c r="Q101" i="10"/>
  <c r="Q105" i="10"/>
  <c r="S17" i="10"/>
  <c r="S21" i="10"/>
  <c r="S25" i="10"/>
  <c r="S29" i="10"/>
  <c r="S33" i="10"/>
  <c r="S37" i="10"/>
  <c r="S41" i="10"/>
  <c r="S45" i="10"/>
  <c r="S49" i="10"/>
  <c r="S53" i="10"/>
  <c r="S57" i="10"/>
  <c r="S61" i="10"/>
  <c r="S65" i="10"/>
  <c r="S69" i="10"/>
  <c r="S73" i="10"/>
  <c r="S77" i="10"/>
  <c r="S81" i="10"/>
  <c r="S85" i="10"/>
  <c r="S89" i="10"/>
  <c r="S93" i="10"/>
  <c r="S97" i="10"/>
  <c r="S101" i="10"/>
  <c r="S105" i="10"/>
  <c r="T19" i="10"/>
  <c r="T23" i="10"/>
  <c r="T27" i="10"/>
  <c r="T31" i="10"/>
  <c r="T35" i="10"/>
  <c r="T39" i="10"/>
  <c r="T43" i="10"/>
  <c r="T47" i="10"/>
  <c r="T51" i="10"/>
  <c r="T55" i="10"/>
  <c r="T59" i="10"/>
  <c r="T63" i="10"/>
  <c r="T67" i="10"/>
  <c r="T71" i="10"/>
  <c r="T75" i="10"/>
  <c r="T79" i="10"/>
  <c r="T83" i="10"/>
  <c r="T87" i="10"/>
  <c r="T91" i="10"/>
  <c r="T95" i="10"/>
  <c r="T99" i="10"/>
  <c r="T103" i="10"/>
  <c r="U17" i="10"/>
  <c r="U21" i="10"/>
  <c r="U25" i="10"/>
  <c r="U29" i="10"/>
  <c r="U33" i="10"/>
  <c r="U37" i="10"/>
  <c r="U41" i="10"/>
  <c r="U45" i="10"/>
  <c r="U49" i="10"/>
  <c r="U53" i="10"/>
  <c r="U57" i="10"/>
  <c r="U61" i="10"/>
  <c r="U65" i="10"/>
  <c r="U69" i="10"/>
  <c r="U73" i="10"/>
  <c r="U77" i="10"/>
  <c r="U81" i="10"/>
  <c r="U85" i="10"/>
  <c r="U89" i="10"/>
  <c r="U93" i="10"/>
  <c r="U97" i="10"/>
  <c r="U101" i="10"/>
  <c r="U105" i="10"/>
  <c r="X59" i="10"/>
  <c r="X63" i="10"/>
  <c r="X67" i="10"/>
  <c r="X71" i="10"/>
  <c r="X75" i="10"/>
  <c r="X79" i="10"/>
  <c r="X83" i="10"/>
  <c r="X87" i="10"/>
  <c r="X91" i="10"/>
  <c r="X95" i="10"/>
  <c r="X99" i="10"/>
  <c r="X103" i="10"/>
  <c r="CI218" i="1"/>
  <c r="CJ218" i="1" s="1"/>
  <c r="O34" i="10"/>
  <c r="O38" i="10"/>
  <c r="O46" i="10"/>
  <c r="O54" i="10"/>
  <c r="O58" i="10"/>
  <c r="O62" i="10"/>
  <c r="O66" i="10"/>
  <c r="O70" i="10"/>
  <c r="T167" i="1"/>
  <c r="R168" i="1"/>
  <c r="P6" i="10"/>
  <c r="O21" i="10"/>
  <c r="O25" i="10"/>
  <c r="O29" i="10"/>
  <c r="O33" i="10"/>
  <c r="O37" i="10"/>
  <c r="O41" i="10"/>
  <c r="O45" i="10"/>
  <c r="O49" i="10"/>
  <c r="O53" i="10"/>
  <c r="O57" i="10"/>
  <c r="O61" i="10"/>
  <c r="O65" i="10"/>
  <c r="O69" i="10"/>
  <c r="O73" i="10"/>
  <c r="O77" i="10"/>
  <c r="O81" i="10"/>
  <c r="O85" i="10"/>
  <c r="O89" i="10"/>
  <c r="O93" i="10"/>
  <c r="O97" i="10"/>
  <c r="O101" i="10"/>
  <c r="O105" i="10"/>
  <c r="Q20" i="10"/>
  <c r="Q24" i="10"/>
  <c r="Q28" i="10"/>
  <c r="Q32" i="10"/>
  <c r="Q36" i="10"/>
  <c r="Q40" i="10"/>
  <c r="Q44" i="10"/>
  <c r="Q48" i="10"/>
  <c r="Q52" i="10"/>
  <c r="Q56" i="10"/>
  <c r="Q60" i="10"/>
  <c r="Q64" i="10"/>
  <c r="Q68" i="10"/>
  <c r="Q72" i="10"/>
  <c r="Q76" i="10"/>
  <c r="Q80" i="10"/>
  <c r="Q84" i="10"/>
  <c r="Q88" i="10"/>
  <c r="Q92" i="10"/>
  <c r="Q96" i="10"/>
  <c r="Q100" i="10"/>
  <c r="Q104" i="10"/>
  <c r="S18" i="10"/>
  <c r="S22" i="10"/>
  <c r="S26" i="10"/>
  <c r="S30" i="10"/>
  <c r="S34" i="10"/>
  <c r="S38" i="10"/>
  <c r="S42" i="10"/>
  <c r="S46" i="10"/>
  <c r="S50" i="10"/>
  <c r="S54" i="10"/>
  <c r="S58" i="10"/>
  <c r="S62" i="10"/>
  <c r="S66" i="10"/>
  <c r="S70" i="10"/>
  <c r="S74" i="10"/>
  <c r="S78" i="10"/>
  <c r="S82" i="10"/>
  <c r="S86" i="10"/>
  <c r="S90" i="10"/>
  <c r="S94" i="10"/>
  <c r="S98" i="10"/>
  <c r="S102" i="10"/>
  <c r="T18" i="10"/>
  <c r="T22" i="10"/>
  <c r="T26" i="10"/>
  <c r="T30" i="10"/>
  <c r="T34" i="10"/>
  <c r="T38" i="10"/>
  <c r="T42" i="10"/>
  <c r="T46" i="10"/>
  <c r="T50" i="10"/>
  <c r="T54" i="10"/>
  <c r="T58" i="10"/>
  <c r="T62" i="10"/>
  <c r="T66" i="10"/>
  <c r="T70" i="10"/>
  <c r="T74" i="10"/>
  <c r="T78" i="10"/>
  <c r="T82" i="10"/>
  <c r="T86" i="10"/>
  <c r="T90" i="10"/>
  <c r="T94" i="10"/>
  <c r="T98" i="10"/>
  <c r="T102" i="10"/>
  <c r="U18" i="10"/>
  <c r="U22" i="10"/>
  <c r="U26" i="10"/>
  <c r="U30" i="10"/>
  <c r="U34" i="10"/>
  <c r="U38" i="10"/>
  <c r="U42" i="10"/>
  <c r="U46" i="10"/>
  <c r="U50" i="10"/>
  <c r="U54" i="10"/>
  <c r="U58" i="10"/>
  <c r="U62" i="10"/>
  <c r="U66" i="10"/>
  <c r="U70" i="10"/>
  <c r="U74" i="10"/>
  <c r="U78" i="10"/>
  <c r="U82" i="10"/>
  <c r="U86" i="10"/>
  <c r="U90" i="10"/>
  <c r="U94" i="10"/>
  <c r="U98" i="10"/>
  <c r="U102" i="10"/>
  <c r="BK217" i="1"/>
  <c r="BX167" i="1"/>
  <c r="X16" i="10"/>
  <c r="X20" i="10"/>
  <c r="X24" i="10"/>
  <c r="X28" i="10"/>
  <c r="X32" i="10"/>
  <c r="X36" i="10"/>
  <c r="X40" i="10"/>
  <c r="X44" i="10"/>
  <c r="X48" i="10"/>
  <c r="X52" i="10"/>
  <c r="X56" i="10"/>
  <c r="X60" i="10"/>
  <c r="X64" i="10"/>
  <c r="X68" i="10"/>
  <c r="X72" i="10"/>
  <c r="X76" i="10"/>
  <c r="X80" i="10"/>
  <c r="X84" i="10"/>
  <c r="X88" i="10"/>
  <c r="X92" i="10"/>
  <c r="X96" i="10"/>
  <c r="X100" i="10"/>
  <c r="X104" i="10"/>
  <c r="CQ217" i="1"/>
  <c r="CR217" i="1" s="1"/>
  <c r="U168" i="1"/>
  <c r="O18" i="10"/>
  <c r="O26" i="10"/>
  <c r="Q167" i="1"/>
  <c r="O16" i="10"/>
  <c r="O20" i="10"/>
  <c r="O24" i="10"/>
  <c r="O28" i="10"/>
  <c r="O32" i="10"/>
  <c r="O36" i="10"/>
  <c r="O40" i="10"/>
  <c r="O44" i="10"/>
  <c r="O48" i="10"/>
  <c r="O52" i="10"/>
  <c r="O56" i="10"/>
  <c r="O60" i="10"/>
  <c r="O64" i="10"/>
  <c r="O68" i="10"/>
  <c r="O72" i="10"/>
  <c r="O76" i="10"/>
  <c r="O80" i="10"/>
  <c r="O84" i="10"/>
  <c r="O88" i="10"/>
  <c r="O92" i="10"/>
  <c r="O96" i="10"/>
  <c r="O100" i="10"/>
  <c r="O104" i="10"/>
  <c r="Q19" i="10"/>
  <c r="Q23" i="10"/>
  <c r="Q27" i="10"/>
  <c r="Q31" i="10"/>
  <c r="Q35" i="10"/>
  <c r="Q39" i="10"/>
  <c r="Q43" i="10"/>
  <c r="Q47" i="10"/>
  <c r="Q51" i="10"/>
  <c r="Q55" i="10"/>
  <c r="Q59" i="10"/>
  <c r="Q63" i="10"/>
  <c r="Q67" i="10"/>
  <c r="Q71" i="10"/>
  <c r="Q75" i="10"/>
  <c r="Q79" i="10"/>
  <c r="Q83" i="10"/>
  <c r="Q87" i="10"/>
  <c r="Q91" i="10"/>
  <c r="Q95" i="10"/>
  <c r="Q99" i="10"/>
  <c r="Q103" i="10"/>
  <c r="S19" i="10"/>
  <c r="S23" i="10"/>
  <c r="S27" i="10"/>
  <c r="S31" i="10"/>
  <c r="S35" i="10"/>
  <c r="S39" i="10"/>
  <c r="S43" i="10"/>
  <c r="S47" i="10"/>
  <c r="S51" i="10"/>
  <c r="S55" i="10"/>
  <c r="S59" i="10"/>
  <c r="S63" i="10"/>
  <c r="S67" i="10"/>
  <c r="S71" i="10"/>
  <c r="S75" i="10"/>
  <c r="S79" i="10"/>
  <c r="S83" i="10"/>
  <c r="S87" i="10"/>
  <c r="S91" i="10"/>
  <c r="S95" i="10"/>
  <c r="S99" i="10"/>
  <c r="S103" i="10"/>
  <c r="T17" i="10"/>
  <c r="T21" i="10"/>
  <c r="T25" i="10"/>
  <c r="T29" i="10"/>
  <c r="T33" i="10"/>
  <c r="T37" i="10"/>
  <c r="T41" i="10"/>
  <c r="T45" i="10"/>
  <c r="T49" i="10"/>
  <c r="T53" i="10"/>
  <c r="T57" i="10"/>
  <c r="T61" i="10"/>
  <c r="T65" i="10"/>
  <c r="T69" i="10"/>
  <c r="T73" i="10"/>
  <c r="T77" i="10"/>
  <c r="T81" i="10"/>
  <c r="T85" i="10"/>
  <c r="T89" i="10"/>
  <c r="T93" i="10"/>
  <c r="T97" i="10"/>
  <c r="T101" i="10"/>
  <c r="X21" i="10"/>
  <c r="X25" i="10"/>
  <c r="X29" i="10"/>
  <c r="X33" i="10"/>
  <c r="X37" i="10"/>
  <c r="X41" i="10"/>
  <c r="X45" i="10"/>
  <c r="X49" i="10"/>
  <c r="X53" i="10"/>
  <c r="X57" i="10"/>
  <c r="AE208" i="1"/>
  <c r="P167" i="1"/>
  <c r="P7" i="10"/>
  <c r="O17" i="10"/>
  <c r="Q168" i="1"/>
  <c r="S168" i="1"/>
  <c r="Q16" i="10"/>
  <c r="S16" i="10"/>
  <c r="O187" i="1"/>
  <c r="O190" i="1" s="1"/>
  <c r="AB208" i="1"/>
  <c r="AD208" i="1"/>
  <c r="AF208" i="1"/>
  <c r="AG208" i="1"/>
  <c r="AW218" i="1" l="1"/>
  <c r="AX218" i="1" s="1"/>
  <c r="AX217" i="1"/>
  <c r="AR218" i="1"/>
  <c r="AQ224" i="1"/>
  <c r="AR224" i="1" s="1"/>
  <c r="AQ217" i="1"/>
  <c r="BD218" i="1"/>
  <c r="BE218" i="1" s="1"/>
  <c r="H208" i="1"/>
  <c r="AE218" i="1"/>
  <c r="AE221" i="1"/>
  <c r="S217" i="1"/>
  <c r="T217" i="1" s="1"/>
  <c r="BD217" i="1"/>
  <c r="BL217" i="1"/>
  <c r="AE217" i="1"/>
  <c r="S218" i="1"/>
  <c r="T218" i="1" s="1"/>
  <c r="AR217" i="1" l="1"/>
  <c r="AQ223" i="1"/>
  <c r="AR223" i="1" s="1"/>
  <c r="BE217" i="1"/>
  <c r="BW8" i="1"/>
  <c r="BW168" i="1" s="1"/>
  <c r="CA218" i="1" s="1"/>
  <c r="BW7" i="1"/>
  <c r="BW167" i="1" s="1"/>
  <c r="CA217" i="1" s="1"/>
  <c r="CB217" i="1" l="1"/>
  <c r="CB218" i="1"/>
  <c r="BT217" i="1"/>
  <c r="BT218" i="1"/>
  <c r="BW208" i="1"/>
  <c r="BW187" i="1"/>
  <c r="BW186" i="1"/>
  <c r="AW190" i="1" l="1"/>
  <c r="AW212" i="1" s="1"/>
  <c r="AW189" i="1"/>
  <c r="AW211" i="1" s="1"/>
  <c r="Q198" i="10" l="1"/>
  <c r="Q197" i="10"/>
  <c r="AG209" i="1"/>
  <c r="AF209" i="1"/>
  <c r="AE209" i="1"/>
  <c r="AD209" i="1"/>
  <c r="AC209" i="1"/>
  <c r="AB209" i="1"/>
  <c r="X198" i="10"/>
  <c r="X197" i="10"/>
  <c r="AE222" i="1" l="1"/>
  <c r="P198" i="10"/>
  <c r="Z197" i="10"/>
  <c r="R198" i="10"/>
  <c r="O197" i="10"/>
  <c r="Y197" i="10"/>
  <c r="I197" i="10" s="1"/>
  <c r="P197" i="10"/>
  <c r="R197" i="10"/>
  <c r="O198" i="10"/>
  <c r="Y198" i="10"/>
  <c r="J197" i="10" s="1"/>
  <c r="Z198" i="10"/>
  <c r="W197" i="10"/>
  <c r="W198" i="10"/>
  <c r="V197" i="10"/>
  <c r="V198" i="10"/>
  <c r="U197" i="10"/>
  <c r="U198" i="10"/>
  <c r="T198" i="10"/>
  <c r="T197" i="10"/>
  <c r="S197" i="10"/>
  <c r="S198" i="10"/>
  <c r="I206" i="10" l="1"/>
  <c r="H206" i="10"/>
  <c r="H203" i="10"/>
  <c r="H207" i="10" s="1"/>
  <c r="W174" i="10" l="1"/>
  <c r="Z172" i="10" l="1"/>
  <c r="Z176" i="10"/>
  <c r="W172" i="10"/>
  <c r="W176" i="10"/>
  <c r="AL106" i="1"/>
  <c r="AK106" i="1"/>
  <c r="AJ106" i="1"/>
  <c r="AI106" i="1"/>
  <c r="AH106" i="1"/>
  <c r="P105" i="10"/>
  <c r="AL105" i="1"/>
  <c r="AK105" i="1"/>
  <c r="AJ105" i="1"/>
  <c r="AI105" i="1"/>
  <c r="AH105" i="1"/>
  <c r="P104" i="10"/>
  <c r="AL104" i="1"/>
  <c r="AK104" i="1"/>
  <c r="AJ104" i="1"/>
  <c r="AI104" i="1"/>
  <c r="AH104" i="1"/>
  <c r="P103" i="10"/>
  <c r="AL103" i="1"/>
  <c r="AK103" i="1"/>
  <c r="AJ103" i="1"/>
  <c r="AI103" i="1"/>
  <c r="AH103" i="1"/>
  <c r="P102" i="10"/>
  <c r="AL102" i="1"/>
  <c r="AK102" i="1"/>
  <c r="AJ102" i="1"/>
  <c r="AI102" i="1"/>
  <c r="AH102" i="1"/>
  <c r="P101" i="10"/>
  <c r="AL101" i="1"/>
  <c r="AK101" i="1"/>
  <c r="AJ101" i="1"/>
  <c r="AI101" i="1"/>
  <c r="AH101" i="1"/>
  <c r="P100" i="10"/>
  <c r="AL100" i="1"/>
  <c r="AK100" i="1"/>
  <c r="AJ100" i="1"/>
  <c r="AI100" i="1"/>
  <c r="AH100" i="1"/>
  <c r="P99" i="10"/>
  <c r="AL99" i="1"/>
  <c r="AK99" i="1"/>
  <c r="AJ99" i="1"/>
  <c r="AI99" i="1"/>
  <c r="AH99" i="1"/>
  <c r="P98" i="10"/>
  <c r="AL98" i="1"/>
  <c r="AK98" i="1"/>
  <c r="AJ98" i="1"/>
  <c r="AI98" i="1"/>
  <c r="AH98" i="1"/>
  <c r="P97" i="10"/>
  <c r="AL97" i="1"/>
  <c r="AK97" i="1"/>
  <c r="AJ97" i="1"/>
  <c r="AI97" i="1"/>
  <c r="AH97" i="1"/>
  <c r="P96" i="10"/>
  <c r="AL96" i="1"/>
  <c r="AK96" i="1"/>
  <c r="AJ96" i="1"/>
  <c r="AI96" i="1"/>
  <c r="AH96" i="1"/>
  <c r="P95" i="10"/>
  <c r="AL95" i="1"/>
  <c r="AK95" i="1"/>
  <c r="AJ95" i="1"/>
  <c r="AI95" i="1"/>
  <c r="AH95" i="1"/>
  <c r="P94" i="10"/>
  <c r="AL94" i="1"/>
  <c r="AK94" i="1"/>
  <c r="AJ94" i="1"/>
  <c r="AI94" i="1"/>
  <c r="AH94" i="1"/>
  <c r="P93" i="10"/>
  <c r="AL93" i="1"/>
  <c r="AK93" i="1"/>
  <c r="AJ93" i="1"/>
  <c r="AI93" i="1"/>
  <c r="AH93" i="1"/>
  <c r="P92" i="10"/>
  <c r="AL92" i="1"/>
  <c r="AK92" i="1"/>
  <c r="AJ92" i="1"/>
  <c r="AI92" i="1"/>
  <c r="AH92" i="1"/>
  <c r="P91" i="10"/>
  <c r="AL91" i="1"/>
  <c r="AK91" i="1"/>
  <c r="AJ91" i="1"/>
  <c r="AI91" i="1"/>
  <c r="AH91" i="1"/>
  <c r="P90" i="10"/>
  <c r="P51" i="10"/>
  <c r="P50" i="10"/>
  <c r="P49" i="10"/>
  <c r="P48" i="10"/>
  <c r="P43" i="10"/>
  <c r="P42" i="10"/>
  <c r="P41" i="10"/>
  <c r="P40" i="10"/>
  <c r="P39" i="10"/>
  <c r="P38" i="10"/>
  <c r="P37" i="10"/>
  <c r="P36" i="10"/>
  <c r="P35" i="10"/>
  <c r="P34" i="10"/>
  <c r="P33" i="10"/>
  <c r="P32" i="10"/>
  <c r="P31" i="10"/>
  <c r="P30" i="10"/>
  <c r="P29" i="10"/>
  <c r="P28" i="10"/>
  <c r="P27" i="10"/>
  <c r="P26" i="10"/>
  <c r="P25" i="10"/>
  <c r="P24" i="10"/>
  <c r="P23" i="10"/>
  <c r="P22" i="10"/>
  <c r="P21" i="10"/>
  <c r="P20" i="10"/>
  <c r="P19" i="10"/>
  <c r="P18" i="10"/>
  <c r="P65" i="10"/>
  <c r="P64" i="10"/>
  <c r="P63" i="10"/>
  <c r="P62" i="10"/>
  <c r="P61" i="10"/>
  <c r="P60" i="10"/>
  <c r="P59" i="10"/>
  <c r="P58" i="10"/>
  <c r="P57" i="10"/>
  <c r="P56" i="10"/>
  <c r="P55" i="10"/>
  <c r="P54" i="10"/>
  <c r="P53" i="10"/>
  <c r="P52" i="10"/>
  <c r="Q14" i="10"/>
  <c r="R12" i="10"/>
  <c r="Q12" i="10"/>
  <c r="Q10" i="10"/>
  <c r="R52" i="10" l="1"/>
  <c r="R54" i="10"/>
  <c r="R56" i="10"/>
  <c r="R58" i="10"/>
  <c r="R60" i="10"/>
  <c r="R62" i="10"/>
  <c r="R64" i="10"/>
  <c r="R19" i="10"/>
  <c r="R21" i="10"/>
  <c r="R23" i="10"/>
  <c r="R25" i="10"/>
  <c r="R27" i="10"/>
  <c r="R29" i="10"/>
  <c r="R31" i="10"/>
  <c r="R33" i="10"/>
  <c r="R35" i="10"/>
  <c r="R37" i="10"/>
  <c r="R39" i="10"/>
  <c r="R41" i="10"/>
  <c r="R43" i="10"/>
  <c r="R45" i="10"/>
  <c r="R47" i="10"/>
  <c r="R49" i="10"/>
  <c r="R51" i="10"/>
  <c r="R59" i="10"/>
  <c r="R61" i="10"/>
  <c r="R65" i="10"/>
  <c r="R18" i="10"/>
  <c r="R20" i="10"/>
  <c r="R22" i="10"/>
  <c r="R24" i="10"/>
  <c r="R26" i="10"/>
  <c r="R28" i="10"/>
  <c r="R30" i="10"/>
  <c r="R32" i="10"/>
  <c r="R34" i="10"/>
  <c r="R36" i="10"/>
  <c r="R38" i="10"/>
  <c r="R40" i="10"/>
  <c r="R42" i="10"/>
  <c r="R44" i="10"/>
  <c r="R46" i="10"/>
  <c r="R48" i="10"/>
  <c r="R50" i="10"/>
  <c r="R90" i="10"/>
  <c r="R92" i="10"/>
  <c r="R94" i="10"/>
  <c r="R96" i="10"/>
  <c r="R98" i="10"/>
  <c r="R100" i="10"/>
  <c r="R102" i="10"/>
  <c r="R104" i="10"/>
  <c r="R53" i="10"/>
  <c r="R55" i="10"/>
  <c r="R57" i="10"/>
  <c r="R63" i="10"/>
  <c r="R91" i="10"/>
  <c r="R93" i="10"/>
  <c r="R95" i="10"/>
  <c r="R97" i="10"/>
  <c r="R99" i="10"/>
  <c r="R101" i="10"/>
  <c r="R103" i="10"/>
  <c r="R105" i="10"/>
  <c r="P16" i="10"/>
  <c r="R16" i="10"/>
  <c r="P17" i="10"/>
  <c r="R17" i="10"/>
  <c r="P10" i="10"/>
  <c r="P12" i="10"/>
  <c r="R14" i="10"/>
  <c r="T14" i="10"/>
  <c r="Y10" i="10"/>
  <c r="Z10" i="10"/>
  <c r="Y12" i="10"/>
  <c r="X14" i="10"/>
  <c r="O15" i="10"/>
  <c r="R10" i="10"/>
  <c r="T10" i="10"/>
  <c r="X10" i="10"/>
  <c r="O11" i="10"/>
  <c r="X12" i="10"/>
  <c r="O13" i="10"/>
  <c r="P14" i="10"/>
  <c r="Y14" i="10"/>
  <c r="Z14" i="10"/>
  <c r="W10" i="10"/>
  <c r="W12" i="10"/>
  <c r="W14" i="10"/>
  <c r="V10" i="10"/>
  <c r="V12" i="10"/>
  <c r="V14" i="10"/>
  <c r="U10" i="10"/>
  <c r="U12" i="10"/>
  <c r="U14" i="10"/>
  <c r="T12" i="10"/>
  <c r="S12" i="10"/>
  <c r="S10" i="10"/>
  <c r="S14" i="10"/>
  <c r="Z12" i="10"/>
  <c r="O10" i="10"/>
  <c r="P11" i="10"/>
  <c r="Q11" i="10"/>
  <c r="R11" i="10"/>
  <c r="S11" i="10"/>
  <c r="T11" i="10"/>
  <c r="U11" i="10"/>
  <c r="V11" i="10"/>
  <c r="W11" i="10"/>
  <c r="X11" i="10"/>
  <c r="Y11" i="10"/>
  <c r="Z11" i="10"/>
  <c r="O12" i="10"/>
  <c r="P13" i="10"/>
  <c r="Q13" i="10"/>
  <c r="R13" i="10"/>
  <c r="S13" i="10"/>
  <c r="T13" i="10"/>
  <c r="U13" i="10"/>
  <c r="V13" i="10"/>
  <c r="W13" i="10"/>
  <c r="X13" i="10"/>
  <c r="Y13" i="10"/>
  <c r="Z13" i="10"/>
  <c r="O14" i="10"/>
  <c r="P15" i="10"/>
  <c r="Q15" i="10"/>
  <c r="R15" i="10"/>
  <c r="S15" i="10"/>
  <c r="T15" i="10"/>
  <c r="U15" i="10"/>
  <c r="V15" i="10"/>
  <c r="W15" i="10"/>
  <c r="X15" i="10"/>
  <c r="Y15" i="10"/>
  <c r="Z15" i="10"/>
  <c r="AA47" i="10" l="1"/>
  <c r="AA45" i="10"/>
  <c r="AA49" i="10"/>
  <c r="AA43" i="10"/>
  <c r="AA41" i="10"/>
  <c r="AA55" i="10"/>
  <c r="AA91" i="10"/>
  <c r="AA63" i="10"/>
  <c r="AA59" i="10"/>
  <c r="AA56" i="10"/>
  <c r="AA105" i="10"/>
  <c r="AA101" i="10"/>
  <c r="AA97" i="10"/>
  <c r="AA51" i="10"/>
  <c r="AA92" i="10"/>
  <c r="AA90" i="10"/>
  <c r="AA64" i="10"/>
  <c r="AA62" i="10"/>
  <c r="AA60" i="10"/>
  <c r="AA58" i="10"/>
  <c r="AA53" i="10"/>
  <c r="AA52" i="10"/>
  <c r="AA28" i="10"/>
  <c r="AA26" i="10"/>
  <c r="AA24" i="10"/>
  <c r="AA20" i="10"/>
  <c r="AA18" i="10"/>
  <c r="AA16" i="10"/>
  <c r="AA14" i="10"/>
  <c r="AA12" i="10"/>
  <c r="AA10" i="10"/>
  <c r="AA93" i="10"/>
  <c r="AA65" i="10"/>
  <c r="AA61" i="10"/>
  <c r="AA57" i="10"/>
  <c r="AA54" i="10"/>
  <c r="AA103" i="10"/>
  <c r="AA99" i="10"/>
  <c r="AA95" i="10"/>
  <c r="AA104" i="10"/>
  <c r="AA102" i="10"/>
  <c r="AA100" i="10"/>
  <c r="AA98" i="10"/>
  <c r="AA96" i="10"/>
  <c r="AA94" i="10"/>
  <c r="AA50" i="10"/>
  <c r="AA48" i="10"/>
  <c r="AA46" i="10"/>
  <c r="AA44" i="10"/>
  <c r="AA42" i="10"/>
  <c r="AA40" i="10"/>
  <c r="AA38" i="10"/>
  <c r="AA39" i="10"/>
  <c r="AA36" i="10"/>
  <c r="AA37" i="10"/>
  <c r="AA35" i="10"/>
  <c r="AA34" i="10"/>
  <c r="AA33" i="10"/>
  <c r="AA31" i="10"/>
  <c r="AA29" i="10"/>
  <c r="AA27" i="10"/>
  <c r="AA23" i="10"/>
  <c r="AA21" i="10"/>
  <c r="AA19" i="10"/>
  <c r="AA17" i="10"/>
  <c r="AA15" i="10"/>
  <c r="AA11" i="10"/>
  <c r="AA32" i="10"/>
  <c r="AA30" i="10"/>
  <c r="AA22" i="10"/>
  <c r="AA25" i="10"/>
  <c r="AA13" i="10"/>
  <c r="Q180" i="10"/>
  <c r="Q179" i="10"/>
  <c r="Q172" i="10"/>
  <c r="Q9" i="10"/>
  <c r="Q167" i="10" s="1"/>
  <c r="Q8" i="10"/>
  <c r="Q166" i="10" s="1"/>
  <c r="Q173" i="10" l="1"/>
  <c r="Q174" i="10"/>
  <c r="Q175" i="10"/>
  <c r="Q176" i="10"/>
  <c r="Q177" i="10"/>
  <c r="Q178" i="10"/>
  <c r="Q181" i="10"/>
  <c r="Q182" i="10"/>
  <c r="Q183" i="10"/>
  <c r="Q193" i="10"/>
  <c r="Q194" i="10"/>
  <c r="Q195" i="10"/>
  <c r="Q196" i="10"/>
  <c r="Q199" i="10"/>
  <c r="Q200" i="10"/>
  <c r="Q201" i="10"/>
  <c r="Q202" i="10"/>
  <c r="Q6" i="10"/>
  <c r="Q7" i="10"/>
  <c r="E5" i="12" l="1"/>
  <c r="E6" i="12" s="1"/>
  <c r="E4" i="12"/>
  <c r="Q184" i="10"/>
  <c r="Q204" i="10"/>
  <c r="Q203" i="10"/>
  <c r="Q185" i="10"/>
  <c r="E9" i="12" s="1"/>
  <c r="O6" i="10"/>
  <c r="Y196" i="10"/>
  <c r="X196" i="10"/>
  <c r="W196" i="10"/>
  <c r="S196" i="10"/>
  <c r="R196" i="10"/>
  <c r="P196" i="10"/>
  <c r="X176" i="10"/>
  <c r="X174" i="10"/>
  <c r="P174" i="10"/>
  <c r="Q187" i="10" l="1"/>
  <c r="E11" i="12" s="1"/>
  <c r="E8" i="12"/>
  <c r="Q188" i="10"/>
  <c r="S174" i="10"/>
  <c r="R174" i="10"/>
  <c r="Z174" i="10"/>
  <c r="S176" i="10"/>
  <c r="Y174" i="10"/>
  <c r="Y172" i="10"/>
  <c r="P176" i="10"/>
  <c r="R176" i="10"/>
  <c r="Y176" i="10"/>
  <c r="Z196" i="10"/>
  <c r="V172" i="10"/>
  <c r="V174" i="10"/>
  <c r="V176" i="10"/>
  <c r="V196" i="10"/>
  <c r="U172" i="10"/>
  <c r="U174" i="10"/>
  <c r="U176" i="10"/>
  <c r="U196" i="10"/>
  <c r="T172" i="10"/>
  <c r="T174" i="10"/>
  <c r="T176" i="10"/>
  <c r="T196" i="10"/>
  <c r="P172" i="10"/>
  <c r="V186" i="1"/>
  <c r="R172" i="10"/>
  <c r="O195" i="10"/>
  <c r="S172" i="10"/>
  <c r="P195" i="10"/>
  <c r="R195" i="10"/>
  <c r="S195" i="10"/>
  <c r="T195" i="10"/>
  <c r="U195" i="10"/>
  <c r="V195" i="10"/>
  <c r="W195" i="10"/>
  <c r="X195" i="10"/>
  <c r="O196" i="10"/>
  <c r="X172" i="10"/>
  <c r="J195" i="10"/>
  <c r="Y195" i="10"/>
  <c r="I195" i="10" s="1"/>
  <c r="Z195" i="10"/>
  <c r="Q206" i="10" l="1"/>
  <c r="Q207" i="10"/>
  <c r="E12" i="12"/>
  <c r="E13" i="12" s="1"/>
  <c r="O176" i="10"/>
  <c r="O174" i="10"/>
  <c r="O172" i="10"/>
  <c r="O186" i="1"/>
  <c r="AI86" i="8"/>
  <c r="AI83" i="8" s="1"/>
  <c r="AI76" i="8"/>
  <c r="AI73" i="8" s="1"/>
  <c r="AI67" i="8"/>
  <c r="AI64" i="8" s="1"/>
  <c r="AI58" i="8"/>
  <c r="AI55" i="8" s="1"/>
  <c r="AI130" i="8"/>
  <c r="AH130" i="8"/>
  <c r="AI129" i="8"/>
  <c r="AH129" i="8"/>
  <c r="AI128" i="8"/>
  <c r="AH128" i="8"/>
  <c r="AI110" i="8"/>
  <c r="AI109" i="8"/>
  <c r="AI108" i="8"/>
  <c r="AI120" i="8"/>
  <c r="AH120" i="8"/>
  <c r="AI119" i="8"/>
  <c r="AH119" i="8"/>
  <c r="AI118" i="8"/>
  <c r="AH118" i="8"/>
  <c r="AI100" i="8"/>
  <c r="AI99" i="8"/>
  <c r="AI98" i="8"/>
  <c r="AI90" i="8"/>
  <c r="AH90" i="8"/>
  <c r="AI89" i="8"/>
  <c r="AH89" i="8"/>
  <c r="AI88" i="8"/>
  <c r="AH88" i="8"/>
  <c r="AI80" i="8"/>
  <c r="AH80" i="8"/>
  <c r="AI79" i="8"/>
  <c r="AH79" i="8"/>
  <c r="AI78" i="8"/>
  <c r="AH78" i="8"/>
  <c r="AI70" i="8"/>
  <c r="AH70" i="8"/>
  <c r="AI69" i="8"/>
  <c r="AH69" i="8"/>
  <c r="AI62" i="8"/>
  <c r="AH62" i="8"/>
  <c r="AI61" i="8"/>
  <c r="AH61" i="8"/>
  <c r="AI60" i="8"/>
  <c r="AH60" i="8"/>
  <c r="O189" i="1" l="1"/>
  <c r="CQ209" i="1"/>
  <c r="CP209" i="1"/>
  <c r="CO209" i="1"/>
  <c r="CN209" i="1"/>
  <c r="CQ208" i="1"/>
  <c r="CP208" i="1"/>
  <c r="CO208" i="1"/>
  <c r="CN208" i="1"/>
  <c r="X202" i="10"/>
  <c r="X201" i="10"/>
  <c r="X200" i="10"/>
  <c r="X199" i="10"/>
  <c r="CA209" i="1"/>
  <c r="BZ209" i="1"/>
  <c r="BY209" i="1"/>
  <c r="BX209" i="1"/>
  <c r="CA208" i="1"/>
  <c r="BZ208" i="1"/>
  <c r="BY208" i="1"/>
  <c r="BX208" i="1"/>
  <c r="BS209" i="1"/>
  <c r="BR209" i="1"/>
  <c r="BQ209" i="1"/>
  <c r="BP209" i="1"/>
  <c r="BS208" i="1"/>
  <c r="BR208" i="1"/>
  <c r="BQ208" i="1"/>
  <c r="BP208" i="1"/>
  <c r="T209" i="1"/>
  <c r="S209" i="1"/>
  <c r="T208" i="1"/>
  <c r="S208" i="1"/>
  <c r="U208" i="1"/>
  <c r="R208" i="1"/>
  <c r="Q208" i="1"/>
  <c r="P208" i="1"/>
  <c r="O193" i="10"/>
  <c r="X182" i="10"/>
  <c r="X181" i="10"/>
  <c r="X178" i="10"/>
  <c r="X177" i="10"/>
  <c r="X175" i="10"/>
  <c r="X173" i="10"/>
  <c r="O178" i="10"/>
  <c r="O175" i="10"/>
  <c r="CA221" i="1" l="1"/>
  <c r="BQ187" i="1"/>
  <c r="BP187" i="1"/>
  <c r="BR187" i="1"/>
  <c r="O209" i="1"/>
  <c r="Z8" i="10"/>
  <c r="Z166" i="10" s="1"/>
  <c r="Q209" i="1"/>
  <c r="O181" i="10"/>
  <c r="BS187" i="1"/>
  <c r="Z179" i="10"/>
  <c r="Z183" i="10"/>
  <c r="P209" i="1"/>
  <c r="R209" i="1"/>
  <c r="U209" i="1"/>
  <c r="Z200" i="10"/>
  <c r="Z202" i="10"/>
  <c r="Z9" i="10"/>
  <c r="Z167" i="10" s="1"/>
  <c r="O183" i="10"/>
  <c r="Z180" i="10"/>
  <c r="O201" i="10"/>
  <c r="Z199" i="10"/>
  <c r="Z201" i="10"/>
  <c r="W179" i="10"/>
  <c r="BO187" i="1"/>
  <c r="W180" i="10"/>
  <c r="W183" i="10"/>
  <c r="W199" i="10"/>
  <c r="W200" i="10"/>
  <c r="W201" i="10"/>
  <c r="W202" i="10"/>
  <c r="O179" i="10"/>
  <c r="O199" i="10"/>
  <c r="O208" i="1"/>
  <c r="S221" i="1" s="1"/>
  <c r="T221" i="1" s="1"/>
  <c r="W193" i="10"/>
  <c r="BO208" i="1"/>
  <c r="BS221" i="1" s="1"/>
  <c r="BT221" i="1" s="1"/>
  <c r="W194" i="10"/>
  <c r="BO209" i="1"/>
  <c r="BS222" i="1" s="1"/>
  <c r="X193" i="10"/>
  <c r="X203" i="10" s="1"/>
  <c r="X194" i="10"/>
  <c r="X204" i="10" s="1"/>
  <c r="BW209" i="1"/>
  <c r="Z193" i="10"/>
  <c r="CM208" i="1"/>
  <c r="CQ221" i="1" s="1"/>
  <c r="CR221" i="1" s="1"/>
  <c r="Z194" i="10"/>
  <c r="CM209" i="1"/>
  <c r="CQ222" i="1" s="1"/>
  <c r="CR222" i="1" s="1"/>
  <c r="Z6" i="10"/>
  <c r="Z7" i="10"/>
  <c r="O173" i="10"/>
  <c r="O177" i="10"/>
  <c r="O180" i="10"/>
  <c r="O182" i="10"/>
  <c r="W173" i="10"/>
  <c r="W175" i="10"/>
  <c r="W177" i="10"/>
  <c r="W178" i="10"/>
  <c r="W181" i="10"/>
  <c r="W182" i="10"/>
  <c r="X179" i="10"/>
  <c r="X180" i="10"/>
  <c r="X184" i="10" s="1"/>
  <c r="L8" i="12" s="1"/>
  <c r="X183" i="10"/>
  <c r="Z173" i="10"/>
  <c r="Z175" i="10"/>
  <c r="Z177" i="10"/>
  <c r="Z178" i="10"/>
  <c r="Z181" i="10"/>
  <c r="Z182" i="10"/>
  <c r="O194" i="10"/>
  <c r="O200" i="10"/>
  <c r="O202" i="10"/>
  <c r="N4" i="12" l="1"/>
  <c r="X185" i="10"/>
  <c r="L9" i="12" s="1"/>
  <c r="S222" i="1"/>
  <c r="T222" i="1" s="1"/>
  <c r="BT222" i="1"/>
  <c r="CA222" i="1"/>
  <c r="BS220" i="1"/>
  <c r="BS224" i="1" s="1"/>
  <c r="N5" i="12"/>
  <c r="N6" i="12" s="1"/>
  <c r="W203" i="10"/>
  <c r="O211" i="1"/>
  <c r="O203" i="10"/>
  <c r="Z204" i="10"/>
  <c r="Z203" i="10"/>
  <c r="BO190" i="1"/>
  <c r="W204" i="10"/>
  <c r="X8" i="10"/>
  <c r="X166" i="10" s="1"/>
  <c r="X9" i="10"/>
  <c r="X167" i="10" s="1"/>
  <c r="O204" i="10"/>
  <c r="O184" i="10"/>
  <c r="C8" i="12" s="1"/>
  <c r="O8" i="10"/>
  <c r="O166" i="10" s="1"/>
  <c r="W6" i="10"/>
  <c r="W7" i="10"/>
  <c r="W8" i="10"/>
  <c r="W166" i="10" s="1"/>
  <c r="W9" i="10"/>
  <c r="W167" i="10" s="1"/>
  <c r="X6" i="10"/>
  <c r="X7" i="10"/>
  <c r="Z184" i="10"/>
  <c r="N8" i="12" s="1"/>
  <c r="W185" i="10"/>
  <c r="K9" i="12" s="1"/>
  <c r="O7" i="10"/>
  <c r="O9" i="10"/>
  <c r="O167" i="10" s="1"/>
  <c r="Z185" i="10"/>
  <c r="N9" i="12" s="1"/>
  <c r="W184" i="10"/>
  <c r="K8" i="12" s="1"/>
  <c r="O185" i="10"/>
  <c r="C9" i="12" s="1"/>
  <c r="CI209" i="1"/>
  <c r="BK209" i="1"/>
  <c r="BJ209" i="1"/>
  <c r="BK208" i="1"/>
  <c r="BJ208" i="1"/>
  <c r="AK209" i="1"/>
  <c r="AJ209" i="1"/>
  <c r="CN186" i="1"/>
  <c r="CO186" i="1"/>
  <c r="CP186" i="1"/>
  <c r="CP189" i="1" s="1"/>
  <c r="CQ186" i="1"/>
  <c r="CN187" i="1"/>
  <c r="CQ187" i="1"/>
  <c r="CQ190" i="1" s="1"/>
  <c r="CQ212" i="1" s="1"/>
  <c r="CP187" i="1"/>
  <c r="CP190" i="1" s="1"/>
  <c r="CO187" i="1"/>
  <c r="BZ187" i="1"/>
  <c r="BZ190" i="1" s="1"/>
  <c r="BZ212" i="1" s="1"/>
  <c r="BY187" i="1"/>
  <c r="BZ186" i="1"/>
  <c r="BZ189" i="1" s="1"/>
  <c r="BZ211" i="1" s="1"/>
  <c r="BY186" i="1"/>
  <c r="BS190" i="1"/>
  <c r="BS212" i="1" s="1"/>
  <c r="BS186" i="1"/>
  <c r="BS189" i="1" s="1"/>
  <c r="BS211" i="1" s="1"/>
  <c r="BR186" i="1"/>
  <c r="BR189" i="1" s="1"/>
  <c r="BR211" i="1" s="1"/>
  <c r="AF187" i="1"/>
  <c r="AF190" i="1" s="1"/>
  <c r="AE187" i="1"/>
  <c r="AE190" i="1" s="1"/>
  <c r="AF186" i="1"/>
  <c r="AF189" i="1" s="1"/>
  <c r="AE186" i="1"/>
  <c r="AE189" i="1" s="1"/>
  <c r="Z187" i="1"/>
  <c r="Y187" i="1"/>
  <c r="Z186" i="1"/>
  <c r="Y186" i="1"/>
  <c r="T187" i="1"/>
  <c r="T190" i="1" s="1"/>
  <c r="T212" i="1" s="1"/>
  <c r="S187" i="1"/>
  <c r="S190" i="1" s="1"/>
  <c r="T186" i="1"/>
  <c r="T189" i="1" s="1"/>
  <c r="S186" i="1"/>
  <c r="BR190" i="1"/>
  <c r="BR212" i="1" s="1"/>
  <c r="AK90" i="1"/>
  <c r="AJ90" i="1"/>
  <c r="AK89" i="1"/>
  <c r="AJ89" i="1"/>
  <c r="AK88" i="1"/>
  <c r="AJ88" i="1"/>
  <c r="AK87" i="1"/>
  <c r="AJ87" i="1"/>
  <c r="AK168" i="1"/>
  <c r="AJ168" i="1"/>
  <c r="AK167" i="1"/>
  <c r="AJ167" i="1"/>
  <c r="C4" i="12" l="1"/>
  <c r="L5" i="12"/>
  <c r="L6" i="12" s="1"/>
  <c r="L4" i="12"/>
  <c r="K4" i="12"/>
  <c r="K5" i="12"/>
  <c r="K6" i="12" s="1"/>
  <c r="Y189" i="1"/>
  <c r="Y211" i="1" s="1"/>
  <c r="AR190" i="1"/>
  <c r="AR212" i="1" s="1"/>
  <c r="Z189" i="1"/>
  <c r="Z211" i="1" s="1"/>
  <c r="BK187" i="1"/>
  <c r="BK190" i="1" s="1"/>
  <c r="BK212" i="1" s="1"/>
  <c r="Z190" i="1"/>
  <c r="Z212" i="1" s="1"/>
  <c r="CH186" i="1"/>
  <c r="CH187" i="1"/>
  <c r="CI187" i="1"/>
  <c r="CI190" i="1" s="1"/>
  <c r="CI212" i="1" s="1"/>
  <c r="AK208" i="1"/>
  <c r="CH208" i="1"/>
  <c r="CH209" i="1"/>
  <c r="BD190" i="1"/>
  <c r="BD212" i="1" s="1"/>
  <c r="Y190" i="1"/>
  <c r="Y212" i="1" s="1"/>
  <c r="AQ189" i="1"/>
  <c r="AQ211" i="1" s="1"/>
  <c r="CI186" i="1"/>
  <c r="AJ208" i="1"/>
  <c r="CI208" i="1"/>
  <c r="AQ190" i="1"/>
  <c r="AQ212" i="1" s="1"/>
  <c r="Z188" i="10"/>
  <c r="Z187" i="10"/>
  <c r="AJ189" i="1"/>
  <c r="BC189" i="1"/>
  <c r="BD189" i="1"/>
  <c r="BJ187" i="1"/>
  <c r="BJ186" i="1"/>
  <c r="BJ189" i="1" s="1"/>
  <c r="BJ211" i="1" s="1"/>
  <c r="BK186" i="1"/>
  <c r="BK189" i="1" s="1"/>
  <c r="BK211" i="1" s="1"/>
  <c r="AJ190" i="1"/>
  <c r="AJ212" i="1" s="1"/>
  <c r="AK189" i="1"/>
  <c r="AK190" i="1"/>
  <c r="AK212" i="1" s="1"/>
  <c r="S189" i="1"/>
  <c r="S211" i="1" s="1"/>
  <c r="AF211" i="1"/>
  <c r="BY189" i="1"/>
  <c r="BY211" i="1" s="1"/>
  <c r="BY190" i="1"/>
  <c r="BY212" i="1" s="1"/>
  <c r="AE211" i="1"/>
  <c r="AR189" i="1"/>
  <c r="AR211" i="1" s="1"/>
  <c r="AF212" i="1"/>
  <c r="AE212" i="1"/>
  <c r="CP211" i="1"/>
  <c r="CP212" i="1"/>
  <c r="T211" i="1"/>
  <c r="S212" i="1"/>
  <c r="CQ189" i="1"/>
  <c r="CQ211" i="1" s="1"/>
  <c r="BI209" i="1"/>
  <c r="BH209" i="1"/>
  <c r="BI208" i="1"/>
  <c r="BH208" i="1"/>
  <c r="V177" i="10"/>
  <c r="V175" i="10"/>
  <c r="C5" i="12" l="1"/>
  <c r="C6" i="12" s="1"/>
  <c r="AK211" i="1"/>
  <c r="W187" i="10"/>
  <c r="W206" i="10" s="1"/>
  <c r="X187" i="10"/>
  <c r="L11" i="12" s="1"/>
  <c r="X188" i="10"/>
  <c r="X207" i="10" s="1"/>
  <c r="W188" i="10"/>
  <c r="K12" i="12" s="1"/>
  <c r="K13" i="12" s="1"/>
  <c r="O188" i="10"/>
  <c r="C12" i="12" s="1"/>
  <c r="Z207" i="10"/>
  <c r="N12" i="12"/>
  <c r="N13" i="12" s="1"/>
  <c r="Z206" i="10"/>
  <c r="N11" i="12"/>
  <c r="BC211" i="1"/>
  <c r="AJ211" i="1"/>
  <c r="CH190" i="1"/>
  <c r="CH212" i="1" s="1"/>
  <c r="CI189" i="1"/>
  <c r="CI211" i="1" s="1"/>
  <c r="CH189" i="1"/>
  <c r="CH211" i="1" s="1"/>
  <c r="U181" i="10"/>
  <c r="BD211" i="1"/>
  <c r="V8" i="10"/>
  <c r="V166" i="10" s="1"/>
  <c r="V9" i="10"/>
  <c r="V167" i="10" s="1"/>
  <c r="V178" i="10"/>
  <c r="V182" i="10"/>
  <c r="BG208" i="1"/>
  <c r="BK221" i="1" s="1"/>
  <c r="BL221" i="1" s="1"/>
  <c r="BG209" i="1"/>
  <c r="U179" i="10"/>
  <c r="AW220" i="1"/>
  <c r="U180" i="10"/>
  <c r="U182" i="10"/>
  <c r="U183" i="10"/>
  <c r="U199" i="10"/>
  <c r="U200" i="10"/>
  <c r="U201" i="10"/>
  <c r="U202" i="10"/>
  <c r="O187" i="10"/>
  <c r="C11" i="12" s="1"/>
  <c r="U193" i="10"/>
  <c r="AW221" i="1"/>
  <c r="AX221" i="1" s="1"/>
  <c r="U194" i="10"/>
  <c r="V180" i="10"/>
  <c r="BC190" i="1"/>
  <c r="BC212" i="1" s="1"/>
  <c r="BJ190" i="1"/>
  <c r="BJ212" i="1" s="1"/>
  <c r="V6" i="10"/>
  <c r="V7" i="10"/>
  <c r="U6" i="10"/>
  <c r="U166" i="10" s="1"/>
  <c r="U7" i="10"/>
  <c r="U167" i="10" s="1"/>
  <c r="U8" i="10"/>
  <c r="U9" i="10"/>
  <c r="U173" i="10"/>
  <c r="U175" i="10"/>
  <c r="U177" i="10"/>
  <c r="U178" i="10"/>
  <c r="V179" i="10"/>
  <c r="V181" i="10"/>
  <c r="V183" i="10"/>
  <c r="V193" i="10"/>
  <c r="V194" i="10"/>
  <c r="V199" i="10"/>
  <c r="V200" i="10"/>
  <c r="V201" i="10"/>
  <c r="V202" i="10"/>
  <c r="CF209" i="1"/>
  <c r="Y181" i="10"/>
  <c r="T173" i="10"/>
  <c r="S194" i="10"/>
  <c r="AL90" i="1"/>
  <c r="AI90" i="1"/>
  <c r="AH90" i="1"/>
  <c r="AL89" i="1"/>
  <c r="AI89" i="1"/>
  <c r="AH89" i="1"/>
  <c r="AL88" i="1"/>
  <c r="AL168" i="1" s="1"/>
  <c r="AI88" i="1"/>
  <c r="AH88" i="1"/>
  <c r="AL87" i="1"/>
  <c r="AL167" i="1" s="1"/>
  <c r="AI87" i="1"/>
  <c r="AI167" i="1" s="1"/>
  <c r="AH87" i="1"/>
  <c r="AI168" i="1"/>
  <c r="AH168" i="1"/>
  <c r="AH167" i="1"/>
  <c r="R8" i="10"/>
  <c r="AL209" i="1"/>
  <c r="AI209" i="1"/>
  <c r="AH209" i="1"/>
  <c r="AL208" i="1"/>
  <c r="P89" i="10"/>
  <c r="P88" i="10"/>
  <c r="P87" i="10"/>
  <c r="P86" i="10"/>
  <c r="P85" i="10"/>
  <c r="P84" i="10"/>
  <c r="P83" i="10"/>
  <c r="P82" i="10"/>
  <c r="P81" i="10"/>
  <c r="P80" i="10"/>
  <c r="P79" i="10"/>
  <c r="P78" i="10"/>
  <c r="P77" i="10"/>
  <c r="P76" i="10"/>
  <c r="P75" i="10"/>
  <c r="P74" i="10"/>
  <c r="P73" i="10"/>
  <c r="P72" i="10"/>
  <c r="P71" i="10"/>
  <c r="P70" i="10"/>
  <c r="P69" i="10"/>
  <c r="P68" i="10"/>
  <c r="W187" i="1"/>
  <c r="W186" i="1"/>
  <c r="P177" i="10"/>
  <c r="P175" i="10"/>
  <c r="P173" i="10"/>
  <c r="I5" i="12" l="1"/>
  <c r="I6" i="12" s="1"/>
  <c r="I4" i="12"/>
  <c r="BD222" i="1"/>
  <c r="AW222" i="1"/>
  <c r="AX222" i="1" s="1"/>
  <c r="AX220" i="1"/>
  <c r="C13" i="12"/>
  <c r="C15" i="12"/>
  <c r="O15" i="12" s="1"/>
  <c r="C16" i="12"/>
  <c r="O16" i="12" s="1"/>
  <c r="K11" i="12"/>
  <c r="J4" i="12"/>
  <c r="R71" i="10"/>
  <c r="AA71" i="10" s="1"/>
  <c r="R75" i="10"/>
  <c r="AA75" i="10" s="1"/>
  <c r="R79" i="10"/>
  <c r="AA79" i="10" s="1"/>
  <c r="R83" i="10"/>
  <c r="AA83" i="10" s="1"/>
  <c r="R87" i="10"/>
  <c r="X206" i="10"/>
  <c r="R74" i="10"/>
  <c r="AA74" i="10" s="1"/>
  <c r="R70" i="10"/>
  <c r="AA70" i="10" s="1"/>
  <c r="R78" i="10"/>
  <c r="AA78" i="10" s="1"/>
  <c r="R82" i="10"/>
  <c r="AA82" i="10" s="1"/>
  <c r="R86" i="10"/>
  <c r="AA86" i="10" s="1"/>
  <c r="BD221" i="1"/>
  <c r="AA87" i="10"/>
  <c r="W207" i="10"/>
  <c r="O207" i="10"/>
  <c r="L12" i="12"/>
  <c r="L13" i="12" s="1"/>
  <c r="BD220" i="1"/>
  <c r="BD224" i="1" s="1"/>
  <c r="J5" i="12"/>
  <c r="J6" i="12" s="1"/>
  <c r="R68" i="10"/>
  <c r="AA68" i="10" s="1"/>
  <c r="R72" i="10"/>
  <c r="AA72" i="10" s="1"/>
  <c r="R76" i="10"/>
  <c r="AA76" i="10" s="1"/>
  <c r="R80" i="10"/>
  <c r="AA80" i="10" s="1"/>
  <c r="R84" i="10"/>
  <c r="AA84" i="10" s="1"/>
  <c r="R88" i="10"/>
  <c r="AA88" i="10" s="1"/>
  <c r="BE222" i="1"/>
  <c r="BK222" i="1"/>
  <c r="BL222" i="1" s="1"/>
  <c r="AF222" i="1"/>
  <c r="AK222" i="1"/>
  <c r="AL222" i="1" s="1"/>
  <c r="R69" i="10"/>
  <c r="AA69" i="10" s="1"/>
  <c r="R73" i="10"/>
  <c r="AA73" i="10" s="1"/>
  <c r="R77" i="10"/>
  <c r="AA77" i="10" s="1"/>
  <c r="R81" i="10"/>
  <c r="AA81" i="10" s="1"/>
  <c r="R85" i="10"/>
  <c r="AA85" i="10" s="1"/>
  <c r="R89" i="10"/>
  <c r="AA89" i="10" s="1"/>
  <c r="U204" i="10"/>
  <c r="BE221" i="1"/>
  <c r="P66" i="10"/>
  <c r="P67" i="10"/>
  <c r="R66" i="10"/>
  <c r="R67" i="10"/>
  <c r="X187" i="1"/>
  <c r="X190" i="1" s="1"/>
  <c r="X212" i="1" s="1"/>
  <c r="CG209" i="1"/>
  <c r="V184" i="10"/>
  <c r="J8" i="12" s="1"/>
  <c r="U203" i="10"/>
  <c r="R181" i="10"/>
  <c r="R182" i="10"/>
  <c r="R183" i="10"/>
  <c r="R9" i="10"/>
  <c r="S201" i="10"/>
  <c r="Y202" i="10"/>
  <c r="J201" i="10" s="1"/>
  <c r="CG208" i="1"/>
  <c r="U184" i="10"/>
  <c r="I8" i="12" s="1"/>
  <c r="P200" i="10"/>
  <c r="P202" i="10"/>
  <c r="V187" i="1"/>
  <c r="AH208" i="1"/>
  <c r="AI208" i="1"/>
  <c r="S202" i="10"/>
  <c r="Y182" i="10"/>
  <c r="Y183" i="10"/>
  <c r="Y201" i="10"/>
  <c r="I201" i="10" s="1"/>
  <c r="X186" i="1"/>
  <c r="Y219" i="1" s="1"/>
  <c r="V189" i="1"/>
  <c r="R179" i="10"/>
  <c r="S193" i="10"/>
  <c r="Y179" i="10"/>
  <c r="CF208" i="1"/>
  <c r="Y199" i="10"/>
  <c r="I199" i="10" s="1"/>
  <c r="Y200" i="10"/>
  <c r="J199" i="10" s="1"/>
  <c r="O206" i="10"/>
  <c r="P199" i="10"/>
  <c r="P201" i="10"/>
  <c r="P193" i="10"/>
  <c r="P194" i="10"/>
  <c r="P178" i="10"/>
  <c r="P180" i="10"/>
  <c r="W189" i="1"/>
  <c r="S179" i="10"/>
  <c r="T180" i="10"/>
  <c r="Y193" i="10"/>
  <c r="CE208" i="1"/>
  <c r="Y194" i="10"/>
  <c r="CE209" i="1"/>
  <c r="T193" i="10"/>
  <c r="T194" i="10"/>
  <c r="T199" i="10"/>
  <c r="T200" i="10"/>
  <c r="T201" i="10"/>
  <c r="T202" i="10"/>
  <c r="T175" i="10"/>
  <c r="T177" i="10"/>
  <c r="T178" i="10"/>
  <c r="S181" i="10"/>
  <c r="S199" i="10"/>
  <c r="S200" i="10"/>
  <c r="V204" i="10"/>
  <c r="V203" i="10"/>
  <c r="U185" i="10"/>
  <c r="I9" i="12" s="1"/>
  <c r="R6" i="10"/>
  <c r="R7" i="10"/>
  <c r="P179" i="10"/>
  <c r="P181" i="10"/>
  <c r="P182" i="10"/>
  <c r="P183" i="10"/>
  <c r="P8" i="10"/>
  <c r="P166" i="10" s="1"/>
  <c r="P9" i="10"/>
  <c r="P167" i="10" s="1"/>
  <c r="R193" i="10"/>
  <c r="R194" i="10"/>
  <c r="R199" i="10"/>
  <c r="R200" i="10"/>
  <c r="R201" i="10"/>
  <c r="R202" i="10"/>
  <c r="R173" i="10"/>
  <c r="R175" i="10"/>
  <c r="R177" i="10"/>
  <c r="R178" i="10"/>
  <c r="R180" i="10"/>
  <c r="S6" i="10"/>
  <c r="S7" i="10"/>
  <c r="S8" i="10"/>
  <c r="S166" i="10" s="1"/>
  <c r="S9" i="10"/>
  <c r="S167" i="10" s="1"/>
  <c r="S173" i="10"/>
  <c r="S175" i="10"/>
  <c r="S177" i="10"/>
  <c r="S178" i="10"/>
  <c r="S180" i="10"/>
  <c r="S182" i="10"/>
  <c r="S183" i="10"/>
  <c r="T179" i="10"/>
  <c r="T181" i="10"/>
  <c r="T182" i="10"/>
  <c r="T183" i="10"/>
  <c r="T6" i="10"/>
  <c r="T7" i="10"/>
  <c r="T8" i="10"/>
  <c r="T166" i="10" s="1"/>
  <c r="T9" i="10"/>
  <c r="T167" i="10" s="1"/>
  <c r="Y6" i="10"/>
  <c r="Y7" i="10"/>
  <c r="Y8" i="10"/>
  <c r="Y166" i="10" s="1"/>
  <c r="Y9" i="10"/>
  <c r="Y167" i="10" s="1"/>
  <c r="Y173" i="10"/>
  <c r="Y175" i="10"/>
  <c r="Y177" i="10"/>
  <c r="Y178" i="10"/>
  <c r="Y180" i="10"/>
  <c r="R167" i="10" l="1"/>
  <c r="F5" i="12" s="1"/>
  <c r="R166" i="10"/>
  <c r="F4" i="12" s="1"/>
  <c r="AW224" i="1"/>
  <c r="AX224" i="1" s="1"/>
  <c r="Z219" i="1"/>
  <c r="Y223" i="1"/>
  <c r="Z223" i="1" s="1"/>
  <c r="Y220" i="1"/>
  <c r="T203" i="10"/>
  <c r="AK217" i="1"/>
  <c r="AL217" i="1" s="1"/>
  <c r="D4" i="12"/>
  <c r="V187" i="10"/>
  <c r="J11" i="12" s="1"/>
  <c r="AK218" i="1"/>
  <c r="AL218" i="1" s="1"/>
  <c r="AK221" i="1"/>
  <c r="AL221" i="1" s="1"/>
  <c r="CB222" i="1"/>
  <c r="CI222" i="1"/>
  <c r="CJ222" i="1" s="1"/>
  <c r="D5" i="12"/>
  <c r="D6" i="12" s="1"/>
  <c r="CB221" i="1"/>
  <c r="CI221" i="1"/>
  <c r="CJ221" i="1" s="1"/>
  <c r="X189" i="1"/>
  <c r="X211" i="1" s="1"/>
  <c r="AF221" i="1"/>
  <c r="AF218" i="1"/>
  <c r="AF217" i="1"/>
  <c r="AA67" i="10"/>
  <c r="AA66" i="10"/>
  <c r="H5" i="12"/>
  <c r="H4" i="12"/>
  <c r="F33" i="12" s="1"/>
  <c r="G5" i="12"/>
  <c r="G4" i="12"/>
  <c r="M4" i="12"/>
  <c r="M5" i="12"/>
  <c r="M6" i="12" s="1"/>
  <c r="W211" i="1"/>
  <c r="S204" i="10"/>
  <c r="Y204" i="10"/>
  <c r="S203" i="10"/>
  <c r="J193" i="10"/>
  <c r="J203" i="10" s="1"/>
  <c r="U187" i="10"/>
  <c r="P203" i="10"/>
  <c r="Y203" i="10"/>
  <c r="P184" i="10"/>
  <c r="D8" i="12" s="1"/>
  <c r="T184" i="10"/>
  <c r="H8" i="12" s="1"/>
  <c r="F34" i="12" s="1"/>
  <c r="I193" i="10"/>
  <c r="I203" i="10" s="1"/>
  <c r="I207" i="10" s="1"/>
  <c r="P204" i="10"/>
  <c r="AA9" i="10"/>
  <c r="AA8" i="10"/>
  <c r="AA7" i="10"/>
  <c r="AA6" i="10"/>
  <c r="T204" i="10"/>
  <c r="U188" i="10"/>
  <c r="R204" i="10"/>
  <c r="T185" i="10"/>
  <c r="H9" i="12" s="1"/>
  <c r="G34" i="12" s="1"/>
  <c r="R203" i="10"/>
  <c r="P185" i="10"/>
  <c r="D9" i="12" s="1"/>
  <c r="Y185" i="10"/>
  <c r="M9" i="12" s="1"/>
  <c r="S184" i="10"/>
  <c r="G8" i="12" s="1"/>
  <c r="S185" i="10"/>
  <c r="G9" i="12" s="1"/>
  <c r="R185" i="10"/>
  <c r="F9" i="12" s="1"/>
  <c r="V173" i="10"/>
  <c r="V185" i="10" s="1"/>
  <c r="Y184" i="10"/>
  <c r="M8" i="12" s="1"/>
  <c r="R184" i="10"/>
  <c r="F8" i="12" s="1"/>
  <c r="B65" i="8"/>
  <c r="B74" i="8" s="1"/>
  <c r="B84" i="8" s="1"/>
  <c r="B94" i="8" s="1"/>
  <c r="B104" i="8" s="1"/>
  <c r="B114" i="8" s="1"/>
  <c r="B124" i="8" s="1"/>
  <c r="H6" i="12" l="1"/>
  <c r="G33" i="12"/>
  <c r="G6" i="12"/>
  <c r="F6" i="12"/>
  <c r="Z220" i="1"/>
  <c r="Y224" i="1"/>
  <c r="Z224" i="1" s="1"/>
  <c r="V206" i="10"/>
  <c r="T187" i="10"/>
  <c r="H11" i="12" s="1"/>
  <c r="V191" i="1"/>
  <c r="V188" i="10"/>
  <c r="J9" i="12"/>
  <c r="U206" i="10"/>
  <c r="I11" i="12"/>
  <c r="P188" i="10"/>
  <c r="P187" i="10"/>
  <c r="U207" i="10"/>
  <c r="I12" i="12"/>
  <c r="I13" i="12" s="1"/>
  <c r="Y187" i="10"/>
  <c r="AA166" i="10"/>
  <c r="AA167" i="10"/>
  <c r="Y188" i="10"/>
  <c r="S188" i="10"/>
  <c r="T188" i="10"/>
  <c r="AA185" i="10"/>
  <c r="R187" i="10"/>
  <c r="S187" i="10"/>
  <c r="R188" i="10"/>
  <c r="AI132" i="8"/>
  <c r="AH132" i="8"/>
  <c r="AI131" i="8"/>
  <c r="AH131" i="8"/>
  <c r="AI127" i="8"/>
  <c r="AH127" i="8"/>
  <c r="AI126" i="8"/>
  <c r="AI123" i="8" s="1"/>
  <c r="AH126" i="8"/>
  <c r="AI122" i="8"/>
  <c r="AH122" i="8"/>
  <c r="AI121" i="8"/>
  <c r="AH121" i="8"/>
  <c r="AI117" i="8"/>
  <c r="AH117" i="8"/>
  <c r="AI116" i="8"/>
  <c r="AI113" i="8" s="1"/>
  <c r="AH116" i="8"/>
  <c r="AI112" i="8"/>
  <c r="AI111" i="8"/>
  <c r="AI107" i="8"/>
  <c r="AI106" i="8"/>
  <c r="AI103" i="8" s="1"/>
  <c r="A62" i="6"/>
  <c r="A79" i="6" s="1"/>
  <c r="AI102" i="8"/>
  <c r="AI101" i="8"/>
  <c r="AI97" i="8"/>
  <c r="AI96" i="8"/>
  <c r="AI93" i="8" s="1"/>
  <c r="AI92" i="8"/>
  <c r="AH92" i="8"/>
  <c r="AI91" i="8"/>
  <c r="AH91" i="8"/>
  <c r="AI87" i="8"/>
  <c r="AH87" i="8"/>
  <c r="AH86" i="8"/>
  <c r="AI82" i="8"/>
  <c r="AH82" i="8"/>
  <c r="AI81" i="8"/>
  <c r="AH81" i="8"/>
  <c r="AI77" i="8"/>
  <c r="AH77" i="8"/>
  <c r="AH76" i="8"/>
  <c r="AI72" i="8"/>
  <c r="AH72" i="8"/>
  <c r="AI71" i="8"/>
  <c r="AH71" i="8"/>
  <c r="AI68" i="8"/>
  <c r="AH68" i="8"/>
  <c r="AH67" i="8"/>
  <c r="AI63" i="8"/>
  <c r="AH63" i="8"/>
  <c r="AI59" i="8"/>
  <c r="AH59" i="8"/>
  <c r="AH58" i="8"/>
  <c r="T206" i="10" l="1"/>
  <c r="R206" i="10"/>
  <c r="F11" i="12"/>
  <c r="S206" i="10"/>
  <c r="G11" i="12"/>
  <c r="S207" i="10"/>
  <c r="G12" i="12"/>
  <c r="G13" i="12" s="1"/>
  <c r="Y206" i="10"/>
  <c r="M11" i="12"/>
  <c r="D12" i="12"/>
  <c r="P207" i="10"/>
  <c r="Y207" i="10"/>
  <c r="M12" i="12"/>
  <c r="M13" i="12" s="1"/>
  <c r="R207" i="10"/>
  <c r="F12" i="12"/>
  <c r="F13" i="12" s="1"/>
  <c r="T207" i="10"/>
  <c r="H12" i="12"/>
  <c r="H13" i="12" s="1"/>
  <c r="D11" i="12"/>
  <c r="P206" i="10"/>
  <c r="V207" i="10"/>
  <c r="J12" i="12"/>
  <c r="J13" i="12" s="1"/>
  <c r="AA188" i="10"/>
  <c r="AA187" i="10"/>
  <c r="O11" i="12" l="1"/>
  <c r="O12" i="12"/>
  <c r="AA206" i="10"/>
  <c r="D13" i="12"/>
  <c r="Q187" i="1"/>
  <c r="AC187" i="1"/>
  <c r="AC186" i="1"/>
  <c r="AC189" i="1" l="1"/>
  <c r="AL189" i="1"/>
  <c r="AL211" i="1" s="1"/>
  <c r="Q190" i="1"/>
  <c r="Q212" i="1" s="1"/>
  <c r="W190" i="1"/>
  <c r="W212" i="1" s="1"/>
  <c r="Q186" i="1"/>
  <c r="Q189" i="1" s="1"/>
  <c r="AU190" i="1"/>
  <c r="AU212" i="1" s="1"/>
  <c r="AU189" i="1"/>
  <c r="AU211" i="1" s="1"/>
  <c r="AO190" i="1"/>
  <c r="AO212" i="1" s="1"/>
  <c r="AO189" i="1"/>
  <c r="AO211" i="1" s="1"/>
  <c r="AL190" i="1"/>
  <c r="AL212" i="1" s="1"/>
  <c r="AC190" i="1"/>
  <c r="AC212" i="1" s="1"/>
  <c r="H211" i="1" l="1"/>
  <c r="I211" i="1"/>
  <c r="AC211" i="1"/>
  <c r="Q211" i="1"/>
  <c r="BQ186" i="1" l="1"/>
  <c r="BQ189" i="1" l="1"/>
  <c r="BQ211" i="1" s="1"/>
  <c r="BQ190" i="1"/>
  <c r="BQ212" i="1" s="1"/>
  <c r="BI186" i="1" l="1"/>
  <c r="BI187" i="1"/>
  <c r="BB190" i="1"/>
  <c r="BB212" i="1" l="1"/>
  <c r="BI190" i="1"/>
  <c r="BI212" i="1" s="1"/>
  <c r="BI189" i="1"/>
  <c r="BI211" i="1" s="1"/>
  <c r="BB189" i="1" l="1"/>
  <c r="BB211" i="1" s="1"/>
  <c r="AB187" i="1" l="1"/>
  <c r="AK220" i="1" l="1"/>
  <c r="AK224" i="1" l="1"/>
  <c r="AL224" i="1" s="1"/>
  <c r="AL220" i="1"/>
  <c r="AK219" i="1"/>
  <c r="AI190" i="1"/>
  <c r="AK223" i="1" l="1"/>
  <c r="AL223" i="1" s="1"/>
  <c r="AL219" i="1"/>
  <c r="AI189" i="1"/>
  <c r="AB186" i="1"/>
  <c r="AG187" i="1"/>
  <c r="AD187" i="1"/>
  <c r="AE220" i="1" l="1"/>
  <c r="AE224" i="1" s="1"/>
  <c r="AF224" i="1" s="1"/>
  <c r="AB189" i="1"/>
  <c r="AD186" i="1"/>
  <c r="AG186" i="1"/>
  <c r="AE219" i="1" l="1"/>
  <c r="AF220" i="1"/>
  <c r="AG189" i="1"/>
  <c r="AD189" i="1"/>
  <c r="AB211" i="1"/>
  <c r="CF186" i="1"/>
  <c r="CE186" i="1"/>
  <c r="AI212" i="1"/>
  <c r="AG190" i="1"/>
  <c r="AG212" i="1" s="1"/>
  <c r="AD190" i="1"/>
  <c r="AD212" i="1" s="1"/>
  <c r="BH187" i="1"/>
  <c r="BG187" i="1"/>
  <c r="BP186" i="1"/>
  <c r="BO186" i="1"/>
  <c r="BH186" i="1"/>
  <c r="BG186" i="1"/>
  <c r="CA187" i="1"/>
  <c r="CA190" i="1" s="1"/>
  <c r="BX187" i="1"/>
  <c r="BW190" i="1"/>
  <c r="CA186" i="1"/>
  <c r="CA189" i="1" s="1"/>
  <c r="BX186" i="1"/>
  <c r="CN190" i="1"/>
  <c r="CM187" i="1"/>
  <c r="CQ220" i="1" s="1"/>
  <c r="CQ224" i="1" s="1"/>
  <c r="CM186" i="1"/>
  <c r="CQ219" i="1" s="1"/>
  <c r="CO190" i="1"/>
  <c r="BA190" i="1"/>
  <c r="AW219" i="1"/>
  <c r="AX219" i="1" l="1"/>
  <c r="AW223" i="1"/>
  <c r="AX223" i="1" s="1"/>
  <c r="AE223" i="1"/>
  <c r="AF223" i="1" s="1"/>
  <c r="AF219" i="1"/>
  <c r="AB191" i="1"/>
  <c r="CA220" i="1"/>
  <c r="CA224" i="1" s="1"/>
  <c r="BS219" i="1"/>
  <c r="BS223" i="1" s="1"/>
  <c r="BD219" i="1"/>
  <c r="BD223" i="1" s="1"/>
  <c r="BE223" i="1" s="1"/>
  <c r="CQ223" i="1"/>
  <c r="CR223" i="1" s="1"/>
  <c r="CR219" i="1"/>
  <c r="BK219" i="1"/>
  <c r="BK223" i="1" s="1"/>
  <c r="BL223" i="1" s="1"/>
  <c r="BK220" i="1"/>
  <c r="BK224" i="1" s="1"/>
  <c r="BL224" i="1" s="1"/>
  <c r="CA219" i="1"/>
  <c r="CA223" i="1" s="1"/>
  <c r="CB223" i="1" s="1"/>
  <c r="BP189" i="1"/>
  <c r="BP211" i="1" s="1"/>
  <c r="BE220" i="1"/>
  <c r="BE224" i="1"/>
  <c r="CF189" i="1"/>
  <c r="CF211" i="1" s="1"/>
  <c r="BX189" i="1"/>
  <c r="BX211" i="1" s="1"/>
  <c r="BX190" i="1"/>
  <c r="BW192" i="1" s="1"/>
  <c r="BG189" i="1"/>
  <c r="BG211" i="1" s="1"/>
  <c r="CM190" i="1"/>
  <c r="CM212" i="1" s="1"/>
  <c r="AD211" i="1"/>
  <c r="BW189" i="1"/>
  <c r="CE189" i="1"/>
  <c r="CE211" i="1" s="1"/>
  <c r="BG190" i="1"/>
  <c r="CE187" i="1"/>
  <c r="CF187" i="1"/>
  <c r="CG186" i="1"/>
  <c r="CI219" i="1" s="1"/>
  <c r="CI223" i="1" s="1"/>
  <c r="BW212" i="1"/>
  <c r="CA212" i="1"/>
  <c r="CG187" i="1"/>
  <c r="CG190" i="1" s="1"/>
  <c r="BO212" i="1"/>
  <c r="BP190" i="1"/>
  <c r="BP212" i="1" s="1"/>
  <c r="CA211" i="1"/>
  <c r="AZ190" i="1"/>
  <c r="AZ212" i="1" s="1"/>
  <c r="BO189" i="1"/>
  <c r="BO211" i="1" s="1"/>
  <c r="V190" i="1"/>
  <c r="V212" i="1" s="1"/>
  <c r="AZ211" i="1"/>
  <c r="CN189" i="1"/>
  <c r="CN211" i="1" s="1"/>
  <c r="CN212" i="1"/>
  <c r="CM189" i="1"/>
  <c r="CM211" i="1" s="1"/>
  <c r="BA189" i="1"/>
  <c r="BA211" i="1" s="1"/>
  <c r="BA212" i="1"/>
  <c r="CO189" i="1"/>
  <c r="CO211" i="1" s="1"/>
  <c r="CO212" i="1"/>
  <c r="BH189" i="1"/>
  <c r="BH211" i="1" s="1"/>
  <c r="BH190" i="1"/>
  <c r="BH212" i="1" s="1"/>
  <c r="AP189" i="1"/>
  <c r="AP211" i="1" s="1"/>
  <c r="AV189" i="1"/>
  <c r="AV211" i="1" s="1"/>
  <c r="AY189" i="1"/>
  <c r="AY211" i="1" s="1"/>
  <c r="AP190" i="1"/>
  <c r="AP212" i="1" s="1"/>
  <c r="AV190" i="1"/>
  <c r="AV212" i="1" s="1"/>
  <c r="AY190" i="1"/>
  <c r="AY212" i="1" s="1"/>
  <c r="AI211" i="1"/>
  <c r="AH189" i="1"/>
  <c r="AH211" i="1" s="1"/>
  <c r="AH190" i="1"/>
  <c r="AH212" i="1" s="1"/>
  <c r="AG211" i="1"/>
  <c r="AB190" i="1"/>
  <c r="AB212" i="1" s="1"/>
  <c r="CU212" i="1" l="1"/>
  <c r="BL220" i="1"/>
  <c r="BE219" i="1"/>
  <c r="CB219" i="1"/>
  <c r="BX212" i="1"/>
  <c r="BW214" i="1" s="1"/>
  <c r="BL219" i="1"/>
  <c r="CI220" i="1"/>
  <c r="CI224" i="1" s="1"/>
  <c r="CJ219" i="1"/>
  <c r="CJ223" i="1"/>
  <c r="CF190" i="1"/>
  <c r="CF212" i="1" s="1"/>
  <c r="BT219" i="1"/>
  <c r="BT223" i="1"/>
  <c r="BT220" i="1"/>
  <c r="BT224" i="1"/>
  <c r="CM192" i="1"/>
  <c r="BW211" i="1"/>
  <c r="BW213" i="1" s="1"/>
  <c r="BW191" i="1"/>
  <c r="BG212" i="1"/>
  <c r="BG214" i="1" s="1"/>
  <c r="BG192" i="1"/>
  <c r="BO192" i="1"/>
  <c r="BG191" i="1"/>
  <c r="CG189" i="1"/>
  <c r="CG211" i="1" s="1"/>
  <c r="V214" i="1"/>
  <c r="V192" i="1"/>
  <c r="V211" i="1"/>
  <c r="V213" i="1" s="1"/>
  <c r="AT190" i="1"/>
  <c r="AT212" i="1" s="1"/>
  <c r="AT214" i="1" s="1"/>
  <c r="AT189" i="1"/>
  <c r="AT211" i="1" s="1"/>
  <c r="AT213" i="1" s="1"/>
  <c r="CE190" i="1"/>
  <c r="CE212" i="1" s="1"/>
  <c r="AB213" i="1"/>
  <c r="CG212" i="1"/>
  <c r="AZ192" i="1"/>
  <c r="AZ214" i="1"/>
  <c r="BG213" i="1"/>
  <c r="AZ191" i="1"/>
  <c r="CM191" i="1"/>
  <c r="BO214" i="1"/>
  <c r="CM213" i="1"/>
  <c r="CM214" i="1"/>
  <c r="AZ213" i="1"/>
  <c r="AN190" i="1"/>
  <c r="AN212" i="1" s="1"/>
  <c r="AN189" i="1"/>
  <c r="AN211" i="1" s="1"/>
  <c r="AN213" i="1" s="1"/>
  <c r="AH191" i="1"/>
  <c r="AH192" i="1"/>
  <c r="AH214" i="1"/>
  <c r="AH213" i="1"/>
  <c r="AB192" i="1"/>
  <c r="AB214" i="1"/>
  <c r="CB220" i="1" l="1"/>
  <c r="CB224" i="1"/>
  <c r="CJ220" i="1"/>
  <c r="CJ224" i="1"/>
  <c r="CE192" i="1"/>
  <c r="CE214" i="1"/>
  <c r="AT191" i="1"/>
  <c r="AT192" i="1"/>
  <c r="BO213" i="1"/>
  <c r="BO191" i="1"/>
  <c r="AN214" i="1"/>
  <c r="AN192" i="1"/>
  <c r="AN191" i="1"/>
  <c r="U187" i="1" l="1"/>
  <c r="R187" i="1" l="1"/>
  <c r="P187" i="1"/>
  <c r="S220" i="1" l="1"/>
  <c r="T220" i="1" s="1"/>
  <c r="S224" i="1" l="1"/>
  <c r="T224" i="1" s="1"/>
  <c r="CR220" i="1"/>
  <c r="CR224" i="1"/>
  <c r="P186" i="1"/>
  <c r="U186" i="1"/>
  <c r="R186" i="1"/>
  <c r="S219" i="1" l="1"/>
  <c r="T219" i="1" s="1"/>
  <c r="U189" i="1"/>
  <c r="U211" i="1" s="1"/>
  <c r="P189" i="1"/>
  <c r="P211" i="1" s="1"/>
  <c r="U190" i="1"/>
  <c r="U212" i="1" s="1"/>
  <c r="P190" i="1"/>
  <c r="P212" i="1" s="1"/>
  <c r="R190" i="1"/>
  <c r="R212" i="1" s="1"/>
  <c r="H212" i="1"/>
  <c r="R189" i="1"/>
  <c r="R211" i="1" s="1"/>
  <c r="S223" i="1" l="1"/>
  <c r="T223" i="1" s="1"/>
  <c r="O212" i="1"/>
  <c r="O192" i="1"/>
  <c r="I212" i="1"/>
  <c r="O191" i="1"/>
  <c r="O214" i="1" l="1"/>
  <c r="O213" i="1"/>
  <c r="I213" i="1"/>
  <c r="H213" i="1" l="1"/>
  <c r="CE213" i="1" l="1"/>
  <c r="CE191" i="1" l="1"/>
  <c r="AA207" i="10" l="1"/>
</calcChain>
</file>

<file path=xl/sharedStrings.xml><?xml version="1.0" encoding="utf-8"?>
<sst xmlns="http://schemas.openxmlformats.org/spreadsheetml/2006/main" count="6243" uniqueCount="1010">
  <si>
    <t>No.</t>
    <phoneticPr fontId="2"/>
  </si>
  <si>
    <t>案件</t>
    <rPh sb="0" eb="2">
      <t>アンケン</t>
    </rPh>
    <phoneticPr fontId="2"/>
  </si>
  <si>
    <t>案件管理コード（DAT)</t>
    <rPh sb="0" eb="2">
      <t>アンケン</t>
    </rPh>
    <rPh sb="2" eb="4">
      <t>カンリ</t>
    </rPh>
    <phoneticPr fontId="2"/>
  </si>
  <si>
    <t>案件管理コード（DIR-BI)</t>
    <rPh sb="0" eb="2">
      <t>アンケン</t>
    </rPh>
    <rPh sb="2" eb="4">
      <t>カンリ</t>
    </rPh>
    <phoneticPr fontId="2"/>
  </si>
  <si>
    <t>備考</t>
    <rPh sb="0" eb="2">
      <t>ビコウ</t>
    </rPh>
    <phoneticPr fontId="2"/>
  </si>
  <si>
    <t>工数（人月）</t>
    <rPh sb="0" eb="2">
      <t>コウスウ</t>
    </rPh>
    <rPh sb="3" eb="5">
      <t>ニンゲツ</t>
    </rPh>
    <phoneticPr fontId="2"/>
  </si>
  <si>
    <t>区分</t>
    <rPh sb="0" eb="2">
      <t>クブン</t>
    </rPh>
    <phoneticPr fontId="2"/>
  </si>
  <si>
    <t>着手日</t>
    <rPh sb="0" eb="2">
      <t>チャクシュ</t>
    </rPh>
    <rPh sb="2" eb="3">
      <t>ビ</t>
    </rPh>
    <phoneticPr fontId="2"/>
  </si>
  <si>
    <t>完了日</t>
    <rPh sb="0" eb="3">
      <t>カンリョウビ</t>
    </rPh>
    <phoneticPr fontId="2"/>
  </si>
  <si>
    <t>進捗
（％）</t>
    <rPh sb="0" eb="2">
      <t>シンチョク</t>
    </rPh>
    <phoneticPr fontId="2"/>
  </si>
  <si>
    <t>プロジェクト</t>
    <phoneticPr fontId="2"/>
  </si>
  <si>
    <t>定型</t>
    <phoneticPr fontId="2"/>
  </si>
  <si>
    <t>保守</t>
    <phoneticPr fontId="2"/>
  </si>
  <si>
    <t>ツール</t>
    <phoneticPr fontId="2"/>
  </si>
  <si>
    <t>その他</t>
  </si>
  <si>
    <t>その他</t>
    <phoneticPr fontId="2"/>
  </si>
  <si>
    <t>Division</t>
    <phoneticPr fontId="2"/>
  </si>
  <si>
    <t>■案件</t>
    <rPh sb="1" eb="3">
      <t>アンケン</t>
    </rPh>
    <phoneticPr fontId="2"/>
  </si>
  <si>
    <t>■その他</t>
    <rPh sb="3" eb="4">
      <t>タ</t>
    </rPh>
    <phoneticPr fontId="2"/>
  </si>
  <si>
    <t>-</t>
    <phoneticPr fontId="2"/>
  </si>
  <si>
    <t>-</t>
    <phoneticPr fontId="2"/>
  </si>
  <si>
    <t>-</t>
    <phoneticPr fontId="2"/>
  </si>
  <si>
    <t>DAT社内作業、DATエベント、トレーニング等</t>
    <phoneticPr fontId="2"/>
  </si>
  <si>
    <t>休暇</t>
    <phoneticPr fontId="2"/>
  </si>
  <si>
    <t>計画</t>
    <rPh sb="0" eb="2">
      <t>ケイカク</t>
    </rPh>
    <phoneticPr fontId="2"/>
  </si>
  <si>
    <t>実績</t>
    <rPh sb="0" eb="2">
      <t>ジッセキ</t>
    </rPh>
    <phoneticPr fontId="2"/>
  </si>
  <si>
    <t>MGT</t>
    <phoneticPr fontId="2"/>
  </si>
  <si>
    <t>-</t>
    <phoneticPr fontId="2"/>
  </si>
  <si>
    <t>管理</t>
    <rPh sb="0" eb="2">
      <t>カンリ</t>
    </rPh>
    <phoneticPr fontId="2"/>
  </si>
  <si>
    <t>■プロジェクト管理</t>
    <rPh sb="7" eb="9">
      <t>カンリ</t>
    </rPh>
    <phoneticPr fontId="2"/>
  </si>
  <si>
    <t>2月</t>
    <rPh sb="1" eb="2">
      <t>ガツ</t>
    </rPh>
    <phoneticPr fontId="2"/>
  </si>
  <si>
    <t>DIR-BI 担当</t>
    <rPh sb="7" eb="9">
      <t>タントウ</t>
    </rPh>
    <phoneticPr fontId="2"/>
  </si>
  <si>
    <t>日次報告書</t>
    <rPh sb="0" eb="5">
      <t>ニチジホウコクショ</t>
    </rPh>
    <phoneticPr fontId="2"/>
  </si>
  <si>
    <t>週次報告</t>
    <rPh sb="0" eb="4">
      <t>シュウジホウコク</t>
    </rPh>
    <phoneticPr fontId="2"/>
  </si>
  <si>
    <t>都築</t>
    <rPh sb="0" eb="1">
      <t>ツヅキ</t>
    </rPh>
    <phoneticPr fontId="2"/>
  </si>
  <si>
    <t>合計</t>
    <phoneticPr fontId="2"/>
  </si>
  <si>
    <t>案件．要員情報</t>
    <phoneticPr fontId="2"/>
  </si>
  <si>
    <t>合計（計画）</t>
    <phoneticPr fontId="2"/>
  </si>
  <si>
    <t>木曜日　14:00～15:00(JST)</t>
    <phoneticPr fontId="2"/>
  </si>
  <si>
    <t>プロジェクト管理、メール送受信、WBS管理、Redmine管理</t>
    <rPh sb="6" eb="8">
      <t>カンリ</t>
    </rPh>
    <rPh sb="12" eb="15">
      <t>ソウジュシン</t>
    </rPh>
    <rPh sb="19" eb="21">
      <t>カンリ</t>
    </rPh>
    <rPh sb="29" eb="31">
      <t>カンリ</t>
    </rPh>
    <phoneticPr fontId="2"/>
  </si>
  <si>
    <t>①案件．要員情報
②課題一覧
③【WB4】開発マニュアル一覧</t>
    <rPh sb="1" eb="3">
      <t>アンケン</t>
    </rPh>
    <rPh sb="4" eb="6">
      <t>ヨウイン</t>
    </rPh>
    <rPh sb="6" eb="8">
      <t>ジョウホウ</t>
    </rPh>
    <rPh sb="10" eb="14">
      <t>カダイイチラン</t>
    </rPh>
    <phoneticPr fontId="2"/>
  </si>
  <si>
    <t>メンバーサポート</t>
    <phoneticPr fontId="2"/>
  </si>
  <si>
    <t>SUPPORT</t>
    <phoneticPr fontId="2"/>
  </si>
  <si>
    <t>①DAT誕生日：0.5時「月次」
②DAT全員会議：2時「月次」
③KPIレポート作成：1時「月次」
④MMレポート作成：0.5時「週次」
⑤日本語能力試験のため準備：0.5時「週次」</t>
    <rPh sb="3" eb="6">
      <t>タンジョウビ</t>
    </rPh>
    <rPh sb="10" eb="11">
      <t>ジ</t>
    </rPh>
    <rPh sb="12" eb="14">
      <t>ゲツジ</t>
    </rPh>
    <rPh sb="20" eb="22">
      <t>ゼンイン</t>
    </rPh>
    <rPh sb="22" eb="24">
      <t>カイギ</t>
    </rPh>
    <rPh sb="26" eb="27">
      <t>ジ</t>
    </rPh>
    <rPh sb="28" eb="30">
      <t>ゲツジ</t>
    </rPh>
    <rPh sb="40" eb="42">
      <t>サクセイ</t>
    </rPh>
    <rPh sb="44" eb="45">
      <t>ジ</t>
    </rPh>
    <rPh sb="46" eb="48">
      <t>ゲツジ</t>
    </rPh>
    <rPh sb="57" eb="59">
      <t>サクセイ</t>
    </rPh>
    <rPh sb="63" eb="64">
      <t>ジ</t>
    </rPh>
    <rPh sb="65" eb="67">
      <t>シュウジ</t>
    </rPh>
    <rPh sb="70" eb="73">
      <t>ニホンゴ</t>
    </rPh>
    <rPh sb="73" eb="75">
      <t>ノウリョク</t>
    </rPh>
    <rPh sb="75" eb="77">
      <t>シケン</t>
    </rPh>
    <rPh sb="80" eb="82">
      <t>ジュンビ</t>
    </rPh>
    <rPh sb="86" eb="87">
      <t>ジ</t>
    </rPh>
    <rPh sb="88" eb="90">
      <t>シュウジ</t>
    </rPh>
    <phoneticPr fontId="2"/>
  </si>
  <si>
    <t>Status</t>
    <phoneticPr fontId="2"/>
  </si>
  <si>
    <t>未着手</t>
    <rPh sb="0" eb="3">
      <t>ミチャクシュ</t>
    </rPh>
    <phoneticPr fontId="2"/>
  </si>
  <si>
    <t>着手中</t>
    <rPh sb="0" eb="2">
      <t>チャクシュ</t>
    </rPh>
    <rPh sb="2" eb="3">
      <t>チュウ</t>
    </rPh>
    <phoneticPr fontId="2"/>
  </si>
  <si>
    <t>完了</t>
    <rPh sb="0" eb="2">
      <t>カンリョウ</t>
    </rPh>
    <phoneticPr fontId="2"/>
  </si>
  <si>
    <t>遅延</t>
    <rPh sb="0" eb="2">
      <t>チエン</t>
    </rPh>
    <phoneticPr fontId="2"/>
  </si>
  <si>
    <t>JAN</t>
  </si>
  <si>
    <t>International New Year's Day</t>
  </si>
  <si>
    <t>FEB</t>
  </si>
  <si>
    <t>MAR</t>
  </si>
  <si>
    <t>Armed Forces Day</t>
  </si>
  <si>
    <t>APR</t>
    <phoneticPr fontId="6"/>
  </si>
  <si>
    <t>MAY</t>
    <phoneticPr fontId="6"/>
  </si>
  <si>
    <t>JUL</t>
    <phoneticPr fontId="6"/>
  </si>
  <si>
    <t>OCT</t>
    <phoneticPr fontId="6"/>
  </si>
  <si>
    <t>NOV</t>
  </si>
  <si>
    <t>DEC</t>
  </si>
  <si>
    <t>KSW</t>
    <phoneticPr fontId="2"/>
  </si>
  <si>
    <t>YTN</t>
    <phoneticPr fontId="2"/>
  </si>
  <si>
    <t>AMM</t>
    <phoneticPr fontId="2"/>
  </si>
  <si>
    <t>TTA</t>
    <phoneticPr fontId="2"/>
  </si>
  <si>
    <t>KMH</t>
    <phoneticPr fontId="2"/>
  </si>
  <si>
    <t>KMT</t>
    <phoneticPr fontId="2"/>
  </si>
  <si>
    <t>NWKO</t>
    <phoneticPr fontId="2"/>
  </si>
  <si>
    <t>日</t>
    <rPh sb="0" eb="1">
      <t>ニチ</t>
    </rPh>
    <phoneticPr fontId="2"/>
  </si>
  <si>
    <t>土</t>
    <rPh sb="0" eb="1">
      <t>ド</t>
    </rPh>
    <phoneticPr fontId="2"/>
  </si>
  <si>
    <t>月</t>
  </si>
  <si>
    <t>月</t>
    <rPh sb="0" eb="1">
      <t>ゲツ</t>
    </rPh>
    <phoneticPr fontId="2"/>
  </si>
  <si>
    <t>火</t>
  </si>
  <si>
    <t>火</t>
    <rPh sb="0" eb="1">
      <t>カ</t>
    </rPh>
    <phoneticPr fontId="2"/>
  </si>
  <si>
    <t>水</t>
    <rPh sb="0" eb="1">
      <t>スイ</t>
    </rPh>
    <phoneticPr fontId="2"/>
  </si>
  <si>
    <t>木</t>
    <rPh sb="0" eb="1">
      <t>モク</t>
    </rPh>
    <phoneticPr fontId="2"/>
  </si>
  <si>
    <t>金</t>
    <rPh sb="0" eb="1">
      <t>キン</t>
    </rPh>
    <phoneticPr fontId="2"/>
  </si>
  <si>
    <t>L</t>
    <phoneticPr fontId="2"/>
  </si>
  <si>
    <t>L</t>
    <phoneticPr fontId="2"/>
  </si>
  <si>
    <t>HL</t>
    <phoneticPr fontId="2"/>
  </si>
  <si>
    <t>合計（計画）</t>
    <phoneticPr fontId="2"/>
  </si>
  <si>
    <t>合計（実績）</t>
    <phoneticPr fontId="2"/>
  </si>
  <si>
    <t>　年次　人月　DIR-BIタスク</t>
    <rPh sb="1" eb="3">
      <t>ネンジ</t>
    </rPh>
    <rPh sb="4" eb="6">
      <t>ニンゲツ</t>
    </rPh>
    <phoneticPr fontId="2"/>
  </si>
  <si>
    <t>年次　人月　DAT社内作業</t>
    <rPh sb="9" eb="11">
      <t>シャナイ</t>
    </rPh>
    <rPh sb="11" eb="13">
      <t>サギョウ</t>
    </rPh>
    <phoneticPr fontId="2"/>
  </si>
  <si>
    <t>年次　人月　合計</t>
    <rPh sb="6" eb="8">
      <t>ゴウケイ</t>
    </rPh>
    <phoneticPr fontId="2"/>
  </si>
  <si>
    <t>DATチーム会議</t>
    <rPh sb="6" eb="8">
      <t>カイギ</t>
    </rPh>
    <phoneticPr fontId="2"/>
  </si>
  <si>
    <t>2月には都築さんからのトレニンーグがありました。</t>
    <rPh sb="1" eb="2">
      <t>ガツ</t>
    </rPh>
    <rPh sb="4" eb="6">
      <t>ツヅキ</t>
    </rPh>
    <phoneticPr fontId="2"/>
  </si>
  <si>
    <t>ステータス</t>
    <phoneticPr fontId="2"/>
  </si>
  <si>
    <t>ステータス</t>
    <phoneticPr fontId="2"/>
  </si>
  <si>
    <t>計画</t>
    <rPh sb="0" eb="2">
      <t>ケイカク</t>
    </rPh>
    <phoneticPr fontId="2"/>
  </si>
  <si>
    <t>実績</t>
    <rPh sb="0" eb="2">
      <t>ジッセキ</t>
    </rPh>
    <phoneticPr fontId="2"/>
  </si>
  <si>
    <t>合計</t>
    <phoneticPr fontId="2"/>
  </si>
  <si>
    <t>DIR-BIタスク対応　人月　合計</t>
    <rPh sb="9" eb="11">
      <t>タイオウ</t>
    </rPh>
    <rPh sb="12" eb="14">
      <t>ニンゲツ</t>
    </rPh>
    <phoneticPr fontId="2"/>
  </si>
  <si>
    <t>DIR-BIタスク対応　人月　合計</t>
    <phoneticPr fontId="2"/>
  </si>
  <si>
    <t>計画</t>
    <phoneticPr fontId="2"/>
  </si>
  <si>
    <t>実績</t>
    <phoneticPr fontId="2"/>
  </si>
  <si>
    <t>DIR-BIタスク対応　月次　人月　合計</t>
    <rPh sb="12" eb="14">
      <t>ゲツジ</t>
    </rPh>
    <phoneticPr fontId="2"/>
  </si>
  <si>
    <t>DIR-BIタスク対応　月次　人月　合計</t>
    <rPh sb="12" eb="14">
      <t>ゲツジ</t>
    </rPh>
    <rPh sb="18" eb="20">
      <t>ゴウケイ</t>
    </rPh>
    <phoneticPr fontId="2"/>
  </si>
  <si>
    <t>DIR-BIタスク対応人月　+ DAT社内作業人月　合計</t>
    <rPh sb="19" eb="21">
      <t>シャナイ</t>
    </rPh>
    <rPh sb="21" eb="23">
      <t>サギョウ</t>
    </rPh>
    <rPh sb="23" eb="25">
      <t>ニンゲツ</t>
    </rPh>
    <phoneticPr fontId="2"/>
  </si>
  <si>
    <t>DIR-BIタスク対応人月　+ DAT社内作業人月　月次　合計</t>
    <rPh sb="26" eb="28">
      <t>ゲツジ</t>
    </rPh>
    <phoneticPr fontId="2"/>
  </si>
  <si>
    <t>DIR-BIタスク対応人月　+ DAT社内作業人月　月次　合計</t>
    <rPh sb="26" eb="28">
      <t>ゲツジ</t>
    </rPh>
    <rPh sb="29" eb="31">
      <t>ゴウケイ</t>
    </rPh>
    <phoneticPr fontId="2"/>
  </si>
  <si>
    <t>A= Attendance, L= Leave, HL = Half-Leave</t>
    <phoneticPr fontId="2"/>
  </si>
  <si>
    <t>H = Holiday, Sat:Sun=S</t>
    <phoneticPr fontId="2"/>
  </si>
  <si>
    <t>S</t>
    <phoneticPr fontId="2"/>
  </si>
  <si>
    <t>H</t>
    <phoneticPr fontId="2"/>
  </si>
  <si>
    <t>A</t>
    <phoneticPr fontId="2"/>
  </si>
  <si>
    <t>L-Days</t>
    <phoneticPr fontId="2"/>
  </si>
  <si>
    <t>Actual Work Days</t>
    <phoneticPr fontId="2"/>
  </si>
  <si>
    <t>水</t>
  </si>
  <si>
    <t>木</t>
  </si>
  <si>
    <t>金</t>
  </si>
  <si>
    <t>土</t>
  </si>
  <si>
    <t>日</t>
  </si>
  <si>
    <t>JAN</t>
    <phoneticPr fontId="2"/>
  </si>
  <si>
    <t>Coming of Age Day</t>
    <phoneticPr fontId="2"/>
  </si>
  <si>
    <t>Emperor's Birthday</t>
    <phoneticPr fontId="2"/>
  </si>
  <si>
    <t>MAR</t>
    <phoneticPr fontId="2"/>
  </si>
  <si>
    <t>FEB</t>
    <phoneticPr fontId="2"/>
  </si>
  <si>
    <t>Vernal Equniox Day</t>
    <phoneticPr fontId="2"/>
  </si>
  <si>
    <t>APR</t>
    <phoneticPr fontId="2"/>
  </si>
  <si>
    <t>Showa Day</t>
    <phoneticPr fontId="2"/>
  </si>
  <si>
    <t>MAY</t>
    <phoneticPr fontId="2"/>
  </si>
  <si>
    <t>Constitution Memorial Day</t>
    <phoneticPr fontId="2"/>
  </si>
  <si>
    <t>Greenery Day</t>
    <phoneticPr fontId="2"/>
  </si>
  <si>
    <t>Children's Day</t>
    <phoneticPr fontId="2"/>
  </si>
  <si>
    <t>JUL</t>
    <phoneticPr fontId="2"/>
  </si>
  <si>
    <t>Marine Day</t>
    <phoneticPr fontId="2"/>
  </si>
  <si>
    <t>AUG</t>
    <phoneticPr fontId="2"/>
  </si>
  <si>
    <t>Mountain Day</t>
    <phoneticPr fontId="2"/>
  </si>
  <si>
    <t>SEP</t>
    <phoneticPr fontId="2"/>
  </si>
  <si>
    <t>Respect For The Aged Day</t>
    <phoneticPr fontId="2"/>
  </si>
  <si>
    <t>Autumnal Equinox Day</t>
    <phoneticPr fontId="2"/>
  </si>
  <si>
    <t>NOV</t>
    <phoneticPr fontId="6"/>
  </si>
  <si>
    <t>Culture Day</t>
    <phoneticPr fontId="6"/>
  </si>
  <si>
    <t>Laor Thanksgiving Day</t>
    <phoneticPr fontId="2"/>
  </si>
  <si>
    <t>4月</t>
    <phoneticPr fontId="2"/>
  </si>
  <si>
    <t>5月</t>
    <rPh sb="1" eb="2">
      <t>ガツ</t>
    </rPh>
    <phoneticPr fontId="2"/>
  </si>
  <si>
    <t>4月</t>
    <phoneticPr fontId="2"/>
  </si>
  <si>
    <t>6月</t>
    <rPh sb="1" eb="2">
      <t>ガツ</t>
    </rPh>
    <phoneticPr fontId="2"/>
  </si>
  <si>
    <t>7月</t>
    <rPh sb="1" eb="2">
      <t>ガツ</t>
    </rPh>
    <phoneticPr fontId="2"/>
  </si>
  <si>
    <t>8月</t>
    <rPh sb="1" eb="2">
      <t>ガツ</t>
    </rPh>
    <phoneticPr fontId="2"/>
  </si>
  <si>
    <t>9月</t>
    <rPh sb="1" eb="2">
      <t>ガツ</t>
    </rPh>
    <phoneticPr fontId="2"/>
  </si>
  <si>
    <t>10月</t>
    <rPh sb="2" eb="3">
      <t>ガツ</t>
    </rPh>
    <phoneticPr fontId="2"/>
  </si>
  <si>
    <t>11月</t>
    <rPh sb="2" eb="3">
      <t>ガツ</t>
    </rPh>
    <phoneticPr fontId="2"/>
  </si>
  <si>
    <t>12月</t>
    <rPh sb="2" eb="3">
      <t>ガツ</t>
    </rPh>
    <phoneticPr fontId="2"/>
  </si>
  <si>
    <t>1月</t>
    <rPh sb="1" eb="2">
      <t>ガツ</t>
    </rPh>
    <phoneticPr fontId="2"/>
  </si>
  <si>
    <t>3月</t>
    <rPh sb="1" eb="2">
      <t>ガツ</t>
    </rPh>
    <phoneticPr fontId="2"/>
  </si>
  <si>
    <t xml:space="preserve"> 期限</t>
    <rPh sb="1" eb="3">
      <t>キゲン</t>
    </rPh>
    <phoneticPr fontId="2"/>
  </si>
  <si>
    <t>DEC</t>
    <phoneticPr fontId="2"/>
  </si>
  <si>
    <t>New Year's Eve</t>
    <phoneticPr fontId="2"/>
  </si>
  <si>
    <t>コード修正と差分：完了</t>
    <rPh sb="3" eb="5">
      <t>シュウセイ</t>
    </rPh>
    <rPh sb="6" eb="8">
      <t>サブン</t>
    </rPh>
    <rPh sb="9" eb="11">
      <t>カンリョウ</t>
    </rPh>
    <phoneticPr fontId="2"/>
  </si>
  <si>
    <t>結合テスト：完了</t>
    <rPh sb="0" eb="2">
      <t>ケツゴウ</t>
    </rPh>
    <phoneticPr fontId="2"/>
  </si>
  <si>
    <t>UPDATE用資料：完了</t>
    <rPh sb="6" eb="7">
      <t>ヨウ</t>
    </rPh>
    <rPh sb="7" eb="9">
      <t>シリョウ</t>
    </rPh>
    <phoneticPr fontId="2"/>
  </si>
  <si>
    <t>Poptreeチェック：完了</t>
    <rPh sb="12" eb="14">
      <t>カンリョウ</t>
    </rPh>
    <phoneticPr fontId="2"/>
  </si>
  <si>
    <t>PBxxxxxx</t>
    <phoneticPr fontId="2"/>
  </si>
  <si>
    <t>【定型】画面の文言変更</t>
    <phoneticPr fontId="2"/>
  </si>
  <si>
    <t>Fxx</t>
    <phoneticPr fontId="2"/>
  </si>
  <si>
    <t>DIR担当</t>
    <rPh sb="3" eb="5">
      <t>タントウ</t>
    </rPh>
    <phoneticPr fontId="2"/>
  </si>
  <si>
    <t>DIR 担当</t>
    <rPh sb="4" eb="6">
      <t>タントウ</t>
    </rPh>
    <phoneticPr fontId="2"/>
  </si>
  <si>
    <t>案件管理コード（DIR)</t>
    <rPh sb="0" eb="2">
      <t>アンケン</t>
    </rPh>
    <rPh sb="2" eb="4">
      <t>カンリ</t>
    </rPh>
    <phoneticPr fontId="2"/>
  </si>
  <si>
    <t>DIRとの定例会</t>
    <rPh sb="5" eb="8">
      <t>テイレイカイ</t>
    </rPh>
    <phoneticPr fontId="2"/>
  </si>
  <si>
    <t>①DATのWHMシステム
②DIRへの日次報告「THiNCに」</t>
    <rPh sb="19" eb="21">
      <t>ニチジ</t>
    </rPh>
    <rPh sb="21" eb="23">
      <t>ホウコク</t>
    </rPh>
    <phoneticPr fontId="2"/>
  </si>
  <si>
    <t>Health and Sport Day</t>
    <phoneticPr fontId="6"/>
  </si>
  <si>
    <t>TZA</t>
    <phoneticPr fontId="2"/>
  </si>
  <si>
    <t>SNNT</t>
    <phoneticPr fontId="2"/>
  </si>
  <si>
    <t>計画
(DIR)</t>
    <rPh sb="0" eb="2">
      <t>ケイカク</t>
    </rPh>
    <phoneticPr fontId="2"/>
  </si>
  <si>
    <t>計画
(DAT)</t>
    <rPh sb="0" eb="2">
      <t>ケイカク</t>
    </rPh>
    <phoneticPr fontId="2"/>
  </si>
  <si>
    <t>(全社)脆弱性対応（2022年）_パス・トラバーサル対応</t>
    <phoneticPr fontId="2"/>
  </si>
  <si>
    <t>HWY</t>
  </si>
  <si>
    <t>SPH</t>
  </si>
  <si>
    <t>KSH</t>
  </si>
  <si>
    <t>TSO</t>
  </si>
  <si>
    <t>SNNT</t>
  </si>
  <si>
    <t>TZA</t>
  </si>
  <si>
    <t>National Foundation Day</t>
    <phoneticPr fontId="2"/>
  </si>
  <si>
    <t>1日　⇒　0.25時</t>
    <rPh sb="1" eb="2">
      <t>ニチ</t>
    </rPh>
    <rPh sb="9" eb="10">
      <t>ジ</t>
    </rPh>
    <phoneticPr fontId="2"/>
  </si>
  <si>
    <t>DAT2022-08-25-01-01</t>
    <phoneticPr fontId="2"/>
  </si>
  <si>
    <t>WB4 Internal Training</t>
    <phoneticPr fontId="2"/>
  </si>
  <si>
    <t>開発レベル②、開発レベル③</t>
    <phoneticPr fontId="2"/>
  </si>
  <si>
    <t>先週</t>
    <phoneticPr fontId="2"/>
  </si>
  <si>
    <t>今週</t>
    <rPh sb="0" eb="2">
      <t>コンシュウ</t>
    </rPh>
    <phoneticPr fontId="2"/>
  </si>
  <si>
    <t>差異</t>
    <rPh sb="0" eb="2">
      <t>サイ</t>
    </rPh>
    <phoneticPr fontId="2"/>
  </si>
  <si>
    <t>案件計画</t>
    <rPh sb="0" eb="2">
      <t>アンケン</t>
    </rPh>
    <rPh sb="2" eb="4">
      <t>ケイカク</t>
    </rPh>
    <phoneticPr fontId="2"/>
  </si>
  <si>
    <t>案件実績</t>
    <rPh sb="0" eb="2">
      <t>アンケン</t>
    </rPh>
    <rPh sb="2" eb="4">
      <t>ジッセキ</t>
    </rPh>
    <phoneticPr fontId="2"/>
  </si>
  <si>
    <t>プロジェクト管理計画</t>
    <phoneticPr fontId="2"/>
  </si>
  <si>
    <t>プロジェクト管理実績</t>
    <phoneticPr fontId="2"/>
  </si>
  <si>
    <t>その他計画</t>
    <phoneticPr fontId="2"/>
  </si>
  <si>
    <t>その他実績</t>
    <phoneticPr fontId="2"/>
  </si>
  <si>
    <t>計画合計</t>
    <phoneticPr fontId="2"/>
  </si>
  <si>
    <t>実績合計</t>
    <phoneticPr fontId="2"/>
  </si>
  <si>
    <t>備考/理由</t>
    <rPh sb="0" eb="2">
      <t>ビコウ</t>
    </rPh>
    <rPh sb="3" eb="5">
      <t>リユウ</t>
    </rPh>
    <phoneticPr fontId="2"/>
  </si>
  <si>
    <t>4月</t>
    <rPh sb="1" eb="2">
      <t>ガツ</t>
    </rPh>
    <phoneticPr fontId="2"/>
  </si>
  <si>
    <t>DIRタスク対応　人月　合計</t>
    <rPh sb="6" eb="8">
      <t>タイオウ</t>
    </rPh>
    <rPh sb="9" eb="11">
      <t>ニンゲツ</t>
    </rPh>
    <phoneticPr fontId="2"/>
  </si>
  <si>
    <t>DIRタスク対応　人月　合計</t>
  </si>
  <si>
    <t>　年次　人月　DIRタスク</t>
    <rPh sb="1" eb="3">
      <t>ネンジ</t>
    </rPh>
    <rPh sb="4" eb="6">
      <t>ニンゲツ</t>
    </rPh>
    <phoneticPr fontId="2"/>
  </si>
  <si>
    <t>DIRタスク対応人月　+ DAT社内作業人月　合計</t>
    <rPh sb="16" eb="18">
      <t>シャナイ</t>
    </rPh>
    <rPh sb="18" eb="20">
      <t>サギョウ</t>
    </rPh>
    <rPh sb="20" eb="22">
      <t>ニンゲツ</t>
    </rPh>
    <phoneticPr fontId="2"/>
  </si>
  <si>
    <t>DAT2023-02-11-003-01</t>
    <phoneticPr fontId="2"/>
  </si>
  <si>
    <t>DAT2023-02-11-002-01</t>
    <phoneticPr fontId="2"/>
  </si>
  <si>
    <t xml:space="preserve"> WB4 DIR Training</t>
    <phoneticPr fontId="2"/>
  </si>
  <si>
    <t>WB4 DIR Training</t>
    <phoneticPr fontId="2"/>
  </si>
  <si>
    <t>①</t>
    <phoneticPr fontId="2"/>
  </si>
  <si>
    <t>案件．要員情報シートについて</t>
    <phoneticPr fontId="2"/>
  </si>
  <si>
    <t>▲今月のため対応された各案件、プロジェクト管理と他のテストの計画と実績人間を報告することです。</t>
    <rPh sb="1" eb="3">
      <t>コンゲツ</t>
    </rPh>
    <rPh sb="6" eb="8">
      <t>タイオウ</t>
    </rPh>
    <rPh sb="11" eb="12">
      <t>カク</t>
    </rPh>
    <rPh sb="12" eb="14">
      <t>アンケン</t>
    </rPh>
    <rPh sb="24" eb="25">
      <t>ホカ</t>
    </rPh>
    <rPh sb="35" eb="37">
      <t>ニンゲン</t>
    </rPh>
    <phoneticPr fontId="2"/>
  </si>
  <si>
    <t>※</t>
    <phoneticPr fontId="2"/>
  </si>
  <si>
    <t>メモ</t>
    <phoneticPr fontId="2"/>
  </si>
  <si>
    <t>列名の説明</t>
    <phoneticPr fontId="2"/>
  </si>
  <si>
    <t>列名</t>
    <phoneticPr fontId="2"/>
  </si>
  <si>
    <t>内容</t>
    <rPh sb="0" eb="2">
      <t>ナイヨウ</t>
    </rPh>
    <phoneticPr fontId="2"/>
  </si>
  <si>
    <t>今週⇒</t>
    <rPh sb="0" eb="2">
      <t>コンシュウ</t>
    </rPh>
    <phoneticPr fontId="2"/>
  </si>
  <si>
    <t>「先週の定例会の日から今週の水曜日までのカウント」</t>
    <rPh sb="4" eb="7">
      <t>テイレイカイ</t>
    </rPh>
    <rPh sb="11" eb="13">
      <t>コンシュウ</t>
    </rPh>
    <phoneticPr fontId="2"/>
  </si>
  <si>
    <t>No.列</t>
    <rPh sb="3" eb="4">
      <t>レツ</t>
    </rPh>
    <phoneticPr fontId="2"/>
  </si>
  <si>
    <t>連番</t>
    <phoneticPr fontId="2"/>
  </si>
  <si>
    <t>来週⇒</t>
    <rPh sb="0" eb="2">
      <t>ライシュウ</t>
    </rPh>
    <phoneticPr fontId="2"/>
  </si>
  <si>
    <t>「今週の定例会の日から来週の水曜日までのカウント」</t>
    <rPh sb="1" eb="3">
      <t>コンシュウ</t>
    </rPh>
    <rPh sb="11" eb="13">
      <t>ライシュウ</t>
    </rPh>
    <phoneticPr fontId="2"/>
  </si>
  <si>
    <t>案件のステータス「未着手、進行中、レビュー待ち、完了」</t>
    <rPh sb="0" eb="2">
      <t>アンケン</t>
    </rPh>
    <phoneticPr fontId="2"/>
  </si>
  <si>
    <t>区分</t>
    <phoneticPr fontId="2"/>
  </si>
  <si>
    <t>案件のカテゴリー</t>
    <rPh sb="0" eb="2">
      <t>アンケン</t>
    </rPh>
    <phoneticPr fontId="2"/>
  </si>
  <si>
    <t>・11月の計画工数の作成方法の説明</t>
  </si>
  <si>
    <t>DIR 担当</t>
    <phoneticPr fontId="2"/>
  </si>
  <si>
    <t>案件依頼しているDIR担当者名</t>
    <phoneticPr fontId="2"/>
  </si>
  <si>
    <t>・11月の計画工数と実績工数の差異の理由</t>
    <phoneticPr fontId="2"/>
  </si>
  <si>
    <t>案件管理コード（DAT)</t>
    <phoneticPr fontId="2"/>
  </si>
  <si>
    <t>DAT側でのWBS管理コード</t>
    <rPh sb="3" eb="4">
      <t>ガワ</t>
    </rPh>
    <rPh sb="9" eb="11">
      <t>カンリ</t>
    </rPh>
    <phoneticPr fontId="2"/>
  </si>
  <si>
    <t>・12月の計画工数（案件毎の内訳情報も）および過不足工数の説明</t>
  </si>
  <si>
    <t>案件管理コード（DIR)</t>
    <phoneticPr fontId="2"/>
  </si>
  <si>
    <t>DIR側からの管理コード</t>
    <rPh sb="3" eb="4">
      <t>ガワ</t>
    </rPh>
    <rPh sb="7" eb="9">
      <t>カンリ</t>
    </rPh>
    <phoneticPr fontId="2"/>
  </si>
  <si>
    <t>案件</t>
    <phoneticPr fontId="2"/>
  </si>
  <si>
    <t>今週中対応された案件名</t>
    <rPh sb="0" eb="2">
      <t>コンシュウ</t>
    </rPh>
    <rPh sb="2" eb="3">
      <t>チュウ</t>
    </rPh>
    <rPh sb="3" eb="5">
      <t>タイオウ</t>
    </rPh>
    <rPh sb="8" eb="11">
      <t>アンケンメイ</t>
    </rPh>
    <phoneticPr fontId="2"/>
  </si>
  <si>
    <t>備考</t>
    <phoneticPr fontId="2"/>
  </si>
  <si>
    <t>リマーク</t>
    <phoneticPr fontId="2"/>
  </si>
  <si>
    <t xml:space="preserve"> </t>
    <phoneticPr fontId="2"/>
  </si>
  <si>
    <t>http://w3ttsvn10/svn/webbroker3_pr/ミャンマーDAT/30_見積り依頼/オンライン開発(2022年9月~2023年2月)についての見積書.xlsx</t>
  </si>
  <si>
    <t>案件の計画工数作成方法の説明</t>
    <rPh sb="0" eb="2">
      <t>アンケン</t>
    </rPh>
    <phoneticPr fontId="2"/>
  </si>
  <si>
    <t>案件名</t>
    <rPh sb="0" eb="2">
      <t>アンケン</t>
    </rPh>
    <phoneticPr fontId="2"/>
  </si>
  <si>
    <t>計画工数作成方法</t>
    <rPh sb="0" eb="2">
      <t>ケイカク</t>
    </rPh>
    <rPh sb="2" eb="4">
      <t>コウスウ</t>
    </rPh>
    <rPh sb="4" eb="6">
      <t>サクセイ</t>
    </rPh>
    <rPh sb="6" eb="8">
      <t>ホウホウ</t>
    </rPh>
    <phoneticPr fontId="2"/>
  </si>
  <si>
    <t>定型案件</t>
    <phoneticPr fontId="2"/>
  </si>
  <si>
    <t>WBSを参考し、案件の範囲とメンバーのスキルに依存して作成しています。</t>
    <rPh sb="4" eb="6">
      <t>サンコウ</t>
    </rPh>
    <rPh sb="11" eb="13">
      <t>ハンイ</t>
    </rPh>
    <rPh sb="23" eb="25">
      <t>イゾン</t>
    </rPh>
    <rPh sb="27" eb="29">
      <t>サクセイ</t>
    </rPh>
    <phoneticPr fontId="2"/>
  </si>
  <si>
    <t xml:space="preserve">◆他のプロジェクトにはFASE Formを提出して対応するプロジェクトがあります。しかし、WB4にはありません。プロジェクトの計画をPMが上記のことなどを向けて作成しています。
</t>
    <rPh sb="1" eb="2">
      <t>ホカ</t>
    </rPh>
    <rPh sb="21" eb="23">
      <t>テイシュツ</t>
    </rPh>
    <rPh sb="25" eb="27">
      <t>タイオウ</t>
    </rPh>
    <rPh sb="63" eb="65">
      <t>ケイカク</t>
    </rPh>
    <rPh sb="69" eb="71">
      <t>ジョウキ</t>
    </rPh>
    <rPh sb="77" eb="78">
      <t>ム</t>
    </rPh>
    <rPh sb="80" eb="82">
      <t>サクセイ</t>
    </rPh>
    <phoneticPr fontId="2"/>
  </si>
  <si>
    <t>◆「(全社)脆弱性対応（2022年）_パス・トラバーサル対応」は徳田様が9月から12月まで各月に４人間として企画しました。</t>
    <rPh sb="37" eb="38">
      <t>ゲツ</t>
    </rPh>
    <rPh sb="42" eb="43">
      <t>ゲツ</t>
    </rPh>
    <rPh sb="45" eb="46">
      <t>カク</t>
    </rPh>
    <rPh sb="46" eb="47">
      <t>ゲツ</t>
    </rPh>
    <rPh sb="49" eb="51">
      <t>ニンゲン</t>
    </rPh>
    <rPh sb="54" eb="56">
      <t>キカク</t>
    </rPh>
    <phoneticPr fontId="2"/>
  </si>
  <si>
    <t xml:space="preserve">◆DIRと月次会議後には、サービス機能テストもする可能性がありますので、イェさんが２月まで各月に４人間として企画しました。
(9月~2月)の計画人間⇒25.18
各月の計画人間　⇒ 4.19 (25.18/6)
</t>
    <rPh sb="5" eb="6">
      <t>ゲツ</t>
    </rPh>
    <rPh sb="6" eb="7">
      <t>ジ</t>
    </rPh>
    <rPh sb="7" eb="9">
      <t>カイギ</t>
    </rPh>
    <rPh sb="9" eb="10">
      <t>アト</t>
    </rPh>
    <rPh sb="17" eb="19">
      <t>キノウ</t>
    </rPh>
    <rPh sb="25" eb="28">
      <t>カノウセイ</t>
    </rPh>
    <rPh sb="42" eb="43">
      <t>ゲツ</t>
    </rPh>
    <rPh sb="64" eb="65">
      <t>ゲツ</t>
    </rPh>
    <rPh sb="67" eb="68">
      <t>ゲツ</t>
    </rPh>
    <rPh sb="72" eb="74">
      <t>ニンゲン</t>
    </rPh>
    <rPh sb="81" eb="83">
      <t>カクゲツ</t>
    </rPh>
    <rPh sb="86" eb="88">
      <t>ニンゲン</t>
    </rPh>
    <phoneticPr fontId="2"/>
  </si>
  <si>
    <t>計画工数と実績工数の差異の理由</t>
    <phoneticPr fontId="2"/>
  </si>
  <si>
    <t>理由</t>
    <rPh sb="0" eb="2">
      <t>リユウ</t>
    </rPh>
    <phoneticPr fontId="2"/>
  </si>
  <si>
    <t>定型案件と
(全社)脆弱性対応（2022年）_パス・トラバーサル対応</t>
    <phoneticPr fontId="2"/>
  </si>
  <si>
    <t>◆DIRから計画を立っていないし、PMが自分で計画したので異なりました。</t>
    <rPh sb="6" eb="8">
      <t>ケイカク</t>
    </rPh>
    <rPh sb="9" eb="10">
      <t>タ</t>
    </rPh>
    <rPh sb="20" eb="22">
      <t>ジブン</t>
    </rPh>
    <rPh sb="23" eb="25">
      <t>ケイカク</t>
    </rPh>
    <rPh sb="29" eb="30">
      <t>コト</t>
    </rPh>
    <phoneticPr fontId="2"/>
  </si>
  <si>
    <t>◆仕事がありますが、様々な理由で (エラーが発生など)停止しているので異なりました。
◆仕事が止まる時、メンバーのスキルアップのため研修しています。</t>
    <rPh sb="1" eb="3">
      <t>シゴト</t>
    </rPh>
    <rPh sb="10" eb="12">
      <t>サマザマ</t>
    </rPh>
    <rPh sb="13" eb="15">
      <t>リユウ</t>
    </rPh>
    <rPh sb="22" eb="24">
      <t>ハッセイ</t>
    </rPh>
    <rPh sb="27" eb="29">
      <t>テイシ</t>
    </rPh>
    <phoneticPr fontId="2"/>
  </si>
  <si>
    <t>▲DATメンバーが対応しているプロジェクト管理タスクは６つあります。</t>
    <rPh sb="9" eb="11">
      <t>タイオウ</t>
    </rPh>
    <phoneticPr fontId="2"/>
  </si>
  <si>
    <t>プロジェクト管理の計画工数作成方法の説明</t>
    <phoneticPr fontId="2"/>
  </si>
  <si>
    <t>タスク名</t>
    <rPh sb="3" eb="4">
      <t>メイ</t>
    </rPh>
    <phoneticPr fontId="2"/>
  </si>
  <si>
    <t>DATチーム会議</t>
    <phoneticPr fontId="2"/>
  </si>
  <si>
    <t>◆毎日30分(0.5 hr)かかります。
◆全メンバーが出席しています。
◆一人⇒(0.5 x Working Day)</t>
    <rPh sb="1" eb="3">
      <t>マイニチ</t>
    </rPh>
    <rPh sb="5" eb="6">
      <t>ブン</t>
    </rPh>
    <rPh sb="22" eb="23">
      <t>ゼン</t>
    </rPh>
    <rPh sb="28" eb="30">
      <t>シュッセキ</t>
    </rPh>
    <rPh sb="38" eb="40">
      <t>ヒトリ</t>
    </rPh>
    <phoneticPr fontId="2"/>
  </si>
  <si>
    <t>DIRとの定例会</t>
    <phoneticPr fontId="2"/>
  </si>
  <si>
    <t>◆毎週1時間かかります。
◆全メンバーが出席しています。
◆一人⇒(１ x week count of a month)</t>
    <rPh sb="1" eb="3">
      <t>マイシュウ</t>
    </rPh>
    <rPh sb="4" eb="6">
      <t>ジカン</t>
    </rPh>
    <phoneticPr fontId="2"/>
  </si>
  <si>
    <t>日次報告書</t>
    <phoneticPr fontId="2"/>
  </si>
  <si>
    <t>◆DATの社内システム(WHM)とThincの日次報告書に報告記入する時間です。
◆毎日30分(0.5 hr)かかります。
◆全メンバーがやっています。
◆一人⇒(0.5 x Working Day)</t>
    <rPh sb="5" eb="7">
      <t>シャナイ</t>
    </rPh>
    <rPh sb="23" eb="27">
      <t>ニチジホウコク</t>
    </rPh>
    <rPh sb="29" eb="31">
      <t>ホウコク</t>
    </rPh>
    <rPh sb="31" eb="33">
      <t>キニュウ</t>
    </rPh>
    <rPh sb="35" eb="37">
      <t>ジカン</t>
    </rPh>
    <rPh sb="42" eb="44">
      <t>マイニチ</t>
    </rPh>
    <rPh sb="46" eb="47">
      <t>ブン</t>
    </rPh>
    <rPh sb="63" eb="64">
      <t>ゼン</t>
    </rPh>
    <rPh sb="78" eb="80">
      <t>ヒトリ</t>
    </rPh>
    <phoneticPr fontId="2"/>
  </si>
  <si>
    <t>週次報告</t>
    <phoneticPr fontId="2"/>
  </si>
  <si>
    <t>◆毎週の水曜日DIRへ送信する週次報告作成時間と毎週の金曜日DAT管理人送信する週次報告作成時間
◆毎週３時間かかります。
◆PMだけやっています。
◆一人⇒(0.5 x Working Day)</t>
    <rPh sb="1" eb="3">
      <t>マイシュウ</t>
    </rPh>
    <rPh sb="4" eb="7">
      <t>スイヨウビ</t>
    </rPh>
    <rPh sb="11" eb="13">
      <t>ソウシン</t>
    </rPh>
    <rPh sb="19" eb="21">
      <t>サクセイ</t>
    </rPh>
    <rPh sb="21" eb="23">
      <t>ジカン</t>
    </rPh>
    <rPh sb="24" eb="26">
      <t>マイシュウ</t>
    </rPh>
    <rPh sb="27" eb="30">
      <t>キンヨウビ</t>
    </rPh>
    <rPh sb="50" eb="52">
      <t>マイシュウ</t>
    </rPh>
    <rPh sb="53" eb="55">
      <t>ジカン</t>
    </rPh>
    <rPh sb="76" eb="78">
      <t>ヒトリ</t>
    </rPh>
    <phoneticPr fontId="2"/>
  </si>
  <si>
    <t>プロジェクト管理、メール送受信、WBS管理、Redmine管理</t>
    <phoneticPr fontId="2"/>
  </si>
  <si>
    <t xml:space="preserve">◆メール送受信時間、WBS作成時間、Redmine管理時間と他の報告作成時間です。
◆毎日PMは３時間、二人のリーダーは30分かかる。
◆(3 x Working Day)+(0.5 x Working Day)+(0.5 x Working Day)
</t>
    <rPh sb="7" eb="9">
      <t>ジカン</t>
    </rPh>
    <rPh sb="13" eb="15">
      <t>サクセイ</t>
    </rPh>
    <rPh sb="30" eb="31">
      <t>ホカ</t>
    </rPh>
    <rPh sb="32" eb="34">
      <t>ホウコク</t>
    </rPh>
    <rPh sb="34" eb="36">
      <t>サクセイ</t>
    </rPh>
    <rPh sb="36" eb="38">
      <t>ジカン</t>
    </rPh>
    <rPh sb="62" eb="63">
      <t>フン</t>
    </rPh>
    <phoneticPr fontId="2"/>
  </si>
  <si>
    <t>◆PMとリーダーが他のメンバーにサポートする時間です。
◆毎日PMと二人のリーダーは1時間かかる。
◆(1 x Working Day)+(1 x Working Day)+(1 x Working Day)</t>
    <rPh sb="9" eb="10">
      <t>ホカ</t>
    </rPh>
    <rPh sb="22" eb="24">
      <t>ジカン</t>
    </rPh>
    <rPh sb="29" eb="31">
      <t>マイニチ</t>
    </rPh>
    <rPh sb="43" eb="45">
      <t>ジカン</t>
    </rPh>
    <phoneticPr fontId="2"/>
  </si>
  <si>
    <t xml:space="preserve">いつものは計画と実績が合っています。
</t>
    <rPh sb="5" eb="7">
      <t>ケイカク</t>
    </rPh>
    <rPh sb="8" eb="10">
      <t>ジッセキ</t>
    </rPh>
    <phoneticPr fontId="2"/>
  </si>
  <si>
    <t>計画は1時間ですが、実際は30分以下かかるので
異なりました。</t>
    <rPh sb="0" eb="2">
      <t>ケイカク</t>
    </rPh>
    <rPh sb="4" eb="6">
      <t>ジカン</t>
    </rPh>
    <rPh sb="10" eb="12">
      <t>ジッサイ</t>
    </rPh>
    <rPh sb="15" eb="16">
      <t>フン</t>
    </rPh>
    <rPh sb="16" eb="18">
      <t>イカ</t>
    </rPh>
    <phoneticPr fontId="2"/>
  </si>
  <si>
    <t>計画を記入していますが、実績は計算する時には下記のプロジェクト管理テクストに追加して計算しています。
そして、週次報告の実績は'0'になっています。</t>
    <rPh sb="0" eb="2">
      <t>ケイカク</t>
    </rPh>
    <rPh sb="3" eb="5">
      <t>キニュウ</t>
    </rPh>
    <rPh sb="12" eb="14">
      <t>ジッセキ</t>
    </rPh>
    <rPh sb="15" eb="17">
      <t>ケイサン</t>
    </rPh>
    <rPh sb="19" eb="20">
      <t>トキ</t>
    </rPh>
    <rPh sb="22" eb="24">
      <t>カキ</t>
    </rPh>
    <rPh sb="38" eb="40">
      <t>ツイカ</t>
    </rPh>
    <rPh sb="60" eb="62">
      <t>ジッセキ</t>
    </rPh>
    <phoneticPr fontId="2"/>
  </si>
  <si>
    <t xml:space="preserve">◆毎日PMのため３時間として予定されていますが、週次報告作成時間を追加し、他の管理タスクがあるため計画と実績が異なります。
◆毎日二人のリーダーのため30分として予定されていますが、管理タクスがない日もあるので計画と実績が異なります。
</t>
    <rPh sb="14" eb="16">
      <t>ヨテイ</t>
    </rPh>
    <rPh sb="28" eb="30">
      <t>サクセイ</t>
    </rPh>
    <rPh sb="30" eb="32">
      <t>ジカン</t>
    </rPh>
    <rPh sb="33" eb="35">
      <t>ツイカ</t>
    </rPh>
    <rPh sb="37" eb="38">
      <t>ホカ</t>
    </rPh>
    <rPh sb="39" eb="41">
      <t>カンリ</t>
    </rPh>
    <rPh sb="49" eb="51">
      <t>ケイカク</t>
    </rPh>
    <rPh sb="52" eb="54">
      <t>ジッセキ</t>
    </rPh>
    <rPh sb="77" eb="78">
      <t>ブン</t>
    </rPh>
    <rPh sb="91" eb="93">
      <t>カンリ</t>
    </rPh>
    <rPh sb="99" eb="100">
      <t>ニチ</t>
    </rPh>
    <phoneticPr fontId="2"/>
  </si>
  <si>
    <t>メンバーはサポートが不要な日もあるので計画と実績が異なります。</t>
    <rPh sb="10" eb="12">
      <t>フヨウ</t>
    </rPh>
    <rPh sb="13" eb="14">
      <t>ヒ</t>
    </rPh>
    <phoneticPr fontId="2"/>
  </si>
  <si>
    <t>▲その他のタクスには案件と管理以外のタクス例えばJinwa研修やDAT社内作業などのタクスです。</t>
    <rPh sb="3" eb="4">
      <t>タ</t>
    </rPh>
    <rPh sb="10" eb="12">
      <t>アンケン</t>
    </rPh>
    <rPh sb="13" eb="15">
      <t>カンリ</t>
    </rPh>
    <rPh sb="15" eb="17">
      <t>イガイ</t>
    </rPh>
    <rPh sb="21" eb="22">
      <t>タト</t>
    </rPh>
    <rPh sb="29" eb="31">
      <t>ケンシュウ</t>
    </rPh>
    <phoneticPr fontId="2"/>
  </si>
  <si>
    <t>WB4 Internal Training</t>
  </si>
  <si>
    <t>新入社員がいる月には計画を作成しています。
今は新入社員がいないので計画は０になりました。</t>
    <rPh sb="0" eb="4">
      <t>シンニュウシャイン</t>
    </rPh>
    <rPh sb="7" eb="8">
      <t>ゲツ</t>
    </rPh>
    <rPh sb="10" eb="12">
      <t>ケイカク</t>
    </rPh>
    <rPh sb="13" eb="15">
      <t>サクセイ</t>
    </rPh>
    <rPh sb="22" eb="23">
      <t>イマ</t>
    </rPh>
    <rPh sb="24" eb="28">
      <t>シンニュウシャイン</t>
    </rPh>
    <rPh sb="34" eb="36">
      <t>ケイカク</t>
    </rPh>
    <phoneticPr fontId="2"/>
  </si>
  <si>
    <t>JINWA Training(Class Hours)</t>
  </si>
  <si>
    <t>DATの社内報告書の計画時間と合わせるため、計画が０になりました。</t>
    <rPh sb="4" eb="6">
      <t>シャナイ</t>
    </rPh>
    <rPh sb="6" eb="9">
      <t>ホウコクショ</t>
    </rPh>
    <rPh sb="10" eb="12">
      <t>ケイカク</t>
    </rPh>
    <rPh sb="12" eb="14">
      <t>ジカン</t>
    </rPh>
    <rPh sb="15" eb="16">
      <t>ア</t>
    </rPh>
    <rPh sb="22" eb="24">
      <t>ケイカク</t>
    </rPh>
    <phoneticPr fontId="2"/>
  </si>
  <si>
    <t>JINWA Training(Practicals)</t>
  </si>
  <si>
    <t>◆メンバー４人が毎日3時間対応しています。
◆一人⇒(３x Working Day)</t>
    <rPh sb="8" eb="10">
      <t>マイニチ</t>
    </rPh>
    <rPh sb="11" eb="13">
      <t>ジカン</t>
    </rPh>
    <rPh sb="13" eb="15">
      <t>タイオウ</t>
    </rPh>
    <phoneticPr fontId="2"/>
  </si>
  <si>
    <t>開発レベル②、開発レベル③</t>
  </si>
  <si>
    <t>◆Offshore 証明書のためやっているタクスです。
◆毎日は２時間かかります。
◆11月にはメンバー５人が開発レベルのタクスを対応しています。
◆一人⇒(２ x Working Day)</t>
    <rPh sb="10" eb="13">
      <t>ショウメイショ</t>
    </rPh>
    <rPh sb="29" eb="31">
      <t>マイニチ</t>
    </rPh>
    <rPh sb="33" eb="35">
      <t>ジカン</t>
    </rPh>
    <rPh sb="45" eb="46">
      <t>ゲツ</t>
    </rPh>
    <rPh sb="53" eb="54">
      <t>ニン</t>
    </rPh>
    <rPh sb="55" eb="57">
      <t>カイハツ</t>
    </rPh>
    <rPh sb="65" eb="67">
      <t>タイオウ</t>
    </rPh>
    <phoneticPr fontId="2"/>
  </si>
  <si>
    <t>計画が計算できないので、０になりました。</t>
    <rPh sb="0" eb="2">
      <t>ケイカク</t>
    </rPh>
    <rPh sb="3" eb="5">
      <t>ケイサン</t>
    </rPh>
    <phoneticPr fontId="2"/>
  </si>
  <si>
    <t>休暇の計画が計算できないので、０になりました。</t>
    <rPh sb="3" eb="5">
      <t>ケイカク</t>
    </rPh>
    <rPh sb="6" eb="8">
      <t>ケイサン</t>
    </rPh>
    <phoneticPr fontId="2"/>
  </si>
  <si>
    <t>今は新入社員がいないので計画は０ですが、案件がない時は後輩メンバーがスキルアップのため過去定型案件やエラーメッセージ修正とかをやっていますので計画と実績が異なります。</t>
    <rPh sb="0" eb="1">
      <t>イマ</t>
    </rPh>
    <rPh sb="2" eb="6">
      <t>シンニュウシャイン</t>
    </rPh>
    <rPh sb="12" eb="14">
      <t>ケイカク</t>
    </rPh>
    <rPh sb="20" eb="22">
      <t>アンケン</t>
    </rPh>
    <rPh sb="25" eb="26">
      <t>トキ</t>
    </rPh>
    <rPh sb="43" eb="45">
      <t>カコ</t>
    </rPh>
    <rPh sb="45" eb="49">
      <t>テイケイアンケン</t>
    </rPh>
    <rPh sb="58" eb="60">
      <t>シュウセイ</t>
    </rPh>
    <phoneticPr fontId="2"/>
  </si>
  <si>
    <t>JINWA Training(Class Hours)</t>
    <phoneticPr fontId="2"/>
  </si>
  <si>
    <t>11月には授業時間が1日あるので計画と実績が異なります。</t>
    <rPh sb="2" eb="3">
      <t>ゲツ</t>
    </rPh>
    <rPh sb="11" eb="12">
      <t>ニチ</t>
    </rPh>
    <phoneticPr fontId="2"/>
  </si>
  <si>
    <t>案件がない時にもJinwa研修を対応しているので計画と実績が異なります。</t>
    <rPh sb="13" eb="15">
      <t>ケンシュウ</t>
    </rPh>
    <rPh sb="16" eb="18">
      <t>タイオウ</t>
    </rPh>
    <phoneticPr fontId="2"/>
  </si>
  <si>
    <t>11月にはDIRの社長と会議があるし、社内トレーニング(C トレーニング)があるので計画と実績が異なります。</t>
    <rPh sb="2" eb="3">
      <t>ゲツ</t>
    </rPh>
    <rPh sb="9" eb="11">
      <t>シャチョウ</t>
    </rPh>
    <rPh sb="12" eb="14">
      <t>カイギ</t>
    </rPh>
    <rPh sb="19" eb="21">
      <t>シャナイ</t>
    </rPh>
    <phoneticPr fontId="2"/>
  </si>
  <si>
    <t>11月にはイェさんは８日と18日に休暇を取ったので計画と実績が異なります。</t>
    <rPh sb="11" eb="12">
      <t>ニチ</t>
    </rPh>
    <rPh sb="15" eb="16">
      <t>ニチ</t>
    </rPh>
    <rPh sb="20" eb="21">
      <t>ト</t>
    </rPh>
    <phoneticPr fontId="2"/>
  </si>
  <si>
    <t>②</t>
    <phoneticPr fontId="2"/>
  </si>
  <si>
    <t>週次報告シートについて</t>
    <phoneticPr fontId="2"/>
  </si>
  <si>
    <t>▲今週のため対応された案件などをリストアップして内訳として説明を報告することです。</t>
    <rPh sb="1" eb="3">
      <t>コンシュウ</t>
    </rPh>
    <rPh sb="6" eb="8">
      <t>タイオウ</t>
    </rPh>
    <rPh sb="11" eb="13">
      <t>アンケン</t>
    </rPh>
    <rPh sb="24" eb="26">
      <t>ウチワケ</t>
    </rPh>
    <rPh sb="29" eb="31">
      <t>セツメイ</t>
    </rPh>
    <rPh sb="32" eb="34">
      <t>ホウコク</t>
    </rPh>
    <phoneticPr fontId="2"/>
  </si>
  <si>
    <t>DIR担当</t>
    <phoneticPr fontId="2"/>
  </si>
  <si>
    <t>案件依頼しているDIR担当者名</t>
    <rPh sb="0" eb="2">
      <t>アンケン</t>
    </rPh>
    <rPh sb="2" eb="4">
      <t>イライ</t>
    </rPh>
    <rPh sb="11" eb="14">
      <t>タントウシャ</t>
    </rPh>
    <rPh sb="14" eb="15">
      <t>メイ</t>
    </rPh>
    <phoneticPr fontId="2"/>
  </si>
  <si>
    <t>日付[F]</t>
    <rPh sb="0" eb="2">
      <t>ヒヅケ</t>
    </rPh>
    <phoneticPr fontId="2"/>
  </si>
  <si>
    <t>今回の期間</t>
    <rPh sb="0" eb="2">
      <t>コンカイ</t>
    </rPh>
    <rPh sb="3" eb="5">
      <t>キカン</t>
    </rPh>
    <phoneticPr fontId="2"/>
  </si>
  <si>
    <t>日付[G]</t>
    <rPh sb="0" eb="2">
      <t>ヒヅケ</t>
    </rPh>
    <phoneticPr fontId="2"/>
  </si>
  <si>
    <t>来週の期間</t>
    <rPh sb="0" eb="2">
      <t>ライシュウ</t>
    </rPh>
    <rPh sb="3" eb="5">
      <t>キカン</t>
    </rPh>
    <phoneticPr fontId="2"/>
  </si>
  <si>
    <t>▲大体プロジェクトの種類として四つあります。報告スタイルは下記の通りになります。</t>
    <rPh sb="1" eb="3">
      <t>ダイタイ</t>
    </rPh>
    <rPh sb="10" eb="12">
      <t>シュルイ</t>
    </rPh>
    <rPh sb="15" eb="16">
      <t>ヨッ</t>
    </rPh>
    <rPh sb="22" eb="24">
      <t>ホウコク</t>
    </rPh>
    <rPh sb="29" eb="31">
      <t>カキ</t>
    </rPh>
    <rPh sb="32" eb="33">
      <t>トオ</t>
    </rPh>
    <phoneticPr fontId="2"/>
  </si>
  <si>
    <t>開発の流れ</t>
    <rPh sb="0" eb="2">
      <t>カイハツ</t>
    </rPh>
    <rPh sb="3" eb="4">
      <t>ナガ</t>
    </rPh>
    <phoneticPr fontId="2"/>
  </si>
  <si>
    <t>調査と開発</t>
    <phoneticPr fontId="2"/>
  </si>
  <si>
    <t>未着手、進行中、レビュー待ち、完了</t>
    <rPh sb="0" eb="3">
      <t>ミチャクシュ</t>
    </rPh>
    <rPh sb="4" eb="7">
      <t>シンコウチュウ</t>
    </rPh>
    <rPh sb="12" eb="13">
      <t>マ</t>
    </rPh>
    <rPh sb="15" eb="17">
      <t>カンリョウ</t>
    </rPh>
    <phoneticPr fontId="2"/>
  </si>
  <si>
    <t>結合テスト</t>
    <phoneticPr fontId="2"/>
  </si>
  <si>
    <t>UPDATE用資料</t>
    <phoneticPr fontId="2"/>
  </si>
  <si>
    <t>poptreeチェック</t>
    <phoneticPr fontId="2"/>
  </si>
  <si>
    <t>バッチ開発作業</t>
    <phoneticPr fontId="2"/>
  </si>
  <si>
    <t>基本設計</t>
    <rPh sb="0" eb="2">
      <t>キホン</t>
    </rPh>
    <rPh sb="2" eb="4">
      <t>セッケイ</t>
    </rPh>
    <phoneticPr fontId="2"/>
  </si>
  <si>
    <t>詳細設計</t>
    <rPh sb="0" eb="2">
      <t>ショウサイ</t>
    </rPh>
    <rPh sb="2" eb="4">
      <t>セッケイ</t>
    </rPh>
    <phoneticPr fontId="2"/>
  </si>
  <si>
    <t>コード開発</t>
    <rPh sb="3" eb="5">
      <t>カイハツ</t>
    </rPh>
    <phoneticPr fontId="2"/>
  </si>
  <si>
    <t>単体テスト</t>
    <rPh sb="0" eb="2">
      <t>タンタイ</t>
    </rPh>
    <phoneticPr fontId="2"/>
  </si>
  <si>
    <t>総合テスト</t>
    <phoneticPr fontId="2"/>
  </si>
  <si>
    <t>アドホックのタスク</t>
    <phoneticPr fontId="2"/>
  </si>
  <si>
    <t>要件確認</t>
    <rPh sb="0" eb="4">
      <t>ヨウケンカクニン</t>
    </rPh>
    <phoneticPr fontId="2"/>
  </si>
  <si>
    <t>調査と開発</t>
    <rPh sb="0" eb="2">
      <t>チョウサ</t>
    </rPh>
    <rPh sb="3" eb="5">
      <t>カイハツ</t>
    </rPh>
    <phoneticPr fontId="2"/>
  </si>
  <si>
    <t>結合テスト</t>
    <rPh sb="0" eb="2">
      <t>ケツゴウ</t>
    </rPh>
    <phoneticPr fontId="2"/>
  </si>
  <si>
    <t>総合テスト</t>
    <rPh sb="0" eb="2">
      <t>ソウゴウ</t>
    </rPh>
    <phoneticPr fontId="2"/>
  </si>
  <si>
    <t>UPDATE用資料</t>
    <rPh sb="6" eb="7">
      <t>ヨウ</t>
    </rPh>
    <rPh sb="7" eb="9">
      <t>シリョウ</t>
    </rPh>
    <phoneticPr fontId="2"/>
  </si>
  <si>
    <t>PR案件</t>
    <phoneticPr fontId="2"/>
  </si>
  <si>
    <t>開発の流れ</t>
  </si>
  <si>
    <t>③</t>
    <phoneticPr fontId="2"/>
  </si>
  <si>
    <t>休暇シートについて</t>
    <phoneticPr fontId="2"/>
  </si>
  <si>
    <t>▲今週、来週のためWB4チームメンバーの休暇情報を報告することです。</t>
    <rPh sb="4" eb="6">
      <t>ライシュウ</t>
    </rPh>
    <rPh sb="20" eb="22">
      <t>キュウカ</t>
    </rPh>
    <rPh sb="22" eb="24">
      <t>ジョウホウ</t>
    </rPh>
    <rPh sb="25" eb="27">
      <t>ホウコク</t>
    </rPh>
    <phoneticPr fontId="2"/>
  </si>
  <si>
    <t>テーブルの説明</t>
    <phoneticPr fontId="2"/>
  </si>
  <si>
    <t>略語</t>
    <phoneticPr fontId="2"/>
  </si>
  <si>
    <t>説明</t>
    <rPh sb="0" eb="2">
      <t>セツメイ</t>
    </rPh>
    <phoneticPr fontId="2"/>
  </si>
  <si>
    <t>出勤</t>
    <phoneticPr fontId="2"/>
  </si>
  <si>
    <t>休暇</t>
    <rPh sb="0" eb="2">
      <t>キュウカ</t>
    </rPh>
    <phoneticPr fontId="2"/>
  </si>
  <si>
    <t>半休</t>
    <phoneticPr fontId="2"/>
  </si>
  <si>
    <t>祝日</t>
    <phoneticPr fontId="2"/>
  </si>
  <si>
    <t>土曜日、日曜日</t>
    <rPh sb="0" eb="3">
      <t>ドヨウビ</t>
    </rPh>
    <rPh sb="4" eb="7">
      <t>ニチヨウビ</t>
    </rPh>
    <phoneticPr fontId="2"/>
  </si>
  <si>
    <t>メンバー名の略語</t>
    <rPh sb="4" eb="5">
      <t>メイ</t>
    </rPh>
    <phoneticPr fontId="2"/>
  </si>
  <si>
    <t>総休暇日数</t>
    <rPh sb="0" eb="1">
      <t>ソウ</t>
    </rPh>
    <rPh sb="1" eb="3">
      <t>キュウカ</t>
    </rPh>
    <rPh sb="3" eb="5">
      <t>ニッスウ</t>
    </rPh>
    <phoneticPr fontId="2"/>
  </si>
  <si>
    <t>Actual Working Days</t>
    <phoneticPr fontId="2"/>
  </si>
  <si>
    <t>総実稼働日数</t>
    <phoneticPr fontId="2"/>
  </si>
  <si>
    <t>④</t>
    <phoneticPr fontId="2"/>
  </si>
  <si>
    <t>祝日シートについて</t>
    <rPh sb="0" eb="2">
      <t>シュクジツ</t>
    </rPh>
    <phoneticPr fontId="2"/>
  </si>
  <si>
    <t>▲ミャンマー側の祝日情報を報告することです。</t>
    <rPh sb="6" eb="7">
      <t>ガワ</t>
    </rPh>
    <rPh sb="8" eb="10">
      <t>シュクジツ</t>
    </rPh>
    <rPh sb="10" eb="12">
      <t>ジョウホウ</t>
    </rPh>
    <rPh sb="13" eb="15">
      <t>ホウコク</t>
    </rPh>
    <phoneticPr fontId="2"/>
  </si>
  <si>
    <t xml:space="preserve">   Total Member - 8</t>
    <phoneticPr fontId="2"/>
  </si>
  <si>
    <t>DIR</t>
  </si>
  <si>
    <t>なし</t>
  </si>
  <si>
    <t>IKK</t>
    <phoneticPr fontId="2"/>
  </si>
  <si>
    <t>Independence Day</t>
  </si>
  <si>
    <t>Thingyan Holiday</t>
  </si>
  <si>
    <t>Full Moon Day of Kasong</t>
  </si>
  <si>
    <t>Martyr’s Day</t>
  </si>
  <si>
    <t>Thadingyut Festival</t>
  </si>
  <si>
    <t>Substitute Day</t>
    <phoneticPr fontId="2"/>
  </si>
  <si>
    <t>AP トレーニングの勉強</t>
    <phoneticPr fontId="2"/>
  </si>
  <si>
    <t xml:space="preserve">   FOC Member - 1</t>
    <phoneticPr fontId="2"/>
  </si>
  <si>
    <t>Contract Member - 7</t>
    <phoneticPr fontId="2"/>
  </si>
  <si>
    <t xml:space="preserve">   Total Member - 7</t>
    <phoneticPr fontId="2"/>
  </si>
  <si>
    <t>プロジェクト</t>
  </si>
  <si>
    <t>定型</t>
  </si>
  <si>
    <t>山田</t>
    <phoneticPr fontId="2"/>
  </si>
  <si>
    <t>KBN</t>
    <phoneticPr fontId="2"/>
  </si>
  <si>
    <t>03月01日~05日</t>
    <phoneticPr fontId="2"/>
  </si>
  <si>
    <t>02月01日~05日</t>
    <phoneticPr fontId="2"/>
  </si>
  <si>
    <t>01月01日~05日</t>
    <phoneticPr fontId="2"/>
  </si>
  <si>
    <t>08月01日~05日</t>
    <phoneticPr fontId="2"/>
  </si>
  <si>
    <t>11月01日~05日</t>
    <phoneticPr fontId="2"/>
  </si>
  <si>
    <t>12月01日~05日</t>
    <phoneticPr fontId="2"/>
  </si>
  <si>
    <t xml:space="preserve">   FOC Member - 2</t>
    <phoneticPr fontId="2"/>
  </si>
  <si>
    <t>Contract Member - 5</t>
    <phoneticPr fontId="2"/>
  </si>
  <si>
    <t>4月</t>
  </si>
  <si>
    <t>5月</t>
  </si>
  <si>
    <t>6月</t>
  </si>
  <si>
    <t>7月</t>
  </si>
  <si>
    <t>8月</t>
  </si>
  <si>
    <t>9月</t>
  </si>
  <si>
    <t>10月</t>
  </si>
  <si>
    <t>11月</t>
  </si>
  <si>
    <t>12月</t>
  </si>
  <si>
    <t>1月</t>
  </si>
  <si>
    <t>2月</t>
  </si>
  <si>
    <t>3月</t>
  </si>
  <si>
    <t>Contract MM</t>
    <phoneticPr fontId="2"/>
  </si>
  <si>
    <t>合計案件（計画）</t>
    <phoneticPr fontId="2"/>
  </si>
  <si>
    <t>合計案件（実績）</t>
    <phoneticPr fontId="2"/>
  </si>
  <si>
    <t>Diff</t>
    <phoneticPr fontId="2"/>
  </si>
  <si>
    <t>プロジェクト管理（計画）</t>
    <phoneticPr fontId="2"/>
  </si>
  <si>
    <t>プロジェクト管理（実績）</t>
    <phoneticPr fontId="2"/>
  </si>
  <si>
    <t>■合計</t>
    <phoneticPr fontId="2"/>
  </si>
  <si>
    <t>DIRタスク対応　人月　合計</t>
    <phoneticPr fontId="2"/>
  </si>
  <si>
    <t>■委託と生産性</t>
    <phoneticPr fontId="2"/>
  </si>
  <si>
    <t>委託率 (%)</t>
    <phoneticPr fontId="2"/>
  </si>
  <si>
    <t>~</t>
    <phoneticPr fontId="2"/>
  </si>
  <si>
    <t>生産性 (%)</t>
    <phoneticPr fontId="2"/>
  </si>
  <si>
    <t>Gazetted Holidays in Myanmar for 2026</t>
    <phoneticPr fontId="6"/>
  </si>
  <si>
    <t>Gazetted Holidays in Japan for 2026</t>
    <phoneticPr fontId="6"/>
  </si>
  <si>
    <t>International New Year’s Day</t>
  </si>
  <si>
    <t>Union Day</t>
    <phoneticPr fontId="2"/>
  </si>
  <si>
    <t>Union Day Holiday</t>
    <phoneticPr fontId="2"/>
  </si>
  <si>
    <t>Chinese New Year Day</t>
  </si>
  <si>
    <t>Chinese New Year Day Holiday</t>
    <phoneticPr fontId="2"/>
  </si>
  <si>
    <t>Peasants’ Day</t>
    <phoneticPr fontId="2"/>
  </si>
  <si>
    <t>Thingyan Holiday</t>
    <phoneticPr fontId="2"/>
  </si>
  <si>
    <t>National Holiday</t>
  </si>
  <si>
    <t>Labour Day</t>
    <phoneticPr fontId="2"/>
  </si>
  <si>
    <t>JUN</t>
    <phoneticPr fontId="6"/>
  </si>
  <si>
    <t>2026/xx/xx</t>
    <phoneticPr fontId="2"/>
  </si>
  <si>
    <t>Full Moon Day of Waso</t>
    <phoneticPr fontId="2"/>
  </si>
  <si>
    <t>Tazaungmone Holiday</t>
    <phoneticPr fontId="2"/>
  </si>
  <si>
    <t>Full Moon Day of Tazaungmone</t>
    <phoneticPr fontId="2"/>
  </si>
  <si>
    <t>National Day</t>
    <phoneticPr fontId="2"/>
  </si>
  <si>
    <t>Christmas Day</t>
    <phoneticPr fontId="2"/>
  </si>
  <si>
    <t>AMTZ</t>
    <phoneticPr fontId="2"/>
  </si>
  <si>
    <t>NCM</t>
    <phoneticPr fontId="2"/>
  </si>
  <si>
    <t>SMZK</t>
    <phoneticPr fontId="2"/>
  </si>
  <si>
    <t>SYA</t>
    <phoneticPr fontId="2"/>
  </si>
  <si>
    <t>MMH</t>
    <phoneticPr fontId="2"/>
  </si>
  <si>
    <t xml:space="preserve"> (ミャンマーの新年祝日)</t>
    <phoneticPr fontId="2"/>
  </si>
  <si>
    <t>来週のため休暇予定はありません。</t>
    <phoneticPr fontId="2"/>
  </si>
  <si>
    <t>A</t>
  </si>
  <si>
    <t>S</t>
  </si>
  <si>
    <t>H</t>
  </si>
  <si>
    <t>L</t>
  </si>
  <si>
    <t>エイミャさんは、2026年3月3日から6月15日まで産休を取ります。</t>
  </si>
  <si>
    <t>AMTZ</t>
  </si>
  <si>
    <t>NCM</t>
  </si>
  <si>
    <t>MMH</t>
  </si>
  <si>
    <t>SMZK</t>
  </si>
  <si>
    <t>SYA</t>
  </si>
  <si>
    <t>04月01日</t>
    <phoneticPr fontId="2"/>
  </si>
  <si>
    <t>月</t>
    <phoneticPr fontId="2"/>
  </si>
  <si>
    <t>日</t>
    <phoneticPr fontId="2"/>
  </si>
  <si>
    <t>BW1</t>
    <phoneticPr fontId="2"/>
  </si>
  <si>
    <t xml:space="preserve">  A5207110</t>
    <phoneticPr fontId="2"/>
  </si>
  <si>
    <t>【案件依頼】ビルド作業を対応</t>
    <phoneticPr fontId="2"/>
  </si>
  <si>
    <t>飯田</t>
    <phoneticPr fontId="2"/>
  </si>
  <si>
    <t>山本</t>
    <phoneticPr fontId="2"/>
  </si>
  <si>
    <t>WA2</t>
    <phoneticPr fontId="2"/>
  </si>
  <si>
    <t>【開発依頼】作業の自動化_UATヘルスチェック</t>
    <phoneticPr fontId="2"/>
  </si>
  <si>
    <t>PBxxxxxxxx</t>
    <phoneticPr fontId="2"/>
  </si>
  <si>
    <t>仲井</t>
    <phoneticPr fontId="2"/>
  </si>
  <si>
    <t>WA6</t>
    <phoneticPr fontId="2"/>
  </si>
  <si>
    <t>【開発依頼】作業の自動化・効率化_エラーメッセージ一覧作成</t>
    <phoneticPr fontId="2"/>
  </si>
  <si>
    <t>安藤</t>
    <phoneticPr fontId="2"/>
  </si>
  <si>
    <t>BT7</t>
    <phoneticPr fontId="2"/>
  </si>
  <si>
    <t>【開発依頼】4631_PBxxxxxxxx_(90)バッチ機DISC使用率軽減対応</t>
    <phoneticPr fontId="2"/>
  </si>
  <si>
    <t>F201</t>
    <phoneticPr fontId="2"/>
  </si>
  <si>
    <t>PB00202063</t>
    <phoneticPr fontId="2"/>
  </si>
  <si>
    <t>【定型】信用取引金利優遇条件設定依頼</t>
    <phoneticPr fontId="2"/>
  </si>
  <si>
    <t>永盛</t>
    <phoneticPr fontId="2"/>
  </si>
  <si>
    <t>PR15</t>
    <phoneticPr fontId="2"/>
  </si>
  <si>
    <t>PD00400226</t>
    <phoneticPr fontId="2"/>
  </si>
  <si>
    <t>【LISA】【フィデア】(1E)(1Y)銀行合併対応 開発フェーズ（LISA）</t>
    <phoneticPr fontId="2"/>
  </si>
  <si>
    <t>F202</t>
    <phoneticPr fontId="2"/>
  </si>
  <si>
    <t>PB00202062</t>
    <phoneticPr fontId="2"/>
  </si>
  <si>
    <t>【定型】投資家画面の文言変更</t>
    <phoneticPr fontId="2"/>
  </si>
  <si>
    <t>F203</t>
    <phoneticPr fontId="2"/>
  </si>
  <si>
    <t>PB00202085</t>
    <phoneticPr fontId="2"/>
  </si>
  <si>
    <t>【定型】株式委託手数料プランの名前変更</t>
    <phoneticPr fontId="2"/>
  </si>
  <si>
    <t>なし</t>
    <phoneticPr fontId="2"/>
  </si>
  <si>
    <t>開発レベル③</t>
  </si>
  <si>
    <t>開発レベル③</t>
    <phoneticPr fontId="2"/>
  </si>
  <si>
    <t>A5207110</t>
    <phoneticPr fontId="2"/>
  </si>
  <si>
    <t>設計書の変更：完了</t>
    <phoneticPr fontId="2"/>
  </si>
  <si>
    <t>PBxxxxxxxx</t>
  </si>
  <si>
    <t>開発：完了</t>
    <phoneticPr fontId="2"/>
  </si>
  <si>
    <t>自動化プロセスマニュアルの作成：完了</t>
    <phoneticPr fontId="2"/>
  </si>
  <si>
    <t>詳細設計書の作成：完了</t>
    <phoneticPr fontId="2"/>
  </si>
  <si>
    <t>調査（PR（44）・PR（共通）・AP）：完了</t>
    <rPh sb="0" eb="2">
      <t>チョウサ</t>
    </rPh>
    <phoneticPr fontId="2"/>
  </si>
  <si>
    <t>調査（BATCH）：完了</t>
    <phoneticPr fontId="2"/>
  </si>
  <si>
    <t>【LISA】【フィデア】4592_PD00400226_(1E)(1Y)銀行合併対応 開発フェーズ（LISA）</t>
    <phoneticPr fontId="2"/>
  </si>
  <si>
    <t>コード修正：完了</t>
    <phoneticPr fontId="2"/>
  </si>
  <si>
    <t>単体テスト：完了</t>
    <phoneticPr fontId="2"/>
  </si>
  <si>
    <t>調査：完了</t>
    <phoneticPr fontId="2"/>
  </si>
  <si>
    <t>UPDATE用資料：完了</t>
    <phoneticPr fontId="2"/>
  </si>
  <si>
    <t>F203</t>
  </si>
  <si>
    <t>DAT側での作業自体は完了いたしました。</t>
    <phoneticPr fontId="2"/>
  </si>
  <si>
    <t>04月02日~04月08日</t>
    <phoneticPr fontId="2"/>
  </si>
  <si>
    <t>ビルド作業を対応 (03/30~04/03) ：完了</t>
    <phoneticPr fontId="2"/>
  </si>
  <si>
    <t>2026/5/xx</t>
    <phoneticPr fontId="2"/>
  </si>
  <si>
    <t>調査（PR・WOLFDB）：完了</t>
    <phoneticPr fontId="2"/>
  </si>
  <si>
    <t>F204</t>
  </si>
  <si>
    <t>PB00202090</t>
    <phoneticPr fontId="2"/>
  </si>
  <si>
    <t>【定型】クイック入金ページの注意文言修正依頼</t>
    <phoneticPr fontId="2"/>
  </si>
  <si>
    <t>【PLATE】PLATE AUTOマニュアル修正</t>
    <phoneticPr fontId="2"/>
  </si>
  <si>
    <t>4574_PC00115425_(全社)信用取引残高報告のフォーマット変更に係る対応</t>
    <phoneticPr fontId="2"/>
  </si>
  <si>
    <t>【EPM】【依頼】レポーティング開発</t>
    <phoneticPr fontId="2"/>
  </si>
  <si>
    <t>PC00115425</t>
    <phoneticPr fontId="2"/>
  </si>
  <si>
    <t>PA5</t>
    <phoneticPr fontId="2"/>
  </si>
  <si>
    <t>EPM13</t>
    <phoneticPr fontId="2"/>
  </si>
  <si>
    <t>EPM14</t>
    <phoneticPr fontId="2"/>
  </si>
  <si>
    <t>坂野</t>
    <phoneticPr fontId="2"/>
  </si>
  <si>
    <t>鈴木</t>
    <phoneticPr fontId="2"/>
  </si>
  <si>
    <t>保存レポーティングのタイトル・説明文・保存ファイル名変更：完了</t>
    <phoneticPr fontId="2"/>
  </si>
  <si>
    <t>No.1096の公開：完了</t>
    <phoneticPr fontId="2"/>
  </si>
  <si>
    <t>52レポーティング追加対応：完了</t>
    <phoneticPr fontId="2"/>
  </si>
  <si>
    <t>TSO/SYA</t>
    <phoneticPr fontId="2"/>
  </si>
  <si>
    <t>SMZK/MMH</t>
  </si>
  <si>
    <t>NCM/SYA</t>
  </si>
  <si>
    <t>TZA/SMZK</t>
  </si>
  <si>
    <t>TSO/MMH</t>
  </si>
  <si>
    <t>結合テスト：完了</t>
    <phoneticPr fontId="2"/>
  </si>
  <si>
    <t>作業手順書、作業スクリプト作成：完了</t>
    <phoneticPr fontId="2"/>
  </si>
  <si>
    <t>マニュアル修正：完了</t>
    <phoneticPr fontId="2"/>
  </si>
  <si>
    <t>開発（SQL）：完了</t>
    <phoneticPr fontId="2"/>
  </si>
  <si>
    <t>作業手順書、作業スクリプト作成（SQL）：完了</t>
    <phoneticPr fontId="2"/>
  </si>
  <si>
    <t>Poptreeチェック：完了</t>
    <phoneticPr fontId="2"/>
  </si>
  <si>
    <t>水</t>
    <phoneticPr fontId="2"/>
  </si>
  <si>
    <t>木</t>
    <phoneticPr fontId="2"/>
  </si>
  <si>
    <t>04月09日~04月15日</t>
    <phoneticPr fontId="2"/>
  </si>
  <si>
    <t>金</t>
    <phoneticPr fontId="2"/>
  </si>
  <si>
    <t>今週のため休暇を取ったメンバーはいませんでした。</t>
    <phoneticPr fontId="2"/>
  </si>
  <si>
    <t>来週のため祝日はありません。</t>
    <phoneticPr fontId="2"/>
  </si>
  <si>
    <t>デモ画面の修正：完了</t>
    <phoneticPr fontId="2"/>
  </si>
  <si>
    <t>DAT側での作業自体は完了いたしました。</t>
  </si>
  <si>
    <t>山田</t>
  </si>
  <si>
    <t>F205</t>
    <phoneticPr fontId="2"/>
  </si>
  <si>
    <t>PB00202097_【定型】加入協会名変更</t>
    <phoneticPr fontId="2"/>
  </si>
  <si>
    <t>【WB4】【開発依頼】4670_PBxxxxxxxx_(0D)管理者画面の表示修正</t>
    <phoneticPr fontId="2"/>
  </si>
  <si>
    <t>PR16</t>
    <phoneticPr fontId="2"/>
  </si>
  <si>
    <t>04月16日~04月22日</t>
    <phoneticPr fontId="2"/>
  </si>
  <si>
    <t>WA5</t>
    <phoneticPr fontId="2"/>
  </si>
  <si>
    <t>【見積依頼】【EPM2】J-IRISS運営終了に伴う内部者情報照合ツール改修</t>
    <phoneticPr fontId="2"/>
  </si>
  <si>
    <t>髙木</t>
    <phoneticPr fontId="2"/>
  </si>
  <si>
    <t>PB00202097</t>
    <phoneticPr fontId="2"/>
  </si>
  <si>
    <t>開発環境へ反映（SQL）：完了</t>
    <phoneticPr fontId="2"/>
  </si>
  <si>
    <t>単体テス：完了</t>
    <phoneticPr fontId="2"/>
  </si>
  <si>
    <t>開発環境へ反映：完了</t>
    <phoneticPr fontId="2"/>
  </si>
  <si>
    <t>SMZK/MMH</t>
    <phoneticPr fontId="2"/>
  </si>
  <si>
    <t>具合③(1E)の調査：完了</t>
    <phoneticPr fontId="2"/>
  </si>
  <si>
    <t>具合③(1Y)の調査：完了</t>
    <phoneticPr fontId="2"/>
  </si>
  <si>
    <t>詳細設計の修正：完了</t>
    <phoneticPr fontId="2"/>
  </si>
  <si>
    <t>04月23日~04月29日</t>
    <phoneticPr fontId="2"/>
  </si>
  <si>
    <t>自動化プロセスマニュアルの修正：完了</t>
    <phoneticPr fontId="2"/>
  </si>
  <si>
    <t>ビルド作業を対応 (04/20~04/24) ：完了</t>
    <phoneticPr fontId="2"/>
  </si>
  <si>
    <t>ビルド作業を対応 (04/27~05/01) ：完了</t>
    <phoneticPr fontId="2"/>
  </si>
  <si>
    <t>今週の04月30日（木曜日）から05月01日（金曜日）まではミヤンマーの祝日です。</t>
    <phoneticPr fontId="2"/>
  </si>
  <si>
    <t xml:space="preserve">   Total Member - 6</t>
    <phoneticPr fontId="2"/>
  </si>
  <si>
    <t>05月01日~06日</t>
    <phoneticPr fontId="2"/>
  </si>
  <si>
    <t>単体テスト：完了</t>
    <rPh sb="6" eb="8">
      <t>カンリョウ</t>
    </rPh>
    <phoneticPr fontId="2"/>
  </si>
  <si>
    <t>TZA/SMZK/MMH</t>
    <phoneticPr fontId="2"/>
  </si>
  <si>
    <t>TZA/TSO/SYA</t>
    <phoneticPr fontId="2"/>
  </si>
  <si>
    <t>【見積依頼】4614_PB00202057_本人確認書類への「特定在留カード」等追加</t>
    <phoneticPr fontId="2"/>
  </si>
  <si>
    <t>PR17</t>
    <phoneticPr fontId="2"/>
  </si>
  <si>
    <t>PB00202057</t>
    <phoneticPr fontId="2"/>
  </si>
  <si>
    <t>【WB4】【開発案件】4665_PBxxxxxxxx_(0D,46)不要な監視抑止対応</t>
    <phoneticPr fontId="2"/>
  </si>
  <si>
    <t>BT8</t>
    <phoneticPr fontId="2"/>
  </si>
  <si>
    <t>納品物一覧の作成：完了</t>
    <phoneticPr fontId="2"/>
  </si>
  <si>
    <t>要件No1の調査：完了</t>
    <phoneticPr fontId="2"/>
  </si>
  <si>
    <t>05月07日~13日</t>
    <phoneticPr fontId="2"/>
  </si>
  <si>
    <t>要件No2(1)の調査：完了</t>
    <phoneticPr fontId="2"/>
  </si>
  <si>
    <t>ビルド作業を対応 (05/11~05/15) ：完了</t>
    <phoneticPr fontId="2"/>
  </si>
  <si>
    <t>「JYOKEN_OPEN」から設定削除のSQLの作成：完了</t>
    <phoneticPr fontId="2"/>
  </si>
  <si>
    <t>SQL反映の作業手順書の作成、作業スクリプトの作成：完了</t>
    <phoneticPr fontId="2"/>
  </si>
  <si>
    <t>要件No2（2)の調査：完了</t>
    <phoneticPr fontId="2"/>
  </si>
  <si>
    <t>Deepavali Holiday *</t>
    <phoneticPr fontId="2"/>
  </si>
  <si>
    <t>Eid Holiday *</t>
    <phoneticPr fontId="2"/>
  </si>
  <si>
    <t>05月14日~20日</t>
    <phoneticPr fontId="2"/>
  </si>
  <si>
    <t>SFA11</t>
    <phoneticPr fontId="2"/>
  </si>
  <si>
    <t>F206</t>
    <phoneticPr fontId="2"/>
  </si>
  <si>
    <t>梶</t>
    <phoneticPr fontId="2"/>
  </si>
  <si>
    <t>【SFA】【開発依頼】0G_面談記録表（SFA）バージョンアップ対応</t>
    <phoneticPr fontId="2"/>
  </si>
  <si>
    <t>PB00202128_【定型】目論見書閲覧画面の文言追加対応</t>
    <phoneticPr fontId="2"/>
  </si>
  <si>
    <t>PB00202128</t>
    <phoneticPr fontId="2"/>
  </si>
  <si>
    <t>邵</t>
    <phoneticPr fontId="2"/>
  </si>
  <si>
    <t>梶</t>
    <phoneticPr fontId="2"/>
  </si>
  <si>
    <t>SFA11</t>
    <phoneticPr fontId="2"/>
  </si>
  <si>
    <t>【SFA】【開発依頼】0G_面談記録表（SFA）バージョンアップ対応</t>
    <phoneticPr fontId="2"/>
  </si>
  <si>
    <t>邵</t>
    <phoneticPr fontId="2"/>
  </si>
  <si>
    <t>F206</t>
    <phoneticPr fontId="2"/>
  </si>
  <si>
    <t>邵</t>
    <phoneticPr fontId="2"/>
  </si>
  <si>
    <t>IC1</t>
    <phoneticPr fontId="2"/>
  </si>
  <si>
    <t>【調査依頼】4685_PBxxxxxxxx_(52)FISフェイルオーバー時の再接続に関する調査依頼</t>
    <phoneticPr fontId="2"/>
  </si>
  <si>
    <t>PBxxxxxxxx</t>
    <phoneticPr fontId="2"/>
  </si>
  <si>
    <t>PB00202128</t>
    <phoneticPr fontId="2"/>
  </si>
  <si>
    <t>PR開発フローについての学習と過去案件練習 : 完了</t>
    <phoneticPr fontId="2"/>
  </si>
  <si>
    <t>開発環境への反映（SQL）：完了</t>
    <phoneticPr fontId="2"/>
  </si>
  <si>
    <t>画面イメージの作成：完了</t>
    <phoneticPr fontId="2"/>
  </si>
  <si>
    <t>Poptreeチェック：完了</t>
    <phoneticPr fontId="2"/>
  </si>
  <si>
    <t>05月21日~27日</t>
    <phoneticPr fontId="2"/>
  </si>
  <si>
    <t>06月01日~03日</t>
    <phoneticPr fontId="2"/>
  </si>
  <si>
    <t>今週の5月28日（木曜日）はミヤンマーの祝日です。</t>
    <phoneticPr fontId="2"/>
  </si>
  <si>
    <t>(本番リリース)
2026/9/25
DAT側での作業自体は完了いたしました。</t>
    <phoneticPr fontId="2"/>
  </si>
  <si>
    <t>ビルド作業を対応 (05/25~05/29) ：完了</t>
    <phoneticPr fontId="2"/>
  </si>
  <si>
    <t>EPM15</t>
    <phoneticPr fontId="2"/>
  </si>
  <si>
    <t>【対応依頼】【EPM】(0D)レポーティング権限開放(WB4顧客セキュリティ設定リスト)</t>
    <phoneticPr fontId="2"/>
  </si>
  <si>
    <t>坂野</t>
    <phoneticPr fontId="2"/>
  </si>
  <si>
    <t>EPM15</t>
    <phoneticPr fontId="2"/>
  </si>
  <si>
    <t xml:space="preserve"> 【対応依頼】【EPM】(0D)レポーティング権限開放(WB4顧客セキュリティ設定リスト)</t>
    <phoneticPr fontId="2"/>
  </si>
  <si>
    <t>接続リトライ仕様の調査：完了</t>
    <phoneticPr fontId="2"/>
  </si>
  <si>
    <t>リトライ中止回数の調査：完了</t>
    <phoneticPr fontId="2"/>
  </si>
  <si>
    <t>手動再開手順の調査：完了</t>
    <phoneticPr fontId="2"/>
  </si>
  <si>
    <t>SQLファイル取得：完了</t>
    <phoneticPr fontId="2"/>
  </si>
  <si>
    <t>TZA/SMZK</t>
    <phoneticPr fontId="2"/>
  </si>
  <si>
    <t>追加の開発依頼(1W)の調査：完了</t>
    <phoneticPr fontId="2"/>
  </si>
  <si>
    <t>Poptreeチェック(開発)：完了</t>
    <phoneticPr fontId="2"/>
  </si>
  <si>
    <t>コード修正(P0、44、0F、0G、46、0D)：完了</t>
    <phoneticPr fontId="2"/>
  </si>
  <si>
    <t>開発環境へのSQL適用：完了</t>
    <phoneticPr fontId="2"/>
  </si>
  <si>
    <t>単体テスト実施：完了</t>
    <phoneticPr fontId="2"/>
  </si>
  <si>
    <t>テスト結果記録：完了</t>
    <phoneticPr fontId="2"/>
  </si>
  <si>
    <t>今週休暇を取ったメンバーはいませんでした。</t>
  </si>
  <si>
    <t>来週休暇予定はありません。</t>
  </si>
  <si>
    <t>来週祝日はありません。</t>
  </si>
  <si>
    <t>今週ミャンマーの祝日はありません。</t>
  </si>
  <si>
    <t>06月04日~10日</t>
    <phoneticPr fontId="2"/>
  </si>
  <si>
    <t>追加の開発依頼の調査：完了</t>
    <phoneticPr fontId="2"/>
  </si>
  <si>
    <t>~</t>
    <phoneticPr fontId="2"/>
  </si>
  <si>
    <t>追加の開発依頼の調査：完了</t>
    <phoneticPr fontId="2"/>
  </si>
  <si>
    <t>DAT側での作業自体は完了いたしました。</t>
    <phoneticPr fontId="2"/>
  </si>
  <si>
    <t>DAT側での作業自体は完了いたしました。</t>
    <phoneticPr fontId="2"/>
  </si>
  <si>
    <t>デモ画面の修正(0G、44、46)：完了</t>
    <phoneticPr fontId="2"/>
  </si>
  <si>
    <t>06月11日~17日</t>
    <phoneticPr fontId="2"/>
  </si>
  <si>
    <t>PR18</t>
    <phoneticPr fontId="2"/>
  </si>
  <si>
    <t>【開発依頼】【LISA】【1V254導入対応】(1V254)SONAR導入対応</t>
    <phoneticPr fontId="2"/>
  </si>
  <si>
    <t>土井</t>
    <phoneticPr fontId="2"/>
  </si>
  <si>
    <t>【開発依頼】【LISA】【1V254導入対応】(1V254)SONAR導入対応</t>
    <phoneticPr fontId="2"/>
  </si>
  <si>
    <t>土井</t>
    <phoneticPr fontId="2"/>
  </si>
  <si>
    <t>PR18</t>
    <phoneticPr fontId="2"/>
  </si>
  <si>
    <t>No.005の対応：完了</t>
    <phoneticPr fontId="2"/>
  </si>
  <si>
    <t>AMTZ/SYA</t>
    <phoneticPr fontId="2"/>
  </si>
  <si>
    <t>~</t>
    <phoneticPr fontId="2"/>
  </si>
  <si>
    <t>デモ画面の修正(P0、0F、0D)：完了</t>
    <phoneticPr fontId="2"/>
  </si>
  <si>
    <t>No.007の対応：完了</t>
    <phoneticPr fontId="2"/>
  </si>
  <si>
    <t>ビルド作業を対応 (06/08~06/12)：完了</t>
    <phoneticPr fontId="2"/>
  </si>
  <si>
    <t>単体テスト (0C)：完了</t>
    <phoneticPr fontId="2"/>
  </si>
  <si>
    <t>DAT側での作業自体は完了いたしました。</t>
    <phoneticPr fontId="2"/>
  </si>
  <si>
    <t>No.011の対応：完了</t>
    <phoneticPr fontId="2"/>
  </si>
  <si>
    <t>TSO/NCM/SYA</t>
    <phoneticPr fontId="2"/>
  </si>
  <si>
    <t>06月18日~24日</t>
    <phoneticPr fontId="2"/>
  </si>
  <si>
    <t>AP開発フローについての学習と過去案件練習 :完了</t>
    <phoneticPr fontId="2"/>
  </si>
  <si>
    <t>ビルド作業を対応 (06/22~06/26) ：完了</t>
    <phoneticPr fontId="2"/>
  </si>
  <si>
    <t>対応詳細1の対応（調査・開発・テスト）：完了</t>
    <rPh sb="6" eb="8">
      <t>タイオウ</t>
    </rPh>
    <phoneticPr fontId="2"/>
  </si>
  <si>
    <t>対応詳細2の対応（調査・開発・テスト）：完了</t>
    <rPh sb="6" eb="8">
      <t>タイオウ</t>
    </rPh>
    <phoneticPr fontId="2"/>
  </si>
  <si>
    <t>No.012の対応：完了</t>
    <phoneticPr fontId="2"/>
  </si>
  <si>
    <t>No.013の対応：完了</t>
    <phoneticPr fontId="2"/>
  </si>
  <si>
    <t>BT9</t>
    <phoneticPr fontId="2"/>
  </si>
  <si>
    <t>【開発依頼】4720_PBxxxxxxxx_【保守】デーモン停止チェック漏れ改善</t>
    <phoneticPr fontId="2"/>
  </si>
  <si>
    <t>田中</t>
    <phoneticPr fontId="2"/>
  </si>
  <si>
    <t>TSO/SYA</t>
    <phoneticPr fontId="2"/>
  </si>
  <si>
    <t>BT9</t>
    <phoneticPr fontId="2"/>
  </si>
  <si>
    <t>田中</t>
    <phoneticPr fontId="2"/>
  </si>
  <si>
    <t>06月25日~30日</t>
    <phoneticPr fontId="2"/>
  </si>
  <si>
    <t>07月01日</t>
    <phoneticPr fontId="2"/>
  </si>
  <si>
    <t>07月02日~08日</t>
    <phoneticPr fontId="2"/>
  </si>
  <si>
    <t>PB00202157_【定型】(46)外国株式ハードリミット設定依頼</t>
    <phoneticPr fontId="2"/>
  </si>
  <si>
    <t>【PLATE】【作業依頼】PLATE画面修正(C8202)</t>
    <phoneticPr fontId="2"/>
  </si>
  <si>
    <t>F207</t>
    <phoneticPr fontId="2"/>
  </si>
  <si>
    <t>F208</t>
    <phoneticPr fontId="2"/>
  </si>
  <si>
    <t>PL8</t>
    <phoneticPr fontId="2"/>
  </si>
  <si>
    <t>EPM16</t>
    <phoneticPr fontId="2"/>
  </si>
  <si>
    <t>【EPM2】【開発依頼】HULFT管理台帳(WB4-EPM)アップデート</t>
    <phoneticPr fontId="2"/>
  </si>
  <si>
    <t>【WB4】【LBX】【調査依頼】xxxx_PBxxxxxxxx_ライブラリ一覧作成</t>
    <phoneticPr fontId="2"/>
  </si>
  <si>
    <t>AH30</t>
    <phoneticPr fontId="2"/>
  </si>
  <si>
    <t>【EPM】【作業依頼】4733_PB00202160_(14)＜#20973＞【調査依頼】売買審査データ連携状況確認（2026年）</t>
    <phoneticPr fontId="2"/>
  </si>
  <si>
    <t>EPM17</t>
    <phoneticPr fontId="2"/>
  </si>
  <si>
    <t>F209</t>
    <phoneticPr fontId="2"/>
  </si>
  <si>
    <t>F210</t>
  </si>
  <si>
    <t>邵</t>
    <phoneticPr fontId="2"/>
  </si>
  <si>
    <t>山田</t>
    <phoneticPr fontId="2"/>
  </si>
  <si>
    <t>藤白</t>
    <phoneticPr fontId="2"/>
  </si>
  <si>
    <t>鈴木</t>
    <phoneticPr fontId="2"/>
  </si>
  <si>
    <t>德永</t>
    <phoneticPr fontId="2"/>
  </si>
  <si>
    <t>関谷</t>
    <phoneticPr fontId="2"/>
  </si>
  <si>
    <t>山本</t>
    <phoneticPr fontId="2"/>
  </si>
  <si>
    <t>安藤</t>
    <phoneticPr fontId="2"/>
  </si>
  <si>
    <t>F207</t>
    <phoneticPr fontId="2"/>
  </si>
  <si>
    <t>PB00202157_【定型】(46)外国株式ハードリミット設定依頼</t>
    <phoneticPr fontId="2"/>
  </si>
  <si>
    <t>F208</t>
    <phoneticPr fontId="2"/>
  </si>
  <si>
    <t>PB00202159_【定型】顧客情報入力画面リンク先変更</t>
    <phoneticPr fontId="2"/>
  </si>
  <si>
    <t>藤白</t>
    <phoneticPr fontId="2"/>
  </si>
  <si>
    <t>PL8</t>
    <phoneticPr fontId="2"/>
  </si>
  <si>
    <t>【PLATE】【作業依頼】PLATE画面修正(C8202)</t>
    <phoneticPr fontId="2"/>
  </si>
  <si>
    <t>EPM16</t>
    <phoneticPr fontId="2"/>
  </si>
  <si>
    <t>【EPM2】【開発依頼】HULFT管理台帳(WB4-EPM)アップデート</t>
    <phoneticPr fontId="2"/>
  </si>
  <si>
    <t>德永</t>
    <phoneticPr fontId="2"/>
  </si>
  <si>
    <t>AH30</t>
    <phoneticPr fontId="2"/>
  </si>
  <si>
    <t>【WB4】【LBX】【調査依頼】xxxx_PBxxxxxxxx_ライブラリ一覧作成</t>
    <phoneticPr fontId="2"/>
  </si>
  <si>
    <t>関谷</t>
    <phoneticPr fontId="2"/>
  </si>
  <si>
    <t>EPM17</t>
    <phoneticPr fontId="2"/>
  </si>
  <si>
    <t>【EPM】【作業依頼】4733_PB00202160_(14)＜#20973＞【調査依頼】売買審査データ連携状況確認（2026年）</t>
    <phoneticPr fontId="2"/>
  </si>
  <si>
    <t>F209</t>
    <phoneticPr fontId="2"/>
  </si>
  <si>
    <t>PB00202161_【定型】パスキー未登録顧客（認証方法はパスキー）のログイン時のエラーメッセージ変更</t>
    <phoneticPr fontId="2"/>
  </si>
  <si>
    <t>F210</t>
    <phoneticPr fontId="2"/>
  </si>
  <si>
    <t>PB00202162_【定型】多要素認証設定変更画面</t>
    <phoneticPr fontId="2"/>
  </si>
  <si>
    <t>Poptreeチェック：完了</t>
    <phoneticPr fontId="2"/>
  </si>
  <si>
    <t>開発：完了</t>
    <phoneticPr fontId="2"/>
  </si>
  <si>
    <t>sqlのテスト：完了</t>
    <phoneticPr fontId="2"/>
  </si>
  <si>
    <t>AMTZ/SYA</t>
    <phoneticPr fontId="2"/>
  </si>
  <si>
    <t>TSO/MMH</t>
    <phoneticPr fontId="2"/>
  </si>
  <si>
    <t>AMTZ/SMZK</t>
    <phoneticPr fontId="2"/>
  </si>
  <si>
    <t>TSO/SYA</t>
    <phoneticPr fontId="2"/>
  </si>
  <si>
    <t>AMTZ/MMH</t>
    <phoneticPr fontId="2"/>
  </si>
  <si>
    <t>単体テスト(46)：完了</t>
    <phoneticPr fontId="2"/>
  </si>
  <si>
    <t>調査(0C, 0D, 0G, 90, 91)：完了</t>
    <phoneticPr fontId="2"/>
  </si>
  <si>
    <t>ST環境への反映作業：完了</t>
    <phoneticPr fontId="2"/>
  </si>
  <si>
    <t>APjar一覧の調査：完了</t>
    <phoneticPr fontId="2"/>
  </si>
  <si>
    <t>PRjar一覧の調査：完了</t>
    <phoneticPr fontId="2"/>
  </si>
  <si>
    <t>LBXjar一覧の調査：完了</t>
    <phoneticPr fontId="2"/>
  </si>
  <si>
    <t>対応詳細3の対応（調査・開発・テスト）：完了</t>
    <rPh sb="6" eb="8">
      <t>タイオウ</t>
    </rPh>
    <phoneticPr fontId="2"/>
  </si>
  <si>
    <t>No.008の対応：完了</t>
    <phoneticPr fontId="2"/>
  </si>
  <si>
    <t>DAT側での作業自体は完了いたしました。</t>
    <phoneticPr fontId="2"/>
  </si>
  <si>
    <t>調査 (92, 93, 94, P0)：完了</t>
    <phoneticPr fontId="2"/>
  </si>
  <si>
    <t>PTE環境への反映作業：完了</t>
    <phoneticPr fontId="2"/>
  </si>
  <si>
    <t>その他_jar一覧の調査：完了</t>
    <phoneticPr fontId="2"/>
  </si>
  <si>
    <t>その他_js一覧の調査：完了</t>
    <phoneticPr fontId="2"/>
  </si>
  <si>
    <t>PRjs一覧の調査：完了</t>
    <phoneticPr fontId="2"/>
  </si>
  <si>
    <t>LBXjs一覧の調査：完了</t>
    <phoneticPr fontId="2"/>
  </si>
  <si>
    <t>対応詳細4の対応（調査・開発・テスト）：完了</t>
    <rPh sb="6" eb="8">
      <t>タイオウ</t>
    </rPh>
    <phoneticPr fontId="2"/>
  </si>
  <si>
    <t>F211</t>
    <phoneticPr fontId="2"/>
  </si>
  <si>
    <t>F212</t>
    <phoneticPr fontId="2"/>
  </si>
  <si>
    <t>F213</t>
    <phoneticPr fontId="2"/>
  </si>
  <si>
    <t>SYA</t>
    <phoneticPr fontId="2"/>
  </si>
  <si>
    <t>AMTZ/MMH</t>
    <phoneticPr fontId="2"/>
  </si>
  <si>
    <t>TSO/MMH</t>
    <phoneticPr fontId="2"/>
  </si>
  <si>
    <t>PB00202162</t>
    <phoneticPr fontId="2"/>
  </si>
  <si>
    <t>PB00202165</t>
    <phoneticPr fontId="2"/>
  </si>
  <si>
    <t>PB00202163</t>
    <phoneticPr fontId="2"/>
  </si>
  <si>
    <t>PB00202164</t>
    <phoneticPr fontId="2"/>
  </si>
  <si>
    <t>【定型】多要素認証設定変更画面</t>
    <phoneticPr fontId="2"/>
  </si>
  <si>
    <t>【定型】米国株注文画面への文言追加について</t>
    <phoneticPr fontId="2"/>
  </si>
  <si>
    <t>【定型】投資家サイトの注意文言追加</t>
    <phoneticPr fontId="2"/>
  </si>
  <si>
    <t>【定型】パスキー登録画面の表示テキストを追加希望</t>
    <phoneticPr fontId="2"/>
  </si>
  <si>
    <t>PB00202161</t>
    <phoneticPr fontId="2"/>
  </si>
  <si>
    <t>【定型】パスキー未登録顧客（認証方法はパスキー）のログイン時のエラーメッセージ変更</t>
    <phoneticPr fontId="2"/>
  </si>
  <si>
    <t>PB00202160</t>
    <phoneticPr fontId="2"/>
  </si>
  <si>
    <t>xxxx</t>
    <phoneticPr fontId="2"/>
  </si>
  <si>
    <t>PB00202159</t>
    <phoneticPr fontId="2"/>
  </si>
  <si>
    <t>【定型】顧客情報入力画面リンク先変更</t>
    <phoneticPr fontId="2"/>
  </si>
  <si>
    <t>PBxxxxxxxx</t>
    <phoneticPr fontId="2"/>
  </si>
  <si>
    <t>07月09日~15日</t>
    <phoneticPr fontId="2"/>
  </si>
  <si>
    <t>F211</t>
  </si>
  <si>
    <t>F212</t>
  </si>
  <si>
    <t>F213</t>
  </si>
  <si>
    <t>PB00202165_【定型】米国株注文画面への文言追加について</t>
    <phoneticPr fontId="2"/>
  </si>
  <si>
    <t>PB00202163_【定型】投資家サイトの注意文言追加</t>
    <phoneticPr fontId="2"/>
  </si>
  <si>
    <t>PB00202164_【定型】パスキー登録画面の表示テキストを追加希望</t>
    <phoneticPr fontId="2"/>
  </si>
  <si>
    <t>山田</t>
    <phoneticPr fontId="2"/>
  </si>
  <si>
    <t>仲井</t>
    <phoneticPr fontId="2"/>
  </si>
  <si>
    <t>山本</t>
    <phoneticPr fontId="2"/>
  </si>
  <si>
    <t>Batch開発フローについての学習と過去案件練習 :完了</t>
    <phoneticPr fontId="2"/>
  </si>
  <si>
    <t>ビルド作業を対応 (07/06~07/10) ：完了</t>
    <phoneticPr fontId="2"/>
  </si>
  <si>
    <t>単体テスト(0D)：完了</t>
    <phoneticPr fontId="2"/>
  </si>
  <si>
    <t>07月16日~22日</t>
    <phoneticPr fontId="2"/>
  </si>
  <si>
    <t>単体テスト(SQL)：完了</t>
    <phoneticPr fontId="2"/>
  </si>
  <si>
    <t>手順書の内容の確認：完了</t>
    <phoneticPr fontId="2"/>
  </si>
  <si>
    <t>本番データ受領 ：完了</t>
    <phoneticPr fontId="2"/>
  </si>
  <si>
    <t>SMZK</t>
    <phoneticPr fontId="2"/>
  </si>
  <si>
    <t>F214</t>
    <phoneticPr fontId="2"/>
  </si>
  <si>
    <t>【LISA】(15)社名変更案件への要員アサイン依頼</t>
    <phoneticPr fontId="2"/>
  </si>
  <si>
    <t>富田</t>
    <phoneticPr fontId="2"/>
  </si>
  <si>
    <t>PB00202110</t>
    <phoneticPr fontId="2"/>
  </si>
  <si>
    <t>LS1</t>
    <phoneticPr fontId="2"/>
  </si>
  <si>
    <t>PB00202171</t>
    <phoneticPr fontId="2"/>
  </si>
  <si>
    <t>【定型】振替金融機関口座登録受付画面の保守対応</t>
    <phoneticPr fontId="2"/>
  </si>
  <si>
    <t>【EPM2】【作業依頼】2GB超え帳票の調査　7月分</t>
    <phoneticPr fontId="2"/>
  </si>
  <si>
    <t>EPM18</t>
    <phoneticPr fontId="2"/>
  </si>
  <si>
    <t>対応詳細5の対応（調査・開発・テスト）：完了</t>
    <rPh sb="6" eb="8">
      <t>タイオウ</t>
    </rPh>
    <phoneticPr fontId="2"/>
  </si>
  <si>
    <t>Access取り込み（手順書②参照）：完了</t>
    <phoneticPr fontId="2"/>
  </si>
  <si>
    <t>サイズチェック結果ログ確認：完了</t>
    <phoneticPr fontId="2"/>
  </si>
  <si>
    <t>帳票サイズ増加傾向確認：完了</t>
    <phoneticPr fontId="2"/>
  </si>
  <si>
    <t>管理台帳の更新：完了</t>
    <phoneticPr fontId="2"/>
  </si>
  <si>
    <t>【依頼】PLETE画面マニュアル更新依頼（GI609）</t>
    <phoneticPr fontId="2"/>
  </si>
  <si>
    <t>PL9</t>
    <phoneticPr fontId="2"/>
  </si>
  <si>
    <t>坂野</t>
    <phoneticPr fontId="2"/>
  </si>
  <si>
    <t>PLATEの画面マニュアルのPDF化：完了</t>
    <phoneticPr fontId="2"/>
  </si>
  <si>
    <t>PLATEへの掲載依頼：完了</t>
    <phoneticPr fontId="2"/>
  </si>
  <si>
    <t>坂野</t>
    <phoneticPr fontId="2"/>
  </si>
  <si>
    <t>PL9</t>
    <phoneticPr fontId="2"/>
  </si>
  <si>
    <t>【依頼】PLETE画面マニュアル更新依頼（GI609）</t>
    <phoneticPr fontId="2"/>
  </si>
  <si>
    <t>07月23日~29日</t>
    <phoneticPr fontId="2"/>
  </si>
  <si>
    <t>AMTZ/TSO/SYA</t>
    <phoneticPr fontId="2"/>
  </si>
  <si>
    <t>AMTZ</t>
    <phoneticPr fontId="2"/>
  </si>
  <si>
    <t xml:space="preserve"> 【WB4】【開発依頼】【他社展開】UPDATE資料作成効率化</t>
    <phoneticPr fontId="2"/>
  </si>
  <si>
    <t>山田</t>
    <phoneticPr fontId="2"/>
  </si>
  <si>
    <t>WA7</t>
    <phoneticPr fontId="2"/>
  </si>
  <si>
    <t>07月30日~31日</t>
    <phoneticPr fontId="2"/>
  </si>
  <si>
    <t>PA6</t>
    <phoneticPr fontId="2"/>
  </si>
  <si>
    <t>【PLATE】【作業依頼】(0C)PLATEAUTO開放対応
＜K3316、K3326＞</t>
    <phoneticPr fontId="2"/>
  </si>
  <si>
    <t>藤白</t>
    <phoneticPr fontId="2"/>
  </si>
  <si>
    <t>Excel集計（手順書③参照）：完了</t>
    <phoneticPr fontId="2"/>
  </si>
  <si>
    <t>集計結果転記（手順書④参照）：完了</t>
    <phoneticPr fontId="2"/>
  </si>
  <si>
    <t>問題点確認・報告 ：完了</t>
    <phoneticPr fontId="2"/>
  </si>
  <si>
    <t>追加要件の開発：完了</t>
    <phoneticPr fontId="2"/>
  </si>
  <si>
    <t>ビルド作業を対応 (07/20~07/24) ：完了</t>
    <phoneticPr fontId="2"/>
  </si>
  <si>
    <t>DAT側での作業自体は完了いたしました。</t>
    <phoneticPr fontId="2"/>
  </si>
  <si>
    <t>WA7</t>
    <phoneticPr fontId="2"/>
  </si>
  <si>
    <t>PA6</t>
    <phoneticPr fontId="2"/>
  </si>
  <si>
    <t>山田</t>
    <phoneticPr fontId="2"/>
  </si>
  <si>
    <t>【WB4】【開発依頼】【他社展開】UPDATE資料作成効率化</t>
    <phoneticPr fontId="2"/>
  </si>
  <si>
    <t>【PLATE】【作業依頼】(0C)PLATEAUTO開放対応＜K3316、K3326＞</t>
    <phoneticPr fontId="2"/>
  </si>
  <si>
    <t>藤白</t>
    <phoneticPr fontId="2"/>
  </si>
  <si>
    <t>対応詳細7の対応（調査・開発・テスト）：完了</t>
    <rPh sb="6" eb="8">
      <t>タイオウ</t>
    </rPh>
    <phoneticPr fontId="2"/>
  </si>
  <si>
    <t>要件確認：完了</t>
    <phoneticPr fontId="2"/>
  </si>
  <si>
    <t>開発資源の作成：完了</t>
    <phoneticPr fontId="2"/>
  </si>
  <si>
    <t>TSO/SYA</t>
    <phoneticPr fontId="2"/>
  </si>
  <si>
    <t>AMTZ/MMH</t>
    <phoneticPr fontId="2"/>
  </si>
  <si>
    <t>案件</t>
    <phoneticPr fontId="66"/>
  </si>
  <si>
    <t>計画</t>
    <phoneticPr fontId="66"/>
  </si>
  <si>
    <t>実績</t>
    <phoneticPr fontId="66"/>
  </si>
  <si>
    <t>プロジェクト管理</t>
    <phoneticPr fontId="66"/>
  </si>
  <si>
    <t>ビルド作業を対応 (08/03~08/07)： 完了</t>
    <phoneticPr fontId="2"/>
  </si>
  <si>
    <t>poptreeの起票：完了</t>
    <phoneticPr fontId="2"/>
  </si>
  <si>
    <t>ST環境への反映：完了</t>
    <phoneticPr fontId="2"/>
  </si>
  <si>
    <t>ST環境でのテスト：完了</t>
    <phoneticPr fontId="2"/>
  </si>
  <si>
    <t>08月06日~12日</t>
    <phoneticPr fontId="2"/>
  </si>
  <si>
    <t>調査と確認：完了</t>
    <rPh sb="3" eb="5">
      <t>カクニン</t>
    </rPh>
    <phoneticPr fontId="2"/>
  </si>
  <si>
    <t>既存ツール調査：完了</t>
    <phoneticPr fontId="2"/>
  </si>
  <si>
    <t>PB00202176</t>
    <phoneticPr fontId="2"/>
  </si>
  <si>
    <t>【定型】信用取引金利優遇条件設定依頼</t>
    <phoneticPr fontId="2"/>
  </si>
  <si>
    <t>【依頼】PLETE画面マニュアル更新依頼（D3711～D3717）</t>
    <phoneticPr fontId="2"/>
  </si>
  <si>
    <t>F215</t>
    <phoneticPr fontId="2"/>
  </si>
  <si>
    <t>PL10</t>
    <phoneticPr fontId="2"/>
  </si>
  <si>
    <t>山田</t>
    <phoneticPr fontId="2"/>
  </si>
  <si>
    <t>鈴木</t>
    <phoneticPr fontId="2"/>
  </si>
  <si>
    <t>PB00202176_【定型】信用取引金利優遇条件設定依頼</t>
    <phoneticPr fontId="2"/>
  </si>
  <si>
    <t>AMTZ/MMH</t>
    <phoneticPr fontId="2"/>
  </si>
  <si>
    <t>AMTZ/SMZK</t>
    <phoneticPr fontId="2"/>
  </si>
  <si>
    <t>SFA開発フローについての学習と過去案件練習 : 完了</t>
    <phoneticPr fontId="2"/>
  </si>
  <si>
    <t>単体テスト：進行中</t>
    <phoneticPr fontId="2"/>
  </si>
  <si>
    <t>単体テスト：継続</t>
    <phoneticPr fontId="2"/>
  </si>
  <si>
    <t>SVN環境ファイルリスト取得ツール開発：完了</t>
    <phoneticPr fontId="2"/>
  </si>
  <si>
    <t>PTE環境への反映：完了</t>
    <phoneticPr fontId="2"/>
  </si>
  <si>
    <t>F216</t>
    <phoneticPr fontId="2"/>
  </si>
  <si>
    <t>川村</t>
    <phoneticPr fontId="2"/>
  </si>
  <si>
    <t>【定型】国内株式買い注文入力画面リンク先変更</t>
    <phoneticPr fontId="2"/>
  </si>
  <si>
    <t>PB00202193</t>
    <phoneticPr fontId="2"/>
  </si>
  <si>
    <t xml:space="preserve"> 【EPM】【作業依頼】(09)帳票マスタUPDATE依頼</t>
    <phoneticPr fontId="2"/>
  </si>
  <si>
    <t>藤白</t>
    <phoneticPr fontId="2"/>
  </si>
  <si>
    <t>EPM19</t>
    <phoneticPr fontId="2"/>
  </si>
  <si>
    <t>SYA</t>
    <phoneticPr fontId="2"/>
  </si>
  <si>
    <t>08月13日~19日</t>
    <phoneticPr fontId="2"/>
  </si>
  <si>
    <t xml:space="preserve"> 【EPM】【作業依頼】(09)帳票マスタUPDATE依頼</t>
    <phoneticPr fontId="2"/>
  </si>
  <si>
    <t>F216</t>
    <phoneticPr fontId="2"/>
  </si>
  <si>
    <t>PB00202193_【定型】国内株式買い注文入力画面リンク先変更</t>
    <phoneticPr fontId="2"/>
  </si>
  <si>
    <t>PB00202193</t>
    <phoneticPr fontId="2"/>
  </si>
  <si>
    <t>川村</t>
    <phoneticPr fontId="2"/>
  </si>
  <si>
    <t>藤白</t>
    <phoneticPr fontId="2"/>
  </si>
  <si>
    <t>PTE環境でのテスト：完了</t>
    <phoneticPr fontId="2"/>
  </si>
  <si>
    <t>UPDATE資源の作成：完了</t>
    <phoneticPr fontId="2"/>
  </si>
  <si>
    <t>反映作業：完了</t>
    <phoneticPr fontId="2"/>
  </si>
  <si>
    <t>テスト：完了</t>
    <phoneticPr fontId="2"/>
  </si>
  <si>
    <t>リリース資源：完了</t>
    <phoneticPr fontId="2"/>
  </si>
  <si>
    <t>ビルド作業を対応 (08/17~08/21)： 完了</t>
    <phoneticPr fontId="2"/>
  </si>
  <si>
    <t>08月20日~26日</t>
    <phoneticPr fontId="2"/>
  </si>
  <si>
    <t>PL11</t>
  </si>
  <si>
    <t>PL11</t>
    <phoneticPr fontId="2"/>
  </si>
  <si>
    <t>【依頼】PLETE画面マニュアル更新依頼（G1100）</t>
  </si>
  <si>
    <t>【依頼】PLETE画面マニュアル更新依頼（G1100）</t>
    <phoneticPr fontId="2"/>
  </si>
  <si>
    <t>AMTZ</t>
    <phoneticPr fontId="2"/>
  </si>
  <si>
    <t>TSO</t>
    <phoneticPr fontId="2"/>
  </si>
  <si>
    <t>【依頼】PLETE画面マニュアル更新依頼（G1100）</t>
    <phoneticPr fontId="2"/>
  </si>
  <si>
    <t>鈴木</t>
  </si>
  <si>
    <t>■ AI活用PoC結果推移</t>
    <phoneticPr fontId="2"/>
  </si>
  <si>
    <t>KPI</t>
  </si>
  <si>
    <t>生産性向上率（%）</t>
  </si>
  <si>
    <t>工数削減率（%）</t>
  </si>
  <si>
    <t>品質向上率（%）</t>
  </si>
  <si>
    <t>総工数（時間）</t>
  </si>
  <si>
    <t>削減工数（時間）</t>
  </si>
  <si>
    <t>平均工数削減率（%）</t>
  </si>
  <si>
    <t>平均現行精度（%）</t>
  </si>
  <si>
    <t>平均AI活用後精度（%）</t>
  </si>
  <si>
    <t>AI活用後工数（時間）</t>
  </si>
  <si>
    <t>総解放人月（人月）</t>
  </si>
  <si>
    <t>AIによる不足工数充足率（%）</t>
  </si>
  <si>
    <t>契約キャパシティ（人月）</t>
  </si>
  <si>
    <t>現行工数（人月）</t>
  </si>
  <si>
    <t>不足工数（人月）</t>
  </si>
  <si>
    <t>AIによって解放された能力（人月）</t>
  </si>
  <si>
    <t>時間</t>
    <phoneticPr fontId="2"/>
  </si>
  <si>
    <t>人月</t>
    <phoneticPr fontId="2"/>
  </si>
  <si>
    <t>%</t>
    <phoneticPr fontId="2"/>
  </si>
  <si>
    <t>AI活用案件数</t>
    <phoneticPr fontId="2"/>
  </si>
  <si>
    <t>※ AI活用の継続的な効果をご確認いただけるよう、月次報告に「AI活用PoC結果推移」シートを追加し、主要KPIの推移を可視化いたしました。</t>
    <phoneticPr fontId="2"/>
  </si>
  <si>
    <t>詳細設計の作成：完了</t>
    <phoneticPr fontId="2"/>
  </si>
  <si>
    <t>DAT側での作業自体は完了いたしました。</t>
    <phoneticPr fontId="2"/>
  </si>
  <si>
    <t>F217</t>
    <phoneticPr fontId="2"/>
  </si>
  <si>
    <t>PB00202199</t>
    <phoneticPr fontId="2"/>
  </si>
  <si>
    <t>【定型】「証券口座開設のご案内」文章変更依頼</t>
    <phoneticPr fontId="2"/>
  </si>
  <si>
    <t>資源開発：完了</t>
    <phoneticPr fontId="2"/>
  </si>
  <si>
    <t>【依頼】PLETE画面マニュアル　PDF作成の簡略化</t>
    <phoneticPr fontId="2"/>
  </si>
  <si>
    <t>鈴木</t>
    <phoneticPr fontId="2"/>
  </si>
  <si>
    <t>WA8</t>
    <phoneticPr fontId="2"/>
  </si>
  <si>
    <t>AMTZ/MMH</t>
    <phoneticPr fontId="2"/>
  </si>
  <si>
    <t>AMTZ/SMZK</t>
    <phoneticPr fontId="2"/>
  </si>
  <si>
    <t>PB00202199_【定型】「証券口座開設のご案内」文章変更依頼</t>
    <phoneticPr fontId="2"/>
  </si>
  <si>
    <t>PB00202199</t>
    <phoneticPr fontId="2"/>
  </si>
  <si>
    <t xml:space="preserve"> 【依頼】PLETE画面マニュアル　PDF作成の簡略化</t>
    <phoneticPr fontId="2"/>
  </si>
  <si>
    <t>08月27日~31日</t>
    <phoneticPr fontId="2"/>
  </si>
  <si>
    <t>09月01日~02日</t>
    <phoneticPr fontId="2"/>
  </si>
  <si>
    <t>ビルド作業を対応 (08/31~09/4)： 完了</t>
    <phoneticPr fontId="2"/>
  </si>
  <si>
    <t>~</t>
    <phoneticPr fontId="2"/>
  </si>
  <si>
    <t>【調査依頼】4782_PB00202198_【内藤】EPMアクセスログの詳細について</t>
    <phoneticPr fontId="2"/>
  </si>
  <si>
    <t>PB00202198</t>
    <phoneticPr fontId="2"/>
  </si>
  <si>
    <t>EPM20</t>
    <phoneticPr fontId="2"/>
  </si>
  <si>
    <t>【EPM】【開発依頼】(14)帳票閲覧権限開放依頼</t>
    <phoneticPr fontId="2"/>
  </si>
  <si>
    <t>EPM21</t>
  </si>
  <si>
    <t>EPM21</t>
    <phoneticPr fontId="2"/>
  </si>
  <si>
    <t>外国株・投資信託の画面定義の追加：完了</t>
    <phoneticPr fontId="2"/>
  </si>
  <si>
    <t>application.xmlの差分調査と反映：完了</t>
    <phoneticPr fontId="2"/>
  </si>
  <si>
    <t>環境への反映：完了</t>
    <phoneticPr fontId="2"/>
  </si>
  <si>
    <t>登録内容の確認：完了</t>
    <phoneticPr fontId="2"/>
  </si>
  <si>
    <t>登録完了報告：完了</t>
    <phoneticPr fontId="2"/>
  </si>
  <si>
    <t>山本</t>
    <phoneticPr fontId="2"/>
  </si>
  <si>
    <t>坂野</t>
    <phoneticPr fontId="2"/>
  </si>
  <si>
    <t>09月03日~09日</t>
    <phoneticPr fontId="2"/>
  </si>
  <si>
    <t>開発 (0D)：完了</t>
    <phoneticPr fontId="2"/>
  </si>
  <si>
    <t>DAT側での作業自体は完了いたしました。</t>
    <phoneticPr fontId="2"/>
  </si>
  <si>
    <t>09月10日~16日</t>
    <phoneticPr fontId="2"/>
  </si>
  <si>
    <t>単体テスト (0D)：完了</t>
    <phoneticPr fontId="2"/>
  </si>
  <si>
    <t>画面定義書の作成：完了</t>
    <phoneticPr fontId="2"/>
  </si>
  <si>
    <t>追加要件の結合テスト：完了</t>
    <phoneticPr fontId="2"/>
  </si>
  <si>
    <t>山本</t>
    <phoneticPr fontId="2"/>
  </si>
  <si>
    <t>坂野</t>
    <phoneticPr fontId="2"/>
  </si>
  <si>
    <t>F218</t>
  </si>
  <si>
    <t>F218</t>
    <phoneticPr fontId="2"/>
  </si>
  <si>
    <t>F219</t>
  </si>
  <si>
    <t>PB00202214_【定型】ネット取引メールアドレス入力画面注釈文言追加</t>
    <phoneticPr fontId="2"/>
  </si>
  <si>
    <t>PB00202215_【定型】(0D)パスキー問合せ先電話番号の変更</t>
    <phoneticPr fontId="2"/>
  </si>
  <si>
    <t>PB00202214</t>
    <phoneticPr fontId="2"/>
  </si>
  <si>
    <t>PB00202215</t>
    <phoneticPr fontId="2"/>
  </si>
  <si>
    <t>川村</t>
    <phoneticPr fontId="2"/>
  </si>
  <si>
    <t>邵</t>
    <phoneticPr fontId="2"/>
  </si>
  <si>
    <t>AMTZ/MMH</t>
    <phoneticPr fontId="2"/>
  </si>
  <si>
    <t>AMTZ/SYA</t>
    <phoneticPr fontId="2"/>
  </si>
  <si>
    <t>ビルド作業を対応 (09/14~09/18)：完了</t>
    <phoneticPr fontId="2"/>
  </si>
  <si>
    <t>DAT側での作業自体は完了いたしました。</t>
    <phoneticPr fontId="2"/>
  </si>
  <si>
    <t>鈴木</t>
    <phoneticPr fontId="2"/>
  </si>
  <si>
    <t>EPM22</t>
    <phoneticPr fontId="2"/>
  </si>
  <si>
    <t>TSO/SYA</t>
    <phoneticPr fontId="2"/>
  </si>
  <si>
    <t xml:space="preserve"> 【EPM2】【作業依頼】2GB超え帳票の調査　8月分</t>
    <phoneticPr fontId="2"/>
  </si>
  <si>
    <t>鈴木</t>
    <phoneticPr fontId="2"/>
  </si>
  <si>
    <t>EPM22</t>
    <phoneticPr fontId="2"/>
  </si>
  <si>
    <t>【EPM2】【作業依頼】2GB超え帳票の調査　8月分</t>
    <phoneticPr fontId="2"/>
  </si>
  <si>
    <t>09月17日~23日</t>
    <phoneticPr fontId="2"/>
  </si>
  <si>
    <t>PBxxxxxxxx</t>
    <phoneticPr fontId="2"/>
  </si>
  <si>
    <t>単体テスト(90)：進行中</t>
    <phoneticPr fontId="2"/>
  </si>
  <si>
    <t>単体テスト(0C)：完了</t>
    <phoneticPr fontId="2"/>
  </si>
  <si>
    <t>単体テスト(90)：継続</t>
    <phoneticPr fontId="2"/>
  </si>
  <si>
    <t>20261001～　20261007</t>
    <phoneticPr fontId="2"/>
  </si>
  <si>
    <t>UPDATEリスト整合性確認ツール開発：完了</t>
    <phoneticPr fontId="2"/>
  </si>
  <si>
    <t>【EPM2】【作業依頼】2GB超え帳票の調査　9月分</t>
    <phoneticPr fontId="2"/>
  </si>
  <si>
    <t>EPM23</t>
  </si>
  <si>
    <t>TSO/SMZK</t>
    <phoneticPr fontId="2"/>
  </si>
  <si>
    <t>MMM</t>
    <phoneticPr fontId="2"/>
  </si>
  <si>
    <t>09月24日~30日</t>
    <phoneticPr fontId="2"/>
  </si>
  <si>
    <t>単体テスト(91)：完了</t>
    <phoneticPr fontId="2"/>
  </si>
  <si>
    <t>【SFA】【調査依頼】0G_扱者コード変更時のエラー</t>
  </si>
  <si>
    <t>【SFA】【調査依頼】0G_扱者コード変更時のエラー</t>
    <phoneticPr fontId="2"/>
  </si>
  <si>
    <t>SFA12</t>
  </si>
  <si>
    <t>SFA12</t>
    <phoneticPr fontId="2"/>
  </si>
  <si>
    <t>梶</t>
  </si>
  <si>
    <t>梶</t>
    <phoneticPr fontId="2"/>
  </si>
  <si>
    <t>DAT側での作業自体は完了いたしました。</t>
    <phoneticPr fontId="2"/>
  </si>
  <si>
    <t>設計書の作成：進行中</t>
    <phoneticPr fontId="2"/>
  </si>
  <si>
    <t>設計書の作成：継続</t>
    <phoneticPr fontId="2"/>
  </si>
  <si>
    <t>Poptreeチェック：未着手</t>
    <phoneticPr fontId="2"/>
  </si>
  <si>
    <t>~</t>
    <phoneticPr fontId="2"/>
  </si>
  <si>
    <t>20261008～　20261007</t>
    <phoneticPr fontId="2"/>
  </si>
  <si>
    <t>ビルド作業を対応 (09/28~10/2)：完了</t>
    <phoneticPr fontId="2"/>
  </si>
  <si>
    <t>ビルド作業を対応 (10/12~10/16) ：継続</t>
    <phoneticPr fontId="2"/>
  </si>
  <si>
    <t>詳細設計の更新(No.94~96)：進行中</t>
    <phoneticPr fontId="2"/>
  </si>
  <si>
    <t>詳細設計の更新(No.94~96)：継続</t>
    <phoneticPr fontId="2"/>
  </si>
  <si>
    <t>詳細設計の更新(No.90~93)：完了</t>
    <phoneticPr fontId="2"/>
  </si>
  <si>
    <t>単体テスト(94)：完了</t>
    <phoneticPr fontId="2"/>
  </si>
  <si>
    <t>単体テスト準備において、対象CSHファイルの実行環境および実行条件の追加確認を実施したため、十分なテスト品質を確保する観点から、スケジュールを調整させていただいております。
(90)につきましては、単体テスト実施中に既存実装ロジックに改善の余地があることを確認いたしました。そのため、プログラムを改修のうえ、単体テストを再実施いたします。</t>
    <phoneticPr fontId="2"/>
  </si>
  <si>
    <t>エラーの調査：完了</t>
    <phoneticPr fontId="2"/>
  </si>
  <si>
    <t>エラーの調査ファイルを納品いたしました。</t>
    <phoneticPr fontId="2"/>
  </si>
  <si>
    <t>【LISA】第一勧信SONAR導入対応_移行リハに向けた追加開発　への要員アサイン依頼</t>
    <phoneticPr fontId="2"/>
  </si>
  <si>
    <t>LS2</t>
    <phoneticPr fontId="2"/>
  </si>
  <si>
    <t>富田</t>
    <phoneticPr fontId="2"/>
  </si>
  <si>
    <t>開発(SQL)：完了</t>
    <phoneticPr fontId="2"/>
  </si>
  <si>
    <t>【WB4】【打鍵依頼】マスターテストケースの打鍵依頼（PBxxxxxxxx_2026年10月他社展開）</t>
    <phoneticPr fontId="2"/>
  </si>
  <si>
    <t>PR19</t>
    <phoneticPr fontId="2"/>
  </si>
  <si>
    <t>仲井</t>
    <phoneticPr fontId="2"/>
  </si>
  <si>
    <t>第一陣（P0、0X、46、0C）打鍵：進行中</t>
    <phoneticPr fontId="2"/>
  </si>
  <si>
    <t>第二陣（0D、44、0F、0G）打鍵：未着手</t>
    <phoneticPr fontId="2"/>
  </si>
  <si>
    <t>第三陣（52、0H）打鍵：未着手</t>
    <phoneticPr fontId="2"/>
  </si>
  <si>
    <t>第一陣（P0、0X、46、0C）打鍵：継続</t>
    <phoneticPr fontId="2"/>
  </si>
  <si>
    <t>PB00202221_【定型】通常信用申込時のエラー文言修正</t>
    <phoneticPr fontId="2"/>
  </si>
  <si>
    <t>F220</t>
    <phoneticPr fontId="2"/>
  </si>
  <si>
    <t>川村</t>
    <phoneticPr fontId="2"/>
  </si>
  <si>
    <t>SQLの実行処理：進行中</t>
    <phoneticPr fontId="2"/>
  </si>
  <si>
    <t>開発依頼_4799_PBxxxxxxxx_(0D)管理者_代用有価証券振替の改善対応</t>
    <phoneticPr fontId="2"/>
  </si>
  <si>
    <t>開発：未着手</t>
    <phoneticPr fontId="2"/>
  </si>
  <si>
    <t>単体テスト：未着手</t>
    <phoneticPr fontId="2"/>
  </si>
  <si>
    <t>調査：進行中</t>
    <phoneticPr fontId="2"/>
  </si>
  <si>
    <t>SQLの実行処理：継続</t>
    <phoneticPr fontId="2"/>
  </si>
  <si>
    <t>調査：継続</t>
    <phoneticPr fontId="2"/>
  </si>
  <si>
    <t>安藤</t>
    <phoneticPr fontId="2"/>
  </si>
  <si>
    <t>AP1</t>
    <phoneticPr fontId="2"/>
  </si>
  <si>
    <t>調査依頼_4798_PBxxxxxxxx_(0C)外株発注状態監視デーモン改善対応</t>
    <phoneticPr fontId="2"/>
  </si>
  <si>
    <t>BT10</t>
    <phoneticPr fontId="2"/>
  </si>
  <si>
    <t>邵</t>
    <phoneticPr fontId="2"/>
  </si>
  <si>
    <t>現行実装方法調査：進行中</t>
    <phoneticPr fontId="2"/>
  </si>
  <si>
    <t>差異比較：進行中</t>
    <phoneticPr fontId="2"/>
  </si>
  <si>
    <t>改修案作成：未着手</t>
    <phoneticPr fontId="2"/>
  </si>
  <si>
    <t>影響調査：未着手</t>
    <phoneticPr fontId="2"/>
  </si>
  <si>
    <t>「外株発注状態監視デーモン」の現行実装方法の確認および他デーモンとの実装方式の差異比較について調査資料を作成中です。</t>
    <phoneticPr fontId="2"/>
  </si>
  <si>
    <t>BT11</t>
  </si>
  <si>
    <t>BT11</t>
    <phoneticPr fontId="2"/>
  </si>
  <si>
    <t>【調査依頼】xxxx_PBxxxxxxxx_【調査】振込先金融機関選択の改善</t>
    <phoneticPr fontId="2"/>
  </si>
  <si>
    <t>田中</t>
    <phoneticPr fontId="2"/>
  </si>
  <si>
    <t>AMTZ/SMZK</t>
    <phoneticPr fontId="2"/>
  </si>
  <si>
    <t>AMTZ/SMZK/SYA</t>
    <phoneticPr fontId="2"/>
  </si>
  <si>
    <t>TZA/SYA</t>
    <phoneticPr fontId="2"/>
  </si>
  <si>
    <t>AMTZ/TSO/SMZK</t>
    <phoneticPr fontId="2"/>
  </si>
  <si>
    <t>TSO/SYA</t>
    <phoneticPr fontId="2"/>
  </si>
  <si>
    <t>TSO/MMH</t>
    <phoneticPr fontId="2"/>
  </si>
  <si>
    <t>現行実装方法調査：継続</t>
    <phoneticPr fontId="2"/>
  </si>
  <si>
    <t>差異比較：継続</t>
    <phoneticPr fontId="2"/>
  </si>
  <si>
    <t>現状の把握：進行中</t>
    <phoneticPr fontId="2"/>
  </si>
  <si>
    <t>対応方法の検討：未着手</t>
    <phoneticPr fontId="2"/>
  </si>
  <si>
    <t>影響範囲：未着手</t>
    <phoneticPr fontId="2"/>
  </si>
  <si>
    <t>修正対象：未着手</t>
    <phoneticPr fontId="2"/>
  </si>
  <si>
    <t>PBxxxxxxxx</t>
    <phoneticPr fontId="2"/>
  </si>
  <si>
    <t>PB00202221</t>
    <phoneticPr fontId="2"/>
  </si>
  <si>
    <t>PB00202215</t>
    <phoneticPr fontId="2"/>
  </si>
  <si>
    <t>現状の把握：継続</t>
    <phoneticPr fontId="2"/>
  </si>
  <si>
    <t>10月01日~07日</t>
    <phoneticPr fontId="2"/>
  </si>
  <si>
    <t>PB00202157</t>
    <phoneticPr fontId="2"/>
  </si>
  <si>
    <t>PB00202159</t>
    <phoneticPr fontId="2"/>
  </si>
  <si>
    <t>PB00202162</t>
    <phoneticPr fontId="2"/>
  </si>
  <si>
    <t>PB00202165</t>
    <phoneticPr fontId="2"/>
  </si>
  <si>
    <t>PB00202163</t>
    <phoneticPr fontId="2"/>
  </si>
  <si>
    <t>PB00202164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</si>
</sst>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quot;月&quot;d&quot;日&quot;;@"/>
    <numFmt numFmtId="177" formatCode="yyyy\-mm\-dd"/>
    <numFmt numFmtId="178" formatCode="0.000"/>
    <numFmt numFmtId="179" formatCode="#,##0.00_ ;[Red]\-#,##0.00\ "/>
    <numFmt numFmtId="180" formatCode="#,##0.0_ ;[Red]\-#,##0.0\ "/>
    <numFmt numFmtId="181" formatCode="#,##0.0;[Red]\-#,##0.0"/>
    <numFmt numFmtId="182" formatCode="0.00_ "/>
    <numFmt numFmtId="183" formatCode="0.00_);[Red]\(0.00\)"/>
  </numFmts>
  <fonts count="72"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0"/>
      <color theme="1"/>
      <name val="Meiryo UI"/>
      <family val="3"/>
      <charset val="128"/>
    </font>
    <font>
      <sz val="11"/>
      <color theme="1"/>
      <name val="游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b/>
      <sz val="15"/>
      <color theme="1"/>
      <name val="Meiryo UI"/>
      <family val="3"/>
      <charset val="128"/>
    </font>
    <font>
      <b/>
      <sz val="10"/>
      <color theme="1"/>
      <name val="Meiryo UI"/>
      <family val="3"/>
      <charset val="128"/>
    </font>
    <font>
      <b/>
      <sz val="12"/>
      <color theme="1"/>
      <name val="Meiryo UI"/>
      <family val="3"/>
      <charset val="128"/>
    </font>
    <font>
      <b/>
      <sz val="13"/>
      <color theme="1"/>
      <name val="Meiryo UI"/>
      <family val="3"/>
      <charset val="128"/>
    </font>
    <font>
      <sz val="10"/>
      <name val="Meiryo UI"/>
      <family val="3"/>
      <charset val="128"/>
    </font>
    <font>
      <b/>
      <sz val="10"/>
      <name val="Meiryo UI"/>
      <family val="3"/>
      <charset val="128"/>
    </font>
    <font>
      <b/>
      <sz val="10"/>
      <color theme="0"/>
      <name val="Meiryo UI"/>
      <family val="3"/>
      <charset val="128"/>
    </font>
    <font>
      <u/>
      <sz val="11"/>
      <color theme="10"/>
      <name val="游ゴシック"/>
      <family val="2"/>
      <charset val="128"/>
      <scheme val="minor"/>
    </font>
    <font>
      <u/>
      <sz val="10"/>
      <color theme="10"/>
      <name val="Meiryo UI"/>
      <family val="3"/>
      <charset val="128"/>
    </font>
    <font>
      <sz val="11"/>
      <color theme="1"/>
      <name val="Meiryo UI"/>
      <family val="3"/>
      <charset val="128"/>
    </font>
    <font>
      <u/>
      <sz val="11"/>
      <color theme="10"/>
      <name val="Meiryo UI"/>
      <family val="3"/>
      <charset val="128"/>
    </font>
    <font>
      <sz val="10"/>
      <color rgb="FFFF0000"/>
      <name val="Meiryo UI"/>
      <family val="3"/>
      <charset val="128"/>
    </font>
    <font>
      <sz val="10"/>
      <color theme="9" tint="-0.249977111117893"/>
      <name val="Meiryo UI"/>
      <family val="3"/>
      <charset val="128"/>
    </font>
    <font>
      <sz val="10"/>
      <color theme="5" tint="-0.249977111117893"/>
      <name val="Meiryo UI"/>
      <family val="3"/>
      <charset val="128"/>
    </font>
    <font>
      <b/>
      <sz val="10"/>
      <color rgb="FFFF0000"/>
      <name val="Meiryo UI"/>
      <family val="3"/>
      <charset val="128"/>
    </font>
    <font>
      <sz val="10"/>
      <color theme="4" tint="-0.249977111117893"/>
      <name val="Meiryo UI"/>
      <family val="3"/>
      <charset val="128"/>
    </font>
    <font>
      <sz val="18"/>
      <color theme="4" tint="-0.249977111117893"/>
      <name val="Meiryo UI"/>
      <family val="3"/>
      <charset val="128"/>
    </font>
    <font>
      <sz val="14"/>
      <color theme="4" tint="-0.249977111117893"/>
      <name val="Meiryo UI"/>
      <family val="3"/>
      <charset val="128"/>
    </font>
    <font>
      <b/>
      <sz val="9"/>
      <color rgb="FF1102D6"/>
      <name val="Meiryo UI"/>
      <family val="3"/>
      <charset val="128"/>
    </font>
    <font>
      <b/>
      <sz val="11"/>
      <color theme="5" tint="-0.249977111117893"/>
      <name val="Meiryo UI"/>
      <family val="3"/>
      <charset val="128"/>
    </font>
    <font>
      <b/>
      <sz val="11"/>
      <color theme="9" tint="-0.249977111117893"/>
      <name val="Meiryo UI"/>
      <family val="3"/>
      <charset val="128"/>
    </font>
    <font>
      <b/>
      <sz val="11"/>
      <color theme="4" tint="-0.249977111117893"/>
      <name val="Meiryo UI"/>
      <family val="3"/>
      <charset val="128"/>
    </font>
    <font>
      <sz val="11"/>
      <color rgb="FFFF0000"/>
      <name val="Meiryo UI"/>
      <family val="3"/>
      <charset val="128"/>
    </font>
    <font>
      <b/>
      <sz val="11"/>
      <color theme="1"/>
      <name val="Meiryo UI"/>
      <family val="3"/>
      <charset val="128"/>
    </font>
    <font>
      <sz val="11"/>
      <name val="Meiryo UI"/>
      <family val="3"/>
      <charset val="128"/>
    </font>
    <font>
      <b/>
      <sz val="20"/>
      <color theme="1"/>
      <name val="Meiryo UI"/>
      <family val="3"/>
      <charset val="128"/>
    </font>
    <font>
      <b/>
      <sz val="11"/>
      <color theme="0"/>
      <name val="Meiryo UI"/>
      <family val="3"/>
      <charset val="128"/>
    </font>
    <font>
      <sz val="11"/>
      <color theme="5" tint="-0.249977111117893"/>
      <name val="Meiryo UI"/>
      <family val="3"/>
      <charset val="128"/>
    </font>
    <font>
      <sz val="11"/>
      <color theme="4" tint="-0.249977111117893"/>
      <name val="Meiryo UI"/>
      <family val="3"/>
      <charset val="128"/>
    </font>
    <font>
      <sz val="11"/>
      <color theme="9" tint="-0.249977111117893"/>
      <name val="Meiryo UI"/>
      <family val="3"/>
      <charset val="128"/>
    </font>
    <font>
      <b/>
      <sz val="11"/>
      <color rgb="FFFF0000"/>
      <name val="Meiryo UI"/>
      <family val="3"/>
      <charset val="128"/>
    </font>
    <font>
      <b/>
      <sz val="11"/>
      <color rgb="FF1102D6"/>
      <name val="Meiryo UI"/>
      <family val="3"/>
      <charset val="128"/>
    </font>
    <font>
      <sz val="11"/>
      <color rgb="FFFF0000"/>
      <name val="游ゴシック"/>
      <family val="2"/>
      <charset val="128"/>
      <scheme val="minor"/>
    </font>
    <font>
      <b/>
      <sz val="10"/>
      <color theme="1"/>
      <name val="游ゴシック"/>
      <family val="2"/>
      <charset val="128"/>
      <scheme val="minor"/>
    </font>
    <font>
      <b/>
      <sz val="10"/>
      <color theme="1"/>
      <name val="游ゴシック"/>
      <family val="3"/>
      <charset val="128"/>
      <scheme val="minor"/>
    </font>
    <font>
      <sz val="10"/>
      <color theme="1"/>
      <name val="游ゴシック"/>
      <family val="3"/>
      <charset val="128"/>
      <scheme val="minor"/>
    </font>
    <font>
      <b/>
      <sz val="11"/>
      <color theme="1"/>
      <name val="游ゴシック"/>
      <family val="3"/>
      <charset val="128"/>
      <scheme val="minor"/>
    </font>
    <font>
      <sz val="10"/>
      <color rgb="FFFF0000"/>
      <name val="游ゴシック"/>
      <family val="3"/>
      <charset val="128"/>
      <scheme val="minor"/>
    </font>
    <font>
      <i/>
      <sz val="10"/>
      <color theme="1"/>
      <name val="游ゴシック"/>
      <family val="3"/>
      <charset val="128"/>
      <scheme val="minor"/>
    </font>
    <font>
      <sz val="9"/>
      <color rgb="FFFF0000"/>
      <name val="Meiryo UI"/>
      <family val="3"/>
      <charset val="128"/>
    </font>
    <font>
      <sz val="9"/>
      <color theme="1"/>
      <name val="Meiryo UI"/>
      <family val="3"/>
      <charset val="128"/>
    </font>
    <font>
      <sz val="12"/>
      <color theme="4" tint="-0.249977111117893"/>
      <name val="Meiryo UI"/>
      <family val="3"/>
      <charset val="128"/>
    </font>
    <font>
      <sz val="8"/>
      <color rgb="FFFF0000"/>
      <name val="Meiryo UI"/>
      <family val="3"/>
      <charset val="128"/>
    </font>
    <font>
      <b/>
      <sz val="9"/>
      <color theme="1"/>
      <name val="Meiryo UI"/>
      <family val="3"/>
      <charset val="128"/>
    </font>
    <font>
      <sz val="7"/>
      <color theme="1"/>
      <name val="Meiryo UI"/>
      <family val="3"/>
      <charset val="128"/>
    </font>
    <font>
      <b/>
      <sz val="10"/>
      <color rgb="FFFFFFFF"/>
      <name val="BIZ UDPゴシック"/>
      <family val="3"/>
      <charset val="128"/>
    </font>
    <font>
      <sz val="11"/>
      <color theme="5" tint="0.79998168889431442"/>
      <name val="游ゴシック"/>
      <family val="3"/>
      <charset val="128"/>
      <scheme val="minor"/>
    </font>
    <font>
      <sz val="11"/>
      <color theme="5" tint="0.79998168889431442"/>
      <name val="游ゴシック"/>
      <family val="2"/>
      <charset val="128"/>
      <scheme val="minor"/>
    </font>
    <font>
      <sz val="11"/>
      <color rgb="FF000000"/>
      <name val="游ゴシック"/>
      <family val="3"/>
      <charset val="128"/>
      <scheme val="minor"/>
    </font>
    <font>
      <sz val="12"/>
      <color rgb="FFFF0000"/>
      <name val="Meiryo UI"/>
      <family val="3"/>
      <charset val="128"/>
    </font>
    <font>
      <b/>
      <sz val="11"/>
      <color rgb="FFFF0000"/>
      <name val="メイリオ"/>
      <family val="3"/>
      <charset val="128"/>
    </font>
    <font>
      <b/>
      <sz val="6.8"/>
      <color rgb="FFFF0000"/>
      <name val="メイリオ"/>
      <family val="3"/>
      <charset val="128"/>
    </font>
    <font>
      <b/>
      <sz val="8"/>
      <color rgb="FF1102D6"/>
      <name val="Meiryo UI"/>
      <family val="3"/>
      <charset val="128"/>
    </font>
    <font>
      <b/>
      <sz val="10"/>
      <color rgb="FFFF0000"/>
      <name val="メイリオ"/>
      <family val="3"/>
      <charset val="128"/>
    </font>
    <font>
      <b/>
      <sz val="8"/>
      <color theme="1"/>
      <name val="Meiryo UI"/>
      <family val="3"/>
      <charset val="128"/>
    </font>
    <font>
      <sz val="11"/>
      <color theme="0"/>
      <name val="游ゴシック"/>
      <family val="2"/>
      <charset val="128"/>
      <scheme val="minor"/>
    </font>
    <font>
      <b/>
      <i/>
      <sz val="10"/>
      <color rgb="FF7030A0"/>
      <name val="Meiryo UI"/>
      <family val="3"/>
      <charset val="128"/>
    </font>
    <font>
      <sz val="11"/>
      <name val="游ゴシック"/>
      <family val="2"/>
      <charset val="128"/>
      <scheme val="minor"/>
    </font>
    <font>
      <sz val="6"/>
      <name val="游ゴシック"/>
      <family val="3"/>
      <charset val="128"/>
      <scheme val="minor"/>
    </font>
    <font>
      <sz val="11"/>
      <color theme="0"/>
      <name val="游ゴシック"/>
      <family val="3"/>
      <charset val="128"/>
      <scheme val="minor"/>
    </font>
    <font>
      <sz val="11"/>
      <color theme="0" tint="-0.499984740745262"/>
      <name val="游ゴシック"/>
      <family val="3"/>
      <charset val="128"/>
      <scheme val="minor"/>
    </font>
    <font>
      <b/>
      <sz val="12"/>
      <color theme="1"/>
      <name val="BIZ UDPゴシック"/>
      <family val="3"/>
      <charset val="128"/>
    </font>
    <font>
      <sz val="11"/>
      <color theme="1"/>
      <name val="游ゴシック"/>
      <family val="2"/>
      <scheme val="minor"/>
    </font>
    <font>
      <i/>
      <sz val="10"/>
      <color theme="1"/>
      <name val="BIZ UDPゴシック"/>
      <family val="3"/>
      <charset val="128"/>
    </font>
  </fonts>
  <fills count="20">
    <fill>
      <patternFill patternType="none"/>
    </fill>
    <fill>
      <patternFill patternType="gray125"/>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C00000"/>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78637043366805E-2"/>
        <bgColor indexed="64"/>
      </patternFill>
    </fill>
  </fills>
  <borders count="66">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thin">
        <color indexed="64"/>
      </right>
      <top/>
      <bottom style="thin">
        <color indexed="64"/>
      </bottom>
      <diagonal/>
    </border>
    <border>
      <left/>
      <right style="double">
        <color indexed="64"/>
      </right>
      <top style="thin">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bottom/>
      <diagonal/>
    </border>
    <border>
      <left style="thin">
        <color indexed="64"/>
      </left>
      <right/>
      <top/>
      <bottom/>
      <diagonal/>
    </border>
    <border>
      <left style="double">
        <color indexed="64"/>
      </left>
      <right/>
      <top style="hair">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thin">
        <color indexed="64"/>
      </right>
      <top/>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double">
        <color indexed="64"/>
      </top>
      <bottom style="double">
        <color indexed="64"/>
      </bottom>
      <diagonal/>
    </border>
    <border>
      <left/>
      <right style="double">
        <color indexed="64"/>
      </right>
      <top style="thin">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medium">
        <color indexed="64"/>
      </left>
      <right/>
      <top/>
      <bottom/>
      <diagonal/>
    </border>
    <border>
      <left/>
      <right/>
      <top style="medium">
        <color indexed="64"/>
      </top>
      <bottom style="thin">
        <color indexed="64"/>
      </bottom>
      <diagonal/>
    </border>
    <border>
      <left style="double">
        <color indexed="64"/>
      </left>
      <right/>
      <top/>
      <bottom/>
      <diagonal/>
    </border>
    <border>
      <left/>
      <right style="medium">
        <color indexed="64"/>
      </right>
      <top/>
      <bottom/>
      <diagonal/>
    </border>
  </borders>
  <cellStyleXfs count="10">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4" fillId="0" borderId="0">
      <alignment vertical="center"/>
    </xf>
    <xf numFmtId="38" fontId="5" fillId="0" borderId="0" applyFont="0" applyFill="0" applyBorder="0" applyAlignment="0" applyProtection="0">
      <alignment vertical="center"/>
    </xf>
    <xf numFmtId="38" fontId="7" fillId="0" borderId="0" applyFont="0" applyFill="0" applyBorder="0" applyAlignment="0" applyProtection="0">
      <alignment vertical="center"/>
    </xf>
    <xf numFmtId="0" fontId="15" fillId="0" borderId="0" applyNumberFormat="0" applyFill="0" applyBorder="0" applyAlignment="0" applyProtection="0">
      <alignment vertical="center"/>
    </xf>
    <xf numFmtId="0" fontId="7" fillId="0" borderId="0"/>
    <xf numFmtId="0" fontId="7" fillId="0" borderId="0">
      <alignment vertical="center"/>
    </xf>
    <xf numFmtId="0" fontId="70" fillId="0" borderId="0"/>
  </cellStyleXfs>
  <cellXfs count="626">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13" xfId="0" applyFont="1" applyBorder="1" applyAlignment="1">
      <alignment horizontal="center" vertical="center"/>
    </xf>
    <xf numFmtId="0" fontId="3" fillId="0" borderId="13" xfId="0" applyFont="1" applyBorder="1">
      <alignment vertical="center"/>
    </xf>
    <xf numFmtId="0" fontId="3" fillId="2" borderId="13" xfId="0" applyFont="1" applyFill="1" applyBorder="1" applyAlignment="1">
      <alignment horizontal="center" vertical="center"/>
    </xf>
    <xf numFmtId="0" fontId="3" fillId="5" borderId="13" xfId="0" applyFont="1" applyFill="1" applyBorder="1" applyAlignment="1">
      <alignment horizontal="center" vertical="center"/>
    </xf>
    <xf numFmtId="0" fontId="10" fillId="0" borderId="0" xfId="0" applyFont="1">
      <alignment vertical="center"/>
    </xf>
    <xf numFmtId="0" fontId="11" fillId="0" borderId="0" xfId="0" applyFont="1">
      <alignment vertical="center"/>
    </xf>
    <xf numFmtId="0" fontId="3" fillId="0" borderId="0" xfId="0" applyFont="1" applyAlignment="1">
      <alignment vertical="center" shrinkToFit="1"/>
    </xf>
    <xf numFmtId="40" fontId="3" fillId="0" borderId="4" xfId="1" applyNumberFormat="1" applyFont="1" applyBorder="1" applyAlignment="1">
      <alignment horizontal="center" vertical="center"/>
    </xf>
    <xf numFmtId="40" fontId="3" fillId="0" borderId="9" xfId="1" applyNumberFormat="1" applyFont="1" applyBorder="1" applyAlignment="1">
      <alignment horizontal="center" vertical="center"/>
    </xf>
    <xf numFmtId="0" fontId="3" fillId="8" borderId="4" xfId="0" applyFont="1" applyFill="1" applyBorder="1">
      <alignment vertical="center"/>
    </xf>
    <xf numFmtId="176" fontId="3" fillId="8" borderId="4" xfId="0" applyNumberFormat="1" applyFont="1" applyFill="1" applyBorder="1">
      <alignment vertical="center"/>
    </xf>
    <xf numFmtId="0" fontId="3" fillId="8" borderId="9" xfId="0" applyFont="1" applyFill="1" applyBorder="1">
      <alignment vertical="center"/>
    </xf>
    <xf numFmtId="176" fontId="3" fillId="8" borderId="9" xfId="0" applyNumberFormat="1" applyFont="1" applyFill="1" applyBorder="1">
      <alignment vertical="center"/>
    </xf>
    <xf numFmtId="0" fontId="3" fillId="2" borderId="15" xfId="0" applyFont="1" applyFill="1" applyBorder="1" applyAlignment="1">
      <alignment horizontal="center" vertical="center"/>
    </xf>
    <xf numFmtId="40" fontId="3" fillId="0" borderId="21" xfId="1" applyNumberFormat="1" applyFont="1" applyBorder="1" applyAlignment="1">
      <alignment horizontal="center" vertical="center"/>
    </xf>
    <xf numFmtId="40" fontId="3" fillId="0" borderId="23" xfId="1" applyNumberFormat="1" applyFont="1" applyBorder="1" applyAlignment="1">
      <alignment horizontal="center" vertical="center"/>
    </xf>
    <xf numFmtId="40" fontId="3" fillId="0" borderId="6" xfId="1" applyNumberFormat="1" applyFont="1" applyBorder="1" applyAlignment="1">
      <alignment horizontal="center" vertical="center"/>
    </xf>
    <xf numFmtId="40" fontId="3" fillId="0" borderId="11" xfId="1" applyNumberFormat="1" applyFont="1" applyBorder="1" applyAlignment="1">
      <alignment horizontal="center" vertical="center"/>
    </xf>
    <xf numFmtId="0" fontId="8" fillId="0" borderId="0" xfId="0" applyFont="1">
      <alignment vertical="center"/>
    </xf>
    <xf numFmtId="0" fontId="3" fillId="0" borderId="0" xfId="0" applyFont="1" applyAlignment="1">
      <alignment horizontal="right" vertical="center"/>
    </xf>
    <xf numFmtId="40" fontId="3" fillId="0" borderId="0" xfId="1" applyNumberFormat="1" applyFont="1" applyBorder="1" applyAlignment="1">
      <alignment horizontal="center" vertical="center"/>
    </xf>
    <xf numFmtId="40" fontId="3" fillId="6" borderId="25" xfId="1" applyNumberFormat="1" applyFont="1" applyFill="1" applyBorder="1" applyAlignment="1">
      <alignment horizontal="center" vertical="center"/>
    </xf>
    <xf numFmtId="40" fontId="3" fillId="6" borderId="26" xfId="1" applyNumberFormat="1" applyFont="1" applyFill="1" applyBorder="1" applyAlignment="1">
      <alignment horizontal="center" vertical="center"/>
    </xf>
    <xf numFmtId="40" fontId="3" fillId="6" borderId="33" xfId="1" applyNumberFormat="1" applyFont="1" applyFill="1" applyBorder="1" applyAlignment="1">
      <alignment horizontal="center" vertical="center"/>
    </xf>
    <xf numFmtId="40" fontId="3" fillId="6" borderId="27" xfId="1" applyNumberFormat="1" applyFont="1" applyFill="1" applyBorder="1" applyAlignment="1">
      <alignment horizontal="center" vertical="center"/>
    </xf>
    <xf numFmtId="177" fontId="12" fillId="5" borderId="0" xfId="0" applyNumberFormat="1" applyFont="1" applyFill="1" applyAlignment="1">
      <alignment horizontal="center" vertical="center"/>
    </xf>
    <xf numFmtId="0" fontId="12" fillId="5" borderId="0" xfId="0" applyFont="1" applyFill="1" applyAlignment="1">
      <alignment horizontal="left" vertical="center"/>
    </xf>
    <xf numFmtId="0" fontId="12" fillId="0" borderId="0" xfId="0" applyFont="1" applyAlignment="1">
      <alignment horizontal="center" vertical="center"/>
    </xf>
    <xf numFmtId="177" fontId="12" fillId="0" borderId="0" xfId="0" applyNumberFormat="1" applyFont="1" applyAlignment="1">
      <alignment horizontal="center" vertical="center"/>
    </xf>
    <xf numFmtId="0" fontId="12" fillId="0" borderId="0" xfId="0" applyFont="1" applyAlignment="1">
      <alignment horizontal="left" vertical="center"/>
    </xf>
    <xf numFmtId="0" fontId="13" fillId="5" borderId="0" xfId="0" applyFont="1" applyFill="1" applyAlignment="1">
      <alignment horizontal="left" vertical="center"/>
    </xf>
    <xf numFmtId="40" fontId="3" fillId="6" borderId="13" xfId="0" applyNumberFormat="1" applyFont="1" applyFill="1" applyBorder="1">
      <alignment vertical="center"/>
    </xf>
    <xf numFmtId="0" fontId="3" fillId="6" borderId="13" xfId="0" applyFont="1" applyFill="1" applyBorder="1" applyAlignment="1">
      <alignment horizontal="right" vertical="center"/>
    </xf>
    <xf numFmtId="0" fontId="13" fillId="2" borderId="13" xfId="0" applyFont="1" applyFill="1" applyBorder="1" applyAlignment="1">
      <alignment horizontal="right" vertical="center" shrinkToFit="1"/>
    </xf>
    <xf numFmtId="0" fontId="14" fillId="7" borderId="13" xfId="0" applyFont="1" applyFill="1" applyBorder="1" applyAlignment="1">
      <alignment horizontal="right" vertical="center" shrinkToFit="1"/>
    </xf>
    <xf numFmtId="40" fontId="3" fillId="0" borderId="9" xfId="1" applyNumberFormat="1" applyFont="1" applyFill="1" applyBorder="1" applyAlignment="1">
      <alignment horizontal="center" vertical="center"/>
    </xf>
    <xf numFmtId="40" fontId="3" fillId="6" borderId="15" xfId="0" applyNumberFormat="1" applyFont="1" applyFill="1" applyBorder="1">
      <alignment vertical="center"/>
    </xf>
    <xf numFmtId="40" fontId="3" fillId="6" borderId="14" xfId="0" applyNumberFormat="1" applyFont="1" applyFill="1" applyBorder="1">
      <alignment vertical="center"/>
    </xf>
    <xf numFmtId="40" fontId="3" fillId="0" borderId="36" xfId="1" applyNumberFormat="1" applyFont="1" applyBorder="1" applyAlignment="1">
      <alignment horizontal="center" vertical="center"/>
    </xf>
    <xf numFmtId="40" fontId="3" fillId="6" borderId="4" xfId="1" applyNumberFormat="1" applyFont="1" applyFill="1" applyBorder="1" applyAlignment="1">
      <alignment horizontal="center" vertical="center"/>
    </xf>
    <xf numFmtId="40" fontId="3" fillId="6" borderId="9" xfId="1" applyNumberFormat="1" applyFont="1" applyFill="1" applyBorder="1" applyAlignment="1">
      <alignment horizontal="center" vertical="center"/>
    </xf>
    <xf numFmtId="40" fontId="9" fillId="2" borderId="25" xfId="0" applyNumberFormat="1" applyFont="1" applyFill="1" applyBorder="1" applyAlignment="1">
      <alignment horizontal="center" vertical="center"/>
    </xf>
    <xf numFmtId="40" fontId="9" fillId="2" borderId="26" xfId="0" applyNumberFormat="1" applyFont="1" applyFill="1" applyBorder="1" applyAlignment="1">
      <alignment horizontal="center" vertical="center"/>
    </xf>
    <xf numFmtId="0" fontId="9" fillId="0" borderId="0" xfId="0" applyFont="1">
      <alignment vertical="center"/>
    </xf>
    <xf numFmtId="40" fontId="3" fillId="0" borderId="4" xfId="1" applyNumberFormat="1" applyFont="1" applyFill="1" applyBorder="1" applyAlignment="1">
      <alignment horizontal="center" vertical="center"/>
    </xf>
    <xf numFmtId="40" fontId="3" fillId="0" borderId="39" xfId="1" applyNumberFormat="1" applyFont="1" applyBorder="1" applyAlignment="1">
      <alignment horizontal="center" vertical="center"/>
    </xf>
    <xf numFmtId="40" fontId="3" fillId="0" borderId="0" xfId="0" applyNumberFormat="1" applyFont="1">
      <alignment vertical="center"/>
    </xf>
    <xf numFmtId="40" fontId="3" fillId="0" borderId="40" xfId="1" applyNumberFormat="1" applyFont="1" applyBorder="1" applyAlignment="1">
      <alignment horizontal="center" vertical="center"/>
    </xf>
    <xf numFmtId="40" fontId="3" fillId="0" borderId="41" xfId="1" applyNumberFormat="1" applyFont="1" applyBorder="1" applyAlignment="1">
      <alignment horizontal="center" vertical="center"/>
    </xf>
    <xf numFmtId="0" fontId="12" fillId="0" borderId="0" xfId="0" applyFont="1">
      <alignment vertical="center"/>
    </xf>
    <xf numFmtId="40" fontId="3" fillId="0" borderId="10" xfId="1" applyNumberFormat="1" applyFont="1" applyBorder="1" applyAlignment="1">
      <alignment horizontal="center" vertical="center"/>
    </xf>
    <xf numFmtId="178" fontId="3" fillId="0" borderId="0" xfId="0" applyNumberFormat="1" applyFont="1">
      <alignment vertical="center"/>
    </xf>
    <xf numFmtId="0" fontId="24" fillId="0" borderId="0" xfId="0" applyFont="1">
      <alignment vertical="center"/>
    </xf>
    <xf numFmtId="40" fontId="3" fillId="0" borderId="44" xfId="1" applyNumberFormat="1" applyFont="1" applyBorder="1" applyAlignment="1">
      <alignment horizontal="center" vertical="center"/>
    </xf>
    <xf numFmtId="40" fontId="3" fillId="0" borderId="5" xfId="1" applyNumberFormat="1" applyFont="1" applyBorder="1" applyAlignment="1">
      <alignment horizontal="center" vertical="center"/>
    </xf>
    <xf numFmtId="40" fontId="3" fillId="0" borderId="8" xfId="1" applyNumberFormat="1" applyFont="1" applyBorder="1" applyAlignment="1">
      <alignment horizontal="center" vertical="center"/>
    </xf>
    <xf numFmtId="40" fontId="3" fillId="6" borderId="46" xfId="1" applyNumberFormat="1" applyFont="1" applyFill="1" applyBorder="1" applyAlignment="1">
      <alignment horizontal="center" vertical="center"/>
    </xf>
    <xf numFmtId="40" fontId="3" fillId="6" borderId="45" xfId="1" applyNumberFormat="1" applyFont="1" applyFill="1" applyBorder="1" applyAlignment="1">
      <alignment horizontal="center" vertical="center"/>
    </xf>
    <xf numFmtId="40" fontId="3" fillId="0" borderId="47" xfId="1" applyNumberFormat="1" applyFont="1" applyBorder="1" applyAlignment="1">
      <alignment horizontal="center" vertical="center"/>
    </xf>
    <xf numFmtId="40" fontId="3" fillId="0" borderId="43" xfId="1" applyNumberFormat="1" applyFont="1" applyBorder="1" applyAlignment="1">
      <alignment horizontal="center" vertical="center"/>
    </xf>
    <xf numFmtId="0" fontId="12" fillId="11" borderId="7" xfId="0" applyFont="1" applyFill="1" applyBorder="1">
      <alignment vertical="center"/>
    </xf>
    <xf numFmtId="0" fontId="3" fillId="11" borderId="7" xfId="0" applyFont="1" applyFill="1" applyBorder="1">
      <alignment vertical="center"/>
    </xf>
    <xf numFmtId="0" fontId="12" fillId="11" borderId="8" xfId="0" applyFont="1" applyFill="1" applyBorder="1">
      <alignment vertical="center"/>
    </xf>
    <xf numFmtId="0" fontId="3" fillId="11" borderId="8" xfId="0" applyFont="1" applyFill="1" applyBorder="1">
      <alignment vertical="center"/>
    </xf>
    <xf numFmtId="0" fontId="12" fillId="11" borderId="12" xfId="0" applyFont="1" applyFill="1" applyBorder="1">
      <alignment vertical="center"/>
    </xf>
    <xf numFmtId="0" fontId="3" fillId="11" borderId="12" xfId="0" applyFont="1" applyFill="1" applyBorder="1">
      <alignment vertical="center"/>
    </xf>
    <xf numFmtId="0" fontId="3" fillId="2" borderId="18" xfId="0" applyFont="1" applyFill="1" applyBorder="1" applyAlignment="1">
      <alignment horizontal="center" vertical="center"/>
    </xf>
    <xf numFmtId="0" fontId="3" fillId="2" borderId="48" xfId="0" applyFont="1" applyFill="1" applyBorder="1" applyAlignment="1">
      <alignment horizontal="center" vertical="center"/>
    </xf>
    <xf numFmtId="40" fontId="3" fillId="0" borderId="49" xfId="1" applyNumberFormat="1" applyFont="1" applyBorder="1" applyAlignment="1">
      <alignment horizontal="center" vertical="center"/>
    </xf>
    <xf numFmtId="0" fontId="25" fillId="0" borderId="0" xfId="0" applyFont="1">
      <alignment vertical="center"/>
    </xf>
    <xf numFmtId="0" fontId="31" fillId="0" borderId="50" xfId="0" applyFont="1" applyBorder="1">
      <alignment vertical="center"/>
    </xf>
    <xf numFmtId="0" fontId="31" fillId="0" borderId="51" xfId="0" applyFont="1" applyBorder="1">
      <alignment vertical="center"/>
    </xf>
    <xf numFmtId="0" fontId="31" fillId="0" borderId="52" xfId="0" applyFont="1" applyBorder="1">
      <alignment vertical="center"/>
    </xf>
    <xf numFmtId="0" fontId="31" fillId="0" borderId="53" xfId="0" applyFont="1" applyBorder="1">
      <alignment vertical="center"/>
    </xf>
    <xf numFmtId="0" fontId="17" fillId="0" borderId="54" xfId="0" applyFont="1" applyBorder="1">
      <alignment vertical="center"/>
    </xf>
    <xf numFmtId="0" fontId="17" fillId="0" borderId="55" xfId="0" applyFont="1" applyBorder="1">
      <alignment vertical="center"/>
    </xf>
    <xf numFmtId="40" fontId="3" fillId="0" borderId="56" xfId="1" applyNumberFormat="1" applyFont="1" applyBorder="1" applyAlignment="1">
      <alignment horizontal="center" vertical="center"/>
    </xf>
    <xf numFmtId="40" fontId="3" fillId="6" borderId="57" xfId="1" applyNumberFormat="1" applyFont="1" applyFill="1" applyBorder="1" applyAlignment="1">
      <alignment horizontal="center" vertical="center"/>
    </xf>
    <xf numFmtId="40" fontId="3" fillId="6" borderId="58" xfId="1" applyNumberFormat="1" applyFont="1" applyFill="1" applyBorder="1" applyAlignment="1">
      <alignment horizontal="center" vertical="center"/>
    </xf>
    <xf numFmtId="181" fontId="3" fillId="6" borderId="33" xfId="1" applyNumberFormat="1" applyFont="1" applyFill="1" applyBorder="1" applyAlignment="1">
      <alignment horizontal="center" vertical="center"/>
    </xf>
    <xf numFmtId="0" fontId="17" fillId="0" borderId="0" xfId="0" applyFont="1">
      <alignment vertical="center"/>
    </xf>
    <xf numFmtId="0" fontId="32" fillId="13" borderId="12" xfId="0" applyFont="1" applyFill="1" applyBorder="1">
      <alignment vertical="center"/>
    </xf>
    <xf numFmtId="0" fontId="33" fillId="0" borderId="0" xfId="0" applyFont="1">
      <alignment vertical="center"/>
    </xf>
    <xf numFmtId="0" fontId="31" fillId="0" borderId="0" xfId="0" applyFont="1">
      <alignment vertical="center"/>
    </xf>
    <xf numFmtId="0" fontId="17" fillId="0" borderId="0" xfId="0" applyFont="1" applyAlignment="1">
      <alignment vertical="center" shrinkToFit="1"/>
    </xf>
    <xf numFmtId="0" fontId="17" fillId="5" borderId="15" xfId="0" applyFont="1" applyFill="1" applyBorder="1" applyAlignment="1">
      <alignment vertical="center" wrapText="1"/>
    </xf>
    <xf numFmtId="0" fontId="17" fillId="5" borderId="13" xfId="0" applyFont="1" applyFill="1" applyBorder="1" applyAlignment="1">
      <alignment horizontal="center" vertical="center" wrapText="1"/>
    </xf>
    <xf numFmtId="0" fontId="17" fillId="0" borderId="0" xfId="0" applyFont="1" applyAlignment="1">
      <alignment horizontal="center" vertical="center"/>
    </xf>
    <xf numFmtId="40" fontId="17" fillId="0" borderId="4" xfId="1" applyNumberFormat="1" applyFont="1" applyBorder="1" applyAlignment="1">
      <alignment horizontal="center" vertical="center"/>
    </xf>
    <xf numFmtId="40" fontId="17" fillId="0" borderId="21" xfId="1" applyNumberFormat="1" applyFont="1" applyBorder="1" applyAlignment="1">
      <alignment horizontal="center" vertical="center"/>
    </xf>
    <xf numFmtId="40" fontId="17" fillId="0" borderId="23" xfId="1" applyNumberFormat="1" applyFont="1" applyBorder="1" applyAlignment="1">
      <alignment horizontal="center" vertical="center"/>
    </xf>
    <xf numFmtId="40" fontId="17" fillId="0" borderId="0" xfId="0" applyNumberFormat="1" applyFont="1">
      <alignment vertical="center"/>
    </xf>
    <xf numFmtId="0" fontId="17" fillId="0" borderId="22" xfId="0" applyFont="1" applyBorder="1">
      <alignment vertical="center"/>
    </xf>
    <xf numFmtId="0" fontId="17" fillId="0" borderId="5" xfId="0" applyFont="1" applyBorder="1" applyAlignment="1">
      <alignment horizontal="right" vertical="center"/>
    </xf>
    <xf numFmtId="0" fontId="17" fillId="0" borderId="24" xfId="0" applyFont="1" applyBorder="1">
      <alignment vertical="center"/>
    </xf>
    <xf numFmtId="0" fontId="17" fillId="0" borderId="10" xfId="0" applyFont="1" applyBorder="1" applyAlignment="1">
      <alignment horizontal="right" vertical="center"/>
    </xf>
    <xf numFmtId="40" fontId="17" fillId="0" borderId="9" xfId="1" applyNumberFormat="1" applyFont="1" applyBorder="1" applyAlignment="1">
      <alignment horizontal="center" vertical="center"/>
    </xf>
    <xf numFmtId="176" fontId="17" fillId="8" borderId="4" xfId="0" applyNumberFormat="1" applyFont="1" applyFill="1" applyBorder="1">
      <alignment vertical="center"/>
    </xf>
    <xf numFmtId="176" fontId="17" fillId="8" borderId="9" xfId="0" applyNumberFormat="1" applyFont="1" applyFill="1" applyBorder="1">
      <alignment vertical="center"/>
    </xf>
    <xf numFmtId="40" fontId="17" fillId="0" borderId="10" xfId="1" applyNumberFormat="1" applyFont="1" applyBorder="1" applyAlignment="1">
      <alignment horizontal="center" vertical="center"/>
    </xf>
    <xf numFmtId="0" fontId="17" fillId="6" borderId="13" xfId="0" applyFont="1" applyFill="1" applyBorder="1" applyAlignment="1">
      <alignment horizontal="right" vertical="center"/>
    </xf>
    <xf numFmtId="40" fontId="17" fillId="6" borderId="13" xfId="1" applyNumberFormat="1" applyFont="1" applyFill="1" applyBorder="1" applyAlignment="1">
      <alignment horizontal="center" vertical="center"/>
    </xf>
    <xf numFmtId="40" fontId="17" fillId="6" borderId="13" xfId="0" applyNumberFormat="1" applyFont="1" applyFill="1" applyBorder="1">
      <alignment vertical="center"/>
    </xf>
    <xf numFmtId="40" fontId="17" fillId="6" borderId="12" xfId="1" applyNumberFormat="1" applyFont="1" applyFill="1" applyBorder="1" applyAlignment="1">
      <alignment horizontal="center" vertical="center"/>
    </xf>
    <xf numFmtId="0" fontId="17" fillId="4" borderId="15" xfId="0" applyFont="1" applyFill="1" applyBorder="1" applyAlignment="1">
      <alignment vertical="center" wrapText="1"/>
    </xf>
    <xf numFmtId="0" fontId="17" fillId="4" borderId="13" xfId="0" applyFont="1" applyFill="1" applyBorder="1" applyAlignment="1">
      <alignment horizontal="center" vertical="center" wrapText="1"/>
    </xf>
    <xf numFmtId="176" fontId="17" fillId="8" borderId="4" xfId="0" quotePrefix="1" applyNumberFormat="1" applyFont="1" applyFill="1" applyBorder="1">
      <alignment vertical="center"/>
    </xf>
    <xf numFmtId="176" fontId="17" fillId="8" borderId="9" xfId="0" quotePrefix="1" applyNumberFormat="1" applyFont="1" applyFill="1" applyBorder="1">
      <alignment vertical="center"/>
    </xf>
    <xf numFmtId="0" fontId="17" fillId="0" borderId="0" xfId="0" applyFont="1" applyAlignment="1">
      <alignment horizontal="right" vertical="center"/>
    </xf>
    <xf numFmtId="40" fontId="17" fillId="0" borderId="0" xfId="1" applyNumberFormat="1" applyFont="1" applyBorder="1" applyAlignment="1">
      <alignment horizontal="center" vertical="center"/>
    </xf>
    <xf numFmtId="0" fontId="34" fillId="7" borderId="13" xfId="0" applyFont="1" applyFill="1" applyBorder="1" applyAlignment="1">
      <alignment horizontal="right" vertical="center" shrinkToFit="1"/>
    </xf>
    <xf numFmtId="40" fontId="34" fillId="7" borderId="25" xfId="0" applyNumberFormat="1" applyFont="1" applyFill="1" applyBorder="1" applyAlignment="1">
      <alignment horizontal="center" vertical="center"/>
    </xf>
    <xf numFmtId="40" fontId="34" fillId="7" borderId="26" xfId="0" applyNumberFormat="1" applyFont="1" applyFill="1" applyBorder="1" applyAlignment="1">
      <alignment horizontal="center" vertical="center"/>
    </xf>
    <xf numFmtId="0" fontId="32" fillId="0" borderId="0" xfId="0" applyFont="1">
      <alignment vertical="center"/>
    </xf>
    <xf numFmtId="0" fontId="35" fillId="0" borderId="0" xfId="0" applyFont="1" applyAlignment="1">
      <alignment horizontal="center" vertical="center"/>
    </xf>
    <xf numFmtId="0" fontId="35" fillId="0" borderId="0" xfId="0" applyFont="1">
      <alignment vertical="center"/>
    </xf>
    <xf numFmtId="0" fontId="36" fillId="0" borderId="0" xfId="0" applyFont="1" applyAlignment="1">
      <alignment horizontal="center" vertical="center"/>
    </xf>
    <xf numFmtId="0" fontId="36" fillId="0" borderId="0" xfId="0" applyFont="1">
      <alignment vertical="center"/>
    </xf>
    <xf numFmtId="0" fontId="37" fillId="0" borderId="0" xfId="0" applyFont="1">
      <alignment vertical="center"/>
    </xf>
    <xf numFmtId="179" fontId="38" fillId="0" borderId="0" xfId="0" applyNumberFormat="1" applyFont="1">
      <alignment vertical="center"/>
    </xf>
    <xf numFmtId="179" fontId="38" fillId="0" borderId="0" xfId="0" applyNumberFormat="1" applyFont="1" applyAlignment="1">
      <alignment horizontal="center" vertical="center"/>
    </xf>
    <xf numFmtId="40" fontId="17" fillId="0" borderId="0" xfId="0" applyNumberFormat="1" applyFont="1" applyAlignment="1">
      <alignment horizontal="center" vertical="center"/>
    </xf>
    <xf numFmtId="0" fontId="39" fillId="0" borderId="0" xfId="0" applyFont="1">
      <alignment vertical="center"/>
    </xf>
    <xf numFmtId="180" fontId="38" fillId="0" borderId="0" xfId="0" applyNumberFormat="1" applyFont="1" applyAlignment="1">
      <alignment horizontal="center" vertical="center"/>
    </xf>
    <xf numFmtId="180" fontId="38" fillId="0" borderId="0" xfId="0" applyNumberFormat="1" applyFont="1">
      <alignment vertical="center"/>
    </xf>
    <xf numFmtId="2" fontId="17" fillId="0" borderId="0" xfId="0" applyNumberFormat="1" applyFont="1" applyAlignment="1">
      <alignment horizontal="center" vertical="center"/>
    </xf>
    <xf numFmtId="178" fontId="17" fillId="0" borderId="0" xfId="0" applyNumberFormat="1" applyFont="1">
      <alignment vertical="center"/>
    </xf>
    <xf numFmtId="2" fontId="17" fillId="0" borderId="0" xfId="0" applyNumberFormat="1" applyFont="1">
      <alignment vertical="center"/>
    </xf>
    <xf numFmtId="2" fontId="38" fillId="0" borderId="0" xfId="0" applyNumberFormat="1" applyFont="1" applyAlignment="1">
      <alignment horizontal="center" vertical="center"/>
    </xf>
    <xf numFmtId="0" fontId="17" fillId="3" borderId="13" xfId="0" applyFont="1" applyFill="1" applyBorder="1" applyAlignment="1">
      <alignment horizontal="center" vertical="center" wrapText="1"/>
    </xf>
    <xf numFmtId="40" fontId="32" fillId="0" borderId="4" xfId="1" applyNumberFormat="1" applyFont="1" applyFill="1" applyBorder="1" applyAlignment="1">
      <alignment horizontal="center" vertical="center"/>
    </xf>
    <xf numFmtId="40" fontId="32" fillId="0" borderId="17" xfId="1" applyNumberFormat="1" applyFont="1" applyFill="1" applyBorder="1" applyAlignment="1">
      <alignment horizontal="center" vertical="center"/>
    </xf>
    <xf numFmtId="40" fontId="32" fillId="0" borderId="8" xfId="1" applyNumberFormat="1" applyFont="1" applyFill="1" applyBorder="1" applyAlignment="1">
      <alignment horizontal="center" vertical="center"/>
    </xf>
    <xf numFmtId="40" fontId="32" fillId="0" borderId="21" xfId="1" applyNumberFormat="1" applyFont="1" applyFill="1" applyBorder="1" applyAlignment="1">
      <alignment horizontal="center" vertical="center"/>
    </xf>
    <xf numFmtId="40" fontId="32" fillId="0" borderId="23" xfId="1" applyNumberFormat="1" applyFont="1" applyFill="1" applyBorder="1" applyAlignment="1">
      <alignment horizontal="center" vertical="center"/>
    </xf>
    <xf numFmtId="40" fontId="32" fillId="0" borderId="0" xfId="0" applyNumberFormat="1" applyFont="1">
      <alignment vertical="center"/>
    </xf>
    <xf numFmtId="0" fontId="17" fillId="3" borderId="15" xfId="0" applyFont="1" applyFill="1" applyBorder="1" applyAlignment="1">
      <alignment vertical="center" wrapText="1"/>
    </xf>
    <xf numFmtId="0" fontId="17" fillId="3" borderId="13" xfId="0" applyFont="1" applyFill="1" applyBorder="1" applyAlignment="1">
      <alignment vertical="center" wrapText="1"/>
    </xf>
    <xf numFmtId="0" fontId="41" fillId="0" borderId="0" xfId="0" applyFont="1" applyAlignment="1">
      <alignment horizontal="right" vertical="center"/>
    </xf>
    <xf numFmtId="0" fontId="42" fillId="0" borderId="0" xfId="0" applyFont="1">
      <alignment vertical="center"/>
    </xf>
    <xf numFmtId="0" fontId="43" fillId="0" borderId="0" xfId="0" applyFont="1">
      <alignment vertical="center"/>
    </xf>
    <xf numFmtId="0" fontId="0" fillId="0" borderId="0" xfId="0" applyAlignment="1">
      <alignment horizontal="right" vertical="center"/>
    </xf>
    <xf numFmtId="0" fontId="44" fillId="0" borderId="0" xfId="0" applyFont="1">
      <alignment vertical="center"/>
    </xf>
    <xf numFmtId="0" fontId="45" fillId="0" borderId="0" xfId="0" applyFont="1" applyAlignment="1">
      <alignment horizontal="right" vertical="center"/>
    </xf>
    <xf numFmtId="0" fontId="42" fillId="14" borderId="13" xfId="0" applyFont="1" applyFill="1" applyBorder="1" applyAlignment="1">
      <alignment horizontal="center" vertical="center"/>
    </xf>
    <xf numFmtId="0" fontId="40" fillId="0" borderId="0" xfId="0" applyFont="1">
      <alignment vertical="center"/>
    </xf>
    <xf numFmtId="0" fontId="45" fillId="0" borderId="0" xfId="0" applyFont="1">
      <alignment vertical="center"/>
    </xf>
    <xf numFmtId="0" fontId="43" fillId="0" borderId="13" xfId="0" applyFont="1" applyBorder="1" applyAlignment="1">
      <alignment horizontal="center" vertical="center"/>
    </xf>
    <xf numFmtId="0" fontId="43" fillId="0" borderId="0" xfId="0" applyFont="1" applyAlignment="1">
      <alignment horizontal="center" vertical="center"/>
    </xf>
    <xf numFmtId="11" fontId="42" fillId="0" borderId="0" xfId="0" applyNumberFormat="1" applyFont="1">
      <alignment vertical="center"/>
    </xf>
    <xf numFmtId="11" fontId="43" fillId="0" borderId="0" xfId="0" applyNumberFormat="1" applyFont="1">
      <alignment vertical="center"/>
    </xf>
    <xf numFmtId="11" fontId="43" fillId="0" borderId="0" xfId="0" applyNumberFormat="1" applyFont="1" applyAlignment="1">
      <alignment horizontal="center" vertical="center"/>
    </xf>
    <xf numFmtId="11" fontId="0" fillId="0" borderId="0" xfId="0" applyNumberFormat="1">
      <alignment vertical="center"/>
    </xf>
    <xf numFmtId="11" fontId="0" fillId="0" borderId="0" xfId="0" applyNumberFormat="1" applyAlignment="1">
      <alignment vertical="center" wrapText="1"/>
    </xf>
    <xf numFmtId="0" fontId="45" fillId="0" borderId="0" xfId="0" applyFont="1" applyAlignment="1">
      <alignment vertical="center" wrapText="1"/>
    </xf>
    <xf numFmtId="0" fontId="43" fillId="0" borderId="13" xfId="0" applyFont="1" applyBorder="1" applyAlignment="1">
      <alignment horizontal="left" vertical="center" wrapText="1"/>
    </xf>
    <xf numFmtId="0" fontId="45" fillId="0" borderId="0" xfId="0" applyFont="1" applyAlignment="1">
      <alignment horizontal="left" vertical="center"/>
    </xf>
    <xf numFmtId="0" fontId="43" fillId="0" borderId="13" xfId="0" applyFont="1" applyBorder="1" applyAlignment="1">
      <alignment horizontal="center" vertical="center" wrapText="1"/>
    </xf>
    <xf numFmtId="0" fontId="43" fillId="0" borderId="13" xfId="0" applyFont="1" applyBorder="1" applyAlignment="1">
      <alignment horizontal="left" vertical="top" wrapText="1"/>
    </xf>
    <xf numFmtId="11" fontId="0" fillId="0" borderId="0" xfId="0" applyNumberFormat="1" applyAlignment="1">
      <alignment horizontal="right" vertical="center"/>
    </xf>
    <xf numFmtId="11" fontId="44" fillId="0" borderId="0" xfId="0" applyNumberFormat="1" applyFont="1">
      <alignment vertical="center"/>
    </xf>
    <xf numFmtId="0" fontId="46" fillId="0" borderId="0" xfId="0" applyFont="1">
      <alignment vertical="center"/>
    </xf>
    <xf numFmtId="40" fontId="14" fillId="7" borderId="13" xfId="0" applyNumberFormat="1" applyFont="1" applyFill="1" applyBorder="1" applyAlignment="1">
      <alignment horizontal="center" vertical="center"/>
    </xf>
    <xf numFmtId="0" fontId="32" fillId="13" borderId="8" xfId="0" applyFont="1" applyFill="1" applyBorder="1">
      <alignment vertical="center"/>
    </xf>
    <xf numFmtId="0" fontId="32" fillId="13" borderId="13" xfId="0" applyFont="1" applyFill="1" applyBorder="1" applyAlignment="1">
      <alignment vertical="center" wrapText="1"/>
    </xf>
    <xf numFmtId="0" fontId="32" fillId="13" borderId="13" xfId="0" applyFont="1" applyFill="1" applyBorder="1" applyAlignment="1">
      <alignment horizontal="center" vertical="center" wrapText="1" shrinkToFit="1"/>
    </xf>
    <xf numFmtId="0" fontId="32" fillId="13" borderId="7" xfId="0" applyFont="1" applyFill="1" applyBorder="1">
      <alignment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2" fontId="3" fillId="0" borderId="0" xfId="0" applyNumberFormat="1" applyFont="1">
      <alignment vertical="center"/>
    </xf>
    <xf numFmtId="0" fontId="27" fillId="0" borderId="13" xfId="0" applyFont="1" applyBorder="1" applyAlignment="1">
      <alignment horizontal="center" vertical="center"/>
    </xf>
    <xf numFmtId="0" fontId="28" fillId="0" borderId="15" xfId="0" applyFont="1" applyBorder="1" applyAlignment="1">
      <alignment horizontal="center" vertical="center"/>
    </xf>
    <xf numFmtId="0" fontId="29" fillId="0" borderId="13" xfId="0" applyFont="1" applyBorder="1" applyAlignment="1">
      <alignment horizontal="center" vertical="center"/>
    </xf>
    <xf numFmtId="40" fontId="17" fillId="9" borderId="15" xfId="0" applyNumberFormat="1" applyFont="1" applyFill="1" applyBorder="1" applyAlignment="1">
      <alignment horizontal="center" vertical="center"/>
    </xf>
    <xf numFmtId="40" fontId="17" fillId="9" borderId="13" xfId="0" applyNumberFormat="1" applyFont="1" applyFill="1" applyBorder="1" applyAlignment="1">
      <alignment horizontal="center" vertical="center"/>
    </xf>
    <xf numFmtId="2" fontId="17" fillId="9" borderId="13" xfId="0" applyNumberFormat="1" applyFont="1" applyFill="1" applyBorder="1" applyAlignment="1">
      <alignment horizontal="center" vertical="center"/>
    </xf>
    <xf numFmtId="2" fontId="17" fillId="12" borderId="13" xfId="0" applyNumberFormat="1" applyFont="1" applyFill="1" applyBorder="1" applyAlignment="1">
      <alignment horizontal="center" vertical="center"/>
    </xf>
    <xf numFmtId="40" fontId="32" fillId="15" borderId="0" xfId="0" applyNumberFormat="1" applyFont="1" applyFill="1">
      <alignment vertical="center"/>
    </xf>
    <xf numFmtId="0" fontId="3" fillId="2" borderId="14" xfId="0" applyFont="1" applyFill="1" applyBorder="1" applyAlignment="1">
      <alignment horizontal="center" vertical="center"/>
    </xf>
    <xf numFmtId="0" fontId="49" fillId="0" borderId="0" xfId="0" applyFont="1">
      <alignment vertical="center"/>
    </xf>
    <xf numFmtId="40" fontId="17" fillId="0" borderId="7" xfId="1" applyNumberFormat="1" applyFont="1" applyBorder="1" applyAlignment="1">
      <alignment horizontal="center" vertical="center"/>
    </xf>
    <xf numFmtId="0" fontId="51" fillId="0" borderId="51" xfId="0" applyFont="1" applyBorder="1">
      <alignment vertical="center"/>
    </xf>
    <xf numFmtId="0" fontId="51" fillId="0" borderId="52" xfId="0" applyFont="1" applyBorder="1">
      <alignment vertical="center"/>
    </xf>
    <xf numFmtId="0" fontId="48" fillId="0" borderId="54" xfId="0" applyFont="1" applyBorder="1">
      <alignment vertical="center"/>
    </xf>
    <xf numFmtId="0" fontId="48" fillId="0" borderId="55" xfId="0" applyFont="1" applyBorder="1">
      <alignment vertical="center"/>
    </xf>
    <xf numFmtId="40" fontId="3" fillId="0" borderId="59" xfId="1" applyNumberFormat="1" applyFont="1" applyBorder="1" applyAlignment="1">
      <alignment horizontal="center" vertical="center"/>
    </xf>
    <xf numFmtId="40" fontId="3" fillId="0" borderId="6" xfId="1" quotePrefix="1" applyNumberFormat="1" applyFont="1" applyBorder="1" applyAlignment="1">
      <alignment horizontal="center" vertical="center"/>
    </xf>
    <xf numFmtId="40" fontId="3" fillId="0" borderId="60" xfId="1" applyNumberFormat="1" applyFont="1" applyBorder="1" applyAlignment="1">
      <alignment horizontal="center" vertical="center"/>
    </xf>
    <xf numFmtId="40" fontId="3" fillId="0" borderId="61" xfId="1" applyNumberFormat="1" applyFont="1" applyBorder="1" applyAlignment="1">
      <alignment horizontal="center" vertical="center"/>
    </xf>
    <xf numFmtId="179" fontId="30" fillId="0" borderId="13" xfId="0" applyNumberFormat="1" applyFont="1" applyBorder="1">
      <alignment vertical="center"/>
    </xf>
    <xf numFmtId="0" fontId="9" fillId="0" borderId="50" xfId="0" applyFont="1" applyBorder="1">
      <alignment vertical="center"/>
    </xf>
    <xf numFmtId="0" fontId="9" fillId="0" borderId="51" xfId="0" applyFont="1" applyBorder="1">
      <alignment vertical="center"/>
    </xf>
    <xf numFmtId="0" fontId="9" fillId="0" borderId="53" xfId="0" applyFont="1" applyBorder="1">
      <alignment vertical="center"/>
    </xf>
    <xf numFmtId="179" fontId="30" fillId="0" borderId="0" xfId="0" applyNumberFormat="1" applyFont="1">
      <alignment vertical="center"/>
    </xf>
    <xf numFmtId="0" fontId="3" fillId="0" borderId="43" xfId="0" applyFont="1" applyBorder="1">
      <alignment vertical="center"/>
    </xf>
    <xf numFmtId="40" fontId="3" fillId="6" borderId="7" xfId="1" applyNumberFormat="1" applyFont="1" applyFill="1" applyBorder="1" applyAlignment="1">
      <alignment horizontal="center" vertical="center"/>
    </xf>
    <xf numFmtId="0" fontId="21" fillId="0" borderId="0" xfId="0" applyFont="1">
      <alignment vertical="center"/>
    </xf>
    <xf numFmtId="0" fontId="20" fillId="0" borderId="0" xfId="0" applyFont="1">
      <alignment vertical="center"/>
    </xf>
    <xf numFmtId="0" fontId="23" fillId="0" borderId="0" xfId="0" applyFont="1">
      <alignment vertical="center"/>
    </xf>
    <xf numFmtId="14" fontId="26" fillId="0" borderId="0" xfId="0" quotePrefix="1" applyNumberFormat="1" applyFont="1" applyAlignment="1">
      <alignment horizontal="left"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52" fillId="0" borderId="0" xfId="0" applyFont="1" applyAlignment="1">
      <alignment horizontal="center" vertical="center"/>
    </xf>
    <xf numFmtId="0" fontId="52" fillId="0" borderId="0" xfId="0" applyFont="1" applyAlignment="1">
      <alignment horizontal="left" vertical="center"/>
    </xf>
    <xf numFmtId="2" fontId="22" fillId="0" borderId="0" xfId="0" applyNumberFormat="1" applyFont="1">
      <alignment vertical="center"/>
    </xf>
    <xf numFmtId="2" fontId="3" fillId="0" borderId="0" xfId="0" applyNumberFormat="1" applyFont="1" applyAlignment="1">
      <alignment horizontal="center" vertical="center"/>
    </xf>
    <xf numFmtId="40" fontId="3"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0" fillId="16" borderId="13" xfId="0" applyFill="1" applyBorder="1">
      <alignment vertical="center"/>
    </xf>
    <xf numFmtId="0" fontId="53" fillId="16" borderId="13" xfId="0" applyFont="1" applyFill="1" applyBorder="1" applyAlignment="1">
      <alignment horizontal="center" vertical="center" wrapText="1" readingOrder="1"/>
    </xf>
    <xf numFmtId="0" fontId="0" fillId="0" borderId="12" xfId="0" applyBorder="1">
      <alignment vertical="center"/>
    </xf>
    <xf numFmtId="2" fontId="0" fillId="0" borderId="12" xfId="0" applyNumberFormat="1" applyBorder="1">
      <alignment vertical="center"/>
    </xf>
    <xf numFmtId="0" fontId="31" fillId="0" borderId="15" xfId="0" applyFont="1" applyBorder="1">
      <alignment vertical="center"/>
    </xf>
    <xf numFmtId="0" fontId="0" fillId="0" borderId="13" xfId="0" applyBorder="1">
      <alignment vertical="center"/>
    </xf>
    <xf numFmtId="2" fontId="0" fillId="0" borderId="13" xfId="0" applyNumberFormat="1" applyBorder="1">
      <alignment vertical="center"/>
    </xf>
    <xf numFmtId="0" fontId="54" fillId="17" borderId="43" xfId="0" applyFont="1" applyFill="1" applyBorder="1">
      <alignment vertical="center"/>
    </xf>
    <xf numFmtId="0" fontId="54" fillId="17" borderId="0" xfId="0" applyFont="1" applyFill="1">
      <alignment vertical="center"/>
    </xf>
    <xf numFmtId="182" fontId="54" fillId="17" borderId="0" xfId="0" applyNumberFormat="1" applyFont="1" applyFill="1">
      <alignment vertical="center"/>
    </xf>
    <xf numFmtId="0" fontId="54" fillId="0" borderId="0" xfId="0" applyFont="1">
      <alignment vertical="center"/>
    </xf>
    <xf numFmtId="0" fontId="55" fillId="17" borderId="43" xfId="0" applyFont="1" applyFill="1" applyBorder="1">
      <alignment vertical="center"/>
    </xf>
    <xf numFmtId="0" fontId="44" fillId="0" borderId="15" xfId="0" applyFont="1" applyBorder="1">
      <alignment vertical="center"/>
    </xf>
    <xf numFmtId="0" fontId="4" fillId="0" borderId="13" xfId="0" applyFont="1" applyBorder="1">
      <alignment vertical="center"/>
    </xf>
    <xf numFmtId="0" fontId="4" fillId="0" borderId="15" xfId="0" applyFont="1" applyBorder="1">
      <alignment vertical="center"/>
    </xf>
    <xf numFmtId="9" fontId="56" fillId="18" borderId="13" xfId="0" applyNumberFormat="1" applyFont="1" applyFill="1" applyBorder="1" applyAlignment="1">
      <alignment horizontal="center" vertical="center" wrapText="1" readingOrder="1"/>
    </xf>
    <xf numFmtId="0" fontId="0" fillId="0" borderId="0" xfId="0" applyAlignment="1">
      <alignment vertical="center" wrapText="1"/>
    </xf>
    <xf numFmtId="0" fontId="58" fillId="0" borderId="0" xfId="0" applyFont="1" applyAlignment="1">
      <alignment horizontal="left" vertical="center"/>
    </xf>
    <xf numFmtId="0" fontId="51" fillId="0" borderId="42" xfId="0" applyFont="1" applyBorder="1">
      <alignment vertical="center"/>
    </xf>
    <xf numFmtId="0" fontId="3" fillId="0" borderId="62" xfId="0" applyFont="1" applyBorder="1">
      <alignment vertical="center"/>
    </xf>
    <xf numFmtId="0" fontId="3" fillId="0" borderId="42" xfId="0" applyFont="1" applyBorder="1">
      <alignment vertical="center"/>
    </xf>
    <xf numFmtId="0" fontId="3" fillId="0" borderId="63" xfId="0" applyFont="1" applyBorder="1">
      <alignment vertical="center"/>
    </xf>
    <xf numFmtId="0" fontId="59" fillId="0" borderId="0" xfId="0" applyFont="1" applyAlignment="1">
      <alignment horizontal="left" vertical="center"/>
    </xf>
    <xf numFmtId="0" fontId="3" fillId="0" borderId="64" xfId="0" applyFont="1" applyBorder="1">
      <alignment vertical="center"/>
    </xf>
    <xf numFmtId="40" fontId="3" fillId="6" borderId="48" xfId="0" applyNumberFormat="1" applyFont="1" applyFill="1" applyBorder="1">
      <alignment vertical="center"/>
    </xf>
    <xf numFmtId="0" fontId="3" fillId="0" borderId="64" xfId="0" applyFont="1" applyBorder="1" applyAlignment="1">
      <alignment horizontal="center" vertical="center"/>
    </xf>
    <xf numFmtId="0" fontId="19" fillId="13" borderId="7" xfId="0" applyFont="1" applyFill="1" applyBorder="1" applyAlignment="1">
      <alignment horizontal="left" vertical="center" wrapText="1"/>
    </xf>
    <xf numFmtId="0" fontId="19" fillId="13" borderId="12" xfId="0" applyFont="1" applyFill="1" applyBorder="1" applyAlignment="1">
      <alignment horizontal="left" vertical="center"/>
    </xf>
    <xf numFmtId="0" fontId="19" fillId="13" borderId="7" xfId="0" quotePrefix="1" applyFont="1" applyFill="1" applyBorder="1" applyAlignment="1">
      <alignment horizontal="left" vertical="center" wrapText="1"/>
    </xf>
    <xf numFmtId="9" fontId="3" fillId="0" borderId="7" xfId="2" applyFont="1" applyFill="1" applyBorder="1" applyAlignment="1">
      <alignment horizontal="center" vertical="center"/>
    </xf>
    <xf numFmtId="9" fontId="3" fillId="0" borderId="12" xfId="2" applyFont="1" applyFill="1" applyBorder="1" applyAlignment="1">
      <alignment horizontal="center" vertical="center"/>
    </xf>
    <xf numFmtId="176" fontId="3" fillId="0" borderId="7" xfId="0" applyNumberFormat="1" applyFont="1" applyBorder="1" applyAlignment="1">
      <alignment horizontal="center" vertical="center"/>
    </xf>
    <xf numFmtId="176" fontId="3" fillId="0" borderId="12" xfId="0" applyNumberFormat="1" applyFont="1" applyBorder="1" applyAlignment="1">
      <alignment horizontal="center" vertical="center"/>
    </xf>
    <xf numFmtId="0" fontId="3" fillId="0" borderId="7" xfId="0" applyFont="1" applyBorder="1" applyAlignment="1">
      <alignment horizontal="left" vertical="center"/>
    </xf>
    <xf numFmtId="0" fontId="3" fillId="0" borderId="12" xfId="0" applyFont="1" applyBorder="1" applyAlignment="1">
      <alignment horizontal="left" vertical="center"/>
    </xf>
    <xf numFmtId="0" fontId="3" fillId="0" borderId="7" xfId="0" applyFont="1" applyBorder="1" applyAlignment="1">
      <alignment horizontal="left" vertical="center" wrapText="1"/>
    </xf>
    <xf numFmtId="0" fontId="3" fillId="0" borderId="12" xfId="0" applyFont="1" applyBorder="1" applyAlignment="1">
      <alignment horizontal="left" vertical="center" wrapText="1"/>
    </xf>
    <xf numFmtId="0" fontId="17" fillId="13" borderId="13" xfId="0" applyFont="1" applyFill="1" applyBorder="1">
      <alignment vertical="center"/>
    </xf>
    <xf numFmtId="14" fontId="17" fillId="13" borderId="13" xfId="0" applyNumberFormat="1" applyFont="1" applyFill="1" applyBorder="1" applyAlignment="1">
      <alignment horizontal="center" vertical="center" wrapText="1"/>
    </xf>
    <xf numFmtId="0" fontId="3" fillId="0" borderId="0" xfId="0" applyFont="1" applyAlignment="1">
      <alignment horizontal="left" vertical="center"/>
    </xf>
    <xf numFmtId="0" fontId="32" fillId="13" borderId="7" xfId="0" applyFont="1" applyFill="1" applyBorder="1" applyAlignment="1">
      <alignment vertical="center" wrapText="1"/>
    </xf>
    <xf numFmtId="0" fontId="32" fillId="13" borderId="12" xfId="0" applyFont="1" applyFill="1" applyBorder="1" applyAlignment="1">
      <alignment vertical="center" wrapText="1"/>
    </xf>
    <xf numFmtId="0" fontId="32" fillId="13" borderId="0" xfId="0" applyFont="1" applyFill="1" applyAlignment="1">
      <alignment vertical="center" wrapText="1"/>
    </xf>
    <xf numFmtId="0" fontId="32" fillId="13" borderId="8" xfId="0" applyFont="1" applyFill="1" applyBorder="1" applyAlignment="1">
      <alignment vertical="center" wrapText="1"/>
    </xf>
    <xf numFmtId="0" fontId="3" fillId="0" borderId="0" xfId="0" applyFont="1" applyAlignment="1">
      <alignment vertical="center" wrapText="1"/>
    </xf>
    <xf numFmtId="0" fontId="32" fillId="13" borderId="13" xfId="0" applyFont="1" applyFill="1" applyBorder="1" applyAlignment="1">
      <alignment vertical="center" wrapText="1" shrinkToFit="1"/>
    </xf>
    <xf numFmtId="0" fontId="32" fillId="13" borderId="0" xfId="0" applyFont="1" applyFill="1">
      <alignment vertical="center"/>
    </xf>
    <xf numFmtId="14" fontId="3" fillId="13" borderId="13" xfId="0" applyNumberFormat="1" applyFont="1" applyFill="1" applyBorder="1" applyAlignment="1">
      <alignment horizontal="left" vertical="center" wrapText="1"/>
    </xf>
    <xf numFmtId="14" fontId="17" fillId="13" borderId="7" xfId="0" applyNumberFormat="1" applyFont="1" applyFill="1" applyBorder="1">
      <alignment vertical="center"/>
    </xf>
    <xf numFmtId="0" fontId="32" fillId="13" borderId="1" xfId="0" applyFont="1" applyFill="1" applyBorder="1">
      <alignment vertical="center"/>
    </xf>
    <xf numFmtId="0" fontId="61" fillId="0" borderId="0" xfId="0" applyFont="1" applyAlignment="1">
      <alignment horizontal="left" vertical="center"/>
    </xf>
    <xf numFmtId="14" fontId="17" fillId="13" borderId="13" xfId="0" applyNumberFormat="1"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7" xfId="0" applyNumberFormat="1" applyFont="1" applyFill="1" applyBorder="1" applyAlignment="1">
      <alignment horizontal="center" vertical="center"/>
    </xf>
    <xf numFmtId="14" fontId="17" fillId="13" borderId="12" xfId="0" applyNumberFormat="1" applyFont="1" applyFill="1" applyBorder="1" applyAlignment="1">
      <alignment horizontal="center" vertical="center"/>
    </xf>
    <xf numFmtId="0" fontId="17" fillId="13" borderId="12" xfId="0" applyFont="1" applyFill="1" applyBorder="1" applyAlignment="1">
      <alignment horizontal="center" vertical="center"/>
    </xf>
    <xf numFmtId="2" fontId="22" fillId="0" borderId="0" xfId="0" applyNumberFormat="1" applyFont="1" applyAlignment="1">
      <alignment horizontal="center" vertical="center"/>
    </xf>
    <xf numFmtId="0" fontId="32" fillId="13" borderId="43" xfId="0" applyFont="1" applyFill="1" applyBorder="1">
      <alignment vertical="center"/>
    </xf>
    <xf numFmtId="0" fontId="32" fillId="13" borderId="3" xfId="0" applyFont="1" applyFill="1" applyBorder="1">
      <alignment vertical="center"/>
    </xf>
    <xf numFmtId="0" fontId="62" fillId="0" borderId="51" xfId="0" applyFont="1" applyBorder="1">
      <alignment vertical="center"/>
    </xf>
    <xf numFmtId="0" fontId="62" fillId="0" borderId="50" xfId="0" applyFont="1" applyBorder="1">
      <alignment vertical="center"/>
    </xf>
    <xf numFmtId="0" fontId="62" fillId="0" borderId="53" xfId="0" applyFont="1" applyBorder="1">
      <alignment vertical="center"/>
    </xf>
    <xf numFmtId="0" fontId="3" fillId="0" borderId="60" xfId="0" applyFont="1" applyBorder="1">
      <alignment vertical="center"/>
    </xf>
    <xf numFmtId="0" fontId="32" fillId="13" borderId="17" xfId="0" applyFont="1" applyFill="1" applyBorder="1">
      <alignment vertical="center"/>
    </xf>
    <xf numFmtId="0" fontId="64" fillId="0" borderId="0" xfId="0" applyFont="1">
      <alignment vertical="center"/>
    </xf>
    <xf numFmtId="0" fontId="8" fillId="0" borderId="65" xfId="0" applyFont="1" applyBorder="1">
      <alignment vertical="center"/>
    </xf>
    <xf numFmtId="14" fontId="17" fillId="13" borderId="13" xfId="0" applyNumberFormat="1" applyFont="1" applyFill="1" applyBorder="1">
      <alignment vertical="center"/>
    </xf>
    <xf numFmtId="0" fontId="17" fillId="0" borderId="18" xfId="0" applyFont="1" applyBorder="1" applyAlignment="1">
      <alignment horizontal="center" vertical="center"/>
    </xf>
    <xf numFmtId="0" fontId="17" fillId="0" borderId="15" xfId="0" applyFont="1" applyBorder="1" applyAlignment="1">
      <alignment horizontal="left" vertical="center"/>
    </xf>
    <xf numFmtId="0" fontId="17" fillId="0" borderId="18" xfId="0" applyFont="1" applyBorder="1" applyAlignment="1">
      <alignment horizontal="left" vertical="center"/>
    </xf>
    <xf numFmtId="14" fontId="26" fillId="0" borderId="15" xfId="0" quotePrefix="1" applyNumberFormat="1" applyFont="1" applyBorder="1" applyAlignment="1">
      <alignment horizontal="left" vertical="center"/>
    </xf>
    <xf numFmtId="14" fontId="26" fillId="0" borderId="18" xfId="0" applyNumberFormat="1" applyFont="1" applyBorder="1" applyAlignment="1">
      <alignment horizontal="left" vertical="center"/>
    </xf>
    <xf numFmtId="40" fontId="32" fillId="9" borderId="0" xfId="0" applyNumberFormat="1" applyFont="1" applyFill="1">
      <alignment vertical="center"/>
    </xf>
    <xf numFmtId="0" fontId="17" fillId="13" borderId="12" xfId="0" applyFont="1" applyFill="1" applyBorder="1">
      <alignment vertical="center"/>
    </xf>
    <xf numFmtId="0" fontId="65" fillId="0" borderId="0" xfId="0" applyFont="1">
      <alignment vertical="center"/>
    </xf>
    <xf numFmtId="0" fontId="17" fillId="13" borderId="13" xfId="0" applyFont="1" applyFill="1" applyBorder="1" applyAlignment="1">
      <alignment horizontal="center" vertical="center"/>
    </xf>
    <xf numFmtId="0" fontId="3" fillId="13" borderId="8" xfId="0" applyFont="1" applyFill="1" applyBorder="1">
      <alignment vertical="center"/>
    </xf>
    <xf numFmtId="0" fontId="17" fillId="13" borderId="8" xfId="0" applyFont="1" applyFill="1" applyBorder="1">
      <alignment vertical="center"/>
    </xf>
    <xf numFmtId="0" fontId="3" fillId="13" borderId="12" xfId="0" applyFont="1" applyFill="1" applyBorder="1">
      <alignment vertical="center"/>
    </xf>
    <xf numFmtId="0" fontId="3" fillId="13" borderId="13" xfId="0" applyFont="1" applyFill="1" applyBorder="1">
      <alignment vertical="center"/>
    </xf>
    <xf numFmtId="0" fontId="3" fillId="13" borderId="8" xfId="0" applyFont="1" applyFill="1" applyBorder="1" applyAlignment="1">
      <alignment horizontal="left" vertical="center"/>
    </xf>
    <xf numFmtId="0" fontId="68" fillId="0" borderId="0" xfId="0" applyFont="1">
      <alignment vertical="center"/>
    </xf>
    <xf numFmtId="2" fontId="68" fillId="0" borderId="0" xfId="0" applyNumberFormat="1" applyFont="1">
      <alignment vertical="center"/>
    </xf>
    <xf numFmtId="0" fontId="0" fillId="18" borderId="0" xfId="0" applyFill="1">
      <alignment vertical="center"/>
    </xf>
    <xf numFmtId="0" fontId="54" fillId="18" borderId="0" xfId="0" applyFont="1" applyFill="1">
      <alignment vertical="center"/>
    </xf>
    <xf numFmtId="9" fontId="67" fillId="18" borderId="0" xfId="0" applyNumberFormat="1" applyFont="1" applyFill="1" applyAlignment="1">
      <alignment horizontal="center" vertical="center" wrapText="1" readingOrder="1"/>
    </xf>
    <xf numFmtId="2" fontId="67" fillId="18" borderId="0" xfId="0" applyNumberFormat="1" applyFont="1" applyFill="1">
      <alignment vertical="center"/>
    </xf>
    <xf numFmtId="0" fontId="0" fillId="18" borderId="16" xfId="0" applyFill="1" applyBorder="1">
      <alignment vertical="center"/>
    </xf>
    <xf numFmtId="0" fontId="4" fillId="18" borderId="16" xfId="0" applyFont="1" applyFill="1" applyBorder="1">
      <alignment vertical="center"/>
    </xf>
    <xf numFmtId="0" fontId="4" fillId="18" borderId="19" xfId="0" applyFont="1" applyFill="1" applyBorder="1">
      <alignment vertical="center"/>
    </xf>
    <xf numFmtId="2" fontId="63" fillId="18" borderId="0" xfId="0" applyNumberFormat="1" applyFont="1" applyFill="1">
      <alignment vertical="center"/>
    </xf>
    <xf numFmtId="0" fontId="0" fillId="18" borderId="13" xfId="0" applyFill="1" applyBorder="1">
      <alignment vertical="center"/>
    </xf>
    <xf numFmtId="0" fontId="0" fillId="0" borderId="15" xfId="0" applyBorder="1" applyAlignment="1">
      <alignment horizontal="left" vertical="center"/>
    </xf>
    <xf numFmtId="0" fontId="0" fillId="0" borderId="12" xfId="0" applyBorder="1" applyAlignment="1">
      <alignment horizontal="left" vertical="center"/>
    </xf>
    <xf numFmtId="0" fontId="0" fillId="18" borderId="13" xfId="0" applyFill="1" applyBorder="1" applyAlignment="1">
      <alignment horizontal="left" vertical="center"/>
    </xf>
    <xf numFmtId="0" fontId="69" fillId="18" borderId="0" xfId="0" applyFont="1" applyFill="1">
      <alignment vertical="center"/>
    </xf>
    <xf numFmtId="9" fontId="0" fillId="18" borderId="13" xfId="0" applyNumberFormat="1" applyFill="1" applyBorder="1" applyAlignment="1">
      <alignment horizontal="right" vertical="center"/>
    </xf>
    <xf numFmtId="1" fontId="0" fillId="0" borderId="12" xfId="0" applyNumberFormat="1" applyBorder="1" applyAlignment="1">
      <alignment horizontal="right" vertical="center"/>
    </xf>
    <xf numFmtId="2" fontId="0" fillId="19" borderId="12" xfId="0" applyNumberFormat="1" applyFill="1" applyBorder="1">
      <alignment vertical="center"/>
    </xf>
    <xf numFmtId="2" fontId="0" fillId="19" borderId="13" xfId="0" applyNumberFormat="1" applyFill="1" applyBorder="1">
      <alignment vertical="center"/>
    </xf>
    <xf numFmtId="0" fontId="0" fillId="19" borderId="13" xfId="0" applyFill="1" applyBorder="1">
      <alignment vertical="center"/>
    </xf>
    <xf numFmtId="9" fontId="0" fillId="18" borderId="13" xfId="2" applyFont="1" applyFill="1" applyBorder="1" applyAlignment="1">
      <alignment horizontal="right" vertical="center"/>
    </xf>
    <xf numFmtId="183" fontId="0" fillId="0" borderId="13" xfId="2" applyNumberFormat="1" applyFont="1" applyBorder="1" applyAlignment="1">
      <alignment horizontal="right" vertical="center"/>
    </xf>
    <xf numFmtId="183" fontId="0" fillId="18" borderId="13" xfId="2" applyNumberFormat="1" applyFont="1" applyFill="1" applyBorder="1" applyAlignment="1">
      <alignment horizontal="right" vertical="center"/>
    </xf>
    <xf numFmtId="9" fontId="0" fillId="18" borderId="13" xfId="2" applyFont="1" applyFill="1" applyBorder="1">
      <alignment vertical="center"/>
    </xf>
    <xf numFmtId="2" fontId="0" fillId="18" borderId="13" xfId="0" applyNumberFormat="1" applyFill="1" applyBorder="1">
      <alignment vertical="center"/>
    </xf>
    <xf numFmtId="2" fontId="0" fillId="18" borderId="13" xfId="0" applyNumberFormat="1" applyFill="1" applyBorder="1" applyAlignment="1">
      <alignment horizontal="right" vertical="center"/>
    </xf>
    <xf numFmtId="0" fontId="70" fillId="18" borderId="0" xfId="9" applyFill="1"/>
    <xf numFmtId="1" fontId="0" fillId="0" borderId="12" xfId="0" applyNumberFormat="1" applyBorder="1">
      <alignment vertical="center"/>
    </xf>
    <xf numFmtId="0" fontId="71" fillId="18" borderId="0" xfId="0" applyFont="1" applyFill="1">
      <alignment vertical="center"/>
    </xf>
    <xf numFmtId="14" fontId="32" fillId="13" borderId="13" xfId="0" applyNumberFormat="1" applyFont="1" applyFill="1" applyBorder="1" applyAlignment="1">
      <alignment horizontal="center" vertical="center"/>
    </xf>
    <xf numFmtId="14" fontId="17" fillId="13" borderId="8" xfId="0" applyNumberFormat="1" applyFont="1" applyFill="1" applyBorder="1">
      <alignment vertical="center"/>
    </xf>
    <xf numFmtId="14" fontId="17" fillId="13" borderId="12" xfId="0" applyNumberFormat="1" applyFont="1" applyFill="1" applyBorder="1">
      <alignment vertical="center"/>
    </xf>
    <xf numFmtId="0" fontId="43" fillId="0" borderId="7"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2" xfId="0" applyFont="1" applyBorder="1" applyAlignment="1">
      <alignment horizontal="center" vertical="center" wrapText="1"/>
    </xf>
    <xf numFmtId="0" fontId="43" fillId="0" borderId="7" xfId="0" applyFont="1" applyBorder="1" applyAlignment="1">
      <alignment horizontal="left" vertical="center" wrapText="1"/>
    </xf>
    <xf numFmtId="0" fontId="43" fillId="0" borderId="8" xfId="0" applyFont="1" applyBorder="1" applyAlignment="1">
      <alignment horizontal="left" vertical="center" wrapText="1"/>
    </xf>
    <xf numFmtId="0" fontId="43" fillId="0" borderId="12" xfId="0" applyFont="1" applyBorder="1" applyAlignment="1">
      <alignment horizontal="left" vertical="center" wrapText="1"/>
    </xf>
    <xf numFmtId="0" fontId="42" fillId="14" borderId="13" xfId="0" applyFont="1" applyFill="1" applyBorder="1" applyAlignment="1">
      <alignment horizontal="center" vertical="center"/>
    </xf>
    <xf numFmtId="0" fontId="43" fillId="0" borderId="13" xfId="0" applyFont="1" applyBorder="1" applyAlignment="1">
      <alignment horizontal="center" vertical="center"/>
    </xf>
    <xf numFmtId="0" fontId="43" fillId="0" borderId="13" xfId="0" applyFont="1" applyBorder="1" applyAlignment="1">
      <alignment horizontal="left" vertical="center" wrapText="1"/>
    </xf>
    <xf numFmtId="0" fontId="43" fillId="0" borderId="13" xfId="0" applyFont="1" applyBorder="1" applyAlignment="1">
      <alignment horizontal="center" vertical="center" wrapText="1"/>
    </xf>
    <xf numFmtId="0" fontId="45" fillId="0" borderId="42" xfId="0" applyFont="1" applyBorder="1" applyAlignment="1">
      <alignment horizontal="left" vertical="top" wrapText="1"/>
    </xf>
    <xf numFmtId="0" fontId="43" fillId="0" borderId="13" xfId="0" applyFont="1" applyBorder="1" applyAlignment="1">
      <alignment horizontal="left" vertical="center"/>
    </xf>
    <xf numFmtId="0" fontId="43" fillId="0" borderId="12" xfId="0" applyFont="1" applyBorder="1" applyAlignment="1">
      <alignment horizontal="center" vertical="center"/>
    </xf>
    <xf numFmtId="0" fontId="43" fillId="0" borderId="13" xfId="0" applyFont="1" applyBorder="1" applyAlignment="1">
      <alignment horizontal="left" vertical="top" wrapText="1"/>
    </xf>
    <xf numFmtId="0" fontId="43" fillId="0" borderId="0" xfId="0" applyFont="1" applyAlignment="1">
      <alignment horizontal="center" vertical="center"/>
    </xf>
    <xf numFmtId="0" fontId="19" fillId="13" borderId="7" xfId="0" applyFont="1" applyFill="1" applyBorder="1" applyAlignment="1">
      <alignment horizontal="left" vertical="center" wrapText="1"/>
    </xf>
    <xf numFmtId="0" fontId="19" fillId="13" borderId="12" xfId="0" applyFont="1" applyFill="1" applyBorder="1" applyAlignment="1">
      <alignment horizontal="left" vertical="center"/>
    </xf>
    <xf numFmtId="40" fontId="32" fillId="13" borderId="7" xfId="1" applyNumberFormat="1" applyFont="1" applyFill="1" applyBorder="1" applyAlignment="1">
      <alignment horizontal="center" vertical="center"/>
    </xf>
    <xf numFmtId="40" fontId="32" fillId="13" borderId="12" xfId="1" applyNumberFormat="1" applyFont="1" applyFill="1" applyBorder="1" applyAlignment="1">
      <alignment horizontal="center" vertical="center"/>
    </xf>
    <xf numFmtId="0" fontId="17" fillId="5" borderId="7" xfId="0" applyFont="1" applyFill="1" applyBorder="1" applyAlignment="1">
      <alignment horizontal="center" vertical="center"/>
    </xf>
    <xf numFmtId="0" fontId="17" fillId="5" borderId="8" xfId="0" applyFont="1" applyFill="1" applyBorder="1" applyAlignment="1">
      <alignment horizontal="center" vertical="center"/>
    </xf>
    <xf numFmtId="0" fontId="17" fillId="5" borderId="15"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32" fillId="13" borderId="7" xfId="0" applyFont="1" applyFill="1" applyBorder="1" applyAlignment="1">
      <alignment horizontal="center" vertical="center"/>
    </xf>
    <xf numFmtId="0" fontId="32" fillId="13" borderId="12" xfId="0" applyFont="1" applyFill="1" applyBorder="1" applyAlignment="1">
      <alignment horizontal="center" vertical="center"/>
    </xf>
    <xf numFmtId="0" fontId="3" fillId="13" borderId="7"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7" xfId="0" applyFont="1" applyFill="1" applyBorder="1" applyAlignment="1">
      <alignment horizontal="center" vertical="center" shrinkToFit="1"/>
    </xf>
    <xf numFmtId="0" fontId="3" fillId="13" borderId="12" xfId="0" applyFont="1" applyFill="1" applyBorder="1" applyAlignment="1">
      <alignment horizontal="center" vertical="center" shrinkToFit="1"/>
    </xf>
    <xf numFmtId="0" fontId="3" fillId="13" borderId="7" xfId="0" applyFont="1" applyFill="1" applyBorder="1" applyAlignment="1">
      <alignment horizontal="left" vertical="center" wrapText="1" shrinkToFit="1"/>
    </xf>
    <xf numFmtId="0" fontId="3" fillId="13" borderId="12" xfId="0" applyFont="1" applyFill="1" applyBorder="1" applyAlignment="1">
      <alignment horizontal="left" vertical="center" wrapText="1" shrinkToFit="1"/>
    </xf>
    <xf numFmtId="0" fontId="17" fillId="5" borderId="7" xfId="0" applyFont="1" applyFill="1" applyBorder="1" applyAlignment="1">
      <alignment horizontal="center" vertical="center" shrinkToFit="1"/>
    </xf>
    <xf numFmtId="0" fontId="17" fillId="5" borderId="8" xfId="0" applyFont="1" applyFill="1" applyBorder="1" applyAlignment="1">
      <alignment horizontal="center" vertical="center" shrinkToFi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13" xfId="0" applyFont="1" applyFill="1" applyBorder="1" applyAlignment="1">
      <alignment horizontal="center" vertical="center" wrapText="1"/>
    </xf>
    <xf numFmtId="176" fontId="32" fillId="13" borderId="7" xfId="0" applyNumberFormat="1" applyFont="1" applyFill="1" applyBorder="1" applyAlignment="1">
      <alignment horizontal="center" vertical="center"/>
    </xf>
    <xf numFmtId="176" fontId="32" fillId="13" borderId="12" xfId="0" applyNumberFormat="1" applyFont="1" applyFill="1" applyBorder="1" applyAlignment="1">
      <alignment horizontal="center" vertical="center"/>
    </xf>
    <xf numFmtId="0" fontId="17" fillId="0" borderId="7" xfId="0" applyFont="1" applyBorder="1" applyAlignment="1">
      <alignment horizontal="left" vertical="center" wrapText="1"/>
    </xf>
    <xf numFmtId="0" fontId="17" fillId="0" borderId="12" xfId="0" applyFont="1" applyBorder="1" applyAlignment="1">
      <alignment horizontal="left" vertical="center"/>
    </xf>
    <xf numFmtId="40" fontId="32" fillId="0" borderId="7" xfId="1" applyNumberFormat="1" applyFont="1" applyFill="1" applyBorder="1" applyAlignment="1">
      <alignment horizontal="center" vertical="center"/>
    </xf>
    <xf numFmtId="40" fontId="32" fillId="0" borderId="12" xfId="1" applyNumberFormat="1" applyFont="1" applyFill="1" applyBorder="1" applyAlignment="1">
      <alignment horizontal="center" vertical="center"/>
    </xf>
    <xf numFmtId="176" fontId="32" fillId="0" borderId="7" xfId="0" applyNumberFormat="1" applyFont="1" applyBorder="1" applyAlignment="1">
      <alignment horizontal="center" vertical="center"/>
    </xf>
    <xf numFmtId="176" fontId="32" fillId="0" borderId="12" xfId="0" applyNumberFormat="1" applyFont="1" applyBorder="1" applyAlignment="1">
      <alignment horizontal="center" vertical="center"/>
    </xf>
    <xf numFmtId="14" fontId="19" fillId="13" borderId="7" xfId="0" applyNumberFormat="1" applyFont="1" applyFill="1" applyBorder="1" applyAlignment="1">
      <alignment horizontal="left" vertical="center" wrapText="1"/>
    </xf>
    <xf numFmtId="40" fontId="17" fillId="0" borderId="7" xfId="1" applyNumberFormat="1" applyFont="1" applyFill="1" applyBorder="1" applyAlignment="1">
      <alignment horizontal="center" vertical="center"/>
    </xf>
    <xf numFmtId="40" fontId="17" fillId="0" borderId="12" xfId="1" applyNumberFormat="1" applyFont="1" applyFill="1" applyBorder="1" applyAlignment="1">
      <alignment horizontal="center" vertical="center"/>
    </xf>
    <xf numFmtId="0" fontId="19" fillId="13" borderId="7" xfId="0" quotePrefix="1" applyFont="1" applyFill="1" applyBorder="1" applyAlignment="1">
      <alignment horizontal="left" vertical="center" wrapText="1"/>
    </xf>
    <xf numFmtId="0" fontId="17" fillId="13" borderId="7" xfId="0" applyFont="1" applyFill="1" applyBorder="1" applyAlignment="1">
      <alignment vertical="center" wrapText="1"/>
    </xf>
    <xf numFmtId="0" fontId="17" fillId="13" borderId="12" xfId="0" applyFont="1" applyFill="1" applyBorder="1" applyAlignment="1">
      <alignment vertical="center" wrapText="1"/>
    </xf>
    <xf numFmtId="0" fontId="17" fillId="13" borderId="13" xfId="0" applyFont="1" applyFill="1" applyBorder="1" applyAlignment="1">
      <alignment vertical="center" wrapText="1"/>
    </xf>
    <xf numFmtId="0" fontId="17" fillId="0" borderId="7" xfId="0" applyFont="1" applyBorder="1" applyAlignment="1">
      <alignment horizontal="center" vertical="center"/>
    </xf>
    <xf numFmtId="0" fontId="17" fillId="0" borderId="12" xfId="0" applyFont="1" applyBorder="1" applyAlignment="1">
      <alignment horizontal="center" vertical="center"/>
    </xf>
    <xf numFmtId="0" fontId="17" fillId="0" borderId="7" xfId="0" quotePrefix="1" applyFont="1" applyBorder="1" applyAlignment="1">
      <alignment horizontal="center" vertical="center" shrinkToFit="1"/>
    </xf>
    <xf numFmtId="0" fontId="17" fillId="0" borderId="12" xfId="0" applyFont="1" applyBorder="1" applyAlignment="1">
      <alignment horizontal="center" vertical="center" shrinkToFit="1"/>
    </xf>
    <xf numFmtId="0" fontId="17" fillId="0" borderId="7" xfId="0" applyFont="1" applyBorder="1" applyAlignment="1">
      <alignment horizontal="center" vertical="center" shrinkToFit="1"/>
    </xf>
    <xf numFmtId="0" fontId="17" fillId="0" borderId="7" xfId="0" applyFont="1" applyBorder="1" applyAlignment="1">
      <alignment horizontal="left" vertical="center" shrinkToFit="1"/>
    </xf>
    <xf numFmtId="0" fontId="17" fillId="0" borderId="12" xfId="0" applyFont="1" applyBorder="1" applyAlignment="1">
      <alignment horizontal="left" vertical="center" shrinkToFit="1"/>
    </xf>
    <xf numFmtId="40" fontId="17" fillId="0" borderId="7" xfId="1" applyNumberFormat="1" applyFont="1" applyBorder="1" applyAlignment="1">
      <alignment horizontal="center" vertical="center"/>
    </xf>
    <xf numFmtId="40" fontId="17" fillId="0" borderId="12" xfId="1" applyNumberFormat="1" applyFont="1" applyBorder="1" applyAlignment="1">
      <alignment horizontal="center" vertical="center"/>
    </xf>
    <xf numFmtId="0" fontId="17" fillId="13" borderId="13" xfId="0" applyFont="1" applyFill="1" applyBorder="1">
      <alignment vertical="center"/>
    </xf>
    <xf numFmtId="0" fontId="3" fillId="13" borderId="7" xfId="0" applyFont="1" applyFill="1" applyBorder="1" applyAlignment="1">
      <alignment horizontal="left" vertical="center" shrinkToFit="1"/>
    </xf>
    <xf numFmtId="0" fontId="3" fillId="13" borderId="12" xfId="0" applyFont="1" applyFill="1" applyBorder="1" applyAlignment="1">
      <alignment horizontal="left" vertical="center" shrinkToFit="1"/>
    </xf>
    <xf numFmtId="0" fontId="17" fillId="3" borderId="15"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7" xfId="0" applyFont="1" applyFill="1" applyBorder="1" applyAlignment="1">
      <alignment horizontal="center" vertical="center" shrinkToFit="1"/>
    </xf>
    <xf numFmtId="0" fontId="17" fillId="3" borderId="8" xfId="0" applyFont="1" applyFill="1" applyBorder="1" applyAlignment="1">
      <alignment horizontal="center" vertical="center" shrinkToFi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7" xfId="0" applyFont="1" applyFill="1" applyBorder="1" applyAlignment="1">
      <alignment horizontal="center" vertical="center"/>
    </xf>
    <xf numFmtId="0" fontId="17" fillId="3" borderId="8" xfId="0" applyFont="1" applyFill="1" applyBorder="1" applyAlignment="1">
      <alignment horizontal="center" vertical="center"/>
    </xf>
    <xf numFmtId="0" fontId="17" fillId="0" borderId="3" xfId="0" applyFont="1" applyBorder="1" applyAlignment="1">
      <alignment horizontal="right" vertical="center"/>
    </xf>
    <xf numFmtId="0" fontId="17" fillId="0" borderId="19" xfId="0" applyFont="1" applyBorder="1" applyAlignment="1">
      <alignment horizontal="right" vertical="center"/>
    </xf>
    <xf numFmtId="0" fontId="17" fillId="0" borderId="20" xfId="0" applyFont="1" applyBorder="1" applyAlignment="1">
      <alignment horizontal="right" vertical="center"/>
    </xf>
    <xf numFmtId="0" fontId="17" fillId="0" borderId="17" xfId="0" applyFont="1" applyBorder="1" applyAlignment="1">
      <alignment horizontal="right" vertical="center"/>
    </xf>
    <xf numFmtId="0" fontId="17" fillId="0" borderId="1" xfId="0" applyFont="1" applyBorder="1" applyAlignment="1">
      <alignment horizontal="right" vertical="center"/>
    </xf>
    <xf numFmtId="0" fontId="17" fillId="0" borderId="2" xfId="0" applyFont="1" applyBorder="1" applyAlignment="1">
      <alignment horizontal="right" vertical="center"/>
    </xf>
    <xf numFmtId="0" fontId="17" fillId="0" borderId="7" xfId="0" applyFont="1" applyBorder="1" applyAlignment="1">
      <alignment horizontal="left" vertical="center"/>
    </xf>
    <xf numFmtId="0" fontId="17" fillId="3" borderId="13" xfId="0" applyFont="1" applyFill="1" applyBorder="1" applyAlignment="1">
      <alignment horizontal="center" vertical="center" wrapText="1"/>
    </xf>
    <xf numFmtId="2" fontId="38" fillId="0" borderId="0" xfId="0" applyNumberFormat="1" applyFont="1" applyAlignment="1">
      <alignment horizontal="center" vertical="center"/>
    </xf>
    <xf numFmtId="2" fontId="17" fillId="0" borderId="0" xfId="0" applyNumberFormat="1" applyFont="1" applyAlignment="1">
      <alignment horizontal="center" vertical="center"/>
    </xf>
    <xf numFmtId="0" fontId="18" fillId="0" borderId="7" xfId="6" applyFont="1" applyBorder="1" applyAlignment="1">
      <alignment horizontal="left" vertical="center" shrinkToFit="1"/>
    </xf>
    <xf numFmtId="0" fontId="18" fillId="0" borderId="12" xfId="6" applyFont="1" applyBorder="1" applyAlignment="1">
      <alignment horizontal="left" vertical="center" shrinkToFit="1"/>
    </xf>
    <xf numFmtId="0" fontId="17" fillId="0" borderId="7" xfId="0" quotePrefix="1" applyFont="1" applyBorder="1" applyAlignment="1">
      <alignment horizontal="left" vertical="center" wrapText="1"/>
    </xf>
    <xf numFmtId="0" fontId="17" fillId="0" borderId="7" xfId="0" quotePrefix="1" applyFont="1" applyBorder="1" applyAlignment="1">
      <alignment horizontal="left" vertical="center"/>
    </xf>
    <xf numFmtId="0" fontId="36" fillId="0" borderId="0" xfId="0" applyFont="1" applyAlignment="1">
      <alignment horizontal="center" vertical="center"/>
    </xf>
    <xf numFmtId="179" fontId="38" fillId="0" borderId="0" xfId="0" applyNumberFormat="1" applyFont="1" applyAlignment="1">
      <alignment horizontal="center" vertical="center"/>
    </xf>
    <xf numFmtId="180" fontId="38" fillId="0" borderId="0" xfId="0" applyNumberFormat="1" applyFont="1" applyAlignment="1">
      <alignment horizontal="center" vertical="center"/>
    </xf>
    <xf numFmtId="40" fontId="17" fillId="0" borderId="0" xfId="0" applyNumberFormat="1" applyFont="1" applyAlignment="1">
      <alignment horizontal="center" vertical="center"/>
    </xf>
    <xf numFmtId="0" fontId="17" fillId="0" borderId="0" xfId="0" applyFont="1" applyAlignment="1">
      <alignment horizontal="center" vertical="center"/>
    </xf>
    <xf numFmtId="0" fontId="17" fillId="4"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7" xfId="0" applyFont="1" applyFill="1" applyBorder="1" applyAlignment="1">
      <alignment horizontal="center" vertical="center"/>
    </xf>
    <xf numFmtId="0" fontId="17" fillId="4" borderId="8" xfId="0" applyFont="1" applyFill="1" applyBorder="1" applyAlignment="1">
      <alignment horizontal="center" vertical="center"/>
    </xf>
    <xf numFmtId="14" fontId="30" fillId="0" borderId="7" xfId="0" quotePrefix="1" applyNumberFormat="1" applyFont="1" applyBorder="1" applyAlignment="1">
      <alignment horizontal="left" vertical="center" wrapText="1"/>
    </xf>
    <xf numFmtId="0" fontId="17" fillId="0" borderId="7" xfId="0" applyFont="1" applyBorder="1" applyAlignment="1">
      <alignment horizontal="left" vertical="center" wrapText="1" shrinkToFit="1"/>
    </xf>
    <xf numFmtId="0" fontId="17" fillId="0" borderId="12" xfId="0" applyFont="1" applyBorder="1" applyAlignment="1">
      <alignment horizontal="left" vertical="center" wrapText="1" shrinkToFit="1"/>
    </xf>
    <xf numFmtId="0" fontId="17" fillId="4" borderId="7" xfId="0" applyFont="1" applyFill="1" applyBorder="1" applyAlignment="1">
      <alignment horizontal="center" vertical="center" shrinkToFit="1"/>
    </xf>
    <xf numFmtId="0" fontId="17" fillId="4" borderId="8" xfId="0" applyFont="1" applyFill="1" applyBorder="1" applyAlignment="1">
      <alignment horizontal="center" vertical="center" shrinkToFit="1"/>
    </xf>
    <xf numFmtId="0" fontId="17" fillId="4" borderId="13" xfId="0" applyFont="1" applyFill="1" applyBorder="1" applyAlignment="1">
      <alignment horizontal="center" vertical="center" wrapText="1"/>
    </xf>
    <xf numFmtId="0" fontId="31" fillId="6" borderId="13" xfId="0" applyFont="1" applyFill="1" applyBorder="1" applyAlignment="1">
      <alignment horizontal="left" vertical="center"/>
    </xf>
    <xf numFmtId="0" fontId="17" fillId="0" borderId="15" xfId="0" applyFont="1" applyBorder="1" applyAlignment="1">
      <alignment horizontal="left" vertical="center"/>
    </xf>
    <xf numFmtId="0" fontId="17" fillId="0" borderId="18" xfId="0" applyFont="1" applyBorder="1" applyAlignment="1">
      <alignment horizontal="left" vertical="center"/>
    </xf>
    <xf numFmtId="0" fontId="17" fillId="0" borderId="15" xfId="0" applyFont="1" applyBorder="1" applyAlignment="1">
      <alignment horizontal="center" vertical="center"/>
    </xf>
    <xf numFmtId="0" fontId="17" fillId="0" borderId="18" xfId="0" applyFont="1" applyBorder="1" applyAlignment="1">
      <alignment horizontal="center" vertical="center"/>
    </xf>
    <xf numFmtId="14" fontId="26" fillId="0" borderId="15" xfId="0" quotePrefix="1" applyNumberFormat="1" applyFont="1" applyBorder="1" applyAlignment="1">
      <alignment horizontal="center" vertical="center"/>
    </xf>
    <xf numFmtId="14" fontId="26" fillId="0" borderId="18" xfId="0" quotePrefix="1" applyNumberFormat="1" applyFont="1" applyBorder="1" applyAlignment="1">
      <alignment horizontal="center" vertical="center"/>
    </xf>
    <xf numFmtId="14" fontId="26" fillId="0" borderId="15" xfId="0" quotePrefix="1" applyNumberFormat="1" applyFont="1" applyBorder="1" applyAlignment="1">
      <alignment horizontal="left" vertical="center"/>
    </xf>
    <xf numFmtId="14" fontId="26" fillId="0" borderId="18" xfId="0" applyNumberFormat="1" applyFont="1" applyBorder="1" applyAlignment="1">
      <alignment horizontal="left" vertical="center"/>
    </xf>
    <xf numFmtId="0" fontId="3" fillId="0" borderId="7" xfId="0" applyFont="1" applyBorder="1" applyAlignment="1">
      <alignment horizontal="center" vertical="center"/>
    </xf>
    <xf numFmtId="0" fontId="3" fillId="0" borderId="12" xfId="0" applyFont="1" applyBorder="1" applyAlignment="1">
      <alignment horizontal="center" vertical="center"/>
    </xf>
    <xf numFmtId="14" fontId="60" fillId="0" borderId="15" xfId="0" quotePrefix="1" applyNumberFormat="1" applyFont="1" applyBorder="1" applyAlignment="1">
      <alignment horizontal="left" vertical="center"/>
    </xf>
    <xf numFmtId="14" fontId="60" fillId="0" borderId="18" xfId="0" applyNumberFormat="1" applyFont="1" applyBorder="1" applyAlignment="1">
      <alignment horizontal="left" vertical="center"/>
    </xf>
    <xf numFmtId="40" fontId="3" fillId="0" borderId="7" xfId="1" applyNumberFormat="1" applyFont="1" applyBorder="1" applyAlignment="1">
      <alignment horizontal="center" vertical="center"/>
    </xf>
    <xf numFmtId="40" fontId="3" fillId="0" borderId="12" xfId="1" applyNumberFormat="1" applyFont="1" applyBorder="1" applyAlignment="1">
      <alignment horizontal="center" vertical="center"/>
    </xf>
    <xf numFmtId="0" fontId="3" fillId="0" borderId="7" xfId="0" quotePrefix="1" applyFont="1" applyBorder="1" applyAlignment="1">
      <alignment horizontal="center" vertical="center" shrinkToFit="1"/>
    </xf>
    <xf numFmtId="0" fontId="3" fillId="0" borderId="12" xfId="0" applyFont="1" applyBorder="1" applyAlignment="1">
      <alignment horizontal="center" vertical="center" shrinkToFit="1"/>
    </xf>
    <xf numFmtId="40" fontId="9" fillId="2" borderId="46" xfId="0" applyNumberFormat="1" applyFont="1" applyFill="1" applyBorder="1" applyAlignment="1">
      <alignment horizontal="center" vertical="center"/>
    </xf>
    <xf numFmtId="40" fontId="9" fillId="2" borderId="30" xfId="0" applyNumberFormat="1" applyFont="1" applyFill="1" applyBorder="1" applyAlignment="1">
      <alignment horizontal="center" vertical="center"/>
    </xf>
    <xf numFmtId="40" fontId="3" fillId="13" borderId="7" xfId="1" applyNumberFormat="1" applyFont="1" applyFill="1" applyBorder="1" applyAlignment="1">
      <alignment horizontal="center" vertical="center"/>
    </xf>
    <xf numFmtId="40" fontId="3" fillId="13" borderId="12" xfId="1" applyNumberFormat="1" applyFont="1" applyFill="1" applyBorder="1" applyAlignment="1">
      <alignment horizontal="center" vertical="center"/>
    </xf>
    <xf numFmtId="9" fontId="3" fillId="0" borderId="7" xfId="2" applyFont="1" applyFill="1" applyBorder="1" applyAlignment="1">
      <alignment horizontal="center" vertical="center"/>
    </xf>
    <xf numFmtId="9" fontId="3" fillId="0" borderId="12" xfId="2" applyFont="1" applyFill="1" applyBorder="1" applyAlignment="1">
      <alignment horizontal="center" vertical="center"/>
    </xf>
    <xf numFmtId="0" fontId="3" fillId="0" borderId="7" xfId="0" applyFont="1" applyBorder="1" applyAlignment="1">
      <alignment horizontal="left" vertical="center"/>
    </xf>
    <xf numFmtId="0" fontId="3" fillId="0" borderId="12" xfId="0" applyFont="1" applyBorder="1" applyAlignment="1">
      <alignment horizontal="left" vertical="center"/>
    </xf>
    <xf numFmtId="176" fontId="3" fillId="0" borderId="7" xfId="0" applyNumberFormat="1" applyFont="1" applyBorder="1" applyAlignment="1">
      <alignment horizontal="center" vertical="center"/>
    </xf>
    <xf numFmtId="176" fontId="3" fillId="0" borderId="12" xfId="0" applyNumberFormat="1" applyFont="1" applyBorder="1" applyAlignment="1">
      <alignment horizontal="center" vertical="center"/>
    </xf>
    <xf numFmtId="0" fontId="3" fillId="0" borderId="3" xfId="0" applyFont="1" applyBorder="1" applyAlignment="1">
      <alignment horizontal="right" vertical="center"/>
    </xf>
    <xf numFmtId="0" fontId="3" fillId="0" borderId="19" xfId="0" applyFont="1" applyBorder="1" applyAlignment="1">
      <alignment horizontal="right" vertical="center"/>
    </xf>
    <xf numFmtId="0" fontId="3" fillId="0" borderId="20" xfId="0" applyFont="1" applyBorder="1" applyAlignment="1">
      <alignment horizontal="right" vertical="center"/>
    </xf>
    <xf numFmtId="0" fontId="3" fillId="0" borderId="17" xfId="0" applyFont="1" applyBorder="1" applyAlignment="1">
      <alignment horizontal="right" vertical="center"/>
    </xf>
    <xf numFmtId="0" fontId="3" fillId="0" borderId="1" xfId="0" applyFont="1" applyBorder="1" applyAlignment="1">
      <alignment horizontal="right" vertical="center"/>
    </xf>
    <xf numFmtId="0" fontId="3" fillId="0" borderId="2" xfId="0" applyFont="1" applyBorder="1" applyAlignment="1">
      <alignment horizontal="right" vertical="center"/>
    </xf>
    <xf numFmtId="0" fontId="3" fillId="3" borderId="13" xfId="0" applyFont="1" applyFill="1" applyBorder="1" applyAlignment="1">
      <alignment horizontal="center" vertical="center" wrapText="1"/>
    </xf>
    <xf numFmtId="0" fontId="3" fillId="0" borderId="7" xfId="0" applyFont="1" applyBorder="1" applyAlignment="1">
      <alignment horizontal="center" vertical="center" shrinkToFit="1"/>
    </xf>
    <xf numFmtId="0" fontId="3" fillId="0" borderId="7" xfId="0" applyFont="1" applyBorder="1" applyAlignment="1">
      <alignment horizontal="left" vertical="center" wrapText="1" shrinkToFit="1"/>
    </xf>
    <xf numFmtId="0" fontId="3" fillId="0" borderId="12" xfId="0" applyFont="1" applyBorder="1" applyAlignment="1">
      <alignment horizontal="left" vertical="center" wrapText="1" shrinkToFit="1"/>
    </xf>
    <xf numFmtId="0" fontId="3" fillId="0" borderId="7" xfId="0" applyFont="1" applyBorder="1" applyAlignment="1">
      <alignment horizontal="left" vertical="center" shrinkToFit="1"/>
    </xf>
    <xf numFmtId="0" fontId="3" fillId="0" borderId="12" xfId="0" applyFont="1" applyBorder="1" applyAlignment="1">
      <alignment horizontal="left" vertical="center" shrinkToFit="1"/>
    </xf>
    <xf numFmtId="40" fontId="3" fillId="0" borderId="7" xfId="1" applyNumberFormat="1" applyFont="1" applyFill="1" applyBorder="1" applyAlignment="1">
      <alignment horizontal="center" vertical="center"/>
    </xf>
    <xf numFmtId="40" fontId="3" fillId="0" borderId="12" xfId="1" applyNumberFormat="1" applyFont="1" applyFill="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12" xfId="0" applyFont="1" applyFill="1" applyBorder="1" applyAlignment="1">
      <alignment horizontal="center" vertical="center"/>
    </xf>
    <xf numFmtId="0" fontId="3" fillId="5" borderId="32"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47" fillId="13" borderId="7" xfId="0" applyFont="1" applyFill="1" applyBorder="1" applyAlignment="1">
      <alignment horizontal="left" vertical="center" wrapText="1"/>
    </xf>
    <xf numFmtId="0" fontId="47" fillId="13" borderId="12" xfId="0" applyFont="1" applyFill="1" applyBorder="1" applyAlignment="1">
      <alignment horizontal="left" vertical="center"/>
    </xf>
    <xf numFmtId="0" fontId="3" fillId="0" borderId="7" xfId="0" applyFont="1" applyBorder="1" applyAlignment="1">
      <alignment horizontal="left" vertical="center" wrapText="1"/>
    </xf>
    <xf numFmtId="0" fontId="3" fillId="0" borderId="12" xfId="0" applyFont="1" applyBorder="1" applyAlignment="1">
      <alignment horizontal="left" vertical="center" wrapText="1"/>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12" xfId="0" applyFont="1" applyFill="1" applyBorder="1" applyAlignment="1">
      <alignment horizontal="center" vertical="center"/>
    </xf>
    <xf numFmtId="40" fontId="9" fillId="2" borderId="28" xfId="0" applyNumberFormat="1" applyFont="1" applyFill="1" applyBorder="1" applyAlignment="1">
      <alignment horizontal="center" vertical="center"/>
    </xf>
    <xf numFmtId="40" fontId="9" fillId="2" borderId="37" xfId="0" applyNumberFormat="1" applyFont="1" applyFill="1" applyBorder="1" applyAlignment="1">
      <alignment horizontal="center" vertical="center"/>
    </xf>
    <xf numFmtId="0" fontId="50" fillId="13" borderId="7" xfId="0" applyFont="1" applyFill="1" applyBorder="1" applyAlignment="1">
      <alignment horizontal="left" vertical="center" wrapText="1"/>
    </xf>
    <xf numFmtId="0" fontId="50" fillId="13" borderId="12" xfId="0" applyFont="1" applyFill="1" applyBorder="1" applyAlignment="1">
      <alignment horizontal="left" vertical="center"/>
    </xf>
    <xf numFmtId="0" fontId="17" fillId="13" borderId="7" xfId="0" applyFont="1" applyFill="1" applyBorder="1" applyAlignment="1">
      <alignment horizontal="left" vertical="center" wrapText="1" shrinkToFit="1"/>
    </xf>
    <xf numFmtId="0" fontId="17" fillId="13" borderId="12" xfId="0" applyFont="1" applyFill="1" applyBorder="1" applyAlignment="1">
      <alignment horizontal="left" vertical="center" wrapText="1" shrinkToFit="1"/>
    </xf>
    <xf numFmtId="0" fontId="3" fillId="5" borderId="7" xfId="0" applyFont="1" applyFill="1" applyBorder="1" applyAlignment="1">
      <alignment horizontal="center" vertical="center" shrinkToFit="1"/>
    </xf>
    <xf numFmtId="0" fontId="3" fillId="5" borderId="8" xfId="0" applyFont="1" applyFill="1" applyBorder="1" applyAlignment="1">
      <alignment horizontal="center" vertical="center" shrinkToFit="1"/>
    </xf>
    <xf numFmtId="0" fontId="3" fillId="5" borderId="12" xfId="0" applyFont="1" applyFill="1" applyBorder="1" applyAlignment="1">
      <alignment horizontal="center" vertical="center" shrinkToFit="1"/>
    </xf>
    <xf numFmtId="0" fontId="3" fillId="5" borderId="15"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0" borderId="23" xfId="0" applyFont="1" applyBorder="1" applyAlignment="1">
      <alignment horizontal="right" vertical="center"/>
    </xf>
    <xf numFmtId="0" fontId="3" fillId="0" borderId="24" xfId="0" applyFont="1" applyBorder="1" applyAlignment="1">
      <alignment horizontal="right" vertical="center"/>
    </xf>
    <xf numFmtId="0" fontId="3" fillId="0" borderId="10" xfId="0" applyFont="1" applyBorder="1" applyAlignment="1">
      <alignment horizontal="right" vertical="center"/>
    </xf>
    <xf numFmtId="2" fontId="3" fillId="0" borderId="0" xfId="0" applyNumberFormat="1" applyFont="1" applyAlignment="1">
      <alignment horizontal="center" vertical="center"/>
    </xf>
    <xf numFmtId="2" fontId="22" fillId="0" borderId="0" xfId="0" applyNumberFormat="1" applyFont="1" applyAlignment="1">
      <alignment horizontal="center" vertical="center"/>
    </xf>
    <xf numFmtId="40" fontId="3" fillId="0" borderId="0" xfId="0" applyNumberFormat="1" applyFont="1" applyAlignment="1">
      <alignment horizontal="center" vertical="center"/>
    </xf>
    <xf numFmtId="0" fontId="3" fillId="0" borderId="0" xfId="0" applyFont="1" applyAlignment="1">
      <alignment horizontal="center" vertical="center"/>
    </xf>
    <xf numFmtId="40" fontId="9" fillId="2" borderId="35" xfId="0" applyNumberFormat="1" applyFont="1" applyFill="1" applyBorder="1" applyAlignment="1">
      <alignment horizontal="center" vertical="center"/>
    </xf>
    <xf numFmtId="0" fontId="9" fillId="2" borderId="30" xfId="0" applyFont="1" applyFill="1" applyBorder="1" applyAlignment="1">
      <alignment horizontal="center" vertical="center"/>
    </xf>
    <xf numFmtId="0" fontId="3" fillId="4" borderId="32"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9" fillId="6" borderId="13" xfId="0" applyFont="1" applyFill="1" applyBorder="1" applyAlignment="1">
      <alignment horizontal="right" vertical="center"/>
    </xf>
    <xf numFmtId="0" fontId="3" fillId="0" borderId="7" xfId="0" quotePrefix="1" applyFont="1" applyBorder="1" applyAlignment="1">
      <alignment horizontal="left" vertical="center" wrapText="1"/>
    </xf>
    <xf numFmtId="0" fontId="3" fillId="4" borderId="15" xfId="0" applyFont="1" applyFill="1" applyBorder="1" applyAlignment="1">
      <alignment horizontal="center" vertical="center" wrapText="1"/>
    </xf>
    <xf numFmtId="0" fontId="13" fillId="2" borderId="15" xfId="0" applyFont="1" applyFill="1" applyBorder="1" applyAlignment="1">
      <alignment horizontal="right" vertical="center" shrinkToFit="1"/>
    </xf>
    <xf numFmtId="0" fontId="13" fillId="2" borderId="16" xfId="0" applyFont="1" applyFill="1" applyBorder="1" applyAlignment="1">
      <alignment horizontal="right" vertical="center" shrinkToFit="1"/>
    </xf>
    <xf numFmtId="0" fontId="13" fillId="2" borderId="18" xfId="0" applyFont="1" applyFill="1" applyBorder="1" applyAlignment="1">
      <alignment horizontal="right" vertical="center" shrinkToFit="1"/>
    </xf>
    <xf numFmtId="0" fontId="3" fillId="4" borderId="7" xfId="0" applyFont="1" applyFill="1" applyBorder="1" applyAlignment="1">
      <alignment horizontal="center" vertical="center" shrinkToFit="1"/>
    </xf>
    <xf numFmtId="0" fontId="3" fillId="4" borderId="8" xfId="0" applyFont="1" applyFill="1" applyBorder="1" applyAlignment="1">
      <alignment horizontal="center" vertical="center" shrinkToFit="1"/>
    </xf>
    <xf numFmtId="0" fontId="3" fillId="4" borderId="12" xfId="0" applyFont="1" applyFill="1" applyBorder="1" applyAlignment="1">
      <alignment horizontal="center" vertical="center" shrinkToFit="1"/>
    </xf>
    <xf numFmtId="0" fontId="16" fillId="0" borderId="7" xfId="6" applyFont="1" applyBorder="1" applyAlignment="1">
      <alignment horizontal="left" vertical="center" shrinkToFit="1"/>
    </xf>
    <xf numFmtId="0" fontId="16" fillId="0" borderId="12" xfId="6" applyFont="1" applyBorder="1" applyAlignment="1">
      <alignment horizontal="left" vertical="center" shrinkToFit="1"/>
    </xf>
    <xf numFmtId="40" fontId="9" fillId="2" borderId="34" xfId="0" applyNumberFormat="1" applyFont="1" applyFill="1" applyBorder="1" applyAlignment="1">
      <alignment horizontal="center" vertical="center"/>
    </xf>
    <xf numFmtId="0" fontId="9" fillId="2" borderId="28" xfId="0" applyFont="1" applyFill="1" applyBorder="1" applyAlignment="1">
      <alignment horizontal="center" vertical="center"/>
    </xf>
    <xf numFmtId="40" fontId="9" fillId="2" borderId="33" xfId="0" applyNumberFormat="1" applyFont="1" applyFill="1" applyBorder="1" applyAlignment="1">
      <alignment horizontal="center" vertical="center"/>
    </xf>
    <xf numFmtId="0" fontId="9" fillId="2" borderId="25" xfId="0" applyFont="1" applyFill="1" applyBorder="1" applyAlignment="1">
      <alignment horizontal="center" vertical="center"/>
    </xf>
    <xf numFmtId="0" fontId="9" fillId="2" borderId="27" xfId="0" applyFont="1" applyFill="1" applyBorder="1" applyAlignment="1">
      <alignment horizontal="center" vertical="center"/>
    </xf>
    <xf numFmtId="40" fontId="9" fillId="2" borderId="38" xfId="0" applyNumberFormat="1" applyFont="1" applyFill="1" applyBorder="1" applyAlignment="1">
      <alignment horizontal="center" vertical="center"/>
    </xf>
    <xf numFmtId="0" fontId="3" fillId="0" borderId="21" xfId="0" applyFont="1" applyBorder="1" applyAlignment="1">
      <alignment horizontal="right" vertical="center"/>
    </xf>
    <xf numFmtId="0" fontId="3" fillId="0" borderId="22" xfId="0" applyFont="1" applyBorder="1" applyAlignment="1">
      <alignment horizontal="right" vertical="center"/>
    </xf>
    <xf numFmtId="0" fontId="3" fillId="0" borderId="5" xfId="0" applyFont="1" applyBorder="1" applyAlignment="1">
      <alignment horizontal="right" vertical="center"/>
    </xf>
    <xf numFmtId="2" fontId="9" fillId="2" borderId="45" xfId="0" applyNumberFormat="1" applyFont="1" applyFill="1" applyBorder="1" applyAlignment="1">
      <alignment horizontal="center" vertical="center"/>
    </xf>
    <xf numFmtId="2" fontId="9" fillId="2" borderId="26" xfId="0" applyNumberFormat="1" applyFont="1" applyFill="1" applyBorder="1" applyAlignment="1">
      <alignment horizontal="center" vertical="center"/>
    </xf>
    <xf numFmtId="2" fontId="9" fillId="2" borderId="46" xfId="0" applyNumberFormat="1"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2" xfId="0" applyFont="1" applyFill="1" applyBorder="1" applyAlignment="1">
      <alignment horizontal="center" vertical="center"/>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3" borderId="12" xfId="0" applyFont="1" applyFill="1" applyBorder="1" applyAlignment="1">
      <alignment horizontal="center" vertical="center" shrinkToFit="1"/>
    </xf>
    <xf numFmtId="0" fontId="3" fillId="0" borderId="7" xfId="0" quotePrefix="1" applyFont="1" applyBorder="1" applyAlignment="1">
      <alignment horizontal="left"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9" fillId="2" borderId="29" xfId="0" applyFont="1" applyFill="1" applyBorder="1" applyAlignment="1">
      <alignment horizontal="center" vertical="center"/>
    </xf>
    <xf numFmtId="0" fontId="9" fillId="2" borderId="31" xfId="0" applyFont="1" applyFill="1" applyBorder="1" applyAlignment="1">
      <alignment horizontal="center" vertical="center"/>
    </xf>
    <xf numFmtId="2" fontId="9" fillId="2" borderId="35" xfId="0" applyNumberFormat="1" applyFont="1" applyFill="1" applyBorder="1" applyAlignment="1">
      <alignment horizontal="center" vertical="center"/>
    </xf>
    <xf numFmtId="2" fontId="9" fillId="2" borderId="30" xfId="0" applyNumberFormat="1" applyFont="1" applyFill="1" applyBorder="1" applyAlignment="1">
      <alignment horizontal="center" vertical="center"/>
    </xf>
    <xf numFmtId="14" fontId="26" fillId="0" borderId="18" xfId="0" quotePrefix="1" applyNumberFormat="1" applyFont="1" applyBorder="1" applyAlignment="1">
      <alignment horizontal="left" vertical="center"/>
    </xf>
    <xf numFmtId="14" fontId="17" fillId="13" borderId="7" xfId="0" applyNumberFormat="1" applyFont="1" applyFill="1" applyBorder="1" applyAlignment="1">
      <alignment horizontal="center" vertical="center"/>
    </xf>
    <xf numFmtId="14" fontId="17" fillId="13" borderId="8" xfId="0" applyNumberFormat="1" applyFont="1" applyFill="1" applyBorder="1" applyAlignment="1">
      <alignment horizontal="center" vertical="center"/>
    </xf>
    <xf numFmtId="14" fontId="17" fillId="13" borderId="12" xfId="0" applyNumberFormat="1" applyFont="1" applyFill="1" applyBorder="1" applyAlignment="1">
      <alignment horizontal="center" vertical="center"/>
    </xf>
    <xf numFmtId="14" fontId="3" fillId="13" borderId="7" xfId="0" applyNumberFormat="1" applyFont="1" applyFill="1" applyBorder="1" applyAlignment="1">
      <alignment horizontal="center" vertical="center" wrapText="1"/>
    </xf>
    <xf numFmtId="14" fontId="3" fillId="13" borderId="8" xfId="0" applyNumberFormat="1" applyFont="1" applyFill="1" applyBorder="1" applyAlignment="1">
      <alignment horizontal="center" vertical="center" wrapText="1"/>
    </xf>
    <xf numFmtId="14" fontId="3" fillId="13" borderId="12" xfId="0" applyNumberFormat="1" applyFont="1" applyFill="1" applyBorder="1" applyAlignment="1">
      <alignment horizontal="center" vertical="center" wrapText="1"/>
    </xf>
    <xf numFmtId="0" fontId="3" fillId="13" borderId="7" xfId="0" applyFont="1" applyFill="1" applyBorder="1" applyAlignment="1">
      <alignment horizontal="left" vertical="center"/>
    </xf>
    <xf numFmtId="0" fontId="3" fillId="13" borderId="42" xfId="0" applyFont="1" applyFill="1" applyBorder="1" applyAlignment="1">
      <alignment horizontal="left" vertical="center"/>
    </xf>
    <xf numFmtId="0" fontId="3" fillId="13" borderId="12" xfId="0" applyFont="1" applyFill="1" applyBorder="1" applyAlignment="1">
      <alignment horizontal="left" vertical="center"/>
    </xf>
    <xf numFmtId="14" fontId="32" fillId="13" borderId="8" xfId="0" applyNumberFormat="1" applyFont="1" applyFill="1" applyBorder="1" applyAlignment="1">
      <alignment horizontal="center" vertical="center"/>
    </xf>
    <xf numFmtId="14" fontId="32" fillId="13" borderId="7" xfId="0" applyNumberFormat="1" applyFont="1" applyFill="1" applyBorder="1" applyAlignment="1">
      <alignment horizontal="center" vertical="center"/>
    </xf>
    <xf numFmtId="14" fontId="32" fillId="13" borderId="12" xfId="0" applyNumberFormat="1" applyFont="1" applyFill="1" applyBorder="1" applyAlignment="1">
      <alignment horizontal="center" vertical="center"/>
    </xf>
    <xf numFmtId="0" fontId="3" fillId="13" borderId="8" xfId="0" applyFont="1" applyFill="1" applyBorder="1" applyAlignment="1">
      <alignment horizontal="left" vertical="center"/>
    </xf>
    <xf numFmtId="0" fontId="3" fillId="13" borderId="8" xfId="0" applyFont="1" applyFill="1" applyBorder="1" applyAlignment="1">
      <alignment horizontal="left" vertical="center" wrapText="1"/>
    </xf>
    <xf numFmtId="0" fontId="3" fillId="13" borderId="12" xfId="0" applyFont="1" applyFill="1" applyBorder="1" applyAlignment="1">
      <alignment horizontal="left" vertical="center" wrapText="1"/>
    </xf>
    <xf numFmtId="14" fontId="3" fillId="13" borderId="7" xfId="0" applyNumberFormat="1" applyFont="1" applyFill="1" applyBorder="1" applyAlignment="1">
      <alignment horizontal="left" vertical="center"/>
    </xf>
    <xf numFmtId="14" fontId="3" fillId="13" borderId="8" xfId="0" applyNumberFormat="1" applyFont="1" applyFill="1" applyBorder="1" applyAlignment="1">
      <alignment horizontal="left" vertical="center"/>
    </xf>
    <xf numFmtId="14" fontId="3" fillId="13" borderId="12" xfId="0" applyNumberFormat="1" applyFont="1" applyFill="1" applyBorder="1" applyAlignment="1">
      <alignment horizontal="left" vertical="center"/>
    </xf>
    <xf numFmtId="0" fontId="3" fillId="13" borderId="7" xfId="0" applyFont="1" applyFill="1" applyBorder="1" applyAlignment="1">
      <alignment horizontal="left" vertical="center" wrapText="1"/>
    </xf>
    <xf numFmtId="14" fontId="17" fillId="13" borderId="7" xfId="0" applyNumberFormat="1" applyFont="1" applyFill="1" applyBorder="1" applyAlignment="1">
      <alignment horizontal="center" vertical="center" wrapText="1"/>
    </xf>
    <xf numFmtId="14" fontId="17" fillId="13" borderId="13" xfId="0" applyNumberFormat="1" applyFont="1" applyFill="1" applyBorder="1" applyAlignment="1">
      <alignment horizontal="center" vertical="center"/>
    </xf>
    <xf numFmtId="0" fontId="17" fillId="13" borderId="13" xfId="0" applyFont="1" applyFill="1" applyBorder="1" applyAlignment="1">
      <alignment horizontal="center" vertical="center"/>
    </xf>
    <xf numFmtId="14" fontId="3" fillId="13" borderId="13" xfId="0" applyNumberFormat="1" applyFont="1" applyFill="1" applyBorder="1" applyAlignment="1">
      <alignment horizontal="left" vertical="center"/>
    </xf>
    <xf numFmtId="0" fontId="3" fillId="13" borderId="13" xfId="0" applyFont="1" applyFill="1" applyBorder="1" applyAlignment="1">
      <alignment horizontal="left" vertical="center"/>
    </xf>
    <xf numFmtId="0" fontId="3" fillId="13" borderId="8" xfId="0" applyFont="1" applyFill="1" applyBorder="1" applyAlignment="1">
      <alignment horizontal="center" vertical="center" shrinkToFit="1"/>
    </xf>
    <xf numFmtId="0" fontId="3" fillId="13" borderId="7" xfId="0" applyFont="1" applyFill="1" applyBorder="1" applyAlignment="1">
      <alignment vertical="center" wrapText="1" shrinkToFit="1"/>
    </xf>
    <xf numFmtId="0" fontId="3" fillId="13" borderId="8" xfId="0" applyFont="1" applyFill="1" applyBorder="1" applyAlignment="1">
      <alignment vertical="center" wrapText="1" shrinkToFit="1"/>
    </xf>
    <xf numFmtId="0" fontId="3" fillId="13" borderId="12" xfId="0" applyFont="1" applyFill="1" applyBorder="1" applyAlignment="1">
      <alignment vertical="center" wrapText="1" shrinkToFit="1"/>
    </xf>
    <xf numFmtId="0" fontId="3" fillId="13" borderId="8" xfId="0" applyFont="1" applyFill="1" applyBorder="1" applyAlignment="1">
      <alignment horizontal="center" vertical="center"/>
    </xf>
    <xf numFmtId="0" fontId="3" fillId="13" borderId="3" xfId="0" applyFont="1" applyFill="1" applyBorder="1" applyAlignment="1">
      <alignment vertical="center" wrapText="1" shrinkToFit="1"/>
    </xf>
    <xf numFmtId="0" fontId="3" fillId="10" borderId="43" xfId="0" applyFont="1" applyFill="1" applyBorder="1" applyAlignment="1">
      <alignment horizontal="center" vertical="center"/>
    </xf>
    <xf numFmtId="0" fontId="3" fillId="11" borderId="13" xfId="0" applyFont="1" applyFill="1" applyBorder="1" applyAlignment="1">
      <alignment horizontal="center" vertical="center"/>
    </xf>
    <xf numFmtId="0" fontId="3" fillId="11" borderId="7" xfId="0" applyFont="1" applyFill="1" applyBorder="1" applyAlignment="1">
      <alignment horizontal="center" vertical="center" shrinkToFit="1"/>
    </xf>
    <xf numFmtId="0" fontId="3" fillId="11" borderId="8" xfId="0" applyFont="1" applyFill="1" applyBorder="1" applyAlignment="1">
      <alignment horizontal="center" vertical="center" shrinkToFit="1"/>
    </xf>
    <xf numFmtId="0" fontId="3" fillId="11" borderId="12" xfId="0" applyFont="1" applyFill="1" applyBorder="1" applyAlignment="1">
      <alignment horizontal="center" vertical="center" shrinkToFit="1"/>
    </xf>
    <xf numFmtId="0" fontId="12" fillId="11" borderId="7" xfId="0" applyFont="1" applyFill="1" applyBorder="1" applyAlignment="1">
      <alignment horizontal="center" vertical="center" shrinkToFit="1"/>
    </xf>
    <xf numFmtId="0" fontId="12" fillId="11" borderId="8" xfId="0" applyFont="1" applyFill="1" applyBorder="1" applyAlignment="1">
      <alignment horizontal="center" vertical="center" shrinkToFit="1"/>
    </xf>
    <xf numFmtId="0" fontId="12" fillId="11" borderId="12" xfId="0" applyFont="1" applyFill="1" applyBorder="1" applyAlignment="1">
      <alignment horizontal="center" vertical="center" shrinkToFit="1"/>
    </xf>
    <xf numFmtId="0" fontId="3" fillId="11" borderId="7" xfId="0" applyFont="1" applyFill="1" applyBorder="1" applyAlignment="1">
      <alignment horizontal="center" vertical="center"/>
    </xf>
    <xf numFmtId="0" fontId="3" fillId="11" borderId="8" xfId="0" applyFont="1" applyFill="1" applyBorder="1" applyAlignment="1">
      <alignment horizontal="center" vertical="center"/>
    </xf>
    <xf numFmtId="0" fontId="3" fillId="11" borderId="12" xfId="0" applyFont="1" applyFill="1" applyBorder="1" applyAlignment="1">
      <alignment horizontal="center" vertical="center"/>
    </xf>
    <xf numFmtId="0" fontId="3" fillId="5" borderId="7" xfId="0" applyFont="1" applyFill="1" applyBorder="1" applyAlignment="1">
      <alignment horizontal="center" vertical="center" wrapText="1" shrinkToFit="1"/>
    </xf>
    <xf numFmtId="0" fontId="3" fillId="5" borderId="12" xfId="0" applyFont="1" applyFill="1" applyBorder="1" applyAlignment="1">
      <alignment horizontal="center" vertical="center" wrapText="1" shrinkToFit="1"/>
    </xf>
    <xf numFmtId="0" fontId="12" fillId="11" borderId="7" xfId="0" applyFont="1" applyFill="1" applyBorder="1" applyAlignment="1">
      <alignment vertical="center" wrapText="1" shrinkToFit="1"/>
    </xf>
    <xf numFmtId="0" fontId="12" fillId="11" borderId="8" xfId="0" applyFont="1" applyFill="1" applyBorder="1" applyAlignment="1">
      <alignment vertical="center" wrapText="1" shrinkToFit="1"/>
    </xf>
    <xf numFmtId="0" fontId="12" fillId="11" borderId="12" xfId="0" applyFont="1" applyFill="1" applyBorder="1" applyAlignment="1">
      <alignment vertical="center" wrapText="1" shrinkToFit="1"/>
    </xf>
    <xf numFmtId="0" fontId="3" fillId="11" borderId="13" xfId="0" applyFont="1" applyFill="1" applyBorder="1" applyAlignment="1">
      <alignment horizontal="left" vertical="center"/>
    </xf>
    <xf numFmtId="14" fontId="3" fillId="13" borderId="13" xfId="0" applyNumberFormat="1" applyFont="1" applyFill="1" applyBorder="1" applyAlignment="1">
      <alignment horizontal="left" vertical="center" wrapText="1"/>
    </xf>
    <xf numFmtId="0" fontId="3" fillId="13" borderId="13" xfId="0" applyFont="1" applyFill="1" applyBorder="1" applyAlignment="1">
      <alignment horizontal="left" vertical="center" wrapText="1"/>
    </xf>
    <xf numFmtId="14" fontId="3" fillId="13" borderId="18"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17" fillId="13" borderId="7" xfId="0" applyFont="1" applyFill="1" applyBorder="1" applyAlignment="1">
      <alignment horizontal="left" vertical="center" shrinkToFit="1"/>
    </xf>
    <xf numFmtId="0" fontId="17" fillId="13" borderId="8" xfId="0" applyFont="1" applyFill="1" applyBorder="1" applyAlignment="1">
      <alignment horizontal="left" vertical="center" shrinkToFit="1"/>
    </xf>
    <xf numFmtId="0" fontId="17" fillId="13" borderId="12" xfId="0" applyFont="1" applyFill="1" applyBorder="1" applyAlignment="1">
      <alignment horizontal="left" vertical="center" shrinkToFit="1"/>
    </xf>
    <xf numFmtId="0" fontId="17" fillId="13" borderId="7" xfId="0" applyFont="1" applyFill="1" applyBorder="1" applyAlignment="1">
      <alignment horizontal="center" vertical="center"/>
    </xf>
    <xf numFmtId="0" fontId="17" fillId="13" borderId="8" xfId="0" applyFont="1" applyFill="1" applyBorder="1" applyAlignment="1">
      <alignment horizontal="center" vertical="center"/>
    </xf>
    <xf numFmtId="0" fontId="17" fillId="13" borderId="12" xfId="0" applyFont="1" applyFill="1" applyBorder="1" applyAlignment="1">
      <alignment horizontal="center" vertical="center"/>
    </xf>
    <xf numFmtId="0" fontId="17" fillId="13" borderId="8" xfId="0" applyFont="1" applyFill="1" applyBorder="1" applyAlignment="1">
      <alignment horizontal="left" vertical="center" wrapText="1" shrinkToFit="1"/>
    </xf>
    <xf numFmtId="0" fontId="17" fillId="13" borderId="7" xfId="0" applyFont="1" applyFill="1" applyBorder="1" applyAlignment="1">
      <alignment vertical="center" wrapText="1" shrinkToFit="1"/>
    </xf>
    <xf numFmtId="0" fontId="17" fillId="13" borderId="8" xfId="0" applyFont="1" applyFill="1" applyBorder="1" applyAlignment="1">
      <alignment vertical="center" wrapText="1" shrinkToFit="1"/>
    </xf>
    <xf numFmtId="0" fontId="17" fillId="13" borderId="12" xfId="0" applyFont="1" applyFill="1" applyBorder="1" applyAlignment="1">
      <alignment vertical="center" wrapText="1" shrinkToFit="1"/>
    </xf>
    <xf numFmtId="0" fontId="17" fillId="13" borderId="43" xfId="0" applyFont="1" applyFill="1" applyBorder="1" applyAlignment="1">
      <alignment vertical="center" wrapText="1" shrinkToFit="1"/>
    </xf>
    <xf numFmtId="0" fontId="32" fillId="13" borderId="7" xfId="0" applyFont="1" applyFill="1" applyBorder="1" applyAlignment="1">
      <alignment horizontal="center" vertical="center" wrapText="1" shrinkToFit="1"/>
    </xf>
    <xf numFmtId="0" fontId="32" fillId="13" borderId="8" xfId="0" applyFont="1" applyFill="1" applyBorder="1" applyAlignment="1">
      <alignment horizontal="center" vertical="center" wrapText="1" shrinkToFit="1"/>
    </xf>
    <xf numFmtId="0" fontId="32" fillId="13" borderId="12" xfId="0" applyFont="1" applyFill="1" applyBorder="1" applyAlignment="1">
      <alignment horizontal="center" vertical="center" wrapText="1" shrinkToFit="1"/>
    </xf>
    <xf numFmtId="0" fontId="32" fillId="13" borderId="7" xfId="0" applyFont="1" applyFill="1" applyBorder="1" applyAlignment="1">
      <alignment vertical="center" wrapText="1" shrinkToFit="1"/>
    </xf>
    <xf numFmtId="0" fontId="32" fillId="13" borderId="43" xfId="0" applyFont="1" applyFill="1" applyBorder="1" applyAlignment="1">
      <alignment vertical="center" wrapText="1" shrinkToFit="1"/>
    </xf>
    <xf numFmtId="0" fontId="32" fillId="13" borderId="12" xfId="0" applyFont="1" applyFill="1" applyBorder="1" applyAlignment="1">
      <alignment vertical="center" wrapText="1" shrinkToFit="1"/>
    </xf>
    <xf numFmtId="14" fontId="3" fillId="13" borderId="7" xfId="0" applyNumberFormat="1" applyFont="1" applyFill="1" applyBorder="1" applyAlignment="1">
      <alignment horizontal="left" vertical="center" wrapText="1"/>
    </xf>
    <xf numFmtId="14" fontId="3" fillId="13" borderId="8" xfId="0" applyNumberFormat="1" applyFont="1" applyFill="1" applyBorder="1" applyAlignment="1">
      <alignment horizontal="left" vertical="center" wrapText="1"/>
    </xf>
    <xf numFmtId="14" fontId="3" fillId="13" borderId="12" xfId="0" applyNumberFormat="1" applyFont="1" applyFill="1" applyBorder="1" applyAlignment="1">
      <alignment horizontal="left" vertical="center" wrapText="1"/>
    </xf>
    <xf numFmtId="14" fontId="17" fillId="13" borderId="8" xfId="0" applyNumberFormat="1" applyFont="1" applyFill="1" applyBorder="1" applyAlignment="1">
      <alignment horizontal="center" vertical="center" wrapText="1"/>
    </xf>
    <xf numFmtId="14" fontId="17" fillId="13" borderId="12" xfId="0" applyNumberFormat="1" applyFont="1" applyFill="1" applyBorder="1" applyAlignment="1">
      <alignment horizontal="center" vertical="center" wrapText="1"/>
    </xf>
    <xf numFmtId="0" fontId="32" fillId="13" borderId="8" xfId="0" applyFont="1" applyFill="1" applyBorder="1" applyAlignment="1">
      <alignment vertical="center" wrapText="1" shrinkToFit="1"/>
    </xf>
    <xf numFmtId="55" fontId="3" fillId="5" borderId="7" xfId="0" applyNumberFormat="1" applyFont="1" applyFill="1" applyBorder="1" applyAlignment="1">
      <alignment horizontal="center" vertical="center"/>
    </xf>
    <xf numFmtId="55" fontId="3" fillId="5" borderId="12" xfId="0" applyNumberFormat="1" applyFont="1" applyFill="1" applyBorder="1" applyAlignment="1">
      <alignment horizontal="center" vertical="center"/>
    </xf>
    <xf numFmtId="0" fontId="57" fillId="14" borderId="19" xfId="0" applyFont="1" applyFill="1" applyBorder="1" applyAlignment="1">
      <alignment horizontal="center" vertical="center"/>
    </xf>
  </cellXfs>
  <cellStyles count="10">
    <cellStyle name="0,0_x000d__x000a_NA_x000d__x000a_" xfId="7" xr:uid="{EDA1CAC7-77D4-4E83-9209-21BE04DC8B00}"/>
    <cellStyle name="Normal_(OST)Spring Batch Development_20130610" xfId="8" xr:uid="{58CD8A71-3DBB-4696-9574-8CE7C245F5BD}"/>
    <cellStyle name="パーセント" xfId="2" builtinId="5"/>
    <cellStyle name="ハイパーリンク" xfId="6" builtinId="8"/>
    <cellStyle name="桁区切り" xfId="1" builtinId="6"/>
    <cellStyle name="桁区切り 2" xfId="5" xr:uid="{00000000-0005-0000-0000-000003000000}"/>
    <cellStyle name="桁区切り 2 2" xfId="4" xr:uid="{00000000-0005-0000-0000-000004000000}"/>
    <cellStyle name="標準" xfId="0" builtinId="0"/>
    <cellStyle name="標準 2" xfId="9" xr:uid="{4B5D500A-03AC-4490-B5FC-2C192B876D04}"/>
    <cellStyle name="標準 2 3" xfId="3" xr:uid="{00000000-0005-0000-0000-000006000000}"/>
  </cellStyles>
  <dxfs count="51">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rgb="FFFFC000"/>
        </patternFill>
      </fill>
    </dxf>
    <dxf>
      <fill>
        <patternFill>
          <bgColor rgb="FFC00000"/>
        </patternFill>
      </fill>
    </dxf>
    <dxf>
      <fill>
        <patternFill>
          <bgColor theme="0" tint="-0.34998626667073579"/>
        </patternFill>
      </fill>
    </dxf>
    <dxf>
      <fill>
        <patternFill>
          <bgColor theme="0" tint="-0.34998626667073579"/>
        </patternFill>
      </fill>
    </dxf>
    <dxf>
      <fill>
        <patternFill>
          <bgColor theme="2" tint="-0.24994659260841701"/>
        </patternFill>
      </fill>
    </dxf>
    <dxf>
      <fill>
        <patternFill>
          <bgColor theme="2" tint="-0.24994659260841701"/>
        </patternFill>
      </fill>
    </dxf>
    <dxf>
      <fill>
        <patternFill>
          <bgColor theme="2" tint="-0.24994659260841701"/>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ja-JP" altLang="en-US"/>
              <a:t>プロジェクト計画達成状況（計画 </a:t>
            </a:r>
            <a:r>
              <a:rPr lang="en-US" altLang="ja-JP"/>
              <a:t>vs </a:t>
            </a:r>
            <a:r>
              <a:rPr lang="ja-JP" altLang="en-US"/>
              <a:t>実績）</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DIRタスク対応の人月まとめ!$F$32</c:f>
              <c:strCache>
                <c:ptCount val="1"/>
                <c:pt idx="0">
                  <c:v>計画</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DIRタスク対応の人月まとめ!$E$33:$E$34</c:f>
              <c:strCache>
                <c:ptCount val="2"/>
                <c:pt idx="0">
                  <c:v>案件</c:v>
                </c:pt>
                <c:pt idx="1">
                  <c:v>プロジェクト管理</c:v>
                </c:pt>
              </c:strCache>
            </c:strRef>
          </c:cat>
          <c:val>
            <c:numRef>
              <c:f>DIRタスク対応の人月まとめ!$F$33:$F$34</c:f>
              <c:numCache>
                <c:formatCode>0.00</c:formatCode>
                <c:ptCount val="2"/>
                <c:pt idx="0">
                  <c:v>4.8848484848484839</c:v>
                </c:pt>
                <c:pt idx="1">
                  <c:v>0.99619047619047629</c:v>
                </c:pt>
              </c:numCache>
            </c:numRef>
          </c:val>
          <c:extLst>
            <c:ext xmlns:c16="http://schemas.microsoft.com/office/drawing/2014/chart" uri="{C3380CC4-5D6E-409C-BE32-E72D297353CC}">
              <c16:uniqueId val="{00000000-2D76-4471-8D79-5325C4DF4BE4}"/>
            </c:ext>
          </c:extLst>
        </c:ser>
        <c:ser>
          <c:idx val="1"/>
          <c:order val="1"/>
          <c:tx>
            <c:strRef>
              <c:f>DIRタスク対応の人月まとめ!$G$32</c:f>
              <c:strCache>
                <c:ptCount val="1"/>
                <c:pt idx="0">
                  <c:v>実績</c:v>
                </c:pt>
              </c:strCache>
            </c:strRef>
          </c:tx>
          <c:invertIfNegative val="0"/>
          <c:dLbls>
            <c:dLbl>
              <c:idx val="0"/>
              <c:layout>
                <c:manualLayout>
                  <c:x val="2.8472457737660439E-2"/>
                  <c:y val="-9.45429370098381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76-4471-8D79-5325C4DF4BE4}"/>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DIRタスク対応の人月まとめ!$E$33:$E$34</c:f>
              <c:strCache>
                <c:ptCount val="2"/>
                <c:pt idx="0">
                  <c:v>案件</c:v>
                </c:pt>
                <c:pt idx="1">
                  <c:v>プロジェクト管理</c:v>
                </c:pt>
              </c:strCache>
            </c:strRef>
          </c:cat>
          <c:val>
            <c:numRef>
              <c:f>DIRタスク対応の人月まとめ!$G$33:$G$34</c:f>
              <c:numCache>
                <c:formatCode>0.00</c:formatCode>
                <c:ptCount val="2"/>
                <c:pt idx="0">
                  <c:v>4.6545454545454543</c:v>
                </c:pt>
                <c:pt idx="1">
                  <c:v>0.96363636363636362</c:v>
                </c:pt>
              </c:numCache>
            </c:numRef>
          </c:val>
          <c:extLst>
            <c:ext xmlns:c16="http://schemas.microsoft.com/office/drawing/2014/chart" uri="{C3380CC4-5D6E-409C-BE32-E72D297353CC}">
              <c16:uniqueId val="{00000001-2D76-4471-8D79-5325C4DF4BE4}"/>
            </c:ext>
          </c:extLst>
        </c:ser>
        <c:dLbls>
          <c:showLegendKey val="0"/>
          <c:showVal val="1"/>
          <c:showCatName val="0"/>
          <c:showSerName val="0"/>
          <c:showPercent val="0"/>
          <c:showBubbleSize val="0"/>
        </c:dLbls>
        <c:gapWidth val="150"/>
        <c:shape val="box"/>
        <c:axId val="244648960"/>
        <c:axId val="244675328"/>
        <c:axId val="0"/>
      </c:bar3DChart>
      <c:catAx>
        <c:axId val="24464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crossAx val="244675328"/>
        <c:crosses val="autoZero"/>
        <c:auto val="1"/>
        <c:lblAlgn val="ctr"/>
        <c:lblOffset val="100"/>
        <c:noMultiLvlLbl val="0"/>
      </c:catAx>
      <c:valAx>
        <c:axId val="24467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crossAx val="24464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ja-JP" altLang="en-US"/>
              <a:t>案件・プロジェクト管理の達成状況（計画対実績）</a:t>
            </a:r>
          </a:p>
        </c:rich>
      </c:tx>
      <c:layout>
        <c:manualLayout>
          <c:xMode val="edge"/>
          <c:yMode val="edge"/>
          <c:x val="0.14790167184013903"/>
          <c:y val="5.1979151783588133E-2"/>
        </c:manualLayout>
      </c:layout>
      <c:overlay val="0"/>
      <c:spPr>
        <a:noFill/>
        <a:ln>
          <a:noFill/>
        </a:ln>
        <a:effectLst/>
      </c:spPr>
    </c:title>
    <c:autoTitleDeleted val="0"/>
    <c:plotArea>
      <c:layout/>
      <c:pieChart>
        <c:varyColors val="1"/>
        <c:ser>
          <c:idx val="0"/>
          <c:order val="0"/>
          <c:tx>
            <c:strRef>
              <c:f>DIRタスク対応の人月まとめ!$G$32</c:f>
              <c:strCache>
                <c:ptCount val="1"/>
                <c:pt idx="0">
                  <c:v>実績</c:v>
                </c:pt>
              </c:strCache>
            </c:strRef>
          </c:tx>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DIRタスク対応の人月まとめ!$E$33:$E$34</c:f>
              <c:strCache>
                <c:ptCount val="2"/>
                <c:pt idx="0">
                  <c:v>案件</c:v>
                </c:pt>
                <c:pt idx="1">
                  <c:v>プロジェクト管理</c:v>
                </c:pt>
              </c:strCache>
            </c:strRef>
          </c:cat>
          <c:val>
            <c:numRef>
              <c:f>DIRタスク対応の人月まとめ!$G$33:$G$34</c:f>
              <c:numCache>
                <c:formatCode>0.00</c:formatCode>
                <c:ptCount val="2"/>
                <c:pt idx="0">
                  <c:v>4.6545454545454543</c:v>
                </c:pt>
                <c:pt idx="1">
                  <c:v>0.96363636363636362</c:v>
                </c:pt>
              </c:numCache>
            </c:numRef>
          </c:val>
          <c:extLst xmlns:c15="http://schemas.microsoft.com/office/drawing/2012/chart">
            <c:ext xmlns:c16="http://schemas.microsoft.com/office/drawing/2014/chart" uri="{C3380CC4-5D6E-409C-BE32-E72D297353CC}">
              <c16:uniqueId val="{00000004-EF3D-4248-90CA-4B312FADF45E}"/>
            </c:ext>
          </c:extLst>
        </c:ser>
        <c:dLbls>
          <c:dLblPos val="ctr"/>
          <c:showLegendKey val="0"/>
          <c:showVal val="0"/>
          <c:showCatName val="0"/>
          <c:showSerName val="0"/>
          <c:showPercent val="1"/>
          <c:showBubbleSize val="0"/>
          <c:showLeaderLines val="1"/>
        </c:dLbls>
        <c:firstSliceAng val="0"/>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14</xdr:row>
      <xdr:rowOff>76200</xdr:rowOff>
    </xdr:from>
    <xdr:to>
      <xdr:col>26</xdr:col>
      <xdr:colOff>276225</xdr:colOff>
      <xdr:row>129</xdr:row>
      <xdr:rowOff>133350</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604" r="4820" b="5737"/>
        <a:stretch/>
      </xdr:blipFill>
      <xdr:spPr>
        <a:xfrm>
          <a:off x="7810500" y="476250"/>
          <a:ext cx="11925300" cy="4181475"/>
        </a:xfrm>
        <a:prstGeom prst="rect">
          <a:avLst/>
        </a:prstGeom>
      </xdr:spPr>
    </xdr:pic>
    <xdr:clientData/>
  </xdr:twoCellAnchor>
  <xdr:twoCellAnchor>
    <xdr:from>
      <xdr:col>5</xdr:col>
      <xdr:colOff>152401</xdr:colOff>
      <xdr:row>18</xdr:row>
      <xdr:rowOff>704850</xdr:rowOff>
    </xdr:from>
    <xdr:to>
      <xdr:col>6</xdr:col>
      <xdr:colOff>161926</xdr:colOff>
      <xdr:row>18</xdr:row>
      <xdr:rowOff>923925</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600701" y="476250"/>
          <a:ext cx="5143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161926</xdr:colOff>
      <xdr:row>18</xdr:row>
      <xdr:rowOff>814388</xdr:rowOff>
    </xdr:from>
    <xdr:to>
      <xdr:col>17</xdr:col>
      <xdr:colOff>28576</xdr:colOff>
      <xdr:row>18</xdr:row>
      <xdr:rowOff>1228726</xdr:rowOff>
    </xdr:to>
    <xdr:cxnSp macro="">
      <xdr:nvCxnSpPr>
        <xdr:cNvPr id="4" name="カギ線コネクタ 3">
          <a:extLst>
            <a:ext uri="{FF2B5EF4-FFF2-40B4-BE49-F238E27FC236}">
              <a16:creationId xmlns:a16="http://schemas.microsoft.com/office/drawing/2014/main" id="{00000000-0008-0000-0000-000004000000}"/>
            </a:ext>
          </a:extLst>
        </xdr:cNvPr>
        <xdr:cNvCxnSpPr>
          <a:stCxn id="3" idx="3"/>
          <a:endCxn id="5" idx="1"/>
        </xdr:cNvCxnSpPr>
      </xdr:nvCxnSpPr>
      <xdr:spPr>
        <a:xfrm>
          <a:off x="6115051" y="476250"/>
          <a:ext cx="7200900" cy="0"/>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28576</xdr:colOff>
      <xdr:row>18</xdr:row>
      <xdr:rowOff>1143001</xdr:rowOff>
    </xdr:from>
    <xdr:to>
      <xdr:col>17</xdr:col>
      <xdr:colOff>428626</xdr:colOff>
      <xdr:row>18</xdr:row>
      <xdr:rowOff>1314451</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3315951" y="476250"/>
          <a:ext cx="400050" cy="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542653</xdr:colOff>
      <xdr:row>3</xdr:row>
      <xdr:rowOff>220277</xdr:rowOff>
    </xdr:from>
    <xdr:to>
      <xdr:col>21</xdr:col>
      <xdr:colOff>18301</xdr:colOff>
      <xdr:row>207</xdr:row>
      <xdr:rowOff>32159</xdr:rowOff>
    </xdr:to>
    <xdr:sp macro="" textlink="">
      <xdr:nvSpPr>
        <xdr:cNvPr id="2" name="正方形/長方形 1">
          <a:extLst>
            <a:ext uri="{FF2B5EF4-FFF2-40B4-BE49-F238E27FC236}">
              <a16:creationId xmlns:a16="http://schemas.microsoft.com/office/drawing/2014/main" id="{1A8B15A0-9175-47C8-B714-13BDBD3F6A0F}"/>
            </a:ext>
          </a:extLst>
        </xdr:cNvPr>
        <xdr:cNvSpPr/>
      </xdr:nvSpPr>
      <xdr:spPr>
        <a:xfrm>
          <a:off x="14931006" y="1105542"/>
          <a:ext cx="641060" cy="40500441"/>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257175</xdr:colOff>
      <xdr:row>0</xdr:row>
      <xdr:rowOff>95250</xdr:rowOff>
    </xdr:from>
    <xdr:to>
      <xdr:col>31</xdr:col>
      <xdr:colOff>76201</xdr:colOff>
      <xdr:row>10</xdr:row>
      <xdr:rowOff>85725</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8191500" y="95250"/>
          <a:ext cx="923926" cy="2466975"/>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11204</xdr:colOff>
      <xdr:row>72</xdr:row>
      <xdr:rowOff>225798</xdr:rowOff>
    </xdr:from>
    <xdr:to>
      <xdr:col>4</xdr:col>
      <xdr:colOff>22410</xdr:colOff>
      <xdr:row>82</xdr:row>
      <xdr:rowOff>11205</xdr:rowOff>
    </xdr:to>
    <xdr:sp macro="" textlink="">
      <xdr:nvSpPr>
        <xdr:cNvPr id="5" name="正方形/長方形 4">
          <a:extLst>
            <a:ext uri="{FF2B5EF4-FFF2-40B4-BE49-F238E27FC236}">
              <a16:creationId xmlns:a16="http://schemas.microsoft.com/office/drawing/2014/main" id="{9FF7AEF7-7CE2-478A-8092-F0B1A31936C9}"/>
            </a:ext>
          </a:extLst>
        </xdr:cNvPr>
        <xdr:cNvSpPr/>
      </xdr:nvSpPr>
      <xdr:spPr>
        <a:xfrm>
          <a:off x="1288675" y="3430680"/>
          <a:ext cx="571500" cy="2250701"/>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15688</xdr:colOff>
      <xdr:row>73</xdr:row>
      <xdr:rowOff>13447</xdr:rowOff>
    </xdr:from>
    <xdr:to>
      <xdr:col>8</xdr:col>
      <xdr:colOff>280146</xdr:colOff>
      <xdr:row>81</xdr:row>
      <xdr:rowOff>235323</xdr:rowOff>
    </xdr:to>
    <xdr:sp macro="" textlink="">
      <xdr:nvSpPr>
        <xdr:cNvPr id="4" name="正方形/長方形 3">
          <a:extLst>
            <a:ext uri="{FF2B5EF4-FFF2-40B4-BE49-F238E27FC236}">
              <a16:creationId xmlns:a16="http://schemas.microsoft.com/office/drawing/2014/main" id="{E9D59E16-AE85-4938-8201-D6AE6A721753}"/>
            </a:ext>
          </a:extLst>
        </xdr:cNvPr>
        <xdr:cNvSpPr/>
      </xdr:nvSpPr>
      <xdr:spPr>
        <a:xfrm>
          <a:off x="2413747" y="3464859"/>
          <a:ext cx="824752" cy="2194111"/>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1355912</xdr:colOff>
      <xdr:row>19</xdr:row>
      <xdr:rowOff>4</xdr:rowOff>
    </xdr:from>
    <xdr:to>
      <xdr:col>9</xdr:col>
      <xdr:colOff>3922</xdr:colOff>
      <xdr:row>20</xdr:row>
      <xdr:rowOff>33618</xdr:rowOff>
    </xdr:to>
    <xdr:sp macro="" textlink="">
      <xdr:nvSpPr>
        <xdr:cNvPr id="6" name="正方形/長方形 5">
          <a:extLst>
            <a:ext uri="{FF2B5EF4-FFF2-40B4-BE49-F238E27FC236}">
              <a16:creationId xmlns:a16="http://schemas.microsoft.com/office/drawing/2014/main" id="{F40DE63C-F321-48CD-9EBE-1C218B1FE61B}"/>
            </a:ext>
          </a:extLst>
        </xdr:cNvPr>
        <xdr:cNvSpPr/>
      </xdr:nvSpPr>
      <xdr:spPr>
        <a:xfrm>
          <a:off x="7485530" y="4684063"/>
          <a:ext cx="3701863" cy="280143"/>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322730</xdr:colOff>
      <xdr:row>24</xdr:row>
      <xdr:rowOff>2242</xdr:rowOff>
    </xdr:from>
    <xdr:to>
      <xdr:col>4</xdr:col>
      <xdr:colOff>13448</xdr:colOff>
      <xdr:row>26</xdr:row>
      <xdr:rowOff>224117</xdr:rowOff>
    </xdr:to>
    <xdr:sp macro="" textlink="">
      <xdr:nvSpPr>
        <xdr:cNvPr id="7" name="正方形/長方形 6">
          <a:extLst>
            <a:ext uri="{FF2B5EF4-FFF2-40B4-BE49-F238E27FC236}">
              <a16:creationId xmlns:a16="http://schemas.microsoft.com/office/drawing/2014/main" id="{919FBE86-7AC7-4F23-91B6-C81532F7A8E1}"/>
            </a:ext>
          </a:extLst>
        </xdr:cNvPr>
        <xdr:cNvSpPr/>
      </xdr:nvSpPr>
      <xdr:spPr>
        <a:xfrm>
          <a:off x="322730" y="5918948"/>
          <a:ext cx="4935071" cy="71493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708211</xdr:colOff>
      <xdr:row>0</xdr:row>
      <xdr:rowOff>0</xdr:rowOff>
    </xdr:from>
    <xdr:to>
      <xdr:col>8</xdr:col>
      <xdr:colOff>24653</xdr:colOff>
      <xdr:row>15</xdr:row>
      <xdr:rowOff>230841</xdr:rowOff>
    </xdr:to>
    <xdr:sp macro="" textlink="">
      <xdr:nvSpPr>
        <xdr:cNvPr id="2" name="正方形/長方形 1">
          <a:extLst>
            <a:ext uri="{FF2B5EF4-FFF2-40B4-BE49-F238E27FC236}">
              <a16:creationId xmlns:a16="http://schemas.microsoft.com/office/drawing/2014/main" id="{438ADC99-3401-4524-A86D-29E7FFCE336F}"/>
            </a:ext>
          </a:extLst>
        </xdr:cNvPr>
        <xdr:cNvSpPr/>
      </xdr:nvSpPr>
      <xdr:spPr>
        <a:xfrm>
          <a:off x="6019799" y="0"/>
          <a:ext cx="773207" cy="3783106"/>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212912</xdr:colOff>
      <xdr:row>18</xdr:row>
      <xdr:rowOff>11206</xdr:rowOff>
    </xdr:from>
    <xdr:to>
      <xdr:col>5</xdr:col>
      <xdr:colOff>536202</xdr:colOff>
      <xdr:row>29</xdr:row>
      <xdr:rowOff>109257</xdr:rowOff>
    </xdr:to>
    <xdr:graphicFrame macro="">
      <xdr:nvGraphicFramePr>
        <xdr:cNvPr id="5" name="グラフ 3">
          <a:extLst>
            <a:ext uri="{FF2B5EF4-FFF2-40B4-BE49-F238E27FC236}">
              <a16:creationId xmlns:a16="http://schemas.microsoft.com/office/drawing/2014/main" id="{2F947120-3D77-4586-81C1-25F463832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289673</xdr:colOff>
      <xdr:row>18</xdr:row>
      <xdr:rowOff>11206</xdr:rowOff>
    </xdr:from>
    <xdr:to>
      <xdr:col>16</xdr:col>
      <xdr:colOff>49023</xdr:colOff>
      <xdr:row>29</xdr:row>
      <xdr:rowOff>110263</xdr:rowOff>
    </xdr:to>
    <xdr:graphicFrame macro="">
      <xdr:nvGraphicFramePr>
        <xdr:cNvPr id="6" name="グラフ 4">
          <a:extLst>
            <a:ext uri="{FF2B5EF4-FFF2-40B4-BE49-F238E27FC236}">
              <a16:creationId xmlns:a16="http://schemas.microsoft.com/office/drawing/2014/main" id="{91A53EF3-7750-44DF-B207-618F285A6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739589</xdr:colOff>
      <xdr:row>1</xdr:row>
      <xdr:rowOff>-1</xdr:rowOff>
    </xdr:from>
    <xdr:to>
      <xdr:col>8</xdr:col>
      <xdr:colOff>22413</xdr:colOff>
      <xdr:row>18</xdr:row>
      <xdr:rowOff>44823</xdr:rowOff>
    </xdr:to>
    <xdr:sp macro="" textlink="">
      <xdr:nvSpPr>
        <xdr:cNvPr id="2" name="正方形/長方形 1">
          <a:extLst>
            <a:ext uri="{FF2B5EF4-FFF2-40B4-BE49-F238E27FC236}">
              <a16:creationId xmlns:a16="http://schemas.microsoft.com/office/drawing/2014/main" id="{C35444BA-E657-489F-BC33-49A38A1E1D9A}"/>
            </a:ext>
          </a:extLst>
        </xdr:cNvPr>
        <xdr:cNvSpPr/>
      </xdr:nvSpPr>
      <xdr:spPr>
        <a:xfrm>
          <a:off x="6701118" y="235323"/>
          <a:ext cx="806824" cy="4045324"/>
        </a:xfrm>
        <a:prstGeom prst="rect">
          <a:avLst/>
        </a:prstGeom>
        <a:solidFill>
          <a:srgbClr val="FF7C80">
            <a:alpha val="16863"/>
          </a:srgbClr>
        </a:solid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ys.dir.co.jp\document\&#37096;&#23460;&#21029;&#12456;&#12522;&#12450;\B50_&#37329;&#34701;&#12501;&#12525;&#12531;&#12488;&#12471;&#12473;&#12486;&#12512;&#37096;\PUBLIC\&#12497;&#12540;&#12488;&#12490;&#12540;\DAT\SS_ALL\09%20Weekly%20Report\(WB4)&#36913;&#27425;&#22577;&#21578;_20250327-0402\(WB4)&#26696;&#20214;&#65294;&#35201;&#21729;&#24773;&#22577;_202404-202503.xlsx" TargetMode="External"/><Relationship Id="rId1" Type="http://schemas.openxmlformats.org/officeDocument/2006/relationships/externalLinkPath" Target="file:///\\Sys.dir.co.jp\document\&#37096;&#23460;&#21029;&#12456;&#12522;&#12450;\B50_&#37329;&#34701;&#12501;&#12525;&#12531;&#12488;&#12471;&#12473;&#12486;&#12512;&#37096;\PUBLIC\&#12497;&#12540;&#12488;&#12490;&#12540;\DAT\SS_ALL\09%20Weekly%20Report\(WB4)&#36913;&#27425;&#22577;&#21578;_20250327-0402\(WB4)&#26696;&#20214;&#65294;&#35201;&#21729;&#24773;&#22577;_202404-2025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説明"/>
      <sheetName val="案件．要員情報まとめ"/>
      <sheetName val="案件．要員情報"/>
      <sheetName val="週次報告"/>
      <sheetName val="休暇"/>
      <sheetName val="祝日"/>
      <sheetName val="DIRタスク対応の人月まとめ"/>
      <sheetName val="Not Avail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B2" t="str">
            <v>プロジェクト</v>
          </cell>
        </row>
        <row r="3">
          <cell r="B3" t="str">
            <v>定型</v>
          </cell>
        </row>
        <row r="4">
          <cell r="B4" t="str">
            <v>保守</v>
          </cell>
        </row>
        <row r="5">
          <cell r="B5" t="str">
            <v>ツール</v>
          </cell>
        </row>
        <row r="6">
          <cell r="B6" t="str">
            <v>管理</v>
          </cell>
        </row>
        <row r="7">
          <cell r="B7" t="str">
            <v>その他</v>
          </cell>
        </row>
        <row r="10">
          <cell r="B10" t="str">
            <v>未着手</v>
          </cell>
        </row>
        <row r="11">
          <cell r="B11" t="str">
            <v>着手中</v>
          </cell>
        </row>
        <row r="12">
          <cell r="B12" t="str">
            <v>遅延</v>
          </cell>
        </row>
        <row r="13">
          <cell r="B13" t="str">
            <v>完了</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19"/>
  <sheetViews>
    <sheetView zoomScaleNormal="100" workbookViewId="0"/>
  </sheetViews>
  <sheetFormatPr defaultRowHeight="18.75" outlineLevelRow="1" x14ac:dyDescent="0.4"/>
  <cols>
    <col min="1" max="1" width="7.25" style="143" customWidth="1"/>
    <col min="2" max="2" width="28.5" style="143" customWidth="1"/>
    <col min="3" max="3" width="20.75" style="143" customWidth="1"/>
    <col min="4" max="4" width="7.75" style="143" customWidth="1"/>
    <col min="5" max="5" width="7.25" style="143" customWidth="1"/>
    <col min="6" max="6" width="6.625" style="143" customWidth="1"/>
    <col min="7" max="8" width="7.625" style="143" customWidth="1"/>
    <col min="9" max="9" width="9" style="143"/>
  </cols>
  <sheetData>
    <row r="2" spans="1:13" x14ac:dyDescent="0.4">
      <c r="A2" s="141" t="s">
        <v>199</v>
      </c>
      <c r="B2" s="142" t="s">
        <v>200</v>
      </c>
      <c r="C2" s="142"/>
      <c r="D2" s="142"/>
    </row>
    <row r="3" spans="1:13" hidden="1" outlineLevel="1" x14ac:dyDescent="0.4">
      <c r="A3" s="141"/>
      <c r="B3" s="143" t="s">
        <v>201</v>
      </c>
      <c r="C3" s="142"/>
      <c r="D3" s="142"/>
      <c r="K3" s="144" t="s">
        <v>202</v>
      </c>
      <c r="L3" s="145" t="s">
        <v>203</v>
      </c>
    </row>
    <row r="4" spans="1:13" hidden="1" outlineLevel="1" x14ac:dyDescent="0.4">
      <c r="A4" s="141"/>
      <c r="B4" s="146" t="s">
        <v>204</v>
      </c>
      <c r="C4" s="147" t="s">
        <v>205</v>
      </c>
      <c r="D4" s="331" t="s">
        <v>206</v>
      </c>
      <c r="E4" s="331"/>
      <c r="F4" s="331"/>
      <c r="G4" s="331"/>
      <c r="H4" s="331"/>
      <c r="L4" s="148" t="s">
        <v>207</v>
      </c>
      <c r="M4" t="s">
        <v>208</v>
      </c>
    </row>
    <row r="5" spans="1:13" hidden="1" outlineLevel="1" x14ac:dyDescent="0.4">
      <c r="A5" s="141"/>
      <c r="B5" s="149"/>
      <c r="C5" s="150" t="s">
        <v>209</v>
      </c>
      <c r="D5" s="332" t="s">
        <v>210</v>
      </c>
      <c r="E5" s="332"/>
      <c r="F5" s="332"/>
      <c r="G5" s="332"/>
      <c r="H5" s="332"/>
      <c r="L5" s="148" t="s">
        <v>211</v>
      </c>
      <c r="M5" t="s">
        <v>212</v>
      </c>
    </row>
    <row r="6" spans="1:13" ht="30.75" hidden="1" customHeight="1" outlineLevel="1" x14ac:dyDescent="0.4">
      <c r="A6" s="142"/>
      <c r="C6" s="150" t="s">
        <v>86</v>
      </c>
      <c r="D6" s="333" t="s">
        <v>213</v>
      </c>
      <c r="E6" s="333"/>
      <c r="F6" s="333"/>
      <c r="G6" s="333"/>
      <c r="H6" s="333"/>
    </row>
    <row r="7" spans="1:13" hidden="1" outlineLevel="1" x14ac:dyDescent="0.4">
      <c r="A7" s="142"/>
      <c r="C7" s="150" t="s">
        <v>214</v>
      </c>
      <c r="D7" s="334" t="s">
        <v>215</v>
      </c>
      <c r="E7" s="334"/>
      <c r="F7" s="334"/>
      <c r="G7" s="334"/>
      <c r="H7" s="334"/>
      <c r="L7" t="s">
        <v>216</v>
      </c>
    </row>
    <row r="8" spans="1:13" hidden="1" outlineLevel="1" x14ac:dyDescent="0.4">
      <c r="A8" s="142"/>
      <c r="C8" s="150" t="s">
        <v>217</v>
      </c>
      <c r="D8" s="334" t="s">
        <v>218</v>
      </c>
      <c r="E8" s="334"/>
      <c r="F8" s="334"/>
      <c r="G8" s="334"/>
      <c r="H8" s="334"/>
      <c r="L8" t="s">
        <v>219</v>
      </c>
    </row>
    <row r="9" spans="1:13" hidden="1" outlineLevel="1" x14ac:dyDescent="0.4">
      <c r="A9" s="142"/>
      <c r="C9" s="150" t="s">
        <v>220</v>
      </c>
      <c r="D9" s="334" t="s">
        <v>221</v>
      </c>
      <c r="E9" s="334"/>
      <c r="F9" s="334"/>
      <c r="G9" s="334"/>
      <c r="H9" s="334"/>
      <c r="L9" t="s">
        <v>222</v>
      </c>
    </row>
    <row r="10" spans="1:13" hidden="1" outlineLevel="1" x14ac:dyDescent="0.4">
      <c r="A10" s="142"/>
      <c r="C10" s="150" t="s">
        <v>223</v>
      </c>
      <c r="D10" s="334" t="s">
        <v>224</v>
      </c>
      <c r="E10" s="334"/>
      <c r="F10" s="334"/>
      <c r="G10" s="334"/>
      <c r="H10" s="334"/>
    </row>
    <row r="11" spans="1:13" hidden="1" outlineLevel="1" x14ac:dyDescent="0.4">
      <c r="A11" s="142"/>
      <c r="C11" s="150" t="s">
        <v>225</v>
      </c>
      <c r="D11" s="334" t="s">
        <v>226</v>
      </c>
      <c r="E11" s="334"/>
      <c r="F11" s="334"/>
      <c r="G11" s="334"/>
      <c r="H11" s="334"/>
    </row>
    <row r="12" spans="1:13" hidden="1" outlineLevel="1" x14ac:dyDescent="0.4">
      <c r="A12" s="142"/>
      <c r="C12" s="150" t="s">
        <v>227</v>
      </c>
      <c r="D12" s="334" t="s">
        <v>228</v>
      </c>
      <c r="E12" s="334"/>
      <c r="F12" s="334"/>
      <c r="G12" s="334"/>
      <c r="H12" s="334"/>
    </row>
    <row r="13" spans="1:13" hidden="1" outlineLevel="1" x14ac:dyDescent="0.4">
      <c r="A13" s="142"/>
      <c r="C13" s="151"/>
      <c r="D13" s="151"/>
      <c r="E13" s="151"/>
      <c r="F13" s="151"/>
      <c r="G13" s="151"/>
      <c r="H13" s="151"/>
    </row>
    <row r="14" spans="1:13" hidden="1" outlineLevel="1" x14ac:dyDescent="0.4">
      <c r="A14" s="142"/>
      <c r="C14" s="151"/>
      <c r="D14" s="151"/>
      <c r="E14" s="151"/>
      <c r="F14" s="151"/>
      <c r="G14" s="151"/>
      <c r="H14" s="151"/>
      <c r="I14" s="143" t="s">
        <v>229</v>
      </c>
      <c r="J14" s="148" t="s">
        <v>230</v>
      </c>
    </row>
    <row r="15" spans="1:13" hidden="1" outlineLevel="1" x14ac:dyDescent="0.4">
      <c r="A15" s="142"/>
      <c r="B15" s="146" t="s">
        <v>231</v>
      </c>
      <c r="C15" s="147" t="s">
        <v>232</v>
      </c>
      <c r="D15" s="331" t="s">
        <v>233</v>
      </c>
      <c r="E15" s="331"/>
      <c r="F15" s="331"/>
      <c r="G15" s="331"/>
      <c r="H15" s="331"/>
    </row>
    <row r="16" spans="1:13" ht="45" hidden="1" customHeight="1" outlineLevel="1" x14ac:dyDescent="0.4">
      <c r="A16" s="142"/>
      <c r="C16" s="150" t="s">
        <v>234</v>
      </c>
      <c r="D16" s="333" t="s">
        <v>235</v>
      </c>
      <c r="E16" s="333"/>
      <c r="F16" s="333"/>
      <c r="G16" s="333"/>
      <c r="H16" s="333"/>
    </row>
    <row r="17" spans="1:10" ht="81.75" hidden="1" customHeight="1" outlineLevel="1" x14ac:dyDescent="0.4">
      <c r="A17" s="142"/>
      <c r="C17" s="325" t="s">
        <v>166</v>
      </c>
      <c r="D17" s="328" t="s">
        <v>236</v>
      </c>
      <c r="E17" s="328"/>
      <c r="F17" s="328"/>
      <c r="G17" s="328"/>
      <c r="H17" s="328"/>
    </row>
    <row r="18" spans="1:10" ht="78" hidden="1" customHeight="1" outlineLevel="1" x14ac:dyDescent="0.4">
      <c r="A18" s="142"/>
      <c r="C18" s="326"/>
      <c r="D18" s="329" t="s">
        <v>237</v>
      </c>
      <c r="E18" s="329"/>
      <c r="F18" s="329"/>
      <c r="G18" s="329"/>
      <c r="H18" s="329"/>
    </row>
    <row r="19" spans="1:10" ht="112.5" hidden="1" customHeight="1" outlineLevel="1" x14ac:dyDescent="0.4">
      <c r="A19" s="142"/>
      <c r="C19" s="327"/>
      <c r="D19" s="330" t="s">
        <v>238</v>
      </c>
      <c r="E19" s="330"/>
      <c r="F19" s="330"/>
      <c r="G19" s="330"/>
      <c r="H19" s="330"/>
    </row>
    <row r="20" spans="1:10" s="155" customFormat="1" hidden="1" outlineLevel="1" x14ac:dyDescent="0.4">
      <c r="A20" s="152"/>
      <c r="B20" s="153"/>
      <c r="C20" s="154"/>
      <c r="D20" s="154"/>
      <c r="E20" s="154"/>
      <c r="F20" s="154"/>
      <c r="G20" s="154"/>
      <c r="H20" s="154"/>
      <c r="I20" s="153"/>
    </row>
    <row r="21" spans="1:10" s="155" customFormat="1" hidden="1" outlineLevel="1" x14ac:dyDescent="0.4">
      <c r="A21" s="152"/>
      <c r="B21" s="146" t="s">
        <v>239</v>
      </c>
      <c r="C21" s="147" t="s">
        <v>232</v>
      </c>
      <c r="D21" s="331" t="s">
        <v>240</v>
      </c>
      <c r="E21" s="331"/>
      <c r="F21" s="331"/>
      <c r="G21" s="331"/>
      <c r="H21" s="331"/>
      <c r="I21" s="153"/>
    </row>
    <row r="22" spans="1:10" s="155" customFormat="1" ht="52.5" hidden="1" customHeight="1" outlineLevel="1" x14ac:dyDescent="0.4">
      <c r="A22" s="152"/>
      <c r="B22" s="153"/>
      <c r="C22" s="325" t="s">
        <v>241</v>
      </c>
      <c r="D22" s="333" t="s">
        <v>242</v>
      </c>
      <c r="E22" s="333"/>
      <c r="F22" s="333"/>
      <c r="G22" s="333"/>
      <c r="H22" s="333"/>
      <c r="I22" s="153"/>
    </row>
    <row r="23" spans="1:10" s="155" customFormat="1" ht="84" hidden="1" customHeight="1" outlineLevel="1" x14ac:dyDescent="0.4">
      <c r="A23" s="152"/>
      <c r="B23" s="153"/>
      <c r="C23" s="337"/>
      <c r="D23" s="333" t="s">
        <v>243</v>
      </c>
      <c r="E23" s="333"/>
      <c r="F23" s="333"/>
      <c r="G23" s="333"/>
      <c r="H23" s="333"/>
      <c r="I23" s="153"/>
      <c r="J23" s="156"/>
    </row>
    <row r="24" spans="1:10" s="155" customFormat="1" hidden="1" outlineLevel="1" x14ac:dyDescent="0.4">
      <c r="A24" s="152"/>
      <c r="B24" s="153"/>
      <c r="C24" s="154"/>
      <c r="D24" s="154"/>
      <c r="E24" s="154"/>
      <c r="F24" s="154"/>
      <c r="G24" s="154"/>
      <c r="H24" s="154"/>
      <c r="I24" s="153"/>
    </row>
    <row r="25" spans="1:10" s="155" customFormat="1" hidden="1" outlineLevel="1" x14ac:dyDescent="0.4">
      <c r="A25" s="152"/>
      <c r="B25" s="143" t="s">
        <v>244</v>
      </c>
      <c r="C25" s="154"/>
      <c r="D25" s="154"/>
      <c r="E25" s="154"/>
      <c r="F25" s="154"/>
      <c r="G25" s="154"/>
      <c r="H25" s="154"/>
      <c r="I25" s="153"/>
    </row>
    <row r="26" spans="1:10" s="155" customFormat="1" hidden="1" outlineLevel="1" x14ac:dyDescent="0.4">
      <c r="A26" s="152"/>
      <c r="B26" s="143"/>
      <c r="C26" s="154"/>
      <c r="D26" s="154"/>
      <c r="E26" s="154"/>
      <c r="F26" s="154"/>
      <c r="G26" s="154"/>
      <c r="H26" s="154"/>
      <c r="I26" s="153"/>
    </row>
    <row r="27" spans="1:10" s="155" customFormat="1" ht="33" hidden="1" outlineLevel="1" x14ac:dyDescent="0.4">
      <c r="A27" s="152"/>
      <c r="B27" s="157" t="s">
        <v>245</v>
      </c>
      <c r="C27" s="147" t="s">
        <v>246</v>
      </c>
      <c r="D27" s="331" t="s">
        <v>233</v>
      </c>
      <c r="E27" s="331"/>
      <c r="F27" s="331"/>
      <c r="G27" s="331"/>
      <c r="H27" s="331"/>
      <c r="I27" s="153"/>
    </row>
    <row r="28" spans="1:10" s="155" customFormat="1" ht="56.25" hidden="1" customHeight="1" outlineLevel="1" x14ac:dyDescent="0.4">
      <c r="A28" s="152"/>
      <c r="B28" s="335"/>
      <c r="C28" s="150" t="s">
        <v>247</v>
      </c>
      <c r="D28" s="338" t="s">
        <v>248</v>
      </c>
      <c r="E28" s="338"/>
      <c r="F28" s="338"/>
      <c r="G28" s="338"/>
      <c r="H28" s="338"/>
      <c r="I28" s="153"/>
    </row>
    <row r="29" spans="1:10" s="155" customFormat="1" ht="53.25" hidden="1" customHeight="1" outlineLevel="1" x14ac:dyDescent="0.4">
      <c r="A29" s="152"/>
      <c r="B29" s="335"/>
      <c r="C29" s="150" t="s">
        <v>249</v>
      </c>
      <c r="D29" s="338" t="s">
        <v>250</v>
      </c>
      <c r="E29" s="338"/>
      <c r="F29" s="338"/>
      <c r="G29" s="338"/>
      <c r="H29" s="338"/>
      <c r="I29" s="153"/>
    </row>
    <row r="30" spans="1:10" s="155" customFormat="1" ht="96.75" hidden="1" customHeight="1" outlineLevel="1" x14ac:dyDescent="0.4">
      <c r="A30" s="152"/>
      <c r="B30" s="143"/>
      <c r="C30" s="150" t="s">
        <v>251</v>
      </c>
      <c r="D30" s="338" t="s">
        <v>252</v>
      </c>
      <c r="E30" s="338"/>
      <c r="F30" s="338"/>
      <c r="G30" s="338"/>
      <c r="H30" s="338"/>
      <c r="I30" s="153"/>
    </row>
    <row r="31" spans="1:10" s="155" customFormat="1" ht="105" hidden="1" customHeight="1" outlineLevel="1" x14ac:dyDescent="0.4">
      <c r="A31" s="152"/>
      <c r="B31" s="143"/>
      <c r="C31" s="150" t="s">
        <v>253</v>
      </c>
      <c r="D31" s="338" t="s">
        <v>254</v>
      </c>
      <c r="E31" s="338"/>
      <c r="F31" s="338"/>
      <c r="G31" s="338"/>
      <c r="H31" s="338"/>
      <c r="I31" s="153"/>
    </row>
    <row r="32" spans="1:10" s="155" customFormat="1" ht="108" hidden="1" customHeight="1" outlineLevel="1" x14ac:dyDescent="0.4">
      <c r="A32" s="152"/>
      <c r="B32" s="143"/>
      <c r="C32" s="158" t="s">
        <v>255</v>
      </c>
      <c r="D32" s="338" t="s">
        <v>256</v>
      </c>
      <c r="E32" s="338"/>
      <c r="F32" s="338"/>
      <c r="G32" s="338"/>
      <c r="H32" s="338"/>
      <c r="I32" s="153"/>
    </row>
    <row r="33" spans="1:9" s="155" customFormat="1" ht="84" hidden="1" customHeight="1" outlineLevel="1" x14ac:dyDescent="0.4">
      <c r="A33" s="152"/>
      <c r="B33" s="143"/>
      <c r="C33" s="150" t="s">
        <v>41</v>
      </c>
      <c r="D33" s="338" t="s">
        <v>257</v>
      </c>
      <c r="E33" s="338"/>
      <c r="F33" s="338"/>
      <c r="G33" s="338"/>
      <c r="H33" s="338"/>
      <c r="I33" s="153"/>
    </row>
    <row r="34" spans="1:9" s="155" customFormat="1" hidden="1" outlineLevel="1" x14ac:dyDescent="0.4">
      <c r="A34" s="152"/>
      <c r="B34" s="153"/>
      <c r="C34" s="154"/>
      <c r="D34" s="154"/>
      <c r="E34" s="154"/>
      <c r="F34" s="154"/>
      <c r="G34" s="154"/>
      <c r="H34" s="154"/>
      <c r="I34" s="153"/>
    </row>
    <row r="35" spans="1:9" s="155" customFormat="1" hidden="1" outlineLevel="1" x14ac:dyDescent="0.4">
      <c r="A35" s="152"/>
      <c r="B35" s="159" t="s">
        <v>239</v>
      </c>
      <c r="C35" s="147" t="s">
        <v>232</v>
      </c>
      <c r="D35" s="331" t="s">
        <v>240</v>
      </c>
      <c r="E35" s="331"/>
      <c r="F35" s="331"/>
      <c r="G35" s="331"/>
      <c r="H35" s="331"/>
      <c r="I35" s="153"/>
    </row>
    <row r="36" spans="1:9" s="155" customFormat="1" ht="34.5" hidden="1" customHeight="1" outlineLevel="1" x14ac:dyDescent="0.4">
      <c r="A36" s="152"/>
      <c r="B36" s="335"/>
      <c r="C36" s="150" t="s">
        <v>247</v>
      </c>
      <c r="D36" s="336" t="s">
        <v>258</v>
      </c>
      <c r="E36" s="336"/>
      <c r="F36" s="336"/>
      <c r="G36" s="336"/>
      <c r="H36" s="336"/>
      <c r="I36" s="153"/>
    </row>
    <row r="37" spans="1:9" s="155" customFormat="1" ht="53.25" hidden="1" customHeight="1" outlineLevel="1" x14ac:dyDescent="0.4">
      <c r="A37" s="152"/>
      <c r="B37" s="335"/>
      <c r="C37" s="150" t="s">
        <v>249</v>
      </c>
      <c r="D37" s="333" t="s">
        <v>259</v>
      </c>
      <c r="E37" s="333"/>
      <c r="F37" s="333"/>
      <c r="G37" s="333"/>
      <c r="H37" s="333"/>
      <c r="I37" s="153"/>
    </row>
    <row r="38" spans="1:9" s="155" customFormat="1" ht="34.5" hidden="1" customHeight="1" outlineLevel="1" x14ac:dyDescent="0.4">
      <c r="A38" s="152"/>
      <c r="B38" s="143"/>
      <c r="C38" s="150" t="s">
        <v>251</v>
      </c>
      <c r="D38" s="336" t="s">
        <v>258</v>
      </c>
      <c r="E38" s="336"/>
      <c r="F38" s="336"/>
      <c r="G38" s="336"/>
      <c r="H38" s="336"/>
      <c r="I38" s="153"/>
    </row>
    <row r="39" spans="1:9" s="155" customFormat="1" ht="78.75" hidden="1" customHeight="1" outlineLevel="1" x14ac:dyDescent="0.4">
      <c r="A39" s="152"/>
      <c r="B39" s="143"/>
      <c r="C39" s="150" t="s">
        <v>253</v>
      </c>
      <c r="D39" s="333" t="s">
        <v>260</v>
      </c>
      <c r="E39" s="333"/>
      <c r="F39" s="333"/>
      <c r="G39" s="333"/>
      <c r="H39" s="333"/>
      <c r="I39" s="153"/>
    </row>
    <row r="40" spans="1:9" s="155" customFormat="1" ht="105" hidden="1" customHeight="1" outlineLevel="1" x14ac:dyDescent="0.4">
      <c r="A40" s="152"/>
      <c r="B40" s="143"/>
      <c r="C40" s="158" t="s">
        <v>255</v>
      </c>
      <c r="D40" s="338" t="s">
        <v>261</v>
      </c>
      <c r="E40" s="338"/>
      <c r="F40" s="338"/>
      <c r="G40" s="338"/>
      <c r="H40" s="338"/>
      <c r="I40" s="153"/>
    </row>
    <row r="41" spans="1:9" s="155" customFormat="1" ht="53.25" hidden="1" customHeight="1" outlineLevel="1" x14ac:dyDescent="0.4">
      <c r="A41" s="152"/>
      <c r="B41" s="143"/>
      <c r="C41" s="150" t="s">
        <v>41</v>
      </c>
      <c r="D41" s="333" t="s">
        <v>262</v>
      </c>
      <c r="E41" s="333"/>
      <c r="F41" s="333"/>
      <c r="G41" s="333"/>
      <c r="H41" s="333"/>
      <c r="I41" s="153"/>
    </row>
    <row r="42" spans="1:9" s="155" customFormat="1" hidden="1" outlineLevel="1" x14ac:dyDescent="0.4">
      <c r="A42" s="152"/>
      <c r="B42" s="153"/>
      <c r="C42" s="154"/>
      <c r="D42" s="154"/>
      <c r="E42" s="154"/>
      <c r="F42" s="154"/>
      <c r="G42" s="154"/>
      <c r="H42" s="154"/>
      <c r="I42" s="153"/>
    </row>
    <row r="43" spans="1:9" s="155" customFormat="1" hidden="1" outlineLevel="1" x14ac:dyDescent="0.4">
      <c r="A43" s="152"/>
      <c r="B43" s="143" t="s">
        <v>263</v>
      </c>
      <c r="C43" s="154"/>
      <c r="D43" s="154"/>
      <c r="E43" s="154"/>
      <c r="F43" s="154"/>
      <c r="G43" s="154"/>
      <c r="H43" s="154"/>
      <c r="I43" s="153"/>
    </row>
    <row r="44" spans="1:9" s="155" customFormat="1" hidden="1" outlineLevel="1" x14ac:dyDescent="0.4">
      <c r="A44" s="152"/>
      <c r="B44" s="143"/>
      <c r="C44" s="154"/>
      <c r="D44" s="154"/>
      <c r="E44" s="154"/>
      <c r="F44" s="154"/>
      <c r="G44" s="154"/>
      <c r="H44" s="154"/>
      <c r="I44" s="153"/>
    </row>
    <row r="45" spans="1:9" s="155" customFormat="1" ht="33" hidden="1" outlineLevel="1" x14ac:dyDescent="0.4">
      <c r="A45" s="152"/>
      <c r="B45" s="157" t="s">
        <v>245</v>
      </c>
      <c r="C45" s="147" t="s">
        <v>246</v>
      </c>
      <c r="D45" s="331" t="s">
        <v>233</v>
      </c>
      <c r="E45" s="331"/>
      <c r="F45" s="331"/>
      <c r="G45" s="331"/>
      <c r="H45" s="331"/>
      <c r="I45" s="153"/>
    </row>
    <row r="46" spans="1:9" s="155" customFormat="1" ht="48" hidden="1" customHeight="1" outlineLevel="1" x14ac:dyDescent="0.4">
      <c r="A46" s="152"/>
      <c r="B46" s="335"/>
      <c r="C46" s="160" t="s">
        <v>264</v>
      </c>
      <c r="D46" s="338" t="s">
        <v>265</v>
      </c>
      <c r="E46" s="338"/>
      <c r="F46" s="338"/>
      <c r="G46" s="338"/>
      <c r="H46" s="338"/>
      <c r="I46" s="153"/>
    </row>
    <row r="47" spans="1:9" s="155" customFormat="1" ht="38.25" hidden="1" customHeight="1" outlineLevel="1" x14ac:dyDescent="0.4">
      <c r="A47" s="152"/>
      <c r="B47" s="335"/>
      <c r="C47" s="160" t="s">
        <v>266</v>
      </c>
      <c r="D47" s="338" t="s">
        <v>267</v>
      </c>
      <c r="E47" s="338"/>
      <c r="F47" s="338"/>
      <c r="G47" s="338"/>
      <c r="H47" s="338"/>
      <c r="I47" s="153"/>
    </row>
    <row r="48" spans="1:9" s="155" customFormat="1" ht="60" hidden="1" customHeight="1" outlineLevel="1" x14ac:dyDescent="0.4">
      <c r="A48" s="152"/>
      <c r="B48" s="143"/>
      <c r="C48" s="160" t="s">
        <v>268</v>
      </c>
      <c r="D48" s="333" t="s">
        <v>269</v>
      </c>
      <c r="E48" s="333"/>
      <c r="F48" s="333"/>
      <c r="G48" s="333"/>
      <c r="H48" s="333"/>
      <c r="I48" s="153"/>
    </row>
    <row r="49" spans="1:13" s="155" customFormat="1" ht="85.5" hidden="1" customHeight="1" outlineLevel="1" x14ac:dyDescent="0.4">
      <c r="A49" s="152"/>
      <c r="B49" s="143"/>
      <c r="C49" s="160" t="s">
        <v>270</v>
      </c>
      <c r="D49" s="338" t="s">
        <v>271</v>
      </c>
      <c r="E49" s="338"/>
      <c r="F49" s="338"/>
      <c r="G49" s="338"/>
      <c r="H49" s="338"/>
      <c r="I49" s="153"/>
    </row>
    <row r="50" spans="1:13" s="155" customFormat="1" ht="57.75" hidden="1" customHeight="1" outlineLevel="1" x14ac:dyDescent="0.4">
      <c r="A50" s="152"/>
      <c r="B50" s="143"/>
      <c r="C50" s="161" t="s">
        <v>22</v>
      </c>
      <c r="D50" s="333" t="s">
        <v>272</v>
      </c>
      <c r="E50" s="336"/>
      <c r="F50" s="336"/>
      <c r="G50" s="336"/>
      <c r="H50" s="336"/>
      <c r="I50" s="153"/>
    </row>
    <row r="51" spans="1:13" s="155" customFormat="1" ht="48.75" hidden="1" customHeight="1" outlineLevel="1" x14ac:dyDescent="0.4">
      <c r="A51" s="152"/>
      <c r="B51" s="143"/>
      <c r="C51" s="160" t="s">
        <v>23</v>
      </c>
      <c r="D51" s="336" t="s">
        <v>273</v>
      </c>
      <c r="E51" s="336"/>
      <c r="F51" s="336"/>
      <c r="G51" s="336"/>
      <c r="H51" s="336"/>
      <c r="I51" s="153"/>
    </row>
    <row r="52" spans="1:13" s="155" customFormat="1" hidden="1" outlineLevel="1" x14ac:dyDescent="0.4">
      <c r="A52" s="152"/>
      <c r="B52" s="153"/>
      <c r="C52" s="154"/>
      <c r="D52" s="154"/>
      <c r="E52" s="154"/>
      <c r="F52" s="154"/>
      <c r="G52" s="154"/>
      <c r="H52" s="154"/>
      <c r="I52" s="153"/>
    </row>
    <row r="53" spans="1:13" s="155" customFormat="1" hidden="1" outlineLevel="1" x14ac:dyDescent="0.4">
      <c r="A53" s="152"/>
      <c r="B53" s="159" t="s">
        <v>239</v>
      </c>
      <c r="C53" s="147" t="s">
        <v>232</v>
      </c>
      <c r="D53" s="331" t="s">
        <v>240</v>
      </c>
      <c r="E53" s="331"/>
      <c r="F53" s="331"/>
      <c r="G53" s="331"/>
      <c r="H53" s="331"/>
      <c r="I53" s="153"/>
    </row>
    <row r="54" spans="1:13" s="155" customFormat="1" ht="71.25" hidden="1" customHeight="1" outlineLevel="1" x14ac:dyDescent="0.4">
      <c r="A54" s="152"/>
      <c r="B54" s="335"/>
      <c r="C54" s="160" t="s">
        <v>264</v>
      </c>
      <c r="D54" s="338" t="s">
        <v>274</v>
      </c>
      <c r="E54" s="338"/>
      <c r="F54" s="338"/>
      <c r="G54" s="338"/>
      <c r="H54" s="338"/>
      <c r="I54" s="153"/>
    </row>
    <row r="55" spans="1:13" s="155" customFormat="1" ht="53.25" hidden="1" customHeight="1" outlineLevel="1" x14ac:dyDescent="0.4">
      <c r="A55" s="152"/>
      <c r="B55" s="335"/>
      <c r="C55" s="160" t="s">
        <v>275</v>
      </c>
      <c r="D55" s="333" t="s">
        <v>276</v>
      </c>
      <c r="E55" s="333"/>
      <c r="F55" s="333"/>
      <c r="G55" s="333"/>
      <c r="H55" s="333"/>
      <c r="I55" s="153"/>
    </row>
    <row r="56" spans="1:13" s="155" customFormat="1" ht="34.5" hidden="1" customHeight="1" outlineLevel="1" x14ac:dyDescent="0.4">
      <c r="A56" s="152"/>
      <c r="B56" s="143"/>
      <c r="C56" s="160" t="s">
        <v>268</v>
      </c>
      <c r="D56" s="333" t="s">
        <v>277</v>
      </c>
      <c r="E56" s="333"/>
      <c r="F56" s="333"/>
      <c r="G56" s="333"/>
      <c r="H56" s="333"/>
      <c r="I56" s="153"/>
    </row>
    <row r="57" spans="1:13" s="155" customFormat="1" ht="49.5" hidden="1" customHeight="1" outlineLevel="1" x14ac:dyDescent="0.4">
      <c r="A57" s="152"/>
      <c r="B57" s="143"/>
      <c r="C57" s="160" t="s">
        <v>270</v>
      </c>
      <c r="D57" s="336" t="s">
        <v>258</v>
      </c>
      <c r="E57" s="336"/>
      <c r="F57" s="336"/>
      <c r="G57" s="336"/>
      <c r="H57" s="336"/>
      <c r="I57" s="153"/>
    </row>
    <row r="58" spans="1:13" s="155" customFormat="1" ht="76.5" hidden="1" customHeight="1" outlineLevel="1" x14ac:dyDescent="0.4">
      <c r="A58" s="152"/>
      <c r="B58" s="143"/>
      <c r="C58" s="158" t="s">
        <v>22</v>
      </c>
      <c r="D58" s="333" t="s">
        <v>278</v>
      </c>
      <c r="E58" s="333"/>
      <c r="F58" s="333"/>
      <c r="G58" s="333"/>
      <c r="H58" s="333"/>
      <c r="I58" s="153"/>
    </row>
    <row r="59" spans="1:13" s="155" customFormat="1" ht="53.25" hidden="1" customHeight="1" outlineLevel="1" x14ac:dyDescent="0.4">
      <c r="A59" s="152"/>
      <c r="B59" s="143"/>
      <c r="C59" s="160" t="s">
        <v>23</v>
      </c>
      <c r="D59" s="333" t="s">
        <v>279</v>
      </c>
      <c r="E59" s="333"/>
      <c r="F59" s="333"/>
      <c r="G59" s="333"/>
      <c r="H59" s="333"/>
      <c r="I59" s="153"/>
    </row>
    <row r="60" spans="1:13" s="155" customFormat="1" hidden="1" outlineLevel="1" x14ac:dyDescent="0.4">
      <c r="A60" s="152"/>
      <c r="B60" s="143"/>
      <c r="C60" s="154"/>
      <c r="D60" s="154"/>
      <c r="E60" s="154"/>
      <c r="F60" s="154"/>
      <c r="G60" s="154"/>
      <c r="H60" s="154"/>
      <c r="I60" s="153"/>
    </row>
    <row r="61" spans="1:13" s="155" customFormat="1" collapsed="1" x14ac:dyDescent="0.4">
      <c r="A61" s="152"/>
      <c r="B61" s="152"/>
      <c r="C61" s="152"/>
      <c r="D61" s="152"/>
      <c r="E61" s="153"/>
      <c r="F61" s="153"/>
      <c r="G61" s="153"/>
      <c r="H61" s="153"/>
      <c r="I61" s="153"/>
      <c r="L61" s="162"/>
      <c r="M61" s="163"/>
    </row>
    <row r="62" spans="1:13" x14ac:dyDescent="0.4">
      <c r="A62" s="141" t="s">
        <v>280</v>
      </c>
      <c r="B62" s="142" t="s">
        <v>281</v>
      </c>
      <c r="C62" s="142"/>
      <c r="D62" s="142"/>
      <c r="M62" s="148"/>
    </row>
    <row r="63" spans="1:13" hidden="1" outlineLevel="1" x14ac:dyDescent="0.4">
      <c r="A63" s="141"/>
      <c r="B63" s="143" t="s">
        <v>282</v>
      </c>
      <c r="C63" s="142"/>
      <c r="D63" s="142"/>
      <c r="M63" s="148"/>
    </row>
    <row r="64" spans="1:13" hidden="1" outlineLevel="1" x14ac:dyDescent="0.4">
      <c r="A64" s="141"/>
      <c r="B64" s="146" t="s">
        <v>204</v>
      </c>
      <c r="C64" s="147" t="s">
        <v>205</v>
      </c>
      <c r="D64" s="331" t="s">
        <v>206</v>
      </c>
      <c r="E64" s="331"/>
      <c r="F64" s="331"/>
      <c r="G64" s="331"/>
      <c r="H64" s="331"/>
    </row>
    <row r="65" spans="1:8" hidden="1" outlineLevel="1" x14ac:dyDescent="0.4">
      <c r="A65" s="141"/>
      <c r="B65" s="149"/>
      <c r="C65" s="150" t="s">
        <v>209</v>
      </c>
      <c r="D65" s="332" t="s">
        <v>210</v>
      </c>
      <c r="E65" s="332"/>
      <c r="F65" s="332"/>
      <c r="G65" s="332"/>
      <c r="H65" s="332"/>
    </row>
    <row r="66" spans="1:8" hidden="1" outlineLevel="1" x14ac:dyDescent="0.4">
      <c r="A66" s="142"/>
      <c r="C66" s="150" t="s">
        <v>283</v>
      </c>
      <c r="D66" s="332" t="s">
        <v>284</v>
      </c>
      <c r="E66" s="332"/>
      <c r="F66" s="332"/>
      <c r="G66" s="332"/>
      <c r="H66" s="332"/>
    </row>
    <row r="67" spans="1:8" hidden="1" outlineLevel="1" x14ac:dyDescent="0.4">
      <c r="A67" s="142"/>
      <c r="C67" s="150" t="s">
        <v>220</v>
      </c>
      <c r="D67" s="332" t="s">
        <v>221</v>
      </c>
      <c r="E67" s="332"/>
      <c r="F67" s="332"/>
      <c r="G67" s="332"/>
      <c r="H67" s="332"/>
    </row>
    <row r="68" spans="1:8" hidden="1" outlineLevel="1" x14ac:dyDescent="0.4">
      <c r="A68" s="142"/>
      <c r="C68" s="150" t="s">
        <v>223</v>
      </c>
      <c r="D68" s="332" t="s">
        <v>224</v>
      </c>
      <c r="E68" s="332"/>
      <c r="F68" s="332"/>
      <c r="G68" s="332"/>
      <c r="H68" s="332"/>
    </row>
    <row r="69" spans="1:8" hidden="1" outlineLevel="1" x14ac:dyDescent="0.4">
      <c r="A69" s="142"/>
      <c r="C69" s="150" t="s">
        <v>225</v>
      </c>
      <c r="D69" s="332" t="s">
        <v>226</v>
      </c>
      <c r="E69" s="332"/>
      <c r="F69" s="332"/>
      <c r="G69" s="332"/>
      <c r="H69" s="332"/>
    </row>
    <row r="70" spans="1:8" hidden="1" outlineLevel="1" x14ac:dyDescent="0.4">
      <c r="A70" s="142"/>
      <c r="C70" s="150" t="s">
        <v>285</v>
      </c>
      <c r="D70" s="332" t="s">
        <v>286</v>
      </c>
      <c r="E70" s="332"/>
      <c r="F70" s="332"/>
      <c r="G70" s="332"/>
      <c r="H70" s="332"/>
    </row>
    <row r="71" spans="1:8" hidden="1" outlineLevel="1" x14ac:dyDescent="0.4">
      <c r="A71" s="142"/>
      <c r="C71" s="150" t="s">
        <v>287</v>
      </c>
      <c r="D71" s="332" t="s">
        <v>288</v>
      </c>
      <c r="E71" s="332"/>
      <c r="F71" s="332"/>
      <c r="G71" s="332"/>
      <c r="H71" s="332"/>
    </row>
    <row r="72" spans="1:8" hidden="1" outlineLevel="1" x14ac:dyDescent="0.4">
      <c r="A72" s="142"/>
      <c r="C72" s="142"/>
      <c r="D72" s="142"/>
    </row>
    <row r="73" spans="1:8" hidden="1" outlineLevel="1" x14ac:dyDescent="0.4">
      <c r="A73" s="141"/>
      <c r="B73" s="143" t="s">
        <v>289</v>
      </c>
    </row>
    <row r="74" spans="1:8" hidden="1" outlineLevel="1" x14ac:dyDescent="0.4">
      <c r="A74" s="141"/>
      <c r="B74" s="146" t="s">
        <v>234</v>
      </c>
      <c r="C74" s="147" t="s">
        <v>290</v>
      </c>
      <c r="D74" s="331" t="s">
        <v>86</v>
      </c>
      <c r="E74" s="331"/>
      <c r="F74" s="331"/>
      <c r="G74" s="331"/>
      <c r="H74" s="331"/>
    </row>
    <row r="75" spans="1:8" hidden="1" outlineLevel="1" x14ac:dyDescent="0.4">
      <c r="A75" s="141"/>
      <c r="C75" s="150" t="s">
        <v>291</v>
      </c>
      <c r="D75" s="332" t="s">
        <v>292</v>
      </c>
      <c r="E75" s="332"/>
      <c r="F75" s="332"/>
      <c r="G75" s="332"/>
      <c r="H75" s="332"/>
    </row>
    <row r="76" spans="1:8" hidden="1" outlineLevel="1" x14ac:dyDescent="0.4">
      <c r="A76" s="141"/>
      <c r="C76" s="150" t="s">
        <v>293</v>
      </c>
      <c r="D76" s="332" t="s">
        <v>292</v>
      </c>
      <c r="E76" s="332"/>
      <c r="F76" s="332"/>
      <c r="G76" s="332"/>
      <c r="H76" s="332"/>
    </row>
    <row r="77" spans="1:8" hidden="1" outlineLevel="1" x14ac:dyDescent="0.4">
      <c r="A77" s="141"/>
      <c r="C77" s="150" t="s">
        <v>294</v>
      </c>
      <c r="D77" s="332" t="s">
        <v>292</v>
      </c>
      <c r="E77" s="332"/>
      <c r="F77" s="332"/>
      <c r="G77" s="332"/>
      <c r="H77" s="332"/>
    </row>
    <row r="78" spans="1:8" hidden="1" outlineLevel="1" x14ac:dyDescent="0.4">
      <c r="A78" s="141"/>
      <c r="C78" s="150" t="s">
        <v>295</v>
      </c>
      <c r="D78" s="332" t="s">
        <v>292</v>
      </c>
      <c r="E78" s="332"/>
      <c r="F78" s="332"/>
      <c r="G78" s="332"/>
      <c r="H78" s="332"/>
    </row>
    <row r="79" spans="1:8" hidden="1" outlineLevel="1" x14ac:dyDescent="0.4">
      <c r="A79" s="141"/>
      <c r="C79" s="151"/>
      <c r="D79" s="339"/>
      <c r="E79" s="339"/>
      <c r="F79" s="339"/>
      <c r="G79" s="339"/>
      <c r="H79" s="151"/>
    </row>
    <row r="80" spans="1:8" hidden="1" outlineLevel="1" x14ac:dyDescent="0.4">
      <c r="A80" s="142"/>
      <c r="B80" s="146" t="s">
        <v>296</v>
      </c>
      <c r="C80" s="147" t="s">
        <v>290</v>
      </c>
      <c r="D80" s="331" t="s">
        <v>86</v>
      </c>
      <c r="E80" s="331"/>
      <c r="F80" s="331"/>
      <c r="G80" s="331"/>
      <c r="H80" s="331"/>
    </row>
    <row r="81" spans="1:8" hidden="1" outlineLevel="1" x14ac:dyDescent="0.4">
      <c r="A81" s="142"/>
      <c r="B81" s="149"/>
      <c r="C81" s="150" t="s">
        <v>297</v>
      </c>
      <c r="D81" s="332" t="s">
        <v>292</v>
      </c>
      <c r="E81" s="332"/>
      <c r="F81" s="332"/>
      <c r="G81" s="332"/>
      <c r="H81" s="332"/>
    </row>
    <row r="82" spans="1:8" hidden="1" outlineLevel="1" x14ac:dyDescent="0.4">
      <c r="A82" s="142"/>
      <c r="B82" s="149"/>
      <c r="C82" s="150" t="s">
        <v>298</v>
      </c>
      <c r="D82" s="332" t="s">
        <v>292</v>
      </c>
      <c r="E82" s="332"/>
      <c r="F82" s="332"/>
      <c r="G82" s="332"/>
      <c r="H82" s="332"/>
    </row>
    <row r="83" spans="1:8" hidden="1" outlineLevel="1" x14ac:dyDescent="0.4">
      <c r="A83" s="142"/>
      <c r="B83" s="149"/>
      <c r="C83" s="150" t="s">
        <v>299</v>
      </c>
      <c r="D83" s="332" t="s">
        <v>292</v>
      </c>
      <c r="E83" s="332"/>
      <c r="F83" s="332"/>
      <c r="G83" s="332"/>
      <c r="H83" s="332"/>
    </row>
    <row r="84" spans="1:8" hidden="1" outlineLevel="1" x14ac:dyDescent="0.4">
      <c r="A84" s="142"/>
      <c r="B84" s="149"/>
      <c r="C84" s="150" t="s">
        <v>300</v>
      </c>
      <c r="D84" s="332" t="s">
        <v>292</v>
      </c>
      <c r="E84" s="332"/>
      <c r="F84" s="332"/>
      <c r="G84" s="332"/>
      <c r="H84" s="332"/>
    </row>
    <row r="85" spans="1:8" hidden="1" outlineLevel="1" x14ac:dyDescent="0.4">
      <c r="A85" s="142"/>
      <c r="B85" s="149"/>
      <c r="C85" s="150" t="s">
        <v>301</v>
      </c>
      <c r="D85" s="332" t="s">
        <v>292</v>
      </c>
      <c r="E85" s="332"/>
      <c r="F85" s="332"/>
      <c r="G85" s="332"/>
      <c r="H85" s="332"/>
    </row>
    <row r="86" spans="1:8" hidden="1" outlineLevel="1" x14ac:dyDescent="0.4">
      <c r="A86" s="142"/>
      <c r="B86" s="149"/>
      <c r="C86" s="150" t="s">
        <v>294</v>
      </c>
      <c r="D86" s="332" t="s">
        <v>292</v>
      </c>
      <c r="E86" s="332"/>
      <c r="F86" s="332"/>
      <c r="G86" s="332"/>
      <c r="H86" s="332"/>
    </row>
    <row r="87" spans="1:8" hidden="1" outlineLevel="1" x14ac:dyDescent="0.4">
      <c r="A87" s="142"/>
      <c r="B87" s="149"/>
      <c r="C87" s="150" t="s">
        <v>295</v>
      </c>
      <c r="D87" s="332" t="s">
        <v>292</v>
      </c>
      <c r="E87" s="332"/>
      <c r="F87" s="332"/>
      <c r="G87" s="332"/>
      <c r="H87" s="332"/>
    </row>
    <row r="88" spans="1:8" hidden="1" outlineLevel="1" x14ac:dyDescent="0.4">
      <c r="A88" s="142"/>
      <c r="B88" s="149"/>
      <c r="C88" s="164"/>
    </row>
    <row r="89" spans="1:8" hidden="1" outlineLevel="1" x14ac:dyDescent="0.4">
      <c r="A89" s="141"/>
      <c r="B89" s="146" t="s">
        <v>302</v>
      </c>
      <c r="C89" s="147" t="s">
        <v>290</v>
      </c>
      <c r="D89" s="331" t="s">
        <v>86</v>
      </c>
      <c r="E89" s="331"/>
      <c r="F89" s="331"/>
      <c r="G89" s="331"/>
      <c r="H89" s="331"/>
    </row>
    <row r="90" spans="1:8" hidden="1" outlineLevel="1" x14ac:dyDescent="0.4">
      <c r="A90" s="141"/>
      <c r="B90" s="149"/>
      <c r="C90" s="150" t="s">
        <v>303</v>
      </c>
      <c r="D90" s="332" t="s">
        <v>292</v>
      </c>
      <c r="E90" s="332"/>
      <c r="F90" s="332"/>
      <c r="G90" s="332"/>
      <c r="H90" s="332"/>
    </row>
    <row r="91" spans="1:8" hidden="1" outlineLevel="1" x14ac:dyDescent="0.4">
      <c r="A91" s="141"/>
      <c r="B91" s="149"/>
      <c r="C91" s="150" t="s">
        <v>304</v>
      </c>
      <c r="D91" s="332" t="s">
        <v>292</v>
      </c>
      <c r="E91" s="332"/>
      <c r="F91" s="332"/>
      <c r="G91" s="332"/>
      <c r="H91" s="332"/>
    </row>
    <row r="92" spans="1:8" hidden="1" outlineLevel="1" x14ac:dyDescent="0.4">
      <c r="A92" s="141"/>
      <c r="B92" s="149"/>
      <c r="C92" s="150" t="s">
        <v>300</v>
      </c>
      <c r="D92" s="332" t="s">
        <v>292</v>
      </c>
      <c r="E92" s="332"/>
      <c r="F92" s="332"/>
      <c r="G92" s="332"/>
      <c r="H92" s="332"/>
    </row>
    <row r="93" spans="1:8" hidden="1" outlineLevel="1" x14ac:dyDescent="0.4">
      <c r="A93" s="141"/>
      <c r="B93" s="149"/>
      <c r="C93" s="150" t="s">
        <v>305</v>
      </c>
      <c r="D93" s="332" t="s">
        <v>292</v>
      </c>
      <c r="E93" s="332"/>
      <c r="F93" s="332"/>
      <c r="G93" s="332"/>
      <c r="H93" s="332"/>
    </row>
    <row r="94" spans="1:8" hidden="1" outlineLevel="1" x14ac:dyDescent="0.4">
      <c r="A94" s="141"/>
      <c r="B94" s="149"/>
      <c r="C94" s="150" t="s">
        <v>306</v>
      </c>
      <c r="D94" s="332" t="s">
        <v>292</v>
      </c>
      <c r="E94" s="332"/>
      <c r="F94" s="332"/>
      <c r="G94" s="332"/>
      <c r="H94" s="332"/>
    </row>
    <row r="95" spans="1:8" hidden="1" outlineLevel="1" x14ac:dyDescent="0.4">
      <c r="A95" s="141"/>
      <c r="B95" s="149"/>
      <c r="C95" s="150" t="s">
        <v>307</v>
      </c>
      <c r="D95" s="332" t="s">
        <v>292</v>
      </c>
      <c r="E95" s="332"/>
      <c r="F95" s="332"/>
      <c r="G95" s="332"/>
      <c r="H95" s="332"/>
    </row>
    <row r="96" spans="1:8" hidden="1" outlineLevel="1" x14ac:dyDescent="0.4">
      <c r="A96" s="141"/>
      <c r="B96" s="149"/>
      <c r="C96" s="150" t="s">
        <v>295</v>
      </c>
      <c r="D96" s="332" t="s">
        <v>292</v>
      </c>
      <c r="E96" s="332"/>
      <c r="F96" s="332"/>
      <c r="G96" s="332"/>
      <c r="H96" s="332"/>
    </row>
    <row r="97" spans="1:8" hidden="1" outlineLevel="1" x14ac:dyDescent="0.4">
      <c r="A97" s="142"/>
      <c r="C97" s="164"/>
    </row>
    <row r="98" spans="1:8" hidden="1" outlineLevel="1" x14ac:dyDescent="0.4">
      <c r="A98" s="141"/>
      <c r="B98" s="146" t="s">
        <v>308</v>
      </c>
      <c r="C98" s="147" t="s">
        <v>309</v>
      </c>
      <c r="D98" s="331" t="s">
        <v>86</v>
      </c>
      <c r="E98" s="331"/>
      <c r="F98" s="331"/>
      <c r="G98" s="331"/>
      <c r="H98" s="331"/>
    </row>
    <row r="99" spans="1:8" hidden="1" outlineLevel="1" x14ac:dyDescent="0.4">
      <c r="A99" s="141"/>
      <c r="B99" s="146"/>
      <c r="C99" s="150" t="s">
        <v>303</v>
      </c>
      <c r="D99" s="332" t="s">
        <v>292</v>
      </c>
      <c r="E99" s="332"/>
      <c r="F99" s="332"/>
      <c r="G99" s="332"/>
      <c r="H99" s="332"/>
    </row>
    <row r="100" spans="1:8" hidden="1" outlineLevel="1" x14ac:dyDescent="0.4">
      <c r="A100" s="141"/>
      <c r="B100" s="146"/>
      <c r="C100" s="150" t="s">
        <v>304</v>
      </c>
      <c r="D100" s="332" t="s">
        <v>292</v>
      </c>
      <c r="E100" s="332"/>
      <c r="F100" s="332"/>
      <c r="G100" s="332"/>
      <c r="H100" s="332"/>
    </row>
    <row r="101" spans="1:8" hidden="1" outlineLevel="1" x14ac:dyDescent="0.4">
      <c r="A101" s="141"/>
      <c r="B101" s="146"/>
      <c r="C101" s="150" t="s">
        <v>300</v>
      </c>
      <c r="D101" s="332" t="s">
        <v>292</v>
      </c>
      <c r="E101" s="332"/>
      <c r="F101" s="332"/>
      <c r="G101" s="332"/>
      <c r="H101" s="332"/>
    </row>
    <row r="102" spans="1:8" hidden="1" outlineLevel="1" x14ac:dyDescent="0.4">
      <c r="A102" s="141"/>
      <c r="B102" s="146"/>
      <c r="C102" s="150" t="s">
        <v>305</v>
      </c>
      <c r="D102" s="332" t="s">
        <v>292</v>
      </c>
      <c r="E102" s="332"/>
      <c r="F102" s="332"/>
      <c r="G102" s="332"/>
      <c r="H102" s="332"/>
    </row>
    <row r="103" spans="1:8" hidden="1" outlineLevel="1" x14ac:dyDescent="0.4">
      <c r="A103" s="141"/>
      <c r="B103" s="149"/>
      <c r="C103" s="150" t="s">
        <v>307</v>
      </c>
      <c r="D103" s="332" t="s">
        <v>292</v>
      </c>
      <c r="E103" s="332"/>
      <c r="F103" s="332"/>
      <c r="G103" s="332"/>
      <c r="H103" s="332"/>
    </row>
    <row r="104" spans="1:8" hidden="1" outlineLevel="1" x14ac:dyDescent="0.4">
      <c r="A104" s="141"/>
      <c r="B104" s="149"/>
      <c r="C104" s="150" t="s">
        <v>295</v>
      </c>
      <c r="D104" s="332" t="s">
        <v>292</v>
      </c>
      <c r="E104" s="332"/>
      <c r="F104" s="332"/>
      <c r="G104" s="332"/>
      <c r="H104" s="332"/>
    </row>
    <row r="105" spans="1:8" collapsed="1" x14ac:dyDescent="0.4">
      <c r="A105" s="142"/>
      <c r="B105" s="142"/>
      <c r="C105" s="142"/>
      <c r="D105" s="142"/>
    </row>
    <row r="106" spans="1:8" x14ac:dyDescent="0.4">
      <c r="A106" s="141" t="s">
        <v>310</v>
      </c>
      <c r="B106" s="142" t="s">
        <v>311</v>
      </c>
      <c r="C106" s="142"/>
      <c r="D106" s="142"/>
    </row>
    <row r="107" spans="1:8" hidden="1" outlineLevel="1" x14ac:dyDescent="0.4">
      <c r="A107" s="141"/>
      <c r="B107" s="143" t="s">
        <v>312</v>
      </c>
      <c r="C107" s="142"/>
      <c r="D107" s="142"/>
    </row>
    <row r="108" spans="1:8" hidden="1" outlineLevel="1" x14ac:dyDescent="0.4">
      <c r="A108" s="141"/>
      <c r="B108" s="146" t="s">
        <v>313</v>
      </c>
      <c r="C108" s="147" t="s">
        <v>314</v>
      </c>
      <c r="D108" s="331" t="s">
        <v>315</v>
      </c>
      <c r="E108" s="331"/>
      <c r="F108" s="331"/>
      <c r="G108" s="331"/>
      <c r="H108" s="331"/>
    </row>
    <row r="109" spans="1:8" hidden="1" outlineLevel="1" x14ac:dyDescent="0.4">
      <c r="A109" s="141"/>
      <c r="B109" s="142"/>
      <c r="C109" s="150" t="s">
        <v>104</v>
      </c>
      <c r="D109" s="332" t="s">
        <v>316</v>
      </c>
      <c r="E109" s="332"/>
      <c r="F109" s="332"/>
      <c r="G109" s="332"/>
      <c r="H109" s="332"/>
    </row>
    <row r="110" spans="1:8" hidden="1" outlineLevel="1" x14ac:dyDescent="0.4">
      <c r="A110" s="141"/>
      <c r="B110" s="142"/>
      <c r="C110" s="150" t="s">
        <v>76</v>
      </c>
      <c r="D110" s="332" t="s">
        <v>317</v>
      </c>
      <c r="E110" s="332"/>
      <c r="F110" s="332"/>
      <c r="G110" s="332"/>
      <c r="H110" s="332"/>
    </row>
    <row r="111" spans="1:8" hidden="1" outlineLevel="1" x14ac:dyDescent="0.4">
      <c r="A111" s="141"/>
      <c r="B111" s="142"/>
      <c r="C111" s="150" t="s">
        <v>78</v>
      </c>
      <c r="D111" s="332" t="s">
        <v>318</v>
      </c>
      <c r="E111" s="332"/>
      <c r="F111" s="332"/>
      <c r="G111" s="332"/>
      <c r="H111" s="332"/>
    </row>
    <row r="112" spans="1:8" hidden="1" outlineLevel="1" x14ac:dyDescent="0.4">
      <c r="A112" s="141"/>
      <c r="B112" s="142"/>
      <c r="C112" s="150" t="s">
        <v>103</v>
      </c>
      <c r="D112" s="332" t="s">
        <v>319</v>
      </c>
      <c r="E112" s="332"/>
      <c r="F112" s="332"/>
      <c r="G112" s="332"/>
      <c r="H112" s="332"/>
    </row>
    <row r="113" spans="1:8" hidden="1" outlineLevel="1" x14ac:dyDescent="0.4">
      <c r="A113" s="141"/>
      <c r="B113" s="142"/>
      <c r="C113" s="150" t="s">
        <v>102</v>
      </c>
      <c r="D113" s="332" t="s">
        <v>320</v>
      </c>
      <c r="E113" s="332"/>
      <c r="F113" s="332"/>
      <c r="G113" s="332"/>
      <c r="H113" s="332"/>
    </row>
    <row r="114" spans="1:8" hidden="1" outlineLevel="1" x14ac:dyDescent="0.4">
      <c r="A114" s="141"/>
      <c r="B114" s="142"/>
      <c r="C114" s="150" t="s">
        <v>61</v>
      </c>
      <c r="D114" s="332" t="s">
        <v>321</v>
      </c>
      <c r="E114" s="332"/>
      <c r="F114" s="332"/>
      <c r="G114" s="332"/>
      <c r="H114" s="332"/>
    </row>
    <row r="115" spans="1:8" hidden="1" outlineLevel="1" x14ac:dyDescent="0.4">
      <c r="A115" s="141"/>
      <c r="B115" s="142"/>
      <c r="C115" s="150" t="s">
        <v>105</v>
      </c>
      <c r="D115" s="332" t="s">
        <v>322</v>
      </c>
      <c r="E115" s="332"/>
      <c r="F115" s="332"/>
      <c r="G115" s="332"/>
      <c r="H115" s="332"/>
    </row>
    <row r="116" spans="1:8" hidden="1" outlineLevel="1" x14ac:dyDescent="0.4">
      <c r="A116" s="141"/>
      <c r="B116" s="142"/>
      <c r="C116" s="150" t="s">
        <v>323</v>
      </c>
      <c r="D116" s="332" t="s">
        <v>324</v>
      </c>
      <c r="E116" s="332"/>
      <c r="F116" s="332"/>
      <c r="G116" s="332"/>
      <c r="H116" s="332"/>
    </row>
    <row r="117" spans="1:8" collapsed="1" x14ac:dyDescent="0.4">
      <c r="A117" s="142"/>
      <c r="B117" s="142"/>
    </row>
    <row r="118" spans="1:8" x14ac:dyDescent="0.4">
      <c r="A118" s="141" t="s">
        <v>325</v>
      </c>
      <c r="B118" s="142" t="s">
        <v>326</v>
      </c>
      <c r="C118" s="142"/>
      <c r="D118" s="142"/>
    </row>
    <row r="119" spans="1:8" x14ac:dyDescent="0.4">
      <c r="B119" s="143" t="s">
        <v>327</v>
      </c>
    </row>
  </sheetData>
  <mergeCells count="97">
    <mergeCell ref="D115:H115"/>
    <mergeCell ref="D116:H116"/>
    <mergeCell ref="D109:H109"/>
    <mergeCell ref="D110:H110"/>
    <mergeCell ref="D111:H111"/>
    <mergeCell ref="D112:H112"/>
    <mergeCell ref="D113:H113"/>
    <mergeCell ref="D114:H114"/>
    <mergeCell ref="D108:H108"/>
    <mergeCell ref="D93:H93"/>
    <mergeCell ref="D94:H94"/>
    <mergeCell ref="D95:H95"/>
    <mergeCell ref="D96:H96"/>
    <mergeCell ref="D98:H98"/>
    <mergeCell ref="D99:H99"/>
    <mergeCell ref="D100:H100"/>
    <mergeCell ref="D101:H101"/>
    <mergeCell ref="D102:H102"/>
    <mergeCell ref="D103:H103"/>
    <mergeCell ref="D104:H104"/>
    <mergeCell ref="D92:H92"/>
    <mergeCell ref="D80:H80"/>
    <mergeCell ref="D81:H81"/>
    <mergeCell ref="D82:H82"/>
    <mergeCell ref="D83:H83"/>
    <mergeCell ref="D84:H84"/>
    <mergeCell ref="D85:H85"/>
    <mergeCell ref="D86:H86"/>
    <mergeCell ref="D87:H87"/>
    <mergeCell ref="D89:H89"/>
    <mergeCell ref="D90:H90"/>
    <mergeCell ref="D91:H91"/>
    <mergeCell ref="D79:G79"/>
    <mergeCell ref="D66:H66"/>
    <mergeCell ref="D67:H67"/>
    <mergeCell ref="D68:H68"/>
    <mergeCell ref="D69:H69"/>
    <mergeCell ref="D70:H70"/>
    <mergeCell ref="D71:H71"/>
    <mergeCell ref="D74:H74"/>
    <mergeCell ref="D75:H75"/>
    <mergeCell ref="D76:H76"/>
    <mergeCell ref="D77:H77"/>
    <mergeCell ref="D78:H78"/>
    <mergeCell ref="D65:H65"/>
    <mergeCell ref="D48:H48"/>
    <mergeCell ref="D49:H49"/>
    <mergeCell ref="D50:H50"/>
    <mergeCell ref="D51:H51"/>
    <mergeCell ref="D53:H53"/>
    <mergeCell ref="D56:H56"/>
    <mergeCell ref="D57:H57"/>
    <mergeCell ref="D58:H58"/>
    <mergeCell ref="D59:H59"/>
    <mergeCell ref="D64:H64"/>
    <mergeCell ref="B54:B55"/>
    <mergeCell ref="D54:H54"/>
    <mergeCell ref="D55:H55"/>
    <mergeCell ref="D38:H38"/>
    <mergeCell ref="D39:H39"/>
    <mergeCell ref="D40:H40"/>
    <mergeCell ref="D41:H41"/>
    <mergeCell ref="D45:H45"/>
    <mergeCell ref="B46:B47"/>
    <mergeCell ref="D46:H46"/>
    <mergeCell ref="D47:H47"/>
    <mergeCell ref="B36:B37"/>
    <mergeCell ref="D36:H36"/>
    <mergeCell ref="D37:H37"/>
    <mergeCell ref="D21:H21"/>
    <mergeCell ref="C22:C23"/>
    <mergeCell ref="D22:H22"/>
    <mergeCell ref="D23:H23"/>
    <mergeCell ref="D27:H27"/>
    <mergeCell ref="B28:B29"/>
    <mergeCell ref="D28:H28"/>
    <mergeCell ref="D29:H29"/>
    <mergeCell ref="D30:H30"/>
    <mergeCell ref="D31:H31"/>
    <mergeCell ref="D32:H32"/>
    <mergeCell ref="D33:H33"/>
    <mergeCell ref="D35:H35"/>
    <mergeCell ref="C17:C19"/>
    <mergeCell ref="D17:H17"/>
    <mergeCell ref="D18:H18"/>
    <mergeCell ref="D19:H19"/>
    <mergeCell ref="D4:H4"/>
    <mergeCell ref="D5:H5"/>
    <mergeCell ref="D6:H6"/>
    <mergeCell ref="D7:H7"/>
    <mergeCell ref="D8:H8"/>
    <mergeCell ref="D9:H9"/>
    <mergeCell ref="D10:H10"/>
    <mergeCell ref="D11:H11"/>
    <mergeCell ref="D12:H12"/>
    <mergeCell ref="D15:H15"/>
    <mergeCell ref="D16:H16"/>
  </mergeCells>
  <phoneticPr fontId="2"/>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O239"/>
  <sheetViews>
    <sheetView showGridLines="0" zoomScale="85" zoomScaleNormal="85" workbookViewId="0">
      <pane xSplit="13" ySplit="5" topLeftCell="N100" activePane="bottomRight" state="frozen"/>
      <selection pane="topRight" activeCell="N1" sqref="N1"/>
      <selection pane="bottomLeft" activeCell="A7" sqref="A7"/>
      <selection pane="bottomRight"/>
    </sheetView>
  </sheetViews>
  <sheetFormatPr defaultColWidth="9" defaultRowHeight="20.100000000000001" customHeight="1" outlineLevelRow="1" x14ac:dyDescent="0.4"/>
  <cols>
    <col min="1" max="1" width="4.625" style="83" customWidth="1"/>
    <col min="2" max="3" width="8.375" style="83" bestFit="1" customWidth="1"/>
    <col min="4" max="4" width="9.5" style="83" bestFit="1" customWidth="1"/>
    <col min="5" max="5" width="20.875" style="83" customWidth="1"/>
    <col min="6" max="6" width="18.75" style="83" customWidth="1"/>
    <col min="7" max="7" width="61.875" style="87" customWidth="1"/>
    <col min="8" max="8" width="6.75" style="83" hidden="1" customWidth="1"/>
    <col min="9" max="9" width="7.375" style="83" hidden="1" customWidth="1"/>
    <col min="10" max="10" width="8.125" style="83" hidden="1" customWidth="1"/>
    <col min="11" max="11" width="9.625" style="83" hidden="1" customWidth="1"/>
    <col min="12" max="12" width="8.125" style="83" hidden="1" customWidth="1"/>
    <col min="13" max="13" width="12.625" style="83" customWidth="1"/>
    <col min="14" max="14" width="5.5" style="83" bestFit="1" customWidth="1"/>
    <col min="15" max="26" width="7.625" style="83" customWidth="1"/>
    <col min="27" max="27" width="5.875" style="83" customWidth="1" collapsed="1"/>
    <col min="28" max="31" width="5.875" style="83" customWidth="1"/>
    <col min="32" max="32" width="7" style="83" customWidth="1"/>
    <col min="33" max="33" width="9" style="83" customWidth="1"/>
    <col min="34" max="16384" width="9" style="83"/>
  </cols>
  <sheetData>
    <row r="1" spans="1:32" ht="30" customHeight="1" x14ac:dyDescent="0.4">
      <c r="A1" s="85" t="s">
        <v>36</v>
      </c>
      <c r="B1" s="86"/>
      <c r="C1" s="86"/>
      <c r="D1" s="86"/>
      <c r="E1" s="86"/>
      <c r="F1" s="86"/>
      <c r="G1" s="86"/>
      <c r="H1" s="86"/>
      <c r="I1" s="86"/>
      <c r="J1" s="86"/>
      <c r="K1" s="86"/>
      <c r="L1" s="86"/>
      <c r="M1" s="86"/>
      <c r="N1" s="86"/>
      <c r="O1" s="86"/>
      <c r="P1" s="86"/>
      <c r="Q1" s="86"/>
      <c r="R1" s="86"/>
      <c r="S1" s="73" t="s">
        <v>341</v>
      </c>
      <c r="T1" s="74"/>
      <c r="U1" s="74"/>
      <c r="V1" s="74"/>
      <c r="W1" s="74" t="s">
        <v>353</v>
      </c>
      <c r="X1" s="74"/>
      <c r="Y1" s="74"/>
      <c r="Z1" s="75"/>
      <c r="AA1" s="86"/>
      <c r="AB1" s="86"/>
      <c r="AC1" s="86"/>
      <c r="AD1" s="86"/>
      <c r="AE1" s="86"/>
      <c r="AF1" s="86"/>
    </row>
    <row r="2" spans="1:32" ht="20.25" customHeight="1" thickBot="1" x14ac:dyDescent="0.45">
      <c r="S2" s="76" t="s">
        <v>352</v>
      </c>
      <c r="T2" s="77"/>
      <c r="U2" s="77"/>
      <c r="V2" s="77"/>
      <c r="W2" s="77"/>
      <c r="X2" s="77"/>
      <c r="Y2" s="77"/>
      <c r="Z2" s="78"/>
    </row>
    <row r="3" spans="1:32" ht="20.100000000000001" customHeight="1" x14ac:dyDescent="0.4">
      <c r="A3" s="86" t="s">
        <v>17</v>
      </c>
    </row>
    <row r="4" spans="1:32" s="90" customFormat="1" ht="20.100000000000001" customHeight="1" x14ac:dyDescent="0.4">
      <c r="A4" s="344" t="s">
        <v>0</v>
      </c>
      <c r="B4" s="360" t="s">
        <v>86</v>
      </c>
      <c r="C4" s="360" t="s">
        <v>6</v>
      </c>
      <c r="D4" s="360" t="s">
        <v>157</v>
      </c>
      <c r="E4" s="360" t="s">
        <v>2</v>
      </c>
      <c r="F4" s="360" t="s">
        <v>158</v>
      </c>
      <c r="G4" s="356" t="s">
        <v>1</v>
      </c>
      <c r="H4" s="358" t="s">
        <v>164</v>
      </c>
      <c r="I4" s="358" t="s">
        <v>165</v>
      </c>
      <c r="J4" s="358" t="s">
        <v>25</v>
      </c>
      <c r="K4" s="344" t="s">
        <v>7</v>
      </c>
      <c r="L4" s="344" t="s">
        <v>8</v>
      </c>
      <c r="M4" s="344" t="s">
        <v>189</v>
      </c>
      <c r="N4" s="346" t="s">
        <v>5</v>
      </c>
      <c r="O4" s="347"/>
      <c r="P4" s="347"/>
      <c r="Q4" s="347"/>
      <c r="R4" s="347"/>
      <c r="S4" s="347"/>
      <c r="T4" s="347"/>
      <c r="U4" s="347"/>
      <c r="V4" s="347"/>
      <c r="W4" s="347"/>
      <c r="X4" s="347"/>
      <c r="Y4" s="347"/>
      <c r="Z4" s="347"/>
      <c r="AA4" s="83"/>
      <c r="AB4" s="83"/>
      <c r="AC4" s="83"/>
      <c r="AD4" s="83"/>
      <c r="AE4" s="83"/>
      <c r="AF4" s="83"/>
    </row>
    <row r="5" spans="1:32" s="90" customFormat="1" ht="20.100000000000001" customHeight="1" x14ac:dyDescent="0.4">
      <c r="A5" s="345"/>
      <c r="B5" s="360"/>
      <c r="C5" s="360"/>
      <c r="D5" s="360"/>
      <c r="E5" s="360"/>
      <c r="F5" s="360"/>
      <c r="G5" s="357"/>
      <c r="H5" s="359"/>
      <c r="I5" s="359"/>
      <c r="J5" s="359"/>
      <c r="K5" s="345"/>
      <c r="L5" s="345"/>
      <c r="M5" s="345"/>
      <c r="N5" s="88"/>
      <c r="O5" s="89" t="s">
        <v>134</v>
      </c>
      <c r="P5" s="89" t="s">
        <v>135</v>
      </c>
      <c r="Q5" s="89" t="s">
        <v>137</v>
      </c>
      <c r="R5" s="89" t="s">
        <v>138</v>
      </c>
      <c r="S5" s="89" t="s">
        <v>139</v>
      </c>
      <c r="T5" s="89" t="s">
        <v>140</v>
      </c>
      <c r="U5" s="89" t="s">
        <v>141</v>
      </c>
      <c r="V5" s="89" t="s">
        <v>142</v>
      </c>
      <c r="W5" s="89" t="s">
        <v>143</v>
      </c>
      <c r="X5" s="89" t="s">
        <v>144</v>
      </c>
      <c r="Y5" s="89" t="s">
        <v>30</v>
      </c>
      <c r="Z5" s="89" t="s">
        <v>145</v>
      </c>
    </row>
    <row r="6" spans="1:32" s="116" customFormat="1" ht="20.100000000000001" customHeight="1" x14ac:dyDescent="0.4">
      <c r="A6" s="348">
        <v>1</v>
      </c>
      <c r="B6" s="350" t="s">
        <v>46</v>
      </c>
      <c r="C6" s="350" t="s">
        <v>14</v>
      </c>
      <c r="D6" s="352" t="s">
        <v>419</v>
      </c>
      <c r="E6" s="352" t="s">
        <v>416</v>
      </c>
      <c r="F6" s="352" t="s">
        <v>417</v>
      </c>
      <c r="G6" s="354" t="s">
        <v>418</v>
      </c>
      <c r="H6" s="342"/>
      <c r="I6" s="342"/>
      <c r="J6" s="342"/>
      <c r="K6" s="361"/>
      <c r="L6" s="361"/>
      <c r="M6" s="340"/>
      <c r="N6" s="133" t="s">
        <v>24</v>
      </c>
      <c r="O6" s="133">
        <f>SUM('案件．要員情報'!O7:U7)</f>
        <v>0.45833333333333337</v>
      </c>
      <c r="P6" s="133">
        <f>SUM('案件．要員情報'!V7:AA7)</f>
        <v>0.21052631578947367</v>
      </c>
      <c r="Q6" s="133">
        <f>SUM('案件．要員情報'!AB7:AG7)</f>
        <v>0.27272727272727271</v>
      </c>
      <c r="R6" s="133">
        <f>SUM('案件．要員情報'!AH7:AM7)</f>
        <v>0.12121212121212122</v>
      </c>
      <c r="S6" s="133">
        <f>SUM('案件．要員情報'!AN7:AS7)</f>
        <v>0.2095238095238095</v>
      </c>
      <c r="T6" s="133">
        <f>SUM('案件．要員情報'!AT7:AY7)</f>
        <v>0.32121212121212123</v>
      </c>
      <c r="U6" s="133">
        <f>SUM('案件．要員情報'!AZ7:BF7)</f>
        <v>0.33333333333333331</v>
      </c>
      <c r="V6" s="133">
        <f>SUM('案件．要員情報'!BG7:BN7)</f>
        <v>0</v>
      </c>
      <c r="W6" s="133">
        <f>SUM('案件．要員情報'!BO7:BV7)</f>
        <v>0</v>
      </c>
      <c r="X6" s="133">
        <f>SUM('案件．要員情報'!BW7:CD7)</f>
        <v>0</v>
      </c>
      <c r="Y6" s="133">
        <f>SUM('案件．要員情報'!CE7:CL7)</f>
        <v>0</v>
      </c>
      <c r="Z6" s="133">
        <f>SUM('案件．要員情報'!CM7:CT7)</f>
        <v>0</v>
      </c>
      <c r="AA6" s="180">
        <f>SUM(O6:Z6)</f>
        <v>1.926868307131465</v>
      </c>
    </row>
    <row r="7" spans="1:32" s="116" customFormat="1" ht="20.100000000000001" customHeight="1" x14ac:dyDescent="0.4">
      <c r="A7" s="349"/>
      <c r="B7" s="351"/>
      <c r="C7" s="351"/>
      <c r="D7" s="353"/>
      <c r="E7" s="353"/>
      <c r="F7" s="353"/>
      <c r="G7" s="355"/>
      <c r="H7" s="343"/>
      <c r="I7" s="343"/>
      <c r="J7" s="343"/>
      <c r="K7" s="362"/>
      <c r="L7" s="362"/>
      <c r="M7" s="341"/>
      <c r="N7" s="134" t="s">
        <v>25</v>
      </c>
      <c r="O7" s="135">
        <f>SUM('案件．要員情報'!O8:U8)</f>
        <v>0.40833333333333333</v>
      </c>
      <c r="P7" s="135">
        <f>SUM('案件．要員情報'!V8:AA8)</f>
        <v>0.19649122807017544</v>
      </c>
      <c r="Q7" s="135">
        <f>SUM('案件．要員情報'!AB8:AG8)</f>
        <v>0.26363636363636361</v>
      </c>
      <c r="R7" s="135">
        <f>SUM('案件．要員情報'!AH8:AM8)</f>
        <v>0.11818181818181819</v>
      </c>
      <c r="S7" s="135">
        <f>SUM('案件．要員情報'!AN8:AS8)</f>
        <v>0.20952380952380953</v>
      </c>
      <c r="T7" s="135">
        <f>SUM('案件．要員情報'!AT8:AY8)</f>
        <v>0.29696969696969699</v>
      </c>
      <c r="U7" s="135">
        <f>SUM('案件．要員情報'!AZ8:BF8)</f>
        <v>0.06</v>
      </c>
      <c r="V7" s="135">
        <f>SUM('案件．要員情報'!BG8:BN8)</f>
        <v>0</v>
      </c>
      <c r="W7" s="135">
        <f>SUM('案件．要員情報'!BO8:BV8)</f>
        <v>0</v>
      </c>
      <c r="X7" s="135">
        <f>SUM('案件．要員情報'!BW8:CD8)</f>
        <v>0</v>
      </c>
      <c r="Y7" s="135">
        <f>SUM('案件．要員情報'!CE8:CL8)</f>
        <v>0</v>
      </c>
      <c r="Z7" s="135">
        <f>SUM('案件．要員情報'!CM8:CT8)</f>
        <v>0</v>
      </c>
      <c r="AA7" s="284">
        <f>SUM(O7:Z7)</f>
        <v>1.5531362497151973</v>
      </c>
    </row>
    <row r="8" spans="1:32" s="116" customFormat="1" ht="20.100000000000001" customHeight="1" x14ac:dyDescent="0.4">
      <c r="A8" s="348">
        <v>2</v>
      </c>
      <c r="B8" s="350" t="s">
        <v>47</v>
      </c>
      <c r="C8" s="350" t="s">
        <v>14</v>
      </c>
      <c r="D8" s="352" t="s">
        <v>420</v>
      </c>
      <c r="E8" s="352" t="s">
        <v>421</v>
      </c>
      <c r="F8" s="352"/>
      <c r="G8" s="354" t="s">
        <v>422</v>
      </c>
      <c r="H8" s="342"/>
      <c r="I8" s="342"/>
      <c r="J8" s="342"/>
      <c r="K8" s="361"/>
      <c r="L8" s="361"/>
      <c r="M8" s="340"/>
      <c r="N8" s="136" t="s">
        <v>24</v>
      </c>
      <c r="O8" s="133">
        <f>SUM('案件．要員情報'!O9:U9)</f>
        <v>4.1666666666666664E-2</v>
      </c>
      <c r="P8" s="133">
        <f>SUM('案件．要員情報'!V9:AA9)</f>
        <v>0</v>
      </c>
      <c r="Q8" s="133">
        <f>SUM('案件．要員情報'!AB9:AG9)</f>
        <v>0</v>
      </c>
      <c r="R8" s="133">
        <f>SUM('案件．要員情報'!AH9:AM9)</f>
        <v>0</v>
      </c>
      <c r="S8" s="133">
        <f>SUM('案件．要員情報'!AN9:AS9)</f>
        <v>0</v>
      </c>
      <c r="T8" s="133">
        <f>SUM('案件．要員情報'!AT9:AY9)</f>
        <v>0</v>
      </c>
      <c r="U8" s="133">
        <f>SUM('案件．要員情報'!AZ9:BF9)</f>
        <v>0</v>
      </c>
      <c r="V8" s="133">
        <f>SUM('案件．要員情報'!BG9:BN9)</f>
        <v>0</v>
      </c>
      <c r="W8" s="133">
        <f>SUM('案件．要員情報'!BO9:BV9)</f>
        <v>0</v>
      </c>
      <c r="X8" s="133">
        <f>SUM('案件．要員情報'!BW9:CD9)</f>
        <v>0</v>
      </c>
      <c r="Y8" s="133">
        <f>SUM('案件．要員情報'!CE9:CL9)</f>
        <v>0</v>
      </c>
      <c r="Z8" s="133">
        <f>SUM('案件．要員情報'!CM9:CT9)</f>
        <v>0</v>
      </c>
      <c r="AA8" s="180">
        <f t="shared" ref="AA8:AA37" si="0">SUM(O8:Z8)</f>
        <v>4.1666666666666664E-2</v>
      </c>
    </row>
    <row r="9" spans="1:32" s="116" customFormat="1" ht="20.100000000000001" customHeight="1" x14ac:dyDescent="0.4">
      <c r="A9" s="349"/>
      <c r="B9" s="351"/>
      <c r="C9" s="351"/>
      <c r="D9" s="353"/>
      <c r="E9" s="353"/>
      <c r="F9" s="353"/>
      <c r="G9" s="355"/>
      <c r="H9" s="343"/>
      <c r="I9" s="343"/>
      <c r="J9" s="343"/>
      <c r="K9" s="362"/>
      <c r="L9" s="362"/>
      <c r="M9" s="341"/>
      <c r="N9" s="137" t="s">
        <v>25</v>
      </c>
      <c r="O9" s="135">
        <f>SUM('案件．要員情報'!O10:U10)</f>
        <v>2.9166666666666667E-2</v>
      </c>
      <c r="P9" s="135">
        <f>SUM('案件．要員情報'!V10:AA10)</f>
        <v>0</v>
      </c>
      <c r="Q9" s="135">
        <f>SUM('案件．要員情報'!AB10:AG10)</f>
        <v>0</v>
      </c>
      <c r="R9" s="135">
        <f>SUM('案件．要員情報'!AH10:AM10)</f>
        <v>0</v>
      </c>
      <c r="S9" s="135">
        <f>SUM('案件．要員情報'!AN10:AS10)</f>
        <v>0</v>
      </c>
      <c r="T9" s="135">
        <f>SUM('案件．要員情報'!AT10:AY10)</f>
        <v>0</v>
      </c>
      <c r="U9" s="135">
        <f>SUM('案件．要員情報'!AZ10:BF10)</f>
        <v>0</v>
      </c>
      <c r="V9" s="135">
        <f>SUM('案件．要員情報'!BG10:BN10)</f>
        <v>0</v>
      </c>
      <c r="W9" s="135">
        <f>SUM('案件．要員情報'!BO10:BV10)</f>
        <v>0</v>
      </c>
      <c r="X9" s="135">
        <f>SUM('案件．要員情報'!BW10:CD10)</f>
        <v>0</v>
      </c>
      <c r="Y9" s="135">
        <f>SUM('案件．要員情報'!CE10:CL10)</f>
        <v>0</v>
      </c>
      <c r="Z9" s="135">
        <f>SUM('案件．要員情報'!CM10:CT10)</f>
        <v>0</v>
      </c>
      <c r="AA9" s="138">
        <f t="shared" si="0"/>
        <v>2.9166666666666667E-2</v>
      </c>
      <c r="AD9" s="138"/>
    </row>
    <row r="10" spans="1:32" s="116" customFormat="1" ht="20.100000000000001" customHeight="1" x14ac:dyDescent="0.4">
      <c r="A10" s="350">
        <v>3</v>
      </c>
      <c r="B10" s="350" t="s">
        <v>47</v>
      </c>
      <c r="C10" s="350" t="s">
        <v>14</v>
      </c>
      <c r="D10" s="352" t="s">
        <v>424</v>
      </c>
      <c r="E10" s="170" t="s">
        <v>425</v>
      </c>
      <c r="F10" s="352" t="s">
        <v>423</v>
      </c>
      <c r="G10" s="354" t="s">
        <v>426</v>
      </c>
      <c r="H10" s="365"/>
      <c r="I10" s="365"/>
      <c r="J10" s="365"/>
      <c r="K10" s="367"/>
      <c r="L10" s="367"/>
      <c r="M10" s="369"/>
      <c r="N10" s="136" t="s">
        <v>24</v>
      </c>
      <c r="O10" s="133">
        <f>SUM('案件．要員情報'!O11:U11)</f>
        <v>0.66666666666666663</v>
      </c>
      <c r="P10" s="133">
        <f>SUM('案件．要員情報'!V11:AA11)</f>
        <v>0</v>
      </c>
      <c r="Q10" s="133">
        <f>SUM('案件．要員情報'!AB11:AG11)</f>
        <v>0</v>
      </c>
      <c r="R10" s="133">
        <f>SUM('案件．要員情報'!AH11:AM11)</f>
        <v>0</v>
      </c>
      <c r="S10" s="133">
        <f>SUM('案件．要員情報'!AN11:AS11)</f>
        <v>0</v>
      </c>
      <c r="T10" s="133">
        <f>SUM('案件．要員情報'!AT11:AY11)</f>
        <v>0</v>
      </c>
      <c r="U10" s="133">
        <f>SUM('案件．要員情報'!AZ11:BF11)</f>
        <v>0</v>
      </c>
      <c r="V10" s="133">
        <f>SUM('案件．要員情報'!BG11:BN11)</f>
        <v>0</v>
      </c>
      <c r="W10" s="133">
        <f>SUM('案件．要員情報'!BO11:BV11)</f>
        <v>0</v>
      </c>
      <c r="X10" s="133">
        <f>SUM('案件．要員情報'!BW11:CD11)</f>
        <v>0</v>
      </c>
      <c r="Y10" s="133">
        <f>SUM('案件．要員情報'!CE11:CL11)</f>
        <v>0</v>
      </c>
      <c r="Z10" s="133">
        <f>SUM('案件．要員情報'!CM11:CT11)</f>
        <v>0</v>
      </c>
      <c r="AA10" s="180">
        <f t="shared" si="0"/>
        <v>0.66666666666666663</v>
      </c>
    </row>
    <row r="11" spans="1:32" s="116" customFormat="1" ht="20.100000000000001" customHeight="1" x14ac:dyDescent="0.4">
      <c r="A11" s="351"/>
      <c r="B11" s="351"/>
      <c r="C11" s="351"/>
      <c r="D11" s="353"/>
      <c r="E11" s="171"/>
      <c r="F11" s="353"/>
      <c r="G11" s="355"/>
      <c r="H11" s="366"/>
      <c r="I11" s="366"/>
      <c r="J11" s="366"/>
      <c r="K11" s="368"/>
      <c r="L11" s="368"/>
      <c r="M11" s="341"/>
      <c r="N11" s="137" t="s">
        <v>25</v>
      </c>
      <c r="O11" s="135">
        <f>SUM('案件．要員情報'!O12:U12)</f>
        <v>0.6166666666666667</v>
      </c>
      <c r="P11" s="135">
        <f>SUM('案件．要員情報'!V12:AA12)</f>
        <v>0</v>
      </c>
      <c r="Q11" s="135">
        <f>SUM('案件．要員情報'!AB12:AG12)</f>
        <v>0</v>
      </c>
      <c r="R11" s="135">
        <f>SUM('案件．要員情報'!AH12:AM12)</f>
        <v>0</v>
      </c>
      <c r="S11" s="135">
        <f>SUM('案件．要員情報'!AN12:AS12)</f>
        <v>0</v>
      </c>
      <c r="T11" s="135">
        <f>SUM('案件．要員情報'!AT12:AY12)</f>
        <v>0</v>
      </c>
      <c r="U11" s="135">
        <f>SUM('案件．要員情報'!AZ12:BF12)</f>
        <v>0</v>
      </c>
      <c r="V11" s="135">
        <f>SUM('案件．要員情報'!BG12:BN12)</f>
        <v>0</v>
      </c>
      <c r="W11" s="135">
        <f>SUM('案件．要員情報'!BO12:BV12)</f>
        <v>0</v>
      </c>
      <c r="X11" s="135">
        <f>SUM('案件．要員情報'!BW12:CD12)</f>
        <v>0</v>
      </c>
      <c r="Y11" s="135">
        <f>SUM('案件．要員情報'!CE12:CL12)</f>
        <v>0</v>
      </c>
      <c r="Z11" s="135">
        <f>SUM('案件．要員情報'!CM12:CT12)</f>
        <v>0</v>
      </c>
      <c r="AA11" s="138">
        <f>SUM(O11:Z11)</f>
        <v>0.6166666666666667</v>
      </c>
      <c r="AD11" s="138"/>
    </row>
    <row r="12" spans="1:32" s="116" customFormat="1" ht="20.100000000000001" customHeight="1" x14ac:dyDescent="0.4">
      <c r="A12" s="350">
        <v>4</v>
      </c>
      <c r="B12" s="350" t="s">
        <v>47</v>
      </c>
      <c r="C12" s="350" t="s">
        <v>14</v>
      </c>
      <c r="D12" s="352" t="s">
        <v>427</v>
      </c>
      <c r="E12" s="170" t="s">
        <v>428</v>
      </c>
      <c r="F12" s="352" t="s">
        <v>423</v>
      </c>
      <c r="G12" s="354" t="s">
        <v>429</v>
      </c>
      <c r="H12" s="365"/>
      <c r="I12" s="365"/>
      <c r="J12" s="365"/>
      <c r="K12" s="367"/>
      <c r="L12" s="367"/>
      <c r="M12" s="340"/>
      <c r="N12" s="136" t="s">
        <v>24</v>
      </c>
      <c r="O12" s="133">
        <f>SUM('案件．要員情報'!O13:U13)</f>
        <v>0.58333333333333337</v>
      </c>
      <c r="P12" s="133">
        <f>SUM('案件．要員情報'!V13:AA13)</f>
        <v>0</v>
      </c>
      <c r="Q12" s="133">
        <f>SUM('案件．要員情報'!AB13:AG13)</f>
        <v>0.30303030303030304</v>
      </c>
      <c r="R12" s="133">
        <f>SUM('案件．要員情報'!AH13:AM13)</f>
        <v>0</v>
      </c>
      <c r="S12" s="133">
        <f>SUM('案件．要員情報'!AN13:AS13)</f>
        <v>0</v>
      </c>
      <c r="T12" s="133">
        <f>SUM('案件．要員情報'!AT13:AY13)</f>
        <v>0.13333333333333333</v>
      </c>
      <c r="U12" s="133">
        <f>SUM('案件．要員情報'!AZ13:BF13)</f>
        <v>0</v>
      </c>
      <c r="V12" s="133">
        <f>SUM('案件．要員情報'!BG13:BN13)</f>
        <v>0</v>
      </c>
      <c r="W12" s="133">
        <f>SUM('案件．要員情報'!BO13:BV13)</f>
        <v>0</v>
      </c>
      <c r="X12" s="133">
        <f>SUM('案件．要員情報'!BW13:CD13)</f>
        <v>0</v>
      </c>
      <c r="Y12" s="133">
        <f>SUM('案件．要員情報'!CE13:CL13)</f>
        <v>0</v>
      </c>
      <c r="Z12" s="133">
        <f>SUM('案件．要員情報'!CM13:CT13)</f>
        <v>0</v>
      </c>
      <c r="AA12" s="180">
        <f t="shared" si="0"/>
        <v>1.0196969696969698</v>
      </c>
    </row>
    <row r="13" spans="1:32" s="116" customFormat="1" ht="20.100000000000001" customHeight="1" x14ac:dyDescent="0.4">
      <c r="A13" s="351"/>
      <c r="B13" s="351"/>
      <c r="C13" s="351"/>
      <c r="D13" s="353"/>
      <c r="E13" s="171"/>
      <c r="F13" s="353"/>
      <c r="G13" s="355"/>
      <c r="H13" s="366"/>
      <c r="I13" s="366"/>
      <c r="J13" s="366"/>
      <c r="K13" s="368"/>
      <c r="L13" s="368"/>
      <c r="M13" s="341"/>
      <c r="N13" s="137" t="s">
        <v>25</v>
      </c>
      <c r="O13" s="135">
        <f>SUM('案件．要員情報'!O14:U14)</f>
        <v>0.54791666666666661</v>
      </c>
      <c r="P13" s="135">
        <f>SUM('案件．要員情報'!V14:AA14)</f>
        <v>0</v>
      </c>
      <c r="Q13" s="135">
        <f>SUM('案件．要員情報'!AB14:AG14)</f>
        <v>0.26363636363636367</v>
      </c>
      <c r="R13" s="135">
        <f>SUM('案件．要員情報'!AH14:AM14)</f>
        <v>0</v>
      </c>
      <c r="S13" s="135">
        <f>SUM('案件．要員情報'!AN14:AS14)</f>
        <v>0</v>
      </c>
      <c r="T13" s="135">
        <f>SUM('案件．要員情報'!AT14:AY14)</f>
        <v>0.12424242424242424</v>
      </c>
      <c r="U13" s="135">
        <f>SUM('案件．要員情報'!AZ14:BF14)</f>
        <v>0</v>
      </c>
      <c r="V13" s="135">
        <f>SUM('案件．要員情報'!BG14:BN14)</f>
        <v>0</v>
      </c>
      <c r="W13" s="135">
        <f>SUM('案件．要員情報'!BO14:BV14)</f>
        <v>0</v>
      </c>
      <c r="X13" s="135">
        <f>SUM('案件．要員情報'!BW14:CD14)</f>
        <v>0</v>
      </c>
      <c r="Y13" s="135">
        <f>SUM('案件．要員情報'!CE14:CL14)</f>
        <v>0</v>
      </c>
      <c r="Z13" s="135">
        <f>SUM('案件．要員情報'!CM14:CT14)</f>
        <v>0</v>
      </c>
      <c r="AA13" s="284">
        <f t="shared" si="0"/>
        <v>0.93579545454545454</v>
      </c>
    </row>
    <row r="14" spans="1:32" s="116" customFormat="1" ht="20.100000000000001" customHeight="1" x14ac:dyDescent="0.4">
      <c r="A14" s="350">
        <v>5</v>
      </c>
      <c r="B14" s="350" t="s">
        <v>47</v>
      </c>
      <c r="C14" s="350" t="s">
        <v>343</v>
      </c>
      <c r="D14" s="170" t="s">
        <v>344</v>
      </c>
      <c r="E14" s="170" t="s">
        <v>430</v>
      </c>
      <c r="F14" s="352" t="s">
        <v>431</v>
      </c>
      <c r="G14" s="354" t="s">
        <v>432</v>
      </c>
      <c r="H14" s="365"/>
      <c r="I14" s="365"/>
      <c r="J14" s="365"/>
      <c r="K14" s="367"/>
      <c r="L14" s="367"/>
      <c r="M14" s="372"/>
      <c r="N14" s="136" t="s">
        <v>24</v>
      </c>
      <c r="O14" s="133">
        <f>SUM('案件．要員情報'!O15:U15)</f>
        <v>0.375</v>
      </c>
      <c r="P14" s="133">
        <f>SUM('案件．要員情報'!V15:AA15)</f>
        <v>0</v>
      </c>
      <c r="Q14" s="133">
        <f>SUM('案件．要員情報'!AB15:AG15)</f>
        <v>0</v>
      </c>
      <c r="R14" s="133">
        <f>SUM('案件．要員情報'!AH15:AM15)</f>
        <v>0</v>
      </c>
      <c r="S14" s="133">
        <f>SUM('案件．要員情報'!AN15:AS15)</f>
        <v>0</v>
      </c>
      <c r="T14" s="133">
        <f>SUM('案件．要員情報'!AT15:AY15)</f>
        <v>0</v>
      </c>
      <c r="U14" s="133">
        <f>SUM('案件．要員情報'!AZ15:BF15)</f>
        <v>0</v>
      </c>
      <c r="V14" s="133">
        <f>SUM('案件．要員情報'!BG15:BN15)</f>
        <v>0</v>
      </c>
      <c r="W14" s="133">
        <f>SUM('案件．要員情報'!BO15:BV15)</f>
        <v>0</v>
      </c>
      <c r="X14" s="133">
        <f>SUM('案件．要員情報'!BW15:CD15)</f>
        <v>0</v>
      </c>
      <c r="Y14" s="133">
        <f>SUM('案件．要員情報'!CE15:CL15)</f>
        <v>0</v>
      </c>
      <c r="Z14" s="133">
        <f>SUM('案件．要員情報'!CM15:CT15)</f>
        <v>0</v>
      </c>
      <c r="AA14" s="180">
        <f t="shared" si="0"/>
        <v>0.375</v>
      </c>
    </row>
    <row r="15" spans="1:32" s="116" customFormat="1" ht="20.100000000000001" customHeight="1" x14ac:dyDescent="0.4">
      <c r="A15" s="351"/>
      <c r="B15" s="351"/>
      <c r="C15" s="351"/>
      <c r="D15" s="171"/>
      <c r="E15" s="171"/>
      <c r="F15" s="353"/>
      <c r="G15" s="355"/>
      <c r="H15" s="366"/>
      <c r="I15" s="366"/>
      <c r="J15" s="366"/>
      <c r="K15" s="368"/>
      <c r="L15" s="368"/>
      <c r="M15" s="341"/>
      <c r="N15" s="137" t="s">
        <v>25</v>
      </c>
      <c r="O15" s="135">
        <f>SUM('案件．要員情報'!O16:U16)</f>
        <v>0.3208333333333333</v>
      </c>
      <c r="P15" s="135">
        <f>SUM('案件．要員情報'!V16:AA16)</f>
        <v>0</v>
      </c>
      <c r="Q15" s="135">
        <f>SUM('案件．要員情報'!AB16:AG16)</f>
        <v>0</v>
      </c>
      <c r="R15" s="135">
        <f>SUM('案件．要員情報'!AH16:AM16)</f>
        <v>0</v>
      </c>
      <c r="S15" s="135">
        <f>SUM('案件．要員情報'!AN16:AS16)</f>
        <v>0</v>
      </c>
      <c r="T15" s="135">
        <f>SUM('案件．要員情報'!AT16:AY16)</f>
        <v>0</v>
      </c>
      <c r="U15" s="135">
        <f>SUM('案件．要員情報'!AZ16:BF16)</f>
        <v>0</v>
      </c>
      <c r="V15" s="135">
        <f>SUM('案件．要員情報'!BG16:BN16)</f>
        <v>0</v>
      </c>
      <c r="W15" s="135">
        <f>SUM('案件．要員情報'!BO16:BV16)</f>
        <v>0</v>
      </c>
      <c r="X15" s="135">
        <f>SUM('案件．要員情報'!BW16:CD16)</f>
        <v>0</v>
      </c>
      <c r="Y15" s="135">
        <f>SUM('案件．要員情報'!CE16:CL16)</f>
        <v>0</v>
      </c>
      <c r="Z15" s="135">
        <f>SUM('案件．要員情報'!CM16:CT16)</f>
        <v>0</v>
      </c>
      <c r="AA15" s="138">
        <f t="shared" si="0"/>
        <v>0.3208333333333333</v>
      </c>
    </row>
    <row r="16" spans="1:32" s="116" customFormat="1" ht="20.100000000000001" customHeight="1" x14ac:dyDescent="0.4">
      <c r="A16" s="350">
        <v>6</v>
      </c>
      <c r="B16" s="350" t="s">
        <v>47</v>
      </c>
      <c r="C16" s="350" t="s">
        <v>14</v>
      </c>
      <c r="D16" s="170" t="s">
        <v>433</v>
      </c>
      <c r="E16" s="170" t="s">
        <v>434</v>
      </c>
      <c r="F16" s="352" t="s">
        <v>435</v>
      </c>
      <c r="G16" s="354" t="s">
        <v>436</v>
      </c>
      <c r="H16" s="365"/>
      <c r="I16" s="365"/>
      <c r="J16" s="365"/>
      <c r="K16" s="367"/>
      <c r="L16" s="367"/>
      <c r="M16" s="170"/>
      <c r="N16" s="136" t="s">
        <v>24</v>
      </c>
      <c r="O16" s="133">
        <f>SUM('案件．要員情報'!O17:U17)</f>
        <v>4.1666666666666671E-2</v>
      </c>
      <c r="P16" s="133">
        <f>SUM('案件．要員情報'!V17:AA17)</f>
        <v>5.6140350877192977E-2</v>
      </c>
      <c r="Q16" s="133">
        <f>SUM('案件．要員情報'!AB17:AG17)</f>
        <v>6.0606060606060608E-2</v>
      </c>
      <c r="R16" s="133">
        <f>SUM('案件．要員情報'!AH17:AM17)</f>
        <v>0</v>
      </c>
      <c r="S16" s="133">
        <f>SUM('案件．要員情報'!AN17:AS17)</f>
        <v>0</v>
      </c>
      <c r="T16" s="133">
        <f>SUM('案件．要員情報'!AT17:AY17)</f>
        <v>0</v>
      </c>
      <c r="U16" s="133">
        <f>SUM('案件．要員情報'!AZ17:BF17)</f>
        <v>0</v>
      </c>
      <c r="V16" s="133">
        <f>SUM('案件．要員情報'!BG17:BN17)</f>
        <v>0</v>
      </c>
      <c r="W16" s="133">
        <f>SUM('案件．要員情報'!BO17:BV17)</f>
        <v>0</v>
      </c>
      <c r="X16" s="133">
        <f>SUM('案件．要員情報'!BW17:CD17)</f>
        <v>0</v>
      </c>
      <c r="Y16" s="133">
        <f>SUM('案件．要員情報'!CE17:CL17)</f>
        <v>0</v>
      </c>
      <c r="Z16" s="133">
        <f>SUM('案件．要員情報'!CM17:CT17)</f>
        <v>0</v>
      </c>
      <c r="AA16" s="180">
        <f t="shared" si="0"/>
        <v>0.15841307814992026</v>
      </c>
    </row>
    <row r="17" spans="1:27" s="116" customFormat="1" ht="20.100000000000001" customHeight="1" x14ac:dyDescent="0.4">
      <c r="A17" s="351"/>
      <c r="B17" s="351"/>
      <c r="C17" s="351"/>
      <c r="D17" s="171"/>
      <c r="E17" s="171"/>
      <c r="F17" s="353"/>
      <c r="G17" s="355"/>
      <c r="H17" s="366"/>
      <c r="I17" s="366"/>
      <c r="J17" s="366"/>
      <c r="K17" s="368"/>
      <c r="L17" s="368"/>
      <c r="M17" s="171"/>
      <c r="N17" s="137" t="s">
        <v>25</v>
      </c>
      <c r="O17" s="135">
        <f>SUM('案件．要員情報'!O18:U18)</f>
        <v>2.5000000000000001E-2</v>
      </c>
      <c r="P17" s="135">
        <f>SUM('案件．要員情報'!V18:AA18)</f>
        <v>3.1578947368421054E-2</v>
      </c>
      <c r="Q17" s="135">
        <f>SUM('案件．要員情報'!AB18:AG18)</f>
        <v>3.6363636363636362E-2</v>
      </c>
      <c r="R17" s="135">
        <f>SUM('案件．要員情報'!AH18:AM18)</f>
        <v>0</v>
      </c>
      <c r="S17" s="135">
        <f>SUM('案件．要員情報'!AN18:AS18)</f>
        <v>0</v>
      </c>
      <c r="T17" s="135">
        <f>SUM('案件．要員情報'!AT18:AY18)</f>
        <v>0</v>
      </c>
      <c r="U17" s="135">
        <f>SUM('案件．要員情報'!AZ18:BF18)</f>
        <v>0</v>
      </c>
      <c r="V17" s="135">
        <f>SUM('案件．要員情報'!BG18:BN18)</f>
        <v>0</v>
      </c>
      <c r="W17" s="135">
        <f>SUM('案件．要員情報'!BO18:BV18)</f>
        <v>0</v>
      </c>
      <c r="X17" s="135">
        <f>SUM('案件．要員情報'!BW18:CD18)</f>
        <v>0</v>
      </c>
      <c r="Y17" s="135">
        <f>SUM('案件．要員情報'!CE18:CL18)</f>
        <v>0</v>
      </c>
      <c r="Z17" s="135">
        <f>SUM('案件．要員情報'!CM18:CT18)</f>
        <v>0</v>
      </c>
      <c r="AA17" s="138">
        <f t="shared" si="0"/>
        <v>9.294258373205741E-2</v>
      </c>
    </row>
    <row r="18" spans="1:27" s="116" customFormat="1" ht="20.100000000000001" customHeight="1" x14ac:dyDescent="0.4">
      <c r="A18" s="350">
        <v>7</v>
      </c>
      <c r="B18" s="350" t="s">
        <v>47</v>
      </c>
      <c r="C18" s="350" t="s">
        <v>343</v>
      </c>
      <c r="D18" s="170" t="s">
        <v>344</v>
      </c>
      <c r="E18" s="170" t="s">
        <v>437</v>
      </c>
      <c r="F18" s="352" t="s">
        <v>438</v>
      </c>
      <c r="G18" s="354" t="s">
        <v>439</v>
      </c>
      <c r="H18" s="365"/>
      <c r="I18" s="365"/>
      <c r="J18" s="365"/>
      <c r="K18" s="367"/>
      <c r="L18" s="367"/>
      <c r="M18" s="340"/>
      <c r="N18" s="136" t="s">
        <v>24</v>
      </c>
      <c r="O18" s="133">
        <f>SUM('案件．要員情報'!O19:U19)</f>
        <v>0.43333333333333335</v>
      </c>
      <c r="P18" s="133">
        <f>SUM('案件．要員情報'!V19:AA19)</f>
        <v>0</v>
      </c>
      <c r="Q18" s="133">
        <f>SUM('案件．要員情報'!AB19:AG19)</f>
        <v>0</v>
      </c>
      <c r="R18" s="133">
        <f>SUM('案件．要員情報'!AH19:AM19)</f>
        <v>0</v>
      </c>
      <c r="S18" s="133">
        <f>SUM('案件．要員情報'!AN19:AS19)</f>
        <v>0</v>
      </c>
      <c r="T18" s="133">
        <f>SUM('案件．要員情報'!AT19:AY19)</f>
        <v>0</v>
      </c>
      <c r="U18" s="133">
        <f>SUM('案件．要員情報'!AZ19:BF19)</f>
        <v>0</v>
      </c>
      <c r="V18" s="133">
        <f>SUM('案件．要員情報'!BG19:BN19)</f>
        <v>0</v>
      </c>
      <c r="W18" s="133">
        <f>SUM('案件．要員情報'!BO19:BV19)</f>
        <v>0</v>
      </c>
      <c r="X18" s="133">
        <f>SUM('案件．要員情報'!BW19:CD19)</f>
        <v>0</v>
      </c>
      <c r="Y18" s="133">
        <f>SUM('案件．要員情報'!CE19:CL19)</f>
        <v>0</v>
      </c>
      <c r="Z18" s="133">
        <f>SUM('案件．要員情報'!CM19:CT19)</f>
        <v>0</v>
      </c>
      <c r="AA18" s="180">
        <f t="shared" si="0"/>
        <v>0.43333333333333335</v>
      </c>
    </row>
    <row r="19" spans="1:27" s="116" customFormat="1" ht="20.100000000000001" customHeight="1" x14ac:dyDescent="0.4">
      <c r="A19" s="351"/>
      <c r="B19" s="351"/>
      <c r="C19" s="351"/>
      <c r="D19" s="171"/>
      <c r="E19" s="171"/>
      <c r="F19" s="353"/>
      <c r="G19" s="355"/>
      <c r="H19" s="366"/>
      <c r="I19" s="366"/>
      <c r="J19" s="366"/>
      <c r="K19" s="368"/>
      <c r="L19" s="368"/>
      <c r="M19" s="341"/>
      <c r="N19" s="137" t="s">
        <v>25</v>
      </c>
      <c r="O19" s="135">
        <f>SUM('案件．要員情報'!O20:U20)</f>
        <v>0.40625</v>
      </c>
      <c r="P19" s="135">
        <f>SUM('案件．要員情報'!V20:AA20)</f>
        <v>0</v>
      </c>
      <c r="Q19" s="135">
        <f>SUM('案件．要員情報'!AB20:AG20)</f>
        <v>0</v>
      </c>
      <c r="R19" s="135">
        <f>SUM('案件．要員情報'!AH20:AM20)</f>
        <v>0</v>
      </c>
      <c r="S19" s="135">
        <f>SUM('案件．要員情報'!AN20:AS20)</f>
        <v>0</v>
      </c>
      <c r="T19" s="135">
        <f>SUM('案件．要員情報'!AT20:AY20)</f>
        <v>0</v>
      </c>
      <c r="U19" s="135">
        <f>SUM('案件．要員情報'!AZ20:BF20)</f>
        <v>0</v>
      </c>
      <c r="V19" s="135">
        <f>SUM('案件．要員情報'!BG20:BN20)</f>
        <v>0</v>
      </c>
      <c r="W19" s="135">
        <f>SUM('案件．要員情報'!BO20:BV20)</f>
        <v>0</v>
      </c>
      <c r="X19" s="135">
        <f>SUM('案件．要員情報'!BW20:CD20)</f>
        <v>0</v>
      </c>
      <c r="Y19" s="135">
        <f>SUM('案件．要員情報'!CE20:CL20)</f>
        <v>0</v>
      </c>
      <c r="Z19" s="135">
        <f>SUM('案件．要員情報'!CM20:CT20)</f>
        <v>0</v>
      </c>
      <c r="AA19" s="138">
        <f t="shared" si="0"/>
        <v>0.40625</v>
      </c>
    </row>
    <row r="20" spans="1:27" s="116" customFormat="1" ht="20.100000000000001" customHeight="1" x14ac:dyDescent="0.4">
      <c r="A20" s="350">
        <v>8</v>
      </c>
      <c r="B20" s="350" t="s">
        <v>47</v>
      </c>
      <c r="C20" s="350" t="s">
        <v>343</v>
      </c>
      <c r="D20" s="352" t="s">
        <v>344</v>
      </c>
      <c r="E20" s="352" t="s">
        <v>440</v>
      </c>
      <c r="F20" s="352" t="s">
        <v>441</v>
      </c>
      <c r="G20" s="354" t="s">
        <v>442</v>
      </c>
      <c r="H20" s="365"/>
      <c r="I20" s="365"/>
      <c r="J20" s="365"/>
      <c r="K20" s="367"/>
      <c r="L20" s="367"/>
      <c r="M20" s="340"/>
      <c r="N20" s="136" t="s">
        <v>24</v>
      </c>
      <c r="O20" s="133">
        <f>SUM('案件．要員情報'!O21:U21)</f>
        <v>0.29166666666666669</v>
      </c>
      <c r="P20" s="133">
        <f>SUM('案件．要員情報'!V21:AA21)</f>
        <v>0</v>
      </c>
      <c r="Q20" s="133">
        <f>SUM('案件．要員情報'!AB21:AG21)</f>
        <v>0</v>
      </c>
      <c r="R20" s="133">
        <f>SUM('案件．要員情報'!AH21:AM21)</f>
        <v>0</v>
      </c>
      <c r="S20" s="133">
        <f>SUM('案件．要員情報'!AN21:AS21)</f>
        <v>0</v>
      </c>
      <c r="T20" s="133">
        <f>SUM('案件．要員情報'!AT21:AY21)</f>
        <v>0</v>
      </c>
      <c r="U20" s="133">
        <f>SUM('案件．要員情報'!AZ21:BF21)</f>
        <v>0</v>
      </c>
      <c r="V20" s="133">
        <f>SUM('案件．要員情報'!BG21:BN21)</f>
        <v>0</v>
      </c>
      <c r="W20" s="133">
        <f>SUM('案件．要員情報'!BO21:BV21)</f>
        <v>0</v>
      </c>
      <c r="X20" s="133">
        <f>SUM('案件．要員情報'!BW21:CD21)</f>
        <v>0</v>
      </c>
      <c r="Y20" s="133">
        <f>SUM('案件．要員情報'!CE21:CL21)</f>
        <v>0</v>
      </c>
      <c r="Z20" s="133">
        <f>SUM('案件．要員情報'!CM21:CT21)</f>
        <v>0</v>
      </c>
      <c r="AA20" s="180">
        <f t="shared" si="0"/>
        <v>0.29166666666666669</v>
      </c>
    </row>
    <row r="21" spans="1:27" s="116" customFormat="1" ht="18.75" customHeight="1" x14ac:dyDescent="0.4">
      <c r="A21" s="351"/>
      <c r="B21" s="351"/>
      <c r="C21" s="351"/>
      <c r="D21" s="353"/>
      <c r="E21" s="353"/>
      <c r="F21" s="353"/>
      <c r="G21" s="355"/>
      <c r="H21" s="366"/>
      <c r="I21" s="366"/>
      <c r="J21" s="366"/>
      <c r="K21" s="368"/>
      <c r="L21" s="368"/>
      <c r="M21" s="341"/>
      <c r="N21" s="137" t="s">
        <v>25</v>
      </c>
      <c r="O21" s="135">
        <f>SUM('案件．要員情報'!O22:U22)</f>
        <v>0.25</v>
      </c>
      <c r="P21" s="135">
        <f>SUM('案件．要員情報'!V22:AA22)</f>
        <v>0</v>
      </c>
      <c r="Q21" s="135">
        <f>SUM('案件．要員情報'!AB22:AG22)</f>
        <v>0</v>
      </c>
      <c r="R21" s="135">
        <f>SUM('案件．要員情報'!AH22:AM22)</f>
        <v>0</v>
      </c>
      <c r="S21" s="135">
        <f>SUM('案件．要員情報'!AN22:AS22)</f>
        <v>0</v>
      </c>
      <c r="T21" s="135">
        <f>SUM('案件．要員情報'!AT22:AY22)</f>
        <v>0</v>
      </c>
      <c r="U21" s="135">
        <f>SUM('案件．要員情報'!AZ22:BF22)</f>
        <v>0</v>
      </c>
      <c r="V21" s="135">
        <f>SUM('案件．要員情報'!BG22:BN22)</f>
        <v>0</v>
      </c>
      <c r="W21" s="135">
        <f>SUM('案件．要員情報'!BO22:BV22)</f>
        <v>0</v>
      </c>
      <c r="X21" s="135">
        <f>SUM('案件．要員情報'!BW22:CD22)</f>
        <v>0</v>
      </c>
      <c r="Y21" s="135">
        <f>SUM('案件．要員情報'!CE22:CL22)</f>
        <v>0</v>
      </c>
      <c r="Z21" s="135">
        <f>SUM('案件．要員情報'!CM22:CT22)</f>
        <v>0</v>
      </c>
      <c r="AA21" s="138">
        <f t="shared" si="0"/>
        <v>0.25</v>
      </c>
    </row>
    <row r="22" spans="1:27" s="116" customFormat="1" ht="18.75" customHeight="1" x14ac:dyDescent="0.4">
      <c r="A22" s="350">
        <v>9</v>
      </c>
      <c r="B22" s="350" t="s">
        <v>47</v>
      </c>
      <c r="C22" s="350" t="s">
        <v>343</v>
      </c>
      <c r="D22" s="352" t="s">
        <v>344</v>
      </c>
      <c r="E22" s="352" t="s">
        <v>465</v>
      </c>
      <c r="F22" s="352"/>
      <c r="G22" s="373" t="s">
        <v>467</v>
      </c>
      <c r="H22" s="365"/>
      <c r="I22" s="365"/>
      <c r="J22" s="365"/>
      <c r="K22" s="367"/>
      <c r="L22" s="367"/>
      <c r="M22" s="340"/>
      <c r="N22" s="136" t="s">
        <v>24</v>
      </c>
      <c r="O22" s="133">
        <f>SUM('案件．要員情報'!O23:U23)</f>
        <v>0.20833333333333331</v>
      </c>
      <c r="P22" s="133">
        <f>SUM('案件．要員情報'!V23:AA23)</f>
        <v>0</v>
      </c>
      <c r="Q22" s="133">
        <f>SUM('案件．要員情報'!AB23:AG23)</f>
        <v>0</v>
      </c>
      <c r="R22" s="133">
        <f>SUM('案件．要員情報'!AH23:AM23)</f>
        <v>0</v>
      </c>
      <c r="S22" s="133">
        <f>SUM('案件．要員情報'!AN23:AS23)</f>
        <v>0</v>
      </c>
      <c r="T22" s="133">
        <f>SUM('案件．要員情報'!AT23:AY23)</f>
        <v>0</v>
      </c>
      <c r="U22" s="133">
        <f>SUM('案件．要員情報'!AZ23:BF23)</f>
        <v>0</v>
      </c>
      <c r="V22" s="133">
        <f>SUM('案件．要員情報'!BG23:BN23)</f>
        <v>0</v>
      </c>
      <c r="W22" s="133">
        <f>SUM('案件．要員情報'!BO23:BV23)</f>
        <v>0</v>
      </c>
      <c r="X22" s="133">
        <f>SUM('案件．要員情報'!BW23:CD23)</f>
        <v>0</v>
      </c>
      <c r="Y22" s="133">
        <f>SUM('案件．要員情報'!CE23:CL23)</f>
        <v>0</v>
      </c>
      <c r="Z22" s="133">
        <f>SUM('案件．要員情報'!CM23:CT23)</f>
        <v>0</v>
      </c>
      <c r="AA22" s="180">
        <f t="shared" si="0"/>
        <v>0.20833333333333331</v>
      </c>
    </row>
    <row r="23" spans="1:27" s="116" customFormat="1" ht="18.75" customHeight="1" x14ac:dyDescent="0.4">
      <c r="A23" s="351"/>
      <c r="B23" s="351"/>
      <c r="C23" s="351"/>
      <c r="D23" s="353"/>
      <c r="E23" s="353"/>
      <c r="F23" s="353"/>
      <c r="G23" s="374"/>
      <c r="H23" s="366"/>
      <c r="I23" s="366"/>
      <c r="J23" s="366"/>
      <c r="K23" s="368"/>
      <c r="L23" s="368"/>
      <c r="M23" s="341"/>
      <c r="N23" s="137" t="s">
        <v>25</v>
      </c>
      <c r="O23" s="135">
        <f>SUM('案件．要員情報'!O24:U24)</f>
        <v>0.19791666666666669</v>
      </c>
      <c r="P23" s="135">
        <f>SUM('案件．要員情報'!V24:AA24)</f>
        <v>0</v>
      </c>
      <c r="Q23" s="135">
        <f>SUM('案件．要員情報'!AB24:AG24)</f>
        <v>0</v>
      </c>
      <c r="R23" s="135">
        <f>SUM('案件．要員情報'!AH24:AM24)</f>
        <v>0</v>
      </c>
      <c r="S23" s="135">
        <f>SUM('案件．要員情報'!AN24:AS24)</f>
        <v>0</v>
      </c>
      <c r="T23" s="135">
        <f>SUM('案件．要員情報'!AT24:AY24)</f>
        <v>0</v>
      </c>
      <c r="U23" s="135">
        <f>SUM('案件．要員情報'!AZ24:BF24)</f>
        <v>0</v>
      </c>
      <c r="V23" s="135">
        <f>SUM('案件．要員情報'!BG24:BN24)</f>
        <v>0</v>
      </c>
      <c r="W23" s="135">
        <f>SUM('案件．要員情報'!BO24:BV24)</f>
        <v>0</v>
      </c>
      <c r="X23" s="135">
        <f>SUM('案件．要員情報'!BW24:CD24)</f>
        <v>0</v>
      </c>
      <c r="Y23" s="135">
        <f>SUM('案件．要員情報'!CE24:CL24)</f>
        <v>0</v>
      </c>
      <c r="Z23" s="135">
        <f>SUM('案件．要員情報'!CM24:CT24)</f>
        <v>0</v>
      </c>
      <c r="AA23" s="138">
        <f t="shared" si="0"/>
        <v>0.19791666666666669</v>
      </c>
    </row>
    <row r="24" spans="1:27" s="116" customFormat="1" ht="18.75" customHeight="1" x14ac:dyDescent="0.4">
      <c r="A24" s="350">
        <v>10</v>
      </c>
      <c r="B24" s="350" t="s">
        <v>47</v>
      </c>
      <c r="C24" s="350" t="s">
        <v>14</v>
      </c>
      <c r="D24" s="352" t="s">
        <v>476</v>
      </c>
      <c r="E24" s="352" t="s">
        <v>473</v>
      </c>
      <c r="F24" s="352" t="s">
        <v>471</v>
      </c>
      <c r="G24" s="375" t="s">
        <v>469</v>
      </c>
      <c r="H24" s="365"/>
      <c r="I24" s="365"/>
      <c r="J24" s="365"/>
      <c r="K24" s="367"/>
      <c r="L24" s="367"/>
      <c r="M24" s="340"/>
      <c r="N24" s="136" t="s">
        <v>24</v>
      </c>
      <c r="O24" s="133">
        <f>SUM('案件．要員情報'!O25:U25)</f>
        <v>0.80833333333333335</v>
      </c>
      <c r="P24" s="133">
        <f>SUM('案件．要員情報'!V25:AA25)</f>
        <v>0.23157894736842105</v>
      </c>
      <c r="Q24" s="133">
        <f>SUM('案件．要員情報'!AB25:AG25)</f>
        <v>0</v>
      </c>
      <c r="R24" s="133">
        <f>SUM('案件．要員情報'!AH25:AM25)</f>
        <v>0</v>
      </c>
      <c r="S24" s="133">
        <f>SUM('案件．要員情報'!AN25:AS25)</f>
        <v>0</v>
      </c>
      <c r="T24" s="133">
        <f>SUM('案件．要員情報'!AT25:AY25)</f>
        <v>0</v>
      </c>
      <c r="U24" s="133">
        <f>SUM('案件．要員情報'!AZ25:BF25)</f>
        <v>0</v>
      </c>
      <c r="V24" s="133">
        <f>SUM('案件．要員情報'!BG25:BN25)</f>
        <v>0</v>
      </c>
      <c r="W24" s="133">
        <f>SUM('案件．要員情報'!BO25:BV25)</f>
        <v>0</v>
      </c>
      <c r="X24" s="133">
        <f>SUM('案件．要員情報'!BW25:CD25)</f>
        <v>0</v>
      </c>
      <c r="Y24" s="133">
        <f>SUM('案件．要員情報'!CE25:CL25)</f>
        <v>0</v>
      </c>
      <c r="Z24" s="133">
        <f>SUM('案件．要員情報'!CM25:CT25)</f>
        <v>0</v>
      </c>
      <c r="AA24" s="180">
        <f t="shared" si="0"/>
        <v>1.0399122807017545</v>
      </c>
    </row>
    <row r="25" spans="1:27" s="116" customFormat="1" ht="18.75" customHeight="1" x14ac:dyDescent="0.4">
      <c r="A25" s="351"/>
      <c r="B25" s="351"/>
      <c r="C25" s="351"/>
      <c r="D25" s="353"/>
      <c r="E25" s="353"/>
      <c r="F25" s="353"/>
      <c r="G25" s="375"/>
      <c r="H25" s="366"/>
      <c r="I25" s="366"/>
      <c r="J25" s="366"/>
      <c r="K25" s="368"/>
      <c r="L25" s="368"/>
      <c r="M25" s="341"/>
      <c r="N25" s="137" t="s">
        <v>25</v>
      </c>
      <c r="O25" s="135">
        <f>SUM('案件．要員情報'!O26:U26)</f>
        <v>0.77500000000000002</v>
      </c>
      <c r="P25" s="135">
        <f>SUM('案件．要員情報'!V26:AA26)</f>
        <v>0.16491228070175437</v>
      </c>
      <c r="Q25" s="135">
        <f>SUM('案件．要員情報'!AB26:AG26)</f>
        <v>0</v>
      </c>
      <c r="R25" s="135">
        <f>SUM('案件．要員情報'!AH26:AM26)</f>
        <v>0</v>
      </c>
      <c r="S25" s="135">
        <f>SUM('案件．要員情報'!AN26:AS26)</f>
        <v>0</v>
      </c>
      <c r="T25" s="135">
        <f>SUM('案件．要員情報'!AT26:AY26)</f>
        <v>0</v>
      </c>
      <c r="U25" s="135">
        <f>SUM('案件．要員情報'!AZ26:BF26)</f>
        <v>0</v>
      </c>
      <c r="V25" s="135">
        <f>SUM('案件．要員情報'!BG26:BN26)</f>
        <v>0</v>
      </c>
      <c r="W25" s="135">
        <f>SUM('案件．要員情報'!BO26:BV26)</f>
        <v>0</v>
      </c>
      <c r="X25" s="135">
        <f>SUM('案件．要員情報'!BW26:CD26)</f>
        <v>0</v>
      </c>
      <c r="Y25" s="135">
        <f>SUM('案件．要員情報'!CE26:CL26)</f>
        <v>0</v>
      </c>
      <c r="Z25" s="135">
        <f>SUM('案件．要員情報'!CM26:CT26)</f>
        <v>0</v>
      </c>
      <c r="AA25" s="284">
        <f t="shared" si="0"/>
        <v>0.93991228070175437</v>
      </c>
    </row>
    <row r="26" spans="1:27" s="116" customFormat="1" ht="18.75" customHeight="1" collapsed="1" x14ac:dyDescent="0.4">
      <c r="A26" s="350">
        <v>11</v>
      </c>
      <c r="B26" s="350" t="s">
        <v>47</v>
      </c>
      <c r="C26" s="350" t="s">
        <v>14</v>
      </c>
      <c r="D26" s="352" t="s">
        <v>475</v>
      </c>
      <c r="E26" s="352" t="s">
        <v>474</v>
      </c>
      <c r="F26" s="352"/>
      <c r="G26" s="375" t="s">
        <v>470</v>
      </c>
      <c r="H26" s="365"/>
      <c r="I26" s="365"/>
      <c r="J26" s="365"/>
      <c r="K26" s="367"/>
      <c r="L26" s="367"/>
      <c r="M26" s="340"/>
      <c r="N26" s="136" t="s">
        <v>24</v>
      </c>
      <c r="O26" s="133">
        <f>SUM('案件．要員情報'!O27:U27)</f>
        <v>0.15000000000000002</v>
      </c>
      <c r="P26" s="133">
        <f>SUM('案件．要員情報'!V27:AA27)</f>
        <v>0</v>
      </c>
      <c r="Q26" s="133">
        <f>SUM('案件．要員情報'!AB27:AG27)</f>
        <v>0</v>
      </c>
      <c r="R26" s="133">
        <f>SUM('案件．要員情報'!AH27:AM27)</f>
        <v>0</v>
      </c>
      <c r="S26" s="133">
        <f>SUM('案件．要員情報'!AN27:AS27)</f>
        <v>0</v>
      </c>
      <c r="T26" s="133">
        <f>SUM('案件．要員情報'!AT27:AY27)</f>
        <v>0</v>
      </c>
      <c r="U26" s="133">
        <f>SUM('案件．要員情報'!AZ27:BF27)</f>
        <v>0</v>
      </c>
      <c r="V26" s="133">
        <f>SUM('案件．要員情報'!BG27:BN27)</f>
        <v>0</v>
      </c>
      <c r="W26" s="133">
        <f>SUM('案件．要員情報'!BO27:BV27)</f>
        <v>0</v>
      </c>
      <c r="X26" s="133">
        <f>SUM('案件．要員情報'!BW27:CD27)</f>
        <v>0</v>
      </c>
      <c r="Y26" s="133">
        <f>SUM('案件．要員情報'!CE27:CL27)</f>
        <v>0</v>
      </c>
      <c r="Z26" s="133">
        <f>SUM('案件．要員情報'!CM27:CT27)</f>
        <v>0</v>
      </c>
      <c r="AA26" s="180">
        <f t="shared" si="0"/>
        <v>0.15000000000000002</v>
      </c>
    </row>
    <row r="27" spans="1:27" s="116" customFormat="1" ht="18.75" customHeight="1" x14ac:dyDescent="0.4">
      <c r="A27" s="351"/>
      <c r="B27" s="351"/>
      <c r="C27" s="351"/>
      <c r="D27" s="353"/>
      <c r="E27" s="353"/>
      <c r="F27" s="353"/>
      <c r="G27" s="375"/>
      <c r="H27" s="366"/>
      <c r="I27" s="366"/>
      <c r="J27" s="366"/>
      <c r="K27" s="368"/>
      <c r="L27" s="368"/>
      <c r="M27" s="341"/>
      <c r="N27" s="137" t="s">
        <v>25</v>
      </c>
      <c r="O27" s="135">
        <f>SUM('案件．要員情報'!O28:U28)</f>
        <v>0.13333333333333333</v>
      </c>
      <c r="P27" s="135">
        <f>SUM('案件．要員情報'!V28:AA28)</f>
        <v>0</v>
      </c>
      <c r="Q27" s="135">
        <f>SUM('案件．要員情報'!AB28:AG28)</f>
        <v>0</v>
      </c>
      <c r="R27" s="135">
        <f>SUM('案件．要員情報'!AH28:AM28)</f>
        <v>0</v>
      </c>
      <c r="S27" s="135">
        <f>SUM('案件．要員情報'!AN28:AS28)</f>
        <v>0</v>
      </c>
      <c r="T27" s="135">
        <f>SUM('案件．要員情報'!AT28:AY28)</f>
        <v>0</v>
      </c>
      <c r="U27" s="135">
        <f>SUM('案件．要員情報'!AZ28:BF28)</f>
        <v>0</v>
      </c>
      <c r="V27" s="135">
        <f>SUM('案件．要員情報'!BG28:BN28)</f>
        <v>0</v>
      </c>
      <c r="W27" s="135">
        <f>SUM('案件．要員情報'!BO28:BV28)</f>
        <v>0</v>
      </c>
      <c r="X27" s="135">
        <f>SUM('案件．要員情報'!BW28:CD28)</f>
        <v>0</v>
      </c>
      <c r="Y27" s="135">
        <f>SUM('案件．要員情報'!CE28:CL28)</f>
        <v>0</v>
      </c>
      <c r="Z27" s="135">
        <f>SUM('案件．要員情報'!CM28:CT28)</f>
        <v>0</v>
      </c>
      <c r="AA27" s="138">
        <f t="shared" si="0"/>
        <v>0.13333333333333333</v>
      </c>
    </row>
    <row r="28" spans="1:27" s="116" customFormat="1" ht="18.75" customHeight="1" x14ac:dyDescent="0.4">
      <c r="A28" s="350">
        <v>12</v>
      </c>
      <c r="B28" s="350" t="s">
        <v>47</v>
      </c>
      <c r="C28" s="350" t="s">
        <v>14</v>
      </c>
      <c r="D28" s="352" t="s">
        <v>475</v>
      </c>
      <c r="E28" s="352" t="s">
        <v>472</v>
      </c>
      <c r="F28" s="352"/>
      <c r="G28" s="375" t="s">
        <v>468</v>
      </c>
      <c r="H28" s="365"/>
      <c r="I28" s="365"/>
      <c r="J28" s="365"/>
      <c r="K28" s="367"/>
      <c r="L28" s="367"/>
      <c r="M28" s="340"/>
      <c r="N28" s="136" t="s">
        <v>24</v>
      </c>
      <c r="O28" s="133">
        <f>SUM('案件．要員情報'!O29:U29)</f>
        <v>6.6666666666666666E-2</v>
      </c>
      <c r="P28" s="133">
        <f>SUM('案件．要員情報'!V29:AA29)</f>
        <v>0</v>
      </c>
      <c r="Q28" s="133">
        <f>SUM('案件．要員情報'!AB29:AG29)</f>
        <v>0</v>
      </c>
      <c r="R28" s="133">
        <f>SUM('案件．要員情報'!AH29:AM29)</f>
        <v>0</v>
      </c>
      <c r="S28" s="133">
        <f>SUM('案件．要員情報'!AN29:AS29)</f>
        <v>0</v>
      </c>
      <c r="T28" s="133">
        <f>SUM('案件．要員情報'!AT29:AY29)</f>
        <v>0</v>
      </c>
      <c r="U28" s="133">
        <f>SUM('案件．要員情報'!AZ29:BF29)</f>
        <v>0</v>
      </c>
      <c r="V28" s="133">
        <f>SUM('案件．要員情報'!BG29:BN29)</f>
        <v>0</v>
      </c>
      <c r="W28" s="133">
        <f>SUM('案件．要員情報'!BO29:BV29)</f>
        <v>0</v>
      </c>
      <c r="X28" s="133">
        <f>SUM('案件．要員情報'!BW29:CD29)</f>
        <v>0</v>
      </c>
      <c r="Y28" s="133">
        <f>SUM('案件．要員情報'!CE29:CL29)</f>
        <v>0</v>
      </c>
      <c r="Z28" s="133">
        <f>SUM('案件．要員情報'!CM29:CT29)</f>
        <v>0</v>
      </c>
      <c r="AA28" s="180">
        <f t="shared" si="0"/>
        <v>6.6666666666666666E-2</v>
      </c>
    </row>
    <row r="29" spans="1:27" s="116" customFormat="1" ht="18.75" customHeight="1" x14ac:dyDescent="0.4">
      <c r="A29" s="351"/>
      <c r="B29" s="351"/>
      <c r="C29" s="351"/>
      <c r="D29" s="353"/>
      <c r="E29" s="353"/>
      <c r="F29" s="353"/>
      <c r="G29" s="375"/>
      <c r="H29" s="366"/>
      <c r="I29" s="366"/>
      <c r="J29" s="366"/>
      <c r="K29" s="368"/>
      <c r="L29" s="368"/>
      <c r="M29" s="341"/>
      <c r="N29" s="137" t="s">
        <v>25</v>
      </c>
      <c r="O29" s="135">
        <f>SUM('案件．要員情報'!O30:U30)</f>
        <v>5.4166666666666669E-2</v>
      </c>
      <c r="P29" s="135">
        <f>SUM('案件．要員情報'!V30:AA30)</f>
        <v>0</v>
      </c>
      <c r="Q29" s="135">
        <f>SUM('案件．要員情報'!AB30:AG30)</f>
        <v>0</v>
      </c>
      <c r="R29" s="135">
        <f>SUM('案件．要員情報'!AH30:AM30)</f>
        <v>0</v>
      </c>
      <c r="S29" s="135">
        <f>SUM('案件．要員情報'!AN30:AS30)</f>
        <v>0</v>
      </c>
      <c r="T29" s="135">
        <f>SUM('案件．要員情報'!AT30:AY30)</f>
        <v>0</v>
      </c>
      <c r="U29" s="135">
        <f>SUM('案件．要員情報'!AZ30:BF30)</f>
        <v>0</v>
      </c>
      <c r="V29" s="135">
        <f>SUM('案件．要員情報'!BG30:BN30)</f>
        <v>0</v>
      </c>
      <c r="W29" s="135">
        <f>SUM('案件．要員情報'!BO30:BV30)</f>
        <v>0</v>
      </c>
      <c r="X29" s="135">
        <f>SUM('案件．要員情報'!BW30:CD30)</f>
        <v>0</v>
      </c>
      <c r="Y29" s="135">
        <f>SUM('案件．要員情報'!CE30:CL30)</f>
        <v>0</v>
      </c>
      <c r="Z29" s="135">
        <f>SUM('案件．要員情報'!CM30:CT30)</f>
        <v>0</v>
      </c>
      <c r="AA29" s="138">
        <f t="shared" si="0"/>
        <v>5.4166666666666669E-2</v>
      </c>
    </row>
    <row r="30" spans="1:27" s="116" customFormat="1" ht="18.75" customHeight="1" x14ac:dyDescent="0.4">
      <c r="A30" s="348">
        <v>13</v>
      </c>
      <c r="B30" s="350" t="s">
        <v>47</v>
      </c>
      <c r="C30" s="350" t="s">
        <v>343</v>
      </c>
      <c r="D30" s="352" t="s">
        <v>344</v>
      </c>
      <c r="E30" s="352" t="s">
        <v>500</v>
      </c>
      <c r="F30" s="352" t="s">
        <v>508</v>
      </c>
      <c r="G30" s="385" t="s">
        <v>501</v>
      </c>
      <c r="H30" s="365"/>
      <c r="I30" s="365"/>
      <c r="J30" s="365"/>
      <c r="K30" s="367"/>
      <c r="L30" s="367"/>
      <c r="M30" s="340"/>
      <c r="N30" s="136" t="s">
        <v>24</v>
      </c>
      <c r="O30" s="133">
        <f>SUM('案件．要員情報'!O31:U31)</f>
        <v>0.61666666666666659</v>
      </c>
      <c r="P30" s="133">
        <f>SUM('案件．要員情報'!V31:AA31)</f>
        <v>0</v>
      </c>
      <c r="Q30" s="133">
        <f>SUM('案件．要員情報'!AB31:AG31)</f>
        <v>0</v>
      </c>
      <c r="R30" s="133">
        <f>SUM('案件．要員情報'!AH31:AM31)</f>
        <v>0</v>
      </c>
      <c r="S30" s="133">
        <f>SUM('案件．要員情報'!AN31:AS31)</f>
        <v>0</v>
      </c>
      <c r="T30" s="133">
        <f>SUM('案件．要員情報'!AT31:AY31)</f>
        <v>0</v>
      </c>
      <c r="U30" s="133">
        <f>SUM('案件．要員情報'!AZ31:BF31)</f>
        <v>0</v>
      </c>
      <c r="V30" s="133">
        <f>SUM('案件．要員情報'!BG31:BN31)</f>
        <v>0</v>
      </c>
      <c r="W30" s="133">
        <f>SUM('案件．要員情報'!BO31:BV31)</f>
        <v>0</v>
      </c>
      <c r="X30" s="133">
        <f>SUM('案件．要員情報'!BW31:CD31)</f>
        <v>0</v>
      </c>
      <c r="Y30" s="133">
        <f>SUM('案件．要員情報'!CE31:CL31)</f>
        <v>0</v>
      </c>
      <c r="Z30" s="133">
        <f>SUM('案件．要員情報'!CM31:CT31)</f>
        <v>0</v>
      </c>
      <c r="AA30" s="180">
        <f t="shared" si="0"/>
        <v>0.61666666666666659</v>
      </c>
    </row>
    <row r="31" spans="1:27" s="116" customFormat="1" ht="18.75" customHeight="1" x14ac:dyDescent="0.4">
      <c r="A31" s="349"/>
      <c r="B31" s="351"/>
      <c r="C31" s="351"/>
      <c r="D31" s="353"/>
      <c r="E31" s="353"/>
      <c r="F31" s="353"/>
      <c r="G31" s="385"/>
      <c r="H31" s="366"/>
      <c r="I31" s="366"/>
      <c r="J31" s="366"/>
      <c r="K31" s="368"/>
      <c r="L31" s="368"/>
      <c r="M31" s="341"/>
      <c r="N31" s="137" t="s">
        <v>25</v>
      </c>
      <c r="O31" s="135">
        <f>SUM('案件．要員情報'!O32:U32)</f>
        <v>0.5854166666666667</v>
      </c>
      <c r="P31" s="135">
        <f>SUM('案件．要員情報'!V32:AA32)</f>
        <v>0</v>
      </c>
      <c r="Q31" s="135">
        <f>SUM('案件．要員情報'!AB32:AG32)</f>
        <v>0</v>
      </c>
      <c r="R31" s="135">
        <f>SUM('案件．要員情報'!AH32:AM32)</f>
        <v>0</v>
      </c>
      <c r="S31" s="135">
        <f>SUM('案件．要員情報'!AN32:AS32)</f>
        <v>0</v>
      </c>
      <c r="T31" s="135">
        <f>SUM('案件．要員情報'!AT32:AY32)</f>
        <v>0</v>
      </c>
      <c r="U31" s="135">
        <f>SUM('案件．要員情報'!AZ32:BF32)</f>
        <v>0</v>
      </c>
      <c r="V31" s="135">
        <f>SUM('案件．要員情報'!BG32:BN32)</f>
        <v>0</v>
      </c>
      <c r="W31" s="135">
        <f>SUM('案件．要員情報'!BO32:BV32)</f>
        <v>0</v>
      </c>
      <c r="X31" s="135">
        <f>SUM('案件．要員情報'!BW32:CD32)</f>
        <v>0</v>
      </c>
      <c r="Y31" s="135">
        <f>SUM('案件．要員情報'!CE32:CL32)</f>
        <v>0</v>
      </c>
      <c r="Z31" s="135">
        <f>SUM('案件．要員情報'!CM32:CT32)</f>
        <v>0</v>
      </c>
      <c r="AA31" s="138">
        <f t="shared" si="0"/>
        <v>0.5854166666666667</v>
      </c>
    </row>
    <row r="32" spans="1:27" s="116" customFormat="1" ht="18.75" customHeight="1" collapsed="1" x14ac:dyDescent="0.4">
      <c r="A32" s="348">
        <v>14</v>
      </c>
      <c r="B32" s="350" t="s">
        <v>47</v>
      </c>
      <c r="C32" s="350" t="s">
        <v>14</v>
      </c>
      <c r="D32" s="352" t="s">
        <v>427</v>
      </c>
      <c r="E32" s="352" t="s">
        <v>503</v>
      </c>
      <c r="F32" s="352" t="s">
        <v>423</v>
      </c>
      <c r="G32" s="375" t="s">
        <v>502</v>
      </c>
      <c r="H32" s="365"/>
      <c r="I32" s="365"/>
      <c r="J32" s="365"/>
      <c r="K32" s="367"/>
      <c r="L32" s="367"/>
      <c r="M32" s="340"/>
      <c r="N32" s="136" t="s">
        <v>24</v>
      </c>
      <c r="O32" s="133">
        <f>SUM('案件．要員情報'!O33:U33)</f>
        <v>0.35</v>
      </c>
      <c r="P32" s="133">
        <f>SUM('案件．要員情報'!V33:AA33)</f>
        <v>0.63157894736842102</v>
      </c>
      <c r="Q32" s="133">
        <f>SUM('案件．要員情報'!AB33:AG33)</f>
        <v>6.0606060606060608E-2</v>
      </c>
      <c r="R32" s="133">
        <f>SUM('案件．要員情報'!AH33:AM33)</f>
        <v>0</v>
      </c>
      <c r="S32" s="133">
        <f>SUM('案件．要員情報'!AN33:AS33)</f>
        <v>3.8095238095238099E-2</v>
      </c>
      <c r="T32" s="133">
        <f>SUM('案件．要員情報'!AT33:AY33)</f>
        <v>0</v>
      </c>
      <c r="U32" s="133">
        <f>SUM('案件．要員情報'!AZ33:BF33)</f>
        <v>0</v>
      </c>
      <c r="V32" s="133">
        <f>SUM('案件．要員情報'!BG33:BN33)</f>
        <v>0</v>
      </c>
      <c r="W32" s="133">
        <f>SUM('案件．要員情報'!BO33:BV33)</f>
        <v>0</v>
      </c>
      <c r="X32" s="133">
        <f>SUM('案件．要員情報'!BW33:CD33)</f>
        <v>0</v>
      </c>
      <c r="Y32" s="133">
        <f>SUM('案件．要員情報'!CE33:CL33)</f>
        <v>0</v>
      </c>
      <c r="Z32" s="133">
        <f>SUM('案件．要員情報'!CM33:CT33)</f>
        <v>0</v>
      </c>
      <c r="AA32" s="180">
        <f t="shared" si="0"/>
        <v>1.0802802460697198</v>
      </c>
    </row>
    <row r="33" spans="1:27" s="116" customFormat="1" ht="18.75" customHeight="1" x14ac:dyDescent="0.4">
      <c r="A33" s="349"/>
      <c r="B33" s="351"/>
      <c r="C33" s="351"/>
      <c r="D33" s="353"/>
      <c r="E33" s="353"/>
      <c r="F33" s="353"/>
      <c r="G33" s="375"/>
      <c r="H33" s="366"/>
      <c r="I33" s="366"/>
      <c r="J33" s="366"/>
      <c r="K33" s="368"/>
      <c r="L33" s="368"/>
      <c r="M33" s="341"/>
      <c r="N33" s="137" t="s">
        <v>25</v>
      </c>
      <c r="O33" s="135">
        <f>SUM('案件．要員情報'!O34:U34)</f>
        <v>0.31666666666666665</v>
      </c>
      <c r="P33" s="135">
        <f>SUM('案件．要員情報'!V34:AA34)</f>
        <v>0.6210526315789473</v>
      </c>
      <c r="Q33" s="135">
        <f>SUM('案件．要員情報'!AB34:AG34)</f>
        <v>3.6363636363636362E-2</v>
      </c>
      <c r="R33" s="135">
        <f>SUM('案件．要員情報'!AH34:AM34)</f>
        <v>0</v>
      </c>
      <c r="S33" s="135">
        <f>SUM('案件．要員情報'!AN34:AS34)</f>
        <v>3.3333333333333333E-2</v>
      </c>
      <c r="T33" s="135">
        <f>SUM('案件．要員情報'!AT34:AY34)</f>
        <v>0</v>
      </c>
      <c r="U33" s="135">
        <f>SUM('案件．要員情報'!AZ34:BF34)</f>
        <v>0</v>
      </c>
      <c r="V33" s="135">
        <f>SUM('案件．要員情報'!BG34:BN34)</f>
        <v>0</v>
      </c>
      <c r="W33" s="135">
        <f>SUM('案件．要員情報'!BO34:BV34)</f>
        <v>0</v>
      </c>
      <c r="X33" s="135">
        <f>SUM('案件．要員情報'!BW34:CD34)</f>
        <v>0</v>
      </c>
      <c r="Y33" s="135">
        <f>SUM('案件．要員情報'!CE34:CL34)</f>
        <v>0</v>
      </c>
      <c r="Z33" s="135">
        <f>SUM('案件．要員情報'!CM34:CT34)</f>
        <v>0</v>
      </c>
      <c r="AA33" s="138">
        <f t="shared" si="0"/>
        <v>1.0074162679425838</v>
      </c>
    </row>
    <row r="34" spans="1:27" s="116" customFormat="1" ht="18.75" customHeight="1" x14ac:dyDescent="0.4">
      <c r="A34" s="348">
        <v>15</v>
      </c>
      <c r="B34" s="350" t="s">
        <v>47</v>
      </c>
      <c r="C34" s="350" t="s">
        <v>14</v>
      </c>
      <c r="D34" s="352" t="s">
        <v>507</v>
      </c>
      <c r="E34" s="352" t="s">
        <v>505</v>
      </c>
      <c r="F34" s="352"/>
      <c r="G34" s="354" t="s">
        <v>506</v>
      </c>
      <c r="H34" s="365"/>
      <c r="I34" s="365"/>
      <c r="J34" s="365"/>
      <c r="K34" s="367"/>
      <c r="L34" s="367"/>
      <c r="M34" s="340"/>
      <c r="N34" s="136" t="s">
        <v>24</v>
      </c>
      <c r="O34" s="133">
        <f>SUM('案件．要員情報'!O35:U35)</f>
        <v>1.2500000000000001E-2</v>
      </c>
      <c r="P34" s="133">
        <f>SUM('案件．要員情報'!V35:AA35)</f>
        <v>0</v>
      </c>
      <c r="Q34" s="133">
        <f>SUM('案件．要員情報'!AB35:AG35)</f>
        <v>0</v>
      </c>
      <c r="R34" s="133">
        <f>SUM('案件．要員情報'!AH35:AM35)</f>
        <v>0</v>
      </c>
      <c r="S34" s="133">
        <f>SUM('案件．要員情報'!AN35:AS35)</f>
        <v>0</v>
      </c>
      <c r="T34" s="133">
        <f>SUM('案件．要員情報'!AT35:AY35)</f>
        <v>0</v>
      </c>
      <c r="U34" s="133">
        <f>SUM('案件．要員情報'!AZ35:BF35)</f>
        <v>0</v>
      </c>
      <c r="V34" s="133">
        <f>SUM('案件．要員情報'!BG35:BN35)</f>
        <v>0</v>
      </c>
      <c r="W34" s="133">
        <f>SUM('案件．要員情報'!BO35:BV35)</f>
        <v>0</v>
      </c>
      <c r="X34" s="133">
        <f>SUM('案件．要員情報'!BW35:CD35)</f>
        <v>0</v>
      </c>
      <c r="Y34" s="133">
        <f>SUM('案件．要員情報'!CE35:CL35)</f>
        <v>0</v>
      </c>
      <c r="Z34" s="133">
        <f>SUM('案件．要員情報'!CM35:CT35)</f>
        <v>0</v>
      </c>
      <c r="AA34" s="180">
        <f t="shared" si="0"/>
        <v>1.2500000000000001E-2</v>
      </c>
    </row>
    <row r="35" spans="1:27" s="116" customFormat="1" ht="20.100000000000001" customHeight="1" x14ac:dyDescent="0.4">
      <c r="A35" s="349"/>
      <c r="B35" s="351"/>
      <c r="C35" s="351"/>
      <c r="D35" s="353"/>
      <c r="E35" s="353"/>
      <c r="F35" s="353"/>
      <c r="G35" s="355"/>
      <c r="H35" s="366"/>
      <c r="I35" s="366"/>
      <c r="J35" s="366"/>
      <c r="K35" s="368"/>
      <c r="L35" s="368"/>
      <c r="M35" s="341"/>
      <c r="N35" s="137" t="s">
        <v>25</v>
      </c>
      <c r="O35" s="135">
        <f>SUM('案件．要員情報'!O36:U36)</f>
        <v>4.1666666666666666E-3</v>
      </c>
      <c r="P35" s="135">
        <f>SUM('案件．要員情報'!V36:AA36)</f>
        <v>0</v>
      </c>
      <c r="Q35" s="135">
        <f>SUM('案件．要員情報'!AB36:AG36)</f>
        <v>0</v>
      </c>
      <c r="R35" s="135">
        <f>SUM('案件．要員情報'!AH36:AM36)</f>
        <v>0</v>
      </c>
      <c r="S35" s="135">
        <f>SUM('案件．要員情報'!AN36:AS36)</f>
        <v>0</v>
      </c>
      <c r="T35" s="135">
        <f>SUM('案件．要員情報'!AT36:AY36)</f>
        <v>0</v>
      </c>
      <c r="U35" s="135">
        <f>SUM('案件．要員情報'!AZ36:BF36)</f>
        <v>0</v>
      </c>
      <c r="V35" s="135">
        <f>SUM('案件．要員情報'!BG36:BN36)</f>
        <v>0</v>
      </c>
      <c r="W35" s="135">
        <f>SUM('案件．要員情報'!BO36:BV36)</f>
        <v>0</v>
      </c>
      <c r="X35" s="135">
        <f>SUM('案件．要員情報'!BW36:CD36)</f>
        <v>0</v>
      </c>
      <c r="Y35" s="135">
        <f>SUM('案件．要員情報'!CE36:CL36)</f>
        <v>0</v>
      </c>
      <c r="Z35" s="135">
        <f>SUM('案件．要員情報'!CM36:CT36)</f>
        <v>0</v>
      </c>
      <c r="AA35" s="138">
        <f t="shared" si="0"/>
        <v>4.1666666666666666E-3</v>
      </c>
    </row>
    <row r="36" spans="1:27" s="116" customFormat="1" ht="20.100000000000001" customHeight="1" x14ac:dyDescent="0.4">
      <c r="A36" s="348">
        <v>16</v>
      </c>
      <c r="B36" s="350" t="s">
        <v>47</v>
      </c>
      <c r="C36" s="350" t="s">
        <v>14</v>
      </c>
      <c r="D36" s="352" t="s">
        <v>507</v>
      </c>
      <c r="E36" s="352" t="s">
        <v>527</v>
      </c>
      <c r="F36" s="352" t="s">
        <v>528</v>
      </c>
      <c r="G36" s="375" t="s">
        <v>526</v>
      </c>
      <c r="H36" s="365"/>
      <c r="I36" s="365"/>
      <c r="J36" s="365"/>
      <c r="K36" s="367"/>
      <c r="L36" s="367"/>
      <c r="M36" s="340"/>
      <c r="N36" s="136" t="s">
        <v>24</v>
      </c>
      <c r="O36" s="133">
        <f>SUM('案件．要員情報'!O37:U37)</f>
        <v>0</v>
      </c>
      <c r="P36" s="133">
        <f>SUM('案件．要員情報'!V37:AA37)</f>
        <v>1.3543859649122807</v>
      </c>
      <c r="Q36" s="133">
        <f>SUM('案件．要員情報'!AB37:AG37)</f>
        <v>0.75151515151515147</v>
      </c>
      <c r="R36" s="133">
        <f>SUM('案件．要員情報'!AH37:AM37)</f>
        <v>0</v>
      </c>
      <c r="S36" s="133">
        <f>SUM('案件．要員情報'!AN37:AS37)</f>
        <v>0</v>
      </c>
      <c r="T36" s="133">
        <f>SUM('案件．要員情報'!AT37:AY37)</f>
        <v>0</v>
      </c>
      <c r="U36" s="133">
        <f>SUM('案件．要員情報'!AZ37:BF37)</f>
        <v>0</v>
      </c>
      <c r="V36" s="133">
        <f>SUM('案件．要員情報'!BG37:BN37)</f>
        <v>0</v>
      </c>
      <c r="W36" s="133">
        <f>SUM('案件．要員情報'!BO37:BV37)</f>
        <v>0</v>
      </c>
      <c r="X36" s="133">
        <f>SUM('案件．要員情報'!BW37:CD37)</f>
        <v>0</v>
      </c>
      <c r="Y36" s="133">
        <f>SUM('案件．要員情報'!CE37:CL37)</f>
        <v>0</v>
      </c>
      <c r="Z36" s="133">
        <f>SUM('案件．要員情報'!CM37:CT37)</f>
        <v>0</v>
      </c>
      <c r="AA36" s="180">
        <f t="shared" si="0"/>
        <v>2.1059011164274324</v>
      </c>
    </row>
    <row r="37" spans="1:27" s="116" customFormat="1" ht="20.100000000000001" customHeight="1" x14ac:dyDescent="0.4">
      <c r="A37" s="349"/>
      <c r="B37" s="351"/>
      <c r="C37" s="351"/>
      <c r="D37" s="353"/>
      <c r="E37" s="353"/>
      <c r="F37" s="353"/>
      <c r="G37" s="375"/>
      <c r="H37" s="366"/>
      <c r="I37" s="366"/>
      <c r="J37" s="366"/>
      <c r="K37" s="368"/>
      <c r="L37" s="368"/>
      <c r="M37" s="341"/>
      <c r="N37" s="137" t="s">
        <v>25</v>
      </c>
      <c r="O37" s="135">
        <f>SUM('案件．要員情報'!O38:U38)</f>
        <v>0</v>
      </c>
      <c r="P37" s="135">
        <f>SUM('案件．要員情報'!V38:AA38)</f>
        <v>1.2982456140350878</v>
      </c>
      <c r="Q37" s="135">
        <f>SUM('案件．要員情報'!AB38:AG38)</f>
        <v>0.70606060606060606</v>
      </c>
      <c r="R37" s="135">
        <f>SUM('案件．要員情報'!AH38:AM38)</f>
        <v>0</v>
      </c>
      <c r="S37" s="135">
        <f>SUM('案件．要員情報'!AN38:AS38)</f>
        <v>0</v>
      </c>
      <c r="T37" s="135">
        <f>SUM('案件．要員情報'!AT38:AY38)</f>
        <v>0</v>
      </c>
      <c r="U37" s="135">
        <f>SUM('案件．要員情報'!AZ38:BF38)</f>
        <v>0</v>
      </c>
      <c r="V37" s="135">
        <f>SUM('案件．要員情報'!BG38:BN38)</f>
        <v>0</v>
      </c>
      <c r="W37" s="135">
        <f>SUM('案件．要員情報'!BO38:BV38)</f>
        <v>0</v>
      </c>
      <c r="X37" s="135">
        <f>SUM('案件．要員情報'!BW38:CD38)</f>
        <v>0</v>
      </c>
      <c r="Y37" s="135">
        <f>SUM('案件．要員情報'!CE38:CL38)</f>
        <v>0</v>
      </c>
      <c r="Z37" s="135">
        <f>SUM('案件．要員情報'!CM38:CT38)</f>
        <v>0</v>
      </c>
      <c r="AA37" s="284">
        <f t="shared" si="0"/>
        <v>2.0043062200956938</v>
      </c>
    </row>
    <row r="38" spans="1:27" s="116" customFormat="1" ht="20.100000000000001" customHeight="1" x14ac:dyDescent="0.4">
      <c r="A38" s="348">
        <v>17</v>
      </c>
      <c r="B38" s="350" t="s">
        <v>47</v>
      </c>
      <c r="C38" s="350" t="s">
        <v>14</v>
      </c>
      <c r="D38" s="352" t="s">
        <v>424</v>
      </c>
      <c r="E38" s="352" t="s">
        <v>530</v>
      </c>
      <c r="F38" s="352" t="s">
        <v>423</v>
      </c>
      <c r="G38" s="375" t="s">
        <v>529</v>
      </c>
      <c r="H38" s="365"/>
      <c r="I38" s="365"/>
      <c r="J38" s="365"/>
      <c r="K38" s="367"/>
      <c r="L38" s="367"/>
      <c r="M38" s="340"/>
      <c r="N38" s="136" t="s">
        <v>24</v>
      </c>
      <c r="O38" s="133">
        <f>SUM('案件．要員情報'!O39:U39)</f>
        <v>0</v>
      </c>
      <c r="P38" s="133">
        <f>SUM('案件．要員情報'!V39:AA39)</f>
        <v>0.50526315789473686</v>
      </c>
      <c r="Q38" s="133">
        <f>SUM('案件．要員情報'!AB39:AG39)</f>
        <v>0.40606060606060607</v>
      </c>
      <c r="R38" s="133">
        <f>SUM('案件．要員情報'!AH39:AM39)</f>
        <v>0.42424242424242425</v>
      </c>
      <c r="S38" s="133">
        <f>SUM('案件．要員情報'!AN39:AS39)</f>
        <v>6.3492063492063492E-3</v>
      </c>
      <c r="T38" s="133">
        <f>SUM('案件．要員情報'!AT39:AY39)</f>
        <v>0.1393939393939394</v>
      </c>
      <c r="U38" s="133">
        <f>SUM('案件．要員情報'!AZ39:BF39)</f>
        <v>0</v>
      </c>
      <c r="V38" s="133">
        <f>SUM('案件．要員情報'!BG39:BN39)</f>
        <v>0</v>
      </c>
      <c r="W38" s="133">
        <f>SUM('案件．要員情報'!BO39:BV39)</f>
        <v>0</v>
      </c>
      <c r="X38" s="133">
        <f>SUM('案件．要員情報'!BW39:CD39)</f>
        <v>0</v>
      </c>
      <c r="Y38" s="133">
        <f>SUM('案件．要員情報'!CE39:CL39)</f>
        <v>0</v>
      </c>
      <c r="Z38" s="133">
        <f>SUM('案件．要員情報'!CM39:CT39)</f>
        <v>0</v>
      </c>
      <c r="AA38" s="180">
        <f t="shared" ref="AA38:AA51" si="1">SUM(O38:Z38)</f>
        <v>1.4813093339409129</v>
      </c>
    </row>
    <row r="39" spans="1:27" s="116" customFormat="1" ht="20.100000000000001" customHeight="1" x14ac:dyDescent="0.4">
      <c r="A39" s="349"/>
      <c r="B39" s="351"/>
      <c r="C39" s="351"/>
      <c r="D39" s="353"/>
      <c r="E39" s="353"/>
      <c r="F39" s="353"/>
      <c r="G39" s="375"/>
      <c r="H39" s="366"/>
      <c r="I39" s="366"/>
      <c r="J39" s="366"/>
      <c r="K39" s="368"/>
      <c r="L39" s="368"/>
      <c r="M39" s="341"/>
      <c r="N39" s="137" t="s">
        <v>25</v>
      </c>
      <c r="O39" s="135">
        <f>SUM('案件．要員情報'!O40:U40)</f>
        <v>0</v>
      </c>
      <c r="P39" s="135">
        <f>SUM('案件．要員情報'!V40:AA40)</f>
        <v>0.44912280701754387</v>
      </c>
      <c r="Q39" s="135">
        <f>SUM('案件．要員情報'!AB40:AG40)</f>
        <v>0.30606060606060609</v>
      </c>
      <c r="R39" s="135">
        <f>SUM('案件．要員情報'!AH40:AM40)</f>
        <v>0.40454545454545454</v>
      </c>
      <c r="S39" s="135">
        <f>SUM('案件．要員情報'!AN40:AS40)</f>
        <v>3.1746031746031746E-3</v>
      </c>
      <c r="T39" s="135">
        <f>SUM('案件．要員情報'!AT40:AY40)</f>
        <v>0.12121212121212122</v>
      </c>
      <c r="U39" s="135">
        <f>SUM('案件．要員情報'!AZ40:BF40)</f>
        <v>0</v>
      </c>
      <c r="V39" s="135">
        <f>SUM('案件．要員情報'!BG40:BN40)</f>
        <v>0</v>
      </c>
      <c r="W39" s="135">
        <f>SUM('案件．要員情報'!BO40:BV40)</f>
        <v>0</v>
      </c>
      <c r="X39" s="135">
        <f>SUM('案件．要員情報'!BW40:CD40)</f>
        <v>0</v>
      </c>
      <c r="Y39" s="135">
        <f>SUM('案件．要員情報'!CE40:CL40)</f>
        <v>0</v>
      </c>
      <c r="Z39" s="135">
        <f>SUM('案件．要員情報'!CM40:CT40)</f>
        <v>0</v>
      </c>
      <c r="AA39" s="284">
        <f t="shared" si="1"/>
        <v>1.2841155920103287</v>
      </c>
    </row>
    <row r="40" spans="1:27" s="116" customFormat="1" ht="20.100000000000001" customHeight="1" collapsed="1" x14ac:dyDescent="0.4">
      <c r="A40" s="348">
        <v>18</v>
      </c>
      <c r="B40" s="350" t="s">
        <v>46</v>
      </c>
      <c r="C40" s="350" t="s">
        <v>14</v>
      </c>
      <c r="D40" s="352" t="s">
        <v>544</v>
      </c>
      <c r="E40" s="352" t="s">
        <v>542</v>
      </c>
      <c r="F40" s="352"/>
      <c r="G40" s="375" t="s">
        <v>545</v>
      </c>
      <c r="H40" s="365"/>
      <c r="I40" s="365"/>
      <c r="J40" s="365"/>
      <c r="K40" s="367"/>
      <c r="L40" s="367"/>
      <c r="M40" s="340"/>
      <c r="N40" s="136" t="s">
        <v>24</v>
      </c>
      <c r="O40" s="133">
        <f>SUM('案件．要員情報'!O41:U41)</f>
        <v>0</v>
      </c>
      <c r="P40" s="133">
        <f>SUM('案件．要員情報'!V41:AA41)</f>
        <v>0.5473684210526315</v>
      </c>
      <c r="Q40" s="133">
        <f>SUM('案件．要員情報'!AB41:AG41)</f>
        <v>1.6484848484848484</v>
      </c>
      <c r="R40" s="133">
        <f>SUM('案件．要員情報'!AH41:AM41)</f>
        <v>1.3757575757575757</v>
      </c>
      <c r="S40" s="133">
        <f>SUM('案件．要員情報'!AN41:AS41)</f>
        <v>1.7523809523809524</v>
      </c>
      <c r="T40" s="133">
        <f>SUM('案件．要員情報'!AT41:AY41)</f>
        <v>1.0606060606060606</v>
      </c>
      <c r="U40" s="133">
        <f>SUM('案件．要員情報'!AZ41:BF41)</f>
        <v>0.18</v>
      </c>
      <c r="V40" s="133">
        <f>SUM('案件．要員情報'!BG41:BN41)</f>
        <v>0</v>
      </c>
      <c r="W40" s="133">
        <f>SUM('案件．要員情報'!BO41:BV41)</f>
        <v>0</v>
      </c>
      <c r="X40" s="133">
        <f>SUM('案件．要員情報'!BW41:CD41)</f>
        <v>0</v>
      </c>
      <c r="Y40" s="133">
        <f>SUM('案件．要員情報'!CE41:CL41)</f>
        <v>0</v>
      </c>
      <c r="Z40" s="133">
        <f>SUM('案件．要員情報'!CM41:CT41)</f>
        <v>0</v>
      </c>
      <c r="AA40" s="180">
        <f t="shared" si="1"/>
        <v>6.5645978582820685</v>
      </c>
    </row>
    <row r="41" spans="1:27" s="116" customFormat="1" ht="20.100000000000001" customHeight="1" x14ac:dyDescent="0.4">
      <c r="A41" s="349"/>
      <c r="B41" s="351"/>
      <c r="C41" s="351"/>
      <c r="D41" s="353"/>
      <c r="E41" s="353"/>
      <c r="F41" s="353"/>
      <c r="G41" s="375"/>
      <c r="H41" s="366"/>
      <c r="I41" s="366"/>
      <c r="J41" s="366"/>
      <c r="K41" s="368"/>
      <c r="L41" s="368"/>
      <c r="M41" s="341"/>
      <c r="N41" s="137" t="s">
        <v>25</v>
      </c>
      <c r="O41" s="135">
        <f>SUM('案件．要員情報'!O42:U42)</f>
        <v>0</v>
      </c>
      <c r="P41" s="135">
        <f>SUM('案件．要員情報'!V42:AA42)</f>
        <v>0.45614035087719296</v>
      </c>
      <c r="Q41" s="135">
        <f>SUM('案件．要員情報'!AB42:AG42)</f>
        <v>1.6181818181818182</v>
      </c>
      <c r="R41" s="135">
        <f>SUM('案件．要員情報'!AH42:AM42)</f>
        <v>1.3545454545454545</v>
      </c>
      <c r="S41" s="135">
        <f>SUM('案件．要員情報'!AN42:AS42)</f>
        <v>1.7507936507936508</v>
      </c>
      <c r="T41" s="135">
        <f>SUM('案件．要員情報'!AT42:AY42)</f>
        <v>1.0348484848484847</v>
      </c>
      <c r="U41" s="135">
        <f>SUM('案件．要員情報'!AZ42:BF42)</f>
        <v>0.10666666666666666</v>
      </c>
      <c r="V41" s="135">
        <f>SUM('案件．要員情報'!BG42:BN42)</f>
        <v>0</v>
      </c>
      <c r="W41" s="135">
        <f>SUM('案件．要員情報'!BO42:BV42)</f>
        <v>0</v>
      </c>
      <c r="X41" s="135">
        <f>SUM('案件．要員情報'!BW42:CD42)</f>
        <v>0</v>
      </c>
      <c r="Y41" s="135">
        <f>SUM('案件．要員情報'!CE42:CL42)</f>
        <v>0</v>
      </c>
      <c r="Z41" s="135">
        <f>SUM('案件．要員情報'!CM42:CT42)</f>
        <v>0</v>
      </c>
      <c r="AA41" s="284">
        <f t="shared" si="1"/>
        <v>6.3211764259132677</v>
      </c>
    </row>
    <row r="42" spans="1:27" s="116" customFormat="1" ht="20.100000000000001" customHeight="1" x14ac:dyDescent="0.4">
      <c r="A42" s="348">
        <v>19</v>
      </c>
      <c r="B42" s="350" t="s">
        <v>47</v>
      </c>
      <c r="C42" s="350" t="s">
        <v>343</v>
      </c>
      <c r="D42" s="352" t="s">
        <v>548</v>
      </c>
      <c r="E42" s="352" t="s">
        <v>543</v>
      </c>
      <c r="F42" s="352" t="s">
        <v>547</v>
      </c>
      <c r="G42" s="375" t="s">
        <v>546</v>
      </c>
      <c r="H42" s="365"/>
      <c r="I42" s="365"/>
      <c r="J42" s="365"/>
      <c r="K42" s="367"/>
      <c r="L42" s="367"/>
      <c r="M42" s="340"/>
      <c r="N42" s="136" t="s">
        <v>24</v>
      </c>
      <c r="O42" s="133">
        <f>SUM('案件．要員情報'!O43:U43)</f>
        <v>0</v>
      </c>
      <c r="P42" s="133">
        <f>SUM('案件．要員情報'!V43:AA43)</f>
        <v>0.14035087719298245</v>
      </c>
      <c r="Q42" s="133">
        <f>SUM('案件．要員情報'!AB43:AG43)</f>
        <v>6.0606060606060608E-2</v>
      </c>
      <c r="R42" s="133">
        <f>SUM('案件．要員情報'!AH43:AM43)</f>
        <v>0</v>
      </c>
      <c r="S42" s="133">
        <f>SUM('案件．要員情報'!AN43:AS43)</f>
        <v>0</v>
      </c>
      <c r="T42" s="133">
        <f>SUM('案件．要員情報'!AT43:AY43)</f>
        <v>0</v>
      </c>
      <c r="U42" s="133">
        <f>SUM('案件．要員情報'!AZ43:BF43)</f>
        <v>0</v>
      </c>
      <c r="V42" s="133">
        <f>SUM('案件．要員情報'!BG43:BN43)</f>
        <v>0</v>
      </c>
      <c r="W42" s="133">
        <f>SUM('案件．要員情報'!BO43:BV43)</f>
        <v>0</v>
      </c>
      <c r="X42" s="133">
        <f>SUM('案件．要員情報'!BW43:CD43)</f>
        <v>0</v>
      </c>
      <c r="Y42" s="133">
        <f>SUM('案件．要員情報'!CE43:CL43)</f>
        <v>0</v>
      </c>
      <c r="Z42" s="133">
        <f>SUM('案件．要員情報'!CM43:CT43)</f>
        <v>0</v>
      </c>
      <c r="AA42" s="180">
        <f t="shared" si="1"/>
        <v>0.20095693779904306</v>
      </c>
    </row>
    <row r="43" spans="1:27" s="116" customFormat="1" ht="20.100000000000001" customHeight="1" x14ac:dyDescent="0.4">
      <c r="A43" s="349"/>
      <c r="B43" s="351"/>
      <c r="C43" s="351"/>
      <c r="D43" s="353"/>
      <c r="E43" s="353"/>
      <c r="F43" s="353"/>
      <c r="G43" s="375"/>
      <c r="H43" s="366"/>
      <c r="I43" s="366"/>
      <c r="J43" s="366"/>
      <c r="K43" s="368"/>
      <c r="L43" s="368"/>
      <c r="M43" s="341"/>
      <c r="N43" s="137" t="s">
        <v>25</v>
      </c>
      <c r="O43" s="135">
        <f>SUM('案件．要員情報'!O44:U44)</f>
        <v>0</v>
      </c>
      <c r="P43" s="135">
        <f>SUM('案件．要員情報'!V44:AA44)</f>
        <v>0.10526315789473684</v>
      </c>
      <c r="Q43" s="135">
        <f>SUM('案件．要員情報'!AB44:AG44)</f>
        <v>6.0606060606060608E-2</v>
      </c>
      <c r="R43" s="135">
        <f>SUM('案件．要員情報'!AH44:AM44)</f>
        <v>0</v>
      </c>
      <c r="S43" s="135">
        <f>SUM('案件．要員情報'!AN44:AS44)</f>
        <v>0</v>
      </c>
      <c r="T43" s="135">
        <f>SUM('案件．要員情報'!AT44:AY44)</f>
        <v>0</v>
      </c>
      <c r="U43" s="135">
        <f>SUM('案件．要員情報'!AZ44:BF44)</f>
        <v>0</v>
      </c>
      <c r="V43" s="135">
        <f>SUM('案件．要員情報'!BG44:BN44)</f>
        <v>0</v>
      </c>
      <c r="W43" s="135">
        <f>SUM('案件．要員情報'!BO44:BV44)</f>
        <v>0</v>
      </c>
      <c r="X43" s="135">
        <f>SUM('案件．要員情報'!BW44:CD44)</f>
        <v>0</v>
      </c>
      <c r="Y43" s="135">
        <f>SUM('案件．要員情報'!CE44:CL44)</f>
        <v>0</v>
      </c>
      <c r="Z43" s="135">
        <f>SUM('案件．要員情報'!CM44:CT44)</f>
        <v>0</v>
      </c>
      <c r="AA43" s="138">
        <f t="shared" si="1"/>
        <v>0.16586921850079744</v>
      </c>
    </row>
    <row r="44" spans="1:27" s="116" customFormat="1" ht="20.100000000000001" customHeight="1" x14ac:dyDescent="0.4">
      <c r="A44" s="348">
        <v>20</v>
      </c>
      <c r="B44" s="350" t="s">
        <v>47</v>
      </c>
      <c r="C44" s="350" t="s">
        <v>14</v>
      </c>
      <c r="D44" s="352" t="s">
        <v>548</v>
      </c>
      <c r="E44" s="352" t="s">
        <v>555</v>
      </c>
      <c r="F44" s="352" t="s">
        <v>423</v>
      </c>
      <c r="G44" s="375" t="s">
        <v>556</v>
      </c>
      <c r="H44" s="365"/>
      <c r="I44" s="365"/>
      <c r="J44" s="365"/>
      <c r="K44" s="367"/>
      <c r="L44" s="367"/>
      <c r="M44" s="340"/>
      <c r="N44" s="136" t="s">
        <v>24</v>
      </c>
      <c r="O44" s="133">
        <f>SUM('案件．要員情報'!O45:U45)</f>
        <v>0</v>
      </c>
      <c r="P44" s="133">
        <f>SUM('案件．要員情報'!V45:AA45)</f>
        <v>0</v>
      </c>
      <c r="Q44" s="133">
        <f>SUM('案件．要員情報'!AB45:AG45)</f>
        <v>0.12121212121212122</v>
      </c>
      <c r="R44" s="133">
        <f>SUM('案件．要員情報'!AH45:AM45)</f>
        <v>0</v>
      </c>
      <c r="S44" s="133">
        <f>SUM('案件．要員情報'!AN45:AS45)</f>
        <v>0</v>
      </c>
      <c r="T44" s="133">
        <f>SUM('案件．要員情報'!AT45:AY45)</f>
        <v>0</v>
      </c>
      <c r="U44" s="133">
        <f>SUM('案件．要員情報'!AZ45:BF45)</f>
        <v>0</v>
      </c>
      <c r="V44" s="133">
        <f>SUM('案件．要員情報'!BG45:BN45)</f>
        <v>0</v>
      </c>
      <c r="W44" s="133">
        <f>SUM('案件．要員情報'!BO45:BV45)</f>
        <v>0</v>
      </c>
      <c r="X44" s="133">
        <f>SUM('案件．要員情報'!BW45:CD45)</f>
        <v>0</v>
      </c>
      <c r="Y44" s="133">
        <f>SUM('案件．要員情報'!CE45:CL45)</f>
        <v>0</v>
      </c>
      <c r="Z44" s="133">
        <f>SUM('案件．要員情報'!CM45:CT45)</f>
        <v>0</v>
      </c>
      <c r="AA44" s="180">
        <f t="shared" si="1"/>
        <v>0.12121212121212122</v>
      </c>
    </row>
    <row r="45" spans="1:27" s="116" customFormat="1" ht="15.75" customHeight="1" x14ac:dyDescent="0.4">
      <c r="A45" s="349"/>
      <c r="B45" s="351"/>
      <c r="C45" s="351"/>
      <c r="D45" s="353"/>
      <c r="E45" s="353"/>
      <c r="F45" s="353"/>
      <c r="G45" s="375"/>
      <c r="H45" s="366"/>
      <c r="I45" s="366"/>
      <c r="J45" s="366"/>
      <c r="K45" s="368"/>
      <c r="L45" s="368"/>
      <c r="M45" s="341"/>
      <c r="N45" s="137" t="s">
        <v>25</v>
      </c>
      <c r="O45" s="135">
        <f>SUM('案件．要員情報'!O46:U46)</f>
        <v>0</v>
      </c>
      <c r="P45" s="135">
        <f>SUM('案件．要員情報'!V46:AA46)</f>
        <v>0</v>
      </c>
      <c r="Q45" s="135">
        <f>SUM('案件．要員情報'!AB46:AG46)</f>
        <v>9.0909090909090912E-2</v>
      </c>
      <c r="R45" s="135">
        <f>SUM('案件．要員情報'!AH46:AM46)</f>
        <v>0</v>
      </c>
      <c r="S45" s="135">
        <f>SUM('案件．要員情報'!AN46:AS46)</f>
        <v>0</v>
      </c>
      <c r="T45" s="135">
        <f>SUM('案件．要員情報'!AT46:AY46)</f>
        <v>0</v>
      </c>
      <c r="U45" s="135">
        <f>SUM('案件．要員情報'!AZ46:BF46)</f>
        <v>0</v>
      </c>
      <c r="V45" s="135">
        <f>SUM('案件．要員情報'!BG46:BN46)</f>
        <v>0</v>
      </c>
      <c r="W45" s="135">
        <f>SUM('案件．要員情報'!BO46:BV46)</f>
        <v>0</v>
      </c>
      <c r="X45" s="135">
        <f>SUM('案件．要員情報'!BW46:CD46)</f>
        <v>0</v>
      </c>
      <c r="Y45" s="135">
        <f>SUM('案件．要員情報'!CE46:CL46)</f>
        <v>0</v>
      </c>
      <c r="Z45" s="135">
        <f>SUM('案件．要員情報'!CM46:CT46)</f>
        <v>0</v>
      </c>
      <c r="AA45" s="138">
        <f t="shared" si="1"/>
        <v>9.0909090909090912E-2</v>
      </c>
    </row>
    <row r="46" spans="1:27" s="116" customFormat="1" ht="20.100000000000001" customHeight="1" collapsed="1" x14ac:dyDescent="0.4">
      <c r="A46" s="348">
        <v>21</v>
      </c>
      <c r="B46" s="350" t="s">
        <v>47</v>
      </c>
      <c r="C46" s="350" t="s">
        <v>14</v>
      </c>
      <c r="D46" s="352" t="s">
        <v>475</v>
      </c>
      <c r="E46" s="352" t="s">
        <v>568</v>
      </c>
      <c r="F46" s="352"/>
      <c r="G46" s="375" t="s">
        <v>569</v>
      </c>
      <c r="H46" s="365"/>
      <c r="I46" s="365"/>
      <c r="J46" s="365"/>
      <c r="K46" s="367"/>
      <c r="L46" s="367"/>
      <c r="M46" s="340"/>
      <c r="N46" s="136" t="s">
        <v>24</v>
      </c>
      <c r="O46" s="133">
        <f>SUM('案件．要員情報'!O47:U47)</f>
        <v>0</v>
      </c>
      <c r="P46" s="133">
        <f>SUM('案件．要員情報'!V47:AA47)</f>
        <v>0</v>
      </c>
      <c r="Q46" s="133">
        <f>SUM('案件．要員情報'!AB47:AG47)</f>
        <v>0.15151515151515152</v>
      </c>
      <c r="R46" s="133">
        <f>SUM('案件．要員情報'!AH47:AM47)</f>
        <v>0</v>
      </c>
      <c r="S46" s="133">
        <f>SUM('案件．要員情報'!AN47:AS47)</f>
        <v>0</v>
      </c>
      <c r="T46" s="133">
        <f>SUM('案件．要員情報'!AT47:AY47)</f>
        <v>0</v>
      </c>
      <c r="U46" s="133">
        <f>SUM('案件．要員情報'!AZ47:BF47)</f>
        <v>0</v>
      </c>
      <c r="V46" s="133">
        <f>SUM('案件．要員情報'!BG47:BN47)</f>
        <v>0</v>
      </c>
      <c r="W46" s="133">
        <f>SUM('案件．要員情報'!BO47:BV47)</f>
        <v>0</v>
      </c>
      <c r="X46" s="133">
        <f>SUM('案件．要員情報'!BW47:CD47)</f>
        <v>0</v>
      </c>
      <c r="Y46" s="133">
        <f>SUM('案件．要員情報'!CE47:CL47)</f>
        <v>0</v>
      </c>
      <c r="Z46" s="133">
        <f>SUM('案件．要員情報'!CM47:CT47)</f>
        <v>0</v>
      </c>
      <c r="AA46" s="180">
        <f t="shared" si="1"/>
        <v>0.15151515151515152</v>
      </c>
    </row>
    <row r="47" spans="1:27" s="116" customFormat="1" ht="20.100000000000001" customHeight="1" x14ac:dyDescent="0.4">
      <c r="A47" s="349"/>
      <c r="B47" s="351"/>
      <c r="C47" s="351"/>
      <c r="D47" s="353"/>
      <c r="E47" s="353"/>
      <c r="F47" s="353"/>
      <c r="G47" s="375"/>
      <c r="H47" s="366"/>
      <c r="I47" s="366"/>
      <c r="J47" s="366"/>
      <c r="K47" s="368"/>
      <c r="L47" s="368"/>
      <c r="M47" s="341"/>
      <c r="N47" s="137" t="s">
        <v>25</v>
      </c>
      <c r="O47" s="135">
        <f>SUM('案件．要員情報'!O48:U48)</f>
        <v>0</v>
      </c>
      <c r="P47" s="135">
        <f>SUM('案件．要員情報'!V48:AA48)</f>
        <v>0</v>
      </c>
      <c r="Q47" s="135">
        <f>SUM('案件．要員情報'!AB48:AG48)</f>
        <v>0.12121212121212122</v>
      </c>
      <c r="R47" s="135">
        <f>SUM('案件．要員情報'!AH48:AM48)</f>
        <v>0</v>
      </c>
      <c r="S47" s="135">
        <f>SUM('案件．要員情報'!AN48:AS48)</f>
        <v>0</v>
      </c>
      <c r="T47" s="135">
        <f>SUM('案件．要員情報'!AT48:AY48)</f>
        <v>0</v>
      </c>
      <c r="U47" s="135">
        <f>SUM('案件．要員情報'!AZ48:BF48)</f>
        <v>0</v>
      </c>
      <c r="V47" s="135">
        <f>SUM('案件．要員情報'!BG48:BN48)</f>
        <v>0</v>
      </c>
      <c r="W47" s="135">
        <f>SUM('案件．要員情報'!BO48:BV48)</f>
        <v>0</v>
      </c>
      <c r="X47" s="135">
        <f>SUM('案件．要員情報'!BW48:CD48)</f>
        <v>0</v>
      </c>
      <c r="Y47" s="135">
        <f>SUM('案件．要員情報'!CE48:CL48)</f>
        <v>0</v>
      </c>
      <c r="Z47" s="135">
        <f>SUM('案件．要員情報'!CM48:CT48)</f>
        <v>0</v>
      </c>
      <c r="AA47" s="138">
        <f t="shared" si="1"/>
        <v>0.12121212121212122</v>
      </c>
    </row>
    <row r="48" spans="1:27" s="116" customFormat="1" ht="20.100000000000001" customHeight="1" x14ac:dyDescent="0.4">
      <c r="A48" s="348">
        <v>22</v>
      </c>
      <c r="B48" s="350" t="s">
        <v>47</v>
      </c>
      <c r="C48" s="350" t="s">
        <v>14</v>
      </c>
      <c r="D48" s="352" t="s">
        <v>598</v>
      </c>
      <c r="E48" s="352" t="s">
        <v>596</v>
      </c>
      <c r="F48" s="352"/>
      <c r="G48" s="375" t="s">
        <v>597</v>
      </c>
      <c r="H48" s="386"/>
      <c r="I48" s="386"/>
      <c r="J48" s="386"/>
      <c r="K48" s="386"/>
      <c r="L48" s="386"/>
      <c r="M48" s="386"/>
      <c r="N48" s="136" t="s">
        <v>24</v>
      </c>
      <c r="O48" s="133">
        <f>SUM('案件．要員情報'!O49:U49)</f>
        <v>0</v>
      </c>
      <c r="P48" s="133">
        <f>SUM('案件．要員情報'!V49:AA49)</f>
        <v>0</v>
      </c>
      <c r="Q48" s="133">
        <f>SUM('案件．要員情報'!AB49:AG49)</f>
        <v>0.4363636363636364</v>
      </c>
      <c r="R48" s="133">
        <f>SUM('案件．要員情報'!AH49:AM49)</f>
        <v>0.50909090909090904</v>
      </c>
      <c r="S48" s="133">
        <f>SUM('案件．要員情報'!AN49:AS49)</f>
        <v>0</v>
      </c>
      <c r="T48" s="133">
        <f>SUM('案件．要員情報'!AT49:AY49)</f>
        <v>3.0303030303030304E-2</v>
      </c>
      <c r="U48" s="133">
        <f>SUM('案件．要員情報'!AZ49:BF49)</f>
        <v>0</v>
      </c>
      <c r="V48" s="133">
        <f>SUM('案件．要員情報'!BG49:BN49)</f>
        <v>0</v>
      </c>
      <c r="W48" s="133">
        <f>SUM('案件．要員情報'!BO49:BV49)</f>
        <v>0</v>
      </c>
      <c r="X48" s="133">
        <f>SUM('案件．要員情報'!BW49:CD49)</f>
        <v>0</v>
      </c>
      <c r="Y48" s="133">
        <f>SUM('案件．要員情報'!CE49:CL49)</f>
        <v>0</v>
      </c>
      <c r="Z48" s="133">
        <f>SUM('案件．要員情報'!CM49:CT49)</f>
        <v>0</v>
      </c>
      <c r="AA48" s="180">
        <f t="shared" si="1"/>
        <v>0.97575757575757571</v>
      </c>
    </row>
    <row r="49" spans="1:27" s="116" customFormat="1" ht="20.100000000000001" customHeight="1" x14ac:dyDescent="0.4">
      <c r="A49" s="349"/>
      <c r="B49" s="351"/>
      <c r="C49" s="351"/>
      <c r="D49" s="353"/>
      <c r="E49" s="353"/>
      <c r="F49" s="353"/>
      <c r="G49" s="375"/>
      <c r="H49" s="387"/>
      <c r="I49" s="387"/>
      <c r="J49" s="387"/>
      <c r="K49" s="387"/>
      <c r="L49" s="387"/>
      <c r="M49" s="387"/>
      <c r="N49" s="137" t="s">
        <v>25</v>
      </c>
      <c r="O49" s="135">
        <f>SUM('案件．要員情報'!O50:U50)</f>
        <v>0</v>
      </c>
      <c r="P49" s="135">
        <f>SUM('案件．要員情報'!V50:AA50)</f>
        <v>0</v>
      </c>
      <c r="Q49" s="135">
        <f>SUM('案件．要員情報'!AB50:AG50)</f>
        <v>0.42121212121212126</v>
      </c>
      <c r="R49" s="135">
        <f>SUM('案件．要員情報'!AH50:AM50)</f>
        <v>0.48636363636363633</v>
      </c>
      <c r="S49" s="135">
        <f>SUM('案件．要員情報'!AN50:AS50)</f>
        <v>0</v>
      </c>
      <c r="T49" s="135">
        <f>SUM('案件．要員情報'!AT50:AY50)</f>
        <v>3.0303030303030304E-2</v>
      </c>
      <c r="U49" s="135">
        <f>SUM('案件．要員情報'!AZ50:BF50)</f>
        <v>0</v>
      </c>
      <c r="V49" s="135">
        <f>SUM('案件．要員情報'!BG50:BN50)</f>
        <v>0</v>
      </c>
      <c r="W49" s="135">
        <f>SUM('案件．要員情報'!BO50:BV50)</f>
        <v>0</v>
      </c>
      <c r="X49" s="135">
        <f>SUM('案件．要員情報'!BW50:CD50)</f>
        <v>0</v>
      </c>
      <c r="Y49" s="135">
        <f>SUM('案件．要員情報'!CE50:CL50)</f>
        <v>0</v>
      </c>
      <c r="Z49" s="135">
        <f>SUM('案件．要員情報'!CM50:CT50)</f>
        <v>0</v>
      </c>
      <c r="AA49" s="138">
        <f t="shared" si="1"/>
        <v>0.93787878787878787</v>
      </c>
    </row>
    <row r="50" spans="1:27" s="116" customFormat="1" ht="20.100000000000001" customHeight="1" x14ac:dyDescent="0.4">
      <c r="A50" s="348">
        <v>23</v>
      </c>
      <c r="B50" s="350" t="s">
        <v>46</v>
      </c>
      <c r="C50" s="350" t="s">
        <v>14</v>
      </c>
      <c r="D50" s="352" t="s">
        <v>624</v>
      </c>
      <c r="E50" s="352" t="s">
        <v>623</v>
      </c>
      <c r="F50" s="352" t="s">
        <v>999</v>
      </c>
      <c r="G50" s="375" t="s">
        <v>620</v>
      </c>
      <c r="H50" s="386"/>
      <c r="I50" s="386"/>
      <c r="J50" s="386"/>
      <c r="K50" s="386"/>
      <c r="L50" s="386"/>
      <c r="M50" s="386"/>
      <c r="N50" s="136" t="s">
        <v>24</v>
      </c>
      <c r="O50" s="133">
        <f>SUM('案件．要員情報'!O51:U51)</f>
        <v>0</v>
      </c>
      <c r="P50" s="133">
        <f>SUM('案件．要員情報'!V51:AA51)</f>
        <v>0</v>
      </c>
      <c r="Q50" s="133">
        <f>SUM('案件．要員情報'!AB51:AG51)</f>
        <v>0.12121212121212122</v>
      </c>
      <c r="R50" s="133">
        <f>SUM('案件．要員情報'!AH51:AM51)</f>
        <v>0.44242424242424239</v>
      </c>
      <c r="S50" s="133">
        <f>SUM('案件．要員情報'!AN51:AS51)</f>
        <v>0.53968253968253965</v>
      </c>
      <c r="T50" s="133">
        <f>SUM('案件．要員情報'!AT51:AY51)</f>
        <v>0.83030303030303032</v>
      </c>
      <c r="U50" s="133">
        <f>SUM('案件．要員情報'!AZ51:BF51)</f>
        <v>0.18</v>
      </c>
      <c r="V50" s="133">
        <f>SUM('案件．要員情報'!BG51:BN51)</f>
        <v>0</v>
      </c>
      <c r="W50" s="133">
        <f>SUM('案件．要員情報'!BO51:BV51)</f>
        <v>0</v>
      </c>
      <c r="X50" s="133">
        <f>SUM('案件．要員情報'!BW51:CD51)</f>
        <v>0</v>
      </c>
      <c r="Y50" s="133">
        <f>SUM('案件．要員情報'!CE51:CL51)</f>
        <v>0</v>
      </c>
      <c r="Z50" s="133">
        <f>SUM('案件．要員情報'!CM51:CT51)</f>
        <v>0</v>
      </c>
      <c r="AA50" s="180">
        <f t="shared" si="1"/>
        <v>2.1136219336219337</v>
      </c>
    </row>
    <row r="51" spans="1:27" s="116" customFormat="1" ht="20.100000000000001" customHeight="1" x14ac:dyDescent="0.4">
      <c r="A51" s="349"/>
      <c r="B51" s="351"/>
      <c r="C51" s="351"/>
      <c r="D51" s="353"/>
      <c r="E51" s="353"/>
      <c r="F51" s="353"/>
      <c r="G51" s="375"/>
      <c r="H51" s="387"/>
      <c r="I51" s="387"/>
      <c r="J51" s="387"/>
      <c r="K51" s="387"/>
      <c r="L51" s="387"/>
      <c r="M51" s="387"/>
      <c r="N51" s="137" t="s">
        <v>25</v>
      </c>
      <c r="O51" s="135">
        <f>SUM('案件．要員情報'!O52:U52)</f>
        <v>0</v>
      </c>
      <c r="P51" s="135">
        <f>SUM('案件．要員情報'!V52:AA52)</f>
        <v>0</v>
      </c>
      <c r="Q51" s="135">
        <f>SUM('案件．要員情報'!AB52:AG52)</f>
        <v>0.1090909090909091</v>
      </c>
      <c r="R51" s="135">
        <f>SUM('案件．要員情報'!AH52:AM52)</f>
        <v>0.40909090909090906</v>
      </c>
      <c r="S51" s="135">
        <f>SUM('案件．要員情報'!AN52:AS52)</f>
        <v>0.52857142857142858</v>
      </c>
      <c r="T51" s="135">
        <f>SUM('案件．要員情報'!AT52:AY52)</f>
        <v>0.81212121212121202</v>
      </c>
      <c r="U51" s="135">
        <f>SUM('案件．要員情報'!AZ52:BF52)</f>
        <v>0.21666666666666667</v>
      </c>
      <c r="V51" s="135">
        <f>SUM('案件．要員情報'!BG52:BN52)</f>
        <v>0</v>
      </c>
      <c r="W51" s="135">
        <f>SUM('案件．要員情報'!BO52:BV52)</f>
        <v>0</v>
      </c>
      <c r="X51" s="135">
        <f>SUM('案件．要員情報'!BW52:CD52)</f>
        <v>0</v>
      </c>
      <c r="Y51" s="135">
        <f>SUM('案件．要員情報'!CE52:CL52)</f>
        <v>0</v>
      </c>
      <c r="Z51" s="135">
        <f>SUM('案件．要員情報'!CM52:CT52)</f>
        <v>0</v>
      </c>
      <c r="AA51" s="138">
        <f t="shared" si="1"/>
        <v>2.0755411255411254</v>
      </c>
    </row>
    <row r="52" spans="1:27" s="116" customFormat="1" ht="20.100000000000001" customHeight="1" x14ac:dyDescent="0.4">
      <c r="A52" s="348">
        <v>24</v>
      </c>
      <c r="B52" s="350" t="s">
        <v>47</v>
      </c>
      <c r="C52" s="350" t="s">
        <v>343</v>
      </c>
      <c r="D52" s="352" t="s">
        <v>548</v>
      </c>
      <c r="E52" s="352" t="s">
        <v>649</v>
      </c>
      <c r="F52" s="352" t="s">
        <v>1004</v>
      </c>
      <c r="G52" s="375" t="s">
        <v>628</v>
      </c>
      <c r="H52" s="386"/>
      <c r="I52" s="386"/>
      <c r="J52" s="386"/>
      <c r="K52" s="386"/>
      <c r="L52" s="386"/>
      <c r="M52" s="386"/>
      <c r="N52" s="136" t="s">
        <v>24</v>
      </c>
      <c r="O52" s="133">
        <f>SUM('案件．要員情報'!O53:U53)</f>
        <v>0</v>
      </c>
      <c r="P52" s="133">
        <f>SUM('案件．要員情報'!V53:AA53)</f>
        <v>0</v>
      </c>
      <c r="Q52" s="133">
        <f>SUM('案件．要員情報'!AB53:AG53)</f>
        <v>0</v>
      </c>
      <c r="R52" s="133">
        <f>SUM('案件．要員情報'!AH53:AM53)</f>
        <v>0.13333333333333333</v>
      </c>
      <c r="S52" s="133">
        <f>SUM('案件．要員情報'!AN53:AS53)</f>
        <v>0</v>
      </c>
      <c r="T52" s="133">
        <f>SUM('案件．要員情報'!AT53:AY53)</f>
        <v>0</v>
      </c>
      <c r="U52" s="133">
        <f>SUM('案件．要員情報'!AZ53:BF53)</f>
        <v>0</v>
      </c>
      <c r="V52" s="133">
        <f>SUM('案件．要員情報'!BG53:BN53)</f>
        <v>0</v>
      </c>
      <c r="W52" s="133">
        <f>SUM('案件．要員情報'!BO53:BV53)</f>
        <v>0</v>
      </c>
      <c r="X52" s="133">
        <f>SUM('案件．要員情報'!BW53:CD53)</f>
        <v>0</v>
      </c>
      <c r="Y52" s="133">
        <f>SUM('案件．要員情報'!CE53:CL53)</f>
        <v>0</v>
      </c>
      <c r="Z52" s="133">
        <f>SUM('案件．要員情報'!CM53:CT53)</f>
        <v>0</v>
      </c>
      <c r="AA52" s="180">
        <f t="shared" ref="AA52:AA55" si="2">SUM(O52:Z52)</f>
        <v>0.13333333333333333</v>
      </c>
    </row>
    <row r="53" spans="1:27" s="116" customFormat="1" ht="20.100000000000001" customHeight="1" x14ac:dyDescent="0.4">
      <c r="A53" s="349"/>
      <c r="B53" s="351"/>
      <c r="C53" s="351"/>
      <c r="D53" s="353"/>
      <c r="E53" s="353"/>
      <c r="F53" s="353"/>
      <c r="G53" s="375"/>
      <c r="H53" s="387"/>
      <c r="I53" s="387"/>
      <c r="J53" s="387"/>
      <c r="K53" s="387"/>
      <c r="L53" s="387"/>
      <c r="M53" s="387"/>
      <c r="N53" s="137" t="s">
        <v>25</v>
      </c>
      <c r="O53" s="135">
        <f>SUM('案件．要員情報'!O54:U54)</f>
        <v>0</v>
      </c>
      <c r="P53" s="135">
        <f>SUM('案件．要員情報'!V54:AA54)</f>
        <v>0</v>
      </c>
      <c r="Q53" s="135">
        <f>SUM('案件．要員情報'!AB54:AG54)</f>
        <v>0</v>
      </c>
      <c r="R53" s="135">
        <f>SUM('案件．要員情報'!AH54:AM54)</f>
        <v>0.12575757575757576</v>
      </c>
      <c r="S53" s="135">
        <f>SUM('案件．要員情報'!AN54:AS54)</f>
        <v>0</v>
      </c>
      <c r="T53" s="135">
        <f>SUM('案件．要員情報'!AT54:AY54)</f>
        <v>0</v>
      </c>
      <c r="U53" s="135">
        <f>SUM('案件．要員情報'!AZ54:BF54)</f>
        <v>0</v>
      </c>
      <c r="V53" s="135">
        <f>SUM('案件．要員情報'!BG54:BN54)</f>
        <v>0</v>
      </c>
      <c r="W53" s="135">
        <f>SUM('案件．要員情報'!BO54:BV54)</f>
        <v>0</v>
      </c>
      <c r="X53" s="135">
        <f>SUM('案件．要員情報'!BW54:CD54)</f>
        <v>0</v>
      </c>
      <c r="Y53" s="135">
        <f>SUM('案件．要員情報'!CE54:CL54)</f>
        <v>0</v>
      </c>
      <c r="Z53" s="135">
        <f>SUM('案件．要員情報'!CM54:CT54)</f>
        <v>0</v>
      </c>
      <c r="AA53" s="138">
        <f t="shared" si="2"/>
        <v>0.12575757575757576</v>
      </c>
    </row>
    <row r="54" spans="1:27" s="116" customFormat="1" ht="20.100000000000001" customHeight="1" x14ac:dyDescent="0.4">
      <c r="A54" s="348">
        <v>25</v>
      </c>
      <c r="B54" s="350" t="s">
        <v>47</v>
      </c>
      <c r="C54" s="350" t="s">
        <v>343</v>
      </c>
      <c r="D54" s="352" t="s">
        <v>344</v>
      </c>
      <c r="E54" s="352" t="s">
        <v>651</v>
      </c>
      <c r="F54" s="352" t="s">
        <v>1005</v>
      </c>
      <c r="G54" s="375" t="s">
        <v>652</v>
      </c>
      <c r="H54" s="386"/>
      <c r="I54" s="386"/>
      <c r="J54" s="386"/>
      <c r="K54" s="386"/>
      <c r="L54" s="386"/>
      <c r="M54" s="386"/>
      <c r="N54" s="136" t="s">
        <v>24</v>
      </c>
      <c r="O54" s="133">
        <f>SUM('案件．要員情報'!O55:U55)</f>
        <v>0</v>
      </c>
      <c r="P54" s="133">
        <f>SUM('案件．要員情報'!V55:AA55)</f>
        <v>0</v>
      </c>
      <c r="Q54" s="133">
        <f>SUM('案件．要員情報'!AB55:AG55)</f>
        <v>0</v>
      </c>
      <c r="R54" s="133">
        <f>SUM('案件．要員情報'!AH55:AM55)</f>
        <v>0.12727272727272726</v>
      </c>
      <c r="S54" s="133">
        <f>SUM('案件．要員情報'!AN55:AS55)</f>
        <v>0</v>
      </c>
      <c r="T54" s="133">
        <f>SUM('案件．要員情報'!AT55:AY55)</f>
        <v>0</v>
      </c>
      <c r="U54" s="133">
        <f>SUM('案件．要員情報'!AZ55:BF55)</f>
        <v>0</v>
      </c>
      <c r="V54" s="133">
        <f>SUM('案件．要員情報'!BG55:BN55)</f>
        <v>0</v>
      </c>
      <c r="W54" s="133">
        <f>SUM('案件．要員情報'!BO55:BV55)</f>
        <v>0</v>
      </c>
      <c r="X54" s="133">
        <f>SUM('案件．要員情報'!BW55:CD55)</f>
        <v>0</v>
      </c>
      <c r="Y54" s="133">
        <f>SUM('案件．要員情報'!CE55:CL55)</f>
        <v>0</v>
      </c>
      <c r="Z54" s="133">
        <f>SUM('案件．要員情報'!CM55:CT55)</f>
        <v>0</v>
      </c>
      <c r="AA54" s="180">
        <f t="shared" si="2"/>
        <v>0.12727272727272726</v>
      </c>
    </row>
    <row r="55" spans="1:27" s="116" customFormat="1" ht="20.100000000000001" customHeight="1" x14ac:dyDescent="0.4">
      <c r="A55" s="349"/>
      <c r="B55" s="351"/>
      <c r="C55" s="351"/>
      <c r="D55" s="353"/>
      <c r="E55" s="353"/>
      <c r="F55" s="353"/>
      <c r="G55" s="375"/>
      <c r="H55" s="387"/>
      <c r="I55" s="387"/>
      <c r="J55" s="387"/>
      <c r="K55" s="387"/>
      <c r="L55" s="387"/>
      <c r="M55" s="387"/>
      <c r="N55" s="137" t="s">
        <v>25</v>
      </c>
      <c r="O55" s="135">
        <f>SUM('案件．要員情報'!O56:U56)</f>
        <v>0</v>
      </c>
      <c r="P55" s="135">
        <f>SUM('案件．要員情報'!V56:AA56)</f>
        <v>0</v>
      </c>
      <c r="Q55" s="135">
        <f>SUM('案件．要員情報'!AB56:AG56)</f>
        <v>0</v>
      </c>
      <c r="R55" s="135">
        <f>SUM('案件．要員情報'!AH56:AM56)</f>
        <v>0.10757575757575756</v>
      </c>
      <c r="S55" s="135">
        <f>SUM('案件．要員情報'!AN56:AS56)</f>
        <v>0</v>
      </c>
      <c r="T55" s="135">
        <f>SUM('案件．要員情報'!AT56:AY56)</f>
        <v>0</v>
      </c>
      <c r="U55" s="135">
        <f>SUM('案件．要員情報'!AZ56:BF56)</f>
        <v>0</v>
      </c>
      <c r="V55" s="135">
        <f>SUM('案件．要員情報'!BG56:BN56)</f>
        <v>0</v>
      </c>
      <c r="W55" s="135">
        <f>SUM('案件．要員情報'!BO56:BV56)</f>
        <v>0</v>
      </c>
      <c r="X55" s="135">
        <f>SUM('案件．要員情報'!BW56:CD56)</f>
        <v>0</v>
      </c>
      <c r="Y55" s="135">
        <f>SUM('案件．要員情報'!CE56:CL56)</f>
        <v>0</v>
      </c>
      <c r="Z55" s="135">
        <f>SUM('案件．要員情報'!CM56:CT56)</f>
        <v>0</v>
      </c>
      <c r="AA55" s="138">
        <f t="shared" si="2"/>
        <v>0.10757575757575756</v>
      </c>
    </row>
    <row r="56" spans="1:27" s="116" customFormat="1" ht="20.100000000000001" customHeight="1" x14ac:dyDescent="0.4">
      <c r="A56" s="348">
        <v>26</v>
      </c>
      <c r="B56" s="350" t="s">
        <v>47</v>
      </c>
      <c r="C56" s="350" t="s">
        <v>14</v>
      </c>
      <c r="D56" s="352" t="s">
        <v>653</v>
      </c>
      <c r="E56" s="352" t="s">
        <v>654</v>
      </c>
      <c r="F56" s="352"/>
      <c r="G56" s="375" t="s">
        <v>655</v>
      </c>
      <c r="H56" s="386"/>
      <c r="I56" s="386"/>
      <c r="J56" s="386"/>
      <c r="K56" s="386"/>
      <c r="L56" s="386"/>
      <c r="M56" s="386"/>
      <c r="N56" s="136" t="s">
        <v>24</v>
      </c>
      <c r="O56" s="133">
        <f>SUM('案件．要員情報'!O57:U57)</f>
        <v>0</v>
      </c>
      <c r="P56" s="133">
        <f>SUM('案件．要員情報'!V57:AA57)</f>
        <v>0</v>
      </c>
      <c r="Q56" s="133">
        <f>SUM('案件．要員情報'!AB57:AG57)</f>
        <v>0</v>
      </c>
      <c r="R56" s="133">
        <f>SUM('案件．要員情報'!AH57:AM57)</f>
        <v>0.21212121212121213</v>
      </c>
      <c r="S56" s="133">
        <f>SUM('案件．要員情報'!AN57:AS57)</f>
        <v>0</v>
      </c>
      <c r="T56" s="133">
        <f>SUM('案件．要員情報'!AT57:AY57)</f>
        <v>0</v>
      </c>
      <c r="U56" s="133">
        <f>SUM('案件．要員情報'!AZ57:BF57)</f>
        <v>0</v>
      </c>
      <c r="V56" s="133">
        <f>SUM('案件．要員情報'!BG57:BN57)</f>
        <v>0</v>
      </c>
      <c r="W56" s="133">
        <f>SUM('案件．要員情報'!BO57:BV57)</f>
        <v>0</v>
      </c>
      <c r="X56" s="133">
        <f>SUM('案件．要員情報'!BW57:CD57)</f>
        <v>0</v>
      </c>
      <c r="Y56" s="133">
        <f>SUM('案件．要員情報'!CE57:CL57)</f>
        <v>0</v>
      </c>
      <c r="Z56" s="133">
        <f>SUM('案件．要員情報'!CM57:CT57)</f>
        <v>0</v>
      </c>
      <c r="AA56" s="180">
        <f t="shared" ref="AA56:AA63" si="3">SUM(O56:Z56)</f>
        <v>0.21212121212121213</v>
      </c>
    </row>
    <row r="57" spans="1:27" s="116" customFormat="1" ht="20.100000000000001" customHeight="1" x14ac:dyDescent="0.4">
      <c r="A57" s="349"/>
      <c r="B57" s="351"/>
      <c r="C57" s="351"/>
      <c r="D57" s="353"/>
      <c r="E57" s="353"/>
      <c r="F57" s="353"/>
      <c r="G57" s="375"/>
      <c r="H57" s="387"/>
      <c r="I57" s="387"/>
      <c r="J57" s="387"/>
      <c r="K57" s="387"/>
      <c r="L57" s="387"/>
      <c r="M57" s="387"/>
      <c r="N57" s="137" t="s">
        <v>25</v>
      </c>
      <c r="O57" s="135">
        <f>SUM('案件．要員情報'!O58:U58)</f>
        <v>0</v>
      </c>
      <c r="P57" s="135">
        <f>SUM('案件．要員情報'!V58:AA58)</f>
        <v>0</v>
      </c>
      <c r="Q57" s="135">
        <f>SUM('案件．要員情報'!AB58:AG58)</f>
        <v>0</v>
      </c>
      <c r="R57" s="135">
        <f>SUM('案件．要員情報'!AH58:AM58)</f>
        <v>0.20303030303030301</v>
      </c>
      <c r="S57" s="135">
        <f>SUM('案件．要員情報'!AN58:AS58)</f>
        <v>0</v>
      </c>
      <c r="T57" s="135">
        <f>SUM('案件．要員情報'!AT58:AY58)</f>
        <v>0</v>
      </c>
      <c r="U57" s="135">
        <f>SUM('案件．要員情報'!AZ58:BF58)</f>
        <v>0</v>
      </c>
      <c r="V57" s="135">
        <f>SUM('案件．要員情報'!BG58:BN58)</f>
        <v>0</v>
      </c>
      <c r="W57" s="135">
        <f>SUM('案件．要員情報'!BO58:BV58)</f>
        <v>0</v>
      </c>
      <c r="X57" s="135">
        <f>SUM('案件．要員情報'!BW58:CD58)</f>
        <v>0</v>
      </c>
      <c r="Y57" s="135">
        <f>SUM('案件．要員情報'!CE58:CL58)</f>
        <v>0</v>
      </c>
      <c r="Z57" s="135">
        <f>SUM('案件．要員情報'!CM58:CT58)</f>
        <v>0</v>
      </c>
      <c r="AA57" s="138">
        <f t="shared" si="3"/>
        <v>0.20303030303030301</v>
      </c>
    </row>
    <row r="58" spans="1:27" s="116" customFormat="1" ht="20.100000000000001" customHeight="1" x14ac:dyDescent="0.4">
      <c r="A58" s="348">
        <v>27</v>
      </c>
      <c r="B58" s="350" t="s">
        <v>47</v>
      </c>
      <c r="C58" s="350" t="s">
        <v>14</v>
      </c>
      <c r="D58" s="352" t="s">
        <v>476</v>
      </c>
      <c r="E58" s="352" t="s">
        <v>656</v>
      </c>
      <c r="F58" s="352"/>
      <c r="G58" s="375" t="s">
        <v>657</v>
      </c>
      <c r="H58" s="386"/>
      <c r="I58" s="386"/>
      <c r="J58" s="386"/>
      <c r="K58" s="386"/>
      <c r="L58" s="386"/>
      <c r="M58" s="386"/>
      <c r="N58" s="136" t="s">
        <v>24</v>
      </c>
      <c r="O58" s="133">
        <f>SUM('案件．要員情報'!O59:U59)</f>
        <v>0</v>
      </c>
      <c r="P58" s="133">
        <f>SUM('案件．要員情報'!V59:AA59)</f>
        <v>0</v>
      </c>
      <c r="Q58" s="133">
        <f>SUM('案件．要員情報'!AB59:AG59)</f>
        <v>0</v>
      </c>
      <c r="R58" s="133">
        <f>SUM('案件．要員情報'!AH59:AM59)</f>
        <v>0.1393939393939394</v>
      </c>
      <c r="S58" s="133">
        <f>SUM('案件．要員情報'!AN59:AS59)</f>
        <v>0</v>
      </c>
      <c r="T58" s="133">
        <f>SUM('案件．要員情報'!AT59:AY59)</f>
        <v>0</v>
      </c>
      <c r="U58" s="133">
        <f>SUM('案件．要員情報'!AZ59:BF59)</f>
        <v>0</v>
      </c>
      <c r="V58" s="133">
        <f>SUM('案件．要員情報'!BG59:BN59)</f>
        <v>0</v>
      </c>
      <c r="W58" s="133">
        <f>SUM('案件．要員情報'!BO59:BV59)</f>
        <v>0</v>
      </c>
      <c r="X58" s="133">
        <f>SUM('案件．要員情報'!BW59:CD59)</f>
        <v>0</v>
      </c>
      <c r="Y58" s="133">
        <f>SUM('案件．要員情報'!CE59:CL59)</f>
        <v>0</v>
      </c>
      <c r="Z58" s="133">
        <f>SUM('案件．要員情報'!CM59:CT59)</f>
        <v>0</v>
      </c>
      <c r="AA58" s="180">
        <f t="shared" si="3"/>
        <v>0.1393939393939394</v>
      </c>
    </row>
    <row r="59" spans="1:27" s="116" customFormat="1" ht="20.100000000000001" customHeight="1" x14ac:dyDescent="0.4">
      <c r="A59" s="349"/>
      <c r="B59" s="351"/>
      <c r="C59" s="351"/>
      <c r="D59" s="353"/>
      <c r="E59" s="353"/>
      <c r="F59" s="353"/>
      <c r="G59" s="375"/>
      <c r="H59" s="387"/>
      <c r="I59" s="387"/>
      <c r="J59" s="387"/>
      <c r="K59" s="387"/>
      <c r="L59" s="387"/>
      <c r="M59" s="387"/>
      <c r="N59" s="137" t="s">
        <v>25</v>
      </c>
      <c r="O59" s="135">
        <f>SUM('案件．要員情報'!O60:U60)</f>
        <v>0</v>
      </c>
      <c r="P59" s="135">
        <f>SUM('案件．要員情報'!V60:AA60)</f>
        <v>0</v>
      </c>
      <c r="Q59" s="135">
        <f>SUM('案件．要員情報'!AB60:AG60)</f>
        <v>0</v>
      </c>
      <c r="R59" s="135">
        <f>SUM('案件．要員情報'!AH60:AM60)</f>
        <v>0.13030303030303031</v>
      </c>
      <c r="S59" s="135">
        <f>SUM('案件．要員情報'!AN60:AS60)</f>
        <v>0</v>
      </c>
      <c r="T59" s="135">
        <f>SUM('案件．要員情報'!AT60:AY60)</f>
        <v>0</v>
      </c>
      <c r="U59" s="135">
        <f>SUM('案件．要員情報'!AZ60:BF60)</f>
        <v>0</v>
      </c>
      <c r="V59" s="135">
        <f>SUM('案件．要員情報'!BG60:BN60)</f>
        <v>0</v>
      </c>
      <c r="W59" s="135">
        <f>SUM('案件．要員情報'!BO60:BV60)</f>
        <v>0</v>
      </c>
      <c r="X59" s="135">
        <f>SUM('案件．要員情報'!BW60:CD60)</f>
        <v>0</v>
      </c>
      <c r="Y59" s="135">
        <f>SUM('案件．要員情報'!CE60:CL60)</f>
        <v>0</v>
      </c>
      <c r="Z59" s="135">
        <f>SUM('案件．要員情報'!CM60:CT60)</f>
        <v>0</v>
      </c>
      <c r="AA59" s="138">
        <f t="shared" si="3"/>
        <v>0.13030303030303031</v>
      </c>
    </row>
    <row r="60" spans="1:27" s="116" customFormat="1" ht="20.100000000000001" customHeight="1" x14ac:dyDescent="0.4">
      <c r="A60" s="348">
        <v>28</v>
      </c>
      <c r="B60" s="350" t="s">
        <v>47</v>
      </c>
      <c r="C60" s="350" t="s">
        <v>14</v>
      </c>
      <c r="D60" s="352" t="s">
        <v>658</v>
      </c>
      <c r="E60" s="352" t="s">
        <v>659</v>
      </c>
      <c r="F60" s="352"/>
      <c r="G60" s="375" t="s">
        <v>660</v>
      </c>
      <c r="H60" s="386"/>
      <c r="I60" s="386"/>
      <c r="J60" s="386"/>
      <c r="K60" s="386"/>
      <c r="L60" s="386"/>
      <c r="M60" s="386"/>
      <c r="N60" s="136" t="s">
        <v>24</v>
      </c>
      <c r="O60" s="133">
        <f>SUM('案件．要員情報'!O61:U61)</f>
        <v>0</v>
      </c>
      <c r="P60" s="133">
        <f>SUM('案件．要員情報'!V61:AA61)</f>
        <v>0</v>
      </c>
      <c r="Q60" s="133">
        <f>SUM('案件．要員情報'!AB61:AG61)</f>
        <v>0</v>
      </c>
      <c r="R60" s="133">
        <f>SUM('案件．要員情報'!AH61:AM61)</f>
        <v>0.12121212121212122</v>
      </c>
      <c r="S60" s="133">
        <f>SUM('案件．要員情報'!AN61:AS61)</f>
        <v>0</v>
      </c>
      <c r="T60" s="133">
        <f>SUM('案件．要員情報'!AT61:AY61)</f>
        <v>0</v>
      </c>
      <c r="U60" s="133">
        <f>SUM('案件．要員情報'!AZ61:BF61)</f>
        <v>0</v>
      </c>
      <c r="V60" s="133">
        <f>SUM('案件．要員情報'!BG61:BN61)</f>
        <v>0</v>
      </c>
      <c r="W60" s="133">
        <f>SUM('案件．要員情報'!BO61:BV61)</f>
        <v>0</v>
      </c>
      <c r="X60" s="133">
        <f>SUM('案件．要員情報'!BW61:CD61)</f>
        <v>0</v>
      </c>
      <c r="Y60" s="133">
        <f>SUM('案件．要員情報'!CE61:CL61)</f>
        <v>0</v>
      </c>
      <c r="Z60" s="133">
        <f>SUM('案件．要員情報'!CM61:CT61)</f>
        <v>0</v>
      </c>
      <c r="AA60" s="180">
        <f t="shared" si="3"/>
        <v>0.12121212121212122</v>
      </c>
    </row>
    <row r="61" spans="1:27" s="116" customFormat="1" ht="20.100000000000001" customHeight="1" x14ac:dyDescent="0.4">
      <c r="A61" s="349"/>
      <c r="B61" s="351"/>
      <c r="C61" s="351"/>
      <c r="D61" s="353"/>
      <c r="E61" s="353"/>
      <c r="F61" s="353"/>
      <c r="G61" s="375"/>
      <c r="H61" s="387"/>
      <c r="I61" s="387"/>
      <c r="J61" s="387"/>
      <c r="K61" s="387"/>
      <c r="L61" s="387"/>
      <c r="M61" s="387"/>
      <c r="N61" s="137" t="s">
        <v>25</v>
      </c>
      <c r="O61" s="135">
        <f>SUM('案件．要員情報'!O62:U62)</f>
        <v>0</v>
      </c>
      <c r="P61" s="135">
        <f>SUM('案件．要員情報'!V62:AA62)</f>
        <v>0</v>
      </c>
      <c r="Q61" s="135">
        <f>SUM('案件．要員情報'!AB62:AG62)</f>
        <v>0</v>
      </c>
      <c r="R61" s="135">
        <f>SUM('案件．要員情報'!AH62:AM62)</f>
        <v>0.12121212121212122</v>
      </c>
      <c r="S61" s="135">
        <f>SUM('案件．要員情報'!AN62:AS62)</f>
        <v>0</v>
      </c>
      <c r="T61" s="135">
        <f>SUM('案件．要員情報'!AT62:AY62)</f>
        <v>0</v>
      </c>
      <c r="U61" s="135">
        <f>SUM('案件．要員情報'!AZ62:BF62)</f>
        <v>0</v>
      </c>
      <c r="V61" s="135">
        <f>SUM('案件．要員情報'!BG62:BN62)</f>
        <v>0</v>
      </c>
      <c r="W61" s="135">
        <f>SUM('案件．要員情報'!BO62:BV62)</f>
        <v>0</v>
      </c>
      <c r="X61" s="135">
        <f>SUM('案件．要員情報'!BW62:CD62)</f>
        <v>0</v>
      </c>
      <c r="Y61" s="135">
        <f>SUM('案件．要員情報'!CE62:CL62)</f>
        <v>0</v>
      </c>
      <c r="Z61" s="135">
        <f>SUM('案件．要員情報'!CM62:CT62)</f>
        <v>0</v>
      </c>
      <c r="AA61" s="138">
        <f t="shared" si="3"/>
        <v>0.12121212121212122</v>
      </c>
    </row>
    <row r="62" spans="1:27" s="116" customFormat="1" ht="20.100000000000001" customHeight="1" x14ac:dyDescent="0.4">
      <c r="A62" s="348">
        <v>29</v>
      </c>
      <c r="B62" s="350" t="s">
        <v>47</v>
      </c>
      <c r="C62" s="350" t="s">
        <v>14</v>
      </c>
      <c r="D62" s="352" t="s">
        <v>661</v>
      </c>
      <c r="E62" s="352" t="s">
        <v>662</v>
      </c>
      <c r="F62" s="352"/>
      <c r="G62" s="375" t="s">
        <v>663</v>
      </c>
      <c r="H62" s="386"/>
      <c r="I62" s="386"/>
      <c r="J62" s="386"/>
      <c r="K62" s="386"/>
      <c r="L62" s="386"/>
      <c r="M62" s="386"/>
      <c r="N62" s="136" t="s">
        <v>24</v>
      </c>
      <c r="O62" s="133">
        <f>SUM('案件．要員情報'!O63:U63)</f>
        <v>0</v>
      </c>
      <c r="P62" s="133">
        <f>SUM('案件．要員情報'!V63:AA63)</f>
        <v>0</v>
      </c>
      <c r="Q62" s="133">
        <f>SUM('案件．要員情報'!AB63:AG63)</f>
        <v>0</v>
      </c>
      <c r="R62" s="133">
        <f>SUM('案件．要員情報'!AH63:AM63)</f>
        <v>0.38181818181818183</v>
      </c>
      <c r="S62" s="133">
        <f>SUM('案件．要員情報'!AN63:AS63)</f>
        <v>6.3492063492063492E-3</v>
      </c>
      <c r="T62" s="133">
        <f>SUM('案件．要員情報'!AT63:AY63)</f>
        <v>0</v>
      </c>
      <c r="U62" s="133">
        <f>SUM('案件．要員情報'!AZ63:BF63)</f>
        <v>0</v>
      </c>
      <c r="V62" s="133">
        <f>SUM('案件．要員情報'!BG63:BN63)</f>
        <v>0</v>
      </c>
      <c r="W62" s="133">
        <f>SUM('案件．要員情報'!BO63:BV63)</f>
        <v>0</v>
      </c>
      <c r="X62" s="133">
        <f>SUM('案件．要員情報'!BW63:CD63)</f>
        <v>0</v>
      </c>
      <c r="Y62" s="133">
        <f>SUM('案件．要員情報'!CE63:CL63)</f>
        <v>0</v>
      </c>
      <c r="Z62" s="133">
        <f>SUM('案件．要員情報'!CM63:CT63)</f>
        <v>0</v>
      </c>
      <c r="AA62" s="180">
        <f t="shared" si="3"/>
        <v>0.38816738816738816</v>
      </c>
    </row>
    <row r="63" spans="1:27" s="116" customFormat="1" ht="20.100000000000001" customHeight="1" x14ac:dyDescent="0.4">
      <c r="A63" s="349"/>
      <c r="B63" s="351"/>
      <c r="C63" s="351"/>
      <c r="D63" s="353"/>
      <c r="E63" s="353"/>
      <c r="F63" s="353"/>
      <c r="G63" s="375"/>
      <c r="H63" s="387"/>
      <c r="I63" s="387"/>
      <c r="J63" s="387"/>
      <c r="K63" s="387"/>
      <c r="L63" s="387"/>
      <c r="M63" s="387"/>
      <c r="N63" s="137" t="s">
        <v>25</v>
      </c>
      <c r="O63" s="135">
        <f>SUM('案件．要員情報'!O64:U64)</f>
        <v>0</v>
      </c>
      <c r="P63" s="135">
        <f>SUM('案件．要員情報'!V64:AA64)</f>
        <v>0</v>
      </c>
      <c r="Q63" s="135">
        <f>SUM('案件．要員情報'!AB64:AG64)</f>
        <v>0</v>
      </c>
      <c r="R63" s="135">
        <f>SUM('案件．要員情報'!AH64:AM64)</f>
        <v>0.37424242424242421</v>
      </c>
      <c r="S63" s="135">
        <f>SUM('案件．要員情報'!AN64:AS64)</f>
        <v>6.3492063492063492E-3</v>
      </c>
      <c r="T63" s="135">
        <f>SUM('案件．要員情報'!AT64:AY64)</f>
        <v>0</v>
      </c>
      <c r="U63" s="135">
        <f>SUM('案件．要員情報'!AZ64:BF64)</f>
        <v>0</v>
      </c>
      <c r="V63" s="135">
        <f>SUM('案件．要員情報'!BG64:BN64)</f>
        <v>0</v>
      </c>
      <c r="W63" s="135">
        <f>SUM('案件．要員情報'!BO64:BV64)</f>
        <v>0</v>
      </c>
      <c r="X63" s="135">
        <f>SUM('案件．要員情報'!BW64:CD64)</f>
        <v>0</v>
      </c>
      <c r="Y63" s="135">
        <f>SUM('案件．要員情報'!CE64:CL64)</f>
        <v>0</v>
      </c>
      <c r="Z63" s="135">
        <f>SUM('案件．要員情報'!CM64:CT64)</f>
        <v>0</v>
      </c>
      <c r="AA63" s="138">
        <f t="shared" si="3"/>
        <v>0.38059163059163054</v>
      </c>
    </row>
    <row r="64" spans="1:27" s="116" customFormat="1" ht="20.100000000000001" customHeight="1" x14ac:dyDescent="0.4">
      <c r="A64" s="348">
        <v>30</v>
      </c>
      <c r="B64" s="350" t="s">
        <v>47</v>
      </c>
      <c r="C64" s="350" t="s">
        <v>343</v>
      </c>
      <c r="D64" s="352" t="s">
        <v>420</v>
      </c>
      <c r="E64" s="352" t="s">
        <v>664</v>
      </c>
      <c r="F64" s="352"/>
      <c r="G64" s="375" t="s">
        <v>665</v>
      </c>
      <c r="H64" s="386"/>
      <c r="I64" s="386"/>
      <c r="J64" s="386"/>
      <c r="K64" s="386"/>
      <c r="L64" s="386"/>
      <c r="M64" s="386"/>
      <c r="N64" s="136" t="s">
        <v>24</v>
      </c>
      <c r="O64" s="133">
        <f>SUM('案件．要員情報'!O65:U65)</f>
        <v>0</v>
      </c>
      <c r="P64" s="133">
        <f>SUM('案件．要員情報'!V65:AA65)</f>
        <v>0</v>
      </c>
      <c r="Q64" s="133">
        <f>SUM('案件．要員情報'!AB65:AG65)</f>
        <v>0</v>
      </c>
      <c r="R64" s="133">
        <f>SUM('案件．要員情報'!AH65:AM65)</f>
        <v>8.4848484848484854E-2</v>
      </c>
      <c r="S64" s="133">
        <f>SUM('案件．要員情報'!AN65:AS65)</f>
        <v>0</v>
      </c>
      <c r="T64" s="133">
        <f>SUM('案件．要員情報'!AT65:AY65)</f>
        <v>0</v>
      </c>
      <c r="U64" s="133">
        <f>SUM('案件．要員情報'!AZ65:BF65)</f>
        <v>0</v>
      </c>
      <c r="V64" s="133">
        <f>SUM('案件．要員情報'!BG65:BN65)</f>
        <v>0</v>
      </c>
      <c r="W64" s="133">
        <f>SUM('案件．要員情報'!BO65:BV65)</f>
        <v>0</v>
      </c>
      <c r="X64" s="133">
        <f>SUM('案件．要員情報'!BW65:CD65)</f>
        <v>0</v>
      </c>
      <c r="Y64" s="133">
        <f>SUM('案件．要員情報'!CE65:CL65)</f>
        <v>0</v>
      </c>
      <c r="Z64" s="133">
        <f>SUM('案件．要員情報'!CM65:CT65)</f>
        <v>0</v>
      </c>
      <c r="AA64" s="180">
        <f t="shared" ref="AA64:AA123" si="4">SUM(O64:Z64)</f>
        <v>8.4848484848484854E-2</v>
      </c>
    </row>
    <row r="65" spans="1:27" s="116" customFormat="1" ht="20.100000000000001" customHeight="1" x14ac:dyDescent="0.4">
      <c r="A65" s="349"/>
      <c r="B65" s="351"/>
      <c r="C65" s="351"/>
      <c r="D65" s="353"/>
      <c r="E65" s="353"/>
      <c r="F65" s="353"/>
      <c r="G65" s="375"/>
      <c r="H65" s="387"/>
      <c r="I65" s="387"/>
      <c r="J65" s="387"/>
      <c r="K65" s="387"/>
      <c r="L65" s="387"/>
      <c r="M65" s="387"/>
      <c r="N65" s="137" t="s">
        <v>25</v>
      </c>
      <c r="O65" s="135">
        <f>SUM('案件．要員情報'!O66:U66)</f>
        <v>0</v>
      </c>
      <c r="P65" s="135">
        <f>SUM('案件．要員情報'!V66:AA66)</f>
        <v>0</v>
      </c>
      <c r="Q65" s="135">
        <f>SUM('案件．要員情報'!AB66:AG66)</f>
        <v>0</v>
      </c>
      <c r="R65" s="135">
        <f>SUM('案件．要員情報'!AH66:AM66)</f>
        <v>7.7272727272727271E-2</v>
      </c>
      <c r="S65" s="135">
        <f>SUM('案件．要員情報'!AN66:AS66)</f>
        <v>0</v>
      </c>
      <c r="T65" s="135">
        <f>SUM('案件．要員情報'!AT66:AY66)</f>
        <v>0</v>
      </c>
      <c r="U65" s="135">
        <f>SUM('案件．要員情報'!AZ66:BF66)</f>
        <v>0</v>
      </c>
      <c r="V65" s="135">
        <f>SUM('案件．要員情報'!BG66:BN66)</f>
        <v>0</v>
      </c>
      <c r="W65" s="135">
        <f>SUM('案件．要員情報'!BO66:BV66)</f>
        <v>0</v>
      </c>
      <c r="X65" s="135">
        <f>SUM('案件．要員情報'!BW66:CD66)</f>
        <v>0</v>
      </c>
      <c r="Y65" s="135">
        <f>SUM('案件．要員情報'!CE66:CL66)</f>
        <v>0</v>
      </c>
      <c r="Z65" s="135">
        <f>SUM('案件．要員情報'!CM66:CT66)</f>
        <v>0</v>
      </c>
      <c r="AA65" s="138">
        <f t="shared" si="4"/>
        <v>7.7272727272727271E-2</v>
      </c>
    </row>
    <row r="66" spans="1:27" s="116" customFormat="1" ht="20.100000000000001" customHeight="1" x14ac:dyDescent="0.4">
      <c r="A66" s="348">
        <v>31</v>
      </c>
      <c r="B66" s="350" t="s">
        <v>47</v>
      </c>
      <c r="C66" s="350" t="s">
        <v>343</v>
      </c>
      <c r="D66" s="352" t="s">
        <v>427</v>
      </c>
      <c r="E66" s="352" t="s">
        <v>666</v>
      </c>
      <c r="F66" s="352" t="s">
        <v>1006</v>
      </c>
      <c r="G66" s="375" t="s">
        <v>667</v>
      </c>
      <c r="H66" s="386"/>
      <c r="I66" s="386"/>
      <c r="J66" s="386"/>
      <c r="K66" s="386"/>
      <c r="L66" s="386"/>
      <c r="M66" s="386"/>
      <c r="N66" s="136" t="s">
        <v>24</v>
      </c>
      <c r="O66" s="133">
        <f>SUM('案件．要員情報'!O67:U67)</f>
        <v>0</v>
      </c>
      <c r="P66" s="133">
        <f>SUM('案件．要員情報'!V67:AA67)</f>
        <v>0</v>
      </c>
      <c r="Q66" s="133">
        <f>SUM('案件．要員情報'!AB67:AG67)</f>
        <v>0</v>
      </c>
      <c r="R66" s="133">
        <f>SUM('案件．要員情報'!AH67:AM67)</f>
        <v>0.10303030303030303</v>
      </c>
      <c r="S66" s="133">
        <f>SUM('案件．要員情報'!AN67:AS67)</f>
        <v>0</v>
      </c>
      <c r="T66" s="133">
        <f>SUM('案件．要員情報'!AT67:AY67)</f>
        <v>0</v>
      </c>
      <c r="U66" s="133">
        <f>SUM('案件．要員情報'!AZ67:BF67)</f>
        <v>0</v>
      </c>
      <c r="V66" s="133">
        <f>SUM('案件．要員情報'!BG67:BN67)</f>
        <v>0</v>
      </c>
      <c r="W66" s="133">
        <f>SUM('案件．要員情報'!BO67:BV67)</f>
        <v>0</v>
      </c>
      <c r="X66" s="133">
        <f>SUM('案件．要員情報'!BW67:CD67)</f>
        <v>0</v>
      </c>
      <c r="Y66" s="133">
        <f>SUM('案件．要員情報'!CE67:CL67)</f>
        <v>0</v>
      </c>
      <c r="Z66" s="133">
        <f>SUM('案件．要員情報'!CM67:CT67)</f>
        <v>0</v>
      </c>
      <c r="AA66" s="180">
        <f t="shared" si="4"/>
        <v>0.10303030303030303</v>
      </c>
    </row>
    <row r="67" spans="1:27" s="116" customFormat="1" ht="20.100000000000001" customHeight="1" x14ac:dyDescent="0.4">
      <c r="A67" s="349"/>
      <c r="B67" s="351"/>
      <c r="C67" s="351"/>
      <c r="D67" s="353"/>
      <c r="E67" s="353"/>
      <c r="F67" s="353"/>
      <c r="G67" s="375"/>
      <c r="H67" s="387"/>
      <c r="I67" s="387"/>
      <c r="J67" s="387"/>
      <c r="K67" s="387"/>
      <c r="L67" s="387"/>
      <c r="M67" s="387"/>
      <c r="N67" s="137" t="s">
        <v>25</v>
      </c>
      <c r="O67" s="135">
        <f>SUM('案件．要員情報'!O68:U68)</f>
        <v>0</v>
      </c>
      <c r="P67" s="135">
        <f>SUM('案件．要員情報'!V68:AA68)</f>
        <v>0</v>
      </c>
      <c r="Q67" s="135">
        <f>SUM('案件．要員情報'!AB68:AG68)</f>
        <v>0</v>
      </c>
      <c r="R67" s="135">
        <f>SUM('案件．要員情報'!AH68:AM68)</f>
        <v>9.2424242424242423E-2</v>
      </c>
      <c r="S67" s="135">
        <f>SUM('案件．要員情報'!AN68:AS68)</f>
        <v>0</v>
      </c>
      <c r="T67" s="135">
        <f>SUM('案件．要員情報'!AT68:AY68)</f>
        <v>0</v>
      </c>
      <c r="U67" s="135">
        <f>SUM('案件．要員情報'!AZ68:BF68)</f>
        <v>0</v>
      </c>
      <c r="V67" s="135">
        <f>SUM('案件．要員情報'!BG68:BN68)</f>
        <v>0</v>
      </c>
      <c r="W67" s="135">
        <f>SUM('案件．要員情報'!BO68:BV68)</f>
        <v>0</v>
      </c>
      <c r="X67" s="135">
        <f>SUM('案件．要員情報'!BW68:CD68)</f>
        <v>0</v>
      </c>
      <c r="Y67" s="135">
        <f>SUM('案件．要員情報'!CE68:CL68)</f>
        <v>0</v>
      </c>
      <c r="Z67" s="135">
        <f>SUM('案件．要員情報'!CM68:CT68)</f>
        <v>0</v>
      </c>
      <c r="AA67" s="138">
        <f t="shared" si="4"/>
        <v>9.2424242424242423E-2</v>
      </c>
    </row>
    <row r="68" spans="1:27" s="116" customFormat="1" ht="20.100000000000001" customHeight="1" x14ac:dyDescent="0.4">
      <c r="A68" s="348">
        <v>32</v>
      </c>
      <c r="B68" s="350" t="s">
        <v>47</v>
      </c>
      <c r="C68" s="350" t="s">
        <v>343</v>
      </c>
      <c r="D68" s="352" t="s">
        <v>344</v>
      </c>
      <c r="E68" s="352" t="s">
        <v>714</v>
      </c>
      <c r="F68" s="352" t="s">
        <v>1007</v>
      </c>
      <c r="G68" s="385" t="s">
        <v>717</v>
      </c>
      <c r="H68" s="386"/>
      <c r="I68" s="386"/>
      <c r="J68" s="386"/>
      <c r="K68" s="386"/>
      <c r="L68" s="386"/>
      <c r="M68" s="386"/>
      <c r="N68" s="136" t="s">
        <v>24</v>
      </c>
      <c r="O68" s="133">
        <f>SUM('案件．要員情報'!O69:U69)</f>
        <v>0</v>
      </c>
      <c r="P68" s="133">
        <f>SUM('案件．要員情報'!V69:AA69)</f>
        <v>0</v>
      </c>
      <c r="Q68" s="133">
        <f>SUM('案件．要員情報'!AB69:AG69)</f>
        <v>0</v>
      </c>
      <c r="R68" s="133">
        <f>SUM('案件．要員情報'!AH69:AM69)</f>
        <v>0.15151515151515152</v>
      </c>
      <c r="S68" s="133">
        <f>SUM('案件．要員情報'!AN69:AS69)</f>
        <v>0</v>
      </c>
      <c r="T68" s="133">
        <f>SUM('案件．要員情報'!AT69:AY69)</f>
        <v>0</v>
      </c>
      <c r="U68" s="133">
        <f>SUM('案件．要員情報'!AZ69:BF69)</f>
        <v>0</v>
      </c>
      <c r="V68" s="133">
        <f>SUM('案件．要員情報'!BG69:BN69)</f>
        <v>0</v>
      </c>
      <c r="W68" s="133">
        <f>SUM('案件．要員情報'!BO69:BV69)</f>
        <v>0</v>
      </c>
      <c r="X68" s="133">
        <f>SUM('案件．要員情報'!BW69:CD69)</f>
        <v>0</v>
      </c>
      <c r="Y68" s="133">
        <f>SUM('案件．要員情報'!CE69:CL69)</f>
        <v>0</v>
      </c>
      <c r="Z68" s="133">
        <f>SUM('案件．要員情報'!CM69:CT69)</f>
        <v>0</v>
      </c>
      <c r="AA68" s="180">
        <f t="shared" si="4"/>
        <v>0.15151515151515152</v>
      </c>
    </row>
    <row r="69" spans="1:27" s="116" customFormat="1" ht="20.100000000000001" customHeight="1" x14ac:dyDescent="0.4">
      <c r="A69" s="349"/>
      <c r="B69" s="351"/>
      <c r="C69" s="351"/>
      <c r="D69" s="353"/>
      <c r="E69" s="353"/>
      <c r="F69" s="353"/>
      <c r="G69" s="385"/>
      <c r="H69" s="387"/>
      <c r="I69" s="387"/>
      <c r="J69" s="387"/>
      <c r="K69" s="387"/>
      <c r="L69" s="387"/>
      <c r="M69" s="387"/>
      <c r="N69" s="137" t="s">
        <v>25</v>
      </c>
      <c r="O69" s="135">
        <f>SUM('案件．要員情報'!O70:U70)</f>
        <v>0</v>
      </c>
      <c r="P69" s="135">
        <f>SUM('案件．要員情報'!V70:AA70)</f>
        <v>0</v>
      </c>
      <c r="Q69" s="135">
        <f>SUM('案件．要員情報'!AB70:AG70)</f>
        <v>0</v>
      </c>
      <c r="R69" s="135">
        <f>SUM('案件．要員情報'!AH70:AM70)</f>
        <v>0.14393939393939392</v>
      </c>
      <c r="S69" s="135">
        <f>SUM('案件．要員情報'!AN70:AS70)</f>
        <v>0</v>
      </c>
      <c r="T69" s="135">
        <f>SUM('案件．要員情報'!AT70:AY70)</f>
        <v>0</v>
      </c>
      <c r="U69" s="135">
        <f>SUM('案件．要員情報'!AZ70:BF70)</f>
        <v>0</v>
      </c>
      <c r="V69" s="135">
        <f>SUM('案件．要員情報'!BG70:BN70)</f>
        <v>0</v>
      </c>
      <c r="W69" s="135">
        <f>SUM('案件．要員情報'!BO70:BV70)</f>
        <v>0</v>
      </c>
      <c r="X69" s="135">
        <f>SUM('案件．要員情報'!BW70:CD70)</f>
        <v>0</v>
      </c>
      <c r="Y69" s="135">
        <f>SUM('案件．要員情報'!CE70:CL70)</f>
        <v>0</v>
      </c>
      <c r="Z69" s="135">
        <f>SUM('案件．要員情報'!CM70:CT70)</f>
        <v>0</v>
      </c>
      <c r="AA69" s="138">
        <f t="shared" si="4"/>
        <v>0.14393939393939392</v>
      </c>
    </row>
    <row r="70" spans="1:27" s="116" customFormat="1" ht="20.100000000000001" customHeight="1" x14ac:dyDescent="0.4">
      <c r="A70" s="348">
        <v>33</v>
      </c>
      <c r="B70" s="350" t="s">
        <v>47</v>
      </c>
      <c r="C70" s="350" t="s">
        <v>343</v>
      </c>
      <c r="D70" s="352" t="s">
        <v>424</v>
      </c>
      <c r="E70" s="352" t="s">
        <v>715</v>
      </c>
      <c r="F70" s="352" t="s">
        <v>1008</v>
      </c>
      <c r="G70" s="385" t="s">
        <v>718</v>
      </c>
      <c r="H70" s="386"/>
      <c r="I70" s="386"/>
      <c r="J70" s="386"/>
      <c r="K70" s="386"/>
      <c r="L70" s="386"/>
      <c r="M70" s="386"/>
      <c r="N70" s="136" t="s">
        <v>24</v>
      </c>
      <c r="O70" s="133">
        <f>SUM('案件．要員情報'!O71:U71)</f>
        <v>0</v>
      </c>
      <c r="P70" s="133">
        <f>SUM('案件．要員情報'!V71:AA71)</f>
        <v>0</v>
      </c>
      <c r="Q70" s="133">
        <f>SUM('案件．要員情報'!AB71:AG71)</f>
        <v>0</v>
      </c>
      <c r="R70" s="133">
        <f>SUM('案件．要員情報'!AH71:AM71)</f>
        <v>0.32121212121212123</v>
      </c>
      <c r="S70" s="133">
        <f>SUM('案件．要員情報'!AN71:AS71)</f>
        <v>0</v>
      </c>
      <c r="T70" s="133">
        <f>SUM('案件．要員情報'!AT71:AY71)</f>
        <v>0</v>
      </c>
      <c r="U70" s="133">
        <f>SUM('案件．要員情報'!AZ71:BF71)</f>
        <v>0</v>
      </c>
      <c r="V70" s="133">
        <f>SUM('案件．要員情報'!BG71:BN71)</f>
        <v>0</v>
      </c>
      <c r="W70" s="133">
        <f>SUM('案件．要員情報'!BO71:BV71)</f>
        <v>0</v>
      </c>
      <c r="X70" s="133">
        <f>SUM('案件．要員情報'!BW71:CD71)</f>
        <v>0</v>
      </c>
      <c r="Y70" s="133">
        <f>SUM('案件．要員情報'!CE71:CL71)</f>
        <v>0</v>
      </c>
      <c r="Z70" s="133">
        <f>SUM('案件．要員情報'!CM71:CT71)</f>
        <v>0</v>
      </c>
      <c r="AA70" s="180">
        <f t="shared" si="4"/>
        <v>0.32121212121212123</v>
      </c>
    </row>
    <row r="71" spans="1:27" s="116" customFormat="1" ht="20.100000000000001" customHeight="1" x14ac:dyDescent="0.4">
      <c r="A71" s="349"/>
      <c r="B71" s="351"/>
      <c r="C71" s="351"/>
      <c r="D71" s="353"/>
      <c r="E71" s="353"/>
      <c r="F71" s="353"/>
      <c r="G71" s="385"/>
      <c r="H71" s="387"/>
      <c r="I71" s="387"/>
      <c r="J71" s="387"/>
      <c r="K71" s="387"/>
      <c r="L71" s="387"/>
      <c r="M71" s="387"/>
      <c r="N71" s="137" t="s">
        <v>25</v>
      </c>
      <c r="O71" s="135">
        <f>SUM('案件．要員情報'!O72:U72)</f>
        <v>0</v>
      </c>
      <c r="P71" s="135">
        <f>SUM('案件．要員情報'!V72:AA72)</f>
        <v>0</v>
      </c>
      <c r="Q71" s="135">
        <f>SUM('案件．要員情報'!AB72:AG72)</f>
        <v>0</v>
      </c>
      <c r="R71" s="135">
        <f>SUM('案件．要員情報'!AH72:AM72)</f>
        <v>0.31212121212121213</v>
      </c>
      <c r="S71" s="135">
        <f>SUM('案件．要員情報'!AN72:AS72)</f>
        <v>0</v>
      </c>
      <c r="T71" s="135">
        <f>SUM('案件．要員情報'!AT72:AY72)</f>
        <v>0</v>
      </c>
      <c r="U71" s="135">
        <f>SUM('案件．要員情報'!AZ72:BF72)</f>
        <v>0</v>
      </c>
      <c r="V71" s="135">
        <f>SUM('案件．要員情報'!BG72:BN72)</f>
        <v>0</v>
      </c>
      <c r="W71" s="135">
        <f>SUM('案件．要員情報'!BO72:BV72)</f>
        <v>0</v>
      </c>
      <c r="X71" s="135">
        <f>SUM('案件．要員情報'!BW72:CD72)</f>
        <v>0</v>
      </c>
      <c r="Y71" s="135">
        <f>SUM('案件．要員情報'!CE72:CL72)</f>
        <v>0</v>
      </c>
      <c r="Z71" s="135">
        <f>SUM('案件．要員情報'!CM72:CT72)</f>
        <v>0</v>
      </c>
      <c r="AA71" s="138">
        <f t="shared" si="4"/>
        <v>0.31212121212121213</v>
      </c>
    </row>
    <row r="72" spans="1:27" s="116" customFormat="1" ht="20.100000000000001" customHeight="1" x14ac:dyDescent="0.4">
      <c r="A72" s="348">
        <v>34</v>
      </c>
      <c r="B72" s="350" t="s">
        <v>47</v>
      </c>
      <c r="C72" s="350" t="s">
        <v>343</v>
      </c>
      <c r="D72" s="352" t="s">
        <v>420</v>
      </c>
      <c r="E72" s="352" t="s">
        <v>716</v>
      </c>
      <c r="F72" s="352" t="s">
        <v>1009</v>
      </c>
      <c r="G72" s="385" t="s">
        <v>719</v>
      </c>
      <c r="H72" s="386"/>
      <c r="I72" s="386"/>
      <c r="J72" s="386"/>
      <c r="K72" s="386"/>
      <c r="L72" s="386"/>
      <c r="M72" s="386"/>
      <c r="N72" s="136" t="s">
        <v>24</v>
      </c>
      <c r="O72" s="133">
        <f>SUM('案件．要員情報'!O73:U73)</f>
        <v>0</v>
      </c>
      <c r="P72" s="133">
        <f>SUM('案件．要員情報'!V73:AA73)</f>
        <v>0</v>
      </c>
      <c r="Q72" s="133">
        <f>SUM('案件．要員情報'!AB73:AG73)</f>
        <v>0</v>
      </c>
      <c r="R72" s="133">
        <f>SUM('案件．要員情報'!AH73:AM73)</f>
        <v>0.14545454545454545</v>
      </c>
      <c r="S72" s="133">
        <f>SUM('案件．要員情報'!AN73:AS73)</f>
        <v>0</v>
      </c>
      <c r="T72" s="133">
        <f>SUM('案件．要員情報'!AT73:AY73)</f>
        <v>0</v>
      </c>
      <c r="U72" s="133">
        <f>SUM('案件．要員情報'!AZ73:BF73)</f>
        <v>0</v>
      </c>
      <c r="V72" s="133">
        <f>SUM('案件．要員情報'!BG73:BN73)</f>
        <v>0</v>
      </c>
      <c r="W72" s="133">
        <f>SUM('案件．要員情報'!BO73:BV73)</f>
        <v>0</v>
      </c>
      <c r="X72" s="133">
        <f>SUM('案件．要員情報'!BW73:CD73)</f>
        <v>0</v>
      </c>
      <c r="Y72" s="133">
        <f>SUM('案件．要員情報'!CE73:CL73)</f>
        <v>0</v>
      </c>
      <c r="Z72" s="133">
        <f>SUM('案件．要員情報'!CM73:CT73)</f>
        <v>0</v>
      </c>
      <c r="AA72" s="180">
        <f t="shared" si="4"/>
        <v>0.14545454545454545</v>
      </c>
    </row>
    <row r="73" spans="1:27" s="116" customFormat="1" ht="20.100000000000001" customHeight="1" x14ac:dyDescent="0.4">
      <c r="A73" s="349"/>
      <c r="B73" s="351"/>
      <c r="C73" s="351"/>
      <c r="D73" s="353"/>
      <c r="E73" s="353"/>
      <c r="F73" s="353"/>
      <c r="G73" s="385"/>
      <c r="H73" s="387"/>
      <c r="I73" s="387"/>
      <c r="J73" s="387"/>
      <c r="K73" s="387"/>
      <c r="L73" s="387"/>
      <c r="M73" s="387"/>
      <c r="N73" s="137" t="s">
        <v>25</v>
      </c>
      <c r="O73" s="135">
        <f>SUM('案件．要員情報'!O74:U74)</f>
        <v>0</v>
      </c>
      <c r="P73" s="135">
        <f>SUM('案件．要員情報'!V74:AA74)</f>
        <v>0</v>
      </c>
      <c r="Q73" s="135">
        <f>SUM('案件．要員情報'!AB74:AG74)</f>
        <v>0</v>
      </c>
      <c r="R73" s="135">
        <f>SUM('案件．要員情報'!AH74:AM74)</f>
        <v>0.12575757575757576</v>
      </c>
      <c r="S73" s="135">
        <f>SUM('案件．要員情報'!AN74:AS74)</f>
        <v>0</v>
      </c>
      <c r="T73" s="135">
        <f>SUM('案件．要員情報'!AT74:AY74)</f>
        <v>0</v>
      </c>
      <c r="U73" s="135">
        <f>SUM('案件．要員情報'!AZ74:BF74)</f>
        <v>0</v>
      </c>
      <c r="V73" s="135">
        <f>SUM('案件．要員情報'!BG74:BN74)</f>
        <v>0</v>
      </c>
      <c r="W73" s="135">
        <f>SUM('案件．要員情報'!BO74:BV74)</f>
        <v>0</v>
      </c>
      <c r="X73" s="135">
        <f>SUM('案件．要員情報'!BW74:CD74)</f>
        <v>0</v>
      </c>
      <c r="Y73" s="135">
        <f>SUM('案件．要員情報'!CE74:CL74)</f>
        <v>0</v>
      </c>
      <c r="Z73" s="135">
        <f>SUM('案件．要員情報'!CM74:CT74)</f>
        <v>0</v>
      </c>
      <c r="AA73" s="138">
        <f t="shared" si="4"/>
        <v>0.12575757575757576</v>
      </c>
    </row>
    <row r="74" spans="1:27" s="116" customFormat="1" ht="20.100000000000001" customHeight="1" x14ac:dyDescent="0.4">
      <c r="A74" s="348">
        <v>35</v>
      </c>
      <c r="B74" s="350" t="s">
        <v>47</v>
      </c>
      <c r="C74" s="350" t="s">
        <v>14</v>
      </c>
      <c r="D74" s="352" t="s">
        <v>733</v>
      </c>
      <c r="E74" s="352" t="s">
        <v>735</v>
      </c>
      <c r="F74" s="352" t="s">
        <v>734</v>
      </c>
      <c r="G74" s="385" t="s">
        <v>732</v>
      </c>
      <c r="H74" s="386"/>
      <c r="I74" s="386"/>
      <c r="J74" s="386"/>
      <c r="K74" s="386"/>
      <c r="L74" s="386"/>
      <c r="M74" s="386"/>
      <c r="N74" s="136" t="s">
        <v>24</v>
      </c>
      <c r="O74" s="133">
        <f>SUM('案件．要員情報'!O75:U75)</f>
        <v>0</v>
      </c>
      <c r="P74" s="133">
        <f>SUM('案件．要員情報'!V75:AA75)</f>
        <v>0</v>
      </c>
      <c r="Q74" s="133">
        <f>SUM('案件．要員情報'!AB75:AG75)</f>
        <v>0</v>
      </c>
      <c r="R74" s="133">
        <f>SUM('案件．要員情報'!AH75:AM75)</f>
        <v>0.15757575757575759</v>
      </c>
      <c r="S74" s="133">
        <f>SUM('案件．要員情報'!AN75:AS75)</f>
        <v>0.10158730158730159</v>
      </c>
      <c r="T74" s="133">
        <f>SUM('案件．要員情報'!AT75:AY75)</f>
        <v>0</v>
      </c>
      <c r="U74" s="133">
        <f>SUM('案件．要員情報'!AZ75:BF75)</f>
        <v>0</v>
      </c>
      <c r="V74" s="133">
        <f>SUM('案件．要員情報'!BG75:BN75)</f>
        <v>0</v>
      </c>
      <c r="W74" s="133">
        <f>SUM('案件．要員情報'!BO75:BV75)</f>
        <v>0</v>
      </c>
      <c r="X74" s="133">
        <f>SUM('案件．要員情報'!BW75:CD75)</f>
        <v>0</v>
      </c>
      <c r="Y74" s="133">
        <f>SUM('案件．要員情報'!CE75:CL75)</f>
        <v>0</v>
      </c>
      <c r="Z74" s="133">
        <f>SUM('案件．要員情報'!CM75:CT75)</f>
        <v>0</v>
      </c>
      <c r="AA74" s="180">
        <f t="shared" si="4"/>
        <v>0.25916305916305915</v>
      </c>
    </row>
    <row r="75" spans="1:27" s="116" customFormat="1" ht="20.100000000000001" customHeight="1" x14ac:dyDescent="0.4">
      <c r="A75" s="349"/>
      <c r="B75" s="351"/>
      <c r="C75" s="351"/>
      <c r="D75" s="353"/>
      <c r="E75" s="353"/>
      <c r="F75" s="353"/>
      <c r="G75" s="385"/>
      <c r="H75" s="387"/>
      <c r="I75" s="387"/>
      <c r="J75" s="387"/>
      <c r="K75" s="387"/>
      <c r="L75" s="387"/>
      <c r="M75" s="387"/>
      <c r="N75" s="137" t="s">
        <v>25</v>
      </c>
      <c r="O75" s="135">
        <f>SUM('案件．要員情報'!O76:U76)</f>
        <v>0</v>
      </c>
      <c r="P75" s="135">
        <f>SUM('案件．要員情報'!V76:AA76)</f>
        <v>0</v>
      </c>
      <c r="Q75" s="135">
        <f>SUM('案件．要員情報'!AB76:AG76)</f>
        <v>0</v>
      </c>
      <c r="R75" s="135">
        <f>SUM('案件．要員情報'!AH76:AM76)</f>
        <v>0.1484848484848485</v>
      </c>
      <c r="S75" s="135">
        <f>SUM('案件．要員情報'!AN76:AS76)</f>
        <v>9.6825396825396814E-2</v>
      </c>
      <c r="T75" s="135">
        <f>SUM('案件．要員情報'!AT76:AY76)</f>
        <v>0</v>
      </c>
      <c r="U75" s="135">
        <f>SUM('案件．要員情報'!AZ76:BF76)</f>
        <v>0</v>
      </c>
      <c r="V75" s="135">
        <f>SUM('案件．要員情報'!BG76:BN76)</f>
        <v>0</v>
      </c>
      <c r="W75" s="135">
        <f>SUM('案件．要員情報'!BO76:BV76)</f>
        <v>0</v>
      </c>
      <c r="X75" s="135">
        <f>SUM('案件．要員情報'!BW76:CD76)</f>
        <v>0</v>
      </c>
      <c r="Y75" s="135">
        <f>SUM('案件．要員情報'!CE76:CL76)</f>
        <v>0</v>
      </c>
      <c r="Z75" s="135">
        <f>SUM('案件．要員情報'!CM76:CT76)</f>
        <v>0</v>
      </c>
      <c r="AA75" s="138">
        <f t="shared" si="4"/>
        <v>0.24531024531024531</v>
      </c>
    </row>
    <row r="76" spans="1:27" s="116" customFormat="1" ht="20.100000000000001" customHeight="1" x14ac:dyDescent="0.4">
      <c r="A76" s="348">
        <v>36</v>
      </c>
      <c r="B76" s="350" t="s">
        <v>47</v>
      </c>
      <c r="C76" s="350" t="s">
        <v>343</v>
      </c>
      <c r="D76" s="352" t="s">
        <v>424</v>
      </c>
      <c r="E76" s="352" t="s">
        <v>731</v>
      </c>
      <c r="F76" s="352" t="s">
        <v>736</v>
      </c>
      <c r="G76" s="385" t="s">
        <v>737</v>
      </c>
      <c r="H76" s="386"/>
      <c r="I76" s="386"/>
      <c r="J76" s="386"/>
      <c r="K76" s="386"/>
      <c r="L76" s="386"/>
      <c r="M76" s="386"/>
      <c r="N76" s="136" t="s">
        <v>24</v>
      </c>
      <c r="O76" s="133">
        <f>SUM('案件．要員情報'!O77:U77)</f>
        <v>0</v>
      </c>
      <c r="P76" s="133">
        <f>SUM('案件．要員情報'!V77:AA77)</f>
        <v>0</v>
      </c>
      <c r="Q76" s="133">
        <f>SUM('案件．要員情報'!AB77:AG77)</f>
        <v>0</v>
      </c>
      <c r="R76" s="133">
        <f>SUM('案件．要員情報'!AH77:AM77)</f>
        <v>3.0303030303030304E-2</v>
      </c>
      <c r="S76" s="133">
        <f>SUM('案件．要員情報'!AN77:AS77)</f>
        <v>0</v>
      </c>
      <c r="T76" s="133">
        <f>SUM('案件．要員情報'!AT77:AY77)</f>
        <v>0</v>
      </c>
      <c r="U76" s="133">
        <f>SUM('案件．要員情報'!AZ77:BF77)</f>
        <v>0</v>
      </c>
      <c r="V76" s="133">
        <f>SUM('案件．要員情報'!BG77:BN77)</f>
        <v>0</v>
      </c>
      <c r="W76" s="133">
        <f>SUM('案件．要員情報'!BO77:BV77)</f>
        <v>0</v>
      </c>
      <c r="X76" s="133">
        <f>SUM('案件．要員情報'!BW77:CD77)</f>
        <v>0</v>
      </c>
      <c r="Y76" s="133">
        <f>SUM('案件．要員情報'!CE77:CL77)</f>
        <v>0</v>
      </c>
      <c r="Z76" s="133">
        <f>SUM('案件．要員情報'!CM77:CT77)</f>
        <v>0</v>
      </c>
      <c r="AA76" s="180">
        <f t="shared" si="4"/>
        <v>3.0303030303030304E-2</v>
      </c>
    </row>
    <row r="77" spans="1:27" s="116" customFormat="1" ht="20.100000000000001" customHeight="1" x14ac:dyDescent="0.4">
      <c r="A77" s="349"/>
      <c r="B77" s="351"/>
      <c r="C77" s="351"/>
      <c r="D77" s="353"/>
      <c r="E77" s="353"/>
      <c r="F77" s="353"/>
      <c r="G77" s="385"/>
      <c r="H77" s="387"/>
      <c r="I77" s="387"/>
      <c r="J77" s="387"/>
      <c r="K77" s="387"/>
      <c r="L77" s="387"/>
      <c r="M77" s="387"/>
      <c r="N77" s="137" t="s">
        <v>25</v>
      </c>
      <c r="O77" s="135">
        <f>SUM('案件．要員情報'!O78:U78)</f>
        <v>0</v>
      </c>
      <c r="P77" s="135">
        <f>SUM('案件．要員情報'!V78:AA78)</f>
        <v>0</v>
      </c>
      <c r="Q77" s="135">
        <f>SUM('案件．要員情報'!AB78:AG78)</f>
        <v>0</v>
      </c>
      <c r="R77" s="135">
        <f>SUM('案件．要員情報'!AH78:AM78)</f>
        <v>2.121212121212121E-2</v>
      </c>
      <c r="S77" s="135">
        <f>SUM('案件．要員情報'!AN78:AS78)</f>
        <v>0</v>
      </c>
      <c r="T77" s="135">
        <f>SUM('案件．要員情報'!AT78:AY78)</f>
        <v>0</v>
      </c>
      <c r="U77" s="135">
        <f>SUM('案件．要員情報'!AZ78:BF78)</f>
        <v>0</v>
      </c>
      <c r="V77" s="135">
        <f>SUM('案件．要員情報'!BG78:BN78)</f>
        <v>0</v>
      </c>
      <c r="W77" s="135">
        <f>SUM('案件．要員情報'!BO78:BV78)</f>
        <v>0</v>
      </c>
      <c r="X77" s="135">
        <f>SUM('案件．要員情報'!BW78:CD78)</f>
        <v>0</v>
      </c>
      <c r="Y77" s="135">
        <f>SUM('案件．要員情報'!CE78:CL78)</f>
        <v>0</v>
      </c>
      <c r="Z77" s="135">
        <f>SUM('案件．要員情報'!CM78:CT78)</f>
        <v>0</v>
      </c>
      <c r="AA77" s="138">
        <f t="shared" si="4"/>
        <v>2.121212121212121E-2</v>
      </c>
    </row>
    <row r="78" spans="1:27" s="116" customFormat="1" ht="20.100000000000001" customHeight="1" x14ac:dyDescent="0.4">
      <c r="A78" s="348">
        <v>37</v>
      </c>
      <c r="B78" s="350" t="s">
        <v>47</v>
      </c>
      <c r="C78" s="350" t="s">
        <v>14</v>
      </c>
      <c r="D78" s="352" t="s">
        <v>476</v>
      </c>
      <c r="E78" s="352" t="s">
        <v>739</v>
      </c>
      <c r="F78" s="352"/>
      <c r="G78" s="385" t="s">
        <v>738</v>
      </c>
      <c r="H78" s="386"/>
      <c r="I78" s="386"/>
      <c r="J78" s="386"/>
      <c r="K78" s="386"/>
      <c r="L78" s="386"/>
      <c r="M78" s="386"/>
      <c r="N78" s="136" t="s">
        <v>24</v>
      </c>
      <c r="O78" s="133">
        <f>SUM('案件．要員情報'!O79:U79)</f>
        <v>0</v>
      </c>
      <c r="P78" s="133">
        <f>SUM('案件．要員情報'!V79:AA79)</f>
        <v>0</v>
      </c>
      <c r="Q78" s="133">
        <f>SUM('案件．要員情報'!AB79:AG79)</f>
        <v>0</v>
      </c>
      <c r="R78" s="133">
        <f>SUM('案件．要員情報'!AH79:AM79)</f>
        <v>4.2424242424242427E-2</v>
      </c>
      <c r="S78" s="133">
        <f>SUM('案件．要員情報'!AN79:AS79)</f>
        <v>0</v>
      </c>
      <c r="T78" s="133">
        <f>SUM('案件．要員情報'!AT79:AY79)</f>
        <v>0</v>
      </c>
      <c r="U78" s="133">
        <f>SUM('案件．要員情報'!AZ79:BF79)</f>
        <v>0</v>
      </c>
      <c r="V78" s="133">
        <f>SUM('案件．要員情報'!BG79:BN79)</f>
        <v>0</v>
      </c>
      <c r="W78" s="133">
        <f>SUM('案件．要員情報'!BO79:BV79)</f>
        <v>0</v>
      </c>
      <c r="X78" s="133">
        <f>SUM('案件．要員情報'!BW79:CD79)</f>
        <v>0</v>
      </c>
      <c r="Y78" s="133">
        <f>SUM('案件．要員情報'!CE79:CL79)</f>
        <v>0</v>
      </c>
      <c r="Z78" s="133">
        <f>SUM('案件．要員情報'!CM79:CT79)</f>
        <v>0</v>
      </c>
      <c r="AA78" s="180">
        <f t="shared" si="4"/>
        <v>4.2424242424242427E-2</v>
      </c>
    </row>
    <row r="79" spans="1:27" s="116" customFormat="1" ht="20.100000000000001" customHeight="1" x14ac:dyDescent="0.4">
      <c r="A79" s="349"/>
      <c r="B79" s="351"/>
      <c r="C79" s="351"/>
      <c r="D79" s="353"/>
      <c r="E79" s="353"/>
      <c r="F79" s="353"/>
      <c r="G79" s="385"/>
      <c r="H79" s="387"/>
      <c r="I79" s="387"/>
      <c r="J79" s="387"/>
      <c r="K79" s="387"/>
      <c r="L79" s="387"/>
      <c r="M79" s="387"/>
      <c r="N79" s="137" t="s">
        <v>25</v>
      </c>
      <c r="O79" s="135">
        <f>SUM('案件．要員情報'!O80:U80)</f>
        <v>0</v>
      </c>
      <c r="P79" s="135">
        <f>SUM('案件．要員情報'!V80:AA80)</f>
        <v>0</v>
      </c>
      <c r="Q79" s="135">
        <f>SUM('案件．要員情報'!AB80:AG80)</f>
        <v>0</v>
      </c>
      <c r="R79" s="135">
        <f>SUM('案件．要員情報'!AH80:AM80)</f>
        <v>3.787878787878788E-2</v>
      </c>
      <c r="S79" s="135">
        <f>SUM('案件．要員情報'!AN80:AS80)</f>
        <v>0</v>
      </c>
      <c r="T79" s="135">
        <f>SUM('案件．要員情報'!AT80:AY80)</f>
        <v>0</v>
      </c>
      <c r="U79" s="135">
        <f>SUM('案件．要員情報'!AZ80:BF80)</f>
        <v>0</v>
      </c>
      <c r="V79" s="135">
        <f>SUM('案件．要員情報'!BG80:BN80)</f>
        <v>0</v>
      </c>
      <c r="W79" s="135">
        <f>SUM('案件．要員情報'!BO80:BV80)</f>
        <v>0</v>
      </c>
      <c r="X79" s="135">
        <f>SUM('案件．要員情報'!BW80:CD80)</f>
        <v>0</v>
      </c>
      <c r="Y79" s="135">
        <f>SUM('案件．要員情報'!CE80:CL80)</f>
        <v>0</v>
      </c>
      <c r="Z79" s="135">
        <f>SUM('案件．要員情報'!CM80:CT80)</f>
        <v>0</v>
      </c>
      <c r="AA79" s="138">
        <f t="shared" si="4"/>
        <v>3.787878787878788E-2</v>
      </c>
    </row>
    <row r="80" spans="1:27" s="116" customFormat="1" ht="20.100000000000001" customHeight="1" x14ac:dyDescent="0.4">
      <c r="A80" s="348">
        <v>38</v>
      </c>
      <c r="B80" s="350" t="s">
        <v>47</v>
      </c>
      <c r="C80" s="350" t="s">
        <v>14</v>
      </c>
      <c r="D80" s="352" t="s">
        <v>475</v>
      </c>
      <c r="E80" s="352" t="s">
        <v>746</v>
      </c>
      <c r="F80" s="352"/>
      <c r="G80" s="385" t="s">
        <v>745</v>
      </c>
      <c r="H80" s="386"/>
      <c r="I80" s="386"/>
      <c r="J80" s="386"/>
      <c r="K80" s="386"/>
      <c r="L80" s="386"/>
      <c r="M80" s="386"/>
      <c r="N80" s="136" t="s">
        <v>24</v>
      </c>
      <c r="O80" s="133">
        <f>SUM('案件．要員情報'!O81:U81)</f>
        <v>0</v>
      </c>
      <c r="P80" s="133">
        <f>SUM('案件．要員情報'!V81:AA81)</f>
        <v>0</v>
      </c>
      <c r="Q80" s="133">
        <f>SUM('案件．要員情報'!AB81:AG81)</f>
        <v>0</v>
      </c>
      <c r="R80" s="133">
        <f>SUM('案件．要員情報'!AH81:AM81)</f>
        <v>6.0606060606060608E-2</v>
      </c>
      <c r="S80" s="133">
        <f>SUM('案件．要員情報'!AN81:AS81)</f>
        <v>0</v>
      </c>
      <c r="T80" s="133">
        <f>SUM('案件．要員情報'!AT81:AY81)</f>
        <v>0</v>
      </c>
      <c r="U80" s="133">
        <f>SUM('案件．要員情報'!AZ81:BF81)</f>
        <v>0</v>
      </c>
      <c r="V80" s="133">
        <f>SUM('案件．要員情報'!BG81:BN81)</f>
        <v>0</v>
      </c>
      <c r="W80" s="133">
        <f>SUM('案件．要員情報'!BO81:BV81)</f>
        <v>0</v>
      </c>
      <c r="X80" s="133">
        <f>SUM('案件．要員情報'!BW81:CD81)</f>
        <v>0</v>
      </c>
      <c r="Y80" s="133">
        <f>SUM('案件．要員情報'!CE81:CL81)</f>
        <v>0</v>
      </c>
      <c r="Z80" s="133">
        <f>SUM('案件．要員情報'!CM81:CT81)</f>
        <v>0</v>
      </c>
      <c r="AA80" s="180">
        <f t="shared" si="4"/>
        <v>6.0606060606060608E-2</v>
      </c>
    </row>
    <row r="81" spans="1:27" s="116" customFormat="1" ht="20.100000000000001" customHeight="1" x14ac:dyDescent="0.4">
      <c r="A81" s="349"/>
      <c r="B81" s="351"/>
      <c r="C81" s="351"/>
      <c r="D81" s="353"/>
      <c r="E81" s="353"/>
      <c r="F81" s="353"/>
      <c r="G81" s="385"/>
      <c r="H81" s="387"/>
      <c r="I81" s="387"/>
      <c r="J81" s="387"/>
      <c r="K81" s="387"/>
      <c r="L81" s="387"/>
      <c r="M81" s="387"/>
      <c r="N81" s="137" t="s">
        <v>25</v>
      </c>
      <c r="O81" s="135">
        <f>SUM('案件．要員情報'!O82:U82)</f>
        <v>0</v>
      </c>
      <c r="P81" s="135">
        <f>SUM('案件．要員情報'!V82:AA82)</f>
        <v>0</v>
      </c>
      <c r="Q81" s="135">
        <f>SUM('案件．要員情報'!AB82:AG82)</f>
        <v>0</v>
      </c>
      <c r="R81" s="135">
        <f>SUM('案件．要員情報'!AH82:AM82)</f>
        <v>5.909090909090909E-2</v>
      </c>
      <c r="S81" s="135">
        <f>SUM('案件．要員情報'!AN82:AS82)</f>
        <v>0</v>
      </c>
      <c r="T81" s="135">
        <f>SUM('案件．要員情報'!AT82:AY82)</f>
        <v>0</v>
      </c>
      <c r="U81" s="135">
        <f>SUM('案件．要員情報'!AZ82:BF82)</f>
        <v>0</v>
      </c>
      <c r="V81" s="135">
        <f>SUM('案件．要員情報'!BG82:BN82)</f>
        <v>0</v>
      </c>
      <c r="W81" s="135">
        <f>SUM('案件．要員情報'!BO82:BV82)</f>
        <v>0</v>
      </c>
      <c r="X81" s="135">
        <f>SUM('案件．要員情報'!BW82:CD82)</f>
        <v>0</v>
      </c>
      <c r="Y81" s="135">
        <f>SUM('案件．要員情報'!CE82:CL82)</f>
        <v>0</v>
      </c>
      <c r="Z81" s="135">
        <f>SUM('案件．要員情報'!CM82:CT82)</f>
        <v>0</v>
      </c>
      <c r="AA81" s="138">
        <f t="shared" si="4"/>
        <v>5.909090909090909E-2</v>
      </c>
    </row>
    <row r="82" spans="1:27" s="116" customFormat="1" ht="20.100000000000001" customHeight="1" x14ac:dyDescent="0.4">
      <c r="A82" s="348">
        <v>39</v>
      </c>
      <c r="B82" s="350" t="s">
        <v>46</v>
      </c>
      <c r="C82" s="350" t="s">
        <v>14</v>
      </c>
      <c r="D82" s="352" t="s">
        <v>771</v>
      </c>
      <c r="E82" s="352" t="s">
        <v>769</v>
      </c>
      <c r="F82" s="352"/>
      <c r="G82" s="385" t="s">
        <v>772</v>
      </c>
      <c r="H82" s="386"/>
      <c r="I82" s="386"/>
      <c r="J82" s="386"/>
      <c r="K82" s="386"/>
      <c r="L82" s="386"/>
      <c r="M82" s="386"/>
      <c r="N82" s="136" t="s">
        <v>24</v>
      </c>
      <c r="O82" s="133">
        <f>SUM('案件．要員情報'!O83:U83)</f>
        <v>0</v>
      </c>
      <c r="P82" s="133">
        <f>SUM('案件．要員情報'!V83:AA83)</f>
        <v>0</v>
      </c>
      <c r="Q82" s="133">
        <f>SUM('案件．要員情報'!AB83:AG83)</f>
        <v>0</v>
      </c>
      <c r="R82" s="133">
        <f>SUM('案件．要員情報'!AH83:AM83)</f>
        <v>2.4242424242424242E-2</v>
      </c>
      <c r="S82" s="133">
        <f>SUM('案件．要員情報'!AN83:AS83)</f>
        <v>0.71111111111111103</v>
      </c>
      <c r="T82" s="133">
        <f>SUM('案件．要員情報'!AT83:AY83)</f>
        <v>0.81212121212121202</v>
      </c>
      <c r="U82" s="133">
        <f>SUM('案件．要員情報'!AZ83:BF83)</f>
        <v>0.18</v>
      </c>
      <c r="V82" s="133">
        <f>SUM('案件．要員情報'!BG83:BN83)</f>
        <v>0</v>
      </c>
      <c r="W82" s="133">
        <f>SUM('案件．要員情報'!BO83:BV83)</f>
        <v>0</v>
      </c>
      <c r="X82" s="133">
        <f>SUM('案件．要員情報'!BW83:CD83)</f>
        <v>0</v>
      </c>
      <c r="Y82" s="133">
        <f>SUM('案件．要員情報'!CE83:CL83)</f>
        <v>0</v>
      </c>
      <c r="Z82" s="133">
        <f>SUM('案件．要員情報'!CM83:CT83)</f>
        <v>0</v>
      </c>
      <c r="AA82" s="180">
        <f t="shared" si="4"/>
        <v>1.7274747474747472</v>
      </c>
    </row>
    <row r="83" spans="1:27" s="116" customFormat="1" ht="20.100000000000001" customHeight="1" x14ac:dyDescent="0.4">
      <c r="A83" s="349"/>
      <c r="B83" s="351"/>
      <c r="C83" s="351"/>
      <c r="D83" s="353"/>
      <c r="E83" s="353"/>
      <c r="F83" s="353"/>
      <c r="G83" s="385"/>
      <c r="H83" s="387"/>
      <c r="I83" s="387"/>
      <c r="J83" s="387"/>
      <c r="K83" s="387"/>
      <c r="L83" s="387"/>
      <c r="M83" s="387"/>
      <c r="N83" s="137" t="s">
        <v>25</v>
      </c>
      <c r="O83" s="135">
        <f>SUM('案件．要員情報'!O84:U84)</f>
        <v>0</v>
      </c>
      <c r="P83" s="135">
        <f>SUM('案件．要員情報'!V84:AA84)</f>
        <v>0</v>
      </c>
      <c r="Q83" s="135">
        <f>SUM('案件．要員情報'!AB84:AG84)</f>
        <v>0</v>
      </c>
      <c r="R83" s="135">
        <f>SUM('案件．要員情報'!AH84:AM84)</f>
        <v>2.1212121212121213E-2</v>
      </c>
      <c r="S83" s="135">
        <f>SUM('案件．要員情報'!AN84:AS84)</f>
        <v>0.70158730158730154</v>
      </c>
      <c r="T83" s="135">
        <f>SUM('案件．要員情報'!AT84:AY84)</f>
        <v>0.79242424242424248</v>
      </c>
      <c r="U83" s="135">
        <f>SUM('案件．要員情報'!AZ84:BF84)</f>
        <v>0.13833333333333334</v>
      </c>
      <c r="V83" s="135">
        <f>SUM('案件．要員情報'!BG84:BN84)</f>
        <v>0</v>
      </c>
      <c r="W83" s="135">
        <f>SUM('案件．要員情報'!BO84:BV84)</f>
        <v>0</v>
      </c>
      <c r="X83" s="135">
        <f>SUM('案件．要員情報'!BW84:CD84)</f>
        <v>0</v>
      </c>
      <c r="Y83" s="135">
        <f>SUM('案件．要員情報'!CE84:CL84)</f>
        <v>0</v>
      </c>
      <c r="Z83" s="135">
        <f>SUM('案件．要員情報'!CM84:CT84)</f>
        <v>0</v>
      </c>
      <c r="AA83" s="138">
        <f t="shared" si="4"/>
        <v>1.6535569985569987</v>
      </c>
    </row>
    <row r="84" spans="1:27" s="116" customFormat="1" ht="20.100000000000001" customHeight="1" x14ac:dyDescent="0.4">
      <c r="A84" s="348">
        <v>40</v>
      </c>
      <c r="B84" s="350" t="s">
        <v>47</v>
      </c>
      <c r="C84" s="350" t="s">
        <v>14</v>
      </c>
      <c r="D84" s="352" t="s">
        <v>774</v>
      </c>
      <c r="E84" s="352" t="s">
        <v>770</v>
      </c>
      <c r="F84" s="352"/>
      <c r="G84" s="385" t="s">
        <v>773</v>
      </c>
      <c r="H84" s="386"/>
      <c r="I84" s="386"/>
      <c r="J84" s="386"/>
      <c r="K84" s="386"/>
      <c r="L84" s="386"/>
      <c r="M84" s="386"/>
      <c r="N84" s="136" t="s">
        <v>24</v>
      </c>
      <c r="O84" s="133">
        <f>SUM('案件．要員情報'!O85:U85)</f>
        <v>0</v>
      </c>
      <c r="P84" s="133">
        <f>SUM('案件．要員情報'!V85:AA85)</f>
        <v>0</v>
      </c>
      <c r="Q84" s="133">
        <f>SUM('案件．要員情報'!AB85:AG85)</f>
        <v>0</v>
      </c>
      <c r="R84" s="133">
        <f>SUM('案件．要員情報'!AH85:AM85)</f>
        <v>1.8181818181818181E-2</v>
      </c>
      <c r="S84" s="133">
        <f>SUM('案件．要員情報'!AN85:AS85)</f>
        <v>0.43809523809523809</v>
      </c>
      <c r="T84" s="133">
        <f>SUM('案件．要員情報'!AT85:AY85)</f>
        <v>0</v>
      </c>
      <c r="U84" s="133">
        <f>SUM('案件．要員情報'!AZ85:BF85)</f>
        <v>0</v>
      </c>
      <c r="V84" s="133">
        <f>SUM('案件．要員情報'!BG85:BN85)</f>
        <v>0</v>
      </c>
      <c r="W84" s="133">
        <f>SUM('案件．要員情報'!BO85:BV85)</f>
        <v>0</v>
      </c>
      <c r="X84" s="133">
        <f>SUM('案件．要員情報'!BW85:CD85)</f>
        <v>0</v>
      </c>
      <c r="Y84" s="133">
        <f>SUM('案件．要員情報'!CE85:CL85)</f>
        <v>0</v>
      </c>
      <c r="Z84" s="133">
        <f>SUM('案件．要員情報'!CM85:CT85)</f>
        <v>0</v>
      </c>
      <c r="AA84" s="180">
        <f t="shared" si="4"/>
        <v>0.45627705627705628</v>
      </c>
    </row>
    <row r="85" spans="1:27" s="116" customFormat="1" ht="20.100000000000001" customHeight="1" x14ac:dyDescent="0.4">
      <c r="A85" s="349"/>
      <c r="B85" s="351"/>
      <c r="C85" s="351"/>
      <c r="D85" s="353"/>
      <c r="E85" s="353"/>
      <c r="F85" s="353"/>
      <c r="G85" s="385"/>
      <c r="H85" s="387"/>
      <c r="I85" s="387"/>
      <c r="J85" s="387"/>
      <c r="K85" s="387"/>
      <c r="L85" s="387"/>
      <c r="M85" s="387"/>
      <c r="N85" s="137" t="s">
        <v>25</v>
      </c>
      <c r="O85" s="135">
        <f>SUM('案件．要員情報'!O86:U86)</f>
        <v>0</v>
      </c>
      <c r="P85" s="135">
        <f>SUM('案件．要員情報'!V86:AA86)</f>
        <v>0</v>
      </c>
      <c r="Q85" s="135">
        <f>SUM('案件．要員情報'!AB86:AG86)</f>
        <v>0</v>
      </c>
      <c r="R85" s="135">
        <f>SUM('案件．要員情報'!AH86:AM86)</f>
        <v>1.5151515151515152E-2</v>
      </c>
      <c r="S85" s="135">
        <f>SUM('案件．要員情報'!AN86:AS86)</f>
        <v>0.42698412698412691</v>
      </c>
      <c r="T85" s="135">
        <f>SUM('案件．要員情報'!AT86:AY86)</f>
        <v>0</v>
      </c>
      <c r="U85" s="135">
        <f>SUM('案件．要員情報'!AZ86:BF86)</f>
        <v>0</v>
      </c>
      <c r="V85" s="135">
        <f>SUM('案件．要員情報'!BG86:BN86)</f>
        <v>0</v>
      </c>
      <c r="W85" s="135">
        <f>SUM('案件．要員情報'!BO86:BV86)</f>
        <v>0</v>
      </c>
      <c r="X85" s="135">
        <f>SUM('案件．要員情報'!BW86:CD86)</f>
        <v>0</v>
      </c>
      <c r="Y85" s="135">
        <f>SUM('案件．要員情報'!CE86:CL86)</f>
        <v>0</v>
      </c>
      <c r="Z85" s="135">
        <f>SUM('案件．要員情報'!CM86:CT86)</f>
        <v>0</v>
      </c>
      <c r="AA85" s="138">
        <f t="shared" si="4"/>
        <v>0.44213564213564205</v>
      </c>
    </row>
    <row r="86" spans="1:27" s="116" customFormat="1" ht="20.100000000000001" customHeight="1" x14ac:dyDescent="0.4">
      <c r="A86" s="348">
        <v>41</v>
      </c>
      <c r="B86" s="350" t="s">
        <v>47</v>
      </c>
      <c r="C86" s="350" t="s">
        <v>343</v>
      </c>
      <c r="D86" s="352" t="s">
        <v>796</v>
      </c>
      <c r="E86" s="352" t="s">
        <v>794</v>
      </c>
      <c r="F86" s="352" t="s">
        <v>791</v>
      </c>
      <c r="G86" s="385" t="s">
        <v>798</v>
      </c>
      <c r="H86" s="386"/>
      <c r="I86" s="386"/>
      <c r="J86" s="386"/>
      <c r="K86" s="386"/>
      <c r="L86" s="386"/>
      <c r="M86" s="386"/>
      <c r="N86" s="136" t="s">
        <v>24</v>
      </c>
      <c r="O86" s="133">
        <f>SUM('案件．要員情報'!O87:U87)</f>
        <v>0</v>
      </c>
      <c r="P86" s="133">
        <f>SUM('案件．要員情報'!V87:AA87)</f>
        <v>0</v>
      </c>
      <c r="Q86" s="133">
        <f>SUM('案件．要員情報'!AB87:AG87)</f>
        <v>0</v>
      </c>
      <c r="R86" s="133">
        <f>SUM('案件．要員情報'!AH87:AM87)</f>
        <v>0</v>
      </c>
      <c r="S86" s="133">
        <f>SUM('案件．要員情報'!AN87:AS87)</f>
        <v>0.14603174603174601</v>
      </c>
      <c r="T86" s="133">
        <f>SUM('案件．要員情報'!AT87:AY87)</f>
        <v>0</v>
      </c>
      <c r="U86" s="133">
        <f>SUM('案件．要員情報'!AZ87:BF87)</f>
        <v>0</v>
      </c>
      <c r="V86" s="133">
        <f>SUM('案件．要員情報'!BG87:BN87)</f>
        <v>0</v>
      </c>
      <c r="W86" s="133">
        <f>SUM('案件．要員情報'!BO87:BV87)</f>
        <v>0</v>
      </c>
      <c r="X86" s="133">
        <f>SUM('案件．要員情報'!BW87:CD87)</f>
        <v>0</v>
      </c>
      <c r="Y86" s="133">
        <f>SUM('案件．要員情報'!CE87:CL87)</f>
        <v>0</v>
      </c>
      <c r="Z86" s="133">
        <f>SUM('案件．要員情報'!CM87:CT87)</f>
        <v>0</v>
      </c>
      <c r="AA86" s="180">
        <f t="shared" si="4"/>
        <v>0.14603174603174601</v>
      </c>
    </row>
    <row r="87" spans="1:27" s="116" customFormat="1" ht="20.100000000000001" customHeight="1" x14ac:dyDescent="0.4">
      <c r="A87" s="349"/>
      <c r="B87" s="351"/>
      <c r="C87" s="351"/>
      <c r="D87" s="353"/>
      <c r="E87" s="353"/>
      <c r="F87" s="353"/>
      <c r="G87" s="385"/>
      <c r="H87" s="387"/>
      <c r="I87" s="387"/>
      <c r="J87" s="387"/>
      <c r="K87" s="387"/>
      <c r="L87" s="387"/>
      <c r="M87" s="387"/>
      <c r="N87" s="137" t="s">
        <v>25</v>
      </c>
      <c r="O87" s="135">
        <f>SUM('案件．要員情報'!O88:U88)</f>
        <v>0</v>
      </c>
      <c r="P87" s="135">
        <f>SUM('案件．要員情報'!V88:AA88)</f>
        <v>0</v>
      </c>
      <c r="Q87" s="135">
        <f>SUM('案件．要員情報'!AB88:AG88)</f>
        <v>0</v>
      </c>
      <c r="R87" s="135">
        <f>SUM('案件．要員情報'!AH88:AM88)</f>
        <v>0</v>
      </c>
      <c r="S87" s="135">
        <f>SUM('案件．要員情報'!AN88:AS88)</f>
        <v>0.13650793650793652</v>
      </c>
      <c r="T87" s="135">
        <f>SUM('案件．要員情報'!AT88:AY88)</f>
        <v>0</v>
      </c>
      <c r="U87" s="135">
        <f>SUM('案件．要員情報'!AZ88:BF88)</f>
        <v>0</v>
      </c>
      <c r="V87" s="135">
        <f>SUM('案件．要員情報'!BG88:BN88)</f>
        <v>0</v>
      </c>
      <c r="W87" s="135">
        <f>SUM('案件．要員情報'!BO88:BV88)</f>
        <v>0</v>
      </c>
      <c r="X87" s="135">
        <f>SUM('案件．要員情報'!BW88:CD88)</f>
        <v>0</v>
      </c>
      <c r="Y87" s="135">
        <f>SUM('案件．要員情報'!CE88:CL88)</f>
        <v>0</v>
      </c>
      <c r="Z87" s="135">
        <f>SUM('案件．要員情報'!CM88:CT88)</f>
        <v>0</v>
      </c>
      <c r="AA87" s="138">
        <f t="shared" si="4"/>
        <v>0.13650793650793652</v>
      </c>
    </row>
    <row r="88" spans="1:27" s="116" customFormat="1" ht="20.100000000000001" customHeight="1" x14ac:dyDescent="0.4">
      <c r="A88" s="348">
        <v>42</v>
      </c>
      <c r="B88" s="350" t="s">
        <v>47</v>
      </c>
      <c r="C88" s="350" t="s">
        <v>14</v>
      </c>
      <c r="D88" s="352" t="s">
        <v>797</v>
      </c>
      <c r="E88" s="352" t="s">
        <v>795</v>
      </c>
      <c r="F88" s="352"/>
      <c r="G88" s="385" t="s">
        <v>793</v>
      </c>
      <c r="H88" s="386"/>
      <c r="I88" s="386"/>
      <c r="J88" s="386"/>
      <c r="K88" s="386"/>
      <c r="L88" s="386"/>
      <c r="M88" s="386"/>
      <c r="N88" s="136" t="s">
        <v>24</v>
      </c>
      <c r="O88" s="133">
        <f>SUM('案件．要員情報'!O89:U89)</f>
        <v>0</v>
      </c>
      <c r="P88" s="133">
        <f>SUM('案件．要員情報'!V89:AA89)</f>
        <v>0</v>
      </c>
      <c r="Q88" s="133">
        <f>SUM('案件．要員情報'!AB89:AG89)</f>
        <v>0</v>
      </c>
      <c r="R88" s="133">
        <f>SUM('案件．要員情報'!AH89:AM89)</f>
        <v>0</v>
      </c>
      <c r="S88" s="133">
        <f>SUM('案件．要員情報'!AN89:AS89)</f>
        <v>7.6190476190476197E-2</v>
      </c>
      <c r="T88" s="133">
        <f>SUM('案件．要員情報'!AT89:AY89)</f>
        <v>0</v>
      </c>
      <c r="U88" s="133">
        <f>SUM('案件．要員情報'!AZ89:BF89)</f>
        <v>0</v>
      </c>
      <c r="V88" s="133">
        <f>SUM('案件．要員情報'!BG89:BN89)</f>
        <v>0</v>
      </c>
      <c r="W88" s="133">
        <f>SUM('案件．要員情報'!BO89:BV89)</f>
        <v>0</v>
      </c>
      <c r="X88" s="133">
        <f>SUM('案件．要員情報'!BW89:CD89)</f>
        <v>0</v>
      </c>
      <c r="Y88" s="133">
        <f>SUM('案件．要員情報'!CE89:CL89)</f>
        <v>0</v>
      </c>
      <c r="Z88" s="133">
        <f>SUM('案件．要員情報'!CM89:CT89)</f>
        <v>0</v>
      </c>
      <c r="AA88" s="180">
        <f t="shared" si="4"/>
        <v>7.6190476190476197E-2</v>
      </c>
    </row>
    <row r="89" spans="1:27" s="116" customFormat="1" ht="20.100000000000001" customHeight="1" x14ac:dyDescent="0.4">
      <c r="A89" s="349"/>
      <c r="B89" s="351"/>
      <c r="C89" s="351"/>
      <c r="D89" s="353"/>
      <c r="E89" s="353"/>
      <c r="F89" s="353"/>
      <c r="G89" s="385"/>
      <c r="H89" s="387"/>
      <c r="I89" s="387"/>
      <c r="J89" s="387"/>
      <c r="K89" s="387"/>
      <c r="L89" s="387"/>
      <c r="M89" s="387"/>
      <c r="N89" s="137" t="s">
        <v>25</v>
      </c>
      <c r="O89" s="135">
        <f>SUM('案件．要員情報'!O90:U90)</f>
        <v>0</v>
      </c>
      <c r="P89" s="135">
        <f>SUM('案件．要員情報'!V90:AA90)</f>
        <v>0</v>
      </c>
      <c r="Q89" s="135">
        <f>SUM('案件．要員情報'!AB90:AG90)</f>
        <v>0</v>
      </c>
      <c r="R89" s="135">
        <f>SUM('案件．要員情報'!AH90:AM90)</f>
        <v>0</v>
      </c>
      <c r="S89" s="135">
        <f>SUM('案件．要員情報'!AN90:AS90)</f>
        <v>6.5079365079365084E-2</v>
      </c>
      <c r="T89" s="135">
        <f>SUM('案件．要員情報'!AT90:AY90)</f>
        <v>0</v>
      </c>
      <c r="U89" s="135">
        <f>SUM('案件．要員情報'!AZ90:BF90)</f>
        <v>0</v>
      </c>
      <c r="V89" s="135">
        <f>SUM('案件．要員情報'!BG90:BN90)</f>
        <v>0</v>
      </c>
      <c r="W89" s="135">
        <f>SUM('案件．要員情報'!BO90:BV90)</f>
        <v>0</v>
      </c>
      <c r="X89" s="135">
        <f>SUM('案件．要員情報'!BW90:CD90)</f>
        <v>0</v>
      </c>
      <c r="Y89" s="135">
        <f>SUM('案件．要員情報'!CE90:CL90)</f>
        <v>0</v>
      </c>
      <c r="Z89" s="135">
        <f>SUM('案件．要員情報'!CM90:CT90)</f>
        <v>0</v>
      </c>
      <c r="AA89" s="138">
        <f t="shared" si="4"/>
        <v>6.5079365079365084E-2</v>
      </c>
    </row>
    <row r="90" spans="1:27" s="116" customFormat="1" ht="19.5" customHeight="1" x14ac:dyDescent="0.4">
      <c r="A90" s="348">
        <v>43</v>
      </c>
      <c r="B90" s="350" t="s">
        <v>47</v>
      </c>
      <c r="C90" s="350" t="s">
        <v>14</v>
      </c>
      <c r="D90" s="352" t="s">
        <v>807</v>
      </c>
      <c r="E90" s="352" t="s">
        <v>806</v>
      </c>
      <c r="F90" s="352" t="s">
        <v>809</v>
      </c>
      <c r="G90" s="385" t="s">
        <v>817</v>
      </c>
      <c r="H90" s="386"/>
      <c r="I90" s="386"/>
      <c r="J90" s="386"/>
      <c r="K90" s="386"/>
      <c r="L90" s="386"/>
      <c r="M90" s="386"/>
      <c r="N90" s="136" t="s">
        <v>24</v>
      </c>
      <c r="O90" s="133">
        <f>SUM('案件．要員情報'!O91:U91)</f>
        <v>0</v>
      </c>
      <c r="P90" s="133">
        <f>SUM('案件．要員情報'!V91:AA91)</f>
        <v>0</v>
      </c>
      <c r="Q90" s="133">
        <f>SUM('案件．要員情報'!AB91:AG91)</f>
        <v>0</v>
      </c>
      <c r="R90" s="133">
        <f>SUM('案件．要員情報'!AH91:AM91)</f>
        <v>0</v>
      </c>
      <c r="S90" s="133">
        <f>SUM('案件．要員情報'!AN91:AS91)</f>
        <v>0.16507936507936508</v>
      </c>
      <c r="T90" s="133">
        <f>SUM('案件．要員情報'!AT91:AY91)</f>
        <v>0</v>
      </c>
      <c r="U90" s="133">
        <f>SUM('案件．要員情報'!AZ91:BF91)</f>
        <v>0</v>
      </c>
      <c r="V90" s="133">
        <f>SUM('案件．要員情報'!BG91:BN91)</f>
        <v>0</v>
      </c>
      <c r="W90" s="133">
        <f>SUM('案件．要員情報'!BO91:BV91)</f>
        <v>0</v>
      </c>
      <c r="X90" s="133">
        <f>SUM('案件．要員情報'!BW91:CD91)</f>
        <v>0</v>
      </c>
      <c r="Y90" s="133">
        <f>SUM('案件．要員情報'!CE91:CL91)</f>
        <v>0</v>
      </c>
      <c r="Z90" s="133">
        <f>SUM('案件．要員情報'!CM91:CT91)</f>
        <v>0</v>
      </c>
      <c r="AA90" s="180">
        <f t="shared" si="4"/>
        <v>0.16507936507936508</v>
      </c>
    </row>
    <row r="91" spans="1:27" s="116" customFormat="1" ht="20.100000000000001" customHeight="1" x14ac:dyDescent="0.4">
      <c r="A91" s="349"/>
      <c r="B91" s="351"/>
      <c r="C91" s="351"/>
      <c r="D91" s="353"/>
      <c r="E91" s="353"/>
      <c r="F91" s="353"/>
      <c r="G91" s="385"/>
      <c r="H91" s="387"/>
      <c r="I91" s="387"/>
      <c r="J91" s="387"/>
      <c r="K91" s="387"/>
      <c r="L91" s="387"/>
      <c r="M91" s="387"/>
      <c r="N91" s="137" t="s">
        <v>25</v>
      </c>
      <c r="O91" s="135">
        <f>SUM('案件．要員情報'!O92:U92)</f>
        <v>0</v>
      </c>
      <c r="P91" s="135">
        <f>SUM('案件．要員情報'!V92:AA92)</f>
        <v>0</v>
      </c>
      <c r="Q91" s="135">
        <f>SUM('案件．要員情報'!AB92:AG92)</f>
        <v>0</v>
      </c>
      <c r="R91" s="135">
        <f>SUM('案件．要員情報'!AH92:AM92)</f>
        <v>0</v>
      </c>
      <c r="S91" s="135">
        <f>SUM('案件．要員情報'!AN92:AS92)</f>
        <v>0.15555555555555556</v>
      </c>
      <c r="T91" s="135">
        <f>SUM('案件．要員情報'!AT92:AY92)</f>
        <v>0</v>
      </c>
      <c r="U91" s="135">
        <f>SUM('案件．要員情報'!AZ92:BF92)</f>
        <v>0</v>
      </c>
      <c r="V91" s="135">
        <f>SUM('案件．要員情報'!BG92:BN92)</f>
        <v>0</v>
      </c>
      <c r="W91" s="135">
        <f>SUM('案件．要員情報'!BO92:BV92)</f>
        <v>0</v>
      </c>
      <c r="X91" s="135">
        <f>SUM('案件．要員情報'!BW92:CD92)</f>
        <v>0</v>
      </c>
      <c r="Y91" s="135">
        <f>SUM('案件．要員情報'!CE92:CL92)</f>
        <v>0</v>
      </c>
      <c r="Z91" s="135">
        <f>SUM('案件．要員情報'!CM92:CT92)</f>
        <v>0</v>
      </c>
      <c r="AA91" s="138">
        <f t="shared" si="4"/>
        <v>0.15555555555555556</v>
      </c>
    </row>
    <row r="92" spans="1:27" s="116" customFormat="1" ht="20.100000000000001" customHeight="1" x14ac:dyDescent="0.4">
      <c r="A92" s="348">
        <v>44</v>
      </c>
      <c r="B92" s="350" t="s">
        <v>47</v>
      </c>
      <c r="C92" s="350" t="s">
        <v>14</v>
      </c>
      <c r="D92" s="352" t="s">
        <v>643</v>
      </c>
      <c r="E92" s="352" t="s">
        <v>812</v>
      </c>
      <c r="F92" s="352"/>
      <c r="G92" s="385" t="s">
        <v>810</v>
      </c>
      <c r="H92" s="386"/>
      <c r="I92" s="386"/>
      <c r="J92" s="386"/>
      <c r="K92" s="386"/>
      <c r="L92" s="386"/>
      <c r="M92" s="386"/>
      <c r="N92" s="136" t="s">
        <v>24</v>
      </c>
      <c r="O92" s="133">
        <f>SUM('案件．要員情報'!O93:U93)</f>
        <v>0</v>
      </c>
      <c r="P92" s="133">
        <f>SUM('案件．要員情報'!V93:AA93)</f>
        <v>0</v>
      </c>
      <c r="Q92" s="133">
        <f>SUM('案件．要員情報'!AB93:AG93)</f>
        <v>0</v>
      </c>
      <c r="R92" s="133">
        <f>SUM('案件．要員情報'!AH93:AM93)</f>
        <v>0</v>
      </c>
      <c r="S92" s="133">
        <f>SUM('案件．要員情報'!AN93:AS93)</f>
        <v>0.24761904761904763</v>
      </c>
      <c r="T92" s="133">
        <f>SUM('案件．要員情報'!AT93:AY93)</f>
        <v>0</v>
      </c>
      <c r="U92" s="133">
        <f>SUM('案件．要員情報'!AZ93:BF93)</f>
        <v>0</v>
      </c>
      <c r="V92" s="133">
        <f>SUM('案件．要員情報'!BG93:BN93)</f>
        <v>0</v>
      </c>
      <c r="W92" s="133">
        <f>SUM('案件．要員情報'!BO93:BV93)</f>
        <v>0</v>
      </c>
      <c r="X92" s="133">
        <f>SUM('案件．要員情報'!BW93:CD93)</f>
        <v>0</v>
      </c>
      <c r="Y92" s="133">
        <f>SUM('案件．要員情報'!CE93:CL93)</f>
        <v>0</v>
      </c>
      <c r="Z92" s="133">
        <f>SUM('案件．要員情報'!CM93:CT93)</f>
        <v>0</v>
      </c>
      <c r="AA92" s="180">
        <f t="shared" si="4"/>
        <v>0.24761904761904763</v>
      </c>
    </row>
    <row r="93" spans="1:27" s="116" customFormat="1" ht="20.100000000000001" customHeight="1" x14ac:dyDescent="0.4">
      <c r="A93" s="349"/>
      <c r="B93" s="351"/>
      <c r="C93" s="351"/>
      <c r="D93" s="353"/>
      <c r="E93" s="353"/>
      <c r="F93" s="353"/>
      <c r="G93" s="385"/>
      <c r="H93" s="387"/>
      <c r="I93" s="387"/>
      <c r="J93" s="387"/>
      <c r="K93" s="387"/>
      <c r="L93" s="387"/>
      <c r="M93" s="387"/>
      <c r="N93" s="137" t="s">
        <v>25</v>
      </c>
      <c r="O93" s="135">
        <f>SUM('案件．要員情報'!O94:U94)</f>
        <v>0</v>
      </c>
      <c r="P93" s="135">
        <f>SUM('案件．要員情報'!V94:AA94)</f>
        <v>0</v>
      </c>
      <c r="Q93" s="135">
        <f>SUM('案件．要員情報'!AB94:AG94)</f>
        <v>0</v>
      </c>
      <c r="R93" s="135">
        <f>SUM('案件．要員情報'!AH94:AM94)</f>
        <v>0</v>
      </c>
      <c r="S93" s="135">
        <f>SUM('案件．要員情報'!AN94:AS94)</f>
        <v>0.24285714285714288</v>
      </c>
      <c r="T93" s="135">
        <f>SUM('案件．要員情報'!AT94:AY94)</f>
        <v>0</v>
      </c>
      <c r="U93" s="135">
        <f>SUM('案件．要員情報'!AZ94:BF94)</f>
        <v>0</v>
      </c>
      <c r="V93" s="135">
        <f>SUM('案件．要員情報'!BG94:BN94)</f>
        <v>0</v>
      </c>
      <c r="W93" s="135">
        <f>SUM('案件．要員情報'!BO94:BV94)</f>
        <v>0</v>
      </c>
      <c r="X93" s="135">
        <f>SUM('案件．要員情報'!BW94:CD94)</f>
        <v>0</v>
      </c>
      <c r="Y93" s="135">
        <f>SUM('案件．要員情報'!CE94:CL94)</f>
        <v>0</v>
      </c>
      <c r="Z93" s="135">
        <f>SUM('案件．要員情報'!CM94:CT94)</f>
        <v>0</v>
      </c>
      <c r="AA93" s="138">
        <f t="shared" si="4"/>
        <v>0.24285714285714288</v>
      </c>
    </row>
    <row r="94" spans="1:27" s="116" customFormat="1" ht="20.100000000000001" customHeight="1" x14ac:dyDescent="0.4">
      <c r="A94" s="348">
        <v>45</v>
      </c>
      <c r="B94" s="350" t="s">
        <v>47</v>
      </c>
      <c r="C94" s="350" t="s">
        <v>14</v>
      </c>
      <c r="D94" s="352" t="s">
        <v>835</v>
      </c>
      <c r="E94" s="352" t="s">
        <v>828</v>
      </c>
      <c r="F94" s="352"/>
      <c r="G94" s="386" t="s">
        <v>830</v>
      </c>
      <c r="H94" s="386"/>
      <c r="I94" s="386"/>
      <c r="J94" s="386"/>
      <c r="K94" s="386"/>
      <c r="L94" s="386"/>
      <c r="M94" s="386"/>
      <c r="N94" s="136" t="s">
        <v>24</v>
      </c>
      <c r="O94" s="133">
        <f>SUM('案件．要員情報'!O95:U95)</f>
        <v>0</v>
      </c>
      <c r="P94" s="133">
        <f>SUM('案件．要員情報'!V95:AA95)</f>
        <v>0</v>
      </c>
      <c r="Q94" s="133">
        <f>SUM('案件．要員情報'!AB95:AG95)</f>
        <v>0</v>
      </c>
      <c r="R94" s="133">
        <f>SUM('案件．要員情報'!AH95:AM95)</f>
        <v>0</v>
      </c>
      <c r="S94" s="133">
        <f>SUM('案件．要員情報'!AN95:AS95)</f>
        <v>4.7619047619047616E-2</v>
      </c>
      <c r="T94" s="133">
        <f>SUM('案件．要員情報'!AT95:AY95)</f>
        <v>0</v>
      </c>
      <c r="U94" s="133">
        <f>SUM('案件．要員情報'!AZ95:BF95)</f>
        <v>0</v>
      </c>
      <c r="V94" s="133">
        <f>SUM('案件．要員情報'!BG95:BN95)</f>
        <v>0</v>
      </c>
      <c r="W94" s="133">
        <f>SUM('案件．要員情報'!BO95:BV95)</f>
        <v>0</v>
      </c>
      <c r="X94" s="133">
        <f>SUM('案件．要員情報'!BW95:CD95)</f>
        <v>0</v>
      </c>
      <c r="Y94" s="133">
        <f>SUM('案件．要員情報'!CE95:CL95)</f>
        <v>0</v>
      </c>
      <c r="Z94" s="133">
        <f>SUM('案件．要員情報'!CM95:CT95)</f>
        <v>0</v>
      </c>
      <c r="AA94" s="180">
        <f t="shared" si="4"/>
        <v>4.7619047619047616E-2</v>
      </c>
    </row>
    <row r="95" spans="1:27" s="116" customFormat="1" ht="20.100000000000001" customHeight="1" x14ac:dyDescent="0.4">
      <c r="A95" s="349"/>
      <c r="B95" s="351"/>
      <c r="C95" s="351"/>
      <c r="D95" s="353"/>
      <c r="E95" s="353"/>
      <c r="F95" s="353"/>
      <c r="G95" s="387"/>
      <c r="H95" s="387"/>
      <c r="I95" s="387"/>
      <c r="J95" s="387"/>
      <c r="K95" s="387"/>
      <c r="L95" s="387"/>
      <c r="M95" s="387"/>
      <c r="N95" s="137" t="s">
        <v>25</v>
      </c>
      <c r="O95" s="135">
        <f>SUM('案件．要員情報'!O96:U96)</f>
        <v>0</v>
      </c>
      <c r="P95" s="135">
        <f>SUM('案件．要員情報'!V96:AA96)</f>
        <v>0</v>
      </c>
      <c r="Q95" s="135">
        <f>SUM('案件．要員情報'!AB96:AG96)</f>
        <v>0</v>
      </c>
      <c r="R95" s="135">
        <f>SUM('案件．要員情報'!AH96:AM96)</f>
        <v>0</v>
      </c>
      <c r="S95" s="135">
        <f>SUM('案件．要員情報'!AN96:AS96)</f>
        <v>3.8095238095238099E-2</v>
      </c>
      <c r="T95" s="135">
        <f>SUM('案件．要員情報'!AT96:AY96)</f>
        <v>0</v>
      </c>
      <c r="U95" s="135">
        <f>SUM('案件．要員情報'!AZ96:BF96)</f>
        <v>0</v>
      </c>
      <c r="V95" s="135">
        <f>SUM('案件．要員情報'!BG96:BN96)</f>
        <v>0</v>
      </c>
      <c r="W95" s="135">
        <f>SUM('案件．要員情報'!BO96:BV96)</f>
        <v>0</v>
      </c>
      <c r="X95" s="135">
        <f>SUM('案件．要員情報'!BW96:CD96)</f>
        <v>0</v>
      </c>
      <c r="Y95" s="135">
        <f>SUM('案件．要員情報'!CE96:CL96)</f>
        <v>0</v>
      </c>
      <c r="Z95" s="135">
        <f>SUM('案件．要員情報'!CM96:CT96)</f>
        <v>0</v>
      </c>
      <c r="AA95" s="138">
        <f t="shared" si="4"/>
        <v>3.8095238095238099E-2</v>
      </c>
    </row>
    <row r="96" spans="1:27" s="116" customFormat="1" ht="20.100000000000001" customHeight="1" x14ac:dyDescent="0.4">
      <c r="A96" s="348">
        <v>46</v>
      </c>
      <c r="B96" s="350" t="s">
        <v>47</v>
      </c>
      <c r="C96" s="350" t="s">
        <v>343</v>
      </c>
      <c r="D96" s="352" t="s">
        <v>807</v>
      </c>
      <c r="E96" s="352" t="s">
        <v>860</v>
      </c>
      <c r="F96" s="352" t="s">
        <v>870</v>
      </c>
      <c r="G96" s="385" t="s">
        <v>869</v>
      </c>
      <c r="H96" s="386"/>
      <c r="I96" s="386"/>
      <c r="J96" s="386"/>
      <c r="K96" s="386"/>
      <c r="L96" s="386"/>
      <c r="M96" s="386"/>
      <c r="N96" s="136" t="s">
        <v>24</v>
      </c>
      <c r="O96" s="133">
        <f>SUM('案件．要員情報'!O97:U97)</f>
        <v>0</v>
      </c>
      <c r="P96" s="133">
        <f>SUM('案件．要員情報'!V97:AA97)</f>
        <v>0</v>
      </c>
      <c r="Q96" s="133">
        <f>SUM('案件．要員情報'!AB97:AG97)</f>
        <v>0</v>
      </c>
      <c r="R96" s="133">
        <f>SUM('案件．要員情報'!AH97:AM97)</f>
        <v>0</v>
      </c>
      <c r="S96" s="133">
        <f>SUM('案件．要員情報'!AN97:AS97)</f>
        <v>5.0793650793650794E-2</v>
      </c>
      <c r="T96" s="133">
        <f>SUM('案件．要員情報'!AT97:AY97)</f>
        <v>0.25454545454545452</v>
      </c>
      <c r="U96" s="133">
        <f>SUM('案件．要員情報'!AZ97:BF97)</f>
        <v>0</v>
      </c>
      <c r="V96" s="133">
        <f>SUM('案件．要員情報'!BG97:BN97)</f>
        <v>0</v>
      </c>
      <c r="W96" s="133">
        <f>SUM('案件．要員情報'!BO97:BV97)</f>
        <v>0</v>
      </c>
      <c r="X96" s="133">
        <f>SUM('案件．要員情報'!BW97:CD97)</f>
        <v>0</v>
      </c>
      <c r="Y96" s="133">
        <f>SUM('案件．要員情報'!CE97:CL97)</f>
        <v>0</v>
      </c>
      <c r="Z96" s="133">
        <f>SUM('案件．要員情報'!CM97:CT97)</f>
        <v>0</v>
      </c>
      <c r="AA96" s="180">
        <f t="shared" si="4"/>
        <v>0.3053391053391053</v>
      </c>
    </row>
    <row r="97" spans="1:27" s="116" customFormat="1" ht="20.100000000000001" customHeight="1" x14ac:dyDescent="0.4">
      <c r="A97" s="349"/>
      <c r="B97" s="351"/>
      <c r="C97" s="351"/>
      <c r="D97" s="353"/>
      <c r="E97" s="353"/>
      <c r="F97" s="353"/>
      <c r="G97" s="385"/>
      <c r="H97" s="387"/>
      <c r="I97" s="387"/>
      <c r="J97" s="387"/>
      <c r="K97" s="387"/>
      <c r="L97" s="387"/>
      <c r="M97" s="387"/>
      <c r="N97" s="137" t="s">
        <v>25</v>
      </c>
      <c r="O97" s="135">
        <f>SUM('案件．要員情報'!O98:U98)</f>
        <v>0</v>
      </c>
      <c r="P97" s="135">
        <f>SUM('案件．要員情報'!V98:AA98)</f>
        <v>0</v>
      </c>
      <c r="Q97" s="135">
        <f>SUM('案件．要員情報'!AB98:AG98)</f>
        <v>0</v>
      </c>
      <c r="R97" s="135">
        <f>SUM('案件．要員情報'!AH98:AM98)</f>
        <v>0</v>
      </c>
      <c r="S97" s="135">
        <f>SUM('案件．要員情報'!AN98:AS98)</f>
        <v>5.0793650793650794E-2</v>
      </c>
      <c r="T97" s="135">
        <f>SUM('案件．要員情報'!AT98:AY98)</f>
        <v>0.24696969696969698</v>
      </c>
      <c r="U97" s="135">
        <f>SUM('案件．要員情報'!AZ98:BF98)</f>
        <v>0</v>
      </c>
      <c r="V97" s="135">
        <f>SUM('案件．要員情報'!BG98:BN98)</f>
        <v>0</v>
      </c>
      <c r="W97" s="135">
        <f>SUM('案件．要員情報'!BO98:BV98)</f>
        <v>0</v>
      </c>
      <c r="X97" s="135">
        <f>SUM('案件．要員情報'!BW98:CD98)</f>
        <v>0</v>
      </c>
      <c r="Y97" s="135">
        <f>SUM('案件．要員情報'!CE98:CL98)</f>
        <v>0</v>
      </c>
      <c r="Z97" s="135">
        <f>SUM('案件．要員情報'!CM98:CT98)</f>
        <v>0</v>
      </c>
      <c r="AA97" s="138">
        <f t="shared" si="4"/>
        <v>0.29776334776334779</v>
      </c>
    </row>
    <row r="98" spans="1:27" s="116" customFormat="1" ht="20.100000000000001" customHeight="1" x14ac:dyDescent="0.4">
      <c r="A98" s="348">
        <v>47</v>
      </c>
      <c r="B98" s="350" t="s">
        <v>47</v>
      </c>
      <c r="C98" s="350" t="s">
        <v>14</v>
      </c>
      <c r="D98" s="352" t="s">
        <v>476</v>
      </c>
      <c r="E98" s="352" t="s">
        <v>866</v>
      </c>
      <c r="F98" s="352"/>
      <c r="G98" s="385" t="s">
        <v>871</v>
      </c>
      <c r="H98" s="386"/>
      <c r="I98" s="386"/>
      <c r="J98" s="386"/>
      <c r="K98" s="386"/>
      <c r="L98" s="386"/>
      <c r="M98" s="386"/>
      <c r="N98" s="136" t="s">
        <v>24</v>
      </c>
      <c r="O98" s="133">
        <f>SUM('案件．要員情報'!O99:U99)</f>
        <v>0</v>
      </c>
      <c r="P98" s="133">
        <f>SUM('案件．要員情報'!V99:AA99)</f>
        <v>0</v>
      </c>
      <c r="Q98" s="133">
        <f>SUM('案件．要員情報'!AB99:AG99)</f>
        <v>0</v>
      </c>
      <c r="R98" s="133">
        <f>SUM('案件．要員情報'!AH99:AM99)</f>
        <v>0</v>
      </c>
      <c r="S98" s="133">
        <f>SUM('案件．要員情報'!AN99:AS99)</f>
        <v>0</v>
      </c>
      <c r="T98" s="133">
        <f>SUM('案件．要員情報'!AT99:AY99)</f>
        <v>0.47878787878787882</v>
      </c>
      <c r="U98" s="133">
        <f>SUM('案件．要員情報'!AZ99:BF99)</f>
        <v>0</v>
      </c>
      <c r="V98" s="133">
        <f>SUM('案件．要員情報'!BG99:BN99)</f>
        <v>0</v>
      </c>
      <c r="W98" s="133">
        <f>SUM('案件．要員情報'!BO99:BV99)</f>
        <v>0</v>
      </c>
      <c r="X98" s="133">
        <f>SUM('案件．要員情報'!BW99:CD99)</f>
        <v>0</v>
      </c>
      <c r="Y98" s="133">
        <f>SUM('案件．要員情報'!CE99:CL99)</f>
        <v>0</v>
      </c>
      <c r="Z98" s="133">
        <f>SUM('案件．要員情報'!CM99:CT99)</f>
        <v>0</v>
      </c>
      <c r="AA98" s="180">
        <f t="shared" si="4"/>
        <v>0.47878787878787882</v>
      </c>
    </row>
    <row r="99" spans="1:27" s="116" customFormat="1" ht="20.100000000000001" customHeight="1" x14ac:dyDescent="0.4">
      <c r="A99" s="349"/>
      <c r="B99" s="351"/>
      <c r="C99" s="351"/>
      <c r="D99" s="353"/>
      <c r="E99" s="353"/>
      <c r="F99" s="353"/>
      <c r="G99" s="385"/>
      <c r="H99" s="387"/>
      <c r="I99" s="387"/>
      <c r="J99" s="387"/>
      <c r="K99" s="387"/>
      <c r="L99" s="387"/>
      <c r="M99" s="387"/>
      <c r="N99" s="137" t="s">
        <v>25</v>
      </c>
      <c r="O99" s="135">
        <f>SUM('案件．要員情報'!O100:U100)</f>
        <v>0</v>
      </c>
      <c r="P99" s="135">
        <f>SUM('案件．要員情報'!V100:AA100)</f>
        <v>0</v>
      </c>
      <c r="Q99" s="135">
        <f>SUM('案件．要員情報'!AB100:AG100)</f>
        <v>0</v>
      </c>
      <c r="R99" s="135">
        <f>SUM('案件．要員情報'!AH100:AM100)</f>
        <v>0</v>
      </c>
      <c r="S99" s="135">
        <f>SUM('案件．要員情報'!AN100:AS100)</f>
        <v>0</v>
      </c>
      <c r="T99" s="135">
        <f>SUM('案件．要員情報'!AT100:AY100)</f>
        <v>0.47272727272727272</v>
      </c>
      <c r="U99" s="135">
        <f>SUM('案件．要員情報'!AZ100:BF100)</f>
        <v>5.0000000000000001E-3</v>
      </c>
      <c r="V99" s="135">
        <f>SUM('案件．要員情報'!BG100:BN100)</f>
        <v>0</v>
      </c>
      <c r="W99" s="135">
        <f>SUM('案件．要員情報'!BO100:BV100)</f>
        <v>0</v>
      </c>
      <c r="X99" s="135">
        <f>SUM('案件．要員情報'!BW100:CD100)</f>
        <v>0</v>
      </c>
      <c r="Y99" s="135">
        <f>SUM('案件．要員情報'!CE100:CL100)</f>
        <v>0</v>
      </c>
      <c r="Z99" s="135">
        <f>SUM('案件．要員情報'!CM100:CT100)</f>
        <v>0</v>
      </c>
      <c r="AA99" s="138">
        <f t="shared" si="4"/>
        <v>0.47772727272727272</v>
      </c>
    </row>
    <row r="100" spans="1:27" s="116" customFormat="1" ht="20.100000000000001" customHeight="1" x14ac:dyDescent="0.4">
      <c r="A100" s="348">
        <v>48</v>
      </c>
      <c r="B100" s="350" t="s">
        <v>47</v>
      </c>
      <c r="C100" s="350" t="s">
        <v>14</v>
      </c>
      <c r="D100" s="352" t="s">
        <v>420</v>
      </c>
      <c r="E100" s="352" t="s">
        <v>878</v>
      </c>
      <c r="F100" s="352" t="s">
        <v>877</v>
      </c>
      <c r="G100" s="385" t="s">
        <v>876</v>
      </c>
      <c r="H100" s="386"/>
      <c r="I100" s="386"/>
      <c r="J100" s="386"/>
      <c r="K100" s="386"/>
      <c r="L100" s="386"/>
      <c r="M100" s="386"/>
      <c r="N100" s="136" t="s">
        <v>24</v>
      </c>
      <c r="O100" s="133">
        <f>SUM('案件．要員情報'!O101:U101)</f>
        <v>0</v>
      </c>
      <c r="P100" s="133">
        <f>SUM('案件．要員情報'!V101:AA101)</f>
        <v>0</v>
      </c>
      <c r="Q100" s="133">
        <f>SUM('案件．要員情報'!AB101:AG101)</f>
        <v>0</v>
      </c>
      <c r="R100" s="133">
        <f>SUM('案件．要員情報'!AH101:AM101)</f>
        <v>0</v>
      </c>
      <c r="S100" s="133">
        <f>SUM('案件．要員情報'!AN101:AS101)</f>
        <v>0</v>
      </c>
      <c r="T100" s="133">
        <f>SUM('案件．要員情報'!AT101:AY101)</f>
        <v>8.484848484848484E-2</v>
      </c>
      <c r="U100" s="133">
        <f>SUM('案件．要員情報'!AZ101:BF101)</f>
        <v>0</v>
      </c>
      <c r="V100" s="133">
        <f>SUM('案件．要員情報'!BG101:BN101)</f>
        <v>0</v>
      </c>
      <c r="W100" s="133">
        <f>SUM('案件．要員情報'!BO101:BV101)</f>
        <v>0</v>
      </c>
      <c r="X100" s="133">
        <f>SUM('案件．要員情報'!BW101:CD101)</f>
        <v>0</v>
      </c>
      <c r="Y100" s="133">
        <f>SUM('案件．要員情報'!CE101:CL101)</f>
        <v>0</v>
      </c>
      <c r="Z100" s="133">
        <f>SUM('案件．要員情報'!CM101:CT101)</f>
        <v>0</v>
      </c>
      <c r="AA100" s="180">
        <f t="shared" si="4"/>
        <v>8.484848484848484E-2</v>
      </c>
    </row>
    <row r="101" spans="1:27" s="116" customFormat="1" ht="20.100000000000001" customHeight="1" x14ac:dyDescent="0.4">
      <c r="A101" s="349"/>
      <c r="B101" s="351"/>
      <c r="C101" s="351"/>
      <c r="D101" s="353"/>
      <c r="E101" s="353"/>
      <c r="F101" s="353"/>
      <c r="G101" s="385"/>
      <c r="H101" s="387"/>
      <c r="I101" s="387"/>
      <c r="J101" s="387"/>
      <c r="K101" s="387"/>
      <c r="L101" s="387"/>
      <c r="M101" s="387"/>
      <c r="N101" s="137" t="s">
        <v>25</v>
      </c>
      <c r="O101" s="135">
        <f>SUM('案件．要員情報'!O102:U102)</f>
        <v>0</v>
      </c>
      <c r="P101" s="135">
        <f>SUM('案件．要員情報'!V102:AA102)</f>
        <v>0</v>
      </c>
      <c r="Q101" s="135">
        <f>SUM('案件．要員情報'!AB102:AG102)</f>
        <v>0</v>
      </c>
      <c r="R101" s="135">
        <f>SUM('案件．要員情報'!AH102:AM102)</f>
        <v>0</v>
      </c>
      <c r="S101" s="135">
        <f>SUM('案件．要員情報'!AN102:AS102)</f>
        <v>0</v>
      </c>
      <c r="T101" s="135">
        <f>SUM('案件．要員情報'!AT102:AY102)</f>
        <v>6.9696969696969702E-2</v>
      </c>
      <c r="U101" s="135">
        <f>SUM('案件．要員情報'!AZ102:BF102)</f>
        <v>0</v>
      </c>
      <c r="V101" s="135">
        <f>SUM('案件．要員情報'!BG102:BN102)</f>
        <v>0</v>
      </c>
      <c r="W101" s="135">
        <f>SUM('案件．要員情報'!BO102:BV102)</f>
        <v>0</v>
      </c>
      <c r="X101" s="135">
        <f>SUM('案件．要員情報'!BW102:CD102)</f>
        <v>0</v>
      </c>
      <c r="Y101" s="135">
        <f>SUM('案件．要員情報'!CE102:CL102)</f>
        <v>0</v>
      </c>
      <c r="Z101" s="135">
        <f>SUM('案件．要員情報'!CM102:CT102)</f>
        <v>0</v>
      </c>
      <c r="AA101" s="138">
        <f t="shared" si="4"/>
        <v>6.9696969696969702E-2</v>
      </c>
    </row>
    <row r="102" spans="1:27" s="116" customFormat="1" ht="20.100000000000001" customHeight="1" x14ac:dyDescent="0.4">
      <c r="A102" s="348">
        <v>49</v>
      </c>
      <c r="B102" s="350" t="s">
        <v>47</v>
      </c>
      <c r="C102" s="350" t="s">
        <v>14</v>
      </c>
      <c r="D102" s="352" t="s">
        <v>475</v>
      </c>
      <c r="E102" s="352" t="s">
        <v>880</v>
      </c>
      <c r="F102" s="352"/>
      <c r="G102" s="385" t="s">
        <v>879</v>
      </c>
      <c r="H102" s="386"/>
      <c r="I102" s="386"/>
      <c r="J102" s="386"/>
      <c r="K102" s="386"/>
      <c r="L102" s="386"/>
      <c r="M102" s="386"/>
      <c r="N102" s="136" t="s">
        <v>24</v>
      </c>
      <c r="O102" s="133">
        <f>SUM('案件．要員情報'!O103:U103)</f>
        <v>0</v>
      </c>
      <c r="P102" s="133">
        <f>SUM('案件．要員情報'!V103:AA103)</f>
        <v>0</v>
      </c>
      <c r="Q102" s="133">
        <f>SUM('案件．要員情報'!AB103:AG103)</f>
        <v>0</v>
      </c>
      <c r="R102" s="133">
        <f>SUM('案件．要員情報'!AH103:AM103)</f>
        <v>0</v>
      </c>
      <c r="S102" s="133">
        <f>SUM('案件．要員情報'!AN103:AS103)</f>
        <v>0</v>
      </c>
      <c r="T102" s="133">
        <f>SUM('案件．要員情報'!AT103:AY103)</f>
        <v>6.0606060606060608E-2</v>
      </c>
      <c r="U102" s="133">
        <f>SUM('案件．要員情報'!AZ103:BF103)</f>
        <v>0</v>
      </c>
      <c r="V102" s="133">
        <f>SUM('案件．要員情報'!BG103:BN103)</f>
        <v>0</v>
      </c>
      <c r="W102" s="133">
        <f>SUM('案件．要員情報'!BO103:BV103)</f>
        <v>0</v>
      </c>
      <c r="X102" s="133">
        <f>SUM('案件．要員情報'!BW103:CD103)</f>
        <v>0</v>
      </c>
      <c r="Y102" s="133">
        <f>SUM('案件．要員情報'!CE103:CL103)</f>
        <v>0</v>
      </c>
      <c r="Z102" s="133">
        <f>SUM('案件．要員情報'!CM103:CT103)</f>
        <v>0</v>
      </c>
      <c r="AA102" s="180">
        <f t="shared" si="4"/>
        <v>6.0606060606060608E-2</v>
      </c>
    </row>
    <row r="103" spans="1:27" s="116" customFormat="1" ht="20.100000000000001" customHeight="1" x14ac:dyDescent="0.4">
      <c r="A103" s="349"/>
      <c r="B103" s="351"/>
      <c r="C103" s="351"/>
      <c r="D103" s="353"/>
      <c r="E103" s="353"/>
      <c r="F103" s="353"/>
      <c r="G103" s="385"/>
      <c r="H103" s="387"/>
      <c r="I103" s="387"/>
      <c r="J103" s="387"/>
      <c r="K103" s="387"/>
      <c r="L103" s="387"/>
      <c r="M103" s="387"/>
      <c r="N103" s="137" t="s">
        <v>25</v>
      </c>
      <c r="O103" s="135">
        <f>SUM('案件．要員情報'!O104:U104)</f>
        <v>0</v>
      </c>
      <c r="P103" s="135">
        <f>SUM('案件．要員情報'!V104:AA104)</f>
        <v>0</v>
      </c>
      <c r="Q103" s="135">
        <f>SUM('案件．要員情報'!AB104:AG104)</f>
        <v>0</v>
      </c>
      <c r="R103" s="135">
        <f>SUM('案件．要員情報'!AH104:AM104)</f>
        <v>0</v>
      </c>
      <c r="S103" s="135">
        <f>SUM('案件．要員情報'!AN104:AS104)</f>
        <v>0</v>
      </c>
      <c r="T103" s="135">
        <f>SUM('案件．要員情報'!AT104:AY104)</f>
        <v>5.1515151515151514E-2</v>
      </c>
      <c r="U103" s="135">
        <f>SUM('案件．要員情報'!AZ104:BF104)</f>
        <v>0</v>
      </c>
      <c r="V103" s="135">
        <f>SUM('案件．要員情報'!BG104:BN104)</f>
        <v>0</v>
      </c>
      <c r="W103" s="135">
        <f>SUM('案件．要員情報'!BO104:BV104)</f>
        <v>0</v>
      </c>
      <c r="X103" s="135">
        <f>SUM('案件．要員情報'!BW104:CD104)</f>
        <v>0</v>
      </c>
      <c r="Y103" s="135">
        <f>SUM('案件．要員情報'!CE104:CL104)</f>
        <v>0</v>
      </c>
      <c r="Z103" s="135">
        <f>SUM('案件．要員情報'!CM104:CT104)</f>
        <v>0</v>
      </c>
      <c r="AA103" s="138">
        <f t="shared" si="4"/>
        <v>5.1515151515151514E-2</v>
      </c>
    </row>
    <row r="104" spans="1:27" s="116" customFormat="1" ht="20.100000000000001" customHeight="1" x14ac:dyDescent="0.4">
      <c r="A104" s="348">
        <v>50</v>
      </c>
      <c r="B104" s="350" t="s">
        <v>47</v>
      </c>
      <c r="C104" s="350" t="s">
        <v>343</v>
      </c>
      <c r="D104" s="352" t="s">
        <v>905</v>
      </c>
      <c r="E104" s="352" t="s">
        <v>899</v>
      </c>
      <c r="F104" s="352" t="s">
        <v>903</v>
      </c>
      <c r="G104" s="386" t="s">
        <v>901</v>
      </c>
      <c r="H104" s="386"/>
      <c r="I104" s="386"/>
      <c r="J104" s="386"/>
      <c r="K104" s="386"/>
      <c r="L104" s="386"/>
      <c r="M104" s="386"/>
      <c r="N104" s="136" t="s">
        <v>24</v>
      </c>
      <c r="O104" s="133">
        <f>SUM('案件．要員情報'!O105:U105)</f>
        <v>0</v>
      </c>
      <c r="P104" s="133">
        <f>SUM('案件．要員情報'!V105:AA105)</f>
        <v>0</v>
      </c>
      <c r="Q104" s="133">
        <f>SUM('案件．要員情報'!AB105:AG105)</f>
        <v>0</v>
      </c>
      <c r="R104" s="133">
        <f>SUM('案件．要員情報'!AH105:AM105)</f>
        <v>0</v>
      </c>
      <c r="S104" s="133">
        <f>SUM('案件．要員情報'!AN105:AS105)</f>
        <v>0</v>
      </c>
      <c r="T104" s="133">
        <f>SUM('案件．要員情報'!AT105:AY105)</f>
        <v>0.21212121212121213</v>
      </c>
      <c r="U104" s="133">
        <f>SUM('案件．要員情報'!AZ105:BF105)</f>
        <v>0</v>
      </c>
      <c r="V104" s="133">
        <f>SUM('案件．要員情報'!BG105:BN105)</f>
        <v>0</v>
      </c>
      <c r="W104" s="133">
        <f>SUM('案件．要員情報'!BO105:BV105)</f>
        <v>0</v>
      </c>
      <c r="X104" s="133">
        <f>SUM('案件．要員情報'!BW105:CD105)</f>
        <v>0</v>
      </c>
      <c r="Y104" s="133">
        <f>SUM('案件．要員情報'!CE105:CL105)</f>
        <v>0</v>
      </c>
      <c r="Z104" s="133">
        <f>SUM('案件．要員情報'!CM105:CT105)</f>
        <v>0</v>
      </c>
      <c r="AA104" s="180">
        <f t="shared" si="4"/>
        <v>0.21212121212121213</v>
      </c>
    </row>
    <row r="105" spans="1:27" s="116" customFormat="1" ht="20.100000000000001" customHeight="1" x14ac:dyDescent="0.4">
      <c r="A105" s="349"/>
      <c r="B105" s="351"/>
      <c r="C105" s="351"/>
      <c r="D105" s="353"/>
      <c r="E105" s="353"/>
      <c r="F105" s="353"/>
      <c r="G105" s="387"/>
      <c r="H105" s="387"/>
      <c r="I105" s="387"/>
      <c r="J105" s="387"/>
      <c r="K105" s="387"/>
      <c r="L105" s="387"/>
      <c r="M105" s="387"/>
      <c r="N105" s="137" t="s">
        <v>25</v>
      </c>
      <c r="O105" s="135">
        <f>SUM('案件．要員情報'!O106:U106)</f>
        <v>0</v>
      </c>
      <c r="P105" s="135">
        <f>SUM('案件．要員情報'!V106:AA106)</f>
        <v>0</v>
      </c>
      <c r="Q105" s="135">
        <f>SUM('案件．要員情報'!AB106:AG106)</f>
        <v>0</v>
      </c>
      <c r="R105" s="135">
        <f>SUM('案件．要員情報'!AH106:AM106)</f>
        <v>0</v>
      </c>
      <c r="S105" s="135">
        <f>SUM('案件．要員情報'!AN106:AS106)</f>
        <v>0</v>
      </c>
      <c r="T105" s="135">
        <f>SUM('案件．要員情報'!AT106:AY106)</f>
        <v>0.18939393939393939</v>
      </c>
      <c r="U105" s="135">
        <f>SUM('案件．要員情報'!AZ106:BF106)</f>
        <v>0</v>
      </c>
      <c r="V105" s="135">
        <f>SUM('案件．要員情報'!BG106:BN106)</f>
        <v>0</v>
      </c>
      <c r="W105" s="135">
        <f>SUM('案件．要員情報'!BO106:BV106)</f>
        <v>0</v>
      </c>
      <c r="X105" s="135">
        <f>SUM('案件．要員情報'!BW106:CD106)</f>
        <v>0</v>
      </c>
      <c r="Y105" s="135">
        <f>SUM('案件．要員情報'!CE106:CL106)</f>
        <v>0</v>
      </c>
      <c r="Z105" s="135">
        <f>SUM('案件．要員情報'!CM106:CT106)</f>
        <v>0</v>
      </c>
      <c r="AA105" s="138">
        <f t="shared" si="4"/>
        <v>0.18939393939393939</v>
      </c>
    </row>
    <row r="106" spans="1:27" s="116" customFormat="1" ht="20.100000000000001" customHeight="1" collapsed="1" x14ac:dyDescent="0.4">
      <c r="A106" s="348">
        <v>51</v>
      </c>
      <c r="B106" s="350" t="s">
        <v>46</v>
      </c>
      <c r="C106" s="350" t="s">
        <v>343</v>
      </c>
      <c r="D106" s="352" t="s">
        <v>906</v>
      </c>
      <c r="E106" s="352" t="s">
        <v>900</v>
      </c>
      <c r="F106" s="352" t="s">
        <v>904</v>
      </c>
      <c r="G106" s="386" t="s">
        <v>902</v>
      </c>
      <c r="H106" s="365"/>
      <c r="I106" s="365"/>
      <c r="J106" s="365"/>
      <c r="K106" s="367"/>
      <c r="L106" s="367"/>
      <c r="M106" s="340"/>
      <c r="N106" s="136" t="s">
        <v>24</v>
      </c>
      <c r="O106" s="133">
        <f>SUM('案件．要員情報'!O107:U107)</f>
        <v>0</v>
      </c>
      <c r="P106" s="133">
        <f>SUM('案件．要員情報'!V107:AA107)</f>
        <v>0</v>
      </c>
      <c r="Q106" s="133">
        <f>SUM('案件．要員情報'!AB107:AG107)</f>
        <v>0</v>
      </c>
      <c r="R106" s="133">
        <f>SUM('案件．要員情報'!AH107:AM107)</f>
        <v>0</v>
      </c>
      <c r="S106" s="133">
        <f>SUM('案件．要員情報'!AN107:AS107)</f>
        <v>0</v>
      </c>
      <c r="T106" s="133">
        <f>SUM('案件．要員情報'!AT107:AY107)</f>
        <v>0.29090909090909089</v>
      </c>
      <c r="U106" s="133">
        <f>SUM('案件．要員情報'!AZ107:BF107)</f>
        <v>4.6666666666666669E-2</v>
      </c>
      <c r="V106" s="133">
        <f>SUM('案件．要員情報'!BG107:BN107)</f>
        <v>0</v>
      </c>
      <c r="W106" s="133">
        <f>SUM('案件．要員情報'!BO107:BV107)</f>
        <v>0</v>
      </c>
      <c r="X106" s="133">
        <f>SUM('案件．要員情報'!BW107:CD107)</f>
        <v>0</v>
      </c>
      <c r="Y106" s="133">
        <f>SUM('案件．要員情報'!CE107:CL107)</f>
        <v>0</v>
      </c>
      <c r="Z106" s="133">
        <f>SUM('案件．要員情報'!CM107:CT107)</f>
        <v>0</v>
      </c>
      <c r="AA106" s="180">
        <f t="shared" si="4"/>
        <v>0.33757575757575758</v>
      </c>
    </row>
    <row r="107" spans="1:27" s="116" customFormat="1" ht="20.100000000000001" customHeight="1" x14ac:dyDescent="0.4">
      <c r="A107" s="349"/>
      <c r="B107" s="351"/>
      <c r="C107" s="351"/>
      <c r="D107" s="353"/>
      <c r="E107" s="353"/>
      <c r="F107" s="353"/>
      <c r="G107" s="387"/>
      <c r="H107" s="366"/>
      <c r="I107" s="366"/>
      <c r="J107" s="366"/>
      <c r="K107" s="368"/>
      <c r="L107" s="368"/>
      <c r="M107" s="341"/>
      <c r="N107" s="137" t="s">
        <v>25</v>
      </c>
      <c r="O107" s="135">
        <f>SUM('案件．要員情報'!O108:U108)</f>
        <v>0</v>
      </c>
      <c r="P107" s="135">
        <f>SUM('案件．要員情報'!V108:AA108)</f>
        <v>0</v>
      </c>
      <c r="Q107" s="135">
        <f>SUM('案件．要員情報'!AB108:AG108)</f>
        <v>0</v>
      </c>
      <c r="R107" s="135">
        <f>SUM('案件．要員情報'!AH108:AM108)</f>
        <v>0</v>
      </c>
      <c r="S107" s="135">
        <f>SUM('案件．要員情報'!AN108:AS108)</f>
        <v>0</v>
      </c>
      <c r="T107" s="135">
        <f>SUM('案件．要員情報'!AT108:AY108)</f>
        <v>0.27727272727272728</v>
      </c>
      <c r="U107" s="135">
        <f>SUM('案件．要員情報'!AZ108:BF108)</f>
        <v>1.8333333333333333E-2</v>
      </c>
      <c r="V107" s="135">
        <f>SUM('案件．要員情報'!BG108:BN108)</f>
        <v>0</v>
      </c>
      <c r="W107" s="135">
        <f>SUM('案件．要員情報'!BO108:BV108)</f>
        <v>0</v>
      </c>
      <c r="X107" s="135">
        <f>SUM('案件．要員情報'!BW108:CD108)</f>
        <v>0</v>
      </c>
      <c r="Y107" s="135">
        <f>SUM('案件．要員情報'!CE108:CL108)</f>
        <v>0</v>
      </c>
      <c r="Z107" s="135">
        <f>SUM('案件．要員情報'!CM108:CT108)</f>
        <v>0</v>
      </c>
      <c r="AA107" s="138">
        <f t="shared" si="4"/>
        <v>0.29560606060606059</v>
      </c>
    </row>
    <row r="108" spans="1:27" s="116" customFormat="1" ht="20.100000000000001" customHeight="1" x14ac:dyDescent="0.4">
      <c r="A108" s="348">
        <v>52</v>
      </c>
      <c r="B108" s="350" t="s">
        <v>47</v>
      </c>
      <c r="C108" s="350" t="s">
        <v>14</v>
      </c>
      <c r="D108" s="352" t="s">
        <v>915</v>
      </c>
      <c r="E108" s="352" t="s">
        <v>916</v>
      </c>
      <c r="F108" s="352"/>
      <c r="G108" s="385" t="s">
        <v>917</v>
      </c>
      <c r="H108" s="386"/>
      <c r="I108" s="386"/>
      <c r="J108" s="386"/>
      <c r="K108" s="386"/>
      <c r="L108" s="386"/>
      <c r="M108" s="386"/>
      <c r="N108" s="136" t="s">
        <v>24</v>
      </c>
      <c r="O108" s="133">
        <f>SUM('案件．要員情報'!O109:U109)</f>
        <v>0</v>
      </c>
      <c r="P108" s="133">
        <f>SUM('案件．要員情報'!V109:AA109)</f>
        <v>0</v>
      </c>
      <c r="Q108" s="133">
        <f>SUM('案件．要員情報'!AB109:AG109)</f>
        <v>0</v>
      </c>
      <c r="R108" s="133">
        <f>SUM('案件．要員情報'!AH109:AM109)</f>
        <v>0</v>
      </c>
      <c r="S108" s="133">
        <f>SUM('案件．要員情報'!AN109:AS109)</f>
        <v>0</v>
      </c>
      <c r="T108" s="133">
        <f>SUM('案件．要員情報'!AT109:AY109)</f>
        <v>4.2424242424242427E-2</v>
      </c>
      <c r="U108" s="133">
        <f>SUM('案件．要員情報'!AZ109:BF109)</f>
        <v>0</v>
      </c>
      <c r="V108" s="133">
        <f>SUM('案件．要員情報'!BG109:BN109)</f>
        <v>0</v>
      </c>
      <c r="W108" s="133">
        <f>SUM('案件．要員情報'!BO109:BV109)</f>
        <v>0</v>
      </c>
      <c r="X108" s="133">
        <f>SUM('案件．要員情報'!BW109:CD109)</f>
        <v>0</v>
      </c>
      <c r="Y108" s="133">
        <f>SUM('案件．要員情報'!CE109:CL109)</f>
        <v>0</v>
      </c>
      <c r="Z108" s="133">
        <f>SUM('案件．要員情報'!CM109:CT109)</f>
        <v>0</v>
      </c>
      <c r="AA108" s="180">
        <f t="shared" si="4"/>
        <v>4.2424242424242427E-2</v>
      </c>
    </row>
    <row r="109" spans="1:27" s="116" customFormat="1" ht="20.100000000000001" customHeight="1" x14ac:dyDescent="0.4">
      <c r="A109" s="349"/>
      <c r="B109" s="351"/>
      <c r="C109" s="351"/>
      <c r="D109" s="353"/>
      <c r="E109" s="353"/>
      <c r="F109" s="353"/>
      <c r="G109" s="385"/>
      <c r="H109" s="387"/>
      <c r="I109" s="387"/>
      <c r="J109" s="387"/>
      <c r="K109" s="387"/>
      <c r="L109" s="387"/>
      <c r="M109" s="387"/>
      <c r="N109" s="137" t="s">
        <v>25</v>
      </c>
      <c r="O109" s="135">
        <f>SUM('案件．要員情報'!O110:U110)</f>
        <v>0</v>
      </c>
      <c r="P109" s="135">
        <f>SUM('案件．要員情報'!V110:AA110)</f>
        <v>0</v>
      </c>
      <c r="Q109" s="135">
        <f>SUM('案件．要員情報'!AB110:AG110)</f>
        <v>0</v>
      </c>
      <c r="R109" s="135">
        <f>SUM('案件．要員情報'!AH110:AM110)</f>
        <v>0</v>
      </c>
      <c r="S109" s="135">
        <f>SUM('案件．要員情報'!AN110:AS110)</f>
        <v>0</v>
      </c>
      <c r="T109" s="135">
        <f>SUM('案件．要員情報'!AT110:AY110)</f>
        <v>3.1818181818181815E-2</v>
      </c>
      <c r="U109" s="135">
        <f>SUM('案件．要員情報'!AZ110:BF110)</f>
        <v>0</v>
      </c>
      <c r="V109" s="135">
        <f>SUM('案件．要員情報'!BG110:BN110)</f>
        <v>0</v>
      </c>
      <c r="W109" s="135">
        <f>SUM('案件．要員情報'!BO110:BV110)</f>
        <v>0</v>
      </c>
      <c r="X109" s="135">
        <f>SUM('案件．要員情報'!BW110:CD110)</f>
        <v>0</v>
      </c>
      <c r="Y109" s="135">
        <f>SUM('案件．要員情報'!CE110:CL110)</f>
        <v>0</v>
      </c>
      <c r="Z109" s="135">
        <f>SUM('案件．要員情報'!CM110:CT110)</f>
        <v>0</v>
      </c>
      <c r="AA109" s="138">
        <f t="shared" si="4"/>
        <v>3.1818181818181815E-2</v>
      </c>
    </row>
    <row r="110" spans="1:27" s="116" customFormat="1" ht="20.100000000000001" customHeight="1" x14ac:dyDescent="0.4">
      <c r="A110" s="348">
        <v>53</v>
      </c>
      <c r="B110" s="350" t="s">
        <v>47</v>
      </c>
      <c r="C110" s="350" t="s">
        <v>14</v>
      </c>
      <c r="D110" s="352" t="s">
        <v>476</v>
      </c>
      <c r="E110" s="352" t="s">
        <v>926</v>
      </c>
      <c r="F110" s="352"/>
      <c r="G110" s="385" t="s">
        <v>925</v>
      </c>
      <c r="H110" s="386"/>
      <c r="I110" s="386"/>
      <c r="J110" s="386"/>
      <c r="K110" s="386"/>
      <c r="L110" s="386"/>
      <c r="M110" s="386"/>
      <c r="N110" s="136" t="s">
        <v>24</v>
      </c>
      <c r="O110" s="133">
        <f>SUM('案件．要員情報'!O111:U111)</f>
        <v>0</v>
      </c>
      <c r="P110" s="133">
        <f>SUM('案件．要員情報'!V111:AA111)</f>
        <v>0</v>
      </c>
      <c r="Q110" s="133">
        <f>SUM('案件．要員情報'!AB111:AG111)</f>
        <v>0</v>
      </c>
      <c r="R110" s="133">
        <f>SUM('案件．要員情報'!AH111:AM111)</f>
        <v>0</v>
      </c>
      <c r="S110" s="133">
        <f>SUM('案件．要員情報'!AN111:AS111)</f>
        <v>0</v>
      </c>
      <c r="T110" s="133">
        <f>SUM('案件．要員情報'!AT111:AY111)</f>
        <v>4.2424242424242427E-2</v>
      </c>
      <c r="U110" s="133">
        <f>SUM('案件．要員情報'!AZ111:BF111)</f>
        <v>0</v>
      </c>
      <c r="V110" s="133">
        <f>SUM('案件．要員情報'!BG111:BN111)</f>
        <v>0</v>
      </c>
      <c r="W110" s="133">
        <f>SUM('案件．要員情報'!BO111:BV111)</f>
        <v>0</v>
      </c>
      <c r="X110" s="133">
        <f>SUM('案件．要員情報'!BW111:CD111)</f>
        <v>0</v>
      </c>
      <c r="Y110" s="133">
        <f>SUM('案件．要員情報'!CE111:CL111)</f>
        <v>0</v>
      </c>
      <c r="Z110" s="133">
        <f>SUM('案件．要員情報'!CM111:CT111)</f>
        <v>0</v>
      </c>
      <c r="AA110" s="180">
        <f t="shared" si="4"/>
        <v>4.2424242424242427E-2</v>
      </c>
    </row>
    <row r="111" spans="1:27" s="116" customFormat="1" ht="20.100000000000001" customHeight="1" x14ac:dyDescent="0.4">
      <c r="A111" s="349"/>
      <c r="B111" s="351"/>
      <c r="C111" s="351"/>
      <c r="D111" s="353"/>
      <c r="E111" s="353"/>
      <c r="F111" s="353"/>
      <c r="G111" s="385"/>
      <c r="H111" s="387"/>
      <c r="I111" s="387"/>
      <c r="J111" s="387"/>
      <c r="K111" s="387"/>
      <c r="L111" s="387"/>
      <c r="M111" s="387"/>
      <c r="N111" s="137" t="s">
        <v>25</v>
      </c>
      <c r="O111" s="135">
        <f>SUM('案件．要員情報'!O112:U112)</f>
        <v>0</v>
      </c>
      <c r="P111" s="135">
        <f>SUM('案件．要員情報'!V112:AA112)</f>
        <v>0</v>
      </c>
      <c r="Q111" s="135">
        <f>SUM('案件．要員情報'!AB112:AG112)</f>
        <v>0</v>
      </c>
      <c r="R111" s="135">
        <f>SUM('案件．要員情報'!AH112:AM112)</f>
        <v>0</v>
      </c>
      <c r="S111" s="135">
        <f>SUM('案件．要員情報'!AN112:AS112)</f>
        <v>0</v>
      </c>
      <c r="T111" s="135">
        <f>SUM('案件．要員情報'!AT112:AY112)</f>
        <v>3.0303030303030304E-2</v>
      </c>
      <c r="U111" s="135">
        <f>SUM('案件．要員情報'!AZ112:BF112)</f>
        <v>0</v>
      </c>
      <c r="V111" s="135">
        <f>SUM('案件．要員情報'!BG112:BN112)</f>
        <v>0</v>
      </c>
      <c r="W111" s="135">
        <f>SUM('案件．要員情報'!BO112:BV112)</f>
        <v>0</v>
      </c>
      <c r="X111" s="135">
        <f>SUM('案件．要員情報'!BW112:CD112)</f>
        <v>0</v>
      </c>
      <c r="Y111" s="135">
        <f>SUM('案件．要員情報'!CE112:CL112)</f>
        <v>0</v>
      </c>
      <c r="Z111" s="135">
        <f>SUM('案件．要員情報'!CM112:CT112)</f>
        <v>0</v>
      </c>
      <c r="AA111" s="138">
        <f t="shared" si="4"/>
        <v>3.0303030303030304E-2</v>
      </c>
    </row>
    <row r="112" spans="1:27" s="116" customFormat="1" ht="20.100000000000001" customHeight="1" x14ac:dyDescent="0.4">
      <c r="A112" s="348">
        <v>54</v>
      </c>
      <c r="B112" s="350" t="s">
        <v>46</v>
      </c>
      <c r="C112" s="350" t="s">
        <v>14</v>
      </c>
      <c r="D112" s="352" t="s">
        <v>935</v>
      </c>
      <c r="E112" s="352" t="s">
        <v>933</v>
      </c>
      <c r="F112" s="352"/>
      <c r="G112" s="386" t="s">
        <v>931</v>
      </c>
      <c r="H112" s="386"/>
      <c r="I112" s="386"/>
      <c r="J112" s="386"/>
      <c r="K112" s="386"/>
      <c r="L112" s="386"/>
      <c r="M112" s="386"/>
      <c r="N112" s="136" t="s">
        <v>24</v>
      </c>
      <c r="O112" s="133">
        <f>SUM('案件．要員情報'!O113:U113)</f>
        <v>0</v>
      </c>
      <c r="P112" s="133">
        <f>SUM('案件．要員情報'!V113:AA113)</f>
        <v>0</v>
      </c>
      <c r="Q112" s="133">
        <f>SUM('案件．要員情報'!AB113:AG113)</f>
        <v>0</v>
      </c>
      <c r="R112" s="133">
        <f>SUM('案件．要員情報'!AH113:AM113)</f>
        <v>0</v>
      </c>
      <c r="S112" s="133">
        <f>SUM('案件．要員情報'!AN113:AS113)</f>
        <v>0</v>
      </c>
      <c r="T112" s="133">
        <f>SUM('案件．要員情報'!AT113:AY113)</f>
        <v>9.0909090909090912E-2</v>
      </c>
      <c r="U112" s="133">
        <f>SUM('案件．要員情報'!AZ113:BF113)</f>
        <v>0.18</v>
      </c>
      <c r="V112" s="133">
        <f>SUM('案件．要員情報'!BG113:BN113)</f>
        <v>0</v>
      </c>
      <c r="W112" s="133">
        <f>SUM('案件．要員情報'!BO113:BV113)</f>
        <v>0</v>
      </c>
      <c r="X112" s="133">
        <f>SUM('案件．要員情報'!BW113:CD113)</f>
        <v>0</v>
      </c>
      <c r="Y112" s="133">
        <f>SUM('案件．要員情報'!CE113:CL113)</f>
        <v>0</v>
      </c>
      <c r="Z112" s="133">
        <f>SUM('案件．要員情報'!CM113:CT113)</f>
        <v>0</v>
      </c>
      <c r="AA112" s="180">
        <f t="shared" si="4"/>
        <v>0.27090909090909088</v>
      </c>
    </row>
    <row r="113" spans="1:27" s="116" customFormat="1" ht="20.100000000000001" customHeight="1" x14ac:dyDescent="0.4">
      <c r="A113" s="349"/>
      <c r="B113" s="351"/>
      <c r="C113" s="351"/>
      <c r="D113" s="353"/>
      <c r="E113" s="353"/>
      <c r="F113" s="353"/>
      <c r="G113" s="387"/>
      <c r="H113" s="387"/>
      <c r="I113" s="387"/>
      <c r="J113" s="387"/>
      <c r="K113" s="387"/>
      <c r="L113" s="387"/>
      <c r="M113" s="387"/>
      <c r="N113" s="137" t="s">
        <v>25</v>
      </c>
      <c r="O113" s="135">
        <f>SUM('案件．要員情報'!O114:U114)</f>
        <v>0</v>
      </c>
      <c r="P113" s="135">
        <f>SUM('案件．要員情報'!V114:AA114)</f>
        <v>0</v>
      </c>
      <c r="Q113" s="135">
        <f>SUM('案件．要員情報'!AB114:AG114)</f>
        <v>0</v>
      </c>
      <c r="R113" s="135">
        <f>SUM('案件．要員情報'!AH114:AM114)</f>
        <v>0</v>
      </c>
      <c r="S113" s="135">
        <f>SUM('案件．要員情報'!AN114:AS114)</f>
        <v>0</v>
      </c>
      <c r="T113" s="135">
        <f>SUM('案件．要員情報'!AT114:AY114)</f>
        <v>7.2727272727272724E-2</v>
      </c>
      <c r="U113" s="135">
        <f>SUM('案件．要員情報'!AZ114:BF114)</f>
        <v>0.27166666666666667</v>
      </c>
      <c r="V113" s="135">
        <f>SUM('案件．要員情報'!BG114:BN114)</f>
        <v>0</v>
      </c>
      <c r="W113" s="135">
        <f>SUM('案件．要員情報'!BO114:BV114)</f>
        <v>0</v>
      </c>
      <c r="X113" s="135">
        <f>SUM('案件．要員情報'!BW114:CD114)</f>
        <v>0</v>
      </c>
      <c r="Y113" s="135">
        <f>SUM('案件．要員情報'!CE114:CL114)</f>
        <v>0</v>
      </c>
      <c r="Z113" s="135">
        <f>SUM('案件．要員情報'!CM114:CT114)</f>
        <v>0</v>
      </c>
      <c r="AA113" s="138">
        <f t="shared" si="4"/>
        <v>0.34439393939393936</v>
      </c>
    </row>
    <row r="114" spans="1:27" s="116" customFormat="1" ht="20.100000000000001" customHeight="1" x14ac:dyDescent="0.4">
      <c r="A114" s="348">
        <v>55</v>
      </c>
      <c r="B114" s="350" t="s">
        <v>46</v>
      </c>
      <c r="C114" s="350" t="s">
        <v>14</v>
      </c>
      <c r="D114" s="352" t="s">
        <v>954</v>
      </c>
      <c r="E114" s="352" t="s">
        <v>953</v>
      </c>
      <c r="F114" s="352"/>
      <c r="G114" s="375" t="s">
        <v>952</v>
      </c>
      <c r="H114" s="386"/>
      <c r="I114" s="386"/>
      <c r="J114" s="386"/>
      <c r="K114" s="386"/>
      <c r="L114" s="386"/>
      <c r="M114" s="386"/>
      <c r="N114" s="136" t="s">
        <v>24</v>
      </c>
      <c r="O114" s="133">
        <f>SUM('案件．要員情報'!O115:U115)</f>
        <v>0</v>
      </c>
      <c r="P114" s="133">
        <f>SUM('案件．要員情報'!V115:AA115)</f>
        <v>0</v>
      </c>
      <c r="Q114" s="133">
        <f>SUM('案件．要員情報'!AB115:AG115)</f>
        <v>0</v>
      </c>
      <c r="R114" s="133">
        <f>SUM('案件．要員情報'!AH115:AM115)</f>
        <v>0</v>
      </c>
      <c r="S114" s="133">
        <f>SUM('案件．要員情報'!AN115:AS115)</f>
        <v>0</v>
      </c>
      <c r="T114" s="133">
        <f>SUM('案件．要員情報'!AT115:AY115)</f>
        <v>0</v>
      </c>
      <c r="U114" s="133">
        <f>SUM('案件．要員情報'!AZ115:BF115)</f>
        <v>0.31333333333333335</v>
      </c>
      <c r="V114" s="133">
        <f>SUM('案件．要員情報'!BG115:BN115)</f>
        <v>0</v>
      </c>
      <c r="W114" s="133">
        <f>SUM('案件．要員情報'!BO115:BV115)</f>
        <v>0</v>
      </c>
      <c r="X114" s="133">
        <f>SUM('案件．要員情報'!BW115:CD115)</f>
        <v>0</v>
      </c>
      <c r="Y114" s="133">
        <f>SUM('案件．要員情報'!CE115:CL115)</f>
        <v>0</v>
      </c>
      <c r="Z114" s="133">
        <f>SUM('案件．要員情報'!CM115:CT115)</f>
        <v>0</v>
      </c>
      <c r="AA114" s="180">
        <f t="shared" si="4"/>
        <v>0.31333333333333335</v>
      </c>
    </row>
    <row r="115" spans="1:27" s="116" customFormat="1" ht="20.100000000000001" customHeight="1" x14ac:dyDescent="0.4">
      <c r="A115" s="349"/>
      <c r="B115" s="351"/>
      <c r="C115" s="351"/>
      <c r="D115" s="353"/>
      <c r="E115" s="353"/>
      <c r="F115" s="353"/>
      <c r="G115" s="375"/>
      <c r="H115" s="387"/>
      <c r="I115" s="387"/>
      <c r="J115" s="387"/>
      <c r="K115" s="387"/>
      <c r="L115" s="387"/>
      <c r="M115" s="387"/>
      <c r="N115" s="137" t="s">
        <v>25</v>
      </c>
      <c r="O115" s="135">
        <f>SUM('案件．要員情報'!O116:U116)</f>
        <v>0</v>
      </c>
      <c r="P115" s="135">
        <f>SUM('案件．要員情報'!V116:AA116)</f>
        <v>0</v>
      </c>
      <c r="Q115" s="135">
        <f>SUM('案件．要員情報'!AB116:AG116)</f>
        <v>0</v>
      </c>
      <c r="R115" s="135">
        <f>SUM('案件．要員情報'!AH116:AM116)</f>
        <v>0</v>
      </c>
      <c r="S115" s="135">
        <f>SUM('案件．要員情報'!AN116:AS116)</f>
        <v>0</v>
      </c>
      <c r="T115" s="135">
        <f>SUM('案件．要員情報'!AT116:AY116)</f>
        <v>0</v>
      </c>
      <c r="U115" s="135">
        <f>SUM('案件．要員情報'!AZ116:BF116)</f>
        <v>0.13500000000000001</v>
      </c>
      <c r="V115" s="135">
        <f>SUM('案件．要員情報'!BG116:BN116)</f>
        <v>0</v>
      </c>
      <c r="W115" s="135">
        <f>SUM('案件．要員情報'!BO116:BV116)</f>
        <v>0</v>
      </c>
      <c r="X115" s="135">
        <f>SUM('案件．要員情報'!BW116:CD116)</f>
        <v>0</v>
      </c>
      <c r="Y115" s="135">
        <f>SUM('案件．要員情報'!CE116:CL116)</f>
        <v>0</v>
      </c>
      <c r="Z115" s="135">
        <f>SUM('案件．要員情報'!CM116:CT116)</f>
        <v>0</v>
      </c>
      <c r="AA115" s="138">
        <f t="shared" si="4"/>
        <v>0.13500000000000001</v>
      </c>
    </row>
    <row r="116" spans="1:27" s="116" customFormat="1" ht="20.100000000000001" customHeight="1" x14ac:dyDescent="0.4">
      <c r="A116" s="348">
        <v>56</v>
      </c>
      <c r="B116" s="350" t="s">
        <v>46</v>
      </c>
      <c r="C116" s="350" t="s">
        <v>14</v>
      </c>
      <c r="D116" s="352" t="s">
        <v>958</v>
      </c>
      <c r="E116" s="352" t="s">
        <v>957</v>
      </c>
      <c r="F116" s="352" t="s">
        <v>999</v>
      </c>
      <c r="G116" s="375" t="s">
        <v>956</v>
      </c>
      <c r="H116" s="386"/>
      <c r="I116" s="386"/>
      <c r="J116" s="386"/>
      <c r="K116" s="386"/>
      <c r="L116" s="386"/>
      <c r="M116" s="386"/>
      <c r="N116" s="136" t="s">
        <v>24</v>
      </c>
      <c r="O116" s="133">
        <f>SUM('案件．要員情報'!O117:U117)</f>
        <v>0</v>
      </c>
      <c r="P116" s="133">
        <f>SUM('案件．要員情報'!V117:AA117)</f>
        <v>0</v>
      </c>
      <c r="Q116" s="133">
        <f>SUM('案件．要員情報'!AB117:AG117)</f>
        <v>0</v>
      </c>
      <c r="R116" s="133">
        <f>SUM('案件．要員情報'!AH117:AM117)</f>
        <v>0</v>
      </c>
      <c r="S116" s="133">
        <f>SUM('案件．要員情報'!AN117:AS117)</f>
        <v>0</v>
      </c>
      <c r="T116" s="133">
        <f>SUM('案件．要員情報'!AT117:AY117)</f>
        <v>0</v>
      </c>
      <c r="U116" s="133">
        <f>SUM('案件．要員情報'!AZ117:BF117)</f>
        <v>0.44666666666666666</v>
      </c>
      <c r="V116" s="133">
        <f>SUM('案件．要員情報'!BG117:BN117)</f>
        <v>0</v>
      </c>
      <c r="W116" s="133">
        <f>SUM('案件．要員情報'!BO117:BV117)</f>
        <v>0</v>
      </c>
      <c r="X116" s="133">
        <f>SUM('案件．要員情報'!BW117:CD117)</f>
        <v>0</v>
      </c>
      <c r="Y116" s="133">
        <f>SUM('案件．要員情報'!CE117:CL117)</f>
        <v>0</v>
      </c>
      <c r="Z116" s="133">
        <f>SUM('案件．要員情報'!CM117:CT117)</f>
        <v>0</v>
      </c>
      <c r="AA116" s="180">
        <f t="shared" si="4"/>
        <v>0.44666666666666666</v>
      </c>
    </row>
    <row r="117" spans="1:27" s="116" customFormat="1" ht="20.100000000000001" customHeight="1" x14ac:dyDescent="0.4">
      <c r="A117" s="349"/>
      <c r="B117" s="351"/>
      <c r="C117" s="351"/>
      <c r="D117" s="353"/>
      <c r="E117" s="353"/>
      <c r="F117" s="353"/>
      <c r="G117" s="375"/>
      <c r="H117" s="387"/>
      <c r="I117" s="387"/>
      <c r="J117" s="387"/>
      <c r="K117" s="387"/>
      <c r="L117" s="387"/>
      <c r="M117" s="387"/>
      <c r="N117" s="137" t="s">
        <v>25</v>
      </c>
      <c r="O117" s="135">
        <f>SUM('案件．要員情報'!O118:U118)</f>
        <v>0</v>
      </c>
      <c r="P117" s="135">
        <f>SUM('案件．要員情報'!V118:AA118)</f>
        <v>0</v>
      </c>
      <c r="Q117" s="135">
        <f>SUM('案件．要員情報'!AB118:AG118)</f>
        <v>0</v>
      </c>
      <c r="R117" s="135">
        <f>SUM('案件．要員情報'!AH118:AM118)</f>
        <v>0</v>
      </c>
      <c r="S117" s="135">
        <f>SUM('案件．要員情報'!AN118:AS118)</f>
        <v>0</v>
      </c>
      <c r="T117" s="135">
        <f>SUM('案件．要員情報'!AT118:AY118)</f>
        <v>0</v>
      </c>
      <c r="U117" s="135">
        <f>SUM('案件．要員情報'!AZ118:BF118)</f>
        <v>0.16666666666666663</v>
      </c>
      <c r="V117" s="135">
        <f>SUM('案件．要員情報'!BG118:BN118)</f>
        <v>0</v>
      </c>
      <c r="W117" s="135">
        <f>SUM('案件．要員情報'!BO118:BV118)</f>
        <v>0</v>
      </c>
      <c r="X117" s="135">
        <f>SUM('案件．要員情報'!BW118:CD118)</f>
        <v>0</v>
      </c>
      <c r="Y117" s="135">
        <f>SUM('案件．要員情報'!CE118:CL118)</f>
        <v>0</v>
      </c>
      <c r="Z117" s="135">
        <f>SUM('案件．要員情報'!CM118:CT118)</f>
        <v>0</v>
      </c>
      <c r="AA117" s="138">
        <f t="shared" si="4"/>
        <v>0.16666666666666663</v>
      </c>
    </row>
    <row r="118" spans="1:27" s="116" customFormat="1" ht="20.100000000000001" customHeight="1" x14ac:dyDescent="0.4">
      <c r="A118" s="348">
        <v>57</v>
      </c>
      <c r="B118" s="350" t="s">
        <v>46</v>
      </c>
      <c r="C118" s="350" t="s">
        <v>343</v>
      </c>
      <c r="D118" s="352" t="s">
        <v>965</v>
      </c>
      <c r="E118" s="352" t="s">
        <v>964</v>
      </c>
      <c r="F118" s="352" t="s">
        <v>1000</v>
      </c>
      <c r="G118" s="385" t="s">
        <v>963</v>
      </c>
      <c r="H118" s="386"/>
      <c r="I118" s="386"/>
      <c r="J118" s="386"/>
      <c r="K118" s="386"/>
      <c r="L118" s="386"/>
      <c r="M118" s="386"/>
      <c r="N118" s="136" t="s">
        <v>24</v>
      </c>
      <c r="O118" s="133">
        <f>SUM('案件．要員情報'!O119:U119)</f>
        <v>0</v>
      </c>
      <c r="P118" s="133">
        <f>SUM('案件．要員情報'!V119:AA119)</f>
        <v>0</v>
      </c>
      <c r="Q118" s="133">
        <f>SUM('案件．要員情報'!AB119:AG119)</f>
        <v>0</v>
      </c>
      <c r="R118" s="133">
        <f>SUM('案件．要員情報'!AH119:AM119)</f>
        <v>0</v>
      </c>
      <c r="S118" s="133">
        <f>SUM('案件．要員情報'!AN119:AS119)</f>
        <v>0</v>
      </c>
      <c r="T118" s="133">
        <f>SUM('案件．要員情報'!AT119:AY119)</f>
        <v>0</v>
      </c>
      <c r="U118" s="133">
        <f>SUM('案件．要員情報'!AZ119:BF119)</f>
        <v>0.18</v>
      </c>
      <c r="V118" s="133">
        <f>SUM('案件．要員情報'!BG119:BN119)</f>
        <v>0</v>
      </c>
      <c r="W118" s="133">
        <f>SUM('案件．要員情報'!BO119:BV119)</f>
        <v>0</v>
      </c>
      <c r="X118" s="133">
        <f>SUM('案件．要員情報'!BW119:CD119)</f>
        <v>0</v>
      </c>
      <c r="Y118" s="133">
        <f>SUM('案件．要員情報'!CE119:CL119)</f>
        <v>0</v>
      </c>
      <c r="Z118" s="133">
        <f>SUM('案件．要員情報'!CM119:CT119)</f>
        <v>0</v>
      </c>
      <c r="AA118" s="180">
        <f t="shared" si="4"/>
        <v>0.18</v>
      </c>
    </row>
    <row r="119" spans="1:27" s="116" customFormat="1" ht="20.100000000000001" customHeight="1" x14ac:dyDescent="0.4">
      <c r="A119" s="349"/>
      <c r="B119" s="351"/>
      <c r="C119" s="351"/>
      <c r="D119" s="353"/>
      <c r="E119" s="353"/>
      <c r="F119" s="353"/>
      <c r="G119" s="385"/>
      <c r="H119" s="387"/>
      <c r="I119" s="387"/>
      <c r="J119" s="387"/>
      <c r="K119" s="387"/>
      <c r="L119" s="387"/>
      <c r="M119" s="387"/>
      <c r="N119" s="137" t="s">
        <v>25</v>
      </c>
      <c r="O119" s="135">
        <f>SUM('案件．要員情報'!O120:U120)</f>
        <v>0</v>
      </c>
      <c r="P119" s="135">
        <f>SUM('案件．要員情報'!V120:AA120)</f>
        <v>0</v>
      </c>
      <c r="Q119" s="135">
        <f>SUM('案件．要員情報'!AB120:AG120)</f>
        <v>0</v>
      </c>
      <c r="R119" s="135">
        <f>SUM('案件．要員情報'!AH120:AM120)</f>
        <v>0</v>
      </c>
      <c r="S119" s="135">
        <f>SUM('案件．要員情報'!AN120:AS120)</f>
        <v>0</v>
      </c>
      <c r="T119" s="135">
        <f>SUM('案件．要員情報'!AT120:AY120)</f>
        <v>0</v>
      </c>
      <c r="U119" s="135">
        <f>SUM('案件．要員情報'!AZ120:BF120)</f>
        <v>0.1</v>
      </c>
      <c r="V119" s="135">
        <f>SUM('案件．要員情報'!BG120:BN120)</f>
        <v>0</v>
      </c>
      <c r="W119" s="135">
        <f>SUM('案件．要員情報'!BO120:BV120)</f>
        <v>0</v>
      </c>
      <c r="X119" s="135">
        <f>SUM('案件．要員情報'!BW120:CD120)</f>
        <v>0</v>
      </c>
      <c r="Y119" s="135">
        <f>SUM('案件．要員情報'!CE120:CL120)</f>
        <v>0</v>
      </c>
      <c r="Z119" s="135">
        <f>SUM('案件．要員情報'!CM120:CT120)</f>
        <v>0</v>
      </c>
      <c r="AA119" s="138">
        <f t="shared" si="4"/>
        <v>0.1</v>
      </c>
    </row>
    <row r="120" spans="1:27" s="116" customFormat="1" ht="20.100000000000001" customHeight="1" x14ac:dyDescent="0.4">
      <c r="A120" s="348">
        <v>58</v>
      </c>
      <c r="B120" s="350" t="s">
        <v>46</v>
      </c>
      <c r="C120" s="350" t="s">
        <v>14</v>
      </c>
      <c r="D120" s="352" t="s">
        <v>973</v>
      </c>
      <c r="E120" s="352" t="s">
        <v>974</v>
      </c>
      <c r="F120" s="352" t="s">
        <v>999</v>
      </c>
      <c r="G120" s="385" t="s">
        <v>967</v>
      </c>
      <c r="H120" s="386"/>
      <c r="I120" s="386"/>
      <c r="J120" s="386"/>
      <c r="K120" s="386"/>
      <c r="L120" s="386"/>
      <c r="M120" s="386"/>
      <c r="N120" s="136" t="s">
        <v>24</v>
      </c>
      <c r="O120" s="133">
        <f>SUM('案件．要員情報'!O121:U121)</f>
        <v>0</v>
      </c>
      <c r="P120" s="133">
        <f>SUM('案件．要員情報'!V121:AA121)</f>
        <v>0</v>
      </c>
      <c r="Q120" s="133">
        <f>SUM('案件．要員情報'!AB121:AG121)</f>
        <v>0</v>
      </c>
      <c r="R120" s="133">
        <f>SUM('案件．要員情報'!AH121:AM121)</f>
        <v>0</v>
      </c>
      <c r="S120" s="133">
        <f>SUM('案件．要員情報'!AN121:AS121)</f>
        <v>0</v>
      </c>
      <c r="T120" s="133">
        <f>SUM('案件．要員情報'!AT121:AY121)</f>
        <v>0</v>
      </c>
      <c r="U120" s="133">
        <f>SUM('案件．要員情報'!AZ121:BF121)</f>
        <v>0.44666666666666666</v>
      </c>
      <c r="V120" s="133">
        <f>SUM('案件．要員情報'!BG121:BN121)</f>
        <v>0</v>
      </c>
      <c r="W120" s="133">
        <f>SUM('案件．要員情報'!BO121:BV121)</f>
        <v>0</v>
      </c>
      <c r="X120" s="133">
        <f>SUM('案件．要員情報'!BW121:CD121)</f>
        <v>0</v>
      </c>
      <c r="Y120" s="133">
        <f>SUM('案件．要員情報'!CE121:CL121)</f>
        <v>0</v>
      </c>
      <c r="Z120" s="133">
        <f>SUM('案件．要員情報'!CM121:CT121)</f>
        <v>0</v>
      </c>
      <c r="AA120" s="180">
        <f t="shared" si="4"/>
        <v>0.44666666666666666</v>
      </c>
    </row>
    <row r="121" spans="1:27" s="116" customFormat="1" ht="20.100000000000001" customHeight="1" x14ac:dyDescent="0.4">
      <c r="A121" s="349"/>
      <c r="B121" s="351"/>
      <c r="C121" s="351"/>
      <c r="D121" s="353"/>
      <c r="E121" s="353"/>
      <c r="F121" s="353"/>
      <c r="G121" s="385"/>
      <c r="H121" s="387"/>
      <c r="I121" s="387"/>
      <c r="J121" s="387"/>
      <c r="K121" s="387"/>
      <c r="L121" s="387"/>
      <c r="M121" s="387"/>
      <c r="N121" s="137" t="s">
        <v>25</v>
      </c>
      <c r="O121" s="135">
        <f>SUM('案件．要員情報'!O122:U122)</f>
        <v>0</v>
      </c>
      <c r="P121" s="135">
        <f>SUM('案件．要員情報'!V122:AA122)</f>
        <v>0</v>
      </c>
      <c r="Q121" s="135">
        <f>SUM('案件．要員情報'!AB122:AG122)</f>
        <v>0</v>
      </c>
      <c r="R121" s="135">
        <f>SUM('案件．要員情報'!AH122:AM122)</f>
        <v>0</v>
      </c>
      <c r="S121" s="135">
        <f>SUM('案件．要員情報'!AN122:AS122)</f>
        <v>0</v>
      </c>
      <c r="T121" s="135">
        <f>SUM('案件．要員情報'!AT122:AY122)</f>
        <v>0</v>
      </c>
      <c r="U121" s="135">
        <f>SUM('案件．要員情報'!AZ122:BF122)</f>
        <v>3.3333333333333335E-3</v>
      </c>
      <c r="V121" s="135">
        <f>SUM('案件．要員情報'!BG122:BN122)</f>
        <v>0</v>
      </c>
      <c r="W121" s="135">
        <f>SUM('案件．要員情報'!BO122:BV122)</f>
        <v>0</v>
      </c>
      <c r="X121" s="135">
        <f>SUM('案件．要員情報'!BW122:CD122)</f>
        <v>0</v>
      </c>
      <c r="Y121" s="135">
        <f>SUM('案件．要員情報'!CE122:CL122)</f>
        <v>0</v>
      </c>
      <c r="Z121" s="135">
        <f>SUM('案件．要員情報'!CM122:CT122)</f>
        <v>0</v>
      </c>
      <c r="AA121" s="138">
        <f t="shared" si="4"/>
        <v>3.3333333333333335E-3</v>
      </c>
    </row>
    <row r="122" spans="1:27" s="116" customFormat="1" ht="20.100000000000001" customHeight="1" x14ac:dyDescent="0.4">
      <c r="A122" s="348">
        <v>59</v>
      </c>
      <c r="B122" s="350" t="s">
        <v>46</v>
      </c>
      <c r="C122" s="350" t="s">
        <v>14</v>
      </c>
      <c r="D122" s="352" t="s">
        <v>977</v>
      </c>
      <c r="E122" s="352" t="s">
        <v>976</v>
      </c>
      <c r="F122" s="352" t="s">
        <v>999</v>
      </c>
      <c r="G122" s="385" t="s">
        <v>975</v>
      </c>
      <c r="H122" s="386"/>
      <c r="I122" s="386"/>
      <c r="J122" s="386"/>
      <c r="K122" s="386"/>
      <c r="L122" s="386"/>
      <c r="M122" s="386"/>
      <c r="N122" s="136" t="s">
        <v>24</v>
      </c>
      <c r="O122" s="133">
        <f>SUM('案件．要員情報'!O123:U123)</f>
        <v>0</v>
      </c>
      <c r="P122" s="133">
        <f>SUM('案件．要員情報'!V123:AA123)</f>
        <v>0</v>
      </c>
      <c r="Q122" s="133">
        <f>SUM('案件．要員情報'!AB123:AG123)</f>
        <v>0</v>
      </c>
      <c r="R122" s="133">
        <f>SUM('案件．要員情報'!AH123:AM123)</f>
        <v>0</v>
      </c>
      <c r="S122" s="133">
        <f>SUM('案件．要員情報'!AN123:AS123)</f>
        <v>0</v>
      </c>
      <c r="T122" s="133">
        <f>SUM('案件．要員情報'!AT123:AY123)</f>
        <v>0</v>
      </c>
      <c r="U122" s="133">
        <f>SUM('案件．要員情報'!AZ123:BF123)</f>
        <v>0.31333333333333335</v>
      </c>
      <c r="V122" s="133">
        <f>SUM('案件．要員情報'!BG123:BN123)</f>
        <v>0</v>
      </c>
      <c r="W122" s="133">
        <f>SUM('案件．要員情報'!BO123:BV123)</f>
        <v>0</v>
      </c>
      <c r="X122" s="133">
        <f>SUM('案件．要員情報'!BW123:CD123)</f>
        <v>0</v>
      </c>
      <c r="Y122" s="133">
        <f>SUM('案件．要員情報'!CE123:CL123)</f>
        <v>0</v>
      </c>
      <c r="Z122" s="133">
        <f>SUM('案件．要員情報'!CM123:CT123)</f>
        <v>0</v>
      </c>
      <c r="AA122" s="180">
        <f t="shared" si="4"/>
        <v>0.31333333333333335</v>
      </c>
    </row>
    <row r="123" spans="1:27" s="116" customFormat="1" ht="20.100000000000001" customHeight="1" x14ac:dyDescent="0.4">
      <c r="A123" s="349"/>
      <c r="B123" s="351"/>
      <c r="C123" s="351"/>
      <c r="D123" s="353"/>
      <c r="E123" s="353"/>
      <c r="F123" s="353"/>
      <c r="G123" s="385"/>
      <c r="H123" s="387"/>
      <c r="I123" s="387"/>
      <c r="J123" s="387"/>
      <c r="K123" s="387"/>
      <c r="L123" s="387"/>
      <c r="M123" s="387"/>
      <c r="N123" s="137" t="s">
        <v>25</v>
      </c>
      <c r="O123" s="135">
        <f>SUM('案件．要員情報'!O124:U124)</f>
        <v>0</v>
      </c>
      <c r="P123" s="135">
        <f>SUM('案件．要員情報'!V124:AA124)</f>
        <v>0</v>
      </c>
      <c r="Q123" s="135">
        <f>SUM('案件．要員情報'!AB124:AG124)</f>
        <v>0</v>
      </c>
      <c r="R123" s="135">
        <f>SUM('案件．要員情報'!AH124:AM124)</f>
        <v>0</v>
      </c>
      <c r="S123" s="135">
        <f>SUM('案件．要員情報'!AN124:AS124)</f>
        <v>0</v>
      </c>
      <c r="T123" s="135">
        <f>SUM('案件．要員情報'!AT124:AY124)</f>
        <v>0</v>
      </c>
      <c r="U123" s="135">
        <f>SUM('案件．要員情報'!AZ124:BF124)</f>
        <v>8.1666666666666665E-2</v>
      </c>
      <c r="V123" s="135">
        <f>SUM('案件．要員情報'!BG124:BN124)</f>
        <v>0</v>
      </c>
      <c r="W123" s="135">
        <f>SUM('案件．要員情報'!BO124:BV124)</f>
        <v>0</v>
      </c>
      <c r="X123" s="135">
        <f>SUM('案件．要員情報'!BW124:CD124)</f>
        <v>0</v>
      </c>
      <c r="Y123" s="135">
        <f>SUM('案件．要員情報'!CE124:CL124)</f>
        <v>0</v>
      </c>
      <c r="Z123" s="135">
        <f>SUM('案件．要員情報'!CM124:CT124)</f>
        <v>0</v>
      </c>
      <c r="AA123" s="138">
        <f t="shared" si="4"/>
        <v>8.1666666666666665E-2</v>
      </c>
    </row>
    <row r="124" spans="1:27" s="116" customFormat="1" ht="20.100000000000001" customHeight="1" x14ac:dyDescent="0.4">
      <c r="A124" s="348">
        <v>60</v>
      </c>
      <c r="B124" s="350" t="s">
        <v>46</v>
      </c>
      <c r="C124" s="350" t="s">
        <v>14</v>
      </c>
      <c r="D124" s="352" t="s">
        <v>986</v>
      </c>
      <c r="E124" s="352" t="s">
        <v>983</v>
      </c>
      <c r="F124" s="352" t="s">
        <v>999</v>
      </c>
      <c r="G124" s="385" t="s">
        <v>985</v>
      </c>
      <c r="H124" s="386"/>
      <c r="I124" s="386"/>
      <c r="J124" s="386"/>
      <c r="K124" s="386"/>
      <c r="L124" s="386"/>
      <c r="M124" s="386"/>
      <c r="N124" s="136" t="s">
        <v>24</v>
      </c>
      <c r="O124" s="133">
        <f>SUM('案件．要員情報'!O125:U125)</f>
        <v>0</v>
      </c>
      <c r="P124" s="133">
        <f>SUM('案件．要員情報'!V125:AA125)</f>
        <v>0</v>
      </c>
      <c r="Q124" s="133">
        <f>SUM('案件．要員情報'!AB125:AG125)</f>
        <v>0</v>
      </c>
      <c r="R124" s="133">
        <f>SUM('案件．要員情報'!AH125:AM125)</f>
        <v>0</v>
      </c>
      <c r="S124" s="133">
        <f>SUM('案件．要員情報'!AN125:AS125)</f>
        <v>0</v>
      </c>
      <c r="T124" s="133">
        <f>SUM('案件．要員情報'!AT125:AY125)</f>
        <v>0</v>
      </c>
      <c r="U124" s="133">
        <f>SUM('案件．要員情報'!AZ125:BF125)</f>
        <v>0.31333333333333335</v>
      </c>
      <c r="V124" s="133">
        <f>SUM('案件．要員情報'!BG125:BN125)</f>
        <v>0</v>
      </c>
      <c r="W124" s="133">
        <f>SUM('案件．要員情報'!BO125:BV125)</f>
        <v>0</v>
      </c>
      <c r="X124" s="133">
        <f>SUM('案件．要員情報'!BW125:CD125)</f>
        <v>0</v>
      </c>
      <c r="Y124" s="133">
        <f>SUM('案件．要員情報'!CE125:CL125)</f>
        <v>0</v>
      </c>
      <c r="Z124" s="133">
        <f>SUM('案件．要員情報'!CM125:CT125)</f>
        <v>0</v>
      </c>
      <c r="AA124" s="180">
        <f t="shared" ref="AA124:AA165" si="5">SUM(O124:Z124)</f>
        <v>0.31333333333333335</v>
      </c>
    </row>
    <row r="125" spans="1:27" s="116" customFormat="1" ht="20.100000000000001" customHeight="1" x14ac:dyDescent="0.4">
      <c r="A125" s="349"/>
      <c r="B125" s="351"/>
      <c r="C125" s="351"/>
      <c r="D125" s="353"/>
      <c r="E125" s="353"/>
      <c r="F125" s="353"/>
      <c r="G125" s="385"/>
      <c r="H125" s="387"/>
      <c r="I125" s="387"/>
      <c r="J125" s="387"/>
      <c r="K125" s="387"/>
      <c r="L125" s="387"/>
      <c r="M125" s="387"/>
      <c r="N125" s="137" t="s">
        <v>25</v>
      </c>
      <c r="O125" s="135">
        <f>SUM('案件．要員情報'!O126:U126)</f>
        <v>0</v>
      </c>
      <c r="P125" s="135">
        <f>SUM('案件．要員情報'!V126:AA126)</f>
        <v>0</v>
      </c>
      <c r="Q125" s="135">
        <f>SUM('案件．要員情報'!AB126:AG126)</f>
        <v>0</v>
      </c>
      <c r="R125" s="135">
        <f>SUM('案件．要員情報'!AH126:AM126)</f>
        <v>0</v>
      </c>
      <c r="S125" s="135">
        <f>SUM('案件．要員情報'!AN126:AS126)</f>
        <v>0</v>
      </c>
      <c r="T125" s="135">
        <f>SUM('案件．要員情報'!AT126:AY126)</f>
        <v>0</v>
      </c>
      <c r="U125" s="135">
        <f>SUM('案件．要員情報'!AZ126:BF126)</f>
        <v>3.3333333333333335E-3</v>
      </c>
      <c r="V125" s="135">
        <f>SUM('案件．要員情報'!BG126:BN126)</f>
        <v>0</v>
      </c>
      <c r="W125" s="135">
        <f>SUM('案件．要員情報'!BO126:BV126)</f>
        <v>0</v>
      </c>
      <c r="X125" s="135">
        <f>SUM('案件．要員情報'!BW126:CD126)</f>
        <v>0</v>
      </c>
      <c r="Y125" s="135">
        <f>SUM('案件．要員情報'!CE126:CL126)</f>
        <v>0</v>
      </c>
      <c r="Z125" s="135">
        <f>SUM('案件．要員情報'!CM126:CT126)</f>
        <v>0</v>
      </c>
      <c r="AA125" s="138">
        <f t="shared" si="5"/>
        <v>3.3333333333333335E-3</v>
      </c>
    </row>
    <row r="126" spans="1:27" s="116" customFormat="1" ht="20.100000000000001" hidden="1" customHeight="1" outlineLevel="1" x14ac:dyDescent="0.4">
      <c r="A126" s="348">
        <v>61</v>
      </c>
      <c r="B126" s="350" t="s">
        <v>45</v>
      </c>
      <c r="C126" s="350" t="s">
        <v>342</v>
      </c>
      <c r="D126" s="352"/>
      <c r="E126" s="352"/>
      <c r="F126" s="352"/>
      <c r="G126" s="386"/>
      <c r="H126" s="386"/>
      <c r="I126" s="386"/>
      <c r="J126" s="386"/>
      <c r="K126" s="386"/>
      <c r="L126" s="386"/>
      <c r="M126" s="386"/>
      <c r="N126" s="136" t="s">
        <v>24</v>
      </c>
      <c r="O126" s="133">
        <f>SUM('案件．要員情報'!O127:U127)</f>
        <v>0</v>
      </c>
      <c r="P126" s="133">
        <f>SUM('案件．要員情報'!V127:AA127)</f>
        <v>0</v>
      </c>
      <c r="Q126" s="133">
        <f>SUM('案件．要員情報'!AB127:AG127)</f>
        <v>0</v>
      </c>
      <c r="R126" s="133">
        <f>SUM('案件．要員情報'!AH127:AM127)</f>
        <v>0</v>
      </c>
      <c r="S126" s="133">
        <f>SUM('案件．要員情報'!AN127:AS127)</f>
        <v>0</v>
      </c>
      <c r="T126" s="133">
        <f>SUM('案件．要員情報'!AT127:AY127)</f>
        <v>0</v>
      </c>
      <c r="U126" s="133">
        <f>SUM('案件．要員情報'!AZ127:BF127)</f>
        <v>0</v>
      </c>
      <c r="V126" s="133">
        <f>SUM('案件．要員情報'!BG127:BN127)</f>
        <v>0</v>
      </c>
      <c r="W126" s="133">
        <f>SUM('案件．要員情報'!BO127:BV127)</f>
        <v>0</v>
      </c>
      <c r="X126" s="133">
        <f>SUM('案件．要員情報'!BW127:CD127)</f>
        <v>0</v>
      </c>
      <c r="Y126" s="133">
        <f>SUM('案件．要員情報'!CE127:CL127)</f>
        <v>0</v>
      </c>
      <c r="Z126" s="133">
        <f>SUM('案件．要員情報'!CM127:CT127)</f>
        <v>0</v>
      </c>
      <c r="AA126" s="180">
        <f t="shared" si="5"/>
        <v>0</v>
      </c>
    </row>
    <row r="127" spans="1:27" s="116" customFormat="1" ht="20.100000000000001" hidden="1" customHeight="1" outlineLevel="1" x14ac:dyDescent="0.4">
      <c r="A127" s="349"/>
      <c r="B127" s="351"/>
      <c r="C127" s="351"/>
      <c r="D127" s="353"/>
      <c r="E127" s="353"/>
      <c r="F127" s="353"/>
      <c r="G127" s="387"/>
      <c r="H127" s="387"/>
      <c r="I127" s="387"/>
      <c r="J127" s="387"/>
      <c r="K127" s="387"/>
      <c r="L127" s="387"/>
      <c r="M127" s="387"/>
      <c r="N127" s="137" t="s">
        <v>25</v>
      </c>
      <c r="O127" s="135">
        <f>SUM('案件．要員情報'!O128:U128)</f>
        <v>0</v>
      </c>
      <c r="P127" s="135">
        <f>SUM('案件．要員情報'!V128:AA128)</f>
        <v>0</v>
      </c>
      <c r="Q127" s="135">
        <f>SUM('案件．要員情報'!AB128:AG128)</f>
        <v>0</v>
      </c>
      <c r="R127" s="135">
        <f>SUM('案件．要員情報'!AH128:AM128)</f>
        <v>0</v>
      </c>
      <c r="S127" s="135">
        <f>SUM('案件．要員情報'!AN128:AS128)</f>
        <v>0</v>
      </c>
      <c r="T127" s="135">
        <f>SUM('案件．要員情報'!AT128:AY128)</f>
        <v>0</v>
      </c>
      <c r="U127" s="135">
        <f>SUM('案件．要員情報'!AZ128:BF128)</f>
        <v>0</v>
      </c>
      <c r="V127" s="135">
        <f>SUM('案件．要員情報'!BG128:BN128)</f>
        <v>0</v>
      </c>
      <c r="W127" s="135">
        <f>SUM('案件．要員情報'!BO128:BV128)</f>
        <v>0</v>
      </c>
      <c r="X127" s="135">
        <f>SUM('案件．要員情報'!BW128:CD128)</f>
        <v>0</v>
      </c>
      <c r="Y127" s="135">
        <f>SUM('案件．要員情報'!CE128:CL128)</f>
        <v>0</v>
      </c>
      <c r="Z127" s="135">
        <f>SUM('案件．要員情報'!CM128:CT128)</f>
        <v>0</v>
      </c>
      <c r="AA127" s="138">
        <f t="shared" si="5"/>
        <v>0</v>
      </c>
    </row>
    <row r="128" spans="1:27" s="116" customFormat="1" ht="20.100000000000001" hidden="1" customHeight="1" outlineLevel="1" x14ac:dyDescent="0.4">
      <c r="A128" s="348">
        <v>62</v>
      </c>
      <c r="B128" s="350" t="s">
        <v>45</v>
      </c>
      <c r="C128" s="350" t="s">
        <v>342</v>
      </c>
      <c r="D128" s="352"/>
      <c r="E128" s="352"/>
      <c r="F128" s="352"/>
      <c r="G128" s="386"/>
      <c r="H128" s="386"/>
      <c r="I128" s="386"/>
      <c r="J128" s="386"/>
      <c r="K128" s="386"/>
      <c r="L128" s="386"/>
      <c r="M128" s="386"/>
      <c r="N128" s="136" t="s">
        <v>24</v>
      </c>
      <c r="O128" s="133">
        <f>SUM('案件．要員情報'!O129:U129)</f>
        <v>0</v>
      </c>
      <c r="P128" s="133">
        <f>SUM('案件．要員情報'!V129:AA129)</f>
        <v>0</v>
      </c>
      <c r="Q128" s="133">
        <f>SUM('案件．要員情報'!AB129:AG129)</f>
        <v>0</v>
      </c>
      <c r="R128" s="133">
        <f>SUM('案件．要員情報'!AH129:AM129)</f>
        <v>0</v>
      </c>
      <c r="S128" s="133">
        <f>SUM('案件．要員情報'!AN129:AS129)</f>
        <v>0</v>
      </c>
      <c r="T128" s="133">
        <f>SUM('案件．要員情報'!AT129:AY129)</f>
        <v>0</v>
      </c>
      <c r="U128" s="133">
        <f>SUM('案件．要員情報'!AZ129:BF129)</f>
        <v>0</v>
      </c>
      <c r="V128" s="133">
        <f>SUM('案件．要員情報'!BG129:BN129)</f>
        <v>0</v>
      </c>
      <c r="W128" s="133">
        <f>SUM('案件．要員情報'!BO129:BV129)</f>
        <v>0</v>
      </c>
      <c r="X128" s="133">
        <f>SUM('案件．要員情報'!BW129:CD129)</f>
        <v>0</v>
      </c>
      <c r="Y128" s="133">
        <f>SUM('案件．要員情報'!CE129:CL129)</f>
        <v>0</v>
      </c>
      <c r="Z128" s="133">
        <f>SUM('案件．要員情報'!CM129:CT129)</f>
        <v>0</v>
      </c>
      <c r="AA128" s="180">
        <f t="shared" si="5"/>
        <v>0</v>
      </c>
    </row>
    <row r="129" spans="1:27" s="116" customFormat="1" ht="20.100000000000001" hidden="1" customHeight="1" outlineLevel="1" x14ac:dyDescent="0.4">
      <c r="A129" s="349"/>
      <c r="B129" s="351"/>
      <c r="C129" s="351"/>
      <c r="D129" s="353"/>
      <c r="E129" s="353"/>
      <c r="F129" s="353"/>
      <c r="G129" s="387"/>
      <c r="H129" s="387"/>
      <c r="I129" s="387"/>
      <c r="J129" s="387"/>
      <c r="K129" s="387"/>
      <c r="L129" s="387"/>
      <c r="M129" s="387"/>
      <c r="N129" s="137" t="s">
        <v>25</v>
      </c>
      <c r="O129" s="135">
        <f>SUM('案件．要員情報'!O130:U130)</f>
        <v>0</v>
      </c>
      <c r="P129" s="135">
        <f>SUM('案件．要員情報'!V130:AA130)</f>
        <v>0</v>
      </c>
      <c r="Q129" s="135">
        <f>SUM('案件．要員情報'!AB130:AG130)</f>
        <v>0</v>
      </c>
      <c r="R129" s="135">
        <f>SUM('案件．要員情報'!AH130:AM130)</f>
        <v>0</v>
      </c>
      <c r="S129" s="135">
        <f>SUM('案件．要員情報'!AN130:AS130)</f>
        <v>0</v>
      </c>
      <c r="T129" s="135">
        <f>SUM('案件．要員情報'!AT130:AY130)</f>
        <v>0</v>
      </c>
      <c r="U129" s="135">
        <f>SUM('案件．要員情報'!AZ130:BF130)</f>
        <v>0</v>
      </c>
      <c r="V129" s="135">
        <f>SUM('案件．要員情報'!BG130:BN130)</f>
        <v>0</v>
      </c>
      <c r="W129" s="135">
        <f>SUM('案件．要員情報'!BO130:BV130)</f>
        <v>0</v>
      </c>
      <c r="X129" s="135">
        <f>SUM('案件．要員情報'!BW130:CD130)</f>
        <v>0</v>
      </c>
      <c r="Y129" s="135">
        <f>SUM('案件．要員情報'!CE130:CL130)</f>
        <v>0</v>
      </c>
      <c r="Z129" s="135">
        <f>SUM('案件．要員情報'!CM130:CT130)</f>
        <v>0</v>
      </c>
      <c r="AA129" s="138">
        <f t="shared" si="5"/>
        <v>0</v>
      </c>
    </row>
    <row r="130" spans="1:27" s="116" customFormat="1" ht="20.100000000000001" hidden="1" customHeight="1" outlineLevel="1" x14ac:dyDescent="0.4">
      <c r="A130" s="348">
        <v>63</v>
      </c>
      <c r="B130" s="350" t="s">
        <v>45</v>
      </c>
      <c r="C130" s="350" t="s">
        <v>342</v>
      </c>
      <c r="D130" s="352"/>
      <c r="E130" s="352"/>
      <c r="F130" s="352"/>
      <c r="G130" s="386"/>
      <c r="H130" s="386"/>
      <c r="I130" s="386"/>
      <c r="J130" s="386"/>
      <c r="K130" s="386"/>
      <c r="L130" s="386"/>
      <c r="M130" s="386"/>
      <c r="N130" s="136" t="s">
        <v>24</v>
      </c>
      <c r="O130" s="133">
        <f>SUM('案件．要員情報'!O131:U131)</f>
        <v>0</v>
      </c>
      <c r="P130" s="133">
        <f>SUM('案件．要員情報'!V131:AA131)</f>
        <v>0</v>
      </c>
      <c r="Q130" s="133">
        <f>SUM('案件．要員情報'!AB131:AG131)</f>
        <v>0</v>
      </c>
      <c r="R130" s="133">
        <f>SUM('案件．要員情報'!AH131:AM131)</f>
        <v>0</v>
      </c>
      <c r="S130" s="133">
        <f>SUM('案件．要員情報'!AN131:AS131)</f>
        <v>0</v>
      </c>
      <c r="T130" s="133">
        <f>SUM('案件．要員情報'!AT131:AY131)</f>
        <v>0</v>
      </c>
      <c r="U130" s="133">
        <f>SUM('案件．要員情報'!AZ131:BF131)</f>
        <v>0</v>
      </c>
      <c r="V130" s="133">
        <f>SUM('案件．要員情報'!BG131:BN131)</f>
        <v>0</v>
      </c>
      <c r="W130" s="133">
        <f>SUM('案件．要員情報'!BO131:BV131)</f>
        <v>0</v>
      </c>
      <c r="X130" s="133">
        <f>SUM('案件．要員情報'!BW131:CD131)</f>
        <v>0</v>
      </c>
      <c r="Y130" s="133">
        <f>SUM('案件．要員情報'!CE131:CL131)</f>
        <v>0</v>
      </c>
      <c r="Z130" s="133">
        <f>SUM('案件．要員情報'!CM131:CT131)</f>
        <v>0</v>
      </c>
      <c r="AA130" s="180">
        <f t="shared" si="5"/>
        <v>0</v>
      </c>
    </row>
    <row r="131" spans="1:27" s="116" customFormat="1" ht="20.100000000000001" hidden="1" customHeight="1" outlineLevel="1" x14ac:dyDescent="0.4">
      <c r="A131" s="349"/>
      <c r="B131" s="351"/>
      <c r="C131" s="351"/>
      <c r="D131" s="353"/>
      <c r="E131" s="353"/>
      <c r="F131" s="353"/>
      <c r="G131" s="387"/>
      <c r="H131" s="387"/>
      <c r="I131" s="387"/>
      <c r="J131" s="387"/>
      <c r="K131" s="387"/>
      <c r="L131" s="387"/>
      <c r="M131" s="387"/>
      <c r="N131" s="137" t="s">
        <v>25</v>
      </c>
      <c r="O131" s="135">
        <f>SUM('案件．要員情報'!O132:U132)</f>
        <v>0</v>
      </c>
      <c r="P131" s="135">
        <f>SUM('案件．要員情報'!V132:AA132)</f>
        <v>0</v>
      </c>
      <c r="Q131" s="135">
        <f>SUM('案件．要員情報'!AB132:AG132)</f>
        <v>0</v>
      </c>
      <c r="R131" s="135">
        <f>SUM('案件．要員情報'!AH132:AM132)</f>
        <v>0</v>
      </c>
      <c r="S131" s="135">
        <f>SUM('案件．要員情報'!AN132:AS132)</f>
        <v>0</v>
      </c>
      <c r="T131" s="135">
        <f>SUM('案件．要員情報'!AT132:AY132)</f>
        <v>0</v>
      </c>
      <c r="U131" s="135">
        <f>SUM('案件．要員情報'!AZ132:BF132)</f>
        <v>0</v>
      </c>
      <c r="V131" s="135">
        <f>SUM('案件．要員情報'!BG132:BN132)</f>
        <v>0</v>
      </c>
      <c r="W131" s="135">
        <f>SUM('案件．要員情報'!BO132:BV132)</f>
        <v>0</v>
      </c>
      <c r="X131" s="135">
        <f>SUM('案件．要員情報'!BW132:CD132)</f>
        <v>0</v>
      </c>
      <c r="Y131" s="135">
        <f>SUM('案件．要員情報'!CE132:CL132)</f>
        <v>0</v>
      </c>
      <c r="Z131" s="135">
        <f>SUM('案件．要員情報'!CM132:CT132)</f>
        <v>0</v>
      </c>
      <c r="AA131" s="138">
        <f t="shared" si="5"/>
        <v>0</v>
      </c>
    </row>
    <row r="132" spans="1:27" s="116" customFormat="1" ht="20.100000000000001" hidden="1" customHeight="1" outlineLevel="1" x14ac:dyDescent="0.4">
      <c r="A132" s="348">
        <v>64</v>
      </c>
      <c r="B132" s="350" t="s">
        <v>45</v>
      </c>
      <c r="C132" s="350" t="s">
        <v>342</v>
      </c>
      <c r="D132" s="352"/>
      <c r="E132" s="352"/>
      <c r="F132" s="352"/>
      <c r="G132" s="386"/>
      <c r="H132" s="386"/>
      <c r="I132" s="386"/>
      <c r="J132" s="386"/>
      <c r="K132" s="386"/>
      <c r="L132" s="386"/>
      <c r="M132" s="386"/>
      <c r="N132" s="136" t="s">
        <v>24</v>
      </c>
      <c r="O132" s="133">
        <f>SUM('案件．要員情報'!O133:U133)</f>
        <v>0</v>
      </c>
      <c r="P132" s="133">
        <f>SUM('案件．要員情報'!V133:AA133)</f>
        <v>0</v>
      </c>
      <c r="Q132" s="133">
        <f>SUM('案件．要員情報'!AB133:AG133)</f>
        <v>0</v>
      </c>
      <c r="R132" s="133">
        <f>SUM('案件．要員情報'!AH133:AM133)</f>
        <v>0</v>
      </c>
      <c r="S132" s="133">
        <f>SUM('案件．要員情報'!AN133:AS133)</f>
        <v>0</v>
      </c>
      <c r="T132" s="133">
        <f>SUM('案件．要員情報'!AT133:AY133)</f>
        <v>0</v>
      </c>
      <c r="U132" s="133">
        <f>SUM('案件．要員情報'!AZ133:BF133)</f>
        <v>0</v>
      </c>
      <c r="V132" s="133">
        <f>SUM('案件．要員情報'!BG133:BN133)</f>
        <v>0</v>
      </c>
      <c r="W132" s="133">
        <f>SUM('案件．要員情報'!BO133:BV133)</f>
        <v>0</v>
      </c>
      <c r="X132" s="133">
        <f>SUM('案件．要員情報'!BW133:CD133)</f>
        <v>0</v>
      </c>
      <c r="Y132" s="133">
        <f>SUM('案件．要員情報'!CE133:CL133)</f>
        <v>0</v>
      </c>
      <c r="Z132" s="133">
        <f>SUM('案件．要員情報'!CM133:CT133)</f>
        <v>0</v>
      </c>
      <c r="AA132" s="180">
        <f t="shared" si="5"/>
        <v>0</v>
      </c>
    </row>
    <row r="133" spans="1:27" s="116" customFormat="1" ht="20.100000000000001" hidden="1" customHeight="1" outlineLevel="1" x14ac:dyDescent="0.4">
      <c r="A133" s="349"/>
      <c r="B133" s="351"/>
      <c r="C133" s="351"/>
      <c r="D133" s="353"/>
      <c r="E133" s="353"/>
      <c r="F133" s="353"/>
      <c r="G133" s="387"/>
      <c r="H133" s="387"/>
      <c r="I133" s="387"/>
      <c r="J133" s="387"/>
      <c r="K133" s="387"/>
      <c r="L133" s="387"/>
      <c r="M133" s="387"/>
      <c r="N133" s="137" t="s">
        <v>25</v>
      </c>
      <c r="O133" s="135">
        <f>SUM('案件．要員情報'!O134:U134)</f>
        <v>0</v>
      </c>
      <c r="P133" s="135">
        <f>SUM('案件．要員情報'!V134:AA134)</f>
        <v>0</v>
      </c>
      <c r="Q133" s="135">
        <f>SUM('案件．要員情報'!AB134:AG134)</f>
        <v>0</v>
      </c>
      <c r="R133" s="135">
        <f>SUM('案件．要員情報'!AH134:AM134)</f>
        <v>0</v>
      </c>
      <c r="S133" s="135">
        <f>SUM('案件．要員情報'!AN134:AS134)</f>
        <v>0</v>
      </c>
      <c r="T133" s="135">
        <f>SUM('案件．要員情報'!AT134:AY134)</f>
        <v>0</v>
      </c>
      <c r="U133" s="135">
        <f>SUM('案件．要員情報'!AZ134:BF134)</f>
        <v>0</v>
      </c>
      <c r="V133" s="135">
        <f>SUM('案件．要員情報'!BG134:BN134)</f>
        <v>0</v>
      </c>
      <c r="W133" s="135">
        <f>SUM('案件．要員情報'!BO134:BV134)</f>
        <v>0</v>
      </c>
      <c r="X133" s="135">
        <f>SUM('案件．要員情報'!BW134:CD134)</f>
        <v>0</v>
      </c>
      <c r="Y133" s="135">
        <f>SUM('案件．要員情報'!CE134:CL134)</f>
        <v>0</v>
      </c>
      <c r="Z133" s="135">
        <f>SUM('案件．要員情報'!CM134:CT134)</f>
        <v>0</v>
      </c>
      <c r="AA133" s="138">
        <f t="shared" si="5"/>
        <v>0</v>
      </c>
    </row>
    <row r="134" spans="1:27" s="116" customFormat="1" ht="20.100000000000001" hidden="1" customHeight="1" outlineLevel="1" x14ac:dyDescent="0.4">
      <c r="A134" s="348">
        <v>65</v>
      </c>
      <c r="B134" s="350" t="s">
        <v>45</v>
      </c>
      <c r="C134" s="350" t="s">
        <v>342</v>
      </c>
      <c r="D134" s="352"/>
      <c r="E134" s="352"/>
      <c r="F134" s="352"/>
      <c r="G134" s="386"/>
      <c r="H134" s="386"/>
      <c r="I134" s="386"/>
      <c r="J134" s="386"/>
      <c r="K134" s="386"/>
      <c r="L134" s="386"/>
      <c r="M134" s="386"/>
      <c r="N134" s="136" t="s">
        <v>24</v>
      </c>
      <c r="O134" s="133">
        <f>SUM('案件．要員情報'!O135:U135)</f>
        <v>0</v>
      </c>
      <c r="P134" s="133">
        <f>SUM('案件．要員情報'!V135:AA135)</f>
        <v>0</v>
      </c>
      <c r="Q134" s="133">
        <f>SUM('案件．要員情報'!AB135:AG135)</f>
        <v>0</v>
      </c>
      <c r="R134" s="133">
        <f>SUM('案件．要員情報'!AH135:AM135)</f>
        <v>0</v>
      </c>
      <c r="S134" s="133">
        <f>SUM('案件．要員情報'!AN135:AS135)</f>
        <v>0</v>
      </c>
      <c r="T134" s="133">
        <f>SUM('案件．要員情報'!AT135:AY135)</f>
        <v>0</v>
      </c>
      <c r="U134" s="133">
        <f>SUM('案件．要員情報'!AZ135:BF135)</f>
        <v>0</v>
      </c>
      <c r="V134" s="133">
        <f>SUM('案件．要員情報'!BG135:BN135)</f>
        <v>0</v>
      </c>
      <c r="W134" s="133">
        <f>SUM('案件．要員情報'!BO135:BV135)</f>
        <v>0</v>
      </c>
      <c r="X134" s="133">
        <f>SUM('案件．要員情報'!BW135:CD135)</f>
        <v>0</v>
      </c>
      <c r="Y134" s="133">
        <f>SUM('案件．要員情報'!CE135:CL135)</f>
        <v>0</v>
      </c>
      <c r="Z134" s="133">
        <f>SUM('案件．要員情報'!CM135:CT135)</f>
        <v>0</v>
      </c>
      <c r="AA134" s="180">
        <f t="shared" si="5"/>
        <v>0</v>
      </c>
    </row>
    <row r="135" spans="1:27" s="116" customFormat="1" ht="20.100000000000001" hidden="1" customHeight="1" outlineLevel="1" x14ac:dyDescent="0.4">
      <c r="A135" s="349"/>
      <c r="B135" s="351"/>
      <c r="C135" s="351"/>
      <c r="D135" s="353"/>
      <c r="E135" s="353"/>
      <c r="F135" s="353"/>
      <c r="G135" s="387"/>
      <c r="H135" s="387"/>
      <c r="I135" s="387"/>
      <c r="J135" s="387"/>
      <c r="K135" s="387"/>
      <c r="L135" s="387"/>
      <c r="M135" s="387"/>
      <c r="N135" s="137" t="s">
        <v>25</v>
      </c>
      <c r="O135" s="135">
        <f>SUM('案件．要員情報'!O136:U136)</f>
        <v>0</v>
      </c>
      <c r="P135" s="135">
        <f>SUM('案件．要員情報'!V136:AA136)</f>
        <v>0</v>
      </c>
      <c r="Q135" s="135">
        <f>SUM('案件．要員情報'!AB136:AG136)</f>
        <v>0</v>
      </c>
      <c r="R135" s="135">
        <f>SUM('案件．要員情報'!AH136:AM136)</f>
        <v>0</v>
      </c>
      <c r="S135" s="135">
        <f>SUM('案件．要員情報'!AN136:AS136)</f>
        <v>0</v>
      </c>
      <c r="T135" s="135">
        <f>SUM('案件．要員情報'!AT136:AY136)</f>
        <v>0</v>
      </c>
      <c r="U135" s="135">
        <f>SUM('案件．要員情報'!AZ136:BF136)</f>
        <v>0</v>
      </c>
      <c r="V135" s="135">
        <f>SUM('案件．要員情報'!BG136:BN136)</f>
        <v>0</v>
      </c>
      <c r="W135" s="135">
        <f>SUM('案件．要員情報'!BO136:BV136)</f>
        <v>0</v>
      </c>
      <c r="X135" s="135">
        <f>SUM('案件．要員情報'!BW136:CD136)</f>
        <v>0</v>
      </c>
      <c r="Y135" s="135">
        <f>SUM('案件．要員情報'!CE136:CL136)</f>
        <v>0</v>
      </c>
      <c r="Z135" s="135">
        <f>SUM('案件．要員情報'!CM136:CT136)</f>
        <v>0</v>
      </c>
      <c r="AA135" s="138">
        <f t="shared" si="5"/>
        <v>0</v>
      </c>
    </row>
    <row r="136" spans="1:27" s="116" customFormat="1" ht="20.100000000000001" hidden="1" customHeight="1" outlineLevel="1" x14ac:dyDescent="0.4">
      <c r="A136" s="348">
        <v>66</v>
      </c>
      <c r="B136" s="350" t="s">
        <v>45</v>
      </c>
      <c r="C136" s="350" t="s">
        <v>342</v>
      </c>
      <c r="D136" s="352"/>
      <c r="E136" s="352"/>
      <c r="F136" s="352"/>
      <c r="G136" s="386"/>
      <c r="H136" s="386"/>
      <c r="I136" s="386"/>
      <c r="J136" s="386"/>
      <c r="K136" s="386"/>
      <c r="L136" s="386"/>
      <c r="M136" s="386"/>
      <c r="N136" s="136" t="s">
        <v>24</v>
      </c>
      <c r="O136" s="133">
        <f>SUM('案件．要員情報'!O137:U137)</f>
        <v>0</v>
      </c>
      <c r="P136" s="133">
        <f>SUM('案件．要員情報'!V137:AA137)</f>
        <v>0</v>
      </c>
      <c r="Q136" s="133">
        <f>SUM('案件．要員情報'!AB137:AG137)</f>
        <v>0</v>
      </c>
      <c r="R136" s="133">
        <f>SUM('案件．要員情報'!AH137:AM137)</f>
        <v>0</v>
      </c>
      <c r="S136" s="133">
        <f>SUM('案件．要員情報'!AN137:AS137)</f>
        <v>0</v>
      </c>
      <c r="T136" s="133">
        <f>SUM('案件．要員情報'!AT137:AY137)</f>
        <v>0</v>
      </c>
      <c r="U136" s="133">
        <f>SUM('案件．要員情報'!AZ137:BF137)</f>
        <v>0</v>
      </c>
      <c r="V136" s="133">
        <f>SUM('案件．要員情報'!BG137:BN137)</f>
        <v>0</v>
      </c>
      <c r="W136" s="133">
        <f>SUM('案件．要員情報'!BO137:BV137)</f>
        <v>0</v>
      </c>
      <c r="X136" s="133">
        <f>SUM('案件．要員情報'!BW137:CD137)</f>
        <v>0</v>
      </c>
      <c r="Y136" s="133">
        <f>SUM('案件．要員情報'!CE137:CL137)</f>
        <v>0</v>
      </c>
      <c r="Z136" s="133">
        <f>SUM('案件．要員情報'!CM137:CT137)</f>
        <v>0</v>
      </c>
      <c r="AA136" s="180">
        <f t="shared" si="5"/>
        <v>0</v>
      </c>
    </row>
    <row r="137" spans="1:27" s="116" customFormat="1" ht="20.100000000000001" hidden="1" customHeight="1" outlineLevel="1" x14ac:dyDescent="0.4">
      <c r="A137" s="349"/>
      <c r="B137" s="351"/>
      <c r="C137" s="351"/>
      <c r="D137" s="353"/>
      <c r="E137" s="353"/>
      <c r="F137" s="353"/>
      <c r="G137" s="387"/>
      <c r="H137" s="387"/>
      <c r="I137" s="387"/>
      <c r="J137" s="387"/>
      <c r="K137" s="387"/>
      <c r="L137" s="387"/>
      <c r="M137" s="387"/>
      <c r="N137" s="137" t="s">
        <v>25</v>
      </c>
      <c r="O137" s="135">
        <f>SUM('案件．要員情報'!O138:U138)</f>
        <v>0</v>
      </c>
      <c r="P137" s="135">
        <f>SUM('案件．要員情報'!V138:AA138)</f>
        <v>0</v>
      </c>
      <c r="Q137" s="135">
        <f>SUM('案件．要員情報'!AB138:AG138)</f>
        <v>0</v>
      </c>
      <c r="R137" s="135">
        <f>SUM('案件．要員情報'!AH138:AM138)</f>
        <v>0</v>
      </c>
      <c r="S137" s="135">
        <f>SUM('案件．要員情報'!AN138:AS138)</f>
        <v>0</v>
      </c>
      <c r="T137" s="135">
        <f>SUM('案件．要員情報'!AT138:AY138)</f>
        <v>0</v>
      </c>
      <c r="U137" s="135">
        <f>SUM('案件．要員情報'!AZ138:BF138)</f>
        <v>0</v>
      </c>
      <c r="V137" s="135">
        <f>SUM('案件．要員情報'!BG138:BN138)</f>
        <v>0</v>
      </c>
      <c r="W137" s="135">
        <f>SUM('案件．要員情報'!BO138:BV138)</f>
        <v>0</v>
      </c>
      <c r="X137" s="135">
        <f>SUM('案件．要員情報'!BW138:CD138)</f>
        <v>0</v>
      </c>
      <c r="Y137" s="135">
        <f>SUM('案件．要員情報'!CE138:CL138)</f>
        <v>0</v>
      </c>
      <c r="Z137" s="135">
        <f>SUM('案件．要員情報'!CM138:CT138)</f>
        <v>0</v>
      </c>
      <c r="AA137" s="138">
        <f t="shared" si="5"/>
        <v>0</v>
      </c>
    </row>
    <row r="138" spans="1:27" s="116" customFormat="1" ht="20.100000000000001" hidden="1" customHeight="1" outlineLevel="1" x14ac:dyDescent="0.4">
      <c r="A138" s="348">
        <v>67</v>
      </c>
      <c r="B138" s="350" t="s">
        <v>45</v>
      </c>
      <c r="C138" s="350" t="s">
        <v>342</v>
      </c>
      <c r="D138" s="352"/>
      <c r="E138" s="352"/>
      <c r="F138" s="352"/>
      <c r="G138" s="386"/>
      <c r="H138" s="386"/>
      <c r="I138" s="386"/>
      <c r="J138" s="386"/>
      <c r="K138" s="386"/>
      <c r="L138" s="386"/>
      <c r="M138" s="386"/>
      <c r="N138" s="136" t="s">
        <v>24</v>
      </c>
      <c r="O138" s="133">
        <f>SUM('案件．要員情報'!O139:U139)</f>
        <v>0</v>
      </c>
      <c r="P138" s="133">
        <f>SUM('案件．要員情報'!V139:AA139)</f>
        <v>0</v>
      </c>
      <c r="Q138" s="133">
        <f>SUM('案件．要員情報'!AB139:AG139)</f>
        <v>0</v>
      </c>
      <c r="R138" s="133">
        <f>SUM('案件．要員情報'!AH139:AM139)</f>
        <v>0</v>
      </c>
      <c r="S138" s="133">
        <f>SUM('案件．要員情報'!AN139:AS139)</f>
        <v>0</v>
      </c>
      <c r="T138" s="133">
        <f>SUM('案件．要員情報'!AT139:AY139)</f>
        <v>0</v>
      </c>
      <c r="U138" s="133">
        <f>SUM('案件．要員情報'!AZ139:BF139)</f>
        <v>0</v>
      </c>
      <c r="V138" s="133">
        <f>SUM('案件．要員情報'!BG139:BN139)</f>
        <v>0</v>
      </c>
      <c r="W138" s="133">
        <f>SUM('案件．要員情報'!BO139:BV139)</f>
        <v>0</v>
      </c>
      <c r="X138" s="133">
        <f>SUM('案件．要員情報'!BW139:CD139)</f>
        <v>0</v>
      </c>
      <c r="Y138" s="133">
        <f>SUM('案件．要員情報'!CE139:CL139)</f>
        <v>0</v>
      </c>
      <c r="Z138" s="133">
        <f>SUM('案件．要員情報'!CM139:CT139)</f>
        <v>0</v>
      </c>
      <c r="AA138" s="180">
        <f t="shared" si="5"/>
        <v>0</v>
      </c>
    </row>
    <row r="139" spans="1:27" s="116" customFormat="1" ht="20.100000000000001" hidden="1" customHeight="1" outlineLevel="1" x14ac:dyDescent="0.4">
      <c r="A139" s="349"/>
      <c r="B139" s="351"/>
      <c r="C139" s="351"/>
      <c r="D139" s="353"/>
      <c r="E139" s="353"/>
      <c r="F139" s="353"/>
      <c r="G139" s="387"/>
      <c r="H139" s="387"/>
      <c r="I139" s="387"/>
      <c r="J139" s="387"/>
      <c r="K139" s="387"/>
      <c r="L139" s="387"/>
      <c r="M139" s="387"/>
      <c r="N139" s="137" t="s">
        <v>25</v>
      </c>
      <c r="O139" s="135">
        <f>SUM('案件．要員情報'!O140:U140)</f>
        <v>0</v>
      </c>
      <c r="P139" s="135">
        <f>SUM('案件．要員情報'!V140:AA140)</f>
        <v>0</v>
      </c>
      <c r="Q139" s="135">
        <f>SUM('案件．要員情報'!AB140:AG140)</f>
        <v>0</v>
      </c>
      <c r="R139" s="135">
        <f>SUM('案件．要員情報'!AH140:AM140)</f>
        <v>0</v>
      </c>
      <c r="S139" s="135">
        <f>SUM('案件．要員情報'!AN140:AS140)</f>
        <v>0</v>
      </c>
      <c r="T139" s="135">
        <f>SUM('案件．要員情報'!AT140:AY140)</f>
        <v>0</v>
      </c>
      <c r="U139" s="135">
        <f>SUM('案件．要員情報'!AZ140:BF140)</f>
        <v>0</v>
      </c>
      <c r="V139" s="135">
        <f>SUM('案件．要員情報'!BG140:BN140)</f>
        <v>0</v>
      </c>
      <c r="W139" s="135">
        <f>SUM('案件．要員情報'!BO140:BV140)</f>
        <v>0</v>
      </c>
      <c r="X139" s="135">
        <f>SUM('案件．要員情報'!BW140:CD140)</f>
        <v>0</v>
      </c>
      <c r="Y139" s="135">
        <f>SUM('案件．要員情報'!CE140:CL140)</f>
        <v>0</v>
      </c>
      <c r="Z139" s="135">
        <f>SUM('案件．要員情報'!CM140:CT140)</f>
        <v>0</v>
      </c>
      <c r="AA139" s="138">
        <f t="shared" si="5"/>
        <v>0</v>
      </c>
    </row>
    <row r="140" spans="1:27" s="116" customFormat="1" ht="20.100000000000001" hidden="1" customHeight="1" outlineLevel="1" x14ac:dyDescent="0.4">
      <c r="A140" s="348">
        <v>68</v>
      </c>
      <c r="B140" s="350" t="s">
        <v>45</v>
      </c>
      <c r="C140" s="350" t="s">
        <v>342</v>
      </c>
      <c r="D140" s="352"/>
      <c r="E140" s="352"/>
      <c r="F140" s="352"/>
      <c r="G140" s="386"/>
      <c r="H140" s="386"/>
      <c r="I140" s="386"/>
      <c r="J140" s="386"/>
      <c r="K140" s="386"/>
      <c r="L140" s="386"/>
      <c r="M140" s="386"/>
      <c r="N140" s="136" t="s">
        <v>24</v>
      </c>
      <c r="O140" s="133">
        <f>SUM('案件．要員情報'!O141:U141)</f>
        <v>0</v>
      </c>
      <c r="P140" s="133">
        <f>SUM('案件．要員情報'!V141:AA141)</f>
        <v>0</v>
      </c>
      <c r="Q140" s="133">
        <f>SUM('案件．要員情報'!AB141:AG141)</f>
        <v>0</v>
      </c>
      <c r="R140" s="133">
        <f>SUM('案件．要員情報'!AH141:AM141)</f>
        <v>0</v>
      </c>
      <c r="S140" s="133">
        <f>SUM('案件．要員情報'!AN141:AS141)</f>
        <v>0</v>
      </c>
      <c r="T140" s="133">
        <f>SUM('案件．要員情報'!AT141:AY141)</f>
        <v>0</v>
      </c>
      <c r="U140" s="133">
        <f>SUM('案件．要員情報'!AZ141:BF141)</f>
        <v>0</v>
      </c>
      <c r="V140" s="133">
        <f>SUM('案件．要員情報'!BG141:BN141)</f>
        <v>0</v>
      </c>
      <c r="W140" s="133">
        <f>SUM('案件．要員情報'!BO141:BV141)</f>
        <v>0</v>
      </c>
      <c r="X140" s="133">
        <f>SUM('案件．要員情報'!BW141:CD141)</f>
        <v>0</v>
      </c>
      <c r="Y140" s="133">
        <f>SUM('案件．要員情報'!CE141:CL141)</f>
        <v>0</v>
      </c>
      <c r="Z140" s="133">
        <f>SUM('案件．要員情報'!CM141:CT141)</f>
        <v>0</v>
      </c>
      <c r="AA140" s="180">
        <f t="shared" si="5"/>
        <v>0</v>
      </c>
    </row>
    <row r="141" spans="1:27" s="116" customFormat="1" ht="20.100000000000001" hidden="1" customHeight="1" outlineLevel="1" x14ac:dyDescent="0.4">
      <c r="A141" s="349"/>
      <c r="B141" s="351"/>
      <c r="C141" s="351"/>
      <c r="D141" s="353"/>
      <c r="E141" s="353"/>
      <c r="F141" s="353"/>
      <c r="G141" s="387"/>
      <c r="H141" s="387"/>
      <c r="I141" s="387"/>
      <c r="J141" s="387"/>
      <c r="K141" s="387"/>
      <c r="L141" s="387"/>
      <c r="M141" s="387"/>
      <c r="N141" s="137" t="s">
        <v>25</v>
      </c>
      <c r="O141" s="135">
        <f>SUM('案件．要員情報'!O142:U142)</f>
        <v>0</v>
      </c>
      <c r="P141" s="135">
        <f>SUM('案件．要員情報'!V142:AA142)</f>
        <v>0</v>
      </c>
      <c r="Q141" s="135">
        <f>SUM('案件．要員情報'!AB142:AG142)</f>
        <v>0</v>
      </c>
      <c r="R141" s="135">
        <f>SUM('案件．要員情報'!AH142:AM142)</f>
        <v>0</v>
      </c>
      <c r="S141" s="135">
        <f>SUM('案件．要員情報'!AN142:AS142)</f>
        <v>0</v>
      </c>
      <c r="T141" s="135">
        <f>SUM('案件．要員情報'!AT142:AY142)</f>
        <v>0</v>
      </c>
      <c r="U141" s="135">
        <f>SUM('案件．要員情報'!AZ142:BF142)</f>
        <v>0</v>
      </c>
      <c r="V141" s="135">
        <f>SUM('案件．要員情報'!BG142:BN142)</f>
        <v>0</v>
      </c>
      <c r="W141" s="135">
        <f>SUM('案件．要員情報'!BO142:BV142)</f>
        <v>0</v>
      </c>
      <c r="X141" s="135">
        <f>SUM('案件．要員情報'!BW142:CD142)</f>
        <v>0</v>
      </c>
      <c r="Y141" s="135">
        <f>SUM('案件．要員情報'!CE142:CL142)</f>
        <v>0</v>
      </c>
      <c r="Z141" s="135">
        <f>SUM('案件．要員情報'!CM142:CT142)</f>
        <v>0</v>
      </c>
      <c r="AA141" s="138">
        <f t="shared" si="5"/>
        <v>0</v>
      </c>
    </row>
    <row r="142" spans="1:27" s="116" customFormat="1" ht="20.100000000000001" hidden="1" customHeight="1" outlineLevel="1" x14ac:dyDescent="0.4">
      <c r="A142" s="348">
        <v>69</v>
      </c>
      <c r="B142" s="350" t="s">
        <v>45</v>
      </c>
      <c r="C142" s="350" t="s">
        <v>342</v>
      </c>
      <c r="D142" s="352"/>
      <c r="E142" s="352"/>
      <c r="F142" s="352"/>
      <c r="G142" s="386"/>
      <c r="H142" s="386"/>
      <c r="I142" s="386"/>
      <c r="J142" s="386"/>
      <c r="K142" s="386"/>
      <c r="L142" s="386"/>
      <c r="M142" s="386"/>
      <c r="N142" s="136" t="s">
        <v>24</v>
      </c>
      <c r="O142" s="133">
        <f>SUM('案件．要員情報'!O143:U143)</f>
        <v>0</v>
      </c>
      <c r="P142" s="133">
        <f>SUM('案件．要員情報'!V143:AA143)</f>
        <v>0</v>
      </c>
      <c r="Q142" s="133">
        <f>SUM('案件．要員情報'!AB143:AG143)</f>
        <v>0</v>
      </c>
      <c r="R142" s="133">
        <f>SUM('案件．要員情報'!AH143:AM143)</f>
        <v>0</v>
      </c>
      <c r="S142" s="133">
        <f>SUM('案件．要員情報'!AN143:AS143)</f>
        <v>0</v>
      </c>
      <c r="T142" s="133">
        <f>SUM('案件．要員情報'!AT143:AY143)</f>
        <v>0</v>
      </c>
      <c r="U142" s="133">
        <f>SUM('案件．要員情報'!AZ143:BF143)</f>
        <v>0</v>
      </c>
      <c r="V142" s="133">
        <f>SUM('案件．要員情報'!BG143:BN143)</f>
        <v>0</v>
      </c>
      <c r="W142" s="133">
        <f>SUM('案件．要員情報'!BO143:BV143)</f>
        <v>0</v>
      </c>
      <c r="X142" s="133">
        <f>SUM('案件．要員情報'!BW143:CD143)</f>
        <v>0</v>
      </c>
      <c r="Y142" s="133">
        <f>SUM('案件．要員情報'!CE143:CL143)</f>
        <v>0</v>
      </c>
      <c r="Z142" s="133">
        <f>SUM('案件．要員情報'!CM143:CT143)</f>
        <v>0</v>
      </c>
      <c r="AA142" s="180">
        <f t="shared" si="5"/>
        <v>0</v>
      </c>
    </row>
    <row r="143" spans="1:27" s="116" customFormat="1" ht="20.100000000000001" hidden="1" customHeight="1" outlineLevel="1" x14ac:dyDescent="0.4">
      <c r="A143" s="349"/>
      <c r="B143" s="351"/>
      <c r="C143" s="351"/>
      <c r="D143" s="353"/>
      <c r="E143" s="353"/>
      <c r="F143" s="353"/>
      <c r="G143" s="387"/>
      <c r="H143" s="387"/>
      <c r="I143" s="387"/>
      <c r="J143" s="387"/>
      <c r="K143" s="387"/>
      <c r="L143" s="387"/>
      <c r="M143" s="387"/>
      <c r="N143" s="137" t="s">
        <v>25</v>
      </c>
      <c r="O143" s="135">
        <f>SUM('案件．要員情報'!O144:U144)</f>
        <v>0</v>
      </c>
      <c r="P143" s="135">
        <f>SUM('案件．要員情報'!V144:AA144)</f>
        <v>0</v>
      </c>
      <c r="Q143" s="135">
        <f>SUM('案件．要員情報'!AB144:AG144)</f>
        <v>0</v>
      </c>
      <c r="R143" s="135">
        <f>SUM('案件．要員情報'!AH144:AM144)</f>
        <v>0</v>
      </c>
      <c r="S143" s="135">
        <f>SUM('案件．要員情報'!AN144:AS144)</f>
        <v>0</v>
      </c>
      <c r="T143" s="135">
        <f>SUM('案件．要員情報'!AT144:AY144)</f>
        <v>0</v>
      </c>
      <c r="U143" s="135">
        <f>SUM('案件．要員情報'!AZ144:BF144)</f>
        <v>0</v>
      </c>
      <c r="V143" s="135">
        <f>SUM('案件．要員情報'!BG144:BN144)</f>
        <v>0</v>
      </c>
      <c r="W143" s="135">
        <f>SUM('案件．要員情報'!BO144:BV144)</f>
        <v>0</v>
      </c>
      <c r="X143" s="135">
        <f>SUM('案件．要員情報'!BW144:CD144)</f>
        <v>0</v>
      </c>
      <c r="Y143" s="135">
        <f>SUM('案件．要員情報'!CE144:CL144)</f>
        <v>0</v>
      </c>
      <c r="Z143" s="135">
        <f>SUM('案件．要員情報'!CM144:CT144)</f>
        <v>0</v>
      </c>
      <c r="AA143" s="138">
        <f t="shared" si="5"/>
        <v>0</v>
      </c>
    </row>
    <row r="144" spans="1:27" s="116" customFormat="1" ht="20.100000000000001" hidden="1" customHeight="1" outlineLevel="1" x14ac:dyDescent="0.4">
      <c r="A144" s="348">
        <v>70</v>
      </c>
      <c r="B144" s="350" t="s">
        <v>45</v>
      </c>
      <c r="C144" s="350" t="s">
        <v>342</v>
      </c>
      <c r="D144" s="352"/>
      <c r="E144" s="352"/>
      <c r="F144" s="352"/>
      <c r="G144" s="386"/>
      <c r="H144" s="386"/>
      <c r="I144" s="386"/>
      <c r="J144" s="386"/>
      <c r="K144" s="386"/>
      <c r="L144" s="386"/>
      <c r="M144" s="386"/>
      <c r="N144" s="136" t="s">
        <v>24</v>
      </c>
      <c r="O144" s="133">
        <f>SUM('案件．要員情報'!O145:U145)</f>
        <v>0</v>
      </c>
      <c r="P144" s="133">
        <f>SUM('案件．要員情報'!V145:AA145)</f>
        <v>0</v>
      </c>
      <c r="Q144" s="133">
        <f>SUM('案件．要員情報'!AB145:AG145)</f>
        <v>0</v>
      </c>
      <c r="R144" s="133">
        <f>SUM('案件．要員情報'!AH145:AM145)</f>
        <v>0</v>
      </c>
      <c r="S144" s="133">
        <f>SUM('案件．要員情報'!AN145:AS145)</f>
        <v>0</v>
      </c>
      <c r="T144" s="133">
        <f>SUM('案件．要員情報'!AT145:AY145)</f>
        <v>0</v>
      </c>
      <c r="U144" s="133">
        <f>SUM('案件．要員情報'!AZ145:BF145)</f>
        <v>0</v>
      </c>
      <c r="V144" s="133">
        <f>SUM('案件．要員情報'!BG145:BN145)</f>
        <v>0</v>
      </c>
      <c r="W144" s="133">
        <f>SUM('案件．要員情報'!BO145:BV145)</f>
        <v>0</v>
      </c>
      <c r="X144" s="133">
        <f>SUM('案件．要員情報'!BW145:CD145)</f>
        <v>0</v>
      </c>
      <c r="Y144" s="133">
        <f>SUM('案件．要員情報'!CE145:CL145)</f>
        <v>0</v>
      </c>
      <c r="Z144" s="133">
        <f>SUM('案件．要員情報'!CM145:CT145)</f>
        <v>0</v>
      </c>
      <c r="AA144" s="180">
        <f t="shared" si="5"/>
        <v>0</v>
      </c>
    </row>
    <row r="145" spans="1:27" s="116" customFormat="1" ht="20.100000000000001" hidden="1" customHeight="1" outlineLevel="1" x14ac:dyDescent="0.4">
      <c r="A145" s="349"/>
      <c r="B145" s="351"/>
      <c r="C145" s="351"/>
      <c r="D145" s="353"/>
      <c r="E145" s="353"/>
      <c r="F145" s="353"/>
      <c r="G145" s="387"/>
      <c r="H145" s="387"/>
      <c r="I145" s="387"/>
      <c r="J145" s="387"/>
      <c r="K145" s="387"/>
      <c r="L145" s="387"/>
      <c r="M145" s="387"/>
      <c r="N145" s="137" t="s">
        <v>25</v>
      </c>
      <c r="O145" s="135">
        <f>SUM('案件．要員情報'!O146:U146)</f>
        <v>0</v>
      </c>
      <c r="P145" s="135">
        <f>SUM('案件．要員情報'!V146:AA146)</f>
        <v>0</v>
      </c>
      <c r="Q145" s="135">
        <f>SUM('案件．要員情報'!AB146:AG146)</f>
        <v>0</v>
      </c>
      <c r="R145" s="135">
        <f>SUM('案件．要員情報'!AH146:AM146)</f>
        <v>0</v>
      </c>
      <c r="S145" s="135">
        <f>SUM('案件．要員情報'!AN146:AS146)</f>
        <v>0</v>
      </c>
      <c r="T145" s="135">
        <f>SUM('案件．要員情報'!AT146:AY146)</f>
        <v>0</v>
      </c>
      <c r="U145" s="135">
        <f>SUM('案件．要員情報'!AZ146:BF146)</f>
        <v>0</v>
      </c>
      <c r="V145" s="135">
        <f>SUM('案件．要員情報'!BG146:BN146)</f>
        <v>0</v>
      </c>
      <c r="W145" s="135">
        <f>SUM('案件．要員情報'!BO146:BV146)</f>
        <v>0</v>
      </c>
      <c r="X145" s="135">
        <f>SUM('案件．要員情報'!BW146:CD146)</f>
        <v>0</v>
      </c>
      <c r="Y145" s="135">
        <f>SUM('案件．要員情報'!CE146:CL146)</f>
        <v>0</v>
      </c>
      <c r="Z145" s="135">
        <f>SUM('案件．要員情報'!CM146:CT146)</f>
        <v>0</v>
      </c>
      <c r="AA145" s="138">
        <f t="shared" si="5"/>
        <v>0</v>
      </c>
    </row>
    <row r="146" spans="1:27" s="116" customFormat="1" ht="20.100000000000001" hidden="1" customHeight="1" outlineLevel="1" x14ac:dyDescent="0.4">
      <c r="A146" s="348">
        <v>71</v>
      </c>
      <c r="B146" s="350" t="s">
        <v>45</v>
      </c>
      <c r="C146" s="350" t="s">
        <v>342</v>
      </c>
      <c r="D146" s="352"/>
      <c r="E146" s="352"/>
      <c r="F146" s="352"/>
      <c r="G146" s="386"/>
      <c r="H146" s="386"/>
      <c r="I146" s="386"/>
      <c r="J146" s="386"/>
      <c r="K146" s="386"/>
      <c r="L146" s="386"/>
      <c r="M146" s="386"/>
      <c r="N146" s="136" t="s">
        <v>24</v>
      </c>
      <c r="O146" s="133">
        <f>SUM('案件．要員情報'!O147:U147)</f>
        <v>0</v>
      </c>
      <c r="P146" s="133">
        <f>SUM('案件．要員情報'!V147:AA147)</f>
        <v>0</v>
      </c>
      <c r="Q146" s="133">
        <f>SUM('案件．要員情報'!AB147:AG147)</f>
        <v>0</v>
      </c>
      <c r="R146" s="133">
        <f>SUM('案件．要員情報'!AH147:AM147)</f>
        <v>0</v>
      </c>
      <c r="S146" s="133">
        <f>SUM('案件．要員情報'!AN147:AS147)</f>
        <v>0</v>
      </c>
      <c r="T146" s="133">
        <f>SUM('案件．要員情報'!AT147:AY147)</f>
        <v>0</v>
      </c>
      <c r="U146" s="133">
        <f>SUM('案件．要員情報'!AZ147:BF147)</f>
        <v>0</v>
      </c>
      <c r="V146" s="133">
        <f>SUM('案件．要員情報'!BG147:BN147)</f>
        <v>0</v>
      </c>
      <c r="W146" s="133">
        <f>SUM('案件．要員情報'!BO147:BV147)</f>
        <v>0</v>
      </c>
      <c r="X146" s="133">
        <f>SUM('案件．要員情報'!BW147:CD147)</f>
        <v>0</v>
      </c>
      <c r="Y146" s="133">
        <f>SUM('案件．要員情報'!CE147:CL147)</f>
        <v>0</v>
      </c>
      <c r="Z146" s="133">
        <f>SUM('案件．要員情報'!CM147:CT147)</f>
        <v>0</v>
      </c>
      <c r="AA146" s="180">
        <f t="shared" si="5"/>
        <v>0</v>
      </c>
    </row>
    <row r="147" spans="1:27" s="116" customFormat="1" ht="20.100000000000001" hidden="1" customHeight="1" outlineLevel="1" x14ac:dyDescent="0.4">
      <c r="A147" s="349"/>
      <c r="B147" s="351"/>
      <c r="C147" s="351"/>
      <c r="D147" s="353"/>
      <c r="E147" s="353"/>
      <c r="F147" s="353"/>
      <c r="G147" s="387"/>
      <c r="H147" s="387"/>
      <c r="I147" s="387"/>
      <c r="J147" s="387"/>
      <c r="K147" s="387"/>
      <c r="L147" s="387"/>
      <c r="M147" s="387"/>
      <c r="N147" s="137" t="s">
        <v>25</v>
      </c>
      <c r="O147" s="135">
        <f>SUM('案件．要員情報'!O148:U148)</f>
        <v>0</v>
      </c>
      <c r="P147" s="135">
        <f>SUM('案件．要員情報'!V148:AA148)</f>
        <v>0</v>
      </c>
      <c r="Q147" s="135">
        <f>SUM('案件．要員情報'!AB148:AG148)</f>
        <v>0</v>
      </c>
      <c r="R147" s="135">
        <f>SUM('案件．要員情報'!AH148:AM148)</f>
        <v>0</v>
      </c>
      <c r="S147" s="135">
        <f>SUM('案件．要員情報'!AN148:AS148)</f>
        <v>0</v>
      </c>
      <c r="T147" s="135">
        <f>SUM('案件．要員情報'!AT148:AY148)</f>
        <v>0</v>
      </c>
      <c r="U147" s="135">
        <f>SUM('案件．要員情報'!AZ148:BF148)</f>
        <v>0</v>
      </c>
      <c r="V147" s="135">
        <f>SUM('案件．要員情報'!BG148:BN148)</f>
        <v>0</v>
      </c>
      <c r="W147" s="135">
        <f>SUM('案件．要員情報'!BO148:BV148)</f>
        <v>0</v>
      </c>
      <c r="X147" s="135">
        <f>SUM('案件．要員情報'!BW148:CD148)</f>
        <v>0</v>
      </c>
      <c r="Y147" s="135">
        <f>SUM('案件．要員情報'!CE148:CL148)</f>
        <v>0</v>
      </c>
      <c r="Z147" s="135">
        <f>SUM('案件．要員情報'!CM148:CT148)</f>
        <v>0</v>
      </c>
      <c r="AA147" s="138">
        <f t="shared" si="5"/>
        <v>0</v>
      </c>
    </row>
    <row r="148" spans="1:27" s="116" customFormat="1" ht="20.100000000000001" hidden="1" customHeight="1" outlineLevel="1" x14ac:dyDescent="0.4">
      <c r="A148" s="348">
        <v>72</v>
      </c>
      <c r="B148" s="350" t="s">
        <v>45</v>
      </c>
      <c r="C148" s="350" t="s">
        <v>342</v>
      </c>
      <c r="D148" s="352"/>
      <c r="E148" s="352"/>
      <c r="F148" s="352"/>
      <c r="G148" s="386"/>
      <c r="H148" s="386"/>
      <c r="I148" s="386"/>
      <c r="J148" s="386"/>
      <c r="K148" s="386"/>
      <c r="L148" s="386"/>
      <c r="M148" s="386"/>
      <c r="N148" s="136" t="s">
        <v>24</v>
      </c>
      <c r="O148" s="133">
        <f>SUM('案件．要員情報'!O149:U149)</f>
        <v>0</v>
      </c>
      <c r="P148" s="133">
        <f>SUM('案件．要員情報'!V149:AA149)</f>
        <v>0</v>
      </c>
      <c r="Q148" s="133">
        <f>SUM('案件．要員情報'!AB149:AG149)</f>
        <v>0</v>
      </c>
      <c r="R148" s="133">
        <f>SUM('案件．要員情報'!AH149:AM149)</f>
        <v>0</v>
      </c>
      <c r="S148" s="133">
        <f>SUM('案件．要員情報'!AN149:AS149)</f>
        <v>0</v>
      </c>
      <c r="T148" s="133">
        <f>SUM('案件．要員情報'!AT149:AY149)</f>
        <v>0</v>
      </c>
      <c r="U148" s="133">
        <f>SUM('案件．要員情報'!AZ149:BF149)</f>
        <v>0</v>
      </c>
      <c r="V148" s="133">
        <f>SUM('案件．要員情報'!BG149:BN149)</f>
        <v>0</v>
      </c>
      <c r="W148" s="133">
        <f>SUM('案件．要員情報'!BO149:BV149)</f>
        <v>0</v>
      </c>
      <c r="X148" s="133">
        <f>SUM('案件．要員情報'!BW149:CD149)</f>
        <v>0</v>
      </c>
      <c r="Y148" s="133">
        <f>SUM('案件．要員情報'!CE149:CL149)</f>
        <v>0</v>
      </c>
      <c r="Z148" s="133">
        <f>SUM('案件．要員情報'!CM149:CT149)</f>
        <v>0</v>
      </c>
      <c r="AA148" s="180">
        <f t="shared" si="5"/>
        <v>0</v>
      </c>
    </row>
    <row r="149" spans="1:27" s="116" customFormat="1" ht="20.100000000000001" hidden="1" customHeight="1" outlineLevel="1" x14ac:dyDescent="0.4">
      <c r="A149" s="349"/>
      <c r="B149" s="351"/>
      <c r="C149" s="351"/>
      <c r="D149" s="353"/>
      <c r="E149" s="353"/>
      <c r="F149" s="353"/>
      <c r="G149" s="387"/>
      <c r="H149" s="387"/>
      <c r="I149" s="387"/>
      <c r="J149" s="387"/>
      <c r="K149" s="387"/>
      <c r="L149" s="387"/>
      <c r="M149" s="387"/>
      <c r="N149" s="137" t="s">
        <v>25</v>
      </c>
      <c r="O149" s="135">
        <f>SUM('案件．要員情報'!O150:U150)</f>
        <v>0</v>
      </c>
      <c r="P149" s="135">
        <f>SUM('案件．要員情報'!V150:AA150)</f>
        <v>0</v>
      </c>
      <c r="Q149" s="135">
        <f>SUM('案件．要員情報'!AB150:AG150)</f>
        <v>0</v>
      </c>
      <c r="R149" s="135">
        <f>SUM('案件．要員情報'!AH150:AM150)</f>
        <v>0</v>
      </c>
      <c r="S149" s="135">
        <f>SUM('案件．要員情報'!AN150:AS150)</f>
        <v>0</v>
      </c>
      <c r="T149" s="135">
        <f>SUM('案件．要員情報'!AT150:AY150)</f>
        <v>0</v>
      </c>
      <c r="U149" s="135">
        <f>SUM('案件．要員情報'!AZ150:BF150)</f>
        <v>0</v>
      </c>
      <c r="V149" s="135">
        <f>SUM('案件．要員情報'!BG150:BN150)</f>
        <v>0</v>
      </c>
      <c r="W149" s="135">
        <f>SUM('案件．要員情報'!BO150:BV150)</f>
        <v>0</v>
      </c>
      <c r="X149" s="135">
        <f>SUM('案件．要員情報'!BW150:CD150)</f>
        <v>0</v>
      </c>
      <c r="Y149" s="135">
        <f>SUM('案件．要員情報'!CE150:CL150)</f>
        <v>0</v>
      </c>
      <c r="Z149" s="135">
        <f>SUM('案件．要員情報'!CM150:CT150)</f>
        <v>0</v>
      </c>
      <c r="AA149" s="138">
        <f t="shared" si="5"/>
        <v>0</v>
      </c>
    </row>
    <row r="150" spans="1:27" s="116" customFormat="1" ht="20.100000000000001" hidden="1" customHeight="1" outlineLevel="1" x14ac:dyDescent="0.4">
      <c r="A150" s="348">
        <v>73</v>
      </c>
      <c r="B150" s="350" t="s">
        <v>45</v>
      </c>
      <c r="C150" s="350" t="s">
        <v>342</v>
      </c>
      <c r="D150" s="352"/>
      <c r="E150" s="352"/>
      <c r="F150" s="352"/>
      <c r="G150" s="386"/>
      <c r="H150" s="386"/>
      <c r="I150" s="386"/>
      <c r="J150" s="386"/>
      <c r="K150" s="386"/>
      <c r="L150" s="386"/>
      <c r="M150" s="386"/>
      <c r="N150" s="136" t="s">
        <v>24</v>
      </c>
      <c r="O150" s="133">
        <f>SUM('案件．要員情報'!O151:U151)</f>
        <v>0</v>
      </c>
      <c r="P150" s="133">
        <f>SUM('案件．要員情報'!V151:AA151)</f>
        <v>0</v>
      </c>
      <c r="Q150" s="133">
        <f>SUM('案件．要員情報'!AB151:AG151)</f>
        <v>0</v>
      </c>
      <c r="R150" s="133">
        <f>SUM('案件．要員情報'!AH151:AM151)</f>
        <v>0</v>
      </c>
      <c r="S150" s="133">
        <f>SUM('案件．要員情報'!AN151:AS151)</f>
        <v>0</v>
      </c>
      <c r="T150" s="133">
        <f>SUM('案件．要員情報'!AT151:AY151)</f>
        <v>0</v>
      </c>
      <c r="U150" s="133">
        <f>SUM('案件．要員情報'!AZ151:BF151)</f>
        <v>0</v>
      </c>
      <c r="V150" s="133">
        <f>SUM('案件．要員情報'!BG151:BN151)</f>
        <v>0</v>
      </c>
      <c r="W150" s="133">
        <f>SUM('案件．要員情報'!BO151:BV151)</f>
        <v>0</v>
      </c>
      <c r="X150" s="133">
        <f>SUM('案件．要員情報'!BW151:CD151)</f>
        <v>0</v>
      </c>
      <c r="Y150" s="133">
        <f>SUM('案件．要員情報'!CE151:CL151)</f>
        <v>0</v>
      </c>
      <c r="Z150" s="133">
        <f>SUM('案件．要員情報'!CM151:CT151)</f>
        <v>0</v>
      </c>
      <c r="AA150" s="180">
        <f t="shared" si="5"/>
        <v>0</v>
      </c>
    </row>
    <row r="151" spans="1:27" s="116" customFormat="1" ht="20.100000000000001" hidden="1" customHeight="1" outlineLevel="1" x14ac:dyDescent="0.4">
      <c r="A151" s="349"/>
      <c r="B151" s="351"/>
      <c r="C151" s="351"/>
      <c r="D151" s="353"/>
      <c r="E151" s="353"/>
      <c r="F151" s="353"/>
      <c r="G151" s="387"/>
      <c r="H151" s="387"/>
      <c r="I151" s="387"/>
      <c r="J151" s="387"/>
      <c r="K151" s="387"/>
      <c r="L151" s="387"/>
      <c r="M151" s="387"/>
      <c r="N151" s="137" t="s">
        <v>25</v>
      </c>
      <c r="O151" s="135">
        <f>SUM('案件．要員情報'!O152:U152)</f>
        <v>0</v>
      </c>
      <c r="P151" s="135">
        <f>SUM('案件．要員情報'!V152:AA152)</f>
        <v>0</v>
      </c>
      <c r="Q151" s="135">
        <f>SUM('案件．要員情報'!AB152:AG152)</f>
        <v>0</v>
      </c>
      <c r="R151" s="135">
        <f>SUM('案件．要員情報'!AH152:AM152)</f>
        <v>0</v>
      </c>
      <c r="S151" s="135">
        <f>SUM('案件．要員情報'!AN152:AS152)</f>
        <v>0</v>
      </c>
      <c r="T151" s="135">
        <f>SUM('案件．要員情報'!AT152:AY152)</f>
        <v>0</v>
      </c>
      <c r="U151" s="135">
        <f>SUM('案件．要員情報'!AZ152:BF152)</f>
        <v>0</v>
      </c>
      <c r="V151" s="135">
        <f>SUM('案件．要員情報'!BG152:BN152)</f>
        <v>0</v>
      </c>
      <c r="W151" s="135">
        <f>SUM('案件．要員情報'!BO152:BV152)</f>
        <v>0</v>
      </c>
      <c r="X151" s="135">
        <f>SUM('案件．要員情報'!BW152:CD152)</f>
        <v>0</v>
      </c>
      <c r="Y151" s="135">
        <f>SUM('案件．要員情報'!CE152:CL152)</f>
        <v>0</v>
      </c>
      <c r="Z151" s="135">
        <f>SUM('案件．要員情報'!CM152:CT152)</f>
        <v>0</v>
      </c>
      <c r="AA151" s="138">
        <f t="shared" si="5"/>
        <v>0</v>
      </c>
    </row>
    <row r="152" spans="1:27" s="116" customFormat="1" ht="20.100000000000001" hidden="1" customHeight="1" outlineLevel="1" x14ac:dyDescent="0.4">
      <c r="A152" s="348">
        <v>74</v>
      </c>
      <c r="B152" s="350" t="s">
        <v>45</v>
      </c>
      <c r="C152" s="350" t="s">
        <v>342</v>
      </c>
      <c r="D152" s="352"/>
      <c r="E152" s="352"/>
      <c r="F152" s="352"/>
      <c r="G152" s="386"/>
      <c r="H152" s="386"/>
      <c r="I152" s="386"/>
      <c r="J152" s="386"/>
      <c r="K152" s="386"/>
      <c r="L152" s="386"/>
      <c r="M152" s="386"/>
      <c r="N152" s="136" t="s">
        <v>24</v>
      </c>
      <c r="O152" s="133">
        <f>SUM('案件．要員情報'!O153:U153)</f>
        <v>0</v>
      </c>
      <c r="P152" s="133">
        <f>SUM('案件．要員情報'!V153:AA153)</f>
        <v>0</v>
      </c>
      <c r="Q152" s="133">
        <f>SUM('案件．要員情報'!AB153:AG153)</f>
        <v>0</v>
      </c>
      <c r="R152" s="133">
        <f>SUM('案件．要員情報'!AH153:AM153)</f>
        <v>0</v>
      </c>
      <c r="S152" s="133">
        <f>SUM('案件．要員情報'!AN153:AS153)</f>
        <v>0</v>
      </c>
      <c r="T152" s="133">
        <f>SUM('案件．要員情報'!AT153:AY153)</f>
        <v>0</v>
      </c>
      <c r="U152" s="133">
        <f>SUM('案件．要員情報'!AZ153:BF153)</f>
        <v>0</v>
      </c>
      <c r="V152" s="133">
        <f>SUM('案件．要員情報'!BG153:BN153)</f>
        <v>0</v>
      </c>
      <c r="W152" s="133">
        <f>SUM('案件．要員情報'!BO153:BV153)</f>
        <v>0</v>
      </c>
      <c r="X152" s="133">
        <f>SUM('案件．要員情報'!BW153:CD153)</f>
        <v>0</v>
      </c>
      <c r="Y152" s="133">
        <f>SUM('案件．要員情報'!CE153:CL153)</f>
        <v>0</v>
      </c>
      <c r="Z152" s="133">
        <f>SUM('案件．要員情報'!CM153:CT153)</f>
        <v>0</v>
      </c>
      <c r="AA152" s="180">
        <f t="shared" si="5"/>
        <v>0</v>
      </c>
    </row>
    <row r="153" spans="1:27" s="116" customFormat="1" ht="20.100000000000001" hidden="1" customHeight="1" outlineLevel="1" x14ac:dyDescent="0.4">
      <c r="A153" s="349"/>
      <c r="B153" s="351"/>
      <c r="C153" s="351"/>
      <c r="D153" s="353"/>
      <c r="E153" s="353"/>
      <c r="F153" s="353"/>
      <c r="G153" s="387"/>
      <c r="H153" s="387"/>
      <c r="I153" s="387"/>
      <c r="J153" s="387"/>
      <c r="K153" s="387"/>
      <c r="L153" s="387"/>
      <c r="M153" s="387"/>
      <c r="N153" s="137" t="s">
        <v>25</v>
      </c>
      <c r="O153" s="135">
        <f>SUM('案件．要員情報'!O154:U154)</f>
        <v>0</v>
      </c>
      <c r="P153" s="135">
        <f>SUM('案件．要員情報'!V154:AA154)</f>
        <v>0</v>
      </c>
      <c r="Q153" s="135">
        <f>SUM('案件．要員情報'!AB154:AG154)</f>
        <v>0</v>
      </c>
      <c r="R153" s="135">
        <f>SUM('案件．要員情報'!AH154:AM154)</f>
        <v>0</v>
      </c>
      <c r="S153" s="135">
        <f>SUM('案件．要員情報'!AN154:AS154)</f>
        <v>0</v>
      </c>
      <c r="T153" s="135">
        <f>SUM('案件．要員情報'!AT154:AY154)</f>
        <v>0</v>
      </c>
      <c r="U153" s="135">
        <f>SUM('案件．要員情報'!AZ154:BF154)</f>
        <v>0</v>
      </c>
      <c r="V153" s="135">
        <f>SUM('案件．要員情報'!BG154:BN154)</f>
        <v>0</v>
      </c>
      <c r="W153" s="135">
        <f>SUM('案件．要員情報'!BO154:BV154)</f>
        <v>0</v>
      </c>
      <c r="X153" s="135">
        <f>SUM('案件．要員情報'!BW154:CD154)</f>
        <v>0</v>
      </c>
      <c r="Y153" s="135">
        <f>SUM('案件．要員情報'!CE154:CL154)</f>
        <v>0</v>
      </c>
      <c r="Z153" s="135">
        <f>SUM('案件．要員情報'!CM154:CT154)</f>
        <v>0</v>
      </c>
      <c r="AA153" s="138">
        <f t="shared" si="5"/>
        <v>0</v>
      </c>
    </row>
    <row r="154" spans="1:27" s="116" customFormat="1" ht="20.100000000000001" hidden="1" customHeight="1" outlineLevel="1" x14ac:dyDescent="0.4">
      <c r="A154" s="348">
        <v>75</v>
      </c>
      <c r="B154" s="350" t="s">
        <v>45</v>
      </c>
      <c r="C154" s="350" t="s">
        <v>342</v>
      </c>
      <c r="D154" s="352"/>
      <c r="E154" s="352"/>
      <c r="F154" s="352"/>
      <c r="G154" s="386"/>
      <c r="H154" s="386"/>
      <c r="I154" s="386"/>
      <c r="J154" s="386"/>
      <c r="K154" s="386"/>
      <c r="L154" s="386"/>
      <c r="M154" s="386"/>
      <c r="N154" s="136" t="s">
        <v>24</v>
      </c>
      <c r="O154" s="133">
        <f>SUM('案件．要員情報'!O155:U155)</f>
        <v>0</v>
      </c>
      <c r="P154" s="133">
        <f>SUM('案件．要員情報'!V155:AA155)</f>
        <v>0</v>
      </c>
      <c r="Q154" s="133">
        <f>SUM('案件．要員情報'!AB155:AG155)</f>
        <v>0</v>
      </c>
      <c r="R154" s="133">
        <f>SUM('案件．要員情報'!AH155:AM155)</f>
        <v>0</v>
      </c>
      <c r="S154" s="133">
        <f>SUM('案件．要員情報'!AN155:AS155)</f>
        <v>0</v>
      </c>
      <c r="T154" s="133">
        <f>SUM('案件．要員情報'!AT155:AY155)</f>
        <v>0</v>
      </c>
      <c r="U154" s="133">
        <f>SUM('案件．要員情報'!AZ155:BF155)</f>
        <v>0</v>
      </c>
      <c r="V154" s="133">
        <f>SUM('案件．要員情報'!BG155:BN155)</f>
        <v>0</v>
      </c>
      <c r="W154" s="133">
        <f>SUM('案件．要員情報'!BO155:BV155)</f>
        <v>0</v>
      </c>
      <c r="X154" s="133">
        <f>SUM('案件．要員情報'!BW155:CD155)</f>
        <v>0</v>
      </c>
      <c r="Y154" s="133">
        <f>SUM('案件．要員情報'!CE155:CL155)</f>
        <v>0</v>
      </c>
      <c r="Z154" s="133">
        <f>SUM('案件．要員情報'!CM155:CT155)</f>
        <v>0</v>
      </c>
      <c r="AA154" s="180">
        <f t="shared" si="5"/>
        <v>0</v>
      </c>
    </row>
    <row r="155" spans="1:27" s="116" customFormat="1" ht="20.100000000000001" hidden="1" customHeight="1" outlineLevel="1" x14ac:dyDescent="0.4">
      <c r="A155" s="349"/>
      <c r="B155" s="351"/>
      <c r="C155" s="351"/>
      <c r="D155" s="353"/>
      <c r="E155" s="353"/>
      <c r="F155" s="353"/>
      <c r="G155" s="387"/>
      <c r="H155" s="387"/>
      <c r="I155" s="387"/>
      <c r="J155" s="387"/>
      <c r="K155" s="387"/>
      <c r="L155" s="387"/>
      <c r="M155" s="387"/>
      <c r="N155" s="137" t="s">
        <v>25</v>
      </c>
      <c r="O155" s="135">
        <f>SUM('案件．要員情報'!O156:U156)</f>
        <v>0</v>
      </c>
      <c r="P155" s="135">
        <f>SUM('案件．要員情報'!V156:AA156)</f>
        <v>0</v>
      </c>
      <c r="Q155" s="135">
        <f>SUM('案件．要員情報'!AB156:AG156)</f>
        <v>0</v>
      </c>
      <c r="R155" s="135">
        <f>SUM('案件．要員情報'!AH156:AM156)</f>
        <v>0</v>
      </c>
      <c r="S155" s="135">
        <f>SUM('案件．要員情報'!AN156:AS156)</f>
        <v>0</v>
      </c>
      <c r="T155" s="135">
        <f>SUM('案件．要員情報'!AT156:AY156)</f>
        <v>0</v>
      </c>
      <c r="U155" s="135">
        <f>SUM('案件．要員情報'!AZ156:BF156)</f>
        <v>0</v>
      </c>
      <c r="V155" s="135">
        <f>SUM('案件．要員情報'!BG156:BN156)</f>
        <v>0</v>
      </c>
      <c r="W155" s="135">
        <f>SUM('案件．要員情報'!BO156:BV156)</f>
        <v>0</v>
      </c>
      <c r="X155" s="135">
        <f>SUM('案件．要員情報'!BW156:CD156)</f>
        <v>0</v>
      </c>
      <c r="Y155" s="135">
        <f>SUM('案件．要員情報'!CE156:CL156)</f>
        <v>0</v>
      </c>
      <c r="Z155" s="135">
        <f>SUM('案件．要員情報'!CM156:CT156)</f>
        <v>0</v>
      </c>
      <c r="AA155" s="138">
        <f t="shared" si="5"/>
        <v>0</v>
      </c>
    </row>
    <row r="156" spans="1:27" s="116" customFormat="1" ht="20.100000000000001" hidden="1" customHeight="1" outlineLevel="1" x14ac:dyDescent="0.4">
      <c r="A156" s="348">
        <v>76</v>
      </c>
      <c r="B156" s="350" t="s">
        <v>45</v>
      </c>
      <c r="C156" s="350" t="s">
        <v>342</v>
      </c>
      <c r="D156" s="352"/>
      <c r="E156" s="352"/>
      <c r="F156" s="352"/>
      <c r="G156" s="386"/>
      <c r="H156" s="386"/>
      <c r="I156" s="386"/>
      <c r="J156" s="386"/>
      <c r="K156" s="386"/>
      <c r="L156" s="386"/>
      <c r="M156" s="386"/>
      <c r="N156" s="136" t="s">
        <v>24</v>
      </c>
      <c r="O156" s="133">
        <f>SUM('案件．要員情報'!O157:U157)</f>
        <v>0</v>
      </c>
      <c r="P156" s="133">
        <f>SUM('案件．要員情報'!V157:AA157)</f>
        <v>0</v>
      </c>
      <c r="Q156" s="133">
        <f>SUM('案件．要員情報'!AB157:AG157)</f>
        <v>0</v>
      </c>
      <c r="R156" s="133">
        <f>SUM('案件．要員情報'!AH157:AM157)</f>
        <v>0</v>
      </c>
      <c r="S156" s="133">
        <f>SUM('案件．要員情報'!AN157:AS157)</f>
        <v>0</v>
      </c>
      <c r="T156" s="133">
        <f>SUM('案件．要員情報'!AT157:AY157)</f>
        <v>0</v>
      </c>
      <c r="U156" s="133">
        <f>SUM('案件．要員情報'!AZ157:BF157)</f>
        <v>0</v>
      </c>
      <c r="V156" s="133">
        <f>SUM('案件．要員情報'!BG157:BN157)</f>
        <v>0</v>
      </c>
      <c r="W156" s="133">
        <f>SUM('案件．要員情報'!BO157:BV157)</f>
        <v>0</v>
      </c>
      <c r="X156" s="133">
        <f>SUM('案件．要員情報'!BW157:CD157)</f>
        <v>0</v>
      </c>
      <c r="Y156" s="133">
        <f>SUM('案件．要員情報'!CE157:CL157)</f>
        <v>0</v>
      </c>
      <c r="Z156" s="133">
        <f>SUM('案件．要員情報'!CM157:CT157)</f>
        <v>0</v>
      </c>
      <c r="AA156" s="180">
        <f t="shared" si="5"/>
        <v>0</v>
      </c>
    </row>
    <row r="157" spans="1:27" s="116" customFormat="1" ht="20.100000000000001" hidden="1" customHeight="1" outlineLevel="1" x14ac:dyDescent="0.4">
      <c r="A157" s="349"/>
      <c r="B157" s="351"/>
      <c r="C157" s="351"/>
      <c r="D157" s="353"/>
      <c r="E157" s="353"/>
      <c r="F157" s="353"/>
      <c r="G157" s="387"/>
      <c r="H157" s="387"/>
      <c r="I157" s="387"/>
      <c r="J157" s="387"/>
      <c r="K157" s="387"/>
      <c r="L157" s="387"/>
      <c r="M157" s="387"/>
      <c r="N157" s="137" t="s">
        <v>25</v>
      </c>
      <c r="O157" s="135">
        <f>SUM('案件．要員情報'!O158:U158)</f>
        <v>0</v>
      </c>
      <c r="P157" s="135">
        <f>SUM('案件．要員情報'!V158:AA158)</f>
        <v>0</v>
      </c>
      <c r="Q157" s="135">
        <f>SUM('案件．要員情報'!AB158:AG158)</f>
        <v>0</v>
      </c>
      <c r="R157" s="135">
        <f>SUM('案件．要員情報'!AH158:AM158)</f>
        <v>0</v>
      </c>
      <c r="S157" s="135">
        <f>SUM('案件．要員情報'!AN158:AS158)</f>
        <v>0</v>
      </c>
      <c r="T157" s="135">
        <f>SUM('案件．要員情報'!AT158:AY158)</f>
        <v>0</v>
      </c>
      <c r="U157" s="135">
        <f>SUM('案件．要員情報'!AZ158:BF158)</f>
        <v>0</v>
      </c>
      <c r="V157" s="135">
        <f>SUM('案件．要員情報'!BG158:BN158)</f>
        <v>0</v>
      </c>
      <c r="W157" s="135">
        <f>SUM('案件．要員情報'!BO158:BV158)</f>
        <v>0</v>
      </c>
      <c r="X157" s="135">
        <f>SUM('案件．要員情報'!BW158:CD158)</f>
        <v>0</v>
      </c>
      <c r="Y157" s="135">
        <f>SUM('案件．要員情報'!CE158:CL158)</f>
        <v>0</v>
      </c>
      <c r="Z157" s="135">
        <f>SUM('案件．要員情報'!CM158:CT158)</f>
        <v>0</v>
      </c>
      <c r="AA157" s="138">
        <f t="shared" si="5"/>
        <v>0</v>
      </c>
    </row>
    <row r="158" spans="1:27" s="116" customFormat="1" ht="20.100000000000001" hidden="1" customHeight="1" outlineLevel="1" x14ac:dyDescent="0.4">
      <c r="A158" s="348">
        <v>77</v>
      </c>
      <c r="B158" s="350" t="s">
        <v>45</v>
      </c>
      <c r="C158" s="350" t="s">
        <v>342</v>
      </c>
      <c r="D158" s="352"/>
      <c r="E158" s="352"/>
      <c r="F158" s="352"/>
      <c r="G158" s="386"/>
      <c r="H158" s="386"/>
      <c r="I158" s="386"/>
      <c r="J158" s="386"/>
      <c r="K158" s="386"/>
      <c r="L158" s="386"/>
      <c r="M158" s="386"/>
      <c r="N158" s="136" t="s">
        <v>24</v>
      </c>
      <c r="O158" s="133">
        <f>SUM('案件．要員情報'!O159:U159)</f>
        <v>0</v>
      </c>
      <c r="P158" s="133">
        <f>SUM('案件．要員情報'!V159:AA159)</f>
        <v>0</v>
      </c>
      <c r="Q158" s="133">
        <f>SUM('案件．要員情報'!AB159:AG159)</f>
        <v>0</v>
      </c>
      <c r="R158" s="133">
        <f>SUM('案件．要員情報'!AH159:AM159)</f>
        <v>0</v>
      </c>
      <c r="S158" s="133">
        <f>SUM('案件．要員情報'!AN159:AS159)</f>
        <v>0</v>
      </c>
      <c r="T158" s="133">
        <f>SUM('案件．要員情報'!AT159:AY159)</f>
        <v>0</v>
      </c>
      <c r="U158" s="133">
        <f>SUM('案件．要員情報'!AZ159:BF159)</f>
        <v>0</v>
      </c>
      <c r="V158" s="133">
        <f>SUM('案件．要員情報'!BG159:BN159)</f>
        <v>0</v>
      </c>
      <c r="W158" s="133">
        <f>SUM('案件．要員情報'!BO159:BV159)</f>
        <v>0</v>
      </c>
      <c r="X158" s="133">
        <f>SUM('案件．要員情報'!BW159:CD159)</f>
        <v>0</v>
      </c>
      <c r="Y158" s="133">
        <f>SUM('案件．要員情報'!CE159:CL159)</f>
        <v>0</v>
      </c>
      <c r="Z158" s="133">
        <f>SUM('案件．要員情報'!CM159:CT159)</f>
        <v>0</v>
      </c>
      <c r="AA158" s="180">
        <f t="shared" si="5"/>
        <v>0</v>
      </c>
    </row>
    <row r="159" spans="1:27" s="116" customFormat="1" ht="20.100000000000001" hidden="1" customHeight="1" outlineLevel="1" x14ac:dyDescent="0.4">
      <c r="A159" s="349"/>
      <c r="B159" s="351"/>
      <c r="C159" s="351"/>
      <c r="D159" s="353"/>
      <c r="E159" s="353"/>
      <c r="F159" s="353"/>
      <c r="G159" s="387"/>
      <c r="H159" s="387"/>
      <c r="I159" s="387"/>
      <c r="J159" s="387"/>
      <c r="K159" s="387"/>
      <c r="L159" s="387"/>
      <c r="M159" s="387"/>
      <c r="N159" s="137" t="s">
        <v>25</v>
      </c>
      <c r="O159" s="135">
        <f>SUM('案件．要員情報'!O160:U160)</f>
        <v>0</v>
      </c>
      <c r="P159" s="135">
        <f>SUM('案件．要員情報'!V160:AA160)</f>
        <v>0</v>
      </c>
      <c r="Q159" s="135">
        <f>SUM('案件．要員情報'!AB160:AG160)</f>
        <v>0</v>
      </c>
      <c r="R159" s="135">
        <f>SUM('案件．要員情報'!AH160:AM160)</f>
        <v>0</v>
      </c>
      <c r="S159" s="135">
        <f>SUM('案件．要員情報'!AN160:AS160)</f>
        <v>0</v>
      </c>
      <c r="T159" s="135">
        <f>SUM('案件．要員情報'!AT160:AY160)</f>
        <v>0</v>
      </c>
      <c r="U159" s="135">
        <f>SUM('案件．要員情報'!AZ160:BF160)</f>
        <v>0</v>
      </c>
      <c r="V159" s="135">
        <f>SUM('案件．要員情報'!BG160:BN160)</f>
        <v>0</v>
      </c>
      <c r="W159" s="135">
        <f>SUM('案件．要員情報'!BO160:BV160)</f>
        <v>0</v>
      </c>
      <c r="X159" s="135">
        <f>SUM('案件．要員情報'!BW160:CD160)</f>
        <v>0</v>
      </c>
      <c r="Y159" s="135">
        <f>SUM('案件．要員情報'!CE160:CL160)</f>
        <v>0</v>
      </c>
      <c r="Z159" s="135">
        <f>SUM('案件．要員情報'!CM160:CT160)</f>
        <v>0</v>
      </c>
      <c r="AA159" s="138">
        <f t="shared" si="5"/>
        <v>0</v>
      </c>
    </row>
    <row r="160" spans="1:27" s="116" customFormat="1" ht="20.100000000000001" hidden="1" customHeight="1" outlineLevel="1" x14ac:dyDescent="0.4">
      <c r="A160" s="348">
        <v>78</v>
      </c>
      <c r="B160" s="350" t="s">
        <v>45</v>
      </c>
      <c r="C160" s="350" t="s">
        <v>342</v>
      </c>
      <c r="D160" s="352"/>
      <c r="E160" s="352"/>
      <c r="F160" s="352"/>
      <c r="G160" s="386"/>
      <c r="H160" s="386"/>
      <c r="I160" s="386"/>
      <c r="J160" s="386"/>
      <c r="K160" s="386"/>
      <c r="L160" s="386"/>
      <c r="M160" s="386"/>
      <c r="N160" s="136" t="s">
        <v>24</v>
      </c>
      <c r="O160" s="133">
        <f>SUM('案件．要員情報'!O161:U161)</f>
        <v>0</v>
      </c>
      <c r="P160" s="133">
        <f>SUM('案件．要員情報'!V161:AA161)</f>
        <v>0</v>
      </c>
      <c r="Q160" s="133">
        <f>SUM('案件．要員情報'!AB161:AG161)</f>
        <v>0</v>
      </c>
      <c r="R160" s="133">
        <f>SUM('案件．要員情報'!AH161:AM161)</f>
        <v>0</v>
      </c>
      <c r="S160" s="133">
        <f>SUM('案件．要員情報'!AN161:AS161)</f>
        <v>0</v>
      </c>
      <c r="T160" s="133">
        <f>SUM('案件．要員情報'!AT161:AY161)</f>
        <v>0</v>
      </c>
      <c r="U160" s="133">
        <f>SUM('案件．要員情報'!AZ161:BF161)</f>
        <v>0</v>
      </c>
      <c r="V160" s="133">
        <f>SUM('案件．要員情報'!BG161:BN161)</f>
        <v>0</v>
      </c>
      <c r="W160" s="133">
        <f>SUM('案件．要員情報'!BO161:BV161)</f>
        <v>0</v>
      </c>
      <c r="X160" s="133">
        <f>SUM('案件．要員情報'!BW161:CD161)</f>
        <v>0</v>
      </c>
      <c r="Y160" s="133">
        <f>SUM('案件．要員情報'!CE161:CL161)</f>
        <v>0</v>
      </c>
      <c r="Z160" s="133">
        <f>SUM('案件．要員情報'!CM161:CT161)</f>
        <v>0</v>
      </c>
      <c r="AA160" s="180">
        <f t="shared" si="5"/>
        <v>0</v>
      </c>
    </row>
    <row r="161" spans="1:32" s="116" customFormat="1" ht="20.100000000000001" hidden="1" customHeight="1" outlineLevel="1" x14ac:dyDescent="0.4">
      <c r="A161" s="349"/>
      <c r="B161" s="351"/>
      <c r="C161" s="351"/>
      <c r="D161" s="353"/>
      <c r="E161" s="353"/>
      <c r="F161" s="353"/>
      <c r="G161" s="387"/>
      <c r="H161" s="387"/>
      <c r="I161" s="387"/>
      <c r="J161" s="387"/>
      <c r="K161" s="387"/>
      <c r="L161" s="387"/>
      <c r="M161" s="387"/>
      <c r="N161" s="137" t="s">
        <v>25</v>
      </c>
      <c r="O161" s="135">
        <f>SUM('案件．要員情報'!O162:U162)</f>
        <v>0</v>
      </c>
      <c r="P161" s="135">
        <f>SUM('案件．要員情報'!V162:AA162)</f>
        <v>0</v>
      </c>
      <c r="Q161" s="135">
        <f>SUM('案件．要員情報'!AB162:AG162)</f>
        <v>0</v>
      </c>
      <c r="R161" s="135">
        <f>SUM('案件．要員情報'!AH162:AM162)</f>
        <v>0</v>
      </c>
      <c r="S161" s="135">
        <f>SUM('案件．要員情報'!AN162:AS162)</f>
        <v>0</v>
      </c>
      <c r="T161" s="135">
        <f>SUM('案件．要員情報'!AT162:AY162)</f>
        <v>0</v>
      </c>
      <c r="U161" s="135">
        <f>SUM('案件．要員情報'!AZ162:BF162)</f>
        <v>0</v>
      </c>
      <c r="V161" s="135">
        <f>SUM('案件．要員情報'!BG162:BN162)</f>
        <v>0</v>
      </c>
      <c r="W161" s="135">
        <f>SUM('案件．要員情報'!BO162:BV162)</f>
        <v>0</v>
      </c>
      <c r="X161" s="135">
        <f>SUM('案件．要員情報'!BW162:CD162)</f>
        <v>0</v>
      </c>
      <c r="Y161" s="135">
        <f>SUM('案件．要員情報'!CE162:CL162)</f>
        <v>0</v>
      </c>
      <c r="Z161" s="135">
        <f>SUM('案件．要員情報'!CM162:CT162)</f>
        <v>0</v>
      </c>
      <c r="AA161" s="138">
        <f t="shared" si="5"/>
        <v>0</v>
      </c>
    </row>
    <row r="162" spans="1:32" s="116" customFormat="1" ht="20.100000000000001" hidden="1" customHeight="1" outlineLevel="1" x14ac:dyDescent="0.4">
      <c r="A162" s="348">
        <v>79</v>
      </c>
      <c r="B162" s="350" t="s">
        <v>45</v>
      </c>
      <c r="C162" s="350" t="s">
        <v>342</v>
      </c>
      <c r="D162" s="352"/>
      <c r="E162" s="352"/>
      <c r="F162" s="352"/>
      <c r="G162" s="386"/>
      <c r="H162" s="386"/>
      <c r="I162" s="386"/>
      <c r="J162" s="386"/>
      <c r="K162" s="386"/>
      <c r="L162" s="386"/>
      <c r="M162" s="386"/>
      <c r="N162" s="136" t="s">
        <v>24</v>
      </c>
      <c r="O162" s="133">
        <f>SUM('案件．要員情報'!O163:U163)</f>
        <v>0</v>
      </c>
      <c r="P162" s="133">
        <f>SUM('案件．要員情報'!V163:AA163)</f>
        <v>0</v>
      </c>
      <c r="Q162" s="133">
        <f>SUM('案件．要員情報'!AB163:AG163)</f>
        <v>0</v>
      </c>
      <c r="R162" s="133">
        <f>SUM('案件．要員情報'!AH163:AM163)</f>
        <v>0</v>
      </c>
      <c r="S162" s="133">
        <f>SUM('案件．要員情報'!AN163:AS163)</f>
        <v>0</v>
      </c>
      <c r="T162" s="133">
        <f>SUM('案件．要員情報'!AT163:AY163)</f>
        <v>0</v>
      </c>
      <c r="U162" s="133">
        <f>SUM('案件．要員情報'!AZ163:BF163)</f>
        <v>0</v>
      </c>
      <c r="V162" s="133">
        <f>SUM('案件．要員情報'!BG163:BN163)</f>
        <v>0</v>
      </c>
      <c r="W162" s="133">
        <f>SUM('案件．要員情報'!BO163:BV163)</f>
        <v>0</v>
      </c>
      <c r="X162" s="133">
        <f>SUM('案件．要員情報'!BW163:CD163)</f>
        <v>0</v>
      </c>
      <c r="Y162" s="133">
        <f>SUM('案件．要員情報'!CE163:CL163)</f>
        <v>0</v>
      </c>
      <c r="Z162" s="133">
        <f>SUM('案件．要員情報'!CM163:CT163)</f>
        <v>0</v>
      </c>
      <c r="AA162" s="180">
        <f t="shared" si="5"/>
        <v>0</v>
      </c>
    </row>
    <row r="163" spans="1:32" s="116" customFormat="1" ht="20.100000000000001" hidden="1" customHeight="1" outlineLevel="1" x14ac:dyDescent="0.4">
      <c r="A163" s="349"/>
      <c r="B163" s="351"/>
      <c r="C163" s="351"/>
      <c r="D163" s="353"/>
      <c r="E163" s="353"/>
      <c r="F163" s="353"/>
      <c r="G163" s="387"/>
      <c r="H163" s="387"/>
      <c r="I163" s="387"/>
      <c r="J163" s="387"/>
      <c r="K163" s="387"/>
      <c r="L163" s="387"/>
      <c r="M163" s="387"/>
      <c r="N163" s="137" t="s">
        <v>25</v>
      </c>
      <c r="O163" s="135">
        <f>SUM('案件．要員情報'!O164:U164)</f>
        <v>0</v>
      </c>
      <c r="P163" s="135">
        <f>SUM('案件．要員情報'!V164:AA164)</f>
        <v>0</v>
      </c>
      <c r="Q163" s="135">
        <f>SUM('案件．要員情報'!AB164:AG164)</f>
        <v>0</v>
      </c>
      <c r="R163" s="135">
        <f>SUM('案件．要員情報'!AH164:AM164)</f>
        <v>0</v>
      </c>
      <c r="S163" s="135">
        <f>SUM('案件．要員情報'!AN164:AS164)</f>
        <v>0</v>
      </c>
      <c r="T163" s="135">
        <f>SUM('案件．要員情報'!AT164:AY164)</f>
        <v>0</v>
      </c>
      <c r="U163" s="135">
        <f>SUM('案件．要員情報'!AZ164:BF164)</f>
        <v>0</v>
      </c>
      <c r="V163" s="135">
        <f>SUM('案件．要員情報'!BG164:BN164)</f>
        <v>0</v>
      </c>
      <c r="W163" s="135">
        <f>SUM('案件．要員情報'!BO164:BV164)</f>
        <v>0</v>
      </c>
      <c r="X163" s="135">
        <f>SUM('案件．要員情報'!BW164:CD164)</f>
        <v>0</v>
      </c>
      <c r="Y163" s="135">
        <f>SUM('案件．要員情報'!CE164:CL164)</f>
        <v>0</v>
      </c>
      <c r="Z163" s="135">
        <f>SUM('案件．要員情報'!CM164:CT164)</f>
        <v>0</v>
      </c>
      <c r="AA163" s="138">
        <f t="shared" si="5"/>
        <v>0</v>
      </c>
    </row>
    <row r="164" spans="1:32" s="116" customFormat="1" ht="20.100000000000001" hidden="1" customHeight="1" outlineLevel="1" x14ac:dyDescent="0.4">
      <c r="A164" s="348">
        <v>80</v>
      </c>
      <c r="B164" s="350" t="s">
        <v>45</v>
      </c>
      <c r="C164" s="350" t="s">
        <v>342</v>
      </c>
      <c r="D164" s="352"/>
      <c r="E164" s="352"/>
      <c r="F164" s="352"/>
      <c r="G164" s="386"/>
      <c r="H164" s="386"/>
      <c r="I164" s="386"/>
      <c r="J164" s="386"/>
      <c r="K164" s="386"/>
      <c r="L164" s="386"/>
      <c r="M164" s="386"/>
      <c r="N164" s="136" t="s">
        <v>24</v>
      </c>
      <c r="O164" s="133">
        <f>SUM('案件．要員情報'!O165:U165)</f>
        <v>0</v>
      </c>
      <c r="P164" s="133">
        <f>SUM('案件．要員情報'!V165:AA165)</f>
        <v>0</v>
      </c>
      <c r="Q164" s="133">
        <f>SUM('案件．要員情報'!AB165:AG165)</f>
        <v>0</v>
      </c>
      <c r="R164" s="133">
        <f>SUM('案件．要員情報'!AH165:AM165)</f>
        <v>0</v>
      </c>
      <c r="S164" s="133">
        <f>SUM('案件．要員情報'!AN165:AS165)</f>
        <v>0</v>
      </c>
      <c r="T164" s="133">
        <f>SUM('案件．要員情報'!AT165:AY165)</f>
        <v>0</v>
      </c>
      <c r="U164" s="133">
        <f>SUM('案件．要員情報'!AZ165:BF165)</f>
        <v>0</v>
      </c>
      <c r="V164" s="133">
        <f>SUM('案件．要員情報'!BG165:BN165)</f>
        <v>0</v>
      </c>
      <c r="W164" s="133">
        <f>SUM('案件．要員情報'!BO165:BV165)</f>
        <v>0</v>
      </c>
      <c r="X164" s="133">
        <f>SUM('案件．要員情報'!BW165:CD165)</f>
        <v>0</v>
      </c>
      <c r="Y164" s="133">
        <f>SUM('案件．要員情報'!CE165:CL165)</f>
        <v>0</v>
      </c>
      <c r="Z164" s="133">
        <f>SUM('案件．要員情報'!CM165:CT165)</f>
        <v>0</v>
      </c>
      <c r="AA164" s="180">
        <f t="shared" si="5"/>
        <v>0</v>
      </c>
    </row>
    <row r="165" spans="1:32" s="116" customFormat="1" ht="20.100000000000001" hidden="1" customHeight="1" outlineLevel="1" x14ac:dyDescent="0.4">
      <c r="A165" s="349"/>
      <c r="B165" s="351"/>
      <c r="C165" s="351"/>
      <c r="D165" s="353"/>
      <c r="E165" s="353"/>
      <c r="F165" s="353"/>
      <c r="G165" s="387"/>
      <c r="H165" s="387"/>
      <c r="I165" s="387"/>
      <c r="J165" s="387"/>
      <c r="K165" s="387"/>
      <c r="L165" s="387"/>
      <c r="M165" s="387"/>
      <c r="N165" s="137" t="s">
        <v>25</v>
      </c>
      <c r="O165" s="135">
        <f>SUM('案件．要員情報'!O166:U166)</f>
        <v>0</v>
      </c>
      <c r="P165" s="135">
        <f>SUM('案件．要員情報'!V166:AA166)</f>
        <v>0</v>
      </c>
      <c r="Q165" s="135">
        <f>SUM('案件．要員情報'!AB166:AG166)</f>
        <v>0</v>
      </c>
      <c r="R165" s="135">
        <f>SUM('案件．要員情報'!AH166:AM166)</f>
        <v>0</v>
      </c>
      <c r="S165" s="135">
        <f>SUM('案件．要員情報'!AN166:AS166)</f>
        <v>0</v>
      </c>
      <c r="T165" s="135">
        <f>SUM('案件．要員情報'!AT166:AY166)</f>
        <v>0</v>
      </c>
      <c r="U165" s="135">
        <f>SUM('案件．要員情報'!AZ166:BF166)</f>
        <v>0</v>
      </c>
      <c r="V165" s="135">
        <f>SUM('案件．要員情報'!BG166:BN166)</f>
        <v>0</v>
      </c>
      <c r="W165" s="135">
        <f>SUM('案件．要員情報'!BO166:BV166)</f>
        <v>0</v>
      </c>
      <c r="X165" s="135">
        <f>SUM('案件．要員情報'!BW166:CD166)</f>
        <v>0</v>
      </c>
      <c r="Y165" s="135">
        <f>SUM('案件．要員情報'!CE166:CL166)</f>
        <v>0</v>
      </c>
      <c r="Z165" s="135">
        <f>SUM('案件．要員情報'!CM166:CT166)</f>
        <v>0</v>
      </c>
      <c r="AA165" s="138">
        <f t="shared" si="5"/>
        <v>0</v>
      </c>
    </row>
    <row r="166" spans="1:32" ht="20.100000000000001" customHeight="1" collapsed="1" x14ac:dyDescent="0.4">
      <c r="A166" s="396" t="s">
        <v>35</v>
      </c>
      <c r="B166" s="397"/>
      <c r="C166" s="397"/>
      <c r="D166" s="397"/>
      <c r="E166" s="397"/>
      <c r="F166" s="397"/>
      <c r="G166" s="398"/>
      <c r="H166" s="383"/>
      <c r="I166" s="383"/>
      <c r="J166" s="383"/>
      <c r="K166" s="95" t="s">
        <v>35</v>
      </c>
      <c r="L166" s="95"/>
      <c r="M166" s="96" t="s">
        <v>37</v>
      </c>
      <c r="N166" s="92" t="s">
        <v>24</v>
      </c>
      <c r="O166" s="183">
        <f>SUM(O6,O8,O10,O12,O14,O16,O18,O20,O22,O24,O26,O28,O30,O32,O34,O36,O38,O40,O42,O44,O46,O48,O50,O52,O54,O56,O58,O60,O62,O64,O66,O68,O70,O72,O74,O76,O78,O80,O82,O84,O86,O88,O90,O92,O94,O96,O98,O100,O102,O104,O106,O108,O110,O112,O114,O116,O118,O120,O122,O124)</f>
        <v>5.1041666666666661</v>
      </c>
      <c r="P166" s="183">
        <f t="shared" ref="P166:Z166" si="6">SUM(P6,P8,P10,P12,P14,P16,P18,P20,P22,P24,P26,P28,P30,P32,P34,P36,P38,P40,P42,P44,P46,P48,P50,P52,P54,P56,P58,P60,P62,P64,P66,P68,P70,P72,P74,P76,P78,P80,P82,P84,P86,P88,P90,P92,P94,P96,P98,P100,P102,P104,P106,P108,P110,P112,P114,P116,P118,P120,P122,P124)</f>
        <v>3.6771929824561398</v>
      </c>
      <c r="Q166" s="183">
        <f t="shared" si="6"/>
        <v>4.3939393939393936</v>
      </c>
      <c r="R166" s="183">
        <f t="shared" si="6"/>
        <v>5.127272727272727</v>
      </c>
      <c r="S166" s="183">
        <f t="shared" si="6"/>
        <v>4.5365079365079364</v>
      </c>
      <c r="T166" s="183">
        <f t="shared" si="6"/>
        <v>4.8848484848484839</v>
      </c>
      <c r="U166" s="183">
        <f t="shared" si="6"/>
        <v>3.1133333333333337</v>
      </c>
      <c r="V166" s="183">
        <f t="shared" si="6"/>
        <v>0</v>
      </c>
      <c r="W166" s="183">
        <f t="shared" si="6"/>
        <v>0</v>
      </c>
      <c r="X166" s="183">
        <f t="shared" si="6"/>
        <v>0</v>
      </c>
      <c r="Y166" s="183">
        <f t="shared" si="6"/>
        <v>0</v>
      </c>
      <c r="Z166" s="183">
        <f t="shared" si="6"/>
        <v>0</v>
      </c>
      <c r="AA166" s="180">
        <f>SUM(O166:Z166)</f>
        <v>30.837261525024683</v>
      </c>
    </row>
    <row r="167" spans="1:32" ht="20.100000000000001" customHeight="1" x14ac:dyDescent="0.4">
      <c r="A167" s="399"/>
      <c r="B167" s="400"/>
      <c r="C167" s="400"/>
      <c r="D167" s="400"/>
      <c r="E167" s="400"/>
      <c r="F167" s="400"/>
      <c r="G167" s="401"/>
      <c r="H167" s="384"/>
      <c r="I167" s="384"/>
      <c r="J167" s="384"/>
      <c r="K167" s="97" t="s">
        <v>35</v>
      </c>
      <c r="L167" s="97"/>
      <c r="M167" s="98" t="s">
        <v>80</v>
      </c>
      <c r="N167" s="93" t="s">
        <v>25</v>
      </c>
      <c r="O167" s="99">
        <f>SUM(O7,O9,O11,O13,O15,O17,O19,O21,O23,O25,O27,O29,O31,O33,O35,O37,O39,O41,O43,O45,O47,O49,O51,O53,O55,O57,O59,O61,O63,O65,O67,O69,O71,O73,O75,O77,O79,O81,O83,O85,O87,O89,O91,O93,O95,O97,O99,O101,O103,O105,O107,O109,O111,O113,O115,O117,O119,O121,O123,O125)</f>
        <v>4.6708333333333325</v>
      </c>
      <c r="P167" s="99">
        <f t="shared" ref="P167:Z167" si="7">SUM(P7,P9,P11,P13,P15,P17,P19,P21,P23,P25,P27,P29,P31,P33,P35,P37,P39,P41,P43,P45,P47,P49,P51,P53,P55,P57,P59,P61,P63,P65,P67,P69,P71,P73,P75,P77,P79,P81,P83,P85,P87,P89,P91,P93,P95,P97,P99,P101,P103,P105,P107,P109,P111,P113,P115,P117,P119,P121,P123,P125)</f>
        <v>3.3228070175438598</v>
      </c>
      <c r="Q167" s="99">
        <f t="shared" si="7"/>
        <v>4.0333333333333332</v>
      </c>
      <c r="R167" s="99">
        <f t="shared" si="7"/>
        <v>4.8893939393939405</v>
      </c>
      <c r="S167" s="99">
        <f t="shared" si="7"/>
        <v>4.4460317460317453</v>
      </c>
      <c r="T167" s="99">
        <f t="shared" si="7"/>
        <v>4.6545454545454543</v>
      </c>
      <c r="U167" s="99">
        <f t="shared" si="7"/>
        <v>1.3066666666666666</v>
      </c>
      <c r="V167" s="99">
        <f t="shared" si="7"/>
        <v>0</v>
      </c>
      <c r="W167" s="99">
        <f t="shared" si="7"/>
        <v>0</v>
      </c>
      <c r="X167" s="99">
        <f t="shared" si="7"/>
        <v>0</v>
      </c>
      <c r="Y167" s="99">
        <f t="shared" si="7"/>
        <v>0</v>
      </c>
      <c r="Z167" s="99">
        <f t="shared" si="7"/>
        <v>0</v>
      </c>
      <c r="AA167" s="138">
        <f t="shared" ref="AA167" si="8">SUM(O167:Z167)</f>
        <v>27.323611490848329</v>
      </c>
    </row>
    <row r="169" spans="1:32" ht="20.100000000000001" customHeight="1" x14ac:dyDescent="0.4">
      <c r="A169" s="85" t="s">
        <v>29</v>
      </c>
    </row>
    <row r="170" spans="1:32" s="90" customFormat="1" ht="20.100000000000001" customHeight="1" x14ac:dyDescent="0.4">
      <c r="A170" s="394" t="s">
        <v>0</v>
      </c>
      <c r="B170" s="403" t="s">
        <v>86</v>
      </c>
      <c r="C170" s="403" t="s">
        <v>6</v>
      </c>
      <c r="D170" s="403" t="s">
        <v>157</v>
      </c>
      <c r="E170" s="403" t="s">
        <v>2</v>
      </c>
      <c r="F170" s="403" t="s">
        <v>158</v>
      </c>
      <c r="G170" s="390" t="s">
        <v>1</v>
      </c>
      <c r="H170" s="392" t="s">
        <v>164</v>
      </c>
      <c r="I170" s="392" t="s">
        <v>165</v>
      </c>
      <c r="J170" s="392" t="s">
        <v>25</v>
      </c>
      <c r="K170" s="394" t="s">
        <v>7</v>
      </c>
      <c r="L170" s="394" t="s">
        <v>8</v>
      </c>
      <c r="M170" s="394" t="s">
        <v>189</v>
      </c>
      <c r="N170" s="388" t="s">
        <v>5</v>
      </c>
      <c r="O170" s="389"/>
      <c r="P170" s="389"/>
      <c r="Q170" s="389"/>
      <c r="R170" s="389"/>
      <c r="S170" s="389"/>
      <c r="T170" s="389"/>
      <c r="U170" s="389"/>
      <c r="V170" s="389"/>
      <c r="W170" s="389"/>
      <c r="X170" s="389"/>
      <c r="Y170" s="389"/>
      <c r="Z170" s="389"/>
      <c r="AA170" s="83"/>
      <c r="AB170" s="83"/>
      <c r="AC170" s="83"/>
      <c r="AD170" s="83"/>
      <c r="AE170" s="83"/>
      <c r="AF170" s="83"/>
    </row>
    <row r="171" spans="1:32" s="90" customFormat="1" ht="20.100000000000001" customHeight="1" x14ac:dyDescent="0.4">
      <c r="A171" s="395"/>
      <c r="B171" s="403"/>
      <c r="C171" s="403"/>
      <c r="D171" s="403"/>
      <c r="E171" s="403"/>
      <c r="F171" s="403"/>
      <c r="G171" s="391"/>
      <c r="H171" s="393"/>
      <c r="I171" s="393"/>
      <c r="J171" s="393"/>
      <c r="K171" s="395"/>
      <c r="L171" s="395"/>
      <c r="M171" s="395"/>
      <c r="N171" s="139"/>
      <c r="O171" s="132" t="s">
        <v>190</v>
      </c>
      <c r="P171" s="132" t="s">
        <v>135</v>
      </c>
      <c r="Q171" s="132" t="s">
        <v>137</v>
      </c>
      <c r="R171" s="132" t="s">
        <v>138</v>
      </c>
      <c r="S171" s="132" t="s">
        <v>139</v>
      </c>
      <c r="T171" s="132" t="s">
        <v>140</v>
      </c>
      <c r="U171" s="140" t="s">
        <v>141</v>
      </c>
      <c r="V171" s="132" t="s">
        <v>142</v>
      </c>
      <c r="W171" s="132" t="s">
        <v>143</v>
      </c>
      <c r="X171" s="132" t="s">
        <v>144</v>
      </c>
      <c r="Y171" s="132" t="s">
        <v>30</v>
      </c>
      <c r="Z171" s="132" t="s">
        <v>145</v>
      </c>
      <c r="AA171" s="83"/>
      <c r="AB171" s="83"/>
      <c r="AC171" s="83"/>
      <c r="AD171" s="83"/>
      <c r="AE171" s="83"/>
      <c r="AF171" s="83"/>
    </row>
    <row r="172" spans="1:32" ht="20.100000000000001" customHeight="1" x14ac:dyDescent="0.4">
      <c r="A172" s="376">
        <v>1</v>
      </c>
      <c r="B172" s="376" t="s">
        <v>46</v>
      </c>
      <c r="C172" s="376" t="s">
        <v>28</v>
      </c>
      <c r="D172" s="378" t="s">
        <v>19</v>
      </c>
      <c r="E172" s="380" t="s">
        <v>26</v>
      </c>
      <c r="F172" s="378" t="s">
        <v>19</v>
      </c>
      <c r="G172" s="381" t="s">
        <v>84</v>
      </c>
      <c r="H172" s="383"/>
      <c r="I172" s="383"/>
      <c r="J172" s="370"/>
      <c r="K172" s="100"/>
      <c r="L172" s="100"/>
      <c r="M172" s="402" t="s">
        <v>174</v>
      </c>
      <c r="N172" s="92" t="s">
        <v>24</v>
      </c>
      <c r="O172" s="133">
        <f>SUM('案件．要員情報'!O174:U174)</f>
        <v>0.19999999999999998</v>
      </c>
      <c r="P172" s="133">
        <f>SUM('案件．要員情報'!V174:AA174)</f>
        <v>0.19999999999999998</v>
      </c>
      <c r="Q172" s="133">
        <f>SUM('案件．要員情報'!AB174:AG174)</f>
        <v>0.19999999999999998</v>
      </c>
      <c r="R172" s="133">
        <f>SUM('案件．要員情報'!AH174:AM174)</f>
        <v>0.19999999999999998</v>
      </c>
      <c r="S172" s="133">
        <f>SUM('案件．要員情報'!AN174:AS174)</f>
        <v>0.12000000000000001</v>
      </c>
      <c r="T172" s="133">
        <f>SUM('案件．要員情報'!AT174:AY174)</f>
        <v>0.12000000000000001</v>
      </c>
      <c r="U172" s="133">
        <f>SUM('案件．要員情報'!AZ174:BF174)</f>
        <v>0.14000000000000001</v>
      </c>
      <c r="V172" s="133">
        <f>SUM('案件．要員情報'!BG174:BN174)</f>
        <v>0</v>
      </c>
      <c r="W172" s="133">
        <f>SUM('案件．要員情報'!BO174:BV174)</f>
        <v>0</v>
      </c>
      <c r="X172" s="133">
        <f>SUM('案件．要員情報'!BW174:CD174)</f>
        <v>0</v>
      </c>
      <c r="Y172" s="133">
        <f>SUM('案件．要員情報'!CE174:CL174)</f>
        <v>0</v>
      </c>
      <c r="Z172" s="133">
        <f>SUM('案件．要員情報'!CM174:CT174)</f>
        <v>0</v>
      </c>
    </row>
    <row r="173" spans="1:32" ht="20.100000000000001" customHeight="1" x14ac:dyDescent="0.4">
      <c r="A173" s="377"/>
      <c r="B173" s="377"/>
      <c r="C173" s="377"/>
      <c r="D173" s="379"/>
      <c r="E173" s="379"/>
      <c r="F173" s="379"/>
      <c r="G173" s="382"/>
      <c r="H173" s="384"/>
      <c r="I173" s="384"/>
      <c r="J173" s="371"/>
      <c r="K173" s="101"/>
      <c r="L173" s="101"/>
      <c r="M173" s="364"/>
      <c r="N173" s="93" t="s">
        <v>25</v>
      </c>
      <c r="O173" s="135">
        <f>SUM('案件．要員情報'!O175:U175)</f>
        <v>0.19166666666666665</v>
      </c>
      <c r="P173" s="135">
        <f>SUM('案件．要員情報'!V175:AA175)</f>
        <v>0.15438596491228071</v>
      </c>
      <c r="Q173" s="135">
        <f>SUM('案件．要員情報'!AB175:AG175)</f>
        <v>0.1803030303030303</v>
      </c>
      <c r="R173" s="135">
        <f>SUM('案件．要員情報'!AH175:AM175)</f>
        <v>0.17878787878787877</v>
      </c>
      <c r="S173" s="135">
        <f>SUM('案件．要員情報'!AN175:AS175)</f>
        <v>0.1142857142857143</v>
      </c>
      <c r="T173" s="135">
        <f>SUM('案件．要員情報'!AT175:AY175)</f>
        <v>0.11242424242424243</v>
      </c>
      <c r="U173" s="135">
        <f>SUM('案件．要員情報'!AZ175:BF175)</f>
        <v>3.0000000000000002E-2</v>
      </c>
      <c r="V173" s="135">
        <f>SUM('案件．要員情報'!BG175:BN175)</f>
        <v>0</v>
      </c>
      <c r="W173" s="135">
        <f>SUM('案件．要員情報'!BO175:BV175)</f>
        <v>0</v>
      </c>
      <c r="X173" s="135">
        <f>SUM('案件．要員情報'!BW175:CD175)</f>
        <v>0</v>
      </c>
      <c r="Y173" s="135">
        <f>SUM('案件．要員情報'!CE175:CL175)</f>
        <v>0</v>
      </c>
      <c r="Z173" s="135">
        <f>SUM('案件．要員情報'!CM175:CT175)</f>
        <v>0</v>
      </c>
    </row>
    <row r="174" spans="1:32" ht="20.100000000000001" customHeight="1" x14ac:dyDescent="0.4">
      <c r="A174" s="376">
        <v>2</v>
      </c>
      <c r="B174" s="376" t="s">
        <v>46</v>
      </c>
      <c r="C174" s="376" t="s">
        <v>28</v>
      </c>
      <c r="D174" s="378" t="s">
        <v>34</v>
      </c>
      <c r="E174" s="380" t="s">
        <v>26</v>
      </c>
      <c r="F174" s="378" t="s">
        <v>19</v>
      </c>
      <c r="G174" s="422" t="s">
        <v>159</v>
      </c>
      <c r="H174" s="383"/>
      <c r="I174" s="383"/>
      <c r="J174" s="370"/>
      <c r="K174" s="100"/>
      <c r="L174" s="100"/>
      <c r="M174" s="402" t="s">
        <v>38</v>
      </c>
      <c r="N174" s="92" t="s">
        <v>24</v>
      </c>
      <c r="O174" s="133">
        <f>SUM('案件．要員情報'!O176:U176)</f>
        <v>9.9999999999999992E-2</v>
      </c>
      <c r="P174" s="133">
        <f>SUM('案件．要員情報'!V176:AA176)</f>
        <v>8.4210526315789472E-2</v>
      </c>
      <c r="Q174" s="133">
        <f>SUM('案件．要員情報'!AB176:AG176)</f>
        <v>7.2727272727272724E-2</v>
      </c>
      <c r="R174" s="133">
        <f>SUM('案件．要員情報'!AH176:AM176)</f>
        <v>9.0909090909090912E-2</v>
      </c>
      <c r="S174" s="133">
        <f>SUM('案件．要員情報'!AN176:AS176)</f>
        <v>7.6190476190476183E-2</v>
      </c>
      <c r="T174" s="133">
        <f>SUM('案件．要員情報'!AT176:AY176)</f>
        <v>7.6190476190476183E-2</v>
      </c>
      <c r="U174" s="133">
        <f>SUM('案件．要員情報'!AZ176:BF176)</f>
        <v>0.11666666666666665</v>
      </c>
      <c r="V174" s="133">
        <f>SUM('案件．要員情報'!BG176:BN176)</f>
        <v>0</v>
      </c>
      <c r="W174" s="133">
        <f>SUM('案件．要員情報'!BO176:BV176)</f>
        <v>0</v>
      </c>
      <c r="X174" s="133">
        <f>SUM('案件．要員情報'!BW176:CD176)</f>
        <v>0</v>
      </c>
      <c r="Y174" s="133">
        <f>SUM('案件．要員情報'!CE176:CL176)</f>
        <v>0</v>
      </c>
      <c r="Z174" s="133">
        <f>SUM('案件．要員情報'!CM176:CT176)</f>
        <v>0</v>
      </c>
    </row>
    <row r="175" spans="1:32" ht="20.100000000000001" customHeight="1" x14ac:dyDescent="0.4">
      <c r="A175" s="377"/>
      <c r="B175" s="377"/>
      <c r="C175" s="377"/>
      <c r="D175" s="379"/>
      <c r="E175" s="379"/>
      <c r="F175" s="379"/>
      <c r="G175" s="382"/>
      <c r="H175" s="384"/>
      <c r="I175" s="384"/>
      <c r="J175" s="371"/>
      <c r="K175" s="101"/>
      <c r="L175" s="101"/>
      <c r="M175" s="364"/>
      <c r="N175" s="93" t="s">
        <v>25</v>
      </c>
      <c r="O175" s="135">
        <f>SUM('案件．要員情報'!O177:U177)</f>
        <v>7.0833333333333331E-2</v>
      </c>
      <c r="P175" s="135">
        <f>SUM('案件．要員情報'!V177:AA177)</f>
        <v>3.1578947368421054E-2</v>
      </c>
      <c r="Q175" s="135">
        <f>SUM('案件．要員情報'!AB177:AG177)</f>
        <v>6.0606060606060608E-2</v>
      </c>
      <c r="R175" s="135">
        <f>SUM('案件．要員情報'!AH177:AM177)</f>
        <v>6.9696969696969702E-2</v>
      </c>
      <c r="S175" s="135">
        <f>SUM('案件．要員情報'!AN177:AS177)</f>
        <v>6.9841269841269843E-2</v>
      </c>
      <c r="T175" s="135">
        <f>SUM('案件．要員情報'!AT177:AY177)</f>
        <v>6.0606060606060608E-2</v>
      </c>
      <c r="U175" s="135">
        <f>SUM('案件．要員情報'!AZ177:BF177)</f>
        <v>0.02</v>
      </c>
      <c r="V175" s="135">
        <f>SUM('案件．要員情報'!BG177:BN177)</f>
        <v>0</v>
      </c>
      <c r="W175" s="135">
        <f>SUM('案件．要員情報'!BO177:BV177)</f>
        <v>0</v>
      </c>
      <c r="X175" s="135">
        <f>SUM('案件．要員情報'!BW177:CD177)</f>
        <v>0</v>
      </c>
      <c r="Y175" s="135">
        <f>SUM('案件．要員情報'!CE177:CL177)</f>
        <v>0</v>
      </c>
      <c r="Z175" s="135">
        <f>SUM('案件．要員情報'!CM177:CT177)</f>
        <v>0</v>
      </c>
    </row>
    <row r="176" spans="1:32" ht="20.100000000000001" customHeight="1" x14ac:dyDescent="0.4">
      <c r="A176" s="376">
        <v>3</v>
      </c>
      <c r="B176" s="376" t="s">
        <v>46</v>
      </c>
      <c r="C176" s="376" t="s">
        <v>28</v>
      </c>
      <c r="D176" s="378" t="s">
        <v>19</v>
      </c>
      <c r="E176" s="380" t="s">
        <v>26</v>
      </c>
      <c r="F176" s="378" t="s">
        <v>19</v>
      </c>
      <c r="G176" s="381" t="s">
        <v>32</v>
      </c>
      <c r="H176" s="383"/>
      <c r="I176" s="383"/>
      <c r="J176" s="370"/>
      <c r="K176" s="100"/>
      <c r="L176" s="100"/>
      <c r="M176" s="363" t="s">
        <v>160</v>
      </c>
      <c r="N176" s="92" t="s">
        <v>24</v>
      </c>
      <c r="O176" s="133">
        <f>SUM('案件．要員情報'!O178:U178)</f>
        <v>0.19999999999999998</v>
      </c>
      <c r="P176" s="133">
        <f>SUM('案件．要員情報'!V178:AA178)</f>
        <v>0.19999999999999998</v>
      </c>
      <c r="Q176" s="133">
        <f>SUM('案件．要員情報'!AB178:AG178)</f>
        <v>0.19999999999999998</v>
      </c>
      <c r="R176" s="133">
        <f>SUM('案件．要員情報'!AH178:AM178)</f>
        <v>0.19999999999999998</v>
      </c>
      <c r="S176" s="133">
        <f>SUM('案件．要員情報'!AN178:AS178)</f>
        <v>0.08</v>
      </c>
      <c r="T176" s="133">
        <f>SUM('案件．要員情報'!AT178:AY178)</f>
        <v>0.08</v>
      </c>
      <c r="U176" s="133">
        <f>SUM('案件．要員情報'!AZ178:BF178)</f>
        <v>9.3333333333333338E-2</v>
      </c>
      <c r="V176" s="133">
        <f>SUM('案件．要員情報'!BG178:BN178)</f>
        <v>0</v>
      </c>
      <c r="W176" s="133">
        <f>SUM('案件．要員情報'!BO178:BV178)</f>
        <v>0</v>
      </c>
      <c r="X176" s="133">
        <f>SUM('案件．要員情報'!BW178:CD178)</f>
        <v>0</v>
      </c>
      <c r="Y176" s="133">
        <f>SUM('案件．要員情報'!CE178:CL178)</f>
        <v>0</v>
      </c>
      <c r="Z176" s="133">
        <f>SUM('案件．要員情報'!CM178:CT178)</f>
        <v>0</v>
      </c>
    </row>
    <row r="177" spans="1:32" ht="20.100000000000001" customHeight="1" x14ac:dyDescent="0.4">
      <c r="A177" s="377"/>
      <c r="B177" s="377"/>
      <c r="C177" s="377"/>
      <c r="D177" s="379"/>
      <c r="E177" s="379"/>
      <c r="F177" s="379"/>
      <c r="G177" s="382"/>
      <c r="H177" s="384"/>
      <c r="I177" s="384"/>
      <c r="J177" s="371"/>
      <c r="K177" s="101"/>
      <c r="L177" s="101"/>
      <c r="M177" s="364"/>
      <c r="N177" s="93" t="s">
        <v>25</v>
      </c>
      <c r="O177" s="135">
        <f>SUM('案件．要員情報'!O179:U179)</f>
        <v>0.19166666666666665</v>
      </c>
      <c r="P177" s="135">
        <f>SUM('案件．要員情報'!V179:AA179)</f>
        <v>0.15438596491228071</v>
      </c>
      <c r="Q177" s="135">
        <f>SUM('案件．要員情報'!AB179:AG179)</f>
        <v>0.1803030303030303</v>
      </c>
      <c r="R177" s="135">
        <f>SUM('案件．要員情報'!AH179:AM179)</f>
        <v>0.17424242424242425</v>
      </c>
      <c r="S177" s="135">
        <f>SUM('案件．要員情報'!AN179:AS179)</f>
        <v>7.7460317460317452E-2</v>
      </c>
      <c r="T177" s="135">
        <f>SUM('案件．要員情報'!AT179:AY179)</f>
        <v>7.5454545454545455E-2</v>
      </c>
      <c r="U177" s="135">
        <f>SUM('案件．要員情報'!AZ179:BF179)</f>
        <v>0.02</v>
      </c>
      <c r="V177" s="135">
        <f>SUM('案件．要員情報'!BG179:BN179)</f>
        <v>0</v>
      </c>
      <c r="W177" s="135">
        <f>SUM('案件．要員情報'!BO179:BV179)</f>
        <v>0</v>
      </c>
      <c r="X177" s="135">
        <f>SUM('案件．要員情報'!BW179:CD179)</f>
        <v>0</v>
      </c>
      <c r="Y177" s="135">
        <f>SUM('案件．要員情報'!CE179:CL179)</f>
        <v>0</v>
      </c>
      <c r="Z177" s="135">
        <f>SUM('案件．要員情報'!CM179:CT179)</f>
        <v>0</v>
      </c>
    </row>
    <row r="178" spans="1:32" ht="27.75" customHeight="1" x14ac:dyDescent="0.4">
      <c r="A178" s="376">
        <v>4</v>
      </c>
      <c r="B178" s="376" t="s">
        <v>46</v>
      </c>
      <c r="C178" s="376" t="s">
        <v>28</v>
      </c>
      <c r="D178" s="378" t="s">
        <v>19</v>
      </c>
      <c r="E178" s="380" t="s">
        <v>26</v>
      </c>
      <c r="F178" s="378" t="s">
        <v>19</v>
      </c>
      <c r="G178" s="381" t="s">
        <v>33</v>
      </c>
      <c r="H178" s="383"/>
      <c r="I178" s="383"/>
      <c r="J178" s="370"/>
      <c r="K178" s="100"/>
      <c r="L178" s="100"/>
      <c r="M178" s="363" t="s">
        <v>40</v>
      </c>
      <c r="N178" s="92" t="s">
        <v>24</v>
      </c>
      <c r="O178" s="133">
        <f>SUM('案件．要員情報'!O180:U180)</f>
        <v>0</v>
      </c>
      <c r="P178" s="133">
        <f>SUM('案件．要員情報'!V180:AA180)</f>
        <v>0</v>
      </c>
      <c r="Q178" s="133">
        <f>SUM('案件．要員情報'!AB180:AG180)</f>
        <v>0</v>
      </c>
      <c r="R178" s="133">
        <f>SUM('案件．要員情報'!AH180:AM180)</f>
        <v>0</v>
      </c>
      <c r="S178" s="133">
        <f>SUM('案件．要員情報'!AN180:AS180)</f>
        <v>0</v>
      </c>
      <c r="T178" s="133">
        <f>SUM('案件．要員情報'!AT180:AY180)</f>
        <v>0</v>
      </c>
      <c r="U178" s="133">
        <f>SUM('案件．要員情報'!AZ180:BF180)</f>
        <v>0</v>
      </c>
      <c r="V178" s="133">
        <f>SUM('案件．要員情報'!BG180:BN180)</f>
        <v>0</v>
      </c>
      <c r="W178" s="133">
        <f>SUM('案件．要員情報'!BO180:BV180)</f>
        <v>0</v>
      </c>
      <c r="X178" s="133">
        <f>SUM('案件．要員情報'!BW180:CD180)</f>
        <v>0</v>
      </c>
      <c r="Y178" s="133">
        <f>SUM('案件．要員情報'!CE180:CL180)</f>
        <v>0</v>
      </c>
      <c r="Z178" s="133">
        <f>SUM('案件．要員情報'!CM180:CT180)</f>
        <v>0</v>
      </c>
    </row>
    <row r="179" spans="1:32" ht="27.75" customHeight="1" x14ac:dyDescent="0.4">
      <c r="A179" s="377"/>
      <c r="B179" s="377"/>
      <c r="C179" s="377"/>
      <c r="D179" s="379"/>
      <c r="E179" s="379"/>
      <c r="F179" s="379"/>
      <c r="G179" s="382"/>
      <c r="H179" s="384"/>
      <c r="I179" s="384"/>
      <c r="J179" s="371"/>
      <c r="K179" s="101"/>
      <c r="L179" s="101"/>
      <c r="M179" s="364"/>
      <c r="N179" s="93" t="s">
        <v>25</v>
      </c>
      <c r="O179" s="135">
        <f>SUM('案件．要員情報'!O181:U181)</f>
        <v>0</v>
      </c>
      <c r="P179" s="135">
        <f>SUM('案件．要員情報'!V181:AA181)</f>
        <v>0</v>
      </c>
      <c r="Q179" s="135">
        <f>SUM('案件．要員情報'!AB181:AG181)</f>
        <v>0</v>
      </c>
      <c r="R179" s="135">
        <f>SUM('案件．要員情報'!AH181:AM181)</f>
        <v>0</v>
      </c>
      <c r="S179" s="135">
        <f>SUM('案件．要員情報'!AN181:AS181)</f>
        <v>0</v>
      </c>
      <c r="T179" s="135">
        <f>SUM('案件．要員情報'!AT181:AY181)</f>
        <v>0</v>
      </c>
      <c r="U179" s="135">
        <f>SUM('案件．要員情報'!AZ181:BF181)</f>
        <v>0</v>
      </c>
      <c r="V179" s="135">
        <f>SUM('案件．要員情報'!BG181:BN181)</f>
        <v>0</v>
      </c>
      <c r="W179" s="135">
        <f>SUM('案件．要員情報'!BO181:BV181)</f>
        <v>0</v>
      </c>
      <c r="X179" s="135">
        <f>SUM('案件．要員情報'!BW181:CD181)</f>
        <v>0</v>
      </c>
      <c r="Y179" s="135">
        <f>SUM('案件．要員情報'!CE181:CL181)</f>
        <v>0</v>
      </c>
      <c r="Z179" s="135">
        <f>SUM('案件．要員情報'!CM181:CT181)</f>
        <v>0</v>
      </c>
    </row>
    <row r="180" spans="1:32" ht="20.100000000000001" customHeight="1" x14ac:dyDescent="0.4">
      <c r="A180" s="376">
        <v>5</v>
      </c>
      <c r="B180" s="376" t="s">
        <v>46</v>
      </c>
      <c r="C180" s="376" t="s">
        <v>28</v>
      </c>
      <c r="D180" s="378" t="s">
        <v>19</v>
      </c>
      <c r="E180" s="380" t="s">
        <v>26</v>
      </c>
      <c r="F180" s="378" t="s">
        <v>19</v>
      </c>
      <c r="G180" s="422" t="s">
        <v>39</v>
      </c>
      <c r="H180" s="383"/>
      <c r="I180" s="383"/>
      <c r="J180" s="370"/>
      <c r="K180" s="100"/>
      <c r="L180" s="100"/>
      <c r="M180" s="363"/>
      <c r="N180" s="92" t="s">
        <v>24</v>
      </c>
      <c r="O180" s="133">
        <f>SUM('案件．要員情報'!O182:U182)</f>
        <v>0.4</v>
      </c>
      <c r="P180" s="133">
        <f>SUM('案件．要員情報'!V182:AA182)</f>
        <v>0.32280701754385965</v>
      </c>
      <c r="Q180" s="133">
        <f>SUM('案件．要員情報'!AB182:AG182)</f>
        <v>0.43636363636363634</v>
      </c>
      <c r="R180" s="133">
        <f>SUM('案件．要員情報'!AH182:AM182)</f>
        <v>0.3</v>
      </c>
      <c r="S180" s="133">
        <f>SUM('案件．要員情報'!AN182:AS182)</f>
        <v>0.57333333333333336</v>
      </c>
      <c r="T180" s="133">
        <f>SUM('案件．要員情報'!AT182:AY182)</f>
        <v>0.72000000000000008</v>
      </c>
      <c r="U180" s="133">
        <f>SUM('案件．要員情報'!AZ182:BF182)</f>
        <v>0.72</v>
      </c>
      <c r="V180" s="133">
        <f>SUM('案件．要員情報'!BG182:BN182)</f>
        <v>0</v>
      </c>
      <c r="W180" s="133">
        <f>SUM('案件．要員情報'!BO182:BV182)</f>
        <v>0</v>
      </c>
      <c r="X180" s="133">
        <f>SUM('案件．要員情報'!BW182:CD182)</f>
        <v>0</v>
      </c>
      <c r="Y180" s="133">
        <f>SUM('案件．要員情報'!CE182:CL182)</f>
        <v>0</v>
      </c>
      <c r="Z180" s="133">
        <f>SUM('案件．要員情報'!CM182:CT182)</f>
        <v>0</v>
      </c>
    </row>
    <row r="181" spans="1:32" ht="20.100000000000001" customHeight="1" x14ac:dyDescent="0.4">
      <c r="A181" s="377"/>
      <c r="B181" s="377"/>
      <c r="C181" s="377"/>
      <c r="D181" s="379"/>
      <c r="E181" s="379"/>
      <c r="F181" s="379"/>
      <c r="G181" s="423"/>
      <c r="H181" s="384"/>
      <c r="I181" s="384"/>
      <c r="J181" s="371"/>
      <c r="K181" s="101"/>
      <c r="L181" s="101"/>
      <c r="M181" s="364"/>
      <c r="N181" s="93" t="s">
        <v>25</v>
      </c>
      <c r="O181" s="135">
        <f>SUM('案件．要員情報'!O183:U183)</f>
        <v>0.4</v>
      </c>
      <c r="P181" s="135">
        <f>SUM('案件．要員情報'!V183:AA183)</f>
        <v>0.33333333333333331</v>
      </c>
      <c r="Q181" s="135">
        <f>SUM('案件．要員情報'!AB183:AG183)</f>
        <v>0.43636363636363634</v>
      </c>
      <c r="R181" s="135">
        <f>SUM('案件．要員情報'!AH183:AM183)</f>
        <v>0.33030303030303032</v>
      </c>
      <c r="S181" s="135">
        <f>SUM('案件．要員情報'!AN183:AS183)</f>
        <v>0.56031746031746033</v>
      </c>
      <c r="T181" s="135">
        <f>SUM('案件．要員情報'!AT183:AY183)</f>
        <v>0.7151515151515152</v>
      </c>
      <c r="U181" s="135">
        <f>SUM('案件．要員情報'!AZ183:BF183)</f>
        <v>0.10833333333333334</v>
      </c>
      <c r="V181" s="135">
        <f>SUM('案件．要員情報'!BG183:BN183)</f>
        <v>0</v>
      </c>
      <c r="W181" s="135">
        <f>SUM('案件．要員情報'!BO183:BV183)</f>
        <v>0</v>
      </c>
      <c r="X181" s="135">
        <f>SUM('案件．要員情報'!BW183:CD183)</f>
        <v>0</v>
      </c>
      <c r="Y181" s="135">
        <f>SUM('案件．要員情報'!CE183:CL183)</f>
        <v>0</v>
      </c>
      <c r="Z181" s="135">
        <f>SUM('案件．要員情報'!CM183:CT183)</f>
        <v>0</v>
      </c>
    </row>
    <row r="182" spans="1:32" ht="20.100000000000001" customHeight="1" x14ac:dyDescent="0.4">
      <c r="A182" s="376">
        <v>6</v>
      </c>
      <c r="B182" s="376" t="s">
        <v>46</v>
      </c>
      <c r="C182" s="376" t="s">
        <v>28</v>
      </c>
      <c r="D182" s="378" t="s">
        <v>19</v>
      </c>
      <c r="E182" s="380" t="s">
        <v>42</v>
      </c>
      <c r="F182" s="378" t="s">
        <v>19</v>
      </c>
      <c r="G182" s="422" t="s">
        <v>41</v>
      </c>
      <c r="H182" s="383"/>
      <c r="I182" s="383"/>
      <c r="J182" s="370"/>
      <c r="K182" s="100"/>
      <c r="L182" s="100"/>
      <c r="M182" s="363"/>
      <c r="N182" s="92" t="s">
        <v>24</v>
      </c>
      <c r="O182" s="133">
        <f>SUM('案件．要員情報'!O184:U184)</f>
        <v>0</v>
      </c>
      <c r="P182" s="133">
        <f>SUM('案件．要員情報'!V184:AA184)</f>
        <v>0</v>
      </c>
      <c r="Q182" s="133">
        <f>SUM('案件．要員情報'!AB184:AG184)</f>
        <v>0</v>
      </c>
      <c r="R182" s="133">
        <f>SUM('案件．要員情報'!AH184:AM184)</f>
        <v>0</v>
      </c>
      <c r="S182" s="133">
        <f>SUM('案件．要員情報'!AN184:AS184)</f>
        <v>0</v>
      </c>
      <c r="T182" s="133">
        <f>SUM('案件．要員情報'!AT184:AY184)</f>
        <v>0</v>
      </c>
      <c r="U182" s="133">
        <f>SUM('案件．要員情報'!AZ184:BF184)</f>
        <v>0</v>
      </c>
      <c r="V182" s="133">
        <f>SUM('案件．要員情報'!BG184:BN184)</f>
        <v>0</v>
      </c>
      <c r="W182" s="133">
        <f>SUM('案件．要員情報'!BO184:BV184)</f>
        <v>0</v>
      </c>
      <c r="X182" s="133">
        <f>SUM('案件．要員情報'!BW184:CD184)</f>
        <v>0</v>
      </c>
      <c r="Y182" s="133">
        <f>SUM('案件．要員情報'!CE184:CL184)</f>
        <v>0</v>
      </c>
      <c r="Z182" s="133">
        <f>SUM('案件．要員情報'!CM184:CT184)</f>
        <v>0</v>
      </c>
    </row>
    <row r="183" spans="1:32" ht="20.100000000000001" customHeight="1" x14ac:dyDescent="0.4">
      <c r="A183" s="377"/>
      <c r="B183" s="377"/>
      <c r="C183" s="377"/>
      <c r="D183" s="379"/>
      <c r="E183" s="379"/>
      <c r="F183" s="379"/>
      <c r="G183" s="423"/>
      <c r="H183" s="384"/>
      <c r="I183" s="384"/>
      <c r="J183" s="371"/>
      <c r="K183" s="101"/>
      <c r="L183" s="101"/>
      <c r="M183" s="364"/>
      <c r="N183" s="93" t="s">
        <v>25</v>
      </c>
      <c r="O183" s="135">
        <f>SUM('案件．要員情報'!O185:U185)</f>
        <v>0</v>
      </c>
      <c r="P183" s="135">
        <f>SUM('案件．要員情報'!V185:AA185)</f>
        <v>0</v>
      </c>
      <c r="Q183" s="135">
        <f>SUM('案件．要員情報'!AB185:AG185)</f>
        <v>1.2121212121212121E-2</v>
      </c>
      <c r="R183" s="135">
        <f>SUM('案件．要員情報'!AH185:AM185)</f>
        <v>0</v>
      </c>
      <c r="S183" s="135">
        <f>SUM('案件．要員情報'!AN185:AS185)</f>
        <v>0</v>
      </c>
      <c r="T183" s="135">
        <f>SUM('案件．要員情報'!AT185:AY185)</f>
        <v>0</v>
      </c>
      <c r="U183" s="135">
        <f>SUM('案件．要員情報'!AZ185:BF185)</f>
        <v>0</v>
      </c>
      <c r="V183" s="135">
        <f>SUM('案件．要員情報'!BG185:BN185)</f>
        <v>0</v>
      </c>
      <c r="W183" s="135">
        <f>SUM('案件．要員情報'!BO185:BV185)</f>
        <v>0</v>
      </c>
      <c r="X183" s="135">
        <f>SUM('案件．要員情報'!BW185:CD185)</f>
        <v>0</v>
      </c>
      <c r="Y183" s="135">
        <f>SUM('案件．要員情報'!CE185:CL185)</f>
        <v>0</v>
      </c>
      <c r="Z183" s="135">
        <f>SUM('案件．要員情報'!CM185:CT185)</f>
        <v>0</v>
      </c>
    </row>
    <row r="184" spans="1:32" ht="20.100000000000001" customHeight="1" x14ac:dyDescent="0.4">
      <c r="A184" s="396" t="s">
        <v>35</v>
      </c>
      <c r="B184" s="397"/>
      <c r="C184" s="397"/>
      <c r="D184" s="397"/>
      <c r="E184" s="397"/>
      <c r="F184" s="397"/>
      <c r="G184" s="398"/>
      <c r="H184" s="383"/>
      <c r="I184" s="383"/>
      <c r="J184" s="383"/>
      <c r="K184" s="95"/>
      <c r="L184" s="95"/>
      <c r="M184" s="96" t="s">
        <v>37</v>
      </c>
      <c r="N184" s="92" t="s">
        <v>24</v>
      </c>
      <c r="O184" s="91">
        <f>SUM(O172,O174,O176,O178,O180,O182)</f>
        <v>0.9</v>
      </c>
      <c r="P184" s="91">
        <f t="shared" ref="P184:Z185" si="9">SUM(P172,P174,P176,P178,P180,P182)</f>
        <v>0.80701754385964908</v>
      </c>
      <c r="Q184" s="91">
        <f t="shared" si="9"/>
        <v>0.90909090909090895</v>
      </c>
      <c r="R184" s="91">
        <f t="shared" si="9"/>
        <v>0.79090909090909078</v>
      </c>
      <c r="S184" s="91">
        <f t="shared" si="9"/>
        <v>0.84952380952380957</v>
      </c>
      <c r="T184" s="91">
        <f t="shared" si="9"/>
        <v>0.99619047619047629</v>
      </c>
      <c r="U184" s="91">
        <f t="shared" si="9"/>
        <v>1.0699999999999998</v>
      </c>
      <c r="V184" s="91">
        <f t="shared" si="9"/>
        <v>0</v>
      </c>
      <c r="W184" s="91">
        <f t="shared" si="9"/>
        <v>0</v>
      </c>
      <c r="X184" s="91">
        <f t="shared" si="9"/>
        <v>0</v>
      </c>
      <c r="Y184" s="91">
        <f t="shared" si="9"/>
        <v>0</v>
      </c>
      <c r="Z184" s="91">
        <f>SUM(Z172,Z174,Z176,Z178,Z180,Z182)</f>
        <v>0</v>
      </c>
    </row>
    <row r="185" spans="1:32" ht="20.100000000000001" customHeight="1" x14ac:dyDescent="0.4">
      <c r="A185" s="399"/>
      <c r="B185" s="400"/>
      <c r="C185" s="400"/>
      <c r="D185" s="400"/>
      <c r="E185" s="400"/>
      <c r="F185" s="400"/>
      <c r="G185" s="401"/>
      <c r="H185" s="384"/>
      <c r="I185" s="384"/>
      <c r="J185" s="384"/>
      <c r="K185" s="97"/>
      <c r="L185" s="97"/>
      <c r="M185" s="98" t="s">
        <v>80</v>
      </c>
      <c r="N185" s="93" t="s">
        <v>25</v>
      </c>
      <c r="O185" s="99">
        <f>SUM(O173,O175,O177,O179,O181,O183)</f>
        <v>0.85416666666666663</v>
      </c>
      <c r="P185" s="99">
        <f t="shared" si="9"/>
        <v>0.67368421052631589</v>
      </c>
      <c r="Q185" s="99">
        <f t="shared" si="9"/>
        <v>0.86969696969696964</v>
      </c>
      <c r="R185" s="99">
        <f>SUM(R173,R175,R177,R179,R181,R183)</f>
        <v>0.75303030303030305</v>
      </c>
      <c r="S185" s="99">
        <f t="shared" si="9"/>
        <v>0.82190476190476192</v>
      </c>
      <c r="T185" s="99">
        <f>SUM(T173,T175,T177,T179,T181,T183)</f>
        <v>0.96363636363636362</v>
      </c>
      <c r="U185" s="99">
        <f t="shared" si="9"/>
        <v>0.17833333333333334</v>
      </c>
      <c r="V185" s="99">
        <f t="shared" si="9"/>
        <v>0</v>
      </c>
      <c r="W185" s="99">
        <f t="shared" si="9"/>
        <v>0</v>
      </c>
      <c r="X185" s="99">
        <f t="shared" si="9"/>
        <v>0</v>
      </c>
      <c r="Y185" s="99">
        <f t="shared" si="9"/>
        <v>0</v>
      </c>
      <c r="Z185" s="99">
        <f t="shared" si="9"/>
        <v>0</v>
      </c>
      <c r="AA185" s="102">
        <f>SUM(O185:Z185)</f>
        <v>5.1144526087947142</v>
      </c>
    </row>
    <row r="187" spans="1:32" ht="20.100000000000001" customHeight="1" x14ac:dyDescent="0.4">
      <c r="M187" s="103" t="s">
        <v>191</v>
      </c>
      <c r="N187" s="104" t="s">
        <v>24</v>
      </c>
      <c r="O187" s="105">
        <f>SUM(O166,O184)</f>
        <v>6.0041666666666664</v>
      </c>
      <c r="P187" s="105">
        <f>SUM(P166,P184)</f>
        <v>4.4842105263157892</v>
      </c>
      <c r="Q187" s="105">
        <f t="shared" ref="O187:Z188" si="10">SUM(Q166,Q184)</f>
        <v>5.3030303030303028</v>
      </c>
      <c r="R187" s="105">
        <f t="shared" si="10"/>
        <v>5.918181818181818</v>
      </c>
      <c r="S187" s="105">
        <f t="shared" si="10"/>
        <v>5.3860317460317457</v>
      </c>
      <c r="T187" s="105">
        <f t="shared" si="10"/>
        <v>5.8810389610389606</v>
      </c>
      <c r="U187" s="105">
        <f t="shared" si="10"/>
        <v>4.1833333333333336</v>
      </c>
      <c r="V187" s="105">
        <f t="shared" si="10"/>
        <v>0</v>
      </c>
      <c r="W187" s="105">
        <f t="shared" si="10"/>
        <v>0</v>
      </c>
      <c r="X187" s="105">
        <f t="shared" si="10"/>
        <v>0</v>
      </c>
      <c r="Y187" s="105">
        <f t="shared" si="10"/>
        <v>0</v>
      </c>
      <c r="Z187" s="105">
        <f t="shared" si="10"/>
        <v>0</v>
      </c>
      <c r="AA187" s="180">
        <f>SUM(O187:Z187)</f>
        <v>37.159993354598612</v>
      </c>
    </row>
    <row r="188" spans="1:32" ht="20.100000000000001" customHeight="1" x14ac:dyDescent="0.4">
      <c r="M188" s="103" t="s">
        <v>192</v>
      </c>
      <c r="N188" s="106" t="s">
        <v>25</v>
      </c>
      <c r="O188" s="105">
        <f t="shared" si="10"/>
        <v>5.5249999999999995</v>
      </c>
      <c r="P188" s="105">
        <f>SUM(P167,P185)</f>
        <v>3.9964912280701759</v>
      </c>
      <c r="Q188" s="105">
        <f t="shared" si="10"/>
        <v>4.9030303030303024</v>
      </c>
      <c r="R188" s="105">
        <f t="shared" si="10"/>
        <v>5.6424242424242435</v>
      </c>
      <c r="S188" s="105">
        <f t="shared" si="10"/>
        <v>5.2679365079365077</v>
      </c>
      <c r="T188" s="105">
        <f t="shared" si="10"/>
        <v>5.6181818181818182</v>
      </c>
      <c r="U188" s="105">
        <f t="shared" si="10"/>
        <v>1.4849999999999999</v>
      </c>
      <c r="V188" s="105">
        <f t="shared" si="10"/>
        <v>0</v>
      </c>
      <c r="W188" s="105">
        <f t="shared" si="10"/>
        <v>0</v>
      </c>
      <c r="X188" s="105">
        <f t="shared" si="10"/>
        <v>0</v>
      </c>
      <c r="Y188" s="105">
        <f t="shared" si="10"/>
        <v>0</v>
      </c>
      <c r="Z188" s="105">
        <f>SUM(Z167,Z185)</f>
        <v>0</v>
      </c>
      <c r="AA188" s="138">
        <f>SUM(O188:Z188)</f>
        <v>32.43806409964305</v>
      </c>
    </row>
    <row r="190" spans="1:32" ht="20.100000000000001" customHeight="1" x14ac:dyDescent="0.4">
      <c r="A190" s="85" t="s">
        <v>18</v>
      </c>
    </row>
    <row r="191" spans="1:32" s="90" customFormat="1" ht="20.100000000000001" customHeight="1" x14ac:dyDescent="0.4">
      <c r="A191" s="419" t="s">
        <v>0</v>
      </c>
      <c r="B191" s="426" t="s">
        <v>86</v>
      </c>
      <c r="C191" s="426" t="s">
        <v>6</v>
      </c>
      <c r="D191" s="426" t="s">
        <v>157</v>
      </c>
      <c r="E191" s="426" t="s">
        <v>2</v>
      </c>
      <c r="F191" s="426" t="s">
        <v>158</v>
      </c>
      <c r="G191" s="424" t="s">
        <v>1</v>
      </c>
      <c r="H191" s="417" t="s">
        <v>164</v>
      </c>
      <c r="I191" s="417" t="s">
        <v>165</v>
      </c>
      <c r="J191" s="417" t="s">
        <v>25</v>
      </c>
      <c r="K191" s="419" t="s">
        <v>7</v>
      </c>
      <c r="L191" s="419" t="s">
        <v>8</v>
      </c>
      <c r="M191" s="419" t="s">
        <v>189</v>
      </c>
      <c r="N191" s="415" t="s">
        <v>5</v>
      </c>
      <c r="O191" s="416"/>
      <c r="P191" s="416"/>
      <c r="Q191" s="416"/>
      <c r="R191" s="416"/>
      <c r="S191" s="416"/>
      <c r="T191" s="416"/>
      <c r="U191" s="416"/>
      <c r="V191" s="416"/>
      <c r="W191" s="416"/>
      <c r="X191" s="416"/>
      <c r="Y191" s="416"/>
      <c r="Z191" s="416"/>
      <c r="AA191" s="83"/>
      <c r="AB191" s="83"/>
      <c r="AC191" s="83"/>
      <c r="AD191" s="83"/>
      <c r="AE191" s="83"/>
      <c r="AF191" s="83"/>
    </row>
    <row r="192" spans="1:32" s="90" customFormat="1" ht="20.100000000000001" customHeight="1" x14ac:dyDescent="0.4">
      <c r="A192" s="420"/>
      <c r="B192" s="426"/>
      <c r="C192" s="426"/>
      <c r="D192" s="426"/>
      <c r="E192" s="426"/>
      <c r="F192" s="426"/>
      <c r="G192" s="425"/>
      <c r="H192" s="418"/>
      <c r="I192" s="418"/>
      <c r="J192" s="418"/>
      <c r="K192" s="420"/>
      <c r="L192" s="420"/>
      <c r="M192" s="420"/>
      <c r="N192" s="107"/>
      <c r="O192" s="108" t="s">
        <v>134</v>
      </c>
      <c r="P192" s="108" t="s">
        <v>135</v>
      </c>
      <c r="Q192" s="108" t="s">
        <v>137</v>
      </c>
      <c r="R192" s="108" t="s">
        <v>138</v>
      </c>
      <c r="S192" s="108" t="s">
        <v>139</v>
      </c>
      <c r="T192" s="108" t="s">
        <v>140</v>
      </c>
      <c r="U192" s="108" t="s">
        <v>141</v>
      </c>
      <c r="V192" s="108" t="s">
        <v>142</v>
      </c>
      <c r="W192" s="108" t="s">
        <v>143</v>
      </c>
      <c r="X192" s="108" t="s">
        <v>144</v>
      </c>
      <c r="Y192" s="108" t="s">
        <v>30</v>
      </c>
      <c r="Z192" s="108" t="s">
        <v>145</v>
      </c>
      <c r="AA192" s="83"/>
      <c r="AB192" s="83"/>
      <c r="AC192" s="83"/>
      <c r="AD192" s="83"/>
      <c r="AE192" s="83"/>
      <c r="AF192" s="83"/>
    </row>
    <row r="193" spans="1:30" ht="36" customHeight="1" x14ac:dyDescent="0.4">
      <c r="A193" s="376">
        <v>1</v>
      </c>
      <c r="B193" s="376" t="s">
        <v>46</v>
      </c>
      <c r="C193" s="376" t="s">
        <v>14</v>
      </c>
      <c r="D193" s="378" t="s">
        <v>19</v>
      </c>
      <c r="E193" s="380" t="s">
        <v>175</v>
      </c>
      <c r="F193" s="378" t="s">
        <v>19</v>
      </c>
      <c r="G193" s="381" t="s">
        <v>176</v>
      </c>
      <c r="H193" s="383">
        <v>0</v>
      </c>
      <c r="I193" s="383">
        <f>SUM(Y193:Y193)</f>
        <v>0</v>
      </c>
      <c r="J193" s="370">
        <f>SUM(Y194:Y194)</f>
        <v>0</v>
      </c>
      <c r="K193" s="109"/>
      <c r="L193" s="109"/>
      <c r="M193" s="421"/>
      <c r="N193" s="92" t="s">
        <v>24</v>
      </c>
      <c r="O193" s="133">
        <f>SUM('案件．要員情報'!O198:U198)</f>
        <v>0.99583333333333324</v>
      </c>
      <c r="P193" s="133">
        <f>SUM('案件．要員情報'!V198:AA198)</f>
        <v>0.84912280701754383</v>
      </c>
      <c r="Q193" s="133">
        <f>SUM('案件．要員情報'!AB198:AG198)</f>
        <v>0.21212121212121213</v>
      </c>
      <c r="R193" s="133">
        <f>SUM('案件．要員情報'!AH198:AM198)</f>
        <v>3.0303030303030304E-2</v>
      </c>
      <c r="S193" s="133">
        <f>SUM('案件．要員情報'!AN198:AS198)</f>
        <v>0.16190476190476188</v>
      </c>
      <c r="T193" s="133">
        <f>SUM('案件．要員情報'!AT198:AY198)</f>
        <v>0.11515151515151516</v>
      </c>
      <c r="U193" s="133">
        <f>SUM('案件．要員情報'!AZ198:BF198)</f>
        <v>0</v>
      </c>
      <c r="V193" s="133">
        <f>SUM('案件．要員情報'!BG198:BN198)</f>
        <v>0</v>
      </c>
      <c r="W193" s="133">
        <f>SUM('案件．要員情報'!BO198:BV198)</f>
        <v>0</v>
      </c>
      <c r="X193" s="133">
        <f>SUM('案件．要員情報'!BW198:CD198)</f>
        <v>0</v>
      </c>
      <c r="Y193" s="133">
        <f>SUM('案件．要員情報'!CE198:CL198)</f>
        <v>0</v>
      </c>
      <c r="Z193" s="133">
        <f>SUM('案件．要員情報'!CM198:CT198)</f>
        <v>0</v>
      </c>
    </row>
    <row r="194" spans="1:30" ht="15.75" x14ac:dyDescent="0.4">
      <c r="A194" s="377"/>
      <c r="B194" s="377"/>
      <c r="C194" s="377"/>
      <c r="D194" s="379"/>
      <c r="E194" s="379"/>
      <c r="F194" s="379"/>
      <c r="G194" s="382"/>
      <c r="H194" s="384"/>
      <c r="I194" s="384"/>
      <c r="J194" s="371"/>
      <c r="K194" s="110"/>
      <c r="L194" s="110"/>
      <c r="M194" s="364"/>
      <c r="N194" s="93" t="s">
        <v>25</v>
      </c>
      <c r="O194" s="135">
        <f>SUM('案件．要員情報'!O199:U199)</f>
        <v>0.28750000000000003</v>
      </c>
      <c r="P194" s="135">
        <f>SUM('案件．要員情報'!V199:AA199)</f>
        <v>0.39298245614035088</v>
      </c>
      <c r="Q194" s="135">
        <f>SUM('案件．要員情報'!AB199:AG199)</f>
        <v>0.17575757575757578</v>
      </c>
      <c r="R194" s="135">
        <f>SUM('案件．要員情報'!AH199:AM199)</f>
        <v>0.293939393939394</v>
      </c>
      <c r="S194" s="135">
        <f>SUM('案件．要員情報'!AN199:AS199)</f>
        <v>0.2857142857142857</v>
      </c>
      <c r="T194" s="135">
        <f>SUM('案件．要員情報'!AT199:AY199)</f>
        <v>0.38181818181818183</v>
      </c>
      <c r="U194" s="135">
        <f>SUM('案件．要員情報'!AZ199:BF199)</f>
        <v>1.4999999999999999E-2</v>
      </c>
      <c r="V194" s="135">
        <f>SUM('案件．要員情報'!BG199:BN199)</f>
        <v>0</v>
      </c>
      <c r="W194" s="135">
        <f>SUM('案件．要員情報'!BO199:BV199)</f>
        <v>0</v>
      </c>
      <c r="X194" s="135">
        <f>SUM('案件．要員情報'!BW199:CD199)</f>
        <v>0</v>
      </c>
      <c r="Y194" s="135">
        <f>SUM('案件．要員情報'!CE199:CL199)</f>
        <v>0</v>
      </c>
      <c r="Z194" s="135">
        <f>SUM('案件．要員情報'!CM199:CT199)</f>
        <v>0</v>
      </c>
    </row>
    <row r="195" spans="1:30" ht="20.100000000000001" customHeight="1" x14ac:dyDescent="0.4">
      <c r="A195" s="376">
        <v>2</v>
      </c>
      <c r="B195" s="376" t="s">
        <v>46</v>
      </c>
      <c r="C195" s="376" t="s">
        <v>14</v>
      </c>
      <c r="D195" s="378" t="s">
        <v>19</v>
      </c>
      <c r="E195" s="380" t="s">
        <v>195</v>
      </c>
      <c r="F195" s="378" t="s">
        <v>19</v>
      </c>
      <c r="G195" s="381" t="s">
        <v>177</v>
      </c>
      <c r="H195" s="383">
        <v>0</v>
      </c>
      <c r="I195" s="383">
        <f>SUM(Y195:Y195)</f>
        <v>0</v>
      </c>
      <c r="J195" s="370">
        <f>SUM(Y196:Y196)</f>
        <v>0</v>
      </c>
      <c r="K195" s="109"/>
      <c r="L195" s="109"/>
      <c r="M195" s="363"/>
      <c r="N195" s="92" t="s">
        <v>24</v>
      </c>
      <c r="O195" s="133">
        <f>SUM('案件．要員情報'!O200:U200)</f>
        <v>0</v>
      </c>
      <c r="P195" s="133">
        <f>SUM('案件．要員情報'!V200:AA200)</f>
        <v>0.66666666666666663</v>
      </c>
      <c r="Q195" s="133">
        <f>SUM('案件．要員情報'!AB200:AG200)</f>
        <v>0.48484848484848481</v>
      </c>
      <c r="R195" s="133">
        <f>SUM('案件．要員情報'!AH200:AM200)</f>
        <v>4.8484848484848478E-2</v>
      </c>
      <c r="S195" s="133">
        <f>SUM('案件．要員情報'!AN200:AS200)</f>
        <v>0.45333333333333331</v>
      </c>
      <c r="T195" s="133">
        <f>SUM('案件．要員情報'!AT200:AY200)</f>
        <v>0</v>
      </c>
      <c r="U195" s="133">
        <f>SUM('案件．要員情報'!AZ200:BF200)</f>
        <v>0</v>
      </c>
      <c r="V195" s="133">
        <f>SUM('案件．要員情報'!BG200:BN200)</f>
        <v>0</v>
      </c>
      <c r="W195" s="133">
        <f>SUM('案件．要員情報'!BO200:BV200)</f>
        <v>0</v>
      </c>
      <c r="X195" s="133">
        <f>SUM('案件．要員情報'!BW200:CD200)</f>
        <v>0</v>
      </c>
      <c r="Y195" s="133">
        <f>SUM('案件．要員情報'!CE200:CL200)</f>
        <v>0</v>
      </c>
      <c r="Z195" s="133">
        <f>SUM('案件．要員情報'!CM200:CT200)</f>
        <v>0</v>
      </c>
    </row>
    <row r="196" spans="1:30" ht="15.75" x14ac:dyDescent="0.4">
      <c r="A196" s="377"/>
      <c r="B196" s="377"/>
      <c r="C196" s="377"/>
      <c r="D196" s="379"/>
      <c r="E196" s="379"/>
      <c r="F196" s="379"/>
      <c r="G196" s="382"/>
      <c r="H196" s="384"/>
      <c r="I196" s="384"/>
      <c r="J196" s="371"/>
      <c r="K196" s="110"/>
      <c r="L196" s="110"/>
      <c r="M196" s="364"/>
      <c r="N196" s="93" t="s">
        <v>25</v>
      </c>
      <c r="O196" s="135">
        <f>SUM('案件．要員情報'!O201:U201)</f>
        <v>0</v>
      </c>
      <c r="P196" s="135">
        <f>SUM('案件．要員情報'!V201:AA201)</f>
        <v>0.61052631578947369</v>
      </c>
      <c r="Q196" s="135">
        <f>SUM('案件．要員情報'!AB201:AG201)</f>
        <v>0.4181818181818181</v>
      </c>
      <c r="R196" s="135">
        <f>SUM('案件．要員情報'!AH201:AM201)</f>
        <v>6.363636363636363E-2</v>
      </c>
      <c r="S196" s="135">
        <f>SUM('案件．要員情報'!AN201:AS201)</f>
        <v>0.44761904761904758</v>
      </c>
      <c r="T196" s="135">
        <f>SUM('案件．要員情報'!AT201:AY201)</f>
        <v>0</v>
      </c>
      <c r="U196" s="135">
        <f>SUM('案件．要員情報'!AZ201:BF201)</f>
        <v>0</v>
      </c>
      <c r="V196" s="135">
        <f>SUM('案件．要員情報'!BG201:BN201)</f>
        <v>0</v>
      </c>
      <c r="W196" s="135">
        <f>SUM('案件．要員情報'!BO201:BV201)</f>
        <v>0</v>
      </c>
      <c r="X196" s="135">
        <f>SUM('案件．要員情報'!BW201:CD201)</f>
        <v>0</v>
      </c>
      <c r="Y196" s="135">
        <f>SUM('案件．要員情報'!CE201:CL201)</f>
        <v>0</v>
      </c>
      <c r="Z196" s="135">
        <f>SUM('案件．要員情報'!CM201:CT201)</f>
        <v>0</v>
      </c>
    </row>
    <row r="197" spans="1:30" ht="20.100000000000001" customHeight="1" x14ac:dyDescent="0.4">
      <c r="A197" s="376">
        <v>3</v>
      </c>
      <c r="B197" s="376" t="s">
        <v>46</v>
      </c>
      <c r="C197" s="376" t="s">
        <v>14</v>
      </c>
      <c r="D197" s="378" t="s">
        <v>19</v>
      </c>
      <c r="E197" s="380" t="s">
        <v>196</v>
      </c>
      <c r="F197" s="378" t="s">
        <v>19</v>
      </c>
      <c r="G197" s="381" t="s">
        <v>198</v>
      </c>
      <c r="H197" s="383">
        <v>0</v>
      </c>
      <c r="I197" s="383">
        <f>SUM(Y197:Y197)</f>
        <v>0</v>
      </c>
      <c r="J197" s="370">
        <f>SUM(Y198:Y198)</f>
        <v>0</v>
      </c>
      <c r="K197" s="109"/>
      <c r="L197" s="109"/>
      <c r="M197" s="363"/>
      <c r="N197" s="92" t="s">
        <v>24</v>
      </c>
      <c r="O197" s="133">
        <f>SUM('案件．要員情報'!O202:U202)</f>
        <v>0</v>
      </c>
      <c r="P197" s="133">
        <f>SUM('案件．要員情報'!V202:AA202)</f>
        <v>0</v>
      </c>
      <c r="Q197" s="133">
        <f>SUM('案件．要員情報'!AB202:AG202)</f>
        <v>0</v>
      </c>
      <c r="R197" s="133">
        <f>SUM('案件．要員情報'!AH202:AM202)</f>
        <v>0</v>
      </c>
      <c r="S197" s="133">
        <f>SUM('案件．要員情報'!AN202:AS202)</f>
        <v>0</v>
      </c>
      <c r="T197" s="133">
        <f>SUM('案件．要員情報'!AT202:AY202)</f>
        <v>0</v>
      </c>
      <c r="U197" s="133">
        <f>SUM('案件．要員情報'!AZ202:BF202)</f>
        <v>0</v>
      </c>
      <c r="V197" s="133">
        <f>SUM('案件．要員情報'!BG202:BN202)</f>
        <v>0</v>
      </c>
      <c r="W197" s="133">
        <f>SUM('案件．要員情報'!BO202:BV202)</f>
        <v>0</v>
      </c>
      <c r="X197" s="133">
        <f>SUM('案件．要員情報'!BW202:CD202)</f>
        <v>0</v>
      </c>
      <c r="Y197" s="133">
        <f>SUM('案件．要員情報'!CE202:CL202)</f>
        <v>0</v>
      </c>
      <c r="Z197" s="133">
        <f>SUM('案件．要員情報'!CM202:CT202)</f>
        <v>0</v>
      </c>
    </row>
    <row r="198" spans="1:30" ht="15.75" x14ac:dyDescent="0.4">
      <c r="A198" s="377"/>
      <c r="B198" s="377"/>
      <c r="C198" s="377"/>
      <c r="D198" s="379"/>
      <c r="E198" s="379"/>
      <c r="F198" s="379"/>
      <c r="G198" s="382"/>
      <c r="H198" s="384"/>
      <c r="I198" s="384"/>
      <c r="J198" s="371"/>
      <c r="K198" s="110"/>
      <c r="L198" s="110"/>
      <c r="M198" s="364"/>
      <c r="N198" s="93" t="s">
        <v>25</v>
      </c>
      <c r="O198" s="135">
        <f>SUM('案件．要員情報'!O203:U203)</f>
        <v>0</v>
      </c>
      <c r="P198" s="135">
        <f>SUM('案件．要員情報'!V203:AA203)</f>
        <v>0</v>
      </c>
      <c r="Q198" s="135">
        <f>SUM('案件．要員情報'!AB203:AG203)</f>
        <v>0</v>
      </c>
      <c r="R198" s="135">
        <f>SUM('案件．要員情報'!AH203:AM203)</f>
        <v>0</v>
      </c>
      <c r="S198" s="135">
        <f>SUM('案件．要員情報'!AN203:AS203)</f>
        <v>0</v>
      </c>
      <c r="T198" s="135">
        <f>SUM('案件．要員情報'!AT203:AY203)</f>
        <v>0</v>
      </c>
      <c r="U198" s="135">
        <f>SUM('案件．要員情報'!AZ203:BF203)</f>
        <v>0</v>
      </c>
      <c r="V198" s="135">
        <f>SUM('案件．要員情報'!BG203:BN203)</f>
        <v>0</v>
      </c>
      <c r="W198" s="135">
        <f>SUM('案件．要員情報'!BO203:BV203)</f>
        <v>0</v>
      </c>
      <c r="X198" s="135">
        <f>SUM('案件．要員情報'!BW203:CD203)</f>
        <v>0</v>
      </c>
      <c r="Y198" s="135">
        <f>SUM('案件．要員情報'!CE203:CL203)</f>
        <v>0</v>
      </c>
      <c r="Z198" s="135">
        <f>SUM('案件．要員情報'!CM203:CT203)</f>
        <v>0</v>
      </c>
    </row>
    <row r="199" spans="1:30" ht="15.75" x14ac:dyDescent="0.4">
      <c r="A199" s="376">
        <v>4</v>
      </c>
      <c r="B199" s="376" t="s">
        <v>46</v>
      </c>
      <c r="C199" s="376" t="s">
        <v>14</v>
      </c>
      <c r="D199" s="378" t="s">
        <v>19</v>
      </c>
      <c r="E199" s="378" t="s">
        <v>19</v>
      </c>
      <c r="F199" s="378" t="s">
        <v>19</v>
      </c>
      <c r="G199" s="381" t="s">
        <v>22</v>
      </c>
      <c r="H199" s="383">
        <v>0</v>
      </c>
      <c r="I199" s="383">
        <f>SUM(Y199:Y199)</f>
        <v>0</v>
      </c>
      <c r="J199" s="370">
        <f>SUM(Y200:Y200)</f>
        <v>0</v>
      </c>
      <c r="K199" s="100"/>
      <c r="L199" s="100"/>
      <c r="M199" s="408" t="s">
        <v>43</v>
      </c>
      <c r="N199" s="92" t="s">
        <v>24</v>
      </c>
      <c r="O199" s="133">
        <f>SUM('案件．要員情報'!O204:U204)</f>
        <v>0</v>
      </c>
      <c r="P199" s="133">
        <f>SUM('案件．要員情報'!V204:AA204)</f>
        <v>0</v>
      </c>
      <c r="Q199" s="133">
        <f>SUM('案件．要員情報'!AB204:AG204)</f>
        <v>0</v>
      </c>
      <c r="R199" s="133">
        <f>SUM('案件．要員情報'!AH204:AM204)</f>
        <v>0</v>
      </c>
      <c r="S199" s="133">
        <f>SUM('案件．要員情報'!AN204:AS204)</f>
        <v>0</v>
      </c>
      <c r="T199" s="133">
        <f>SUM('案件．要員情報'!AT204:AY204)</f>
        <v>0</v>
      </c>
      <c r="U199" s="133">
        <f>SUM('案件．要員情報'!AZ204:BF204)</f>
        <v>0</v>
      </c>
      <c r="V199" s="133">
        <f>SUM('案件．要員情報'!BG204:BN204)</f>
        <v>0</v>
      </c>
      <c r="W199" s="133">
        <f>SUM('案件．要員情報'!BO204:BV204)</f>
        <v>0</v>
      </c>
      <c r="X199" s="133">
        <f>SUM('案件．要員情報'!BW204:CD204)</f>
        <v>0</v>
      </c>
      <c r="Y199" s="133">
        <f>SUM('案件．要員情報'!CE204:CL204)</f>
        <v>0</v>
      </c>
      <c r="Z199" s="133">
        <f>SUM('案件．要員情報'!CM204:CT204)</f>
        <v>0</v>
      </c>
    </row>
    <row r="200" spans="1:30" ht="15.75" x14ac:dyDescent="0.4">
      <c r="A200" s="377"/>
      <c r="B200" s="377"/>
      <c r="C200" s="377"/>
      <c r="D200" s="379"/>
      <c r="E200" s="379"/>
      <c r="F200" s="379"/>
      <c r="G200" s="382"/>
      <c r="H200" s="384"/>
      <c r="I200" s="384"/>
      <c r="J200" s="371"/>
      <c r="K200" s="101"/>
      <c r="L200" s="101"/>
      <c r="M200" s="364"/>
      <c r="N200" s="93" t="s">
        <v>25</v>
      </c>
      <c r="O200" s="135">
        <f>SUM('案件．要員情報'!O205:U205)</f>
        <v>0</v>
      </c>
      <c r="P200" s="135">
        <f>SUM('案件．要員情報'!V205:AA205)</f>
        <v>0</v>
      </c>
      <c r="Q200" s="135">
        <f>SUM('案件．要員情報'!AB205:AG205)</f>
        <v>0</v>
      </c>
      <c r="R200" s="135">
        <f>SUM('案件．要員情報'!AH205:AM205)</f>
        <v>0</v>
      </c>
      <c r="S200" s="135">
        <f>SUM('案件．要員情報'!AN205:AS205)</f>
        <v>0</v>
      </c>
      <c r="T200" s="135">
        <f>SUM('案件．要員情報'!AT205:AY205)</f>
        <v>0</v>
      </c>
      <c r="U200" s="135">
        <f>SUM('案件．要員情報'!AZ205:BF205)</f>
        <v>0</v>
      </c>
      <c r="V200" s="135">
        <f>SUM('案件．要員情報'!BG205:BN205)</f>
        <v>0</v>
      </c>
      <c r="W200" s="135">
        <f>SUM('案件．要員情報'!BO205:BV205)</f>
        <v>0</v>
      </c>
      <c r="X200" s="135">
        <f>SUM('案件．要員情報'!BW205:CD205)</f>
        <v>0</v>
      </c>
      <c r="Y200" s="135">
        <f>SUM('案件．要員情報'!CE205:CL205)</f>
        <v>0</v>
      </c>
      <c r="Z200" s="135">
        <f>SUM('案件．要員情報'!CM205:CT205)</f>
        <v>0</v>
      </c>
    </row>
    <row r="201" spans="1:30" ht="20.100000000000001" customHeight="1" x14ac:dyDescent="0.4">
      <c r="A201" s="376">
        <v>5</v>
      </c>
      <c r="B201" s="376" t="s">
        <v>46</v>
      </c>
      <c r="C201" s="376" t="s">
        <v>14</v>
      </c>
      <c r="D201" s="378" t="s">
        <v>19</v>
      </c>
      <c r="E201" s="378" t="s">
        <v>19</v>
      </c>
      <c r="F201" s="378" t="s">
        <v>19</v>
      </c>
      <c r="G201" s="406" t="s">
        <v>23</v>
      </c>
      <c r="H201" s="383">
        <v>0</v>
      </c>
      <c r="I201" s="383">
        <f>SUM(Y201:Y201)</f>
        <v>0</v>
      </c>
      <c r="J201" s="370">
        <f>SUM(Y202:Y202)</f>
        <v>0</v>
      </c>
      <c r="K201" s="100"/>
      <c r="L201" s="100"/>
      <c r="M201" s="409" t="s">
        <v>19</v>
      </c>
      <c r="N201" s="92" t="s">
        <v>24</v>
      </c>
      <c r="O201" s="133">
        <f>SUM('案件．要員情報'!O206:U206)</f>
        <v>0</v>
      </c>
      <c r="P201" s="133">
        <f>SUM('案件．要員情報'!V206:AA206)</f>
        <v>0</v>
      </c>
      <c r="Q201" s="133">
        <f>SUM('案件．要員情報'!AB206:AG206)</f>
        <v>0</v>
      </c>
      <c r="R201" s="133">
        <f>SUM('案件．要員情報'!AH206:AM206)</f>
        <v>0</v>
      </c>
      <c r="S201" s="133">
        <f>SUM('案件．要員情報'!AN206:AS206)</f>
        <v>0</v>
      </c>
      <c r="T201" s="133">
        <f>SUM('案件．要員情報'!AT206:AY206)</f>
        <v>0</v>
      </c>
      <c r="U201" s="133">
        <f>SUM('案件．要員情報'!AZ206:BF206)</f>
        <v>0</v>
      </c>
      <c r="V201" s="133">
        <f>SUM('案件．要員情報'!BG206:BN206)</f>
        <v>0</v>
      </c>
      <c r="W201" s="133">
        <f>SUM('案件．要員情報'!BO206:BV206)</f>
        <v>0</v>
      </c>
      <c r="X201" s="133">
        <f>SUM('案件．要員情報'!BW206:CD206)</f>
        <v>0</v>
      </c>
      <c r="Y201" s="133">
        <f>SUM('案件．要員情報'!CE206:CL206)</f>
        <v>0</v>
      </c>
      <c r="Z201" s="133">
        <f>SUM('案件．要員情報'!CM206:CT206)</f>
        <v>0</v>
      </c>
    </row>
    <row r="202" spans="1:30" ht="20.100000000000001" customHeight="1" x14ac:dyDescent="0.4">
      <c r="A202" s="377"/>
      <c r="B202" s="377"/>
      <c r="C202" s="377"/>
      <c r="D202" s="379"/>
      <c r="E202" s="379"/>
      <c r="F202" s="379"/>
      <c r="G202" s="407"/>
      <c r="H202" s="384"/>
      <c r="I202" s="384"/>
      <c r="J202" s="371"/>
      <c r="K202" s="101"/>
      <c r="L202" s="101"/>
      <c r="M202" s="364"/>
      <c r="N202" s="93" t="s">
        <v>25</v>
      </c>
      <c r="O202" s="135">
        <f>SUM('案件．要員情報'!O207:U207)</f>
        <v>1</v>
      </c>
      <c r="P202" s="135">
        <f>SUM('案件．要員情報'!V207:AA207)</f>
        <v>1</v>
      </c>
      <c r="Q202" s="135">
        <f>SUM('案件．要員情報'!AB207:AG207)</f>
        <v>0.5</v>
      </c>
      <c r="R202" s="135">
        <f>SUM('案件．要員情報'!AH207:AM207)</f>
        <v>0</v>
      </c>
      <c r="S202" s="135">
        <f>SUM('案件．要員情報'!AN207:AS207)</f>
        <v>0</v>
      </c>
      <c r="T202" s="135">
        <f>SUM('案件．要員情報'!AT207:AY207)</f>
        <v>0</v>
      </c>
      <c r="U202" s="135">
        <f>SUM('案件．要員情報'!AZ207:BF207)</f>
        <v>0</v>
      </c>
      <c r="V202" s="135">
        <f>SUM('案件．要員情報'!BG207:BN207)</f>
        <v>0</v>
      </c>
      <c r="W202" s="135">
        <f>SUM('案件．要員情報'!BO207:BV207)</f>
        <v>0</v>
      </c>
      <c r="X202" s="135">
        <f>SUM('案件．要員情報'!BW207:CD207)</f>
        <v>0</v>
      </c>
      <c r="Y202" s="135">
        <f>SUM('案件．要員情報'!CE207:CL207)</f>
        <v>0</v>
      </c>
      <c r="Z202" s="135">
        <f>SUM('案件．要員情報'!CM207:CT207)</f>
        <v>0</v>
      </c>
    </row>
    <row r="203" spans="1:30" ht="20.100000000000001" customHeight="1" x14ac:dyDescent="0.4">
      <c r="A203" s="396" t="s">
        <v>35</v>
      </c>
      <c r="B203" s="397"/>
      <c r="C203" s="397"/>
      <c r="D203" s="397"/>
      <c r="E203" s="397"/>
      <c r="F203" s="397"/>
      <c r="G203" s="398"/>
      <c r="H203" s="383">
        <f>SUM(H193:H202)</f>
        <v>0</v>
      </c>
      <c r="I203" s="383">
        <f>SUM(I193:I202)</f>
        <v>0</v>
      </c>
      <c r="J203" s="383">
        <f>SUM(J193:J202)</f>
        <v>0</v>
      </c>
      <c r="K203" s="95"/>
      <c r="L203" s="95"/>
      <c r="M203" s="96" t="s">
        <v>37</v>
      </c>
      <c r="N203" s="92" t="s">
        <v>24</v>
      </c>
      <c r="O203" s="91">
        <f t="shared" ref="O203:Q204" si="11">SUM(O193,O195,O197,O199,O201)</f>
        <v>0.99583333333333324</v>
      </c>
      <c r="P203" s="91">
        <f t="shared" si="11"/>
        <v>1.5157894736842104</v>
      </c>
      <c r="Q203" s="91">
        <f t="shared" si="11"/>
        <v>0.69696969696969691</v>
      </c>
      <c r="R203" s="91">
        <f t="shared" ref="R203:Z203" si="12">SUM(R193,R195,R197,R199,R201)</f>
        <v>7.8787878787878782E-2</v>
      </c>
      <c r="S203" s="91">
        <f t="shared" si="12"/>
        <v>0.61523809523809514</v>
      </c>
      <c r="T203" s="91">
        <f t="shared" si="12"/>
        <v>0.11515151515151516</v>
      </c>
      <c r="U203" s="91">
        <f t="shared" si="12"/>
        <v>0</v>
      </c>
      <c r="V203" s="91">
        <f t="shared" si="12"/>
        <v>0</v>
      </c>
      <c r="W203" s="91">
        <f t="shared" si="12"/>
        <v>0</v>
      </c>
      <c r="X203" s="91">
        <f t="shared" si="12"/>
        <v>0</v>
      </c>
      <c r="Y203" s="91">
        <f t="shared" si="12"/>
        <v>0</v>
      </c>
      <c r="Z203" s="91">
        <f t="shared" si="12"/>
        <v>0</v>
      </c>
    </row>
    <row r="204" spans="1:30" ht="20.100000000000001" customHeight="1" x14ac:dyDescent="0.4">
      <c r="A204" s="399"/>
      <c r="B204" s="400"/>
      <c r="C204" s="400"/>
      <c r="D204" s="400"/>
      <c r="E204" s="400"/>
      <c r="F204" s="400"/>
      <c r="G204" s="401"/>
      <c r="H204" s="384"/>
      <c r="I204" s="384"/>
      <c r="J204" s="384"/>
      <c r="K204" s="97"/>
      <c r="L204" s="97"/>
      <c r="M204" s="98" t="s">
        <v>80</v>
      </c>
      <c r="N204" s="93" t="s">
        <v>25</v>
      </c>
      <c r="O204" s="99">
        <f t="shared" si="11"/>
        <v>1.2875000000000001</v>
      </c>
      <c r="P204" s="99">
        <f t="shared" si="11"/>
        <v>2.0035087719298246</v>
      </c>
      <c r="Q204" s="99">
        <f t="shared" si="11"/>
        <v>1.0939393939393938</v>
      </c>
      <c r="R204" s="99">
        <f t="shared" ref="R204:Z204" si="13">SUM(R194,R196,R198,R200,R202)</f>
        <v>0.35757575757575766</v>
      </c>
      <c r="S204" s="99">
        <f t="shared" si="13"/>
        <v>0.73333333333333328</v>
      </c>
      <c r="T204" s="99">
        <f t="shared" si="13"/>
        <v>0.38181818181818183</v>
      </c>
      <c r="U204" s="99">
        <f t="shared" si="13"/>
        <v>1.4999999999999999E-2</v>
      </c>
      <c r="V204" s="99">
        <f t="shared" si="13"/>
        <v>0</v>
      </c>
      <c r="W204" s="99">
        <f t="shared" si="13"/>
        <v>0</v>
      </c>
      <c r="X204" s="99">
        <f t="shared" si="13"/>
        <v>0</v>
      </c>
      <c r="Y204" s="99">
        <f t="shared" si="13"/>
        <v>0</v>
      </c>
      <c r="Z204" s="99">
        <f t="shared" si="13"/>
        <v>0</v>
      </c>
      <c r="AB204" s="129"/>
      <c r="AC204" s="129"/>
    </row>
    <row r="205" spans="1:30" ht="20.100000000000001" customHeight="1" x14ac:dyDescent="0.4">
      <c r="M205" s="111"/>
      <c r="N205" s="112"/>
      <c r="O205" s="112"/>
      <c r="P205" s="112"/>
      <c r="Q205" s="112"/>
      <c r="R205" s="112"/>
      <c r="S205" s="112"/>
      <c r="T205" s="112"/>
      <c r="U205" s="112"/>
      <c r="V205" s="112"/>
      <c r="W205" s="112"/>
      <c r="X205" s="112"/>
      <c r="Y205" s="112"/>
      <c r="Z205" s="112"/>
    </row>
    <row r="206" spans="1:30" ht="30" customHeight="1" thickBot="1" x14ac:dyDescent="0.45">
      <c r="G206" s="113" t="s">
        <v>193</v>
      </c>
      <c r="H206" s="114">
        <f>SUM(H166,H184)</f>
        <v>0</v>
      </c>
      <c r="I206" s="114">
        <f>SUM(I166,I184)</f>
        <v>0</v>
      </c>
      <c r="K206" s="427" t="s">
        <v>194</v>
      </c>
      <c r="L206" s="427"/>
      <c r="M206" s="427"/>
      <c r="N206" s="104" t="s">
        <v>24</v>
      </c>
      <c r="O206" s="104">
        <f>SUM(O187,O203)</f>
        <v>7</v>
      </c>
      <c r="P206" s="104">
        <f>SUM(P187,P203)</f>
        <v>6</v>
      </c>
      <c r="Q206" s="104">
        <f t="shared" ref="Q206:Z206" si="14">SUM(Q187,Q203)</f>
        <v>6</v>
      </c>
      <c r="R206" s="104">
        <f t="shared" si="14"/>
        <v>5.9969696969696971</v>
      </c>
      <c r="S206" s="104">
        <f t="shared" si="14"/>
        <v>6.0012698412698411</v>
      </c>
      <c r="T206" s="104">
        <f t="shared" si="14"/>
        <v>5.9961904761904758</v>
      </c>
      <c r="U206" s="104">
        <f t="shared" si="14"/>
        <v>4.1833333333333336</v>
      </c>
      <c r="V206" s="104">
        <f t="shared" si="14"/>
        <v>0</v>
      </c>
      <c r="W206" s="104">
        <f t="shared" si="14"/>
        <v>0</v>
      </c>
      <c r="X206" s="104">
        <f t="shared" si="14"/>
        <v>0</v>
      </c>
      <c r="Y206" s="104">
        <f t="shared" si="14"/>
        <v>0</v>
      </c>
      <c r="Z206" s="104">
        <f t="shared" si="14"/>
        <v>0</v>
      </c>
      <c r="AA206" s="180">
        <f>SUM(O206:Z206)</f>
        <v>41.177763347763346</v>
      </c>
    </row>
    <row r="207" spans="1:30" ht="30" customHeight="1" thickTop="1" thickBot="1" x14ac:dyDescent="0.45">
      <c r="G207" s="113" t="s">
        <v>82</v>
      </c>
      <c r="H207" s="115">
        <f>H203</f>
        <v>0</v>
      </c>
      <c r="I207" s="115">
        <f>I203</f>
        <v>0</v>
      </c>
      <c r="K207" s="427" t="s">
        <v>194</v>
      </c>
      <c r="L207" s="427"/>
      <c r="M207" s="427"/>
      <c r="N207" s="106" t="s">
        <v>25</v>
      </c>
      <c r="O207" s="104">
        <f>SUM(O188,O204)</f>
        <v>6.8125</v>
      </c>
      <c r="P207" s="104">
        <f>SUM(P188,P204)</f>
        <v>6</v>
      </c>
      <c r="Q207" s="104">
        <f t="shared" ref="Q207:Z207" si="15">SUM(Q188,Q204)</f>
        <v>5.9969696969696962</v>
      </c>
      <c r="R207" s="104">
        <f t="shared" si="15"/>
        <v>6.0000000000000009</v>
      </c>
      <c r="S207" s="104">
        <f t="shared" si="15"/>
        <v>6.0012698412698411</v>
      </c>
      <c r="T207" s="104">
        <f t="shared" si="15"/>
        <v>6</v>
      </c>
      <c r="U207" s="104">
        <f t="shared" si="15"/>
        <v>1.4999999999999998</v>
      </c>
      <c r="V207" s="104">
        <f t="shared" si="15"/>
        <v>0</v>
      </c>
      <c r="W207" s="104">
        <f t="shared" si="15"/>
        <v>0</v>
      </c>
      <c r="X207" s="104">
        <f t="shared" si="15"/>
        <v>0</v>
      </c>
      <c r="Y207" s="104">
        <f t="shared" si="15"/>
        <v>0</v>
      </c>
      <c r="Z207" s="104">
        <f t="shared" si="15"/>
        <v>0</v>
      </c>
      <c r="AA207" s="138">
        <f>SUM(O207:Z207)</f>
        <v>38.310739538239538</v>
      </c>
      <c r="AC207" s="94"/>
      <c r="AD207" s="94"/>
    </row>
    <row r="208" spans="1:30" ht="20.100000000000001" customHeight="1" thickTop="1" x14ac:dyDescent="0.4">
      <c r="R208" s="116"/>
      <c r="S208" s="116"/>
      <c r="T208" s="116"/>
      <c r="U208" s="116"/>
    </row>
    <row r="209" spans="14:41" ht="20.100000000000001" customHeight="1" x14ac:dyDescent="0.4">
      <c r="O209" s="117"/>
      <c r="P209" s="118"/>
      <c r="Q209" s="118"/>
      <c r="R209" s="118"/>
      <c r="S209" s="118"/>
      <c r="T209" s="118"/>
      <c r="U209" s="118"/>
      <c r="V209" s="119"/>
      <c r="W209" s="119"/>
      <c r="X209" s="119"/>
      <c r="Y209" s="120"/>
      <c r="Z209" s="119"/>
      <c r="AA209" s="121"/>
      <c r="AB209" s="410"/>
      <c r="AC209" s="410"/>
      <c r="AD209" s="410"/>
      <c r="AE209" s="119"/>
      <c r="AF209" s="119"/>
      <c r="AG209" s="119"/>
    </row>
    <row r="210" spans="14:41" ht="20.100000000000001" customHeight="1" x14ac:dyDescent="0.4">
      <c r="N210" s="122"/>
      <c r="O210" s="118"/>
      <c r="V210" s="123"/>
      <c r="W210" s="123"/>
      <c r="X210" s="123"/>
      <c r="Y210" s="122"/>
      <c r="Z210" s="123"/>
      <c r="AA210" s="124"/>
      <c r="AB210" s="411"/>
      <c r="AC210" s="411"/>
      <c r="AD210" s="411"/>
      <c r="AE210" s="123"/>
      <c r="AF210" s="123"/>
      <c r="AG210" s="123"/>
    </row>
    <row r="211" spans="14:41" ht="20.100000000000001" customHeight="1" x14ac:dyDescent="0.4">
      <c r="N211" s="125"/>
      <c r="O211" s="118"/>
      <c r="V211" s="126"/>
      <c r="W211" s="126"/>
      <c r="X211" s="126"/>
      <c r="Y211" s="127"/>
      <c r="Z211" s="126"/>
      <c r="AA211" s="128"/>
      <c r="AB211" s="412"/>
      <c r="AC211" s="412"/>
      <c r="AD211" s="412"/>
      <c r="AE211" s="126"/>
      <c r="AF211" s="126"/>
      <c r="AG211" s="126"/>
    </row>
    <row r="212" spans="14:41" ht="20.100000000000001" customHeight="1" x14ac:dyDescent="0.4">
      <c r="O212" s="117"/>
      <c r="S212"/>
      <c r="T212"/>
      <c r="U212"/>
      <c r="V212"/>
      <c r="W212"/>
      <c r="X212"/>
      <c r="Y212"/>
    </row>
    <row r="213" spans="14:41" ht="20.100000000000001" customHeight="1" x14ac:dyDescent="0.4">
      <c r="O213" s="117"/>
      <c r="R213"/>
      <c r="S213"/>
      <c r="T213"/>
      <c r="U213"/>
      <c r="V213"/>
      <c r="W213"/>
      <c r="X213"/>
      <c r="Y213"/>
      <c r="AJ213" s="116"/>
    </row>
    <row r="214" spans="14:41" ht="20.100000000000001" customHeight="1" x14ac:dyDescent="0.4">
      <c r="O214" s="117"/>
      <c r="R214"/>
      <c r="S214"/>
      <c r="T214"/>
      <c r="U214"/>
      <c r="V214"/>
      <c r="W214"/>
      <c r="X214"/>
      <c r="Y214"/>
      <c r="AJ214" s="118"/>
      <c r="AL214" s="121"/>
      <c r="AN214" s="120"/>
      <c r="AO214" s="120"/>
    </row>
    <row r="215" spans="14:41" ht="20.100000000000001" customHeight="1" x14ac:dyDescent="0.4">
      <c r="O215" s="117"/>
      <c r="R215"/>
      <c r="S215"/>
      <c r="T215"/>
      <c r="U215"/>
      <c r="V215"/>
      <c r="W215"/>
      <c r="X215"/>
      <c r="Y215"/>
      <c r="AK215" s="130"/>
      <c r="AL215" s="413"/>
      <c r="AM215" s="414"/>
      <c r="AN215" s="404"/>
      <c r="AO215" s="404"/>
    </row>
    <row r="216" spans="14:41" ht="20.100000000000001" customHeight="1" x14ac:dyDescent="0.4">
      <c r="O216" s="117"/>
      <c r="R216"/>
      <c r="S216"/>
      <c r="T216"/>
      <c r="U216"/>
      <c r="V216"/>
      <c r="W216"/>
      <c r="X216"/>
      <c r="Y216"/>
      <c r="AK216" s="130"/>
      <c r="AL216" s="405"/>
      <c r="AM216" s="405"/>
      <c r="AN216" s="404"/>
      <c r="AO216" s="404"/>
    </row>
    <row r="217" spans="14:41" ht="20.100000000000001" customHeight="1" x14ac:dyDescent="0.4">
      <c r="O217" s="117"/>
      <c r="R217"/>
      <c r="S217"/>
      <c r="T217"/>
      <c r="U217"/>
      <c r="V217"/>
      <c r="W217"/>
      <c r="X217"/>
      <c r="Y217"/>
    </row>
    <row r="218" spans="14:41" ht="20.100000000000001" customHeight="1" x14ac:dyDescent="0.4">
      <c r="O218" s="117"/>
      <c r="R218"/>
      <c r="S218"/>
      <c r="T218"/>
      <c r="U218"/>
      <c r="V218"/>
      <c r="W218"/>
      <c r="X218"/>
      <c r="Y218"/>
      <c r="AH218" s="116"/>
      <c r="AI218" s="116"/>
    </row>
    <row r="219" spans="14:41" ht="20.100000000000001" customHeight="1" x14ac:dyDescent="0.4">
      <c r="O219" s="117"/>
      <c r="R219"/>
      <c r="S219"/>
      <c r="T219" s="118"/>
      <c r="U219"/>
      <c r="V219"/>
      <c r="W219"/>
      <c r="X219"/>
      <c r="Y219"/>
      <c r="AH219" s="118"/>
      <c r="AJ219" s="121"/>
      <c r="AL219" s="120"/>
      <c r="AM219" s="120"/>
    </row>
    <row r="220" spans="14:41" ht="20.100000000000001" customHeight="1" x14ac:dyDescent="0.4">
      <c r="O220" s="117"/>
      <c r="R220"/>
      <c r="S220"/>
      <c r="U220"/>
      <c r="V220"/>
      <c r="W220"/>
      <c r="X220"/>
      <c r="Y220"/>
      <c r="AI220" s="130"/>
      <c r="AJ220" s="413"/>
      <c r="AK220" s="414"/>
      <c r="AL220" s="404"/>
      <c r="AM220" s="404"/>
    </row>
    <row r="221" spans="14:41" ht="20.100000000000001" customHeight="1" x14ac:dyDescent="0.4">
      <c r="O221" s="117"/>
      <c r="R221"/>
      <c r="S221"/>
      <c r="U221"/>
      <c r="V221"/>
      <c r="W221"/>
      <c r="X221"/>
      <c r="Y221"/>
      <c r="AI221" s="130"/>
      <c r="AJ221" s="124"/>
      <c r="AK221" s="90"/>
      <c r="AL221" s="131"/>
      <c r="AM221" s="131"/>
    </row>
    <row r="222" spans="14:41" ht="20.100000000000001" customHeight="1" x14ac:dyDescent="0.4">
      <c r="O222" s="117"/>
      <c r="R222"/>
      <c r="S222"/>
      <c r="T222"/>
      <c r="U222"/>
      <c r="V222"/>
      <c r="W222"/>
      <c r="X222"/>
      <c r="Y222"/>
      <c r="AI222" s="130"/>
      <c r="AJ222" s="405"/>
      <c r="AK222" s="405"/>
      <c r="AL222" s="404"/>
      <c r="AM222" s="404"/>
    </row>
    <row r="223" spans="14:41" ht="20.100000000000001" customHeight="1" x14ac:dyDescent="0.4">
      <c r="O223" s="117"/>
      <c r="R223"/>
      <c r="S223"/>
      <c r="T223"/>
      <c r="U223"/>
      <c r="V223"/>
      <c r="W223"/>
      <c r="X223"/>
      <c r="Y223"/>
    </row>
    <row r="224" spans="14:41" ht="20.100000000000001" customHeight="1" x14ac:dyDescent="0.4">
      <c r="O224" s="117"/>
      <c r="Q224" s="118"/>
      <c r="R224"/>
      <c r="S224"/>
      <c r="T224"/>
      <c r="U224"/>
      <c r="V224"/>
      <c r="W224"/>
      <c r="X224"/>
      <c r="Y224"/>
    </row>
    <row r="225" spans="15:25" ht="20.100000000000001" customHeight="1" x14ac:dyDescent="0.4">
      <c r="O225" s="117"/>
      <c r="R225"/>
      <c r="S225"/>
      <c r="T225"/>
      <c r="U225"/>
      <c r="V225"/>
      <c r="W225"/>
      <c r="X225"/>
      <c r="Y225"/>
    </row>
    <row r="226" spans="15:25" ht="20.100000000000001" customHeight="1" x14ac:dyDescent="0.4">
      <c r="O226" s="117"/>
      <c r="R226"/>
      <c r="S226"/>
      <c r="T226"/>
      <c r="U226"/>
      <c r="V226"/>
      <c r="W226"/>
      <c r="X226"/>
      <c r="Y226"/>
    </row>
    <row r="227" spans="15:25" ht="20.100000000000001" customHeight="1" x14ac:dyDescent="0.4">
      <c r="O227" s="117"/>
      <c r="R227"/>
      <c r="S227"/>
      <c r="T227"/>
      <c r="U227"/>
      <c r="V227"/>
      <c r="W227"/>
      <c r="X227"/>
      <c r="Y227"/>
    </row>
    <row r="228" spans="15:25" ht="20.100000000000001" customHeight="1" x14ac:dyDescent="0.4">
      <c r="O228" s="117"/>
      <c r="S228"/>
      <c r="T228"/>
      <c r="U228"/>
      <c r="V228"/>
      <c r="W228"/>
      <c r="X228"/>
    </row>
    <row r="229" spans="15:25" ht="20.100000000000001" customHeight="1" x14ac:dyDescent="0.4">
      <c r="O229" s="117"/>
      <c r="S229"/>
      <c r="T229"/>
      <c r="U229"/>
      <c r="V229"/>
      <c r="W229"/>
      <c r="X229"/>
    </row>
    <row r="230" spans="15:25" ht="20.100000000000001" customHeight="1" x14ac:dyDescent="0.4">
      <c r="O230" s="117"/>
      <c r="R230" s="118"/>
      <c r="S230"/>
      <c r="T230"/>
      <c r="U230"/>
      <c r="V230"/>
      <c r="W230"/>
      <c r="X230"/>
    </row>
    <row r="231" spans="15:25" ht="20.100000000000001" customHeight="1" x14ac:dyDescent="0.4">
      <c r="O231" s="117"/>
      <c r="S231"/>
      <c r="T231"/>
      <c r="U231"/>
      <c r="V231"/>
      <c r="W231"/>
      <c r="X231"/>
    </row>
    <row r="232" spans="15:25" ht="20.100000000000001" customHeight="1" x14ac:dyDescent="0.4">
      <c r="O232" s="117"/>
      <c r="S232"/>
      <c r="T232"/>
      <c r="U232"/>
      <c r="V232"/>
      <c r="W232"/>
      <c r="X232"/>
    </row>
    <row r="233" spans="15:25" ht="20.100000000000001" customHeight="1" x14ac:dyDescent="0.4">
      <c r="O233" s="117"/>
      <c r="S233"/>
      <c r="T233"/>
      <c r="U233"/>
      <c r="V233"/>
    </row>
    <row r="234" spans="15:25" ht="20.100000000000001" customHeight="1" x14ac:dyDescent="0.4">
      <c r="O234" s="117"/>
      <c r="S234"/>
      <c r="T234"/>
      <c r="U234"/>
      <c r="V234"/>
    </row>
    <row r="235" spans="15:25" ht="20.100000000000001" customHeight="1" x14ac:dyDescent="0.4">
      <c r="O235" s="117"/>
      <c r="R235" s="118"/>
      <c r="S235"/>
      <c r="T235"/>
      <c r="U235"/>
      <c r="V235"/>
    </row>
    <row r="236" spans="15:25" ht="20.100000000000001" customHeight="1" x14ac:dyDescent="0.4">
      <c r="S236"/>
      <c r="T236"/>
      <c r="U236"/>
      <c r="V236"/>
    </row>
    <row r="237" spans="15:25" ht="20.100000000000001" customHeight="1" x14ac:dyDescent="0.4">
      <c r="S237"/>
      <c r="T237"/>
      <c r="U237"/>
      <c r="V237"/>
    </row>
    <row r="238" spans="15:25" ht="20.100000000000001" customHeight="1" x14ac:dyDescent="0.4">
      <c r="S238"/>
      <c r="T238"/>
      <c r="U238"/>
      <c r="V238"/>
    </row>
    <row r="239" spans="15:25" ht="20.100000000000001" customHeight="1" x14ac:dyDescent="0.4">
      <c r="U239"/>
      <c r="V239"/>
    </row>
  </sheetData>
  <autoFilter ref="A1:AA167" xr:uid="{00000000-0001-0000-0100-000000000000}"/>
  <dataConsolidate/>
  <mergeCells count="1219">
    <mergeCell ref="J162:J163"/>
    <mergeCell ref="K162:K163"/>
    <mergeCell ref="L162:L163"/>
    <mergeCell ref="M162:M163"/>
    <mergeCell ref="A164:A165"/>
    <mergeCell ref="B164:B165"/>
    <mergeCell ref="C164:C165"/>
    <mergeCell ref="D164:D165"/>
    <mergeCell ref="E164:E165"/>
    <mergeCell ref="F164:F165"/>
    <mergeCell ref="G164:G165"/>
    <mergeCell ref="H164:H165"/>
    <mergeCell ref="I164:I165"/>
    <mergeCell ref="J164:J165"/>
    <mergeCell ref="K164:K165"/>
    <mergeCell ref="L164:L165"/>
    <mergeCell ref="M164:M165"/>
    <mergeCell ref="A162:A163"/>
    <mergeCell ref="B162:B163"/>
    <mergeCell ref="C162:C163"/>
    <mergeCell ref="D162:D163"/>
    <mergeCell ref="E162:E163"/>
    <mergeCell ref="F162:F163"/>
    <mergeCell ref="G162:G163"/>
    <mergeCell ref="H162:H163"/>
    <mergeCell ref="I162:I163"/>
    <mergeCell ref="J158:J159"/>
    <mergeCell ref="K158:K159"/>
    <mergeCell ref="L158:L159"/>
    <mergeCell ref="M158:M159"/>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A158:A159"/>
    <mergeCell ref="B158:B159"/>
    <mergeCell ref="C158:C159"/>
    <mergeCell ref="D158:D159"/>
    <mergeCell ref="E158:E159"/>
    <mergeCell ref="F158:F159"/>
    <mergeCell ref="G158:G159"/>
    <mergeCell ref="H158:H159"/>
    <mergeCell ref="I158:I159"/>
    <mergeCell ref="J154:J155"/>
    <mergeCell ref="K154:K155"/>
    <mergeCell ref="L154:L155"/>
    <mergeCell ref="M154:M155"/>
    <mergeCell ref="A156:A157"/>
    <mergeCell ref="B156:B157"/>
    <mergeCell ref="C156:C157"/>
    <mergeCell ref="D156:D157"/>
    <mergeCell ref="E156:E157"/>
    <mergeCell ref="F156:F157"/>
    <mergeCell ref="G156:G157"/>
    <mergeCell ref="H156:H157"/>
    <mergeCell ref="I156:I157"/>
    <mergeCell ref="J156:J157"/>
    <mergeCell ref="K156:K157"/>
    <mergeCell ref="L156:L157"/>
    <mergeCell ref="M156:M157"/>
    <mergeCell ref="A154:A155"/>
    <mergeCell ref="B154:B155"/>
    <mergeCell ref="C154:C155"/>
    <mergeCell ref="D154:D155"/>
    <mergeCell ref="E154:E155"/>
    <mergeCell ref="F154:F155"/>
    <mergeCell ref="G154:G155"/>
    <mergeCell ref="H154:H155"/>
    <mergeCell ref="I154:I155"/>
    <mergeCell ref="J150:J151"/>
    <mergeCell ref="K150:K151"/>
    <mergeCell ref="L150:L151"/>
    <mergeCell ref="M150:M151"/>
    <mergeCell ref="A152:A153"/>
    <mergeCell ref="B152:B153"/>
    <mergeCell ref="C152:C153"/>
    <mergeCell ref="D152:D153"/>
    <mergeCell ref="E152:E153"/>
    <mergeCell ref="F152:F153"/>
    <mergeCell ref="G152:G153"/>
    <mergeCell ref="H152:H153"/>
    <mergeCell ref="I152:I153"/>
    <mergeCell ref="J152:J153"/>
    <mergeCell ref="K152:K153"/>
    <mergeCell ref="L152:L153"/>
    <mergeCell ref="M152:M153"/>
    <mergeCell ref="A150:A151"/>
    <mergeCell ref="B150:B151"/>
    <mergeCell ref="C150:C151"/>
    <mergeCell ref="D150:D151"/>
    <mergeCell ref="E150:E151"/>
    <mergeCell ref="F150:F151"/>
    <mergeCell ref="G150:G151"/>
    <mergeCell ref="H150:H151"/>
    <mergeCell ref="I150:I151"/>
    <mergeCell ref="J146:J147"/>
    <mergeCell ref="K146:K147"/>
    <mergeCell ref="L146:L147"/>
    <mergeCell ref="M146:M147"/>
    <mergeCell ref="A148:A149"/>
    <mergeCell ref="B148:B149"/>
    <mergeCell ref="C148:C149"/>
    <mergeCell ref="D148:D149"/>
    <mergeCell ref="E148:E149"/>
    <mergeCell ref="F148:F149"/>
    <mergeCell ref="G148:G149"/>
    <mergeCell ref="H148:H149"/>
    <mergeCell ref="I148:I149"/>
    <mergeCell ref="J148:J149"/>
    <mergeCell ref="K148:K149"/>
    <mergeCell ref="L148:L149"/>
    <mergeCell ref="M148:M149"/>
    <mergeCell ref="A146:A147"/>
    <mergeCell ref="B146:B147"/>
    <mergeCell ref="C146:C147"/>
    <mergeCell ref="D146:D147"/>
    <mergeCell ref="E146:E147"/>
    <mergeCell ref="F146:F147"/>
    <mergeCell ref="G146:G147"/>
    <mergeCell ref="H146:H147"/>
    <mergeCell ref="I146:I147"/>
    <mergeCell ref="J142:J143"/>
    <mergeCell ref="K142:K143"/>
    <mergeCell ref="L142:L143"/>
    <mergeCell ref="M142:M143"/>
    <mergeCell ref="A144:A145"/>
    <mergeCell ref="B144:B145"/>
    <mergeCell ref="C144:C145"/>
    <mergeCell ref="D144:D145"/>
    <mergeCell ref="E144:E145"/>
    <mergeCell ref="F144:F145"/>
    <mergeCell ref="G144:G145"/>
    <mergeCell ref="H144:H145"/>
    <mergeCell ref="I144:I145"/>
    <mergeCell ref="J144:J145"/>
    <mergeCell ref="K144:K145"/>
    <mergeCell ref="L144:L145"/>
    <mergeCell ref="M144:M145"/>
    <mergeCell ref="A142:A143"/>
    <mergeCell ref="B142:B143"/>
    <mergeCell ref="C142:C143"/>
    <mergeCell ref="D142:D143"/>
    <mergeCell ref="E142:E143"/>
    <mergeCell ref="F142:F143"/>
    <mergeCell ref="G142:G143"/>
    <mergeCell ref="H142:H143"/>
    <mergeCell ref="I142:I143"/>
    <mergeCell ref="J138:J139"/>
    <mergeCell ref="K138:K139"/>
    <mergeCell ref="L138:L139"/>
    <mergeCell ref="M138:M139"/>
    <mergeCell ref="A140:A141"/>
    <mergeCell ref="B140:B141"/>
    <mergeCell ref="C140:C141"/>
    <mergeCell ref="D140:D141"/>
    <mergeCell ref="E140:E141"/>
    <mergeCell ref="F140:F141"/>
    <mergeCell ref="G140:G141"/>
    <mergeCell ref="H140:H141"/>
    <mergeCell ref="I140:I141"/>
    <mergeCell ref="J140:J141"/>
    <mergeCell ref="K140:K141"/>
    <mergeCell ref="L140:L141"/>
    <mergeCell ref="M140:M141"/>
    <mergeCell ref="A138:A139"/>
    <mergeCell ref="B138:B139"/>
    <mergeCell ref="C138:C139"/>
    <mergeCell ref="D138:D139"/>
    <mergeCell ref="E138:E139"/>
    <mergeCell ref="F138:F139"/>
    <mergeCell ref="G138:G139"/>
    <mergeCell ref="H138:H139"/>
    <mergeCell ref="I138:I139"/>
    <mergeCell ref="J134:J135"/>
    <mergeCell ref="K134:K135"/>
    <mergeCell ref="L134:L135"/>
    <mergeCell ref="M134:M135"/>
    <mergeCell ref="A136:A137"/>
    <mergeCell ref="B136:B137"/>
    <mergeCell ref="C136:C137"/>
    <mergeCell ref="D136:D137"/>
    <mergeCell ref="E136:E137"/>
    <mergeCell ref="F136:F137"/>
    <mergeCell ref="G136:G137"/>
    <mergeCell ref="H136:H137"/>
    <mergeCell ref="I136:I137"/>
    <mergeCell ref="J136:J137"/>
    <mergeCell ref="K136:K137"/>
    <mergeCell ref="L136:L137"/>
    <mergeCell ref="M136:M137"/>
    <mergeCell ref="A134:A135"/>
    <mergeCell ref="B134:B135"/>
    <mergeCell ref="C134:C135"/>
    <mergeCell ref="D134:D135"/>
    <mergeCell ref="E134:E135"/>
    <mergeCell ref="F134:F135"/>
    <mergeCell ref="G134:G135"/>
    <mergeCell ref="H134:H135"/>
    <mergeCell ref="I134:I135"/>
    <mergeCell ref="J130:J131"/>
    <mergeCell ref="K130:K131"/>
    <mergeCell ref="L130:L131"/>
    <mergeCell ref="M130:M131"/>
    <mergeCell ref="A132:A133"/>
    <mergeCell ref="B132:B133"/>
    <mergeCell ref="C132:C133"/>
    <mergeCell ref="D132:D133"/>
    <mergeCell ref="E132:E133"/>
    <mergeCell ref="F132:F133"/>
    <mergeCell ref="G132:G133"/>
    <mergeCell ref="H132:H133"/>
    <mergeCell ref="I132:I133"/>
    <mergeCell ref="J132:J133"/>
    <mergeCell ref="K132:K133"/>
    <mergeCell ref="L132:L133"/>
    <mergeCell ref="M132:M133"/>
    <mergeCell ref="A130:A131"/>
    <mergeCell ref="B130:B131"/>
    <mergeCell ref="C130:C131"/>
    <mergeCell ref="D130:D131"/>
    <mergeCell ref="E130:E131"/>
    <mergeCell ref="F130:F131"/>
    <mergeCell ref="G130:G131"/>
    <mergeCell ref="H130:H131"/>
    <mergeCell ref="I130:I131"/>
    <mergeCell ref="J126:J127"/>
    <mergeCell ref="K126:K127"/>
    <mergeCell ref="L126:L127"/>
    <mergeCell ref="M126:M127"/>
    <mergeCell ref="A128:A129"/>
    <mergeCell ref="B128:B129"/>
    <mergeCell ref="C128:C129"/>
    <mergeCell ref="D128:D129"/>
    <mergeCell ref="E128:E129"/>
    <mergeCell ref="F128:F129"/>
    <mergeCell ref="G128:G129"/>
    <mergeCell ref="H128:H129"/>
    <mergeCell ref="I128:I129"/>
    <mergeCell ref="J128:J129"/>
    <mergeCell ref="K128:K129"/>
    <mergeCell ref="L128:L129"/>
    <mergeCell ref="M128:M129"/>
    <mergeCell ref="A126:A127"/>
    <mergeCell ref="B126:B127"/>
    <mergeCell ref="C126:C127"/>
    <mergeCell ref="D126:D127"/>
    <mergeCell ref="E126:E127"/>
    <mergeCell ref="F126:F127"/>
    <mergeCell ref="G126:G127"/>
    <mergeCell ref="H126:H127"/>
    <mergeCell ref="I126:I127"/>
    <mergeCell ref="J122:J123"/>
    <mergeCell ref="K122:K123"/>
    <mergeCell ref="L122:L123"/>
    <mergeCell ref="M122:M123"/>
    <mergeCell ref="A124:A125"/>
    <mergeCell ref="B124:B125"/>
    <mergeCell ref="C124:C125"/>
    <mergeCell ref="D124:D125"/>
    <mergeCell ref="E124:E125"/>
    <mergeCell ref="F124:F125"/>
    <mergeCell ref="G124:G125"/>
    <mergeCell ref="H124:H125"/>
    <mergeCell ref="I124:I125"/>
    <mergeCell ref="J124:J125"/>
    <mergeCell ref="K124:K125"/>
    <mergeCell ref="L124:L125"/>
    <mergeCell ref="M124:M125"/>
    <mergeCell ref="A122:A123"/>
    <mergeCell ref="B122:B123"/>
    <mergeCell ref="C122:C123"/>
    <mergeCell ref="D122:D123"/>
    <mergeCell ref="E122:E123"/>
    <mergeCell ref="F122:F123"/>
    <mergeCell ref="G122:G123"/>
    <mergeCell ref="H122:H123"/>
    <mergeCell ref="I122:I123"/>
    <mergeCell ref="J118:J119"/>
    <mergeCell ref="K118:K119"/>
    <mergeCell ref="L118:L119"/>
    <mergeCell ref="M118:M119"/>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A118:A119"/>
    <mergeCell ref="B118:B119"/>
    <mergeCell ref="C118:C119"/>
    <mergeCell ref="D118:D119"/>
    <mergeCell ref="E118:E119"/>
    <mergeCell ref="F118:F119"/>
    <mergeCell ref="G118:G119"/>
    <mergeCell ref="H118:H119"/>
    <mergeCell ref="I118:I119"/>
    <mergeCell ref="J114:J115"/>
    <mergeCell ref="K114:K115"/>
    <mergeCell ref="L114:L115"/>
    <mergeCell ref="M114:M115"/>
    <mergeCell ref="A116:A117"/>
    <mergeCell ref="B116:B117"/>
    <mergeCell ref="C116:C117"/>
    <mergeCell ref="D116:D117"/>
    <mergeCell ref="E116:E117"/>
    <mergeCell ref="F116:F117"/>
    <mergeCell ref="G116:G117"/>
    <mergeCell ref="H116:H117"/>
    <mergeCell ref="I116:I117"/>
    <mergeCell ref="J116:J117"/>
    <mergeCell ref="K116:K117"/>
    <mergeCell ref="L116:L117"/>
    <mergeCell ref="M116:M117"/>
    <mergeCell ref="A114:A115"/>
    <mergeCell ref="B114:B115"/>
    <mergeCell ref="C114:C115"/>
    <mergeCell ref="D114:D115"/>
    <mergeCell ref="E114:E115"/>
    <mergeCell ref="F114:F115"/>
    <mergeCell ref="G114:G115"/>
    <mergeCell ref="H114:H115"/>
    <mergeCell ref="I114:I115"/>
    <mergeCell ref="J110:J111"/>
    <mergeCell ref="K110:K111"/>
    <mergeCell ref="L110:L111"/>
    <mergeCell ref="M110:M111"/>
    <mergeCell ref="A112:A113"/>
    <mergeCell ref="B112:B113"/>
    <mergeCell ref="C112:C113"/>
    <mergeCell ref="D112:D113"/>
    <mergeCell ref="E112:E113"/>
    <mergeCell ref="F112:F113"/>
    <mergeCell ref="G112:G113"/>
    <mergeCell ref="H112:H113"/>
    <mergeCell ref="I112:I113"/>
    <mergeCell ref="J112:J113"/>
    <mergeCell ref="K112:K113"/>
    <mergeCell ref="L112:L113"/>
    <mergeCell ref="M112:M113"/>
    <mergeCell ref="A110:A111"/>
    <mergeCell ref="B110:B111"/>
    <mergeCell ref="C110:C111"/>
    <mergeCell ref="D110:D111"/>
    <mergeCell ref="E110:E111"/>
    <mergeCell ref="F110:F111"/>
    <mergeCell ref="G110:G111"/>
    <mergeCell ref="H110:H111"/>
    <mergeCell ref="I110:I111"/>
    <mergeCell ref="J106:J107"/>
    <mergeCell ref="K106:K107"/>
    <mergeCell ref="L106:L107"/>
    <mergeCell ref="M106:M107"/>
    <mergeCell ref="A108:A109"/>
    <mergeCell ref="B108:B109"/>
    <mergeCell ref="C108:C109"/>
    <mergeCell ref="D108:D109"/>
    <mergeCell ref="E108:E109"/>
    <mergeCell ref="F108:F109"/>
    <mergeCell ref="G108:G109"/>
    <mergeCell ref="H108:H109"/>
    <mergeCell ref="I108:I109"/>
    <mergeCell ref="J108:J109"/>
    <mergeCell ref="K108:K109"/>
    <mergeCell ref="L108:L109"/>
    <mergeCell ref="M108:M109"/>
    <mergeCell ref="A106:A107"/>
    <mergeCell ref="B106:B107"/>
    <mergeCell ref="C106:C107"/>
    <mergeCell ref="D106:D107"/>
    <mergeCell ref="E106:E107"/>
    <mergeCell ref="F106:F107"/>
    <mergeCell ref="G106:G107"/>
    <mergeCell ref="H106:H107"/>
    <mergeCell ref="I106:I107"/>
    <mergeCell ref="J102:J103"/>
    <mergeCell ref="K102:K103"/>
    <mergeCell ref="L102:L103"/>
    <mergeCell ref="M102:M103"/>
    <mergeCell ref="A104:A105"/>
    <mergeCell ref="B104:B105"/>
    <mergeCell ref="C104:C105"/>
    <mergeCell ref="D104:D105"/>
    <mergeCell ref="E104:E105"/>
    <mergeCell ref="F104:F105"/>
    <mergeCell ref="G104:G105"/>
    <mergeCell ref="H104:H105"/>
    <mergeCell ref="I104:I105"/>
    <mergeCell ref="J104:J105"/>
    <mergeCell ref="K104:K105"/>
    <mergeCell ref="L104:L105"/>
    <mergeCell ref="M104:M105"/>
    <mergeCell ref="A102:A103"/>
    <mergeCell ref="B102:B103"/>
    <mergeCell ref="C102:C103"/>
    <mergeCell ref="D102:D103"/>
    <mergeCell ref="E102:E103"/>
    <mergeCell ref="F102:F103"/>
    <mergeCell ref="G102:G103"/>
    <mergeCell ref="H102:H103"/>
    <mergeCell ref="I102:I103"/>
    <mergeCell ref="J98:J99"/>
    <mergeCell ref="K98:K99"/>
    <mergeCell ref="L98:L99"/>
    <mergeCell ref="M98:M99"/>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A98:A99"/>
    <mergeCell ref="B98:B99"/>
    <mergeCell ref="C98:C99"/>
    <mergeCell ref="D98:D99"/>
    <mergeCell ref="E98:E99"/>
    <mergeCell ref="F98:F99"/>
    <mergeCell ref="G98:G99"/>
    <mergeCell ref="H98:H99"/>
    <mergeCell ref="I98:I99"/>
    <mergeCell ref="J94:J95"/>
    <mergeCell ref="K94:K95"/>
    <mergeCell ref="L94:L95"/>
    <mergeCell ref="M94:M95"/>
    <mergeCell ref="A96:A97"/>
    <mergeCell ref="B96:B97"/>
    <mergeCell ref="C96:C97"/>
    <mergeCell ref="D96:D97"/>
    <mergeCell ref="E96:E97"/>
    <mergeCell ref="F96:F97"/>
    <mergeCell ref="G96:G97"/>
    <mergeCell ref="H96:H97"/>
    <mergeCell ref="I96:I97"/>
    <mergeCell ref="J96:J97"/>
    <mergeCell ref="K96:K97"/>
    <mergeCell ref="L96:L97"/>
    <mergeCell ref="M96:M97"/>
    <mergeCell ref="A94:A95"/>
    <mergeCell ref="B94:B95"/>
    <mergeCell ref="C94:C95"/>
    <mergeCell ref="D94:D95"/>
    <mergeCell ref="E94:E95"/>
    <mergeCell ref="F94:F95"/>
    <mergeCell ref="G94:G95"/>
    <mergeCell ref="H94:H95"/>
    <mergeCell ref="I94:I95"/>
    <mergeCell ref="J90:J91"/>
    <mergeCell ref="K90:K91"/>
    <mergeCell ref="L90:L91"/>
    <mergeCell ref="M90:M91"/>
    <mergeCell ref="A92:A93"/>
    <mergeCell ref="B92:B93"/>
    <mergeCell ref="C92:C93"/>
    <mergeCell ref="D92:D93"/>
    <mergeCell ref="E92:E93"/>
    <mergeCell ref="F92:F93"/>
    <mergeCell ref="G92:G93"/>
    <mergeCell ref="H92:H93"/>
    <mergeCell ref="I92:I93"/>
    <mergeCell ref="J92:J93"/>
    <mergeCell ref="K92:K93"/>
    <mergeCell ref="L92:L93"/>
    <mergeCell ref="M92:M93"/>
    <mergeCell ref="A90:A91"/>
    <mergeCell ref="B90:B91"/>
    <mergeCell ref="C90:C91"/>
    <mergeCell ref="D90:D91"/>
    <mergeCell ref="E90:E91"/>
    <mergeCell ref="F90:F91"/>
    <mergeCell ref="G90:G91"/>
    <mergeCell ref="H90:H91"/>
    <mergeCell ref="I90:I91"/>
    <mergeCell ref="J86:J87"/>
    <mergeCell ref="K86:K87"/>
    <mergeCell ref="L86:L87"/>
    <mergeCell ref="M86:M87"/>
    <mergeCell ref="A88:A89"/>
    <mergeCell ref="B88:B89"/>
    <mergeCell ref="C88:C89"/>
    <mergeCell ref="D88:D89"/>
    <mergeCell ref="E88:E89"/>
    <mergeCell ref="F88:F89"/>
    <mergeCell ref="G88:G89"/>
    <mergeCell ref="H88:H89"/>
    <mergeCell ref="I88:I89"/>
    <mergeCell ref="J88:J89"/>
    <mergeCell ref="K88:K89"/>
    <mergeCell ref="L88:L89"/>
    <mergeCell ref="M88:M89"/>
    <mergeCell ref="A86:A87"/>
    <mergeCell ref="B86:B87"/>
    <mergeCell ref="C86:C87"/>
    <mergeCell ref="D86:D87"/>
    <mergeCell ref="E86:E87"/>
    <mergeCell ref="F86:F87"/>
    <mergeCell ref="G86:G87"/>
    <mergeCell ref="J82:J83"/>
    <mergeCell ref="K82:K83"/>
    <mergeCell ref="L82:L83"/>
    <mergeCell ref="M82:M83"/>
    <mergeCell ref="A84:A85"/>
    <mergeCell ref="B84:B85"/>
    <mergeCell ref="C84:C85"/>
    <mergeCell ref="D84:D85"/>
    <mergeCell ref="E84:E85"/>
    <mergeCell ref="F84:F85"/>
    <mergeCell ref="G84:G85"/>
    <mergeCell ref="H84:H85"/>
    <mergeCell ref="I84:I85"/>
    <mergeCell ref="J84:J85"/>
    <mergeCell ref="K84:K85"/>
    <mergeCell ref="L84:L85"/>
    <mergeCell ref="M84:M85"/>
    <mergeCell ref="A82:A83"/>
    <mergeCell ref="B82:B83"/>
    <mergeCell ref="C82:C83"/>
    <mergeCell ref="D82:D83"/>
    <mergeCell ref="E82:E83"/>
    <mergeCell ref="F82:F83"/>
    <mergeCell ref="G82:G83"/>
    <mergeCell ref="H82:H83"/>
    <mergeCell ref="I82:I83"/>
    <mergeCell ref="J78:J79"/>
    <mergeCell ref="K78:K79"/>
    <mergeCell ref="L78:L79"/>
    <mergeCell ref="M78:M79"/>
    <mergeCell ref="A80:A81"/>
    <mergeCell ref="B80:B81"/>
    <mergeCell ref="C80:C81"/>
    <mergeCell ref="D80:D81"/>
    <mergeCell ref="E80:E81"/>
    <mergeCell ref="F80:F81"/>
    <mergeCell ref="G80:G81"/>
    <mergeCell ref="H80:H81"/>
    <mergeCell ref="I80:I81"/>
    <mergeCell ref="J80:J81"/>
    <mergeCell ref="K80:K81"/>
    <mergeCell ref="L80:L81"/>
    <mergeCell ref="M80:M81"/>
    <mergeCell ref="A78:A79"/>
    <mergeCell ref="B78:B79"/>
    <mergeCell ref="C78:C79"/>
    <mergeCell ref="D78:D79"/>
    <mergeCell ref="E78:E79"/>
    <mergeCell ref="F78:F79"/>
    <mergeCell ref="G78:G79"/>
    <mergeCell ref="H78:H79"/>
    <mergeCell ref="I78:I79"/>
    <mergeCell ref="J74:J75"/>
    <mergeCell ref="K74:K75"/>
    <mergeCell ref="L74:L75"/>
    <mergeCell ref="M74:M75"/>
    <mergeCell ref="A76:A77"/>
    <mergeCell ref="B76:B77"/>
    <mergeCell ref="C76:C77"/>
    <mergeCell ref="D76:D77"/>
    <mergeCell ref="E76:E77"/>
    <mergeCell ref="F76:F77"/>
    <mergeCell ref="G76:G77"/>
    <mergeCell ref="H76:H77"/>
    <mergeCell ref="I76:I77"/>
    <mergeCell ref="J76:J77"/>
    <mergeCell ref="K76:K77"/>
    <mergeCell ref="L76:L77"/>
    <mergeCell ref="M76:M77"/>
    <mergeCell ref="A74:A75"/>
    <mergeCell ref="B74:B75"/>
    <mergeCell ref="C74:C75"/>
    <mergeCell ref="D74:D75"/>
    <mergeCell ref="E74:E75"/>
    <mergeCell ref="F74:F75"/>
    <mergeCell ref="G74:G75"/>
    <mergeCell ref="H74:H75"/>
    <mergeCell ref="I74:I75"/>
    <mergeCell ref="M70:M71"/>
    <mergeCell ref="A72:A73"/>
    <mergeCell ref="B72:B73"/>
    <mergeCell ref="C72:C73"/>
    <mergeCell ref="D72:D73"/>
    <mergeCell ref="E72:E73"/>
    <mergeCell ref="F72:F73"/>
    <mergeCell ref="G72:G73"/>
    <mergeCell ref="H72:H73"/>
    <mergeCell ref="I72:I73"/>
    <mergeCell ref="J72:J73"/>
    <mergeCell ref="K72:K73"/>
    <mergeCell ref="L72:L73"/>
    <mergeCell ref="M72:M73"/>
    <mergeCell ref="A70:A71"/>
    <mergeCell ref="B70:B71"/>
    <mergeCell ref="C70:C71"/>
    <mergeCell ref="D70:D71"/>
    <mergeCell ref="E70:E71"/>
    <mergeCell ref="F70:F71"/>
    <mergeCell ref="G70:G71"/>
    <mergeCell ref="M66:M67"/>
    <mergeCell ref="A68:A69"/>
    <mergeCell ref="B68:B69"/>
    <mergeCell ref="C68:C69"/>
    <mergeCell ref="D68:D69"/>
    <mergeCell ref="E68:E69"/>
    <mergeCell ref="F68:F69"/>
    <mergeCell ref="G68:G69"/>
    <mergeCell ref="H68:H69"/>
    <mergeCell ref="I68:I69"/>
    <mergeCell ref="J68:J69"/>
    <mergeCell ref="K68:K69"/>
    <mergeCell ref="L68:L69"/>
    <mergeCell ref="M68:M69"/>
    <mergeCell ref="A66:A67"/>
    <mergeCell ref="B66:B67"/>
    <mergeCell ref="C66:C67"/>
    <mergeCell ref="D66:D67"/>
    <mergeCell ref="E66:E67"/>
    <mergeCell ref="M62:M63"/>
    <mergeCell ref="A64:A65"/>
    <mergeCell ref="B64:B65"/>
    <mergeCell ref="C64:C65"/>
    <mergeCell ref="D64:D65"/>
    <mergeCell ref="E64:E65"/>
    <mergeCell ref="F64:F65"/>
    <mergeCell ref="G64:G65"/>
    <mergeCell ref="H64:H65"/>
    <mergeCell ref="I64:I65"/>
    <mergeCell ref="J64:J65"/>
    <mergeCell ref="K64:K65"/>
    <mergeCell ref="L64:L65"/>
    <mergeCell ref="M64:M65"/>
    <mergeCell ref="A62:A63"/>
    <mergeCell ref="B62:B63"/>
    <mergeCell ref="C62:C63"/>
    <mergeCell ref="E60:E61"/>
    <mergeCell ref="F60:F61"/>
    <mergeCell ref="G60:G61"/>
    <mergeCell ref="H60:H61"/>
    <mergeCell ref="I60:I61"/>
    <mergeCell ref="F66:F67"/>
    <mergeCell ref="G66:G67"/>
    <mergeCell ref="H66:H67"/>
    <mergeCell ref="I66:I67"/>
    <mergeCell ref="K206:M206"/>
    <mergeCell ref="K207:M207"/>
    <mergeCell ref="M20:M21"/>
    <mergeCell ref="A50:A51"/>
    <mergeCell ref="B50:B51"/>
    <mergeCell ref="C50:C51"/>
    <mergeCell ref="D50:D51"/>
    <mergeCell ref="E50:E51"/>
    <mergeCell ref="F50:F51"/>
    <mergeCell ref="G50:G51"/>
    <mergeCell ref="H50:H51"/>
    <mergeCell ref="I50:I51"/>
    <mergeCell ref="J50:J51"/>
    <mergeCell ref="K50:K51"/>
    <mergeCell ref="L50:L51"/>
    <mergeCell ref="M50:M51"/>
    <mergeCell ref="A52:A53"/>
    <mergeCell ref="B52:B53"/>
    <mergeCell ref="C52:C53"/>
    <mergeCell ref="J54:J55"/>
    <mergeCell ref="K54:K55"/>
    <mergeCell ref="L54:L55"/>
    <mergeCell ref="M54:M55"/>
    <mergeCell ref="A56:A57"/>
    <mergeCell ref="I201:I202"/>
    <mergeCell ref="F195:F196"/>
    <mergeCell ref="F180:F181"/>
    <mergeCell ref="B174:B175"/>
    <mergeCell ref="C174:C175"/>
    <mergeCell ref="D174:D175"/>
    <mergeCell ref="E174:E175"/>
    <mergeCell ref="F174:F175"/>
    <mergeCell ref="G174:G175"/>
    <mergeCell ref="A184:G185"/>
    <mergeCell ref="H184:H185"/>
    <mergeCell ref="I184:I185"/>
    <mergeCell ref="H174:H175"/>
    <mergeCell ref="I174:I175"/>
    <mergeCell ref="M52:M53"/>
    <mergeCell ref="G195:G196"/>
    <mergeCell ref="M182:M183"/>
    <mergeCell ref="G180:G181"/>
    <mergeCell ref="H180:H181"/>
    <mergeCell ref="I180:I181"/>
    <mergeCell ref="J180:J181"/>
    <mergeCell ref="M180:M181"/>
    <mergeCell ref="M191:M192"/>
    <mergeCell ref="H195:H196"/>
    <mergeCell ref="I195:I196"/>
    <mergeCell ref="J195:J196"/>
    <mergeCell ref="M195:M196"/>
    <mergeCell ref="G56:G57"/>
    <mergeCell ref="H56:H57"/>
    <mergeCell ref="I56:I57"/>
    <mergeCell ref="J60:J61"/>
    <mergeCell ref="K60:K61"/>
    <mergeCell ref="L60:L61"/>
    <mergeCell ref="M60:M61"/>
    <mergeCell ref="G58:G59"/>
    <mergeCell ref="H58:H59"/>
    <mergeCell ref="I58:I59"/>
    <mergeCell ref="G62:G63"/>
    <mergeCell ref="G199:G200"/>
    <mergeCell ref="H199:H200"/>
    <mergeCell ref="I199:I200"/>
    <mergeCell ref="J199:J200"/>
    <mergeCell ref="H52:H53"/>
    <mergeCell ref="I52:I53"/>
    <mergeCell ref="J52:J53"/>
    <mergeCell ref="K52:K53"/>
    <mergeCell ref="L52:L53"/>
    <mergeCell ref="H62:H63"/>
    <mergeCell ref="I62:I63"/>
    <mergeCell ref="J62:J63"/>
    <mergeCell ref="K62:K63"/>
    <mergeCell ref="L62:L63"/>
    <mergeCell ref="H70:H71"/>
    <mergeCell ref="I70:I71"/>
    <mergeCell ref="J66:J67"/>
    <mergeCell ref="K66:K67"/>
    <mergeCell ref="L66:L67"/>
    <mergeCell ref="J70:J71"/>
    <mergeCell ref="K70:K71"/>
    <mergeCell ref="L70:L71"/>
    <mergeCell ref="H86:H87"/>
    <mergeCell ref="I86:I87"/>
    <mergeCell ref="J58:J59"/>
    <mergeCell ref="K58:K59"/>
    <mergeCell ref="L58:L59"/>
    <mergeCell ref="M58:M59"/>
    <mergeCell ref="A60:A61"/>
    <mergeCell ref="A195:A196"/>
    <mergeCell ref="B195:B196"/>
    <mergeCell ref="C195:C196"/>
    <mergeCell ref="D195:D196"/>
    <mergeCell ref="E195:E196"/>
    <mergeCell ref="B170:B171"/>
    <mergeCell ref="C170:C171"/>
    <mergeCell ref="A58:A59"/>
    <mergeCell ref="B58:B59"/>
    <mergeCell ref="C58:C59"/>
    <mergeCell ref="D58:D59"/>
    <mergeCell ref="E58:E59"/>
    <mergeCell ref="F58:F59"/>
    <mergeCell ref="B60:B61"/>
    <mergeCell ref="C60:C61"/>
    <mergeCell ref="D60:D61"/>
    <mergeCell ref="D62:D63"/>
    <mergeCell ref="E62:E63"/>
    <mergeCell ref="F62:F63"/>
    <mergeCell ref="G178:G179"/>
    <mergeCell ref="H178:H179"/>
    <mergeCell ref="I178:I179"/>
    <mergeCell ref="J178:J179"/>
    <mergeCell ref="J174:J175"/>
    <mergeCell ref="A182:A183"/>
    <mergeCell ref="B182:B183"/>
    <mergeCell ref="C182:C183"/>
    <mergeCell ref="D182:D183"/>
    <mergeCell ref="J56:J57"/>
    <mergeCell ref="K56:K57"/>
    <mergeCell ref="L56:L57"/>
    <mergeCell ref="M56:M57"/>
    <mergeCell ref="A54:A55"/>
    <mergeCell ref="B54:B55"/>
    <mergeCell ref="C54:C55"/>
    <mergeCell ref="D54:D55"/>
    <mergeCell ref="H54:H55"/>
    <mergeCell ref="I54:I55"/>
    <mergeCell ref="B56:B57"/>
    <mergeCell ref="C56:C57"/>
    <mergeCell ref="D56:D57"/>
    <mergeCell ref="E56:E57"/>
    <mergeCell ref="F56:F57"/>
    <mergeCell ref="D52:D53"/>
    <mergeCell ref="AJ220:AK220"/>
    <mergeCell ref="A193:A194"/>
    <mergeCell ref="B193:B194"/>
    <mergeCell ref="C193:C194"/>
    <mergeCell ref="A191:A192"/>
    <mergeCell ref="B191:B192"/>
    <mergeCell ref="C191:C192"/>
    <mergeCell ref="F191:F192"/>
    <mergeCell ref="A178:A179"/>
    <mergeCell ref="B178:B179"/>
    <mergeCell ref="C178:C179"/>
    <mergeCell ref="D178:D179"/>
    <mergeCell ref="E178:E179"/>
    <mergeCell ref="M178:M179"/>
    <mergeCell ref="G176:G177"/>
    <mergeCell ref="F178:F179"/>
    <mergeCell ref="AL220:AM220"/>
    <mergeCell ref="AJ222:AK222"/>
    <mergeCell ref="AL222:AM222"/>
    <mergeCell ref="AB209:AD209"/>
    <mergeCell ref="AB210:AD210"/>
    <mergeCell ref="AB211:AD211"/>
    <mergeCell ref="AL215:AM215"/>
    <mergeCell ref="N191:Z191"/>
    <mergeCell ref="I191:I192"/>
    <mergeCell ref="J191:J192"/>
    <mergeCell ref="K191:K192"/>
    <mergeCell ref="L191:L192"/>
    <mergeCell ref="I193:I194"/>
    <mergeCell ref="J193:J194"/>
    <mergeCell ref="M193:M194"/>
    <mergeCell ref="D180:D181"/>
    <mergeCell ref="E180:E181"/>
    <mergeCell ref="F182:F183"/>
    <mergeCell ref="G182:G183"/>
    <mergeCell ref="H182:H183"/>
    <mergeCell ref="I182:I183"/>
    <mergeCell ref="J182:J183"/>
    <mergeCell ref="D193:D194"/>
    <mergeCell ref="E193:E194"/>
    <mergeCell ref="F193:F194"/>
    <mergeCell ref="G193:G194"/>
    <mergeCell ref="H193:H194"/>
    <mergeCell ref="G191:G192"/>
    <mergeCell ref="H191:H192"/>
    <mergeCell ref="J184:J185"/>
    <mergeCell ref="D191:D192"/>
    <mergeCell ref="E191:E192"/>
    <mergeCell ref="AN215:AO215"/>
    <mergeCell ref="AL216:AM216"/>
    <mergeCell ref="AN216:AO216"/>
    <mergeCell ref="A201:A202"/>
    <mergeCell ref="B201:B202"/>
    <mergeCell ref="C201:C202"/>
    <mergeCell ref="D201:D202"/>
    <mergeCell ref="E201:E202"/>
    <mergeCell ref="A199:A200"/>
    <mergeCell ref="B199:B200"/>
    <mergeCell ref="C199:C200"/>
    <mergeCell ref="D199:D200"/>
    <mergeCell ref="E199:E200"/>
    <mergeCell ref="F201:F202"/>
    <mergeCell ref="G201:G202"/>
    <mergeCell ref="H201:H202"/>
    <mergeCell ref="M199:M200"/>
    <mergeCell ref="F199:F200"/>
    <mergeCell ref="A203:G204"/>
    <mergeCell ref="H203:H204"/>
    <mergeCell ref="I203:I204"/>
    <mergeCell ref="J203:J204"/>
    <mergeCell ref="J201:J202"/>
    <mergeCell ref="M201:M202"/>
    <mergeCell ref="E182:E183"/>
    <mergeCell ref="A180:A181"/>
    <mergeCell ref="B180:B181"/>
    <mergeCell ref="C180:C181"/>
    <mergeCell ref="A166:G167"/>
    <mergeCell ref="H166:H167"/>
    <mergeCell ref="I166:I167"/>
    <mergeCell ref="J166:J167"/>
    <mergeCell ref="M170:M171"/>
    <mergeCell ref="M174:M175"/>
    <mergeCell ref="A176:A177"/>
    <mergeCell ref="B176:B177"/>
    <mergeCell ref="C176:C177"/>
    <mergeCell ref="D176:D177"/>
    <mergeCell ref="E176:E177"/>
    <mergeCell ref="F176:F177"/>
    <mergeCell ref="M176:M177"/>
    <mergeCell ref="M172:M173"/>
    <mergeCell ref="A174:A175"/>
    <mergeCell ref="D170:D171"/>
    <mergeCell ref="E170:E171"/>
    <mergeCell ref="F170:F171"/>
    <mergeCell ref="I172:I173"/>
    <mergeCell ref="J172:J173"/>
    <mergeCell ref="H176:H177"/>
    <mergeCell ref="I176:I177"/>
    <mergeCell ref="J176:J177"/>
    <mergeCell ref="N170:Z170"/>
    <mergeCell ref="A172:A173"/>
    <mergeCell ref="B172:B173"/>
    <mergeCell ref="C172:C173"/>
    <mergeCell ref="D172:D173"/>
    <mergeCell ref="E172:E173"/>
    <mergeCell ref="F172:F173"/>
    <mergeCell ref="G172:G173"/>
    <mergeCell ref="H172:H173"/>
    <mergeCell ref="G170:G171"/>
    <mergeCell ref="H170:H171"/>
    <mergeCell ref="I170:I171"/>
    <mergeCell ref="J170:J171"/>
    <mergeCell ref="K170:K171"/>
    <mergeCell ref="L170:L171"/>
    <mergeCell ref="A170:A171"/>
    <mergeCell ref="M46:M47"/>
    <mergeCell ref="A48:A49"/>
    <mergeCell ref="B48:B49"/>
    <mergeCell ref="C48:C49"/>
    <mergeCell ref="D48:D49"/>
    <mergeCell ref="E48:E49"/>
    <mergeCell ref="L48:L49"/>
    <mergeCell ref="M48:M49"/>
    <mergeCell ref="I48:I49"/>
    <mergeCell ref="J48:J49"/>
    <mergeCell ref="K48:K49"/>
    <mergeCell ref="A46:A47"/>
    <mergeCell ref="B46:B47"/>
    <mergeCell ref="C46:C47"/>
    <mergeCell ref="D46:D47"/>
    <mergeCell ref="E46:E47"/>
    <mergeCell ref="F46:F47"/>
    <mergeCell ref="G46:G47"/>
    <mergeCell ref="H46:H47"/>
    <mergeCell ref="F48:F49"/>
    <mergeCell ref="G48:G49"/>
    <mergeCell ref="H48:H49"/>
    <mergeCell ref="I46:I47"/>
    <mergeCell ref="J46:J47"/>
    <mergeCell ref="K46:K47"/>
    <mergeCell ref="L46:L47"/>
    <mergeCell ref="F44:F45"/>
    <mergeCell ref="G44:G45"/>
    <mergeCell ref="H44:H45"/>
    <mergeCell ref="M42:M43"/>
    <mergeCell ref="A44:A45"/>
    <mergeCell ref="B44:B45"/>
    <mergeCell ref="C44:C45"/>
    <mergeCell ref="D44:D45"/>
    <mergeCell ref="E44:E45"/>
    <mergeCell ref="L44:L45"/>
    <mergeCell ref="M44:M45"/>
    <mergeCell ref="I44:I45"/>
    <mergeCell ref="J44:J45"/>
    <mergeCell ref="K44:K45"/>
    <mergeCell ref="A42:A43"/>
    <mergeCell ref="B42:B43"/>
    <mergeCell ref="C42:C43"/>
    <mergeCell ref="D42:D43"/>
    <mergeCell ref="E42:E43"/>
    <mergeCell ref="F42:F43"/>
    <mergeCell ref="G42:G43"/>
    <mergeCell ref="H42:H43"/>
    <mergeCell ref="I42:I43"/>
    <mergeCell ref="J42:J43"/>
    <mergeCell ref="K42:K43"/>
    <mergeCell ref="L42:L43"/>
    <mergeCell ref="A40:A41"/>
    <mergeCell ref="B40:B41"/>
    <mergeCell ref="C40:C41"/>
    <mergeCell ref="D40:D41"/>
    <mergeCell ref="E40:E41"/>
    <mergeCell ref="L40:L41"/>
    <mergeCell ref="M40:M41"/>
    <mergeCell ref="I40:I41"/>
    <mergeCell ref="J40:J41"/>
    <mergeCell ref="K40:K41"/>
    <mergeCell ref="F40:F41"/>
    <mergeCell ref="G40:G41"/>
    <mergeCell ref="H40:H41"/>
    <mergeCell ref="M34:M35"/>
    <mergeCell ref="M38:M39"/>
    <mergeCell ref="A36:A37"/>
    <mergeCell ref="B36:B37"/>
    <mergeCell ref="C36:C37"/>
    <mergeCell ref="D36:D37"/>
    <mergeCell ref="E36:E37"/>
    <mergeCell ref="L36:L37"/>
    <mergeCell ref="M36:M37"/>
    <mergeCell ref="I36:I37"/>
    <mergeCell ref="J36:J37"/>
    <mergeCell ref="K36:K37"/>
    <mergeCell ref="A34:A35"/>
    <mergeCell ref="B34:B35"/>
    <mergeCell ref="C34:C35"/>
    <mergeCell ref="D34:D35"/>
    <mergeCell ref="E34:E35"/>
    <mergeCell ref="M30:M31"/>
    <mergeCell ref="A32:A33"/>
    <mergeCell ref="B32:B33"/>
    <mergeCell ref="C32:C33"/>
    <mergeCell ref="D32:D33"/>
    <mergeCell ref="E32:E33"/>
    <mergeCell ref="L32:L33"/>
    <mergeCell ref="M32:M33"/>
    <mergeCell ref="I32:I33"/>
    <mergeCell ref="J32:J33"/>
    <mergeCell ref="K32:K33"/>
    <mergeCell ref="A30:A31"/>
    <mergeCell ref="B30:B31"/>
    <mergeCell ref="C30:C31"/>
    <mergeCell ref="D30:D31"/>
    <mergeCell ref="E30:E31"/>
    <mergeCell ref="F30:F31"/>
    <mergeCell ref="G30:G31"/>
    <mergeCell ref="H30:H31"/>
    <mergeCell ref="I30:I31"/>
    <mergeCell ref="J30:J31"/>
    <mergeCell ref="K30:K31"/>
    <mergeCell ref="L30:L31"/>
    <mergeCell ref="L24:L25"/>
    <mergeCell ref="G26:G27"/>
    <mergeCell ref="H26:H27"/>
    <mergeCell ref="F28:F29"/>
    <mergeCell ref="G28:G29"/>
    <mergeCell ref="H28:H29"/>
    <mergeCell ref="I26:I27"/>
    <mergeCell ref="J26:J27"/>
    <mergeCell ref="K26:K27"/>
    <mergeCell ref="L26:L27"/>
    <mergeCell ref="F34:F35"/>
    <mergeCell ref="I38:I39"/>
    <mergeCell ref="J38:J39"/>
    <mergeCell ref="K38:K39"/>
    <mergeCell ref="L38:L39"/>
    <mergeCell ref="F36:F37"/>
    <mergeCell ref="G36:G37"/>
    <mergeCell ref="H36:H37"/>
    <mergeCell ref="I34:I35"/>
    <mergeCell ref="J34:J35"/>
    <mergeCell ref="K34:K35"/>
    <mergeCell ref="L34:L35"/>
    <mergeCell ref="F38:F39"/>
    <mergeCell ref="G38:G39"/>
    <mergeCell ref="H38:H39"/>
    <mergeCell ref="G34:G35"/>
    <mergeCell ref="H34:H35"/>
    <mergeCell ref="M26:M27"/>
    <mergeCell ref="A28:A29"/>
    <mergeCell ref="B28:B29"/>
    <mergeCell ref="C28:C29"/>
    <mergeCell ref="D28:D29"/>
    <mergeCell ref="E28:E29"/>
    <mergeCell ref="L28:L29"/>
    <mergeCell ref="M28:M29"/>
    <mergeCell ref="I28:I29"/>
    <mergeCell ref="J28:J29"/>
    <mergeCell ref="K28:K29"/>
    <mergeCell ref="A26:A27"/>
    <mergeCell ref="B26:B27"/>
    <mergeCell ref="C26:C27"/>
    <mergeCell ref="D26:D27"/>
    <mergeCell ref="E26:E27"/>
    <mergeCell ref="F26:F27"/>
    <mergeCell ref="L12:L13"/>
    <mergeCell ref="L20:L21"/>
    <mergeCell ref="I20:I21"/>
    <mergeCell ref="J20:J21"/>
    <mergeCell ref="K20:K21"/>
    <mergeCell ref="A18:A19"/>
    <mergeCell ref="B18:B19"/>
    <mergeCell ref="F18:F19"/>
    <mergeCell ref="G18:G19"/>
    <mergeCell ref="A14:A15"/>
    <mergeCell ref="B14:B15"/>
    <mergeCell ref="F14:F15"/>
    <mergeCell ref="A8:A9"/>
    <mergeCell ref="B8:B9"/>
    <mergeCell ref="C8:C9"/>
    <mergeCell ref="D8:D9"/>
    <mergeCell ref="E8:E9"/>
    <mergeCell ref="L16:L17"/>
    <mergeCell ref="L14:L15"/>
    <mergeCell ref="A20:A21"/>
    <mergeCell ref="B20:B21"/>
    <mergeCell ref="C20:C21"/>
    <mergeCell ref="D20:D21"/>
    <mergeCell ref="E20:E21"/>
    <mergeCell ref="D10:D11"/>
    <mergeCell ref="D12:D13"/>
    <mergeCell ref="C10:C11"/>
    <mergeCell ref="C12:C13"/>
    <mergeCell ref="C16:C17"/>
    <mergeCell ref="C14:C15"/>
    <mergeCell ref="C18:C19"/>
    <mergeCell ref="L8:L9"/>
    <mergeCell ref="A197:A198"/>
    <mergeCell ref="B197:B198"/>
    <mergeCell ref="C197:C198"/>
    <mergeCell ref="D197:D198"/>
    <mergeCell ref="E197:E198"/>
    <mergeCell ref="F197:F198"/>
    <mergeCell ref="G197:G198"/>
    <mergeCell ref="H197:H198"/>
    <mergeCell ref="I197:I198"/>
    <mergeCell ref="E54:E55"/>
    <mergeCell ref="F54:F55"/>
    <mergeCell ref="G54:G55"/>
    <mergeCell ref="K8:K9"/>
    <mergeCell ref="F8:F9"/>
    <mergeCell ref="G8:G9"/>
    <mergeCell ref="J16:J17"/>
    <mergeCell ref="K16:K17"/>
    <mergeCell ref="K14:K15"/>
    <mergeCell ref="I12:I13"/>
    <mergeCell ref="J12:J13"/>
    <mergeCell ref="K12:K13"/>
    <mergeCell ref="A10:A11"/>
    <mergeCell ref="B10:B11"/>
    <mergeCell ref="F10:F11"/>
    <mergeCell ref="G10:G11"/>
    <mergeCell ref="H10:H11"/>
    <mergeCell ref="G12:G13"/>
    <mergeCell ref="A22:A23"/>
    <mergeCell ref="A24:A25"/>
    <mergeCell ref="B24:B25"/>
    <mergeCell ref="C24:C25"/>
    <mergeCell ref="D24:D25"/>
    <mergeCell ref="E52:E53"/>
    <mergeCell ref="F52:F53"/>
    <mergeCell ref="G52:G53"/>
    <mergeCell ref="H8:H9"/>
    <mergeCell ref="H14:H15"/>
    <mergeCell ref="H18:H19"/>
    <mergeCell ref="F16:F17"/>
    <mergeCell ref="G16:G17"/>
    <mergeCell ref="H16:H17"/>
    <mergeCell ref="F20:F21"/>
    <mergeCell ref="G20:G21"/>
    <mergeCell ref="H20:H21"/>
    <mergeCell ref="I18:I19"/>
    <mergeCell ref="I16:I17"/>
    <mergeCell ref="I24:I25"/>
    <mergeCell ref="A12:A13"/>
    <mergeCell ref="B12:B13"/>
    <mergeCell ref="G14:G15"/>
    <mergeCell ref="A16:A17"/>
    <mergeCell ref="B16:B17"/>
    <mergeCell ref="I14:I15"/>
    <mergeCell ref="B22:B23"/>
    <mergeCell ref="C22:C23"/>
    <mergeCell ref="D22:D23"/>
    <mergeCell ref="E22:E23"/>
    <mergeCell ref="F22:F23"/>
    <mergeCell ref="E24:E25"/>
    <mergeCell ref="A38:A39"/>
    <mergeCell ref="B38:B39"/>
    <mergeCell ref="C38:C39"/>
    <mergeCell ref="D38:D39"/>
    <mergeCell ref="E38:E39"/>
    <mergeCell ref="M197:M198"/>
    <mergeCell ref="F12:F13"/>
    <mergeCell ref="H12:H13"/>
    <mergeCell ref="I10:I11"/>
    <mergeCell ref="J10:J11"/>
    <mergeCell ref="K10:K11"/>
    <mergeCell ref="L10:L11"/>
    <mergeCell ref="M10:M11"/>
    <mergeCell ref="J197:J198"/>
    <mergeCell ref="M24:M25"/>
    <mergeCell ref="J24:J25"/>
    <mergeCell ref="K24:K25"/>
    <mergeCell ref="I22:I23"/>
    <mergeCell ref="L18:L19"/>
    <mergeCell ref="M18:M19"/>
    <mergeCell ref="K22:K23"/>
    <mergeCell ref="L22:L23"/>
    <mergeCell ref="M22:M23"/>
    <mergeCell ref="M14:M15"/>
    <mergeCell ref="J18:J19"/>
    <mergeCell ref="K18:K19"/>
    <mergeCell ref="J22:J23"/>
    <mergeCell ref="J14:J15"/>
    <mergeCell ref="M12:M13"/>
    <mergeCell ref="G22:G23"/>
    <mergeCell ref="H22:H23"/>
    <mergeCell ref="F24:F25"/>
    <mergeCell ref="G24:G25"/>
    <mergeCell ref="H24:H25"/>
    <mergeCell ref="F32:F33"/>
    <mergeCell ref="G32:G33"/>
    <mergeCell ref="H32:H33"/>
    <mergeCell ref="M8:M9"/>
    <mergeCell ref="I8:I9"/>
    <mergeCell ref="J8:J9"/>
    <mergeCell ref="M4:M5"/>
    <mergeCell ref="I6:I7"/>
    <mergeCell ref="N4:Z4"/>
    <mergeCell ref="A6:A7"/>
    <mergeCell ref="B6:B7"/>
    <mergeCell ref="C6:C7"/>
    <mergeCell ref="D6:D7"/>
    <mergeCell ref="E6:E7"/>
    <mergeCell ref="F6:F7"/>
    <mergeCell ref="G6:G7"/>
    <mergeCell ref="H6:H7"/>
    <mergeCell ref="G4:G5"/>
    <mergeCell ref="H4:H5"/>
    <mergeCell ref="I4:I5"/>
    <mergeCell ref="J4:J5"/>
    <mergeCell ref="K4:K5"/>
    <mergeCell ref="L4:L5"/>
    <mergeCell ref="A4:A5"/>
    <mergeCell ref="B4:B5"/>
    <mergeCell ref="C4:C5"/>
    <mergeCell ref="D4:D5"/>
    <mergeCell ref="E4:E5"/>
    <mergeCell ref="F4:F5"/>
    <mergeCell ref="K6:K7"/>
    <mergeCell ref="L6:L7"/>
    <mergeCell ref="M6:M7"/>
    <mergeCell ref="J6:J7"/>
  </mergeCells>
  <phoneticPr fontId="2"/>
  <dataValidations count="2">
    <dataValidation type="list" allowBlank="1" showInputMessage="1" showErrorMessage="1" sqref="B172:B183 B193:B202 B6:B165" xr:uid="{00000000-0002-0000-0100-000000000000}">
      <formula1>Status</formula1>
    </dataValidation>
    <dataValidation type="list" allowBlank="1" showInputMessage="1" showErrorMessage="1" sqref="C172:C183 C193:C202 C6:C14 C16:C18 C20:C165" xr:uid="{00000000-0002-0000-0100-000001000000}">
      <formula1>Division</formula1>
    </dataValidation>
  </dataValidations>
  <hyperlinks>
    <hyperlink ref="G201:G202" location="休暇!A1" display="休暇" xr:uid="{00000000-0004-0000-0100-000000000000}"/>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DI284"/>
  <sheetViews>
    <sheetView showGridLines="0" zoomScale="85" zoomScaleNormal="85" workbookViewId="0">
      <pane xSplit="13" ySplit="6" topLeftCell="N7" activePane="bottomRight" state="frozen"/>
      <selection pane="topRight" activeCell="N1" sqref="N1"/>
      <selection pane="bottomLeft" activeCell="A7" sqref="A7"/>
      <selection pane="bottomRight"/>
    </sheetView>
  </sheetViews>
  <sheetFormatPr defaultColWidth="9" defaultRowHeight="20.100000000000001" customHeight="1" outlineLevelRow="1" outlineLevelCol="2" x14ac:dyDescent="0.4"/>
  <cols>
    <col min="1" max="1" width="4.625" style="1" customWidth="1"/>
    <col min="2" max="3" width="8.5" style="1" customWidth="1" outlineLevel="2"/>
    <col min="4" max="4" width="10.625" style="1" customWidth="1" outlineLevel="2"/>
    <col min="5" max="5" width="11.625" style="1" customWidth="1"/>
    <col min="6" max="6" width="11.625" style="1" customWidth="1" outlineLevel="1"/>
    <col min="7" max="7" width="58.875" style="9" customWidth="1" outlineLevel="1"/>
    <col min="8" max="9" width="6.75" style="1" customWidth="1"/>
    <col min="10" max="10" width="8.125" style="1" hidden="1" customWidth="1" outlineLevel="1"/>
    <col min="11" max="11" width="9.625" style="1" hidden="1" customWidth="1" outlineLevel="1"/>
    <col min="12" max="12" width="8.125" style="1" hidden="1" customWidth="1" outlineLevel="1"/>
    <col min="13" max="13" width="18.75" style="1" hidden="1" customWidth="1" collapsed="1"/>
    <col min="14" max="14" width="5.875" style="1" hidden="1" customWidth="1" outlineLevel="1"/>
    <col min="15" max="15" width="7" style="1" hidden="1" customWidth="1" outlineLevel="1"/>
    <col min="16" max="18" width="7.25" style="1" hidden="1" customWidth="1" outlineLevel="1"/>
    <col min="19" max="21" width="7" style="1" hidden="1" customWidth="1" outlineLevel="1"/>
    <col min="22" max="22" width="8.375" style="1" hidden="1" customWidth="1" outlineLevel="1" collapsed="1"/>
    <col min="23" max="23" width="8.375" style="1" hidden="1" customWidth="1" outlineLevel="1"/>
    <col min="24" max="27" width="7" style="1" hidden="1" customWidth="1" outlineLevel="1"/>
    <col min="28" max="28" width="8.375" style="1" hidden="1" customWidth="1" outlineLevel="1" collapsed="1"/>
    <col min="29" max="29" width="8.375" style="1" hidden="1" customWidth="1" outlineLevel="1"/>
    <col min="30" max="33" width="7" style="1" hidden="1" customWidth="1" outlineLevel="1"/>
    <col min="34" max="34" width="7.875" style="1" hidden="1" customWidth="1" outlineLevel="1" collapsed="1"/>
    <col min="35" max="39" width="7.875" style="1" hidden="1" customWidth="1" outlineLevel="1"/>
    <col min="40" max="40" width="8" style="1" hidden="1" customWidth="1" outlineLevel="1" collapsed="1"/>
    <col min="41" max="41" width="8" style="1" hidden="1" customWidth="1" outlineLevel="1"/>
    <col min="42" max="45" width="7" style="1" hidden="1" customWidth="1" outlineLevel="1"/>
    <col min="46" max="46" width="8.375" style="1" hidden="1" customWidth="1" outlineLevel="1" collapsed="1"/>
    <col min="47" max="51" width="7" style="1" hidden="1" customWidth="1" outlineLevel="1"/>
    <col min="52" max="52" width="7" style="1" customWidth="1" collapsed="1"/>
    <col min="53" max="58" width="7" style="1" customWidth="1"/>
    <col min="59" max="66" width="7" style="1" hidden="1" customWidth="1" outlineLevel="1"/>
    <col min="67" max="67" width="7" style="1" hidden="1" customWidth="1" outlineLevel="1" collapsed="1"/>
    <col min="68" max="98" width="7" style="1" hidden="1" customWidth="1" outlineLevel="1"/>
    <col min="99" max="99" width="9" style="1" customWidth="1" collapsed="1"/>
    <col min="100" max="100" width="10.625" style="1" customWidth="1"/>
    <col min="101" max="16384" width="9" style="1"/>
  </cols>
  <sheetData>
    <row r="1" spans="1:102" ht="30" customHeight="1" x14ac:dyDescent="0.4">
      <c r="A1" s="21" t="s">
        <v>36</v>
      </c>
      <c r="B1" s="21"/>
      <c r="C1" s="21"/>
      <c r="D1" s="21"/>
      <c r="E1" s="21"/>
      <c r="F1" s="21"/>
      <c r="G1" s="21"/>
      <c r="H1" s="21"/>
      <c r="I1" s="21"/>
      <c r="J1" s="21"/>
      <c r="K1" s="21"/>
      <c r="L1" s="21"/>
      <c r="M1" s="21"/>
      <c r="N1" s="21"/>
      <c r="P1" s="193" t="s">
        <v>341</v>
      </c>
      <c r="Q1" s="184"/>
      <c r="R1" s="184"/>
      <c r="S1" s="194" t="s">
        <v>353</v>
      </c>
      <c r="U1" s="230"/>
      <c r="V1" s="21"/>
      <c r="W1" s="272" t="s">
        <v>521</v>
      </c>
      <c r="X1" s="184"/>
      <c r="Y1" s="271" t="s">
        <v>353</v>
      </c>
      <c r="AA1" s="277"/>
      <c r="AB1" s="21"/>
      <c r="AC1" s="272" t="s">
        <v>521</v>
      </c>
      <c r="AD1" s="184"/>
      <c r="AE1" s="271" t="s">
        <v>353</v>
      </c>
      <c r="AG1" s="277"/>
      <c r="AH1" s="21"/>
      <c r="AI1" s="272" t="s">
        <v>521</v>
      </c>
      <c r="AJ1" s="184"/>
      <c r="AK1" s="271" t="s">
        <v>353</v>
      </c>
      <c r="AM1" s="277"/>
      <c r="AN1" s="21"/>
      <c r="AO1" s="272" t="s">
        <v>521</v>
      </c>
      <c r="AP1" s="184"/>
      <c r="AQ1" s="271" t="s">
        <v>353</v>
      </c>
      <c r="AS1" s="277"/>
      <c r="AT1" s="21"/>
      <c r="AU1" s="272" t="s">
        <v>521</v>
      </c>
      <c r="AV1" s="184"/>
      <c r="AW1" s="271" t="s">
        <v>353</v>
      </c>
      <c r="AY1" s="277"/>
      <c r="AZ1" s="21"/>
      <c r="BA1" s="272" t="s">
        <v>341</v>
      </c>
      <c r="BB1" s="184"/>
      <c r="BC1" s="271" t="s">
        <v>353</v>
      </c>
      <c r="BE1" s="277"/>
      <c r="BF1" s="21"/>
      <c r="BG1" s="21"/>
      <c r="BH1" s="193" t="s">
        <v>328</v>
      </c>
      <c r="BI1" s="184"/>
      <c r="BJ1" s="184"/>
      <c r="BK1" s="194" t="s">
        <v>340</v>
      </c>
      <c r="BM1" s="185"/>
      <c r="BN1" s="21"/>
      <c r="BO1" s="21"/>
      <c r="BP1" s="193" t="s">
        <v>328</v>
      </c>
      <c r="BQ1" s="184"/>
      <c r="BR1" s="184"/>
      <c r="BS1" s="194" t="s">
        <v>340</v>
      </c>
      <c r="BU1" s="185"/>
      <c r="BV1" s="21"/>
      <c r="BW1" s="21"/>
      <c r="BX1" s="193" t="s">
        <v>328</v>
      </c>
      <c r="BY1" s="184"/>
      <c r="BZ1" s="184"/>
      <c r="CA1" s="194" t="s">
        <v>340</v>
      </c>
      <c r="CC1" s="185"/>
      <c r="CD1" s="21"/>
      <c r="CE1" s="21"/>
      <c r="CF1" s="193" t="s">
        <v>328</v>
      </c>
      <c r="CG1" s="184"/>
      <c r="CH1" s="184"/>
      <c r="CI1" s="194" t="s">
        <v>340</v>
      </c>
      <c r="CK1" s="185"/>
      <c r="CL1" s="21"/>
      <c r="CM1" s="21"/>
      <c r="CN1" s="193" t="s">
        <v>328</v>
      </c>
      <c r="CO1" s="184"/>
      <c r="CP1" s="184"/>
      <c r="CQ1" s="194" t="s">
        <v>340</v>
      </c>
      <c r="CS1" s="185"/>
      <c r="CT1" s="21"/>
      <c r="CU1" s="231"/>
    </row>
    <row r="2" spans="1:102" ht="14.25" customHeight="1" thickBot="1" x14ac:dyDescent="0.45">
      <c r="P2" s="195" t="s">
        <v>352</v>
      </c>
      <c r="Q2" s="186"/>
      <c r="R2" s="186"/>
      <c r="S2" s="186"/>
      <c r="T2" s="186"/>
      <c r="U2" s="232"/>
      <c r="W2" s="273" t="s">
        <v>339</v>
      </c>
      <c r="X2" s="186"/>
      <c r="Y2" s="186"/>
      <c r="Z2" s="186"/>
      <c r="AA2" s="187"/>
      <c r="AC2" s="273" t="s">
        <v>339</v>
      </c>
      <c r="AD2" s="186"/>
      <c r="AE2" s="186"/>
      <c r="AF2" s="186"/>
      <c r="AG2" s="187"/>
      <c r="AI2" s="273" t="s">
        <v>339</v>
      </c>
      <c r="AJ2" s="186"/>
      <c r="AK2" s="186"/>
      <c r="AL2" s="186"/>
      <c r="AM2" s="187"/>
      <c r="AO2" s="273" t="s">
        <v>339</v>
      </c>
      <c r="AP2" s="186"/>
      <c r="AQ2" s="186"/>
      <c r="AR2" s="186"/>
      <c r="AS2" s="187"/>
      <c r="AU2" s="273" t="s">
        <v>339</v>
      </c>
      <c r="AV2" s="186"/>
      <c r="AW2" s="186"/>
      <c r="AX2" s="186"/>
      <c r="AY2" s="187"/>
      <c r="BA2" s="273" t="s">
        <v>352</v>
      </c>
      <c r="BB2" s="186"/>
      <c r="BC2" s="186"/>
      <c r="BD2" s="186"/>
      <c r="BE2" s="187"/>
      <c r="BH2" s="195" t="s">
        <v>339</v>
      </c>
      <c r="BI2" s="186"/>
      <c r="BJ2" s="186"/>
      <c r="BK2" s="186"/>
      <c r="BL2" s="186"/>
      <c r="BM2" s="187"/>
      <c r="BP2" s="195" t="s">
        <v>339</v>
      </c>
      <c r="BQ2" s="186"/>
      <c r="BR2" s="186"/>
      <c r="BS2" s="186"/>
      <c r="BT2" s="186"/>
      <c r="BU2" s="187"/>
      <c r="BX2" s="195" t="s">
        <v>339</v>
      </c>
      <c r="BY2" s="186"/>
      <c r="BZ2" s="186"/>
      <c r="CA2" s="186"/>
      <c r="CB2" s="186"/>
      <c r="CC2" s="187"/>
      <c r="CF2" s="195" t="s">
        <v>339</v>
      </c>
      <c r="CG2" s="186"/>
      <c r="CH2" s="186"/>
      <c r="CI2" s="186"/>
      <c r="CJ2" s="186"/>
      <c r="CK2" s="187"/>
      <c r="CN2" s="195" t="s">
        <v>339</v>
      </c>
      <c r="CO2" s="186"/>
      <c r="CP2" s="186"/>
      <c r="CQ2" s="186"/>
      <c r="CR2" s="186"/>
      <c r="CS2" s="187"/>
      <c r="CU2" s="231"/>
    </row>
    <row r="3" spans="1:102" ht="20.100000000000001" customHeight="1" x14ac:dyDescent="0.4">
      <c r="A3" s="7" t="s">
        <v>17</v>
      </c>
      <c r="U3" s="233"/>
    </row>
    <row r="4" spans="1:102" s="2" customFormat="1" ht="20.100000000000001" customHeight="1" x14ac:dyDescent="0.4">
      <c r="A4" s="483" t="s">
        <v>0</v>
      </c>
      <c r="B4" s="496" t="s">
        <v>86</v>
      </c>
      <c r="C4" s="496" t="s">
        <v>6</v>
      </c>
      <c r="D4" s="496" t="s">
        <v>157</v>
      </c>
      <c r="E4" s="496" t="s">
        <v>2</v>
      </c>
      <c r="F4" s="496" t="s">
        <v>158</v>
      </c>
      <c r="G4" s="492" t="s">
        <v>1</v>
      </c>
      <c r="H4" s="476" t="s">
        <v>164</v>
      </c>
      <c r="I4" s="476" t="s">
        <v>165</v>
      </c>
      <c r="J4" s="476" t="s">
        <v>9</v>
      </c>
      <c r="K4" s="483" t="s">
        <v>7</v>
      </c>
      <c r="L4" s="483" t="s">
        <v>8</v>
      </c>
      <c r="M4" s="483" t="s">
        <v>4</v>
      </c>
      <c r="N4" s="495" t="s">
        <v>5</v>
      </c>
      <c r="O4" s="475"/>
      <c r="P4" s="475"/>
      <c r="Q4" s="475"/>
      <c r="R4" s="475"/>
      <c r="S4" s="475"/>
      <c r="T4" s="475"/>
      <c r="U4" s="475"/>
      <c r="V4" s="475"/>
      <c r="W4" s="475"/>
      <c r="X4" s="475"/>
      <c r="Y4" s="475"/>
      <c r="Z4" s="475"/>
      <c r="AA4" s="475"/>
      <c r="AB4" s="475"/>
      <c r="AC4" s="475"/>
      <c r="AD4" s="475"/>
      <c r="AE4" s="475"/>
      <c r="AF4" s="475"/>
      <c r="AG4" s="475"/>
      <c r="AH4" s="475"/>
      <c r="AI4" s="475"/>
      <c r="AJ4" s="475"/>
      <c r="AK4" s="475"/>
      <c r="AL4" s="475"/>
      <c r="AM4" s="475"/>
      <c r="AN4" s="475"/>
      <c r="AO4" s="475"/>
      <c r="AP4" s="475"/>
      <c r="AQ4" s="475"/>
      <c r="AR4" s="475"/>
      <c r="AS4" s="475"/>
      <c r="AT4" s="475"/>
      <c r="AU4" s="475"/>
      <c r="AV4" s="475"/>
      <c r="AW4" s="475"/>
      <c r="AX4" s="475"/>
      <c r="AY4" s="475"/>
      <c r="AZ4" s="475"/>
      <c r="BA4" s="475"/>
      <c r="BB4" s="475"/>
      <c r="BC4" s="475"/>
      <c r="BD4" s="475"/>
      <c r="BE4" s="475"/>
      <c r="BF4" s="475"/>
      <c r="BG4" s="475"/>
      <c r="BH4" s="475"/>
      <c r="BI4" s="475"/>
      <c r="BJ4" s="475"/>
      <c r="BK4" s="475"/>
      <c r="BL4" s="475"/>
      <c r="BM4" s="475"/>
      <c r="BN4" s="475"/>
      <c r="BO4" s="475"/>
      <c r="BP4" s="475"/>
      <c r="BQ4" s="475"/>
      <c r="BR4" s="475"/>
      <c r="BS4" s="475"/>
      <c r="BT4" s="475"/>
      <c r="BU4" s="475"/>
      <c r="BV4" s="475"/>
      <c r="BW4" s="475"/>
      <c r="BX4" s="475"/>
      <c r="BY4" s="475"/>
      <c r="BZ4" s="475"/>
      <c r="CA4" s="475"/>
      <c r="CB4" s="475"/>
      <c r="CC4" s="475"/>
      <c r="CD4" s="475"/>
      <c r="CE4" s="475"/>
      <c r="CF4" s="475"/>
      <c r="CG4" s="475"/>
      <c r="CH4" s="475"/>
      <c r="CI4" s="475"/>
      <c r="CJ4" s="475"/>
      <c r="CK4" s="475"/>
      <c r="CL4" s="475"/>
      <c r="CM4" s="475"/>
      <c r="CN4" s="475"/>
      <c r="CO4" s="475"/>
      <c r="CP4" s="475"/>
      <c r="CQ4" s="475"/>
      <c r="CR4" s="475"/>
      <c r="CS4" s="475"/>
      <c r="CT4" s="475"/>
      <c r="CU4" s="237"/>
    </row>
    <row r="5" spans="1:102" s="2" customFormat="1" ht="20.100000000000001" customHeight="1" x14ac:dyDescent="0.4">
      <c r="A5" s="484"/>
      <c r="B5" s="496"/>
      <c r="C5" s="496"/>
      <c r="D5" s="496"/>
      <c r="E5" s="496"/>
      <c r="F5" s="496"/>
      <c r="G5" s="493"/>
      <c r="H5" s="477"/>
      <c r="I5" s="477"/>
      <c r="J5" s="477"/>
      <c r="K5" s="484"/>
      <c r="L5" s="484"/>
      <c r="M5" s="484"/>
      <c r="N5" s="495" t="s">
        <v>134</v>
      </c>
      <c r="O5" s="475"/>
      <c r="P5" s="475"/>
      <c r="Q5" s="475"/>
      <c r="R5" s="475"/>
      <c r="S5" s="475"/>
      <c r="T5" s="475"/>
      <c r="U5" s="475"/>
      <c r="V5" s="474" t="s">
        <v>135</v>
      </c>
      <c r="W5" s="475"/>
      <c r="X5" s="475"/>
      <c r="Y5" s="475"/>
      <c r="Z5" s="475"/>
      <c r="AA5" s="475"/>
      <c r="AB5" s="474" t="s">
        <v>137</v>
      </c>
      <c r="AC5" s="475"/>
      <c r="AD5" s="475"/>
      <c r="AE5" s="475"/>
      <c r="AF5" s="475"/>
      <c r="AG5" s="475"/>
      <c r="AH5" s="474" t="s">
        <v>138</v>
      </c>
      <c r="AI5" s="475"/>
      <c r="AJ5" s="475"/>
      <c r="AK5" s="475"/>
      <c r="AL5" s="475"/>
      <c r="AM5" s="475"/>
      <c r="AN5" s="474" t="s">
        <v>139</v>
      </c>
      <c r="AO5" s="475"/>
      <c r="AP5" s="475"/>
      <c r="AQ5" s="475"/>
      <c r="AR5" s="475"/>
      <c r="AS5" s="475"/>
      <c r="AT5" s="474" t="s">
        <v>140</v>
      </c>
      <c r="AU5" s="475"/>
      <c r="AV5" s="475"/>
      <c r="AW5" s="475"/>
      <c r="AX5" s="475"/>
      <c r="AY5" s="475"/>
      <c r="AZ5" s="474" t="s">
        <v>141</v>
      </c>
      <c r="BA5" s="475"/>
      <c r="BB5" s="475"/>
      <c r="BC5" s="475"/>
      <c r="BD5" s="475"/>
      <c r="BE5" s="475"/>
      <c r="BF5" s="475"/>
      <c r="BG5" s="474" t="s">
        <v>142</v>
      </c>
      <c r="BH5" s="475"/>
      <c r="BI5" s="475"/>
      <c r="BJ5" s="475"/>
      <c r="BK5" s="475"/>
      <c r="BL5" s="475"/>
      <c r="BM5" s="475"/>
      <c r="BN5" s="475"/>
      <c r="BO5" s="474" t="s">
        <v>143</v>
      </c>
      <c r="BP5" s="475"/>
      <c r="BQ5" s="475"/>
      <c r="BR5" s="475"/>
      <c r="BS5" s="475"/>
      <c r="BT5" s="475"/>
      <c r="BU5" s="475"/>
      <c r="BV5" s="475"/>
      <c r="BW5" s="474" t="s">
        <v>144</v>
      </c>
      <c r="BX5" s="475"/>
      <c r="BY5" s="475"/>
      <c r="BZ5" s="475"/>
      <c r="CA5" s="475"/>
      <c r="CB5" s="475"/>
      <c r="CC5" s="475"/>
      <c r="CD5" s="475"/>
      <c r="CE5" s="474" t="s">
        <v>30</v>
      </c>
      <c r="CF5" s="475"/>
      <c r="CG5" s="475"/>
      <c r="CH5" s="475"/>
      <c r="CI5" s="475"/>
      <c r="CJ5" s="475"/>
      <c r="CK5" s="475"/>
      <c r="CL5" s="475"/>
      <c r="CM5" s="474" t="s">
        <v>145</v>
      </c>
      <c r="CN5" s="475"/>
      <c r="CO5" s="475"/>
      <c r="CP5" s="475"/>
      <c r="CQ5" s="475"/>
      <c r="CR5" s="475"/>
      <c r="CS5" s="475"/>
      <c r="CT5" s="475"/>
      <c r="CU5" s="237"/>
    </row>
    <row r="6" spans="1:102" s="2" customFormat="1" ht="20.100000000000001" customHeight="1" x14ac:dyDescent="0.4">
      <c r="A6" s="485"/>
      <c r="B6" s="496"/>
      <c r="C6" s="496"/>
      <c r="D6" s="496"/>
      <c r="E6" s="496"/>
      <c r="F6" s="496"/>
      <c r="G6" s="494"/>
      <c r="H6" s="478"/>
      <c r="I6" s="478"/>
      <c r="J6" s="478"/>
      <c r="K6" s="485"/>
      <c r="L6" s="485"/>
      <c r="M6" s="485"/>
      <c r="N6" s="5"/>
      <c r="O6" s="5" t="s">
        <v>172</v>
      </c>
      <c r="P6" s="5" t="s">
        <v>408</v>
      </c>
      <c r="Q6" s="5" t="s">
        <v>170</v>
      </c>
      <c r="R6" s="16" t="s">
        <v>409</v>
      </c>
      <c r="S6" s="16" t="s">
        <v>410</v>
      </c>
      <c r="T6" s="16" t="s">
        <v>411</v>
      </c>
      <c r="U6" s="16" t="s">
        <v>412</v>
      </c>
      <c r="V6" s="5" t="s">
        <v>172</v>
      </c>
      <c r="W6" s="5" t="s">
        <v>408</v>
      </c>
      <c r="X6" s="5" t="s">
        <v>170</v>
      </c>
      <c r="Y6" s="16" t="s">
        <v>410</v>
      </c>
      <c r="Z6" s="16" t="s">
        <v>411</v>
      </c>
      <c r="AA6" s="16" t="s">
        <v>412</v>
      </c>
      <c r="AB6" s="181" t="s">
        <v>162</v>
      </c>
      <c r="AC6" s="5" t="s">
        <v>408</v>
      </c>
      <c r="AD6" s="5" t="s">
        <v>170</v>
      </c>
      <c r="AE6" s="16" t="s">
        <v>410</v>
      </c>
      <c r="AF6" s="16" t="s">
        <v>411</v>
      </c>
      <c r="AG6" s="16" t="s">
        <v>412</v>
      </c>
      <c r="AH6" s="181" t="s">
        <v>162</v>
      </c>
      <c r="AI6" s="5" t="s">
        <v>408</v>
      </c>
      <c r="AJ6" s="5" t="s">
        <v>170</v>
      </c>
      <c r="AK6" s="16" t="s">
        <v>410</v>
      </c>
      <c r="AL6" s="16" t="s">
        <v>411</v>
      </c>
      <c r="AM6" s="16" t="s">
        <v>412</v>
      </c>
      <c r="AN6" s="181" t="s">
        <v>162</v>
      </c>
      <c r="AO6" s="5" t="s">
        <v>408</v>
      </c>
      <c r="AP6" s="5" t="s">
        <v>170</v>
      </c>
      <c r="AQ6" s="16" t="s">
        <v>410</v>
      </c>
      <c r="AR6" s="16" t="s">
        <v>411</v>
      </c>
      <c r="AS6" s="16" t="s">
        <v>412</v>
      </c>
      <c r="AT6" s="181" t="s">
        <v>162</v>
      </c>
      <c r="AU6" s="5" t="s">
        <v>408</v>
      </c>
      <c r="AV6" s="5" t="s">
        <v>170</v>
      </c>
      <c r="AW6" s="16" t="s">
        <v>410</v>
      </c>
      <c r="AX6" s="16" t="s">
        <v>411</v>
      </c>
      <c r="AY6" s="16" t="s">
        <v>412</v>
      </c>
      <c r="AZ6" s="181" t="s">
        <v>162</v>
      </c>
      <c r="BA6" s="5" t="s">
        <v>408</v>
      </c>
      <c r="BB6" s="5" t="s">
        <v>170</v>
      </c>
      <c r="BC6" s="16" t="s">
        <v>410</v>
      </c>
      <c r="BD6" s="16" t="s">
        <v>411</v>
      </c>
      <c r="BE6" s="16" t="s">
        <v>412</v>
      </c>
      <c r="BF6" s="70" t="s">
        <v>928</v>
      </c>
      <c r="BG6" s="181" t="s">
        <v>172</v>
      </c>
      <c r="BH6" s="5" t="s">
        <v>167</v>
      </c>
      <c r="BI6" s="5" t="s">
        <v>168</v>
      </c>
      <c r="BJ6" s="16" t="s">
        <v>169</v>
      </c>
      <c r="BK6" s="16" t="s">
        <v>170</v>
      </c>
      <c r="BL6" s="16" t="s">
        <v>163</v>
      </c>
      <c r="BM6" s="16" t="s">
        <v>331</v>
      </c>
      <c r="BN6" s="70" t="s">
        <v>345</v>
      </c>
      <c r="BO6" s="69" t="s">
        <v>172</v>
      </c>
      <c r="BP6" s="5" t="s">
        <v>167</v>
      </c>
      <c r="BQ6" s="5" t="s">
        <v>168</v>
      </c>
      <c r="BR6" s="16" t="s">
        <v>169</v>
      </c>
      <c r="BS6" s="16" t="s">
        <v>170</v>
      </c>
      <c r="BT6" s="16" t="s">
        <v>163</v>
      </c>
      <c r="BU6" s="16" t="s">
        <v>331</v>
      </c>
      <c r="BV6" s="70" t="s">
        <v>345</v>
      </c>
      <c r="BW6" s="69" t="s">
        <v>172</v>
      </c>
      <c r="BX6" s="5" t="s">
        <v>167</v>
      </c>
      <c r="BY6" s="5" t="s">
        <v>168</v>
      </c>
      <c r="BZ6" s="16" t="s">
        <v>169</v>
      </c>
      <c r="CA6" s="16" t="s">
        <v>170</v>
      </c>
      <c r="CB6" s="16" t="s">
        <v>163</v>
      </c>
      <c r="CC6" s="16" t="s">
        <v>331</v>
      </c>
      <c r="CD6" s="70" t="s">
        <v>345</v>
      </c>
      <c r="CE6" s="69" t="s">
        <v>172</v>
      </c>
      <c r="CF6" s="5" t="s">
        <v>167</v>
      </c>
      <c r="CG6" s="5" t="s">
        <v>168</v>
      </c>
      <c r="CH6" s="16" t="s">
        <v>169</v>
      </c>
      <c r="CI6" s="16" t="s">
        <v>170</v>
      </c>
      <c r="CJ6" s="16" t="s">
        <v>163</v>
      </c>
      <c r="CK6" s="16" t="s">
        <v>331</v>
      </c>
      <c r="CL6" s="70" t="s">
        <v>345</v>
      </c>
      <c r="CM6" s="69" t="s">
        <v>172</v>
      </c>
      <c r="CN6" s="5" t="s">
        <v>167</v>
      </c>
      <c r="CO6" s="5" t="s">
        <v>168</v>
      </c>
      <c r="CP6" s="16" t="s">
        <v>169</v>
      </c>
      <c r="CQ6" s="16" t="s">
        <v>170</v>
      </c>
      <c r="CR6" s="16" t="s">
        <v>163</v>
      </c>
      <c r="CS6" s="16" t="s">
        <v>331</v>
      </c>
      <c r="CT6" s="16" t="s">
        <v>345</v>
      </c>
      <c r="CU6" s="237"/>
    </row>
    <row r="7" spans="1:102" ht="26.25" customHeight="1" x14ac:dyDescent="0.4">
      <c r="A7" s="350">
        <v>1</v>
      </c>
      <c r="B7" s="350" t="s">
        <v>46</v>
      </c>
      <c r="C7" s="350" t="s">
        <v>14</v>
      </c>
      <c r="D7" s="352" t="s">
        <v>419</v>
      </c>
      <c r="E7" s="352" t="s">
        <v>416</v>
      </c>
      <c r="F7" s="352" t="s">
        <v>417</v>
      </c>
      <c r="G7" s="490" t="s">
        <v>418</v>
      </c>
      <c r="H7" s="446">
        <f>SUM(AZ7:BF7)</f>
        <v>0.33333333333333331</v>
      </c>
      <c r="I7" s="446">
        <f>SUM(AZ8:BF8)</f>
        <v>0.06</v>
      </c>
      <c r="J7" s="12"/>
      <c r="K7" s="13"/>
      <c r="L7" s="13"/>
      <c r="M7" s="488"/>
      <c r="N7" s="17" t="s">
        <v>88</v>
      </c>
      <c r="O7" s="10">
        <f t="shared" ref="O7:U24" si="0">(0)/120</f>
        <v>0</v>
      </c>
      <c r="P7" s="10">
        <f>(0)/120</f>
        <v>0</v>
      </c>
      <c r="Q7" s="10">
        <f>(15)/120</f>
        <v>0.125</v>
      </c>
      <c r="R7" s="10">
        <f>(12.5)/120</f>
        <v>0.10416666666666667</v>
      </c>
      <c r="S7" s="10">
        <f>(12.5)/120</f>
        <v>0.10416666666666667</v>
      </c>
      <c r="T7" s="10">
        <f>(15)/120</f>
        <v>0.125</v>
      </c>
      <c r="U7" s="79">
        <f t="shared" ref="Q7:U21" si="1">(0)/120</f>
        <v>0</v>
      </c>
      <c r="V7" s="19">
        <f t="shared" ref="V7:AA16" si="2">(0)/142.5</f>
        <v>0</v>
      </c>
      <c r="W7" s="10">
        <f t="shared" si="2"/>
        <v>0</v>
      </c>
      <c r="X7" s="10">
        <f>(10)/142.5</f>
        <v>7.0175438596491224E-2</v>
      </c>
      <c r="Y7" s="10">
        <f t="shared" si="2"/>
        <v>0</v>
      </c>
      <c r="Z7" s="10">
        <f>(10)/142.5</f>
        <v>7.0175438596491224E-2</v>
      </c>
      <c r="AA7" s="10">
        <f>(10)/142.5</f>
        <v>7.0175438596491224E-2</v>
      </c>
      <c r="AB7" s="71">
        <f>(0)/165</f>
        <v>0</v>
      </c>
      <c r="AC7" s="10">
        <f>(0)/165</f>
        <v>0</v>
      </c>
      <c r="AD7" s="10">
        <f>(10)/165</f>
        <v>6.0606060606060608E-2</v>
      </c>
      <c r="AE7" s="10">
        <f>(15)/165</f>
        <v>9.0909090909090912E-2</v>
      </c>
      <c r="AF7" s="10">
        <f>(5)/165</f>
        <v>3.0303030303030304E-2</v>
      </c>
      <c r="AG7" s="10">
        <f>(15)/165</f>
        <v>9.0909090909090912E-2</v>
      </c>
      <c r="AH7" s="71">
        <f t="shared" ref="AH7:AM49" si="3">(0)/165</f>
        <v>0</v>
      </c>
      <c r="AI7" s="10">
        <f t="shared" si="3"/>
        <v>0</v>
      </c>
      <c r="AJ7" s="10">
        <f t="shared" si="3"/>
        <v>0</v>
      </c>
      <c r="AK7" s="10">
        <f>(10)/165</f>
        <v>6.0606060606060608E-2</v>
      </c>
      <c r="AL7" s="10">
        <f>(3)/165</f>
        <v>1.8181818181818181E-2</v>
      </c>
      <c r="AM7" s="10">
        <f>(7)/165</f>
        <v>4.2424242424242427E-2</v>
      </c>
      <c r="AN7" s="71">
        <f t="shared" ref="AN7:AR8" si="4">(0)/157.5</f>
        <v>0</v>
      </c>
      <c r="AO7" s="10">
        <f>(10)/157.5</f>
        <v>6.3492063492063489E-2</v>
      </c>
      <c r="AP7" s="10">
        <f>(20)/157.5</f>
        <v>0.12698412698412698</v>
      </c>
      <c r="AQ7" s="10">
        <f t="shared" si="4"/>
        <v>0</v>
      </c>
      <c r="AR7" s="10">
        <f t="shared" si="4"/>
        <v>0</v>
      </c>
      <c r="AS7" s="10">
        <f>(3)/157.5</f>
        <v>1.9047619047619049E-2</v>
      </c>
      <c r="AT7" s="189">
        <f>(0)/165</f>
        <v>0</v>
      </c>
      <c r="AU7" s="10">
        <f>(10)/165</f>
        <v>6.0606060606060608E-2</v>
      </c>
      <c r="AV7" s="10">
        <f>(11.5)/165</f>
        <v>6.9696969696969702E-2</v>
      </c>
      <c r="AW7" s="10">
        <f>(11.5)/165</f>
        <v>6.9696969696969702E-2</v>
      </c>
      <c r="AX7" s="10">
        <f t="shared" ref="AX7:AY7" si="5">(10)/165</f>
        <v>6.0606060606060608E-2</v>
      </c>
      <c r="AY7" s="10">
        <f t="shared" si="5"/>
        <v>6.0606060606060608E-2</v>
      </c>
      <c r="AZ7" s="19">
        <f>(0)/150</f>
        <v>0</v>
      </c>
      <c r="BA7" s="10">
        <f>(10)/150</f>
        <v>6.6666666666666666E-2</v>
      </c>
      <c r="BB7" s="10">
        <f t="shared" ref="BB7:BE7" si="6">(10)/150</f>
        <v>6.6666666666666666E-2</v>
      </c>
      <c r="BC7" s="10">
        <f t="shared" si="6"/>
        <v>6.6666666666666666E-2</v>
      </c>
      <c r="BD7" s="10">
        <f t="shared" si="6"/>
        <v>6.6666666666666666E-2</v>
      </c>
      <c r="BE7" s="10">
        <f t="shared" si="6"/>
        <v>6.6666666666666666E-2</v>
      </c>
      <c r="BF7" s="10">
        <f t="shared" ref="BB7:BF8" si="7">(0)/150</f>
        <v>0</v>
      </c>
      <c r="BG7" s="19">
        <f t="shared" ref="BG7:BK16" si="8">0/142.5</f>
        <v>0</v>
      </c>
      <c r="BH7" s="10">
        <f t="shared" si="8"/>
        <v>0</v>
      </c>
      <c r="BI7" s="10">
        <f t="shared" si="8"/>
        <v>0</v>
      </c>
      <c r="BJ7" s="10">
        <f t="shared" si="8"/>
        <v>0</v>
      </c>
      <c r="BK7" s="10">
        <f t="shared" si="8"/>
        <v>0</v>
      </c>
      <c r="BL7" s="10">
        <f t="shared" ref="BL7:BN22" si="9">0/172.5</f>
        <v>0</v>
      </c>
      <c r="BM7" s="10">
        <f t="shared" si="9"/>
        <v>0</v>
      </c>
      <c r="BN7" s="17">
        <f>0/172.5</f>
        <v>0</v>
      </c>
      <c r="BO7" s="19">
        <f t="shared" ref="BO7:BW8" si="10">0/157.5</f>
        <v>0</v>
      </c>
      <c r="BP7" s="10">
        <f t="shared" si="10"/>
        <v>0</v>
      </c>
      <c r="BQ7" s="10">
        <f t="shared" si="10"/>
        <v>0</v>
      </c>
      <c r="BR7" s="10">
        <f t="shared" si="10"/>
        <v>0</v>
      </c>
      <c r="BS7" s="10">
        <f t="shared" si="10"/>
        <v>0</v>
      </c>
      <c r="BT7" s="10">
        <f t="shared" ref="BT7:BV22" si="11">0/172.5</f>
        <v>0</v>
      </c>
      <c r="BU7" s="10">
        <f t="shared" si="11"/>
        <v>0</v>
      </c>
      <c r="BV7" s="17">
        <f>0/172.5</f>
        <v>0</v>
      </c>
      <c r="BW7" s="71">
        <f t="shared" si="10"/>
        <v>0</v>
      </c>
      <c r="BX7" s="10">
        <f t="shared" ref="BX7:CA22" si="12">0/157.5</f>
        <v>0</v>
      </c>
      <c r="BY7" s="10">
        <f t="shared" si="12"/>
        <v>0</v>
      </c>
      <c r="BZ7" s="10">
        <f t="shared" si="12"/>
        <v>0</v>
      </c>
      <c r="CA7" s="10">
        <f t="shared" si="12"/>
        <v>0</v>
      </c>
      <c r="CB7" s="10">
        <f t="shared" ref="CB7:CD22" si="13">0/172.5</f>
        <v>0</v>
      </c>
      <c r="CC7" s="10">
        <f t="shared" si="13"/>
        <v>0</v>
      </c>
      <c r="CD7" s="17">
        <f>0/172.5</f>
        <v>0</v>
      </c>
      <c r="CE7" s="19">
        <f t="shared" ref="CE7:CI16" si="14">0/157.5</f>
        <v>0</v>
      </c>
      <c r="CF7" s="10">
        <f t="shared" si="14"/>
        <v>0</v>
      </c>
      <c r="CG7" s="10">
        <f t="shared" si="14"/>
        <v>0</v>
      </c>
      <c r="CH7" s="10">
        <f t="shared" si="14"/>
        <v>0</v>
      </c>
      <c r="CI7" s="10">
        <f t="shared" si="14"/>
        <v>0</v>
      </c>
      <c r="CJ7" s="10">
        <f t="shared" ref="CJ7:CL22" si="15">0/172.5</f>
        <v>0</v>
      </c>
      <c r="CK7" s="10">
        <f t="shared" si="15"/>
        <v>0</v>
      </c>
      <c r="CL7" s="17">
        <f>0/172.5</f>
        <v>0</v>
      </c>
      <c r="CM7" s="19">
        <f t="shared" ref="CM7:CQ16" si="16">0/142.5</f>
        <v>0</v>
      </c>
      <c r="CN7" s="10">
        <f t="shared" si="16"/>
        <v>0</v>
      </c>
      <c r="CO7" s="10">
        <f t="shared" si="16"/>
        <v>0</v>
      </c>
      <c r="CP7" s="10">
        <f t="shared" si="16"/>
        <v>0</v>
      </c>
      <c r="CQ7" s="10">
        <f t="shared" si="16"/>
        <v>0</v>
      </c>
      <c r="CR7" s="10">
        <f t="shared" ref="CR7:CT22" si="17">0/172.5</f>
        <v>0</v>
      </c>
      <c r="CS7" s="10">
        <f t="shared" si="17"/>
        <v>0</v>
      </c>
      <c r="CT7" s="17">
        <f>0/172.5</f>
        <v>0</v>
      </c>
      <c r="CU7" s="235"/>
    </row>
    <row r="8" spans="1:102" ht="26.25" customHeight="1" x14ac:dyDescent="0.4">
      <c r="A8" s="351"/>
      <c r="B8" s="351"/>
      <c r="C8" s="351"/>
      <c r="D8" s="353"/>
      <c r="E8" s="353"/>
      <c r="F8" s="353"/>
      <c r="G8" s="491"/>
      <c r="H8" s="447"/>
      <c r="I8" s="447"/>
      <c r="J8" s="14"/>
      <c r="K8" s="15"/>
      <c r="L8" s="15"/>
      <c r="M8" s="489"/>
      <c r="N8" s="11" t="s">
        <v>89</v>
      </c>
      <c r="O8" s="11">
        <f>(0)/120</f>
        <v>0</v>
      </c>
      <c r="P8" s="11">
        <f>(0)/120</f>
        <v>0</v>
      </c>
      <c r="Q8" s="11">
        <f>(2+4)/120</f>
        <v>0.05</v>
      </c>
      <c r="R8" s="11">
        <f>(0+6+4)/120</f>
        <v>8.3333333333333329E-2</v>
      </c>
      <c r="S8" s="11">
        <f>(0+6)/120</f>
        <v>0.05</v>
      </c>
      <c r="T8" s="11">
        <f>(2+4+7+4)/120</f>
        <v>0.14166666666666666</v>
      </c>
      <c r="U8" s="48">
        <f>(0+10)/120</f>
        <v>8.3333333333333329E-2</v>
      </c>
      <c r="V8" s="56">
        <f t="shared" si="2"/>
        <v>0</v>
      </c>
      <c r="W8" s="11">
        <f t="shared" si="2"/>
        <v>0</v>
      </c>
      <c r="X8" s="11">
        <f>(0+6+4+2+1)/142.5</f>
        <v>9.1228070175438603E-2</v>
      </c>
      <c r="Y8" s="11">
        <f t="shared" ref="Y8:Y32" si="18">(0)/142.5</f>
        <v>0</v>
      </c>
      <c r="Z8" s="11">
        <f>(0+6+2)/142.5</f>
        <v>5.6140350877192984E-2</v>
      </c>
      <c r="AA8" s="11">
        <f>(0+3+2+2)/142.5</f>
        <v>4.912280701754386E-2</v>
      </c>
      <c r="AB8" s="56">
        <f>(0)/165</f>
        <v>0</v>
      </c>
      <c r="AC8" s="11">
        <f>(0+6+4)/165</f>
        <v>6.0606060606060608E-2</v>
      </c>
      <c r="AD8" s="11">
        <f>(0+6+1)/165</f>
        <v>4.2424242424242427E-2</v>
      </c>
      <c r="AE8" s="11">
        <f>(6+4)/165</f>
        <v>6.0606060606060608E-2</v>
      </c>
      <c r="AF8" s="11">
        <f>(0+2.5)/165</f>
        <v>1.5151515151515152E-2</v>
      </c>
      <c r="AG8" s="11">
        <f>(9+2+3)/165</f>
        <v>8.4848484848484854E-2</v>
      </c>
      <c r="AH8" s="56">
        <f t="shared" si="3"/>
        <v>0</v>
      </c>
      <c r="AI8" s="11">
        <f t="shared" si="3"/>
        <v>0</v>
      </c>
      <c r="AJ8" s="11">
        <f t="shared" si="3"/>
        <v>0</v>
      </c>
      <c r="AK8" s="11">
        <f>(1.5+2.5+6)/165</f>
        <v>6.0606060606060608E-2</v>
      </c>
      <c r="AL8" s="11">
        <f>(1.5+1)/165</f>
        <v>1.5151515151515152E-2</v>
      </c>
      <c r="AM8" s="11">
        <f>(3+4)/165</f>
        <v>4.2424242424242427E-2</v>
      </c>
      <c r="AN8" s="56">
        <f t="shared" si="4"/>
        <v>0</v>
      </c>
      <c r="AO8" s="11">
        <f>(6+4)/157.5</f>
        <v>6.3492063492063489E-2</v>
      </c>
      <c r="AP8" s="11">
        <f>(6+2+4+4)/157.5</f>
        <v>0.10158730158730159</v>
      </c>
      <c r="AQ8" s="11">
        <f>(0+2)/157.5</f>
        <v>1.2698412698412698E-2</v>
      </c>
      <c r="AR8" s="11">
        <f>(0+2+2)/157.5</f>
        <v>2.5396825396825397E-2</v>
      </c>
      <c r="AS8" s="11">
        <f>(0+1)/157.5</f>
        <v>6.3492063492063492E-3</v>
      </c>
      <c r="AT8" s="61">
        <f t="shared" ref="AT8" si="19">(0)/165</f>
        <v>0</v>
      </c>
      <c r="AU8" s="58">
        <f>(6+4)/165</f>
        <v>6.0606060606060608E-2</v>
      </c>
      <c r="AV8" s="58">
        <f>(6+4+2)/165</f>
        <v>7.2727272727272724E-2</v>
      </c>
      <c r="AW8" s="58">
        <f>(4+4+4)/165</f>
        <v>7.2727272727272724E-2</v>
      </c>
      <c r="AX8" s="58">
        <f>(0+6)/165</f>
        <v>3.6363636363636362E-2</v>
      </c>
      <c r="AY8" s="58">
        <f>(4+4+1)/165</f>
        <v>5.4545454545454543E-2</v>
      </c>
      <c r="AZ8" s="61">
        <f>(0)/150</f>
        <v>0</v>
      </c>
      <c r="BA8" s="58">
        <f>(0)/150</f>
        <v>0</v>
      </c>
      <c r="BB8" s="58">
        <f t="shared" si="7"/>
        <v>0</v>
      </c>
      <c r="BC8" s="58">
        <f>(4)/150</f>
        <v>2.6666666666666668E-2</v>
      </c>
      <c r="BD8" s="58">
        <f>(5)/150</f>
        <v>3.3333333333333333E-2</v>
      </c>
      <c r="BE8" s="58">
        <f t="shared" si="7"/>
        <v>0</v>
      </c>
      <c r="BF8" s="58">
        <f t="shared" si="7"/>
        <v>0</v>
      </c>
      <c r="BG8" s="61">
        <f t="shared" si="8"/>
        <v>0</v>
      </c>
      <c r="BH8" s="58">
        <f t="shared" si="8"/>
        <v>0</v>
      </c>
      <c r="BI8" s="58">
        <f t="shared" si="8"/>
        <v>0</v>
      </c>
      <c r="BJ8" s="58">
        <f t="shared" si="8"/>
        <v>0</v>
      </c>
      <c r="BK8" s="58">
        <f t="shared" si="8"/>
        <v>0</v>
      </c>
      <c r="BL8" s="58">
        <f>0/172.5</f>
        <v>0</v>
      </c>
      <c r="BM8" s="58">
        <f>0/172.5</f>
        <v>0</v>
      </c>
      <c r="BN8" s="62">
        <f>0/172.5</f>
        <v>0</v>
      </c>
      <c r="BO8" s="61">
        <f t="shared" si="10"/>
        <v>0</v>
      </c>
      <c r="BP8" s="58">
        <f t="shared" si="10"/>
        <v>0</v>
      </c>
      <c r="BQ8" s="58">
        <f t="shared" si="10"/>
        <v>0</v>
      </c>
      <c r="BR8" s="58">
        <f t="shared" si="10"/>
        <v>0</v>
      </c>
      <c r="BS8" s="58">
        <f t="shared" si="10"/>
        <v>0</v>
      </c>
      <c r="BT8" s="58">
        <f>0/172.5</f>
        <v>0</v>
      </c>
      <c r="BU8" s="58">
        <f>0/172.5</f>
        <v>0</v>
      </c>
      <c r="BV8" s="62">
        <f>0/172.5</f>
        <v>0</v>
      </c>
      <c r="BW8" s="61">
        <f t="shared" si="10"/>
        <v>0</v>
      </c>
      <c r="BX8" s="58">
        <f>0/157.5</f>
        <v>0</v>
      </c>
      <c r="BY8" s="58">
        <f t="shared" si="12"/>
        <v>0</v>
      </c>
      <c r="BZ8" s="58">
        <f t="shared" si="12"/>
        <v>0</v>
      </c>
      <c r="CA8" s="58">
        <f t="shared" si="12"/>
        <v>0</v>
      </c>
      <c r="CB8" s="58">
        <f>0/172.5</f>
        <v>0</v>
      </c>
      <c r="CC8" s="58">
        <f>0/172.5</f>
        <v>0</v>
      </c>
      <c r="CD8" s="62">
        <f>0/172.5</f>
        <v>0</v>
      </c>
      <c r="CE8" s="61">
        <f t="shared" si="14"/>
        <v>0</v>
      </c>
      <c r="CF8" s="58">
        <f t="shared" si="14"/>
        <v>0</v>
      </c>
      <c r="CG8" s="58">
        <f t="shared" si="14"/>
        <v>0</v>
      </c>
      <c r="CH8" s="58">
        <f t="shared" si="14"/>
        <v>0</v>
      </c>
      <c r="CI8" s="58">
        <f t="shared" si="14"/>
        <v>0</v>
      </c>
      <c r="CJ8" s="58">
        <f>0/172.5</f>
        <v>0</v>
      </c>
      <c r="CK8" s="58">
        <f>0/172.5</f>
        <v>0</v>
      </c>
      <c r="CL8" s="62">
        <f>0/172.5</f>
        <v>0</v>
      </c>
      <c r="CM8" s="61">
        <f t="shared" si="16"/>
        <v>0</v>
      </c>
      <c r="CN8" s="58">
        <f t="shared" si="16"/>
        <v>0</v>
      </c>
      <c r="CO8" s="58">
        <f t="shared" si="16"/>
        <v>0</v>
      </c>
      <c r="CP8" s="58">
        <f t="shared" si="16"/>
        <v>0</v>
      </c>
      <c r="CQ8" s="58">
        <f t="shared" si="16"/>
        <v>0</v>
      </c>
      <c r="CR8" s="58">
        <f>0/172.5</f>
        <v>0</v>
      </c>
      <c r="CS8" s="58">
        <f>0/172.5</f>
        <v>0</v>
      </c>
      <c r="CT8" s="62">
        <f>0/172.5</f>
        <v>0</v>
      </c>
      <c r="CU8" s="235"/>
    </row>
    <row r="9" spans="1:102" ht="26.25" hidden="1" customHeight="1" outlineLevel="1" x14ac:dyDescent="0.4">
      <c r="A9" s="350">
        <v>2</v>
      </c>
      <c r="B9" s="350" t="s">
        <v>47</v>
      </c>
      <c r="C9" s="350" t="s">
        <v>14</v>
      </c>
      <c r="D9" s="352" t="s">
        <v>420</v>
      </c>
      <c r="E9" s="352" t="s">
        <v>421</v>
      </c>
      <c r="F9" s="352"/>
      <c r="G9" s="490" t="s">
        <v>422</v>
      </c>
      <c r="H9" s="446">
        <f>SUM(V9:AA9)</f>
        <v>0</v>
      </c>
      <c r="I9" s="446">
        <f>SUM(V10:AA10)</f>
        <v>0</v>
      </c>
      <c r="J9" s="12"/>
      <c r="K9" s="13"/>
      <c r="L9" s="13"/>
      <c r="M9" s="479"/>
      <c r="N9" s="10" t="s">
        <v>88</v>
      </c>
      <c r="O9" s="10">
        <f>(2.5)/120</f>
        <v>2.0833333333333332E-2</v>
      </c>
      <c r="P9" s="10">
        <f t="shared" si="0"/>
        <v>0</v>
      </c>
      <c r="Q9" s="10">
        <f>(2.5)/120</f>
        <v>2.0833333333333332E-2</v>
      </c>
      <c r="R9" s="10">
        <f t="shared" si="1"/>
        <v>0</v>
      </c>
      <c r="S9" s="10">
        <f t="shared" si="1"/>
        <v>0</v>
      </c>
      <c r="T9" s="10">
        <f t="shared" si="1"/>
        <v>0</v>
      </c>
      <c r="U9" s="79">
        <f t="shared" si="1"/>
        <v>0</v>
      </c>
      <c r="V9" s="19">
        <f t="shared" si="2"/>
        <v>0</v>
      </c>
      <c r="W9" s="10">
        <f t="shared" si="2"/>
        <v>0</v>
      </c>
      <c r="X9" s="10">
        <f t="shared" ref="X9:X16" si="20">(0)/142.5</f>
        <v>0</v>
      </c>
      <c r="Y9" s="10">
        <f t="shared" si="18"/>
        <v>0</v>
      </c>
      <c r="Z9" s="10">
        <f t="shared" ref="Z9:AA24" si="21">(0)/142.5</f>
        <v>0</v>
      </c>
      <c r="AA9" s="10">
        <f t="shared" si="21"/>
        <v>0</v>
      </c>
      <c r="AB9" s="71">
        <f t="shared" ref="AB9:AB16" si="22">0/165</f>
        <v>0</v>
      </c>
      <c r="AC9" s="10">
        <f t="shared" ref="AC9:AG22" si="23">0/165</f>
        <v>0</v>
      </c>
      <c r="AD9" s="10">
        <f t="shared" si="23"/>
        <v>0</v>
      </c>
      <c r="AE9" s="10">
        <f t="shared" si="23"/>
        <v>0</v>
      </c>
      <c r="AF9" s="10">
        <f t="shared" si="23"/>
        <v>0</v>
      </c>
      <c r="AG9" s="188">
        <f t="shared" si="23"/>
        <v>0</v>
      </c>
      <c r="AH9" s="71">
        <f t="shared" si="3"/>
        <v>0</v>
      </c>
      <c r="AI9" s="10">
        <f t="shared" si="3"/>
        <v>0</v>
      </c>
      <c r="AJ9" s="10">
        <f t="shared" si="3"/>
        <v>0</v>
      </c>
      <c r="AK9" s="10">
        <f t="shared" si="3"/>
        <v>0</v>
      </c>
      <c r="AL9" s="10">
        <f t="shared" si="3"/>
        <v>0</v>
      </c>
      <c r="AM9" s="10">
        <f t="shared" si="3"/>
        <v>0</v>
      </c>
      <c r="AN9" s="71">
        <f t="shared" ref="AN9:AN16" si="24">0/157.5</f>
        <v>0</v>
      </c>
      <c r="AO9" s="10">
        <f t="shared" ref="AO9:AR22" si="25">0/157.5</f>
        <v>0</v>
      </c>
      <c r="AP9" s="10">
        <f t="shared" si="25"/>
        <v>0</v>
      </c>
      <c r="AQ9" s="10">
        <f t="shared" si="25"/>
        <v>0</v>
      </c>
      <c r="AR9" s="10">
        <f t="shared" si="25"/>
        <v>0</v>
      </c>
      <c r="AS9" s="188">
        <f t="shared" ref="AS9:AS22" si="26">0/165</f>
        <v>0</v>
      </c>
      <c r="AT9" s="189">
        <f t="shared" ref="AT9:AY32" si="27">0/172.5</f>
        <v>0</v>
      </c>
      <c r="AU9" s="10">
        <f t="shared" si="27"/>
        <v>0</v>
      </c>
      <c r="AV9" s="10">
        <f t="shared" ref="AV9:AY22" si="28">0/172.5</f>
        <v>0</v>
      </c>
      <c r="AW9" s="10">
        <f t="shared" si="28"/>
        <v>0</v>
      </c>
      <c r="AX9" s="10">
        <f t="shared" si="28"/>
        <v>0</v>
      </c>
      <c r="AY9" s="17">
        <f t="shared" si="28"/>
        <v>0</v>
      </c>
      <c r="AZ9" s="19">
        <f t="shared" ref="AZ7:BA16" si="29">0/142.5</f>
        <v>0</v>
      </c>
      <c r="BA9" s="10">
        <f t="shared" si="29"/>
        <v>0</v>
      </c>
      <c r="BB9" s="10">
        <f t="shared" ref="BB7:BD22" si="30">0/142.5</f>
        <v>0</v>
      </c>
      <c r="BC9" s="10">
        <f t="shared" si="30"/>
        <v>0</v>
      </c>
      <c r="BD9" s="10">
        <f t="shared" si="30"/>
        <v>0</v>
      </c>
      <c r="BE9" s="10">
        <f t="shared" ref="BE7:BF22" si="31">0/172.5</f>
        <v>0</v>
      </c>
      <c r="BF9" s="17">
        <f t="shared" si="31"/>
        <v>0</v>
      </c>
      <c r="BG9" s="19">
        <f t="shared" si="8"/>
        <v>0</v>
      </c>
      <c r="BH9" s="10">
        <f t="shared" si="8"/>
        <v>0</v>
      </c>
      <c r="BI9" s="10">
        <f t="shared" si="8"/>
        <v>0</v>
      </c>
      <c r="BJ9" s="10">
        <f t="shared" si="8"/>
        <v>0</v>
      </c>
      <c r="BK9" s="10">
        <f t="shared" si="8"/>
        <v>0</v>
      </c>
      <c r="BL9" s="10">
        <f t="shared" si="9"/>
        <v>0</v>
      </c>
      <c r="BM9" s="10">
        <f t="shared" si="9"/>
        <v>0</v>
      </c>
      <c r="BN9" s="17">
        <f t="shared" si="9"/>
        <v>0</v>
      </c>
      <c r="BO9" s="19">
        <f t="shared" ref="BO9:BS18" si="32">0/157.5</f>
        <v>0</v>
      </c>
      <c r="BP9" s="10">
        <f t="shared" si="32"/>
        <v>0</v>
      </c>
      <c r="BQ9" s="10">
        <f t="shared" si="32"/>
        <v>0</v>
      </c>
      <c r="BR9" s="10">
        <f t="shared" si="32"/>
        <v>0</v>
      </c>
      <c r="BS9" s="10">
        <f t="shared" si="32"/>
        <v>0</v>
      </c>
      <c r="BT9" s="10">
        <f t="shared" si="11"/>
        <v>0</v>
      </c>
      <c r="BU9" s="10">
        <f t="shared" si="11"/>
        <v>0</v>
      </c>
      <c r="BV9" s="17">
        <f t="shared" si="11"/>
        <v>0</v>
      </c>
      <c r="BW9" s="71">
        <f t="shared" ref="BW9:CA40" si="33">0/157.5</f>
        <v>0</v>
      </c>
      <c r="BX9" s="10">
        <f t="shared" si="12"/>
        <v>0</v>
      </c>
      <c r="BY9" s="10">
        <f t="shared" si="12"/>
        <v>0</v>
      </c>
      <c r="BZ9" s="10">
        <f t="shared" si="12"/>
        <v>0</v>
      </c>
      <c r="CA9" s="10">
        <f t="shared" si="12"/>
        <v>0</v>
      </c>
      <c r="CB9" s="10">
        <f t="shared" si="13"/>
        <v>0</v>
      </c>
      <c r="CC9" s="10">
        <f t="shared" si="13"/>
        <v>0</v>
      </c>
      <c r="CD9" s="17">
        <f t="shared" si="13"/>
        <v>0</v>
      </c>
      <c r="CE9" s="19">
        <f t="shared" si="14"/>
        <v>0</v>
      </c>
      <c r="CF9" s="10">
        <f t="shared" si="14"/>
        <v>0</v>
      </c>
      <c r="CG9" s="10">
        <f t="shared" si="14"/>
        <v>0</v>
      </c>
      <c r="CH9" s="10">
        <f t="shared" si="14"/>
        <v>0</v>
      </c>
      <c r="CI9" s="10">
        <f t="shared" si="14"/>
        <v>0</v>
      </c>
      <c r="CJ9" s="10">
        <f t="shared" si="15"/>
        <v>0</v>
      </c>
      <c r="CK9" s="10">
        <f t="shared" si="15"/>
        <v>0</v>
      </c>
      <c r="CL9" s="17">
        <f t="shared" si="15"/>
        <v>0</v>
      </c>
      <c r="CM9" s="19">
        <f t="shared" si="16"/>
        <v>0</v>
      </c>
      <c r="CN9" s="10">
        <f t="shared" si="16"/>
        <v>0</v>
      </c>
      <c r="CO9" s="10">
        <f t="shared" si="16"/>
        <v>0</v>
      </c>
      <c r="CP9" s="10">
        <f t="shared" si="16"/>
        <v>0</v>
      </c>
      <c r="CQ9" s="10">
        <f t="shared" si="16"/>
        <v>0</v>
      </c>
      <c r="CR9" s="10">
        <f t="shared" si="17"/>
        <v>0</v>
      </c>
      <c r="CS9" s="10">
        <f t="shared" si="17"/>
        <v>0</v>
      </c>
      <c r="CT9" s="17">
        <f t="shared" si="17"/>
        <v>0</v>
      </c>
      <c r="CU9" s="235"/>
    </row>
    <row r="10" spans="1:102" ht="26.25" hidden="1" customHeight="1" outlineLevel="1" x14ac:dyDescent="0.4">
      <c r="A10" s="351"/>
      <c r="B10" s="351"/>
      <c r="C10" s="351"/>
      <c r="D10" s="353"/>
      <c r="E10" s="353"/>
      <c r="F10" s="353"/>
      <c r="G10" s="491"/>
      <c r="H10" s="447"/>
      <c r="I10" s="447"/>
      <c r="J10" s="14"/>
      <c r="K10" s="15"/>
      <c r="L10" s="15"/>
      <c r="M10" s="480"/>
      <c r="N10" s="11" t="s">
        <v>89</v>
      </c>
      <c r="O10" s="38">
        <f>(1+1)/120</f>
        <v>1.6666666666666666E-2</v>
      </c>
      <c r="P10" s="11">
        <f t="shared" si="0"/>
        <v>0</v>
      </c>
      <c r="Q10" s="11">
        <f>(1+0.5)/120</f>
        <v>1.2500000000000001E-2</v>
      </c>
      <c r="R10" s="11">
        <f t="shared" si="1"/>
        <v>0</v>
      </c>
      <c r="S10" s="11">
        <f t="shared" si="1"/>
        <v>0</v>
      </c>
      <c r="T10" s="11">
        <f t="shared" si="1"/>
        <v>0</v>
      </c>
      <c r="U10" s="48">
        <f t="shared" si="1"/>
        <v>0</v>
      </c>
      <c r="V10" s="56">
        <f t="shared" si="2"/>
        <v>0</v>
      </c>
      <c r="W10" s="11">
        <f t="shared" si="2"/>
        <v>0</v>
      </c>
      <c r="X10" s="11">
        <f t="shared" si="20"/>
        <v>0</v>
      </c>
      <c r="Y10" s="11">
        <f t="shared" si="18"/>
        <v>0</v>
      </c>
      <c r="Z10" s="11">
        <f t="shared" si="21"/>
        <v>0</v>
      </c>
      <c r="AA10" s="11">
        <f t="shared" si="21"/>
        <v>0</v>
      </c>
      <c r="AB10" s="56">
        <f t="shared" si="22"/>
        <v>0</v>
      </c>
      <c r="AC10" s="11">
        <f t="shared" ref="AC10:AC16" si="34">0/165</f>
        <v>0</v>
      </c>
      <c r="AD10" s="11">
        <f t="shared" si="23"/>
        <v>0</v>
      </c>
      <c r="AE10" s="11">
        <f t="shared" si="23"/>
        <v>0</v>
      </c>
      <c r="AF10" s="11">
        <f t="shared" si="23"/>
        <v>0</v>
      </c>
      <c r="AG10" s="48">
        <f t="shared" si="23"/>
        <v>0</v>
      </c>
      <c r="AH10" s="56">
        <f t="shared" si="3"/>
        <v>0</v>
      </c>
      <c r="AI10" s="11">
        <f t="shared" si="3"/>
        <v>0</v>
      </c>
      <c r="AJ10" s="11">
        <f t="shared" si="3"/>
        <v>0</v>
      </c>
      <c r="AK10" s="11">
        <f t="shared" si="3"/>
        <v>0</v>
      </c>
      <c r="AL10" s="11">
        <f t="shared" si="3"/>
        <v>0</v>
      </c>
      <c r="AM10" s="11">
        <f t="shared" si="3"/>
        <v>0</v>
      </c>
      <c r="AN10" s="56">
        <f t="shared" si="24"/>
        <v>0</v>
      </c>
      <c r="AO10" s="11">
        <f t="shared" si="25"/>
        <v>0</v>
      </c>
      <c r="AP10" s="11">
        <f t="shared" si="25"/>
        <v>0</v>
      </c>
      <c r="AQ10" s="11">
        <f>0/157.5</f>
        <v>0</v>
      </c>
      <c r="AR10" s="11">
        <f>0/157.5</f>
        <v>0</v>
      </c>
      <c r="AS10" s="48">
        <f t="shared" si="26"/>
        <v>0</v>
      </c>
      <c r="AT10" s="61">
        <f t="shared" si="27"/>
        <v>0</v>
      </c>
      <c r="AU10" s="58">
        <f t="shared" si="27"/>
        <v>0</v>
      </c>
      <c r="AV10" s="58">
        <f t="shared" si="28"/>
        <v>0</v>
      </c>
      <c r="AW10" s="58">
        <f t="shared" si="28"/>
        <v>0</v>
      </c>
      <c r="AX10" s="58">
        <f t="shared" si="28"/>
        <v>0</v>
      </c>
      <c r="AY10" s="62">
        <f t="shared" si="28"/>
        <v>0</v>
      </c>
      <c r="AZ10" s="61">
        <f t="shared" si="29"/>
        <v>0</v>
      </c>
      <c r="BA10" s="58">
        <f t="shared" si="29"/>
        <v>0</v>
      </c>
      <c r="BB10" s="58">
        <f t="shared" si="30"/>
        <v>0</v>
      </c>
      <c r="BC10" s="58">
        <f t="shared" si="30"/>
        <v>0</v>
      </c>
      <c r="BD10" s="58">
        <f t="shared" si="30"/>
        <v>0</v>
      </c>
      <c r="BE10" s="58">
        <f t="shared" si="31"/>
        <v>0</v>
      </c>
      <c r="BF10" s="62">
        <f t="shared" si="31"/>
        <v>0</v>
      </c>
      <c r="BG10" s="61">
        <f t="shared" si="8"/>
        <v>0</v>
      </c>
      <c r="BH10" s="58">
        <f t="shared" si="8"/>
        <v>0</v>
      </c>
      <c r="BI10" s="58">
        <f t="shared" si="8"/>
        <v>0</v>
      </c>
      <c r="BJ10" s="58">
        <f t="shared" si="8"/>
        <v>0</v>
      </c>
      <c r="BK10" s="58">
        <f t="shared" si="8"/>
        <v>0</v>
      </c>
      <c r="BL10" s="58">
        <f t="shared" si="9"/>
        <v>0</v>
      </c>
      <c r="BM10" s="58">
        <f t="shared" si="9"/>
        <v>0</v>
      </c>
      <c r="BN10" s="62">
        <f t="shared" si="9"/>
        <v>0</v>
      </c>
      <c r="BO10" s="61">
        <f t="shared" si="32"/>
        <v>0</v>
      </c>
      <c r="BP10" s="58">
        <f t="shared" si="32"/>
        <v>0</v>
      </c>
      <c r="BQ10" s="58">
        <f t="shared" si="32"/>
        <v>0</v>
      </c>
      <c r="BR10" s="58">
        <f t="shared" si="32"/>
        <v>0</v>
      </c>
      <c r="BS10" s="58">
        <f t="shared" si="32"/>
        <v>0</v>
      </c>
      <c r="BT10" s="58">
        <f t="shared" si="11"/>
        <v>0</v>
      </c>
      <c r="BU10" s="58">
        <f t="shared" si="11"/>
        <v>0</v>
      </c>
      <c r="BV10" s="62">
        <f t="shared" si="11"/>
        <v>0</v>
      </c>
      <c r="BW10" s="61">
        <f t="shared" si="33"/>
        <v>0</v>
      </c>
      <c r="BX10" s="58">
        <f t="shared" si="12"/>
        <v>0</v>
      </c>
      <c r="BY10" s="58">
        <f t="shared" si="12"/>
        <v>0</v>
      </c>
      <c r="BZ10" s="58">
        <f t="shared" si="12"/>
        <v>0</v>
      </c>
      <c r="CA10" s="58">
        <f t="shared" si="12"/>
        <v>0</v>
      </c>
      <c r="CB10" s="58">
        <f t="shared" si="13"/>
        <v>0</v>
      </c>
      <c r="CC10" s="58">
        <f t="shared" si="13"/>
        <v>0</v>
      </c>
      <c r="CD10" s="62">
        <f t="shared" si="13"/>
        <v>0</v>
      </c>
      <c r="CE10" s="61">
        <f t="shared" si="14"/>
        <v>0</v>
      </c>
      <c r="CF10" s="58">
        <f t="shared" si="14"/>
        <v>0</v>
      </c>
      <c r="CG10" s="58">
        <f t="shared" si="14"/>
        <v>0</v>
      </c>
      <c r="CH10" s="58">
        <f t="shared" si="14"/>
        <v>0</v>
      </c>
      <c r="CI10" s="58">
        <f t="shared" si="14"/>
        <v>0</v>
      </c>
      <c r="CJ10" s="58">
        <f t="shared" si="15"/>
        <v>0</v>
      </c>
      <c r="CK10" s="58">
        <f t="shared" si="15"/>
        <v>0</v>
      </c>
      <c r="CL10" s="62">
        <f t="shared" si="15"/>
        <v>0</v>
      </c>
      <c r="CM10" s="61">
        <f t="shared" si="16"/>
        <v>0</v>
      </c>
      <c r="CN10" s="58">
        <f t="shared" si="16"/>
        <v>0</v>
      </c>
      <c r="CO10" s="58">
        <f t="shared" si="16"/>
        <v>0</v>
      </c>
      <c r="CP10" s="58">
        <f t="shared" si="16"/>
        <v>0</v>
      </c>
      <c r="CQ10" s="58">
        <f t="shared" si="16"/>
        <v>0</v>
      </c>
      <c r="CR10" s="58">
        <f t="shared" si="17"/>
        <v>0</v>
      </c>
      <c r="CS10" s="58">
        <f t="shared" si="17"/>
        <v>0</v>
      </c>
      <c r="CT10" s="62">
        <f t="shared" si="17"/>
        <v>0</v>
      </c>
      <c r="CU10" s="235"/>
      <c r="CX10" s="49"/>
    </row>
    <row r="11" spans="1:102" ht="26.25" hidden="1" customHeight="1" outlineLevel="1" x14ac:dyDescent="0.4">
      <c r="A11" s="350">
        <v>3</v>
      </c>
      <c r="B11" s="350" t="s">
        <v>47</v>
      </c>
      <c r="C11" s="350" t="s">
        <v>14</v>
      </c>
      <c r="D11" s="352" t="s">
        <v>424</v>
      </c>
      <c r="E11" s="352" t="s">
        <v>425</v>
      </c>
      <c r="F11" s="352" t="s">
        <v>423</v>
      </c>
      <c r="G11" s="490" t="s">
        <v>426</v>
      </c>
      <c r="H11" s="446">
        <f t="shared" ref="H11" si="35">SUM(V11:AA11)</f>
        <v>0</v>
      </c>
      <c r="I11" s="446">
        <f t="shared" ref="I11" si="36">SUM(V12:AA12)</f>
        <v>0</v>
      </c>
      <c r="J11" s="12"/>
      <c r="K11" s="13"/>
      <c r="L11" s="13"/>
      <c r="M11" s="238"/>
      <c r="N11" s="47" t="s">
        <v>24</v>
      </c>
      <c r="O11" s="10">
        <f>(4)/120</f>
        <v>3.3333333333333333E-2</v>
      </c>
      <c r="P11" s="10">
        <f t="shared" si="0"/>
        <v>0</v>
      </c>
      <c r="Q11" s="10">
        <f>(38)/120</f>
        <v>0.31666666666666665</v>
      </c>
      <c r="R11" s="10">
        <f t="shared" si="1"/>
        <v>0</v>
      </c>
      <c r="S11" s="10">
        <f t="shared" si="1"/>
        <v>0</v>
      </c>
      <c r="T11" s="10">
        <f t="shared" si="1"/>
        <v>0</v>
      </c>
      <c r="U11" s="79">
        <f>(38)/120</f>
        <v>0.31666666666666665</v>
      </c>
      <c r="V11" s="19">
        <f t="shared" si="2"/>
        <v>0</v>
      </c>
      <c r="W11" s="10">
        <f t="shared" si="2"/>
        <v>0</v>
      </c>
      <c r="X11" s="10">
        <f t="shared" si="20"/>
        <v>0</v>
      </c>
      <c r="Y11" s="10">
        <f t="shared" si="18"/>
        <v>0</v>
      </c>
      <c r="Z11" s="10">
        <f t="shared" si="21"/>
        <v>0</v>
      </c>
      <c r="AA11" s="10">
        <f t="shared" si="21"/>
        <v>0</v>
      </c>
      <c r="AB11" s="71">
        <f t="shared" si="22"/>
        <v>0</v>
      </c>
      <c r="AC11" s="10">
        <f t="shared" si="34"/>
        <v>0</v>
      </c>
      <c r="AD11" s="10">
        <f t="shared" si="23"/>
        <v>0</v>
      </c>
      <c r="AE11" s="10">
        <f t="shared" si="23"/>
        <v>0</v>
      </c>
      <c r="AF11" s="10">
        <f t="shared" si="23"/>
        <v>0</v>
      </c>
      <c r="AG11" s="188">
        <f t="shared" si="23"/>
        <v>0</v>
      </c>
      <c r="AH11" s="71">
        <f t="shared" si="3"/>
        <v>0</v>
      </c>
      <c r="AI11" s="10">
        <f t="shared" si="3"/>
        <v>0</v>
      </c>
      <c r="AJ11" s="10">
        <f t="shared" si="3"/>
        <v>0</v>
      </c>
      <c r="AK11" s="10">
        <f t="shared" si="3"/>
        <v>0</v>
      </c>
      <c r="AL11" s="10">
        <f t="shared" si="3"/>
        <v>0</v>
      </c>
      <c r="AM11" s="10">
        <f t="shared" si="3"/>
        <v>0</v>
      </c>
      <c r="AN11" s="71">
        <f t="shared" si="24"/>
        <v>0</v>
      </c>
      <c r="AO11" s="10">
        <f t="shared" si="25"/>
        <v>0</v>
      </c>
      <c r="AP11" s="10">
        <f t="shared" si="25"/>
        <v>0</v>
      </c>
      <c r="AQ11" s="10">
        <f t="shared" si="25"/>
        <v>0</v>
      </c>
      <c r="AR11" s="10">
        <f t="shared" si="25"/>
        <v>0</v>
      </c>
      <c r="AS11" s="188">
        <f t="shared" si="26"/>
        <v>0</v>
      </c>
      <c r="AT11" s="189">
        <f t="shared" si="27"/>
        <v>0</v>
      </c>
      <c r="AU11" s="10">
        <f t="shared" si="27"/>
        <v>0</v>
      </c>
      <c r="AV11" s="10">
        <f t="shared" si="28"/>
        <v>0</v>
      </c>
      <c r="AW11" s="10">
        <f t="shared" si="28"/>
        <v>0</v>
      </c>
      <c r="AX11" s="10">
        <f t="shared" si="28"/>
        <v>0</v>
      </c>
      <c r="AY11" s="17">
        <f t="shared" si="28"/>
        <v>0</v>
      </c>
      <c r="AZ11" s="19">
        <f t="shared" si="29"/>
        <v>0</v>
      </c>
      <c r="BA11" s="10">
        <f t="shared" si="29"/>
        <v>0</v>
      </c>
      <c r="BB11" s="10">
        <f t="shared" si="30"/>
        <v>0</v>
      </c>
      <c r="BC11" s="10">
        <f t="shared" si="30"/>
        <v>0</v>
      </c>
      <c r="BD11" s="10">
        <f t="shared" si="30"/>
        <v>0</v>
      </c>
      <c r="BE11" s="10">
        <f t="shared" si="31"/>
        <v>0</v>
      </c>
      <c r="BF11" s="17">
        <f t="shared" si="31"/>
        <v>0</v>
      </c>
      <c r="BG11" s="19">
        <f t="shared" si="8"/>
        <v>0</v>
      </c>
      <c r="BH11" s="10">
        <f t="shared" si="8"/>
        <v>0</v>
      </c>
      <c r="BI11" s="10">
        <f t="shared" si="8"/>
        <v>0</v>
      </c>
      <c r="BJ11" s="10">
        <f t="shared" si="8"/>
        <v>0</v>
      </c>
      <c r="BK11" s="10">
        <f t="shared" si="8"/>
        <v>0</v>
      </c>
      <c r="BL11" s="10">
        <f t="shared" si="9"/>
        <v>0</v>
      </c>
      <c r="BM11" s="10">
        <f t="shared" si="9"/>
        <v>0</v>
      </c>
      <c r="BN11" s="17">
        <f t="shared" si="9"/>
        <v>0</v>
      </c>
      <c r="BO11" s="19">
        <f t="shared" si="32"/>
        <v>0</v>
      </c>
      <c r="BP11" s="10">
        <f t="shared" si="32"/>
        <v>0</v>
      </c>
      <c r="BQ11" s="10">
        <f t="shared" si="32"/>
        <v>0</v>
      </c>
      <c r="BR11" s="10">
        <f t="shared" si="32"/>
        <v>0</v>
      </c>
      <c r="BS11" s="10">
        <f t="shared" si="32"/>
        <v>0</v>
      </c>
      <c r="BT11" s="10">
        <f t="shared" si="11"/>
        <v>0</v>
      </c>
      <c r="BU11" s="10">
        <f t="shared" si="11"/>
        <v>0</v>
      </c>
      <c r="BV11" s="17">
        <f t="shared" si="11"/>
        <v>0</v>
      </c>
      <c r="BW11" s="71">
        <f t="shared" si="33"/>
        <v>0</v>
      </c>
      <c r="BX11" s="10">
        <f t="shared" si="12"/>
        <v>0</v>
      </c>
      <c r="BY11" s="10">
        <f t="shared" si="12"/>
        <v>0</v>
      </c>
      <c r="BZ11" s="10">
        <f t="shared" si="12"/>
        <v>0</v>
      </c>
      <c r="CA11" s="10">
        <f t="shared" si="12"/>
        <v>0</v>
      </c>
      <c r="CB11" s="10">
        <f t="shared" si="13"/>
        <v>0</v>
      </c>
      <c r="CC11" s="10">
        <f t="shared" si="13"/>
        <v>0</v>
      </c>
      <c r="CD11" s="17">
        <f t="shared" si="13"/>
        <v>0</v>
      </c>
      <c r="CE11" s="19">
        <f t="shared" si="14"/>
        <v>0</v>
      </c>
      <c r="CF11" s="10">
        <f t="shared" si="14"/>
        <v>0</v>
      </c>
      <c r="CG11" s="10">
        <f t="shared" si="14"/>
        <v>0</v>
      </c>
      <c r="CH11" s="10">
        <f t="shared" si="14"/>
        <v>0</v>
      </c>
      <c r="CI11" s="10">
        <f t="shared" si="14"/>
        <v>0</v>
      </c>
      <c r="CJ11" s="10">
        <f t="shared" si="15"/>
        <v>0</v>
      </c>
      <c r="CK11" s="10">
        <f t="shared" si="15"/>
        <v>0</v>
      </c>
      <c r="CL11" s="17">
        <f t="shared" si="15"/>
        <v>0</v>
      </c>
      <c r="CM11" s="19">
        <f t="shared" si="16"/>
        <v>0</v>
      </c>
      <c r="CN11" s="10">
        <f t="shared" si="16"/>
        <v>0</v>
      </c>
      <c r="CO11" s="10">
        <f t="shared" si="16"/>
        <v>0</v>
      </c>
      <c r="CP11" s="10">
        <f t="shared" si="16"/>
        <v>0</v>
      </c>
      <c r="CQ11" s="10">
        <f t="shared" si="16"/>
        <v>0</v>
      </c>
      <c r="CR11" s="10">
        <f t="shared" si="17"/>
        <v>0</v>
      </c>
      <c r="CS11" s="10">
        <f t="shared" si="17"/>
        <v>0</v>
      </c>
      <c r="CT11" s="17">
        <f t="shared" si="17"/>
        <v>0</v>
      </c>
      <c r="CU11" s="235"/>
    </row>
    <row r="12" spans="1:102" ht="26.25" hidden="1" customHeight="1" outlineLevel="1" x14ac:dyDescent="0.4">
      <c r="A12" s="351"/>
      <c r="B12" s="351"/>
      <c r="C12" s="351"/>
      <c r="D12" s="353"/>
      <c r="E12" s="353"/>
      <c r="F12" s="353"/>
      <c r="G12" s="491"/>
      <c r="H12" s="447"/>
      <c r="I12" s="447"/>
      <c r="J12" s="14"/>
      <c r="K12" s="15"/>
      <c r="L12" s="15"/>
      <c r="M12" s="239"/>
      <c r="N12" s="38" t="s">
        <v>25</v>
      </c>
      <c r="O12" s="11">
        <f>(0+1)/120</f>
        <v>8.3333333333333332E-3</v>
      </c>
      <c r="P12" s="11">
        <f t="shared" si="0"/>
        <v>0</v>
      </c>
      <c r="Q12" s="11">
        <f>(3+20+14)/120</f>
        <v>0.30833333333333335</v>
      </c>
      <c r="R12" s="11">
        <f t="shared" si="1"/>
        <v>0</v>
      </c>
      <c r="S12" s="11">
        <f t="shared" si="1"/>
        <v>0</v>
      </c>
      <c r="T12" s="11">
        <f>(0)/120</f>
        <v>0</v>
      </c>
      <c r="U12" s="48">
        <f>(3.5+19.5+13)/120</f>
        <v>0.3</v>
      </c>
      <c r="V12" s="56">
        <f t="shared" si="2"/>
        <v>0</v>
      </c>
      <c r="W12" s="11">
        <f t="shared" si="2"/>
        <v>0</v>
      </c>
      <c r="X12" s="11">
        <f t="shared" si="20"/>
        <v>0</v>
      </c>
      <c r="Y12" s="11">
        <f t="shared" si="18"/>
        <v>0</v>
      </c>
      <c r="Z12" s="11">
        <f t="shared" si="21"/>
        <v>0</v>
      </c>
      <c r="AA12" s="11">
        <f t="shared" si="21"/>
        <v>0</v>
      </c>
      <c r="AB12" s="56">
        <f t="shared" si="22"/>
        <v>0</v>
      </c>
      <c r="AC12" s="11">
        <f t="shared" si="34"/>
        <v>0</v>
      </c>
      <c r="AD12" s="11">
        <f t="shared" si="23"/>
        <v>0</v>
      </c>
      <c r="AE12" s="11">
        <f t="shared" si="23"/>
        <v>0</v>
      </c>
      <c r="AF12" s="11">
        <f t="shared" si="23"/>
        <v>0</v>
      </c>
      <c r="AG12" s="48">
        <f t="shared" si="23"/>
        <v>0</v>
      </c>
      <c r="AH12" s="56">
        <f t="shared" si="3"/>
        <v>0</v>
      </c>
      <c r="AI12" s="11">
        <f t="shared" si="3"/>
        <v>0</v>
      </c>
      <c r="AJ12" s="11">
        <f t="shared" si="3"/>
        <v>0</v>
      </c>
      <c r="AK12" s="11">
        <f t="shared" si="3"/>
        <v>0</v>
      </c>
      <c r="AL12" s="11">
        <f t="shared" si="3"/>
        <v>0</v>
      </c>
      <c r="AM12" s="11">
        <f t="shared" si="3"/>
        <v>0</v>
      </c>
      <c r="AN12" s="56">
        <f t="shared" si="24"/>
        <v>0</v>
      </c>
      <c r="AO12" s="11">
        <f t="shared" si="25"/>
        <v>0</v>
      </c>
      <c r="AP12" s="11">
        <f t="shared" si="25"/>
        <v>0</v>
      </c>
      <c r="AQ12" s="11">
        <f>0/157.5</f>
        <v>0</v>
      </c>
      <c r="AR12" s="11">
        <f>0/157.5</f>
        <v>0</v>
      </c>
      <c r="AS12" s="48">
        <f t="shared" si="26"/>
        <v>0</v>
      </c>
      <c r="AT12" s="61">
        <f t="shared" si="27"/>
        <v>0</v>
      </c>
      <c r="AU12" s="58">
        <f t="shared" si="27"/>
        <v>0</v>
      </c>
      <c r="AV12" s="58">
        <f t="shared" si="28"/>
        <v>0</v>
      </c>
      <c r="AW12" s="58">
        <f t="shared" si="28"/>
        <v>0</v>
      </c>
      <c r="AX12" s="58">
        <f t="shared" si="28"/>
        <v>0</v>
      </c>
      <c r="AY12" s="62">
        <f t="shared" si="28"/>
        <v>0</v>
      </c>
      <c r="AZ12" s="61">
        <f t="shared" si="29"/>
        <v>0</v>
      </c>
      <c r="BA12" s="58">
        <f t="shared" si="29"/>
        <v>0</v>
      </c>
      <c r="BB12" s="58">
        <f t="shared" si="30"/>
        <v>0</v>
      </c>
      <c r="BC12" s="58">
        <f t="shared" si="30"/>
        <v>0</v>
      </c>
      <c r="BD12" s="58">
        <f t="shared" si="30"/>
        <v>0</v>
      </c>
      <c r="BE12" s="58">
        <f t="shared" si="31"/>
        <v>0</v>
      </c>
      <c r="BF12" s="62">
        <f t="shared" si="31"/>
        <v>0</v>
      </c>
      <c r="BG12" s="61">
        <f t="shared" si="8"/>
        <v>0</v>
      </c>
      <c r="BH12" s="58">
        <f t="shared" si="8"/>
        <v>0</v>
      </c>
      <c r="BI12" s="58">
        <f t="shared" si="8"/>
        <v>0</v>
      </c>
      <c r="BJ12" s="58">
        <f t="shared" si="8"/>
        <v>0</v>
      </c>
      <c r="BK12" s="58">
        <f t="shared" si="8"/>
        <v>0</v>
      </c>
      <c r="BL12" s="58">
        <f t="shared" si="9"/>
        <v>0</v>
      </c>
      <c r="BM12" s="58">
        <f t="shared" si="9"/>
        <v>0</v>
      </c>
      <c r="BN12" s="62">
        <f t="shared" si="9"/>
        <v>0</v>
      </c>
      <c r="BO12" s="61">
        <f t="shared" si="32"/>
        <v>0</v>
      </c>
      <c r="BP12" s="58">
        <f t="shared" si="32"/>
        <v>0</v>
      </c>
      <c r="BQ12" s="58">
        <f t="shared" si="32"/>
        <v>0</v>
      </c>
      <c r="BR12" s="58">
        <f t="shared" si="32"/>
        <v>0</v>
      </c>
      <c r="BS12" s="58">
        <f t="shared" si="32"/>
        <v>0</v>
      </c>
      <c r="BT12" s="58">
        <f t="shared" si="11"/>
        <v>0</v>
      </c>
      <c r="BU12" s="58">
        <f t="shared" si="11"/>
        <v>0</v>
      </c>
      <c r="BV12" s="62">
        <f t="shared" si="11"/>
        <v>0</v>
      </c>
      <c r="BW12" s="61">
        <f t="shared" si="33"/>
        <v>0</v>
      </c>
      <c r="BX12" s="58">
        <f t="shared" si="12"/>
        <v>0</v>
      </c>
      <c r="BY12" s="58">
        <f t="shared" si="12"/>
        <v>0</v>
      </c>
      <c r="BZ12" s="58">
        <f t="shared" si="12"/>
        <v>0</v>
      </c>
      <c r="CA12" s="58">
        <f t="shared" si="12"/>
        <v>0</v>
      </c>
      <c r="CB12" s="58">
        <f t="shared" si="13"/>
        <v>0</v>
      </c>
      <c r="CC12" s="58">
        <f t="shared" si="13"/>
        <v>0</v>
      </c>
      <c r="CD12" s="62">
        <f t="shared" si="13"/>
        <v>0</v>
      </c>
      <c r="CE12" s="61">
        <f t="shared" si="14"/>
        <v>0</v>
      </c>
      <c r="CF12" s="58">
        <f t="shared" si="14"/>
        <v>0</v>
      </c>
      <c r="CG12" s="58">
        <f t="shared" si="14"/>
        <v>0</v>
      </c>
      <c r="CH12" s="58">
        <f t="shared" si="14"/>
        <v>0</v>
      </c>
      <c r="CI12" s="58">
        <f t="shared" si="14"/>
        <v>0</v>
      </c>
      <c r="CJ12" s="58">
        <f t="shared" si="15"/>
        <v>0</v>
      </c>
      <c r="CK12" s="58">
        <f t="shared" si="15"/>
        <v>0</v>
      </c>
      <c r="CL12" s="62">
        <f t="shared" si="15"/>
        <v>0</v>
      </c>
      <c r="CM12" s="61">
        <f t="shared" si="16"/>
        <v>0</v>
      </c>
      <c r="CN12" s="58">
        <f t="shared" si="16"/>
        <v>0</v>
      </c>
      <c r="CO12" s="58">
        <f t="shared" si="16"/>
        <v>0</v>
      </c>
      <c r="CP12" s="58">
        <f t="shared" si="16"/>
        <v>0</v>
      </c>
      <c r="CQ12" s="58">
        <f t="shared" si="16"/>
        <v>0</v>
      </c>
      <c r="CR12" s="58">
        <f t="shared" si="17"/>
        <v>0</v>
      </c>
      <c r="CS12" s="58">
        <f t="shared" si="17"/>
        <v>0</v>
      </c>
      <c r="CT12" s="62">
        <f t="shared" si="17"/>
        <v>0</v>
      </c>
      <c r="CU12" s="235"/>
    </row>
    <row r="13" spans="1:102" ht="26.25" hidden="1" customHeight="1" outlineLevel="1" collapsed="1" x14ac:dyDescent="0.4">
      <c r="A13" s="350">
        <v>4</v>
      </c>
      <c r="B13" s="350" t="s">
        <v>47</v>
      </c>
      <c r="C13" s="350" t="s">
        <v>14</v>
      </c>
      <c r="D13" s="352" t="s">
        <v>427</v>
      </c>
      <c r="E13" s="352" t="s">
        <v>428</v>
      </c>
      <c r="F13" s="352" t="s">
        <v>423</v>
      </c>
      <c r="G13" s="490" t="s">
        <v>429</v>
      </c>
      <c r="H13" s="446">
        <f t="shared" ref="H13:H44" si="37">SUM(AZ13:BF13)</f>
        <v>0</v>
      </c>
      <c r="I13" s="446">
        <f t="shared" ref="I13:I44" si="38">SUM(AZ14:BF14)</f>
        <v>0</v>
      </c>
      <c r="J13" s="12"/>
      <c r="K13" s="13"/>
      <c r="L13" s="13"/>
      <c r="M13" s="240"/>
      <c r="N13" s="47" t="s">
        <v>24</v>
      </c>
      <c r="O13" s="10">
        <f>(5)/120</f>
        <v>4.1666666666666664E-2</v>
      </c>
      <c r="P13" s="10">
        <f t="shared" si="0"/>
        <v>0</v>
      </c>
      <c r="Q13" s="10">
        <f t="shared" si="1"/>
        <v>0</v>
      </c>
      <c r="R13" s="10">
        <f>(35)/120</f>
        <v>0.29166666666666669</v>
      </c>
      <c r="S13" s="10">
        <f>(30)/120</f>
        <v>0.25</v>
      </c>
      <c r="T13" s="10">
        <f t="shared" si="1"/>
        <v>0</v>
      </c>
      <c r="U13" s="79">
        <f t="shared" si="1"/>
        <v>0</v>
      </c>
      <c r="V13" s="19">
        <f t="shared" si="2"/>
        <v>0</v>
      </c>
      <c r="W13" s="10">
        <f t="shared" si="2"/>
        <v>0</v>
      </c>
      <c r="X13" s="10">
        <f t="shared" si="2"/>
        <v>0</v>
      </c>
      <c r="Y13" s="10">
        <f t="shared" si="2"/>
        <v>0</v>
      </c>
      <c r="Z13" s="10">
        <f t="shared" si="2"/>
        <v>0</v>
      </c>
      <c r="AA13" s="10">
        <f t="shared" si="2"/>
        <v>0</v>
      </c>
      <c r="AB13" s="71">
        <f>(5)/165</f>
        <v>3.0303030303030304E-2</v>
      </c>
      <c r="AC13" s="10">
        <f>(0)/165</f>
        <v>0</v>
      </c>
      <c r="AD13" s="10">
        <f>(20)/165</f>
        <v>0.12121212121212122</v>
      </c>
      <c r="AE13" s="10">
        <f t="shared" ref="AE13:AF14" si="39">(0)/165</f>
        <v>0</v>
      </c>
      <c r="AF13" s="10">
        <f t="shared" si="39"/>
        <v>0</v>
      </c>
      <c r="AG13" s="10">
        <f>(25)/165</f>
        <v>0.15151515151515152</v>
      </c>
      <c r="AH13" s="71">
        <f t="shared" si="3"/>
        <v>0</v>
      </c>
      <c r="AI13" s="10">
        <f t="shared" si="3"/>
        <v>0</v>
      </c>
      <c r="AJ13" s="10">
        <f t="shared" si="3"/>
        <v>0</v>
      </c>
      <c r="AK13" s="10">
        <f t="shared" si="3"/>
        <v>0</v>
      </c>
      <c r="AL13" s="10">
        <f t="shared" si="3"/>
        <v>0</v>
      </c>
      <c r="AM13" s="10">
        <f t="shared" si="3"/>
        <v>0</v>
      </c>
      <c r="AN13" s="71">
        <f t="shared" si="24"/>
        <v>0</v>
      </c>
      <c r="AO13" s="10">
        <f t="shared" si="25"/>
        <v>0</v>
      </c>
      <c r="AP13" s="10">
        <f t="shared" si="25"/>
        <v>0</v>
      </c>
      <c r="AQ13" s="10">
        <f t="shared" si="25"/>
        <v>0</v>
      </c>
      <c r="AR13" s="10">
        <f t="shared" si="25"/>
        <v>0</v>
      </c>
      <c r="AS13" s="188">
        <f t="shared" si="26"/>
        <v>0</v>
      </c>
      <c r="AT13" s="189">
        <f>(2)/165</f>
        <v>1.2121212121212121E-2</v>
      </c>
      <c r="AU13" s="10">
        <f t="shared" ref="AU13:AX14" si="40">(0)/165</f>
        <v>0</v>
      </c>
      <c r="AV13" s="10">
        <f>(10)/165</f>
        <v>6.0606060606060608E-2</v>
      </c>
      <c r="AW13" s="10">
        <f t="shared" si="40"/>
        <v>0</v>
      </c>
      <c r="AX13" s="10">
        <f t="shared" si="40"/>
        <v>0</v>
      </c>
      <c r="AY13" s="10">
        <f>(10)/165</f>
        <v>6.0606060606060608E-2</v>
      </c>
      <c r="AZ13" s="19">
        <f t="shared" ref="AZ13:BF44" si="41">(0)/150</f>
        <v>0</v>
      </c>
      <c r="BA13" s="10">
        <f t="shared" si="41"/>
        <v>0</v>
      </c>
      <c r="BB13" s="10">
        <f t="shared" si="41"/>
        <v>0</v>
      </c>
      <c r="BC13" s="10">
        <f t="shared" si="41"/>
        <v>0</v>
      </c>
      <c r="BD13" s="10">
        <f t="shared" si="41"/>
        <v>0</v>
      </c>
      <c r="BE13" s="10">
        <f t="shared" si="41"/>
        <v>0</v>
      </c>
      <c r="BF13" s="10">
        <f t="shared" si="41"/>
        <v>0</v>
      </c>
      <c r="BG13" s="19">
        <f t="shared" si="8"/>
        <v>0</v>
      </c>
      <c r="BH13" s="10">
        <f t="shared" si="8"/>
        <v>0</v>
      </c>
      <c r="BI13" s="10">
        <f t="shared" si="8"/>
        <v>0</v>
      </c>
      <c r="BJ13" s="10">
        <f t="shared" si="8"/>
        <v>0</v>
      </c>
      <c r="BK13" s="10">
        <f t="shared" si="8"/>
        <v>0</v>
      </c>
      <c r="BL13" s="10">
        <f t="shared" si="9"/>
        <v>0</v>
      </c>
      <c r="BM13" s="10">
        <f t="shared" si="9"/>
        <v>0</v>
      </c>
      <c r="BN13" s="17">
        <f t="shared" si="9"/>
        <v>0</v>
      </c>
      <c r="BO13" s="19">
        <f t="shared" si="32"/>
        <v>0</v>
      </c>
      <c r="BP13" s="10">
        <f t="shared" si="32"/>
        <v>0</v>
      </c>
      <c r="BQ13" s="10">
        <f t="shared" si="32"/>
        <v>0</v>
      </c>
      <c r="BR13" s="10">
        <f t="shared" si="32"/>
        <v>0</v>
      </c>
      <c r="BS13" s="10">
        <f t="shared" si="32"/>
        <v>0</v>
      </c>
      <c r="BT13" s="10">
        <f t="shared" si="11"/>
        <v>0</v>
      </c>
      <c r="BU13" s="10">
        <f t="shared" si="11"/>
        <v>0</v>
      </c>
      <c r="BV13" s="17">
        <f t="shared" si="11"/>
        <v>0</v>
      </c>
      <c r="BW13" s="71">
        <f t="shared" si="33"/>
        <v>0</v>
      </c>
      <c r="BX13" s="10">
        <f t="shared" si="12"/>
        <v>0</v>
      </c>
      <c r="BY13" s="10">
        <f t="shared" si="12"/>
        <v>0</v>
      </c>
      <c r="BZ13" s="10">
        <f t="shared" si="12"/>
        <v>0</v>
      </c>
      <c r="CA13" s="10">
        <f t="shared" si="12"/>
        <v>0</v>
      </c>
      <c r="CB13" s="10">
        <f t="shared" si="13"/>
        <v>0</v>
      </c>
      <c r="CC13" s="10">
        <f t="shared" si="13"/>
        <v>0</v>
      </c>
      <c r="CD13" s="17">
        <f t="shared" si="13"/>
        <v>0</v>
      </c>
      <c r="CE13" s="19">
        <f t="shared" si="14"/>
        <v>0</v>
      </c>
      <c r="CF13" s="10">
        <f t="shared" si="14"/>
        <v>0</v>
      </c>
      <c r="CG13" s="10">
        <f t="shared" si="14"/>
        <v>0</v>
      </c>
      <c r="CH13" s="10">
        <f t="shared" si="14"/>
        <v>0</v>
      </c>
      <c r="CI13" s="10">
        <f t="shared" si="14"/>
        <v>0</v>
      </c>
      <c r="CJ13" s="10">
        <f t="shared" si="15"/>
        <v>0</v>
      </c>
      <c r="CK13" s="10">
        <f t="shared" si="15"/>
        <v>0</v>
      </c>
      <c r="CL13" s="17">
        <f t="shared" si="15"/>
        <v>0</v>
      </c>
      <c r="CM13" s="19">
        <f t="shared" si="16"/>
        <v>0</v>
      </c>
      <c r="CN13" s="10">
        <f t="shared" si="16"/>
        <v>0</v>
      </c>
      <c r="CO13" s="10">
        <f t="shared" si="16"/>
        <v>0</v>
      </c>
      <c r="CP13" s="10">
        <f t="shared" si="16"/>
        <v>0</v>
      </c>
      <c r="CQ13" s="10">
        <f t="shared" si="16"/>
        <v>0</v>
      </c>
      <c r="CR13" s="10">
        <f t="shared" si="17"/>
        <v>0</v>
      </c>
      <c r="CS13" s="10">
        <f t="shared" si="17"/>
        <v>0</v>
      </c>
      <c r="CT13" s="17">
        <f t="shared" si="17"/>
        <v>0</v>
      </c>
      <c r="CU13" s="235"/>
    </row>
    <row r="14" spans="1:102" ht="26.25" hidden="1" customHeight="1" outlineLevel="1" x14ac:dyDescent="0.4">
      <c r="A14" s="351"/>
      <c r="B14" s="351"/>
      <c r="C14" s="351"/>
      <c r="D14" s="353"/>
      <c r="E14" s="353"/>
      <c r="F14" s="353"/>
      <c r="G14" s="491"/>
      <c r="H14" s="447"/>
      <c r="I14" s="447"/>
      <c r="J14" s="14"/>
      <c r="K14" s="15"/>
      <c r="L14" s="15"/>
      <c r="M14" s="239"/>
      <c r="N14" s="38" t="s">
        <v>25</v>
      </c>
      <c r="O14" s="38">
        <f>(1.5+2+1+1.25)/120</f>
        <v>4.791666666666667E-2</v>
      </c>
      <c r="P14" s="11">
        <f t="shared" si="0"/>
        <v>0</v>
      </c>
      <c r="Q14" s="11">
        <f t="shared" si="1"/>
        <v>0</v>
      </c>
      <c r="R14" s="11">
        <f>(3.5+15.5+7.5+7.5)/120</f>
        <v>0.28333333333333333</v>
      </c>
      <c r="S14" s="11">
        <f>(7+3.5+11.5+4)/120</f>
        <v>0.21666666666666667</v>
      </c>
      <c r="T14" s="11">
        <f t="shared" si="1"/>
        <v>0</v>
      </c>
      <c r="U14" s="48">
        <f>(0)/120</f>
        <v>0</v>
      </c>
      <c r="V14" s="56">
        <f t="shared" si="2"/>
        <v>0</v>
      </c>
      <c r="W14" s="11">
        <f t="shared" si="2"/>
        <v>0</v>
      </c>
      <c r="X14" s="11">
        <f t="shared" si="2"/>
        <v>0</v>
      </c>
      <c r="Y14" s="11">
        <f t="shared" si="2"/>
        <v>0</v>
      </c>
      <c r="Z14" s="11">
        <f t="shared" si="2"/>
        <v>0</v>
      </c>
      <c r="AA14" s="11">
        <f t="shared" si="2"/>
        <v>0</v>
      </c>
      <c r="AB14" s="56">
        <f>(1+2+1+1+0.5)/165</f>
        <v>3.3333333333333333E-2</v>
      </c>
      <c r="AC14" s="11">
        <f>(0)/165</f>
        <v>0</v>
      </c>
      <c r="AD14" s="11">
        <f>(1+16.5)/165</f>
        <v>0.10606060606060606</v>
      </c>
      <c r="AE14" s="11">
        <f t="shared" si="39"/>
        <v>0</v>
      </c>
      <c r="AF14" s="11">
        <f t="shared" si="39"/>
        <v>0</v>
      </c>
      <c r="AG14" s="11">
        <f>(2+9.5+9)/165</f>
        <v>0.12424242424242424</v>
      </c>
      <c r="AH14" s="56">
        <f t="shared" si="3"/>
        <v>0</v>
      </c>
      <c r="AI14" s="11">
        <f t="shared" si="3"/>
        <v>0</v>
      </c>
      <c r="AJ14" s="11">
        <f t="shared" si="3"/>
        <v>0</v>
      </c>
      <c r="AK14" s="11">
        <f t="shared" si="3"/>
        <v>0</v>
      </c>
      <c r="AL14" s="11">
        <f t="shared" si="3"/>
        <v>0</v>
      </c>
      <c r="AM14" s="11">
        <f t="shared" si="3"/>
        <v>0</v>
      </c>
      <c r="AN14" s="56">
        <f t="shared" si="24"/>
        <v>0</v>
      </c>
      <c r="AO14" s="11">
        <f t="shared" si="25"/>
        <v>0</v>
      </c>
      <c r="AP14" s="11">
        <f t="shared" si="25"/>
        <v>0</v>
      </c>
      <c r="AQ14" s="11">
        <f>0/157.5</f>
        <v>0</v>
      </c>
      <c r="AR14" s="11">
        <f>0/157.5</f>
        <v>0</v>
      </c>
      <c r="AS14" s="48">
        <f t="shared" si="26"/>
        <v>0</v>
      </c>
      <c r="AT14" s="61">
        <f>(0.5+1.5)/165</f>
        <v>1.2121212121212121E-2</v>
      </c>
      <c r="AU14" s="58">
        <f t="shared" si="40"/>
        <v>0</v>
      </c>
      <c r="AV14" s="58">
        <f>(7.25+2.5)/165</f>
        <v>5.909090909090909E-2</v>
      </c>
      <c r="AW14" s="58">
        <f t="shared" si="40"/>
        <v>0</v>
      </c>
      <c r="AX14" s="58">
        <f t="shared" si="40"/>
        <v>0</v>
      </c>
      <c r="AY14" s="58">
        <f>(0+8.75)/165</f>
        <v>5.3030303030303032E-2</v>
      </c>
      <c r="AZ14" s="61">
        <f t="shared" si="41"/>
        <v>0</v>
      </c>
      <c r="BA14" s="58">
        <f t="shared" si="41"/>
        <v>0</v>
      </c>
      <c r="BB14" s="58">
        <f t="shared" si="41"/>
        <v>0</v>
      </c>
      <c r="BC14" s="58">
        <f t="shared" si="41"/>
        <v>0</v>
      </c>
      <c r="BD14" s="58">
        <f t="shared" si="41"/>
        <v>0</v>
      </c>
      <c r="BE14" s="58">
        <f t="shared" si="41"/>
        <v>0</v>
      </c>
      <c r="BF14" s="58">
        <f t="shared" si="41"/>
        <v>0</v>
      </c>
      <c r="BG14" s="61">
        <f t="shared" si="8"/>
        <v>0</v>
      </c>
      <c r="BH14" s="58">
        <f t="shared" si="8"/>
        <v>0</v>
      </c>
      <c r="BI14" s="58">
        <f t="shared" si="8"/>
        <v>0</v>
      </c>
      <c r="BJ14" s="58">
        <f t="shared" si="8"/>
        <v>0</v>
      </c>
      <c r="BK14" s="58">
        <f t="shared" si="8"/>
        <v>0</v>
      </c>
      <c r="BL14" s="58">
        <f t="shared" si="9"/>
        <v>0</v>
      </c>
      <c r="BM14" s="58">
        <f t="shared" si="9"/>
        <v>0</v>
      </c>
      <c r="BN14" s="62">
        <f t="shared" si="9"/>
        <v>0</v>
      </c>
      <c r="BO14" s="61">
        <f t="shared" si="32"/>
        <v>0</v>
      </c>
      <c r="BP14" s="58">
        <f t="shared" si="32"/>
        <v>0</v>
      </c>
      <c r="BQ14" s="58">
        <f t="shared" si="32"/>
        <v>0</v>
      </c>
      <c r="BR14" s="58">
        <f t="shared" si="32"/>
        <v>0</v>
      </c>
      <c r="BS14" s="58">
        <f t="shared" si="32"/>
        <v>0</v>
      </c>
      <c r="BT14" s="58">
        <f t="shared" si="11"/>
        <v>0</v>
      </c>
      <c r="BU14" s="58">
        <f t="shared" si="11"/>
        <v>0</v>
      </c>
      <c r="BV14" s="62">
        <f t="shared" si="11"/>
        <v>0</v>
      </c>
      <c r="BW14" s="61">
        <f t="shared" si="33"/>
        <v>0</v>
      </c>
      <c r="BX14" s="58">
        <f t="shared" si="12"/>
        <v>0</v>
      </c>
      <c r="BY14" s="58">
        <f t="shared" si="12"/>
        <v>0</v>
      </c>
      <c r="BZ14" s="58">
        <f t="shared" si="12"/>
        <v>0</v>
      </c>
      <c r="CA14" s="58">
        <f t="shared" si="12"/>
        <v>0</v>
      </c>
      <c r="CB14" s="58">
        <f t="shared" si="13"/>
        <v>0</v>
      </c>
      <c r="CC14" s="58">
        <f t="shared" si="13"/>
        <v>0</v>
      </c>
      <c r="CD14" s="62">
        <f t="shared" si="13"/>
        <v>0</v>
      </c>
      <c r="CE14" s="61">
        <f t="shared" si="14"/>
        <v>0</v>
      </c>
      <c r="CF14" s="58">
        <f t="shared" si="14"/>
        <v>0</v>
      </c>
      <c r="CG14" s="58">
        <f t="shared" si="14"/>
        <v>0</v>
      </c>
      <c r="CH14" s="58">
        <f t="shared" si="14"/>
        <v>0</v>
      </c>
      <c r="CI14" s="58">
        <f t="shared" si="14"/>
        <v>0</v>
      </c>
      <c r="CJ14" s="58">
        <f t="shared" si="15"/>
        <v>0</v>
      </c>
      <c r="CK14" s="58">
        <f t="shared" si="15"/>
        <v>0</v>
      </c>
      <c r="CL14" s="62">
        <f t="shared" si="15"/>
        <v>0</v>
      </c>
      <c r="CM14" s="61">
        <f t="shared" si="16"/>
        <v>0</v>
      </c>
      <c r="CN14" s="58">
        <f t="shared" si="16"/>
        <v>0</v>
      </c>
      <c r="CO14" s="58">
        <f t="shared" si="16"/>
        <v>0</v>
      </c>
      <c r="CP14" s="58">
        <f t="shared" si="16"/>
        <v>0</v>
      </c>
      <c r="CQ14" s="58">
        <f t="shared" si="16"/>
        <v>0</v>
      </c>
      <c r="CR14" s="58">
        <f t="shared" si="17"/>
        <v>0</v>
      </c>
      <c r="CS14" s="58">
        <f t="shared" si="17"/>
        <v>0</v>
      </c>
      <c r="CT14" s="62">
        <f t="shared" si="17"/>
        <v>0</v>
      </c>
      <c r="CU14" s="235"/>
    </row>
    <row r="15" spans="1:102" ht="26.25" hidden="1" customHeight="1" outlineLevel="1" x14ac:dyDescent="0.4">
      <c r="A15" s="350">
        <v>5</v>
      </c>
      <c r="B15" s="350" t="s">
        <v>46</v>
      </c>
      <c r="C15" s="350" t="s">
        <v>343</v>
      </c>
      <c r="D15" s="352" t="s">
        <v>344</v>
      </c>
      <c r="E15" s="352" t="s">
        <v>430</v>
      </c>
      <c r="F15" s="352" t="s">
        <v>431</v>
      </c>
      <c r="G15" s="490" t="s">
        <v>432</v>
      </c>
      <c r="H15" s="446">
        <f t="shared" ref="H15:H46" si="42">SUM(AZ15:BF15)</f>
        <v>0</v>
      </c>
      <c r="I15" s="446">
        <f t="shared" ref="I15:I46" si="43">SUM(AZ16:BF16)</f>
        <v>0</v>
      </c>
      <c r="J15" s="241"/>
      <c r="K15" s="243"/>
      <c r="L15" s="243"/>
      <c r="M15" s="245"/>
      <c r="N15" s="47" t="s">
        <v>24</v>
      </c>
      <c r="O15" s="10">
        <f>(5)/120</f>
        <v>4.1666666666666664E-2</v>
      </c>
      <c r="P15" s="10">
        <f t="shared" si="0"/>
        <v>0</v>
      </c>
      <c r="Q15" s="10">
        <f t="shared" si="1"/>
        <v>0</v>
      </c>
      <c r="R15" s="10">
        <f t="shared" si="1"/>
        <v>0</v>
      </c>
      <c r="S15" s="10">
        <f>(15)/120</f>
        <v>0.125</v>
      </c>
      <c r="T15" s="10">
        <f>(25)/120</f>
        <v>0.20833333333333334</v>
      </c>
      <c r="U15" s="79">
        <f t="shared" si="1"/>
        <v>0</v>
      </c>
      <c r="V15" s="19">
        <f t="shared" si="2"/>
        <v>0</v>
      </c>
      <c r="W15" s="10">
        <f t="shared" si="2"/>
        <v>0</v>
      </c>
      <c r="X15" s="10">
        <f t="shared" si="20"/>
        <v>0</v>
      </c>
      <c r="Y15" s="10">
        <f t="shared" si="18"/>
        <v>0</v>
      </c>
      <c r="Z15" s="10">
        <f t="shared" si="21"/>
        <v>0</v>
      </c>
      <c r="AA15" s="10">
        <f t="shared" si="21"/>
        <v>0</v>
      </c>
      <c r="AB15" s="71">
        <f t="shared" si="22"/>
        <v>0</v>
      </c>
      <c r="AC15" s="10">
        <f t="shared" si="34"/>
        <v>0</v>
      </c>
      <c r="AD15" s="10">
        <f t="shared" si="23"/>
        <v>0</v>
      </c>
      <c r="AE15" s="10">
        <f t="shared" si="23"/>
        <v>0</v>
      </c>
      <c r="AF15" s="10">
        <f t="shared" si="23"/>
        <v>0</v>
      </c>
      <c r="AG15" s="188">
        <f t="shared" si="23"/>
        <v>0</v>
      </c>
      <c r="AH15" s="71">
        <f t="shared" si="3"/>
        <v>0</v>
      </c>
      <c r="AI15" s="10">
        <f t="shared" si="3"/>
        <v>0</v>
      </c>
      <c r="AJ15" s="10">
        <f t="shared" si="3"/>
        <v>0</v>
      </c>
      <c r="AK15" s="10">
        <f t="shared" si="3"/>
        <v>0</v>
      </c>
      <c r="AL15" s="10">
        <f t="shared" si="3"/>
        <v>0</v>
      </c>
      <c r="AM15" s="10">
        <f t="shared" si="3"/>
        <v>0</v>
      </c>
      <c r="AN15" s="71">
        <f t="shared" si="24"/>
        <v>0</v>
      </c>
      <c r="AO15" s="10">
        <f t="shared" si="25"/>
        <v>0</v>
      </c>
      <c r="AP15" s="10">
        <f t="shared" si="25"/>
        <v>0</v>
      </c>
      <c r="AQ15" s="10">
        <f t="shared" si="25"/>
        <v>0</v>
      </c>
      <c r="AR15" s="10">
        <f t="shared" si="25"/>
        <v>0</v>
      </c>
      <c r="AS15" s="188">
        <f t="shared" si="26"/>
        <v>0</v>
      </c>
      <c r="AT15" s="189">
        <f t="shared" si="27"/>
        <v>0</v>
      </c>
      <c r="AU15" s="10">
        <f t="shared" si="27"/>
        <v>0</v>
      </c>
      <c r="AV15" s="10">
        <f t="shared" si="28"/>
        <v>0</v>
      </c>
      <c r="AW15" s="10">
        <f t="shared" si="28"/>
        <v>0</v>
      </c>
      <c r="AX15" s="10">
        <f t="shared" si="28"/>
        <v>0</v>
      </c>
      <c r="AY15" s="17">
        <f t="shared" si="28"/>
        <v>0</v>
      </c>
      <c r="AZ15" s="19">
        <f t="shared" si="41"/>
        <v>0</v>
      </c>
      <c r="BA15" s="10">
        <f t="shared" si="41"/>
        <v>0</v>
      </c>
      <c r="BB15" s="10">
        <f t="shared" si="41"/>
        <v>0</v>
      </c>
      <c r="BC15" s="10">
        <f t="shared" si="41"/>
        <v>0</v>
      </c>
      <c r="BD15" s="10">
        <f t="shared" si="41"/>
        <v>0</v>
      </c>
      <c r="BE15" s="10">
        <f t="shared" si="41"/>
        <v>0</v>
      </c>
      <c r="BF15" s="10">
        <f t="shared" si="41"/>
        <v>0</v>
      </c>
      <c r="BG15" s="19">
        <f t="shared" si="8"/>
        <v>0</v>
      </c>
      <c r="BH15" s="10">
        <f t="shared" si="8"/>
        <v>0</v>
      </c>
      <c r="BI15" s="10">
        <f t="shared" si="8"/>
        <v>0</v>
      </c>
      <c r="BJ15" s="10">
        <f t="shared" si="8"/>
        <v>0</v>
      </c>
      <c r="BK15" s="10">
        <f t="shared" si="8"/>
        <v>0</v>
      </c>
      <c r="BL15" s="10">
        <f t="shared" si="9"/>
        <v>0</v>
      </c>
      <c r="BM15" s="10">
        <f t="shared" si="9"/>
        <v>0</v>
      </c>
      <c r="BN15" s="17">
        <f t="shared" si="9"/>
        <v>0</v>
      </c>
      <c r="BO15" s="19">
        <f t="shared" si="32"/>
        <v>0</v>
      </c>
      <c r="BP15" s="10">
        <f t="shared" si="32"/>
        <v>0</v>
      </c>
      <c r="BQ15" s="10">
        <f t="shared" si="32"/>
        <v>0</v>
      </c>
      <c r="BR15" s="10">
        <f t="shared" si="32"/>
        <v>0</v>
      </c>
      <c r="BS15" s="10">
        <f t="shared" si="32"/>
        <v>0</v>
      </c>
      <c r="BT15" s="10">
        <f t="shared" si="11"/>
        <v>0</v>
      </c>
      <c r="BU15" s="10">
        <f t="shared" si="11"/>
        <v>0</v>
      </c>
      <c r="BV15" s="17">
        <f t="shared" si="11"/>
        <v>0</v>
      </c>
      <c r="BW15" s="71">
        <f t="shared" si="33"/>
        <v>0</v>
      </c>
      <c r="BX15" s="10">
        <f t="shared" si="12"/>
        <v>0</v>
      </c>
      <c r="BY15" s="10">
        <f t="shared" si="12"/>
        <v>0</v>
      </c>
      <c r="BZ15" s="10">
        <f t="shared" si="12"/>
        <v>0</v>
      </c>
      <c r="CA15" s="10">
        <f t="shared" si="12"/>
        <v>0</v>
      </c>
      <c r="CB15" s="10">
        <f t="shared" si="13"/>
        <v>0</v>
      </c>
      <c r="CC15" s="10">
        <f t="shared" si="13"/>
        <v>0</v>
      </c>
      <c r="CD15" s="17">
        <f t="shared" si="13"/>
        <v>0</v>
      </c>
      <c r="CE15" s="19">
        <f t="shared" si="14"/>
        <v>0</v>
      </c>
      <c r="CF15" s="10">
        <f t="shared" si="14"/>
        <v>0</v>
      </c>
      <c r="CG15" s="10">
        <f t="shared" si="14"/>
        <v>0</v>
      </c>
      <c r="CH15" s="10">
        <f t="shared" si="14"/>
        <v>0</v>
      </c>
      <c r="CI15" s="10">
        <f t="shared" si="14"/>
        <v>0</v>
      </c>
      <c r="CJ15" s="10">
        <f t="shared" si="15"/>
        <v>0</v>
      </c>
      <c r="CK15" s="10">
        <f t="shared" si="15"/>
        <v>0</v>
      </c>
      <c r="CL15" s="17">
        <f t="shared" si="15"/>
        <v>0</v>
      </c>
      <c r="CM15" s="19">
        <f t="shared" si="16"/>
        <v>0</v>
      </c>
      <c r="CN15" s="10">
        <f t="shared" si="16"/>
        <v>0</v>
      </c>
      <c r="CO15" s="10">
        <f t="shared" si="16"/>
        <v>0</v>
      </c>
      <c r="CP15" s="10">
        <f t="shared" si="16"/>
        <v>0</v>
      </c>
      <c r="CQ15" s="10">
        <f t="shared" si="16"/>
        <v>0</v>
      </c>
      <c r="CR15" s="10">
        <f t="shared" si="17"/>
        <v>0</v>
      </c>
      <c r="CS15" s="10">
        <f t="shared" si="17"/>
        <v>0</v>
      </c>
      <c r="CT15" s="17">
        <f t="shared" si="17"/>
        <v>0</v>
      </c>
      <c r="CU15" s="235"/>
    </row>
    <row r="16" spans="1:102" ht="26.25" hidden="1" customHeight="1" outlineLevel="1" x14ac:dyDescent="0.4">
      <c r="A16" s="351"/>
      <c r="B16" s="351"/>
      <c r="C16" s="351"/>
      <c r="D16" s="353"/>
      <c r="E16" s="353"/>
      <c r="F16" s="353"/>
      <c r="G16" s="491"/>
      <c r="H16" s="447"/>
      <c r="I16" s="447"/>
      <c r="J16" s="242"/>
      <c r="K16" s="244"/>
      <c r="L16" s="244"/>
      <c r="M16" s="246"/>
      <c r="N16" s="38" t="s">
        <v>25</v>
      </c>
      <c r="O16" s="11">
        <f>(0+3+1+0.75+1.25)/120</f>
        <v>0.05</v>
      </c>
      <c r="P16" s="11">
        <f t="shared" si="0"/>
        <v>0</v>
      </c>
      <c r="Q16" s="11">
        <f t="shared" si="1"/>
        <v>0</v>
      </c>
      <c r="R16" s="11">
        <f>(0)/120</f>
        <v>0</v>
      </c>
      <c r="S16" s="11">
        <f>(0+10+1+3.5)/120</f>
        <v>0.12083333333333333</v>
      </c>
      <c r="T16" s="11">
        <f>(5+6.5+4+2.5)/120</f>
        <v>0.15</v>
      </c>
      <c r="U16" s="48">
        <f t="shared" si="1"/>
        <v>0</v>
      </c>
      <c r="V16" s="56">
        <f t="shared" si="2"/>
        <v>0</v>
      </c>
      <c r="W16" s="11">
        <f t="shared" si="2"/>
        <v>0</v>
      </c>
      <c r="X16" s="11">
        <f t="shared" si="20"/>
        <v>0</v>
      </c>
      <c r="Y16" s="11">
        <f t="shared" si="18"/>
        <v>0</v>
      </c>
      <c r="Z16" s="11">
        <f t="shared" si="21"/>
        <v>0</v>
      </c>
      <c r="AA16" s="11">
        <f t="shared" si="21"/>
        <v>0</v>
      </c>
      <c r="AB16" s="56">
        <f t="shared" si="22"/>
        <v>0</v>
      </c>
      <c r="AC16" s="11">
        <f t="shared" si="34"/>
        <v>0</v>
      </c>
      <c r="AD16" s="11">
        <f t="shared" si="23"/>
        <v>0</v>
      </c>
      <c r="AE16" s="11">
        <f t="shared" si="23"/>
        <v>0</v>
      </c>
      <c r="AF16" s="11">
        <f t="shared" si="23"/>
        <v>0</v>
      </c>
      <c r="AG16" s="48">
        <f t="shared" si="23"/>
        <v>0</v>
      </c>
      <c r="AH16" s="56">
        <f t="shared" si="3"/>
        <v>0</v>
      </c>
      <c r="AI16" s="11">
        <f t="shared" si="3"/>
        <v>0</v>
      </c>
      <c r="AJ16" s="11">
        <f t="shared" si="3"/>
        <v>0</v>
      </c>
      <c r="AK16" s="11">
        <f t="shared" si="3"/>
        <v>0</v>
      </c>
      <c r="AL16" s="11">
        <f t="shared" si="3"/>
        <v>0</v>
      </c>
      <c r="AM16" s="11">
        <f t="shared" si="3"/>
        <v>0</v>
      </c>
      <c r="AN16" s="56">
        <f t="shared" si="24"/>
        <v>0</v>
      </c>
      <c r="AO16" s="11">
        <f t="shared" si="25"/>
        <v>0</v>
      </c>
      <c r="AP16" s="11">
        <f t="shared" si="25"/>
        <v>0</v>
      </c>
      <c r="AQ16" s="11">
        <f>0/157.5</f>
        <v>0</v>
      </c>
      <c r="AR16" s="11">
        <f>0/157.5</f>
        <v>0</v>
      </c>
      <c r="AS16" s="48">
        <f t="shared" si="26"/>
        <v>0</v>
      </c>
      <c r="AT16" s="61">
        <f t="shared" si="27"/>
        <v>0</v>
      </c>
      <c r="AU16" s="58">
        <f t="shared" si="27"/>
        <v>0</v>
      </c>
      <c r="AV16" s="58">
        <f t="shared" si="28"/>
        <v>0</v>
      </c>
      <c r="AW16" s="58">
        <f t="shared" si="28"/>
        <v>0</v>
      </c>
      <c r="AX16" s="58">
        <f t="shared" si="28"/>
        <v>0</v>
      </c>
      <c r="AY16" s="62">
        <f t="shared" si="28"/>
        <v>0</v>
      </c>
      <c r="AZ16" s="61">
        <f t="shared" si="41"/>
        <v>0</v>
      </c>
      <c r="BA16" s="58">
        <f t="shared" si="41"/>
        <v>0</v>
      </c>
      <c r="BB16" s="58">
        <f t="shared" si="41"/>
        <v>0</v>
      </c>
      <c r="BC16" s="58">
        <f t="shared" si="41"/>
        <v>0</v>
      </c>
      <c r="BD16" s="58">
        <f t="shared" si="41"/>
        <v>0</v>
      </c>
      <c r="BE16" s="58">
        <f t="shared" si="41"/>
        <v>0</v>
      </c>
      <c r="BF16" s="58">
        <f t="shared" si="41"/>
        <v>0</v>
      </c>
      <c r="BG16" s="61">
        <f t="shared" si="8"/>
        <v>0</v>
      </c>
      <c r="BH16" s="58">
        <f t="shared" si="8"/>
        <v>0</v>
      </c>
      <c r="BI16" s="58">
        <f t="shared" si="8"/>
        <v>0</v>
      </c>
      <c r="BJ16" s="58">
        <f t="shared" si="8"/>
        <v>0</v>
      </c>
      <c r="BK16" s="58">
        <f t="shared" si="8"/>
        <v>0</v>
      </c>
      <c r="BL16" s="58">
        <f t="shared" si="9"/>
        <v>0</v>
      </c>
      <c r="BM16" s="58">
        <f t="shared" si="9"/>
        <v>0</v>
      </c>
      <c r="BN16" s="62">
        <f t="shared" si="9"/>
        <v>0</v>
      </c>
      <c r="BO16" s="61">
        <f t="shared" si="32"/>
        <v>0</v>
      </c>
      <c r="BP16" s="58">
        <f t="shared" si="32"/>
        <v>0</v>
      </c>
      <c r="BQ16" s="58">
        <f t="shared" si="32"/>
        <v>0</v>
      </c>
      <c r="BR16" s="58">
        <f t="shared" si="32"/>
        <v>0</v>
      </c>
      <c r="BS16" s="58">
        <f t="shared" si="32"/>
        <v>0</v>
      </c>
      <c r="BT16" s="58">
        <f t="shared" si="11"/>
        <v>0</v>
      </c>
      <c r="BU16" s="58">
        <f t="shared" si="11"/>
        <v>0</v>
      </c>
      <c r="BV16" s="62">
        <f t="shared" si="11"/>
        <v>0</v>
      </c>
      <c r="BW16" s="61">
        <f t="shared" si="33"/>
        <v>0</v>
      </c>
      <c r="BX16" s="58">
        <f t="shared" si="12"/>
        <v>0</v>
      </c>
      <c r="BY16" s="58">
        <f t="shared" si="12"/>
        <v>0</v>
      </c>
      <c r="BZ16" s="58">
        <f t="shared" si="12"/>
        <v>0</v>
      </c>
      <c r="CA16" s="58">
        <f t="shared" si="12"/>
        <v>0</v>
      </c>
      <c r="CB16" s="58">
        <f t="shared" si="13"/>
        <v>0</v>
      </c>
      <c r="CC16" s="58">
        <f t="shared" si="13"/>
        <v>0</v>
      </c>
      <c r="CD16" s="62">
        <f t="shared" si="13"/>
        <v>0</v>
      </c>
      <c r="CE16" s="61">
        <f t="shared" si="14"/>
        <v>0</v>
      </c>
      <c r="CF16" s="58">
        <f t="shared" si="14"/>
        <v>0</v>
      </c>
      <c r="CG16" s="58">
        <f t="shared" si="14"/>
        <v>0</v>
      </c>
      <c r="CH16" s="58">
        <f t="shared" si="14"/>
        <v>0</v>
      </c>
      <c r="CI16" s="58">
        <f t="shared" si="14"/>
        <v>0</v>
      </c>
      <c r="CJ16" s="58">
        <f t="shared" si="15"/>
        <v>0</v>
      </c>
      <c r="CK16" s="58">
        <f t="shared" si="15"/>
        <v>0</v>
      </c>
      <c r="CL16" s="62">
        <f t="shared" si="15"/>
        <v>0</v>
      </c>
      <c r="CM16" s="61">
        <f t="shared" si="16"/>
        <v>0</v>
      </c>
      <c r="CN16" s="58">
        <f t="shared" si="16"/>
        <v>0</v>
      </c>
      <c r="CO16" s="58">
        <f t="shared" si="16"/>
        <v>0</v>
      </c>
      <c r="CP16" s="58">
        <f t="shared" si="16"/>
        <v>0</v>
      </c>
      <c r="CQ16" s="58">
        <f t="shared" si="16"/>
        <v>0</v>
      </c>
      <c r="CR16" s="58">
        <f t="shared" si="17"/>
        <v>0</v>
      </c>
      <c r="CS16" s="58">
        <f t="shared" si="17"/>
        <v>0</v>
      </c>
      <c r="CT16" s="62">
        <f t="shared" si="17"/>
        <v>0</v>
      </c>
      <c r="CU16" s="235"/>
    </row>
    <row r="17" spans="1:99" ht="26.25" hidden="1" customHeight="1" outlineLevel="1" collapsed="1" x14ac:dyDescent="0.4">
      <c r="A17" s="350">
        <v>6</v>
      </c>
      <c r="B17" s="350" t="s">
        <v>47</v>
      </c>
      <c r="C17" s="350" t="s">
        <v>14</v>
      </c>
      <c r="D17" s="352" t="s">
        <v>433</v>
      </c>
      <c r="E17" s="352" t="s">
        <v>434</v>
      </c>
      <c r="F17" s="352" t="s">
        <v>435</v>
      </c>
      <c r="G17" s="490" t="s">
        <v>436</v>
      </c>
      <c r="H17" s="446">
        <f t="shared" ref="H17:H48" si="44">SUM(AZ17:BF17)</f>
        <v>0</v>
      </c>
      <c r="I17" s="446">
        <f t="shared" ref="I17:I48" si="45">SUM(AZ18:BF18)</f>
        <v>0</v>
      </c>
      <c r="J17" s="241"/>
      <c r="K17" s="243"/>
      <c r="L17" s="243"/>
      <c r="M17" s="247"/>
      <c r="N17" s="47" t="s">
        <v>24</v>
      </c>
      <c r="O17" s="10">
        <f>(2)/120</f>
        <v>1.6666666666666666E-2</v>
      </c>
      <c r="P17" s="10">
        <f t="shared" si="0"/>
        <v>0</v>
      </c>
      <c r="Q17" s="10">
        <f>(3)/120</f>
        <v>2.5000000000000001E-2</v>
      </c>
      <c r="R17" s="10">
        <f t="shared" si="1"/>
        <v>0</v>
      </c>
      <c r="S17" s="10">
        <f t="shared" si="1"/>
        <v>0</v>
      </c>
      <c r="T17" s="10">
        <f t="shared" si="1"/>
        <v>0</v>
      </c>
      <c r="U17" s="79">
        <f t="shared" si="1"/>
        <v>0</v>
      </c>
      <c r="V17" s="19">
        <f>(3)/142.5</f>
        <v>2.1052631578947368E-2</v>
      </c>
      <c r="W17" s="10">
        <f t="shared" ref="W17:AA45" si="46">(0)/142.5</f>
        <v>0</v>
      </c>
      <c r="X17" s="10">
        <f>(5)/142.5</f>
        <v>3.5087719298245612E-2</v>
      </c>
      <c r="Y17" s="10">
        <f t="shared" si="18"/>
        <v>0</v>
      </c>
      <c r="Z17" s="10">
        <f t="shared" si="21"/>
        <v>0</v>
      </c>
      <c r="AA17" s="10">
        <f t="shared" si="21"/>
        <v>0</v>
      </c>
      <c r="AB17" s="71">
        <f>(5)/165</f>
        <v>3.0303030303030304E-2</v>
      </c>
      <c r="AC17" s="10">
        <f>(0)/165</f>
        <v>0</v>
      </c>
      <c r="AD17" s="10">
        <f>(5)/165</f>
        <v>3.0303030303030304E-2</v>
      </c>
      <c r="AE17" s="10">
        <f t="shared" ref="AE17:AG18" si="47">(0)/165</f>
        <v>0</v>
      </c>
      <c r="AF17" s="10">
        <f t="shared" si="47"/>
        <v>0</v>
      </c>
      <c r="AG17" s="10">
        <f t="shared" si="47"/>
        <v>0</v>
      </c>
      <c r="AH17" s="71">
        <f t="shared" si="3"/>
        <v>0</v>
      </c>
      <c r="AI17" s="10">
        <f t="shared" si="3"/>
        <v>0</v>
      </c>
      <c r="AJ17" s="10">
        <f t="shared" si="3"/>
        <v>0</v>
      </c>
      <c r="AK17" s="10">
        <f t="shared" si="3"/>
        <v>0</v>
      </c>
      <c r="AL17" s="10">
        <f t="shared" si="3"/>
        <v>0</v>
      </c>
      <c r="AM17" s="10">
        <f t="shared" si="3"/>
        <v>0</v>
      </c>
      <c r="AN17" s="71">
        <f t="shared" ref="AN17:AR38" si="48">0/157.5</f>
        <v>0</v>
      </c>
      <c r="AO17" s="10">
        <f t="shared" si="25"/>
        <v>0</v>
      </c>
      <c r="AP17" s="10">
        <f t="shared" si="25"/>
        <v>0</v>
      </c>
      <c r="AQ17" s="10">
        <f t="shared" si="25"/>
        <v>0</v>
      </c>
      <c r="AR17" s="10">
        <f t="shared" si="25"/>
        <v>0</v>
      </c>
      <c r="AS17" s="188">
        <f t="shared" si="26"/>
        <v>0</v>
      </c>
      <c r="AT17" s="189">
        <f t="shared" si="27"/>
        <v>0</v>
      </c>
      <c r="AU17" s="10">
        <f t="shared" si="27"/>
        <v>0</v>
      </c>
      <c r="AV17" s="10">
        <f t="shared" si="28"/>
        <v>0</v>
      </c>
      <c r="AW17" s="10">
        <f t="shared" si="28"/>
        <v>0</v>
      </c>
      <c r="AX17" s="10">
        <f t="shared" si="28"/>
        <v>0</v>
      </c>
      <c r="AY17" s="17">
        <f t="shared" si="28"/>
        <v>0</v>
      </c>
      <c r="AZ17" s="19">
        <f t="shared" si="41"/>
        <v>0</v>
      </c>
      <c r="BA17" s="10">
        <f t="shared" si="41"/>
        <v>0</v>
      </c>
      <c r="BB17" s="10">
        <f t="shared" si="41"/>
        <v>0</v>
      </c>
      <c r="BC17" s="10">
        <f t="shared" si="41"/>
        <v>0</v>
      </c>
      <c r="BD17" s="10">
        <f t="shared" si="41"/>
        <v>0</v>
      </c>
      <c r="BE17" s="10">
        <f t="shared" si="41"/>
        <v>0</v>
      </c>
      <c r="BF17" s="10">
        <f t="shared" si="41"/>
        <v>0</v>
      </c>
      <c r="BG17" s="19">
        <f t="shared" ref="BG17:BK26" si="49">0/142.5</f>
        <v>0</v>
      </c>
      <c r="BH17" s="10">
        <f t="shared" si="49"/>
        <v>0</v>
      </c>
      <c r="BI17" s="10">
        <f t="shared" si="49"/>
        <v>0</v>
      </c>
      <c r="BJ17" s="10">
        <f t="shared" si="49"/>
        <v>0</v>
      </c>
      <c r="BK17" s="10">
        <f t="shared" si="49"/>
        <v>0</v>
      </c>
      <c r="BL17" s="10">
        <f t="shared" si="9"/>
        <v>0</v>
      </c>
      <c r="BM17" s="10">
        <f t="shared" si="9"/>
        <v>0</v>
      </c>
      <c r="BN17" s="17">
        <f t="shared" si="9"/>
        <v>0</v>
      </c>
      <c r="BO17" s="19">
        <f t="shared" si="32"/>
        <v>0</v>
      </c>
      <c r="BP17" s="10">
        <f t="shared" si="32"/>
        <v>0</v>
      </c>
      <c r="BQ17" s="10">
        <f t="shared" si="32"/>
        <v>0</v>
      </c>
      <c r="BR17" s="10">
        <f t="shared" si="32"/>
        <v>0</v>
      </c>
      <c r="BS17" s="10">
        <f t="shared" si="32"/>
        <v>0</v>
      </c>
      <c r="BT17" s="10">
        <f t="shared" si="11"/>
        <v>0</v>
      </c>
      <c r="BU17" s="10">
        <f t="shared" si="11"/>
        <v>0</v>
      </c>
      <c r="BV17" s="17">
        <f t="shared" si="11"/>
        <v>0</v>
      </c>
      <c r="BW17" s="71">
        <f t="shared" si="33"/>
        <v>0</v>
      </c>
      <c r="BX17" s="10">
        <f t="shared" si="12"/>
        <v>0</v>
      </c>
      <c r="BY17" s="10">
        <f t="shared" si="12"/>
        <v>0</v>
      </c>
      <c r="BZ17" s="10">
        <f t="shared" si="12"/>
        <v>0</v>
      </c>
      <c r="CA17" s="10">
        <f t="shared" si="12"/>
        <v>0</v>
      </c>
      <c r="CB17" s="10">
        <f t="shared" si="13"/>
        <v>0</v>
      </c>
      <c r="CC17" s="10">
        <f t="shared" si="13"/>
        <v>0</v>
      </c>
      <c r="CD17" s="17">
        <f t="shared" si="13"/>
        <v>0</v>
      </c>
      <c r="CE17" s="19">
        <f t="shared" ref="CE17:CI26" si="50">0/157.5</f>
        <v>0</v>
      </c>
      <c r="CF17" s="10">
        <f t="shared" si="50"/>
        <v>0</v>
      </c>
      <c r="CG17" s="10">
        <f t="shared" si="50"/>
        <v>0</v>
      </c>
      <c r="CH17" s="10">
        <f t="shared" si="50"/>
        <v>0</v>
      </c>
      <c r="CI17" s="10">
        <f t="shared" si="50"/>
        <v>0</v>
      </c>
      <c r="CJ17" s="10">
        <f t="shared" si="15"/>
        <v>0</v>
      </c>
      <c r="CK17" s="10">
        <f t="shared" si="15"/>
        <v>0</v>
      </c>
      <c r="CL17" s="17">
        <f t="shared" si="15"/>
        <v>0</v>
      </c>
      <c r="CM17" s="19">
        <f t="shared" ref="CM17:CQ26" si="51">0/142.5</f>
        <v>0</v>
      </c>
      <c r="CN17" s="10">
        <f t="shared" si="51"/>
        <v>0</v>
      </c>
      <c r="CO17" s="10">
        <f t="shared" si="51"/>
        <v>0</v>
      </c>
      <c r="CP17" s="10">
        <f t="shared" si="51"/>
        <v>0</v>
      </c>
      <c r="CQ17" s="10">
        <f t="shared" si="51"/>
        <v>0</v>
      </c>
      <c r="CR17" s="10">
        <f t="shared" si="17"/>
        <v>0</v>
      </c>
      <c r="CS17" s="10">
        <f t="shared" si="17"/>
        <v>0</v>
      </c>
      <c r="CT17" s="17">
        <f t="shared" si="17"/>
        <v>0</v>
      </c>
      <c r="CU17" s="235"/>
    </row>
    <row r="18" spans="1:99" ht="26.25" hidden="1" customHeight="1" outlineLevel="1" collapsed="1" x14ac:dyDescent="0.4">
      <c r="A18" s="351"/>
      <c r="B18" s="351"/>
      <c r="C18" s="351"/>
      <c r="D18" s="353"/>
      <c r="E18" s="353"/>
      <c r="F18" s="353"/>
      <c r="G18" s="491"/>
      <c r="H18" s="447"/>
      <c r="I18" s="447"/>
      <c r="J18" s="242"/>
      <c r="K18" s="244"/>
      <c r="L18" s="244"/>
      <c r="M18" s="248"/>
      <c r="N18" s="38" t="s">
        <v>25</v>
      </c>
      <c r="O18" s="11">
        <f>(0+1)/120</f>
        <v>8.3333333333333332E-3</v>
      </c>
      <c r="P18" s="11">
        <f t="shared" si="0"/>
        <v>0</v>
      </c>
      <c r="Q18" s="11">
        <f>(1+1)/120</f>
        <v>1.6666666666666666E-2</v>
      </c>
      <c r="R18" s="11">
        <f t="shared" si="1"/>
        <v>0</v>
      </c>
      <c r="S18" s="11">
        <f t="shared" si="1"/>
        <v>0</v>
      </c>
      <c r="T18" s="11">
        <f t="shared" si="1"/>
        <v>0</v>
      </c>
      <c r="U18" s="48">
        <f t="shared" si="1"/>
        <v>0</v>
      </c>
      <c r="V18" s="56">
        <f>(1.5)/142.5</f>
        <v>1.0526315789473684E-2</v>
      </c>
      <c r="W18" s="11">
        <f t="shared" si="46"/>
        <v>0</v>
      </c>
      <c r="X18" s="11">
        <f>(3)/142.5</f>
        <v>2.1052631578947368E-2</v>
      </c>
      <c r="Y18" s="11">
        <f t="shared" si="18"/>
        <v>0</v>
      </c>
      <c r="Z18" s="11">
        <f t="shared" si="21"/>
        <v>0</v>
      </c>
      <c r="AA18" s="11">
        <f t="shared" si="21"/>
        <v>0</v>
      </c>
      <c r="AB18" s="56">
        <f>(1)/165</f>
        <v>6.0606060606060606E-3</v>
      </c>
      <c r="AC18" s="11">
        <f>(0)/165</f>
        <v>0</v>
      </c>
      <c r="AD18" s="11">
        <f>(2+3)/165</f>
        <v>3.0303030303030304E-2</v>
      </c>
      <c r="AE18" s="11">
        <f t="shared" si="47"/>
        <v>0</v>
      </c>
      <c r="AF18" s="11">
        <f t="shared" si="47"/>
        <v>0</v>
      </c>
      <c r="AG18" s="11">
        <f t="shared" si="47"/>
        <v>0</v>
      </c>
      <c r="AH18" s="56">
        <f t="shared" si="3"/>
        <v>0</v>
      </c>
      <c r="AI18" s="11">
        <f t="shared" si="3"/>
        <v>0</v>
      </c>
      <c r="AJ18" s="11">
        <f t="shared" si="3"/>
        <v>0</v>
      </c>
      <c r="AK18" s="11">
        <f t="shared" si="3"/>
        <v>0</v>
      </c>
      <c r="AL18" s="11">
        <f t="shared" si="3"/>
        <v>0</v>
      </c>
      <c r="AM18" s="11">
        <f t="shared" si="3"/>
        <v>0</v>
      </c>
      <c r="AN18" s="56">
        <f t="shared" si="48"/>
        <v>0</v>
      </c>
      <c r="AO18" s="11">
        <f t="shared" si="25"/>
        <v>0</v>
      </c>
      <c r="AP18" s="11">
        <f t="shared" si="25"/>
        <v>0</v>
      </c>
      <c r="AQ18" s="11">
        <f t="shared" si="25"/>
        <v>0</v>
      </c>
      <c r="AR18" s="11">
        <f t="shared" si="25"/>
        <v>0</v>
      </c>
      <c r="AS18" s="48">
        <f t="shared" si="26"/>
        <v>0</v>
      </c>
      <c r="AT18" s="61">
        <f t="shared" si="27"/>
        <v>0</v>
      </c>
      <c r="AU18" s="58">
        <f t="shared" si="27"/>
        <v>0</v>
      </c>
      <c r="AV18" s="58">
        <f t="shared" si="28"/>
        <v>0</v>
      </c>
      <c r="AW18" s="58">
        <f t="shared" si="28"/>
        <v>0</v>
      </c>
      <c r="AX18" s="58">
        <f t="shared" si="28"/>
        <v>0</v>
      </c>
      <c r="AY18" s="62">
        <f t="shared" si="28"/>
        <v>0</v>
      </c>
      <c r="AZ18" s="61">
        <f t="shared" si="41"/>
        <v>0</v>
      </c>
      <c r="BA18" s="58">
        <f t="shared" si="41"/>
        <v>0</v>
      </c>
      <c r="BB18" s="58">
        <f t="shared" si="41"/>
        <v>0</v>
      </c>
      <c r="BC18" s="58">
        <f t="shared" si="41"/>
        <v>0</v>
      </c>
      <c r="BD18" s="58">
        <f t="shared" si="41"/>
        <v>0</v>
      </c>
      <c r="BE18" s="58">
        <f t="shared" si="41"/>
        <v>0</v>
      </c>
      <c r="BF18" s="58">
        <f t="shared" si="41"/>
        <v>0</v>
      </c>
      <c r="BG18" s="61">
        <f t="shared" si="49"/>
        <v>0</v>
      </c>
      <c r="BH18" s="58">
        <f t="shared" si="49"/>
        <v>0</v>
      </c>
      <c r="BI18" s="58">
        <f t="shared" si="49"/>
        <v>0</v>
      </c>
      <c r="BJ18" s="58">
        <f t="shared" si="49"/>
        <v>0</v>
      </c>
      <c r="BK18" s="58">
        <f t="shared" si="49"/>
        <v>0</v>
      </c>
      <c r="BL18" s="58">
        <f t="shared" si="9"/>
        <v>0</v>
      </c>
      <c r="BM18" s="58">
        <f t="shared" si="9"/>
        <v>0</v>
      </c>
      <c r="BN18" s="62">
        <f t="shared" si="9"/>
        <v>0</v>
      </c>
      <c r="BO18" s="61">
        <f t="shared" si="32"/>
        <v>0</v>
      </c>
      <c r="BP18" s="58">
        <f t="shared" si="32"/>
        <v>0</v>
      </c>
      <c r="BQ18" s="58">
        <f t="shared" si="32"/>
        <v>0</v>
      </c>
      <c r="BR18" s="58">
        <f t="shared" si="32"/>
        <v>0</v>
      </c>
      <c r="BS18" s="58">
        <f t="shared" si="32"/>
        <v>0</v>
      </c>
      <c r="BT18" s="58">
        <f t="shared" si="11"/>
        <v>0</v>
      </c>
      <c r="BU18" s="58">
        <f t="shared" si="11"/>
        <v>0</v>
      </c>
      <c r="BV18" s="62">
        <f t="shared" si="11"/>
        <v>0</v>
      </c>
      <c r="BW18" s="61">
        <f t="shared" si="33"/>
        <v>0</v>
      </c>
      <c r="BX18" s="58">
        <f t="shared" si="12"/>
        <v>0</v>
      </c>
      <c r="BY18" s="58">
        <f t="shared" si="12"/>
        <v>0</v>
      </c>
      <c r="BZ18" s="58">
        <f t="shared" si="12"/>
        <v>0</v>
      </c>
      <c r="CA18" s="58">
        <f t="shared" si="12"/>
        <v>0</v>
      </c>
      <c r="CB18" s="58">
        <f t="shared" si="13"/>
        <v>0</v>
      </c>
      <c r="CC18" s="58">
        <f t="shared" si="13"/>
        <v>0</v>
      </c>
      <c r="CD18" s="62">
        <f t="shared" si="13"/>
        <v>0</v>
      </c>
      <c r="CE18" s="61">
        <f t="shared" si="50"/>
        <v>0</v>
      </c>
      <c r="CF18" s="58">
        <f t="shared" si="50"/>
        <v>0</v>
      </c>
      <c r="CG18" s="58">
        <f t="shared" si="50"/>
        <v>0</v>
      </c>
      <c r="CH18" s="58">
        <f t="shared" si="50"/>
        <v>0</v>
      </c>
      <c r="CI18" s="58">
        <f t="shared" si="50"/>
        <v>0</v>
      </c>
      <c r="CJ18" s="58">
        <f t="shared" si="15"/>
        <v>0</v>
      </c>
      <c r="CK18" s="58">
        <f t="shared" si="15"/>
        <v>0</v>
      </c>
      <c r="CL18" s="62">
        <f t="shared" si="15"/>
        <v>0</v>
      </c>
      <c r="CM18" s="61">
        <f t="shared" si="51"/>
        <v>0</v>
      </c>
      <c r="CN18" s="58">
        <f t="shared" si="51"/>
        <v>0</v>
      </c>
      <c r="CO18" s="58">
        <f t="shared" si="51"/>
        <v>0</v>
      </c>
      <c r="CP18" s="58">
        <f t="shared" si="51"/>
        <v>0</v>
      </c>
      <c r="CQ18" s="58">
        <f t="shared" si="51"/>
        <v>0</v>
      </c>
      <c r="CR18" s="58">
        <f t="shared" si="17"/>
        <v>0</v>
      </c>
      <c r="CS18" s="58">
        <f t="shared" si="17"/>
        <v>0</v>
      </c>
      <c r="CT18" s="62">
        <f t="shared" si="17"/>
        <v>0</v>
      </c>
      <c r="CU18" s="235"/>
    </row>
    <row r="19" spans="1:99" ht="26.25" hidden="1" customHeight="1" outlineLevel="1" x14ac:dyDescent="0.4">
      <c r="A19" s="350">
        <v>7</v>
      </c>
      <c r="B19" s="350" t="s">
        <v>47</v>
      </c>
      <c r="C19" s="350" t="s">
        <v>343</v>
      </c>
      <c r="D19" s="352" t="s">
        <v>344</v>
      </c>
      <c r="E19" s="352" t="s">
        <v>437</v>
      </c>
      <c r="F19" s="352" t="s">
        <v>438</v>
      </c>
      <c r="G19" s="490" t="s">
        <v>439</v>
      </c>
      <c r="H19" s="446">
        <f t="shared" ref="H19:H50" si="52">SUM(AZ19:BF19)</f>
        <v>0</v>
      </c>
      <c r="I19" s="446">
        <f t="shared" ref="I19:I50" si="53">SUM(AZ20:BF20)</f>
        <v>0</v>
      </c>
      <c r="J19" s="241"/>
      <c r="K19" s="243"/>
      <c r="L19" s="243"/>
      <c r="M19" s="245"/>
      <c r="N19" s="47" t="s">
        <v>24</v>
      </c>
      <c r="O19" s="10">
        <f>(12)/120</f>
        <v>0.1</v>
      </c>
      <c r="P19" s="10">
        <f t="shared" si="0"/>
        <v>0</v>
      </c>
      <c r="Q19" s="10">
        <f t="shared" si="1"/>
        <v>0</v>
      </c>
      <c r="R19" s="10">
        <f>(25)/120</f>
        <v>0.20833333333333334</v>
      </c>
      <c r="S19" s="10">
        <f t="shared" si="1"/>
        <v>0</v>
      </c>
      <c r="T19" s="10">
        <f t="shared" si="1"/>
        <v>0</v>
      </c>
      <c r="U19" s="79">
        <f>(15)/120</f>
        <v>0.125</v>
      </c>
      <c r="V19" s="19">
        <f t="shared" ref="V19:V24" si="54">(0)/142.5</f>
        <v>0</v>
      </c>
      <c r="W19" s="10">
        <f t="shared" si="46"/>
        <v>0</v>
      </c>
      <c r="X19" s="10">
        <f t="shared" ref="X19:X24" si="55">(0)/142.5</f>
        <v>0</v>
      </c>
      <c r="Y19" s="10">
        <f t="shared" si="18"/>
        <v>0</v>
      </c>
      <c r="Z19" s="10">
        <f t="shared" si="21"/>
        <v>0</v>
      </c>
      <c r="AA19" s="10">
        <f t="shared" si="21"/>
        <v>0</v>
      </c>
      <c r="AB19" s="71">
        <f t="shared" ref="AB19:AG36" si="56">0/165</f>
        <v>0</v>
      </c>
      <c r="AC19" s="10">
        <f t="shared" si="56"/>
        <v>0</v>
      </c>
      <c r="AD19" s="10">
        <f t="shared" si="23"/>
        <v>0</v>
      </c>
      <c r="AE19" s="10">
        <f t="shared" si="23"/>
        <v>0</v>
      </c>
      <c r="AF19" s="10">
        <f t="shared" si="23"/>
        <v>0</v>
      </c>
      <c r="AG19" s="188">
        <f t="shared" si="23"/>
        <v>0</v>
      </c>
      <c r="AH19" s="71">
        <f t="shared" si="3"/>
        <v>0</v>
      </c>
      <c r="AI19" s="10">
        <f t="shared" si="3"/>
        <v>0</v>
      </c>
      <c r="AJ19" s="10">
        <f t="shared" si="3"/>
        <v>0</v>
      </c>
      <c r="AK19" s="10">
        <f t="shared" si="3"/>
        <v>0</v>
      </c>
      <c r="AL19" s="10">
        <f t="shared" si="3"/>
        <v>0</v>
      </c>
      <c r="AM19" s="10">
        <f t="shared" si="3"/>
        <v>0</v>
      </c>
      <c r="AN19" s="71">
        <f t="shared" si="48"/>
        <v>0</v>
      </c>
      <c r="AO19" s="10">
        <f t="shared" si="25"/>
        <v>0</v>
      </c>
      <c r="AP19" s="10">
        <f t="shared" si="25"/>
        <v>0</v>
      </c>
      <c r="AQ19" s="10">
        <f t="shared" si="25"/>
        <v>0</v>
      </c>
      <c r="AR19" s="10">
        <f t="shared" si="25"/>
        <v>0</v>
      </c>
      <c r="AS19" s="188">
        <f t="shared" si="26"/>
        <v>0</v>
      </c>
      <c r="AT19" s="189">
        <f t="shared" si="27"/>
        <v>0</v>
      </c>
      <c r="AU19" s="10">
        <f t="shared" si="27"/>
        <v>0</v>
      </c>
      <c r="AV19" s="10">
        <f t="shared" si="28"/>
        <v>0</v>
      </c>
      <c r="AW19" s="10">
        <f t="shared" si="28"/>
        <v>0</v>
      </c>
      <c r="AX19" s="10">
        <f t="shared" si="28"/>
        <v>0</v>
      </c>
      <c r="AY19" s="17">
        <f t="shared" si="28"/>
        <v>0</v>
      </c>
      <c r="AZ19" s="19">
        <f t="shared" si="41"/>
        <v>0</v>
      </c>
      <c r="BA19" s="10">
        <f t="shared" si="41"/>
        <v>0</v>
      </c>
      <c r="BB19" s="10">
        <f t="shared" si="41"/>
        <v>0</v>
      </c>
      <c r="BC19" s="10">
        <f t="shared" si="41"/>
        <v>0</v>
      </c>
      <c r="BD19" s="10">
        <f t="shared" si="41"/>
        <v>0</v>
      </c>
      <c r="BE19" s="10">
        <f t="shared" si="41"/>
        <v>0</v>
      </c>
      <c r="BF19" s="10">
        <f t="shared" si="41"/>
        <v>0</v>
      </c>
      <c r="BG19" s="19">
        <f t="shared" si="49"/>
        <v>0</v>
      </c>
      <c r="BH19" s="10">
        <f t="shared" si="49"/>
        <v>0</v>
      </c>
      <c r="BI19" s="10">
        <f t="shared" si="49"/>
        <v>0</v>
      </c>
      <c r="BJ19" s="10">
        <f t="shared" si="49"/>
        <v>0</v>
      </c>
      <c r="BK19" s="10">
        <f t="shared" si="49"/>
        <v>0</v>
      </c>
      <c r="BL19" s="10">
        <f t="shared" si="9"/>
        <v>0</v>
      </c>
      <c r="BM19" s="10">
        <f t="shared" si="9"/>
        <v>0</v>
      </c>
      <c r="BN19" s="17">
        <f t="shared" si="9"/>
        <v>0</v>
      </c>
      <c r="BO19" s="19">
        <f t="shared" ref="BO19:BS28" si="57">0/157.5</f>
        <v>0</v>
      </c>
      <c r="BP19" s="10">
        <f t="shared" si="57"/>
        <v>0</v>
      </c>
      <c r="BQ19" s="10">
        <f t="shared" si="57"/>
        <v>0</v>
      </c>
      <c r="BR19" s="10">
        <f t="shared" si="57"/>
        <v>0</v>
      </c>
      <c r="BS19" s="10">
        <f t="shared" si="57"/>
        <v>0</v>
      </c>
      <c r="BT19" s="10">
        <f t="shared" si="11"/>
        <v>0</v>
      </c>
      <c r="BU19" s="10">
        <f t="shared" si="11"/>
        <v>0</v>
      </c>
      <c r="BV19" s="17">
        <f t="shared" si="11"/>
        <v>0</v>
      </c>
      <c r="BW19" s="71">
        <f t="shared" si="33"/>
        <v>0</v>
      </c>
      <c r="BX19" s="10">
        <f t="shared" si="12"/>
        <v>0</v>
      </c>
      <c r="BY19" s="10">
        <f t="shared" si="12"/>
        <v>0</v>
      </c>
      <c r="BZ19" s="10">
        <f t="shared" si="12"/>
        <v>0</v>
      </c>
      <c r="CA19" s="10">
        <f t="shared" si="12"/>
        <v>0</v>
      </c>
      <c r="CB19" s="10">
        <f t="shared" si="13"/>
        <v>0</v>
      </c>
      <c r="CC19" s="10">
        <f t="shared" si="13"/>
        <v>0</v>
      </c>
      <c r="CD19" s="17">
        <f t="shared" si="13"/>
        <v>0</v>
      </c>
      <c r="CE19" s="19">
        <f t="shared" si="50"/>
        <v>0</v>
      </c>
      <c r="CF19" s="10">
        <f t="shared" si="50"/>
        <v>0</v>
      </c>
      <c r="CG19" s="10">
        <f t="shared" si="50"/>
        <v>0</v>
      </c>
      <c r="CH19" s="10">
        <f t="shared" si="50"/>
        <v>0</v>
      </c>
      <c r="CI19" s="10">
        <f t="shared" si="50"/>
        <v>0</v>
      </c>
      <c r="CJ19" s="10">
        <f t="shared" si="15"/>
        <v>0</v>
      </c>
      <c r="CK19" s="10">
        <f t="shared" si="15"/>
        <v>0</v>
      </c>
      <c r="CL19" s="17">
        <f t="shared" si="15"/>
        <v>0</v>
      </c>
      <c r="CM19" s="19">
        <f t="shared" si="51"/>
        <v>0</v>
      </c>
      <c r="CN19" s="10">
        <f t="shared" si="51"/>
        <v>0</v>
      </c>
      <c r="CO19" s="10">
        <f t="shared" si="51"/>
        <v>0</v>
      </c>
      <c r="CP19" s="10">
        <f t="shared" si="51"/>
        <v>0</v>
      </c>
      <c r="CQ19" s="10">
        <f t="shared" si="51"/>
        <v>0</v>
      </c>
      <c r="CR19" s="10">
        <f t="shared" si="17"/>
        <v>0</v>
      </c>
      <c r="CS19" s="10">
        <f t="shared" si="17"/>
        <v>0</v>
      </c>
      <c r="CT19" s="17">
        <f t="shared" si="17"/>
        <v>0</v>
      </c>
      <c r="CU19" s="235"/>
    </row>
    <row r="20" spans="1:99" ht="26.25" hidden="1" customHeight="1" outlineLevel="1" x14ac:dyDescent="0.4">
      <c r="A20" s="351"/>
      <c r="B20" s="351"/>
      <c r="C20" s="351"/>
      <c r="D20" s="353"/>
      <c r="E20" s="353"/>
      <c r="F20" s="353"/>
      <c r="G20" s="491"/>
      <c r="H20" s="447"/>
      <c r="I20" s="447"/>
      <c r="J20" s="242"/>
      <c r="K20" s="244"/>
      <c r="L20" s="244"/>
      <c r="M20" s="246"/>
      <c r="N20" s="38" t="s">
        <v>25</v>
      </c>
      <c r="O20" s="38">
        <f>(1+4.75+0.5)/120</f>
        <v>5.2083333333333336E-2</v>
      </c>
      <c r="P20" s="11">
        <f t="shared" si="0"/>
        <v>0</v>
      </c>
      <c r="Q20" s="11">
        <f t="shared" si="1"/>
        <v>0</v>
      </c>
      <c r="R20" s="11">
        <f>(3.5+16+6+2.5)/120</f>
        <v>0.23333333333333334</v>
      </c>
      <c r="S20" s="11">
        <f t="shared" si="1"/>
        <v>0</v>
      </c>
      <c r="T20" s="11">
        <f>(0)/120</f>
        <v>0</v>
      </c>
      <c r="U20" s="48">
        <f>(3.5+9+2)/120</f>
        <v>0.12083333333333333</v>
      </c>
      <c r="V20" s="56">
        <f t="shared" si="54"/>
        <v>0</v>
      </c>
      <c r="W20" s="11">
        <f t="shared" si="46"/>
        <v>0</v>
      </c>
      <c r="X20" s="11">
        <f t="shared" si="55"/>
        <v>0</v>
      </c>
      <c r="Y20" s="11">
        <f t="shared" si="18"/>
        <v>0</v>
      </c>
      <c r="Z20" s="11">
        <f t="shared" si="21"/>
        <v>0</v>
      </c>
      <c r="AA20" s="11">
        <f t="shared" si="21"/>
        <v>0</v>
      </c>
      <c r="AB20" s="56">
        <f t="shared" si="56"/>
        <v>0</v>
      </c>
      <c r="AC20" s="11">
        <f t="shared" si="56"/>
        <v>0</v>
      </c>
      <c r="AD20" s="11">
        <f t="shared" si="23"/>
        <v>0</v>
      </c>
      <c r="AE20" s="11">
        <f t="shared" si="23"/>
        <v>0</v>
      </c>
      <c r="AF20" s="11">
        <f t="shared" si="23"/>
        <v>0</v>
      </c>
      <c r="AG20" s="48">
        <f t="shared" si="23"/>
        <v>0</v>
      </c>
      <c r="AH20" s="56">
        <f t="shared" si="3"/>
        <v>0</v>
      </c>
      <c r="AI20" s="11">
        <f t="shared" si="3"/>
        <v>0</v>
      </c>
      <c r="AJ20" s="11">
        <f t="shared" si="3"/>
        <v>0</v>
      </c>
      <c r="AK20" s="11">
        <f t="shared" si="3"/>
        <v>0</v>
      </c>
      <c r="AL20" s="11">
        <f t="shared" si="3"/>
        <v>0</v>
      </c>
      <c r="AM20" s="11">
        <f t="shared" si="3"/>
        <v>0</v>
      </c>
      <c r="AN20" s="56">
        <f t="shared" si="48"/>
        <v>0</v>
      </c>
      <c r="AO20" s="11">
        <f t="shared" si="25"/>
        <v>0</v>
      </c>
      <c r="AP20" s="11">
        <f t="shared" si="25"/>
        <v>0</v>
      </c>
      <c r="AQ20" s="11">
        <f t="shared" si="25"/>
        <v>0</v>
      </c>
      <c r="AR20" s="11">
        <f t="shared" si="25"/>
        <v>0</v>
      </c>
      <c r="AS20" s="48">
        <f t="shared" si="26"/>
        <v>0</v>
      </c>
      <c r="AT20" s="61">
        <f t="shared" si="27"/>
        <v>0</v>
      </c>
      <c r="AU20" s="58">
        <f t="shared" si="27"/>
        <v>0</v>
      </c>
      <c r="AV20" s="58">
        <f t="shared" si="28"/>
        <v>0</v>
      </c>
      <c r="AW20" s="58">
        <f t="shared" si="28"/>
        <v>0</v>
      </c>
      <c r="AX20" s="58">
        <f t="shared" si="28"/>
        <v>0</v>
      </c>
      <c r="AY20" s="62">
        <f t="shared" si="28"/>
        <v>0</v>
      </c>
      <c r="AZ20" s="61">
        <f t="shared" si="41"/>
        <v>0</v>
      </c>
      <c r="BA20" s="58">
        <f t="shared" si="41"/>
        <v>0</v>
      </c>
      <c r="BB20" s="58">
        <f t="shared" si="41"/>
        <v>0</v>
      </c>
      <c r="BC20" s="58">
        <f t="shared" si="41"/>
        <v>0</v>
      </c>
      <c r="BD20" s="58">
        <f t="shared" si="41"/>
        <v>0</v>
      </c>
      <c r="BE20" s="58">
        <f t="shared" si="41"/>
        <v>0</v>
      </c>
      <c r="BF20" s="58">
        <f t="shared" si="41"/>
        <v>0</v>
      </c>
      <c r="BG20" s="61">
        <f t="shared" si="49"/>
        <v>0</v>
      </c>
      <c r="BH20" s="58">
        <f t="shared" si="49"/>
        <v>0</v>
      </c>
      <c r="BI20" s="58">
        <f t="shared" si="49"/>
        <v>0</v>
      </c>
      <c r="BJ20" s="58">
        <f t="shared" si="49"/>
        <v>0</v>
      </c>
      <c r="BK20" s="58">
        <f t="shared" si="49"/>
        <v>0</v>
      </c>
      <c r="BL20" s="58">
        <f t="shared" si="9"/>
        <v>0</v>
      </c>
      <c r="BM20" s="58">
        <f t="shared" si="9"/>
        <v>0</v>
      </c>
      <c r="BN20" s="62">
        <f t="shared" si="9"/>
        <v>0</v>
      </c>
      <c r="BO20" s="61">
        <f t="shared" si="57"/>
        <v>0</v>
      </c>
      <c r="BP20" s="58">
        <f t="shared" si="57"/>
        <v>0</v>
      </c>
      <c r="BQ20" s="58">
        <f t="shared" si="57"/>
        <v>0</v>
      </c>
      <c r="BR20" s="58">
        <f t="shared" si="57"/>
        <v>0</v>
      </c>
      <c r="BS20" s="58">
        <f t="shared" si="57"/>
        <v>0</v>
      </c>
      <c r="BT20" s="58">
        <f t="shared" si="11"/>
        <v>0</v>
      </c>
      <c r="BU20" s="58">
        <f t="shared" si="11"/>
        <v>0</v>
      </c>
      <c r="BV20" s="62">
        <f t="shared" si="11"/>
        <v>0</v>
      </c>
      <c r="BW20" s="61">
        <f t="shared" si="33"/>
        <v>0</v>
      </c>
      <c r="BX20" s="58">
        <f t="shared" si="12"/>
        <v>0</v>
      </c>
      <c r="BY20" s="58">
        <f t="shared" si="12"/>
        <v>0</v>
      </c>
      <c r="BZ20" s="58">
        <f t="shared" si="12"/>
        <v>0</v>
      </c>
      <c r="CA20" s="58">
        <f t="shared" si="12"/>
        <v>0</v>
      </c>
      <c r="CB20" s="58">
        <f t="shared" si="13"/>
        <v>0</v>
      </c>
      <c r="CC20" s="58">
        <f t="shared" si="13"/>
        <v>0</v>
      </c>
      <c r="CD20" s="62">
        <f t="shared" si="13"/>
        <v>0</v>
      </c>
      <c r="CE20" s="61">
        <f t="shared" si="50"/>
        <v>0</v>
      </c>
      <c r="CF20" s="58">
        <f t="shared" si="50"/>
        <v>0</v>
      </c>
      <c r="CG20" s="58">
        <f t="shared" si="50"/>
        <v>0</v>
      </c>
      <c r="CH20" s="58">
        <f t="shared" si="50"/>
        <v>0</v>
      </c>
      <c r="CI20" s="58">
        <f t="shared" si="50"/>
        <v>0</v>
      </c>
      <c r="CJ20" s="58">
        <f t="shared" si="15"/>
        <v>0</v>
      </c>
      <c r="CK20" s="58">
        <f t="shared" si="15"/>
        <v>0</v>
      </c>
      <c r="CL20" s="62">
        <f t="shared" si="15"/>
        <v>0</v>
      </c>
      <c r="CM20" s="61">
        <f t="shared" si="51"/>
        <v>0</v>
      </c>
      <c r="CN20" s="58">
        <f t="shared" si="51"/>
        <v>0</v>
      </c>
      <c r="CO20" s="58">
        <f t="shared" si="51"/>
        <v>0</v>
      </c>
      <c r="CP20" s="58">
        <f t="shared" si="51"/>
        <v>0</v>
      </c>
      <c r="CQ20" s="58">
        <f t="shared" si="51"/>
        <v>0</v>
      </c>
      <c r="CR20" s="58">
        <f t="shared" si="17"/>
        <v>0</v>
      </c>
      <c r="CS20" s="58">
        <f t="shared" si="17"/>
        <v>0</v>
      </c>
      <c r="CT20" s="62">
        <f t="shared" si="17"/>
        <v>0</v>
      </c>
      <c r="CU20" s="235"/>
    </row>
    <row r="21" spans="1:99" ht="26.25" hidden="1" customHeight="1" outlineLevel="1" x14ac:dyDescent="0.4">
      <c r="A21" s="350">
        <v>8</v>
      </c>
      <c r="B21" s="350" t="s">
        <v>47</v>
      </c>
      <c r="C21" s="350" t="s">
        <v>343</v>
      </c>
      <c r="D21" s="352" t="s">
        <v>344</v>
      </c>
      <c r="E21" s="352" t="s">
        <v>440</v>
      </c>
      <c r="F21" s="352" t="s">
        <v>441</v>
      </c>
      <c r="G21" s="490" t="s">
        <v>442</v>
      </c>
      <c r="H21" s="446">
        <f t="shared" ref="H21:H52" si="58">SUM(AZ21:BF21)</f>
        <v>0</v>
      </c>
      <c r="I21" s="446">
        <f t="shared" ref="I21:I52" si="59">SUM(AZ22:BF22)</f>
        <v>0</v>
      </c>
      <c r="J21" s="448"/>
      <c r="K21" s="452"/>
      <c r="L21" s="452"/>
      <c r="M21" s="450"/>
      <c r="N21" s="47" t="s">
        <v>24</v>
      </c>
      <c r="O21" s="10">
        <f>(5)/120</f>
        <v>4.1666666666666664E-2</v>
      </c>
      <c r="P21" s="10">
        <f t="shared" si="0"/>
        <v>0</v>
      </c>
      <c r="Q21" s="10">
        <f t="shared" si="1"/>
        <v>0</v>
      </c>
      <c r="R21" s="10">
        <f t="shared" si="1"/>
        <v>0</v>
      </c>
      <c r="S21" s="10">
        <f t="shared" si="1"/>
        <v>0</v>
      </c>
      <c r="T21" s="10">
        <f>(30)/120</f>
        <v>0.25</v>
      </c>
      <c r="U21" s="79">
        <f t="shared" si="1"/>
        <v>0</v>
      </c>
      <c r="V21" s="19">
        <f t="shared" si="54"/>
        <v>0</v>
      </c>
      <c r="W21" s="10">
        <f t="shared" si="46"/>
        <v>0</v>
      </c>
      <c r="X21" s="10">
        <f t="shared" si="55"/>
        <v>0</v>
      </c>
      <c r="Y21" s="10">
        <f t="shared" si="18"/>
        <v>0</v>
      </c>
      <c r="Z21" s="10">
        <f t="shared" si="21"/>
        <v>0</v>
      </c>
      <c r="AA21" s="10">
        <f t="shared" si="21"/>
        <v>0</v>
      </c>
      <c r="AB21" s="71">
        <f t="shared" si="56"/>
        <v>0</v>
      </c>
      <c r="AC21" s="10">
        <f t="shared" si="56"/>
        <v>0</v>
      </c>
      <c r="AD21" s="10">
        <f t="shared" si="23"/>
        <v>0</v>
      </c>
      <c r="AE21" s="10">
        <f t="shared" si="23"/>
        <v>0</v>
      </c>
      <c r="AF21" s="10">
        <f t="shared" si="23"/>
        <v>0</v>
      </c>
      <c r="AG21" s="188">
        <f t="shared" si="23"/>
        <v>0</v>
      </c>
      <c r="AH21" s="71">
        <f t="shared" si="3"/>
        <v>0</v>
      </c>
      <c r="AI21" s="10">
        <f t="shared" si="3"/>
        <v>0</v>
      </c>
      <c r="AJ21" s="10">
        <f t="shared" si="3"/>
        <v>0</v>
      </c>
      <c r="AK21" s="10">
        <f t="shared" si="3"/>
        <v>0</v>
      </c>
      <c r="AL21" s="10">
        <f t="shared" si="3"/>
        <v>0</v>
      </c>
      <c r="AM21" s="10">
        <f t="shared" si="3"/>
        <v>0</v>
      </c>
      <c r="AN21" s="71">
        <f t="shared" si="48"/>
        <v>0</v>
      </c>
      <c r="AO21" s="10">
        <f t="shared" si="25"/>
        <v>0</v>
      </c>
      <c r="AP21" s="10">
        <f t="shared" si="25"/>
        <v>0</v>
      </c>
      <c r="AQ21" s="10">
        <f t="shared" si="25"/>
        <v>0</v>
      </c>
      <c r="AR21" s="10">
        <f t="shared" si="25"/>
        <v>0</v>
      </c>
      <c r="AS21" s="188">
        <f t="shared" si="26"/>
        <v>0</v>
      </c>
      <c r="AT21" s="189">
        <f t="shared" si="27"/>
        <v>0</v>
      </c>
      <c r="AU21" s="10">
        <f t="shared" si="27"/>
        <v>0</v>
      </c>
      <c r="AV21" s="10">
        <f t="shared" si="28"/>
        <v>0</v>
      </c>
      <c r="AW21" s="10">
        <f t="shared" si="28"/>
        <v>0</v>
      </c>
      <c r="AX21" s="10">
        <f t="shared" si="28"/>
        <v>0</v>
      </c>
      <c r="AY21" s="17">
        <f t="shared" si="28"/>
        <v>0</v>
      </c>
      <c r="AZ21" s="19">
        <f t="shared" si="41"/>
        <v>0</v>
      </c>
      <c r="BA21" s="10">
        <f t="shared" si="41"/>
        <v>0</v>
      </c>
      <c r="BB21" s="10">
        <f t="shared" si="41"/>
        <v>0</v>
      </c>
      <c r="BC21" s="10">
        <f t="shared" si="41"/>
        <v>0</v>
      </c>
      <c r="BD21" s="10">
        <f t="shared" si="41"/>
        <v>0</v>
      </c>
      <c r="BE21" s="10">
        <f t="shared" si="41"/>
        <v>0</v>
      </c>
      <c r="BF21" s="10">
        <f t="shared" si="41"/>
        <v>0</v>
      </c>
      <c r="BG21" s="19">
        <f t="shared" si="49"/>
        <v>0</v>
      </c>
      <c r="BH21" s="10">
        <f t="shared" si="49"/>
        <v>0</v>
      </c>
      <c r="BI21" s="10">
        <f t="shared" si="49"/>
        <v>0</v>
      </c>
      <c r="BJ21" s="10">
        <f t="shared" si="49"/>
        <v>0</v>
      </c>
      <c r="BK21" s="10">
        <f t="shared" si="49"/>
        <v>0</v>
      </c>
      <c r="BL21" s="10">
        <f t="shared" si="9"/>
        <v>0</v>
      </c>
      <c r="BM21" s="10">
        <f t="shared" si="9"/>
        <v>0</v>
      </c>
      <c r="BN21" s="17">
        <f t="shared" si="9"/>
        <v>0</v>
      </c>
      <c r="BO21" s="19">
        <f t="shared" si="57"/>
        <v>0</v>
      </c>
      <c r="BP21" s="10">
        <f t="shared" si="57"/>
        <v>0</v>
      </c>
      <c r="BQ21" s="10">
        <f t="shared" si="57"/>
        <v>0</v>
      </c>
      <c r="BR21" s="10">
        <f t="shared" si="57"/>
        <v>0</v>
      </c>
      <c r="BS21" s="10">
        <f t="shared" si="57"/>
        <v>0</v>
      </c>
      <c r="BT21" s="10">
        <f t="shared" si="11"/>
        <v>0</v>
      </c>
      <c r="BU21" s="10">
        <f t="shared" si="11"/>
        <v>0</v>
      </c>
      <c r="BV21" s="17">
        <f t="shared" si="11"/>
        <v>0</v>
      </c>
      <c r="BW21" s="71">
        <f t="shared" si="33"/>
        <v>0</v>
      </c>
      <c r="BX21" s="10">
        <f t="shared" si="12"/>
        <v>0</v>
      </c>
      <c r="BY21" s="10">
        <f t="shared" si="12"/>
        <v>0</v>
      </c>
      <c r="BZ21" s="10">
        <f t="shared" si="12"/>
        <v>0</v>
      </c>
      <c r="CA21" s="10">
        <f t="shared" si="12"/>
        <v>0</v>
      </c>
      <c r="CB21" s="10">
        <f t="shared" si="13"/>
        <v>0</v>
      </c>
      <c r="CC21" s="10">
        <f t="shared" si="13"/>
        <v>0</v>
      </c>
      <c r="CD21" s="17">
        <f t="shared" si="13"/>
        <v>0</v>
      </c>
      <c r="CE21" s="19">
        <f t="shared" si="50"/>
        <v>0</v>
      </c>
      <c r="CF21" s="10">
        <f t="shared" si="50"/>
        <v>0</v>
      </c>
      <c r="CG21" s="10">
        <f t="shared" si="50"/>
        <v>0</v>
      </c>
      <c r="CH21" s="10">
        <f t="shared" si="50"/>
        <v>0</v>
      </c>
      <c r="CI21" s="10">
        <f t="shared" si="50"/>
        <v>0</v>
      </c>
      <c r="CJ21" s="10">
        <f t="shared" si="15"/>
        <v>0</v>
      </c>
      <c r="CK21" s="10">
        <f t="shared" si="15"/>
        <v>0</v>
      </c>
      <c r="CL21" s="17">
        <f t="shared" si="15"/>
        <v>0</v>
      </c>
      <c r="CM21" s="19">
        <f t="shared" si="51"/>
        <v>0</v>
      </c>
      <c r="CN21" s="10">
        <f t="shared" si="51"/>
        <v>0</v>
      </c>
      <c r="CO21" s="10">
        <f t="shared" si="51"/>
        <v>0</v>
      </c>
      <c r="CP21" s="10">
        <f t="shared" si="51"/>
        <v>0</v>
      </c>
      <c r="CQ21" s="10">
        <f t="shared" si="51"/>
        <v>0</v>
      </c>
      <c r="CR21" s="10">
        <f t="shared" si="17"/>
        <v>0</v>
      </c>
      <c r="CS21" s="10">
        <f t="shared" si="17"/>
        <v>0</v>
      </c>
      <c r="CT21" s="17">
        <f t="shared" si="17"/>
        <v>0</v>
      </c>
      <c r="CU21" s="235"/>
    </row>
    <row r="22" spans="1:99" ht="26.25" hidden="1" customHeight="1" outlineLevel="1" x14ac:dyDescent="0.4">
      <c r="A22" s="351"/>
      <c r="B22" s="351"/>
      <c r="C22" s="351"/>
      <c r="D22" s="353"/>
      <c r="E22" s="353"/>
      <c r="F22" s="353"/>
      <c r="G22" s="491"/>
      <c r="H22" s="447"/>
      <c r="I22" s="447"/>
      <c r="J22" s="449"/>
      <c r="K22" s="453"/>
      <c r="L22" s="453"/>
      <c r="M22" s="451"/>
      <c r="N22" s="38" t="s">
        <v>25</v>
      </c>
      <c r="O22" s="38">
        <f>(1.5+3.75+1+0.75)/120</f>
        <v>5.8333333333333334E-2</v>
      </c>
      <c r="P22" s="11">
        <f t="shared" si="0"/>
        <v>0</v>
      </c>
      <c r="Q22" s="11">
        <f t="shared" si="0"/>
        <v>0</v>
      </c>
      <c r="R22" s="11">
        <f t="shared" si="0"/>
        <v>0</v>
      </c>
      <c r="S22" s="11">
        <f>(0+1)/120</f>
        <v>8.3333333333333332E-3</v>
      </c>
      <c r="T22" s="11">
        <f>(0+13.5+6+2.5)/120</f>
        <v>0.18333333333333332</v>
      </c>
      <c r="U22" s="48">
        <f t="shared" si="0"/>
        <v>0</v>
      </c>
      <c r="V22" s="56">
        <f t="shared" si="54"/>
        <v>0</v>
      </c>
      <c r="W22" s="11">
        <f t="shared" si="46"/>
        <v>0</v>
      </c>
      <c r="X22" s="11">
        <f t="shared" si="55"/>
        <v>0</v>
      </c>
      <c r="Y22" s="11">
        <f t="shared" si="18"/>
        <v>0</v>
      </c>
      <c r="Z22" s="11">
        <f t="shared" si="21"/>
        <v>0</v>
      </c>
      <c r="AA22" s="11">
        <f t="shared" si="21"/>
        <v>0</v>
      </c>
      <c r="AB22" s="56">
        <f t="shared" si="56"/>
        <v>0</v>
      </c>
      <c r="AC22" s="11">
        <f t="shared" si="56"/>
        <v>0</v>
      </c>
      <c r="AD22" s="11">
        <f t="shared" si="23"/>
        <v>0</v>
      </c>
      <c r="AE22" s="11">
        <f t="shared" si="23"/>
        <v>0</v>
      </c>
      <c r="AF22" s="11">
        <f t="shared" si="23"/>
        <v>0</v>
      </c>
      <c r="AG22" s="48">
        <f t="shared" si="23"/>
        <v>0</v>
      </c>
      <c r="AH22" s="56">
        <f t="shared" si="3"/>
        <v>0</v>
      </c>
      <c r="AI22" s="11">
        <f t="shared" si="3"/>
        <v>0</v>
      </c>
      <c r="AJ22" s="11">
        <f t="shared" si="3"/>
        <v>0</v>
      </c>
      <c r="AK22" s="11">
        <f t="shared" si="3"/>
        <v>0</v>
      </c>
      <c r="AL22" s="11">
        <f t="shared" si="3"/>
        <v>0</v>
      </c>
      <c r="AM22" s="11">
        <f t="shared" si="3"/>
        <v>0</v>
      </c>
      <c r="AN22" s="56">
        <f t="shared" si="48"/>
        <v>0</v>
      </c>
      <c r="AO22" s="11">
        <f t="shared" si="25"/>
        <v>0</v>
      </c>
      <c r="AP22" s="11">
        <f t="shared" si="25"/>
        <v>0</v>
      </c>
      <c r="AQ22" s="11">
        <f t="shared" si="25"/>
        <v>0</v>
      </c>
      <c r="AR22" s="11">
        <f t="shared" si="25"/>
        <v>0</v>
      </c>
      <c r="AS22" s="48">
        <f t="shared" si="26"/>
        <v>0</v>
      </c>
      <c r="AT22" s="61">
        <f t="shared" si="27"/>
        <v>0</v>
      </c>
      <c r="AU22" s="58">
        <f t="shared" si="27"/>
        <v>0</v>
      </c>
      <c r="AV22" s="58">
        <f t="shared" si="28"/>
        <v>0</v>
      </c>
      <c r="AW22" s="58">
        <f t="shared" si="28"/>
        <v>0</v>
      </c>
      <c r="AX22" s="58">
        <f t="shared" si="28"/>
        <v>0</v>
      </c>
      <c r="AY22" s="62">
        <f t="shared" si="28"/>
        <v>0</v>
      </c>
      <c r="AZ22" s="61">
        <f t="shared" si="41"/>
        <v>0</v>
      </c>
      <c r="BA22" s="58">
        <f t="shared" si="41"/>
        <v>0</v>
      </c>
      <c r="BB22" s="58">
        <f t="shared" si="41"/>
        <v>0</v>
      </c>
      <c r="BC22" s="58">
        <f t="shared" si="41"/>
        <v>0</v>
      </c>
      <c r="BD22" s="58">
        <f t="shared" si="41"/>
        <v>0</v>
      </c>
      <c r="BE22" s="58">
        <f t="shared" si="41"/>
        <v>0</v>
      </c>
      <c r="BF22" s="58">
        <f t="shared" si="41"/>
        <v>0</v>
      </c>
      <c r="BG22" s="61">
        <f t="shared" si="49"/>
        <v>0</v>
      </c>
      <c r="BH22" s="58">
        <f t="shared" si="49"/>
        <v>0</v>
      </c>
      <c r="BI22" s="58">
        <f t="shared" si="49"/>
        <v>0</v>
      </c>
      <c r="BJ22" s="58">
        <f t="shared" si="49"/>
        <v>0</v>
      </c>
      <c r="BK22" s="58">
        <f t="shared" si="49"/>
        <v>0</v>
      </c>
      <c r="BL22" s="58">
        <f t="shared" si="9"/>
        <v>0</v>
      </c>
      <c r="BM22" s="58">
        <f t="shared" si="9"/>
        <v>0</v>
      </c>
      <c r="BN22" s="62">
        <f t="shared" si="9"/>
        <v>0</v>
      </c>
      <c r="BO22" s="61">
        <f t="shared" si="57"/>
        <v>0</v>
      </c>
      <c r="BP22" s="58">
        <f t="shared" si="57"/>
        <v>0</v>
      </c>
      <c r="BQ22" s="58">
        <f t="shared" si="57"/>
        <v>0</v>
      </c>
      <c r="BR22" s="58">
        <f t="shared" si="57"/>
        <v>0</v>
      </c>
      <c r="BS22" s="58">
        <f t="shared" si="57"/>
        <v>0</v>
      </c>
      <c r="BT22" s="58">
        <f t="shared" si="11"/>
        <v>0</v>
      </c>
      <c r="BU22" s="58">
        <f t="shared" si="11"/>
        <v>0</v>
      </c>
      <c r="BV22" s="62">
        <f t="shared" si="11"/>
        <v>0</v>
      </c>
      <c r="BW22" s="61">
        <f t="shared" si="33"/>
        <v>0</v>
      </c>
      <c r="BX22" s="58">
        <f t="shared" si="12"/>
        <v>0</v>
      </c>
      <c r="BY22" s="58">
        <f t="shared" si="12"/>
        <v>0</v>
      </c>
      <c r="BZ22" s="58">
        <f t="shared" si="12"/>
        <v>0</v>
      </c>
      <c r="CA22" s="58">
        <f t="shared" si="12"/>
        <v>0</v>
      </c>
      <c r="CB22" s="58">
        <f t="shared" si="13"/>
        <v>0</v>
      </c>
      <c r="CC22" s="58">
        <f t="shared" si="13"/>
        <v>0</v>
      </c>
      <c r="CD22" s="62">
        <f t="shared" si="13"/>
        <v>0</v>
      </c>
      <c r="CE22" s="61">
        <f t="shared" si="50"/>
        <v>0</v>
      </c>
      <c r="CF22" s="58">
        <f t="shared" si="50"/>
        <v>0</v>
      </c>
      <c r="CG22" s="58">
        <f t="shared" si="50"/>
        <v>0</v>
      </c>
      <c r="CH22" s="58">
        <f t="shared" si="50"/>
        <v>0</v>
      </c>
      <c r="CI22" s="58">
        <f t="shared" si="50"/>
        <v>0</v>
      </c>
      <c r="CJ22" s="58">
        <f t="shared" si="15"/>
        <v>0</v>
      </c>
      <c r="CK22" s="58">
        <f t="shared" si="15"/>
        <v>0</v>
      </c>
      <c r="CL22" s="62">
        <f t="shared" si="15"/>
        <v>0</v>
      </c>
      <c r="CM22" s="61">
        <f t="shared" si="51"/>
        <v>0</v>
      </c>
      <c r="CN22" s="58">
        <f t="shared" si="51"/>
        <v>0</v>
      </c>
      <c r="CO22" s="58">
        <f t="shared" si="51"/>
        <v>0</v>
      </c>
      <c r="CP22" s="58">
        <f t="shared" si="51"/>
        <v>0</v>
      </c>
      <c r="CQ22" s="58">
        <f t="shared" si="51"/>
        <v>0</v>
      </c>
      <c r="CR22" s="58">
        <f t="shared" si="17"/>
        <v>0</v>
      </c>
      <c r="CS22" s="58">
        <f t="shared" si="17"/>
        <v>0</v>
      </c>
      <c r="CT22" s="62">
        <f t="shared" si="17"/>
        <v>0</v>
      </c>
      <c r="CU22" s="235"/>
    </row>
    <row r="23" spans="1:99" ht="26.25" hidden="1" customHeight="1" outlineLevel="1" x14ac:dyDescent="0.4">
      <c r="A23" s="350">
        <v>9</v>
      </c>
      <c r="B23" s="350" t="s">
        <v>47</v>
      </c>
      <c r="C23" s="350" t="s">
        <v>343</v>
      </c>
      <c r="D23" s="352" t="s">
        <v>344</v>
      </c>
      <c r="E23" s="352" t="s">
        <v>465</v>
      </c>
      <c r="F23" s="352"/>
      <c r="G23" s="373" t="s">
        <v>467</v>
      </c>
      <c r="H23" s="446">
        <f t="shared" ref="H23:H54" si="60">SUM(AZ23:BF23)</f>
        <v>0</v>
      </c>
      <c r="I23" s="446">
        <f t="shared" ref="I23:I54" si="61">SUM(AZ24:BF24)</f>
        <v>0</v>
      </c>
      <c r="J23" s="448"/>
      <c r="K23" s="452"/>
      <c r="L23" s="452"/>
      <c r="M23" s="450"/>
      <c r="N23" s="47" t="s">
        <v>24</v>
      </c>
      <c r="O23" s="10">
        <f>(5)/120</f>
        <v>4.1666666666666664E-2</v>
      </c>
      <c r="P23" s="10">
        <f t="shared" si="0"/>
        <v>0</v>
      </c>
      <c r="Q23" s="10">
        <f>(6.5)/120</f>
        <v>5.4166666666666669E-2</v>
      </c>
      <c r="R23" s="10">
        <f t="shared" si="0"/>
        <v>0</v>
      </c>
      <c r="S23" s="10">
        <f>(11.5)/120</f>
        <v>9.583333333333334E-2</v>
      </c>
      <c r="T23" s="10">
        <f t="shared" si="0"/>
        <v>0</v>
      </c>
      <c r="U23" s="79">
        <f>(2)/120</f>
        <v>1.6666666666666666E-2</v>
      </c>
      <c r="V23" s="19">
        <f t="shared" si="54"/>
        <v>0</v>
      </c>
      <c r="W23" s="10">
        <f t="shared" si="46"/>
        <v>0</v>
      </c>
      <c r="X23" s="10">
        <f t="shared" si="55"/>
        <v>0</v>
      </c>
      <c r="Y23" s="10">
        <f t="shared" si="18"/>
        <v>0</v>
      </c>
      <c r="Z23" s="10">
        <f t="shared" si="21"/>
        <v>0</v>
      </c>
      <c r="AA23" s="10">
        <f t="shared" si="21"/>
        <v>0</v>
      </c>
      <c r="AB23" s="71">
        <f t="shared" si="56"/>
        <v>0</v>
      </c>
      <c r="AC23" s="10">
        <f t="shared" si="56"/>
        <v>0</v>
      </c>
      <c r="AD23" s="10">
        <f t="shared" si="56"/>
        <v>0</v>
      </c>
      <c r="AE23" s="10">
        <f t="shared" si="56"/>
        <v>0</v>
      </c>
      <c r="AF23" s="10">
        <f t="shared" si="56"/>
        <v>0</v>
      </c>
      <c r="AG23" s="188">
        <f t="shared" si="56"/>
        <v>0</v>
      </c>
      <c r="AH23" s="71">
        <f t="shared" si="3"/>
        <v>0</v>
      </c>
      <c r="AI23" s="10">
        <f t="shared" si="3"/>
        <v>0</v>
      </c>
      <c r="AJ23" s="10">
        <f t="shared" si="3"/>
        <v>0</v>
      </c>
      <c r="AK23" s="10">
        <f t="shared" si="3"/>
        <v>0</v>
      </c>
      <c r="AL23" s="10">
        <f t="shared" si="3"/>
        <v>0</v>
      </c>
      <c r="AM23" s="10">
        <f t="shared" si="3"/>
        <v>0</v>
      </c>
      <c r="AN23" s="71">
        <f t="shared" si="48"/>
        <v>0</v>
      </c>
      <c r="AO23" s="10">
        <f t="shared" si="48"/>
        <v>0</v>
      </c>
      <c r="AP23" s="10">
        <f t="shared" si="48"/>
        <v>0</v>
      </c>
      <c r="AQ23" s="10">
        <f t="shared" si="48"/>
        <v>0</v>
      </c>
      <c r="AR23" s="10">
        <f t="shared" si="48"/>
        <v>0</v>
      </c>
      <c r="AS23" s="188">
        <f t="shared" ref="AS23:AS38" si="62">0/165</f>
        <v>0</v>
      </c>
      <c r="AT23" s="189">
        <f t="shared" si="27"/>
        <v>0</v>
      </c>
      <c r="AU23" s="10">
        <f t="shared" si="27"/>
        <v>0</v>
      </c>
      <c r="AV23" s="10">
        <f t="shared" si="27"/>
        <v>0</v>
      </c>
      <c r="AW23" s="10">
        <f t="shared" si="27"/>
        <v>0</v>
      </c>
      <c r="AX23" s="10">
        <f t="shared" si="27"/>
        <v>0</v>
      </c>
      <c r="AY23" s="17">
        <f t="shared" si="27"/>
        <v>0</v>
      </c>
      <c r="AZ23" s="19">
        <f t="shared" si="41"/>
        <v>0</v>
      </c>
      <c r="BA23" s="10">
        <f t="shared" si="41"/>
        <v>0</v>
      </c>
      <c r="BB23" s="10">
        <f t="shared" si="41"/>
        <v>0</v>
      </c>
      <c r="BC23" s="10">
        <f t="shared" si="41"/>
        <v>0</v>
      </c>
      <c r="BD23" s="10">
        <f t="shared" si="41"/>
        <v>0</v>
      </c>
      <c r="BE23" s="10">
        <f t="shared" si="41"/>
        <v>0</v>
      </c>
      <c r="BF23" s="10">
        <f t="shared" si="41"/>
        <v>0</v>
      </c>
      <c r="BG23" s="19">
        <f t="shared" si="49"/>
        <v>0</v>
      </c>
      <c r="BH23" s="10">
        <f t="shared" si="49"/>
        <v>0</v>
      </c>
      <c r="BI23" s="10">
        <f t="shared" si="49"/>
        <v>0</v>
      </c>
      <c r="BJ23" s="10">
        <f t="shared" si="49"/>
        <v>0</v>
      </c>
      <c r="BK23" s="10">
        <f t="shared" si="49"/>
        <v>0</v>
      </c>
      <c r="BL23" s="10">
        <f t="shared" ref="BL23:BN54" si="63">0/172.5</f>
        <v>0</v>
      </c>
      <c r="BM23" s="10">
        <f t="shared" si="63"/>
        <v>0</v>
      </c>
      <c r="BN23" s="17">
        <f t="shared" si="63"/>
        <v>0</v>
      </c>
      <c r="BO23" s="19">
        <f t="shared" si="57"/>
        <v>0</v>
      </c>
      <c r="BP23" s="10">
        <f t="shared" si="57"/>
        <v>0</v>
      </c>
      <c r="BQ23" s="10">
        <f t="shared" si="57"/>
        <v>0</v>
      </c>
      <c r="BR23" s="10">
        <f t="shared" si="57"/>
        <v>0</v>
      </c>
      <c r="BS23" s="10">
        <f t="shared" si="57"/>
        <v>0</v>
      </c>
      <c r="BT23" s="10">
        <f t="shared" ref="BT23:BV54" si="64">0/172.5</f>
        <v>0</v>
      </c>
      <c r="BU23" s="10">
        <f t="shared" si="64"/>
        <v>0</v>
      </c>
      <c r="BV23" s="17">
        <f t="shared" si="64"/>
        <v>0</v>
      </c>
      <c r="BW23" s="71">
        <f t="shared" si="33"/>
        <v>0</v>
      </c>
      <c r="BX23" s="10">
        <f t="shared" si="33"/>
        <v>0</v>
      </c>
      <c r="BY23" s="10">
        <f t="shared" si="33"/>
        <v>0</v>
      </c>
      <c r="BZ23" s="10">
        <f t="shared" si="33"/>
        <v>0</v>
      </c>
      <c r="CA23" s="10">
        <f t="shared" si="33"/>
        <v>0</v>
      </c>
      <c r="CB23" s="10">
        <f t="shared" ref="CB23:CD54" si="65">0/172.5</f>
        <v>0</v>
      </c>
      <c r="CC23" s="10">
        <f t="shared" si="65"/>
        <v>0</v>
      </c>
      <c r="CD23" s="17">
        <f t="shared" si="65"/>
        <v>0</v>
      </c>
      <c r="CE23" s="19">
        <f t="shared" si="50"/>
        <v>0</v>
      </c>
      <c r="CF23" s="10">
        <f t="shared" si="50"/>
        <v>0</v>
      </c>
      <c r="CG23" s="10">
        <f t="shared" si="50"/>
        <v>0</v>
      </c>
      <c r="CH23" s="10">
        <f t="shared" si="50"/>
        <v>0</v>
      </c>
      <c r="CI23" s="10">
        <f t="shared" si="50"/>
        <v>0</v>
      </c>
      <c r="CJ23" s="10">
        <f t="shared" ref="CJ23:CL54" si="66">0/172.5</f>
        <v>0</v>
      </c>
      <c r="CK23" s="10">
        <f t="shared" si="66"/>
        <v>0</v>
      </c>
      <c r="CL23" s="17">
        <f t="shared" si="66"/>
        <v>0</v>
      </c>
      <c r="CM23" s="19">
        <f t="shared" si="51"/>
        <v>0</v>
      </c>
      <c r="CN23" s="10">
        <f t="shared" si="51"/>
        <v>0</v>
      </c>
      <c r="CO23" s="10">
        <f t="shared" si="51"/>
        <v>0</v>
      </c>
      <c r="CP23" s="10">
        <f t="shared" si="51"/>
        <v>0</v>
      </c>
      <c r="CQ23" s="10">
        <f t="shared" si="51"/>
        <v>0</v>
      </c>
      <c r="CR23" s="10">
        <f t="shared" ref="CR23:CT54" si="67">0/172.5</f>
        <v>0</v>
      </c>
      <c r="CS23" s="10">
        <f t="shared" si="67"/>
        <v>0</v>
      </c>
      <c r="CT23" s="17">
        <f t="shared" si="67"/>
        <v>0</v>
      </c>
      <c r="CU23" s="235"/>
    </row>
    <row r="24" spans="1:99" ht="26.25" hidden="1" customHeight="1" outlineLevel="1" x14ac:dyDescent="0.4">
      <c r="A24" s="351"/>
      <c r="B24" s="351"/>
      <c r="C24" s="351"/>
      <c r="D24" s="353"/>
      <c r="E24" s="353"/>
      <c r="F24" s="353"/>
      <c r="G24" s="374"/>
      <c r="H24" s="447"/>
      <c r="I24" s="447"/>
      <c r="J24" s="449"/>
      <c r="K24" s="453"/>
      <c r="L24" s="453"/>
      <c r="M24" s="451"/>
      <c r="N24" s="38" t="s">
        <v>25</v>
      </c>
      <c r="O24" s="11">
        <f>(0+3+0.5+0.75)/120</f>
        <v>3.5416666666666666E-2</v>
      </c>
      <c r="P24" s="11">
        <f t="shared" si="0"/>
        <v>0</v>
      </c>
      <c r="Q24" s="11">
        <f>(0+2+2+2)/120</f>
        <v>0.05</v>
      </c>
      <c r="R24" s="11">
        <f>(0)/120</f>
        <v>0</v>
      </c>
      <c r="S24" s="11">
        <f>(0+9.5+2)/120</f>
        <v>9.583333333333334E-2</v>
      </c>
      <c r="T24" s="11">
        <f t="shared" si="0"/>
        <v>0</v>
      </c>
      <c r="U24" s="48">
        <f>(0+2)/120</f>
        <v>1.6666666666666666E-2</v>
      </c>
      <c r="V24" s="56">
        <f t="shared" si="54"/>
        <v>0</v>
      </c>
      <c r="W24" s="11">
        <f t="shared" si="46"/>
        <v>0</v>
      </c>
      <c r="X24" s="11">
        <f t="shared" si="55"/>
        <v>0</v>
      </c>
      <c r="Y24" s="11">
        <f t="shared" si="18"/>
        <v>0</v>
      </c>
      <c r="Z24" s="11">
        <f t="shared" si="21"/>
        <v>0</v>
      </c>
      <c r="AA24" s="11">
        <f t="shared" si="21"/>
        <v>0</v>
      </c>
      <c r="AB24" s="56">
        <f t="shared" si="56"/>
        <v>0</v>
      </c>
      <c r="AC24" s="11">
        <f t="shared" si="56"/>
        <v>0</v>
      </c>
      <c r="AD24" s="11">
        <f t="shared" si="56"/>
        <v>0</v>
      </c>
      <c r="AE24" s="11">
        <f t="shared" si="56"/>
        <v>0</v>
      </c>
      <c r="AF24" s="11">
        <f t="shared" si="56"/>
        <v>0</v>
      </c>
      <c r="AG24" s="48">
        <f t="shared" si="56"/>
        <v>0</v>
      </c>
      <c r="AH24" s="56">
        <f t="shared" si="3"/>
        <v>0</v>
      </c>
      <c r="AI24" s="11">
        <f t="shared" si="3"/>
        <v>0</v>
      </c>
      <c r="AJ24" s="11">
        <f t="shared" si="3"/>
        <v>0</v>
      </c>
      <c r="AK24" s="11">
        <f t="shared" si="3"/>
        <v>0</v>
      </c>
      <c r="AL24" s="11">
        <f t="shared" si="3"/>
        <v>0</v>
      </c>
      <c r="AM24" s="11">
        <f t="shared" si="3"/>
        <v>0</v>
      </c>
      <c r="AN24" s="56">
        <f t="shared" si="48"/>
        <v>0</v>
      </c>
      <c r="AO24" s="11">
        <f t="shared" si="48"/>
        <v>0</v>
      </c>
      <c r="AP24" s="11">
        <f t="shared" si="48"/>
        <v>0</v>
      </c>
      <c r="AQ24" s="11">
        <f t="shared" si="48"/>
        <v>0</v>
      </c>
      <c r="AR24" s="11">
        <f t="shared" si="48"/>
        <v>0</v>
      </c>
      <c r="AS24" s="48">
        <f t="shared" si="62"/>
        <v>0</v>
      </c>
      <c r="AT24" s="61">
        <f t="shared" si="27"/>
        <v>0</v>
      </c>
      <c r="AU24" s="58">
        <f t="shared" si="27"/>
        <v>0</v>
      </c>
      <c r="AV24" s="58">
        <f t="shared" si="27"/>
        <v>0</v>
      </c>
      <c r="AW24" s="58">
        <f t="shared" si="27"/>
        <v>0</v>
      </c>
      <c r="AX24" s="58">
        <f t="shared" si="27"/>
        <v>0</v>
      </c>
      <c r="AY24" s="62">
        <f t="shared" si="27"/>
        <v>0</v>
      </c>
      <c r="AZ24" s="61">
        <f t="shared" si="41"/>
        <v>0</v>
      </c>
      <c r="BA24" s="58">
        <f t="shared" si="41"/>
        <v>0</v>
      </c>
      <c r="BB24" s="58">
        <f t="shared" si="41"/>
        <v>0</v>
      </c>
      <c r="BC24" s="58">
        <f t="shared" si="41"/>
        <v>0</v>
      </c>
      <c r="BD24" s="58">
        <f t="shared" si="41"/>
        <v>0</v>
      </c>
      <c r="BE24" s="58">
        <f t="shared" si="41"/>
        <v>0</v>
      </c>
      <c r="BF24" s="58">
        <f t="shared" si="41"/>
        <v>0</v>
      </c>
      <c r="BG24" s="61">
        <f t="shared" si="49"/>
        <v>0</v>
      </c>
      <c r="BH24" s="58">
        <f t="shared" si="49"/>
        <v>0</v>
      </c>
      <c r="BI24" s="58">
        <f t="shared" si="49"/>
        <v>0</v>
      </c>
      <c r="BJ24" s="58">
        <f t="shared" si="49"/>
        <v>0</v>
      </c>
      <c r="BK24" s="58">
        <f t="shared" si="49"/>
        <v>0</v>
      </c>
      <c r="BL24" s="58">
        <f t="shared" si="63"/>
        <v>0</v>
      </c>
      <c r="BM24" s="58">
        <f t="shared" si="63"/>
        <v>0</v>
      </c>
      <c r="BN24" s="62">
        <f t="shared" si="63"/>
        <v>0</v>
      </c>
      <c r="BO24" s="61">
        <f t="shared" si="57"/>
        <v>0</v>
      </c>
      <c r="BP24" s="58">
        <f t="shared" si="57"/>
        <v>0</v>
      </c>
      <c r="BQ24" s="58">
        <f t="shared" si="57"/>
        <v>0</v>
      </c>
      <c r="BR24" s="58">
        <f t="shared" si="57"/>
        <v>0</v>
      </c>
      <c r="BS24" s="58">
        <f t="shared" si="57"/>
        <v>0</v>
      </c>
      <c r="BT24" s="58">
        <f t="shared" si="64"/>
        <v>0</v>
      </c>
      <c r="BU24" s="58">
        <f t="shared" si="64"/>
        <v>0</v>
      </c>
      <c r="BV24" s="62">
        <f t="shared" si="64"/>
        <v>0</v>
      </c>
      <c r="BW24" s="61">
        <f t="shared" si="33"/>
        <v>0</v>
      </c>
      <c r="BX24" s="58">
        <f t="shared" si="33"/>
        <v>0</v>
      </c>
      <c r="BY24" s="58">
        <f t="shared" si="33"/>
        <v>0</v>
      </c>
      <c r="BZ24" s="58">
        <f t="shared" si="33"/>
        <v>0</v>
      </c>
      <c r="CA24" s="58">
        <f t="shared" si="33"/>
        <v>0</v>
      </c>
      <c r="CB24" s="58">
        <f t="shared" si="65"/>
        <v>0</v>
      </c>
      <c r="CC24" s="58">
        <f t="shared" si="65"/>
        <v>0</v>
      </c>
      <c r="CD24" s="62">
        <f t="shared" si="65"/>
        <v>0</v>
      </c>
      <c r="CE24" s="61">
        <f t="shared" si="50"/>
        <v>0</v>
      </c>
      <c r="CF24" s="58">
        <f t="shared" si="50"/>
        <v>0</v>
      </c>
      <c r="CG24" s="58">
        <f t="shared" si="50"/>
        <v>0</v>
      </c>
      <c r="CH24" s="58">
        <f t="shared" si="50"/>
        <v>0</v>
      </c>
      <c r="CI24" s="58">
        <f t="shared" si="50"/>
        <v>0</v>
      </c>
      <c r="CJ24" s="58">
        <f t="shared" si="66"/>
        <v>0</v>
      </c>
      <c r="CK24" s="58">
        <f t="shared" si="66"/>
        <v>0</v>
      </c>
      <c r="CL24" s="62">
        <f t="shared" si="66"/>
        <v>0</v>
      </c>
      <c r="CM24" s="61">
        <f t="shared" si="51"/>
        <v>0</v>
      </c>
      <c r="CN24" s="58">
        <f t="shared" si="51"/>
        <v>0</v>
      </c>
      <c r="CO24" s="58">
        <f t="shared" si="51"/>
        <v>0</v>
      </c>
      <c r="CP24" s="58">
        <f t="shared" si="51"/>
        <v>0</v>
      </c>
      <c r="CQ24" s="58">
        <f t="shared" si="51"/>
        <v>0</v>
      </c>
      <c r="CR24" s="58">
        <f t="shared" si="67"/>
        <v>0</v>
      </c>
      <c r="CS24" s="58">
        <f t="shared" si="67"/>
        <v>0</v>
      </c>
      <c r="CT24" s="62">
        <f t="shared" si="67"/>
        <v>0</v>
      </c>
      <c r="CU24" s="235"/>
    </row>
    <row r="25" spans="1:99" ht="26.25" hidden="1" customHeight="1" outlineLevel="1" collapsed="1" x14ac:dyDescent="0.4">
      <c r="A25" s="350">
        <v>10</v>
      </c>
      <c r="B25" s="350" t="s">
        <v>46</v>
      </c>
      <c r="C25" s="350" t="s">
        <v>14</v>
      </c>
      <c r="D25" s="352" t="s">
        <v>476</v>
      </c>
      <c r="E25" s="352" t="s">
        <v>473</v>
      </c>
      <c r="F25" s="352" t="s">
        <v>471</v>
      </c>
      <c r="G25" s="375" t="s">
        <v>469</v>
      </c>
      <c r="H25" s="446">
        <f t="shared" ref="H25:H56" si="68">SUM(AZ25:BF25)</f>
        <v>0</v>
      </c>
      <c r="I25" s="446">
        <f t="shared" ref="I25:I56" si="69">SUM(AZ26:BF26)</f>
        <v>0</v>
      </c>
      <c r="J25" s="448"/>
      <c r="K25" s="452"/>
      <c r="L25" s="452"/>
      <c r="M25" s="450"/>
      <c r="N25" s="47" t="s">
        <v>24</v>
      </c>
      <c r="O25" s="10">
        <f>(7)/120</f>
        <v>5.8333333333333334E-2</v>
      </c>
      <c r="P25" s="10">
        <f t="shared" ref="P25:U36" si="70">(0)/120</f>
        <v>0</v>
      </c>
      <c r="Q25" s="10">
        <f>(45)/120</f>
        <v>0.375</v>
      </c>
      <c r="R25" s="10">
        <f t="shared" si="70"/>
        <v>0</v>
      </c>
      <c r="S25" s="10">
        <f t="shared" si="70"/>
        <v>0</v>
      </c>
      <c r="T25" s="10">
        <f t="shared" si="70"/>
        <v>0</v>
      </c>
      <c r="U25" s="79">
        <f>(45)/120</f>
        <v>0.375</v>
      </c>
      <c r="V25" s="19">
        <f>(3)/142.5</f>
        <v>2.1052631578947368E-2</v>
      </c>
      <c r="W25" s="10">
        <f t="shared" si="46"/>
        <v>0</v>
      </c>
      <c r="X25" s="10">
        <f>(15)/142.5</f>
        <v>0.10526315789473684</v>
      </c>
      <c r="Y25" s="10">
        <f t="shared" si="18"/>
        <v>0</v>
      </c>
      <c r="Z25" s="10">
        <f t="shared" ref="Z25:Z32" si="71">(0)/142.5</f>
        <v>0</v>
      </c>
      <c r="AA25" s="10">
        <f>(15)/142.5</f>
        <v>0.10526315789473684</v>
      </c>
      <c r="AB25" s="71">
        <f>(0)/165</f>
        <v>0</v>
      </c>
      <c r="AC25" s="10">
        <f>(0)/165</f>
        <v>0</v>
      </c>
      <c r="AD25" s="10">
        <f t="shared" ref="AD25:AG26" si="72">(0)/165</f>
        <v>0</v>
      </c>
      <c r="AE25" s="10">
        <f t="shared" si="72"/>
        <v>0</v>
      </c>
      <c r="AF25" s="10">
        <f t="shared" si="72"/>
        <v>0</v>
      </c>
      <c r="AG25" s="10">
        <f t="shared" si="72"/>
        <v>0</v>
      </c>
      <c r="AH25" s="71">
        <f t="shared" si="3"/>
        <v>0</v>
      </c>
      <c r="AI25" s="10">
        <f t="shared" si="3"/>
        <v>0</v>
      </c>
      <c r="AJ25" s="10">
        <f t="shared" si="3"/>
        <v>0</v>
      </c>
      <c r="AK25" s="10">
        <f t="shared" si="3"/>
        <v>0</v>
      </c>
      <c r="AL25" s="10">
        <f t="shared" si="3"/>
        <v>0</v>
      </c>
      <c r="AM25" s="10">
        <f t="shared" si="3"/>
        <v>0</v>
      </c>
      <c r="AN25" s="71">
        <f t="shared" si="48"/>
        <v>0</v>
      </c>
      <c r="AO25" s="10">
        <f t="shared" si="48"/>
        <v>0</v>
      </c>
      <c r="AP25" s="10">
        <f t="shared" si="48"/>
        <v>0</v>
      </c>
      <c r="AQ25" s="10">
        <f t="shared" si="48"/>
        <v>0</v>
      </c>
      <c r="AR25" s="10">
        <f t="shared" si="48"/>
        <v>0</v>
      </c>
      <c r="AS25" s="188">
        <f t="shared" si="62"/>
        <v>0</v>
      </c>
      <c r="AT25" s="189">
        <f t="shared" si="27"/>
        <v>0</v>
      </c>
      <c r="AU25" s="10">
        <f t="shared" si="27"/>
        <v>0</v>
      </c>
      <c r="AV25" s="10">
        <f t="shared" si="27"/>
        <v>0</v>
      </c>
      <c r="AW25" s="10">
        <f t="shared" si="27"/>
        <v>0</v>
      </c>
      <c r="AX25" s="10">
        <f t="shared" si="27"/>
        <v>0</v>
      </c>
      <c r="AY25" s="17">
        <f t="shared" si="27"/>
        <v>0</v>
      </c>
      <c r="AZ25" s="19">
        <f t="shared" si="41"/>
        <v>0</v>
      </c>
      <c r="BA25" s="10">
        <f t="shared" si="41"/>
        <v>0</v>
      </c>
      <c r="BB25" s="10">
        <f t="shared" si="41"/>
        <v>0</v>
      </c>
      <c r="BC25" s="10">
        <f t="shared" si="41"/>
        <v>0</v>
      </c>
      <c r="BD25" s="10">
        <f t="shared" si="41"/>
        <v>0</v>
      </c>
      <c r="BE25" s="10">
        <f t="shared" si="41"/>
        <v>0</v>
      </c>
      <c r="BF25" s="10">
        <f t="shared" si="41"/>
        <v>0</v>
      </c>
      <c r="BG25" s="19">
        <f t="shared" si="49"/>
        <v>0</v>
      </c>
      <c r="BH25" s="10">
        <f t="shared" si="49"/>
        <v>0</v>
      </c>
      <c r="BI25" s="10">
        <f t="shared" si="49"/>
        <v>0</v>
      </c>
      <c r="BJ25" s="10">
        <f t="shared" si="49"/>
        <v>0</v>
      </c>
      <c r="BK25" s="10">
        <f t="shared" si="49"/>
        <v>0</v>
      </c>
      <c r="BL25" s="10">
        <f t="shared" si="63"/>
        <v>0</v>
      </c>
      <c r="BM25" s="10">
        <f t="shared" si="63"/>
        <v>0</v>
      </c>
      <c r="BN25" s="17">
        <f t="shared" si="63"/>
        <v>0</v>
      </c>
      <c r="BO25" s="19">
        <f t="shared" si="57"/>
        <v>0</v>
      </c>
      <c r="BP25" s="10">
        <f t="shared" si="57"/>
        <v>0</v>
      </c>
      <c r="BQ25" s="10">
        <f t="shared" si="57"/>
        <v>0</v>
      </c>
      <c r="BR25" s="10">
        <f t="shared" si="57"/>
        <v>0</v>
      </c>
      <c r="BS25" s="10">
        <f t="shared" si="57"/>
        <v>0</v>
      </c>
      <c r="BT25" s="10">
        <f t="shared" si="64"/>
        <v>0</v>
      </c>
      <c r="BU25" s="10">
        <f t="shared" si="64"/>
        <v>0</v>
      </c>
      <c r="BV25" s="17">
        <f t="shared" si="64"/>
        <v>0</v>
      </c>
      <c r="BW25" s="71">
        <f t="shared" si="33"/>
        <v>0</v>
      </c>
      <c r="BX25" s="10">
        <f t="shared" si="33"/>
        <v>0</v>
      </c>
      <c r="BY25" s="10">
        <f t="shared" si="33"/>
        <v>0</v>
      </c>
      <c r="BZ25" s="10">
        <f t="shared" si="33"/>
        <v>0</v>
      </c>
      <c r="CA25" s="10">
        <f t="shared" si="33"/>
        <v>0</v>
      </c>
      <c r="CB25" s="10">
        <f t="shared" si="65"/>
        <v>0</v>
      </c>
      <c r="CC25" s="10">
        <f t="shared" si="65"/>
        <v>0</v>
      </c>
      <c r="CD25" s="17">
        <f t="shared" si="65"/>
        <v>0</v>
      </c>
      <c r="CE25" s="19">
        <f t="shared" si="50"/>
        <v>0</v>
      </c>
      <c r="CF25" s="10">
        <f t="shared" si="50"/>
        <v>0</v>
      </c>
      <c r="CG25" s="10">
        <f t="shared" si="50"/>
        <v>0</v>
      </c>
      <c r="CH25" s="10">
        <f t="shared" si="50"/>
        <v>0</v>
      </c>
      <c r="CI25" s="10">
        <f t="shared" si="50"/>
        <v>0</v>
      </c>
      <c r="CJ25" s="10">
        <f t="shared" si="66"/>
        <v>0</v>
      </c>
      <c r="CK25" s="10">
        <f t="shared" si="66"/>
        <v>0</v>
      </c>
      <c r="CL25" s="17">
        <f t="shared" si="66"/>
        <v>0</v>
      </c>
      <c r="CM25" s="19">
        <f t="shared" si="51"/>
        <v>0</v>
      </c>
      <c r="CN25" s="10">
        <f t="shared" si="51"/>
        <v>0</v>
      </c>
      <c r="CO25" s="10">
        <f t="shared" si="51"/>
        <v>0</v>
      </c>
      <c r="CP25" s="10">
        <f t="shared" si="51"/>
        <v>0</v>
      </c>
      <c r="CQ25" s="10">
        <f t="shared" si="51"/>
        <v>0</v>
      </c>
      <c r="CR25" s="10">
        <f t="shared" si="67"/>
        <v>0</v>
      </c>
      <c r="CS25" s="10">
        <f t="shared" si="67"/>
        <v>0</v>
      </c>
      <c r="CT25" s="17">
        <f t="shared" si="67"/>
        <v>0</v>
      </c>
      <c r="CU25" s="235"/>
    </row>
    <row r="26" spans="1:99" ht="26.25" hidden="1" customHeight="1" outlineLevel="1" x14ac:dyDescent="0.4">
      <c r="A26" s="351"/>
      <c r="B26" s="351"/>
      <c r="C26" s="351"/>
      <c r="D26" s="353"/>
      <c r="E26" s="353"/>
      <c r="F26" s="353"/>
      <c r="G26" s="375"/>
      <c r="H26" s="447"/>
      <c r="I26" s="447"/>
      <c r="J26" s="449"/>
      <c r="K26" s="453"/>
      <c r="L26" s="453"/>
      <c r="M26" s="451"/>
      <c r="N26" s="38" t="s">
        <v>25</v>
      </c>
      <c r="O26" s="11">
        <f>(0+1.5+1+1+1.5)/120</f>
        <v>4.1666666666666664E-2</v>
      </c>
      <c r="P26" s="11">
        <f t="shared" si="70"/>
        <v>0</v>
      </c>
      <c r="Q26" s="11">
        <f>(0+8+11.5+19+6.5)/120</f>
        <v>0.375</v>
      </c>
      <c r="R26" s="11">
        <f t="shared" si="70"/>
        <v>0</v>
      </c>
      <c r="S26" s="11">
        <f t="shared" si="70"/>
        <v>0</v>
      </c>
      <c r="T26" s="11">
        <f>(0)/120</f>
        <v>0</v>
      </c>
      <c r="U26" s="48">
        <f>(0+6+13.5+17+6.5)/120</f>
        <v>0.35833333333333334</v>
      </c>
      <c r="V26" s="56">
        <f>(0+1+2)/142.5</f>
        <v>2.1052631578947368E-2</v>
      </c>
      <c r="W26" s="11">
        <f t="shared" si="46"/>
        <v>0</v>
      </c>
      <c r="X26" s="11">
        <f>(6+4.5+4)/142.5</f>
        <v>0.10175438596491228</v>
      </c>
      <c r="Y26" s="11">
        <f t="shared" si="18"/>
        <v>0</v>
      </c>
      <c r="Z26" s="11">
        <f t="shared" si="71"/>
        <v>0</v>
      </c>
      <c r="AA26" s="11">
        <f>(4+2)/142.5</f>
        <v>4.2105263157894736E-2</v>
      </c>
      <c r="AB26" s="56">
        <f>(0)/165</f>
        <v>0</v>
      </c>
      <c r="AC26" s="11">
        <f>(0)/165</f>
        <v>0</v>
      </c>
      <c r="AD26" s="11">
        <f t="shared" si="72"/>
        <v>0</v>
      </c>
      <c r="AE26" s="11">
        <f t="shared" si="72"/>
        <v>0</v>
      </c>
      <c r="AF26" s="11">
        <f t="shared" si="72"/>
        <v>0</v>
      </c>
      <c r="AG26" s="11">
        <f t="shared" si="72"/>
        <v>0</v>
      </c>
      <c r="AH26" s="56">
        <f t="shared" si="3"/>
        <v>0</v>
      </c>
      <c r="AI26" s="11">
        <f t="shared" si="3"/>
        <v>0</v>
      </c>
      <c r="AJ26" s="11">
        <f t="shared" si="3"/>
        <v>0</v>
      </c>
      <c r="AK26" s="11">
        <f t="shared" si="3"/>
        <v>0</v>
      </c>
      <c r="AL26" s="11">
        <f t="shared" si="3"/>
        <v>0</v>
      </c>
      <c r="AM26" s="11">
        <f t="shared" si="3"/>
        <v>0</v>
      </c>
      <c r="AN26" s="56">
        <f t="shared" si="48"/>
        <v>0</v>
      </c>
      <c r="AO26" s="11">
        <f t="shared" si="48"/>
        <v>0</v>
      </c>
      <c r="AP26" s="11">
        <f t="shared" si="48"/>
        <v>0</v>
      </c>
      <c r="AQ26" s="11">
        <f t="shared" si="48"/>
        <v>0</v>
      </c>
      <c r="AR26" s="11">
        <f t="shared" si="48"/>
        <v>0</v>
      </c>
      <c r="AS26" s="48">
        <f t="shared" si="62"/>
        <v>0</v>
      </c>
      <c r="AT26" s="61">
        <f t="shared" si="27"/>
        <v>0</v>
      </c>
      <c r="AU26" s="58">
        <f t="shared" si="27"/>
        <v>0</v>
      </c>
      <c r="AV26" s="58">
        <f t="shared" si="27"/>
        <v>0</v>
      </c>
      <c r="AW26" s="58">
        <f t="shared" si="27"/>
        <v>0</v>
      </c>
      <c r="AX26" s="58">
        <f t="shared" si="27"/>
        <v>0</v>
      </c>
      <c r="AY26" s="62">
        <f t="shared" si="27"/>
        <v>0</v>
      </c>
      <c r="AZ26" s="61">
        <f t="shared" si="41"/>
        <v>0</v>
      </c>
      <c r="BA26" s="58">
        <f t="shared" si="41"/>
        <v>0</v>
      </c>
      <c r="BB26" s="58">
        <f t="shared" si="41"/>
        <v>0</v>
      </c>
      <c r="BC26" s="58">
        <f t="shared" si="41"/>
        <v>0</v>
      </c>
      <c r="BD26" s="58">
        <f t="shared" si="41"/>
        <v>0</v>
      </c>
      <c r="BE26" s="58">
        <f t="shared" si="41"/>
        <v>0</v>
      </c>
      <c r="BF26" s="58">
        <f t="shared" si="41"/>
        <v>0</v>
      </c>
      <c r="BG26" s="61">
        <f t="shared" si="49"/>
        <v>0</v>
      </c>
      <c r="BH26" s="58">
        <f t="shared" si="49"/>
        <v>0</v>
      </c>
      <c r="BI26" s="58">
        <f t="shared" si="49"/>
        <v>0</v>
      </c>
      <c r="BJ26" s="58">
        <f t="shared" si="49"/>
        <v>0</v>
      </c>
      <c r="BK26" s="58">
        <f t="shared" si="49"/>
        <v>0</v>
      </c>
      <c r="BL26" s="58">
        <f t="shared" si="63"/>
        <v>0</v>
      </c>
      <c r="BM26" s="58">
        <f t="shared" si="63"/>
        <v>0</v>
      </c>
      <c r="BN26" s="62">
        <f t="shared" si="63"/>
        <v>0</v>
      </c>
      <c r="BO26" s="61">
        <f t="shared" si="57"/>
        <v>0</v>
      </c>
      <c r="BP26" s="58">
        <f t="shared" si="57"/>
        <v>0</v>
      </c>
      <c r="BQ26" s="58">
        <f t="shared" si="57"/>
        <v>0</v>
      </c>
      <c r="BR26" s="58">
        <f t="shared" si="57"/>
        <v>0</v>
      </c>
      <c r="BS26" s="58">
        <f t="shared" si="57"/>
        <v>0</v>
      </c>
      <c r="BT26" s="58">
        <f t="shared" si="64"/>
        <v>0</v>
      </c>
      <c r="BU26" s="58">
        <f t="shared" si="64"/>
        <v>0</v>
      </c>
      <c r="BV26" s="62">
        <f t="shared" si="64"/>
        <v>0</v>
      </c>
      <c r="BW26" s="61">
        <f t="shared" si="33"/>
        <v>0</v>
      </c>
      <c r="BX26" s="58">
        <f t="shared" si="33"/>
        <v>0</v>
      </c>
      <c r="BY26" s="58">
        <f t="shared" si="33"/>
        <v>0</v>
      </c>
      <c r="BZ26" s="58">
        <f t="shared" si="33"/>
        <v>0</v>
      </c>
      <c r="CA26" s="58">
        <f t="shared" si="33"/>
        <v>0</v>
      </c>
      <c r="CB26" s="58">
        <f t="shared" si="65"/>
        <v>0</v>
      </c>
      <c r="CC26" s="58">
        <f t="shared" si="65"/>
        <v>0</v>
      </c>
      <c r="CD26" s="62">
        <f t="shared" si="65"/>
        <v>0</v>
      </c>
      <c r="CE26" s="61">
        <f t="shared" si="50"/>
        <v>0</v>
      </c>
      <c r="CF26" s="58">
        <f t="shared" si="50"/>
        <v>0</v>
      </c>
      <c r="CG26" s="58">
        <f t="shared" si="50"/>
        <v>0</v>
      </c>
      <c r="CH26" s="58">
        <f t="shared" si="50"/>
        <v>0</v>
      </c>
      <c r="CI26" s="58">
        <f t="shared" si="50"/>
        <v>0</v>
      </c>
      <c r="CJ26" s="58">
        <f t="shared" si="66"/>
        <v>0</v>
      </c>
      <c r="CK26" s="58">
        <f t="shared" si="66"/>
        <v>0</v>
      </c>
      <c r="CL26" s="62">
        <f t="shared" si="66"/>
        <v>0</v>
      </c>
      <c r="CM26" s="61">
        <f t="shared" si="51"/>
        <v>0</v>
      </c>
      <c r="CN26" s="58">
        <f t="shared" si="51"/>
        <v>0</v>
      </c>
      <c r="CO26" s="58">
        <f t="shared" si="51"/>
        <v>0</v>
      </c>
      <c r="CP26" s="58">
        <f t="shared" si="51"/>
        <v>0</v>
      </c>
      <c r="CQ26" s="58">
        <f t="shared" si="51"/>
        <v>0</v>
      </c>
      <c r="CR26" s="58">
        <f t="shared" si="67"/>
        <v>0</v>
      </c>
      <c r="CS26" s="58">
        <f t="shared" si="67"/>
        <v>0</v>
      </c>
      <c r="CT26" s="62">
        <f t="shared" si="67"/>
        <v>0</v>
      </c>
      <c r="CU26" s="235"/>
    </row>
    <row r="27" spans="1:99" ht="26.25" hidden="1" customHeight="1" outlineLevel="1" x14ac:dyDescent="0.4">
      <c r="A27" s="350">
        <v>11</v>
      </c>
      <c r="B27" s="350" t="s">
        <v>47</v>
      </c>
      <c r="C27" s="350" t="s">
        <v>14</v>
      </c>
      <c r="D27" s="352" t="s">
        <v>475</v>
      </c>
      <c r="E27" s="352" t="s">
        <v>474</v>
      </c>
      <c r="F27" s="352"/>
      <c r="G27" s="375" t="s">
        <v>470</v>
      </c>
      <c r="H27" s="446">
        <f t="shared" ref="H27:H58" si="73">SUM(AZ27:BF27)</f>
        <v>0</v>
      </c>
      <c r="I27" s="446">
        <f t="shared" ref="I27:I58" si="74">SUM(AZ28:BF28)</f>
        <v>0</v>
      </c>
      <c r="J27" s="448"/>
      <c r="K27" s="452"/>
      <c r="L27" s="452"/>
      <c r="M27" s="450"/>
      <c r="N27" s="47" t="s">
        <v>24</v>
      </c>
      <c r="O27" s="10">
        <f>(3)/120</f>
        <v>2.5000000000000001E-2</v>
      </c>
      <c r="P27" s="10">
        <f t="shared" si="70"/>
        <v>0</v>
      </c>
      <c r="Q27" s="10">
        <f t="shared" si="70"/>
        <v>0</v>
      </c>
      <c r="R27" s="10">
        <f t="shared" si="70"/>
        <v>0</v>
      </c>
      <c r="S27" s="10">
        <f>(6)/120</f>
        <v>0.05</v>
      </c>
      <c r="T27" s="10">
        <f>(9)/120</f>
        <v>7.4999999999999997E-2</v>
      </c>
      <c r="U27" s="79">
        <f t="shared" si="70"/>
        <v>0</v>
      </c>
      <c r="V27" s="19">
        <f t="shared" ref="V27:V32" si="75">(0)/142.5</f>
        <v>0</v>
      </c>
      <c r="W27" s="10">
        <f t="shared" si="46"/>
        <v>0</v>
      </c>
      <c r="X27" s="10">
        <f t="shared" ref="X27:X32" si="76">(0)/142.5</f>
        <v>0</v>
      </c>
      <c r="Y27" s="10">
        <f t="shared" si="18"/>
        <v>0</v>
      </c>
      <c r="Z27" s="10">
        <f t="shared" si="71"/>
        <v>0</v>
      </c>
      <c r="AA27" s="10">
        <f t="shared" ref="AA27:AA32" si="77">(0)/142.5</f>
        <v>0</v>
      </c>
      <c r="AB27" s="71">
        <f t="shared" si="56"/>
        <v>0</v>
      </c>
      <c r="AC27" s="10">
        <f t="shared" si="56"/>
        <v>0</v>
      </c>
      <c r="AD27" s="10">
        <f t="shared" si="56"/>
        <v>0</v>
      </c>
      <c r="AE27" s="10">
        <f t="shared" si="56"/>
        <v>0</v>
      </c>
      <c r="AF27" s="10">
        <f t="shared" si="56"/>
        <v>0</v>
      </c>
      <c r="AG27" s="188">
        <f t="shared" si="56"/>
        <v>0</v>
      </c>
      <c r="AH27" s="71">
        <f t="shared" si="3"/>
        <v>0</v>
      </c>
      <c r="AI27" s="10">
        <f t="shared" si="3"/>
        <v>0</v>
      </c>
      <c r="AJ27" s="10">
        <f t="shared" si="3"/>
        <v>0</v>
      </c>
      <c r="AK27" s="10">
        <f t="shared" si="3"/>
        <v>0</v>
      </c>
      <c r="AL27" s="10">
        <f t="shared" si="3"/>
        <v>0</v>
      </c>
      <c r="AM27" s="10">
        <f t="shared" si="3"/>
        <v>0</v>
      </c>
      <c r="AN27" s="71">
        <f t="shared" si="48"/>
        <v>0</v>
      </c>
      <c r="AO27" s="10">
        <f t="shared" si="48"/>
        <v>0</v>
      </c>
      <c r="AP27" s="10">
        <f t="shared" si="48"/>
        <v>0</v>
      </c>
      <c r="AQ27" s="10">
        <f t="shared" si="48"/>
        <v>0</v>
      </c>
      <c r="AR27" s="10">
        <f t="shared" si="48"/>
        <v>0</v>
      </c>
      <c r="AS27" s="188">
        <f t="shared" si="62"/>
        <v>0</v>
      </c>
      <c r="AT27" s="189">
        <f t="shared" si="27"/>
        <v>0</v>
      </c>
      <c r="AU27" s="10">
        <f t="shared" si="27"/>
        <v>0</v>
      </c>
      <c r="AV27" s="10">
        <f t="shared" si="27"/>
        <v>0</v>
      </c>
      <c r="AW27" s="10">
        <f t="shared" si="27"/>
        <v>0</v>
      </c>
      <c r="AX27" s="10">
        <f t="shared" si="27"/>
        <v>0</v>
      </c>
      <c r="AY27" s="17">
        <f t="shared" si="27"/>
        <v>0</v>
      </c>
      <c r="AZ27" s="19">
        <f t="shared" si="41"/>
        <v>0</v>
      </c>
      <c r="BA27" s="10">
        <f t="shared" si="41"/>
        <v>0</v>
      </c>
      <c r="BB27" s="10">
        <f t="shared" si="41"/>
        <v>0</v>
      </c>
      <c r="BC27" s="10">
        <f t="shared" si="41"/>
        <v>0</v>
      </c>
      <c r="BD27" s="10">
        <f t="shared" si="41"/>
        <v>0</v>
      </c>
      <c r="BE27" s="10">
        <f t="shared" si="41"/>
        <v>0</v>
      </c>
      <c r="BF27" s="10">
        <f t="shared" si="41"/>
        <v>0</v>
      </c>
      <c r="BG27" s="19">
        <f t="shared" ref="BG27:BK36" si="78">0/142.5</f>
        <v>0</v>
      </c>
      <c r="BH27" s="10">
        <f t="shared" si="78"/>
        <v>0</v>
      </c>
      <c r="BI27" s="10">
        <f t="shared" si="78"/>
        <v>0</v>
      </c>
      <c r="BJ27" s="10">
        <f t="shared" si="78"/>
        <v>0</v>
      </c>
      <c r="BK27" s="10">
        <f t="shared" si="78"/>
        <v>0</v>
      </c>
      <c r="BL27" s="10">
        <f t="shared" si="63"/>
        <v>0</v>
      </c>
      <c r="BM27" s="10">
        <f t="shared" si="63"/>
        <v>0</v>
      </c>
      <c r="BN27" s="17">
        <f t="shared" si="63"/>
        <v>0</v>
      </c>
      <c r="BO27" s="19">
        <f t="shared" si="57"/>
        <v>0</v>
      </c>
      <c r="BP27" s="10">
        <f t="shared" si="57"/>
        <v>0</v>
      </c>
      <c r="BQ27" s="10">
        <f t="shared" si="57"/>
        <v>0</v>
      </c>
      <c r="BR27" s="10">
        <f t="shared" si="57"/>
        <v>0</v>
      </c>
      <c r="BS27" s="10">
        <f t="shared" si="57"/>
        <v>0</v>
      </c>
      <c r="BT27" s="10">
        <f t="shared" si="64"/>
        <v>0</v>
      </c>
      <c r="BU27" s="10">
        <f t="shared" si="64"/>
        <v>0</v>
      </c>
      <c r="BV27" s="17">
        <f t="shared" si="64"/>
        <v>0</v>
      </c>
      <c r="BW27" s="71">
        <f t="shared" si="33"/>
        <v>0</v>
      </c>
      <c r="BX27" s="10">
        <f t="shared" si="33"/>
        <v>0</v>
      </c>
      <c r="BY27" s="10">
        <f t="shared" si="33"/>
        <v>0</v>
      </c>
      <c r="BZ27" s="10">
        <f t="shared" si="33"/>
        <v>0</v>
      </c>
      <c r="CA27" s="10">
        <f t="shared" si="33"/>
        <v>0</v>
      </c>
      <c r="CB27" s="10">
        <f t="shared" si="65"/>
        <v>0</v>
      </c>
      <c r="CC27" s="10">
        <f t="shared" si="65"/>
        <v>0</v>
      </c>
      <c r="CD27" s="17">
        <f t="shared" si="65"/>
        <v>0</v>
      </c>
      <c r="CE27" s="19">
        <f t="shared" ref="CE27:CI36" si="79">0/157.5</f>
        <v>0</v>
      </c>
      <c r="CF27" s="10">
        <f t="shared" si="79"/>
        <v>0</v>
      </c>
      <c r="CG27" s="10">
        <f t="shared" si="79"/>
        <v>0</v>
      </c>
      <c r="CH27" s="10">
        <f t="shared" si="79"/>
        <v>0</v>
      </c>
      <c r="CI27" s="10">
        <f t="shared" si="79"/>
        <v>0</v>
      </c>
      <c r="CJ27" s="10">
        <f t="shared" si="66"/>
        <v>0</v>
      </c>
      <c r="CK27" s="10">
        <f t="shared" si="66"/>
        <v>0</v>
      </c>
      <c r="CL27" s="17">
        <f t="shared" si="66"/>
        <v>0</v>
      </c>
      <c r="CM27" s="19">
        <f t="shared" ref="CM27:CQ36" si="80">0/142.5</f>
        <v>0</v>
      </c>
      <c r="CN27" s="10">
        <f t="shared" si="80"/>
        <v>0</v>
      </c>
      <c r="CO27" s="10">
        <f t="shared" si="80"/>
        <v>0</v>
      </c>
      <c r="CP27" s="10">
        <f t="shared" si="80"/>
        <v>0</v>
      </c>
      <c r="CQ27" s="10">
        <f t="shared" si="80"/>
        <v>0</v>
      </c>
      <c r="CR27" s="10">
        <f t="shared" si="67"/>
        <v>0</v>
      </c>
      <c r="CS27" s="10">
        <f t="shared" si="67"/>
        <v>0</v>
      </c>
      <c r="CT27" s="17">
        <f t="shared" si="67"/>
        <v>0</v>
      </c>
      <c r="CU27" s="235"/>
    </row>
    <row r="28" spans="1:99" ht="26.25" hidden="1" customHeight="1" outlineLevel="1" x14ac:dyDescent="0.4">
      <c r="A28" s="351"/>
      <c r="B28" s="351"/>
      <c r="C28" s="351"/>
      <c r="D28" s="353"/>
      <c r="E28" s="353"/>
      <c r="F28" s="353"/>
      <c r="G28" s="375"/>
      <c r="H28" s="447"/>
      <c r="I28" s="447"/>
      <c r="J28" s="449"/>
      <c r="K28" s="453"/>
      <c r="L28" s="453"/>
      <c r="M28" s="451"/>
      <c r="N28" s="38" t="s">
        <v>25</v>
      </c>
      <c r="O28" s="11">
        <f>(0+1)/120</f>
        <v>8.3333333333333332E-3</v>
      </c>
      <c r="P28" s="11">
        <f t="shared" si="70"/>
        <v>0</v>
      </c>
      <c r="Q28" s="11">
        <f t="shared" si="70"/>
        <v>0</v>
      </c>
      <c r="R28" s="11">
        <f>(0)/120</f>
        <v>0</v>
      </c>
      <c r="S28" s="11">
        <f>(0+5.5)/120</f>
        <v>4.583333333333333E-2</v>
      </c>
      <c r="T28" s="11">
        <f>(0+8+1.5)/120</f>
        <v>7.9166666666666663E-2</v>
      </c>
      <c r="U28" s="48">
        <f t="shared" si="70"/>
        <v>0</v>
      </c>
      <c r="V28" s="56">
        <f t="shared" si="75"/>
        <v>0</v>
      </c>
      <c r="W28" s="11">
        <f t="shared" si="46"/>
        <v>0</v>
      </c>
      <c r="X28" s="11">
        <f t="shared" si="76"/>
        <v>0</v>
      </c>
      <c r="Y28" s="11">
        <f t="shared" si="18"/>
        <v>0</v>
      </c>
      <c r="Z28" s="11">
        <f t="shared" si="71"/>
        <v>0</v>
      </c>
      <c r="AA28" s="11">
        <f t="shared" si="77"/>
        <v>0</v>
      </c>
      <c r="AB28" s="56">
        <f t="shared" si="56"/>
        <v>0</v>
      </c>
      <c r="AC28" s="11">
        <f t="shared" si="56"/>
        <v>0</v>
      </c>
      <c r="AD28" s="11">
        <f t="shared" si="56"/>
        <v>0</v>
      </c>
      <c r="AE28" s="11">
        <f t="shared" si="56"/>
        <v>0</v>
      </c>
      <c r="AF28" s="11">
        <f t="shared" si="56"/>
        <v>0</v>
      </c>
      <c r="AG28" s="48">
        <f t="shared" si="56"/>
        <v>0</v>
      </c>
      <c r="AH28" s="56">
        <f t="shared" si="3"/>
        <v>0</v>
      </c>
      <c r="AI28" s="11">
        <f t="shared" si="3"/>
        <v>0</v>
      </c>
      <c r="AJ28" s="11">
        <f t="shared" si="3"/>
        <v>0</v>
      </c>
      <c r="AK28" s="11">
        <f t="shared" si="3"/>
        <v>0</v>
      </c>
      <c r="AL28" s="11">
        <f t="shared" si="3"/>
        <v>0</v>
      </c>
      <c r="AM28" s="11">
        <f t="shared" si="3"/>
        <v>0</v>
      </c>
      <c r="AN28" s="56">
        <f t="shared" si="48"/>
        <v>0</v>
      </c>
      <c r="AO28" s="11">
        <f t="shared" si="48"/>
        <v>0</v>
      </c>
      <c r="AP28" s="11">
        <f t="shared" si="48"/>
        <v>0</v>
      </c>
      <c r="AQ28" s="11">
        <f t="shared" si="48"/>
        <v>0</v>
      </c>
      <c r="AR28" s="11">
        <f t="shared" si="48"/>
        <v>0</v>
      </c>
      <c r="AS28" s="48">
        <f t="shared" si="62"/>
        <v>0</v>
      </c>
      <c r="AT28" s="61">
        <f t="shared" si="27"/>
        <v>0</v>
      </c>
      <c r="AU28" s="58">
        <f t="shared" si="27"/>
        <v>0</v>
      </c>
      <c r="AV28" s="58">
        <f t="shared" si="27"/>
        <v>0</v>
      </c>
      <c r="AW28" s="58">
        <f t="shared" si="27"/>
        <v>0</v>
      </c>
      <c r="AX28" s="58">
        <f t="shared" si="27"/>
        <v>0</v>
      </c>
      <c r="AY28" s="62">
        <f t="shared" si="27"/>
        <v>0</v>
      </c>
      <c r="AZ28" s="61">
        <f t="shared" si="41"/>
        <v>0</v>
      </c>
      <c r="BA28" s="58">
        <f t="shared" si="41"/>
        <v>0</v>
      </c>
      <c r="BB28" s="58">
        <f t="shared" si="41"/>
        <v>0</v>
      </c>
      <c r="BC28" s="58">
        <f t="shared" si="41"/>
        <v>0</v>
      </c>
      <c r="BD28" s="58">
        <f t="shared" si="41"/>
        <v>0</v>
      </c>
      <c r="BE28" s="58">
        <f t="shared" si="41"/>
        <v>0</v>
      </c>
      <c r="BF28" s="58">
        <f t="shared" si="41"/>
        <v>0</v>
      </c>
      <c r="BG28" s="61">
        <f t="shared" si="78"/>
        <v>0</v>
      </c>
      <c r="BH28" s="58">
        <f t="shared" si="78"/>
        <v>0</v>
      </c>
      <c r="BI28" s="58">
        <f t="shared" si="78"/>
        <v>0</v>
      </c>
      <c r="BJ28" s="58">
        <f t="shared" si="78"/>
        <v>0</v>
      </c>
      <c r="BK28" s="58">
        <f t="shared" si="78"/>
        <v>0</v>
      </c>
      <c r="BL28" s="58">
        <f t="shared" si="63"/>
        <v>0</v>
      </c>
      <c r="BM28" s="58">
        <f t="shared" si="63"/>
        <v>0</v>
      </c>
      <c r="BN28" s="62">
        <f t="shared" si="63"/>
        <v>0</v>
      </c>
      <c r="BO28" s="61">
        <f t="shared" si="57"/>
        <v>0</v>
      </c>
      <c r="BP28" s="58">
        <f t="shared" si="57"/>
        <v>0</v>
      </c>
      <c r="BQ28" s="58">
        <f t="shared" si="57"/>
        <v>0</v>
      </c>
      <c r="BR28" s="58">
        <f t="shared" si="57"/>
        <v>0</v>
      </c>
      <c r="BS28" s="58">
        <f t="shared" si="57"/>
        <v>0</v>
      </c>
      <c r="BT28" s="58">
        <f t="shared" si="64"/>
        <v>0</v>
      </c>
      <c r="BU28" s="58">
        <f t="shared" si="64"/>
        <v>0</v>
      </c>
      <c r="BV28" s="62">
        <f t="shared" si="64"/>
        <v>0</v>
      </c>
      <c r="BW28" s="61">
        <f t="shared" si="33"/>
        <v>0</v>
      </c>
      <c r="BX28" s="58">
        <f t="shared" si="33"/>
        <v>0</v>
      </c>
      <c r="BY28" s="58">
        <f t="shared" si="33"/>
        <v>0</v>
      </c>
      <c r="BZ28" s="58">
        <f t="shared" si="33"/>
        <v>0</v>
      </c>
      <c r="CA28" s="58">
        <f t="shared" si="33"/>
        <v>0</v>
      </c>
      <c r="CB28" s="58">
        <f t="shared" si="65"/>
        <v>0</v>
      </c>
      <c r="CC28" s="58">
        <f t="shared" si="65"/>
        <v>0</v>
      </c>
      <c r="CD28" s="62">
        <f t="shared" si="65"/>
        <v>0</v>
      </c>
      <c r="CE28" s="61">
        <f t="shared" si="79"/>
        <v>0</v>
      </c>
      <c r="CF28" s="58">
        <f t="shared" si="79"/>
        <v>0</v>
      </c>
      <c r="CG28" s="58">
        <f t="shared" si="79"/>
        <v>0</v>
      </c>
      <c r="CH28" s="58">
        <f t="shared" si="79"/>
        <v>0</v>
      </c>
      <c r="CI28" s="58">
        <f t="shared" si="79"/>
        <v>0</v>
      </c>
      <c r="CJ28" s="58">
        <f t="shared" si="66"/>
        <v>0</v>
      </c>
      <c r="CK28" s="58">
        <f t="shared" si="66"/>
        <v>0</v>
      </c>
      <c r="CL28" s="62">
        <f t="shared" si="66"/>
        <v>0</v>
      </c>
      <c r="CM28" s="61">
        <f t="shared" si="80"/>
        <v>0</v>
      </c>
      <c r="CN28" s="58">
        <f t="shared" si="80"/>
        <v>0</v>
      </c>
      <c r="CO28" s="58">
        <f t="shared" si="80"/>
        <v>0</v>
      </c>
      <c r="CP28" s="58">
        <f t="shared" si="80"/>
        <v>0</v>
      </c>
      <c r="CQ28" s="58">
        <f t="shared" si="80"/>
        <v>0</v>
      </c>
      <c r="CR28" s="58">
        <f t="shared" si="67"/>
        <v>0</v>
      </c>
      <c r="CS28" s="58">
        <f t="shared" si="67"/>
        <v>0</v>
      </c>
      <c r="CT28" s="62">
        <f t="shared" si="67"/>
        <v>0</v>
      </c>
      <c r="CU28" s="235"/>
    </row>
    <row r="29" spans="1:99" ht="26.25" hidden="1" customHeight="1" outlineLevel="1" x14ac:dyDescent="0.4">
      <c r="A29" s="350">
        <v>12</v>
      </c>
      <c r="B29" s="350" t="s">
        <v>47</v>
      </c>
      <c r="C29" s="350" t="s">
        <v>14</v>
      </c>
      <c r="D29" s="352" t="s">
        <v>475</v>
      </c>
      <c r="E29" s="352" t="s">
        <v>472</v>
      </c>
      <c r="F29" s="352"/>
      <c r="G29" s="375" t="s">
        <v>468</v>
      </c>
      <c r="H29" s="446">
        <f t="shared" ref="H29:H60" si="81">SUM(AZ29:BF29)</f>
        <v>0</v>
      </c>
      <c r="I29" s="446">
        <f t="shared" ref="I29:I60" si="82">SUM(AZ30:BF30)</f>
        <v>0</v>
      </c>
      <c r="J29" s="448"/>
      <c r="K29" s="452"/>
      <c r="L29" s="452"/>
      <c r="M29" s="450"/>
      <c r="N29" s="47" t="s">
        <v>24</v>
      </c>
      <c r="O29" s="10">
        <f>(3)/120</f>
        <v>2.5000000000000001E-2</v>
      </c>
      <c r="P29" s="10">
        <f t="shared" si="70"/>
        <v>0</v>
      </c>
      <c r="Q29" s="10">
        <f t="shared" si="70"/>
        <v>0</v>
      </c>
      <c r="R29" s="10">
        <f t="shared" si="70"/>
        <v>0</v>
      </c>
      <c r="S29" s="10">
        <f t="shared" si="70"/>
        <v>0</v>
      </c>
      <c r="T29" s="10">
        <f>(5)/120</f>
        <v>4.1666666666666664E-2</v>
      </c>
      <c r="U29" s="79">
        <f t="shared" si="70"/>
        <v>0</v>
      </c>
      <c r="V29" s="19">
        <f t="shared" si="75"/>
        <v>0</v>
      </c>
      <c r="W29" s="10">
        <f t="shared" si="46"/>
        <v>0</v>
      </c>
      <c r="X29" s="10">
        <f t="shared" si="76"/>
        <v>0</v>
      </c>
      <c r="Y29" s="10">
        <f t="shared" si="18"/>
        <v>0</v>
      </c>
      <c r="Z29" s="10">
        <f t="shared" si="71"/>
        <v>0</v>
      </c>
      <c r="AA29" s="10">
        <f t="shared" si="77"/>
        <v>0</v>
      </c>
      <c r="AB29" s="71">
        <f t="shared" si="56"/>
        <v>0</v>
      </c>
      <c r="AC29" s="10">
        <f t="shared" si="56"/>
        <v>0</v>
      </c>
      <c r="AD29" s="10">
        <f t="shared" si="56"/>
        <v>0</v>
      </c>
      <c r="AE29" s="10">
        <f t="shared" si="56"/>
        <v>0</v>
      </c>
      <c r="AF29" s="10">
        <f t="shared" si="56"/>
        <v>0</v>
      </c>
      <c r="AG29" s="188">
        <f t="shared" si="56"/>
        <v>0</v>
      </c>
      <c r="AH29" s="71">
        <f t="shared" si="3"/>
        <v>0</v>
      </c>
      <c r="AI29" s="10">
        <f t="shared" si="3"/>
        <v>0</v>
      </c>
      <c r="AJ29" s="10">
        <f t="shared" si="3"/>
        <v>0</v>
      </c>
      <c r="AK29" s="10">
        <f t="shared" si="3"/>
        <v>0</v>
      </c>
      <c r="AL29" s="10">
        <f t="shared" si="3"/>
        <v>0</v>
      </c>
      <c r="AM29" s="10">
        <f t="shared" si="3"/>
        <v>0</v>
      </c>
      <c r="AN29" s="71">
        <f t="shared" si="48"/>
        <v>0</v>
      </c>
      <c r="AO29" s="10">
        <f t="shared" si="48"/>
        <v>0</v>
      </c>
      <c r="AP29" s="10">
        <f t="shared" si="48"/>
        <v>0</v>
      </c>
      <c r="AQ29" s="10">
        <f t="shared" si="48"/>
        <v>0</v>
      </c>
      <c r="AR29" s="10">
        <f t="shared" si="48"/>
        <v>0</v>
      </c>
      <c r="AS29" s="188">
        <f t="shared" si="62"/>
        <v>0</v>
      </c>
      <c r="AT29" s="189">
        <f t="shared" si="27"/>
        <v>0</v>
      </c>
      <c r="AU29" s="10">
        <f t="shared" si="27"/>
        <v>0</v>
      </c>
      <c r="AV29" s="10">
        <f t="shared" si="27"/>
        <v>0</v>
      </c>
      <c r="AW29" s="10">
        <f t="shared" si="27"/>
        <v>0</v>
      </c>
      <c r="AX29" s="10">
        <f t="shared" si="27"/>
        <v>0</v>
      </c>
      <c r="AY29" s="17">
        <f t="shared" si="27"/>
        <v>0</v>
      </c>
      <c r="AZ29" s="19">
        <f t="shared" si="41"/>
        <v>0</v>
      </c>
      <c r="BA29" s="10">
        <f t="shared" si="41"/>
        <v>0</v>
      </c>
      <c r="BB29" s="10">
        <f t="shared" si="41"/>
        <v>0</v>
      </c>
      <c r="BC29" s="10">
        <f t="shared" si="41"/>
        <v>0</v>
      </c>
      <c r="BD29" s="10">
        <f t="shared" si="41"/>
        <v>0</v>
      </c>
      <c r="BE29" s="10">
        <f t="shared" si="41"/>
        <v>0</v>
      </c>
      <c r="BF29" s="10">
        <f t="shared" si="41"/>
        <v>0</v>
      </c>
      <c r="BG29" s="19">
        <f t="shared" si="78"/>
        <v>0</v>
      </c>
      <c r="BH29" s="10">
        <f t="shared" si="78"/>
        <v>0</v>
      </c>
      <c r="BI29" s="10">
        <f t="shared" si="78"/>
        <v>0</v>
      </c>
      <c r="BJ29" s="10">
        <f t="shared" si="78"/>
        <v>0</v>
      </c>
      <c r="BK29" s="10">
        <f t="shared" si="78"/>
        <v>0</v>
      </c>
      <c r="BL29" s="10">
        <f t="shared" si="63"/>
        <v>0</v>
      </c>
      <c r="BM29" s="10">
        <f t="shared" si="63"/>
        <v>0</v>
      </c>
      <c r="BN29" s="17">
        <f t="shared" si="63"/>
        <v>0</v>
      </c>
      <c r="BO29" s="19">
        <f t="shared" ref="BO29:BS38" si="83">0/157.5</f>
        <v>0</v>
      </c>
      <c r="BP29" s="10">
        <f t="shared" si="83"/>
        <v>0</v>
      </c>
      <c r="BQ29" s="10">
        <f t="shared" si="83"/>
        <v>0</v>
      </c>
      <c r="BR29" s="10">
        <f t="shared" si="83"/>
        <v>0</v>
      </c>
      <c r="BS29" s="10">
        <f t="shared" si="83"/>
        <v>0</v>
      </c>
      <c r="BT29" s="10">
        <f t="shared" si="64"/>
        <v>0</v>
      </c>
      <c r="BU29" s="10">
        <f t="shared" si="64"/>
        <v>0</v>
      </c>
      <c r="BV29" s="17">
        <f t="shared" si="64"/>
        <v>0</v>
      </c>
      <c r="BW29" s="71">
        <f t="shared" si="33"/>
        <v>0</v>
      </c>
      <c r="BX29" s="10">
        <f t="shared" si="33"/>
        <v>0</v>
      </c>
      <c r="BY29" s="10">
        <f t="shared" si="33"/>
        <v>0</v>
      </c>
      <c r="BZ29" s="10">
        <f t="shared" si="33"/>
        <v>0</v>
      </c>
      <c r="CA29" s="10">
        <f t="shared" si="33"/>
        <v>0</v>
      </c>
      <c r="CB29" s="10">
        <f t="shared" si="65"/>
        <v>0</v>
      </c>
      <c r="CC29" s="10">
        <f t="shared" si="65"/>
        <v>0</v>
      </c>
      <c r="CD29" s="17">
        <f t="shared" si="65"/>
        <v>0</v>
      </c>
      <c r="CE29" s="19">
        <f t="shared" si="79"/>
        <v>0</v>
      </c>
      <c r="CF29" s="10">
        <f t="shared" si="79"/>
        <v>0</v>
      </c>
      <c r="CG29" s="10">
        <f t="shared" si="79"/>
        <v>0</v>
      </c>
      <c r="CH29" s="10">
        <f t="shared" si="79"/>
        <v>0</v>
      </c>
      <c r="CI29" s="10">
        <f t="shared" si="79"/>
        <v>0</v>
      </c>
      <c r="CJ29" s="10">
        <f t="shared" si="66"/>
        <v>0</v>
      </c>
      <c r="CK29" s="10">
        <f t="shared" si="66"/>
        <v>0</v>
      </c>
      <c r="CL29" s="17">
        <f t="shared" si="66"/>
        <v>0</v>
      </c>
      <c r="CM29" s="19">
        <f t="shared" si="80"/>
        <v>0</v>
      </c>
      <c r="CN29" s="10">
        <f t="shared" si="80"/>
        <v>0</v>
      </c>
      <c r="CO29" s="10">
        <f t="shared" si="80"/>
        <v>0</v>
      </c>
      <c r="CP29" s="10">
        <f t="shared" si="80"/>
        <v>0</v>
      </c>
      <c r="CQ29" s="10">
        <f t="shared" si="80"/>
        <v>0</v>
      </c>
      <c r="CR29" s="10">
        <f t="shared" si="67"/>
        <v>0</v>
      </c>
      <c r="CS29" s="10">
        <f t="shared" si="67"/>
        <v>0</v>
      </c>
      <c r="CT29" s="17">
        <f t="shared" si="67"/>
        <v>0</v>
      </c>
      <c r="CU29" s="235"/>
    </row>
    <row r="30" spans="1:99" ht="26.25" hidden="1" customHeight="1" outlineLevel="1" x14ac:dyDescent="0.4">
      <c r="A30" s="351"/>
      <c r="B30" s="351"/>
      <c r="C30" s="351"/>
      <c r="D30" s="353"/>
      <c r="E30" s="353"/>
      <c r="F30" s="353"/>
      <c r="G30" s="375"/>
      <c r="H30" s="447"/>
      <c r="I30" s="447"/>
      <c r="J30" s="449"/>
      <c r="K30" s="453"/>
      <c r="L30" s="453"/>
      <c r="M30" s="451"/>
      <c r="N30" s="38" t="s">
        <v>25</v>
      </c>
      <c r="O30" s="11">
        <f>(0+1+1)/120</f>
        <v>1.6666666666666666E-2</v>
      </c>
      <c r="P30" s="11">
        <f t="shared" si="70"/>
        <v>0</v>
      </c>
      <c r="Q30" s="11">
        <f t="shared" si="70"/>
        <v>0</v>
      </c>
      <c r="R30" s="11">
        <f t="shared" si="70"/>
        <v>0</v>
      </c>
      <c r="S30" s="11">
        <f>(0)/120</f>
        <v>0</v>
      </c>
      <c r="T30" s="11">
        <f>(0+2.5+2)/120</f>
        <v>3.7499999999999999E-2</v>
      </c>
      <c r="U30" s="48">
        <f t="shared" si="70"/>
        <v>0</v>
      </c>
      <c r="V30" s="56">
        <f t="shared" si="75"/>
        <v>0</v>
      </c>
      <c r="W30" s="11">
        <f t="shared" si="46"/>
        <v>0</v>
      </c>
      <c r="X30" s="11">
        <f t="shared" si="76"/>
        <v>0</v>
      </c>
      <c r="Y30" s="11">
        <f t="shared" si="18"/>
        <v>0</v>
      </c>
      <c r="Z30" s="11">
        <f t="shared" si="71"/>
        <v>0</v>
      </c>
      <c r="AA30" s="11">
        <f t="shared" si="77"/>
        <v>0</v>
      </c>
      <c r="AB30" s="56">
        <f t="shared" si="56"/>
        <v>0</v>
      </c>
      <c r="AC30" s="11">
        <f t="shared" si="56"/>
        <v>0</v>
      </c>
      <c r="AD30" s="11">
        <f t="shared" si="56"/>
        <v>0</v>
      </c>
      <c r="AE30" s="11">
        <f t="shared" si="56"/>
        <v>0</v>
      </c>
      <c r="AF30" s="11">
        <f t="shared" si="56"/>
        <v>0</v>
      </c>
      <c r="AG30" s="48">
        <f t="shared" si="56"/>
        <v>0</v>
      </c>
      <c r="AH30" s="56">
        <f t="shared" si="3"/>
        <v>0</v>
      </c>
      <c r="AI30" s="11">
        <f t="shared" si="3"/>
        <v>0</v>
      </c>
      <c r="AJ30" s="11">
        <f t="shared" si="3"/>
        <v>0</v>
      </c>
      <c r="AK30" s="11">
        <f t="shared" si="3"/>
        <v>0</v>
      </c>
      <c r="AL30" s="11">
        <f t="shared" si="3"/>
        <v>0</v>
      </c>
      <c r="AM30" s="11">
        <f t="shared" si="3"/>
        <v>0</v>
      </c>
      <c r="AN30" s="56">
        <f t="shared" si="48"/>
        <v>0</v>
      </c>
      <c r="AO30" s="11">
        <f t="shared" si="48"/>
        <v>0</v>
      </c>
      <c r="AP30" s="11">
        <f t="shared" si="48"/>
        <v>0</v>
      </c>
      <c r="AQ30" s="11">
        <f t="shared" si="48"/>
        <v>0</v>
      </c>
      <c r="AR30" s="11">
        <f t="shared" si="48"/>
        <v>0</v>
      </c>
      <c r="AS30" s="48">
        <f t="shared" si="62"/>
        <v>0</v>
      </c>
      <c r="AT30" s="61">
        <f t="shared" si="27"/>
        <v>0</v>
      </c>
      <c r="AU30" s="58">
        <f t="shared" si="27"/>
        <v>0</v>
      </c>
      <c r="AV30" s="58">
        <f t="shared" si="27"/>
        <v>0</v>
      </c>
      <c r="AW30" s="58">
        <f t="shared" si="27"/>
        <v>0</v>
      </c>
      <c r="AX30" s="58">
        <f t="shared" si="27"/>
        <v>0</v>
      </c>
      <c r="AY30" s="62">
        <f t="shared" si="27"/>
        <v>0</v>
      </c>
      <c r="AZ30" s="61">
        <f t="shared" si="41"/>
        <v>0</v>
      </c>
      <c r="BA30" s="58">
        <f t="shared" si="41"/>
        <v>0</v>
      </c>
      <c r="BB30" s="58">
        <f t="shared" si="41"/>
        <v>0</v>
      </c>
      <c r="BC30" s="58">
        <f t="shared" si="41"/>
        <v>0</v>
      </c>
      <c r="BD30" s="58">
        <f t="shared" si="41"/>
        <v>0</v>
      </c>
      <c r="BE30" s="58">
        <f t="shared" si="41"/>
        <v>0</v>
      </c>
      <c r="BF30" s="58">
        <f t="shared" si="41"/>
        <v>0</v>
      </c>
      <c r="BG30" s="61">
        <f t="shared" si="78"/>
        <v>0</v>
      </c>
      <c r="BH30" s="58">
        <f t="shared" si="78"/>
        <v>0</v>
      </c>
      <c r="BI30" s="58">
        <f t="shared" si="78"/>
        <v>0</v>
      </c>
      <c r="BJ30" s="58">
        <f t="shared" si="78"/>
        <v>0</v>
      </c>
      <c r="BK30" s="58">
        <f t="shared" si="78"/>
        <v>0</v>
      </c>
      <c r="BL30" s="58">
        <f t="shared" si="63"/>
        <v>0</v>
      </c>
      <c r="BM30" s="58">
        <f t="shared" si="63"/>
        <v>0</v>
      </c>
      <c r="BN30" s="62">
        <f t="shared" si="63"/>
        <v>0</v>
      </c>
      <c r="BO30" s="61">
        <f t="shared" si="83"/>
        <v>0</v>
      </c>
      <c r="BP30" s="58">
        <f t="shared" si="83"/>
        <v>0</v>
      </c>
      <c r="BQ30" s="58">
        <f t="shared" si="83"/>
        <v>0</v>
      </c>
      <c r="BR30" s="58">
        <f t="shared" si="83"/>
        <v>0</v>
      </c>
      <c r="BS30" s="58">
        <f t="shared" si="83"/>
        <v>0</v>
      </c>
      <c r="BT30" s="58">
        <f t="shared" si="64"/>
        <v>0</v>
      </c>
      <c r="BU30" s="58">
        <f t="shared" si="64"/>
        <v>0</v>
      </c>
      <c r="BV30" s="62">
        <f t="shared" si="64"/>
        <v>0</v>
      </c>
      <c r="BW30" s="61">
        <f t="shared" si="33"/>
        <v>0</v>
      </c>
      <c r="BX30" s="58">
        <f t="shared" si="33"/>
        <v>0</v>
      </c>
      <c r="BY30" s="58">
        <f t="shared" si="33"/>
        <v>0</v>
      </c>
      <c r="BZ30" s="58">
        <f t="shared" si="33"/>
        <v>0</v>
      </c>
      <c r="CA30" s="58">
        <f t="shared" si="33"/>
        <v>0</v>
      </c>
      <c r="CB30" s="58">
        <f t="shared" si="65"/>
        <v>0</v>
      </c>
      <c r="CC30" s="58">
        <f t="shared" si="65"/>
        <v>0</v>
      </c>
      <c r="CD30" s="62">
        <f t="shared" si="65"/>
        <v>0</v>
      </c>
      <c r="CE30" s="61">
        <f t="shared" si="79"/>
        <v>0</v>
      </c>
      <c r="CF30" s="58">
        <f t="shared" si="79"/>
        <v>0</v>
      </c>
      <c r="CG30" s="58">
        <f t="shared" si="79"/>
        <v>0</v>
      </c>
      <c r="CH30" s="58">
        <f t="shared" si="79"/>
        <v>0</v>
      </c>
      <c r="CI30" s="58">
        <f t="shared" si="79"/>
        <v>0</v>
      </c>
      <c r="CJ30" s="58">
        <f t="shared" si="66"/>
        <v>0</v>
      </c>
      <c r="CK30" s="58">
        <f t="shared" si="66"/>
        <v>0</v>
      </c>
      <c r="CL30" s="62">
        <f t="shared" si="66"/>
        <v>0</v>
      </c>
      <c r="CM30" s="61">
        <f t="shared" si="80"/>
        <v>0</v>
      </c>
      <c r="CN30" s="58">
        <f t="shared" si="80"/>
        <v>0</v>
      </c>
      <c r="CO30" s="58">
        <f t="shared" si="80"/>
        <v>0</v>
      </c>
      <c r="CP30" s="58">
        <f t="shared" si="80"/>
        <v>0</v>
      </c>
      <c r="CQ30" s="58">
        <f t="shared" si="80"/>
        <v>0</v>
      </c>
      <c r="CR30" s="58">
        <f t="shared" si="67"/>
        <v>0</v>
      </c>
      <c r="CS30" s="58">
        <f t="shared" si="67"/>
        <v>0</v>
      </c>
      <c r="CT30" s="62">
        <f t="shared" si="67"/>
        <v>0</v>
      </c>
      <c r="CU30" s="235"/>
    </row>
    <row r="31" spans="1:99" ht="26.25" hidden="1" customHeight="1" outlineLevel="1" collapsed="1" x14ac:dyDescent="0.4">
      <c r="A31" s="350">
        <v>13</v>
      </c>
      <c r="B31" s="350" t="s">
        <v>47</v>
      </c>
      <c r="C31" s="350" t="s">
        <v>343</v>
      </c>
      <c r="D31" s="352" t="s">
        <v>344</v>
      </c>
      <c r="E31" s="352" t="s">
        <v>500</v>
      </c>
      <c r="F31" s="352" t="s">
        <v>508</v>
      </c>
      <c r="G31" s="385" t="s">
        <v>501</v>
      </c>
      <c r="H31" s="446">
        <f t="shared" ref="H31:H62" si="84">SUM(AZ31:BF31)</f>
        <v>0</v>
      </c>
      <c r="I31" s="446">
        <f t="shared" ref="I31:I62" si="85">SUM(AZ32:BF32)</f>
        <v>0</v>
      </c>
      <c r="J31" s="448"/>
      <c r="K31" s="452"/>
      <c r="L31" s="452"/>
      <c r="M31" s="450"/>
      <c r="N31" s="47" t="s">
        <v>24</v>
      </c>
      <c r="O31" s="10">
        <f>(4)/120</f>
        <v>3.3333333333333333E-2</v>
      </c>
      <c r="P31" s="10">
        <f t="shared" si="70"/>
        <v>0</v>
      </c>
      <c r="Q31" s="10">
        <f t="shared" si="70"/>
        <v>0</v>
      </c>
      <c r="R31" s="10">
        <f>(20)/120</f>
        <v>0.16666666666666666</v>
      </c>
      <c r="S31" s="10">
        <f>(30)/120</f>
        <v>0.25</v>
      </c>
      <c r="T31" s="10">
        <f>(20)/120</f>
        <v>0.16666666666666666</v>
      </c>
      <c r="U31" s="79">
        <f t="shared" si="70"/>
        <v>0</v>
      </c>
      <c r="V31" s="19">
        <f t="shared" si="75"/>
        <v>0</v>
      </c>
      <c r="W31" s="10">
        <f t="shared" si="46"/>
        <v>0</v>
      </c>
      <c r="X31" s="10">
        <f t="shared" si="76"/>
        <v>0</v>
      </c>
      <c r="Y31" s="10">
        <f t="shared" si="18"/>
        <v>0</v>
      </c>
      <c r="Z31" s="10">
        <f t="shared" si="71"/>
        <v>0</v>
      </c>
      <c r="AA31" s="10">
        <f t="shared" si="77"/>
        <v>0</v>
      </c>
      <c r="AB31" s="71">
        <f t="shared" si="56"/>
        <v>0</v>
      </c>
      <c r="AC31" s="10">
        <f t="shared" si="56"/>
        <v>0</v>
      </c>
      <c r="AD31" s="10">
        <f t="shared" si="56"/>
        <v>0</v>
      </c>
      <c r="AE31" s="10">
        <f t="shared" si="56"/>
        <v>0</v>
      </c>
      <c r="AF31" s="10">
        <f t="shared" si="56"/>
        <v>0</v>
      </c>
      <c r="AG31" s="188">
        <f t="shared" si="56"/>
        <v>0</v>
      </c>
      <c r="AH31" s="71">
        <f t="shared" si="3"/>
        <v>0</v>
      </c>
      <c r="AI31" s="10">
        <f t="shared" si="3"/>
        <v>0</v>
      </c>
      <c r="AJ31" s="10">
        <f t="shared" si="3"/>
        <v>0</v>
      </c>
      <c r="AK31" s="10">
        <f t="shared" si="3"/>
        <v>0</v>
      </c>
      <c r="AL31" s="10">
        <f t="shared" si="3"/>
        <v>0</v>
      </c>
      <c r="AM31" s="10">
        <f t="shared" si="3"/>
        <v>0</v>
      </c>
      <c r="AN31" s="71">
        <f t="shared" si="48"/>
        <v>0</v>
      </c>
      <c r="AO31" s="10">
        <f t="shared" si="48"/>
        <v>0</v>
      </c>
      <c r="AP31" s="10">
        <f t="shared" si="48"/>
        <v>0</v>
      </c>
      <c r="AQ31" s="10">
        <f t="shared" si="48"/>
        <v>0</v>
      </c>
      <c r="AR31" s="10">
        <f t="shared" si="48"/>
        <v>0</v>
      </c>
      <c r="AS31" s="188">
        <f t="shared" si="62"/>
        <v>0</v>
      </c>
      <c r="AT31" s="189">
        <f t="shared" si="27"/>
        <v>0</v>
      </c>
      <c r="AU31" s="10">
        <f t="shared" si="27"/>
        <v>0</v>
      </c>
      <c r="AV31" s="10">
        <f t="shared" si="27"/>
        <v>0</v>
      </c>
      <c r="AW31" s="10">
        <f t="shared" si="27"/>
        <v>0</v>
      </c>
      <c r="AX31" s="10">
        <f t="shared" si="27"/>
        <v>0</v>
      </c>
      <c r="AY31" s="17">
        <f t="shared" si="27"/>
        <v>0</v>
      </c>
      <c r="AZ31" s="19">
        <f t="shared" si="41"/>
        <v>0</v>
      </c>
      <c r="BA31" s="10">
        <f t="shared" si="41"/>
        <v>0</v>
      </c>
      <c r="BB31" s="10">
        <f t="shared" si="41"/>
        <v>0</v>
      </c>
      <c r="BC31" s="10">
        <f t="shared" si="41"/>
        <v>0</v>
      </c>
      <c r="BD31" s="10">
        <f t="shared" si="41"/>
        <v>0</v>
      </c>
      <c r="BE31" s="10">
        <f t="shared" si="41"/>
        <v>0</v>
      </c>
      <c r="BF31" s="10">
        <f t="shared" si="41"/>
        <v>0</v>
      </c>
      <c r="BG31" s="19">
        <f t="shared" si="78"/>
        <v>0</v>
      </c>
      <c r="BH31" s="10">
        <f t="shared" si="78"/>
        <v>0</v>
      </c>
      <c r="BI31" s="10">
        <f t="shared" si="78"/>
        <v>0</v>
      </c>
      <c r="BJ31" s="10">
        <f t="shared" si="78"/>
        <v>0</v>
      </c>
      <c r="BK31" s="10">
        <f t="shared" si="78"/>
        <v>0</v>
      </c>
      <c r="BL31" s="10">
        <f t="shared" si="63"/>
        <v>0</v>
      </c>
      <c r="BM31" s="10">
        <f t="shared" si="63"/>
        <v>0</v>
      </c>
      <c r="BN31" s="17">
        <f t="shared" si="63"/>
        <v>0</v>
      </c>
      <c r="BO31" s="19">
        <f t="shared" si="83"/>
        <v>0</v>
      </c>
      <c r="BP31" s="10">
        <f t="shared" si="83"/>
        <v>0</v>
      </c>
      <c r="BQ31" s="10">
        <f t="shared" si="83"/>
        <v>0</v>
      </c>
      <c r="BR31" s="10">
        <f t="shared" si="83"/>
        <v>0</v>
      </c>
      <c r="BS31" s="10">
        <f t="shared" si="83"/>
        <v>0</v>
      </c>
      <c r="BT31" s="10">
        <f t="shared" si="64"/>
        <v>0</v>
      </c>
      <c r="BU31" s="10">
        <f t="shared" si="64"/>
        <v>0</v>
      </c>
      <c r="BV31" s="17">
        <f t="shared" si="64"/>
        <v>0</v>
      </c>
      <c r="BW31" s="71">
        <f t="shared" si="33"/>
        <v>0</v>
      </c>
      <c r="BX31" s="10">
        <f t="shared" si="33"/>
        <v>0</v>
      </c>
      <c r="BY31" s="10">
        <f t="shared" si="33"/>
        <v>0</v>
      </c>
      <c r="BZ31" s="10">
        <f t="shared" si="33"/>
        <v>0</v>
      </c>
      <c r="CA31" s="10">
        <f t="shared" si="33"/>
        <v>0</v>
      </c>
      <c r="CB31" s="10">
        <f t="shared" si="65"/>
        <v>0</v>
      </c>
      <c r="CC31" s="10">
        <f t="shared" si="65"/>
        <v>0</v>
      </c>
      <c r="CD31" s="17">
        <f t="shared" si="65"/>
        <v>0</v>
      </c>
      <c r="CE31" s="19">
        <f t="shared" si="79"/>
        <v>0</v>
      </c>
      <c r="CF31" s="10">
        <f t="shared" si="79"/>
        <v>0</v>
      </c>
      <c r="CG31" s="10">
        <f t="shared" si="79"/>
        <v>0</v>
      </c>
      <c r="CH31" s="10">
        <f t="shared" si="79"/>
        <v>0</v>
      </c>
      <c r="CI31" s="10">
        <f t="shared" si="79"/>
        <v>0</v>
      </c>
      <c r="CJ31" s="10">
        <f t="shared" si="66"/>
        <v>0</v>
      </c>
      <c r="CK31" s="10">
        <f t="shared" si="66"/>
        <v>0</v>
      </c>
      <c r="CL31" s="17">
        <f t="shared" si="66"/>
        <v>0</v>
      </c>
      <c r="CM31" s="19">
        <f t="shared" si="80"/>
        <v>0</v>
      </c>
      <c r="CN31" s="10">
        <f t="shared" si="80"/>
        <v>0</v>
      </c>
      <c r="CO31" s="10">
        <f t="shared" si="80"/>
        <v>0</v>
      </c>
      <c r="CP31" s="10">
        <f t="shared" si="80"/>
        <v>0</v>
      </c>
      <c r="CQ31" s="10">
        <f t="shared" si="80"/>
        <v>0</v>
      </c>
      <c r="CR31" s="10">
        <f t="shared" si="67"/>
        <v>0</v>
      </c>
      <c r="CS31" s="10">
        <f t="shared" si="67"/>
        <v>0</v>
      </c>
      <c r="CT31" s="17">
        <f t="shared" si="67"/>
        <v>0</v>
      </c>
      <c r="CU31" s="235"/>
    </row>
    <row r="32" spans="1:99" ht="26.25" hidden="1" customHeight="1" outlineLevel="1" x14ac:dyDescent="0.4">
      <c r="A32" s="351"/>
      <c r="B32" s="351"/>
      <c r="C32" s="351"/>
      <c r="D32" s="353"/>
      <c r="E32" s="353"/>
      <c r="F32" s="353"/>
      <c r="G32" s="385"/>
      <c r="H32" s="447"/>
      <c r="I32" s="447"/>
      <c r="J32" s="449"/>
      <c r="K32" s="453"/>
      <c r="L32" s="453"/>
      <c r="M32" s="451"/>
      <c r="N32" s="38" t="s">
        <v>25</v>
      </c>
      <c r="O32" s="11">
        <f>(0+4.5+3.25)/120</f>
        <v>6.458333333333334E-2</v>
      </c>
      <c r="P32" s="11">
        <f t="shared" si="70"/>
        <v>0</v>
      </c>
      <c r="Q32" s="11">
        <f t="shared" si="70"/>
        <v>0</v>
      </c>
      <c r="R32" s="11">
        <f>(0+5+9.5)/120</f>
        <v>0.12083333333333333</v>
      </c>
      <c r="S32" s="11">
        <f>(0+15+20)/120</f>
        <v>0.29166666666666669</v>
      </c>
      <c r="T32" s="11">
        <f>(0+6+7)/120</f>
        <v>0.10833333333333334</v>
      </c>
      <c r="U32" s="48">
        <f t="shared" si="70"/>
        <v>0</v>
      </c>
      <c r="V32" s="56">
        <f t="shared" si="75"/>
        <v>0</v>
      </c>
      <c r="W32" s="11">
        <f t="shared" si="46"/>
        <v>0</v>
      </c>
      <c r="X32" s="11">
        <f t="shared" si="76"/>
        <v>0</v>
      </c>
      <c r="Y32" s="11">
        <f t="shared" si="18"/>
        <v>0</v>
      </c>
      <c r="Z32" s="11">
        <f t="shared" si="71"/>
        <v>0</v>
      </c>
      <c r="AA32" s="11">
        <f t="shared" si="77"/>
        <v>0</v>
      </c>
      <c r="AB32" s="56">
        <f t="shared" si="56"/>
        <v>0</v>
      </c>
      <c r="AC32" s="11">
        <f t="shared" si="56"/>
        <v>0</v>
      </c>
      <c r="AD32" s="11">
        <f t="shared" si="56"/>
        <v>0</v>
      </c>
      <c r="AE32" s="11">
        <f t="shared" si="56"/>
        <v>0</v>
      </c>
      <c r="AF32" s="11">
        <f t="shared" si="56"/>
        <v>0</v>
      </c>
      <c r="AG32" s="48">
        <f t="shared" si="56"/>
        <v>0</v>
      </c>
      <c r="AH32" s="56">
        <f t="shared" si="3"/>
        <v>0</v>
      </c>
      <c r="AI32" s="11">
        <f t="shared" si="3"/>
        <v>0</v>
      </c>
      <c r="AJ32" s="11">
        <f t="shared" si="3"/>
        <v>0</v>
      </c>
      <c r="AK32" s="11">
        <f t="shared" si="3"/>
        <v>0</v>
      </c>
      <c r="AL32" s="11">
        <f t="shared" si="3"/>
        <v>0</v>
      </c>
      <c r="AM32" s="11">
        <f t="shared" si="3"/>
        <v>0</v>
      </c>
      <c r="AN32" s="56">
        <f t="shared" si="48"/>
        <v>0</v>
      </c>
      <c r="AO32" s="11">
        <f t="shared" si="48"/>
        <v>0</v>
      </c>
      <c r="AP32" s="11">
        <f t="shared" si="48"/>
        <v>0</v>
      </c>
      <c r="AQ32" s="11">
        <f t="shared" si="48"/>
        <v>0</v>
      </c>
      <c r="AR32" s="11">
        <f t="shared" si="48"/>
        <v>0</v>
      </c>
      <c r="AS32" s="48">
        <f t="shared" si="62"/>
        <v>0</v>
      </c>
      <c r="AT32" s="61">
        <f t="shared" si="27"/>
        <v>0</v>
      </c>
      <c r="AU32" s="58">
        <f t="shared" si="27"/>
        <v>0</v>
      </c>
      <c r="AV32" s="58">
        <f t="shared" si="27"/>
        <v>0</v>
      </c>
      <c r="AW32" s="58">
        <f t="shared" si="27"/>
        <v>0</v>
      </c>
      <c r="AX32" s="58">
        <f t="shared" si="27"/>
        <v>0</v>
      </c>
      <c r="AY32" s="62">
        <f t="shared" si="27"/>
        <v>0</v>
      </c>
      <c r="AZ32" s="61">
        <f t="shared" si="41"/>
        <v>0</v>
      </c>
      <c r="BA32" s="58">
        <f t="shared" si="41"/>
        <v>0</v>
      </c>
      <c r="BB32" s="58">
        <f t="shared" si="41"/>
        <v>0</v>
      </c>
      <c r="BC32" s="58">
        <f t="shared" si="41"/>
        <v>0</v>
      </c>
      <c r="BD32" s="58">
        <f t="shared" si="41"/>
        <v>0</v>
      </c>
      <c r="BE32" s="58">
        <f t="shared" si="41"/>
        <v>0</v>
      </c>
      <c r="BF32" s="58">
        <f t="shared" si="41"/>
        <v>0</v>
      </c>
      <c r="BG32" s="61">
        <f t="shared" si="78"/>
        <v>0</v>
      </c>
      <c r="BH32" s="58">
        <f t="shared" si="78"/>
        <v>0</v>
      </c>
      <c r="BI32" s="58">
        <f t="shared" si="78"/>
        <v>0</v>
      </c>
      <c r="BJ32" s="58">
        <f t="shared" si="78"/>
        <v>0</v>
      </c>
      <c r="BK32" s="58">
        <f t="shared" si="78"/>
        <v>0</v>
      </c>
      <c r="BL32" s="58">
        <f t="shared" si="63"/>
        <v>0</v>
      </c>
      <c r="BM32" s="58">
        <f t="shared" si="63"/>
        <v>0</v>
      </c>
      <c r="BN32" s="62">
        <f t="shared" si="63"/>
        <v>0</v>
      </c>
      <c r="BO32" s="61">
        <f t="shared" si="83"/>
        <v>0</v>
      </c>
      <c r="BP32" s="58">
        <f t="shared" si="83"/>
        <v>0</v>
      </c>
      <c r="BQ32" s="58">
        <f t="shared" si="83"/>
        <v>0</v>
      </c>
      <c r="BR32" s="58">
        <f t="shared" si="83"/>
        <v>0</v>
      </c>
      <c r="BS32" s="58">
        <f t="shared" si="83"/>
        <v>0</v>
      </c>
      <c r="BT32" s="58">
        <f t="shared" si="64"/>
        <v>0</v>
      </c>
      <c r="BU32" s="58">
        <f t="shared" si="64"/>
        <v>0</v>
      </c>
      <c r="BV32" s="62">
        <f t="shared" si="64"/>
        <v>0</v>
      </c>
      <c r="BW32" s="61">
        <f t="shared" si="33"/>
        <v>0</v>
      </c>
      <c r="BX32" s="58">
        <f t="shared" si="33"/>
        <v>0</v>
      </c>
      <c r="BY32" s="58">
        <f t="shared" si="33"/>
        <v>0</v>
      </c>
      <c r="BZ32" s="58">
        <f t="shared" si="33"/>
        <v>0</v>
      </c>
      <c r="CA32" s="58">
        <f t="shared" si="33"/>
        <v>0</v>
      </c>
      <c r="CB32" s="58">
        <f t="shared" si="65"/>
        <v>0</v>
      </c>
      <c r="CC32" s="58">
        <f t="shared" si="65"/>
        <v>0</v>
      </c>
      <c r="CD32" s="62">
        <f t="shared" si="65"/>
        <v>0</v>
      </c>
      <c r="CE32" s="61">
        <f t="shared" si="79"/>
        <v>0</v>
      </c>
      <c r="CF32" s="58">
        <f t="shared" si="79"/>
        <v>0</v>
      </c>
      <c r="CG32" s="58">
        <f t="shared" si="79"/>
        <v>0</v>
      </c>
      <c r="CH32" s="58">
        <f t="shared" si="79"/>
        <v>0</v>
      </c>
      <c r="CI32" s="58">
        <f t="shared" si="79"/>
        <v>0</v>
      </c>
      <c r="CJ32" s="58">
        <f t="shared" si="66"/>
        <v>0</v>
      </c>
      <c r="CK32" s="58">
        <f t="shared" si="66"/>
        <v>0</v>
      </c>
      <c r="CL32" s="62">
        <f t="shared" si="66"/>
        <v>0</v>
      </c>
      <c r="CM32" s="61">
        <f t="shared" si="80"/>
        <v>0</v>
      </c>
      <c r="CN32" s="58">
        <f t="shared" si="80"/>
        <v>0</v>
      </c>
      <c r="CO32" s="58">
        <f t="shared" si="80"/>
        <v>0</v>
      </c>
      <c r="CP32" s="58">
        <f t="shared" si="80"/>
        <v>0</v>
      </c>
      <c r="CQ32" s="58">
        <f t="shared" si="80"/>
        <v>0</v>
      </c>
      <c r="CR32" s="58">
        <f t="shared" si="67"/>
        <v>0</v>
      </c>
      <c r="CS32" s="58">
        <f t="shared" si="67"/>
        <v>0</v>
      </c>
      <c r="CT32" s="62">
        <f t="shared" si="67"/>
        <v>0</v>
      </c>
      <c r="CU32" s="235"/>
    </row>
    <row r="33" spans="1:99" ht="26.25" hidden="1" customHeight="1" outlineLevel="1" collapsed="1" x14ac:dyDescent="0.4">
      <c r="A33" s="350">
        <v>14</v>
      </c>
      <c r="B33" s="350" t="s">
        <v>47</v>
      </c>
      <c r="C33" s="350" t="s">
        <v>14</v>
      </c>
      <c r="D33" s="352" t="s">
        <v>427</v>
      </c>
      <c r="E33" s="352" t="s">
        <v>503</v>
      </c>
      <c r="F33" s="352" t="s">
        <v>423</v>
      </c>
      <c r="G33" s="375" t="s">
        <v>502</v>
      </c>
      <c r="H33" s="446">
        <f t="shared" ref="H33:H64" si="86">SUM(AZ33:BF33)</f>
        <v>0</v>
      </c>
      <c r="I33" s="446">
        <f t="shared" ref="I33:I64" si="87">SUM(AZ34:BF34)</f>
        <v>0</v>
      </c>
      <c r="J33" s="448"/>
      <c r="K33" s="452"/>
      <c r="L33" s="452"/>
      <c r="M33" s="450"/>
      <c r="N33" s="47" t="s">
        <v>24</v>
      </c>
      <c r="O33" s="10">
        <f>(5)/120</f>
        <v>4.1666666666666664E-2</v>
      </c>
      <c r="P33" s="10">
        <f t="shared" si="70"/>
        <v>0</v>
      </c>
      <c r="Q33" s="10">
        <f t="shared" si="70"/>
        <v>0</v>
      </c>
      <c r="R33" s="10">
        <f t="shared" si="70"/>
        <v>0</v>
      </c>
      <c r="S33" s="10">
        <f>(7)/120</f>
        <v>5.8333333333333334E-2</v>
      </c>
      <c r="T33" s="10">
        <f>(30)/120</f>
        <v>0.25</v>
      </c>
      <c r="U33" s="79">
        <f t="shared" si="70"/>
        <v>0</v>
      </c>
      <c r="V33" s="19">
        <f>(5)/142.5</f>
        <v>3.5087719298245612E-2</v>
      </c>
      <c r="W33" s="10">
        <f t="shared" si="46"/>
        <v>0</v>
      </c>
      <c r="X33" s="10">
        <f>(10)/142.5</f>
        <v>7.0175438596491224E-2</v>
      </c>
      <c r="Y33" s="10">
        <f>(25)/142.5</f>
        <v>0.17543859649122806</v>
      </c>
      <c r="Z33" s="10">
        <f>(25)/142.5</f>
        <v>0.17543859649122806</v>
      </c>
      <c r="AA33" s="10">
        <f>(25)/142.5</f>
        <v>0.17543859649122806</v>
      </c>
      <c r="AB33" s="71">
        <f>(5)/165</f>
        <v>3.0303030303030304E-2</v>
      </c>
      <c r="AC33" s="10">
        <f>(0)/165</f>
        <v>0</v>
      </c>
      <c r="AD33" s="10">
        <f t="shared" ref="AD33:AG34" si="88">(0)/165</f>
        <v>0</v>
      </c>
      <c r="AE33" s="10">
        <f t="shared" si="88"/>
        <v>0</v>
      </c>
      <c r="AF33" s="10">
        <f>(5)/165</f>
        <v>3.0303030303030304E-2</v>
      </c>
      <c r="AG33" s="10">
        <f t="shared" si="88"/>
        <v>0</v>
      </c>
      <c r="AH33" s="71">
        <f t="shared" si="3"/>
        <v>0</v>
      </c>
      <c r="AI33" s="10">
        <f t="shared" si="3"/>
        <v>0</v>
      </c>
      <c r="AJ33" s="10">
        <f t="shared" si="3"/>
        <v>0</v>
      </c>
      <c r="AK33" s="10">
        <f t="shared" si="3"/>
        <v>0</v>
      </c>
      <c r="AL33" s="10">
        <f t="shared" si="3"/>
        <v>0</v>
      </c>
      <c r="AM33" s="10">
        <f t="shared" si="3"/>
        <v>0</v>
      </c>
      <c r="AN33" s="71">
        <f>(3)/157.5</f>
        <v>1.9047619047619049E-2</v>
      </c>
      <c r="AO33" s="10">
        <f t="shared" ref="AO33:AS34" si="89">(0)/157.5</f>
        <v>0</v>
      </c>
      <c r="AP33" s="10">
        <f t="shared" si="89"/>
        <v>0</v>
      </c>
      <c r="AQ33" s="10">
        <f t="shared" si="89"/>
        <v>0</v>
      </c>
      <c r="AR33" s="10">
        <f>(3)/157.5</f>
        <v>1.9047619047619049E-2</v>
      </c>
      <c r="AS33" s="10">
        <f t="shared" si="89"/>
        <v>0</v>
      </c>
      <c r="AT33" s="189">
        <f t="shared" ref="AT33:AY64" si="90">(0)/165</f>
        <v>0</v>
      </c>
      <c r="AU33" s="10">
        <f t="shared" si="90"/>
        <v>0</v>
      </c>
      <c r="AV33" s="10">
        <f t="shared" si="90"/>
        <v>0</v>
      </c>
      <c r="AW33" s="10">
        <f t="shared" si="90"/>
        <v>0</v>
      </c>
      <c r="AX33" s="10">
        <f t="shared" si="90"/>
        <v>0</v>
      </c>
      <c r="AY33" s="17">
        <f t="shared" si="90"/>
        <v>0</v>
      </c>
      <c r="AZ33" s="19">
        <f t="shared" si="41"/>
        <v>0</v>
      </c>
      <c r="BA33" s="10">
        <f t="shared" si="41"/>
        <v>0</v>
      </c>
      <c r="BB33" s="10">
        <f t="shared" si="41"/>
        <v>0</v>
      </c>
      <c r="BC33" s="10">
        <f t="shared" si="41"/>
        <v>0</v>
      </c>
      <c r="BD33" s="10">
        <f t="shared" si="41"/>
        <v>0</v>
      </c>
      <c r="BE33" s="10">
        <f t="shared" si="41"/>
        <v>0</v>
      </c>
      <c r="BF33" s="10">
        <f t="shared" si="41"/>
        <v>0</v>
      </c>
      <c r="BG33" s="19">
        <f t="shared" si="78"/>
        <v>0</v>
      </c>
      <c r="BH33" s="10">
        <f t="shared" si="78"/>
        <v>0</v>
      </c>
      <c r="BI33" s="10">
        <f t="shared" si="78"/>
        <v>0</v>
      </c>
      <c r="BJ33" s="10">
        <f t="shared" si="78"/>
        <v>0</v>
      </c>
      <c r="BK33" s="10">
        <f t="shared" si="78"/>
        <v>0</v>
      </c>
      <c r="BL33" s="10">
        <f t="shared" si="63"/>
        <v>0</v>
      </c>
      <c r="BM33" s="10">
        <f t="shared" si="63"/>
        <v>0</v>
      </c>
      <c r="BN33" s="17">
        <f t="shared" si="63"/>
        <v>0</v>
      </c>
      <c r="BO33" s="19">
        <f t="shared" si="83"/>
        <v>0</v>
      </c>
      <c r="BP33" s="10">
        <f t="shared" si="83"/>
        <v>0</v>
      </c>
      <c r="BQ33" s="10">
        <f t="shared" si="83"/>
        <v>0</v>
      </c>
      <c r="BR33" s="10">
        <f t="shared" si="83"/>
        <v>0</v>
      </c>
      <c r="BS33" s="10">
        <f t="shared" si="83"/>
        <v>0</v>
      </c>
      <c r="BT33" s="10">
        <f t="shared" si="64"/>
        <v>0</v>
      </c>
      <c r="BU33" s="10">
        <f t="shared" si="64"/>
        <v>0</v>
      </c>
      <c r="BV33" s="17">
        <f t="shared" si="64"/>
        <v>0</v>
      </c>
      <c r="BW33" s="71">
        <f t="shared" si="33"/>
        <v>0</v>
      </c>
      <c r="BX33" s="10">
        <f t="shared" si="33"/>
        <v>0</v>
      </c>
      <c r="BY33" s="10">
        <f t="shared" si="33"/>
        <v>0</v>
      </c>
      <c r="BZ33" s="10">
        <f t="shared" si="33"/>
        <v>0</v>
      </c>
      <c r="CA33" s="10">
        <f t="shared" si="33"/>
        <v>0</v>
      </c>
      <c r="CB33" s="10">
        <f t="shared" si="65"/>
        <v>0</v>
      </c>
      <c r="CC33" s="10">
        <f t="shared" si="65"/>
        <v>0</v>
      </c>
      <c r="CD33" s="17">
        <f t="shared" si="65"/>
        <v>0</v>
      </c>
      <c r="CE33" s="19">
        <f t="shared" si="79"/>
        <v>0</v>
      </c>
      <c r="CF33" s="10">
        <f t="shared" si="79"/>
        <v>0</v>
      </c>
      <c r="CG33" s="10">
        <f t="shared" si="79"/>
        <v>0</v>
      </c>
      <c r="CH33" s="10">
        <f t="shared" si="79"/>
        <v>0</v>
      </c>
      <c r="CI33" s="10">
        <f t="shared" si="79"/>
        <v>0</v>
      </c>
      <c r="CJ33" s="10">
        <f t="shared" si="66"/>
        <v>0</v>
      </c>
      <c r="CK33" s="10">
        <f t="shared" si="66"/>
        <v>0</v>
      </c>
      <c r="CL33" s="17">
        <f t="shared" si="66"/>
        <v>0</v>
      </c>
      <c r="CM33" s="19">
        <f t="shared" si="80"/>
        <v>0</v>
      </c>
      <c r="CN33" s="10">
        <f t="shared" si="80"/>
        <v>0</v>
      </c>
      <c r="CO33" s="10">
        <f t="shared" si="80"/>
        <v>0</v>
      </c>
      <c r="CP33" s="10">
        <f t="shared" si="80"/>
        <v>0</v>
      </c>
      <c r="CQ33" s="10">
        <f t="shared" si="80"/>
        <v>0</v>
      </c>
      <c r="CR33" s="10">
        <f t="shared" si="67"/>
        <v>0</v>
      </c>
      <c r="CS33" s="10">
        <f t="shared" si="67"/>
        <v>0</v>
      </c>
      <c r="CT33" s="17">
        <f t="shared" si="67"/>
        <v>0</v>
      </c>
      <c r="CU33" s="235"/>
    </row>
    <row r="34" spans="1:99" ht="26.25" hidden="1" customHeight="1" outlineLevel="1" x14ac:dyDescent="0.4">
      <c r="A34" s="351"/>
      <c r="B34" s="351"/>
      <c r="C34" s="351"/>
      <c r="D34" s="353"/>
      <c r="E34" s="353"/>
      <c r="F34" s="353"/>
      <c r="G34" s="375"/>
      <c r="H34" s="447"/>
      <c r="I34" s="447"/>
      <c r="J34" s="449"/>
      <c r="K34" s="453"/>
      <c r="L34" s="453"/>
      <c r="M34" s="451"/>
      <c r="N34" s="38" t="s">
        <v>25</v>
      </c>
      <c r="O34" s="11">
        <f>(0+1+5)/120</f>
        <v>0.05</v>
      </c>
      <c r="P34" s="11">
        <f t="shared" si="70"/>
        <v>0</v>
      </c>
      <c r="Q34" s="11">
        <f t="shared" si="70"/>
        <v>0</v>
      </c>
      <c r="R34" s="11">
        <f t="shared" si="70"/>
        <v>0</v>
      </c>
      <c r="S34" s="11">
        <f>(0+5)/120</f>
        <v>4.1666666666666664E-2</v>
      </c>
      <c r="T34" s="11">
        <f>(0+3+24)/120</f>
        <v>0.22500000000000001</v>
      </c>
      <c r="U34" s="48">
        <f t="shared" si="70"/>
        <v>0</v>
      </c>
      <c r="V34" s="56">
        <f>(3+5.5)/142.5</f>
        <v>5.9649122807017542E-2</v>
      </c>
      <c r="W34" s="11">
        <f t="shared" si="46"/>
        <v>0</v>
      </c>
      <c r="X34" s="11">
        <f>(11.5)/142.5</f>
        <v>8.0701754385964913E-2</v>
      </c>
      <c r="Y34" s="11">
        <f>(18+5.5)/142.5</f>
        <v>0.1649122807017544</v>
      </c>
      <c r="Z34" s="11">
        <f>(12+10)/142.5</f>
        <v>0.15438596491228071</v>
      </c>
      <c r="AA34" s="11">
        <f>(18+5)/142.5</f>
        <v>0.16140350877192983</v>
      </c>
      <c r="AB34" s="56">
        <f>(1.5+1.5)/165</f>
        <v>1.8181818181818181E-2</v>
      </c>
      <c r="AC34" s="11">
        <f>(0)/165</f>
        <v>0</v>
      </c>
      <c r="AD34" s="11">
        <f t="shared" si="88"/>
        <v>0</v>
      </c>
      <c r="AE34" s="11">
        <f t="shared" si="88"/>
        <v>0</v>
      </c>
      <c r="AF34" s="11">
        <f>(3)/165</f>
        <v>1.8181818181818181E-2</v>
      </c>
      <c r="AG34" s="11">
        <f t="shared" si="88"/>
        <v>0</v>
      </c>
      <c r="AH34" s="56">
        <f t="shared" si="3"/>
        <v>0</v>
      </c>
      <c r="AI34" s="11">
        <f t="shared" si="3"/>
        <v>0</v>
      </c>
      <c r="AJ34" s="11">
        <f t="shared" si="3"/>
        <v>0</v>
      </c>
      <c r="AK34" s="11">
        <f t="shared" si="3"/>
        <v>0</v>
      </c>
      <c r="AL34" s="11">
        <f t="shared" si="3"/>
        <v>0</v>
      </c>
      <c r="AM34" s="11">
        <f t="shared" si="3"/>
        <v>0</v>
      </c>
      <c r="AN34" s="56">
        <f>(1.5+1.5)/157.5</f>
        <v>1.9047619047619049E-2</v>
      </c>
      <c r="AO34" s="11">
        <f t="shared" si="89"/>
        <v>0</v>
      </c>
      <c r="AP34" s="11">
        <f t="shared" si="89"/>
        <v>0</v>
      </c>
      <c r="AQ34" s="11">
        <f t="shared" si="89"/>
        <v>0</v>
      </c>
      <c r="AR34" s="11">
        <f>(1.25+1)/157.5</f>
        <v>1.4285714285714285E-2</v>
      </c>
      <c r="AS34" s="11">
        <f t="shared" si="89"/>
        <v>0</v>
      </c>
      <c r="AT34" s="61">
        <f t="shared" si="90"/>
        <v>0</v>
      </c>
      <c r="AU34" s="58">
        <f t="shared" si="90"/>
        <v>0</v>
      </c>
      <c r="AV34" s="58">
        <f t="shared" si="90"/>
        <v>0</v>
      </c>
      <c r="AW34" s="58">
        <f t="shared" si="90"/>
        <v>0</v>
      </c>
      <c r="AX34" s="58">
        <f t="shared" si="90"/>
        <v>0</v>
      </c>
      <c r="AY34" s="62">
        <f t="shared" si="90"/>
        <v>0</v>
      </c>
      <c r="AZ34" s="61">
        <f t="shared" si="41"/>
        <v>0</v>
      </c>
      <c r="BA34" s="58">
        <f t="shared" si="41"/>
        <v>0</v>
      </c>
      <c r="BB34" s="58">
        <f t="shared" si="41"/>
        <v>0</v>
      </c>
      <c r="BC34" s="58">
        <f t="shared" si="41"/>
        <v>0</v>
      </c>
      <c r="BD34" s="58">
        <f t="shared" si="41"/>
        <v>0</v>
      </c>
      <c r="BE34" s="58">
        <f t="shared" si="41"/>
        <v>0</v>
      </c>
      <c r="BF34" s="58">
        <f t="shared" si="41"/>
        <v>0</v>
      </c>
      <c r="BG34" s="61">
        <f t="shared" si="78"/>
        <v>0</v>
      </c>
      <c r="BH34" s="58">
        <f t="shared" si="78"/>
        <v>0</v>
      </c>
      <c r="BI34" s="58">
        <f t="shared" si="78"/>
        <v>0</v>
      </c>
      <c r="BJ34" s="58">
        <f t="shared" si="78"/>
        <v>0</v>
      </c>
      <c r="BK34" s="58">
        <f t="shared" si="78"/>
        <v>0</v>
      </c>
      <c r="BL34" s="58">
        <f t="shared" si="63"/>
        <v>0</v>
      </c>
      <c r="BM34" s="58">
        <f t="shared" si="63"/>
        <v>0</v>
      </c>
      <c r="BN34" s="62">
        <f t="shared" si="63"/>
        <v>0</v>
      </c>
      <c r="BO34" s="61">
        <f t="shared" si="83"/>
        <v>0</v>
      </c>
      <c r="BP34" s="58">
        <f t="shared" si="83"/>
        <v>0</v>
      </c>
      <c r="BQ34" s="58">
        <f t="shared" si="83"/>
        <v>0</v>
      </c>
      <c r="BR34" s="58">
        <f t="shared" si="83"/>
        <v>0</v>
      </c>
      <c r="BS34" s="58">
        <f t="shared" si="83"/>
        <v>0</v>
      </c>
      <c r="BT34" s="58">
        <f t="shared" si="64"/>
        <v>0</v>
      </c>
      <c r="BU34" s="58">
        <f t="shared" si="64"/>
        <v>0</v>
      </c>
      <c r="BV34" s="62">
        <f t="shared" si="64"/>
        <v>0</v>
      </c>
      <c r="BW34" s="61">
        <f t="shared" si="33"/>
        <v>0</v>
      </c>
      <c r="BX34" s="58">
        <f t="shared" si="33"/>
        <v>0</v>
      </c>
      <c r="BY34" s="58">
        <f t="shared" si="33"/>
        <v>0</v>
      </c>
      <c r="BZ34" s="58">
        <f t="shared" si="33"/>
        <v>0</v>
      </c>
      <c r="CA34" s="58">
        <f t="shared" si="33"/>
        <v>0</v>
      </c>
      <c r="CB34" s="58">
        <f t="shared" si="65"/>
        <v>0</v>
      </c>
      <c r="CC34" s="58">
        <f t="shared" si="65"/>
        <v>0</v>
      </c>
      <c r="CD34" s="62">
        <f t="shared" si="65"/>
        <v>0</v>
      </c>
      <c r="CE34" s="61">
        <f t="shared" si="79"/>
        <v>0</v>
      </c>
      <c r="CF34" s="58">
        <f t="shared" si="79"/>
        <v>0</v>
      </c>
      <c r="CG34" s="58">
        <f t="shared" si="79"/>
        <v>0</v>
      </c>
      <c r="CH34" s="58">
        <f t="shared" si="79"/>
        <v>0</v>
      </c>
      <c r="CI34" s="58">
        <f t="shared" si="79"/>
        <v>0</v>
      </c>
      <c r="CJ34" s="58">
        <f t="shared" si="66"/>
        <v>0</v>
      </c>
      <c r="CK34" s="58">
        <f t="shared" si="66"/>
        <v>0</v>
      </c>
      <c r="CL34" s="62">
        <f t="shared" si="66"/>
        <v>0</v>
      </c>
      <c r="CM34" s="61">
        <f t="shared" si="80"/>
        <v>0</v>
      </c>
      <c r="CN34" s="58">
        <f t="shared" si="80"/>
        <v>0</v>
      </c>
      <c r="CO34" s="58">
        <f t="shared" si="80"/>
        <v>0</v>
      </c>
      <c r="CP34" s="58">
        <f t="shared" si="80"/>
        <v>0</v>
      </c>
      <c r="CQ34" s="58">
        <f t="shared" si="80"/>
        <v>0</v>
      </c>
      <c r="CR34" s="58">
        <f t="shared" si="67"/>
        <v>0</v>
      </c>
      <c r="CS34" s="58">
        <f t="shared" si="67"/>
        <v>0</v>
      </c>
      <c r="CT34" s="62">
        <f t="shared" si="67"/>
        <v>0</v>
      </c>
      <c r="CU34" s="235"/>
    </row>
    <row r="35" spans="1:99" ht="26.25" hidden="1" customHeight="1" outlineLevel="1" collapsed="1" x14ac:dyDescent="0.4">
      <c r="A35" s="350">
        <v>15</v>
      </c>
      <c r="B35" s="350" t="s">
        <v>47</v>
      </c>
      <c r="C35" s="350" t="s">
        <v>14</v>
      </c>
      <c r="D35" s="352" t="s">
        <v>507</v>
      </c>
      <c r="E35" s="352" t="s">
        <v>505</v>
      </c>
      <c r="F35" s="352"/>
      <c r="G35" s="354" t="s">
        <v>506</v>
      </c>
      <c r="H35" s="446">
        <f t="shared" ref="H35:H66" si="91">SUM(AZ35:BF35)</f>
        <v>0</v>
      </c>
      <c r="I35" s="446">
        <f t="shared" ref="I35:I66" si="92">SUM(AZ36:BF36)</f>
        <v>0</v>
      </c>
      <c r="J35" s="448"/>
      <c r="K35" s="452"/>
      <c r="L35" s="452"/>
      <c r="M35" s="450"/>
      <c r="N35" s="47" t="s">
        <v>24</v>
      </c>
      <c r="O35" s="10">
        <f>(1.5)/120</f>
        <v>1.2500000000000001E-2</v>
      </c>
      <c r="P35" s="10">
        <f t="shared" si="70"/>
        <v>0</v>
      </c>
      <c r="Q35" s="10">
        <f t="shared" si="70"/>
        <v>0</v>
      </c>
      <c r="R35" s="10">
        <f t="shared" si="70"/>
        <v>0</v>
      </c>
      <c r="S35" s="10">
        <f t="shared" si="70"/>
        <v>0</v>
      </c>
      <c r="T35" s="10">
        <f t="shared" si="70"/>
        <v>0</v>
      </c>
      <c r="U35" s="79">
        <f t="shared" si="70"/>
        <v>0</v>
      </c>
      <c r="V35" s="19">
        <f>(0)/142.5</f>
        <v>0</v>
      </c>
      <c r="W35" s="10">
        <f t="shared" si="46"/>
        <v>0</v>
      </c>
      <c r="X35" s="10">
        <f t="shared" ref="X35:AA36" si="93">(0)/142.5</f>
        <v>0</v>
      </c>
      <c r="Y35" s="10">
        <f t="shared" si="93"/>
        <v>0</v>
      </c>
      <c r="Z35" s="10">
        <f t="shared" si="93"/>
        <v>0</v>
      </c>
      <c r="AA35" s="10">
        <f t="shared" si="93"/>
        <v>0</v>
      </c>
      <c r="AB35" s="71">
        <f t="shared" si="56"/>
        <v>0</v>
      </c>
      <c r="AC35" s="10">
        <f t="shared" si="56"/>
        <v>0</v>
      </c>
      <c r="AD35" s="10">
        <f t="shared" si="56"/>
        <v>0</v>
      </c>
      <c r="AE35" s="10">
        <f t="shared" si="56"/>
        <v>0</v>
      </c>
      <c r="AF35" s="10">
        <f t="shared" si="56"/>
        <v>0</v>
      </c>
      <c r="AG35" s="188">
        <f t="shared" si="56"/>
        <v>0</v>
      </c>
      <c r="AH35" s="71">
        <f t="shared" si="3"/>
        <v>0</v>
      </c>
      <c r="AI35" s="10">
        <f t="shared" si="3"/>
        <v>0</v>
      </c>
      <c r="AJ35" s="10">
        <f t="shared" si="3"/>
        <v>0</v>
      </c>
      <c r="AK35" s="10">
        <f t="shared" si="3"/>
        <v>0</v>
      </c>
      <c r="AL35" s="10">
        <f t="shared" si="3"/>
        <v>0</v>
      </c>
      <c r="AM35" s="10">
        <f t="shared" si="3"/>
        <v>0</v>
      </c>
      <c r="AN35" s="71">
        <f t="shared" si="48"/>
        <v>0</v>
      </c>
      <c r="AO35" s="10">
        <f t="shared" si="48"/>
        <v>0</v>
      </c>
      <c r="AP35" s="10">
        <f t="shared" si="48"/>
        <v>0</v>
      </c>
      <c r="AQ35" s="10">
        <f t="shared" si="48"/>
        <v>0</v>
      </c>
      <c r="AR35" s="10">
        <f t="shared" si="48"/>
        <v>0</v>
      </c>
      <c r="AS35" s="188">
        <f t="shared" si="62"/>
        <v>0</v>
      </c>
      <c r="AT35" s="189">
        <f t="shared" si="90"/>
        <v>0</v>
      </c>
      <c r="AU35" s="10">
        <f t="shared" si="90"/>
        <v>0</v>
      </c>
      <c r="AV35" s="10">
        <f t="shared" si="90"/>
        <v>0</v>
      </c>
      <c r="AW35" s="10">
        <f t="shared" si="90"/>
        <v>0</v>
      </c>
      <c r="AX35" s="10">
        <f t="shared" si="90"/>
        <v>0</v>
      </c>
      <c r="AY35" s="17">
        <f t="shared" si="90"/>
        <v>0</v>
      </c>
      <c r="AZ35" s="19">
        <f t="shared" si="41"/>
        <v>0</v>
      </c>
      <c r="BA35" s="10">
        <f t="shared" si="41"/>
        <v>0</v>
      </c>
      <c r="BB35" s="10">
        <f t="shared" si="41"/>
        <v>0</v>
      </c>
      <c r="BC35" s="10">
        <f t="shared" si="41"/>
        <v>0</v>
      </c>
      <c r="BD35" s="10">
        <f t="shared" si="41"/>
        <v>0</v>
      </c>
      <c r="BE35" s="10">
        <f t="shared" si="41"/>
        <v>0</v>
      </c>
      <c r="BF35" s="10">
        <f t="shared" si="41"/>
        <v>0</v>
      </c>
      <c r="BG35" s="19">
        <f t="shared" si="78"/>
        <v>0</v>
      </c>
      <c r="BH35" s="10">
        <f t="shared" si="78"/>
        <v>0</v>
      </c>
      <c r="BI35" s="10">
        <f t="shared" si="78"/>
        <v>0</v>
      </c>
      <c r="BJ35" s="10">
        <f t="shared" si="78"/>
        <v>0</v>
      </c>
      <c r="BK35" s="10">
        <f t="shared" si="78"/>
        <v>0</v>
      </c>
      <c r="BL35" s="10">
        <f t="shared" si="63"/>
        <v>0</v>
      </c>
      <c r="BM35" s="10">
        <f t="shared" si="63"/>
        <v>0</v>
      </c>
      <c r="BN35" s="17">
        <f t="shared" si="63"/>
        <v>0</v>
      </c>
      <c r="BO35" s="19">
        <f t="shared" si="83"/>
        <v>0</v>
      </c>
      <c r="BP35" s="10">
        <f t="shared" si="83"/>
        <v>0</v>
      </c>
      <c r="BQ35" s="10">
        <f t="shared" si="83"/>
        <v>0</v>
      </c>
      <c r="BR35" s="10">
        <f t="shared" si="83"/>
        <v>0</v>
      </c>
      <c r="BS35" s="10">
        <f t="shared" si="83"/>
        <v>0</v>
      </c>
      <c r="BT35" s="10">
        <f t="shared" si="64"/>
        <v>0</v>
      </c>
      <c r="BU35" s="10">
        <f t="shared" si="64"/>
        <v>0</v>
      </c>
      <c r="BV35" s="17">
        <f t="shared" si="64"/>
        <v>0</v>
      </c>
      <c r="BW35" s="71">
        <f t="shared" si="33"/>
        <v>0</v>
      </c>
      <c r="BX35" s="10">
        <f t="shared" si="33"/>
        <v>0</v>
      </c>
      <c r="BY35" s="10">
        <f t="shared" si="33"/>
        <v>0</v>
      </c>
      <c r="BZ35" s="10">
        <f t="shared" si="33"/>
        <v>0</v>
      </c>
      <c r="CA35" s="10">
        <f t="shared" si="33"/>
        <v>0</v>
      </c>
      <c r="CB35" s="10">
        <f t="shared" si="65"/>
        <v>0</v>
      </c>
      <c r="CC35" s="10">
        <f t="shared" si="65"/>
        <v>0</v>
      </c>
      <c r="CD35" s="17">
        <f t="shared" si="65"/>
        <v>0</v>
      </c>
      <c r="CE35" s="19">
        <f t="shared" si="79"/>
        <v>0</v>
      </c>
      <c r="CF35" s="10">
        <f t="shared" si="79"/>
        <v>0</v>
      </c>
      <c r="CG35" s="10">
        <f t="shared" si="79"/>
        <v>0</v>
      </c>
      <c r="CH35" s="10">
        <f t="shared" si="79"/>
        <v>0</v>
      </c>
      <c r="CI35" s="10">
        <f t="shared" si="79"/>
        <v>0</v>
      </c>
      <c r="CJ35" s="10">
        <f t="shared" si="66"/>
        <v>0</v>
      </c>
      <c r="CK35" s="10">
        <f t="shared" si="66"/>
        <v>0</v>
      </c>
      <c r="CL35" s="17">
        <f t="shared" si="66"/>
        <v>0</v>
      </c>
      <c r="CM35" s="19">
        <f t="shared" si="80"/>
        <v>0</v>
      </c>
      <c r="CN35" s="10">
        <f t="shared" si="80"/>
        <v>0</v>
      </c>
      <c r="CO35" s="10">
        <f t="shared" si="80"/>
        <v>0</v>
      </c>
      <c r="CP35" s="10">
        <f t="shared" si="80"/>
        <v>0</v>
      </c>
      <c r="CQ35" s="10">
        <f t="shared" si="80"/>
        <v>0</v>
      </c>
      <c r="CR35" s="10">
        <f t="shared" si="67"/>
        <v>0</v>
      </c>
      <c r="CS35" s="10">
        <f t="shared" si="67"/>
        <v>0</v>
      </c>
      <c r="CT35" s="17">
        <f t="shared" si="67"/>
        <v>0</v>
      </c>
      <c r="CU35" s="235"/>
    </row>
    <row r="36" spans="1:99" ht="26.25" hidden="1" customHeight="1" outlineLevel="1" x14ac:dyDescent="0.4">
      <c r="A36" s="351"/>
      <c r="B36" s="351"/>
      <c r="C36" s="351"/>
      <c r="D36" s="353"/>
      <c r="E36" s="353"/>
      <c r="F36" s="353"/>
      <c r="G36" s="355"/>
      <c r="H36" s="447"/>
      <c r="I36" s="447"/>
      <c r="J36" s="449"/>
      <c r="K36" s="453"/>
      <c r="L36" s="453"/>
      <c r="M36" s="451"/>
      <c r="N36" s="38" t="s">
        <v>25</v>
      </c>
      <c r="O36" s="11">
        <f>(0+0.5)/120</f>
        <v>4.1666666666666666E-3</v>
      </c>
      <c r="P36" s="11">
        <f t="shared" si="70"/>
        <v>0</v>
      </c>
      <c r="Q36" s="11">
        <f t="shared" si="70"/>
        <v>0</v>
      </c>
      <c r="R36" s="11">
        <f t="shared" si="70"/>
        <v>0</v>
      </c>
      <c r="S36" s="11">
        <f t="shared" si="70"/>
        <v>0</v>
      </c>
      <c r="T36" s="11">
        <f t="shared" si="70"/>
        <v>0</v>
      </c>
      <c r="U36" s="48">
        <f t="shared" si="70"/>
        <v>0</v>
      </c>
      <c r="V36" s="56">
        <f>(0)/142.5</f>
        <v>0</v>
      </c>
      <c r="W36" s="11">
        <f t="shared" si="46"/>
        <v>0</v>
      </c>
      <c r="X36" s="11">
        <f t="shared" si="93"/>
        <v>0</v>
      </c>
      <c r="Y36" s="11">
        <f t="shared" si="93"/>
        <v>0</v>
      </c>
      <c r="Z36" s="11">
        <f t="shared" si="93"/>
        <v>0</v>
      </c>
      <c r="AA36" s="11">
        <f t="shared" si="93"/>
        <v>0</v>
      </c>
      <c r="AB36" s="56">
        <f t="shared" si="56"/>
        <v>0</v>
      </c>
      <c r="AC36" s="11">
        <f t="shared" si="56"/>
        <v>0</v>
      </c>
      <c r="AD36" s="11">
        <f t="shared" si="56"/>
        <v>0</v>
      </c>
      <c r="AE36" s="11">
        <f t="shared" si="56"/>
        <v>0</v>
      </c>
      <c r="AF36" s="11">
        <f t="shared" si="56"/>
        <v>0</v>
      </c>
      <c r="AG36" s="48">
        <f t="shared" si="56"/>
        <v>0</v>
      </c>
      <c r="AH36" s="56">
        <f t="shared" si="3"/>
        <v>0</v>
      </c>
      <c r="AI36" s="11">
        <f t="shared" si="3"/>
        <v>0</v>
      </c>
      <c r="AJ36" s="11">
        <f t="shared" si="3"/>
        <v>0</v>
      </c>
      <c r="AK36" s="11">
        <f t="shared" si="3"/>
        <v>0</v>
      </c>
      <c r="AL36" s="11">
        <f t="shared" si="3"/>
        <v>0</v>
      </c>
      <c r="AM36" s="11">
        <f t="shared" si="3"/>
        <v>0</v>
      </c>
      <c r="AN36" s="56">
        <f t="shared" si="48"/>
        <v>0</v>
      </c>
      <c r="AO36" s="11">
        <f t="shared" si="48"/>
        <v>0</v>
      </c>
      <c r="AP36" s="11">
        <f t="shared" si="48"/>
        <v>0</v>
      </c>
      <c r="AQ36" s="11">
        <f t="shared" si="48"/>
        <v>0</v>
      </c>
      <c r="AR36" s="11">
        <f t="shared" si="48"/>
        <v>0</v>
      </c>
      <c r="AS36" s="48">
        <f t="shared" si="62"/>
        <v>0</v>
      </c>
      <c r="AT36" s="61">
        <f t="shared" si="90"/>
        <v>0</v>
      </c>
      <c r="AU36" s="58">
        <f t="shared" si="90"/>
        <v>0</v>
      </c>
      <c r="AV36" s="58">
        <f t="shared" si="90"/>
        <v>0</v>
      </c>
      <c r="AW36" s="58">
        <f t="shared" si="90"/>
        <v>0</v>
      </c>
      <c r="AX36" s="58">
        <f t="shared" si="90"/>
        <v>0</v>
      </c>
      <c r="AY36" s="62">
        <f t="shared" si="90"/>
        <v>0</v>
      </c>
      <c r="AZ36" s="61">
        <f t="shared" si="41"/>
        <v>0</v>
      </c>
      <c r="BA36" s="58">
        <f t="shared" si="41"/>
        <v>0</v>
      </c>
      <c r="BB36" s="58">
        <f t="shared" si="41"/>
        <v>0</v>
      </c>
      <c r="BC36" s="58">
        <f t="shared" si="41"/>
        <v>0</v>
      </c>
      <c r="BD36" s="58">
        <f t="shared" si="41"/>
        <v>0</v>
      </c>
      <c r="BE36" s="58">
        <f t="shared" si="41"/>
        <v>0</v>
      </c>
      <c r="BF36" s="58">
        <f t="shared" si="41"/>
        <v>0</v>
      </c>
      <c r="BG36" s="61">
        <f t="shared" si="78"/>
        <v>0</v>
      </c>
      <c r="BH36" s="58">
        <f t="shared" si="78"/>
        <v>0</v>
      </c>
      <c r="BI36" s="58">
        <f t="shared" si="78"/>
        <v>0</v>
      </c>
      <c r="BJ36" s="58">
        <f t="shared" si="78"/>
        <v>0</v>
      </c>
      <c r="BK36" s="58">
        <f t="shared" si="78"/>
        <v>0</v>
      </c>
      <c r="BL36" s="58">
        <f t="shared" si="63"/>
        <v>0</v>
      </c>
      <c r="BM36" s="58">
        <f t="shared" si="63"/>
        <v>0</v>
      </c>
      <c r="BN36" s="62">
        <f t="shared" si="63"/>
        <v>0</v>
      </c>
      <c r="BO36" s="61">
        <f t="shared" si="83"/>
        <v>0</v>
      </c>
      <c r="BP36" s="58">
        <f t="shared" si="83"/>
        <v>0</v>
      </c>
      <c r="BQ36" s="58">
        <f t="shared" si="83"/>
        <v>0</v>
      </c>
      <c r="BR36" s="58">
        <f t="shared" si="83"/>
        <v>0</v>
      </c>
      <c r="BS36" s="58">
        <f t="shared" si="83"/>
        <v>0</v>
      </c>
      <c r="BT36" s="58">
        <f t="shared" si="64"/>
        <v>0</v>
      </c>
      <c r="BU36" s="58">
        <f t="shared" si="64"/>
        <v>0</v>
      </c>
      <c r="BV36" s="62">
        <f t="shared" si="64"/>
        <v>0</v>
      </c>
      <c r="BW36" s="61">
        <f t="shared" si="33"/>
        <v>0</v>
      </c>
      <c r="BX36" s="58">
        <f t="shared" si="33"/>
        <v>0</v>
      </c>
      <c r="BY36" s="58">
        <f t="shared" si="33"/>
        <v>0</v>
      </c>
      <c r="BZ36" s="58">
        <f t="shared" si="33"/>
        <v>0</v>
      </c>
      <c r="CA36" s="58">
        <f t="shared" si="33"/>
        <v>0</v>
      </c>
      <c r="CB36" s="58">
        <f t="shared" si="65"/>
        <v>0</v>
      </c>
      <c r="CC36" s="58">
        <f t="shared" si="65"/>
        <v>0</v>
      </c>
      <c r="CD36" s="62">
        <f t="shared" si="65"/>
        <v>0</v>
      </c>
      <c r="CE36" s="61">
        <f t="shared" si="79"/>
        <v>0</v>
      </c>
      <c r="CF36" s="58">
        <f t="shared" si="79"/>
        <v>0</v>
      </c>
      <c r="CG36" s="58">
        <f t="shared" si="79"/>
        <v>0</v>
      </c>
      <c r="CH36" s="58">
        <f t="shared" si="79"/>
        <v>0</v>
      </c>
      <c r="CI36" s="58">
        <f t="shared" si="79"/>
        <v>0</v>
      </c>
      <c r="CJ36" s="58">
        <f t="shared" si="66"/>
        <v>0</v>
      </c>
      <c r="CK36" s="58">
        <f t="shared" si="66"/>
        <v>0</v>
      </c>
      <c r="CL36" s="62">
        <f t="shared" si="66"/>
        <v>0</v>
      </c>
      <c r="CM36" s="61">
        <f t="shared" si="80"/>
        <v>0</v>
      </c>
      <c r="CN36" s="58">
        <f t="shared" si="80"/>
        <v>0</v>
      </c>
      <c r="CO36" s="58">
        <f t="shared" si="80"/>
        <v>0</v>
      </c>
      <c r="CP36" s="58">
        <f t="shared" si="80"/>
        <v>0</v>
      </c>
      <c r="CQ36" s="58">
        <f t="shared" si="80"/>
        <v>0</v>
      </c>
      <c r="CR36" s="58">
        <f t="shared" si="67"/>
        <v>0</v>
      </c>
      <c r="CS36" s="58">
        <f t="shared" si="67"/>
        <v>0</v>
      </c>
      <c r="CT36" s="62">
        <f t="shared" si="67"/>
        <v>0</v>
      </c>
      <c r="CU36" s="235"/>
    </row>
    <row r="37" spans="1:99" ht="26.25" hidden="1" customHeight="1" outlineLevel="1" collapsed="1" x14ac:dyDescent="0.4">
      <c r="A37" s="350">
        <v>16</v>
      </c>
      <c r="B37" s="350" t="s">
        <v>47</v>
      </c>
      <c r="C37" s="350" t="s">
        <v>14</v>
      </c>
      <c r="D37" s="352" t="s">
        <v>507</v>
      </c>
      <c r="E37" s="352" t="s">
        <v>527</v>
      </c>
      <c r="F37" s="352" t="s">
        <v>528</v>
      </c>
      <c r="G37" s="375" t="s">
        <v>526</v>
      </c>
      <c r="H37" s="446">
        <f t="shared" ref="H37:H68" si="94">SUM(AZ37:BF37)</f>
        <v>0</v>
      </c>
      <c r="I37" s="446">
        <f t="shared" ref="I37:I68" si="95">SUM(AZ38:BF38)</f>
        <v>0</v>
      </c>
      <c r="J37" s="448"/>
      <c r="K37" s="452"/>
      <c r="L37" s="452"/>
      <c r="M37" s="450"/>
      <c r="N37" s="47" t="s">
        <v>24</v>
      </c>
      <c r="O37" s="10">
        <f t="shared" ref="O37:U54" si="96">0/127.5</f>
        <v>0</v>
      </c>
      <c r="P37" s="10">
        <f t="shared" si="96"/>
        <v>0</v>
      </c>
      <c r="Q37" s="10">
        <f t="shared" si="96"/>
        <v>0</v>
      </c>
      <c r="R37" s="10">
        <f t="shared" si="96"/>
        <v>0</v>
      </c>
      <c r="S37" s="10">
        <f t="shared" si="96"/>
        <v>0</v>
      </c>
      <c r="T37" s="10">
        <f t="shared" si="96"/>
        <v>0</v>
      </c>
      <c r="U37" s="79">
        <f t="shared" si="96"/>
        <v>0</v>
      </c>
      <c r="V37" s="19">
        <f>(23)/142.5</f>
        <v>0.16140350877192983</v>
      </c>
      <c r="W37" s="10">
        <f t="shared" si="46"/>
        <v>0</v>
      </c>
      <c r="X37" s="10">
        <f>(50)/142.5</f>
        <v>0.35087719298245612</v>
      </c>
      <c r="Y37" s="10">
        <f>(30)/142.5</f>
        <v>0.21052631578947367</v>
      </c>
      <c r="Z37" s="10">
        <f>(20)/142.5</f>
        <v>0.14035087719298245</v>
      </c>
      <c r="AA37" s="10">
        <f>(70)/142.5</f>
        <v>0.49122807017543857</v>
      </c>
      <c r="AB37" s="71">
        <f>(14)/165</f>
        <v>8.4848484848484854E-2</v>
      </c>
      <c r="AC37" s="10">
        <f>(0)/165</f>
        <v>0</v>
      </c>
      <c r="AD37" s="10">
        <f>(65)/165</f>
        <v>0.39393939393939392</v>
      </c>
      <c r="AE37" s="10">
        <f t="shared" ref="AD37:AG48" si="97">(0)/165</f>
        <v>0</v>
      </c>
      <c r="AF37" s="10">
        <f t="shared" si="97"/>
        <v>0</v>
      </c>
      <c r="AG37" s="10">
        <f>(45)/165</f>
        <v>0.27272727272727271</v>
      </c>
      <c r="AH37" s="71">
        <f t="shared" si="3"/>
        <v>0</v>
      </c>
      <c r="AI37" s="10">
        <f t="shared" si="3"/>
        <v>0</v>
      </c>
      <c r="AJ37" s="10">
        <f t="shared" si="3"/>
        <v>0</v>
      </c>
      <c r="AK37" s="10">
        <f t="shared" si="3"/>
        <v>0</v>
      </c>
      <c r="AL37" s="10">
        <f t="shared" si="3"/>
        <v>0</v>
      </c>
      <c r="AM37" s="10">
        <f t="shared" si="3"/>
        <v>0</v>
      </c>
      <c r="AN37" s="71">
        <f t="shared" si="48"/>
        <v>0</v>
      </c>
      <c r="AO37" s="10">
        <f t="shared" si="48"/>
        <v>0</v>
      </c>
      <c r="AP37" s="10">
        <f t="shared" si="48"/>
        <v>0</v>
      </c>
      <c r="AQ37" s="10">
        <f t="shared" si="48"/>
        <v>0</v>
      </c>
      <c r="AR37" s="10">
        <f t="shared" si="48"/>
        <v>0</v>
      </c>
      <c r="AS37" s="188">
        <f t="shared" si="62"/>
        <v>0</v>
      </c>
      <c r="AT37" s="189">
        <f t="shared" si="90"/>
        <v>0</v>
      </c>
      <c r="AU37" s="10">
        <f t="shared" si="90"/>
        <v>0</v>
      </c>
      <c r="AV37" s="10">
        <f t="shared" si="90"/>
        <v>0</v>
      </c>
      <c r="AW37" s="10">
        <f t="shared" si="90"/>
        <v>0</v>
      </c>
      <c r="AX37" s="10">
        <f t="shared" si="90"/>
        <v>0</v>
      </c>
      <c r="AY37" s="17">
        <f t="shared" si="90"/>
        <v>0</v>
      </c>
      <c r="AZ37" s="19">
        <f t="shared" si="41"/>
        <v>0</v>
      </c>
      <c r="BA37" s="10">
        <f t="shared" si="41"/>
        <v>0</v>
      </c>
      <c r="BB37" s="10">
        <f t="shared" si="41"/>
        <v>0</v>
      </c>
      <c r="BC37" s="10">
        <f t="shared" si="41"/>
        <v>0</v>
      </c>
      <c r="BD37" s="10">
        <f t="shared" si="41"/>
        <v>0</v>
      </c>
      <c r="BE37" s="10">
        <f t="shared" si="41"/>
        <v>0</v>
      </c>
      <c r="BF37" s="10">
        <f t="shared" si="41"/>
        <v>0</v>
      </c>
      <c r="BG37" s="19">
        <f t="shared" ref="BG37:BK46" si="98">0/142.5</f>
        <v>0</v>
      </c>
      <c r="BH37" s="10">
        <f t="shared" si="98"/>
        <v>0</v>
      </c>
      <c r="BI37" s="10">
        <f t="shared" si="98"/>
        <v>0</v>
      </c>
      <c r="BJ37" s="10">
        <f t="shared" si="98"/>
        <v>0</v>
      </c>
      <c r="BK37" s="10">
        <f t="shared" si="98"/>
        <v>0</v>
      </c>
      <c r="BL37" s="10">
        <f t="shared" si="63"/>
        <v>0</v>
      </c>
      <c r="BM37" s="10">
        <f t="shared" si="63"/>
        <v>0</v>
      </c>
      <c r="BN37" s="17">
        <f t="shared" si="63"/>
        <v>0</v>
      </c>
      <c r="BO37" s="19">
        <f t="shared" si="83"/>
        <v>0</v>
      </c>
      <c r="BP37" s="10">
        <f t="shared" si="83"/>
        <v>0</v>
      </c>
      <c r="BQ37" s="10">
        <f t="shared" si="83"/>
        <v>0</v>
      </c>
      <c r="BR37" s="10">
        <f t="shared" si="83"/>
        <v>0</v>
      </c>
      <c r="BS37" s="10">
        <f t="shared" si="83"/>
        <v>0</v>
      </c>
      <c r="BT37" s="10">
        <f t="shared" si="64"/>
        <v>0</v>
      </c>
      <c r="BU37" s="10">
        <f t="shared" si="64"/>
        <v>0</v>
      </c>
      <c r="BV37" s="17">
        <f t="shared" si="64"/>
        <v>0</v>
      </c>
      <c r="BW37" s="71">
        <f t="shared" si="33"/>
        <v>0</v>
      </c>
      <c r="BX37" s="10">
        <f t="shared" si="33"/>
        <v>0</v>
      </c>
      <c r="BY37" s="10">
        <f t="shared" si="33"/>
        <v>0</v>
      </c>
      <c r="BZ37" s="10">
        <f t="shared" si="33"/>
        <v>0</v>
      </c>
      <c r="CA37" s="10">
        <f t="shared" si="33"/>
        <v>0</v>
      </c>
      <c r="CB37" s="10">
        <f t="shared" si="65"/>
        <v>0</v>
      </c>
      <c r="CC37" s="10">
        <f t="shared" si="65"/>
        <v>0</v>
      </c>
      <c r="CD37" s="17">
        <f t="shared" si="65"/>
        <v>0</v>
      </c>
      <c r="CE37" s="19">
        <f t="shared" ref="CE37:CI46" si="99">0/157.5</f>
        <v>0</v>
      </c>
      <c r="CF37" s="10">
        <f t="shared" si="99"/>
        <v>0</v>
      </c>
      <c r="CG37" s="10">
        <f t="shared" si="99"/>
        <v>0</v>
      </c>
      <c r="CH37" s="10">
        <f t="shared" si="99"/>
        <v>0</v>
      </c>
      <c r="CI37" s="10">
        <f t="shared" si="99"/>
        <v>0</v>
      </c>
      <c r="CJ37" s="10">
        <f t="shared" si="66"/>
        <v>0</v>
      </c>
      <c r="CK37" s="10">
        <f t="shared" si="66"/>
        <v>0</v>
      </c>
      <c r="CL37" s="17">
        <f t="shared" si="66"/>
        <v>0</v>
      </c>
      <c r="CM37" s="19">
        <f t="shared" ref="CM37:CQ46" si="100">0/142.5</f>
        <v>0</v>
      </c>
      <c r="CN37" s="10">
        <f t="shared" si="100"/>
        <v>0</v>
      </c>
      <c r="CO37" s="10">
        <f t="shared" si="100"/>
        <v>0</v>
      </c>
      <c r="CP37" s="10">
        <f t="shared" si="100"/>
        <v>0</v>
      </c>
      <c r="CQ37" s="10">
        <f t="shared" si="100"/>
        <v>0</v>
      </c>
      <c r="CR37" s="10">
        <f t="shared" si="67"/>
        <v>0</v>
      </c>
      <c r="CS37" s="10">
        <f t="shared" si="67"/>
        <v>0</v>
      </c>
      <c r="CT37" s="17">
        <f t="shared" si="67"/>
        <v>0</v>
      </c>
      <c r="CU37" s="235"/>
    </row>
    <row r="38" spans="1:99" ht="26.25" hidden="1" customHeight="1" outlineLevel="1" x14ac:dyDescent="0.4">
      <c r="A38" s="351"/>
      <c r="B38" s="351"/>
      <c r="C38" s="351"/>
      <c r="D38" s="353"/>
      <c r="E38" s="353"/>
      <c r="F38" s="353"/>
      <c r="G38" s="375"/>
      <c r="H38" s="447"/>
      <c r="I38" s="447"/>
      <c r="J38" s="449"/>
      <c r="K38" s="453"/>
      <c r="L38" s="453"/>
      <c r="M38" s="451"/>
      <c r="N38" s="38" t="s">
        <v>25</v>
      </c>
      <c r="O38" s="11">
        <f t="shared" si="96"/>
        <v>0</v>
      </c>
      <c r="P38" s="11">
        <f t="shared" si="96"/>
        <v>0</v>
      </c>
      <c r="Q38" s="11">
        <f t="shared" si="96"/>
        <v>0</v>
      </c>
      <c r="R38" s="11">
        <f t="shared" si="96"/>
        <v>0</v>
      </c>
      <c r="S38" s="11">
        <f t="shared" si="96"/>
        <v>0</v>
      </c>
      <c r="T38" s="11">
        <f t="shared" si="96"/>
        <v>0</v>
      </c>
      <c r="U38" s="48">
        <f t="shared" si="96"/>
        <v>0</v>
      </c>
      <c r="V38" s="56">
        <f>(0+4.5+8+6.5)/142.5</f>
        <v>0.13333333333333333</v>
      </c>
      <c r="W38" s="11">
        <f t="shared" si="46"/>
        <v>0</v>
      </c>
      <c r="X38" s="11">
        <f>(0+6+20+14+4)/142.5</f>
        <v>0.30877192982456142</v>
      </c>
      <c r="Y38" s="11">
        <f>(0+14.5+17.5)/142.5</f>
        <v>0.22456140350877193</v>
      </c>
      <c r="Z38" s="11">
        <f>(0+11+8)/142.5</f>
        <v>0.13333333333333333</v>
      </c>
      <c r="AA38" s="11">
        <f>(0+18+27.5+21.5+4)/142.5</f>
        <v>0.49824561403508771</v>
      </c>
      <c r="AB38" s="56">
        <f>(2+3.5+4+3)/165</f>
        <v>7.575757575757576E-2</v>
      </c>
      <c r="AC38" s="11">
        <f t="shared" ref="AC38:AF52" si="101">(0)/165</f>
        <v>0</v>
      </c>
      <c r="AD38" s="11">
        <f>(10+17.5+32+5)/165</f>
        <v>0.39090909090909093</v>
      </c>
      <c r="AE38" s="11">
        <f t="shared" si="97"/>
        <v>0</v>
      </c>
      <c r="AF38" s="11">
        <f t="shared" si="97"/>
        <v>0</v>
      </c>
      <c r="AG38" s="11">
        <f>(8+15+13.5+3)/165</f>
        <v>0.23939393939393938</v>
      </c>
      <c r="AH38" s="56">
        <f t="shared" si="3"/>
        <v>0</v>
      </c>
      <c r="AI38" s="11">
        <f t="shared" si="3"/>
        <v>0</v>
      </c>
      <c r="AJ38" s="11">
        <f t="shared" si="3"/>
        <v>0</v>
      </c>
      <c r="AK38" s="11">
        <f t="shared" si="3"/>
        <v>0</v>
      </c>
      <c r="AL38" s="11">
        <f t="shared" si="3"/>
        <v>0</v>
      </c>
      <c r="AM38" s="11">
        <f t="shared" si="3"/>
        <v>0</v>
      </c>
      <c r="AN38" s="56">
        <f t="shared" si="48"/>
        <v>0</v>
      </c>
      <c r="AO38" s="11">
        <f t="shared" si="48"/>
        <v>0</v>
      </c>
      <c r="AP38" s="11">
        <f t="shared" si="48"/>
        <v>0</v>
      </c>
      <c r="AQ38" s="11">
        <f t="shared" si="48"/>
        <v>0</v>
      </c>
      <c r="AR38" s="11">
        <f t="shared" si="48"/>
        <v>0</v>
      </c>
      <c r="AS38" s="48">
        <f t="shared" si="62"/>
        <v>0</v>
      </c>
      <c r="AT38" s="61">
        <f t="shared" si="90"/>
        <v>0</v>
      </c>
      <c r="AU38" s="58">
        <f t="shared" si="90"/>
        <v>0</v>
      </c>
      <c r="AV38" s="58">
        <f t="shared" si="90"/>
        <v>0</v>
      </c>
      <c r="AW38" s="58">
        <f t="shared" si="90"/>
        <v>0</v>
      </c>
      <c r="AX38" s="58">
        <f t="shared" si="90"/>
        <v>0</v>
      </c>
      <c r="AY38" s="62">
        <f t="shared" si="90"/>
        <v>0</v>
      </c>
      <c r="AZ38" s="61">
        <f t="shared" si="41"/>
        <v>0</v>
      </c>
      <c r="BA38" s="58">
        <f t="shared" si="41"/>
        <v>0</v>
      </c>
      <c r="BB38" s="58">
        <f t="shared" si="41"/>
        <v>0</v>
      </c>
      <c r="BC38" s="58">
        <f t="shared" si="41"/>
        <v>0</v>
      </c>
      <c r="BD38" s="58">
        <f t="shared" si="41"/>
        <v>0</v>
      </c>
      <c r="BE38" s="58">
        <f t="shared" si="41"/>
        <v>0</v>
      </c>
      <c r="BF38" s="58">
        <f t="shared" si="41"/>
        <v>0</v>
      </c>
      <c r="BG38" s="61">
        <f t="shared" si="98"/>
        <v>0</v>
      </c>
      <c r="BH38" s="58">
        <f t="shared" si="98"/>
        <v>0</v>
      </c>
      <c r="BI38" s="58">
        <f t="shared" si="98"/>
        <v>0</v>
      </c>
      <c r="BJ38" s="58">
        <f t="shared" si="98"/>
        <v>0</v>
      </c>
      <c r="BK38" s="58">
        <f t="shared" si="98"/>
        <v>0</v>
      </c>
      <c r="BL38" s="58">
        <f t="shared" si="63"/>
        <v>0</v>
      </c>
      <c r="BM38" s="58">
        <f t="shared" si="63"/>
        <v>0</v>
      </c>
      <c r="BN38" s="62">
        <f t="shared" si="63"/>
        <v>0</v>
      </c>
      <c r="BO38" s="61">
        <f t="shared" si="83"/>
        <v>0</v>
      </c>
      <c r="BP38" s="58">
        <f t="shared" si="83"/>
        <v>0</v>
      </c>
      <c r="BQ38" s="58">
        <f t="shared" si="83"/>
        <v>0</v>
      </c>
      <c r="BR38" s="58">
        <f t="shared" si="83"/>
        <v>0</v>
      </c>
      <c r="BS38" s="58">
        <f t="shared" si="83"/>
        <v>0</v>
      </c>
      <c r="BT38" s="58">
        <f t="shared" si="64"/>
        <v>0</v>
      </c>
      <c r="BU38" s="58">
        <f t="shared" si="64"/>
        <v>0</v>
      </c>
      <c r="BV38" s="62">
        <f t="shared" si="64"/>
        <v>0</v>
      </c>
      <c r="BW38" s="61">
        <f t="shared" si="33"/>
        <v>0</v>
      </c>
      <c r="BX38" s="58">
        <f t="shared" si="33"/>
        <v>0</v>
      </c>
      <c r="BY38" s="58">
        <f t="shared" si="33"/>
        <v>0</v>
      </c>
      <c r="BZ38" s="58">
        <f t="shared" si="33"/>
        <v>0</v>
      </c>
      <c r="CA38" s="58">
        <f t="shared" si="33"/>
        <v>0</v>
      </c>
      <c r="CB38" s="58">
        <f t="shared" si="65"/>
        <v>0</v>
      </c>
      <c r="CC38" s="58">
        <f t="shared" si="65"/>
        <v>0</v>
      </c>
      <c r="CD38" s="62">
        <f t="shared" si="65"/>
        <v>0</v>
      </c>
      <c r="CE38" s="61">
        <f t="shared" si="99"/>
        <v>0</v>
      </c>
      <c r="CF38" s="58">
        <f t="shared" si="99"/>
        <v>0</v>
      </c>
      <c r="CG38" s="58">
        <f t="shared" si="99"/>
        <v>0</v>
      </c>
      <c r="CH38" s="58">
        <f t="shared" si="99"/>
        <v>0</v>
      </c>
      <c r="CI38" s="58">
        <f t="shared" si="99"/>
        <v>0</v>
      </c>
      <c r="CJ38" s="58">
        <f t="shared" si="66"/>
        <v>0</v>
      </c>
      <c r="CK38" s="58">
        <f t="shared" si="66"/>
        <v>0</v>
      </c>
      <c r="CL38" s="62">
        <f t="shared" si="66"/>
        <v>0</v>
      </c>
      <c r="CM38" s="61">
        <f t="shared" si="100"/>
        <v>0</v>
      </c>
      <c r="CN38" s="58">
        <f t="shared" si="100"/>
        <v>0</v>
      </c>
      <c r="CO38" s="58">
        <f t="shared" si="100"/>
        <v>0</v>
      </c>
      <c r="CP38" s="58">
        <f t="shared" si="100"/>
        <v>0</v>
      </c>
      <c r="CQ38" s="58">
        <f t="shared" si="100"/>
        <v>0</v>
      </c>
      <c r="CR38" s="58">
        <f t="shared" si="67"/>
        <v>0</v>
      </c>
      <c r="CS38" s="58">
        <f t="shared" si="67"/>
        <v>0</v>
      </c>
      <c r="CT38" s="62">
        <f t="shared" si="67"/>
        <v>0</v>
      </c>
      <c r="CU38" s="235"/>
    </row>
    <row r="39" spans="1:99" ht="26.25" hidden="1" customHeight="1" outlineLevel="1" collapsed="1" x14ac:dyDescent="0.4">
      <c r="A39" s="350">
        <v>17</v>
      </c>
      <c r="B39" s="350" t="s">
        <v>47</v>
      </c>
      <c r="C39" s="350" t="s">
        <v>14</v>
      </c>
      <c r="D39" s="352" t="s">
        <v>424</v>
      </c>
      <c r="E39" s="352" t="s">
        <v>530</v>
      </c>
      <c r="F39" s="352" t="s">
        <v>423</v>
      </c>
      <c r="G39" s="375" t="s">
        <v>529</v>
      </c>
      <c r="H39" s="446">
        <f t="shared" ref="H39:H70" si="102">SUM(AZ39:BF39)</f>
        <v>0</v>
      </c>
      <c r="I39" s="446">
        <f t="shared" ref="I39:I70" si="103">SUM(AZ40:BF40)</f>
        <v>0</v>
      </c>
      <c r="J39" s="448"/>
      <c r="K39" s="452"/>
      <c r="L39" s="452"/>
      <c r="M39" s="450"/>
      <c r="N39" s="47" t="s">
        <v>24</v>
      </c>
      <c r="O39" s="10">
        <f t="shared" si="96"/>
        <v>0</v>
      </c>
      <c r="P39" s="10">
        <f t="shared" si="96"/>
        <v>0</v>
      </c>
      <c r="Q39" s="10">
        <f t="shared" si="96"/>
        <v>0</v>
      </c>
      <c r="R39" s="10">
        <f t="shared" si="96"/>
        <v>0</v>
      </c>
      <c r="S39" s="10">
        <f t="shared" si="96"/>
        <v>0</v>
      </c>
      <c r="T39" s="10">
        <f t="shared" si="96"/>
        <v>0</v>
      </c>
      <c r="U39" s="79">
        <f t="shared" si="96"/>
        <v>0</v>
      </c>
      <c r="V39" s="19">
        <f>(12)/142.5</f>
        <v>8.4210526315789472E-2</v>
      </c>
      <c r="W39" s="10">
        <f t="shared" si="46"/>
        <v>0</v>
      </c>
      <c r="X39" s="10">
        <f>(0)/142.5</f>
        <v>0</v>
      </c>
      <c r="Y39" s="10">
        <f>(30)/142.5</f>
        <v>0.21052631578947367</v>
      </c>
      <c r="Z39" s="10">
        <f>(30)/142.5</f>
        <v>0.21052631578947367</v>
      </c>
      <c r="AA39" s="10">
        <f>(0)/142.5</f>
        <v>0</v>
      </c>
      <c r="AB39" s="71">
        <f>(7)/165</f>
        <v>4.2424242424242427E-2</v>
      </c>
      <c r="AC39" s="10">
        <f t="shared" si="101"/>
        <v>0</v>
      </c>
      <c r="AD39" s="10">
        <f>(20)/165</f>
        <v>0.12121212121212122</v>
      </c>
      <c r="AE39" s="10">
        <f>(20)/165</f>
        <v>0.12121212121212122</v>
      </c>
      <c r="AF39" s="10">
        <f>(20)/165</f>
        <v>0.12121212121212122</v>
      </c>
      <c r="AG39" s="10">
        <f t="shared" si="97"/>
        <v>0</v>
      </c>
      <c r="AH39" s="71">
        <f>(10)/165</f>
        <v>6.0606060606060608E-2</v>
      </c>
      <c r="AI39" s="10">
        <f t="shared" si="3"/>
        <v>0</v>
      </c>
      <c r="AJ39" s="10">
        <f t="shared" si="3"/>
        <v>0</v>
      </c>
      <c r="AK39" s="10">
        <f>(40)/165</f>
        <v>0.24242424242424243</v>
      </c>
      <c r="AL39" s="10">
        <f t="shared" ref="AL39" si="104">(20)/165</f>
        <v>0.12121212121212122</v>
      </c>
      <c r="AM39" s="10">
        <f t="shared" si="3"/>
        <v>0</v>
      </c>
      <c r="AN39" s="71">
        <f t="shared" ref="AN39:AS81" si="105">(0)/157.5</f>
        <v>0</v>
      </c>
      <c r="AO39" s="10">
        <f t="shared" si="105"/>
        <v>0</v>
      </c>
      <c r="AP39" s="10">
        <f t="shared" si="105"/>
        <v>0</v>
      </c>
      <c r="AQ39" s="10">
        <f t="shared" si="105"/>
        <v>0</v>
      </c>
      <c r="AR39" s="10">
        <f>(1)/157.5</f>
        <v>6.3492063492063492E-3</v>
      </c>
      <c r="AS39" s="10">
        <f t="shared" si="105"/>
        <v>0</v>
      </c>
      <c r="AT39" s="189">
        <f>(3)/165</f>
        <v>1.8181818181818181E-2</v>
      </c>
      <c r="AU39" s="10">
        <f t="shared" si="90"/>
        <v>0</v>
      </c>
      <c r="AV39" s="10">
        <f t="shared" si="90"/>
        <v>0</v>
      </c>
      <c r="AW39" s="10">
        <f>(5)/165</f>
        <v>3.0303030303030304E-2</v>
      </c>
      <c r="AX39" s="10">
        <f>(15)/165</f>
        <v>9.0909090909090912E-2</v>
      </c>
      <c r="AY39" s="17">
        <f t="shared" si="90"/>
        <v>0</v>
      </c>
      <c r="AZ39" s="19">
        <f t="shared" si="41"/>
        <v>0</v>
      </c>
      <c r="BA39" s="10">
        <f t="shared" si="41"/>
        <v>0</v>
      </c>
      <c r="BB39" s="10">
        <f t="shared" si="41"/>
        <v>0</v>
      </c>
      <c r="BC39" s="10">
        <f t="shared" si="41"/>
        <v>0</v>
      </c>
      <c r="BD39" s="10">
        <f t="shared" si="41"/>
        <v>0</v>
      </c>
      <c r="BE39" s="10">
        <f t="shared" si="41"/>
        <v>0</v>
      </c>
      <c r="BF39" s="10">
        <f t="shared" si="41"/>
        <v>0</v>
      </c>
      <c r="BG39" s="19">
        <f t="shared" si="98"/>
        <v>0</v>
      </c>
      <c r="BH39" s="10">
        <f t="shared" si="98"/>
        <v>0</v>
      </c>
      <c r="BI39" s="10">
        <f t="shared" si="98"/>
        <v>0</v>
      </c>
      <c r="BJ39" s="10">
        <f t="shared" si="98"/>
        <v>0</v>
      </c>
      <c r="BK39" s="10">
        <f t="shared" si="98"/>
        <v>0</v>
      </c>
      <c r="BL39" s="10">
        <f t="shared" si="63"/>
        <v>0</v>
      </c>
      <c r="BM39" s="10">
        <f t="shared" si="63"/>
        <v>0</v>
      </c>
      <c r="BN39" s="17">
        <f t="shared" si="63"/>
        <v>0</v>
      </c>
      <c r="BO39" s="19">
        <f t="shared" ref="BO39:BS48" si="106">0/157.5</f>
        <v>0</v>
      </c>
      <c r="BP39" s="10">
        <f t="shared" si="106"/>
        <v>0</v>
      </c>
      <c r="BQ39" s="10">
        <f t="shared" si="106"/>
        <v>0</v>
      </c>
      <c r="BR39" s="10">
        <f t="shared" si="106"/>
        <v>0</v>
      </c>
      <c r="BS39" s="10">
        <f t="shared" si="106"/>
        <v>0</v>
      </c>
      <c r="BT39" s="10">
        <f t="shared" si="64"/>
        <v>0</v>
      </c>
      <c r="BU39" s="10">
        <f t="shared" si="64"/>
        <v>0</v>
      </c>
      <c r="BV39" s="17">
        <f t="shared" si="64"/>
        <v>0</v>
      </c>
      <c r="BW39" s="71">
        <f t="shared" si="33"/>
        <v>0</v>
      </c>
      <c r="BX39" s="10">
        <f t="shared" si="33"/>
        <v>0</v>
      </c>
      <c r="BY39" s="10">
        <f t="shared" si="33"/>
        <v>0</v>
      </c>
      <c r="BZ39" s="10">
        <f t="shared" si="33"/>
        <v>0</v>
      </c>
      <c r="CA39" s="10">
        <f t="shared" si="33"/>
        <v>0</v>
      </c>
      <c r="CB39" s="10">
        <f t="shared" si="65"/>
        <v>0</v>
      </c>
      <c r="CC39" s="10">
        <f t="shared" si="65"/>
        <v>0</v>
      </c>
      <c r="CD39" s="17">
        <f t="shared" si="65"/>
        <v>0</v>
      </c>
      <c r="CE39" s="19">
        <f t="shared" si="99"/>
        <v>0</v>
      </c>
      <c r="CF39" s="10">
        <f t="shared" si="99"/>
        <v>0</v>
      </c>
      <c r="CG39" s="10">
        <f t="shared" si="99"/>
        <v>0</v>
      </c>
      <c r="CH39" s="10">
        <f t="shared" si="99"/>
        <v>0</v>
      </c>
      <c r="CI39" s="10">
        <f t="shared" si="99"/>
        <v>0</v>
      </c>
      <c r="CJ39" s="10">
        <f t="shared" si="66"/>
        <v>0</v>
      </c>
      <c r="CK39" s="10">
        <f t="shared" si="66"/>
        <v>0</v>
      </c>
      <c r="CL39" s="17">
        <f t="shared" si="66"/>
        <v>0</v>
      </c>
      <c r="CM39" s="19">
        <f t="shared" si="100"/>
        <v>0</v>
      </c>
      <c r="CN39" s="10">
        <f t="shared" si="100"/>
        <v>0</v>
      </c>
      <c r="CO39" s="10">
        <f t="shared" si="100"/>
        <v>0</v>
      </c>
      <c r="CP39" s="10">
        <f t="shared" si="100"/>
        <v>0</v>
      </c>
      <c r="CQ39" s="10">
        <f t="shared" si="100"/>
        <v>0</v>
      </c>
      <c r="CR39" s="10">
        <f t="shared" si="67"/>
        <v>0</v>
      </c>
      <c r="CS39" s="10">
        <f t="shared" si="67"/>
        <v>0</v>
      </c>
      <c r="CT39" s="17">
        <f t="shared" si="67"/>
        <v>0</v>
      </c>
      <c r="CU39" s="235"/>
    </row>
    <row r="40" spans="1:99" ht="26.25" hidden="1" customHeight="1" outlineLevel="1" x14ac:dyDescent="0.4">
      <c r="A40" s="351"/>
      <c r="B40" s="351"/>
      <c r="C40" s="351"/>
      <c r="D40" s="353"/>
      <c r="E40" s="353"/>
      <c r="F40" s="353"/>
      <c r="G40" s="375"/>
      <c r="H40" s="447"/>
      <c r="I40" s="447"/>
      <c r="J40" s="449"/>
      <c r="K40" s="453"/>
      <c r="L40" s="453"/>
      <c r="M40" s="451"/>
      <c r="N40" s="38" t="s">
        <v>25</v>
      </c>
      <c r="O40" s="11">
        <f t="shared" si="96"/>
        <v>0</v>
      </c>
      <c r="P40" s="11">
        <f t="shared" si="96"/>
        <v>0</v>
      </c>
      <c r="Q40" s="11">
        <f t="shared" si="96"/>
        <v>0</v>
      </c>
      <c r="R40" s="11">
        <f t="shared" si="96"/>
        <v>0</v>
      </c>
      <c r="S40" s="11">
        <f t="shared" si="96"/>
        <v>0</v>
      </c>
      <c r="T40" s="11">
        <f t="shared" si="96"/>
        <v>0</v>
      </c>
      <c r="U40" s="48">
        <f t="shared" si="96"/>
        <v>0</v>
      </c>
      <c r="V40" s="56">
        <f>(0+5+1.5+1.5)/142.5</f>
        <v>5.6140350877192984E-2</v>
      </c>
      <c r="W40" s="11">
        <f t="shared" si="46"/>
        <v>0</v>
      </c>
      <c r="X40" s="11">
        <f>(0)/142.5</f>
        <v>0</v>
      </c>
      <c r="Y40" s="11">
        <f>(0+24+3)/142.5</f>
        <v>0.18947368421052632</v>
      </c>
      <c r="Z40" s="11">
        <f>(0+20+6+3)/142.5</f>
        <v>0.20350877192982456</v>
      </c>
      <c r="AA40" s="11">
        <f>(0)/142.5</f>
        <v>0</v>
      </c>
      <c r="AB40" s="56">
        <f>(2.5+2+2)/165</f>
        <v>3.9393939393939391E-2</v>
      </c>
      <c r="AC40" s="11">
        <f t="shared" si="101"/>
        <v>0</v>
      </c>
      <c r="AD40" s="11">
        <f>(3.5+3+2.5)/165</f>
        <v>5.4545454545454543E-2</v>
      </c>
      <c r="AE40" s="11">
        <f>(0+6+13)/165</f>
        <v>0.11515151515151516</v>
      </c>
      <c r="AF40" s="11">
        <f>(5.5+1.5+3+6)/165</f>
        <v>9.696969696969697E-2</v>
      </c>
      <c r="AG40" s="11">
        <f t="shared" si="97"/>
        <v>0</v>
      </c>
      <c r="AH40" s="56">
        <f>(1+4+2+1)/165</f>
        <v>4.8484848484848485E-2</v>
      </c>
      <c r="AI40" s="11">
        <f t="shared" si="3"/>
        <v>0</v>
      </c>
      <c r="AJ40" s="11">
        <f t="shared" si="3"/>
        <v>0</v>
      </c>
      <c r="AK40" s="11">
        <f>(6+24.5+8+3.25)/165</f>
        <v>0.25303030303030305</v>
      </c>
      <c r="AL40" s="11">
        <f>(1+4+4+4+4)/165</f>
        <v>0.10303030303030303</v>
      </c>
      <c r="AM40" s="11">
        <f t="shared" si="3"/>
        <v>0</v>
      </c>
      <c r="AN40" s="56">
        <f t="shared" si="105"/>
        <v>0</v>
      </c>
      <c r="AO40" s="11">
        <f t="shared" si="105"/>
        <v>0</v>
      </c>
      <c r="AP40" s="11">
        <f t="shared" si="105"/>
        <v>0</v>
      </c>
      <c r="AQ40" s="11">
        <f t="shared" si="105"/>
        <v>0</v>
      </c>
      <c r="AR40" s="11">
        <f>(0.5)/157.5</f>
        <v>3.1746031746031746E-3</v>
      </c>
      <c r="AS40" s="11">
        <f t="shared" si="105"/>
        <v>0</v>
      </c>
      <c r="AT40" s="61">
        <f>(1)/165</f>
        <v>6.0606060606060606E-3</v>
      </c>
      <c r="AU40" s="58">
        <f t="shared" si="90"/>
        <v>0</v>
      </c>
      <c r="AV40" s="58">
        <f t="shared" si="90"/>
        <v>0</v>
      </c>
      <c r="AW40" s="58">
        <f>(4)/165</f>
        <v>2.4242424242424242E-2</v>
      </c>
      <c r="AX40" s="58">
        <f>(7.25+7.75)/165</f>
        <v>9.0909090909090912E-2</v>
      </c>
      <c r="AY40" s="62">
        <f t="shared" si="90"/>
        <v>0</v>
      </c>
      <c r="AZ40" s="61">
        <f t="shared" si="41"/>
        <v>0</v>
      </c>
      <c r="BA40" s="58">
        <f t="shared" si="41"/>
        <v>0</v>
      </c>
      <c r="BB40" s="58">
        <f t="shared" si="41"/>
        <v>0</v>
      </c>
      <c r="BC40" s="58">
        <f t="shared" si="41"/>
        <v>0</v>
      </c>
      <c r="BD40" s="58">
        <f t="shared" si="41"/>
        <v>0</v>
      </c>
      <c r="BE40" s="58">
        <f t="shared" si="41"/>
        <v>0</v>
      </c>
      <c r="BF40" s="58">
        <f t="shared" si="41"/>
        <v>0</v>
      </c>
      <c r="BG40" s="61">
        <f t="shared" si="98"/>
        <v>0</v>
      </c>
      <c r="BH40" s="58">
        <f t="shared" si="98"/>
        <v>0</v>
      </c>
      <c r="BI40" s="58">
        <f t="shared" si="98"/>
        <v>0</v>
      </c>
      <c r="BJ40" s="58">
        <f t="shared" si="98"/>
        <v>0</v>
      </c>
      <c r="BK40" s="58">
        <f t="shared" si="98"/>
        <v>0</v>
      </c>
      <c r="BL40" s="58">
        <f t="shared" si="63"/>
        <v>0</v>
      </c>
      <c r="BM40" s="58">
        <f t="shared" si="63"/>
        <v>0</v>
      </c>
      <c r="BN40" s="62">
        <f t="shared" si="63"/>
        <v>0</v>
      </c>
      <c r="BO40" s="61">
        <f t="shared" si="106"/>
        <v>0</v>
      </c>
      <c r="BP40" s="58">
        <f t="shared" si="106"/>
        <v>0</v>
      </c>
      <c r="BQ40" s="58">
        <f t="shared" si="106"/>
        <v>0</v>
      </c>
      <c r="BR40" s="58">
        <f t="shared" si="106"/>
        <v>0</v>
      </c>
      <c r="BS40" s="58">
        <f t="shared" si="106"/>
        <v>0</v>
      </c>
      <c r="BT40" s="58">
        <f t="shared" si="64"/>
        <v>0</v>
      </c>
      <c r="BU40" s="58">
        <f t="shared" si="64"/>
        <v>0</v>
      </c>
      <c r="BV40" s="62">
        <f t="shared" si="64"/>
        <v>0</v>
      </c>
      <c r="BW40" s="61">
        <f t="shared" si="33"/>
        <v>0</v>
      </c>
      <c r="BX40" s="58">
        <f t="shared" si="33"/>
        <v>0</v>
      </c>
      <c r="BY40" s="58">
        <f t="shared" si="33"/>
        <v>0</v>
      </c>
      <c r="BZ40" s="58">
        <f t="shared" si="33"/>
        <v>0</v>
      </c>
      <c r="CA40" s="58">
        <f t="shared" si="33"/>
        <v>0</v>
      </c>
      <c r="CB40" s="58">
        <f t="shared" si="65"/>
        <v>0</v>
      </c>
      <c r="CC40" s="58">
        <f t="shared" si="65"/>
        <v>0</v>
      </c>
      <c r="CD40" s="62">
        <f t="shared" si="65"/>
        <v>0</v>
      </c>
      <c r="CE40" s="61">
        <f t="shared" si="99"/>
        <v>0</v>
      </c>
      <c r="CF40" s="58">
        <f t="shared" si="99"/>
        <v>0</v>
      </c>
      <c r="CG40" s="58">
        <f t="shared" si="99"/>
        <v>0</v>
      </c>
      <c r="CH40" s="58">
        <f t="shared" si="99"/>
        <v>0</v>
      </c>
      <c r="CI40" s="58">
        <f t="shared" si="99"/>
        <v>0</v>
      </c>
      <c r="CJ40" s="58">
        <f t="shared" si="66"/>
        <v>0</v>
      </c>
      <c r="CK40" s="58">
        <f t="shared" si="66"/>
        <v>0</v>
      </c>
      <c r="CL40" s="62">
        <f t="shared" si="66"/>
        <v>0</v>
      </c>
      <c r="CM40" s="61">
        <f t="shared" si="100"/>
        <v>0</v>
      </c>
      <c r="CN40" s="58">
        <f t="shared" si="100"/>
        <v>0</v>
      </c>
      <c r="CO40" s="58">
        <f t="shared" si="100"/>
        <v>0</v>
      </c>
      <c r="CP40" s="58">
        <f t="shared" si="100"/>
        <v>0</v>
      </c>
      <c r="CQ40" s="58">
        <f t="shared" si="100"/>
        <v>0</v>
      </c>
      <c r="CR40" s="58">
        <f t="shared" si="67"/>
        <v>0</v>
      </c>
      <c r="CS40" s="58">
        <f t="shared" si="67"/>
        <v>0</v>
      </c>
      <c r="CT40" s="62">
        <f t="shared" si="67"/>
        <v>0</v>
      </c>
      <c r="CU40" s="235"/>
    </row>
    <row r="41" spans="1:99" ht="26.25" customHeight="1" collapsed="1" x14ac:dyDescent="0.4">
      <c r="A41" s="350">
        <v>18</v>
      </c>
      <c r="B41" s="350" t="s">
        <v>47</v>
      </c>
      <c r="C41" s="350" t="s">
        <v>14</v>
      </c>
      <c r="D41" s="352" t="s">
        <v>544</v>
      </c>
      <c r="E41" s="352" t="s">
        <v>542</v>
      </c>
      <c r="F41" s="352"/>
      <c r="G41" s="375" t="s">
        <v>545</v>
      </c>
      <c r="H41" s="446">
        <f t="shared" ref="H41:H72" si="107">SUM(AZ41:BF41)</f>
        <v>0.18</v>
      </c>
      <c r="I41" s="446">
        <f t="shared" ref="I41:I72" si="108">SUM(AZ42:BF42)</f>
        <v>0.10666666666666666</v>
      </c>
      <c r="J41" s="448"/>
      <c r="K41" s="452"/>
      <c r="L41" s="452"/>
      <c r="M41" s="450"/>
      <c r="N41" s="47" t="s">
        <v>24</v>
      </c>
      <c r="O41" s="10">
        <f t="shared" si="96"/>
        <v>0</v>
      </c>
      <c r="P41" s="10">
        <f t="shared" si="96"/>
        <v>0</v>
      </c>
      <c r="Q41" s="10">
        <f t="shared" si="96"/>
        <v>0</v>
      </c>
      <c r="R41" s="10">
        <f t="shared" si="96"/>
        <v>0</v>
      </c>
      <c r="S41" s="10">
        <f t="shared" si="96"/>
        <v>0</v>
      </c>
      <c r="T41" s="10">
        <f t="shared" si="96"/>
        <v>0</v>
      </c>
      <c r="U41" s="79">
        <f t="shared" si="96"/>
        <v>0</v>
      </c>
      <c r="V41" s="19">
        <f>(8)/142.5</f>
        <v>5.6140350877192984E-2</v>
      </c>
      <c r="W41" s="10">
        <f t="shared" si="46"/>
        <v>0</v>
      </c>
      <c r="X41" s="10">
        <f>(0)/142.5</f>
        <v>0</v>
      </c>
      <c r="Y41" s="10">
        <f>(35)/142.5</f>
        <v>0.24561403508771928</v>
      </c>
      <c r="Z41" s="10">
        <f>(35)/142.5</f>
        <v>0.24561403508771928</v>
      </c>
      <c r="AA41" s="10">
        <f>(0)/142.5</f>
        <v>0</v>
      </c>
      <c r="AB41" s="71">
        <f>(12)/165</f>
        <v>7.2727272727272724E-2</v>
      </c>
      <c r="AC41" s="10">
        <f>(50)/165</f>
        <v>0.30303030303030304</v>
      </c>
      <c r="AD41" s="10">
        <f t="shared" si="97"/>
        <v>0</v>
      </c>
      <c r="AE41" s="10">
        <f>(110)/165</f>
        <v>0.66666666666666663</v>
      </c>
      <c r="AF41" s="10">
        <f>(100)/165</f>
        <v>0.60606060606060608</v>
      </c>
      <c r="AG41" s="10">
        <f t="shared" si="97"/>
        <v>0</v>
      </c>
      <c r="AH41" s="71">
        <f>(10)/165</f>
        <v>6.0606060606060608E-2</v>
      </c>
      <c r="AI41" s="10">
        <f>(25)/165</f>
        <v>0.15151515151515152</v>
      </c>
      <c r="AJ41" s="10">
        <f t="shared" si="3"/>
        <v>0</v>
      </c>
      <c r="AK41" s="10">
        <f>(70)/165</f>
        <v>0.42424242424242425</v>
      </c>
      <c r="AL41" s="10">
        <f>(122)/165</f>
        <v>0.73939393939393938</v>
      </c>
      <c r="AM41" s="10">
        <f t="shared" si="3"/>
        <v>0</v>
      </c>
      <c r="AN41" s="71">
        <f>(4)/157.5</f>
        <v>2.5396825396825397E-2</v>
      </c>
      <c r="AO41" s="10">
        <f>(70)/157.5</f>
        <v>0.44444444444444442</v>
      </c>
      <c r="AP41" s="10">
        <f t="shared" si="105"/>
        <v>0</v>
      </c>
      <c r="AQ41" s="10">
        <f>(68)/157.5</f>
        <v>0.43174603174603177</v>
      </c>
      <c r="AR41" s="10">
        <f>(130)/157.5</f>
        <v>0.82539682539682535</v>
      </c>
      <c r="AS41" s="10">
        <f>(4)/157.5</f>
        <v>2.5396825396825397E-2</v>
      </c>
      <c r="AT41" s="189">
        <f>(7)/165</f>
        <v>4.2424242424242427E-2</v>
      </c>
      <c r="AU41" s="10">
        <f>(28)/165</f>
        <v>0.16969696969696971</v>
      </c>
      <c r="AV41" s="10">
        <f t="shared" si="90"/>
        <v>0</v>
      </c>
      <c r="AW41" s="10">
        <f>(60)/165</f>
        <v>0.36363636363636365</v>
      </c>
      <c r="AX41" s="10">
        <f>(80)/165</f>
        <v>0.48484848484848486</v>
      </c>
      <c r="AY41" s="17">
        <f t="shared" si="90"/>
        <v>0</v>
      </c>
      <c r="AZ41" s="19">
        <f>(7)/150</f>
        <v>4.6666666666666669E-2</v>
      </c>
      <c r="BA41" s="10">
        <f t="shared" si="41"/>
        <v>0</v>
      </c>
      <c r="BB41" s="10">
        <f t="shared" si="41"/>
        <v>0</v>
      </c>
      <c r="BC41" s="10">
        <f t="shared" si="41"/>
        <v>0</v>
      </c>
      <c r="BD41" s="10">
        <f>(20)/150</f>
        <v>0.13333333333333333</v>
      </c>
      <c r="BE41" s="10">
        <f t="shared" si="41"/>
        <v>0</v>
      </c>
      <c r="BF41" s="10">
        <f t="shared" si="41"/>
        <v>0</v>
      </c>
      <c r="BG41" s="19">
        <f t="shared" si="98"/>
        <v>0</v>
      </c>
      <c r="BH41" s="10">
        <f t="shared" si="98"/>
        <v>0</v>
      </c>
      <c r="BI41" s="10">
        <f t="shared" si="98"/>
        <v>0</v>
      </c>
      <c r="BJ41" s="10">
        <f t="shared" si="98"/>
        <v>0</v>
      </c>
      <c r="BK41" s="10">
        <f t="shared" si="98"/>
        <v>0</v>
      </c>
      <c r="BL41" s="10">
        <f t="shared" si="63"/>
        <v>0</v>
      </c>
      <c r="BM41" s="10">
        <f t="shared" si="63"/>
        <v>0</v>
      </c>
      <c r="BN41" s="17">
        <f t="shared" si="63"/>
        <v>0</v>
      </c>
      <c r="BO41" s="19">
        <f t="shared" si="106"/>
        <v>0</v>
      </c>
      <c r="BP41" s="10">
        <f t="shared" si="106"/>
        <v>0</v>
      </c>
      <c r="BQ41" s="10">
        <f t="shared" si="106"/>
        <v>0</v>
      </c>
      <c r="BR41" s="10">
        <f t="shared" si="106"/>
        <v>0</v>
      </c>
      <c r="BS41" s="10">
        <f t="shared" si="106"/>
        <v>0</v>
      </c>
      <c r="BT41" s="10">
        <f t="shared" si="64"/>
        <v>0</v>
      </c>
      <c r="BU41" s="10">
        <f t="shared" si="64"/>
        <v>0</v>
      </c>
      <c r="BV41" s="17">
        <f t="shared" si="64"/>
        <v>0</v>
      </c>
      <c r="BW41" s="71">
        <f t="shared" ref="BW41:CA72" si="109">0/157.5</f>
        <v>0</v>
      </c>
      <c r="BX41" s="10">
        <f t="shared" si="109"/>
        <v>0</v>
      </c>
      <c r="BY41" s="10">
        <f t="shared" si="109"/>
        <v>0</v>
      </c>
      <c r="BZ41" s="10">
        <f t="shared" si="109"/>
        <v>0</v>
      </c>
      <c r="CA41" s="10">
        <f t="shared" si="109"/>
        <v>0</v>
      </c>
      <c r="CB41" s="10">
        <f t="shared" si="65"/>
        <v>0</v>
      </c>
      <c r="CC41" s="10">
        <f t="shared" si="65"/>
        <v>0</v>
      </c>
      <c r="CD41" s="17">
        <f t="shared" si="65"/>
        <v>0</v>
      </c>
      <c r="CE41" s="19">
        <f t="shared" si="99"/>
        <v>0</v>
      </c>
      <c r="CF41" s="10">
        <f t="shared" si="99"/>
        <v>0</v>
      </c>
      <c r="CG41" s="10">
        <f t="shared" si="99"/>
        <v>0</v>
      </c>
      <c r="CH41" s="10">
        <f t="shared" si="99"/>
        <v>0</v>
      </c>
      <c r="CI41" s="10">
        <f t="shared" si="99"/>
        <v>0</v>
      </c>
      <c r="CJ41" s="10">
        <f t="shared" si="66"/>
        <v>0</v>
      </c>
      <c r="CK41" s="10">
        <f t="shared" si="66"/>
        <v>0</v>
      </c>
      <c r="CL41" s="17">
        <f t="shared" si="66"/>
        <v>0</v>
      </c>
      <c r="CM41" s="19">
        <f t="shared" si="100"/>
        <v>0</v>
      </c>
      <c r="CN41" s="10">
        <f t="shared" si="100"/>
        <v>0</v>
      </c>
      <c r="CO41" s="10">
        <f t="shared" si="100"/>
        <v>0</v>
      </c>
      <c r="CP41" s="10">
        <f t="shared" si="100"/>
        <v>0</v>
      </c>
      <c r="CQ41" s="10">
        <f t="shared" si="100"/>
        <v>0</v>
      </c>
      <c r="CR41" s="10">
        <f t="shared" si="67"/>
        <v>0</v>
      </c>
      <c r="CS41" s="10">
        <f t="shared" si="67"/>
        <v>0</v>
      </c>
      <c r="CT41" s="17">
        <f t="shared" si="67"/>
        <v>0</v>
      </c>
      <c r="CU41" s="235"/>
    </row>
    <row r="42" spans="1:99" ht="26.25" customHeight="1" x14ac:dyDescent="0.4">
      <c r="A42" s="351"/>
      <c r="B42" s="351"/>
      <c r="C42" s="351"/>
      <c r="D42" s="353"/>
      <c r="E42" s="353"/>
      <c r="F42" s="353"/>
      <c r="G42" s="375"/>
      <c r="H42" s="447"/>
      <c r="I42" s="447"/>
      <c r="J42" s="449"/>
      <c r="K42" s="453"/>
      <c r="L42" s="453"/>
      <c r="M42" s="451"/>
      <c r="N42" s="38" t="s">
        <v>25</v>
      </c>
      <c r="O42" s="11">
        <f t="shared" si="96"/>
        <v>0</v>
      </c>
      <c r="P42" s="11">
        <f t="shared" si="96"/>
        <v>0</v>
      </c>
      <c r="Q42" s="11">
        <f t="shared" si="96"/>
        <v>0</v>
      </c>
      <c r="R42" s="11">
        <f t="shared" si="96"/>
        <v>0</v>
      </c>
      <c r="S42" s="11">
        <f t="shared" si="96"/>
        <v>0</v>
      </c>
      <c r="T42" s="11">
        <f t="shared" si="96"/>
        <v>0</v>
      </c>
      <c r="U42" s="48">
        <f t="shared" si="96"/>
        <v>0</v>
      </c>
      <c r="V42" s="56">
        <f>(0+6.5+4.5)/142.5</f>
        <v>7.7192982456140355E-2</v>
      </c>
      <c r="W42" s="11">
        <f t="shared" si="46"/>
        <v>0</v>
      </c>
      <c r="X42" s="11">
        <f>(0)/142.5</f>
        <v>0</v>
      </c>
      <c r="Y42" s="11">
        <f>(0+12+12)/142.5</f>
        <v>0.16842105263157894</v>
      </c>
      <c r="Z42" s="11">
        <f>(0+13+13+4)/142.5</f>
        <v>0.21052631578947367</v>
      </c>
      <c r="AA42" s="11">
        <f>(0)/142.5</f>
        <v>0</v>
      </c>
      <c r="AB42" s="56">
        <f>(1+5+6+3.5)/165</f>
        <v>9.3939393939393934E-2</v>
      </c>
      <c r="AC42" s="11">
        <f>(0+9.5+15+9.5)/165</f>
        <v>0.20606060606060606</v>
      </c>
      <c r="AD42" s="11">
        <f t="shared" si="97"/>
        <v>0</v>
      </c>
      <c r="AE42" s="11">
        <f>(18+26.5+30.5+23.5+12.5)/165</f>
        <v>0.67272727272727273</v>
      </c>
      <c r="AF42" s="11">
        <f>(9+21.5+30+26.5+19.5)/165</f>
        <v>0.6454545454545455</v>
      </c>
      <c r="AG42" s="11">
        <f t="shared" si="97"/>
        <v>0</v>
      </c>
      <c r="AH42" s="56">
        <f>(1+2+3.5+0.5+1+2.5)/165</f>
        <v>6.363636363636363E-2</v>
      </c>
      <c r="AI42" s="11">
        <f>(2+2+4+6+3+4.5)/165</f>
        <v>0.13030303030303031</v>
      </c>
      <c r="AJ42" s="11">
        <f t="shared" si="3"/>
        <v>0</v>
      </c>
      <c r="AK42" s="11">
        <f>(0+6.5+12.5+24+18.5+8)/165</f>
        <v>0.4212121212121212</v>
      </c>
      <c r="AL42" s="11">
        <f>(5+28+27.5+30+21+10.5)/165</f>
        <v>0.73939393939393938</v>
      </c>
      <c r="AM42" s="11">
        <f t="shared" si="3"/>
        <v>0</v>
      </c>
      <c r="AN42" s="56">
        <f>(2.5+1.75+3.5)/157.5</f>
        <v>4.9206349206349205E-2</v>
      </c>
      <c r="AO42" s="11">
        <f>(7.75+12+15.25+16.5+14.5)/157.5</f>
        <v>0.41904761904761906</v>
      </c>
      <c r="AP42" s="11">
        <f>(0)/157.5</f>
        <v>0</v>
      </c>
      <c r="AQ42" s="11">
        <f>(6.25+21+27.75+12)/157.5</f>
        <v>0.42539682539682538</v>
      </c>
      <c r="AR42" s="11">
        <f>(18+31.75+32.25+33.75+14)/157.5</f>
        <v>0.82380952380952377</v>
      </c>
      <c r="AS42" s="11">
        <f>(5.25)/157.5</f>
        <v>3.3333333333333333E-2</v>
      </c>
      <c r="AT42" s="61">
        <f>(3+2.75+1)/165</f>
        <v>4.0909090909090909E-2</v>
      </c>
      <c r="AU42" s="58">
        <f>(5.5+5.5+8.25+2.5)/165</f>
        <v>0.13181818181818181</v>
      </c>
      <c r="AV42" s="58">
        <f t="shared" si="90"/>
        <v>0</v>
      </c>
      <c r="AW42" s="58">
        <f>(0+18.25+21+8.25+10.5)/165</f>
        <v>0.3515151515151515</v>
      </c>
      <c r="AX42" s="58">
        <f>(7.25+20.75+35.75+12+8.5)/165</f>
        <v>0.51060606060606062</v>
      </c>
      <c r="AY42" s="62">
        <f>(0)/165</f>
        <v>0</v>
      </c>
      <c r="AZ42" s="61">
        <f>(1.25)/150</f>
        <v>8.3333333333333332E-3</v>
      </c>
      <c r="BA42" s="58">
        <f t="shared" si="41"/>
        <v>0</v>
      </c>
      <c r="BB42" s="58">
        <f t="shared" si="41"/>
        <v>0</v>
      </c>
      <c r="BC42" s="58">
        <f t="shared" si="41"/>
        <v>0</v>
      </c>
      <c r="BD42" s="58">
        <f>(14.75)/150</f>
        <v>9.8333333333333328E-2</v>
      </c>
      <c r="BE42" s="58">
        <f t="shared" si="41"/>
        <v>0</v>
      </c>
      <c r="BF42" s="58">
        <f t="shared" si="41"/>
        <v>0</v>
      </c>
      <c r="BG42" s="61">
        <f t="shared" si="98"/>
        <v>0</v>
      </c>
      <c r="BH42" s="58">
        <f t="shared" si="98"/>
        <v>0</v>
      </c>
      <c r="BI42" s="58">
        <f t="shared" si="98"/>
        <v>0</v>
      </c>
      <c r="BJ42" s="58">
        <f t="shared" si="98"/>
        <v>0</v>
      </c>
      <c r="BK42" s="58">
        <f t="shared" si="98"/>
        <v>0</v>
      </c>
      <c r="BL42" s="58">
        <f t="shared" si="63"/>
        <v>0</v>
      </c>
      <c r="BM42" s="58">
        <f t="shared" si="63"/>
        <v>0</v>
      </c>
      <c r="BN42" s="62">
        <f t="shared" si="63"/>
        <v>0</v>
      </c>
      <c r="BO42" s="61">
        <f t="shared" si="106"/>
        <v>0</v>
      </c>
      <c r="BP42" s="58">
        <f t="shared" si="106"/>
        <v>0</v>
      </c>
      <c r="BQ42" s="58">
        <f t="shared" si="106"/>
        <v>0</v>
      </c>
      <c r="BR42" s="58">
        <f t="shared" si="106"/>
        <v>0</v>
      </c>
      <c r="BS42" s="58">
        <f t="shared" si="106"/>
        <v>0</v>
      </c>
      <c r="BT42" s="58">
        <f t="shared" si="64"/>
        <v>0</v>
      </c>
      <c r="BU42" s="58">
        <f t="shared" si="64"/>
        <v>0</v>
      </c>
      <c r="BV42" s="62">
        <f t="shared" si="64"/>
        <v>0</v>
      </c>
      <c r="BW42" s="61">
        <f t="shared" si="109"/>
        <v>0</v>
      </c>
      <c r="BX42" s="58">
        <f t="shared" si="109"/>
        <v>0</v>
      </c>
      <c r="BY42" s="58">
        <f t="shared" si="109"/>
        <v>0</v>
      </c>
      <c r="BZ42" s="58">
        <f t="shared" si="109"/>
        <v>0</v>
      </c>
      <c r="CA42" s="58">
        <f t="shared" si="109"/>
        <v>0</v>
      </c>
      <c r="CB42" s="58">
        <f t="shared" si="65"/>
        <v>0</v>
      </c>
      <c r="CC42" s="58">
        <f t="shared" si="65"/>
        <v>0</v>
      </c>
      <c r="CD42" s="62">
        <f t="shared" si="65"/>
        <v>0</v>
      </c>
      <c r="CE42" s="61">
        <f t="shared" si="99"/>
        <v>0</v>
      </c>
      <c r="CF42" s="58">
        <f t="shared" si="99"/>
        <v>0</v>
      </c>
      <c r="CG42" s="58">
        <f t="shared" si="99"/>
        <v>0</v>
      </c>
      <c r="CH42" s="58">
        <f t="shared" si="99"/>
        <v>0</v>
      </c>
      <c r="CI42" s="58">
        <f t="shared" si="99"/>
        <v>0</v>
      </c>
      <c r="CJ42" s="58">
        <f t="shared" si="66"/>
        <v>0</v>
      </c>
      <c r="CK42" s="58">
        <f t="shared" si="66"/>
        <v>0</v>
      </c>
      <c r="CL42" s="62">
        <f t="shared" si="66"/>
        <v>0</v>
      </c>
      <c r="CM42" s="61">
        <f t="shared" si="100"/>
        <v>0</v>
      </c>
      <c r="CN42" s="58">
        <f t="shared" si="100"/>
        <v>0</v>
      </c>
      <c r="CO42" s="58">
        <f t="shared" si="100"/>
        <v>0</v>
      </c>
      <c r="CP42" s="58">
        <f t="shared" si="100"/>
        <v>0</v>
      </c>
      <c r="CQ42" s="58">
        <f t="shared" si="100"/>
        <v>0</v>
      </c>
      <c r="CR42" s="58">
        <f t="shared" si="67"/>
        <v>0</v>
      </c>
      <c r="CS42" s="58">
        <f t="shared" si="67"/>
        <v>0</v>
      </c>
      <c r="CT42" s="62">
        <f t="shared" si="67"/>
        <v>0</v>
      </c>
      <c r="CU42" s="235"/>
    </row>
    <row r="43" spans="1:99" ht="26.25" hidden="1" customHeight="1" outlineLevel="1" collapsed="1" x14ac:dyDescent="0.4">
      <c r="A43" s="350">
        <v>19</v>
      </c>
      <c r="B43" s="350" t="s">
        <v>47</v>
      </c>
      <c r="C43" s="350" t="s">
        <v>343</v>
      </c>
      <c r="D43" s="352" t="s">
        <v>548</v>
      </c>
      <c r="E43" s="352" t="s">
        <v>543</v>
      </c>
      <c r="F43" s="352" t="s">
        <v>547</v>
      </c>
      <c r="G43" s="375" t="s">
        <v>546</v>
      </c>
      <c r="H43" s="446">
        <f t="shared" ref="H43:H74" si="110">SUM(AZ43:BF43)</f>
        <v>0</v>
      </c>
      <c r="I43" s="446">
        <f t="shared" ref="I43:I74" si="111">SUM(AZ44:BF44)</f>
        <v>0</v>
      </c>
      <c r="J43" s="448"/>
      <c r="K43" s="452"/>
      <c r="L43" s="452"/>
      <c r="M43" s="450"/>
      <c r="N43" s="47" t="s">
        <v>24</v>
      </c>
      <c r="O43" s="10">
        <f t="shared" si="96"/>
        <v>0</v>
      </c>
      <c r="P43" s="10">
        <f t="shared" si="96"/>
        <v>0</v>
      </c>
      <c r="Q43" s="10">
        <f t="shared" si="96"/>
        <v>0</v>
      </c>
      <c r="R43" s="10">
        <f t="shared" si="96"/>
        <v>0</v>
      </c>
      <c r="S43" s="10">
        <f t="shared" si="96"/>
        <v>0</v>
      </c>
      <c r="T43" s="10">
        <f t="shared" si="96"/>
        <v>0</v>
      </c>
      <c r="U43" s="79">
        <f t="shared" si="96"/>
        <v>0</v>
      </c>
      <c r="V43" s="19">
        <f>(5)/142.5</f>
        <v>3.5087719298245612E-2</v>
      </c>
      <c r="W43" s="10">
        <f t="shared" si="46"/>
        <v>0</v>
      </c>
      <c r="X43" s="10">
        <f>(7.5)/142.5</f>
        <v>5.2631578947368418E-2</v>
      </c>
      <c r="Y43" s="10">
        <f>(0)/142.5</f>
        <v>0</v>
      </c>
      <c r="Z43" s="10">
        <f>(0)/142.5</f>
        <v>0</v>
      </c>
      <c r="AA43" s="10">
        <f>(7.5)/142.5</f>
        <v>5.2631578947368418E-2</v>
      </c>
      <c r="AB43" s="71">
        <f>(2)/165</f>
        <v>1.2121212121212121E-2</v>
      </c>
      <c r="AC43" s="10">
        <f t="shared" si="101"/>
        <v>0</v>
      </c>
      <c r="AD43" s="10">
        <f>(3)/165</f>
        <v>1.8181818181818181E-2</v>
      </c>
      <c r="AE43" s="10">
        <f t="shared" si="97"/>
        <v>0</v>
      </c>
      <c r="AF43" s="10">
        <f t="shared" si="97"/>
        <v>0</v>
      </c>
      <c r="AG43" s="10">
        <f>(5)/165</f>
        <v>3.0303030303030304E-2</v>
      </c>
      <c r="AH43" s="71">
        <f t="shared" si="3"/>
        <v>0</v>
      </c>
      <c r="AI43" s="10">
        <f t="shared" si="3"/>
        <v>0</v>
      </c>
      <c r="AJ43" s="10">
        <f t="shared" si="3"/>
        <v>0</v>
      </c>
      <c r="AK43" s="10">
        <f t="shared" si="3"/>
        <v>0</v>
      </c>
      <c r="AL43" s="10">
        <f t="shared" si="3"/>
        <v>0</v>
      </c>
      <c r="AM43" s="10">
        <f t="shared" si="3"/>
        <v>0</v>
      </c>
      <c r="AN43" s="71">
        <f t="shared" si="105"/>
        <v>0</v>
      </c>
      <c r="AO43" s="10">
        <f t="shared" si="105"/>
        <v>0</v>
      </c>
      <c r="AP43" s="10">
        <f t="shared" si="105"/>
        <v>0</v>
      </c>
      <c r="AQ43" s="10">
        <f t="shared" si="105"/>
        <v>0</v>
      </c>
      <c r="AR43" s="10">
        <f t="shared" si="105"/>
        <v>0</v>
      </c>
      <c r="AS43" s="10">
        <f t="shared" si="105"/>
        <v>0</v>
      </c>
      <c r="AT43" s="189">
        <f t="shared" si="90"/>
        <v>0</v>
      </c>
      <c r="AU43" s="10">
        <f t="shared" si="90"/>
        <v>0</v>
      </c>
      <c r="AV43" s="10">
        <f t="shared" si="90"/>
        <v>0</v>
      </c>
      <c r="AW43" s="10">
        <f t="shared" si="90"/>
        <v>0</v>
      </c>
      <c r="AX43" s="10">
        <f t="shared" si="90"/>
        <v>0</v>
      </c>
      <c r="AY43" s="17">
        <f t="shared" si="90"/>
        <v>0</v>
      </c>
      <c r="AZ43" s="19">
        <f t="shared" si="41"/>
        <v>0</v>
      </c>
      <c r="BA43" s="10">
        <f t="shared" si="41"/>
        <v>0</v>
      </c>
      <c r="BB43" s="10">
        <f t="shared" si="41"/>
        <v>0</v>
      </c>
      <c r="BC43" s="10">
        <f t="shared" si="41"/>
        <v>0</v>
      </c>
      <c r="BD43" s="10">
        <f t="shared" si="41"/>
        <v>0</v>
      </c>
      <c r="BE43" s="10">
        <f t="shared" si="41"/>
        <v>0</v>
      </c>
      <c r="BF43" s="10">
        <f t="shared" si="41"/>
        <v>0</v>
      </c>
      <c r="BG43" s="19">
        <f t="shared" si="98"/>
        <v>0</v>
      </c>
      <c r="BH43" s="10">
        <f t="shared" si="98"/>
        <v>0</v>
      </c>
      <c r="BI43" s="10">
        <f t="shared" si="98"/>
        <v>0</v>
      </c>
      <c r="BJ43" s="10">
        <f t="shared" si="98"/>
        <v>0</v>
      </c>
      <c r="BK43" s="10">
        <f t="shared" si="98"/>
        <v>0</v>
      </c>
      <c r="BL43" s="10">
        <f t="shared" si="63"/>
        <v>0</v>
      </c>
      <c r="BM43" s="10">
        <f t="shared" si="63"/>
        <v>0</v>
      </c>
      <c r="BN43" s="17">
        <f t="shared" si="63"/>
        <v>0</v>
      </c>
      <c r="BO43" s="19">
        <f t="shared" si="106"/>
        <v>0</v>
      </c>
      <c r="BP43" s="10">
        <f t="shared" si="106"/>
        <v>0</v>
      </c>
      <c r="BQ43" s="10">
        <f t="shared" si="106"/>
        <v>0</v>
      </c>
      <c r="BR43" s="10">
        <f t="shared" si="106"/>
        <v>0</v>
      </c>
      <c r="BS43" s="10">
        <f t="shared" si="106"/>
        <v>0</v>
      </c>
      <c r="BT43" s="10">
        <f t="shared" si="64"/>
        <v>0</v>
      </c>
      <c r="BU43" s="10">
        <f t="shared" si="64"/>
        <v>0</v>
      </c>
      <c r="BV43" s="17">
        <f t="shared" si="64"/>
        <v>0</v>
      </c>
      <c r="BW43" s="71">
        <f t="shared" si="109"/>
        <v>0</v>
      </c>
      <c r="BX43" s="10">
        <f t="shared" si="109"/>
        <v>0</v>
      </c>
      <c r="BY43" s="10">
        <f t="shared" si="109"/>
        <v>0</v>
      </c>
      <c r="BZ43" s="10">
        <f t="shared" si="109"/>
        <v>0</v>
      </c>
      <c r="CA43" s="10">
        <f t="shared" si="109"/>
        <v>0</v>
      </c>
      <c r="CB43" s="10">
        <f t="shared" si="65"/>
        <v>0</v>
      </c>
      <c r="CC43" s="10">
        <f t="shared" si="65"/>
        <v>0</v>
      </c>
      <c r="CD43" s="17">
        <f t="shared" si="65"/>
        <v>0</v>
      </c>
      <c r="CE43" s="19">
        <f t="shared" si="99"/>
        <v>0</v>
      </c>
      <c r="CF43" s="10">
        <f t="shared" si="99"/>
        <v>0</v>
      </c>
      <c r="CG43" s="10">
        <f t="shared" si="99"/>
        <v>0</v>
      </c>
      <c r="CH43" s="10">
        <f t="shared" si="99"/>
        <v>0</v>
      </c>
      <c r="CI43" s="10">
        <f t="shared" si="99"/>
        <v>0</v>
      </c>
      <c r="CJ43" s="10">
        <f t="shared" si="66"/>
        <v>0</v>
      </c>
      <c r="CK43" s="10">
        <f t="shared" si="66"/>
        <v>0</v>
      </c>
      <c r="CL43" s="17">
        <f t="shared" si="66"/>
        <v>0</v>
      </c>
      <c r="CM43" s="19">
        <f t="shared" si="100"/>
        <v>0</v>
      </c>
      <c r="CN43" s="10">
        <f t="shared" si="100"/>
        <v>0</v>
      </c>
      <c r="CO43" s="10">
        <f t="shared" si="100"/>
        <v>0</v>
      </c>
      <c r="CP43" s="10">
        <f t="shared" si="100"/>
        <v>0</v>
      </c>
      <c r="CQ43" s="10">
        <f t="shared" si="100"/>
        <v>0</v>
      </c>
      <c r="CR43" s="10">
        <f t="shared" si="67"/>
        <v>0</v>
      </c>
      <c r="CS43" s="10">
        <f t="shared" si="67"/>
        <v>0</v>
      </c>
      <c r="CT43" s="17">
        <f t="shared" si="67"/>
        <v>0</v>
      </c>
      <c r="CU43" s="235"/>
    </row>
    <row r="44" spans="1:99" ht="26.25" hidden="1" customHeight="1" outlineLevel="1" x14ac:dyDescent="0.4">
      <c r="A44" s="351"/>
      <c r="B44" s="351"/>
      <c r="C44" s="351"/>
      <c r="D44" s="353"/>
      <c r="E44" s="353"/>
      <c r="F44" s="353"/>
      <c r="G44" s="375"/>
      <c r="H44" s="447"/>
      <c r="I44" s="447"/>
      <c r="J44" s="449"/>
      <c r="K44" s="453"/>
      <c r="L44" s="453"/>
      <c r="M44" s="451"/>
      <c r="N44" s="38" t="s">
        <v>25</v>
      </c>
      <c r="O44" s="11">
        <f t="shared" si="96"/>
        <v>0</v>
      </c>
      <c r="P44" s="11">
        <f t="shared" si="96"/>
        <v>0</v>
      </c>
      <c r="Q44" s="11">
        <f t="shared" si="96"/>
        <v>0</v>
      </c>
      <c r="R44" s="11">
        <f t="shared" si="96"/>
        <v>0</v>
      </c>
      <c r="S44" s="11">
        <f t="shared" si="96"/>
        <v>0</v>
      </c>
      <c r="T44" s="11">
        <f t="shared" si="96"/>
        <v>0</v>
      </c>
      <c r="U44" s="48">
        <f t="shared" si="96"/>
        <v>0</v>
      </c>
      <c r="V44" s="56">
        <f>(0+3)/142.5</f>
        <v>2.1052631578947368E-2</v>
      </c>
      <c r="W44" s="11">
        <f t="shared" si="46"/>
        <v>0</v>
      </c>
      <c r="X44" s="11">
        <f>(1+4+1)/142.5</f>
        <v>4.2105263157894736E-2</v>
      </c>
      <c r="Y44" s="11">
        <f>(0)/142.5</f>
        <v>0</v>
      </c>
      <c r="Z44" s="11">
        <f>(0)/142.5</f>
        <v>0</v>
      </c>
      <c r="AA44" s="11">
        <f>(0+4+2)/142.5</f>
        <v>4.2105263157894736E-2</v>
      </c>
      <c r="AB44" s="56">
        <f>(1)/165</f>
        <v>6.0606060606060606E-3</v>
      </c>
      <c r="AC44" s="11">
        <f t="shared" si="101"/>
        <v>0</v>
      </c>
      <c r="AD44" s="11">
        <f>(4)/165</f>
        <v>2.4242424242424242E-2</v>
      </c>
      <c r="AE44" s="11">
        <f t="shared" si="97"/>
        <v>0</v>
      </c>
      <c r="AF44" s="11">
        <f t="shared" si="97"/>
        <v>0</v>
      </c>
      <c r="AG44" s="11">
        <f>(4+1)/165</f>
        <v>3.0303030303030304E-2</v>
      </c>
      <c r="AH44" s="56">
        <f t="shared" si="3"/>
        <v>0</v>
      </c>
      <c r="AI44" s="11">
        <f t="shared" si="3"/>
        <v>0</v>
      </c>
      <c r="AJ44" s="11">
        <f t="shared" si="3"/>
        <v>0</v>
      </c>
      <c r="AK44" s="11">
        <f t="shared" si="3"/>
        <v>0</v>
      </c>
      <c r="AL44" s="11">
        <f t="shared" si="3"/>
        <v>0</v>
      </c>
      <c r="AM44" s="11">
        <f t="shared" si="3"/>
        <v>0</v>
      </c>
      <c r="AN44" s="56">
        <f t="shared" si="105"/>
        <v>0</v>
      </c>
      <c r="AO44" s="11">
        <f t="shared" si="105"/>
        <v>0</v>
      </c>
      <c r="AP44" s="11">
        <f t="shared" si="105"/>
        <v>0</v>
      </c>
      <c r="AQ44" s="11">
        <f t="shared" si="105"/>
        <v>0</v>
      </c>
      <c r="AR44" s="11">
        <f t="shared" si="105"/>
        <v>0</v>
      </c>
      <c r="AS44" s="11">
        <f t="shared" si="105"/>
        <v>0</v>
      </c>
      <c r="AT44" s="61">
        <f t="shared" si="90"/>
        <v>0</v>
      </c>
      <c r="AU44" s="58">
        <f t="shared" si="90"/>
        <v>0</v>
      </c>
      <c r="AV44" s="58">
        <f t="shared" si="90"/>
        <v>0</v>
      </c>
      <c r="AW44" s="58">
        <f t="shared" si="90"/>
        <v>0</v>
      </c>
      <c r="AX44" s="58">
        <f t="shared" si="90"/>
        <v>0</v>
      </c>
      <c r="AY44" s="62">
        <f t="shared" si="90"/>
        <v>0</v>
      </c>
      <c r="AZ44" s="61">
        <f t="shared" si="41"/>
        <v>0</v>
      </c>
      <c r="BA44" s="58">
        <f t="shared" si="41"/>
        <v>0</v>
      </c>
      <c r="BB44" s="58">
        <f t="shared" si="41"/>
        <v>0</v>
      </c>
      <c r="BC44" s="58">
        <f t="shared" si="41"/>
        <v>0</v>
      </c>
      <c r="BD44" s="58">
        <f t="shared" si="41"/>
        <v>0</v>
      </c>
      <c r="BE44" s="58">
        <f t="shared" si="41"/>
        <v>0</v>
      </c>
      <c r="BF44" s="58">
        <f t="shared" si="41"/>
        <v>0</v>
      </c>
      <c r="BG44" s="61">
        <f t="shared" si="98"/>
        <v>0</v>
      </c>
      <c r="BH44" s="58">
        <f t="shared" si="98"/>
        <v>0</v>
      </c>
      <c r="BI44" s="58">
        <f t="shared" si="98"/>
        <v>0</v>
      </c>
      <c r="BJ44" s="58">
        <f t="shared" si="98"/>
        <v>0</v>
      </c>
      <c r="BK44" s="58">
        <f t="shared" si="98"/>
        <v>0</v>
      </c>
      <c r="BL44" s="58">
        <f t="shared" si="63"/>
        <v>0</v>
      </c>
      <c r="BM44" s="58">
        <f t="shared" si="63"/>
        <v>0</v>
      </c>
      <c r="BN44" s="62">
        <f t="shared" si="63"/>
        <v>0</v>
      </c>
      <c r="BO44" s="61">
        <f t="shared" si="106"/>
        <v>0</v>
      </c>
      <c r="BP44" s="58">
        <f t="shared" si="106"/>
        <v>0</v>
      </c>
      <c r="BQ44" s="58">
        <f t="shared" si="106"/>
        <v>0</v>
      </c>
      <c r="BR44" s="58">
        <f t="shared" si="106"/>
        <v>0</v>
      </c>
      <c r="BS44" s="58">
        <f t="shared" si="106"/>
        <v>0</v>
      </c>
      <c r="BT44" s="58">
        <f t="shared" si="64"/>
        <v>0</v>
      </c>
      <c r="BU44" s="58">
        <f t="shared" si="64"/>
        <v>0</v>
      </c>
      <c r="BV44" s="62">
        <f t="shared" si="64"/>
        <v>0</v>
      </c>
      <c r="BW44" s="61">
        <f t="shared" si="109"/>
        <v>0</v>
      </c>
      <c r="BX44" s="58">
        <f t="shared" si="109"/>
        <v>0</v>
      </c>
      <c r="BY44" s="58">
        <f t="shared" si="109"/>
        <v>0</v>
      </c>
      <c r="BZ44" s="58">
        <f t="shared" si="109"/>
        <v>0</v>
      </c>
      <c r="CA44" s="58">
        <f t="shared" si="109"/>
        <v>0</v>
      </c>
      <c r="CB44" s="58">
        <f t="shared" si="65"/>
        <v>0</v>
      </c>
      <c r="CC44" s="58">
        <f t="shared" si="65"/>
        <v>0</v>
      </c>
      <c r="CD44" s="62">
        <f t="shared" si="65"/>
        <v>0</v>
      </c>
      <c r="CE44" s="61">
        <f t="shared" si="99"/>
        <v>0</v>
      </c>
      <c r="CF44" s="58">
        <f t="shared" si="99"/>
        <v>0</v>
      </c>
      <c r="CG44" s="58">
        <f t="shared" si="99"/>
        <v>0</v>
      </c>
      <c r="CH44" s="58">
        <f t="shared" si="99"/>
        <v>0</v>
      </c>
      <c r="CI44" s="58">
        <f t="shared" si="99"/>
        <v>0</v>
      </c>
      <c r="CJ44" s="58">
        <f t="shared" si="66"/>
        <v>0</v>
      </c>
      <c r="CK44" s="58">
        <f t="shared" si="66"/>
        <v>0</v>
      </c>
      <c r="CL44" s="62">
        <f t="shared" si="66"/>
        <v>0</v>
      </c>
      <c r="CM44" s="61">
        <f t="shared" si="100"/>
        <v>0</v>
      </c>
      <c r="CN44" s="58">
        <f t="shared" si="100"/>
        <v>0</v>
      </c>
      <c r="CO44" s="58">
        <f t="shared" si="100"/>
        <v>0</v>
      </c>
      <c r="CP44" s="58">
        <f t="shared" si="100"/>
        <v>0</v>
      </c>
      <c r="CQ44" s="58">
        <f t="shared" si="100"/>
        <v>0</v>
      </c>
      <c r="CR44" s="58">
        <f t="shared" si="67"/>
        <v>0</v>
      </c>
      <c r="CS44" s="58">
        <f t="shared" si="67"/>
        <v>0</v>
      </c>
      <c r="CT44" s="62">
        <f t="shared" si="67"/>
        <v>0</v>
      </c>
      <c r="CU44" s="235"/>
    </row>
    <row r="45" spans="1:99" ht="26.25" hidden="1" customHeight="1" outlineLevel="1" collapsed="1" x14ac:dyDescent="0.4">
      <c r="A45" s="350">
        <v>20</v>
      </c>
      <c r="B45" s="350" t="s">
        <v>47</v>
      </c>
      <c r="C45" s="350" t="s">
        <v>14</v>
      </c>
      <c r="D45" s="352" t="s">
        <v>548</v>
      </c>
      <c r="E45" s="352" t="s">
        <v>555</v>
      </c>
      <c r="F45" s="352" t="s">
        <v>423</v>
      </c>
      <c r="G45" s="375" t="s">
        <v>556</v>
      </c>
      <c r="H45" s="446">
        <f t="shared" ref="H45:H76" si="112">SUM(AZ45:BF45)</f>
        <v>0</v>
      </c>
      <c r="I45" s="446">
        <f t="shared" ref="I45:I76" si="113">SUM(AZ46:BF46)</f>
        <v>0</v>
      </c>
      <c r="J45" s="448"/>
      <c r="K45" s="452"/>
      <c r="L45" s="452"/>
      <c r="M45" s="450"/>
      <c r="N45" s="47" t="s">
        <v>24</v>
      </c>
      <c r="O45" s="10">
        <f t="shared" si="96"/>
        <v>0</v>
      </c>
      <c r="P45" s="10">
        <f t="shared" si="96"/>
        <v>0</v>
      </c>
      <c r="Q45" s="10">
        <f t="shared" si="96"/>
        <v>0</v>
      </c>
      <c r="R45" s="10">
        <f t="shared" si="96"/>
        <v>0</v>
      </c>
      <c r="S45" s="10">
        <f t="shared" si="96"/>
        <v>0</v>
      </c>
      <c r="T45" s="10">
        <f t="shared" si="96"/>
        <v>0</v>
      </c>
      <c r="U45" s="79">
        <f t="shared" si="96"/>
        <v>0</v>
      </c>
      <c r="V45" s="19">
        <f t="shared" ref="V45:AA48" si="114">(0)/142.5</f>
        <v>0</v>
      </c>
      <c r="W45" s="10">
        <f t="shared" si="46"/>
        <v>0</v>
      </c>
      <c r="X45" s="10">
        <f t="shared" si="46"/>
        <v>0</v>
      </c>
      <c r="Y45" s="10">
        <f t="shared" si="46"/>
        <v>0</v>
      </c>
      <c r="Z45" s="10">
        <f t="shared" si="46"/>
        <v>0</v>
      </c>
      <c r="AA45" s="10">
        <f t="shared" si="46"/>
        <v>0</v>
      </c>
      <c r="AB45" s="71">
        <f>(5)/165</f>
        <v>3.0303030303030304E-2</v>
      </c>
      <c r="AC45" s="10">
        <f t="shared" si="101"/>
        <v>0</v>
      </c>
      <c r="AD45" s="10">
        <f t="shared" si="97"/>
        <v>0</v>
      </c>
      <c r="AE45" s="10">
        <f t="shared" si="97"/>
        <v>0</v>
      </c>
      <c r="AF45" s="10">
        <f t="shared" ref="AF45" si="115">(15)/165</f>
        <v>9.0909090909090912E-2</v>
      </c>
      <c r="AG45" s="10">
        <f t="shared" si="97"/>
        <v>0</v>
      </c>
      <c r="AH45" s="71">
        <f t="shared" si="3"/>
        <v>0</v>
      </c>
      <c r="AI45" s="10">
        <f t="shared" si="3"/>
        <v>0</v>
      </c>
      <c r="AJ45" s="10">
        <f t="shared" si="3"/>
        <v>0</v>
      </c>
      <c r="AK45" s="10">
        <f t="shared" si="3"/>
        <v>0</v>
      </c>
      <c r="AL45" s="10">
        <f t="shared" si="3"/>
        <v>0</v>
      </c>
      <c r="AM45" s="10">
        <f t="shared" si="3"/>
        <v>0</v>
      </c>
      <c r="AN45" s="71">
        <f t="shared" si="105"/>
        <v>0</v>
      </c>
      <c r="AO45" s="10">
        <f t="shared" si="105"/>
        <v>0</v>
      </c>
      <c r="AP45" s="10">
        <f t="shared" si="105"/>
        <v>0</v>
      </c>
      <c r="AQ45" s="10">
        <f t="shared" si="105"/>
        <v>0</v>
      </c>
      <c r="AR45" s="10">
        <f t="shared" si="105"/>
        <v>0</v>
      </c>
      <c r="AS45" s="10">
        <f t="shared" si="105"/>
        <v>0</v>
      </c>
      <c r="AT45" s="189">
        <f t="shared" si="90"/>
        <v>0</v>
      </c>
      <c r="AU45" s="10">
        <f t="shared" si="90"/>
        <v>0</v>
      </c>
      <c r="AV45" s="10">
        <f t="shared" si="90"/>
        <v>0</v>
      </c>
      <c r="AW45" s="10">
        <f t="shared" si="90"/>
        <v>0</v>
      </c>
      <c r="AX45" s="10">
        <f t="shared" si="90"/>
        <v>0</v>
      </c>
      <c r="AY45" s="17">
        <f t="shared" si="90"/>
        <v>0</v>
      </c>
      <c r="AZ45" s="19">
        <f t="shared" ref="AZ45:BF76" si="116">(0)/150</f>
        <v>0</v>
      </c>
      <c r="BA45" s="10">
        <f t="shared" si="116"/>
        <v>0</v>
      </c>
      <c r="BB45" s="10">
        <f t="shared" si="116"/>
        <v>0</v>
      </c>
      <c r="BC45" s="10">
        <f t="shared" si="116"/>
        <v>0</v>
      </c>
      <c r="BD45" s="10">
        <f t="shared" si="116"/>
        <v>0</v>
      </c>
      <c r="BE45" s="10">
        <f t="shared" si="116"/>
        <v>0</v>
      </c>
      <c r="BF45" s="10">
        <f t="shared" si="116"/>
        <v>0</v>
      </c>
      <c r="BG45" s="19">
        <f t="shared" si="98"/>
        <v>0</v>
      </c>
      <c r="BH45" s="10">
        <f t="shared" si="98"/>
        <v>0</v>
      </c>
      <c r="BI45" s="10">
        <f t="shared" si="98"/>
        <v>0</v>
      </c>
      <c r="BJ45" s="10">
        <f t="shared" si="98"/>
        <v>0</v>
      </c>
      <c r="BK45" s="10">
        <f t="shared" si="98"/>
        <v>0</v>
      </c>
      <c r="BL45" s="10">
        <f t="shared" si="63"/>
        <v>0</v>
      </c>
      <c r="BM45" s="10">
        <f t="shared" si="63"/>
        <v>0</v>
      </c>
      <c r="BN45" s="17">
        <f t="shared" si="63"/>
        <v>0</v>
      </c>
      <c r="BO45" s="19">
        <f t="shared" si="106"/>
        <v>0</v>
      </c>
      <c r="BP45" s="10">
        <f t="shared" si="106"/>
        <v>0</v>
      </c>
      <c r="BQ45" s="10">
        <f t="shared" si="106"/>
        <v>0</v>
      </c>
      <c r="BR45" s="10">
        <f t="shared" si="106"/>
        <v>0</v>
      </c>
      <c r="BS45" s="10">
        <f t="shared" si="106"/>
        <v>0</v>
      </c>
      <c r="BT45" s="10">
        <f t="shared" si="64"/>
        <v>0</v>
      </c>
      <c r="BU45" s="10">
        <f t="shared" si="64"/>
        <v>0</v>
      </c>
      <c r="BV45" s="17">
        <f t="shared" si="64"/>
        <v>0</v>
      </c>
      <c r="BW45" s="71">
        <f t="shared" si="109"/>
        <v>0</v>
      </c>
      <c r="BX45" s="10">
        <f t="shared" si="109"/>
        <v>0</v>
      </c>
      <c r="BY45" s="10">
        <f t="shared" si="109"/>
        <v>0</v>
      </c>
      <c r="BZ45" s="10">
        <f t="shared" si="109"/>
        <v>0</v>
      </c>
      <c r="CA45" s="10">
        <f t="shared" si="109"/>
        <v>0</v>
      </c>
      <c r="CB45" s="10">
        <f t="shared" si="65"/>
        <v>0</v>
      </c>
      <c r="CC45" s="10">
        <f t="shared" si="65"/>
        <v>0</v>
      </c>
      <c r="CD45" s="17">
        <f t="shared" si="65"/>
        <v>0</v>
      </c>
      <c r="CE45" s="19">
        <f t="shared" si="99"/>
        <v>0</v>
      </c>
      <c r="CF45" s="10">
        <f t="shared" si="99"/>
        <v>0</v>
      </c>
      <c r="CG45" s="10">
        <f t="shared" si="99"/>
        <v>0</v>
      </c>
      <c r="CH45" s="10">
        <f t="shared" si="99"/>
        <v>0</v>
      </c>
      <c r="CI45" s="10">
        <f t="shared" si="99"/>
        <v>0</v>
      </c>
      <c r="CJ45" s="10">
        <f t="shared" si="66"/>
        <v>0</v>
      </c>
      <c r="CK45" s="10">
        <f t="shared" si="66"/>
        <v>0</v>
      </c>
      <c r="CL45" s="17">
        <f t="shared" si="66"/>
        <v>0</v>
      </c>
      <c r="CM45" s="19">
        <f t="shared" si="100"/>
        <v>0</v>
      </c>
      <c r="CN45" s="10">
        <f t="shared" si="100"/>
        <v>0</v>
      </c>
      <c r="CO45" s="10">
        <f t="shared" si="100"/>
        <v>0</v>
      </c>
      <c r="CP45" s="10">
        <f t="shared" si="100"/>
        <v>0</v>
      </c>
      <c r="CQ45" s="10">
        <f t="shared" si="100"/>
        <v>0</v>
      </c>
      <c r="CR45" s="10">
        <f t="shared" si="67"/>
        <v>0</v>
      </c>
      <c r="CS45" s="10">
        <f t="shared" si="67"/>
        <v>0</v>
      </c>
      <c r="CT45" s="17">
        <f t="shared" si="67"/>
        <v>0</v>
      </c>
      <c r="CU45" s="235"/>
    </row>
    <row r="46" spans="1:99" ht="26.25" hidden="1" customHeight="1" outlineLevel="1" x14ac:dyDescent="0.4">
      <c r="A46" s="351"/>
      <c r="B46" s="351"/>
      <c r="C46" s="351"/>
      <c r="D46" s="353"/>
      <c r="E46" s="353"/>
      <c r="F46" s="353"/>
      <c r="G46" s="375"/>
      <c r="H46" s="447"/>
      <c r="I46" s="447"/>
      <c r="J46" s="449"/>
      <c r="K46" s="453"/>
      <c r="L46" s="453"/>
      <c r="M46" s="451"/>
      <c r="N46" s="38" t="s">
        <v>25</v>
      </c>
      <c r="O46" s="11">
        <f t="shared" si="96"/>
        <v>0</v>
      </c>
      <c r="P46" s="11">
        <f t="shared" si="96"/>
        <v>0</v>
      </c>
      <c r="Q46" s="11">
        <f t="shared" si="96"/>
        <v>0</v>
      </c>
      <c r="R46" s="11">
        <f t="shared" si="96"/>
        <v>0</v>
      </c>
      <c r="S46" s="11">
        <f t="shared" si="96"/>
        <v>0</v>
      </c>
      <c r="T46" s="11">
        <f t="shared" si="96"/>
        <v>0</v>
      </c>
      <c r="U46" s="48">
        <f t="shared" si="96"/>
        <v>0</v>
      </c>
      <c r="V46" s="56">
        <f t="shared" si="114"/>
        <v>0</v>
      </c>
      <c r="W46" s="11">
        <f t="shared" ref="W46:AA46" si="117">(0)/142.5</f>
        <v>0</v>
      </c>
      <c r="X46" s="11">
        <f t="shared" si="117"/>
        <v>0</v>
      </c>
      <c r="Y46" s="11">
        <f t="shared" si="117"/>
        <v>0</v>
      </c>
      <c r="Z46" s="11">
        <f t="shared" si="117"/>
        <v>0</v>
      </c>
      <c r="AA46" s="11">
        <f t="shared" si="117"/>
        <v>0</v>
      </c>
      <c r="AB46" s="56">
        <f>(3+3+3)/165</f>
        <v>5.4545454545454543E-2</v>
      </c>
      <c r="AC46" s="11">
        <f t="shared" si="101"/>
        <v>0</v>
      </c>
      <c r="AD46" s="11">
        <f t="shared" si="97"/>
        <v>0</v>
      </c>
      <c r="AE46" s="11">
        <f t="shared" si="97"/>
        <v>0</v>
      </c>
      <c r="AF46" s="11">
        <f>(3+2.5+0.5)/165</f>
        <v>3.6363636363636362E-2</v>
      </c>
      <c r="AG46" s="11">
        <f t="shared" si="97"/>
        <v>0</v>
      </c>
      <c r="AH46" s="56">
        <f t="shared" si="3"/>
        <v>0</v>
      </c>
      <c r="AI46" s="11">
        <f t="shared" si="3"/>
        <v>0</v>
      </c>
      <c r="AJ46" s="11">
        <f t="shared" si="3"/>
        <v>0</v>
      </c>
      <c r="AK46" s="11">
        <f t="shared" si="3"/>
        <v>0</v>
      </c>
      <c r="AL46" s="11">
        <f t="shared" si="3"/>
        <v>0</v>
      </c>
      <c r="AM46" s="11">
        <f t="shared" si="3"/>
        <v>0</v>
      </c>
      <c r="AN46" s="56">
        <f t="shared" si="105"/>
        <v>0</v>
      </c>
      <c r="AO46" s="11">
        <f t="shared" si="105"/>
        <v>0</v>
      </c>
      <c r="AP46" s="11">
        <f t="shared" si="105"/>
        <v>0</v>
      </c>
      <c r="AQ46" s="11">
        <f t="shared" si="105"/>
        <v>0</v>
      </c>
      <c r="AR46" s="11">
        <f t="shared" si="105"/>
        <v>0</v>
      </c>
      <c r="AS46" s="11">
        <f t="shared" si="105"/>
        <v>0</v>
      </c>
      <c r="AT46" s="61">
        <f t="shared" si="90"/>
        <v>0</v>
      </c>
      <c r="AU46" s="58">
        <f t="shared" si="90"/>
        <v>0</v>
      </c>
      <c r="AV46" s="58">
        <f t="shared" si="90"/>
        <v>0</v>
      </c>
      <c r="AW46" s="58">
        <f t="shared" si="90"/>
        <v>0</v>
      </c>
      <c r="AX46" s="58">
        <f t="shared" si="90"/>
        <v>0</v>
      </c>
      <c r="AY46" s="62">
        <f t="shared" si="90"/>
        <v>0</v>
      </c>
      <c r="AZ46" s="61">
        <f t="shared" si="116"/>
        <v>0</v>
      </c>
      <c r="BA46" s="58">
        <f t="shared" si="116"/>
        <v>0</v>
      </c>
      <c r="BB46" s="58">
        <f t="shared" si="116"/>
        <v>0</v>
      </c>
      <c r="BC46" s="58">
        <f t="shared" si="116"/>
        <v>0</v>
      </c>
      <c r="BD46" s="58">
        <f t="shared" si="116"/>
        <v>0</v>
      </c>
      <c r="BE46" s="58">
        <f t="shared" si="116"/>
        <v>0</v>
      </c>
      <c r="BF46" s="58">
        <f t="shared" si="116"/>
        <v>0</v>
      </c>
      <c r="BG46" s="61">
        <f t="shared" si="98"/>
        <v>0</v>
      </c>
      <c r="BH46" s="58">
        <f t="shared" si="98"/>
        <v>0</v>
      </c>
      <c r="BI46" s="58">
        <f t="shared" si="98"/>
        <v>0</v>
      </c>
      <c r="BJ46" s="58">
        <f t="shared" si="98"/>
        <v>0</v>
      </c>
      <c r="BK46" s="58">
        <f t="shared" si="98"/>
        <v>0</v>
      </c>
      <c r="BL46" s="58">
        <f t="shared" si="63"/>
        <v>0</v>
      </c>
      <c r="BM46" s="58">
        <f t="shared" si="63"/>
        <v>0</v>
      </c>
      <c r="BN46" s="62">
        <f t="shared" si="63"/>
        <v>0</v>
      </c>
      <c r="BO46" s="61">
        <f t="shared" si="106"/>
        <v>0</v>
      </c>
      <c r="BP46" s="58">
        <f t="shared" si="106"/>
        <v>0</v>
      </c>
      <c r="BQ46" s="58">
        <f t="shared" si="106"/>
        <v>0</v>
      </c>
      <c r="BR46" s="58">
        <f t="shared" si="106"/>
        <v>0</v>
      </c>
      <c r="BS46" s="58">
        <f t="shared" si="106"/>
        <v>0</v>
      </c>
      <c r="BT46" s="58">
        <f t="shared" si="64"/>
        <v>0</v>
      </c>
      <c r="BU46" s="58">
        <f t="shared" si="64"/>
        <v>0</v>
      </c>
      <c r="BV46" s="62">
        <f t="shared" si="64"/>
        <v>0</v>
      </c>
      <c r="BW46" s="61">
        <f t="shared" si="109"/>
        <v>0</v>
      </c>
      <c r="BX46" s="58">
        <f t="shared" si="109"/>
        <v>0</v>
      </c>
      <c r="BY46" s="58">
        <f t="shared" si="109"/>
        <v>0</v>
      </c>
      <c r="BZ46" s="58">
        <f t="shared" si="109"/>
        <v>0</v>
      </c>
      <c r="CA46" s="58">
        <f t="shared" si="109"/>
        <v>0</v>
      </c>
      <c r="CB46" s="58">
        <f t="shared" si="65"/>
        <v>0</v>
      </c>
      <c r="CC46" s="58">
        <f t="shared" si="65"/>
        <v>0</v>
      </c>
      <c r="CD46" s="62">
        <f t="shared" si="65"/>
        <v>0</v>
      </c>
      <c r="CE46" s="61">
        <f t="shared" si="99"/>
        <v>0</v>
      </c>
      <c r="CF46" s="58">
        <f t="shared" si="99"/>
        <v>0</v>
      </c>
      <c r="CG46" s="58">
        <f t="shared" si="99"/>
        <v>0</v>
      </c>
      <c r="CH46" s="58">
        <f t="shared" si="99"/>
        <v>0</v>
      </c>
      <c r="CI46" s="58">
        <f t="shared" si="99"/>
        <v>0</v>
      </c>
      <c r="CJ46" s="58">
        <f t="shared" si="66"/>
        <v>0</v>
      </c>
      <c r="CK46" s="58">
        <f t="shared" si="66"/>
        <v>0</v>
      </c>
      <c r="CL46" s="62">
        <f t="shared" si="66"/>
        <v>0</v>
      </c>
      <c r="CM46" s="61">
        <f t="shared" si="100"/>
        <v>0</v>
      </c>
      <c r="CN46" s="58">
        <f t="shared" si="100"/>
        <v>0</v>
      </c>
      <c r="CO46" s="58">
        <f t="shared" si="100"/>
        <v>0</v>
      </c>
      <c r="CP46" s="58">
        <f t="shared" si="100"/>
        <v>0</v>
      </c>
      <c r="CQ46" s="58">
        <f t="shared" si="100"/>
        <v>0</v>
      </c>
      <c r="CR46" s="58">
        <f t="shared" si="67"/>
        <v>0</v>
      </c>
      <c r="CS46" s="58">
        <f t="shared" si="67"/>
        <v>0</v>
      </c>
      <c r="CT46" s="62">
        <f t="shared" si="67"/>
        <v>0</v>
      </c>
      <c r="CU46" s="235"/>
    </row>
    <row r="47" spans="1:99" ht="26.25" hidden="1" customHeight="1" outlineLevel="1" collapsed="1" x14ac:dyDescent="0.4">
      <c r="A47" s="350">
        <v>21</v>
      </c>
      <c r="B47" s="350" t="s">
        <v>47</v>
      </c>
      <c r="C47" s="350" t="s">
        <v>14</v>
      </c>
      <c r="D47" s="352" t="s">
        <v>475</v>
      </c>
      <c r="E47" s="352" t="s">
        <v>568</v>
      </c>
      <c r="F47" s="352"/>
      <c r="G47" s="375" t="s">
        <v>569</v>
      </c>
      <c r="H47" s="446">
        <f t="shared" ref="H47:H78" si="118">SUM(AZ47:BF47)</f>
        <v>0</v>
      </c>
      <c r="I47" s="446">
        <f t="shared" ref="I47:I78" si="119">SUM(AZ48:BF48)</f>
        <v>0</v>
      </c>
      <c r="J47" s="448"/>
      <c r="K47" s="452"/>
      <c r="L47" s="452"/>
      <c r="M47" s="450"/>
      <c r="N47" s="47" t="s">
        <v>24</v>
      </c>
      <c r="O47" s="10">
        <f t="shared" si="96"/>
        <v>0</v>
      </c>
      <c r="P47" s="10">
        <f t="shared" si="96"/>
        <v>0</v>
      </c>
      <c r="Q47" s="10">
        <f t="shared" si="96"/>
        <v>0</v>
      </c>
      <c r="R47" s="10">
        <f t="shared" si="96"/>
        <v>0</v>
      </c>
      <c r="S47" s="10">
        <f t="shared" si="96"/>
        <v>0</v>
      </c>
      <c r="T47" s="10">
        <f t="shared" si="96"/>
        <v>0</v>
      </c>
      <c r="U47" s="79">
        <f t="shared" si="96"/>
        <v>0</v>
      </c>
      <c r="V47" s="19">
        <f t="shared" si="114"/>
        <v>0</v>
      </c>
      <c r="W47" s="10">
        <f t="shared" si="114"/>
        <v>0</v>
      </c>
      <c r="X47" s="10">
        <f t="shared" si="114"/>
        <v>0</v>
      </c>
      <c r="Y47" s="10">
        <f t="shared" si="114"/>
        <v>0</v>
      </c>
      <c r="Z47" s="10">
        <f t="shared" si="114"/>
        <v>0</v>
      </c>
      <c r="AA47" s="10">
        <f t="shared" si="114"/>
        <v>0</v>
      </c>
      <c r="AB47" s="71">
        <f>(0)/165</f>
        <v>0</v>
      </c>
      <c r="AC47" s="10">
        <f t="shared" si="101"/>
        <v>0</v>
      </c>
      <c r="AD47" s="10">
        <f>(10)/165</f>
        <v>6.0606060606060608E-2</v>
      </c>
      <c r="AE47" s="10">
        <f t="shared" si="97"/>
        <v>0</v>
      </c>
      <c r="AF47" s="10">
        <f t="shared" si="97"/>
        <v>0</v>
      </c>
      <c r="AG47" s="10">
        <f>(15)/165</f>
        <v>9.0909090909090912E-2</v>
      </c>
      <c r="AH47" s="71">
        <f t="shared" si="3"/>
        <v>0</v>
      </c>
      <c r="AI47" s="10">
        <f t="shared" si="3"/>
        <v>0</v>
      </c>
      <c r="AJ47" s="10">
        <f t="shared" si="3"/>
        <v>0</v>
      </c>
      <c r="AK47" s="10">
        <f t="shared" si="3"/>
        <v>0</v>
      </c>
      <c r="AL47" s="10">
        <f t="shared" si="3"/>
        <v>0</v>
      </c>
      <c r="AM47" s="10">
        <f t="shared" si="3"/>
        <v>0</v>
      </c>
      <c r="AN47" s="71">
        <f t="shared" si="105"/>
        <v>0</v>
      </c>
      <c r="AO47" s="10">
        <f t="shared" si="105"/>
        <v>0</v>
      </c>
      <c r="AP47" s="10">
        <f t="shared" si="105"/>
        <v>0</v>
      </c>
      <c r="AQ47" s="10">
        <f t="shared" si="105"/>
        <v>0</v>
      </c>
      <c r="AR47" s="10">
        <f t="shared" si="105"/>
        <v>0</v>
      </c>
      <c r="AS47" s="10">
        <f t="shared" si="105"/>
        <v>0</v>
      </c>
      <c r="AT47" s="189">
        <f t="shared" si="90"/>
        <v>0</v>
      </c>
      <c r="AU47" s="10">
        <f t="shared" si="90"/>
        <v>0</v>
      </c>
      <c r="AV47" s="10">
        <f t="shared" si="90"/>
        <v>0</v>
      </c>
      <c r="AW47" s="10">
        <f t="shared" si="90"/>
        <v>0</v>
      </c>
      <c r="AX47" s="10">
        <f t="shared" si="90"/>
        <v>0</v>
      </c>
      <c r="AY47" s="17">
        <f t="shared" si="90"/>
        <v>0</v>
      </c>
      <c r="AZ47" s="19">
        <f t="shared" si="116"/>
        <v>0</v>
      </c>
      <c r="BA47" s="10">
        <f t="shared" si="116"/>
        <v>0</v>
      </c>
      <c r="BB47" s="10">
        <f t="shared" si="116"/>
        <v>0</v>
      </c>
      <c r="BC47" s="10">
        <f t="shared" si="116"/>
        <v>0</v>
      </c>
      <c r="BD47" s="10">
        <f t="shared" si="116"/>
        <v>0</v>
      </c>
      <c r="BE47" s="10">
        <f t="shared" si="116"/>
        <v>0</v>
      </c>
      <c r="BF47" s="10">
        <f t="shared" si="116"/>
        <v>0</v>
      </c>
      <c r="BG47" s="19">
        <f t="shared" ref="BG47:BK56" si="120">0/142.5</f>
        <v>0</v>
      </c>
      <c r="BH47" s="10">
        <f t="shared" si="120"/>
        <v>0</v>
      </c>
      <c r="BI47" s="10">
        <f t="shared" si="120"/>
        <v>0</v>
      </c>
      <c r="BJ47" s="10">
        <f t="shared" si="120"/>
        <v>0</v>
      </c>
      <c r="BK47" s="10">
        <f t="shared" si="120"/>
        <v>0</v>
      </c>
      <c r="BL47" s="10">
        <f t="shared" si="63"/>
        <v>0</v>
      </c>
      <c r="BM47" s="10">
        <f t="shared" si="63"/>
        <v>0</v>
      </c>
      <c r="BN47" s="17">
        <f t="shared" si="63"/>
        <v>0</v>
      </c>
      <c r="BO47" s="19">
        <f t="shared" si="106"/>
        <v>0</v>
      </c>
      <c r="BP47" s="10">
        <f t="shared" si="106"/>
        <v>0</v>
      </c>
      <c r="BQ47" s="10">
        <f t="shared" si="106"/>
        <v>0</v>
      </c>
      <c r="BR47" s="10">
        <f t="shared" si="106"/>
        <v>0</v>
      </c>
      <c r="BS47" s="10">
        <f t="shared" si="106"/>
        <v>0</v>
      </c>
      <c r="BT47" s="10">
        <f t="shared" si="64"/>
        <v>0</v>
      </c>
      <c r="BU47" s="10">
        <f t="shared" si="64"/>
        <v>0</v>
      </c>
      <c r="BV47" s="17">
        <f t="shared" si="64"/>
        <v>0</v>
      </c>
      <c r="BW47" s="71">
        <f t="shared" si="109"/>
        <v>0</v>
      </c>
      <c r="BX47" s="10">
        <f t="shared" si="109"/>
        <v>0</v>
      </c>
      <c r="BY47" s="10">
        <f t="shared" si="109"/>
        <v>0</v>
      </c>
      <c r="BZ47" s="10">
        <f t="shared" si="109"/>
        <v>0</v>
      </c>
      <c r="CA47" s="10">
        <f t="shared" si="109"/>
        <v>0</v>
      </c>
      <c r="CB47" s="10">
        <f t="shared" si="65"/>
        <v>0</v>
      </c>
      <c r="CC47" s="10">
        <f t="shared" si="65"/>
        <v>0</v>
      </c>
      <c r="CD47" s="17">
        <f t="shared" si="65"/>
        <v>0</v>
      </c>
      <c r="CE47" s="19">
        <f t="shared" ref="CE47:CI56" si="121">0/157.5</f>
        <v>0</v>
      </c>
      <c r="CF47" s="10">
        <f t="shared" si="121"/>
        <v>0</v>
      </c>
      <c r="CG47" s="10">
        <f t="shared" si="121"/>
        <v>0</v>
      </c>
      <c r="CH47" s="10">
        <f t="shared" si="121"/>
        <v>0</v>
      </c>
      <c r="CI47" s="10">
        <f t="shared" si="121"/>
        <v>0</v>
      </c>
      <c r="CJ47" s="10">
        <f t="shared" si="66"/>
        <v>0</v>
      </c>
      <c r="CK47" s="10">
        <f t="shared" si="66"/>
        <v>0</v>
      </c>
      <c r="CL47" s="17">
        <f t="shared" si="66"/>
        <v>0</v>
      </c>
      <c r="CM47" s="19">
        <f t="shared" ref="CM47:CQ56" si="122">0/142.5</f>
        <v>0</v>
      </c>
      <c r="CN47" s="10">
        <f t="shared" si="122"/>
        <v>0</v>
      </c>
      <c r="CO47" s="10">
        <f t="shared" si="122"/>
        <v>0</v>
      </c>
      <c r="CP47" s="10">
        <f t="shared" si="122"/>
        <v>0</v>
      </c>
      <c r="CQ47" s="10">
        <f t="shared" si="122"/>
        <v>0</v>
      </c>
      <c r="CR47" s="10">
        <f t="shared" si="67"/>
        <v>0</v>
      </c>
      <c r="CS47" s="10">
        <f t="shared" si="67"/>
        <v>0</v>
      </c>
      <c r="CT47" s="17">
        <f t="shared" si="67"/>
        <v>0</v>
      </c>
      <c r="CU47" s="235"/>
    </row>
    <row r="48" spans="1:99" ht="26.25" hidden="1" customHeight="1" outlineLevel="1" x14ac:dyDescent="0.4">
      <c r="A48" s="351"/>
      <c r="B48" s="351"/>
      <c r="C48" s="351"/>
      <c r="D48" s="353"/>
      <c r="E48" s="353"/>
      <c r="F48" s="353"/>
      <c r="G48" s="375"/>
      <c r="H48" s="447"/>
      <c r="I48" s="447"/>
      <c r="J48" s="449"/>
      <c r="K48" s="453"/>
      <c r="L48" s="453"/>
      <c r="M48" s="451"/>
      <c r="N48" s="38" t="s">
        <v>25</v>
      </c>
      <c r="O48" s="11">
        <f t="shared" si="96"/>
        <v>0</v>
      </c>
      <c r="P48" s="11">
        <f t="shared" si="96"/>
        <v>0</v>
      </c>
      <c r="Q48" s="11">
        <f t="shared" si="96"/>
        <v>0</v>
      </c>
      <c r="R48" s="11">
        <f t="shared" si="96"/>
        <v>0</v>
      </c>
      <c r="S48" s="11">
        <f t="shared" si="96"/>
        <v>0</v>
      </c>
      <c r="T48" s="11">
        <f t="shared" si="96"/>
        <v>0</v>
      </c>
      <c r="U48" s="48">
        <f t="shared" si="96"/>
        <v>0</v>
      </c>
      <c r="V48" s="56">
        <f t="shared" si="114"/>
        <v>0</v>
      </c>
      <c r="W48" s="11">
        <f t="shared" si="114"/>
        <v>0</v>
      </c>
      <c r="X48" s="11">
        <f t="shared" si="114"/>
        <v>0</v>
      </c>
      <c r="Y48" s="11">
        <f t="shared" si="114"/>
        <v>0</v>
      </c>
      <c r="Z48" s="11">
        <f t="shared" si="114"/>
        <v>0</v>
      </c>
      <c r="AA48" s="11">
        <f t="shared" si="114"/>
        <v>0</v>
      </c>
      <c r="AB48" s="56">
        <f>(0)/165</f>
        <v>0</v>
      </c>
      <c r="AC48" s="11">
        <f t="shared" si="101"/>
        <v>0</v>
      </c>
      <c r="AD48" s="11">
        <f>(1+8)/165</f>
        <v>5.4545454545454543E-2</v>
      </c>
      <c r="AE48" s="11">
        <f t="shared" si="97"/>
        <v>0</v>
      </c>
      <c r="AF48" s="11">
        <f t="shared" si="97"/>
        <v>0</v>
      </c>
      <c r="AG48" s="11">
        <f>(4+7)/165</f>
        <v>6.6666666666666666E-2</v>
      </c>
      <c r="AH48" s="56">
        <f t="shared" si="3"/>
        <v>0</v>
      </c>
      <c r="AI48" s="11">
        <f t="shared" si="3"/>
        <v>0</v>
      </c>
      <c r="AJ48" s="11">
        <f t="shared" si="3"/>
        <v>0</v>
      </c>
      <c r="AK48" s="11">
        <f t="shared" si="3"/>
        <v>0</v>
      </c>
      <c r="AL48" s="11">
        <f t="shared" si="3"/>
        <v>0</v>
      </c>
      <c r="AM48" s="11">
        <f t="shared" si="3"/>
        <v>0</v>
      </c>
      <c r="AN48" s="56">
        <f t="shared" si="105"/>
        <v>0</v>
      </c>
      <c r="AO48" s="11">
        <f t="shared" si="105"/>
        <v>0</v>
      </c>
      <c r="AP48" s="11">
        <f t="shared" si="105"/>
        <v>0</v>
      </c>
      <c r="AQ48" s="11">
        <f t="shared" si="105"/>
        <v>0</v>
      </c>
      <c r="AR48" s="11">
        <f t="shared" si="105"/>
        <v>0</v>
      </c>
      <c r="AS48" s="11">
        <f t="shared" si="105"/>
        <v>0</v>
      </c>
      <c r="AT48" s="61">
        <f t="shared" si="90"/>
        <v>0</v>
      </c>
      <c r="AU48" s="58">
        <f t="shared" si="90"/>
        <v>0</v>
      </c>
      <c r="AV48" s="58">
        <f t="shared" si="90"/>
        <v>0</v>
      </c>
      <c r="AW48" s="58">
        <f t="shared" si="90"/>
        <v>0</v>
      </c>
      <c r="AX48" s="58">
        <f t="shared" si="90"/>
        <v>0</v>
      </c>
      <c r="AY48" s="62">
        <f t="shared" si="90"/>
        <v>0</v>
      </c>
      <c r="AZ48" s="61">
        <f t="shared" si="116"/>
        <v>0</v>
      </c>
      <c r="BA48" s="58">
        <f t="shared" si="116"/>
        <v>0</v>
      </c>
      <c r="BB48" s="58">
        <f t="shared" si="116"/>
        <v>0</v>
      </c>
      <c r="BC48" s="58">
        <f t="shared" si="116"/>
        <v>0</v>
      </c>
      <c r="BD48" s="58">
        <f t="shared" si="116"/>
        <v>0</v>
      </c>
      <c r="BE48" s="58">
        <f t="shared" si="116"/>
        <v>0</v>
      </c>
      <c r="BF48" s="58">
        <f t="shared" si="116"/>
        <v>0</v>
      </c>
      <c r="BG48" s="61">
        <f t="shared" si="120"/>
        <v>0</v>
      </c>
      <c r="BH48" s="58">
        <f t="shared" si="120"/>
        <v>0</v>
      </c>
      <c r="BI48" s="58">
        <f t="shared" si="120"/>
        <v>0</v>
      </c>
      <c r="BJ48" s="58">
        <f t="shared" si="120"/>
        <v>0</v>
      </c>
      <c r="BK48" s="58">
        <f t="shared" si="120"/>
        <v>0</v>
      </c>
      <c r="BL48" s="58">
        <f t="shared" si="63"/>
        <v>0</v>
      </c>
      <c r="BM48" s="58">
        <f t="shared" si="63"/>
        <v>0</v>
      </c>
      <c r="BN48" s="62">
        <f t="shared" si="63"/>
        <v>0</v>
      </c>
      <c r="BO48" s="61">
        <f t="shared" si="106"/>
        <v>0</v>
      </c>
      <c r="BP48" s="58">
        <f t="shared" si="106"/>
        <v>0</v>
      </c>
      <c r="BQ48" s="58">
        <f t="shared" si="106"/>
        <v>0</v>
      </c>
      <c r="BR48" s="58">
        <f t="shared" si="106"/>
        <v>0</v>
      </c>
      <c r="BS48" s="58">
        <f t="shared" si="106"/>
        <v>0</v>
      </c>
      <c r="BT48" s="58">
        <f t="shared" si="64"/>
        <v>0</v>
      </c>
      <c r="BU48" s="58">
        <f t="shared" si="64"/>
        <v>0</v>
      </c>
      <c r="BV48" s="62">
        <f t="shared" si="64"/>
        <v>0</v>
      </c>
      <c r="BW48" s="61">
        <f t="shared" si="109"/>
        <v>0</v>
      </c>
      <c r="BX48" s="58">
        <f t="shared" si="109"/>
        <v>0</v>
      </c>
      <c r="BY48" s="58">
        <f t="shared" si="109"/>
        <v>0</v>
      </c>
      <c r="BZ48" s="58">
        <f t="shared" si="109"/>
        <v>0</v>
      </c>
      <c r="CA48" s="58">
        <f t="shared" si="109"/>
        <v>0</v>
      </c>
      <c r="CB48" s="58">
        <f t="shared" si="65"/>
        <v>0</v>
      </c>
      <c r="CC48" s="58">
        <f t="shared" si="65"/>
        <v>0</v>
      </c>
      <c r="CD48" s="62">
        <f t="shared" si="65"/>
        <v>0</v>
      </c>
      <c r="CE48" s="61">
        <f t="shared" si="121"/>
        <v>0</v>
      </c>
      <c r="CF48" s="58">
        <f t="shared" si="121"/>
        <v>0</v>
      </c>
      <c r="CG48" s="58">
        <f t="shared" si="121"/>
        <v>0</v>
      </c>
      <c r="CH48" s="58">
        <f t="shared" si="121"/>
        <v>0</v>
      </c>
      <c r="CI48" s="58">
        <f t="shared" si="121"/>
        <v>0</v>
      </c>
      <c r="CJ48" s="58">
        <f t="shared" si="66"/>
        <v>0</v>
      </c>
      <c r="CK48" s="58">
        <f t="shared" si="66"/>
        <v>0</v>
      </c>
      <c r="CL48" s="62">
        <f t="shared" si="66"/>
        <v>0</v>
      </c>
      <c r="CM48" s="61">
        <f t="shared" si="122"/>
        <v>0</v>
      </c>
      <c r="CN48" s="58">
        <f t="shared" si="122"/>
        <v>0</v>
      </c>
      <c r="CO48" s="58">
        <f t="shared" si="122"/>
        <v>0</v>
      </c>
      <c r="CP48" s="58">
        <f t="shared" si="122"/>
        <v>0</v>
      </c>
      <c r="CQ48" s="58">
        <f t="shared" si="122"/>
        <v>0</v>
      </c>
      <c r="CR48" s="58">
        <f t="shared" si="67"/>
        <v>0</v>
      </c>
      <c r="CS48" s="58">
        <f t="shared" si="67"/>
        <v>0</v>
      </c>
      <c r="CT48" s="62">
        <f t="shared" si="67"/>
        <v>0</v>
      </c>
      <c r="CU48" s="235"/>
    </row>
    <row r="49" spans="1:99" ht="26.25" customHeight="1" collapsed="1" x14ac:dyDescent="0.4">
      <c r="A49" s="350">
        <v>22</v>
      </c>
      <c r="B49" s="350" t="s">
        <v>47</v>
      </c>
      <c r="C49" s="350" t="s">
        <v>14</v>
      </c>
      <c r="D49" s="352" t="s">
        <v>598</v>
      </c>
      <c r="E49" s="352" t="s">
        <v>596</v>
      </c>
      <c r="F49" s="352"/>
      <c r="G49" s="375" t="s">
        <v>597</v>
      </c>
      <c r="H49" s="446">
        <f t="shared" ref="H49:H80" si="123">SUM(AZ49:BF49)</f>
        <v>0</v>
      </c>
      <c r="I49" s="446">
        <f t="shared" ref="I49:I80" si="124">SUM(AZ50:BF50)</f>
        <v>0</v>
      </c>
      <c r="J49" s="448"/>
      <c r="K49" s="452"/>
      <c r="L49" s="452"/>
      <c r="M49" s="450"/>
      <c r="N49" s="47" t="s">
        <v>24</v>
      </c>
      <c r="O49" s="10">
        <f t="shared" si="96"/>
        <v>0</v>
      </c>
      <c r="P49" s="10">
        <f t="shared" si="96"/>
        <v>0</v>
      </c>
      <c r="Q49" s="10">
        <f t="shared" si="96"/>
        <v>0</v>
      </c>
      <c r="R49" s="10">
        <f t="shared" si="96"/>
        <v>0</v>
      </c>
      <c r="S49" s="10">
        <f t="shared" si="96"/>
        <v>0</v>
      </c>
      <c r="T49" s="10">
        <f t="shared" si="96"/>
        <v>0</v>
      </c>
      <c r="U49" s="79">
        <f t="shared" si="96"/>
        <v>0</v>
      </c>
      <c r="V49" s="19">
        <f t="shared" ref="V49:Z56" si="125">0/142.5</f>
        <v>0</v>
      </c>
      <c r="W49" s="10">
        <f t="shared" si="125"/>
        <v>0</v>
      </c>
      <c r="X49" s="10">
        <f t="shared" si="125"/>
        <v>0</v>
      </c>
      <c r="Y49" s="10">
        <f t="shared" si="125"/>
        <v>0</v>
      </c>
      <c r="Z49" s="10">
        <f t="shared" si="125"/>
        <v>0</v>
      </c>
      <c r="AA49" s="10">
        <f t="shared" ref="AA49:AA57" si="126">0/165</f>
        <v>0</v>
      </c>
      <c r="AB49" s="71">
        <f>(9)/165</f>
        <v>5.4545454545454543E-2</v>
      </c>
      <c r="AC49" s="10">
        <f>(30)/165</f>
        <v>0.18181818181818182</v>
      </c>
      <c r="AD49" s="10">
        <f t="shared" si="101"/>
        <v>0</v>
      </c>
      <c r="AE49" s="10">
        <f t="shared" si="101"/>
        <v>0</v>
      </c>
      <c r="AF49" s="10">
        <f t="shared" si="101"/>
        <v>0</v>
      </c>
      <c r="AG49" s="10">
        <f>(33)/165</f>
        <v>0.2</v>
      </c>
      <c r="AH49" s="71">
        <f>(10)/165</f>
        <v>6.0606060606060608E-2</v>
      </c>
      <c r="AI49" s="10">
        <f>(37)/165</f>
        <v>0.22424242424242424</v>
      </c>
      <c r="AJ49" s="10">
        <f t="shared" si="3"/>
        <v>0</v>
      </c>
      <c r="AK49" s="10">
        <f t="shared" ref="AI49:AM64" si="127">(0)/165</f>
        <v>0</v>
      </c>
      <c r="AL49" s="10">
        <f t="shared" si="127"/>
        <v>0</v>
      </c>
      <c r="AM49" s="10">
        <f>(37)/165</f>
        <v>0.22424242424242424</v>
      </c>
      <c r="AN49" s="71">
        <f t="shared" si="105"/>
        <v>0</v>
      </c>
      <c r="AO49" s="10">
        <f t="shared" si="105"/>
        <v>0</v>
      </c>
      <c r="AP49" s="10">
        <f t="shared" si="105"/>
        <v>0</v>
      </c>
      <c r="AQ49" s="10">
        <f t="shared" si="105"/>
        <v>0</v>
      </c>
      <c r="AR49" s="10">
        <f t="shared" si="105"/>
        <v>0</v>
      </c>
      <c r="AS49" s="10">
        <f t="shared" si="105"/>
        <v>0</v>
      </c>
      <c r="AT49" s="189">
        <f>(1)/165</f>
        <v>6.0606060606060606E-3</v>
      </c>
      <c r="AU49" s="10">
        <f>(1)/165</f>
        <v>6.0606060606060606E-3</v>
      </c>
      <c r="AV49" s="10">
        <f t="shared" si="90"/>
        <v>0</v>
      </c>
      <c r="AW49" s="10">
        <f t="shared" si="90"/>
        <v>0</v>
      </c>
      <c r="AX49" s="10">
        <f t="shared" si="90"/>
        <v>0</v>
      </c>
      <c r="AY49" s="10">
        <f>(3)/165</f>
        <v>1.8181818181818181E-2</v>
      </c>
      <c r="AZ49" s="19">
        <f t="shared" si="116"/>
        <v>0</v>
      </c>
      <c r="BA49" s="10">
        <f t="shared" si="116"/>
        <v>0</v>
      </c>
      <c r="BB49" s="10">
        <f t="shared" si="116"/>
        <v>0</v>
      </c>
      <c r="BC49" s="10">
        <f t="shared" si="116"/>
        <v>0</v>
      </c>
      <c r="BD49" s="10">
        <f t="shared" si="116"/>
        <v>0</v>
      </c>
      <c r="BE49" s="10">
        <f t="shared" si="116"/>
        <v>0</v>
      </c>
      <c r="BF49" s="10">
        <f t="shared" si="116"/>
        <v>0</v>
      </c>
      <c r="BG49" s="19">
        <f t="shared" si="120"/>
        <v>0</v>
      </c>
      <c r="BH49" s="10">
        <f t="shared" si="120"/>
        <v>0</v>
      </c>
      <c r="BI49" s="10">
        <f t="shared" si="120"/>
        <v>0</v>
      </c>
      <c r="BJ49" s="10">
        <f t="shared" si="120"/>
        <v>0</v>
      </c>
      <c r="BK49" s="10">
        <f t="shared" si="120"/>
        <v>0</v>
      </c>
      <c r="BL49" s="10">
        <f t="shared" si="63"/>
        <v>0</v>
      </c>
      <c r="BM49" s="10">
        <f t="shared" si="63"/>
        <v>0</v>
      </c>
      <c r="BN49" s="17">
        <f t="shared" si="63"/>
        <v>0</v>
      </c>
      <c r="BO49" s="19">
        <f t="shared" ref="BO49:BS58" si="128">0/157.5</f>
        <v>0</v>
      </c>
      <c r="BP49" s="10">
        <f t="shared" si="128"/>
        <v>0</v>
      </c>
      <c r="BQ49" s="10">
        <f t="shared" si="128"/>
        <v>0</v>
      </c>
      <c r="BR49" s="10">
        <f t="shared" si="128"/>
        <v>0</v>
      </c>
      <c r="BS49" s="10">
        <f t="shared" si="128"/>
        <v>0</v>
      </c>
      <c r="BT49" s="10">
        <f t="shared" si="64"/>
        <v>0</v>
      </c>
      <c r="BU49" s="10">
        <f t="shared" si="64"/>
        <v>0</v>
      </c>
      <c r="BV49" s="17">
        <f t="shared" si="64"/>
        <v>0</v>
      </c>
      <c r="BW49" s="71">
        <f t="shared" si="109"/>
        <v>0</v>
      </c>
      <c r="BX49" s="10">
        <f t="shared" si="109"/>
        <v>0</v>
      </c>
      <c r="BY49" s="10">
        <f t="shared" si="109"/>
        <v>0</v>
      </c>
      <c r="BZ49" s="10">
        <f t="shared" si="109"/>
        <v>0</v>
      </c>
      <c r="CA49" s="10">
        <f t="shared" si="109"/>
        <v>0</v>
      </c>
      <c r="CB49" s="10">
        <f t="shared" si="65"/>
        <v>0</v>
      </c>
      <c r="CC49" s="10">
        <f t="shared" si="65"/>
        <v>0</v>
      </c>
      <c r="CD49" s="17">
        <f t="shared" si="65"/>
        <v>0</v>
      </c>
      <c r="CE49" s="19">
        <f t="shared" si="121"/>
        <v>0</v>
      </c>
      <c r="CF49" s="10">
        <f t="shared" si="121"/>
        <v>0</v>
      </c>
      <c r="CG49" s="10">
        <f t="shared" si="121"/>
        <v>0</v>
      </c>
      <c r="CH49" s="10">
        <f t="shared" si="121"/>
        <v>0</v>
      </c>
      <c r="CI49" s="10">
        <f t="shared" si="121"/>
        <v>0</v>
      </c>
      <c r="CJ49" s="10">
        <f t="shared" si="66"/>
        <v>0</v>
      </c>
      <c r="CK49" s="10">
        <f t="shared" si="66"/>
        <v>0</v>
      </c>
      <c r="CL49" s="17">
        <f t="shared" si="66"/>
        <v>0</v>
      </c>
      <c r="CM49" s="19">
        <f t="shared" si="122"/>
        <v>0</v>
      </c>
      <c r="CN49" s="10">
        <f t="shared" si="122"/>
        <v>0</v>
      </c>
      <c r="CO49" s="10">
        <f t="shared" si="122"/>
        <v>0</v>
      </c>
      <c r="CP49" s="10">
        <f t="shared" si="122"/>
        <v>0</v>
      </c>
      <c r="CQ49" s="10">
        <f t="shared" si="122"/>
        <v>0</v>
      </c>
      <c r="CR49" s="10">
        <f t="shared" si="67"/>
        <v>0</v>
      </c>
      <c r="CS49" s="10">
        <f t="shared" si="67"/>
        <v>0</v>
      </c>
      <c r="CT49" s="17">
        <f t="shared" si="67"/>
        <v>0</v>
      </c>
      <c r="CU49" s="235"/>
    </row>
    <row r="50" spans="1:99" ht="26.25" customHeight="1" x14ac:dyDescent="0.4">
      <c r="A50" s="351"/>
      <c r="B50" s="351"/>
      <c r="C50" s="351"/>
      <c r="D50" s="353"/>
      <c r="E50" s="353"/>
      <c r="F50" s="353"/>
      <c r="G50" s="375"/>
      <c r="H50" s="447"/>
      <c r="I50" s="447"/>
      <c r="J50" s="449"/>
      <c r="K50" s="453"/>
      <c r="L50" s="453"/>
      <c r="M50" s="451"/>
      <c r="N50" s="38" t="s">
        <v>25</v>
      </c>
      <c r="O50" s="11">
        <f t="shared" si="96"/>
        <v>0</v>
      </c>
      <c r="P50" s="11">
        <f t="shared" si="96"/>
        <v>0</v>
      </c>
      <c r="Q50" s="11">
        <f t="shared" si="96"/>
        <v>0</v>
      </c>
      <c r="R50" s="11">
        <f t="shared" si="96"/>
        <v>0</v>
      </c>
      <c r="S50" s="11">
        <f t="shared" si="96"/>
        <v>0</v>
      </c>
      <c r="T50" s="11">
        <f t="shared" si="96"/>
        <v>0</v>
      </c>
      <c r="U50" s="48">
        <f t="shared" si="96"/>
        <v>0</v>
      </c>
      <c r="V50" s="56">
        <f t="shared" si="125"/>
        <v>0</v>
      </c>
      <c r="W50" s="18">
        <f t="shared" si="125"/>
        <v>0</v>
      </c>
      <c r="X50" s="18">
        <f t="shared" si="125"/>
        <v>0</v>
      </c>
      <c r="Y50" s="18">
        <f t="shared" si="125"/>
        <v>0</v>
      </c>
      <c r="Z50" s="18">
        <f t="shared" si="125"/>
        <v>0</v>
      </c>
      <c r="AA50" s="18">
        <f t="shared" si="126"/>
        <v>0</v>
      </c>
      <c r="AB50" s="56">
        <f>(3.5+2.5+1)/165</f>
        <v>4.2424242424242427E-2</v>
      </c>
      <c r="AC50" s="11">
        <f>(4.5+12+13)/165</f>
        <v>0.1787878787878788</v>
      </c>
      <c r="AD50" s="11">
        <f t="shared" si="101"/>
        <v>0</v>
      </c>
      <c r="AE50" s="11">
        <f t="shared" si="101"/>
        <v>0</v>
      </c>
      <c r="AF50" s="11">
        <f t="shared" si="101"/>
        <v>0</v>
      </c>
      <c r="AG50" s="11">
        <f>(3+18.5+11.5)/165</f>
        <v>0.2</v>
      </c>
      <c r="AH50" s="56">
        <f>(1+1+5+2.5)/165</f>
        <v>5.7575757575757579E-2</v>
      </c>
      <c r="AI50" s="11">
        <f>(4.5+5+5.5+11.5+7.5)/165</f>
        <v>0.20606060606060606</v>
      </c>
      <c r="AJ50" s="11">
        <f t="shared" si="127"/>
        <v>0</v>
      </c>
      <c r="AK50" s="11">
        <f t="shared" si="127"/>
        <v>0</v>
      </c>
      <c r="AL50" s="11">
        <f t="shared" si="127"/>
        <v>0</v>
      </c>
      <c r="AM50" s="11">
        <f>(4+5+8.5+12+7.25)/165</f>
        <v>0.22272727272727272</v>
      </c>
      <c r="AN50" s="56">
        <f t="shared" si="105"/>
        <v>0</v>
      </c>
      <c r="AO50" s="11">
        <f t="shared" si="105"/>
        <v>0</v>
      </c>
      <c r="AP50" s="11">
        <f t="shared" si="105"/>
        <v>0</v>
      </c>
      <c r="AQ50" s="11">
        <f t="shared" si="105"/>
        <v>0</v>
      </c>
      <c r="AR50" s="11">
        <f t="shared" si="105"/>
        <v>0</v>
      </c>
      <c r="AS50" s="11">
        <f t="shared" si="105"/>
        <v>0</v>
      </c>
      <c r="AT50" s="61">
        <f>(1)/165</f>
        <v>6.0606060606060606E-3</v>
      </c>
      <c r="AU50" s="58">
        <f>(1.5)/165</f>
        <v>9.0909090909090905E-3</v>
      </c>
      <c r="AV50" s="58">
        <f t="shared" si="90"/>
        <v>0</v>
      </c>
      <c r="AW50" s="58">
        <f t="shared" si="90"/>
        <v>0</v>
      </c>
      <c r="AX50" s="58">
        <f t="shared" si="90"/>
        <v>0</v>
      </c>
      <c r="AY50" s="58">
        <f>(2.5)/165</f>
        <v>1.5151515151515152E-2</v>
      </c>
      <c r="AZ50" s="61">
        <f t="shared" si="116"/>
        <v>0</v>
      </c>
      <c r="BA50" s="58">
        <f t="shared" si="116"/>
        <v>0</v>
      </c>
      <c r="BB50" s="58">
        <f t="shared" si="116"/>
        <v>0</v>
      </c>
      <c r="BC50" s="58">
        <f t="shared" si="116"/>
        <v>0</v>
      </c>
      <c r="BD50" s="58">
        <f t="shared" si="116"/>
        <v>0</v>
      </c>
      <c r="BE50" s="58">
        <f t="shared" si="116"/>
        <v>0</v>
      </c>
      <c r="BF50" s="58">
        <f t="shared" si="116"/>
        <v>0</v>
      </c>
      <c r="BG50" s="61">
        <f t="shared" si="120"/>
        <v>0</v>
      </c>
      <c r="BH50" s="58">
        <f t="shared" si="120"/>
        <v>0</v>
      </c>
      <c r="BI50" s="58">
        <f t="shared" si="120"/>
        <v>0</v>
      </c>
      <c r="BJ50" s="58">
        <f t="shared" si="120"/>
        <v>0</v>
      </c>
      <c r="BK50" s="58">
        <f t="shared" si="120"/>
        <v>0</v>
      </c>
      <c r="BL50" s="58">
        <f t="shared" si="63"/>
        <v>0</v>
      </c>
      <c r="BM50" s="58">
        <f t="shared" si="63"/>
        <v>0</v>
      </c>
      <c r="BN50" s="62">
        <f t="shared" si="63"/>
        <v>0</v>
      </c>
      <c r="BO50" s="61">
        <f t="shared" si="128"/>
        <v>0</v>
      </c>
      <c r="BP50" s="58">
        <f t="shared" si="128"/>
        <v>0</v>
      </c>
      <c r="BQ50" s="58">
        <f t="shared" si="128"/>
        <v>0</v>
      </c>
      <c r="BR50" s="58">
        <f t="shared" si="128"/>
        <v>0</v>
      </c>
      <c r="BS50" s="58">
        <f t="shared" si="128"/>
        <v>0</v>
      </c>
      <c r="BT50" s="58">
        <f t="shared" si="64"/>
        <v>0</v>
      </c>
      <c r="BU50" s="58">
        <f t="shared" si="64"/>
        <v>0</v>
      </c>
      <c r="BV50" s="62">
        <f t="shared" si="64"/>
        <v>0</v>
      </c>
      <c r="BW50" s="61">
        <f t="shared" si="109"/>
        <v>0</v>
      </c>
      <c r="BX50" s="58">
        <f t="shared" si="109"/>
        <v>0</v>
      </c>
      <c r="BY50" s="58">
        <f t="shared" si="109"/>
        <v>0</v>
      </c>
      <c r="BZ50" s="58">
        <f t="shared" si="109"/>
        <v>0</v>
      </c>
      <c r="CA50" s="58">
        <f t="shared" si="109"/>
        <v>0</v>
      </c>
      <c r="CB50" s="58">
        <f t="shared" si="65"/>
        <v>0</v>
      </c>
      <c r="CC50" s="58">
        <f t="shared" si="65"/>
        <v>0</v>
      </c>
      <c r="CD50" s="62">
        <f t="shared" si="65"/>
        <v>0</v>
      </c>
      <c r="CE50" s="61">
        <f t="shared" si="121"/>
        <v>0</v>
      </c>
      <c r="CF50" s="58">
        <f t="shared" si="121"/>
        <v>0</v>
      </c>
      <c r="CG50" s="58">
        <f t="shared" si="121"/>
        <v>0</v>
      </c>
      <c r="CH50" s="58">
        <f t="shared" si="121"/>
        <v>0</v>
      </c>
      <c r="CI50" s="58">
        <f t="shared" si="121"/>
        <v>0</v>
      </c>
      <c r="CJ50" s="58">
        <f t="shared" si="66"/>
        <v>0</v>
      </c>
      <c r="CK50" s="58">
        <f t="shared" si="66"/>
        <v>0</v>
      </c>
      <c r="CL50" s="62">
        <f t="shared" si="66"/>
        <v>0</v>
      </c>
      <c r="CM50" s="61">
        <f t="shared" si="122"/>
        <v>0</v>
      </c>
      <c r="CN50" s="58">
        <f t="shared" si="122"/>
        <v>0</v>
      </c>
      <c r="CO50" s="58">
        <f t="shared" si="122"/>
        <v>0</v>
      </c>
      <c r="CP50" s="58">
        <f t="shared" si="122"/>
        <v>0</v>
      </c>
      <c r="CQ50" s="58">
        <f t="shared" si="122"/>
        <v>0</v>
      </c>
      <c r="CR50" s="58">
        <f t="shared" si="67"/>
        <v>0</v>
      </c>
      <c r="CS50" s="58">
        <f t="shared" si="67"/>
        <v>0</v>
      </c>
      <c r="CT50" s="62">
        <f t="shared" si="67"/>
        <v>0</v>
      </c>
      <c r="CU50" s="235"/>
    </row>
    <row r="51" spans="1:99" ht="26.25" customHeight="1" x14ac:dyDescent="0.4">
      <c r="A51" s="350">
        <v>23</v>
      </c>
      <c r="B51" s="350" t="s">
        <v>46</v>
      </c>
      <c r="C51" s="350" t="s">
        <v>14</v>
      </c>
      <c r="D51" s="352" t="s">
        <v>624</v>
      </c>
      <c r="E51" s="352" t="s">
        <v>623</v>
      </c>
      <c r="F51" s="352" t="s">
        <v>919</v>
      </c>
      <c r="G51" s="375" t="s">
        <v>620</v>
      </c>
      <c r="H51" s="446">
        <f>SUM(AZ51:BF51)</f>
        <v>0.18</v>
      </c>
      <c r="I51" s="446">
        <f t="shared" ref="I51:I82" si="129">SUM(AZ52:BF52)</f>
        <v>0.21666666666666667</v>
      </c>
      <c r="J51" s="448"/>
      <c r="K51" s="452"/>
      <c r="L51" s="452"/>
      <c r="M51" s="450"/>
      <c r="N51" s="47" t="s">
        <v>24</v>
      </c>
      <c r="O51" s="10">
        <f t="shared" si="96"/>
        <v>0</v>
      </c>
      <c r="P51" s="10">
        <f t="shared" si="96"/>
        <v>0</v>
      </c>
      <c r="Q51" s="10">
        <f t="shared" si="96"/>
        <v>0</v>
      </c>
      <c r="R51" s="10">
        <f t="shared" si="96"/>
        <v>0</v>
      </c>
      <c r="S51" s="10">
        <f t="shared" si="96"/>
        <v>0</v>
      </c>
      <c r="T51" s="10">
        <f t="shared" si="96"/>
        <v>0</v>
      </c>
      <c r="U51" s="79">
        <f t="shared" si="96"/>
        <v>0</v>
      </c>
      <c r="V51" s="19">
        <f t="shared" si="125"/>
        <v>0</v>
      </c>
      <c r="W51" s="10">
        <f t="shared" si="125"/>
        <v>0</v>
      </c>
      <c r="X51" s="10">
        <f t="shared" si="125"/>
        <v>0</v>
      </c>
      <c r="Y51" s="10">
        <f t="shared" si="125"/>
        <v>0</v>
      </c>
      <c r="Z51" s="10">
        <f t="shared" si="125"/>
        <v>0</v>
      </c>
      <c r="AA51" s="10">
        <f t="shared" si="126"/>
        <v>0</v>
      </c>
      <c r="AB51" s="71">
        <f>(5)/165</f>
        <v>3.0303030303030304E-2</v>
      </c>
      <c r="AC51" s="10">
        <f t="shared" si="101"/>
        <v>0</v>
      </c>
      <c r="AD51" s="10">
        <f>(5)/165</f>
        <v>3.0303030303030304E-2</v>
      </c>
      <c r="AE51" s="10">
        <f t="shared" si="101"/>
        <v>0</v>
      </c>
      <c r="AF51" s="10">
        <f t="shared" si="101"/>
        <v>0</v>
      </c>
      <c r="AG51" s="10">
        <f>(10)/165</f>
        <v>6.0606060606060608E-2</v>
      </c>
      <c r="AH51" s="71">
        <f>(8)/165</f>
        <v>4.8484848484848485E-2</v>
      </c>
      <c r="AI51" s="10">
        <f t="shared" ref="AI51:AM66" si="130">(0)/165</f>
        <v>0</v>
      </c>
      <c r="AJ51" s="10">
        <f>(40)/165</f>
        <v>0.24242424242424243</v>
      </c>
      <c r="AK51" s="10">
        <f t="shared" si="127"/>
        <v>0</v>
      </c>
      <c r="AL51" s="10">
        <f t="shared" si="127"/>
        <v>0</v>
      </c>
      <c r="AM51" s="10">
        <f>(25)/165</f>
        <v>0.15151515151515152</v>
      </c>
      <c r="AN51" s="71">
        <f>(5)/157.5</f>
        <v>3.1746031746031744E-2</v>
      </c>
      <c r="AO51" s="10">
        <f t="shared" si="105"/>
        <v>0</v>
      </c>
      <c r="AP51" s="10">
        <f>(40)/157.5</f>
        <v>0.25396825396825395</v>
      </c>
      <c r="AQ51" s="10">
        <f t="shared" si="105"/>
        <v>0</v>
      </c>
      <c r="AR51" s="10">
        <f t="shared" si="105"/>
        <v>0</v>
      </c>
      <c r="AS51" s="10">
        <f>(40)/157.5</f>
        <v>0.25396825396825395</v>
      </c>
      <c r="AT51" s="71">
        <f>(9)/165</f>
        <v>5.4545454545454543E-2</v>
      </c>
      <c r="AU51" s="10">
        <f>(5)/165</f>
        <v>3.0303030303030304E-2</v>
      </c>
      <c r="AV51" s="10">
        <f>(95)/165</f>
        <v>0.5757575757575758</v>
      </c>
      <c r="AW51" s="10">
        <f t="shared" si="90"/>
        <v>0</v>
      </c>
      <c r="AX51" s="10">
        <f t="shared" si="90"/>
        <v>0</v>
      </c>
      <c r="AY51" s="10">
        <f>(28)/165</f>
        <v>0.16969696969696971</v>
      </c>
      <c r="AZ51" s="19">
        <f>(7)/150</f>
        <v>4.6666666666666669E-2</v>
      </c>
      <c r="BA51" s="10">
        <f t="shared" si="116"/>
        <v>0</v>
      </c>
      <c r="BB51" s="10">
        <f>(20)/150</f>
        <v>0.13333333333333333</v>
      </c>
      <c r="BC51" s="10">
        <f t="shared" si="116"/>
        <v>0</v>
      </c>
      <c r="BD51" s="10">
        <f t="shared" si="116"/>
        <v>0</v>
      </c>
      <c r="BE51" s="10">
        <f t="shared" si="116"/>
        <v>0</v>
      </c>
      <c r="BF51" s="10">
        <f t="shared" si="116"/>
        <v>0</v>
      </c>
      <c r="BG51" s="19">
        <f t="shared" si="120"/>
        <v>0</v>
      </c>
      <c r="BH51" s="10">
        <f t="shared" si="120"/>
        <v>0</v>
      </c>
      <c r="BI51" s="10">
        <f t="shared" si="120"/>
        <v>0</v>
      </c>
      <c r="BJ51" s="10">
        <f t="shared" si="120"/>
        <v>0</v>
      </c>
      <c r="BK51" s="10">
        <f t="shared" si="120"/>
        <v>0</v>
      </c>
      <c r="BL51" s="10">
        <f t="shared" si="63"/>
        <v>0</v>
      </c>
      <c r="BM51" s="10">
        <f t="shared" si="63"/>
        <v>0</v>
      </c>
      <c r="BN51" s="17">
        <f t="shared" si="63"/>
        <v>0</v>
      </c>
      <c r="BO51" s="19">
        <f t="shared" si="128"/>
        <v>0</v>
      </c>
      <c r="BP51" s="10">
        <f t="shared" si="128"/>
        <v>0</v>
      </c>
      <c r="BQ51" s="10">
        <f t="shared" si="128"/>
        <v>0</v>
      </c>
      <c r="BR51" s="10">
        <f t="shared" si="128"/>
        <v>0</v>
      </c>
      <c r="BS51" s="10">
        <f t="shared" si="128"/>
        <v>0</v>
      </c>
      <c r="BT51" s="10">
        <f t="shared" si="64"/>
        <v>0</v>
      </c>
      <c r="BU51" s="10">
        <f t="shared" si="64"/>
        <v>0</v>
      </c>
      <c r="BV51" s="17">
        <f t="shared" si="64"/>
        <v>0</v>
      </c>
      <c r="BW51" s="71">
        <f t="shared" si="109"/>
        <v>0</v>
      </c>
      <c r="BX51" s="10">
        <f t="shared" si="109"/>
        <v>0</v>
      </c>
      <c r="BY51" s="10">
        <f t="shared" si="109"/>
        <v>0</v>
      </c>
      <c r="BZ51" s="10">
        <f t="shared" si="109"/>
        <v>0</v>
      </c>
      <c r="CA51" s="10">
        <f t="shared" si="109"/>
        <v>0</v>
      </c>
      <c r="CB51" s="10">
        <f t="shared" si="65"/>
        <v>0</v>
      </c>
      <c r="CC51" s="10">
        <f t="shared" si="65"/>
        <v>0</v>
      </c>
      <c r="CD51" s="17">
        <f t="shared" si="65"/>
        <v>0</v>
      </c>
      <c r="CE51" s="19">
        <f t="shared" si="121"/>
        <v>0</v>
      </c>
      <c r="CF51" s="10">
        <f t="shared" si="121"/>
        <v>0</v>
      </c>
      <c r="CG51" s="10">
        <f t="shared" si="121"/>
        <v>0</v>
      </c>
      <c r="CH51" s="10">
        <f t="shared" si="121"/>
        <v>0</v>
      </c>
      <c r="CI51" s="10">
        <f t="shared" si="121"/>
        <v>0</v>
      </c>
      <c r="CJ51" s="10">
        <f t="shared" si="66"/>
        <v>0</v>
      </c>
      <c r="CK51" s="10">
        <f t="shared" si="66"/>
        <v>0</v>
      </c>
      <c r="CL51" s="17">
        <f t="shared" si="66"/>
        <v>0</v>
      </c>
      <c r="CM51" s="19">
        <f t="shared" si="122"/>
        <v>0</v>
      </c>
      <c r="CN51" s="10">
        <f t="shared" si="122"/>
        <v>0</v>
      </c>
      <c r="CO51" s="10">
        <f t="shared" si="122"/>
        <v>0</v>
      </c>
      <c r="CP51" s="10">
        <f t="shared" si="122"/>
        <v>0</v>
      </c>
      <c r="CQ51" s="10">
        <f t="shared" si="122"/>
        <v>0</v>
      </c>
      <c r="CR51" s="10">
        <f t="shared" si="67"/>
        <v>0</v>
      </c>
      <c r="CS51" s="10">
        <f t="shared" si="67"/>
        <v>0</v>
      </c>
      <c r="CT51" s="17">
        <f t="shared" si="67"/>
        <v>0</v>
      </c>
      <c r="CU51" s="235"/>
    </row>
    <row r="52" spans="1:99" ht="26.25" customHeight="1" x14ac:dyDescent="0.4">
      <c r="A52" s="351"/>
      <c r="B52" s="351"/>
      <c r="C52" s="351"/>
      <c r="D52" s="353"/>
      <c r="E52" s="353"/>
      <c r="F52" s="353"/>
      <c r="G52" s="375"/>
      <c r="H52" s="447"/>
      <c r="I52" s="447"/>
      <c r="J52" s="449"/>
      <c r="K52" s="453"/>
      <c r="L52" s="453"/>
      <c r="M52" s="451"/>
      <c r="N52" s="38" t="s">
        <v>25</v>
      </c>
      <c r="O52" s="11">
        <f t="shared" si="96"/>
        <v>0</v>
      </c>
      <c r="P52" s="11">
        <f t="shared" si="96"/>
        <v>0</v>
      </c>
      <c r="Q52" s="11">
        <f t="shared" si="96"/>
        <v>0</v>
      </c>
      <c r="R52" s="11">
        <f t="shared" si="96"/>
        <v>0</v>
      </c>
      <c r="S52" s="11">
        <f t="shared" si="96"/>
        <v>0</v>
      </c>
      <c r="T52" s="11">
        <f t="shared" si="96"/>
        <v>0</v>
      </c>
      <c r="U52" s="48">
        <f t="shared" si="96"/>
        <v>0</v>
      </c>
      <c r="V52" s="56">
        <f t="shared" si="125"/>
        <v>0</v>
      </c>
      <c r="W52" s="18">
        <f t="shared" si="125"/>
        <v>0</v>
      </c>
      <c r="X52" s="18">
        <f t="shared" si="125"/>
        <v>0</v>
      </c>
      <c r="Y52" s="18">
        <f t="shared" si="125"/>
        <v>0</v>
      </c>
      <c r="Z52" s="18">
        <f t="shared" si="125"/>
        <v>0</v>
      </c>
      <c r="AA52" s="18">
        <f t="shared" si="126"/>
        <v>0</v>
      </c>
      <c r="AB52" s="56">
        <f>(3)/165</f>
        <v>1.8181818181818181E-2</v>
      </c>
      <c r="AC52" s="11">
        <f t="shared" si="101"/>
        <v>0</v>
      </c>
      <c r="AD52" s="11">
        <f>(7)/165</f>
        <v>4.2424242424242427E-2</v>
      </c>
      <c r="AE52" s="11">
        <f t="shared" si="101"/>
        <v>0</v>
      </c>
      <c r="AF52" s="11">
        <f t="shared" si="101"/>
        <v>0</v>
      </c>
      <c r="AG52" s="11">
        <f>(8)/165</f>
        <v>4.8484848484848485E-2</v>
      </c>
      <c r="AH52" s="56">
        <f>(2.5+3.5+0.5)/165</f>
        <v>3.9393939393939391E-2</v>
      </c>
      <c r="AI52" s="11">
        <f t="shared" si="127"/>
        <v>0</v>
      </c>
      <c r="AJ52" s="11">
        <f>(6+11+18+5.5)/165</f>
        <v>0.24545454545454545</v>
      </c>
      <c r="AK52" s="11">
        <f t="shared" si="127"/>
        <v>0</v>
      </c>
      <c r="AL52" s="11">
        <f t="shared" si="127"/>
        <v>0</v>
      </c>
      <c r="AM52" s="11">
        <f>(3+8+8.5+1)/165</f>
        <v>0.12424242424242424</v>
      </c>
      <c r="AN52" s="56">
        <f>(1.25+1+2.25)/157.5</f>
        <v>2.8571428571428571E-2</v>
      </c>
      <c r="AO52" s="11">
        <f t="shared" si="105"/>
        <v>0</v>
      </c>
      <c r="AP52" s="11">
        <f>(6+5.25+2+11+15.5)/157.5</f>
        <v>0.25238095238095237</v>
      </c>
      <c r="AQ52" s="11">
        <f t="shared" si="105"/>
        <v>0</v>
      </c>
      <c r="AR52" s="11">
        <f t="shared" si="105"/>
        <v>0</v>
      </c>
      <c r="AS52" s="11">
        <f>(9+9+4.75+11.25+5)/157.5</f>
        <v>0.24761904761904763</v>
      </c>
      <c r="AT52" s="61">
        <f>(3+1+1.5+2+3.5)/165</f>
        <v>6.6666666666666666E-2</v>
      </c>
      <c r="AU52" s="58">
        <f>(1.5+1)/165</f>
        <v>1.5151515151515152E-2</v>
      </c>
      <c r="AV52" s="58">
        <f>(10+14+12.25+25.75+32.75)/165</f>
        <v>0.57424242424242422</v>
      </c>
      <c r="AW52" s="58">
        <f>(0)/165</f>
        <v>0</v>
      </c>
      <c r="AX52" s="58">
        <f t="shared" si="90"/>
        <v>0</v>
      </c>
      <c r="AY52" s="62">
        <f>(2+10.25+9.25+4.25)/165</f>
        <v>0.15606060606060607</v>
      </c>
      <c r="AZ52" s="61">
        <f>(2.75)/150</f>
        <v>1.8333333333333333E-2</v>
      </c>
      <c r="BA52" s="58">
        <f t="shared" si="116"/>
        <v>0</v>
      </c>
      <c r="BB52" s="58">
        <f>(29.75)/150</f>
        <v>0.19833333333333333</v>
      </c>
      <c r="BC52" s="58">
        <f t="shared" si="116"/>
        <v>0</v>
      </c>
      <c r="BD52" s="58">
        <f t="shared" si="116"/>
        <v>0</v>
      </c>
      <c r="BE52" s="58">
        <f t="shared" si="116"/>
        <v>0</v>
      </c>
      <c r="BF52" s="58">
        <f t="shared" si="116"/>
        <v>0</v>
      </c>
      <c r="BG52" s="61">
        <f t="shared" si="120"/>
        <v>0</v>
      </c>
      <c r="BH52" s="58">
        <f t="shared" si="120"/>
        <v>0</v>
      </c>
      <c r="BI52" s="58">
        <f t="shared" si="120"/>
        <v>0</v>
      </c>
      <c r="BJ52" s="58">
        <f t="shared" si="120"/>
        <v>0</v>
      </c>
      <c r="BK52" s="58">
        <f t="shared" si="120"/>
        <v>0</v>
      </c>
      <c r="BL52" s="58">
        <f t="shared" si="63"/>
        <v>0</v>
      </c>
      <c r="BM52" s="58">
        <f t="shared" si="63"/>
        <v>0</v>
      </c>
      <c r="BN52" s="62">
        <f t="shared" si="63"/>
        <v>0</v>
      </c>
      <c r="BO52" s="61">
        <f t="shared" si="128"/>
        <v>0</v>
      </c>
      <c r="BP52" s="58">
        <f t="shared" si="128"/>
        <v>0</v>
      </c>
      <c r="BQ52" s="58">
        <f t="shared" si="128"/>
        <v>0</v>
      </c>
      <c r="BR52" s="58">
        <f t="shared" si="128"/>
        <v>0</v>
      </c>
      <c r="BS52" s="58">
        <f t="shared" si="128"/>
        <v>0</v>
      </c>
      <c r="BT52" s="58">
        <f t="shared" si="64"/>
        <v>0</v>
      </c>
      <c r="BU52" s="58">
        <f t="shared" si="64"/>
        <v>0</v>
      </c>
      <c r="BV52" s="62">
        <f t="shared" si="64"/>
        <v>0</v>
      </c>
      <c r="BW52" s="61">
        <f t="shared" si="109"/>
        <v>0</v>
      </c>
      <c r="BX52" s="58">
        <f t="shared" si="109"/>
        <v>0</v>
      </c>
      <c r="BY52" s="58">
        <f t="shared" si="109"/>
        <v>0</v>
      </c>
      <c r="BZ52" s="58">
        <f t="shared" si="109"/>
        <v>0</v>
      </c>
      <c r="CA52" s="58">
        <f t="shared" si="109"/>
        <v>0</v>
      </c>
      <c r="CB52" s="58">
        <f t="shared" si="65"/>
        <v>0</v>
      </c>
      <c r="CC52" s="58">
        <f t="shared" si="65"/>
        <v>0</v>
      </c>
      <c r="CD52" s="62">
        <f t="shared" si="65"/>
        <v>0</v>
      </c>
      <c r="CE52" s="61">
        <f t="shared" si="121"/>
        <v>0</v>
      </c>
      <c r="CF52" s="58">
        <f t="shared" si="121"/>
        <v>0</v>
      </c>
      <c r="CG52" s="58">
        <f t="shared" si="121"/>
        <v>0</v>
      </c>
      <c r="CH52" s="58">
        <f t="shared" si="121"/>
        <v>0</v>
      </c>
      <c r="CI52" s="58">
        <f t="shared" si="121"/>
        <v>0</v>
      </c>
      <c r="CJ52" s="58">
        <f t="shared" si="66"/>
        <v>0</v>
      </c>
      <c r="CK52" s="58">
        <f t="shared" si="66"/>
        <v>0</v>
      </c>
      <c r="CL52" s="62">
        <f t="shared" si="66"/>
        <v>0</v>
      </c>
      <c r="CM52" s="61">
        <f t="shared" si="122"/>
        <v>0</v>
      </c>
      <c r="CN52" s="58">
        <f t="shared" si="122"/>
        <v>0</v>
      </c>
      <c r="CO52" s="58">
        <f t="shared" si="122"/>
        <v>0</v>
      </c>
      <c r="CP52" s="58">
        <f t="shared" si="122"/>
        <v>0</v>
      </c>
      <c r="CQ52" s="58">
        <f t="shared" si="122"/>
        <v>0</v>
      </c>
      <c r="CR52" s="58">
        <f t="shared" si="67"/>
        <v>0</v>
      </c>
      <c r="CS52" s="58">
        <f t="shared" si="67"/>
        <v>0</v>
      </c>
      <c r="CT52" s="62">
        <f t="shared" si="67"/>
        <v>0</v>
      </c>
      <c r="CU52" s="235"/>
    </row>
    <row r="53" spans="1:99" ht="26.25" hidden="1" customHeight="1" outlineLevel="1" collapsed="1" x14ac:dyDescent="0.4">
      <c r="A53" s="350">
        <v>24</v>
      </c>
      <c r="B53" s="350" t="s">
        <v>47</v>
      </c>
      <c r="C53" s="350" t="s">
        <v>343</v>
      </c>
      <c r="D53" s="352" t="s">
        <v>548</v>
      </c>
      <c r="E53" s="352" t="s">
        <v>649</v>
      </c>
      <c r="F53" s="352"/>
      <c r="G53" s="375" t="s">
        <v>650</v>
      </c>
      <c r="H53" s="446">
        <f t="shared" ref="H53:H84" si="131">SUM(AZ53:BF53)</f>
        <v>0</v>
      </c>
      <c r="I53" s="446">
        <f t="shared" ref="I53:I84" si="132">SUM(AZ54:BF54)</f>
        <v>0</v>
      </c>
      <c r="J53" s="448"/>
      <c r="K53" s="452"/>
      <c r="L53" s="452"/>
      <c r="M53" s="450"/>
      <c r="N53" s="47" t="s">
        <v>24</v>
      </c>
      <c r="O53" s="10">
        <f t="shared" si="96"/>
        <v>0</v>
      </c>
      <c r="P53" s="10">
        <f t="shared" si="96"/>
        <v>0</v>
      </c>
      <c r="Q53" s="10">
        <f t="shared" si="96"/>
        <v>0</v>
      </c>
      <c r="R53" s="10">
        <f t="shared" si="96"/>
        <v>0</v>
      </c>
      <c r="S53" s="10">
        <f t="shared" si="96"/>
        <v>0</v>
      </c>
      <c r="T53" s="10">
        <f t="shared" si="96"/>
        <v>0</v>
      </c>
      <c r="U53" s="79">
        <f t="shared" si="96"/>
        <v>0</v>
      </c>
      <c r="V53" s="19">
        <f t="shared" si="125"/>
        <v>0</v>
      </c>
      <c r="W53" s="10">
        <f t="shared" si="125"/>
        <v>0</v>
      </c>
      <c r="X53" s="10">
        <f t="shared" si="125"/>
        <v>0</v>
      </c>
      <c r="Y53" s="10">
        <f t="shared" si="125"/>
        <v>0</v>
      </c>
      <c r="Z53" s="10">
        <f t="shared" si="125"/>
        <v>0</v>
      </c>
      <c r="AA53" s="10">
        <f t="shared" si="126"/>
        <v>0</v>
      </c>
      <c r="AB53" s="19">
        <f t="shared" ref="AB53:AG80" si="133">0/165</f>
        <v>0</v>
      </c>
      <c r="AC53" s="10">
        <f t="shared" si="133"/>
        <v>0</v>
      </c>
      <c r="AD53" s="210">
        <f t="shared" si="133"/>
        <v>0</v>
      </c>
      <c r="AE53" s="10">
        <f t="shared" si="133"/>
        <v>0</v>
      </c>
      <c r="AF53" s="10">
        <f t="shared" si="133"/>
        <v>0</v>
      </c>
      <c r="AG53" s="10">
        <f t="shared" si="133"/>
        <v>0</v>
      </c>
      <c r="AH53" s="71">
        <f>(6)/165</f>
        <v>3.6363636363636362E-2</v>
      </c>
      <c r="AI53" s="10">
        <f>(8)/165</f>
        <v>4.8484848484848485E-2</v>
      </c>
      <c r="AJ53" s="10">
        <f t="shared" si="130"/>
        <v>0</v>
      </c>
      <c r="AK53" s="10">
        <f t="shared" si="130"/>
        <v>0</v>
      </c>
      <c r="AL53" s="10">
        <f t="shared" si="130"/>
        <v>0</v>
      </c>
      <c r="AM53" s="10">
        <f>(8)/165</f>
        <v>4.8484848484848485E-2</v>
      </c>
      <c r="AN53" s="71">
        <f t="shared" si="105"/>
        <v>0</v>
      </c>
      <c r="AO53" s="10">
        <f t="shared" si="105"/>
        <v>0</v>
      </c>
      <c r="AP53" s="10">
        <f t="shared" si="105"/>
        <v>0</v>
      </c>
      <c r="AQ53" s="10">
        <f t="shared" si="105"/>
        <v>0</v>
      </c>
      <c r="AR53" s="10">
        <f t="shared" si="105"/>
        <v>0</v>
      </c>
      <c r="AS53" s="10">
        <f t="shared" si="105"/>
        <v>0</v>
      </c>
      <c r="AT53" s="189">
        <f t="shared" si="90"/>
        <v>0</v>
      </c>
      <c r="AU53" s="10">
        <f t="shared" si="90"/>
        <v>0</v>
      </c>
      <c r="AV53" s="10">
        <f t="shared" si="90"/>
        <v>0</v>
      </c>
      <c r="AW53" s="10">
        <f t="shared" si="90"/>
        <v>0</v>
      </c>
      <c r="AX53" s="10">
        <f t="shared" si="90"/>
        <v>0</v>
      </c>
      <c r="AY53" s="17">
        <f t="shared" si="90"/>
        <v>0</v>
      </c>
      <c r="AZ53" s="19">
        <f t="shared" si="116"/>
        <v>0</v>
      </c>
      <c r="BA53" s="10">
        <f t="shared" si="116"/>
        <v>0</v>
      </c>
      <c r="BB53" s="10">
        <f t="shared" si="116"/>
        <v>0</v>
      </c>
      <c r="BC53" s="10">
        <f t="shared" si="116"/>
        <v>0</v>
      </c>
      <c r="BD53" s="10">
        <f t="shared" si="116"/>
        <v>0</v>
      </c>
      <c r="BE53" s="10">
        <f t="shared" si="116"/>
        <v>0</v>
      </c>
      <c r="BF53" s="10">
        <f t="shared" si="116"/>
        <v>0</v>
      </c>
      <c r="BG53" s="19">
        <f t="shared" si="120"/>
        <v>0</v>
      </c>
      <c r="BH53" s="10">
        <f t="shared" si="120"/>
        <v>0</v>
      </c>
      <c r="BI53" s="10">
        <f t="shared" si="120"/>
        <v>0</v>
      </c>
      <c r="BJ53" s="10">
        <f t="shared" si="120"/>
        <v>0</v>
      </c>
      <c r="BK53" s="10">
        <f t="shared" si="120"/>
        <v>0</v>
      </c>
      <c r="BL53" s="10">
        <f t="shared" si="63"/>
        <v>0</v>
      </c>
      <c r="BM53" s="10">
        <f t="shared" si="63"/>
        <v>0</v>
      </c>
      <c r="BN53" s="17">
        <f t="shared" si="63"/>
        <v>0</v>
      </c>
      <c r="BO53" s="19">
        <f t="shared" si="128"/>
        <v>0</v>
      </c>
      <c r="BP53" s="10">
        <f t="shared" si="128"/>
        <v>0</v>
      </c>
      <c r="BQ53" s="10">
        <f t="shared" si="128"/>
        <v>0</v>
      </c>
      <c r="BR53" s="10">
        <f t="shared" si="128"/>
        <v>0</v>
      </c>
      <c r="BS53" s="10">
        <f t="shared" si="128"/>
        <v>0</v>
      </c>
      <c r="BT53" s="10">
        <f t="shared" si="64"/>
        <v>0</v>
      </c>
      <c r="BU53" s="10">
        <f t="shared" si="64"/>
        <v>0</v>
      </c>
      <c r="BV53" s="17">
        <f t="shared" si="64"/>
        <v>0</v>
      </c>
      <c r="BW53" s="71">
        <f t="shared" si="109"/>
        <v>0</v>
      </c>
      <c r="BX53" s="10">
        <f t="shared" si="109"/>
        <v>0</v>
      </c>
      <c r="BY53" s="10">
        <f t="shared" si="109"/>
        <v>0</v>
      </c>
      <c r="BZ53" s="10">
        <f t="shared" si="109"/>
        <v>0</v>
      </c>
      <c r="CA53" s="10">
        <f t="shared" si="109"/>
        <v>0</v>
      </c>
      <c r="CB53" s="10">
        <f t="shared" si="65"/>
        <v>0</v>
      </c>
      <c r="CC53" s="10">
        <f t="shared" si="65"/>
        <v>0</v>
      </c>
      <c r="CD53" s="17">
        <f t="shared" si="65"/>
        <v>0</v>
      </c>
      <c r="CE53" s="19">
        <f t="shared" si="121"/>
        <v>0</v>
      </c>
      <c r="CF53" s="10">
        <f t="shared" si="121"/>
        <v>0</v>
      </c>
      <c r="CG53" s="10">
        <f t="shared" si="121"/>
        <v>0</v>
      </c>
      <c r="CH53" s="10">
        <f t="shared" si="121"/>
        <v>0</v>
      </c>
      <c r="CI53" s="10">
        <f t="shared" si="121"/>
        <v>0</v>
      </c>
      <c r="CJ53" s="10">
        <f t="shared" si="66"/>
        <v>0</v>
      </c>
      <c r="CK53" s="10">
        <f t="shared" si="66"/>
        <v>0</v>
      </c>
      <c r="CL53" s="17">
        <f t="shared" si="66"/>
        <v>0</v>
      </c>
      <c r="CM53" s="19">
        <f t="shared" si="122"/>
        <v>0</v>
      </c>
      <c r="CN53" s="10">
        <f t="shared" si="122"/>
        <v>0</v>
      </c>
      <c r="CO53" s="10">
        <f t="shared" si="122"/>
        <v>0</v>
      </c>
      <c r="CP53" s="10">
        <f t="shared" si="122"/>
        <v>0</v>
      </c>
      <c r="CQ53" s="10">
        <f t="shared" si="122"/>
        <v>0</v>
      </c>
      <c r="CR53" s="10">
        <f t="shared" si="67"/>
        <v>0</v>
      </c>
      <c r="CS53" s="10">
        <f t="shared" si="67"/>
        <v>0</v>
      </c>
      <c r="CT53" s="17">
        <f t="shared" si="67"/>
        <v>0</v>
      </c>
      <c r="CU53" s="235"/>
    </row>
    <row r="54" spans="1:99" ht="26.25" hidden="1" customHeight="1" outlineLevel="1" x14ac:dyDescent="0.4">
      <c r="A54" s="351"/>
      <c r="B54" s="351"/>
      <c r="C54" s="351"/>
      <c r="D54" s="353"/>
      <c r="E54" s="353"/>
      <c r="F54" s="353"/>
      <c r="G54" s="375"/>
      <c r="H54" s="447"/>
      <c r="I54" s="447"/>
      <c r="J54" s="449"/>
      <c r="K54" s="453"/>
      <c r="L54" s="453"/>
      <c r="M54" s="451"/>
      <c r="N54" s="38" t="s">
        <v>25</v>
      </c>
      <c r="O54" s="11">
        <f t="shared" si="96"/>
        <v>0</v>
      </c>
      <c r="P54" s="11">
        <f t="shared" si="96"/>
        <v>0</v>
      </c>
      <c r="Q54" s="11">
        <f t="shared" si="96"/>
        <v>0</v>
      </c>
      <c r="R54" s="11">
        <f t="shared" si="96"/>
        <v>0</v>
      </c>
      <c r="S54" s="11">
        <f t="shared" si="96"/>
        <v>0</v>
      </c>
      <c r="T54" s="11">
        <f t="shared" si="96"/>
        <v>0</v>
      </c>
      <c r="U54" s="48">
        <f t="shared" ref="O54:U86" si="134">0/127.5</f>
        <v>0</v>
      </c>
      <c r="V54" s="56">
        <f t="shared" si="125"/>
        <v>0</v>
      </c>
      <c r="W54" s="18">
        <f t="shared" si="125"/>
        <v>0</v>
      </c>
      <c r="X54" s="18">
        <f t="shared" si="125"/>
        <v>0</v>
      </c>
      <c r="Y54" s="18">
        <f t="shared" si="125"/>
        <v>0</v>
      </c>
      <c r="Z54" s="18">
        <f t="shared" si="125"/>
        <v>0</v>
      </c>
      <c r="AA54" s="18">
        <f t="shared" si="126"/>
        <v>0</v>
      </c>
      <c r="AB54" s="41">
        <f t="shared" si="133"/>
        <v>0</v>
      </c>
      <c r="AC54" s="51">
        <f t="shared" si="133"/>
        <v>0</v>
      </c>
      <c r="AD54" s="11">
        <f t="shared" si="133"/>
        <v>0</v>
      </c>
      <c r="AE54" s="11">
        <f t="shared" si="133"/>
        <v>0</v>
      </c>
      <c r="AF54" s="11">
        <f t="shared" si="133"/>
        <v>0</v>
      </c>
      <c r="AG54" s="18">
        <f t="shared" si="133"/>
        <v>0</v>
      </c>
      <c r="AH54" s="56">
        <f>(3.25)/165</f>
        <v>1.9696969696969695E-2</v>
      </c>
      <c r="AI54" s="11">
        <f>(8.5)/165</f>
        <v>5.1515151515151514E-2</v>
      </c>
      <c r="AJ54" s="11">
        <f t="shared" si="127"/>
        <v>0</v>
      </c>
      <c r="AK54" s="11">
        <f t="shared" si="127"/>
        <v>0</v>
      </c>
      <c r="AL54" s="11">
        <f t="shared" si="127"/>
        <v>0</v>
      </c>
      <c r="AM54" s="11">
        <f>(9)/165</f>
        <v>5.4545454545454543E-2</v>
      </c>
      <c r="AN54" s="56">
        <f t="shared" si="105"/>
        <v>0</v>
      </c>
      <c r="AO54" s="11">
        <f t="shared" si="105"/>
        <v>0</v>
      </c>
      <c r="AP54" s="11">
        <f t="shared" si="105"/>
        <v>0</v>
      </c>
      <c r="AQ54" s="11">
        <f t="shared" si="105"/>
        <v>0</v>
      </c>
      <c r="AR54" s="11">
        <f t="shared" si="105"/>
        <v>0</v>
      </c>
      <c r="AS54" s="11">
        <f t="shared" si="105"/>
        <v>0</v>
      </c>
      <c r="AT54" s="61">
        <f t="shared" si="90"/>
        <v>0</v>
      </c>
      <c r="AU54" s="58">
        <f t="shared" si="90"/>
        <v>0</v>
      </c>
      <c r="AV54" s="58">
        <f t="shared" si="90"/>
        <v>0</v>
      </c>
      <c r="AW54" s="58">
        <f t="shared" si="90"/>
        <v>0</v>
      </c>
      <c r="AX54" s="58">
        <f t="shared" si="90"/>
        <v>0</v>
      </c>
      <c r="AY54" s="62">
        <f t="shared" si="90"/>
        <v>0</v>
      </c>
      <c r="AZ54" s="61">
        <f t="shared" si="116"/>
        <v>0</v>
      </c>
      <c r="BA54" s="58">
        <f t="shared" si="116"/>
        <v>0</v>
      </c>
      <c r="BB54" s="58">
        <f t="shared" si="116"/>
        <v>0</v>
      </c>
      <c r="BC54" s="58">
        <f t="shared" si="116"/>
        <v>0</v>
      </c>
      <c r="BD54" s="58">
        <f t="shared" si="116"/>
        <v>0</v>
      </c>
      <c r="BE54" s="58">
        <f t="shared" si="116"/>
        <v>0</v>
      </c>
      <c r="BF54" s="58">
        <f t="shared" si="116"/>
        <v>0</v>
      </c>
      <c r="BG54" s="61">
        <f t="shared" si="120"/>
        <v>0</v>
      </c>
      <c r="BH54" s="58">
        <f t="shared" si="120"/>
        <v>0</v>
      </c>
      <c r="BI54" s="58">
        <f t="shared" si="120"/>
        <v>0</v>
      </c>
      <c r="BJ54" s="58">
        <f t="shared" si="120"/>
        <v>0</v>
      </c>
      <c r="BK54" s="58">
        <f t="shared" si="120"/>
        <v>0</v>
      </c>
      <c r="BL54" s="58">
        <f t="shared" si="63"/>
        <v>0</v>
      </c>
      <c r="BM54" s="58">
        <f t="shared" si="63"/>
        <v>0</v>
      </c>
      <c r="BN54" s="62">
        <f t="shared" si="63"/>
        <v>0</v>
      </c>
      <c r="BO54" s="61">
        <f t="shared" si="128"/>
        <v>0</v>
      </c>
      <c r="BP54" s="58">
        <f t="shared" si="128"/>
        <v>0</v>
      </c>
      <c r="BQ54" s="58">
        <f t="shared" si="128"/>
        <v>0</v>
      </c>
      <c r="BR54" s="58">
        <f t="shared" si="128"/>
        <v>0</v>
      </c>
      <c r="BS54" s="58">
        <f t="shared" si="128"/>
        <v>0</v>
      </c>
      <c r="BT54" s="58">
        <f t="shared" si="64"/>
        <v>0</v>
      </c>
      <c r="BU54" s="58">
        <f t="shared" si="64"/>
        <v>0</v>
      </c>
      <c r="BV54" s="62">
        <f t="shared" si="64"/>
        <v>0</v>
      </c>
      <c r="BW54" s="61">
        <f t="shared" si="109"/>
        <v>0</v>
      </c>
      <c r="BX54" s="58">
        <f t="shared" si="109"/>
        <v>0</v>
      </c>
      <c r="BY54" s="58">
        <f t="shared" si="109"/>
        <v>0</v>
      </c>
      <c r="BZ54" s="58">
        <f t="shared" si="109"/>
        <v>0</v>
      </c>
      <c r="CA54" s="58">
        <f t="shared" si="109"/>
        <v>0</v>
      </c>
      <c r="CB54" s="58">
        <f t="shared" si="65"/>
        <v>0</v>
      </c>
      <c r="CC54" s="58">
        <f t="shared" si="65"/>
        <v>0</v>
      </c>
      <c r="CD54" s="62">
        <f t="shared" si="65"/>
        <v>0</v>
      </c>
      <c r="CE54" s="61">
        <f t="shared" si="121"/>
        <v>0</v>
      </c>
      <c r="CF54" s="58">
        <f t="shared" si="121"/>
        <v>0</v>
      </c>
      <c r="CG54" s="58">
        <f t="shared" si="121"/>
        <v>0</v>
      </c>
      <c r="CH54" s="58">
        <f t="shared" si="121"/>
        <v>0</v>
      </c>
      <c r="CI54" s="58">
        <f t="shared" si="121"/>
        <v>0</v>
      </c>
      <c r="CJ54" s="58">
        <f t="shared" si="66"/>
        <v>0</v>
      </c>
      <c r="CK54" s="58">
        <f t="shared" si="66"/>
        <v>0</v>
      </c>
      <c r="CL54" s="62">
        <f t="shared" si="66"/>
        <v>0</v>
      </c>
      <c r="CM54" s="61">
        <f t="shared" si="122"/>
        <v>0</v>
      </c>
      <c r="CN54" s="58">
        <f t="shared" si="122"/>
        <v>0</v>
      </c>
      <c r="CO54" s="58">
        <f t="shared" si="122"/>
        <v>0</v>
      </c>
      <c r="CP54" s="58">
        <f t="shared" si="122"/>
        <v>0</v>
      </c>
      <c r="CQ54" s="58">
        <f t="shared" si="122"/>
        <v>0</v>
      </c>
      <c r="CR54" s="58">
        <f t="shared" si="67"/>
        <v>0</v>
      </c>
      <c r="CS54" s="58">
        <f t="shared" si="67"/>
        <v>0</v>
      </c>
      <c r="CT54" s="62">
        <f t="shared" si="67"/>
        <v>0</v>
      </c>
      <c r="CU54" s="235"/>
    </row>
    <row r="55" spans="1:99" ht="26.25" hidden="1" customHeight="1" outlineLevel="1" collapsed="1" x14ac:dyDescent="0.4">
      <c r="A55" s="350">
        <v>25</v>
      </c>
      <c r="B55" s="350" t="s">
        <v>47</v>
      </c>
      <c r="C55" s="350" t="s">
        <v>343</v>
      </c>
      <c r="D55" s="352" t="s">
        <v>344</v>
      </c>
      <c r="E55" s="352" t="s">
        <v>651</v>
      </c>
      <c r="F55" s="352"/>
      <c r="G55" s="375" t="s">
        <v>652</v>
      </c>
      <c r="H55" s="446">
        <f t="shared" ref="H55:H86" si="135">SUM(AZ55:BF55)</f>
        <v>0</v>
      </c>
      <c r="I55" s="446">
        <f t="shared" ref="I55:I86" si="136">SUM(AZ56:BF56)</f>
        <v>0</v>
      </c>
      <c r="J55" s="448"/>
      <c r="K55" s="452"/>
      <c r="L55" s="452"/>
      <c r="M55" s="450"/>
      <c r="N55" s="47" t="s">
        <v>24</v>
      </c>
      <c r="O55" s="10">
        <f t="shared" si="134"/>
        <v>0</v>
      </c>
      <c r="P55" s="10">
        <f t="shared" si="134"/>
        <v>0</v>
      </c>
      <c r="Q55" s="10">
        <f t="shared" si="134"/>
        <v>0</v>
      </c>
      <c r="R55" s="10">
        <f t="shared" si="134"/>
        <v>0</v>
      </c>
      <c r="S55" s="10">
        <f t="shared" si="134"/>
        <v>0</v>
      </c>
      <c r="T55" s="10">
        <f t="shared" si="134"/>
        <v>0</v>
      </c>
      <c r="U55" s="79">
        <f t="shared" si="134"/>
        <v>0</v>
      </c>
      <c r="V55" s="19">
        <f t="shared" si="125"/>
        <v>0</v>
      </c>
      <c r="W55" s="10">
        <f t="shared" si="125"/>
        <v>0</v>
      </c>
      <c r="X55" s="10">
        <f t="shared" si="125"/>
        <v>0</v>
      </c>
      <c r="Y55" s="10">
        <f t="shared" si="125"/>
        <v>0</v>
      </c>
      <c r="Z55" s="10">
        <f t="shared" si="125"/>
        <v>0</v>
      </c>
      <c r="AA55" s="10">
        <f t="shared" si="126"/>
        <v>0</v>
      </c>
      <c r="AB55" s="19">
        <f t="shared" si="133"/>
        <v>0</v>
      </c>
      <c r="AC55" s="10">
        <f t="shared" si="133"/>
        <v>0</v>
      </c>
      <c r="AD55" s="210">
        <f t="shared" si="133"/>
        <v>0</v>
      </c>
      <c r="AE55" s="10">
        <f t="shared" si="133"/>
        <v>0</v>
      </c>
      <c r="AF55" s="10">
        <f t="shared" si="133"/>
        <v>0</v>
      </c>
      <c r="AG55" s="10">
        <f t="shared" si="133"/>
        <v>0</v>
      </c>
      <c r="AH55" s="71">
        <f>(5)/165</f>
        <v>3.0303030303030304E-2</v>
      </c>
      <c r="AI55" s="10">
        <f t="shared" si="130"/>
        <v>0</v>
      </c>
      <c r="AJ55" s="10">
        <f>(13)/165</f>
        <v>7.8787878787878782E-2</v>
      </c>
      <c r="AK55" s="10">
        <f t="shared" si="130"/>
        <v>0</v>
      </c>
      <c r="AL55" s="10">
        <f t="shared" si="130"/>
        <v>0</v>
      </c>
      <c r="AM55" s="10">
        <f>(3)/165</f>
        <v>1.8181818181818181E-2</v>
      </c>
      <c r="AN55" s="71">
        <f t="shared" si="105"/>
        <v>0</v>
      </c>
      <c r="AO55" s="10">
        <f t="shared" si="105"/>
        <v>0</v>
      </c>
      <c r="AP55" s="10">
        <f t="shared" si="105"/>
        <v>0</v>
      </c>
      <c r="AQ55" s="10">
        <f t="shared" si="105"/>
        <v>0</v>
      </c>
      <c r="AR55" s="10">
        <f t="shared" si="105"/>
        <v>0</v>
      </c>
      <c r="AS55" s="10">
        <f t="shared" si="105"/>
        <v>0</v>
      </c>
      <c r="AT55" s="189">
        <f t="shared" si="90"/>
        <v>0</v>
      </c>
      <c r="AU55" s="10">
        <f t="shared" si="90"/>
        <v>0</v>
      </c>
      <c r="AV55" s="10">
        <f t="shared" si="90"/>
        <v>0</v>
      </c>
      <c r="AW55" s="10">
        <f t="shared" si="90"/>
        <v>0</v>
      </c>
      <c r="AX55" s="10">
        <f t="shared" si="90"/>
        <v>0</v>
      </c>
      <c r="AY55" s="17">
        <f t="shared" si="90"/>
        <v>0</v>
      </c>
      <c r="AZ55" s="19">
        <f t="shared" si="116"/>
        <v>0</v>
      </c>
      <c r="BA55" s="10">
        <f t="shared" si="116"/>
        <v>0</v>
      </c>
      <c r="BB55" s="10">
        <f t="shared" si="116"/>
        <v>0</v>
      </c>
      <c r="BC55" s="10">
        <f t="shared" si="116"/>
        <v>0</v>
      </c>
      <c r="BD55" s="10">
        <f t="shared" si="116"/>
        <v>0</v>
      </c>
      <c r="BE55" s="10">
        <f t="shared" si="116"/>
        <v>0</v>
      </c>
      <c r="BF55" s="10">
        <f t="shared" si="116"/>
        <v>0</v>
      </c>
      <c r="BG55" s="19">
        <f t="shared" si="120"/>
        <v>0</v>
      </c>
      <c r="BH55" s="10">
        <f t="shared" si="120"/>
        <v>0</v>
      </c>
      <c r="BI55" s="10">
        <f t="shared" si="120"/>
        <v>0</v>
      </c>
      <c r="BJ55" s="10">
        <f t="shared" si="120"/>
        <v>0</v>
      </c>
      <c r="BK55" s="10">
        <f t="shared" si="120"/>
        <v>0</v>
      </c>
      <c r="BL55" s="10">
        <f t="shared" ref="BL55:BN86" si="137">0/172.5</f>
        <v>0</v>
      </c>
      <c r="BM55" s="10">
        <f t="shared" si="137"/>
        <v>0</v>
      </c>
      <c r="BN55" s="17">
        <f t="shared" si="137"/>
        <v>0</v>
      </c>
      <c r="BO55" s="19">
        <f t="shared" si="128"/>
        <v>0</v>
      </c>
      <c r="BP55" s="10">
        <f t="shared" si="128"/>
        <v>0</v>
      </c>
      <c r="BQ55" s="10">
        <f t="shared" si="128"/>
        <v>0</v>
      </c>
      <c r="BR55" s="10">
        <f t="shared" si="128"/>
        <v>0</v>
      </c>
      <c r="BS55" s="10">
        <f t="shared" si="128"/>
        <v>0</v>
      </c>
      <c r="BT55" s="10">
        <f t="shared" ref="BT55:BV86" si="138">0/172.5</f>
        <v>0</v>
      </c>
      <c r="BU55" s="10">
        <f t="shared" si="138"/>
        <v>0</v>
      </c>
      <c r="BV55" s="17">
        <f t="shared" si="138"/>
        <v>0</v>
      </c>
      <c r="BW55" s="71">
        <f t="shared" si="109"/>
        <v>0</v>
      </c>
      <c r="BX55" s="10">
        <f t="shared" si="109"/>
        <v>0</v>
      </c>
      <c r="BY55" s="10">
        <f t="shared" si="109"/>
        <v>0</v>
      </c>
      <c r="BZ55" s="10">
        <f t="shared" si="109"/>
        <v>0</v>
      </c>
      <c r="CA55" s="10">
        <f t="shared" si="109"/>
        <v>0</v>
      </c>
      <c r="CB55" s="10">
        <f t="shared" ref="CB55:CD86" si="139">0/172.5</f>
        <v>0</v>
      </c>
      <c r="CC55" s="10">
        <f t="shared" si="139"/>
        <v>0</v>
      </c>
      <c r="CD55" s="17">
        <f t="shared" si="139"/>
        <v>0</v>
      </c>
      <c r="CE55" s="19">
        <f t="shared" si="121"/>
        <v>0</v>
      </c>
      <c r="CF55" s="10">
        <f t="shared" si="121"/>
        <v>0</v>
      </c>
      <c r="CG55" s="10">
        <f t="shared" si="121"/>
        <v>0</v>
      </c>
      <c r="CH55" s="10">
        <f t="shared" si="121"/>
        <v>0</v>
      </c>
      <c r="CI55" s="10">
        <f t="shared" si="121"/>
        <v>0</v>
      </c>
      <c r="CJ55" s="10">
        <f t="shared" ref="CJ55:CL86" si="140">0/172.5</f>
        <v>0</v>
      </c>
      <c r="CK55" s="10">
        <f t="shared" si="140"/>
        <v>0</v>
      </c>
      <c r="CL55" s="17">
        <f t="shared" si="140"/>
        <v>0</v>
      </c>
      <c r="CM55" s="19">
        <f t="shared" si="122"/>
        <v>0</v>
      </c>
      <c r="CN55" s="10">
        <f t="shared" si="122"/>
        <v>0</v>
      </c>
      <c r="CO55" s="10">
        <f t="shared" si="122"/>
        <v>0</v>
      </c>
      <c r="CP55" s="10">
        <f t="shared" si="122"/>
        <v>0</v>
      </c>
      <c r="CQ55" s="10">
        <f t="shared" si="122"/>
        <v>0</v>
      </c>
      <c r="CR55" s="10">
        <f t="shared" ref="CR55:CT86" si="141">0/172.5</f>
        <v>0</v>
      </c>
      <c r="CS55" s="10">
        <f t="shared" si="141"/>
        <v>0</v>
      </c>
      <c r="CT55" s="17">
        <f t="shared" si="141"/>
        <v>0</v>
      </c>
      <c r="CU55" s="235"/>
    </row>
    <row r="56" spans="1:99" ht="26.25" hidden="1" customHeight="1" outlineLevel="1" x14ac:dyDescent="0.4">
      <c r="A56" s="351"/>
      <c r="B56" s="351"/>
      <c r="C56" s="351"/>
      <c r="D56" s="353"/>
      <c r="E56" s="353"/>
      <c r="F56" s="353"/>
      <c r="G56" s="375"/>
      <c r="H56" s="447"/>
      <c r="I56" s="447"/>
      <c r="J56" s="449"/>
      <c r="K56" s="453"/>
      <c r="L56" s="453"/>
      <c r="M56" s="451"/>
      <c r="N56" s="38" t="s">
        <v>25</v>
      </c>
      <c r="O56" s="11">
        <f t="shared" si="134"/>
        <v>0</v>
      </c>
      <c r="P56" s="11">
        <f t="shared" si="134"/>
        <v>0</v>
      </c>
      <c r="Q56" s="11">
        <f t="shared" si="134"/>
        <v>0</v>
      </c>
      <c r="R56" s="11">
        <f t="shared" si="134"/>
        <v>0</v>
      </c>
      <c r="S56" s="11">
        <f t="shared" si="134"/>
        <v>0</v>
      </c>
      <c r="T56" s="11">
        <f t="shared" si="134"/>
        <v>0</v>
      </c>
      <c r="U56" s="48">
        <f t="shared" si="134"/>
        <v>0</v>
      </c>
      <c r="V56" s="56">
        <f t="shared" si="125"/>
        <v>0</v>
      </c>
      <c r="W56" s="18">
        <f t="shared" si="125"/>
        <v>0</v>
      </c>
      <c r="X56" s="18">
        <f t="shared" si="125"/>
        <v>0</v>
      </c>
      <c r="Y56" s="18">
        <f t="shared" si="125"/>
        <v>0</v>
      </c>
      <c r="Z56" s="18">
        <f t="shared" si="125"/>
        <v>0</v>
      </c>
      <c r="AA56" s="18">
        <f t="shared" si="126"/>
        <v>0</v>
      </c>
      <c r="AB56" s="41">
        <f t="shared" si="133"/>
        <v>0</v>
      </c>
      <c r="AC56" s="51">
        <f t="shared" si="133"/>
        <v>0</v>
      </c>
      <c r="AD56" s="11">
        <f t="shared" si="133"/>
        <v>0</v>
      </c>
      <c r="AE56" s="11">
        <f t="shared" si="133"/>
        <v>0</v>
      </c>
      <c r="AF56" s="11">
        <f t="shared" si="133"/>
        <v>0</v>
      </c>
      <c r="AG56" s="18">
        <f t="shared" si="133"/>
        <v>0</v>
      </c>
      <c r="AH56" s="56">
        <f>(3.75+1.5)/165</f>
        <v>3.1818181818181815E-2</v>
      </c>
      <c r="AI56" s="11">
        <f t="shared" si="127"/>
        <v>0</v>
      </c>
      <c r="AJ56" s="11">
        <f>(8.5+2)/165</f>
        <v>6.363636363636363E-2</v>
      </c>
      <c r="AK56" s="11">
        <f t="shared" si="127"/>
        <v>0</v>
      </c>
      <c r="AL56" s="11">
        <f t="shared" si="127"/>
        <v>0</v>
      </c>
      <c r="AM56" s="11">
        <f>(0+2)/165</f>
        <v>1.2121212121212121E-2</v>
      </c>
      <c r="AN56" s="56">
        <f t="shared" si="105"/>
        <v>0</v>
      </c>
      <c r="AO56" s="11">
        <f t="shared" si="105"/>
        <v>0</v>
      </c>
      <c r="AP56" s="11">
        <f t="shared" si="105"/>
        <v>0</v>
      </c>
      <c r="AQ56" s="11">
        <f t="shared" si="105"/>
        <v>0</v>
      </c>
      <c r="AR56" s="11">
        <f t="shared" si="105"/>
        <v>0</v>
      </c>
      <c r="AS56" s="11">
        <f t="shared" si="105"/>
        <v>0</v>
      </c>
      <c r="AT56" s="61">
        <f t="shared" si="90"/>
        <v>0</v>
      </c>
      <c r="AU56" s="58">
        <f t="shared" si="90"/>
        <v>0</v>
      </c>
      <c r="AV56" s="58">
        <f t="shared" si="90"/>
        <v>0</v>
      </c>
      <c r="AW56" s="58">
        <f t="shared" si="90"/>
        <v>0</v>
      </c>
      <c r="AX56" s="58">
        <f t="shared" si="90"/>
        <v>0</v>
      </c>
      <c r="AY56" s="62">
        <f t="shared" si="90"/>
        <v>0</v>
      </c>
      <c r="AZ56" s="61">
        <f t="shared" si="116"/>
        <v>0</v>
      </c>
      <c r="BA56" s="58">
        <f t="shared" si="116"/>
        <v>0</v>
      </c>
      <c r="BB56" s="58">
        <f t="shared" si="116"/>
        <v>0</v>
      </c>
      <c r="BC56" s="58">
        <f t="shared" si="116"/>
        <v>0</v>
      </c>
      <c r="BD56" s="58">
        <f t="shared" si="116"/>
        <v>0</v>
      </c>
      <c r="BE56" s="58">
        <f t="shared" si="116"/>
        <v>0</v>
      </c>
      <c r="BF56" s="58">
        <f t="shared" si="116"/>
        <v>0</v>
      </c>
      <c r="BG56" s="61">
        <f t="shared" si="120"/>
        <v>0</v>
      </c>
      <c r="BH56" s="58">
        <f t="shared" si="120"/>
        <v>0</v>
      </c>
      <c r="BI56" s="58">
        <f t="shared" si="120"/>
        <v>0</v>
      </c>
      <c r="BJ56" s="58">
        <f t="shared" si="120"/>
        <v>0</v>
      </c>
      <c r="BK56" s="58">
        <f t="shared" si="120"/>
        <v>0</v>
      </c>
      <c r="BL56" s="58">
        <f t="shared" si="137"/>
        <v>0</v>
      </c>
      <c r="BM56" s="58">
        <f t="shared" si="137"/>
        <v>0</v>
      </c>
      <c r="BN56" s="62">
        <f t="shared" si="137"/>
        <v>0</v>
      </c>
      <c r="BO56" s="61">
        <f t="shared" si="128"/>
        <v>0</v>
      </c>
      <c r="BP56" s="58">
        <f t="shared" si="128"/>
        <v>0</v>
      </c>
      <c r="BQ56" s="58">
        <f t="shared" si="128"/>
        <v>0</v>
      </c>
      <c r="BR56" s="58">
        <f t="shared" si="128"/>
        <v>0</v>
      </c>
      <c r="BS56" s="58">
        <f t="shared" si="128"/>
        <v>0</v>
      </c>
      <c r="BT56" s="58">
        <f t="shared" si="138"/>
        <v>0</v>
      </c>
      <c r="BU56" s="58">
        <f t="shared" si="138"/>
        <v>0</v>
      </c>
      <c r="BV56" s="62">
        <f t="shared" si="138"/>
        <v>0</v>
      </c>
      <c r="BW56" s="61">
        <f t="shared" si="109"/>
        <v>0</v>
      </c>
      <c r="BX56" s="58">
        <f t="shared" si="109"/>
        <v>0</v>
      </c>
      <c r="BY56" s="58">
        <f t="shared" si="109"/>
        <v>0</v>
      </c>
      <c r="BZ56" s="58">
        <f t="shared" si="109"/>
        <v>0</v>
      </c>
      <c r="CA56" s="58">
        <f t="shared" si="109"/>
        <v>0</v>
      </c>
      <c r="CB56" s="58">
        <f t="shared" si="139"/>
        <v>0</v>
      </c>
      <c r="CC56" s="58">
        <f t="shared" si="139"/>
        <v>0</v>
      </c>
      <c r="CD56" s="62">
        <f t="shared" si="139"/>
        <v>0</v>
      </c>
      <c r="CE56" s="61">
        <f t="shared" si="121"/>
        <v>0</v>
      </c>
      <c r="CF56" s="58">
        <f t="shared" si="121"/>
        <v>0</v>
      </c>
      <c r="CG56" s="58">
        <f t="shared" si="121"/>
        <v>0</v>
      </c>
      <c r="CH56" s="58">
        <f t="shared" si="121"/>
        <v>0</v>
      </c>
      <c r="CI56" s="58">
        <f t="shared" si="121"/>
        <v>0</v>
      </c>
      <c r="CJ56" s="58">
        <f t="shared" si="140"/>
        <v>0</v>
      </c>
      <c r="CK56" s="58">
        <f t="shared" si="140"/>
        <v>0</v>
      </c>
      <c r="CL56" s="62">
        <f t="shared" si="140"/>
        <v>0</v>
      </c>
      <c r="CM56" s="61">
        <f t="shared" si="122"/>
        <v>0</v>
      </c>
      <c r="CN56" s="58">
        <f t="shared" si="122"/>
        <v>0</v>
      </c>
      <c r="CO56" s="58">
        <f t="shared" si="122"/>
        <v>0</v>
      </c>
      <c r="CP56" s="58">
        <f t="shared" si="122"/>
        <v>0</v>
      </c>
      <c r="CQ56" s="58">
        <f t="shared" si="122"/>
        <v>0</v>
      </c>
      <c r="CR56" s="58">
        <f t="shared" si="141"/>
        <v>0</v>
      </c>
      <c r="CS56" s="58">
        <f t="shared" si="141"/>
        <v>0</v>
      </c>
      <c r="CT56" s="62">
        <f t="shared" si="141"/>
        <v>0</v>
      </c>
      <c r="CU56" s="235"/>
    </row>
    <row r="57" spans="1:99" ht="26.25" hidden="1" customHeight="1" outlineLevel="1" collapsed="1" x14ac:dyDescent="0.4">
      <c r="A57" s="350">
        <v>26</v>
      </c>
      <c r="B57" s="350" t="s">
        <v>47</v>
      </c>
      <c r="C57" s="350" t="s">
        <v>14</v>
      </c>
      <c r="D57" s="352" t="s">
        <v>653</v>
      </c>
      <c r="E57" s="352" t="s">
        <v>654</v>
      </c>
      <c r="F57" s="352"/>
      <c r="G57" s="375" t="s">
        <v>655</v>
      </c>
      <c r="H57" s="446">
        <f t="shared" ref="H57:H88" si="142">SUM(AZ57:BF57)</f>
        <v>0</v>
      </c>
      <c r="I57" s="446">
        <f t="shared" ref="I57:I88" si="143">SUM(AZ58:BF58)</f>
        <v>0</v>
      </c>
      <c r="J57" s="448"/>
      <c r="K57" s="452"/>
      <c r="L57" s="452"/>
      <c r="M57" s="450"/>
      <c r="N57" s="47" t="s">
        <v>24</v>
      </c>
      <c r="O57" s="10">
        <f t="shared" si="134"/>
        <v>0</v>
      </c>
      <c r="P57" s="10">
        <f t="shared" si="134"/>
        <v>0</v>
      </c>
      <c r="Q57" s="10">
        <f t="shared" si="134"/>
        <v>0</v>
      </c>
      <c r="R57" s="10">
        <f t="shared" si="134"/>
        <v>0</v>
      </c>
      <c r="S57" s="10">
        <f t="shared" si="134"/>
        <v>0</v>
      </c>
      <c r="T57" s="10">
        <f t="shared" si="134"/>
        <v>0</v>
      </c>
      <c r="U57" s="79">
        <f t="shared" si="134"/>
        <v>0</v>
      </c>
      <c r="V57" s="19">
        <f t="shared" ref="V57:Z88" si="144">0/142.5</f>
        <v>0</v>
      </c>
      <c r="W57" s="10">
        <f t="shared" si="144"/>
        <v>0</v>
      </c>
      <c r="X57" s="10">
        <f t="shared" si="144"/>
        <v>0</v>
      </c>
      <c r="Y57" s="10">
        <f t="shared" si="144"/>
        <v>0</v>
      </c>
      <c r="Z57" s="10">
        <f t="shared" si="144"/>
        <v>0</v>
      </c>
      <c r="AA57" s="10">
        <f t="shared" si="126"/>
        <v>0</v>
      </c>
      <c r="AB57" s="19">
        <f t="shared" si="133"/>
        <v>0</v>
      </c>
      <c r="AC57" s="10">
        <f t="shared" si="133"/>
        <v>0</v>
      </c>
      <c r="AD57" s="210">
        <f t="shared" si="133"/>
        <v>0</v>
      </c>
      <c r="AE57" s="10">
        <f t="shared" si="133"/>
        <v>0</v>
      </c>
      <c r="AF57" s="10">
        <f t="shared" si="133"/>
        <v>0</v>
      </c>
      <c r="AG57" s="10">
        <f t="shared" si="133"/>
        <v>0</v>
      </c>
      <c r="AH57" s="71">
        <f>(5)/165</f>
        <v>3.0303030303030304E-2</v>
      </c>
      <c r="AI57" s="10">
        <f t="shared" si="130"/>
        <v>0</v>
      </c>
      <c r="AJ57" s="10">
        <f>(20)/165</f>
        <v>0.12121212121212122</v>
      </c>
      <c r="AK57" s="10">
        <f t="shared" si="130"/>
        <v>0</v>
      </c>
      <c r="AL57" s="10">
        <f t="shared" si="130"/>
        <v>0</v>
      </c>
      <c r="AM57" s="10">
        <f>(10)/165</f>
        <v>6.0606060606060608E-2</v>
      </c>
      <c r="AN57" s="71">
        <f t="shared" si="105"/>
        <v>0</v>
      </c>
      <c r="AO57" s="10">
        <f t="shared" si="105"/>
        <v>0</v>
      </c>
      <c r="AP57" s="10">
        <f t="shared" si="105"/>
        <v>0</v>
      </c>
      <c r="AQ57" s="10">
        <f t="shared" si="105"/>
        <v>0</v>
      </c>
      <c r="AR57" s="10">
        <f t="shared" si="105"/>
        <v>0</v>
      </c>
      <c r="AS57" s="10">
        <f t="shared" si="105"/>
        <v>0</v>
      </c>
      <c r="AT57" s="189">
        <f t="shared" si="90"/>
        <v>0</v>
      </c>
      <c r="AU57" s="10">
        <f t="shared" si="90"/>
        <v>0</v>
      </c>
      <c r="AV57" s="10">
        <f t="shared" si="90"/>
        <v>0</v>
      </c>
      <c r="AW57" s="10">
        <f t="shared" si="90"/>
        <v>0</v>
      </c>
      <c r="AX57" s="10">
        <f t="shared" si="90"/>
        <v>0</v>
      </c>
      <c r="AY57" s="17">
        <f t="shared" si="90"/>
        <v>0</v>
      </c>
      <c r="AZ57" s="19">
        <f t="shared" si="116"/>
        <v>0</v>
      </c>
      <c r="BA57" s="10">
        <f t="shared" si="116"/>
        <v>0</v>
      </c>
      <c r="BB57" s="10">
        <f t="shared" si="116"/>
        <v>0</v>
      </c>
      <c r="BC57" s="10">
        <f t="shared" si="116"/>
        <v>0</v>
      </c>
      <c r="BD57" s="10">
        <f t="shared" si="116"/>
        <v>0</v>
      </c>
      <c r="BE57" s="10">
        <f t="shared" si="116"/>
        <v>0</v>
      </c>
      <c r="BF57" s="10">
        <f t="shared" si="116"/>
        <v>0</v>
      </c>
      <c r="BG57" s="19">
        <f t="shared" ref="BG57:BK66" si="145">0/142.5</f>
        <v>0</v>
      </c>
      <c r="BH57" s="10">
        <f t="shared" si="145"/>
        <v>0</v>
      </c>
      <c r="BI57" s="10">
        <f t="shared" si="145"/>
        <v>0</v>
      </c>
      <c r="BJ57" s="10">
        <f t="shared" si="145"/>
        <v>0</v>
      </c>
      <c r="BK57" s="10">
        <f t="shared" si="145"/>
        <v>0</v>
      </c>
      <c r="BL57" s="10">
        <f t="shared" si="137"/>
        <v>0</v>
      </c>
      <c r="BM57" s="10">
        <f t="shared" si="137"/>
        <v>0</v>
      </c>
      <c r="BN57" s="17">
        <f t="shared" si="137"/>
        <v>0</v>
      </c>
      <c r="BO57" s="19">
        <f t="shared" si="128"/>
        <v>0</v>
      </c>
      <c r="BP57" s="10">
        <f t="shared" si="128"/>
        <v>0</v>
      </c>
      <c r="BQ57" s="10">
        <f t="shared" si="128"/>
        <v>0</v>
      </c>
      <c r="BR57" s="10">
        <f t="shared" si="128"/>
        <v>0</v>
      </c>
      <c r="BS57" s="10">
        <f t="shared" si="128"/>
        <v>0</v>
      </c>
      <c r="BT57" s="10">
        <f t="shared" si="138"/>
        <v>0</v>
      </c>
      <c r="BU57" s="10">
        <f t="shared" si="138"/>
        <v>0</v>
      </c>
      <c r="BV57" s="17">
        <f t="shared" si="138"/>
        <v>0</v>
      </c>
      <c r="BW57" s="71">
        <f t="shared" si="109"/>
        <v>0</v>
      </c>
      <c r="BX57" s="10">
        <f t="shared" si="109"/>
        <v>0</v>
      </c>
      <c r="BY57" s="10">
        <f t="shared" si="109"/>
        <v>0</v>
      </c>
      <c r="BZ57" s="10">
        <f t="shared" si="109"/>
        <v>0</v>
      </c>
      <c r="CA57" s="10">
        <f t="shared" si="109"/>
        <v>0</v>
      </c>
      <c r="CB57" s="10">
        <f t="shared" si="139"/>
        <v>0</v>
      </c>
      <c r="CC57" s="10">
        <f t="shared" si="139"/>
        <v>0</v>
      </c>
      <c r="CD57" s="17">
        <f t="shared" si="139"/>
        <v>0</v>
      </c>
      <c r="CE57" s="19">
        <f t="shared" ref="CE57:CI66" si="146">0/157.5</f>
        <v>0</v>
      </c>
      <c r="CF57" s="10">
        <f t="shared" si="146"/>
        <v>0</v>
      </c>
      <c r="CG57" s="10">
        <f t="shared" si="146"/>
        <v>0</v>
      </c>
      <c r="CH57" s="10">
        <f t="shared" si="146"/>
        <v>0</v>
      </c>
      <c r="CI57" s="10">
        <f t="shared" si="146"/>
        <v>0</v>
      </c>
      <c r="CJ57" s="10">
        <f t="shared" si="140"/>
        <v>0</v>
      </c>
      <c r="CK57" s="10">
        <f t="shared" si="140"/>
        <v>0</v>
      </c>
      <c r="CL57" s="17">
        <f t="shared" si="140"/>
        <v>0</v>
      </c>
      <c r="CM57" s="19">
        <f t="shared" ref="CM57:CQ66" si="147">0/142.5</f>
        <v>0</v>
      </c>
      <c r="CN57" s="10">
        <f t="shared" si="147"/>
        <v>0</v>
      </c>
      <c r="CO57" s="10">
        <f t="shared" si="147"/>
        <v>0</v>
      </c>
      <c r="CP57" s="10">
        <f t="shared" si="147"/>
        <v>0</v>
      </c>
      <c r="CQ57" s="10">
        <f t="shared" si="147"/>
        <v>0</v>
      </c>
      <c r="CR57" s="10">
        <f t="shared" si="141"/>
        <v>0</v>
      </c>
      <c r="CS57" s="10">
        <f t="shared" si="141"/>
        <v>0</v>
      </c>
      <c r="CT57" s="17">
        <f t="shared" si="141"/>
        <v>0</v>
      </c>
      <c r="CU57" s="235"/>
    </row>
    <row r="58" spans="1:99" ht="26.25" hidden="1" customHeight="1" outlineLevel="1" x14ac:dyDescent="0.4">
      <c r="A58" s="351"/>
      <c r="B58" s="351"/>
      <c r="C58" s="351"/>
      <c r="D58" s="353"/>
      <c r="E58" s="353"/>
      <c r="F58" s="353"/>
      <c r="G58" s="375"/>
      <c r="H58" s="447"/>
      <c r="I58" s="447"/>
      <c r="J58" s="449"/>
      <c r="K58" s="453"/>
      <c r="L58" s="453"/>
      <c r="M58" s="451"/>
      <c r="N58" s="38" t="s">
        <v>25</v>
      </c>
      <c r="O58" s="11">
        <f t="shared" si="134"/>
        <v>0</v>
      </c>
      <c r="P58" s="11">
        <f t="shared" si="134"/>
        <v>0</v>
      </c>
      <c r="Q58" s="11">
        <f t="shared" si="134"/>
        <v>0</v>
      </c>
      <c r="R58" s="11">
        <f t="shared" si="134"/>
        <v>0</v>
      </c>
      <c r="S58" s="11">
        <f t="shared" si="134"/>
        <v>0</v>
      </c>
      <c r="T58" s="11">
        <f t="shared" si="134"/>
        <v>0</v>
      </c>
      <c r="U58" s="48">
        <f t="shared" si="134"/>
        <v>0</v>
      </c>
      <c r="V58" s="56">
        <f t="shared" si="144"/>
        <v>0</v>
      </c>
      <c r="W58" s="18">
        <f t="shared" si="144"/>
        <v>0</v>
      </c>
      <c r="X58" s="18">
        <f t="shared" si="144"/>
        <v>0</v>
      </c>
      <c r="Y58" s="18">
        <f t="shared" si="144"/>
        <v>0</v>
      </c>
      <c r="Z58" s="18">
        <f t="shared" si="144"/>
        <v>0</v>
      </c>
      <c r="AA58" s="18">
        <f t="shared" ref="AA58:AA80" si="148">0/165</f>
        <v>0</v>
      </c>
      <c r="AB58" s="41">
        <f t="shared" si="133"/>
        <v>0</v>
      </c>
      <c r="AC58" s="51">
        <f t="shared" si="133"/>
        <v>0</v>
      </c>
      <c r="AD58" s="11">
        <f t="shared" si="133"/>
        <v>0</v>
      </c>
      <c r="AE58" s="11">
        <f t="shared" si="133"/>
        <v>0</v>
      </c>
      <c r="AF58" s="11">
        <f t="shared" si="133"/>
        <v>0</v>
      </c>
      <c r="AG58" s="18">
        <f t="shared" si="133"/>
        <v>0</v>
      </c>
      <c r="AH58" s="56">
        <f>(1+1)/165</f>
        <v>1.2121212121212121E-2</v>
      </c>
      <c r="AI58" s="11">
        <f t="shared" si="127"/>
        <v>0</v>
      </c>
      <c r="AJ58" s="11">
        <f>(13+9.5)/165</f>
        <v>0.13636363636363635</v>
      </c>
      <c r="AK58" s="11">
        <f t="shared" si="127"/>
        <v>0</v>
      </c>
      <c r="AL58" s="11">
        <f t="shared" si="127"/>
        <v>0</v>
      </c>
      <c r="AM58" s="11">
        <f>(7+2)/165</f>
        <v>5.4545454545454543E-2</v>
      </c>
      <c r="AN58" s="56">
        <f t="shared" si="105"/>
        <v>0</v>
      </c>
      <c r="AO58" s="11">
        <f t="shared" si="105"/>
        <v>0</v>
      </c>
      <c r="AP58" s="11">
        <f t="shared" si="105"/>
        <v>0</v>
      </c>
      <c r="AQ58" s="11">
        <f t="shared" si="105"/>
        <v>0</v>
      </c>
      <c r="AR58" s="11">
        <f t="shared" si="105"/>
        <v>0</v>
      </c>
      <c r="AS58" s="11">
        <f t="shared" si="105"/>
        <v>0</v>
      </c>
      <c r="AT58" s="61">
        <f t="shared" si="90"/>
        <v>0</v>
      </c>
      <c r="AU58" s="58">
        <f t="shared" si="90"/>
        <v>0</v>
      </c>
      <c r="AV58" s="58">
        <f t="shared" si="90"/>
        <v>0</v>
      </c>
      <c r="AW58" s="58">
        <f t="shared" si="90"/>
        <v>0</v>
      </c>
      <c r="AX58" s="58">
        <f t="shared" si="90"/>
        <v>0</v>
      </c>
      <c r="AY58" s="62">
        <f t="shared" si="90"/>
        <v>0</v>
      </c>
      <c r="AZ58" s="61">
        <f t="shared" si="116"/>
        <v>0</v>
      </c>
      <c r="BA58" s="58">
        <f t="shared" si="116"/>
        <v>0</v>
      </c>
      <c r="BB58" s="58">
        <f t="shared" si="116"/>
        <v>0</v>
      </c>
      <c r="BC58" s="58">
        <f t="shared" si="116"/>
        <v>0</v>
      </c>
      <c r="BD58" s="58">
        <f t="shared" si="116"/>
        <v>0</v>
      </c>
      <c r="BE58" s="58">
        <f t="shared" si="116"/>
        <v>0</v>
      </c>
      <c r="BF58" s="58">
        <f t="shared" si="116"/>
        <v>0</v>
      </c>
      <c r="BG58" s="61">
        <f t="shared" si="145"/>
        <v>0</v>
      </c>
      <c r="BH58" s="58">
        <f t="shared" si="145"/>
        <v>0</v>
      </c>
      <c r="BI58" s="58">
        <f t="shared" si="145"/>
        <v>0</v>
      </c>
      <c r="BJ58" s="58">
        <f t="shared" si="145"/>
        <v>0</v>
      </c>
      <c r="BK58" s="58">
        <f t="shared" si="145"/>
        <v>0</v>
      </c>
      <c r="BL58" s="58">
        <f t="shared" si="137"/>
        <v>0</v>
      </c>
      <c r="BM58" s="58">
        <f t="shared" si="137"/>
        <v>0</v>
      </c>
      <c r="BN58" s="62">
        <f t="shared" si="137"/>
        <v>0</v>
      </c>
      <c r="BO58" s="61">
        <f t="shared" si="128"/>
        <v>0</v>
      </c>
      <c r="BP58" s="58">
        <f t="shared" si="128"/>
        <v>0</v>
      </c>
      <c r="BQ58" s="58">
        <f t="shared" si="128"/>
        <v>0</v>
      </c>
      <c r="BR58" s="58">
        <f t="shared" si="128"/>
        <v>0</v>
      </c>
      <c r="BS58" s="58">
        <f t="shared" si="128"/>
        <v>0</v>
      </c>
      <c r="BT58" s="58">
        <f t="shared" si="138"/>
        <v>0</v>
      </c>
      <c r="BU58" s="58">
        <f t="shared" si="138"/>
        <v>0</v>
      </c>
      <c r="BV58" s="62">
        <f t="shared" si="138"/>
        <v>0</v>
      </c>
      <c r="BW58" s="61">
        <f t="shared" si="109"/>
        <v>0</v>
      </c>
      <c r="BX58" s="58">
        <f t="shared" si="109"/>
        <v>0</v>
      </c>
      <c r="BY58" s="58">
        <f t="shared" si="109"/>
        <v>0</v>
      </c>
      <c r="BZ58" s="58">
        <f t="shared" si="109"/>
        <v>0</v>
      </c>
      <c r="CA58" s="58">
        <f t="shared" si="109"/>
        <v>0</v>
      </c>
      <c r="CB58" s="58">
        <f t="shared" si="139"/>
        <v>0</v>
      </c>
      <c r="CC58" s="58">
        <f t="shared" si="139"/>
        <v>0</v>
      </c>
      <c r="CD58" s="62">
        <f t="shared" si="139"/>
        <v>0</v>
      </c>
      <c r="CE58" s="61">
        <f t="shared" si="146"/>
        <v>0</v>
      </c>
      <c r="CF58" s="58">
        <f t="shared" si="146"/>
        <v>0</v>
      </c>
      <c r="CG58" s="58">
        <f t="shared" si="146"/>
        <v>0</v>
      </c>
      <c r="CH58" s="58">
        <f t="shared" si="146"/>
        <v>0</v>
      </c>
      <c r="CI58" s="58">
        <f t="shared" si="146"/>
        <v>0</v>
      </c>
      <c r="CJ58" s="58">
        <f t="shared" si="140"/>
        <v>0</v>
      </c>
      <c r="CK58" s="58">
        <f t="shared" si="140"/>
        <v>0</v>
      </c>
      <c r="CL58" s="62">
        <f t="shared" si="140"/>
        <v>0</v>
      </c>
      <c r="CM58" s="61">
        <f t="shared" si="147"/>
        <v>0</v>
      </c>
      <c r="CN58" s="58">
        <f t="shared" si="147"/>
        <v>0</v>
      </c>
      <c r="CO58" s="58">
        <f t="shared" si="147"/>
        <v>0</v>
      </c>
      <c r="CP58" s="58">
        <f t="shared" si="147"/>
        <v>0</v>
      </c>
      <c r="CQ58" s="58">
        <f t="shared" si="147"/>
        <v>0</v>
      </c>
      <c r="CR58" s="58">
        <f t="shared" si="141"/>
        <v>0</v>
      </c>
      <c r="CS58" s="58">
        <f t="shared" si="141"/>
        <v>0</v>
      </c>
      <c r="CT58" s="62">
        <f t="shared" si="141"/>
        <v>0</v>
      </c>
      <c r="CU58" s="235"/>
    </row>
    <row r="59" spans="1:99" ht="26.25" hidden="1" customHeight="1" outlineLevel="1" x14ac:dyDescent="0.4">
      <c r="A59" s="350">
        <v>27</v>
      </c>
      <c r="B59" s="350" t="s">
        <v>47</v>
      </c>
      <c r="C59" s="350" t="s">
        <v>14</v>
      </c>
      <c r="D59" s="352" t="s">
        <v>476</v>
      </c>
      <c r="E59" s="352" t="s">
        <v>656</v>
      </c>
      <c r="F59" s="352"/>
      <c r="G59" s="375" t="s">
        <v>657</v>
      </c>
      <c r="H59" s="446">
        <f t="shared" ref="H59:H90" si="149">SUM(AZ59:BF59)</f>
        <v>0</v>
      </c>
      <c r="I59" s="446">
        <f t="shared" ref="I59:I90" si="150">SUM(AZ60:BF60)</f>
        <v>0</v>
      </c>
      <c r="J59" s="448"/>
      <c r="K59" s="452"/>
      <c r="L59" s="452"/>
      <c r="M59" s="450"/>
      <c r="N59" s="47" t="s">
        <v>24</v>
      </c>
      <c r="O59" s="10">
        <f t="shared" si="134"/>
        <v>0</v>
      </c>
      <c r="P59" s="10">
        <f t="shared" si="134"/>
        <v>0</v>
      </c>
      <c r="Q59" s="10">
        <f t="shared" si="134"/>
        <v>0</v>
      </c>
      <c r="R59" s="10">
        <f t="shared" si="134"/>
        <v>0</v>
      </c>
      <c r="S59" s="10">
        <f t="shared" si="134"/>
        <v>0</v>
      </c>
      <c r="T59" s="10">
        <f t="shared" si="134"/>
        <v>0</v>
      </c>
      <c r="U59" s="79">
        <f t="shared" si="134"/>
        <v>0</v>
      </c>
      <c r="V59" s="19">
        <f t="shared" si="144"/>
        <v>0</v>
      </c>
      <c r="W59" s="10">
        <f t="shared" si="144"/>
        <v>0</v>
      </c>
      <c r="X59" s="10">
        <f t="shared" si="144"/>
        <v>0</v>
      </c>
      <c r="Y59" s="10">
        <f t="shared" si="144"/>
        <v>0</v>
      </c>
      <c r="Z59" s="10">
        <f t="shared" si="144"/>
        <v>0</v>
      </c>
      <c r="AA59" s="10">
        <f t="shared" si="148"/>
        <v>0</v>
      </c>
      <c r="AB59" s="19">
        <f t="shared" si="133"/>
        <v>0</v>
      </c>
      <c r="AC59" s="10">
        <f t="shared" si="133"/>
        <v>0</v>
      </c>
      <c r="AD59" s="210">
        <f t="shared" si="133"/>
        <v>0</v>
      </c>
      <c r="AE59" s="10">
        <f t="shared" si="133"/>
        <v>0</v>
      </c>
      <c r="AF59" s="10">
        <f t="shared" si="133"/>
        <v>0</v>
      </c>
      <c r="AG59" s="10">
        <f t="shared" si="133"/>
        <v>0</v>
      </c>
      <c r="AH59" s="71">
        <f>(3)/165</f>
        <v>1.8181818181818181E-2</v>
      </c>
      <c r="AI59" s="10">
        <f t="shared" si="130"/>
        <v>0</v>
      </c>
      <c r="AJ59" s="10">
        <f>(12)/165</f>
        <v>7.2727272727272724E-2</v>
      </c>
      <c r="AK59" s="10">
        <f t="shared" si="130"/>
        <v>0</v>
      </c>
      <c r="AL59" s="10">
        <f t="shared" si="130"/>
        <v>0</v>
      </c>
      <c r="AM59" s="10">
        <f>(8)/165</f>
        <v>4.8484848484848485E-2</v>
      </c>
      <c r="AN59" s="71">
        <f t="shared" si="105"/>
        <v>0</v>
      </c>
      <c r="AO59" s="10">
        <f t="shared" si="105"/>
        <v>0</v>
      </c>
      <c r="AP59" s="10">
        <f t="shared" si="105"/>
        <v>0</v>
      </c>
      <c r="AQ59" s="10">
        <f t="shared" si="105"/>
        <v>0</v>
      </c>
      <c r="AR59" s="10">
        <f t="shared" si="105"/>
        <v>0</v>
      </c>
      <c r="AS59" s="10">
        <f t="shared" si="105"/>
        <v>0</v>
      </c>
      <c r="AT59" s="189">
        <f t="shared" si="90"/>
        <v>0</v>
      </c>
      <c r="AU59" s="10">
        <f t="shared" si="90"/>
        <v>0</v>
      </c>
      <c r="AV59" s="10">
        <f t="shared" si="90"/>
        <v>0</v>
      </c>
      <c r="AW59" s="10">
        <f t="shared" si="90"/>
        <v>0</v>
      </c>
      <c r="AX59" s="10">
        <f t="shared" si="90"/>
        <v>0</v>
      </c>
      <c r="AY59" s="17">
        <f t="shared" si="90"/>
        <v>0</v>
      </c>
      <c r="AZ59" s="19">
        <f t="shared" si="116"/>
        <v>0</v>
      </c>
      <c r="BA59" s="10">
        <f t="shared" si="116"/>
        <v>0</v>
      </c>
      <c r="BB59" s="10">
        <f t="shared" si="116"/>
        <v>0</v>
      </c>
      <c r="BC59" s="10">
        <f t="shared" si="116"/>
        <v>0</v>
      </c>
      <c r="BD59" s="10">
        <f t="shared" si="116"/>
        <v>0</v>
      </c>
      <c r="BE59" s="10">
        <f t="shared" si="116"/>
        <v>0</v>
      </c>
      <c r="BF59" s="10">
        <f t="shared" si="116"/>
        <v>0</v>
      </c>
      <c r="BG59" s="19">
        <f t="shared" si="145"/>
        <v>0</v>
      </c>
      <c r="BH59" s="10">
        <f t="shared" si="145"/>
        <v>0</v>
      </c>
      <c r="BI59" s="10">
        <f t="shared" si="145"/>
        <v>0</v>
      </c>
      <c r="BJ59" s="10">
        <f t="shared" si="145"/>
        <v>0</v>
      </c>
      <c r="BK59" s="10">
        <f t="shared" si="145"/>
        <v>0</v>
      </c>
      <c r="BL59" s="10">
        <f t="shared" si="137"/>
        <v>0</v>
      </c>
      <c r="BM59" s="10">
        <f t="shared" si="137"/>
        <v>0</v>
      </c>
      <c r="BN59" s="17">
        <f t="shared" si="137"/>
        <v>0</v>
      </c>
      <c r="BO59" s="19">
        <f t="shared" ref="BO59:BS68" si="151">0/157.5</f>
        <v>0</v>
      </c>
      <c r="BP59" s="10">
        <f t="shared" si="151"/>
        <v>0</v>
      </c>
      <c r="BQ59" s="10">
        <f t="shared" si="151"/>
        <v>0</v>
      </c>
      <c r="BR59" s="10">
        <f t="shared" si="151"/>
        <v>0</v>
      </c>
      <c r="BS59" s="10">
        <f t="shared" si="151"/>
        <v>0</v>
      </c>
      <c r="BT59" s="10">
        <f t="shared" si="138"/>
        <v>0</v>
      </c>
      <c r="BU59" s="10">
        <f t="shared" si="138"/>
        <v>0</v>
      </c>
      <c r="BV59" s="17">
        <f t="shared" si="138"/>
        <v>0</v>
      </c>
      <c r="BW59" s="71">
        <f t="shared" si="109"/>
        <v>0</v>
      </c>
      <c r="BX59" s="10">
        <f t="shared" si="109"/>
        <v>0</v>
      </c>
      <c r="BY59" s="10">
        <f t="shared" si="109"/>
        <v>0</v>
      </c>
      <c r="BZ59" s="10">
        <f t="shared" si="109"/>
        <v>0</v>
      </c>
      <c r="CA59" s="10">
        <f t="shared" si="109"/>
        <v>0</v>
      </c>
      <c r="CB59" s="10">
        <f t="shared" si="139"/>
        <v>0</v>
      </c>
      <c r="CC59" s="10">
        <f t="shared" si="139"/>
        <v>0</v>
      </c>
      <c r="CD59" s="17">
        <f t="shared" si="139"/>
        <v>0</v>
      </c>
      <c r="CE59" s="19">
        <f t="shared" si="146"/>
        <v>0</v>
      </c>
      <c r="CF59" s="10">
        <f t="shared" si="146"/>
        <v>0</v>
      </c>
      <c r="CG59" s="10">
        <f t="shared" si="146"/>
        <v>0</v>
      </c>
      <c r="CH59" s="10">
        <f t="shared" si="146"/>
        <v>0</v>
      </c>
      <c r="CI59" s="10">
        <f t="shared" si="146"/>
        <v>0</v>
      </c>
      <c r="CJ59" s="10">
        <f t="shared" si="140"/>
        <v>0</v>
      </c>
      <c r="CK59" s="10">
        <f t="shared" si="140"/>
        <v>0</v>
      </c>
      <c r="CL59" s="17">
        <f t="shared" si="140"/>
        <v>0</v>
      </c>
      <c r="CM59" s="19">
        <f t="shared" si="147"/>
        <v>0</v>
      </c>
      <c r="CN59" s="10">
        <f t="shared" si="147"/>
        <v>0</v>
      </c>
      <c r="CO59" s="10">
        <f t="shared" si="147"/>
        <v>0</v>
      </c>
      <c r="CP59" s="10">
        <f t="shared" si="147"/>
        <v>0</v>
      </c>
      <c r="CQ59" s="10">
        <f t="shared" si="147"/>
        <v>0</v>
      </c>
      <c r="CR59" s="10">
        <f t="shared" si="141"/>
        <v>0</v>
      </c>
      <c r="CS59" s="10">
        <f t="shared" si="141"/>
        <v>0</v>
      </c>
      <c r="CT59" s="17">
        <f t="shared" si="141"/>
        <v>0</v>
      </c>
      <c r="CU59" s="235"/>
    </row>
    <row r="60" spans="1:99" ht="26.25" hidden="1" customHeight="1" outlineLevel="1" x14ac:dyDescent="0.4">
      <c r="A60" s="351"/>
      <c r="B60" s="351"/>
      <c r="C60" s="351"/>
      <c r="D60" s="353"/>
      <c r="E60" s="353"/>
      <c r="F60" s="353"/>
      <c r="G60" s="375"/>
      <c r="H60" s="447"/>
      <c r="I60" s="447"/>
      <c r="J60" s="449"/>
      <c r="K60" s="453"/>
      <c r="L60" s="453"/>
      <c r="M60" s="451"/>
      <c r="N60" s="38" t="s">
        <v>25</v>
      </c>
      <c r="O60" s="11">
        <f t="shared" si="134"/>
        <v>0</v>
      </c>
      <c r="P60" s="11">
        <f t="shared" si="134"/>
        <v>0</v>
      </c>
      <c r="Q60" s="11">
        <f t="shared" si="134"/>
        <v>0</v>
      </c>
      <c r="R60" s="11">
        <f t="shared" si="134"/>
        <v>0</v>
      </c>
      <c r="S60" s="11">
        <f t="shared" si="134"/>
        <v>0</v>
      </c>
      <c r="T60" s="11">
        <f t="shared" si="134"/>
        <v>0</v>
      </c>
      <c r="U60" s="48">
        <f t="shared" si="134"/>
        <v>0</v>
      </c>
      <c r="V60" s="56">
        <f t="shared" si="144"/>
        <v>0</v>
      </c>
      <c r="W60" s="18">
        <f t="shared" si="144"/>
        <v>0</v>
      </c>
      <c r="X60" s="18">
        <f t="shared" si="144"/>
        <v>0</v>
      </c>
      <c r="Y60" s="18">
        <f t="shared" si="144"/>
        <v>0</v>
      </c>
      <c r="Z60" s="18">
        <f t="shared" si="144"/>
        <v>0</v>
      </c>
      <c r="AA60" s="18">
        <f t="shared" si="148"/>
        <v>0</v>
      </c>
      <c r="AB60" s="41">
        <f t="shared" si="133"/>
        <v>0</v>
      </c>
      <c r="AC60" s="51">
        <f t="shared" si="133"/>
        <v>0</v>
      </c>
      <c r="AD60" s="11">
        <f t="shared" si="133"/>
        <v>0</v>
      </c>
      <c r="AE60" s="11">
        <f t="shared" si="133"/>
        <v>0</v>
      </c>
      <c r="AF60" s="11">
        <f t="shared" si="133"/>
        <v>0</v>
      </c>
      <c r="AG60" s="18">
        <f t="shared" si="133"/>
        <v>0</v>
      </c>
      <c r="AH60" s="56">
        <f>(1+0.5)/165</f>
        <v>9.0909090909090905E-3</v>
      </c>
      <c r="AI60" s="11">
        <f>(1.5)/165</f>
        <v>9.0909090909090905E-3</v>
      </c>
      <c r="AJ60" s="11">
        <f>(11.5)/165</f>
        <v>6.9696969696969702E-2</v>
      </c>
      <c r="AK60" s="11">
        <f t="shared" si="127"/>
        <v>0</v>
      </c>
      <c r="AL60" s="11">
        <f t="shared" si="127"/>
        <v>0</v>
      </c>
      <c r="AM60" s="11">
        <f>(7)/165</f>
        <v>4.2424242424242427E-2</v>
      </c>
      <c r="AN60" s="56">
        <f t="shared" si="105"/>
        <v>0</v>
      </c>
      <c r="AO60" s="11">
        <f t="shared" si="105"/>
        <v>0</v>
      </c>
      <c r="AP60" s="11">
        <f t="shared" si="105"/>
        <v>0</v>
      </c>
      <c r="AQ60" s="11">
        <f t="shared" si="105"/>
        <v>0</v>
      </c>
      <c r="AR60" s="11">
        <f t="shared" si="105"/>
        <v>0</v>
      </c>
      <c r="AS60" s="11">
        <f t="shared" si="105"/>
        <v>0</v>
      </c>
      <c r="AT60" s="61">
        <f t="shared" si="90"/>
        <v>0</v>
      </c>
      <c r="AU60" s="58">
        <f t="shared" si="90"/>
        <v>0</v>
      </c>
      <c r="AV60" s="58">
        <f t="shared" si="90"/>
        <v>0</v>
      </c>
      <c r="AW60" s="58">
        <f t="shared" si="90"/>
        <v>0</v>
      </c>
      <c r="AX60" s="58">
        <f t="shared" si="90"/>
        <v>0</v>
      </c>
      <c r="AY60" s="62">
        <f t="shared" si="90"/>
        <v>0</v>
      </c>
      <c r="AZ60" s="61">
        <f t="shared" si="116"/>
        <v>0</v>
      </c>
      <c r="BA60" s="58">
        <f t="shared" si="116"/>
        <v>0</v>
      </c>
      <c r="BB60" s="58">
        <f t="shared" si="116"/>
        <v>0</v>
      </c>
      <c r="BC60" s="58">
        <f t="shared" si="116"/>
        <v>0</v>
      </c>
      <c r="BD60" s="58">
        <f t="shared" si="116"/>
        <v>0</v>
      </c>
      <c r="BE60" s="58">
        <f t="shared" si="116"/>
        <v>0</v>
      </c>
      <c r="BF60" s="58">
        <f t="shared" si="116"/>
        <v>0</v>
      </c>
      <c r="BG60" s="61">
        <f t="shared" si="145"/>
        <v>0</v>
      </c>
      <c r="BH60" s="58">
        <f t="shared" si="145"/>
        <v>0</v>
      </c>
      <c r="BI60" s="58">
        <f t="shared" si="145"/>
        <v>0</v>
      </c>
      <c r="BJ60" s="58">
        <f t="shared" si="145"/>
        <v>0</v>
      </c>
      <c r="BK60" s="58">
        <f t="shared" si="145"/>
        <v>0</v>
      </c>
      <c r="BL60" s="58">
        <f t="shared" si="137"/>
        <v>0</v>
      </c>
      <c r="BM60" s="58">
        <f t="shared" si="137"/>
        <v>0</v>
      </c>
      <c r="BN60" s="62">
        <f t="shared" si="137"/>
        <v>0</v>
      </c>
      <c r="BO60" s="61">
        <f t="shared" si="151"/>
        <v>0</v>
      </c>
      <c r="BP60" s="58">
        <f t="shared" si="151"/>
        <v>0</v>
      </c>
      <c r="BQ60" s="58">
        <f t="shared" si="151"/>
        <v>0</v>
      </c>
      <c r="BR60" s="58">
        <f t="shared" si="151"/>
        <v>0</v>
      </c>
      <c r="BS60" s="58">
        <f t="shared" si="151"/>
        <v>0</v>
      </c>
      <c r="BT60" s="58">
        <f t="shared" si="138"/>
        <v>0</v>
      </c>
      <c r="BU60" s="58">
        <f t="shared" si="138"/>
        <v>0</v>
      </c>
      <c r="BV60" s="62">
        <f t="shared" si="138"/>
        <v>0</v>
      </c>
      <c r="BW60" s="61">
        <f t="shared" si="109"/>
        <v>0</v>
      </c>
      <c r="BX60" s="58">
        <f t="shared" si="109"/>
        <v>0</v>
      </c>
      <c r="BY60" s="58">
        <f t="shared" si="109"/>
        <v>0</v>
      </c>
      <c r="BZ60" s="58">
        <f t="shared" si="109"/>
        <v>0</v>
      </c>
      <c r="CA60" s="58">
        <f t="shared" si="109"/>
        <v>0</v>
      </c>
      <c r="CB60" s="58">
        <f t="shared" si="139"/>
        <v>0</v>
      </c>
      <c r="CC60" s="58">
        <f t="shared" si="139"/>
        <v>0</v>
      </c>
      <c r="CD60" s="62">
        <f t="shared" si="139"/>
        <v>0</v>
      </c>
      <c r="CE60" s="61">
        <f t="shared" si="146"/>
        <v>0</v>
      </c>
      <c r="CF60" s="58">
        <f t="shared" si="146"/>
        <v>0</v>
      </c>
      <c r="CG60" s="58">
        <f t="shared" si="146"/>
        <v>0</v>
      </c>
      <c r="CH60" s="58">
        <f t="shared" si="146"/>
        <v>0</v>
      </c>
      <c r="CI60" s="58">
        <f t="shared" si="146"/>
        <v>0</v>
      </c>
      <c r="CJ60" s="58">
        <f t="shared" si="140"/>
        <v>0</v>
      </c>
      <c r="CK60" s="58">
        <f t="shared" si="140"/>
        <v>0</v>
      </c>
      <c r="CL60" s="62">
        <f t="shared" si="140"/>
        <v>0</v>
      </c>
      <c r="CM60" s="61">
        <f t="shared" si="147"/>
        <v>0</v>
      </c>
      <c r="CN60" s="58">
        <f t="shared" si="147"/>
        <v>0</v>
      </c>
      <c r="CO60" s="58">
        <f t="shared" si="147"/>
        <v>0</v>
      </c>
      <c r="CP60" s="58">
        <f t="shared" si="147"/>
        <v>0</v>
      </c>
      <c r="CQ60" s="58">
        <f t="shared" si="147"/>
        <v>0</v>
      </c>
      <c r="CR60" s="58">
        <f t="shared" si="141"/>
        <v>0</v>
      </c>
      <c r="CS60" s="58">
        <f t="shared" si="141"/>
        <v>0</v>
      </c>
      <c r="CT60" s="62">
        <f t="shared" si="141"/>
        <v>0</v>
      </c>
      <c r="CU60" s="235"/>
    </row>
    <row r="61" spans="1:99" ht="26.25" hidden="1" customHeight="1" outlineLevel="1" collapsed="1" x14ac:dyDescent="0.4">
      <c r="A61" s="350">
        <v>28</v>
      </c>
      <c r="B61" s="350" t="s">
        <v>47</v>
      </c>
      <c r="C61" s="350" t="s">
        <v>14</v>
      </c>
      <c r="D61" s="352" t="s">
        <v>658</v>
      </c>
      <c r="E61" s="352" t="s">
        <v>659</v>
      </c>
      <c r="F61" s="352"/>
      <c r="G61" s="375" t="s">
        <v>660</v>
      </c>
      <c r="H61" s="446">
        <f t="shared" ref="H61:H92" si="152">SUM(AZ61:BF61)</f>
        <v>0</v>
      </c>
      <c r="I61" s="446">
        <f t="shared" ref="I61:I92" si="153">SUM(AZ62:BF62)</f>
        <v>0</v>
      </c>
      <c r="J61" s="448"/>
      <c r="K61" s="452"/>
      <c r="L61" s="452"/>
      <c r="M61" s="450"/>
      <c r="N61" s="47" t="s">
        <v>24</v>
      </c>
      <c r="O61" s="10">
        <f t="shared" si="134"/>
        <v>0</v>
      </c>
      <c r="P61" s="10">
        <f t="shared" si="134"/>
        <v>0</v>
      </c>
      <c r="Q61" s="10">
        <f t="shared" si="134"/>
        <v>0</v>
      </c>
      <c r="R61" s="10">
        <f t="shared" si="134"/>
        <v>0</v>
      </c>
      <c r="S61" s="10">
        <f t="shared" si="134"/>
        <v>0</v>
      </c>
      <c r="T61" s="10">
        <f t="shared" si="134"/>
        <v>0</v>
      </c>
      <c r="U61" s="79">
        <f t="shared" si="134"/>
        <v>0</v>
      </c>
      <c r="V61" s="19">
        <f t="shared" si="144"/>
        <v>0</v>
      </c>
      <c r="W61" s="10">
        <f t="shared" si="144"/>
        <v>0</v>
      </c>
      <c r="X61" s="10">
        <f t="shared" si="144"/>
        <v>0</v>
      </c>
      <c r="Y61" s="10">
        <f t="shared" si="144"/>
        <v>0</v>
      </c>
      <c r="Z61" s="10">
        <f t="shared" si="144"/>
        <v>0</v>
      </c>
      <c r="AA61" s="10">
        <f t="shared" si="148"/>
        <v>0</v>
      </c>
      <c r="AB61" s="19">
        <f t="shared" si="133"/>
        <v>0</v>
      </c>
      <c r="AC61" s="10">
        <f t="shared" si="133"/>
        <v>0</v>
      </c>
      <c r="AD61" s="210">
        <f t="shared" si="133"/>
        <v>0</v>
      </c>
      <c r="AE61" s="10">
        <f t="shared" si="133"/>
        <v>0</v>
      </c>
      <c r="AF61" s="10">
        <f t="shared" si="133"/>
        <v>0</v>
      </c>
      <c r="AG61" s="10">
        <f t="shared" si="133"/>
        <v>0</v>
      </c>
      <c r="AH61" s="71">
        <f>(4)/165</f>
        <v>2.4242424242424242E-2</v>
      </c>
      <c r="AI61" s="10">
        <f>(16)/165</f>
        <v>9.696969696969697E-2</v>
      </c>
      <c r="AJ61" s="10">
        <f t="shared" si="130"/>
        <v>0</v>
      </c>
      <c r="AK61" s="10">
        <f t="shared" si="130"/>
        <v>0</v>
      </c>
      <c r="AL61" s="10">
        <f t="shared" si="130"/>
        <v>0</v>
      </c>
      <c r="AM61" s="10">
        <f t="shared" si="130"/>
        <v>0</v>
      </c>
      <c r="AN61" s="71">
        <f t="shared" si="105"/>
        <v>0</v>
      </c>
      <c r="AO61" s="10">
        <f t="shared" si="105"/>
        <v>0</v>
      </c>
      <c r="AP61" s="10">
        <f t="shared" si="105"/>
        <v>0</v>
      </c>
      <c r="AQ61" s="10">
        <f t="shared" si="105"/>
        <v>0</v>
      </c>
      <c r="AR61" s="10">
        <f t="shared" si="105"/>
        <v>0</v>
      </c>
      <c r="AS61" s="10">
        <f t="shared" si="105"/>
        <v>0</v>
      </c>
      <c r="AT61" s="189">
        <f t="shared" si="90"/>
        <v>0</v>
      </c>
      <c r="AU61" s="10">
        <f t="shared" si="90"/>
        <v>0</v>
      </c>
      <c r="AV61" s="10">
        <f t="shared" si="90"/>
        <v>0</v>
      </c>
      <c r="AW61" s="10">
        <f t="shared" si="90"/>
        <v>0</v>
      </c>
      <c r="AX61" s="10">
        <f t="shared" si="90"/>
        <v>0</v>
      </c>
      <c r="AY61" s="17">
        <f t="shared" si="90"/>
        <v>0</v>
      </c>
      <c r="AZ61" s="19">
        <f t="shared" si="116"/>
        <v>0</v>
      </c>
      <c r="BA61" s="10">
        <f t="shared" si="116"/>
        <v>0</v>
      </c>
      <c r="BB61" s="10">
        <f t="shared" si="116"/>
        <v>0</v>
      </c>
      <c r="BC61" s="10">
        <f t="shared" si="116"/>
        <v>0</v>
      </c>
      <c r="BD61" s="10">
        <f t="shared" si="116"/>
        <v>0</v>
      </c>
      <c r="BE61" s="10">
        <f t="shared" si="116"/>
        <v>0</v>
      </c>
      <c r="BF61" s="10">
        <f t="shared" si="116"/>
        <v>0</v>
      </c>
      <c r="BG61" s="19">
        <f t="shared" si="145"/>
        <v>0</v>
      </c>
      <c r="BH61" s="10">
        <f t="shared" si="145"/>
        <v>0</v>
      </c>
      <c r="BI61" s="10">
        <f t="shared" si="145"/>
        <v>0</v>
      </c>
      <c r="BJ61" s="10">
        <f t="shared" si="145"/>
        <v>0</v>
      </c>
      <c r="BK61" s="10">
        <f t="shared" si="145"/>
        <v>0</v>
      </c>
      <c r="BL61" s="10">
        <f t="shared" si="137"/>
        <v>0</v>
      </c>
      <c r="BM61" s="10">
        <f t="shared" si="137"/>
        <v>0</v>
      </c>
      <c r="BN61" s="17">
        <f t="shared" si="137"/>
        <v>0</v>
      </c>
      <c r="BO61" s="19">
        <f t="shared" si="151"/>
        <v>0</v>
      </c>
      <c r="BP61" s="10">
        <f t="shared" si="151"/>
        <v>0</v>
      </c>
      <c r="BQ61" s="10">
        <f t="shared" si="151"/>
        <v>0</v>
      </c>
      <c r="BR61" s="10">
        <f t="shared" si="151"/>
        <v>0</v>
      </c>
      <c r="BS61" s="10">
        <f t="shared" si="151"/>
        <v>0</v>
      </c>
      <c r="BT61" s="10">
        <f t="shared" si="138"/>
        <v>0</v>
      </c>
      <c r="BU61" s="10">
        <f t="shared" si="138"/>
        <v>0</v>
      </c>
      <c r="BV61" s="17">
        <f t="shared" si="138"/>
        <v>0</v>
      </c>
      <c r="BW61" s="71">
        <f t="shared" si="109"/>
        <v>0</v>
      </c>
      <c r="BX61" s="10">
        <f t="shared" si="109"/>
        <v>0</v>
      </c>
      <c r="BY61" s="10">
        <f t="shared" si="109"/>
        <v>0</v>
      </c>
      <c r="BZ61" s="10">
        <f t="shared" si="109"/>
        <v>0</v>
      </c>
      <c r="CA61" s="10">
        <f t="shared" si="109"/>
        <v>0</v>
      </c>
      <c r="CB61" s="10">
        <f t="shared" si="139"/>
        <v>0</v>
      </c>
      <c r="CC61" s="10">
        <f t="shared" si="139"/>
        <v>0</v>
      </c>
      <c r="CD61" s="17">
        <f t="shared" si="139"/>
        <v>0</v>
      </c>
      <c r="CE61" s="19">
        <f t="shared" si="146"/>
        <v>0</v>
      </c>
      <c r="CF61" s="10">
        <f t="shared" si="146"/>
        <v>0</v>
      </c>
      <c r="CG61" s="10">
        <f t="shared" si="146"/>
        <v>0</v>
      </c>
      <c r="CH61" s="10">
        <f t="shared" si="146"/>
        <v>0</v>
      </c>
      <c r="CI61" s="10">
        <f t="shared" si="146"/>
        <v>0</v>
      </c>
      <c r="CJ61" s="10">
        <f t="shared" si="140"/>
        <v>0</v>
      </c>
      <c r="CK61" s="10">
        <f t="shared" si="140"/>
        <v>0</v>
      </c>
      <c r="CL61" s="17">
        <f t="shared" si="140"/>
        <v>0</v>
      </c>
      <c r="CM61" s="19">
        <f t="shared" si="147"/>
        <v>0</v>
      </c>
      <c r="CN61" s="10">
        <f t="shared" si="147"/>
        <v>0</v>
      </c>
      <c r="CO61" s="10">
        <f t="shared" si="147"/>
        <v>0</v>
      </c>
      <c r="CP61" s="10">
        <f t="shared" si="147"/>
        <v>0</v>
      </c>
      <c r="CQ61" s="10">
        <f t="shared" si="147"/>
        <v>0</v>
      </c>
      <c r="CR61" s="10">
        <f t="shared" si="141"/>
        <v>0</v>
      </c>
      <c r="CS61" s="10">
        <f t="shared" si="141"/>
        <v>0</v>
      </c>
      <c r="CT61" s="17">
        <f t="shared" si="141"/>
        <v>0</v>
      </c>
      <c r="CU61" s="235"/>
    </row>
    <row r="62" spans="1:99" ht="26.25" hidden="1" customHeight="1" outlineLevel="1" x14ac:dyDescent="0.4">
      <c r="A62" s="351"/>
      <c r="B62" s="351"/>
      <c r="C62" s="351"/>
      <c r="D62" s="353"/>
      <c r="E62" s="353"/>
      <c r="F62" s="353"/>
      <c r="G62" s="375"/>
      <c r="H62" s="447"/>
      <c r="I62" s="447"/>
      <c r="J62" s="449"/>
      <c r="K62" s="453"/>
      <c r="L62" s="453"/>
      <c r="M62" s="451"/>
      <c r="N62" s="38" t="s">
        <v>25</v>
      </c>
      <c r="O62" s="11">
        <f t="shared" si="134"/>
        <v>0</v>
      </c>
      <c r="P62" s="11">
        <f t="shared" si="134"/>
        <v>0</v>
      </c>
      <c r="Q62" s="11">
        <f t="shared" si="134"/>
        <v>0</v>
      </c>
      <c r="R62" s="11">
        <f t="shared" si="134"/>
        <v>0</v>
      </c>
      <c r="S62" s="11">
        <f t="shared" si="134"/>
        <v>0</v>
      </c>
      <c r="T62" s="11">
        <f t="shared" si="134"/>
        <v>0</v>
      </c>
      <c r="U62" s="48">
        <f t="shared" si="134"/>
        <v>0</v>
      </c>
      <c r="V62" s="56">
        <f t="shared" si="144"/>
        <v>0</v>
      </c>
      <c r="W62" s="18">
        <f t="shared" si="144"/>
        <v>0</v>
      </c>
      <c r="X62" s="18">
        <f t="shared" si="144"/>
        <v>0</v>
      </c>
      <c r="Y62" s="18">
        <f t="shared" si="144"/>
        <v>0</v>
      </c>
      <c r="Z62" s="18">
        <f t="shared" si="144"/>
        <v>0</v>
      </c>
      <c r="AA62" s="18">
        <f t="shared" si="148"/>
        <v>0</v>
      </c>
      <c r="AB62" s="41">
        <f t="shared" si="133"/>
        <v>0</v>
      </c>
      <c r="AC62" s="51">
        <f t="shared" si="133"/>
        <v>0</v>
      </c>
      <c r="AD62" s="11">
        <f t="shared" si="133"/>
        <v>0</v>
      </c>
      <c r="AE62" s="11">
        <f t="shared" si="133"/>
        <v>0</v>
      </c>
      <c r="AF62" s="11">
        <f t="shared" si="133"/>
        <v>0</v>
      </c>
      <c r="AG62" s="18">
        <f t="shared" si="133"/>
        <v>0</v>
      </c>
      <c r="AH62" s="56">
        <f>(2.5+1)/165</f>
        <v>2.1212121212121213E-2</v>
      </c>
      <c r="AI62" s="11">
        <f>(8+8.5)/165</f>
        <v>0.1</v>
      </c>
      <c r="AJ62" s="11">
        <f t="shared" si="127"/>
        <v>0</v>
      </c>
      <c r="AK62" s="11">
        <f t="shared" si="127"/>
        <v>0</v>
      </c>
      <c r="AL62" s="11">
        <f t="shared" si="127"/>
        <v>0</v>
      </c>
      <c r="AM62" s="11">
        <f t="shared" si="127"/>
        <v>0</v>
      </c>
      <c r="AN62" s="56">
        <f t="shared" si="105"/>
        <v>0</v>
      </c>
      <c r="AO62" s="11">
        <f t="shared" si="105"/>
        <v>0</v>
      </c>
      <c r="AP62" s="11">
        <f t="shared" si="105"/>
        <v>0</v>
      </c>
      <c r="AQ62" s="11">
        <f t="shared" si="105"/>
        <v>0</v>
      </c>
      <c r="AR62" s="11">
        <f t="shared" si="105"/>
        <v>0</v>
      </c>
      <c r="AS62" s="11">
        <f t="shared" si="105"/>
        <v>0</v>
      </c>
      <c r="AT62" s="61">
        <f t="shared" si="90"/>
        <v>0</v>
      </c>
      <c r="AU62" s="58">
        <f t="shared" si="90"/>
        <v>0</v>
      </c>
      <c r="AV62" s="58">
        <f t="shared" si="90"/>
        <v>0</v>
      </c>
      <c r="AW62" s="58">
        <f t="shared" si="90"/>
        <v>0</v>
      </c>
      <c r="AX62" s="58">
        <f t="shared" si="90"/>
        <v>0</v>
      </c>
      <c r="AY62" s="62">
        <f t="shared" si="90"/>
        <v>0</v>
      </c>
      <c r="AZ62" s="61">
        <f t="shared" si="116"/>
        <v>0</v>
      </c>
      <c r="BA62" s="58">
        <f t="shared" si="116"/>
        <v>0</v>
      </c>
      <c r="BB62" s="58">
        <f t="shared" si="116"/>
        <v>0</v>
      </c>
      <c r="BC62" s="58">
        <f t="shared" si="116"/>
        <v>0</v>
      </c>
      <c r="BD62" s="58">
        <f t="shared" si="116"/>
        <v>0</v>
      </c>
      <c r="BE62" s="58">
        <f t="shared" si="116"/>
        <v>0</v>
      </c>
      <c r="BF62" s="58">
        <f t="shared" si="116"/>
        <v>0</v>
      </c>
      <c r="BG62" s="61">
        <f t="shared" si="145"/>
        <v>0</v>
      </c>
      <c r="BH62" s="58">
        <f t="shared" si="145"/>
        <v>0</v>
      </c>
      <c r="BI62" s="58">
        <f t="shared" si="145"/>
        <v>0</v>
      </c>
      <c r="BJ62" s="58">
        <f t="shared" si="145"/>
        <v>0</v>
      </c>
      <c r="BK62" s="58">
        <f t="shared" si="145"/>
        <v>0</v>
      </c>
      <c r="BL62" s="58">
        <f t="shared" si="137"/>
        <v>0</v>
      </c>
      <c r="BM62" s="58">
        <f t="shared" si="137"/>
        <v>0</v>
      </c>
      <c r="BN62" s="62">
        <f t="shared" si="137"/>
        <v>0</v>
      </c>
      <c r="BO62" s="61">
        <f t="shared" si="151"/>
        <v>0</v>
      </c>
      <c r="BP62" s="58">
        <f t="shared" si="151"/>
        <v>0</v>
      </c>
      <c r="BQ62" s="58">
        <f t="shared" si="151"/>
        <v>0</v>
      </c>
      <c r="BR62" s="58">
        <f t="shared" si="151"/>
        <v>0</v>
      </c>
      <c r="BS62" s="58">
        <f t="shared" si="151"/>
        <v>0</v>
      </c>
      <c r="BT62" s="58">
        <f t="shared" si="138"/>
        <v>0</v>
      </c>
      <c r="BU62" s="58">
        <f t="shared" si="138"/>
        <v>0</v>
      </c>
      <c r="BV62" s="62">
        <f t="shared" si="138"/>
        <v>0</v>
      </c>
      <c r="BW62" s="61">
        <f t="shared" si="109"/>
        <v>0</v>
      </c>
      <c r="BX62" s="58">
        <f t="shared" si="109"/>
        <v>0</v>
      </c>
      <c r="BY62" s="58">
        <f t="shared" si="109"/>
        <v>0</v>
      </c>
      <c r="BZ62" s="58">
        <f t="shared" si="109"/>
        <v>0</v>
      </c>
      <c r="CA62" s="58">
        <f t="shared" si="109"/>
        <v>0</v>
      </c>
      <c r="CB62" s="58">
        <f t="shared" si="139"/>
        <v>0</v>
      </c>
      <c r="CC62" s="58">
        <f t="shared" si="139"/>
        <v>0</v>
      </c>
      <c r="CD62" s="62">
        <f t="shared" si="139"/>
        <v>0</v>
      </c>
      <c r="CE62" s="61">
        <f t="shared" si="146"/>
        <v>0</v>
      </c>
      <c r="CF62" s="58">
        <f t="shared" si="146"/>
        <v>0</v>
      </c>
      <c r="CG62" s="58">
        <f t="shared" si="146"/>
        <v>0</v>
      </c>
      <c r="CH62" s="58">
        <f t="shared" si="146"/>
        <v>0</v>
      </c>
      <c r="CI62" s="58">
        <f t="shared" si="146"/>
        <v>0</v>
      </c>
      <c r="CJ62" s="58">
        <f t="shared" si="140"/>
        <v>0</v>
      </c>
      <c r="CK62" s="58">
        <f t="shared" si="140"/>
        <v>0</v>
      </c>
      <c r="CL62" s="62">
        <f t="shared" si="140"/>
        <v>0</v>
      </c>
      <c r="CM62" s="61">
        <f t="shared" si="147"/>
        <v>0</v>
      </c>
      <c r="CN62" s="58">
        <f t="shared" si="147"/>
        <v>0</v>
      </c>
      <c r="CO62" s="58">
        <f t="shared" si="147"/>
        <v>0</v>
      </c>
      <c r="CP62" s="58">
        <f t="shared" si="147"/>
        <v>0</v>
      </c>
      <c r="CQ62" s="58">
        <f t="shared" si="147"/>
        <v>0</v>
      </c>
      <c r="CR62" s="58">
        <f t="shared" si="141"/>
        <v>0</v>
      </c>
      <c r="CS62" s="58">
        <f t="shared" si="141"/>
        <v>0</v>
      </c>
      <c r="CT62" s="62">
        <f t="shared" si="141"/>
        <v>0</v>
      </c>
      <c r="CU62" s="235"/>
    </row>
    <row r="63" spans="1:99" ht="26.25" hidden="1" customHeight="1" outlineLevel="1" collapsed="1" x14ac:dyDescent="0.4">
      <c r="A63" s="350">
        <v>29</v>
      </c>
      <c r="B63" s="350" t="s">
        <v>47</v>
      </c>
      <c r="C63" s="350" t="s">
        <v>14</v>
      </c>
      <c r="D63" s="352" t="s">
        <v>661</v>
      </c>
      <c r="E63" s="352" t="s">
        <v>662</v>
      </c>
      <c r="F63" s="352"/>
      <c r="G63" s="375" t="s">
        <v>663</v>
      </c>
      <c r="H63" s="446">
        <f t="shared" ref="H63:H94" si="154">SUM(AZ63:BF63)</f>
        <v>0</v>
      </c>
      <c r="I63" s="446">
        <f t="shared" ref="I63:I94" si="155">SUM(AZ64:BF64)</f>
        <v>0</v>
      </c>
      <c r="J63" s="448"/>
      <c r="K63" s="452"/>
      <c r="L63" s="452"/>
      <c r="M63" s="450"/>
      <c r="N63" s="47" t="s">
        <v>24</v>
      </c>
      <c r="O63" s="10">
        <f t="shared" si="134"/>
        <v>0</v>
      </c>
      <c r="P63" s="10">
        <f t="shared" si="134"/>
        <v>0</v>
      </c>
      <c r="Q63" s="10">
        <f t="shared" si="134"/>
        <v>0</v>
      </c>
      <c r="R63" s="10">
        <f t="shared" si="134"/>
        <v>0</v>
      </c>
      <c r="S63" s="10">
        <f t="shared" si="134"/>
        <v>0</v>
      </c>
      <c r="T63" s="10">
        <f t="shared" si="134"/>
        <v>0</v>
      </c>
      <c r="U63" s="79">
        <f t="shared" si="134"/>
        <v>0</v>
      </c>
      <c r="V63" s="19">
        <f t="shared" si="144"/>
        <v>0</v>
      </c>
      <c r="W63" s="10">
        <f t="shared" si="144"/>
        <v>0</v>
      </c>
      <c r="X63" s="10">
        <f t="shared" si="144"/>
        <v>0</v>
      </c>
      <c r="Y63" s="10">
        <f t="shared" si="144"/>
        <v>0</v>
      </c>
      <c r="Z63" s="10">
        <f t="shared" si="144"/>
        <v>0</v>
      </c>
      <c r="AA63" s="10">
        <f t="shared" si="148"/>
        <v>0</v>
      </c>
      <c r="AB63" s="19">
        <f t="shared" si="133"/>
        <v>0</v>
      </c>
      <c r="AC63" s="10">
        <f t="shared" si="133"/>
        <v>0</v>
      </c>
      <c r="AD63" s="210">
        <f t="shared" si="133"/>
        <v>0</v>
      </c>
      <c r="AE63" s="10">
        <f t="shared" si="133"/>
        <v>0</v>
      </c>
      <c r="AF63" s="10">
        <f t="shared" si="133"/>
        <v>0</v>
      </c>
      <c r="AG63" s="10">
        <f t="shared" si="133"/>
        <v>0</v>
      </c>
      <c r="AH63" s="71">
        <f>(4)/165</f>
        <v>2.4242424242424242E-2</v>
      </c>
      <c r="AI63" s="10">
        <f>(20)/165</f>
        <v>0.12121212121212122</v>
      </c>
      <c r="AJ63" s="10">
        <f>(23)/165</f>
        <v>0.1393939393939394</v>
      </c>
      <c r="AK63" s="10">
        <f t="shared" si="130"/>
        <v>0</v>
      </c>
      <c r="AL63" s="10">
        <f t="shared" si="130"/>
        <v>0</v>
      </c>
      <c r="AM63" s="10">
        <f>(16)/165</f>
        <v>9.696969696969697E-2</v>
      </c>
      <c r="AN63" s="71">
        <f t="shared" si="105"/>
        <v>0</v>
      </c>
      <c r="AO63" s="10">
        <f>(1)/157.5</f>
        <v>6.3492063492063492E-3</v>
      </c>
      <c r="AP63" s="10">
        <f t="shared" si="105"/>
        <v>0</v>
      </c>
      <c r="AQ63" s="10">
        <f t="shared" si="105"/>
        <v>0</v>
      </c>
      <c r="AR63" s="10">
        <f t="shared" si="105"/>
        <v>0</v>
      </c>
      <c r="AS63" s="10">
        <f t="shared" si="105"/>
        <v>0</v>
      </c>
      <c r="AT63" s="189">
        <f t="shared" si="90"/>
        <v>0</v>
      </c>
      <c r="AU63" s="10">
        <f t="shared" si="90"/>
        <v>0</v>
      </c>
      <c r="AV63" s="10">
        <f t="shared" si="90"/>
        <v>0</v>
      </c>
      <c r="AW63" s="10">
        <f t="shared" si="90"/>
        <v>0</v>
      </c>
      <c r="AX63" s="10">
        <f t="shared" si="90"/>
        <v>0</v>
      </c>
      <c r="AY63" s="17">
        <f t="shared" si="90"/>
        <v>0</v>
      </c>
      <c r="AZ63" s="19">
        <f t="shared" si="116"/>
        <v>0</v>
      </c>
      <c r="BA63" s="10">
        <f t="shared" si="116"/>
        <v>0</v>
      </c>
      <c r="BB63" s="10">
        <f t="shared" si="116"/>
        <v>0</v>
      </c>
      <c r="BC63" s="10">
        <f t="shared" si="116"/>
        <v>0</v>
      </c>
      <c r="BD63" s="10">
        <f t="shared" si="116"/>
        <v>0</v>
      </c>
      <c r="BE63" s="10">
        <f t="shared" si="116"/>
        <v>0</v>
      </c>
      <c r="BF63" s="10">
        <f t="shared" si="116"/>
        <v>0</v>
      </c>
      <c r="BG63" s="19">
        <f t="shared" si="145"/>
        <v>0</v>
      </c>
      <c r="BH63" s="10">
        <f t="shared" si="145"/>
        <v>0</v>
      </c>
      <c r="BI63" s="10">
        <f t="shared" si="145"/>
        <v>0</v>
      </c>
      <c r="BJ63" s="10">
        <f t="shared" si="145"/>
        <v>0</v>
      </c>
      <c r="BK63" s="10">
        <f t="shared" si="145"/>
        <v>0</v>
      </c>
      <c r="BL63" s="10">
        <f t="shared" si="137"/>
        <v>0</v>
      </c>
      <c r="BM63" s="10">
        <f t="shared" si="137"/>
        <v>0</v>
      </c>
      <c r="BN63" s="17">
        <f t="shared" si="137"/>
        <v>0</v>
      </c>
      <c r="BO63" s="19">
        <f t="shared" si="151"/>
        <v>0</v>
      </c>
      <c r="BP63" s="10">
        <f t="shared" si="151"/>
        <v>0</v>
      </c>
      <c r="BQ63" s="10">
        <f t="shared" si="151"/>
        <v>0</v>
      </c>
      <c r="BR63" s="10">
        <f t="shared" si="151"/>
        <v>0</v>
      </c>
      <c r="BS63" s="10">
        <f t="shared" si="151"/>
        <v>0</v>
      </c>
      <c r="BT63" s="10">
        <f t="shared" si="138"/>
        <v>0</v>
      </c>
      <c r="BU63" s="10">
        <f t="shared" si="138"/>
        <v>0</v>
      </c>
      <c r="BV63" s="17">
        <f t="shared" si="138"/>
        <v>0</v>
      </c>
      <c r="BW63" s="71">
        <f t="shared" si="109"/>
        <v>0</v>
      </c>
      <c r="BX63" s="10">
        <f t="shared" si="109"/>
        <v>0</v>
      </c>
      <c r="BY63" s="10">
        <f t="shared" si="109"/>
        <v>0</v>
      </c>
      <c r="BZ63" s="10">
        <f t="shared" si="109"/>
        <v>0</v>
      </c>
      <c r="CA63" s="10">
        <f t="shared" si="109"/>
        <v>0</v>
      </c>
      <c r="CB63" s="10">
        <f t="shared" si="139"/>
        <v>0</v>
      </c>
      <c r="CC63" s="10">
        <f t="shared" si="139"/>
        <v>0</v>
      </c>
      <c r="CD63" s="17">
        <f t="shared" si="139"/>
        <v>0</v>
      </c>
      <c r="CE63" s="19">
        <f t="shared" si="146"/>
        <v>0</v>
      </c>
      <c r="CF63" s="10">
        <f t="shared" si="146"/>
        <v>0</v>
      </c>
      <c r="CG63" s="10">
        <f t="shared" si="146"/>
        <v>0</v>
      </c>
      <c r="CH63" s="10">
        <f t="shared" si="146"/>
        <v>0</v>
      </c>
      <c r="CI63" s="10">
        <f t="shared" si="146"/>
        <v>0</v>
      </c>
      <c r="CJ63" s="10">
        <f t="shared" si="140"/>
        <v>0</v>
      </c>
      <c r="CK63" s="10">
        <f t="shared" si="140"/>
        <v>0</v>
      </c>
      <c r="CL63" s="17">
        <f t="shared" si="140"/>
        <v>0</v>
      </c>
      <c r="CM63" s="19">
        <f t="shared" si="147"/>
        <v>0</v>
      </c>
      <c r="CN63" s="10">
        <f t="shared" si="147"/>
        <v>0</v>
      </c>
      <c r="CO63" s="10">
        <f t="shared" si="147"/>
        <v>0</v>
      </c>
      <c r="CP63" s="10">
        <f t="shared" si="147"/>
        <v>0</v>
      </c>
      <c r="CQ63" s="10">
        <f t="shared" si="147"/>
        <v>0</v>
      </c>
      <c r="CR63" s="10">
        <f t="shared" si="141"/>
        <v>0</v>
      </c>
      <c r="CS63" s="10">
        <f t="shared" si="141"/>
        <v>0</v>
      </c>
      <c r="CT63" s="17">
        <f t="shared" si="141"/>
        <v>0</v>
      </c>
      <c r="CU63" s="235"/>
    </row>
    <row r="64" spans="1:99" ht="26.25" hidden="1" customHeight="1" outlineLevel="1" x14ac:dyDescent="0.4">
      <c r="A64" s="351"/>
      <c r="B64" s="351"/>
      <c r="C64" s="351"/>
      <c r="D64" s="353"/>
      <c r="E64" s="353"/>
      <c r="F64" s="353"/>
      <c r="G64" s="375"/>
      <c r="H64" s="447"/>
      <c r="I64" s="447"/>
      <c r="J64" s="449"/>
      <c r="K64" s="453"/>
      <c r="L64" s="453"/>
      <c r="M64" s="451"/>
      <c r="N64" s="38" t="s">
        <v>25</v>
      </c>
      <c r="O64" s="11">
        <f t="shared" si="134"/>
        <v>0</v>
      </c>
      <c r="P64" s="11">
        <f t="shared" si="134"/>
        <v>0</v>
      </c>
      <c r="Q64" s="11">
        <f t="shared" si="134"/>
        <v>0</v>
      </c>
      <c r="R64" s="11">
        <f t="shared" si="134"/>
        <v>0</v>
      </c>
      <c r="S64" s="11">
        <f t="shared" si="134"/>
        <v>0</v>
      </c>
      <c r="T64" s="11">
        <f t="shared" si="134"/>
        <v>0</v>
      </c>
      <c r="U64" s="48">
        <f t="shared" si="134"/>
        <v>0</v>
      </c>
      <c r="V64" s="56">
        <f t="shared" si="144"/>
        <v>0</v>
      </c>
      <c r="W64" s="18">
        <f t="shared" si="144"/>
        <v>0</v>
      </c>
      <c r="X64" s="18">
        <f t="shared" si="144"/>
        <v>0</v>
      </c>
      <c r="Y64" s="18">
        <f t="shared" si="144"/>
        <v>0</v>
      </c>
      <c r="Z64" s="18">
        <f t="shared" si="144"/>
        <v>0</v>
      </c>
      <c r="AA64" s="18">
        <f t="shared" si="148"/>
        <v>0</v>
      </c>
      <c r="AB64" s="41">
        <f t="shared" si="133"/>
        <v>0</v>
      </c>
      <c r="AC64" s="51">
        <f t="shared" si="133"/>
        <v>0</v>
      </c>
      <c r="AD64" s="11">
        <f t="shared" si="133"/>
        <v>0</v>
      </c>
      <c r="AE64" s="11">
        <f t="shared" si="133"/>
        <v>0</v>
      </c>
      <c r="AF64" s="11">
        <f t="shared" si="133"/>
        <v>0</v>
      </c>
      <c r="AG64" s="18">
        <f t="shared" si="133"/>
        <v>0</v>
      </c>
      <c r="AH64" s="56">
        <f>(0+5)/165</f>
        <v>3.0303030303030304E-2</v>
      </c>
      <c r="AI64" s="11">
        <f>(1+4+8.25+4.25)/165</f>
        <v>0.10606060606060606</v>
      </c>
      <c r="AJ64" s="11">
        <f>(0+4+18.25+1)/165</f>
        <v>0.1409090909090909</v>
      </c>
      <c r="AK64" s="11">
        <f t="shared" si="127"/>
        <v>0</v>
      </c>
      <c r="AL64" s="11">
        <f t="shared" si="127"/>
        <v>0</v>
      </c>
      <c r="AM64" s="11">
        <f>(0+8.25+7.75)/165</f>
        <v>9.696969696969697E-2</v>
      </c>
      <c r="AN64" s="56">
        <f t="shared" si="105"/>
        <v>0</v>
      </c>
      <c r="AO64" s="11">
        <f>(1)/157.5</f>
        <v>6.3492063492063492E-3</v>
      </c>
      <c r="AP64" s="11">
        <f t="shared" si="105"/>
        <v>0</v>
      </c>
      <c r="AQ64" s="11">
        <f t="shared" si="105"/>
        <v>0</v>
      </c>
      <c r="AR64" s="11">
        <f t="shared" si="105"/>
        <v>0</v>
      </c>
      <c r="AS64" s="11">
        <f t="shared" si="105"/>
        <v>0</v>
      </c>
      <c r="AT64" s="61">
        <f t="shared" si="90"/>
        <v>0</v>
      </c>
      <c r="AU64" s="58">
        <f t="shared" si="90"/>
        <v>0</v>
      </c>
      <c r="AV64" s="58">
        <f t="shared" si="90"/>
        <v>0</v>
      </c>
      <c r="AW64" s="58">
        <f t="shared" si="90"/>
        <v>0</v>
      </c>
      <c r="AX64" s="58">
        <f t="shared" si="90"/>
        <v>0</v>
      </c>
      <c r="AY64" s="62">
        <f t="shared" si="90"/>
        <v>0</v>
      </c>
      <c r="AZ64" s="61">
        <f t="shared" si="116"/>
        <v>0</v>
      </c>
      <c r="BA64" s="58">
        <f t="shared" si="116"/>
        <v>0</v>
      </c>
      <c r="BB64" s="58">
        <f t="shared" si="116"/>
        <v>0</v>
      </c>
      <c r="BC64" s="58">
        <f t="shared" si="116"/>
        <v>0</v>
      </c>
      <c r="BD64" s="58">
        <f t="shared" si="116"/>
        <v>0</v>
      </c>
      <c r="BE64" s="58">
        <f t="shared" si="116"/>
        <v>0</v>
      </c>
      <c r="BF64" s="58">
        <f t="shared" si="116"/>
        <v>0</v>
      </c>
      <c r="BG64" s="61">
        <f t="shared" si="145"/>
        <v>0</v>
      </c>
      <c r="BH64" s="58">
        <f t="shared" si="145"/>
        <v>0</v>
      </c>
      <c r="BI64" s="58">
        <f t="shared" si="145"/>
        <v>0</v>
      </c>
      <c r="BJ64" s="58">
        <f t="shared" si="145"/>
        <v>0</v>
      </c>
      <c r="BK64" s="58">
        <f t="shared" si="145"/>
        <v>0</v>
      </c>
      <c r="BL64" s="58">
        <f t="shared" si="137"/>
        <v>0</v>
      </c>
      <c r="BM64" s="58">
        <f t="shared" si="137"/>
        <v>0</v>
      </c>
      <c r="BN64" s="62">
        <f t="shared" si="137"/>
        <v>0</v>
      </c>
      <c r="BO64" s="61">
        <f t="shared" si="151"/>
        <v>0</v>
      </c>
      <c r="BP64" s="58">
        <f t="shared" si="151"/>
        <v>0</v>
      </c>
      <c r="BQ64" s="58">
        <f t="shared" si="151"/>
        <v>0</v>
      </c>
      <c r="BR64" s="58">
        <f t="shared" si="151"/>
        <v>0</v>
      </c>
      <c r="BS64" s="58">
        <f t="shared" si="151"/>
        <v>0</v>
      </c>
      <c r="BT64" s="58">
        <f t="shared" si="138"/>
        <v>0</v>
      </c>
      <c r="BU64" s="58">
        <f t="shared" si="138"/>
        <v>0</v>
      </c>
      <c r="BV64" s="62">
        <f t="shared" si="138"/>
        <v>0</v>
      </c>
      <c r="BW64" s="61">
        <f t="shared" si="109"/>
        <v>0</v>
      </c>
      <c r="BX64" s="58">
        <f t="shared" si="109"/>
        <v>0</v>
      </c>
      <c r="BY64" s="58">
        <f t="shared" si="109"/>
        <v>0</v>
      </c>
      <c r="BZ64" s="58">
        <f t="shared" si="109"/>
        <v>0</v>
      </c>
      <c r="CA64" s="58">
        <f t="shared" si="109"/>
        <v>0</v>
      </c>
      <c r="CB64" s="58">
        <f t="shared" si="139"/>
        <v>0</v>
      </c>
      <c r="CC64" s="58">
        <f t="shared" si="139"/>
        <v>0</v>
      </c>
      <c r="CD64" s="62">
        <f t="shared" si="139"/>
        <v>0</v>
      </c>
      <c r="CE64" s="61">
        <f t="shared" si="146"/>
        <v>0</v>
      </c>
      <c r="CF64" s="58">
        <f t="shared" si="146"/>
        <v>0</v>
      </c>
      <c r="CG64" s="58">
        <f t="shared" si="146"/>
        <v>0</v>
      </c>
      <c r="CH64" s="58">
        <f t="shared" si="146"/>
        <v>0</v>
      </c>
      <c r="CI64" s="58">
        <f t="shared" si="146"/>
        <v>0</v>
      </c>
      <c r="CJ64" s="58">
        <f t="shared" si="140"/>
        <v>0</v>
      </c>
      <c r="CK64" s="58">
        <f t="shared" si="140"/>
        <v>0</v>
      </c>
      <c r="CL64" s="62">
        <f t="shared" si="140"/>
        <v>0</v>
      </c>
      <c r="CM64" s="61">
        <f t="shared" si="147"/>
        <v>0</v>
      </c>
      <c r="CN64" s="58">
        <f t="shared" si="147"/>
        <v>0</v>
      </c>
      <c r="CO64" s="58">
        <f t="shared" si="147"/>
        <v>0</v>
      </c>
      <c r="CP64" s="58">
        <f t="shared" si="147"/>
        <v>0</v>
      </c>
      <c r="CQ64" s="58">
        <f t="shared" si="147"/>
        <v>0</v>
      </c>
      <c r="CR64" s="58">
        <f t="shared" si="141"/>
        <v>0</v>
      </c>
      <c r="CS64" s="58">
        <f t="shared" si="141"/>
        <v>0</v>
      </c>
      <c r="CT64" s="62">
        <f t="shared" si="141"/>
        <v>0</v>
      </c>
      <c r="CU64" s="235"/>
    </row>
    <row r="65" spans="1:99" ht="26.25" hidden="1" customHeight="1" outlineLevel="1" collapsed="1" x14ac:dyDescent="0.4">
      <c r="A65" s="350">
        <v>30</v>
      </c>
      <c r="B65" s="350" t="s">
        <v>47</v>
      </c>
      <c r="C65" s="350" t="s">
        <v>343</v>
      </c>
      <c r="D65" s="352" t="s">
        <v>420</v>
      </c>
      <c r="E65" s="352" t="s">
        <v>664</v>
      </c>
      <c r="F65" s="352" t="s">
        <v>706</v>
      </c>
      <c r="G65" s="375" t="s">
        <v>707</v>
      </c>
      <c r="H65" s="446">
        <f t="shared" ref="H65:H96" si="156">SUM(AZ65:BF65)</f>
        <v>0</v>
      </c>
      <c r="I65" s="446">
        <f t="shared" ref="I65:I96" si="157">SUM(AZ66:BF66)</f>
        <v>0</v>
      </c>
      <c r="J65" s="448"/>
      <c r="K65" s="452"/>
      <c r="L65" s="452"/>
      <c r="M65" s="450"/>
      <c r="N65" s="47" t="s">
        <v>24</v>
      </c>
      <c r="O65" s="10">
        <f t="shared" si="134"/>
        <v>0</v>
      </c>
      <c r="P65" s="10">
        <f t="shared" si="134"/>
        <v>0</v>
      </c>
      <c r="Q65" s="10">
        <f t="shared" si="134"/>
        <v>0</v>
      </c>
      <c r="R65" s="10">
        <f t="shared" si="134"/>
        <v>0</v>
      </c>
      <c r="S65" s="10">
        <f t="shared" si="134"/>
        <v>0</v>
      </c>
      <c r="T65" s="10">
        <f t="shared" si="134"/>
        <v>0</v>
      </c>
      <c r="U65" s="79">
        <f t="shared" si="134"/>
        <v>0</v>
      </c>
      <c r="V65" s="19">
        <f t="shared" si="144"/>
        <v>0</v>
      </c>
      <c r="W65" s="10">
        <f t="shared" si="144"/>
        <v>0</v>
      </c>
      <c r="X65" s="10">
        <f t="shared" si="144"/>
        <v>0</v>
      </c>
      <c r="Y65" s="10">
        <f t="shared" si="144"/>
        <v>0</v>
      </c>
      <c r="Z65" s="10">
        <f t="shared" si="144"/>
        <v>0</v>
      </c>
      <c r="AA65" s="10">
        <f t="shared" si="148"/>
        <v>0</v>
      </c>
      <c r="AB65" s="19">
        <f t="shared" si="133"/>
        <v>0</v>
      </c>
      <c r="AC65" s="10">
        <f t="shared" si="133"/>
        <v>0</v>
      </c>
      <c r="AD65" s="210">
        <f t="shared" si="133"/>
        <v>0</v>
      </c>
      <c r="AE65" s="10">
        <f t="shared" si="133"/>
        <v>0</v>
      </c>
      <c r="AF65" s="10">
        <f t="shared" si="133"/>
        <v>0</v>
      </c>
      <c r="AG65" s="10">
        <f t="shared" si="133"/>
        <v>0</v>
      </c>
      <c r="AH65" s="71">
        <f>(4)/165</f>
        <v>2.4242424242424242E-2</v>
      </c>
      <c r="AI65" s="10">
        <f>(5)/165</f>
        <v>3.0303030303030304E-2</v>
      </c>
      <c r="AJ65" s="10">
        <f t="shared" si="130"/>
        <v>0</v>
      </c>
      <c r="AK65" s="10">
        <f t="shared" si="130"/>
        <v>0</v>
      </c>
      <c r="AL65" s="10">
        <f>(5)/165</f>
        <v>3.0303030303030304E-2</v>
      </c>
      <c r="AM65" s="10">
        <f t="shared" si="130"/>
        <v>0</v>
      </c>
      <c r="AN65" s="71">
        <f t="shared" si="105"/>
        <v>0</v>
      </c>
      <c r="AO65" s="10">
        <f t="shared" si="105"/>
        <v>0</v>
      </c>
      <c r="AP65" s="10">
        <f t="shared" si="105"/>
        <v>0</v>
      </c>
      <c r="AQ65" s="10">
        <f t="shared" si="105"/>
        <v>0</v>
      </c>
      <c r="AR65" s="10">
        <f t="shared" si="105"/>
        <v>0</v>
      </c>
      <c r="AS65" s="10">
        <f t="shared" si="105"/>
        <v>0</v>
      </c>
      <c r="AT65" s="189">
        <f t="shared" ref="AT65:AY97" si="158">(0)/165</f>
        <v>0</v>
      </c>
      <c r="AU65" s="10">
        <f t="shared" si="158"/>
        <v>0</v>
      </c>
      <c r="AV65" s="10">
        <f t="shared" si="158"/>
        <v>0</v>
      </c>
      <c r="AW65" s="10">
        <f t="shared" si="158"/>
        <v>0</v>
      </c>
      <c r="AX65" s="10">
        <f t="shared" si="158"/>
        <v>0</v>
      </c>
      <c r="AY65" s="17">
        <f t="shared" si="158"/>
        <v>0</v>
      </c>
      <c r="AZ65" s="19">
        <f t="shared" si="116"/>
        <v>0</v>
      </c>
      <c r="BA65" s="10">
        <f t="shared" si="116"/>
        <v>0</v>
      </c>
      <c r="BB65" s="10">
        <f t="shared" si="116"/>
        <v>0</v>
      </c>
      <c r="BC65" s="10">
        <f t="shared" si="116"/>
        <v>0</v>
      </c>
      <c r="BD65" s="10">
        <f t="shared" si="116"/>
        <v>0</v>
      </c>
      <c r="BE65" s="10">
        <f t="shared" si="116"/>
        <v>0</v>
      </c>
      <c r="BF65" s="10">
        <f t="shared" si="116"/>
        <v>0</v>
      </c>
      <c r="BG65" s="19">
        <f t="shared" si="145"/>
        <v>0</v>
      </c>
      <c r="BH65" s="10">
        <f t="shared" si="145"/>
        <v>0</v>
      </c>
      <c r="BI65" s="10">
        <f t="shared" si="145"/>
        <v>0</v>
      </c>
      <c r="BJ65" s="10">
        <f t="shared" si="145"/>
        <v>0</v>
      </c>
      <c r="BK65" s="10">
        <f t="shared" si="145"/>
        <v>0</v>
      </c>
      <c r="BL65" s="10">
        <f t="shared" si="137"/>
        <v>0</v>
      </c>
      <c r="BM65" s="10">
        <f t="shared" si="137"/>
        <v>0</v>
      </c>
      <c r="BN65" s="17">
        <f t="shared" si="137"/>
        <v>0</v>
      </c>
      <c r="BO65" s="19">
        <f t="shared" si="151"/>
        <v>0</v>
      </c>
      <c r="BP65" s="10">
        <f t="shared" si="151"/>
        <v>0</v>
      </c>
      <c r="BQ65" s="10">
        <f t="shared" si="151"/>
        <v>0</v>
      </c>
      <c r="BR65" s="10">
        <f t="shared" si="151"/>
        <v>0</v>
      </c>
      <c r="BS65" s="10">
        <f t="shared" si="151"/>
        <v>0</v>
      </c>
      <c r="BT65" s="10">
        <f t="shared" si="138"/>
        <v>0</v>
      </c>
      <c r="BU65" s="10">
        <f t="shared" si="138"/>
        <v>0</v>
      </c>
      <c r="BV65" s="17">
        <f t="shared" si="138"/>
        <v>0</v>
      </c>
      <c r="BW65" s="71">
        <f t="shared" si="109"/>
        <v>0</v>
      </c>
      <c r="BX65" s="10">
        <f t="shared" si="109"/>
        <v>0</v>
      </c>
      <c r="BY65" s="10">
        <f t="shared" si="109"/>
        <v>0</v>
      </c>
      <c r="BZ65" s="10">
        <f t="shared" si="109"/>
        <v>0</v>
      </c>
      <c r="CA65" s="10">
        <f t="shared" si="109"/>
        <v>0</v>
      </c>
      <c r="CB65" s="10">
        <f t="shared" si="139"/>
        <v>0</v>
      </c>
      <c r="CC65" s="10">
        <f t="shared" si="139"/>
        <v>0</v>
      </c>
      <c r="CD65" s="17">
        <f t="shared" si="139"/>
        <v>0</v>
      </c>
      <c r="CE65" s="19">
        <f t="shared" si="146"/>
        <v>0</v>
      </c>
      <c r="CF65" s="10">
        <f t="shared" si="146"/>
        <v>0</v>
      </c>
      <c r="CG65" s="10">
        <f t="shared" si="146"/>
        <v>0</v>
      </c>
      <c r="CH65" s="10">
        <f t="shared" si="146"/>
        <v>0</v>
      </c>
      <c r="CI65" s="10">
        <f t="shared" si="146"/>
        <v>0</v>
      </c>
      <c r="CJ65" s="10">
        <f t="shared" si="140"/>
        <v>0</v>
      </c>
      <c r="CK65" s="10">
        <f t="shared" si="140"/>
        <v>0</v>
      </c>
      <c r="CL65" s="17">
        <f t="shared" si="140"/>
        <v>0</v>
      </c>
      <c r="CM65" s="19">
        <f t="shared" si="147"/>
        <v>0</v>
      </c>
      <c r="CN65" s="10">
        <f t="shared" si="147"/>
        <v>0</v>
      </c>
      <c r="CO65" s="10">
        <f t="shared" si="147"/>
        <v>0</v>
      </c>
      <c r="CP65" s="10">
        <f t="shared" si="147"/>
        <v>0</v>
      </c>
      <c r="CQ65" s="10">
        <f t="shared" si="147"/>
        <v>0</v>
      </c>
      <c r="CR65" s="10">
        <f t="shared" si="141"/>
        <v>0</v>
      </c>
      <c r="CS65" s="10">
        <f t="shared" si="141"/>
        <v>0</v>
      </c>
      <c r="CT65" s="17">
        <f t="shared" si="141"/>
        <v>0</v>
      </c>
      <c r="CU65" s="235"/>
    </row>
    <row r="66" spans="1:99" ht="26.25" hidden="1" customHeight="1" outlineLevel="1" x14ac:dyDescent="0.4">
      <c r="A66" s="351"/>
      <c r="B66" s="351"/>
      <c r="C66" s="351"/>
      <c r="D66" s="353"/>
      <c r="E66" s="353"/>
      <c r="F66" s="353"/>
      <c r="G66" s="375"/>
      <c r="H66" s="447"/>
      <c r="I66" s="447"/>
      <c r="J66" s="449"/>
      <c r="K66" s="453"/>
      <c r="L66" s="453"/>
      <c r="M66" s="451"/>
      <c r="N66" s="38" t="s">
        <v>25</v>
      </c>
      <c r="O66" s="11">
        <f t="shared" si="134"/>
        <v>0</v>
      </c>
      <c r="P66" s="11">
        <f t="shared" si="134"/>
        <v>0</v>
      </c>
      <c r="Q66" s="11">
        <f t="shared" si="134"/>
        <v>0</v>
      </c>
      <c r="R66" s="11">
        <f t="shared" si="134"/>
        <v>0</v>
      </c>
      <c r="S66" s="11">
        <f t="shared" si="134"/>
        <v>0</v>
      </c>
      <c r="T66" s="11">
        <f t="shared" si="134"/>
        <v>0</v>
      </c>
      <c r="U66" s="48">
        <f t="shared" si="134"/>
        <v>0</v>
      </c>
      <c r="V66" s="56">
        <f t="shared" si="144"/>
        <v>0</v>
      </c>
      <c r="W66" s="18">
        <f t="shared" si="144"/>
        <v>0</v>
      </c>
      <c r="X66" s="18">
        <f t="shared" si="144"/>
        <v>0</v>
      </c>
      <c r="Y66" s="18">
        <f t="shared" si="144"/>
        <v>0</v>
      </c>
      <c r="Z66" s="18">
        <f t="shared" si="144"/>
        <v>0</v>
      </c>
      <c r="AA66" s="18">
        <f t="shared" si="148"/>
        <v>0</v>
      </c>
      <c r="AB66" s="41">
        <f t="shared" si="133"/>
        <v>0</v>
      </c>
      <c r="AC66" s="51">
        <f t="shared" si="133"/>
        <v>0</v>
      </c>
      <c r="AD66" s="11">
        <f t="shared" si="133"/>
        <v>0</v>
      </c>
      <c r="AE66" s="11">
        <f t="shared" si="133"/>
        <v>0</v>
      </c>
      <c r="AF66" s="11">
        <f t="shared" si="133"/>
        <v>0</v>
      </c>
      <c r="AG66" s="18">
        <f t="shared" si="133"/>
        <v>0</v>
      </c>
      <c r="AH66" s="56">
        <f>(0+1.75+0.5)/165</f>
        <v>1.3636363636363636E-2</v>
      </c>
      <c r="AI66" s="11">
        <f>(2+4+1)/165</f>
        <v>4.2424242424242427E-2</v>
      </c>
      <c r="AJ66" s="11">
        <f t="shared" si="130"/>
        <v>0</v>
      </c>
      <c r="AK66" s="11">
        <f t="shared" si="130"/>
        <v>0</v>
      </c>
      <c r="AL66" s="11">
        <f>(1+2+0.5)/165</f>
        <v>2.1212121212121213E-2</v>
      </c>
      <c r="AM66" s="11">
        <f t="shared" si="130"/>
        <v>0</v>
      </c>
      <c r="AN66" s="56">
        <f t="shared" si="105"/>
        <v>0</v>
      </c>
      <c r="AO66" s="11">
        <f t="shared" si="105"/>
        <v>0</v>
      </c>
      <c r="AP66" s="11">
        <f t="shared" si="105"/>
        <v>0</v>
      </c>
      <c r="AQ66" s="11">
        <f t="shared" si="105"/>
        <v>0</v>
      </c>
      <c r="AR66" s="11">
        <f t="shared" si="105"/>
        <v>0</v>
      </c>
      <c r="AS66" s="11">
        <f t="shared" si="105"/>
        <v>0</v>
      </c>
      <c r="AT66" s="61">
        <f t="shared" si="158"/>
        <v>0</v>
      </c>
      <c r="AU66" s="58">
        <f t="shared" si="158"/>
        <v>0</v>
      </c>
      <c r="AV66" s="58">
        <f t="shared" si="158"/>
        <v>0</v>
      </c>
      <c r="AW66" s="58">
        <f t="shared" si="158"/>
        <v>0</v>
      </c>
      <c r="AX66" s="58">
        <f t="shared" si="158"/>
        <v>0</v>
      </c>
      <c r="AY66" s="62">
        <f t="shared" si="158"/>
        <v>0</v>
      </c>
      <c r="AZ66" s="61">
        <f t="shared" si="116"/>
        <v>0</v>
      </c>
      <c r="BA66" s="58">
        <f t="shared" si="116"/>
        <v>0</v>
      </c>
      <c r="BB66" s="58">
        <f t="shared" si="116"/>
        <v>0</v>
      </c>
      <c r="BC66" s="58">
        <f t="shared" si="116"/>
        <v>0</v>
      </c>
      <c r="BD66" s="58">
        <f t="shared" si="116"/>
        <v>0</v>
      </c>
      <c r="BE66" s="58">
        <f t="shared" si="116"/>
        <v>0</v>
      </c>
      <c r="BF66" s="58">
        <f t="shared" si="116"/>
        <v>0</v>
      </c>
      <c r="BG66" s="61">
        <f t="shared" si="145"/>
        <v>0</v>
      </c>
      <c r="BH66" s="58">
        <f t="shared" si="145"/>
        <v>0</v>
      </c>
      <c r="BI66" s="58">
        <f t="shared" si="145"/>
        <v>0</v>
      </c>
      <c r="BJ66" s="58">
        <f t="shared" si="145"/>
        <v>0</v>
      </c>
      <c r="BK66" s="58">
        <f t="shared" si="145"/>
        <v>0</v>
      </c>
      <c r="BL66" s="58">
        <f t="shared" si="137"/>
        <v>0</v>
      </c>
      <c r="BM66" s="58">
        <f t="shared" si="137"/>
        <v>0</v>
      </c>
      <c r="BN66" s="62">
        <f t="shared" si="137"/>
        <v>0</v>
      </c>
      <c r="BO66" s="61">
        <f t="shared" si="151"/>
        <v>0</v>
      </c>
      <c r="BP66" s="58">
        <f t="shared" si="151"/>
        <v>0</v>
      </c>
      <c r="BQ66" s="58">
        <f t="shared" si="151"/>
        <v>0</v>
      </c>
      <c r="BR66" s="58">
        <f t="shared" si="151"/>
        <v>0</v>
      </c>
      <c r="BS66" s="58">
        <f t="shared" si="151"/>
        <v>0</v>
      </c>
      <c r="BT66" s="58">
        <f t="shared" si="138"/>
        <v>0</v>
      </c>
      <c r="BU66" s="58">
        <f t="shared" si="138"/>
        <v>0</v>
      </c>
      <c r="BV66" s="62">
        <f t="shared" si="138"/>
        <v>0</v>
      </c>
      <c r="BW66" s="61">
        <f t="shared" si="109"/>
        <v>0</v>
      </c>
      <c r="BX66" s="58">
        <f t="shared" si="109"/>
        <v>0</v>
      </c>
      <c r="BY66" s="58">
        <f t="shared" si="109"/>
        <v>0</v>
      </c>
      <c r="BZ66" s="58">
        <f t="shared" si="109"/>
        <v>0</v>
      </c>
      <c r="CA66" s="58">
        <f t="shared" si="109"/>
        <v>0</v>
      </c>
      <c r="CB66" s="58">
        <f t="shared" si="139"/>
        <v>0</v>
      </c>
      <c r="CC66" s="58">
        <f t="shared" si="139"/>
        <v>0</v>
      </c>
      <c r="CD66" s="62">
        <f t="shared" si="139"/>
        <v>0</v>
      </c>
      <c r="CE66" s="61">
        <f t="shared" si="146"/>
        <v>0</v>
      </c>
      <c r="CF66" s="58">
        <f t="shared" si="146"/>
        <v>0</v>
      </c>
      <c r="CG66" s="58">
        <f t="shared" si="146"/>
        <v>0</v>
      </c>
      <c r="CH66" s="58">
        <f t="shared" si="146"/>
        <v>0</v>
      </c>
      <c r="CI66" s="58">
        <f t="shared" si="146"/>
        <v>0</v>
      </c>
      <c r="CJ66" s="58">
        <f t="shared" si="140"/>
        <v>0</v>
      </c>
      <c r="CK66" s="58">
        <f t="shared" si="140"/>
        <v>0</v>
      </c>
      <c r="CL66" s="62">
        <f t="shared" si="140"/>
        <v>0</v>
      </c>
      <c r="CM66" s="61">
        <f t="shared" si="147"/>
        <v>0</v>
      </c>
      <c r="CN66" s="58">
        <f t="shared" si="147"/>
        <v>0</v>
      </c>
      <c r="CO66" s="58">
        <f t="shared" si="147"/>
        <v>0</v>
      </c>
      <c r="CP66" s="58">
        <f t="shared" si="147"/>
        <v>0</v>
      </c>
      <c r="CQ66" s="58">
        <f t="shared" si="147"/>
        <v>0</v>
      </c>
      <c r="CR66" s="58">
        <f t="shared" si="141"/>
        <v>0</v>
      </c>
      <c r="CS66" s="58">
        <f t="shared" si="141"/>
        <v>0</v>
      </c>
      <c r="CT66" s="62">
        <f t="shared" si="141"/>
        <v>0</v>
      </c>
      <c r="CU66" s="235"/>
    </row>
    <row r="67" spans="1:99" ht="26.25" hidden="1" customHeight="1" outlineLevel="1" x14ac:dyDescent="0.4">
      <c r="A67" s="350">
        <v>31</v>
      </c>
      <c r="B67" s="350" t="s">
        <v>47</v>
      </c>
      <c r="C67" s="350" t="s">
        <v>343</v>
      </c>
      <c r="D67" s="352" t="s">
        <v>427</v>
      </c>
      <c r="E67" s="352" t="s">
        <v>666</v>
      </c>
      <c r="F67" s="352" t="s">
        <v>698</v>
      </c>
      <c r="G67" s="375" t="s">
        <v>702</v>
      </c>
      <c r="H67" s="446">
        <f t="shared" ref="H67:H114" si="159">SUM(AZ67:BF67)</f>
        <v>0</v>
      </c>
      <c r="I67" s="446">
        <f t="shared" ref="I67:I114" si="160">SUM(AZ68:BF68)</f>
        <v>0</v>
      </c>
      <c r="J67" s="448"/>
      <c r="K67" s="452"/>
      <c r="L67" s="452"/>
      <c r="M67" s="450"/>
      <c r="N67" s="47" t="s">
        <v>88</v>
      </c>
      <c r="O67" s="10">
        <f t="shared" si="134"/>
        <v>0</v>
      </c>
      <c r="P67" s="10">
        <f t="shared" si="134"/>
        <v>0</v>
      </c>
      <c r="Q67" s="10">
        <f t="shared" si="134"/>
        <v>0</v>
      </c>
      <c r="R67" s="10">
        <f t="shared" si="134"/>
        <v>0</v>
      </c>
      <c r="S67" s="10">
        <f t="shared" si="134"/>
        <v>0</v>
      </c>
      <c r="T67" s="10">
        <f t="shared" si="134"/>
        <v>0</v>
      </c>
      <c r="U67" s="79">
        <f t="shared" si="134"/>
        <v>0</v>
      </c>
      <c r="V67" s="19">
        <f t="shared" si="144"/>
        <v>0</v>
      </c>
      <c r="W67" s="10">
        <f t="shared" si="144"/>
        <v>0</v>
      </c>
      <c r="X67" s="10">
        <f t="shared" si="144"/>
        <v>0</v>
      </c>
      <c r="Y67" s="10">
        <f t="shared" si="144"/>
        <v>0</v>
      </c>
      <c r="Z67" s="10">
        <f t="shared" si="144"/>
        <v>0</v>
      </c>
      <c r="AA67" s="10">
        <f t="shared" si="148"/>
        <v>0</v>
      </c>
      <c r="AB67" s="19">
        <f t="shared" si="133"/>
        <v>0</v>
      </c>
      <c r="AC67" s="10">
        <f t="shared" si="133"/>
        <v>0</v>
      </c>
      <c r="AD67" s="210">
        <f t="shared" si="133"/>
        <v>0</v>
      </c>
      <c r="AE67" s="10">
        <f t="shared" si="133"/>
        <v>0</v>
      </c>
      <c r="AF67" s="10">
        <f t="shared" si="133"/>
        <v>0</v>
      </c>
      <c r="AG67" s="10">
        <f t="shared" si="133"/>
        <v>0</v>
      </c>
      <c r="AH67" s="71">
        <f>(2)/165</f>
        <v>1.2121212121212121E-2</v>
      </c>
      <c r="AI67" s="10">
        <f t="shared" ref="AI67:AM83" si="161">(0)/165</f>
        <v>0</v>
      </c>
      <c r="AJ67" s="10">
        <f>(7)/165</f>
        <v>4.2424242424242427E-2</v>
      </c>
      <c r="AK67" s="10">
        <f t="shared" si="161"/>
        <v>0</v>
      </c>
      <c r="AL67" s="10">
        <f t="shared" si="161"/>
        <v>0</v>
      </c>
      <c r="AM67" s="10">
        <f>(8)/165</f>
        <v>4.8484848484848485E-2</v>
      </c>
      <c r="AN67" s="71">
        <f t="shared" si="105"/>
        <v>0</v>
      </c>
      <c r="AO67" s="10">
        <f t="shared" si="105"/>
        <v>0</v>
      </c>
      <c r="AP67" s="10">
        <f t="shared" si="105"/>
        <v>0</v>
      </c>
      <c r="AQ67" s="10">
        <f t="shared" si="105"/>
        <v>0</v>
      </c>
      <c r="AR67" s="10">
        <f t="shared" si="105"/>
        <v>0</v>
      </c>
      <c r="AS67" s="10">
        <f t="shared" si="105"/>
        <v>0</v>
      </c>
      <c r="AT67" s="189">
        <f t="shared" si="158"/>
        <v>0</v>
      </c>
      <c r="AU67" s="10">
        <f t="shared" si="158"/>
        <v>0</v>
      </c>
      <c r="AV67" s="10">
        <f t="shared" si="158"/>
        <v>0</v>
      </c>
      <c r="AW67" s="10">
        <f t="shared" si="158"/>
        <v>0</v>
      </c>
      <c r="AX67" s="10">
        <f t="shared" si="158"/>
        <v>0</v>
      </c>
      <c r="AY67" s="17">
        <f t="shared" si="158"/>
        <v>0</v>
      </c>
      <c r="AZ67" s="19">
        <f t="shared" si="116"/>
        <v>0</v>
      </c>
      <c r="BA67" s="10">
        <f t="shared" si="116"/>
        <v>0</v>
      </c>
      <c r="BB67" s="10">
        <f t="shared" si="116"/>
        <v>0</v>
      </c>
      <c r="BC67" s="10">
        <f t="shared" si="116"/>
        <v>0</v>
      </c>
      <c r="BD67" s="10">
        <f t="shared" si="116"/>
        <v>0</v>
      </c>
      <c r="BE67" s="10">
        <f t="shared" si="116"/>
        <v>0</v>
      </c>
      <c r="BF67" s="10">
        <f t="shared" si="116"/>
        <v>0</v>
      </c>
      <c r="BG67" s="19">
        <f t="shared" ref="BG67:BK76" si="162">0/142.5</f>
        <v>0</v>
      </c>
      <c r="BH67" s="10">
        <f t="shared" si="162"/>
        <v>0</v>
      </c>
      <c r="BI67" s="10">
        <f t="shared" si="162"/>
        <v>0</v>
      </c>
      <c r="BJ67" s="10">
        <f t="shared" si="162"/>
        <v>0</v>
      </c>
      <c r="BK67" s="10">
        <f t="shared" si="162"/>
        <v>0</v>
      </c>
      <c r="BL67" s="10">
        <f t="shared" si="137"/>
        <v>0</v>
      </c>
      <c r="BM67" s="10">
        <f t="shared" si="137"/>
        <v>0</v>
      </c>
      <c r="BN67" s="17">
        <f t="shared" si="137"/>
        <v>0</v>
      </c>
      <c r="BO67" s="19">
        <f t="shared" si="151"/>
        <v>0</v>
      </c>
      <c r="BP67" s="10">
        <f t="shared" si="151"/>
        <v>0</v>
      </c>
      <c r="BQ67" s="10">
        <f t="shared" si="151"/>
        <v>0</v>
      </c>
      <c r="BR67" s="10">
        <f t="shared" si="151"/>
        <v>0</v>
      </c>
      <c r="BS67" s="10">
        <f t="shared" si="151"/>
        <v>0</v>
      </c>
      <c r="BT67" s="10">
        <f t="shared" si="138"/>
        <v>0</v>
      </c>
      <c r="BU67" s="10">
        <f t="shared" si="138"/>
        <v>0</v>
      </c>
      <c r="BV67" s="17">
        <f t="shared" si="138"/>
        <v>0</v>
      </c>
      <c r="BW67" s="71">
        <f t="shared" si="109"/>
        <v>0</v>
      </c>
      <c r="BX67" s="10">
        <f t="shared" si="109"/>
        <v>0</v>
      </c>
      <c r="BY67" s="10">
        <f t="shared" si="109"/>
        <v>0</v>
      </c>
      <c r="BZ67" s="10">
        <f t="shared" si="109"/>
        <v>0</v>
      </c>
      <c r="CA67" s="10">
        <f t="shared" si="109"/>
        <v>0</v>
      </c>
      <c r="CB67" s="10">
        <f t="shared" si="139"/>
        <v>0</v>
      </c>
      <c r="CC67" s="10">
        <f t="shared" si="139"/>
        <v>0</v>
      </c>
      <c r="CD67" s="17">
        <f t="shared" si="139"/>
        <v>0</v>
      </c>
      <c r="CE67" s="19">
        <f t="shared" ref="CE67:CI76" si="163">0/157.5</f>
        <v>0</v>
      </c>
      <c r="CF67" s="10">
        <f t="shared" si="163"/>
        <v>0</v>
      </c>
      <c r="CG67" s="10">
        <f t="shared" si="163"/>
        <v>0</v>
      </c>
      <c r="CH67" s="10">
        <f t="shared" si="163"/>
        <v>0</v>
      </c>
      <c r="CI67" s="10">
        <f t="shared" si="163"/>
        <v>0</v>
      </c>
      <c r="CJ67" s="10">
        <f t="shared" si="140"/>
        <v>0</v>
      </c>
      <c r="CK67" s="10">
        <f t="shared" si="140"/>
        <v>0</v>
      </c>
      <c r="CL67" s="17">
        <f t="shared" si="140"/>
        <v>0</v>
      </c>
      <c r="CM67" s="19">
        <f t="shared" ref="CM67:CQ76" si="164">0/142.5</f>
        <v>0</v>
      </c>
      <c r="CN67" s="10">
        <f t="shared" si="164"/>
        <v>0</v>
      </c>
      <c r="CO67" s="10">
        <f t="shared" si="164"/>
        <v>0</v>
      </c>
      <c r="CP67" s="10">
        <f t="shared" si="164"/>
        <v>0</v>
      </c>
      <c r="CQ67" s="10">
        <f t="shared" si="164"/>
        <v>0</v>
      </c>
      <c r="CR67" s="10">
        <f t="shared" si="141"/>
        <v>0</v>
      </c>
      <c r="CS67" s="10">
        <f t="shared" si="141"/>
        <v>0</v>
      </c>
      <c r="CT67" s="17">
        <f t="shared" si="141"/>
        <v>0</v>
      </c>
      <c r="CU67" s="235"/>
    </row>
    <row r="68" spans="1:99" ht="26.25" hidden="1" customHeight="1" outlineLevel="1" x14ac:dyDescent="0.4">
      <c r="A68" s="351"/>
      <c r="B68" s="351"/>
      <c r="C68" s="351"/>
      <c r="D68" s="353"/>
      <c r="E68" s="353"/>
      <c r="F68" s="353"/>
      <c r="G68" s="375"/>
      <c r="H68" s="447"/>
      <c r="I68" s="447"/>
      <c r="J68" s="449"/>
      <c r="K68" s="453"/>
      <c r="L68" s="453"/>
      <c r="M68" s="451"/>
      <c r="N68" s="38" t="s">
        <v>89</v>
      </c>
      <c r="O68" s="11">
        <f t="shared" si="134"/>
        <v>0</v>
      </c>
      <c r="P68" s="11">
        <f t="shared" si="134"/>
        <v>0</v>
      </c>
      <c r="Q68" s="11">
        <f t="shared" si="134"/>
        <v>0</v>
      </c>
      <c r="R68" s="11">
        <f t="shared" si="134"/>
        <v>0</v>
      </c>
      <c r="S68" s="11">
        <f t="shared" si="134"/>
        <v>0</v>
      </c>
      <c r="T68" s="11">
        <f t="shared" si="134"/>
        <v>0</v>
      </c>
      <c r="U68" s="48">
        <f t="shared" si="134"/>
        <v>0</v>
      </c>
      <c r="V68" s="56">
        <f t="shared" si="144"/>
        <v>0</v>
      </c>
      <c r="W68" s="18">
        <f t="shared" si="144"/>
        <v>0</v>
      </c>
      <c r="X68" s="18">
        <f t="shared" si="144"/>
        <v>0</v>
      </c>
      <c r="Y68" s="18">
        <f t="shared" si="144"/>
        <v>0</v>
      </c>
      <c r="Z68" s="18">
        <f t="shared" si="144"/>
        <v>0</v>
      </c>
      <c r="AA68" s="18">
        <f t="shared" si="148"/>
        <v>0</v>
      </c>
      <c r="AB68" s="41">
        <f t="shared" si="133"/>
        <v>0</v>
      </c>
      <c r="AC68" s="51">
        <f t="shared" si="133"/>
        <v>0</v>
      </c>
      <c r="AD68" s="11">
        <f t="shared" si="133"/>
        <v>0</v>
      </c>
      <c r="AE68" s="11">
        <f t="shared" si="133"/>
        <v>0</v>
      </c>
      <c r="AF68" s="11">
        <f t="shared" si="133"/>
        <v>0</v>
      </c>
      <c r="AG68" s="18">
        <f t="shared" si="133"/>
        <v>0</v>
      </c>
      <c r="AH68" s="56">
        <f>(0.5+1.75)/165</f>
        <v>1.3636363636363636E-2</v>
      </c>
      <c r="AI68" s="11">
        <f t="shared" si="161"/>
        <v>0</v>
      </c>
      <c r="AJ68" s="11">
        <f>(0+4)/165</f>
        <v>2.4242424242424242E-2</v>
      </c>
      <c r="AK68" s="11">
        <f t="shared" si="161"/>
        <v>0</v>
      </c>
      <c r="AL68" s="11">
        <f t="shared" si="161"/>
        <v>0</v>
      </c>
      <c r="AM68" s="11">
        <f>(4+5)/165</f>
        <v>5.4545454545454543E-2</v>
      </c>
      <c r="AN68" s="56">
        <f t="shared" si="105"/>
        <v>0</v>
      </c>
      <c r="AO68" s="11">
        <f t="shared" si="105"/>
        <v>0</v>
      </c>
      <c r="AP68" s="11">
        <f t="shared" si="105"/>
        <v>0</v>
      </c>
      <c r="AQ68" s="11">
        <f t="shared" si="105"/>
        <v>0</v>
      </c>
      <c r="AR68" s="11">
        <f t="shared" si="105"/>
        <v>0</v>
      </c>
      <c r="AS68" s="11">
        <f t="shared" si="105"/>
        <v>0</v>
      </c>
      <c r="AT68" s="61">
        <f t="shared" si="158"/>
        <v>0</v>
      </c>
      <c r="AU68" s="58">
        <f t="shared" si="158"/>
        <v>0</v>
      </c>
      <c r="AV68" s="58">
        <f t="shared" si="158"/>
        <v>0</v>
      </c>
      <c r="AW68" s="58">
        <f t="shared" si="158"/>
        <v>0</v>
      </c>
      <c r="AX68" s="58">
        <f t="shared" si="158"/>
        <v>0</v>
      </c>
      <c r="AY68" s="62">
        <f t="shared" si="158"/>
        <v>0</v>
      </c>
      <c r="AZ68" s="61">
        <f t="shared" si="116"/>
        <v>0</v>
      </c>
      <c r="BA68" s="58">
        <f t="shared" si="116"/>
        <v>0</v>
      </c>
      <c r="BB68" s="58">
        <f t="shared" si="116"/>
        <v>0</v>
      </c>
      <c r="BC68" s="58">
        <f t="shared" si="116"/>
        <v>0</v>
      </c>
      <c r="BD68" s="58">
        <f t="shared" si="116"/>
        <v>0</v>
      </c>
      <c r="BE68" s="58">
        <f t="shared" si="116"/>
        <v>0</v>
      </c>
      <c r="BF68" s="58">
        <f t="shared" si="116"/>
        <v>0</v>
      </c>
      <c r="BG68" s="61">
        <f t="shared" si="162"/>
        <v>0</v>
      </c>
      <c r="BH68" s="58">
        <f t="shared" si="162"/>
        <v>0</v>
      </c>
      <c r="BI68" s="58">
        <f t="shared" si="162"/>
        <v>0</v>
      </c>
      <c r="BJ68" s="58">
        <f t="shared" si="162"/>
        <v>0</v>
      </c>
      <c r="BK68" s="58">
        <f t="shared" si="162"/>
        <v>0</v>
      </c>
      <c r="BL68" s="58">
        <f t="shared" si="137"/>
        <v>0</v>
      </c>
      <c r="BM68" s="58">
        <f t="shared" si="137"/>
        <v>0</v>
      </c>
      <c r="BN68" s="62">
        <f t="shared" si="137"/>
        <v>0</v>
      </c>
      <c r="BO68" s="61">
        <f t="shared" si="151"/>
        <v>0</v>
      </c>
      <c r="BP68" s="58">
        <f t="shared" si="151"/>
        <v>0</v>
      </c>
      <c r="BQ68" s="58">
        <f t="shared" si="151"/>
        <v>0</v>
      </c>
      <c r="BR68" s="58">
        <f t="shared" si="151"/>
        <v>0</v>
      </c>
      <c r="BS68" s="58">
        <f t="shared" si="151"/>
        <v>0</v>
      </c>
      <c r="BT68" s="58">
        <f t="shared" si="138"/>
        <v>0</v>
      </c>
      <c r="BU68" s="58">
        <f t="shared" si="138"/>
        <v>0</v>
      </c>
      <c r="BV68" s="62">
        <f t="shared" si="138"/>
        <v>0</v>
      </c>
      <c r="BW68" s="61">
        <f t="shared" si="109"/>
        <v>0</v>
      </c>
      <c r="BX68" s="58">
        <f t="shared" si="109"/>
        <v>0</v>
      </c>
      <c r="BY68" s="58">
        <f t="shared" si="109"/>
        <v>0</v>
      </c>
      <c r="BZ68" s="58">
        <f t="shared" si="109"/>
        <v>0</v>
      </c>
      <c r="CA68" s="58">
        <f t="shared" si="109"/>
        <v>0</v>
      </c>
      <c r="CB68" s="58">
        <f t="shared" si="139"/>
        <v>0</v>
      </c>
      <c r="CC68" s="58">
        <f t="shared" si="139"/>
        <v>0</v>
      </c>
      <c r="CD68" s="62">
        <f t="shared" si="139"/>
        <v>0</v>
      </c>
      <c r="CE68" s="61">
        <f t="shared" si="163"/>
        <v>0</v>
      </c>
      <c r="CF68" s="58">
        <f t="shared" si="163"/>
        <v>0</v>
      </c>
      <c r="CG68" s="58">
        <f t="shared" si="163"/>
        <v>0</v>
      </c>
      <c r="CH68" s="58">
        <f t="shared" si="163"/>
        <v>0</v>
      </c>
      <c r="CI68" s="58">
        <f t="shared" si="163"/>
        <v>0</v>
      </c>
      <c r="CJ68" s="58">
        <f t="shared" si="140"/>
        <v>0</v>
      </c>
      <c r="CK68" s="58">
        <f t="shared" si="140"/>
        <v>0</v>
      </c>
      <c r="CL68" s="62">
        <f t="shared" si="140"/>
        <v>0</v>
      </c>
      <c r="CM68" s="61">
        <f t="shared" si="164"/>
        <v>0</v>
      </c>
      <c r="CN68" s="58">
        <f t="shared" si="164"/>
        <v>0</v>
      </c>
      <c r="CO68" s="58">
        <f t="shared" si="164"/>
        <v>0</v>
      </c>
      <c r="CP68" s="58">
        <f t="shared" si="164"/>
        <v>0</v>
      </c>
      <c r="CQ68" s="58">
        <f t="shared" si="164"/>
        <v>0</v>
      </c>
      <c r="CR68" s="58">
        <f t="shared" si="141"/>
        <v>0</v>
      </c>
      <c r="CS68" s="58">
        <f t="shared" si="141"/>
        <v>0</v>
      </c>
      <c r="CT68" s="62">
        <f t="shared" si="141"/>
        <v>0</v>
      </c>
      <c r="CU68" s="235"/>
    </row>
    <row r="69" spans="1:99" ht="26.25" hidden="1" customHeight="1" outlineLevel="1" x14ac:dyDescent="0.4">
      <c r="A69" s="350">
        <v>32</v>
      </c>
      <c r="B69" s="350" t="s">
        <v>47</v>
      </c>
      <c r="C69" s="350" t="s">
        <v>343</v>
      </c>
      <c r="D69" s="352" t="s">
        <v>344</v>
      </c>
      <c r="E69" s="352" t="s">
        <v>714</v>
      </c>
      <c r="F69" s="352" t="s">
        <v>699</v>
      </c>
      <c r="G69" s="385" t="s">
        <v>703</v>
      </c>
      <c r="H69" s="446">
        <f t="shared" ref="H69:H114" si="165">SUM(AZ69:BF69)</f>
        <v>0</v>
      </c>
      <c r="I69" s="446">
        <f t="shared" ref="I69:I114" si="166">SUM(AZ70:BF70)</f>
        <v>0</v>
      </c>
      <c r="J69" s="448"/>
      <c r="K69" s="452"/>
      <c r="L69" s="452"/>
      <c r="M69" s="450"/>
      <c r="N69" s="47" t="s">
        <v>88</v>
      </c>
      <c r="O69" s="10">
        <f t="shared" si="134"/>
        <v>0</v>
      </c>
      <c r="P69" s="10">
        <f t="shared" si="134"/>
        <v>0</v>
      </c>
      <c r="Q69" s="10">
        <f t="shared" si="134"/>
        <v>0</v>
      </c>
      <c r="R69" s="10">
        <f t="shared" si="134"/>
        <v>0</v>
      </c>
      <c r="S69" s="10">
        <f t="shared" si="134"/>
        <v>0</v>
      </c>
      <c r="T69" s="10">
        <f t="shared" si="134"/>
        <v>0</v>
      </c>
      <c r="U69" s="79">
        <f t="shared" si="134"/>
        <v>0</v>
      </c>
      <c r="V69" s="19">
        <f t="shared" si="144"/>
        <v>0</v>
      </c>
      <c r="W69" s="10">
        <f t="shared" si="144"/>
        <v>0</v>
      </c>
      <c r="X69" s="10">
        <f t="shared" si="144"/>
        <v>0</v>
      </c>
      <c r="Y69" s="10">
        <f t="shared" si="144"/>
        <v>0</v>
      </c>
      <c r="Z69" s="10">
        <f t="shared" si="144"/>
        <v>0</v>
      </c>
      <c r="AA69" s="10">
        <f t="shared" si="148"/>
        <v>0</v>
      </c>
      <c r="AB69" s="19">
        <f t="shared" si="133"/>
        <v>0</v>
      </c>
      <c r="AC69" s="10">
        <f t="shared" si="133"/>
        <v>0</v>
      </c>
      <c r="AD69" s="210">
        <f t="shared" si="133"/>
        <v>0</v>
      </c>
      <c r="AE69" s="10">
        <f t="shared" si="133"/>
        <v>0</v>
      </c>
      <c r="AF69" s="10">
        <f t="shared" si="133"/>
        <v>0</v>
      </c>
      <c r="AG69" s="10">
        <f t="shared" si="133"/>
        <v>0</v>
      </c>
      <c r="AH69" s="71">
        <f>(5)/165</f>
        <v>3.0303030303030304E-2</v>
      </c>
      <c r="AI69" s="10">
        <f>(2)/165</f>
        <v>1.2121212121212121E-2</v>
      </c>
      <c r="AJ69" s="10">
        <f t="shared" si="161"/>
        <v>0</v>
      </c>
      <c r="AK69" s="10">
        <f t="shared" si="161"/>
        <v>0</v>
      </c>
      <c r="AL69" s="10">
        <f t="shared" si="161"/>
        <v>0</v>
      </c>
      <c r="AM69" s="10">
        <f>(18)/165</f>
        <v>0.10909090909090909</v>
      </c>
      <c r="AN69" s="71">
        <f t="shared" si="105"/>
        <v>0</v>
      </c>
      <c r="AO69" s="10">
        <f t="shared" si="105"/>
        <v>0</v>
      </c>
      <c r="AP69" s="10">
        <f t="shared" si="105"/>
        <v>0</v>
      </c>
      <c r="AQ69" s="10">
        <f t="shared" si="105"/>
        <v>0</v>
      </c>
      <c r="AR69" s="10">
        <f t="shared" si="105"/>
        <v>0</v>
      </c>
      <c r="AS69" s="10">
        <f t="shared" si="105"/>
        <v>0</v>
      </c>
      <c r="AT69" s="189">
        <f t="shared" si="158"/>
        <v>0</v>
      </c>
      <c r="AU69" s="10">
        <f t="shared" si="158"/>
        <v>0</v>
      </c>
      <c r="AV69" s="10">
        <f t="shared" si="158"/>
        <v>0</v>
      </c>
      <c r="AW69" s="10">
        <f t="shared" si="158"/>
        <v>0</v>
      </c>
      <c r="AX69" s="10">
        <f t="shared" si="158"/>
        <v>0</v>
      </c>
      <c r="AY69" s="17">
        <f t="shared" si="158"/>
        <v>0</v>
      </c>
      <c r="AZ69" s="19">
        <f t="shared" si="116"/>
        <v>0</v>
      </c>
      <c r="BA69" s="10">
        <f t="shared" si="116"/>
        <v>0</v>
      </c>
      <c r="BB69" s="10">
        <f t="shared" si="116"/>
        <v>0</v>
      </c>
      <c r="BC69" s="10">
        <f t="shared" si="116"/>
        <v>0</v>
      </c>
      <c r="BD69" s="10">
        <f t="shared" si="116"/>
        <v>0</v>
      </c>
      <c r="BE69" s="10">
        <f t="shared" si="116"/>
        <v>0</v>
      </c>
      <c r="BF69" s="10">
        <f t="shared" si="116"/>
        <v>0</v>
      </c>
      <c r="BG69" s="19">
        <f t="shared" si="162"/>
        <v>0</v>
      </c>
      <c r="BH69" s="10">
        <f t="shared" si="162"/>
        <v>0</v>
      </c>
      <c r="BI69" s="10">
        <f t="shared" si="162"/>
        <v>0</v>
      </c>
      <c r="BJ69" s="10">
        <f t="shared" si="162"/>
        <v>0</v>
      </c>
      <c r="BK69" s="10">
        <f t="shared" si="162"/>
        <v>0</v>
      </c>
      <c r="BL69" s="10">
        <f t="shared" si="137"/>
        <v>0</v>
      </c>
      <c r="BM69" s="10">
        <f t="shared" si="137"/>
        <v>0</v>
      </c>
      <c r="BN69" s="17">
        <f t="shared" si="137"/>
        <v>0</v>
      </c>
      <c r="BO69" s="19">
        <f t="shared" ref="BO69:BS78" si="167">0/157.5</f>
        <v>0</v>
      </c>
      <c r="BP69" s="10">
        <f t="shared" si="167"/>
        <v>0</v>
      </c>
      <c r="BQ69" s="10">
        <f t="shared" si="167"/>
        <v>0</v>
      </c>
      <c r="BR69" s="10">
        <f t="shared" si="167"/>
        <v>0</v>
      </c>
      <c r="BS69" s="10">
        <f t="shared" si="167"/>
        <v>0</v>
      </c>
      <c r="BT69" s="10">
        <f t="shared" si="138"/>
        <v>0</v>
      </c>
      <c r="BU69" s="10">
        <f t="shared" si="138"/>
        <v>0</v>
      </c>
      <c r="BV69" s="17">
        <f t="shared" si="138"/>
        <v>0</v>
      </c>
      <c r="BW69" s="71">
        <f t="shared" si="109"/>
        <v>0</v>
      </c>
      <c r="BX69" s="10">
        <f t="shared" si="109"/>
        <v>0</v>
      </c>
      <c r="BY69" s="10">
        <f t="shared" si="109"/>
        <v>0</v>
      </c>
      <c r="BZ69" s="10">
        <f t="shared" si="109"/>
        <v>0</v>
      </c>
      <c r="CA69" s="10">
        <f t="shared" si="109"/>
        <v>0</v>
      </c>
      <c r="CB69" s="10">
        <f t="shared" si="139"/>
        <v>0</v>
      </c>
      <c r="CC69" s="10">
        <f t="shared" si="139"/>
        <v>0</v>
      </c>
      <c r="CD69" s="17">
        <f t="shared" si="139"/>
        <v>0</v>
      </c>
      <c r="CE69" s="19">
        <f t="shared" si="163"/>
        <v>0</v>
      </c>
      <c r="CF69" s="10">
        <f t="shared" si="163"/>
        <v>0</v>
      </c>
      <c r="CG69" s="10">
        <f t="shared" si="163"/>
        <v>0</v>
      </c>
      <c r="CH69" s="10">
        <f t="shared" si="163"/>
        <v>0</v>
      </c>
      <c r="CI69" s="10">
        <f t="shared" si="163"/>
        <v>0</v>
      </c>
      <c r="CJ69" s="10">
        <f t="shared" si="140"/>
        <v>0</v>
      </c>
      <c r="CK69" s="10">
        <f t="shared" si="140"/>
        <v>0</v>
      </c>
      <c r="CL69" s="17">
        <f t="shared" si="140"/>
        <v>0</v>
      </c>
      <c r="CM69" s="19">
        <f t="shared" si="164"/>
        <v>0</v>
      </c>
      <c r="CN69" s="10">
        <f t="shared" si="164"/>
        <v>0</v>
      </c>
      <c r="CO69" s="10">
        <f t="shared" si="164"/>
        <v>0</v>
      </c>
      <c r="CP69" s="10">
        <f t="shared" si="164"/>
        <v>0</v>
      </c>
      <c r="CQ69" s="10">
        <f t="shared" si="164"/>
        <v>0</v>
      </c>
      <c r="CR69" s="10">
        <f t="shared" si="141"/>
        <v>0</v>
      </c>
      <c r="CS69" s="10">
        <f t="shared" si="141"/>
        <v>0</v>
      </c>
      <c r="CT69" s="17">
        <f t="shared" si="141"/>
        <v>0</v>
      </c>
      <c r="CU69" s="235"/>
    </row>
    <row r="70" spans="1:99" ht="26.25" hidden="1" customHeight="1" outlineLevel="1" x14ac:dyDescent="0.4">
      <c r="A70" s="351"/>
      <c r="B70" s="351"/>
      <c r="C70" s="351"/>
      <c r="D70" s="353"/>
      <c r="E70" s="353"/>
      <c r="F70" s="353"/>
      <c r="G70" s="385"/>
      <c r="H70" s="447"/>
      <c r="I70" s="447"/>
      <c r="J70" s="449"/>
      <c r="K70" s="453"/>
      <c r="L70" s="453"/>
      <c r="M70" s="451"/>
      <c r="N70" s="38" t="s">
        <v>89</v>
      </c>
      <c r="O70" s="11">
        <f t="shared" si="134"/>
        <v>0</v>
      </c>
      <c r="P70" s="11">
        <f t="shared" si="134"/>
        <v>0</v>
      </c>
      <c r="Q70" s="11">
        <f t="shared" si="134"/>
        <v>0</v>
      </c>
      <c r="R70" s="11">
        <f t="shared" si="134"/>
        <v>0</v>
      </c>
      <c r="S70" s="11">
        <f t="shared" si="134"/>
        <v>0</v>
      </c>
      <c r="T70" s="11">
        <f t="shared" si="134"/>
        <v>0</v>
      </c>
      <c r="U70" s="48">
        <f t="shared" si="134"/>
        <v>0</v>
      </c>
      <c r="V70" s="56">
        <f t="shared" si="144"/>
        <v>0</v>
      </c>
      <c r="W70" s="18">
        <f t="shared" si="144"/>
        <v>0</v>
      </c>
      <c r="X70" s="18">
        <f t="shared" si="144"/>
        <v>0</v>
      </c>
      <c r="Y70" s="18">
        <f t="shared" si="144"/>
        <v>0</v>
      </c>
      <c r="Z70" s="18">
        <f t="shared" si="144"/>
        <v>0</v>
      </c>
      <c r="AA70" s="18">
        <f t="shared" si="148"/>
        <v>0</v>
      </c>
      <c r="AB70" s="41">
        <f t="shared" si="133"/>
        <v>0</v>
      </c>
      <c r="AC70" s="51">
        <f t="shared" si="133"/>
        <v>0</v>
      </c>
      <c r="AD70" s="11">
        <f t="shared" si="133"/>
        <v>0</v>
      </c>
      <c r="AE70" s="11">
        <f t="shared" si="133"/>
        <v>0</v>
      </c>
      <c r="AF70" s="11">
        <f t="shared" si="133"/>
        <v>0</v>
      </c>
      <c r="AG70" s="18">
        <f t="shared" si="133"/>
        <v>0</v>
      </c>
      <c r="AH70" s="56">
        <f>(0+2+1.5+1.5)/165</f>
        <v>3.0303030303030304E-2</v>
      </c>
      <c r="AI70" s="11">
        <f>(0+1)/165</f>
        <v>6.0606060606060606E-3</v>
      </c>
      <c r="AJ70" s="11">
        <f t="shared" si="161"/>
        <v>0</v>
      </c>
      <c r="AK70" s="11">
        <f t="shared" si="161"/>
        <v>0</v>
      </c>
      <c r="AL70" s="11">
        <f t="shared" si="161"/>
        <v>0</v>
      </c>
      <c r="AM70" s="11">
        <f>(0+8.5+6+3.25)/165</f>
        <v>0.10757575757575757</v>
      </c>
      <c r="AN70" s="56">
        <f t="shared" si="105"/>
        <v>0</v>
      </c>
      <c r="AO70" s="11">
        <f t="shared" si="105"/>
        <v>0</v>
      </c>
      <c r="AP70" s="11">
        <f t="shared" si="105"/>
        <v>0</v>
      </c>
      <c r="AQ70" s="11">
        <f t="shared" si="105"/>
        <v>0</v>
      </c>
      <c r="AR70" s="11">
        <f t="shared" si="105"/>
        <v>0</v>
      </c>
      <c r="AS70" s="11">
        <f t="shared" si="105"/>
        <v>0</v>
      </c>
      <c r="AT70" s="61">
        <f t="shared" si="158"/>
        <v>0</v>
      </c>
      <c r="AU70" s="58">
        <f t="shared" si="158"/>
        <v>0</v>
      </c>
      <c r="AV70" s="58">
        <f t="shared" si="158"/>
        <v>0</v>
      </c>
      <c r="AW70" s="58">
        <f t="shared" si="158"/>
        <v>0</v>
      </c>
      <c r="AX70" s="58">
        <f t="shared" si="158"/>
        <v>0</v>
      </c>
      <c r="AY70" s="62">
        <f t="shared" si="158"/>
        <v>0</v>
      </c>
      <c r="AZ70" s="61">
        <f t="shared" si="116"/>
        <v>0</v>
      </c>
      <c r="BA70" s="58">
        <f t="shared" si="116"/>
        <v>0</v>
      </c>
      <c r="BB70" s="58">
        <f t="shared" si="116"/>
        <v>0</v>
      </c>
      <c r="BC70" s="58">
        <f t="shared" si="116"/>
        <v>0</v>
      </c>
      <c r="BD70" s="58">
        <f t="shared" si="116"/>
        <v>0</v>
      </c>
      <c r="BE70" s="58">
        <f t="shared" si="116"/>
        <v>0</v>
      </c>
      <c r="BF70" s="58">
        <f t="shared" si="116"/>
        <v>0</v>
      </c>
      <c r="BG70" s="61">
        <f t="shared" si="162"/>
        <v>0</v>
      </c>
      <c r="BH70" s="58">
        <f t="shared" si="162"/>
        <v>0</v>
      </c>
      <c r="BI70" s="58">
        <f t="shared" si="162"/>
        <v>0</v>
      </c>
      <c r="BJ70" s="58">
        <f t="shared" si="162"/>
        <v>0</v>
      </c>
      <c r="BK70" s="58">
        <f t="shared" si="162"/>
        <v>0</v>
      </c>
      <c r="BL70" s="58">
        <f t="shared" si="137"/>
        <v>0</v>
      </c>
      <c r="BM70" s="58">
        <f t="shared" si="137"/>
        <v>0</v>
      </c>
      <c r="BN70" s="62">
        <f t="shared" si="137"/>
        <v>0</v>
      </c>
      <c r="BO70" s="61">
        <f t="shared" si="167"/>
        <v>0</v>
      </c>
      <c r="BP70" s="58">
        <f t="shared" si="167"/>
        <v>0</v>
      </c>
      <c r="BQ70" s="58">
        <f t="shared" si="167"/>
        <v>0</v>
      </c>
      <c r="BR70" s="58">
        <f t="shared" si="167"/>
        <v>0</v>
      </c>
      <c r="BS70" s="58">
        <f t="shared" si="167"/>
        <v>0</v>
      </c>
      <c r="BT70" s="58">
        <f t="shared" si="138"/>
        <v>0</v>
      </c>
      <c r="BU70" s="58">
        <f t="shared" si="138"/>
        <v>0</v>
      </c>
      <c r="BV70" s="62">
        <f t="shared" si="138"/>
        <v>0</v>
      </c>
      <c r="BW70" s="61">
        <f t="shared" si="109"/>
        <v>0</v>
      </c>
      <c r="BX70" s="58">
        <f t="shared" si="109"/>
        <v>0</v>
      </c>
      <c r="BY70" s="58">
        <f t="shared" si="109"/>
        <v>0</v>
      </c>
      <c r="BZ70" s="58">
        <f t="shared" si="109"/>
        <v>0</v>
      </c>
      <c r="CA70" s="58">
        <f t="shared" si="109"/>
        <v>0</v>
      </c>
      <c r="CB70" s="58">
        <f t="shared" si="139"/>
        <v>0</v>
      </c>
      <c r="CC70" s="58">
        <f t="shared" si="139"/>
        <v>0</v>
      </c>
      <c r="CD70" s="62">
        <f t="shared" si="139"/>
        <v>0</v>
      </c>
      <c r="CE70" s="61">
        <f t="shared" si="163"/>
        <v>0</v>
      </c>
      <c r="CF70" s="58">
        <f t="shared" si="163"/>
        <v>0</v>
      </c>
      <c r="CG70" s="58">
        <f t="shared" si="163"/>
        <v>0</v>
      </c>
      <c r="CH70" s="58">
        <f t="shared" si="163"/>
        <v>0</v>
      </c>
      <c r="CI70" s="58">
        <f t="shared" si="163"/>
        <v>0</v>
      </c>
      <c r="CJ70" s="58">
        <f t="shared" si="140"/>
        <v>0</v>
      </c>
      <c r="CK70" s="58">
        <f t="shared" si="140"/>
        <v>0</v>
      </c>
      <c r="CL70" s="62">
        <f t="shared" si="140"/>
        <v>0</v>
      </c>
      <c r="CM70" s="61">
        <f t="shared" si="164"/>
        <v>0</v>
      </c>
      <c r="CN70" s="58">
        <f t="shared" si="164"/>
        <v>0</v>
      </c>
      <c r="CO70" s="58">
        <f t="shared" si="164"/>
        <v>0</v>
      </c>
      <c r="CP70" s="58">
        <f t="shared" si="164"/>
        <v>0</v>
      </c>
      <c r="CQ70" s="58">
        <f t="shared" si="164"/>
        <v>0</v>
      </c>
      <c r="CR70" s="58">
        <f t="shared" si="141"/>
        <v>0</v>
      </c>
      <c r="CS70" s="58">
        <f t="shared" si="141"/>
        <v>0</v>
      </c>
      <c r="CT70" s="62">
        <f t="shared" si="141"/>
        <v>0</v>
      </c>
      <c r="CU70" s="235"/>
    </row>
    <row r="71" spans="1:99" ht="26.25" hidden="1" customHeight="1" outlineLevel="1" x14ac:dyDescent="0.4">
      <c r="A71" s="350">
        <v>33</v>
      </c>
      <c r="B71" s="350" t="s">
        <v>47</v>
      </c>
      <c r="C71" s="350" t="s">
        <v>343</v>
      </c>
      <c r="D71" s="352" t="s">
        <v>424</v>
      </c>
      <c r="E71" s="352" t="s">
        <v>715</v>
      </c>
      <c r="F71" s="352" t="s">
        <v>700</v>
      </c>
      <c r="G71" s="385" t="s">
        <v>704</v>
      </c>
      <c r="H71" s="446">
        <f t="shared" ref="H71:H114" si="168">SUM(AZ71:BF71)</f>
        <v>0</v>
      </c>
      <c r="I71" s="446">
        <f t="shared" ref="I71:I114" si="169">SUM(AZ72:BF72)</f>
        <v>0</v>
      </c>
      <c r="J71" s="448"/>
      <c r="K71" s="452"/>
      <c r="L71" s="452"/>
      <c r="M71" s="450"/>
      <c r="N71" s="47" t="s">
        <v>24</v>
      </c>
      <c r="O71" s="10">
        <f t="shared" si="134"/>
        <v>0</v>
      </c>
      <c r="P71" s="10">
        <f t="shared" si="134"/>
        <v>0</v>
      </c>
      <c r="Q71" s="10">
        <f t="shared" si="134"/>
        <v>0</v>
      </c>
      <c r="R71" s="10">
        <f t="shared" si="134"/>
        <v>0</v>
      </c>
      <c r="S71" s="10">
        <f t="shared" si="134"/>
        <v>0</v>
      </c>
      <c r="T71" s="10">
        <f t="shared" si="134"/>
        <v>0</v>
      </c>
      <c r="U71" s="79">
        <f t="shared" si="134"/>
        <v>0</v>
      </c>
      <c r="V71" s="19">
        <f t="shared" si="144"/>
        <v>0</v>
      </c>
      <c r="W71" s="10">
        <f t="shared" si="144"/>
        <v>0</v>
      </c>
      <c r="X71" s="10">
        <f t="shared" si="144"/>
        <v>0</v>
      </c>
      <c r="Y71" s="10">
        <f t="shared" si="144"/>
        <v>0</v>
      </c>
      <c r="Z71" s="10">
        <f t="shared" si="144"/>
        <v>0</v>
      </c>
      <c r="AA71" s="10">
        <f t="shared" si="148"/>
        <v>0</v>
      </c>
      <c r="AB71" s="19">
        <f t="shared" si="133"/>
        <v>0</v>
      </c>
      <c r="AC71" s="10">
        <f t="shared" si="133"/>
        <v>0</v>
      </c>
      <c r="AD71" s="210">
        <f t="shared" si="133"/>
        <v>0</v>
      </c>
      <c r="AE71" s="10">
        <f t="shared" si="133"/>
        <v>0</v>
      </c>
      <c r="AF71" s="10">
        <f t="shared" si="133"/>
        <v>0</v>
      </c>
      <c r="AG71" s="10">
        <f t="shared" si="133"/>
        <v>0</v>
      </c>
      <c r="AH71" s="71">
        <f>(6)/165</f>
        <v>3.6363636363636362E-2</v>
      </c>
      <c r="AI71" s="10">
        <f>(27)/165</f>
        <v>0.16363636363636364</v>
      </c>
      <c r="AJ71" s="10">
        <f t="shared" si="161"/>
        <v>0</v>
      </c>
      <c r="AK71" s="10">
        <f>(20)/165</f>
        <v>0.12121212121212122</v>
      </c>
      <c r="AL71" s="10">
        <f t="shared" si="161"/>
        <v>0</v>
      </c>
      <c r="AM71" s="10">
        <f t="shared" si="161"/>
        <v>0</v>
      </c>
      <c r="AN71" s="71">
        <f t="shared" si="105"/>
        <v>0</v>
      </c>
      <c r="AO71" s="10">
        <f t="shared" si="105"/>
        <v>0</v>
      </c>
      <c r="AP71" s="10">
        <f t="shared" si="105"/>
        <v>0</v>
      </c>
      <c r="AQ71" s="10">
        <f t="shared" si="105"/>
        <v>0</v>
      </c>
      <c r="AR71" s="10">
        <f t="shared" si="105"/>
        <v>0</v>
      </c>
      <c r="AS71" s="10">
        <f t="shared" si="105"/>
        <v>0</v>
      </c>
      <c r="AT71" s="189">
        <f t="shared" si="158"/>
        <v>0</v>
      </c>
      <c r="AU71" s="10">
        <f t="shared" si="158"/>
        <v>0</v>
      </c>
      <c r="AV71" s="10">
        <f t="shared" si="158"/>
        <v>0</v>
      </c>
      <c r="AW71" s="10">
        <f t="shared" si="158"/>
        <v>0</v>
      </c>
      <c r="AX71" s="10">
        <f t="shared" si="158"/>
        <v>0</v>
      </c>
      <c r="AY71" s="17">
        <f t="shared" si="158"/>
        <v>0</v>
      </c>
      <c r="AZ71" s="19">
        <f t="shared" si="116"/>
        <v>0</v>
      </c>
      <c r="BA71" s="10">
        <f t="shared" si="116"/>
        <v>0</v>
      </c>
      <c r="BB71" s="10">
        <f t="shared" si="116"/>
        <v>0</v>
      </c>
      <c r="BC71" s="10">
        <f t="shared" si="116"/>
        <v>0</v>
      </c>
      <c r="BD71" s="10">
        <f t="shared" si="116"/>
        <v>0</v>
      </c>
      <c r="BE71" s="10">
        <f t="shared" si="116"/>
        <v>0</v>
      </c>
      <c r="BF71" s="10">
        <f t="shared" si="116"/>
        <v>0</v>
      </c>
      <c r="BG71" s="19">
        <f t="shared" si="162"/>
        <v>0</v>
      </c>
      <c r="BH71" s="10">
        <f t="shared" si="162"/>
        <v>0</v>
      </c>
      <c r="BI71" s="10">
        <f t="shared" si="162"/>
        <v>0</v>
      </c>
      <c r="BJ71" s="10">
        <f t="shared" si="162"/>
        <v>0</v>
      </c>
      <c r="BK71" s="10">
        <f t="shared" si="162"/>
        <v>0</v>
      </c>
      <c r="BL71" s="10">
        <f t="shared" si="137"/>
        <v>0</v>
      </c>
      <c r="BM71" s="10">
        <f t="shared" si="137"/>
        <v>0</v>
      </c>
      <c r="BN71" s="17">
        <f t="shared" si="137"/>
        <v>0</v>
      </c>
      <c r="BO71" s="19">
        <f t="shared" si="167"/>
        <v>0</v>
      </c>
      <c r="BP71" s="10">
        <f t="shared" si="167"/>
        <v>0</v>
      </c>
      <c r="BQ71" s="10">
        <f t="shared" si="167"/>
        <v>0</v>
      </c>
      <c r="BR71" s="10">
        <f t="shared" si="167"/>
        <v>0</v>
      </c>
      <c r="BS71" s="10">
        <f t="shared" si="167"/>
        <v>0</v>
      </c>
      <c r="BT71" s="10">
        <f t="shared" si="138"/>
        <v>0</v>
      </c>
      <c r="BU71" s="10">
        <f t="shared" si="138"/>
        <v>0</v>
      </c>
      <c r="BV71" s="17">
        <f t="shared" si="138"/>
        <v>0</v>
      </c>
      <c r="BW71" s="71">
        <f t="shared" si="109"/>
        <v>0</v>
      </c>
      <c r="BX71" s="10">
        <f t="shared" si="109"/>
        <v>0</v>
      </c>
      <c r="BY71" s="10">
        <f t="shared" si="109"/>
        <v>0</v>
      </c>
      <c r="BZ71" s="10">
        <f t="shared" si="109"/>
        <v>0</v>
      </c>
      <c r="CA71" s="10">
        <f t="shared" si="109"/>
        <v>0</v>
      </c>
      <c r="CB71" s="10">
        <f t="shared" si="139"/>
        <v>0</v>
      </c>
      <c r="CC71" s="10">
        <f t="shared" si="139"/>
        <v>0</v>
      </c>
      <c r="CD71" s="17">
        <f t="shared" si="139"/>
        <v>0</v>
      </c>
      <c r="CE71" s="19">
        <f t="shared" si="163"/>
        <v>0</v>
      </c>
      <c r="CF71" s="10">
        <f t="shared" si="163"/>
        <v>0</v>
      </c>
      <c r="CG71" s="10">
        <f t="shared" si="163"/>
        <v>0</v>
      </c>
      <c r="CH71" s="10">
        <f t="shared" si="163"/>
        <v>0</v>
      </c>
      <c r="CI71" s="10">
        <f t="shared" si="163"/>
        <v>0</v>
      </c>
      <c r="CJ71" s="10">
        <f t="shared" si="140"/>
        <v>0</v>
      </c>
      <c r="CK71" s="10">
        <f t="shared" si="140"/>
        <v>0</v>
      </c>
      <c r="CL71" s="17">
        <f t="shared" si="140"/>
        <v>0</v>
      </c>
      <c r="CM71" s="19">
        <f t="shared" si="164"/>
        <v>0</v>
      </c>
      <c r="CN71" s="10">
        <f t="shared" si="164"/>
        <v>0</v>
      </c>
      <c r="CO71" s="10">
        <f t="shared" si="164"/>
        <v>0</v>
      </c>
      <c r="CP71" s="10">
        <f t="shared" si="164"/>
        <v>0</v>
      </c>
      <c r="CQ71" s="10">
        <f t="shared" si="164"/>
        <v>0</v>
      </c>
      <c r="CR71" s="10">
        <f t="shared" si="141"/>
        <v>0</v>
      </c>
      <c r="CS71" s="10">
        <f t="shared" si="141"/>
        <v>0</v>
      </c>
      <c r="CT71" s="17">
        <f t="shared" si="141"/>
        <v>0</v>
      </c>
      <c r="CU71" s="235"/>
    </row>
    <row r="72" spans="1:99" ht="26.25" hidden="1" customHeight="1" outlineLevel="1" x14ac:dyDescent="0.4">
      <c r="A72" s="351"/>
      <c r="B72" s="351"/>
      <c r="C72" s="351"/>
      <c r="D72" s="353"/>
      <c r="E72" s="353"/>
      <c r="F72" s="353"/>
      <c r="G72" s="385"/>
      <c r="H72" s="447"/>
      <c r="I72" s="447"/>
      <c r="J72" s="449"/>
      <c r="K72" s="453"/>
      <c r="L72" s="453"/>
      <c r="M72" s="451"/>
      <c r="N72" s="38" t="s">
        <v>25</v>
      </c>
      <c r="O72" s="11">
        <f t="shared" si="134"/>
        <v>0</v>
      </c>
      <c r="P72" s="11">
        <f t="shared" si="134"/>
        <v>0</v>
      </c>
      <c r="Q72" s="11">
        <f t="shared" si="134"/>
        <v>0</v>
      </c>
      <c r="R72" s="11">
        <f t="shared" si="134"/>
        <v>0</v>
      </c>
      <c r="S72" s="11">
        <f t="shared" si="134"/>
        <v>0</v>
      </c>
      <c r="T72" s="11">
        <f t="shared" si="134"/>
        <v>0</v>
      </c>
      <c r="U72" s="48">
        <f t="shared" si="134"/>
        <v>0</v>
      </c>
      <c r="V72" s="56">
        <f t="shared" si="144"/>
        <v>0</v>
      </c>
      <c r="W72" s="18">
        <f t="shared" si="144"/>
        <v>0</v>
      </c>
      <c r="X72" s="18">
        <f t="shared" si="144"/>
        <v>0</v>
      </c>
      <c r="Y72" s="18">
        <f t="shared" si="144"/>
        <v>0</v>
      </c>
      <c r="Z72" s="18">
        <f t="shared" si="144"/>
        <v>0</v>
      </c>
      <c r="AA72" s="18">
        <f t="shared" si="148"/>
        <v>0</v>
      </c>
      <c r="AB72" s="41">
        <f t="shared" si="133"/>
        <v>0</v>
      </c>
      <c r="AC72" s="51">
        <f t="shared" si="133"/>
        <v>0</v>
      </c>
      <c r="AD72" s="11">
        <f t="shared" si="133"/>
        <v>0</v>
      </c>
      <c r="AE72" s="11">
        <f t="shared" si="133"/>
        <v>0</v>
      </c>
      <c r="AF72" s="11">
        <f t="shared" si="133"/>
        <v>0</v>
      </c>
      <c r="AG72" s="18">
        <f t="shared" si="133"/>
        <v>0</v>
      </c>
      <c r="AH72" s="56">
        <f>(0+2+2.5+1.5+0.5)/165</f>
        <v>3.9393939393939391E-2</v>
      </c>
      <c r="AI72" s="11">
        <f>(0+12.5+9.5+2.5+2.25)/165</f>
        <v>0.16212121212121211</v>
      </c>
      <c r="AJ72" s="11">
        <f t="shared" si="161"/>
        <v>0</v>
      </c>
      <c r="AK72" s="11">
        <f>(0+10+4+1.5+2.75)/165</f>
        <v>0.11060606060606061</v>
      </c>
      <c r="AL72" s="11">
        <f t="shared" si="161"/>
        <v>0</v>
      </c>
      <c r="AM72" s="11">
        <f t="shared" si="161"/>
        <v>0</v>
      </c>
      <c r="AN72" s="56">
        <f t="shared" si="105"/>
        <v>0</v>
      </c>
      <c r="AO72" s="11">
        <f t="shared" si="105"/>
        <v>0</v>
      </c>
      <c r="AP72" s="11">
        <f t="shared" si="105"/>
        <v>0</v>
      </c>
      <c r="AQ72" s="11">
        <f t="shared" si="105"/>
        <v>0</v>
      </c>
      <c r="AR72" s="11">
        <f t="shared" si="105"/>
        <v>0</v>
      </c>
      <c r="AS72" s="11">
        <f t="shared" si="105"/>
        <v>0</v>
      </c>
      <c r="AT72" s="61">
        <f t="shared" si="158"/>
        <v>0</v>
      </c>
      <c r="AU72" s="58">
        <f t="shared" si="158"/>
        <v>0</v>
      </c>
      <c r="AV72" s="58">
        <f t="shared" si="158"/>
        <v>0</v>
      </c>
      <c r="AW72" s="58">
        <f t="shared" si="158"/>
        <v>0</v>
      </c>
      <c r="AX72" s="58">
        <f t="shared" si="158"/>
        <v>0</v>
      </c>
      <c r="AY72" s="62">
        <f t="shared" si="158"/>
        <v>0</v>
      </c>
      <c r="AZ72" s="61">
        <f t="shared" si="116"/>
        <v>0</v>
      </c>
      <c r="BA72" s="58">
        <f t="shared" si="116"/>
        <v>0</v>
      </c>
      <c r="BB72" s="58">
        <f t="shared" si="116"/>
        <v>0</v>
      </c>
      <c r="BC72" s="58">
        <f t="shared" si="116"/>
        <v>0</v>
      </c>
      <c r="BD72" s="58">
        <f t="shared" si="116"/>
        <v>0</v>
      </c>
      <c r="BE72" s="58">
        <f t="shared" si="116"/>
        <v>0</v>
      </c>
      <c r="BF72" s="58">
        <f t="shared" si="116"/>
        <v>0</v>
      </c>
      <c r="BG72" s="61">
        <f t="shared" si="162"/>
        <v>0</v>
      </c>
      <c r="BH72" s="58">
        <f t="shared" si="162"/>
        <v>0</v>
      </c>
      <c r="BI72" s="58">
        <f t="shared" si="162"/>
        <v>0</v>
      </c>
      <c r="BJ72" s="58">
        <f t="shared" si="162"/>
        <v>0</v>
      </c>
      <c r="BK72" s="58">
        <f t="shared" si="162"/>
        <v>0</v>
      </c>
      <c r="BL72" s="58">
        <f t="shared" si="137"/>
        <v>0</v>
      </c>
      <c r="BM72" s="58">
        <f t="shared" si="137"/>
        <v>0</v>
      </c>
      <c r="BN72" s="62">
        <f t="shared" si="137"/>
        <v>0</v>
      </c>
      <c r="BO72" s="61">
        <f t="shared" si="167"/>
        <v>0</v>
      </c>
      <c r="BP72" s="58">
        <f t="shared" si="167"/>
        <v>0</v>
      </c>
      <c r="BQ72" s="58">
        <f t="shared" si="167"/>
        <v>0</v>
      </c>
      <c r="BR72" s="58">
        <f t="shared" si="167"/>
        <v>0</v>
      </c>
      <c r="BS72" s="58">
        <f t="shared" si="167"/>
        <v>0</v>
      </c>
      <c r="BT72" s="58">
        <f t="shared" si="138"/>
        <v>0</v>
      </c>
      <c r="BU72" s="58">
        <f t="shared" si="138"/>
        <v>0</v>
      </c>
      <c r="BV72" s="62">
        <f t="shared" si="138"/>
        <v>0</v>
      </c>
      <c r="BW72" s="61">
        <f t="shared" si="109"/>
        <v>0</v>
      </c>
      <c r="BX72" s="58">
        <f t="shared" si="109"/>
        <v>0</v>
      </c>
      <c r="BY72" s="58">
        <f t="shared" si="109"/>
        <v>0</v>
      </c>
      <c r="BZ72" s="58">
        <f t="shared" si="109"/>
        <v>0</v>
      </c>
      <c r="CA72" s="58">
        <f t="shared" si="109"/>
        <v>0</v>
      </c>
      <c r="CB72" s="58">
        <f t="shared" si="139"/>
        <v>0</v>
      </c>
      <c r="CC72" s="58">
        <f t="shared" si="139"/>
        <v>0</v>
      </c>
      <c r="CD72" s="62">
        <f t="shared" si="139"/>
        <v>0</v>
      </c>
      <c r="CE72" s="61">
        <f t="shared" si="163"/>
        <v>0</v>
      </c>
      <c r="CF72" s="58">
        <f t="shared" si="163"/>
        <v>0</v>
      </c>
      <c r="CG72" s="58">
        <f t="shared" si="163"/>
        <v>0</v>
      </c>
      <c r="CH72" s="58">
        <f t="shared" si="163"/>
        <v>0</v>
      </c>
      <c r="CI72" s="58">
        <f t="shared" si="163"/>
        <v>0</v>
      </c>
      <c r="CJ72" s="58">
        <f t="shared" si="140"/>
        <v>0</v>
      </c>
      <c r="CK72" s="58">
        <f t="shared" si="140"/>
        <v>0</v>
      </c>
      <c r="CL72" s="62">
        <f t="shared" si="140"/>
        <v>0</v>
      </c>
      <c r="CM72" s="61">
        <f t="shared" si="164"/>
        <v>0</v>
      </c>
      <c r="CN72" s="58">
        <f t="shared" si="164"/>
        <v>0</v>
      </c>
      <c r="CO72" s="58">
        <f t="shared" si="164"/>
        <v>0</v>
      </c>
      <c r="CP72" s="58">
        <f t="shared" si="164"/>
        <v>0</v>
      </c>
      <c r="CQ72" s="58">
        <f t="shared" si="164"/>
        <v>0</v>
      </c>
      <c r="CR72" s="58">
        <f t="shared" si="141"/>
        <v>0</v>
      </c>
      <c r="CS72" s="58">
        <f t="shared" si="141"/>
        <v>0</v>
      </c>
      <c r="CT72" s="62">
        <f t="shared" si="141"/>
        <v>0</v>
      </c>
      <c r="CU72" s="235"/>
    </row>
    <row r="73" spans="1:99" ht="26.25" hidden="1" customHeight="1" outlineLevel="1" x14ac:dyDescent="0.4">
      <c r="A73" s="350">
        <v>34</v>
      </c>
      <c r="B73" s="350" t="s">
        <v>47</v>
      </c>
      <c r="C73" s="350" t="s">
        <v>343</v>
      </c>
      <c r="D73" s="352" t="s">
        <v>420</v>
      </c>
      <c r="E73" s="352" t="s">
        <v>716</v>
      </c>
      <c r="F73" s="352" t="s">
        <v>701</v>
      </c>
      <c r="G73" s="385" t="s">
        <v>705</v>
      </c>
      <c r="H73" s="446">
        <f t="shared" ref="H73:H114" si="170">SUM(AZ73:BF73)</f>
        <v>0</v>
      </c>
      <c r="I73" s="446">
        <f t="shared" ref="I73:I114" si="171">SUM(AZ74:BF74)</f>
        <v>0</v>
      </c>
      <c r="J73" s="448"/>
      <c r="K73" s="452"/>
      <c r="L73" s="452"/>
      <c r="M73" s="450"/>
      <c r="N73" s="47" t="s">
        <v>24</v>
      </c>
      <c r="O73" s="10">
        <f t="shared" si="134"/>
        <v>0</v>
      </c>
      <c r="P73" s="10">
        <f t="shared" si="134"/>
        <v>0</v>
      </c>
      <c r="Q73" s="10">
        <f t="shared" si="134"/>
        <v>0</v>
      </c>
      <c r="R73" s="10">
        <f t="shared" si="134"/>
        <v>0</v>
      </c>
      <c r="S73" s="10">
        <f t="shared" si="134"/>
        <v>0</v>
      </c>
      <c r="T73" s="10">
        <f t="shared" si="134"/>
        <v>0</v>
      </c>
      <c r="U73" s="79">
        <f t="shared" si="134"/>
        <v>0</v>
      </c>
      <c r="V73" s="19">
        <f t="shared" si="144"/>
        <v>0</v>
      </c>
      <c r="W73" s="10">
        <f t="shared" si="144"/>
        <v>0</v>
      </c>
      <c r="X73" s="10">
        <f t="shared" si="144"/>
        <v>0</v>
      </c>
      <c r="Y73" s="10">
        <f t="shared" si="144"/>
        <v>0</v>
      </c>
      <c r="Z73" s="10">
        <f t="shared" si="144"/>
        <v>0</v>
      </c>
      <c r="AA73" s="10">
        <f t="shared" si="148"/>
        <v>0</v>
      </c>
      <c r="AB73" s="19">
        <f t="shared" si="133"/>
        <v>0</v>
      </c>
      <c r="AC73" s="10">
        <f t="shared" si="133"/>
        <v>0</v>
      </c>
      <c r="AD73" s="210">
        <f t="shared" si="133"/>
        <v>0</v>
      </c>
      <c r="AE73" s="10">
        <f t="shared" si="133"/>
        <v>0</v>
      </c>
      <c r="AF73" s="10">
        <f t="shared" si="133"/>
        <v>0</v>
      </c>
      <c r="AG73" s="10">
        <f t="shared" si="133"/>
        <v>0</v>
      </c>
      <c r="AH73" s="71">
        <f>(6)/165</f>
        <v>3.6363636363636362E-2</v>
      </c>
      <c r="AI73" s="10">
        <f t="shared" si="161"/>
        <v>0</v>
      </c>
      <c r="AJ73" s="10">
        <f>(15)/165</f>
        <v>9.0909090909090912E-2</v>
      </c>
      <c r="AK73" s="10">
        <f>(3)/165</f>
        <v>1.8181818181818181E-2</v>
      </c>
      <c r="AL73" s="10">
        <f t="shared" si="161"/>
        <v>0</v>
      </c>
      <c r="AM73" s="10">
        <f t="shared" si="161"/>
        <v>0</v>
      </c>
      <c r="AN73" s="71">
        <f t="shared" si="105"/>
        <v>0</v>
      </c>
      <c r="AO73" s="10">
        <f t="shared" si="105"/>
        <v>0</v>
      </c>
      <c r="AP73" s="10">
        <f t="shared" si="105"/>
        <v>0</v>
      </c>
      <c r="AQ73" s="10">
        <f t="shared" si="105"/>
        <v>0</v>
      </c>
      <c r="AR73" s="10">
        <f t="shared" si="105"/>
        <v>0</v>
      </c>
      <c r="AS73" s="10">
        <f t="shared" si="105"/>
        <v>0</v>
      </c>
      <c r="AT73" s="189">
        <f t="shared" si="158"/>
        <v>0</v>
      </c>
      <c r="AU73" s="10">
        <f t="shared" si="158"/>
        <v>0</v>
      </c>
      <c r="AV73" s="10">
        <f t="shared" si="158"/>
        <v>0</v>
      </c>
      <c r="AW73" s="10">
        <f t="shared" si="158"/>
        <v>0</v>
      </c>
      <c r="AX73" s="10">
        <f t="shared" si="158"/>
        <v>0</v>
      </c>
      <c r="AY73" s="17">
        <f t="shared" si="158"/>
        <v>0</v>
      </c>
      <c r="AZ73" s="19">
        <f t="shared" si="116"/>
        <v>0</v>
      </c>
      <c r="BA73" s="10">
        <f t="shared" si="116"/>
        <v>0</v>
      </c>
      <c r="BB73" s="10">
        <f t="shared" si="116"/>
        <v>0</v>
      </c>
      <c r="BC73" s="10">
        <f t="shared" si="116"/>
        <v>0</v>
      </c>
      <c r="BD73" s="10">
        <f t="shared" si="116"/>
        <v>0</v>
      </c>
      <c r="BE73" s="10">
        <f t="shared" si="116"/>
        <v>0</v>
      </c>
      <c r="BF73" s="10">
        <f t="shared" si="116"/>
        <v>0</v>
      </c>
      <c r="BG73" s="19">
        <f t="shared" si="162"/>
        <v>0</v>
      </c>
      <c r="BH73" s="10">
        <f t="shared" si="162"/>
        <v>0</v>
      </c>
      <c r="BI73" s="10">
        <f t="shared" si="162"/>
        <v>0</v>
      </c>
      <c r="BJ73" s="10">
        <f t="shared" si="162"/>
        <v>0</v>
      </c>
      <c r="BK73" s="10">
        <f t="shared" si="162"/>
        <v>0</v>
      </c>
      <c r="BL73" s="10">
        <f t="shared" si="137"/>
        <v>0</v>
      </c>
      <c r="BM73" s="10">
        <f t="shared" si="137"/>
        <v>0</v>
      </c>
      <c r="BN73" s="17">
        <f t="shared" si="137"/>
        <v>0</v>
      </c>
      <c r="BO73" s="19">
        <f t="shared" si="167"/>
        <v>0</v>
      </c>
      <c r="BP73" s="10">
        <f t="shared" si="167"/>
        <v>0</v>
      </c>
      <c r="BQ73" s="10">
        <f t="shared" si="167"/>
        <v>0</v>
      </c>
      <c r="BR73" s="10">
        <f t="shared" si="167"/>
        <v>0</v>
      </c>
      <c r="BS73" s="10">
        <f t="shared" si="167"/>
        <v>0</v>
      </c>
      <c r="BT73" s="10">
        <f t="shared" si="138"/>
        <v>0</v>
      </c>
      <c r="BU73" s="10">
        <f t="shared" si="138"/>
        <v>0</v>
      </c>
      <c r="BV73" s="17">
        <f t="shared" si="138"/>
        <v>0</v>
      </c>
      <c r="BW73" s="71">
        <f t="shared" ref="BW73:CA106" si="172">0/157.5</f>
        <v>0</v>
      </c>
      <c r="BX73" s="10">
        <f t="shared" si="172"/>
        <v>0</v>
      </c>
      <c r="BY73" s="10">
        <f t="shared" si="172"/>
        <v>0</v>
      </c>
      <c r="BZ73" s="10">
        <f t="shared" si="172"/>
        <v>0</v>
      </c>
      <c r="CA73" s="10">
        <f t="shared" si="172"/>
        <v>0</v>
      </c>
      <c r="CB73" s="10">
        <f t="shared" si="139"/>
        <v>0</v>
      </c>
      <c r="CC73" s="10">
        <f t="shared" si="139"/>
        <v>0</v>
      </c>
      <c r="CD73" s="17">
        <f t="shared" si="139"/>
        <v>0</v>
      </c>
      <c r="CE73" s="19">
        <f t="shared" si="163"/>
        <v>0</v>
      </c>
      <c r="CF73" s="10">
        <f t="shared" si="163"/>
        <v>0</v>
      </c>
      <c r="CG73" s="10">
        <f t="shared" si="163"/>
        <v>0</v>
      </c>
      <c r="CH73" s="10">
        <f t="shared" si="163"/>
        <v>0</v>
      </c>
      <c r="CI73" s="10">
        <f t="shared" si="163"/>
        <v>0</v>
      </c>
      <c r="CJ73" s="10">
        <f t="shared" si="140"/>
        <v>0</v>
      </c>
      <c r="CK73" s="10">
        <f t="shared" si="140"/>
        <v>0</v>
      </c>
      <c r="CL73" s="17">
        <f t="shared" si="140"/>
        <v>0</v>
      </c>
      <c r="CM73" s="19">
        <f t="shared" si="164"/>
        <v>0</v>
      </c>
      <c r="CN73" s="10">
        <f t="shared" si="164"/>
        <v>0</v>
      </c>
      <c r="CO73" s="10">
        <f t="shared" si="164"/>
        <v>0</v>
      </c>
      <c r="CP73" s="10">
        <f t="shared" si="164"/>
        <v>0</v>
      </c>
      <c r="CQ73" s="10">
        <f t="shared" si="164"/>
        <v>0</v>
      </c>
      <c r="CR73" s="10">
        <f t="shared" si="141"/>
        <v>0</v>
      </c>
      <c r="CS73" s="10">
        <f t="shared" si="141"/>
        <v>0</v>
      </c>
      <c r="CT73" s="17">
        <f t="shared" si="141"/>
        <v>0</v>
      </c>
      <c r="CU73" s="235"/>
    </row>
    <row r="74" spans="1:99" ht="26.25" hidden="1" customHeight="1" outlineLevel="1" x14ac:dyDescent="0.4">
      <c r="A74" s="351"/>
      <c r="B74" s="351"/>
      <c r="C74" s="351"/>
      <c r="D74" s="353"/>
      <c r="E74" s="353"/>
      <c r="F74" s="353"/>
      <c r="G74" s="385"/>
      <c r="H74" s="447"/>
      <c r="I74" s="447"/>
      <c r="J74" s="449"/>
      <c r="K74" s="453"/>
      <c r="L74" s="453"/>
      <c r="M74" s="451"/>
      <c r="N74" s="38" t="s">
        <v>25</v>
      </c>
      <c r="O74" s="11">
        <f t="shared" si="134"/>
        <v>0</v>
      </c>
      <c r="P74" s="11">
        <f t="shared" si="134"/>
        <v>0</v>
      </c>
      <c r="Q74" s="11">
        <f t="shared" si="134"/>
        <v>0</v>
      </c>
      <c r="R74" s="11">
        <f t="shared" si="134"/>
        <v>0</v>
      </c>
      <c r="S74" s="11">
        <f t="shared" si="134"/>
        <v>0</v>
      </c>
      <c r="T74" s="11">
        <f t="shared" si="134"/>
        <v>0</v>
      </c>
      <c r="U74" s="48">
        <f t="shared" si="134"/>
        <v>0</v>
      </c>
      <c r="V74" s="56">
        <f t="shared" si="144"/>
        <v>0</v>
      </c>
      <c r="W74" s="18">
        <f t="shared" si="144"/>
        <v>0</v>
      </c>
      <c r="X74" s="18">
        <f t="shared" si="144"/>
        <v>0</v>
      </c>
      <c r="Y74" s="18">
        <f t="shared" si="144"/>
        <v>0</v>
      </c>
      <c r="Z74" s="18">
        <f t="shared" si="144"/>
        <v>0</v>
      </c>
      <c r="AA74" s="18">
        <f t="shared" si="148"/>
        <v>0</v>
      </c>
      <c r="AB74" s="41">
        <f t="shared" si="133"/>
        <v>0</v>
      </c>
      <c r="AC74" s="51">
        <f t="shared" si="133"/>
        <v>0</v>
      </c>
      <c r="AD74" s="11">
        <f t="shared" si="133"/>
        <v>0</v>
      </c>
      <c r="AE74" s="11">
        <f t="shared" si="133"/>
        <v>0</v>
      </c>
      <c r="AF74" s="11">
        <f t="shared" si="133"/>
        <v>0</v>
      </c>
      <c r="AG74" s="18">
        <f t="shared" si="133"/>
        <v>0</v>
      </c>
      <c r="AH74" s="56">
        <f>(0+1+2.5+1.5)/165</f>
        <v>3.0303030303030304E-2</v>
      </c>
      <c r="AI74" s="11">
        <f t="shared" si="161"/>
        <v>0</v>
      </c>
      <c r="AJ74" s="11">
        <f>(0+1+10+3.25)/165</f>
        <v>8.6363636363636365E-2</v>
      </c>
      <c r="AK74" s="11">
        <f>(0+1.5)/165</f>
        <v>9.0909090909090905E-3</v>
      </c>
      <c r="AL74" s="11">
        <f t="shared" si="161"/>
        <v>0</v>
      </c>
      <c r="AM74" s="11">
        <f t="shared" si="161"/>
        <v>0</v>
      </c>
      <c r="AN74" s="56">
        <f t="shared" si="105"/>
        <v>0</v>
      </c>
      <c r="AO74" s="11">
        <f t="shared" si="105"/>
        <v>0</v>
      </c>
      <c r="AP74" s="11">
        <f t="shared" si="105"/>
        <v>0</v>
      </c>
      <c r="AQ74" s="11">
        <f t="shared" si="105"/>
        <v>0</v>
      </c>
      <c r="AR74" s="11">
        <f t="shared" si="105"/>
        <v>0</v>
      </c>
      <c r="AS74" s="11">
        <f t="shared" si="105"/>
        <v>0</v>
      </c>
      <c r="AT74" s="61">
        <f t="shared" si="158"/>
        <v>0</v>
      </c>
      <c r="AU74" s="58">
        <f t="shared" si="158"/>
        <v>0</v>
      </c>
      <c r="AV74" s="58">
        <f t="shared" si="158"/>
        <v>0</v>
      </c>
      <c r="AW74" s="58">
        <f t="shared" si="158"/>
        <v>0</v>
      </c>
      <c r="AX74" s="58">
        <f t="shared" si="158"/>
        <v>0</v>
      </c>
      <c r="AY74" s="62">
        <f t="shared" si="158"/>
        <v>0</v>
      </c>
      <c r="AZ74" s="61">
        <f t="shared" si="116"/>
        <v>0</v>
      </c>
      <c r="BA74" s="58">
        <f t="shared" si="116"/>
        <v>0</v>
      </c>
      <c r="BB74" s="58">
        <f t="shared" si="116"/>
        <v>0</v>
      </c>
      <c r="BC74" s="58">
        <f t="shared" si="116"/>
        <v>0</v>
      </c>
      <c r="BD74" s="58">
        <f t="shared" si="116"/>
        <v>0</v>
      </c>
      <c r="BE74" s="58">
        <f t="shared" si="116"/>
        <v>0</v>
      </c>
      <c r="BF74" s="58">
        <f t="shared" si="116"/>
        <v>0</v>
      </c>
      <c r="BG74" s="61">
        <f t="shared" si="162"/>
        <v>0</v>
      </c>
      <c r="BH74" s="58">
        <f t="shared" si="162"/>
        <v>0</v>
      </c>
      <c r="BI74" s="58">
        <f t="shared" si="162"/>
        <v>0</v>
      </c>
      <c r="BJ74" s="58">
        <f t="shared" si="162"/>
        <v>0</v>
      </c>
      <c r="BK74" s="58">
        <f t="shared" si="162"/>
        <v>0</v>
      </c>
      <c r="BL74" s="58">
        <f t="shared" si="137"/>
        <v>0</v>
      </c>
      <c r="BM74" s="58">
        <f t="shared" si="137"/>
        <v>0</v>
      </c>
      <c r="BN74" s="62">
        <f t="shared" si="137"/>
        <v>0</v>
      </c>
      <c r="BO74" s="61">
        <f t="shared" si="167"/>
        <v>0</v>
      </c>
      <c r="BP74" s="58">
        <f t="shared" si="167"/>
        <v>0</v>
      </c>
      <c r="BQ74" s="58">
        <f t="shared" si="167"/>
        <v>0</v>
      </c>
      <c r="BR74" s="58">
        <f t="shared" si="167"/>
        <v>0</v>
      </c>
      <c r="BS74" s="58">
        <f t="shared" si="167"/>
        <v>0</v>
      </c>
      <c r="BT74" s="58">
        <f t="shared" si="138"/>
        <v>0</v>
      </c>
      <c r="BU74" s="58">
        <f t="shared" si="138"/>
        <v>0</v>
      </c>
      <c r="BV74" s="62">
        <f t="shared" si="138"/>
        <v>0</v>
      </c>
      <c r="BW74" s="61">
        <f t="shared" si="172"/>
        <v>0</v>
      </c>
      <c r="BX74" s="58">
        <f t="shared" si="172"/>
        <v>0</v>
      </c>
      <c r="BY74" s="58">
        <f t="shared" si="172"/>
        <v>0</v>
      </c>
      <c r="BZ74" s="58">
        <f t="shared" si="172"/>
        <v>0</v>
      </c>
      <c r="CA74" s="58">
        <f t="shared" si="172"/>
        <v>0</v>
      </c>
      <c r="CB74" s="58">
        <f t="shared" si="139"/>
        <v>0</v>
      </c>
      <c r="CC74" s="58">
        <f t="shared" si="139"/>
        <v>0</v>
      </c>
      <c r="CD74" s="62">
        <f t="shared" si="139"/>
        <v>0</v>
      </c>
      <c r="CE74" s="61">
        <f t="shared" si="163"/>
        <v>0</v>
      </c>
      <c r="CF74" s="58">
        <f t="shared" si="163"/>
        <v>0</v>
      </c>
      <c r="CG74" s="58">
        <f t="shared" si="163"/>
        <v>0</v>
      </c>
      <c r="CH74" s="58">
        <f t="shared" si="163"/>
        <v>0</v>
      </c>
      <c r="CI74" s="58">
        <f t="shared" si="163"/>
        <v>0</v>
      </c>
      <c r="CJ74" s="58">
        <f t="shared" si="140"/>
        <v>0</v>
      </c>
      <c r="CK74" s="58">
        <f t="shared" si="140"/>
        <v>0</v>
      </c>
      <c r="CL74" s="62">
        <f t="shared" si="140"/>
        <v>0</v>
      </c>
      <c r="CM74" s="61">
        <f t="shared" si="164"/>
        <v>0</v>
      </c>
      <c r="CN74" s="58">
        <f t="shared" si="164"/>
        <v>0</v>
      </c>
      <c r="CO74" s="58">
        <f t="shared" si="164"/>
        <v>0</v>
      </c>
      <c r="CP74" s="58">
        <f t="shared" si="164"/>
        <v>0</v>
      </c>
      <c r="CQ74" s="58">
        <f t="shared" si="164"/>
        <v>0</v>
      </c>
      <c r="CR74" s="58">
        <f t="shared" si="141"/>
        <v>0</v>
      </c>
      <c r="CS74" s="58">
        <f t="shared" si="141"/>
        <v>0</v>
      </c>
      <c r="CT74" s="62">
        <f t="shared" si="141"/>
        <v>0</v>
      </c>
      <c r="CU74" s="235"/>
    </row>
    <row r="75" spans="1:99" ht="26.25" hidden="1" customHeight="1" outlineLevel="1" collapsed="1" x14ac:dyDescent="0.4">
      <c r="A75" s="350">
        <v>35</v>
      </c>
      <c r="B75" s="350" t="s">
        <v>47</v>
      </c>
      <c r="C75" s="350" t="s">
        <v>14</v>
      </c>
      <c r="D75" s="352" t="s">
        <v>733</v>
      </c>
      <c r="E75" s="352" t="s">
        <v>735</v>
      </c>
      <c r="F75" s="352" t="s">
        <v>734</v>
      </c>
      <c r="G75" s="385" t="s">
        <v>732</v>
      </c>
      <c r="H75" s="446">
        <f t="shared" ref="H75:H114" si="173">SUM(AZ75:BF75)</f>
        <v>0</v>
      </c>
      <c r="I75" s="446">
        <f t="shared" ref="I75:I114" si="174">SUM(AZ76:BF76)</f>
        <v>0</v>
      </c>
      <c r="J75" s="448"/>
      <c r="K75" s="452"/>
      <c r="L75" s="452"/>
      <c r="M75" s="481"/>
      <c r="N75" s="47" t="s">
        <v>24</v>
      </c>
      <c r="O75" s="10">
        <f t="shared" si="134"/>
        <v>0</v>
      </c>
      <c r="P75" s="10">
        <f t="shared" si="134"/>
        <v>0</v>
      </c>
      <c r="Q75" s="10">
        <f t="shared" si="134"/>
        <v>0</v>
      </c>
      <c r="R75" s="10">
        <f t="shared" si="134"/>
        <v>0</v>
      </c>
      <c r="S75" s="10">
        <f t="shared" si="134"/>
        <v>0</v>
      </c>
      <c r="T75" s="10">
        <f t="shared" si="134"/>
        <v>0</v>
      </c>
      <c r="U75" s="79">
        <f t="shared" si="134"/>
        <v>0</v>
      </c>
      <c r="V75" s="19">
        <f t="shared" si="144"/>
        <v>0</v>
      </c>
      <c r="W75" s="10">
        <f t="shared" si="144"/>
        <v>0</v>
      </c>
      <c r="X75" s="10">
        <f t="shared" si="144"/>
        <v>0</v>
      </c>
      <c r="Y75" s="10">
        <f t="shared" si="144"/>
        <v>0</v>
      </c>
      <c r="Z75" s="10">
        <f t="shared" si="144"/>
        <v>0</v>
      </c>
      <c r="AA75" s="10">
        <f t="shared" si="148"/>
        <v>0</v>
      </c>
      <c r="AB75" s="19">
        <f t="shared" si="133"/>
        <v>0</v>
      </c>
      <c r="AC75" s="10">
        <f t="shared" si="133"/>
        <v>0</v>
      </c>
      <c r="AD75" s="210">
        <f t="shared" si="133"/>
        <v>0</v>
      </c>
      <c r="AE75" s="10">
        <f t="shared" si="133"/>
        <v>0</v>
      </c>
      <c r="AF75" s="10">
        <f t="shared" si="133"/>
        <v>0</v>
      </c>
      <c r="AG75" s="10">
        <f t="shared" si="133"/>
        <v>0</v>
      </c>
      <c r="AH75" s="71">
        <f>(3)/165</f>
        <v>1.8181818181818181E-2</v>
      </c>
      <c r="AI75" s="10">
        <f>(3)/165</f>
        <v>1.8181818181818181E-2</v>
      </c>
      <c r="AJ75" s="10">
        <f>(10)/165</f>
        <v>6.0606060606060608E-2</v>
      </c>
      <c r="AK75" s="10">
        <f t="shared" si="161"/>
        <v>0</v>
      </c>
      <c r="AL75" s="10">
        <f t="shared" si="161"/>
        <v>0</v>
      </c>
      <c r="AM75" s="10">
        <f>(10)/165</f>
        <v>6.0606060606060608E-2</v>
      </c>
      <c r="AN75" s="71">
        <f>(6)/157.5</f>
        <v>3.8095238095238099E-2</v>
      </c>
      <c r="AO75" s="10">
        <f t="shared" si="105"/>
        <v>0</v>
      </c>
      <c r="AP75" s="10">
        <f>(5)/157.5</f>
        <v>3.1746031746031744E-2</v>
      </c>
      <c r="AQ75" s="10">
        <f t="shared" si="105"/>
        <v>0</v>
      </c>
      <c r="AR75" s="10">
        <f t="shared" si="105"/>
        <v>0</v>
      </c>
      <c r="AS75" s="10">
        <f>(5)/157.5</f>
        <v>3.1746031746031744E-2</v>
      </c>
      <c r="AT75" s="189">
        <f t="shared" si="158"/>
        <v>0</v>
      </c>
      <c r="AU75" s="10">
        <f t="shared" si="158"/>
        <v>0</v>
      </c>
      <c r="AV75" s="10">
        <f t="shared" si="158"/>
        <v>0</v>
      </c>
      <c r="AW75" s="10">
        <f t="shared" si="158"/>
        <v>0</v>
      </c>
      <c r="AX75" s="10">
        <f t="shared" si="158"/>
        <v>0</v>
      </c>
      <c r="AY75" s="17">
        <f t="shared" si="158"/>
        <v>0</v>
      </c>
      <c r="AZ75" s="19">
        <f t="shared" si="116"/>
        <v>0</v>
      </c>
      <c r="BA75" s="10">
        <f t="shared" si="116"/>
        <v>0</v>
      </c>
      <c r="BB75" s="10">
        <f t="shared" si="116"/>
        <v>0</v>
      </c>
      <c r="BC75" s="10">
        <f t="shared" si="116"/>
        <v>0</v>
      </c>
      <c r="BD75" s="10">
        <f t="shared" si="116"/>
        <v>0</v>
      </c>
      <c r="BE75" s="10">
        <f t="shared" si="116"/>
        <v>0</v>
      </c>
      <c r="BF75" s="10">
        <f t="shared" si="116"/>
        <v>0</v>
      </c>
      <c r="BG75" s="19">
        <f t="shared" si="162"/>
        <v>0</v>
      </c>
      <c r="BH75" s="10">
        <f t="shared" si="162"/>
        <v>0</v>
      </c>
      <c r="BI75" s="10">
        <f t="shared" si="162"/>
        <v>0</v>
      </c>
      <c r="BJ75" s="10">
        <f t="shared" si="162"/>
        <v>0</v>
      </c>
      <c r="BK75" s="10">
        <f t="shared" si="162"/>
        <v>0</v>
      </c>
      <c r="BL75" s="10">
        <f t="shared" si="137"/>
        <v>0</v>
      </c>
      <c r="BM75" s="10">
        <f t="shared" si="137"/>
        <v>0</v>
      </c>
      <c r="BN75" s="17">
        <f t="shared" si="137"/>
        <v>0</v>
      </c>
      <c r="BO75" s="19">
        <f t="shared" si="167"/>
        <v>0</v>
      </c>
      <c r="BP75" s="10">
        <f t="shared" si="167"/>
        <v>0</v>
      </c>
      <c r="BQ75" s="10">
        <f t="shared" si="167"/>
        <v>0</v>
      </c>
      <c r="BR75" s="10">
        <f t="shared" si="167"/>
        <v>0</v>
      </c>
      <c r="BS75" s="10">
        <f t="shared" si="167"/>
        <v>0</v>
      </c>
      <c r="BT75" s="10">
        <f t="shared" si="138"/>
        <v>0</v>
      </c>
      <c r="BU75" s="10">
        <f t="shared" si="138"/>
        <v>0</v>
      </c>
      <c r="BV75" s="17">
        <f t="shared" si="138"/>
        <v>0</v>
      </c>
      <c r="BW75" s="71">
        <f t="shared" si="172"/>
        <v>0</v>
      </c>
      <c r="BX75" s="10">
        <f t="shared" si="172"/>
        <v>0</v>
      </c>
      <c r="BY75" s="10">
        <f t="shared" si="172"/>
        <v>0</v>
      </c>
      <c r="BZ75" s="10">
        <f t="shared" si="172"/>
        <v>0</v>
      </c>
      <c r="CA75" s="10">
        <f t="shared" si="172"/>
        <v>0</v>
      </c>
      <c r="CB75" s="10">
        <f t="shared" si="139"/>
        <v>0</v>
      </c>
      <c r="CC75" s="10">
        <f t="shared" si="139"/>
        <v>0</v>
      </c>
      <c r="CD75" s="17">
        <f t="shared" si="139"/>
        <v>0</v>
      </c>
      <c r="CE75" s="19">
        <f t="shared" si="163"/>
        <v>0</v>
      </c>
      <c r="CF75" s="10">
        <f t="shared" si="163"/>
        <v>0</v>
      </c>
      <c r="CG75" s="10">
        <f t="shared" si="163"/>
        <v>0</v>
      </c>
      <c r="CH75" s="10">
        <f t="shared" si="163"/>
        <v>0</v>
      </c>
      <c r="CI75" s="10">
        <f t="shared" si="163"/>
        <v>0</v>
      </c>
      <c r="CJ75" s="10">
        <f t="shared" si="140"/>
        <v>0</v>
      </c>
      <c r="CK75" s="10">
        <f t="shared" si="140"/>
        <v>0</v>
      </c>
      <c r="CL75" s="17">
        <f t="shared" si="140"/>
        <v>0</v>
      </c>
      <c r="CM75" s="19">
        <f t="shared" si="164"/>
        <v>0</v>
      </c>
      <c r="CN75" s="10">
        <f t="shared" si="164"/>
        <v>0</v>
      </c>
      <c r="CO75" s="10">
        <f t="shared" si="164"/>
        <v>0</v>
      </c>
      <c r="CP75" s="10">
        <f t="shared" si="164"/>
        <v>0</v>
      </c>
      <c r="CQ75" s="10">
        <f t="shared" si="164"/>
        <v>0</v>
      </c>
      <c r="CR75" s="10">
        <f t="shared" si="141"/>
        <v>0</v>
      </c>
      <c r="CS75" s="10">
        <f t="shared" si="141"/>
        <v>0</v>
      </c>
      <c r="CT75" s="17">
        <f t="shared" si="141"/>
        <v>0</v>
      </c>
      <c r="CU75" s="235"/>
    </row>
    <row r="76" spans="1:99" ht="26.25" hidden="1" customHeight="1" outlineLevel="1" x14ac:dyDescent="0.4">
      <c r="A76" s="351"/>
      <c r="B76" s="351"/>
      <c r="C76" s="351"/>
      <c r="D76" s="353"/>
      <c r="E76" s="353"/>
      <c r="F76" s="353"/>
      <c r="G76" s="385"/>
      <c r="H76" s="447"/>
      <c r="I76" s="447"/>
      <c r="J76" s="449"/>
      <c r="K76" s="453"/>
      <c r="L76" s="453"/>
      <c r="M76" s="482"/>
      <c r="N76" s="38" t="s">
        <v>25</v>
      </c>
      <c r="O76" s="11">
        <f t="shared" si="134"/>
        <v>0</v>
      </c>
      <c r="P76" s="11">
        <f t="shared" si="134"/>
        <v>0</v>
      </c>
      <c r="Q76" s="11">
        <f t="shared" si="134"/>
        <v>0</v>
      </c>
      <c r="R76" s="11">
        <f t="shared" si="134"/>
        <v>0</v>
      </c>
      <c r="S76" s="11">
        <f t="shared" si="134"/>
        <v>0</v>
      </c>
      <c r="T76" s="11">
        <f t="shared" si="134"/>
        <v>0</v>
      </c>
      <c r="U76" s="48">
        <f t="shared" si="134"/>
        <v>0</v>
      </c>
      <c r="V76" s="56">
        <f t="shared" si="144"/>
        <v>0</v>
      </c>
      <c r="W76" s="18">
        <f t="shared" si="144"/>
        <v>0</v>
      </c>
      <c r="X76" s="18">
        <f t="shared" si="144"/>
        <v>0</v>
      </c>
      <c r="Y76" s="18">
        <f t="shared" si="144"/>
        <v>0</v>
      </c>
      <c r="Z76" s="18">
        <f t="shared" si="144"/>
        <v>0</v>
      </c>
      <c r="AA76" s="18">
        <f t="shared" si="148"/>
        <v>0</v>
      </c>
      <c r="AB76" s="41">
        <f t="shared" si="133"/>
        <v>0</v>
      </c>
      <c r="AC76" s="51">
        <f t="shared" si="133"/>
        <v>0</v>
      </c>
      <c r="AD76" s="11">
        <f t="shared" si="133"/>
        <v>0</v>
      </c>
      <c r="AE76" s="11">
        <f t="shared" si="133"/>
        <v>0</v>
      </c>
      <c r="AF76" s="11">
        <f t="shared" si="133"/>
        <v>0</v>
      </c>
      <c r="AG76" s="18">
        <f t="shared" si="133"/>
        <v>0</v>
      </c>
      <c r="AH76" s="56">
        <f>(0.5+1+2)/165</f>
        <v>2.1212121212121213E-2</v>
      </c>
      <c r="AI76" s="11">
        <f>(0+1.5)/165</f>
        <v>9.0909090909090905E-3</v>
      </c>
      <c r="AJ76" s="11">
        <f>(0+4+6.25)/165</f>
        <v>6.2121212121212119E-2</v>
      </c>
      <c r="AK76" s="11">
        <f t="shared" si="161"/>
        <v>0</v>
      </c>
      <c r="AL76" s="11">
        <f t="shared" si="161"/>
        <v>0</v>
      </c>
      <c r="AM76" s="11">
        <f>(0+4+5.25)/165</f>
        <v>5.6060606060606061E-2</v>
      </c>
      <c r="AN76" s="56">
        <f>(2+4.5)/157.5</f>
        <v>4.1269841269841269E-2</v>
      </c>
      <c r="AO76" s="11">
        <f t="shared" si="105"/>
        <v>0</v>
      </c>
      <c r="AP76" s="11">
        <f>(0+3.5)/157.5</f>
        <v>2.2222222222222223E-2</v>
      </c>
      <c r="AQ76" s="11">
        <f t="shared" si="105"/>
        <v>0</v>
      </c>
      <c r="AR76" s="11">
        <f t="shared" si="105"/>
        <v>0</v>
      </c>
      <c r="AS76" s="11">
        <f>(1+4.25)/157.5</f>
        <v>3.3333333333333333E-2</v>
      </c>
      <c r="AT76" s="61">
        <f t="shared" si="158"/>
        <v>0</v>
      </c>
      <c r="AU76" s="58">
        <f t="shared" si="158"/>
        <v>0</v>
      </c>
      <c r="AV76" s="58">
        <f t="shared" si="158"/>
        <v>0</v>
      </c>
      <c r="AW76" s="58">
        <f t="shared" si="158"/>
        <v>0</v>
      </c>
      <c r="AX76" s="58">
        <f t="shared" si="158"/>
        <v>0</v>
      </c>
      <c r="AY76" s="62">
        <f t="shared" si="158"/>
        <v>0</v>
      </c>
      <c r="AZ76" s="61">
        <f t="shared" si="116"/>
        <v>0</v>
      </c>
      <c r="BA76" s="58">
        <f t="shared" si="116"/>
        <v>0</v>
      </c>
      <c r="BB76" s="58">
        <f t="shared" si="116"/>
        <v>0</v>
      </c>
      <c r="BC76" s="58">
        <f t="shared" si="116"/>
        <v>0</v>
      </c>
      <c r="BD76" s="58">
        <f t="shared" si="116"/>
        <v>0</v>
      </c>
      <c r="BE76" s="58">
        <f t="shared" si="116"/>
        <v>0</v>
      </c>
      <c r="BF76" s="58">
        <f t="shared" si="116"/>
        <v>0</v>
      </c>
      <c r="BG76" s="61">
        <f t="shared" si="162"/>
        <v>0</v>
      </c>
      <c r="BH76" s="58">
        <f t="shared" si="162"/>
        <v>0</v>
      </c>
      <c r="BI76" s="58">
        <f t="shared" si="162"/>
        <v>0</v>
      </c>
      <c r="BJ76" s="58">
        <f t="shared" si="162"/>
        <v>0</v>
      </c>
      <c r="BK76" s="58">
        <f t="shared" si="162"/>
        <v>0</v>
      </c>
      <c r="BL76" s="58">
        <f t="shared" si="137"/>
        <v>0</v>
      </c>
      <c r="BM76" s="58">
        <f t="shared" si="137"/>
        <v>0</v>
      </c>
      <c r="BN76" s="62">
        <f t="shared" si="137"/>
        <v>0</v>
      </c>
      <c r="BO76" s="61">
        <f t="shared" si="167"/>
        <v>0</v>
      </c>
      <c r="BP76" s="58">
        <f t="shared" si="167"/>
        <v>0</v>
      </c>
      <c r="BQ76" s="58">
        <f t="shared" si="167"/>
        <v>0</v>
      </c>
      <c r="BR76" s="58">
        <f t="shared" si="167"/>
        <v>0</v>
      </c>
      <c r="BS76" s="58">
        <f t="shared" si="167"/>
        <v>0</v>
      </c>
      <c r="BT76" s="58">
        <f t="shared" si="138"/>
        <v>0</v>
      </c>
      <c r="BU76" s="58">
        <f t="shared" si="138"/>
        <v>0</v>
      </c>
      <c r="BV76" s="62">
        <f t="shared" si="138"/>
        <v>0</v>
      </c>
      <c r="BW76" s="61">
        <f t="shared" si="172"/>
        <v>0</v>
      </c>
      <c r="BX76" s="58">
        <f t="shared" si="172"/>
        <v>0</v>
      </c>
      <c r="BY76" s="58">
        <f t="shared" si="172"/>
        <v>0</v>
      </c>
      <c r="BZ76" s="58">
        <f t="shared" si="172"/>
        <v>0</v>
      </c>
      <c r="CA76" s="58">
        <f t="shared" si="172"/>
        <v>0</v>
      </c>
      <c r="CB76" s="58">
        <f t="shared" si="139"/>
        <v>0</v>
      </c>
      <c r="CC76" s="58">
        <f t="shared" si="139"/>
        <v>0</v>
      </c>
      <c r="CD76" s="62">
        <f t="shared" si="139"/>
        <v>0</v>
      </c>
      <c r="CE76" s="61">
        <f t="shared" si="163"/>
        <v>0</v>
      </c>
      <c r="CF76" s="58">
        <f t="shared" si="163"/>
        <v>0</v>
      </c>
      <c r="CG76" s="58">
        <f t="shared" si="163"/>
        <v>0</v>
      </c>
      <c r="CH76" s="58">
        <f t="shared" si="163"/>
        <v>0</v>
      </c>
      <c r="CI76" s="58">
        <f t="shared" si="163"/>
        <v>0</v>
      </c>
      <c r="CJ76" s="58">
        <f t="shared" si="140"/>
        <v>0</v>
      </c>
      <c r="CK76" s="58">
        <f t="shared" si="140"/>
        <v>0</v>
      </c>
      <c r="CL76" s="62">
        <f t="shared" si="140"/>
        <v>0</v>
      </c>
      <c r="CM76" s="61">
        <f t="shared" si="164"/>
        <v>0</v>
      </c>
      <c r="CN76" s="58">
        <f t="shared" si="164"/>
        <v>0</v>
      </c>
      <c r="CO76" s="58">
        <f t="shared" si="164"/>
        <v>0</v>
      </c>
      <c r="CP76" s="58">
        <f t="shared" si="164"/>
        <v>0</v>
      </c>
      <c r="CQ76" s="58">
        <f t="shared" si="164"/>
        <v>0</v>
      </c>
      <c r="CR76" s="58">
        <f t="shared" si="141"/>
        <v>0</v>
      </c>
      <c r="CS76" s="58">
        <f t="shared" si="141"/>
        <v>0</v>
      </c>
      <c r="CT76" s="62">
        <f t="shared" si="141"/>
        <v>0</v>
      </c>
      <c r="CU76" s="235"/>
    </row>
    <row r="77" spans="1:99" ht="26.25" hidden="1" customHeight="1" outlineLevel="1" x14ac:dyDescent="0.4">
      <c r="A77" s="350">
        <v>36</v>
      </c>
      <c r="B77" s="350" t="s">
        <v>47</v>
      </c>
      <c r="C77" s="350" t="s">
        <v>343</v>
      </c>
      <c r="D77" s="352" t="s">
        <v>424</v>
      </c>
      <c r="E77" s="352" t="s">
        <v>731</v>
      </c>
      <c r="F77" s="352" t="s">
        <v>736</v>
      </c>
      <c r="G77" s="385" t="s">
        <v>737</v>
      </c>
      <c r="H77" s="446">
        <f t="shared" ref="H77:H114" si="175">SUM(AZ77:BF77)</f>
        <v>0</v>
      </c>
      <c r="I77" s="446">
        <f t="shared" ref="I77:I114" si="176">SUM(AZ78:BF78)</f>
        <v>0</v>
      </c>
      <c r="J77" s="448"/>
      <c r="K77" s="452"/>
      <c r="L77" s="452"/>
      <c r="M77" s="450"/>
      <c r="N77" s="47" t="s">
        <v>24</v>
      </c>
      <c r="O77" s="10">
        <f t="shared" si="134"/>
        <v>0</v>
      </c>
      <c r="P77" s="10">
        <f t="shared" si="134"/>
        <v>0</v>
      </c>
      <c r="Q77" s="10">
        <f t="shared" si="134"/>
        <v>0</v>
      </c>
      <c r="R77" s="10">
        <f t="shared" si="134"/>
        <v>0</v>
      </c>
      <c r="S77" s="10">
        <f t="shared" si="134"/>
        <v>0</v>
      </c>
      <c r="T77" s="10">
        <f t="shared" si="134"/>
        <v>0</v>
      </c>
      <c r="U77" s="79">
        <f t="shared" si="134"/>
        <v>0</v>
      </c>
      <c r="V77" s="19">
        <f t="shared" si="144"/>
        <v>0</v>
      </c>
      <c r="W77" s="10">
        <f t="shared" si="144"/>
        <v>0</v>
      </c>
      <c r="X77" s="10">
        <f t="shared" si="144"/>
        <v>0</v>
      </c>
      <c r="Y77" s="10">
        <f t="shared" si="144"/>
        <v>0</v>
      </c>
      <c r="Z77" s="10">
        <f t="shared" si="144"/>
        <v>0</v>
      </c>
      <c r="AA77" s="10">
        <f t="shared" si="148"/>
        <v>0</v>
      </c>
      <c r="AB77" s="19">
        <f t="shared" si="133"/>
        <v>0</v>
      </c>
      <c r="AC77" s="10">
        <f t="shared" si="133"/>
        <v>0</v>
      </c>
      <c r="AD77" s="210">
        <f t="shared" si="133"/>
        <v>0</v>
      </c>
      <c r="AE77" s="10">
        <f t="shared" si="133"/>
        <v>0</v>
      </c>
      <c r="AF77" s="10">
        <f t="shared" si="133"/>
        <v>0</v>
      </c>
      <c r="AG77" s="10">
        <f t="shared" si="133"/>
        <v>0</v>
      </c>
      <c r="AH77" s="71">
        <f>(2)/165</f>
        <v>1.2121212121212121E-2</v>
      </c>
      <c r="AI77" s="10">
        <f t="shared" si="161"/>
        <v>0</v>
      </c>
      <c r="AJ77" s="10">
        <f t="shared" si="161"/>
        <v>0</v>
      </c>
      <c r="AK77" s="10">
        <f>(3)/165</f>
        <v>1.8181818181818181E-2</v>
      </c>
      <c r="AL77" s="10">
        <f t="shared" si="161"/>
        <v>0</v>
      </c>
      <c r="AM77" s="10">
        <f t="shared" si="161"/>
        <v>0</v>
      </c>
      <c r="AN77" s="71">
        <f t="shared" si="105"/>
        <v>0</v>
      </c>
      <c r="AO77" s="10">
        <f t="shared" si="105"/>
        <v>0</v>
      </c>
      <c r="AP77" s="10">
        <f t="shared" si="105"/>
        <v>0</v>
      </c>
      <c r="AQ77" s="10">
        <f t="shared" si="105"/>
        <v>0</v>
      </c>
      <c r="AR77" s="10">
        <f t="shared" si="105"/>
        <v>0</v>
      </c>
      <c r="AS77" s="10">
        <f t="shared" si="105"/>
        <v>0</v>
      </c>
      <c r="AT77" s="189">
        <f t="shared" si="158"/>
        <v>0</v>
      </c>
      <c r="AU77" s="10">
        <f t="shared" si="158"/>
        <v>0</v>
      </c>
      <c r="AV77" s="10">
        <f t="shared" si="158"/>
        <v>0</v>
      </c>
      <c r="AW77" s="10">
        <f t="shared" si="158"/>
        <v>0</v>
      </c>
      <c r="AX77" s="10">
        <f t="shared" si="158"/>
        <v>0</v>
      </c>
      <c r="AY77" s="17">
        <f t="shared" si="158"/>
        <v>0</v>
      </c>
      <c r="AZ77" s="19">
        <f t="shared" ref="AZ77:BF114" si="177">(0)/150</f>
        <v>0</v>
      </c>
      <c r="BA77" s="10">
        <f t="shared" si="177"/>
        <v>0</v>
      </c>
      <c r="BB77" s="10">
        <f t="shared" si="177"/>
        <v>0</v>
      </c>
      <c r="BC77" s="10">
        <f t="shared" si="177"/>
        <v>0</v>
      </c>
      <c r="BD77" s="10">
        <f t="shared" si="177"/>
        <v>0</v>
      </c>
      <c r="BE77" s="10">
        <f t="shared" si="177"/>
        <v>0</v>
      </c>
      <c r="BF77" s="10">
        <f t="shared" si="177"/>
        <v>0</v>
      </c>
      <c r="BG77" s="19">
        <f t="shared" ref="BG77:BK86" si="178">0/142.5</f>
        <v>0</v>
      </c>
      <c r="BH77" s="10">
        <f t="shared" si="178"/>
        <v>0</v>
      </c>
      <c r="BI77" s="10">
        <f t="shared" si="178"/>
        <v>0</v>
      </c>
      <c r="BJ77" s="10">
        <f t="shared" si="178"/>
        <v>0</v>
      </c>
      <c r="BK77" s="10">
        <f t="shared" si="178"/>
        <v>0</v>
      </c>
      <c r="BL77" s="10">
        <f t="shared" si="137"/>
        <v>0</v>
      </c>
      <c r="BM77" s="10">
        <f t="shared" si="137"/>
        <v>0</v>
      </c>
      <c r="BN77" s="17">
        <f t="shared" si="137"/>
        <v>0</v>
      </c>
      <c r="BO77" s="19">
        <f t="shared" si="167"/>
        <v>0</v>
      </c>
      <c r="BP77" s="10">
        <f t="shared" si="167"/>
        <v>0</v>
      </c>
      <c r="BQ77" s="10">
        <f t="shared" si="167"/>
        <v>0</v>
      </c>
      <c r="BR77" s="10">
        <f t="shared" si="167"/>
        <v>0</v>
      </c>
      <c r="BS77" s="10">
        <f t="shared" si="167"/>
        <v>0</v>
      </c>
      <c r="BT77" s="10">
        <f t="shared" si="138"/>
        <v>0</v>
      </c>
      <c r="BU77" s="10">
        <f t="shared" si="138"/>
        <v>0</v>
      </c>
      <c r="BV77" s="17">
        <f t="shared" si="138"/>
        <v>0</v>
      </c>
      <c r="BW77" s="71">
        <f t="shared" si="172"/>
        <v>0</v>
      </c>
      <c r="BX77" s="10">
        <f t="shared" si="172"/>
        <v>0</v>
      </c>
      <c r="BY77" s="10">
        <f t="shared" si="172"/>
        <v>0</v>
      </c>
      <c r="BZ77" s="10">
        <f t="shared" si="172"/>
        <v>0</v>
      </c>
      <c r="CA77" s="10">
        <f t="shared" si="172"/>
        <v>0</v>
      </c>
      <c r="CB77" s="10">
        <f t="shared" si="139"/>
        <v>0</v>
      </c>
      <c r="CC77" s="10">
        <f t="shared" si="139"/>
        <v>0</v>
      </c>
      <c r="CD77" s="17">
        <f t="shared" si="139"/>
        <v>0</v>
      </c>
      <c r="CE77" s="19">
        <f t="shared" ref="CE77:CI86" si="179">0/157.5</f>
        <v>0</v>
      </c>
      <c r="CF77" s="10">
        <f t="shared" si="179"/>
        <v>0</v>
      </c>
      <c r="CG77" s="10">
        <f t="shared" si="179"/>
        <v>0</v>
      </c>
      <c r="CH77" s="10">
        <f t="shared" si="179"/>
        <v>0</v>
      </c>
      <c r="CI77" s="10">
        <f t="shared" si="179"/>
        <v>0</v>
      </c>
      <c r="CJ77" s="10">
        <f t="shared" si="140"/>
        <v>0</v>
      </c>
      <c r="CK77" s="10">
        <f t="shared" si="140"/>
        <v>0</v>
      </c>
      <c r="CL77" s="17">
        <f t="shared" si="140"/>
        <v>0</v>
      </c>
      <c r="CM77" s="19">
        <f t="shared" ref="CM77:CQ86" si="180">0/142.5</f>
        <v>0</v>
      </c>
      <c r="CN77" s="10">
        <f t="shared" si="180"/>
        <v>0</v>
      </c>
      <c r="CO77" s="10">
        <f t="shared" si="180"/>
        <v>0</v>
      </c>
      <c r="CP77" s="10">
        <f t="shared" si="180"/>
        <v>0</v>
      </c>
      <c r="CQ77" s="10">
        <f t="shared" si="180"/>
        <v>0</v>
      </c>
      <c r="CR77" s="10">
        <f t="shared" si="141"/>
        <v>0</v>
      </c>
      <c r="CS77" s="10">
        <f t="shared" si="141"/>
        <v>0</v>
      </c>
      <c r="CT77" s="17">
        <f t="shared" si="141"/>
        <v>0</v>
      </c>
      <c r="CU77" s="235"/>
    </row>
    <row r="78" spans="1:99" ht="26.25" hidden="1" customHeight="1" outlineLevel="1" x14ac:dyDescent="0.4">
      <c r="A78" s="351"/>
      <c r="B78" s="351"/>
      <c r="C78" s="351"/>
      <c r="D78" s="353"/>
      <c r="E78" s="353"/>
      <c r="F78" s="353"/>
      <c r="G78" s="385"/>
      <c r="H78" s="447"/>
      <c r="I78" s="447"/>
      <c r="J78" s="449"/>
      <c r="K78" s="453"/>
      <c r="L78" s="453"/>
      <c r="M78" s="451"/>
      <c r="N78" s="38" t="s">
        <v>25</v>
      </c>
      <c r="O78" s="11">
        <f t="shared" si="134"/>
        <v>0</v>
      </c>
      <c r="P78" s="11">
        <f t="shared" si="134"/>
        <v>0</v>
      </c>
      <c r="Q78" s="11">
        <f t="shared" si="134"/>
        <v>0</v>
      </c>
      <c r="R78" s="11">
        <f t="shared" si="134"/>
        <v>0</v>
      </c>
      <c r="S78" s="11">
        <f t="shared" si="134"/>
        <v>0</v>
      </c>
      <c r="T78" s="11">
        <f t="shared" si="134"/>
        <v>0</v>
      </c>
      <c r="U78" s="48">
        <f t="shared" si="134"/>
        <v>0</v>
      </c>
      <c r="V78" s="56">
        <f t="shared" si="144"/>
        <v>0</v>
      </c>
      <c r="W78" s="18">
        <f t="shared" si="144"/>
        <v>0</v>
      </c>
      <c r="X78" s="18">
        <f t="shared" si="144"/>
        <v>0</v>
      </c>
      <c r="Y78" s="18">
        <f t="shared" si="144"/>
        <v>0</v>
      </c>
      <c r="Z78" s="18">
        <f t="shared" si="144"/>
        <v>0</v>
      </c>
      <c r="AA78" s="18">
        <f t="shared" si="148"/>
        <v>0</v>
      </c>
      <c r="AB78" s="41">
        <f t="shared" si="133"/>
        <v>0</v>
      </c>
      <c r="AC78" s="51">
        <f t="shared" si="133"/>
        <v>0</v>
      </c>
      <c r="AD78" s="11">
        <f t="shared" si="133"/>
        <v>0</v>
      </c>
      <c r="AE78" s="11">
        <f t="shared" si="133"/>
        <v>0</v>
      </c>
      <c r="AF78" s="11">
        <f t="shared" si="133"/>
        <v>0</v>
      </c>
      <c r="AG78" s="18">
        <f t="shared" si="133"/>
        <v>0</v>
      </c>
      <c r="AH78" s="56">
        <f>(1+1)/165</f>
        <v>1.2121212121212121E-2</v>
      </c>
      <c r="AI78" s="11">
        <f t="shared" si="161"/>
        <v>0</v>
      </c>
      <c r="AJ78" s="11">
        <f t="shared" si="161"/>
        <v>0</v>
      </c>
      <c r="AK78" s="11">
        <f>(0+1.5)/165</f>
        <v>9.0909090909090905E-3</v>
      </c>
      <c r="AL78" s="11">
        <f t="shared" si="161"/>
        <v>0</v>
      </c>
      <c r="AM78" s="11">
        <f t="shared" si="161"/>
        <v>0</v>
      </c>
      <c r="AN78" s="56">
        <f t="shared" si="105"/>
        <v>0</v>
      </c>
      <c r="AO78" s="11">
        <f t="shared" si="105"/>
        <v>0</v>
      </c>
      <c r="AP78" s="11">
        <f t="shared" si="105"/>
        <v>0</v>
      </c>
      <c r="AQ78" s="11">
        <f t="shared" si="105"/>
        <v>0</v>
      </c>
      <c r="AR78" s="11">
        <f t="shared" si="105"/>
        <v>0</v>
      </c>
      <c r="AS78" s="11">
        <f t="shared" si="105"/>
        <v>0</v>
      </c>
      <c r="AT78" s="61">
        <f t="shared" si="158"/>
        <v>0</v>
      </c>
      <c r="AU78" s="58">
        <f t="shared" si="158"/>
        <v>0</v>
      </c>
      <c r="AV78" s="58">
        <f t="shared" si="158"/>
        <v>0</v>
      </c>
      <c r="AW78" s="58">
        <f t="shared" si="158"/>
        <v>0</v>
      </c>
      <c r="AX78" s="58">
        <f t="shared" si="158"/>
        <v>0</v>
      </c>
      <c r="AY78" s="62">
        <f t="shared" si="158"/>
        <v>0</v>
      </c>
      <c r="AZ78" s="61">
        <f t="shared" si="177"/>
        <v>0</v>
      </c>
      <c r="BA78" s="58">
        <f t="shared" si="177"/>
        <v>0</v>
      </c>
      <c r="BB78" s="58">
        <f t="shared" si="177"/>
        <v>0</v>
      </c>
      <c r="BC78" s="58">
        <f t="shared" si="177"/>
        <v>0</v>
      </c>
      <c r="BD78" s="58">
        <f t="shared" si="177"/>
        <v>0</v>
      </c>
      <c r="BE78" s="58">
        <f t="shared" si="177"/>
        <v>0</v>
      </c>
      <c r="BF78" s="58">
        <f t="shared" si="177"/>
        <v>0</v>
      </c>
      <c r="BG78" s="61">
        <f t="shared" si="178"/>
        <v>0</v>
      </c>
      <c r="BH78" s="58">
        <f t="shared" si="178"/>
        <v>0</v>
      </c>
      <c r="BI78" s="58">
        <f t="shared" si="178"/>
        <v>0</v>
      </c>
      <c r="BJ78" s="58">
        <f t="shared" si="178"/>
        <v>0</v>
      </c>
      <c r="BK78" s="58">
        <f t="shared" si="178"/>
        <v>0</v>
      </c>
      <c r="BL78" s="58">
        <f t="shared" si="137"/>
        <v>0</v>
      </c>
      <c r="BM78" s="58">
        <f t="shared" si="137"/>
        <v>0</v>
      </c>
      <c r="BN78" s="62">
        <f t="shared" si="137"/>
        <v>0</v>
      </c>
      <c r="BO78" s="61">
        <f t="shared" si="167"/>
        <v>0</v>
      </c>
      <c r="BP78" s="58">
        <f t="shared" si="167"/>
        <v>0</v>
      </c>
      <c r="BQ78" s="58">
        <f t="shared" si="167"/>
        <v>0</v>
      </c>
      <c r="BR78" s="58">
        <f t="shared" si="167"/>
        <v>0</v>
      </c>
      <c r="BS78" s="58">
        <f t="shared" si="167"/>
        <v>0</v>
      </c>
      <c r="BT78" s="58">
        <f t="shared" si="138"/>
        <v>0</v>
      </c>
      <c r="BU78" s="58">
        <f t="shared" si="138"/>
        <v>0</v>
      </c>
      <c r="BV78" s="62">
        <f t="shared" si="138"/>
        <v>0</v>
      </c>
      <c r="BW78" s="61">
        <f t="shared" si="172"/>
        <v>0</v>
      </c>
      <c r="BX78" s="58">
        <f t="shared" si="172"/>
        <v>0</v>
      </c>
      <c r="BY78" s="58">
        <f t="shared" si="172"/>
        <v>0</v>
      </c>
      <c r="BZ78" s="58">
        <f t="shared" si="172"/>
        <v>0</v>
      </c>
      <c r="CA78" s="58">
        <f t="shared" si="172"/>
        <v>0</v>
      </c>
      <c r="CB78" s="58">
        <f t="shared" si="139"/>
        <v>0</v>
      </c>
      <c r="CC78" s="58">
        <f t="shared" si="139"/>
        <v>0</v>
      </c>
      <c r="CD78" s="62">
        <f t="shared" si="139"/>
        <v>0</v>
      </c>
      <c r="CE78" s="61">
        <f t="shared" si="179"/>
        <v>0</v>
      </c>
      <c r="CF78" s="58">
        <f t="shared" si="179"/>
        <v>0</v>
      </c>
      <c r="CG78" s="58">
        <f t="shared" si="179"/>
        <v>0</v>
      </c>
      <c r="CH78" s="58">
        <f t="shared" si="179"/>
        <v>0</v>
      </c>
      <c r="CI78" s="58">
        <f t="shared" si="179"/>
        <v>0</v>
      </c>
      <c r="CJ78" s="58">
        <f t="shared" si="140"/>
        <v>0</v>
      </c>
      <c r="CK78" s="58">
        <f t="shared" si="140"/>
        <v>0</v>
      </c>
      <c r="CL78" s="62">
        <f t="shared" si="140"/>
        <v>0</v>
      </c>
      <c r="CM78" s="61">
        <f t="shared" si="180"/>
        <v>0</v>
      </c>
      <c r="CN78" s="58">
        <f t="shared" si="180"/>
        <v>0</v>
      </c>
      <c r="CO78" s="58">
        <f t="shared" si="180"/>
        <v>0</v>
      </c>
      <c r="CP78" s="58">
        <f t="shared" si="180"/>
        <v>0</v>
      </c>
      <c r="CQ78" s="58">
        <f t="shared" si="180"/>
        <v>0</v>
      </c>
      <c r="CR78" s="58">
        <f t="shared" si="141"/>
        <v>0</v>
      </c>
      <c r="CS78" s="58">
        <f t="shared" si="141"/>
        <v>0</v>
      </c>
      <c r="CT78" s="62">
        <f t="shared" si="141"/>
        <v>0</v>
      </c>
      <c r="CU78" s="235"/>
    </row>
    <row r="79" spans="1:99" ht="26.25" hidden="1" customHeight="1" outlineLevel="1" x14ac:dyDescent="0.4">
      <c r="A79" s="350">
        <v>37</v>
      </c>
      <c r="B79" s="350" t="s">
        <v>47</v>
      </c>
      <c r="C79" s="350" t="s">
        <v>14</v>
      </c>
      <c r="D79" s="352" t="s">
        <v>476</v>
      </c>
      <c r="E79" s="352" t="s">
        <v>739</v>
      </c>
      <c r="F79" s="352"/>
      <c r="G79" s="385" t="s">
        <v>738</v>
      </c>
      <c r="H79" s="446">
        <f t="shared" ref="H79:H114" si="181">SUM(AZ79:BF79)</f>
        <v>0</v>
      </c>
      <c r="I79" s="446">
        <f t="shared" ref="I79:I114" si="182">SUM(AZ80:BF80)</f>
        <v>0</v>
      </c>
      <c r="J79" s="448"/>
      <c r="K79" s="452"/>
      <c r="L79" s="452"/>
      <c r="M79" s="450"/>
      <c r="N79" s="47" t="s">
        <v>24</v>
      </c>
      <c r="O79" s="10">
        <f t="shared" si="134"/>
        <v>0</v>
      </c>
      <c r="P79" s="10">
        <f t="shared" si="134"/>
        <v>0</v>
      </c>
      <c r="Q79" s="10">
        <f t="shared" si="134"/>
        <v>0</v>
      </c>
      <c r="R79" s="10">
        <f t="shared" si="134"/>
        <v>0</v>
      </c>
      <c r="S79" s="10">
        <f t="shared" si="134"/>
        <v>0</v>
      </c>
      <c r="T79" s="10">
        <f t="shared" si="134"/>
        <v>0</v>
      </c>
      <c r="U79" s="79">
        <f t="shared" si="134"/>
        <v>0</v>
      </c>
      <c r="V79" s="19">
        <f t="shared" si="144"/>
        <v>0</v>
      </c>
      <c r="W79" s="10">
        <f t="shared" si="144"/>
        <v>0</v>
      </c>
      <c r="X79" s="10">
        <f t="shared" si="144"/>
        <v>0</v>
      </c>
      <c r="Y79" s="10">
        <f t="shared" si="144"/>
        <v>0</v>
      </c>
      <c r="Z79" s="10">
        <f t="shared" si="144"/>
        <v>0</v>
      </c>
      <c r="AA79" s="10">
        <f t="shared" si="148"/>
        <v>0</v>
      </c>
      <c r="AB79" s="19">
        <f t="shared" si="133"/>
        <v>0</v>
      </c>
      <c r="AC79" s="10">
        <f t="shared" si="133"/>
        <v>0</v>
      </c>
      <c r="AD79" s="210">
        <f t="shared" si="133"/>
        <v>0</v>
      </c>
      <c r="AE79" s="10">
        <f t="shared" si="133"/>
        <v>0</v>
      </c>
      <c r="AF79" s="10">
        <f t="shared" si="133"/>
        <v>0</v>
      </c>
      <c r="AG79" s="10">
        <f t="shared" si="133"/>
        <v>0</v>
      </c>
      <c r="AH79" s="71">
        <f>(2)/165</f>
        <v>1.2121212121212121E-2</v>
      </c>
      <c r="AI79" s="10">
        <f t="shared" si="161"/>
        <v>0</v>
      </c>
      <c r="AJ79" s="10">
        <f>(3)/165</f>
        <v>1.8181818181818181E-2</v>
      </c>
      <c r="AK79" s="10">
        <f t="shared" si="161"/>
        <v>0</v>
      </c>
      <c r="AL79" s="10">
        <f t="shared" si="161"/>
        <v>0</v>
      </c>
      <c r="AM79" s="10">
        <f>(2)/165</f>
        <v>1.2121212121212121E-2</v>
      </c>
      <c r="AN79" s="71">
        <f t="shared" si="105"/>
        <v>0</v>
      </c>
      <c r="AO79" s="10">
        <f t="shared" si="105"/>
        <v>0</v>
      </c>
      <c r="AP79" s="10">
        <f t="shared" si="105"/>
        <v>0</v>
      </c>
      <c r="AQ79" s="10">
        <f t="shared" si="105"/>
        <v>0</v>
      </c>
      <c r="AR79" s="10">
        <f t="shared" si="105"/>
        <v>0</v>
      </c>
      <c r="AS79" s="10">
        <f t="shared" si="105"/>
        <v>0</v>
      </c>
      <c r="AT79" s="189">
        <f t="shared" si="158"/>
        <v>0</v>
      </c>
      <c r="AU79" s="10">
        <f t="shared" si="158"/>
        <v>0</v>
      </c>
      <c r="AV79" s="10">
        <f t="shared" si="158"/>
        <v>0</v>
      </c>
      <c r="AW79" s="10">
        <f t="shared" si="158"/>
        <v>0</v>
      </c>
      <c r="AX79" s="10">
        <f t="shared" si="158"/>
        <v>0</v>
      </c>
      <c r="AY79" s="17">
        <f t="shared" si="158"/>
        <v>0</v>
      </c>
      <c r="AZ79" s="19">
        <f t="shared" si="177"/>
        <v>0</v>
      </c>
      <c r="BA79" s="10">
        <f t="shared" si="177"/>
        <v>0</v>
      </c>
      <c r="BB79" s="10">
        <f t="shared" si="177"/>
        <v>0</v>
      </c>
      <c r="BC79" s="10">
        <f t="shared" si="177"/>
        <v>0</v>
      </c>
      <c r="BD79" s="10">
        <f t="shared" si="177"/>
        <v>0</v>
      </c>
      <c r="BE79" s="10">
        <f t="shared" si="177"/>
        <v>0</v>
      </c>
      <c r="BF79" s="10">
        <f t="shared" si="177"/>
        <v>0</v>
      </c>
      <c r="BG79" s="19">
        <f t="shared" si="178"/>
        <v>0</v>
      </c>
      <c r="BH79" s="10">
        <f t="shared" si="178"/>
        <v>0</v>
      </c>
      <c r="BI79" s="10">
        <f t="shared" si="178"/>
        <v>0</v>
      </c>
      <c r="BJ79" s="10">
        <f t="shared" si="178"/>
        <v>0</v>
      </c>
      <c r="BK79" s="10">
        <f t="shared" si="178"/>
        <v>0</v>
      </c>
      <c r="BL79" s="10">
        <f t="shared" si="137"/>
        <v>0</v>
      </c>
      <c r="BM79" s="10">
        <f t="shared" si="137"/>
        <v>0</v>
      </c>
      <c r="BN79" s="17">
        <f t="shared" si="137"/>
        <v>0</v>
      </c>
      <c r="BO79" s="19">
        <f t="shared" ref="BO79:BS88" si="183">0/157.5</f>
        <v>0</v>
      </c>
      <c r="BP79" s="10">
        <f t="shared" si="183"/>
        <v>0</v>
      </c>
      <c r="BQ79" s="10">
        <f t="shared" si="183"/>
        <v>0</v>
      </c>
      <c r="BR79" s="10">
        <f t="shared" si="183"/>
        <v>0</v>
      </c>
      <c r="BS79" s="10">
        <f t="shared" si="183"/>
        <v>0</v>
      </c>
      <c r="BT79" s="10">
        <f t="shared" si="138"/>
        <v>0</v>
      </c>
      <c r="BU79" s="10">
        <f t="shared" si="138"/>
        <v>0</v>
      </c>
      <c r="BV79" s="17">
        <f t="shared" si="138"/>
        <v>0</v>
      </c>
      <c r="BW79" s="71">
        <f t="shared" si="172"/>
        <v>0</v>
      </c>
      <c r="BX79" s="10">
        <f t="shared" si="172"/>
        <v>0</v>
      </c>
      <c r="BY79" s="10">
        <f t="shared" si="172"/>
        <v>0</v>
      </c>
      <c r="BZ79" s="10">
        <f t="shared" si="172"/>
        <v>0</v>
      </c>
      <c r="CA79" s="10">
        <f t="shared" si="172"/>
        <v>0</v>
      </c>
      <c r="CB79" s="10">
        <f t="shared" si="139"/>
        <v>0</v>
      </c>
      <c r="CC79" s="10">
        <f t="shared" si="139"/>
        <v>0</v>
      </c>
      <c r="CD79" s="17">
        <f t="shared" si="139"/>
        <v>0</v>
      </c>
      <c r="CE79" s="19">
        <f t="shared" si="179"/>
        <v>0</v>
      </c>
      <c r="CF79" s="10">
        <f t="shared" si="179"/>
        <v>0</v>
      </c>
      <c r="CG79" s="10">
        <f t="shared" si="179"/>
        <v>0</v>
      </c>
      <c r="CH79" s="10">
        <f t="shared" si="179"/>
        <v>0</v>
      </c>
      <c r="CI79" s="10">
        <f t="shared" si="179"/>
        <v>0</v>
      </c>
      <c r="CJ79" s="10">
        <f t="shared" si="140"/>
        <v>0</v>
      </c>
      <c r="CK79" s="10">
        <f t="shared" si="140"/>
        <v>0</v>
      </c>
      <c r="CL79" s="17">
        <f t="shared" si="140"/>
        <v>0</v>
      </c>
      <c r="CM79" s="19">
        <f t="shared" si="180"/>
        <v>0</v>
      </c>
      <c r="CN79" s="10">
        <f t="shared" si="180"/>
        <v>0</v>
      </c>
      <c r="CO79" s="10">
        <f t="shared" si="180"/>
        <v>0</v>
      </c>
      <c r="CP79" s="10">
        <f t="shared" si="180"/>
        <v>0</v>
      </c>
      <c r="CQ79" s="10">
        <f t="shared" si="180"/>
        <v>0</v>
      </c>
      <c r="CR79" s="10">
        <f t="shared" si="141"/>
        <v>0</v>
      </c>
      <c r="CS79" s="10">
        <f t="shared" si="141"/>
        <v>0</v>
      </c>
      <c r="CT79" s="17">
        <f t="shared" si="141"/>
        <v>0</v>
      </c>
      <c r="CU79" s="235"/>
    </row>
    <row r="80" spans="1:99" ht="26.25" hidden="1" customHeight="1" outlineLevel="1" x14ac:dyDescent="0.4">
      <c r="A80" s="351"/>
      <c r="B80" s="351"/>
      <c r="C80" s="351"/>
      <c r="D80" s="353"/>
      <c r="E80" s="353"/>
      <c r="F80" s="353"/>
      <c r="G80" s="385"/>
      <c r="H80" s="447"/>
      <c r="I80" s="447"/>
      <c r="J80" s="449"/>
      <c r="K80" s="453"/>
      <c r="L80" s="453"/>
      <c r="M80" s="451"/>
      <c r="N80" s="38" t="s">
        <v>25</v>
      </c>
      <c r="O80" s="11">
        <f t="shared" si="134"/>
        <v>0</v>
      </c>
      <c r="P80" s="11">
        <f t="shared" si="134"/>
        <v>0</v>
      </c>
      <c r="Q80" s="11">
        <f t="shared" si="134"/>
        <v>0</v>
      </c>
      <c r="R80" s="11">
        <f t="shared" si="134"/>
        <v>0</v>
      </c>
      <c r="S80" s="11">
        <f t="shared" si="134"/>
        <v>0</v>
      </c>
      <c r="T80" s="11">
        <f t="shared" si="134"/>
        <v>0</v>
      </c>
      <c r="U80" s="48">
        <f t="shared" si="134"/>
        <v>0</v>
      </c>
      <c r="V80" s="56">
        <f t="shared" si="144"/>
        <v>0</v>
      </c>
      <c r="W80" s="18">
        <f t="shared" si="144"/>
        <v>0</v>
      </c>
      <c r="X80" s="18">
        <f t="shared" si="144"/>
        <v>0</v>
      </c>
      <c r="Y80" s="18">
        <f t="shared" si="144"/>
        <v>0</v>
      </c>
      <c r="Z80" s="18">
        <f t="shared" si="144"/>
        <v>0</v>
      </c>
      <c r="AA80" s="18">
        <f t="shared" si="148"/>
        <v>0</v>
      </c>
      <c r="AB80" s="41">
        <f t="shared" si="133"/>
        <v>0</v>
      </c>
      <c r="AC80" s="51">
        <f t="shared" si="133"/>
        <v>0</v>
      </c>
      <c r="AD80" s="11">
        <f t="shared" si="133"/>
        <v>0</v>
      </c>
      <c r="AE80" s="11">
        <f t="shared" si="133"/>
        <v>0</v>
      </c>
      <c r="AF80" s="11">
        <f t="shared" si="133"/>
        <v>0</v>
      </c>
      <c r="AG80" s="18">
        <f t="shared" si="133"/>
        <v>0</v>
      </c>
      <c r="AH80" s="56">
        <f>(0+1)/165</f>
        <v>6.0606060606060606E-3</v>
      </c>
      <c r="AI80" s="11">
        <f t="shared" si="161"/>
        <v>0</v>
      </c>
      <c r="AJ80" s="11">
        <f>(0+3)/165</f>
        <v>1.8181818181818181E-2</v>
      </c>
      <c r="AK80" s="11">
        <f t="shared" si="161"/>
        <v>0</v>
      </c>
      <c r="AL80" s="11">
        <f t="shared" si="161"/>
        <v>0</v>
      </c>
      <c r="AM80" s="11">
        <f>(0+2.25)/165</f>
        <v>1.3636363636363636E-2</v>
      </c>
      <c r="AN80" s="56">
        <f t="shared" si="105"/>
        <v>0</v>
      </c>
      <c r="AO80" s="11">
        <f t="shared" si="105"/>
        <v>0</v>
      </c>
      <c r="AP80" s="11">
        <f t="shared" si="105"/>
        <v>0</v>
      </c>
      <c r="AQ80" s="11">
        <f t="shared" si="105"/>
        <v>0</v>
      </c>
      <c r="AR80" s="11">
        <f t="shared" si="105"/>
        <v>0</v>
      </c>
      <c r="AS80" s="11">
        <f t="shared" si="105"/>
        <v>0</v>
      </c>
      <c r="AT80" s="61">
        <f t="shared" si="158"/>
        <v>0</v>
      </c>
      <c r="AU80" s="58">
        <f t="shared" si="158"/>
        <v>0</v>
      </c>
      <c r="AV80" s="58">
        <f t="shared" si="158"/>
        <v>0</v>
      </c>
      <c r="AW80" s="58">
        <f t="shared" si="158"/>
        <v>0</v>
      </c>
      <c r="AX80" s="58">
        <f t="shared" si="158"/>
        <v>0</v>
      </c>
      <c r="AY80" s="62">
        <f t="shared" si="158"/>
        <v>0</v>
      </c>
      <c r="AZ80" s="61">
        <f t="shared" si="177"/>
        <v>0</v>
      </c>
      <c r="BA80" s="58">
        <f t="shared" si="177"/>
        <v>0</v>
      </c>
      <c r="BB80" s="58">
        <f t="shared" si="177"/>
        <v>0</v>
      </c>
      <c r="BC80" s="58">
        <f t="shared" si="177"/>
        <v>0</v>
      </c>
      <c r="BD80" s="58">
        <f t="shared" si="177"/>
        <v>0</v>
      </c>
      <c r="BE80" s="58">
        <f t="shared" si="177"/>
        <v>0</v>
      </c>
      <c r="BF80" s="58">
        <f t="shared" si="177"/>
        <v>0</v>
      </c>
      <c r="BG80" s="61">
        <f t="shared" si="178"/>
        <v>0</v>
      </c>
      <c r="BH80" s="58">
        <f t="shared" si="178"/>
        <v>0</v>
      </c>
      <c r="BI80" s="58">
        <f t="shared" si="178"/>
        <v>0</v>
      </c>
      <c r="BJ80" s="58">
        <f t="shared" si="178"/>
        <v>0</v>
      </c>
      <c r="BK80" s="58">
        <f t="shared" si="178"/>
        <v>0</v>
      </c>
      <c r="BL80" s="58">
        <f t="shared" si="137"/>
        <v>0</v>
      </c>
      <c r="BM80" s="58">
        <f t="shared" si="137"/>
        <v>0</v>
      </c>
      <c r="BN80" s="62">
        <f t="shared" si="137"/>
        <v>0</v>
      </c>
      <c r="BO80" s="61">
        <f t="shared" si="183"/>
        <v>0</v>
      </c>
      <c r="BP80" s="58">
        <f t="shared" si="183"/>
        <v>0</v>
      </c>
      <c r="BQ80" s="58">
        <f t="shared" si="183"/>
        <v>0</v>
      </c>
      <c r="BR80" s="58">
        <f t="shared" si="183"/>
        <v>0</v>
      </c>
      <c r="BS80" s="58">
        <f t="shared" si="183"/>
        <v>0</v>
      </c>
      <c r="BT80" s="58">
        <f t="shared" si="138"/>
        <v>0</v>
      </c>
      <c r="BU80" s="58">
        <f t="shared" si="138"/>
        <v>0</v>
      </c>
      <c r="BV80" s="62">
        <f t="shared" si="138"/>
        <v>0</v>
      </c>
      <c r="BW80" s="61">
        <f t="shared" si="172"/>
        <v>0</v>
      </c>
      <c r="BX80" s="58">
        <f t="shared" si="172"/>
        <v>0</v>
      </c>
      <c r="BY80" s="58">
        <f t="shared" si="172"/>
        <v>0</v>
      </c>
      <c r="BZ80" s="58">
        <f t="shared" si="172"/>
        <v>0</v>
      </c>
      <c r="CA80" s="58">
        <f t="shared" si="172"/>
        <v>0</v>
      </c>
      <c r="CB80" s="58">
        <f t="shared" si="139"/>
        <v>0</v>
      </c>
      <c r="CC80" s="58">
        <f t="shared" si="139"/>
        <v>0</v>
      </c>
      <c r="CD80" s="62">
        <f t="shared" si="139"/>
        <v>0</v>
      </c>
      <c r="CE80" s="61">
        <f t="shared" si="179"/>
        <v>0</v>
      </c>
      <c r="CF80" s="58">
        <f t="shared" si="179"/>
        <v>0</v>
      </c>
      <c r="CG80" s="58">
        <f t="shared" si="179"/>
        <v>0</v>
      </c>
      <c r="CH80" s="58">
        <f t="shared" si="179"/>
        <v>0</v>
      </c>
      <c r="CI80" s="58">
        <f t="shared" si="179"/>
        <v>0</v>
      </c>
      <c r="CJ80" s="58">
        <f t="shared" si="140"/>
        <v>0</v>
      </c>
      <c r="CK80" s="58">
        <f t="shared" si="140"/>
        <v>0</v>
      </c>
      <c r="CL80" s="62">
        <f t="shared" si="140"/>
        <v>0</v>
      </c>
      <c r="CM80" s="61">
        <f t="shared" si="180"/>
        <v>0</v>
      </c>
      <c r="CN80" s="58">
        <f t="shared" si="180"/>
        <v>0</v>
      </c>
      <c r="CO80" s="58">
        <f t="shared" si="180"/>
        <v>0</v>
      </c>
      <c r="CP80" s="58">
        <f t="shared" si="180"/>
        <v>0</v>
      </c>
      <c r="CQ80" s="58">
        <f t="shared" si="180"/>
        <v>0</v>
      </c>
      <c r="CR80" s="58">
        <f t="shared" si="141"/>
        <v>0</v>
      </c>
      <c r="CS80" s="58">
        <f t="shared" si="141"/>
        <v>0</v>
      </c>
      <c r="CT80" s="62">
        <f t="shared" si="141"/>
        <v>0</v>
      </c>
      <c r="CU80" s="235"/>
    </row>
    <row r="81" spans="1:99" ht="26.25" hidden="1" customHeight="1" outlineLevel="1" collapsed="1" x14ac:dyDescent="0.4">
      <c r="A81" s="350">
        <v>38</v>
      </c>
      <c r="B81" s="350" t="s">
        <v>47</v>
      </c>
      <c r="C81" s="350" t="s">
        <v>14</v>
      </c>
      <c r="D81" s="352" t="s">
        <v>750</v>
      </c>
      <c r="E81" s="352" t="s">
        <v>751</v>
      </c>
      <c r="F81" s="352"/>
      <c r="G81" s="385" t="s">
        <v>752</v>
      </c>
      <c r="H81" s="446">
        <f t="shared" ref="H81:H114" si="184">SUM(AZ81:BF81)</f>
        <v>0</v>
      </c>
      <c r="I81" s="446">
        <f t="shared" ref="I81:I114" si="185">SUM(AZ82:BF82)</f>
        <v>0</v>
      </c>
      <c r="J81" s="448"/>
      <c r="K81" s="452"/>
      <c r="L81" s="452"/>
      <c r="M81" s="450"/>
      <c r="N81" s="47" t="s">
        <v>24</v>
      </c>
      <c r="O81" s="10">
        <f t="shared" si="134"/>
        <v>0</v>
      </c>
      <c r="P81" s="10">
        <f t="shared" si="134"/>
        <v>0</v>
      </c>
      <c r="Q81" s="10">
        <f t="shared" si="134"/>
        <v>0</v>
      </c>
      <c r="R81" s="10">
        <f t="shared" si="134"/>
        <v>0</v>
      </c>
      <c r="S81" s="10">
        <f t="shared" si="134"/>
        <v>0</v>
      </c>
      <c r="T81" s="10">
        <f t="shared" si="134"/>
        <v>0</v>
      </c>
      <c r="U81" s="79">
        <f t="shared" si="134"/>
        <v>0</v>
      </c>
      <c r="V81" s="19">
        <f t="shared" si="144"/>
        <v>0</v>
      </c>
      <c r="W81" s="10">
        <f t="shared" si="144"/>
        <v>0</v>
      </c>
      <c r="X81" s="10">
        <f t="shared" si="144"/>
        <v>0</v>
      </c>
      <c r="Y81" s="10">
        <f t="shared" si="144"/>
        <v>0</v>
      </c>
      <c r="Z81" s="10">
        <f t="shared" si="144"/>
        <v>0</v>
      </c>
      <c r="AA81" s="10">
        <f t="shared" ref="AA81:AG106" si="186">0/165</f>
        <v>0</v>
      </c>
      <c r="AB81" s="19">
        <f t="shared" si="186"/>
        <v>0</v>
      </c>
      <c r="AC81" s="10">
        <f t="shared" si="186"/>
        <v>0</v>
      </c>
      <c r="AD81" s="210">
        <f t="shared" si="186"/>
        <v>0</v>
      </c>
      <c r="AE81" s="10">
        <f t="shared" si="186"/>
        <v>0</v>
      </c>
      <c r="AF81" s="10">
        <f t="shared" si="186"/>
        <v>0</v>
      </c>
      <c r="AG81" s="10">
        <f t="shared" si="186"/>
        <v>0</v>
      </c>
      <c r="AH81" s="71">
        <f>(4)/165</f>
        <v>2.4242424242424242E-2</v>
      </c>
      <c r="AI81" s="10">
        <f>(6)/165</f>
        <v>3.6363636363636362E-2</v>
      </c>
      <c r="AJ81" s="10">
        <f t="shared" si="161"/>
        <v>0</v>
      </c>
      <c r="AK81" s="10">
        <f t="shared" si="161"/>
        <v>0</v>
      </c>
      <c r="AL81" s="10">
        <f t="shared" si="161"/>
        <v>0</v>
      </c>
      <c r="AM81" s="10">
        <f t="shared" si="161"/>
        <v>0</v>
      </c>
      <c r="AN81" s="71">
        <f t="shared" si="105"/>
        <v>0</v>
      </c>
      <c r="AO81" s="10">
        <f t="shared" si="105"/>
        <v>0</v>
      </c>
      <c r="AP81" s="10">
        <f t="shared" si="105"/>
        <v>0</v>
      </c>
      <c r="AQ81" s="10">
        <f t="shared" ref="AO81:AS86" si="187">(0)/157.5</f>
        <v>0</v>
      </c>
      <c r="AR81" s="10">
        <f t="shared" si="187"/>
        <v>0</v>
      </c>
      <c r="AS81" s="10">
        <f t="shared" si="187"/>
        <v>0</v>
      </c>
      <c r="AT81" s="189">
        <f t="shared" si="158"/>
        <v>0</v>
      </c>
      <c r="AU81" s="10">
        <f t="shared" si="158"/>
        <v>0</v>
      </c>
      <c r="AV81" s="10">
        <f t="shared" si="158"/>
        <v>0</v>
      </c>
      <c r="AW81" s="10">
        <f t="shared" si="158"/>
        <v>0</v>
      </c>
      <c r="AX81" s="10">
        <f t="shared" si="158"/>
        <v>0</v>
      </c>
      <c r="AY81" s="17">
        <f t="shared" si="158"/>
        <v>0</v>
      </c>
      <c r="AZ81" s="19">
        <f t="shared" si="177"/>
        <v>0</v>
      </c>
      <c r="BA81" s="10">
        <f t="shared" si="177"/>
        <v>0</v>
      </c>
      <c r="BB81" s="10">
        <f t="shared" si="177"/>
        <v>0</v>
      </c>
      <c r="BC81" s="10">
        <f t="shared" si="177"/>
        <v>0</v>
      </c>
      <c r="BD81" s="10">
        <f t="shared" si="177"/>
        <v>0</v>
      </c>
      <c r="BE81" s="10">
        <f t="shared" si="177"/>
        <v>0</v>
      </c>
      <c r="BF81" s="10">
        <f t="shared" si="177"/>
        <v>0</v>
      </c>
      <c r="BG81" s="19">
        <f t="shared" si="178"/>
        <v>0</v>
      </c>
      <c r="BH81" s="10">
        <f t="shared" si="178"/>
        <v>0</v>
      </c>
      <c r="BI81" s="10">
        <f t="shared" si="178"/>
        <v>0</v>
      </c>
      <c r="BJ81" s="10">
        <f t="shared" si="178"/>
        <v>0</v>
      </c>
      <c r="BK81" s="10">
        <f t="shared" si="178"/>
        <v>0</v>
      </c>
      <c r="BL81" s="10">
        <f t="shared" si="137"/>
        <v>0</v>
      </c>
      <c r="BM81" s="10">
        <f t="shared" si="137"/>
        <v>0</v>
      </c>
      <c r="BN81" s="17">
        <f t="shared" si="137"/>
        <v>0</v>
      </c>
      <c r="BO81" s="19">
        <f t="shared" si="183"/>
        <v>0</v>
      </c>
      <c r="BP81" s="10">
        <f t="shared" si="183"/>
        <v>0</v>
      </c>
      <c r="BQ81" s="10">
        <f t="shared" si="183"/>
        <v>0</v>
      </c>
      <c r="BR81" s="10">
        <f t="shared" si="183"/>
        <v>0</v>
      </c>
      <c r="BS81" s="10">
        <f t="shared" si="183"/>
        <v>0</v>
      </c>
      <c r="BT81" s="10">
        <f t="shared" si="138"/>
        <v>0</v>
      </c>
      <c r="BU81" s="10">
        <f t="shared" si="138"/>
        <v>0</v>
      </c>
      <c r="BV81" s="17">
        <f t="shared" si="138"/>
        <v>0</v>
      </c>
      <c r="BW81" s="71">
        <f t="shared" si="172"/>
        <v>0</v>
      </c>
      <c r="BX81" s="10">
        <f t="shared" si="172"/>
        <v>0</v>
      </c>
      <c r="BY81" s="10">
        <f t="shared" si="172"/>
        <v>0</v>
      </c>
      <c r="BZ81" s="10">
        <f t="shared" si="172"/>
        <v>0</v>
      </c>
      <c r="CA81" s="10">
        <f t="shared" si="172"/>
        <v>0</v>
      </c>
      <c r="CB81" s="10">
        <f t="shared" si="139"/>
        <v>0</v>
      </c>
      <c r="CC81" s="10">
        <f t="shared" si="139"/>
        <v>0</v>
      </c>
      <c r="CD81" s="17">
        <f t="shared" si="139"/>
        <v>0</v>
      </c>
      <c r="CE81" s="19">
        <f t="shared" si="179"/>
        <v>0</v>
      </c>
      <c r="CF81" s="10">
        <f t="shared" si="179"/>
        <v>0</v>
      </c>
      <c r="CG81" s="10">
        <f t="shared" si="179"/>
        <v>0</v>
      </c>
      <c r="CH81" s="10">
        <f t="shared" si="179"/>
        <v>0</v>
      </c>
      <c r="CI81" s="10">
        <f t="shared" si="179"/>
        <v>0</v>
      </c>
      <c r="CJ81" s="10">
        <f t="shared" si="140"/>
        <v>0</v>
      </c>
      <c r="CK81" s="10">
        <f t="shared" si="140"/>
        <v>0</v>
      </c>
      <c r="CL81" s="17">
        <f t="shared" si="140"/>
        <v>0</v>
      </c>
      <c r="CM81" s="19">
        <f t="shared" si="180"/>
        <v>0</v>
      </c>
      <c r="CN81" s="10">
        <f t="shared" si="180"/>
        <v>0</v>
      </c>
      <c r="CO81" s="10">
        <f t="shared" si="180"/>
        <v>0</v>
      </c>
      <c r="CP81" s="10">
        <f t="shared" si="180"/>
        <v>0</v>
      </c>
      <c r="CQ81" s="10">
        <f t="shared" si="180"/>
        <v>0</v>
      </c>
      <c r="CR81" s="10">
        <f t="shared" si="141"/>
        <v>0</v>
      </c>
      <c r="CS81" s="10">
        <f t="shared" si="141"/>
        <v>0</v>
      </c>
      <c r="CT81" s="17">
        <f t="shared" si="141"/>
        <v>0</v>
      </c>
      <c r="CU81" s="235"/>
    </row>
    <row r="82" spans="1:99" ht="26.25" hidden="1" customHeight="1" outlineLevel="1" x14ac:dyDescent="0.4">
      <c r="A82" s="351"/>
      <c r="B82" s="351"/>
      <c r="C82" s="351"/>
      <c r="D82" s="353"/>
      <c r="E82" s="353"/>
      <c r="F82" s="353"/>
      <c r="G82" s="385"/>
      <c r="H82" s="447"/>
      <c r="I82" s="447"/>
      <c r="J82" s="449"/>
      <c r="K82" s="453"/>
      <c r="L82" s="453"/>
      <c r="M82" s="451"/>
      <c r="N82" s="38" t="s">
        <v>25</v>
      </c>
      <c r="O82" s="11">
        <f t="shared" si="134"/>
        <v>0</v>
      </c>
      <c r="P82" s="11">
        <f t="shared" si="134"/>
        <v>0</v>
      </c>
      <c r="Q82" s="11">
        <f t="shared" si="134"/>
        <v>0</v>
      </c>
      <c r="R82" s="11">
        <f t="shared" si="134"/>
        <v>0</v>
      </c>
      <c r="S82" s="11">
        <f t="shared" si="134"/>
        <v>0</v>
      </c>
      <c r="T82" s="11">
        <f t="shared" si="134"/>
        <v>0</v>
      </c>
      <c r="U82" s="48">
        <f t="shared" si="134"/>
        <v>0</v>
      </c>
      <c r="V82" s="56">
        <f t="shared" si="144"/>
        <v>0</v>
      </c>
      <c r="W82" s="18">
        <f t="shared" si="144"/>
        <v>0</v>
      </c>
      <c r="X82" s="18">
        <f t="shared" si="144"/>
        <v>0</v>
      </c>
      <c r="Y82" s="18">
        <f t="shared" si="144"/>
        <v>0</v>
      </c>
      <c r="Z82" s="18">
        <f t="shared" si="144"/>
        <v>0</v>
      </c>
      <c r="AA82" s="18">
        <f t="shared" si="186"/>
        <v>0</v>
      </c>
      <c r="AB82" s="41">
        <f t="shared" si="186"/>
        <v>0</v>
      </c>
      <c r="AC82" s="51">
        <f t="shared" si="186"/>
        <v>0</v>
      </c>
      <c r="AD82" s="11">
        <f t="shared" si="186"/>
        <v>0</v>
      </c>
      <c r="AE82" s="11">
        <f t="shared" si="186"/>
        <v>0</v>
      </c>
      <c r="AF82" s="11">
        <f t="shared" si="186"/>
        <v>0</v>
      </c>
      <c r="AG82" s="18">
        <f t="shared" si="186"/>
        <v>0</v>
      </c>
      <c r="AH82" s="56">
        <f>(0+2.5)/165</f>
        <v>1.5151515151515152E-2</v>
      </c>
      <c r="AI82" s="11">
        <f>(0+6.75+0.5)/165</f>
        <v>4.3939393939393938E-2</v>
      </c>
      <c r="AJ82" s="11">
        <f t="shared" si="161"/>
        <v>0</v>
      </c>
      <c r="AK82" s="11">
        <f t="shared" si="161"/>
        <v>0</v>
      </c>
      <c r="AL82" s="11">
        <f t="shared" si="161"/>
        <v>0</v>
      </c>
      <c r="AM82" s="11">
        <f t="shared" si="161"/>
        <v>0</v>
      </c>
      <c r="AN82" s="56">
        <f t="shared" ref="AN82:AS97" si="188">(0)/157.5</f>
        <v>0</v>
      </c>
      <c r="AO82" s="11">
        <f t="shared" si="188"/>
        <v>0</v>
      </c>
      <c r="AP82" s="11">
        <f t="shared" si="188"/>
        <v>0</v>
      </c>
      <c r="AQ82" s="11">
        <f t="shared" si="187"/>
        <v>0</v>
      </c>
      <c r="AR82" s="11">
        <f t="shared" si="187"/>
        <v>0</v>
      </c>
      <c r="AS82" s="11">
        <f t="shared" si="187"/>
        <v>0</v>
      </c>
      <c r="AT82" s="61">
        <f t="shared" si="158"/>
        <v>0</v>
      </c>
      <c r="AU82" s="58">
        <f t="shared" si="158"/>
        <v>0</v>
      </c>
      <c r="AV82" s="58">
        <f t="shared" si="158"/>
        <v>0</v>
      </c>
      <c r="AW82" s="58">
        <f t="shared" si="158"/>
        <v>0</v>
      </c>
      <c r="AX82" s="58">
        <f t="shared" si="158"/>
        <v>0</v>
      </c>
      <c r="AY82" s="62">
        <f t="shared" si="158"/>
        <v>0</v>
      </c>
      <c r="AZ82" s="61">
        <f t="shared" si="177"/>
        <v>0</v>
      </c>
      <c r="BA82" s="58">
        <f t="shared" si="177"/>
        <v>0</v>
      </c>
      <c r="BB82" s="58">
        <f t="shared" si="177"/>
        <v>0</v>
      </c>
      <c r="BC82" s="58">
        <f t="shared" si="177"/>
        <v>0</v>
      </c>
      <c r="BD82" s="58">
        <f t="shared" si="177"/>
        <v>0</v>
      </c>
      <c r="BE82" s="58">
        <f t="shared" si="177"/>
        <v>0</v>
      </c>
      <c r="BF82" s="58">
        <f t="shared" si="177"/>
        <v>0</v>
      </c>
      <c r="BG82" s="61">
        <f t="shared" si="178"/>
        <v>0</v>
      </c>
      <c r="BH82" s="58">
        <f t="shared" si="178"/>
        <v>0</v>
      </c>
      <c r="BI82" s="58">
        <f t="shared" si="178"/>
        <v>0</v>
      </c>
      <c r="BJ82" s="58">
        <f t="shared" si="178"/>
        <v>0</v>
      </c>
      <c r="BK82" s="58">
        <f t="shared" si="178"/>
        <v>0</v>
      </c>
      <c r="BL82" s="58">
        <f t="shared" si="137"/>
        <v>0</v>
      </c>
      <c r="BM82" s="58">
        <f t="shared" si="137"/>
        <v>0</v>
      </c>
      <c r="BN82" s="62">
        <f t="shared" si="137"/>
        <v>0</v>
      </c>
      <c r="BO82" s="61">
        <f t="shared" si="183"/>
        <v>0</v>
      </c>
      <c r="BP82" s="58">
        <f t="shared" si="183"/>
        <v>0</v>
      </c>
      <c r="BQ82" s="58">
        <f t="shared" si="183"/>
        <v>0</v>
      </c>
      <c r="BR82" s="58">
        <f t="shared" si="183"/>
        <v>0</v>
      </c>
      <c r="BS82" s="58">
        <f t="shared" si="183"/>
        <v>0</v>
      </c>
      <c r="BT82" s="58">
        <f t="shared" si="138"/>
        <v>0</v>
      </c>
      <c r="BU82" s="58">
        <f t="shared" si="138"/>
        <v>0</v>
      </c>
      <c r="BV82" s="62">
        <f t="shared" si="138"/>
        <v>0</v>
      </c>
      <c r="BW82" s="61">
        <f t="shared" si="172"/>
        <v>0</v>
      </c>
      <c r="BX82" s="58">
        <f t="shared" si="172"/>
        <v>0</v>
      </c>
      <c r="BY82" s="58">
        <f t="shared" si="172"/>
        <v>0</v>
      </c>
      <c r="BZ82" s="58">
        <f t="shared" si="172"/>
        <v>0</v>
      </c>
      <c r="CA82" s="58">
        <f t="shared" si="172"/>
        <v>0</v>
      </c>
      <c r="CB82" s="58">
        <f t="shared" si="139"/>
        <v>0</v>
      </c>
      <c r="CC82" s="58">
        <f t="shared" si="139"/>
        <v>0</v>
      </c>
      <c r="CD82" s="62">
        <f t="shared" si="139"/>
        <v>0</v>
      </c>
      <c r="CE82" s="61">
        <f t="shared" si="179"/>
        <v>0</v>
      </c>
      <c r="CF82" s="58">
        <f t="shared" si="179"/>
        <v>0</v>
      </c>
      <c r="CG82" s="58">
        <f t="shared" si="179"/>
        <v>0</v>
      </c>
      <c r="CH82" s="58">
        <f t="shared" si="179"/>
        <v>0</v>
      </c>
      <c r="CI82" s="58">
        <f t="shared" si="179"/>
        <v>0</v>
      </c>
      <c r="CJ82" s="58">
        <f t="shared" si="140"/>
        <v>0</v>
      </c>
      <c r="CK82" s="58">
        <f t="shared" si="140"/>
        <v>0</v>
      </c>
      <c r="CL82" s="62">
        <f t="shared" si="140"/>
        <v>0</v>
      </c>
      <c r="CM82" s="61">
        <f t="shared" si="180"/>
        <v>0</v>
      </c>
      <c r="CN82" s="58">
        <f t="shared" si="180"/>
        <v>0</v>
      </c>
      <c r="CO82" s="58">
        <f t="shared" si="180"/>
        <v>0</v>
      </c>
      <c r="CP82" s="58">
        <f t="shared" si="180"/>
        <v>0</v>
      </c>
      <c r="CQ82" s="58">
        <f t="shared" si="180"/>
        <v>0</v>
      </c>
      <c r="CR82" s="58">
        <f t="shared" si="141"/>
        <v>0</v>
      </c>
      <c r="CS82" s="58">
        <f t="shared" si="141"/>
        <v>0</v>
      </c>
      <c r="CT82" s="62">
        <f t="shared" si="141"/>
        <v>0</v>
      </c>
      <c r="CU82" s="235"/>
    </row>
    <row r="83" spans="1:99" ht="26.25" customHeight="1" collapsed="1" x14ac:dyDescent="0.4">
      <c r="A83" s="350">
        <v>39</v>
      </c>
      <c r="B83" s="350" t="s">
        <v>46</v>
      </c>
      <c r="C83" s="350" t="s">
        <v>14</v>
      </c>
      <c r="D83" s="352" t="s">
        <v>771</v>
      </c>
      <c r="E83" s="352" t="s">
        <v>769</v>
      </c>
      <c r="F83" s="352"/>
      <c r="G83" s="385" t="s">
        <v>772</v>
      </c>
      <c r="H83" s="446">
        <f t="shared" ref="H83:H114" si="189">SUM(AZ83:BF83)</f>
        <v>0.18</v>
      </c>
      <c r="I83" s="446">
        <f t="shared" ref="I83:I114" si="190">SUM(AZ84:BF84)</f>
        <v>0.13833333333333334</v>
      </c>
      <c r="J83" s="448"/>
      <c r="K83" s="452"/>
      <c r="L83" s="452"/>
      <c r="M83" s="450"/>
      <c r="N83" s="47" t="s">
        <v>24</v>
      </c>
      <c r="O83" s="10">
        <f t="shared" si="134"/>
        <v>0</v>
      </c>
      <c r="P83" s="10">
        <f t="shared" si="134"/>
        <v>0</v>
      </c>
      <c r="Q83" s="10">
        <f t="shared" si="134"/>
        <v>0</v>
      </c>
      <c r="R83" s="10">
        <f t="shared" si="134"/>
        <v>0</v>
      </c>
      <c r="S83" s="10">
        <f t="shared" si="134"/>
        <v>0</v>
      </c>
      <c r="T83" s="10">
        <f t="shared" si="134"/>
        <v>0</v>
      </c>
      <c r="U83" s="79">
        <f t="shared" si="134"/>
        <v>0</v>
      </c>
      <c r="V83" s="19">
        <f t="shared" si="144"/>
        <v>0</v>
      </c>
      <c r="W83" s="10">
        <f t="shared" si="144"/>
        <v>0</v>
      </c>
      <c r="X83" s="10">
        <f t="shared" si="144"/>
        <v>0</v>
      </c>
      <c r="Y83" s="10">
        <f t="shared" si="144"/>
        <v>0</v>
      </c>
      <c r="Z83" s="10">
        <f t="shared" si="144"/>
        <v>0</v>
      </c>
      <c r="AA83" s="10">
        <f t="shared" si="186"/>
        <v>0</v>
      </c>
      <c r="AB83" s="19">
        <f t="shared" si="186"/>
        <v>0</v>
      </c>
      <c r="AC83" s="10">
        <f t="shared" si="186"/>
        <v>0</v>
      </c>
      <c r="AD83" s="210">
        <f t="shared" si="186"/>
        <v>0</v>
      </c>
      <c r="AE83" s="10">
        <f t="shared" si="186"/>
        <v>0</v>
      </c>
      <c r="AF83" s="10">
        <f t="shared" si="186"/>
        <v>0</v>
      </c>
      <c r="AG83" s="10">
        <f t="shared" si="186"/>
        <v>0</v>
      </c>
      <c r="AH83" s="71">
        <f>(4)/165</f>
        <v>2.4242424242424242E-2</v>
      </c>
      <c r="AI83" s="10">
        <f t="shared" si="161"/>
        <v>0</v>
      </c>
      <c r="AJ83" s="10">
        <f t="shared" si="161"/>
        <v>0</v>
      </c>
      <c r="AK83" s="10">
        <f t="shared" si="161"/>
        <v>0</v>
      </c>
      <c r="AL83" s="10">
        <f t="shared" si="161"/>
        <v>0</v>
      </c>
      <c r="AM83" s="10">
        <f t="shared" si="161"/>
        <v>0</v>
      </c>
      <c r="AN83" s="71">
        <f>(6)/157.5</f>
        <v>3.8095238095238099E-2</v>
      </c>
      <c r="AO83" s="10">
        <f t="shared" si="187"/>
        <v>0</v>
      </c>
      <c r="AP83" s="10">
        <f>(50)/157.5</f>
        <v>0.31746031746031744</v>
      </c>
      <c r="AQ83" s="10">
        <f t="shared" si="187"/>
        <v>0</v>
      </c>
      <c r="AR83" s="10">
        <f t="shared" si="187"/>
        <v>0</v>
      </c>
      <c r="AS83" s="10">
        <f>(56)/157.5</f>
        <v>0.35555555555555557</v>
      </c>
      <c r="AT83" s="71">
        <f>(4)/165</f>
        <v>2.4242424242424242E-2</v>
      </c>
      <c r="AU83" s="10">
        <f>(9)/165</f>
        <v>5.4545454545454543E-2</v>
      </c>
      <c r="AV83" s="10">
        <f>(22)/165</f>
        <v>0.13333333333333333</v>
      </c>
      <c r="AW83" s="10">
        <f>(10)/165</f>
        <v>6.0606060606060608E-2</v>
      </c>
      <c r="AX83" s="10">
        <f>(20)/165</f>
        <v>0.12121212121212122</v>
      </c>
      <c r="AY83" s="10">
        <f>(69)/165</f>
        <v>0.41818181818181815</v>
      </c>
      <c r="AZ83" s="19">
        <f>(7)/150</f>
        <v>4.6666666666666669E-2</v>
      </c>
      <c r="BA83" s="10">
        <f t="shared" si="177"/>
        <v>0</v>
      </c>
      <c r="BB83" s="10">
        <f t="shared" si="177"/>
        <v>0</v>
      </c>
      <c r="BC83" s="10">
        <f t="shared" si="177"/>
        <v>0</v>
      </c>
      <c r="BD83" s="10">
        <f t="shared" si="177"/>
        <v>0</v>
      </c>
      <c r="BE83" s="10">
        <f>(20)/150</f>
        <v>0.13333333333333333</v>
      </c>
      <c r="BF83" s="10">
        <f t="shared" si="177"/>
        <v>0</v>
      </c>
      <c r="BG83" s="19">
        <f t="shared" si="178"/>
        <v>0</v>
      </c>
      <c r="BH83" s="10">
        <f t="shared" si="178"/>
        <v>0</v>
      </c>
      <c r="BI83" s="10">
        <f t="shared" si="178"/>
        <v>0</v>
      </c>
      <c r="BJ83" s="10">
        <f t="shared" si="178"/>
        <v>0</v>
      </c>
      <c r="BK83" s="10">
        <f t="shared" si="178"/>
        <v>0</v>
      </c>
      <c r="BL83" s="10">
        <f t="shared" si="137"/>
        <v>0</v>
      </c>
      <c r="BM83" s="10">
        <f t="shared" si="137"/>
        <v>0</v>
      </c>
      <c r="BN83" s="17">
        <f t="shared" si="137"/>
        <v>0</v>
      </c>
      <c r="BO83" s="19">
        <f t="shared" si="183"/>
        <v>0</v>
      </c>
      <c r="BP83" s="10">
        <f t="shared" si="183"/>
        <v>0</v>
      </c>
      <c r="BQ83" s="10">
        <f t="shared" si="183"/>
        <v>0</v>
      </c>
      <c r="BR83" s="10">
        <f t="shared" si="183"/>
        <v>0</v>
      </c>
      <c r="BS83" s="10">
        <f t="shared" si="183"/>
        <v>0</v>
      </c>
      <c r="BT83" s="10">
        <f t="shared" si="138"/>
        <v>0</v>
      </c>
      <c r="BU83" s="10">
        <f t="shared" si="138"/>
        <v>0</v>
      </c>
      <c r="BV83" s="17">
        <f t="shared" si="138"/>
        <v>0</v>
      </c>
      <c r="BW83" s="71">
        <f t="shared" si="172"/>
        <v>0</v>
      </c>
      <c r="BX83" s="10">
        <f t="shared" si="172"/>
        <v>0</v>
      </c>
      <c r="BY83" s="10">
        <f t="shared" si="172"/>
        <v>0</v>
      </c>
      <c r="BZ83" s="10">
        <f t="shared" si="172"/>
        <v>0</v>
      </c>
      <c r="CA83" s="10">
        <f t="shared" si="172"/>
        <v>0</v>
      </c>
      <c r="CB83" s="10">
        <f t="shared" si="139"/>
        <v>0</v>
      </c>
      <c r="CC83" s="10">
        <f t="shared" si="139"/>
        <v>0</v>
      </c>
      <c r="CD83" s="17">
        <f t="shared" si="139"/>
        <v>0</v>
      </c>
      <c r="CE83" s="19">
        <f t="shared" si="179"/>
        <v>0</v>
      </c>
      <c r="CF83" s="10">
        <f t="shared" si="179"/>
        <v>0</v>
      </c>
      <c r="CG83" s="10">
        <f t="shared" si="179"/>
        <v>0</v>
      </c>
      <c r="CH83" s="10">
        <f t="shared" si="179"/>
        <v>0</v>
      </c>
      <c r="CI83" s="10">
        <f t="shared" si="179"/>
        <v>0</v>
      </c>
      <c r="CJ83" s="10">
        <f t="shared" si="140"/>
        <v>0</v>
      </c>
      <c r="CK83" s="10">
        <f t="shared" si="140"/>
        <v>0</v>
      </c>
      <c r="CL83" s="17">
        <f t="shared" si="140"/>
        <v>0</v>
      </c>
      <c r="CM83" s="19">
        <f t="shared" si="180"/>
        <v>0</v>
      </c>
      <c r="CN83" s="10">
        <f t="shared" si="180"/>
        <v>0</v>
      </c>
      <c r="CO83" s="10">
        <f t="shared" si="180"/>
        <v>0</v>
      </c>
      <c r="CP83" s="10">
        <f t="shared" si="180"/>
        <v>0</v>
      </c>
      <c r="CQ83" s="10">
        <f t="shared" si="180"/>
        <v>0</v>
      </c>
      <c r="CR83" s="10">
        <f t="shared" si="141"/>
        <v>0</v>
      </c>
      <c r="CS83" s="10">
        <f t="shared" si="141"/>
        <v>0</v>
      </c>
      <c r="CT83" s="17">
        <f t="shared" si="141"/>
        <v>0</v>
      </c>
      <c r="CU83" s="235"/>
    </row>
    <row r="84" spans="1:99" ht="26.25" customHeight="1" x14ac:dyDescent="0.4">
      <c r="A84" s="351"/>
      <c r="B84" s="351"/>
      <c r="C84" s="351"/>
      <c r="D84" s="353"/>
      <c r="E84" s="353"/>
      <c r="F84" s="353"/>
      <c r="G84" s="385"/>
      <c r="H84" s="447"/>
      <c r="I84" s="447"/>
      <c r="J84" s="449"/>
      <c r="K84" s="453"/>
      <c r="L84" s="453"/>
      <c r="M84" s="451"/>
      <c r="N84" s="38" t="s">
        <v>25</v>
      </c>
      <c r="O84" s="11">
        <f t="shared" si="134"/>
        <v>0</v>
      </c>
      <c r="P84" s="11">
        <f t="shared" si="134"/>
        <v>0</v>
      </c>
      <c r="Q84" s="11">
        <f t="shared" si="134"/>
        <v>0</v>
      </c>
      <c r="R84" s="11">
        <f t="shared" si="134"/>
        <v>0</v>
      </c>
      <c r="S84" s="11">
        <f t="shared" si="134"/>
        <v>0</v>
      </c>
      <c r="T84" s="11">
        <f t="shared" si="134"/>
        <v>0</v>
      </c>
      <c r="U84" s="48">
        <f t="shared" si="134"/>
        <v>0</v>
      </c>
      <c r="V84" s="56">
        <f t="shared" si="144"/>
        <v>0</v>
      </c>
      <c r="W84" s="18">
        <f t="shared" si="144"/>
        <v>0</v>
      </c>
      <c r="X84" s="18">
        <f t="shared" si="144"/>
        <v>0</v>
      </c>
      <c r="Y84" s="18">
        <f t="shared" si="144"/>
        <v>0</v>
      </c>
      <c r="Z84" s="18">
        <f t="shared" si="144"/>
        <v>0</v>
      </c>
      <c r="AA84" s="18">
        <f t="shared" si="186"/>
        <v>0</v>
      </c>
      <c r="AB84" s="41">
        <f t="shared" si="186"/>
        <v>0</v>
      </c>
      <c r="AC84" s="51">
        <f t="shared" si="186"/>
        <v>0</v>
      </c>
      <c r="AD84" s="11">
        <f t="shared" si="186"/>
        <v>0</v>
      </c>
      <c r="AE84" s="11">
        <f t="shared" si="186"/>
        <v>0</v>
      </c>
      <c r="AF84" s="11">
        <f t="shared" si="186"/>
        <v>0</v>
      </c>
      <c r="AG84" s="18">
        <f t="shared" si="186"/>
        <v>0</v>
      </c>
      <c r="AH84" s="56">
        <f>(0+3.5)/165</f>
        <v>2.1212121212121213E-2</v>
      </c>
      <c r="AI84" s="11">
        <f t="shared" ref="AI84:AM86" si="191">(0)/165</f>
        <v>0</v>
      </c>
      <c r="AJ84" s="11">
        <f t="shared" si="191"/>
        <v>0</v>
      </c>
      <c r="AK84" s="11">
        <f t="shared" si="191"/>
        <v>0</v>
      </c>
      <c r="AL84" s="11">
        <f t="shared" si="191"/>
        <v>0</v>
      </c>
      <c r="AM84" s="11">
        <f t="shared" si="191"/>
        <v>0</v>
      </c>
      <c r="AN84" s="56">
        <f>(1.25+2.5+2)/157.5</f>
        <v>3.650793650793651E-2</v>
      </c>
      <c r="AO84" s="11">
        <f>(0.5)/157.5</f>
        <v>3.1746031746031746E-3</v>
      </c>
      <c r="AP84" s="11">
        <f>(6.75+13.75+16.5+4.25+5.75)/157.5</f>
        <v>0.29841269841269841</v>
      </c>
      <c r="AQ84" s="11">
        <f t="shared" si="187"/>
        <v>0</v>
      </c>
      <c r="AR84" s="11">
        <f t="shared" si="187"/>
        <v>0</v>
      </c>
      <c r="AS84" s="11">
        <f>(11.25+18+9.75+2+16.25)/157.5</f>
        <v>0.36349206349206348</v>
      </c>
      <c r="AT84" s="61">
        <f>(0+0.5+2+2)/165</f>
        <v>2.7272727272727271E-2</v>
      </c>
      <c r="AU84" s="58">
        <f>(0+2+6)/165</f>
        <v>4.8484848484848485E-2</v>
      </c>
      <c r="AV84" s="58">
        <f>(4.5+5+8.25+4)/165</f>
        <v>0.13181818181818181</v>
      </c>
      <c r="AW84" s="58">
        <f>(0+7.5)/165</f>
        <v>4.5454545454545456E-2</v>
      </c>
      <c r="AX84" s="58">
        <f>(0+6.75+13)/165</f>
        <v>0.11969696969696969</v>
      </c>
      <c r="AY84" s="62">
        <f>(8.5+15.25+6.75+19.75+19)/165</f>
        <v>0.41969696969696968</v>
      </c>
      <c r="AZ84" s="61">
        <f>(1.25)/150</f>
        <v>8.3333333333333332E-3</v>
      </c>
      <c r="BA84" s="58">
        <f t="shared" si="177"/>
        <v>0</v>
      </c>
      <c r="BB84" s="58">
        <f>(1)/150</f>
        <v>6.6666666666666671E-3</v>
      </c>
      <c r="BC84" s="58">
        <f t="shared" si="177"/>
        <v>0</v>
      </c>
      <c r="BD84" s="58">
        <f t="shared" si="177"/>
        <v>0</v>
      </c>
      <c r="BE84" s="58">
        <f>(18.5)/150</f>
        <v>0.12333333333333334</v>
      </c>
      <c r="BF84" s="58">
        <f t="shared" si="177"/>
        <v>0</v>
      </c>
      <c r="BG84" s="61">
        <f t="shared" si="178"/>
        <v>0</v>
      </c>
      <c r="BH84" s="58">
        <f t="shared" si="178"/>
        <v>0</v>
      </c>
      <c r="BI84" s="58">
        <f t="shared" si="178"/>
        <v>0</v>
      </c>
      <c r="BJ84" s="58">
        <f t="shared" si="178"/>
        <v>0</v>
      </c>
      <c r="BK84" s="58">
        <f t="shared" si="178"/>
        <v>0</v>
      </c>
      <c r="BL84" s="58">
        <f t="shared" si="137"/>
        <v>0</v>
      </c>
      <c r="BM84" s="58">
        <f t="shared" si="137"/>
        <v>0</v>
      </c>
      <c r="BN84" s="62">
        <f t="shared" si="137"/>
        <v>0</v>
      </c>
      <c r="BO84" s="61">
        <f t="shared" si="183"/>
        <v>0</v>
      </c>
      <c r="BP84" s="58">
        <f t="shared" si="183"/>
        <v>0</v>
      </c>
      <c r="BQ84" s="58">
        <f t="shared" si="183"/>
        <v>0</v>
      </c>
      <c r="BR84" s="58">
        <f t="shared" si="183"/>
        <v>0</v>
      </c>
      <c r="BS84" s="58">
        <f t="shared" si="183"/>
        <v>0</v>
      </c>
      <c r="BT84" s="58">
        <f t="shared" si="138"/>
        <v>0</v>
      </c>
      <c r="BU84" s="58">
        <f t="shared" si="138"/>
        <v>0</v>
      </c>
      <c r="BV84" s="62">
        <f t="shared" si="138"/>
        <v>0</v>
      </c>
      <c r="BW84" s="61">
        <f t="shared" si="172"/>
        <v>0</v>
      </c>
      <c r="BX84" s="58">
        <f t="shared" si="172"/>
        <v>0</v>
      </c>
      <c r="BY84" s="58">
        <f t="shared" si="172"/>
        <v>0</v>
      </c>
      <c r="BZ84" s="58">
        <f t="shared" si="172"/>
        <v>0</v>
      </c>
      <c r="CA84" s="58">
        <f t="shared" si="172"/>
        <v>0</v>
      </c>
      <c r="CB84" s="58">
        <f t="shared" si="139"/>
        <v>0</v>
      </c>
      <c r="CC84" s="58">
        <f t="shared" si="139"/>
        <v>0</v>
      </c>
      <c r="CD84" s="62">
        <f t="shared" si="139"/>
        <v>0</v>
      </c>
      <c r="CE84" s="61">
        <f t="shared" si="179"/>
        <v>0</v>
      </c>
      <c r="CF84" s="58">
        <f t="shared" si="179"/>
        <v>0</v>
      </c>
      <c r="CG84" s="58">
        <f t="shared" si="179"/>
        <v>0</v>
      </c>
      <c r="CH84" s="58">
        <f t="shared" si="179"/>
        <v>0</v>
      </c>
      <c r="CI84" s="58">
        <f t="shared" si="179"/>
        <v>0</v>
      </c>
      <c r="CJ84" s="58">
        <f t="shared" si="140"/>
        <v>0</v>
      </c>
      <c r="CK84" s="58">
        <f t="shared" si="140"/>
        <v>0</v>
      </c>
      <c r="CL84" s="62">
        <f t="shared" si="140"/>
        <v>0</v>
      </c>
      <c r="CM84" s="61">
        <f t="shared" si="180"/>
        <v>0</v>
      </c>
      <c r="CN84" s="58">
        <f t="shared" si="180"/>
        <v>0</v>
      </c>
      <c r="CO84" s="58">
        <f t="shared" si="180"/>
        <v>0</v>
      </c>
      <c r="CP84" s="58">
        <f t="shared" si="180"/>
        <v>0</v>
      </c>
      <c r="CQ84" s="58">
        <f t="shared" si="180"/>
        <v>0</v>
      </c>
      <c r="CR84" s="58">
        <f t="shared" si="141"/>
        <v>0</v>
      </c>
      <c r="CS84" s="58">
        <f t="shared" si="141"/>
        <v>0</v>
      </c>
      <c r="CT84" s="62">
        <f t="shared" si="141"/>
        <v>0</v>
      </c>
      <c r="CU84" s="235"/>
    </row>
    <row r="85" spans="1:99" ht="26.25" hidden="1" customHeight="1" outlineLevel="1" x14ac:dyDescent="0.4">
      <c r="A85" s="350">
        <v>40</v>
      </c>
      <c r="B85" s="350" t="s">
        <v>47</v>
      </c>
      <c r="C85" s="350" t="s">
        <v>14</v>
      </c>
      <c r="D85" s="352" t="s">
        <v>774</v>
      </c>
      <c r="E85" s="352" t="s">
        <v>770</v>
      </c>
      <c r="F85" s="352"/>
      <c r="G85" s="385" t="s">
        <v>773</v>
      </c>
      <c r="H85" s="446">
        <f t="shared" ref="H85:H114" si="192">SUM(AZ85:BF85)</f>
        <v>0</v>
      </c>
      <c r="I85" s="446">
        <f t="shared" ref="I85:I114" si="193">SUM(AZ86:BF86)</f>
        <v>0</v>
      </c>
      <c r="J85" s="448"/>
      <c r="K85" s="452"/>
      <c r="L85" s="452"/>
      <c r="M85" s="450"/>
      <c r="N85" s="47" t="s">
        <v>24</v>
      </c>
      <c r="O85" s="10">
        <f t="shared" si="134"/>
        <v>0</v>
      </c>
      <c r="P85" s="10">
        <f t="shared" si="134"/>
        <v>0</v>
      </c>
      <c r="Q85" s="10">
        <f t="shared" si="134"/>
        <v>0</v>
      </c>
      <c r="R85" s="10">
        <f t="shared" si="134"/>
        <v>0</v>
      </c>
      <c r="S85" s="10">
        <f t="shared" si="134"/>
        <v>0</v>
      </c>
      <c r="T85" s="10">
        <f t="shared" si="134"/>
        <v>0</v>
      </c>
      <c r="U85" s="79">
        <f t="shared" si="134"/>
        <v>0</v>
      </c>
      <c r="V85" s="19">
        <f t="shared" si="144"/>
        <v>0</v>
      </c>
      <c r="W85" s="10">
        <f t="shared" si="144"/>
        <v>0</v>
      </c>
      <c r="X85" s="10">
        <f t="shared" si="144"/>
        <v>0</v>
      </c>
      <c r="Y85" s="10">
        <f t="shared" si="144"/>
        <v>0</v>
      </c>
      <c r="Z85" s="10">
        <f t="shared" si="144"/>
        <v>0</v>
      </c>
      <c r="AA85" s="10">
        <f t="shared" si="186"/>
        <v>0</v>
      </c>
      <c r="AB85" s="19">
        <f t="shared" si="186"/>
        <v>0</v>
      </c>
      <c r="AC85" s="10">
        <f t="shared" si="186"/>
        <v>0</v>
      </c>
      <c r="AD85" s="210">
        <f t="shared" si="186"/>
        <v>0</v>
      </c>
      <c r="AE85" s="10">
        <f t="shared" si="186"/>
        <v>0</v>
      </c>
      <c r="AF85" s="10">
        <f t="shared" si="186"/>
        <v>0</v>
      </c>
      <c r="AG85" s="10">
        <f t="shared" si="186"/>
        <v>0</v>
      </c>
      <c r="AH85" s="71">
        <f>(1.5)/165</f>
        <v>9.0909090909090905E-3</v>
      </c>
      <c r="AI85" s="10">
        <f>(1.5)/165</f>
        <v>9.0909090909090905E-3</v>
      </c>
      <c r="AJ85" s="10">
        <f t="shared" si="191"/>
        <v>0</v>
      </c>
      <c r="AK85" s="10">
        <f t="shared" si="191"/>
        <v>0</v>
      </c>
      <c r="AL85" s="10">
        <f t="shared" si="191"/>
        <v>0</v>
      </c>
      <c r="AM85" s="10">
        <f t="shared" si="191"/>
        <v>0</v>
      </c>
      <c r="AN85" s="71">
        <f>(3)/157.5</f>
        <v>1.9047619047619049E-2</v>
      </c>
      <c r="AO85" s="10">
        <f>(26)/157.5</f>
        <v>0.16507936507936508</v>
      </c>
      <c r="AP85" s="10">
        <f t="shared" si="188"/>
        <v>0</v>
      </c>
      <c r="AQ85" s="10">
        <f>(40)/157.5</f>
        <v>0.25396825396825395</v>
      </c>
      <c r="AR85" s="10">
        <f t="shared" si="187"/>
        <v>0</v>
      </c>
      <c r="AS85" s="10">
        <f t="shared" si="187"/>
        <v>0</v>
      </c>
      <c r="AT85" s="189">
        <f t="shared" si="158"/>
        <v>0</v>
      </c>
      <c r="AU85" s="10">
        <f t="shared" si="158"/>
        <v>0</v>
      </c>
      <c r="AV85" s="10">
        <f t="shared" si="158"/>
        <v>0</v>
      </c>
      <c r="AW85" s="10">
        <f t="shared" si="158"/>
        <v>0</v>
      </c>
      <c r="AX85" s="10">
        <f t="shared" si="158"/>
        <v>0</v>
      </c>
      <c r="AY85" s="17">
        <f t="shared" si="158"/>
        <v>0</v>
      </c>
      <c r="AZ85" s="19">
        <f t="shared" si="177"/>
        <v>0</v>
      </c>
      <c r="BA85" s="10">
        <f t="shared" si="177"/>
        <v>0</v>
      </c>
      <c r="BB85" s="10">
        <f t="shared" si="177"/>
        <v>0</v>
      </c>
      <c r="BC85" s="10">
        <f t="shared" si="177"/>
        <v>0</v>
      </c>
      <c r="BD85" s="10">
        <f t="shared" si="177"/>
        <v>0</v>
      </c>
      <c r="BE85" s="10">
        <f t="shared" si="177"/>
        <v>0</v>
      </c>
      <c r="BF85" s="10">
        <f t="shared" si="177"/>
        <v>0</v>
      </c>
      <c r="BG85" s="19">
        <f t="shared" si="178"/>
        <v>0</v>
      </c>
      <c r="BH85" s="10">
        <f t="shared" si="178"/>
        <v>0</v>
      </c>
      <c r="BI85" s="10">
        <f t="shared" si="178"/>
        <v>0</v>
      </c>
      <c r="BJ85" s="10">
        <f t="shared" si="178"/>
        <v>0</v>
      </c>
      <c r="BK85" s="10">
        <f t="shared" si="178"/>
        <v>0</v>
      </c>
      <c r="BL85" s="10">
        <f t="shared" si="137"/>
        <v>0</v>
      </c>
      <c r="BM85" s="10">
        <f t="shared" si="137"/>
        <v>0</v>
      </c>
      <c r="BN85" s="17">
        <f t="shared" si="137"/>
        <v>0</v>
      </c>
      <c r="BO85" s="19">
        <f t="shared" si="183"/>
        <v>0</v>
      </c>
      <c r="BP85" s="10">
        <f t="shared" si="183"/>
        <v>0</v>
      </c>
      <c r="BQ85" s="10">
        <f t="shared" si="183"/>
        <v>0</v>
      </c>
      <c r="BR85" s="10">
        <f t="shared" si="183"/>
        <v>0</v>
      </c>
      <c r="BS85" s="10">
        <f t="shared" si="183"/>
        <v>0</v>
      </c>
      <c r="BT85" s="10">
        <f t="shared" si="138"/>
        <v>0</v>
      </c>
      <c r="BU85" s="10">
        <f t="shared" si="138"/>
        <v>0</v>
      </c>
      <c r="BV85" s="17">
        <f t="shared" si="138"/>
        <v>0</v>
      </c>
      <c r="BW85" s="71">
        <f t="shared" si="172"/>
        <v>0</v>
      </c>
      <c r="BX85" s="10">
        <f t="shared" si="172"/>
        <v>0</v>
      </c>
      <c r="BY85" s="10">
        <f t="shared" si="172"/>
        <v>0</v>
      </c>
      <c r="BZ85" s="10">
        <f t="shared" si="172"/>
        <v>0</v>
      </c>
      <c r="CA85" s="10">
        <f t="shared" si="172"/>
        <v>0</v>
      </c>
      <c r="CB85" s="10">
        <f t="shared" si="139"/>
        <v>0</v>
      </c>
      <c r="CC85" s="10">
        <f t="shared" si="139"/>
        <v>0</v>
      </c>
      <c r="CD85" s="17">
        <f t="shared" si="139"/>
        <v>0</v>
      </c>
      <c r="CE85" s="19">
        <f t="shared" si="179"/>
        <v>0</v>
      </c>
      <c r="CF85" s="10">
        <f t="shared" si="179"/>
        <v>0</v>
      </c>
      <c r="CG85" s="10">
        <f t="shared" si="179"/>
        <v>0</v>
      </c>
      <c r="CH85" s="10">
        <f t="shared" si="179"/>
        <v>0</v>
      </c>
      <c r="CI85" s="10">
        <f t="shared" si="179"/>
        <v>0</v>
      </c>
      <c r="CJ85" s="10">
        <f t="shared" si="140"/>
        <v>0</v>
      </c>
      <c r="CK85" s="10">
        <f t="shared" si="140"/>
        <v>0</v>
      </c>
      <c r="CL85" s="17">
        <f t="shared" si="140"/>
        <v>0</v>
      </c>
      <c r="CM85" s="19">
        <f t="shared" si="180"/>
        <v>0</v>
      </c>
      <c r="CN85" s="10">
        <f t="shared" si="180"/>
        <v>0</v>
      </c>
      <c r="CO85" s="10">
        <f t="shared" si="180"/>
        <v>0</v>
      </c>
      <c r="CP85" s="10">
        <f t="shared" si="180"/>
        <v>0</v>
      </c>
      <c r="CQ85" s="10">
        <f t="shared" si="180"/>
        <v>0</v>
      </c>
      <c r="CR85" s="10">
        <f t="shared" si="141"/>
        <v>0</v>
      </c>
      <c r="CS85" s="10">
        <f t="shared" si="141"/>
        <v>0</v>
      </c>
      <c r="CT85" s="17">
        <f t="shared" si="141"/>
        <v>0</v>
      </c>
      <c r="CU85" s="235"/>
    </row>
    <row r="86" spans="1:99" ht="26.25" hidden="1" customHeight="1" outlineLevel="1" x14ac:dyDescent="0.4">
      <c r="A86" s="351"/>
      <c r="B86" s="351"/>
      <c r="C86" s="351"/>
      <c r="D86" s="353"/>
      <c r="E86" s="353"/>
      <c r="F86" s="353"/>
      <c r="G86" s="385"/>
      <c r="H86" s="447"/>
      <c r="I86" s="447"/>
      <c r="J86" s="449"/>
      <c r="K86" s="453"/>
      <c r="L86" s="453"/>
      <c r="M86" s="451"/>
      <c r="N86" s="38" t="s">
        <v>25</v>
      </c>
      <c r="O86" s="11">
        <f t="shared" si="134"/>
        <v>0</v>
      </c>
      <c r="P86" s="11">
        <f t="shared" si="134"/>
        <v>0</v>
      </c>
      <c r="Q86" s="11">
        <f t="shared" si="134"/>
        <v>0</v>
      </c>
      <c r="R86" s="11">
        <f t="shared" si="134"/>
        <v>0</v>
      </c>
      <c r="S86" s="11">
        <f t="shared" si="134"/>
        <v>0</v>
      </c>
      <c r="T86" s="11">
        <f t="shared" si="134"/>
        <v>0</v>
      </c>
      <c r="U86" s="48">
        <f t="shared" ref="O86:U106" si="194">0/127.5</f>
        <v>0</v>
      </c>
      <c r="V86" s="56">
        <f t="shared" si="144"/>
        <v>0</v>
      </c>
      <c r="W86" s="18">
        <f t="shared" si="144"/>
        <v>0</v>
      </c>
      <c r="X86" s="18">
        <f t="shared" si="144"/>
        <v>0</v>
      </c>
      <c r="Y86" s="18">
        <f t="shared" si="144"/>
        <v>0</v>
      </c>
      <c r="Z86" s="18">
        <f t="shared" si="144"/>
        <v>0</v>
      </c>
      <c r="AA86" s="18">
        <f t="shared" si="186"/>
        <v>0</v>
      </c>
      <c r="AB86" s="41">
        <f t="shared" si="186"/>
        <v>0</v>
      </c>
      <c r="AC86" s="51">
        <f t="shared" si="186"/>
        <v>0</v>
      </c>
      <c r="AD86" s="11">
        <f t="shared" si="186"/>
        <v>0</v>
      </c>
      <c r="AE86" s="11">
        <f t="shared" si="186"/>
        <v>0</v>
      </c>
      <c r="AF86" s="11">
        <f t="shared" si="186"/>
        <v>0</v>
      </c>
      <c r="AG86" s="18">
        <f t="shared" si="186"/>
        <v>0</v>
      </c>
      <c r="AH86" s="56">
        <f>(1)/165</f>
        <v>6.0606060606060606E-3</v>
      </c>
      <c r="AI86" s="11">
        <f>(0+1.5)/165</f>
        <v>9.0909090909090905E-3</v>
      </c>
      <c r="AJ86" s="11">
        <f t="shared" si="191"/>
        <v>0</v>
      </c>
      <c r="AK86" s="11">
        <f t="shared" si="191"/>
        <v>0</v>
      </c>
      <c r="AL86" s="11">
        <f t="shared" si="191"/>
        <v>0</v>
      </c>
      <c r="AM86" s="11">
        <f t="shared" si="191"/>
        <v>0</v>
      </c>
      <c r="AN86" s="56">
        <f>(2+1)/157.5</f>
        <v>1.9047619047619049E-2</v>
      </c>
      <c r="AO86" s="11">
        <f>(7+13.25+6.75)/157.5</f>
        <v>0.17142857142857143</v>
      </c>
      <c r="AP86" s="11">
        <f t="shared" si="188"/>
        <v>0</v>
      </c>
      <c r="AQ86" s="11">
        <f>(12.5+24.65+0.05+0.05)/157.5</f>
        <v>0.23650793650793647</v>
      </c>
      <c r="AR86" s="11">
        <f t="shared" si="187"/>
        <v>0</v>
      </c>
      <c r="AS86" s="11">
        <f t="shared" si="187"/>
        <v>0</v>
      </c>
      <c r="AT86" s="61">
        <f t="shared" si="158"/>
        <v>0</v>
      </c>
      <c r="AU86" s="58">
        <f t="shared" si="158"/>
        <v>0</v>
      </c>
      <c r="AV86" s="58">
        <f t="shared" si="158"/>
        <v>0</v>
      </c>
      <c r="AW86" s="58">
        <f t="shared" si="158"/>
        <v>0</v>
      </c>
      <c r="AX86" s="58">
        <f t="shared" si="158"/>
        <v>0</v>
      </c>
      <c r="AY86" s="62">
        <f t="shared" si="158"/>
        <v>0</v>
      </c>
      <c r="AZ86" s="61">
        <f t="shared" si="177"/>
        <v>0</v>
      </c>
      <c r="BA86" s="58">
        <f t="shared" si="177"/>
        <v>0</v>
      </c>
      <c r="BB86" s="58">
        <f t="shared" si="177"/>
        <v>0</v>
      </c>
      <c r="BC86" s="58">
        <f t="shared" si="177"/>
        <v>0</v>
      </c>
      <c r="BD86" s="58">
        <f t="shared" si="177"/>
        <v>0</v>
      </c>
      <c r="BE86" s="58">
        <f t="shared" si="177"/>
        <v>0</v>
      </c>
      <c r="BF86" s="58">
        <f t="shared" si="177"/>
        <v>0</v>
      </c>
      <c r="BG86" s="61">
        <f t="shared" si="178"/>
        <v>0</v>
      </c>
      <c r="BH86" s="58">
        <f t="shared" si="178"/>
        <v>0</v>
      </c>
      <c r="BI86" s="58">
        <f t="shared" si="178"/>
        <v>0</v>
      </c>
      <c r="BJ86" s="58">
        <f t="shared" si="178"/>
        <v>0</v>
      </c>
      <c r="BK86" s="58">
        <f t="shared" si="178"/>
        <v>0</v>
      </c>
      <c r="BL86" s="58">
        <f t="shared" si="137"/>
        <v>0</v>
      </c>
      <c r="BM86" s="58">
        <f t="shared" si="137"/>
        <v>0</v>
      </c>
      <c r="BN86" s="62">
        <f t="shared" si="137"/>
        <v>0</v>
      </c>
      <c r="BO86" s="61">
        <f t="shared" si="183"/>
        <v>0</v>
      </c>
      <c r="BP86" s="58">
        <f t="shared" si="183"/>
        <v>0</v>
      </c>
      <c r="BQ86" s="58">
        <f t="shared" si="183"/>
        <v>0</v>
      </c>
      <c r="BR86" s="58">
        <f t="shared" si="183"/>
        <v>0</v>
      </c>
      <c r="BS86" s="58">
        <f t="shared" si="183"/>
        <v>0</v>
      </c>
      <c r="BT86" s="58">
        <f t="shared" si="138"/>
        <v>0</v>
      </c>
      <c r="BU86" s="58">
        <f t="shared" si="138"/>
        <v>0</v>
      </c>
      <c r="BV86" s="62">
        <f t="shared" si="138"/>
        <v>0</v>
      </c>
      <c r="BW86" s="61">
        <f t="shared" si="172"/>
        <v>0</v>
      </c>
      <c r="BX86" s="58">
        <f t="shared" si="172"/>
        <v>0</v>
      </c>
      <c r="BY86" s="58">
        <f t="shared" si="172"/>
        <v>0</v>
      </c>
      <c r="BZ86" s="58">
        <f t="shared" si="172"/>
        <v>0</v>
      </c>
      <c r="CA86" s="58">
        <f t="shared" si="172"/>
        <v>0</v>
      </c>
      <c r="CB86" s="58">
        <f t="shared" si="139"/>
        <v>0</v>
      </c>
      <c r="CC86" s="58">
        <f t="shared" si="139"/>
        <v>0</v>
      </c>
      <c r="CD86" s="62">
        <f t="shared" si="139"/>
        <v>0</v>
      </c>
      <c r="CE86" s="61">
        <f t="shared" si="179"/>
        <v>0</v>
      </c>
      <c r="CF86" s="58">
        <f t="shared" si="179"/>
        <v>0</v>
      </c>
      <c r="CG86" s="58">
        <f t="shared" si="179"/>
        <v>0</v>
      </c>
      <c r="CH86" s="58">
        <f t="shared" si="179"/>
        <v>0</v>
      </c>
      <c r="CI86" s="58">
        <f t="shared" si="179"/>
        <v>0</v>
      </c>
      <c r="CJ86" s="58">
        <f t="shared" si="140"/>
        <v>0</v>
      </c>
      <c r="CK86" s="58">
        <f t="shared" si="140"/>
        <v>0</v>
      </c>
      <c r="CL86" s="62">
        <f t="shared" si="140"/>
        <v>0</v>
      </c>
      <c r="CM86" s="61">
        <f t="shared" si="180"/>
        <v>0</v>
      </c>
      <c r="CN86" s="58">
        <f t="shared" si="180"/>
        <v>0</v>
      </c>
      <c r="CO86" s="58">
        <f t="shared" si="180"/>
        <v>0</v>
      </c>
      <c r="CP86" s="58">
        <f t="shared" si="180"/>
        <v>0</v>
      </c>
      <c r="CQ86" s="58">
        <f t="shared" si="180"/>
        <v>0</v>
      </c>
      <c r="CR86" s="58">
        <f t="shared" si="141"/>
        <v>0</v>
      </c>
      <c r="CS86" s="58">
        <f t="shared" si="141"/>
        <v>0</v>
      </c>
      <c r="CT86" s="62">
        <f t="shared" si="141"/>
        <v>0</v>
      </c>
      <c r="CU86" s="235"/>
    </row>
    <row r="87" spans="1:99" ht="26.25" hidden="1" customHeight="1" outlineLevel="1" collapsed="1" x14ac:dyDescent="0.4">
      <c r="A87" s="350">
        <v>41</v>
      </c>
      <c r="B87" s="350" t="s">
        <v>47</v>
      </c>
      <c r="C87" s="350" t="s">
        <v>343</v>
      </c>
      <c r="D87" s="352" t="s">
        <v>796</v>
      </c>
      <c r="E87" s="352" t="s">
        <v>794</v>
      </c>
      <c r="F87" s="352" t="s">
        <v>791</v>
      </c>
      <c r="G87" s="385" t="s">
        <v>798</v>
      </c>
      <c r="H87" s="446">
        <f t="shared" ref="H87:H114" si="195">SUM(AZ87:BF87)</f>
        <v>0</v>
      </c>
      <c r="I87" s="446">
        <f t="shared" ref="I87:I114" si="196">SUM(AZ88:BF88)</f>
        <v>0</v>
      </c>
      <c r="J87" s="448"/>
      <c r="K87" s="452"/>
      <c r="L87" s="452"/>
      <c r="M87" s="450"/>
      <c r="N87" s="47" t="s">
        <v>24</v>
      </c>
      <c r="O87" s="10">
        <f t="shared" si="194"/>
        <v>0</v>
      </c>
      <c r="P87" s="10">
        <f t="shared" si="194"/>
        <v>0</v>
      </c>
      <c r="Q87" s="10">
        <f t="shared" si="194"/>
        <v>0</v>
      </c>
      <c r="R87" s="10">
        <f t="shared" si="194"/>
        <v>0</v>
      </c>
      <c r="S87" s="10">
        <f t="shared" si="194"/>
        <v>0</v>
      </c>
      <c r="T87" s="10">
        <f t="shared" si="194"/>
        <v>0</v>
      </c>
      <c r="U87" s="79">
        <f t="shared" si="194"/>
        <v>0</v>
      </c>
      <c r="V87" s="19">
        <f t="shared" si="144"/>
        <v>0</v>
      </c>
      <c r="W87" s="10">
        <f t="shared" si="144"/>
        <v>0</v>
      </c>
      <c r="X87" s="10">
        <f t="shared" si="144"/>
        <v>0</v>
      </c>
      <c r="Y87" s="10">
        <f t="shared" si="144"/>
        <v>0</v>
      </c>
      <c r="Z87" s="10">
        <f t="shared" si="144"/>
        <v>0</v>
      </c>
      <c r="AA87" s="10">
        <f t="shared" si="186"/>
        <v>0</v>
      </c>
      <c r="AB87" s="19">
        <f t="shared" si="186"/>
        <v>0</v>
      </c>
      <c r="AC87" s="10">
        <f t="shared" si="186"/>
        <v>0</v>
      </c>
      <c r="AD87" s="210">
        <f t="shared" si="186"/>
        <v>0</v>
      </c>
      <c r="AE87" s="10">
        <f t="shared" si="186"/>
        <v>0</v>
      </c>
      <c r="AF87" s="10">
        <f t="shared" si="186"/>
        <v>0</v>
      </c>
      <c r="AG87" s="10">
        <f t="shared" si="186"/>
        <v>0</v>
      </c>
      <c r="AH87" s="19">
        <f t="shared" ref="AH87:AL106" si="197">0/150</f>
        <v>0</v>
      </c>
      <c r="AI87" s="10">
        <f t="shared" si="197"/>
        <v>0</v>
      </c>
      <c r="AJ87" s="10">
        <f t="shared" ref="AJ87:AK88" si="198">0/150</f>
        <v>0</v>
      </c>
      <c r="AK87" s="10">
        <f t="shared" si="198"/>
        <v>0</v>
      </c>
      <c r="AL87" s="10">
        <f t="shared" si="197"/>
        <v>0</v>
      </c>
      <c r="AM87" s="10">
        <f t="shared" ref="AM87:AM106" si="199">0/165</f>
        <v>0</v>
      </c>
      <c r="AN87" s="71">
        <f>(3)/157.5</f>
        <v>1.9047619047619049E-2</v>
      </c>
      <c r="AO87" s="10">
        <f>(7)/157.5</f>
        <v>4.4444444444444446E-2</v>
      </c>
      <c r="AP87" s="10">
        <f t="shared" si="188"/>
        <v>0</v>
      </c>
      <c r="AQ87" s="10">
        <f>(10)/157.5</f>
        <v>6.3492063492063489E-2</v>
      </c>
      <c r="AR87" s="10">
        <f t="shared" si="188"/>
        <v>0</v>
      </c>
      <c r="AS87" s="10">
        <f>(3)/157.5</f>
        <v>1.9047619047619049E-2</v>
      </c>
      <c r="AT87" s="189">
        <f t="shared" si="158"/>
        <v>0</v>
      </c>
      <c r="AU87" s="10">
        <f t="shared" si="158"/>
        <v>0</v>
      </c>
      <c r="AV87" s="10">
        <f t="shared" si="158"/>
        <v>0</v>
      </c>
      <c r="AW87" s="10">
        <f t="shared" si="158"/>
        <v>0</v>
      </c>
      <c r="AX87" s="10">
        <f t="shared" si="158"/>
        <v>0</v>
      </c>
      <c r="AY87" s="17">
        <f t="shared" si="158"/>
        <v>0</v>
      </c>
      <c r="AZ87" s="19">
        <f t="shared" si="177"/>
        <v>0</v>
      </c>
      <c r="BA87" s="10">
        <f t="shared" si="177"/>
        <v>0</v>
      </c>
      <c r="BB87" s="10">
        <f t="shared" si="177"/>
        <v>0</v>
      </c>
      <c r="BC87" s="10">
        <f t="shared" si="177"/>
        <v>0</v>
      </c>
      <c r="BD87" s="10">
        <f t="shared" si="177"/>
        <v>0</v>
      </c>
      <c r="BE87" s="10">
        <f t="shared" si="177"/>
        <v>0</v>
      </c>
      <c r="BF87" s="10">
        <f t="shared" si="177"/>
        <v>0</v>
      </c>
      <c r="BG87" s="19">
        <f t="shared" ref="BG87:BK96" si="200">0/142.5</f>
        <v>0</v>
      </c>
      <c r="BH87" s="10">
        <f t="shared" si="200"/>
        <v>0</v>
      </c>
      <c r="BI87" s="10">
        <f t="shared" si="200"/>
        <v>0</v>
      </c>
      <c r="BJ87" s="10">
        <f t="shared" si="200"/>
        <v>0</v>
      </c>
      <c r="BK87" s="10">
        <f t="shared" si="200"/>
        <v>0</v>
      </c>
      <c r="BL87" s="10">
        <f t="shared" ref="BL87:BN106" si="201">0/172.5</f>
        <v>0</v>
      </c>
      <c r="BM87" s="10">
        <f t="shared" si="201"/>
        <v>0</v>
      </c>
      <c r="BN87" s="17">
        <f t="shared" si="201"/>
        <v>0</v>
      </c>
      <c r="BO87" s="19">
        <f t="shared" si="183"/>
        <v>0</v>
      </c>
      <c r="BP87" s="10">
        <f t="shared" si="183"/>
        <v>0</v>
      </c>
      <c r="BQ87" s="10">
        <f t="shared" si="183"/>
        <v>0</v>
      </c>
      <c r="BR87" s="10">
        <f t="shared" si="183"/>
        <v>0</v>
      </c>
      <c r="BS87" s="10">
        <f t="shared" si="183"/>
        <v>0</v>
      </c>
      <c r="BT87" s="10">
        <f t="shared" ref="BT87:BV106" si="202">0/172.5</f>
        <v>0</v>
      </c>
      <c r="BU87" s="10">
        <f t="shared" si="202"/>
        <v>0</v>
      </c>
      <c r="BV87" s="17">
        <f t="shared" si="202"/>
        <v>0</v>
      </c>
      <c r="BW87" s="71">
        <f t="shared" si="172"/>
        <v>0</v>
      </c>
      <c r="BX87" s="10">
        <f t="shared" si="172"/>
        <v>0</v>
      </c>
      <c r="BY87" s="10">
        <f t="shared" si="172"/>
        <v>0</v>
      </c>
      <c r="BZ87" s="10">
        <f t="shared" si="172"/>
        <v>0</v>
      </c>
      <c r="CA87" s="10">
        <f t="shared" si="172"/>
        <v>0</v>
      </c>
      <c r="CB87" s="10">
        <f t="shared" ref="CB87:CD106" si="203">0/172.5</f>
        <v>0</v>
      </c>
      <c r="CC87" s="10">
        <f t="shared" si="203"/>
        <v>0</v>
      </c>
      <c r="CD87" s="17">
        <f t="shared" si="203"/>
        <v>0</v>
      </c>
      <c r="CE87" s="19">
        <f t="shared" ref="CE87:CI96" si="204">0/157.5</f>
        <v>0</v>
      </c>
      <c r="CF87" s="10">
        <f t="shared" si="204"/>
        <v>0</v>
      </c>
      <c r="CG87" s="10">
        <f t="shared" si="204"/>
        <v>0</v>
      </c>
      <c r="CH87" s="10">
        <f t="shared" si="204"/>
        <v>0</v>
      </c>
      <c r="CI87" s="10">
        <f t="shared" si="204"/>
        <v>0</v>
      </c>
      <c r="CJ87" s="10">
        <f t="shared" ref="CJ87:CL106" si="205">0/172.5</f>
        <v>0</v>
      </c>
      <c r="CK87" s="10">
        <f t="shared" si="205"/>
        <v>0</v>
      </c>
      <c r="CL87" s="17">
        <f t="shared" si="205"/>
        <v>0</v>
      </c>
      <c r="CM87" s="19">
        <f t="shared" ref="CM87:CQ96" si="206">0/142.5</f>
        <v>0</v>
      </c>
      <c r="CN87" s="10">
        <f t="shared" si="206"/>
        <v>0</v>
      </c>
      <c r="CO87" s="10">
        <f t="shared" si="206"/>
        <v>0</v>
      </c>
      <c r="CP87" s="10">
        <f t="shared" si="206"/>
        <v>0</v>
      </c>
      <c r="CQ87" s="10">
        <f t="shared" si="206"/>
        <v>0</v>
      </c>
      <c r="CR87" s="10">
        <f t="shared" ref="CR87:CT106" si="207">0/172.5</f>
        <v>0</v>
      </c>
      <c r="CS87" s="10">
        <f t="shared" si="207"/>
        <v>0</v>
      </c>
      <c r="CT87" s="17">
        <f t="shared" si="207"/>
        <v>0</v>
      </c>
      <c r="CU87" s="235"/>
    </row>
    <row r="88" spans="1:99" ht="26.25" hidden="1" customHeight="1" outlineLevel="1" x14ac:dyDescent="0.4">
      <c r="A88" s="351"/>
      <c r="B88" s="351"/>
      <c r="C88" s="351"/>
      <c r="D88" s="353"/>
      <c r="E88" s="353"/>
      <c r="F88" s="353"/>
      <c r="G88" s="385"/>
      <c r="H88" s="447"/>
      <c r="I88" s="447"/>
      <c r="J88" s="449"/>
      <c r="K88" s="453"/>
      <c r="L88" s="453"/>
      <c r="M88" s="451"/>
      <c r="N88" s="38" t="s">
        <v>25</v>
      </c>
      <c r="O88" s="11">
        <f t="shared" si="194"/>
        <v>0</v>
      </c>
      <c r="P88" s="11">
        <f t="shared" si="194"/>
        <v>0</v>
      </c>
      <c r="Q88" s="11">
        <f t="shared" si="194"/>
        <v>0</v>
      </c>
      <c r="R88" s="11">
        <f t="shared" si="194"/>
        <v>0</v>
      </c>
      <c r="S88" s="11">
        <f t="shared" si="194"/>
        <v>0</v>
      </c>
      <c r="T88" s="11">
        <f t="shared" si="194"/>
        <v>0</v>
      </c>
      <c r="U88" s="48">
        <f t="shared" si="194"/>
        <v>0</v>
      </c>
      <c r="V88" s="56">
        <f t="shared" si="144"/>
        <v>0</v>
      </c>
      <c r="W88" s="18">
        <f t="shared" si="144"/>
        <v>0</v>
      </c>
      <c r="X88" s="18">
        <f t="shared" si="144"/>
        <v>0</v>
      </c>
      <c r="Y88" s="18">
        <f t="shared" si="144"/>
        <v>0</v>
      </c>
      <c r="Z88" s="18">
        <f t="shared" si="144"/>
        <v>0</v>
      </c>
      <c r="AA88" s="18">
        <f t="shared" ref="AA88:AA106" si="208">0/165</f>
        <v>0</v>
      </c>
      <c r="AB88" s="41">
        <f t="shared" si="186"/>
        <v>0</v>
      </c>
      <c r="AC88" s="51">
        <f t="shared" si="186"/>
        <v>0</v>
      </c>
      <c r="AD88" s="11">
        <f t="shared" si="186"/>
        <v>0</v>
      </c>
      <c r="AE88" s="11">
        <f t="shared" si="186"/>
        <v>0</v>
      </c>
      <c r="AF88" s="11">
        <f t="shared" si="186"/>
        <v>0</v>
      </c>
      <c r="AG88" s="18">
        <f t="shared" si="186"/>
        <v>0</v>
      </c>
      <c r="AH88" s="50">
        <f t="shared" si="197"/>
        <v>0</v>
      </c>
      <c r="AI88" s="51">
        <f t="shared" si="197"/>
        <v>0</v>
      </c>
      <c r="AJ88" s="51">
        <f t="shared" si="198"/>
        <v>0</v>
      </c>
      <c r="AK88" s="51">
        <f t="shared" si="198"/>
        <v>0</v>
      </c>
      <c r="AL88" s="51">
        <f t="shared" si="197"/>
        <v>0</v>
      </c>
      <c r="AM88" s="18">
        <f t="shared" si="199"/>
        <v>0</v>
      </c>
      <c r="AN88" s="56">
        <f>(1.5)/157.5</f>
        <v>9.5238095238095247E-3</v>
      </c>
      <c r="AO88" s="11">
        <f>(4+3)/157.5</f>
        <v>4.4444444444444446E-2</v>
      </c>
      <c r="AP88" s="11">
        <f t="shared" si="188"/>
        <v>0</v>
      </c>
      <c r="AQ88" s="11">
        <f>(6+4)/157.5</f>
        <v>6.3492063492063489E-2</v>
      </c>
      <c r="AR88" s="11">
        <f t="shared" si="188"/>
        <v>0</v>
      </c>
      <c r="AS88" s="11">
        <f>(0+3)/157.5</f>
        <v>1.9047619047619049E-2</v>
      </c>
      <c r="AT88" s="61">
        <f t="shared" si="158"/>
        <v>0</v>
      </c>
      <c r="AU88" s="58">
        <f t="shared" si="158"/>
        <v>0</v>
      </c>
      <c r="AV88" s="58">
        <f t="shared" si="158"/>
        <v>0</v>
      </c>
      <c r="AW88" s="58">
        <f t="shared" si="158"/>
        <v>0</v>
      </c>
      <c r="AX88" s="58">
        <f t="shared" si="158"/>
        <v>0</v>
      </c>
      <c r="AY88" s="62">
        <f t="shared" si="158"/>
        <v>0</v>
      </c>
      <c r="AZ88" s="61">
        <f t="shared" si="177"/>
        <v>0</v>
      </c>
      <c r="BA88" s="58">
        <f t="shared" si="177"/>
        <v>0</v>
      </c>
      <c r="BB88" s="58">
        <f t="shared" si="177"/>
        <v>0</v>
      </c>
      <c r="BC88" s="58">
        <f t="shared" si="177"/>
        <v>0</v>
      </c>
      <c r="BD88" s="58">
        <f t="shared" si="177"/>
        <v>0</v>
      </c>
      <c r="BE88" s="58">
        <f t="shared" si="177"/>
        <v>0</v>
      </c>
      <c r="BF88" s="58">
        <f t="shared" si="177"/>
        <v>0</v>
      </c>
      <c r="BG88" s="61">
        <f t="shared" si="200"/>
        <v>0</v>
      </c>
      <c r="BH88" s="58">
        <f t="shared" si="200"/>
        <v>0</v>
      </c>
      <c r="BI88" s="58">
        <f t="shared" si="200"/>
        <v>0</v>
      </c>
      <c r="BJ88" s="58">
        <f t="shared" si="200"/>
        <v>0</v>
      </c>
      <c r="BK88" s="58">
        <f t="shared" si="200"/>
        <v>0</v>
      </c>
      <c r="BL88" s="58">
        <f t="shared" si="201"/>
        <v>0</v>
      </c>
      <c r="BM88" s="58">
        <f t="shared" si="201"/>
        <v>0</v>
      </c>
      <c r="BN88" s="62">
        <f t="shared" si="201"/>
        <v>0</v>
      </c>
      <c r="BO88" s="61">
        <f t="shared" si="183"/>
        <v>0</v>
      </c>
      <c r="BP88" s="58">
        <f t="shared" si="183"/>
        <v>0</v>
      </c>
      <c r="BQ88" s="58">
        <f t="shared" si="183"/>
        <v>0</v>
      </c>
      <c r="BR88" s="58">
        <f t="shared" si="183"/>
        <v>0</v>
      </c>
      <c r="BS88" s="58">
        <f t="shared" si="183"/>
        <v>0</v>
      </c>
      <c r="BT88" s="58">
        <f t="shared" si="202"/>
        <v>0</v>
      </c>
      <c r="BU88" s="58">
        <f t="shared" si="202"/>
        <v>0</v>
      </c>
      <c r="BV88" s="62">
        <f t="shared" si="202"/>
        <v>0</v>
      </c>
      <c r="BW88" s="61">
        <f t="shared" si="172"/>
        <v>0</v>
      </c>
      <c r="BX88" s="58">
        <f t="shared" si="172"/>
        <v>0</v>
      </c>
      <c r="BY88" s="58">
        <f t="shared" si="172"/>
        <v>0</v>
      </c>
      <c r="BZ88" s="58">
        <f t="shared" si="172"/>
        <v>0</v>
      </c>
      <c r="CA88" s="58">
        <f t="shared" si="172"/>
        <v>0</v>
      </c>
      <c r="CB88" s="58">
        <f t="shared" si="203"/>
        <v>0</v>
      </c>
      <c r="CC88" s="58">
        <f t="shared" si="203"/>
        <v>0</v>
      </c>
      <c r="CD88" s="62">
        <f t="shared" si="203"/>
        <v>0</v>
      </c>
      <c r="CE88" s="61">
        <f t="shared" si="204"/>
        <v>0</v>
      </c>
      <c r="CF88" s="58">
        <f t="shared" si="204"/>
        <v>0</v>
      </c>
      <c r="CG88" s="58">
        <f t="shared" si="204"/>
        <v>0</v>
      </c>
      <c r="CH88" s="58">
        <f t="shared" si="204"/>
        <v>0</v>
      </c>
      <c r="CI88" s="58">
        <f t="shared" si="204"/>
        <v>0</v>
      </c>
      <c r="CJ88" s="58">
        <f t="shared" si="205"/>
        <v>0</v>
      </c>
      <c r="CK88" s="58">
        <f t="shared" si="205"/>
        <v>0</v>
      </c>
      <c r="CL88" s="62">
        <f t="shared" si="205"/>
        <v>0</v>
      </c>
      <c r="CM88" s="61">
        <f t="shared" si="206"/>
        <v>0</v>
      </c>
      <c r="CN88" s="58">
        <f t="shared" si="206"/>
        <v>0</v>
      </c>
      <c r="CO88" s="58">
        <f t="shared" si="206"/>
        <v>0</v>
      </c>
      <c r="CP88" s="58">
        <f t="shared" si="206"/>
        <v>0</v>
      </c>
      <c r="CQ88" s="58">
        <f t="shared" si="206"/>
        <v>0</v>
      </c>
      <c r="CR88" s="58">
        <f t="shared" si="207"/>
        <v>0</v>
      </c>
      <c r="CS88" s="58">
        <f t="shared" si="207"/>
        <v>0</v>
      </c>
      <c r="CT88" s="62">
        <f t="shared" si="207"/>
        <v>0</v>
      </c>
      <c r="CU88" s="235"/>
    </row>
    <row r="89" spans="1:99" ht="26.25" hidden="1" customHeight="1" outlineLevel="1" collapsed="1" x14ac:dyDescent="0.4">
      <c r="A89" s="350">
        <v>42</v>
      </c>
      <c r="B89" s="350" t="s">
        <v>47</v>
      </c>
      <c r="C89" s="350" t="s">
        <v>14</v>
      </c>
      <c r="D89" s="352" t="s">
        <v>797</v>
      </c>
      <c r="E89" s="352" t="s">
        <v>795</v>
      </c>
      <c r="F89" s="352"/>
      <c r="G89" s="385" t="s">
        <v>793</v>
      </c>
      <c r="H89" s="446">
        <f t="shared" ref="H89:H114" si="209">SUM(AZ89:BF89)</f>
        <v>0</v>
      </c>
      <c r="I89" s="446">
        <f t="shared" ref="I89:I114" si="210">SUM(AZ90:BF90)</f>
        <v>0</v>
      </c>
      <c r="J89" s="448"/>
      <c r="K89" s="452"/>
      <c r="L89" s="452"/>
      <c r="M89" s="450"/>
      <c r="N89" s="47" t="s">
        <v>24</v>
      </c>
      <c r="O89" s="10">
        <f t="shared" si="194"/>
        <v>0</v>
      </c>
      <c r="P89" s="10">
        <f t="shared" si="194"/>
        <v>0</v>
      </c>
      <c r="Q89" s="10">
        <f t="shared" si="194"/>
        <v>0</v>
      </c>
      <c r="R89" s="10">
        <f t="shared" si="194"/>
        <v>0</v>
      </c>
      <c r="S89" s="10">
        <f t="shared" si="194"/>
        <v>0</v>
      </c>
      <c r="T89" s="10">
        <f t="shared" si="194"/>
        <v>0</v>
      </c>
      <c r="U89" s="79">
        <f t="shared" si="194"/>
        <v>0</v>
      </c>
      <c r="V89" s="19">
        <f t="shared" ref="V89:Z106" si="211">0/142.5</f>
        <v>0</v>
      </c>
      <c r="W89" s="10">
        <f t="shared" si="211"/>
        <v>0</v>
      </c>
      <c r="X89" s="10">
        <f t="shared" si="211"/>
        <v>0</v>
      </c>
      <c r="Y89" s="10">
        <f t="shared" si="211"/>
        <v>0</v>
      </c>
      <c r="Z89" s="10">
        <f t="shared" si="211"/>
        <v>0</v>
      </c>
      <c r="AA89" s="10">
        <f t="shared" si="208"/>
        <v>0</v>
      </c>
      <c r="AB89" s="19">
        <f t="shared" si="186"/>
        <v>0</v>
      </c>
      <c r="AC89" s="10">
        <f t="shared" si="186"/>
        <v>0</v>
      </c>
      <c r="AD89" s="210">
        <f t="shared" si="186"/>
        <v>0</v>
      </c>
      <c r="AE89" s="10">
        <f t="shared" si="186"/>
        <v>0</v>
      </c>
      <c r="AF89" s="10">
        <f t="shared" si="186"/>
        <v>0</v>
      </c>
      <c r="AG89" s="10">
        <f t="shared" si="186"/>
        <v>0</v>
      </c>
      <c r="AH89" s="19">
        <f t="shared" si="197"/>
        <v>0</v>
      </c>
      <c r="AI89" s="10">
        <f t="shared" si="197"/>
        <v>0</v>
      </c>
      <c r="AJ89" s="10">
        <f t="shared" si="197"/>
        <v>0</v>
      </c>
      <c r="AK89" s="10">
        <f t="shared" si="197"/>
        <v>0</v>
      </c>
      <c r="AL89" s="10">
        <f t="shared" si="197"/>
        <v>0</v>
      </c>
      <c r="AM89" s="10">
        <f t="shared" si="199"/>
        <v>0</v>
      </c>
      <c r="AN89" s="71">
        <f>(0)/157.5</f>
        <v>0</v>
      </c>
      <c r="AO89" s="10">
        <f>(6)/157.5</f>
        <v>3.8095238095238099E-2</v>
      </c>
      <c r="AP89" s="10">
        <f t="shared" si="188"/>
        <v>0</v>
      </c>
      <c r="AQ89" s="10">
        <f t="shared" si="188"/>
        <v>0</v>
      </c>
      <c r="AR89" s="10">
        <f>(6)/157.5</f>
        <v>3.8095238095238099E-2</v>
      </c>
      <c r="AS89" s="10">
        <f t="shared" si="188"/>
        <v>0</v>
      </c>
      <c r="AT89" s="189">
        <f t="shared" si="158"/>
        <v>0</v>
      </c>
      <c r="AU89" s="10">
        <f t="shared" si="158"/>
        <v>0</v>
      </c>
      <c r="AV89" s="10">
        <f t="shared" si="158"/>
        <v>0</v>
      </c>
      <c r="AW89" s="10">
        <f t="shared" si="158"/>
        <v>0</v>
      </c>
      <c r="AX89" s="10">
        <f t="shared" si="158"/>
        <v>0</v>
      </c>
      <c r="AY89" s="17">
        <f t="shared" si="158"/>
        <v>0</v>
      </c>
      <c r="AZ89" s="19">
        <f t="shared" si="177"/>
        <v>0</v>
      </c>
      <c r="BA89" s="10">
        <f t="shared" si="177"/>
        <v>0</v>
      </c>
      <c r="BB89" s="10">
        <f t="shared" si="177"/>
        <v>0</v>
      </c>
      <c r="BC89" s="10">
        <f t="shared" si="177"/>
        <v>0</v>
      </c>
      <c r="BD89" s="10">
        <f t="shared" si="177"/>
        <v>0</v>
      </c>
      <c r="BE89" s="10">
        <f t="shared" si="177"/>
        <v>0</v>
      </c>
      <c r="BF89" s="10">
        <f t="shared" si="177"/>
        <v>0</v>
      </c>
      <c r="BG89" s="19">
        <f t="shared" si="200"/>
        <v>0</v>
      </c>
      <c r="BH89" s="10">
        <f t="shared" si="200"/>
        <v>0</v>
      </c>
      <c r="BI89" s="10">
        <f t="shared" si="200"/>
        <v>0</v>
      </c>
      <c r="BJ89" s="10">
        <f t="shared" si="200"/>
        <v>0</v>
      </c>
      <c r="BK89" s="10">
        <f t="shared" si="200"/>
        <v>0</v>
      </c>
      <c r="BL89" s="10">
        <f t="shared" si="201"/>
        <v>0</v>
      </c>
      <c r="BM89" s="10">
        <f t="shared" si="201"/>
        <v>0</v>
      </c>
      <c r="BN89" s="17">
        <f t="shared" si="201"/>
        <v>0</v>
      </c>
      <c r="BO89" s="19">
        <f t="shared" ref="BO89:BS98" si="212">0/157.5</f>
        <v>0</v>
      </c>
      <c r="BP89" s="10">
        <f t="shared" si="212"/>
        <v>0</v>
      </c>
      <c r="BQ89" s="10">
        <f t="shared" si="212"/>
        <v>0</v>
      </c>
      <c r="BR89" s="10">
        <f t="shared" si="212"/>
        <v>0</v>
      </c>
      <c r="BS89" s="10">
        <f t="shared" si="212"/>
        <v>0</v>
      </c>
      <c r="BT89" s="10">
        <f t="shared" si="202"/>
        <v>0</v>
      </c>
      <c r="BU89" s="10">
        <f t="shared" si="202"/>
        <v>0</v>
      </c>
      <c r="BV89" s="17">
        <f t="shared" si="202"/>
        <v>0</v>
      </c>
      <c r="BW89" s="71">
        <f t="shared" si="172"/>
        <v>0</v>
      </c>
      <c r="BX89" s="10">
        <f t="shared" si="172"/>
        <v>0</v>
      </c>
      <c r="BY89" s="10">
        <f t="shared" si="172"/>
        <v>0</v>
      </c>
      <c r="BZ89" s="10">
        <f t="shared" si="172"/>
        <v>0</v>
      </c>
      <c r="CA89" s="10">
        <f t="shared" si="172"/>
        <v>0</v>
      </c>
      <c r="CB89" s="10">
        <f t="shared" si="203"/>
        <v>0</v>
      </c>
      <c r="CC89" s="10">
        <f t="shared" si="203"/>
        <v>0</v>
      </c>
      <c r="CD89" s="17">
        <f t="shared" si="203"/>
        <v>0</v>
      </c>
      <c r="CE89" s="19">
        <f t="shared" si="204"/>
        <v>0</v>
      </c>
      <c r="CF89" s="10">
        <f t="shared" si="204"/>
        <v>0</v>
      </c>
      <c r="CG89" s="10">
        <f t="shared" si="204"/>
        <v>0</v>
      </c>
      <c r="CH89" s="10">
        <f t="shared" si="204"/>
        <v>0</v>
      </c>
      <c r="CI89" s="10">
        <f t="shared" si="204"/>
        <v>0</v>
      </c>
      <c r="CJ89" s="10">
        <f t="shared" si="205"/>
        <v>0</v>
      </c>
      <c r="CK89" s="10">
        <f t="shared" si="205"/>
        <v>0</v>
      </c>
      <c r="CL89" s="17">
        <f t="shared" si="205"/>
        <v>0</v>
      </c>
      <c r="CM89" s="19">
        <f t="shared" si="206"/>
        <v>0</v>
      </c>
      <c r="CN89" s="10">
        <f t="shared" si="206"/>
        <v>0</v>
      </c>
      <c r="CO89" s="10">
        <f t="shared" si="206"/>
        <v>0</v>
      </c>
      <c r="CP89" s="10">
        <f t="shared" si="206"/>
        <v>0</v>
      </c>
      <c r="CQ89" s="10">
        <f t="shared" si="206"/>
        <v>0</v>
      </c>
      <c r="CR89" s="10">
        <f t="shared" si="207"/>
        <v>0</v>
      </c>
      <c r="CS89" s="10">
        <f t="shared" si="207"/>
        <v>0</v>
      </c>
      <c r="CT89" s="17">
        <f t="shared" si="207"/>
        <v>0</v>
      </c>
      <c r="CU89" s="235"/>
    </row>
    <row r="90" spans="1:99" ht="26.25" hidden="1" customHeight="1" outlineLevel="1" x14ac:dyDescent="0.4">
      <c r="A90" s="351"/>
      <c r="B90" s="351"/>
      <c r="C90" s="351"/>
      <c r="D90" s="353"/>
      <c r="E90" s="353"/>
      <c r="F90" s="353"/>
      <c r="G90" s="385"/>
      <c r="H90" s="447"/>
      <c r="I90" s="447"/>
      <c r="J90" s="449"/>
      <c r="K90" s="453"/>
      <c r="L90" s="453"/>
      <c r="M90" s="451"/>
      <c r="N90" s="38" t="s">
        <v>25</v>
      </c>
      <c r="O90" s="11">
        <f t="shared" si="194"/>
        <v>0</v>
      </c>
      <c r="P90" s="11">
        <f t="shared" si="194"/>
        <v>0</v>
      </c>
      <c r="Q90" s="11">
        <f t="shared" si="194"/>
        <v>0</v>
      </c>
      <c r="R90" s="11">
        <f t="shared" si="194"/>
        <v>0</v>
      </c>
      <c r="S90" s="11">
        <f t="shared" si="194"/>
        <v>0</v>
      </c>
      <c r="T90" s="11">
        <f t="shared" si="194"/>
        <v>0</v>
      </c>
      <c r="U90" s="48">
        <f t="shared" si="194"/>
        <v>0</v>
      </c>
      <c r="V90" s="56">
        <f t="shared" si="211"/>
        <v>0</v>
      </c>
      <c r="W90" s="18">
        <f t="shared" si="211"/>
        <v>0</v>
      </c>
      <c r="X90" s="18">
        <f t="shared" si="211"/>
        <v>0</v>
      </c>
      <c r="Y90" s="18">
        <f t="shared" si="211"/>
        <v>0</v>
      </c>
      <c r="Z90" s="18">
        <f t="shared" si="211"/>
        <v>0</v>
      </c>
      <c r="AA90" s="18">
        <f t="shared" si="208"/>
        <v>0</v>
      </c>
      <c r="AB90" s="41">
        <f t="shared" si="186"/>
        <v>0</v>
      </c>
      <c r="AC90" s="51">
        <f t="shared" si="186"/>
        <v>0</v>
      </c>
      <c r="AD90" s="11">
        <f t="shared" si="186"/>
        <v>0</v>
      </c>
      <c r="AE90" s="11">
        <f t="shared" si="186"/>
        <v>0</v>
      </c>
      <c r="AF90" s="11">
        <f t="shared" si="186"/>
        <v>0</v>
      </c>
      <c r="AG90" s="18">
        <f t="shared" si="186"/>
        <v>0</v>
      </c>
      <c r="AH90" s="50">
        <f t="shared" si="197"/>
        <v>0</v>
      </c>
      <c r="AI90" s="51">
        <f t="shared" si="197"/>
        <v>0</v>
      </c>
      <c r="AJ90" s="51">
        <f t="shared" si="197"/>
        <v>0</v>
      </c>
      <c r="AK90" s="51">
        <f t="shared" si="197"/>
        <v>0</v>
      </c>
      <c r="AL90" s="51">
        <f t="shared" si="197"/>
        <v>0</v>
      </c>
      <c r="AM90" s="18">
        <f t="shared" si="199"/>
        <v>0</v>
      </c>
      <c r="AN90" s="56">
        <f t="shared" ref="AN90" si="213">(0)/157.5</f>
        <v>0</v>
      </c>
      <c r="AO90" s="11">
        <f>(7.25)/157.5</f>
        <v>4.6031746031746035E-2</v>
      </c>
      <c r="AP90" s="11">
        <f t="shared" si="188"/>
        <v>0</v>
      </c>
      <c r="AQ90" s="11">
        <f t="shared" si="188"/>
        <v>0</v>
      </c>
      <c r="AR90" s="11">
        <f>(3)/157.5</f>
        <v>1.9047619047619049E-2</v>
      </c>
      <c r="AS90" s="11">
        <f t="shared" si="188"/>
        <v>0</v>
      </c>
      <c r="AT90" s="61">
        <f t="shared" si="158"/>
        <v>0</v>
      </c>
      <c r="AU90" s="58">
        <f t="shared" si="158"/>
        <v>0</v>
      </c>
      <c r="AV90" s="58">
        <f t="shared" si="158"/>
        <v>0</v>
      </c>
      <c r="AW90" s="58">
        <f t="shared" si="158"/>
        <v>0</v>
      </c>
      <c r="AX90" s="58">
        <f t="shared" si="158"/>
        <v>0</v>
      </c>
      <c r="AY90" s="62">
        <f t="shared" si="158"/>
        <v>0</v>
      </c>
      <c r="AZ90" s="61">
        <f t="shared" si="177"/>
        <v>0</v>
      </c>
      <c r="BA90" s="58">
        <f t="shared" si="177"/>
        <v>0</v>
      </c>
      <c r="BB90" s="58">
        <f t="shared" si="177"/>
        <v>0</v>
      </c>
      <c r="BC90" s="58">
        <f t="shared" si="177"/>
        <v>0</v>
      </c>
      <c r="BD90" s="58">
        <f t="shared" si="177"/>
        <v>0</v>
      </c>
      <c r="BE90" s="58">
        <f t="shared" si="177"/>
        <v>0</v>
      </c>
      <c r="BF90" s="58">
        <f t="shared" si="177"/>
        <v>0</v>
      </c>
      <c r="BG90" s="61">
        <f t="shared" si="200"/>
        <v>0</v>
      </c>
      <c r="BH90" s="58">
        <f t="shared" si="200"/>
        <v>0</v>
      </c>
      <c r="BI90" s="58">
        <f t="shared" si="200"/>
        <v>0</v>
      </c>
      <c r="BJ90" s="58">
        <f t="shared" si="200"/>
        <v>0</v>
      </c>
      <c r="BK90" s="58">
        <f t="shared" si="200"/>
        <v>0</v>
      </c>
      <c r="BL90" s="58">
        <f t="shared" si="201"/>
        <v>0</v>
      </c>
      <c r="BM90" s="58">
        <f t="shared" si="201"/>
        <v>0</v>
      </c>
      <c r="BN90" s="62">
        <f t="shared" si="201"/>
        <v>0</v>
      </c>
      <c r="BO90" s="61">
        <f t="shared" si="212"/>
        <v>0</v>
      </c>
      <c r="BP90" s="58">
        <f t="shared" si="212"/>
        <v>0</v>
      </c>
      <c r="BQ90" s="58">
        <f t="shared" si="212"/>
        <v>0</v>
      </c>
      <c r="BR90" s="58">
        <f t="shared" si="212"/>
        <v>0</v>
      </c>
      <c r="BS90" s="58">
        <f t="shared" si="212"/>
        <v>0</v>
      </c>
      <c r="BT90" s="58">
        <f t="shared" si="202"/>
        <v>0</v>
      </c>
      <c r="BU90" s="58">
        <f t="shared" si="202"/>
        <v>0</v>
      </c>
      <c r="BV90" s="62">
        <f t="shared" si="202"/>
        <v>0</v>
      </c>
      <c r="BW90" s="61">
        <f t="shared" si="172"/>
        <v>0</v>
      </c>
      <c r="BX90" s="58">
        <f t="shared" si="172"/>
        <v>0</v>
      </c>
      <c r="BY90" s="58">
        <f t="shared" si="172"/>
        <v>0</v>
      </c>
      <c r="BZ90" s="58">
        <f t="shared" si="172"/>
        <v>0</v>
      </c>
      <c r="CA90" s="58">
        <f t="shared" si="172"/>
        <v>0</v>
      </c>
      <c r="CB90" s="58">
        <f t="shared" si="203"/>
        <v>0</v>
      </c>
      <c r="CC90" s="58">
        <f t="shared" si="203"/>
        <v>0</v>
      </c>
      <c r="CD90" s="62">
        <f t="shared" si="203"/>
        <v>0</v>
      </c>
      <c r="CE90" s="61">
        <f t="shared" si="204"/>
        <v>0</v>
      </c>
      <c r="CF90" s="58">
        <f t="shared" si="204"/>
        <v>0</v>
      </c>
      <c r="CG90" s="58">
        <f t="shared" si="204"/>
        <v>0</v>
      </c>
      <c r="CH90" s="58">
        <f t="shared" si="204"/>
        <v>0</v>
      </c>
      <c r="CI90" s="58">
        <f t="shared" si="204"/>
        <v>0</v>
      </c>
      <c r="CJ90" s="58">
        <f t="shared" si="205"/>
        <v>0</v>
      </c>
      <c r="CK90" s="58">
        <f t="shared" si="205"/>
        <v>0</v>
      </c>
      <c r="CL90" s="62">
        <f t="shared" si="205"/>
        <v>0</v>
      </c>
      <c r="CM90" s="61">
        <f t="shared" si="206"/>
        <v>0</v>
      </c>
      <c r="CN90" s="58">
        <f t="shared" si="206"/>
        <v>0</v>
      </c>
      <c r="CO90" s="58">
        <f t="shared" si="206"/>
        <v>0</v>
      </c>
      <c r="CP90" s="58">
        <f t="shared" si="206"/>
        <v>0</v>
      </c>
      <c r="CQ90" s="58">
        <f t="shared" si="206"/>
        <v>0</v>
      </c>
      <c r="CR90" s="58">
        <f t="shared" si="207"/>
        <v>0</v>
      </c>
      <c r="CS90" s="58">
        <f t="shared" si="207"/>
        <v>0</v>
      </c>
      <c r="CT90" s="62">
        <f t="shared" si="207"/>
        <v>0</v>
      </c>
      <c r="CU90" s="235"/>
    </row>
    <row r="91" spans="1:99" ht="26.25" hidden="1" customHeight="1" outlineLevel="1" collapsed="1" x14ac:dyDescent="0.4">
      <c r="A91" s="350">
        <v>43</v>
      </c>
      <c r="B91" s="350" t="s">
        <v>47</v>
      </c>
      <c r="C91" s="350" t="s">
        <v>343</v>
      </c>
      <c r="D91" s="352" t="s">
        <v>819</v>
      </c>
      <c r="E91" s="352" t="s">
        <v>816</v>
      </c>
      <c r="F91" s="352" t="s">
        <v>818</v>
      </c>
      <c r="G91" s="385" t="s">
        <v>817</v>
      </c>
      <c r="H91" s="446">
        <f t="shared" ref="H91:H114" si="214">SUM(AZ91:BF91)</f>
        <v>0</v>
      </c>
      <c r="I91" s="446">
        <f t="shared" ref="I91:I114" si="215">SUM(AZ92:BF92)</f>
        <v>0</v>
      </c>
      <c r="J91" s="448"/>
      <c r="K91" s="452"/>
      <c r="L91" s="452"/>
      <c r="M91" s="450"/>
      <c r="N91" s="47" t="s">
        <v>24</v>
      </c>
      <c r="O91" s="10">
        <f t="shared" si="194"/>
        <v>0</v>
      </c>
      <c r="P91" s="10">
        <f t="shared" si="194"/>
        <v>0</v>
      </c>
      <c r="Q91" s="10">
        <f t="shared" si="194"/>
        <v>0</v>
      </c>
      <c r="R91" s="10">
        <f t="shared" si="194"/>
        <v>0</v>
      </c>
      <c r="S91" s="10">
        <f t="shared" si="194"/>
        <v>0</v>
      </c>
      <c r="T91" s="10">
        <f t="shared" si="194"/>
        <v>0</v>
      </c>
      <c r="U91" s="79">
        <f t="shared" si="194"/>
        <v>0</v>
      </c>
      <c r="V91" s="19">
        <f t="shared" si="211"/>
        <v>0</v>
      </c>
      <c r="W91" s="10">
        <f t="shared" si="211"/>
        <v>0</v>
      </c>
      <c r="X91" s="10">
        <f t="shared" si="211"/>
        <v>0</v>
      </c>
      <c r="Y91" s="10">
        <f t="shared" si="211"/>
        <v>0</v>
      </c>
      <c r="Z91" s="10">
        <f t="shared" si="211"/>
        <v>0</v>
      </c>
      <c r="AA91" s="10">
        <f t="shared" si="208"/>
        <v>0</v>
      </c>
      <c r="AB91" s="19">
        <f t="shared" si="186"/>
        <v>0</v>
      </c>
      <c r="AC91" s="10">
        <f t="shared" si="186"/>
        <v>0</v>
      </c>
      <c r="AD91" s="210">
        <f t="shared" si="186"/>
        <v>0</v>
      </c>
      <c r="AE91" s="10">
        <f t="shared" si="186"/>
        <v>0</v>
      </c>
      <c r="AF91" s="10">
        <f t="shared" si="186"/>
        <v>0</v>
      </c>
      <c r="AG91" s="10">
        <f t="shared" si="186"/>
        <v>0</v>
      </c>
      <c r="AH91" s="19">
        <f t="shared" si="197"/>
        <v>0</v>
      </c>
      <c r="AI91" s="10">
        <f t="shared" si="197"/>
        <v>0</v>
      </c>
      <c r="AJ91" s="10">
        <f t="shared" si="197"/>
        <v>0</v>
      </c>
      <c r="AK91" s="10">
        <f t="shared" si="197"/>
        <v>0</v>
      </c>
      <c r="AL91" s="10">
        <f t="shared" si="197"/>
        <v>0</v>
      </c>
      <c r="AM91" s="10">
        <f t="shared" si="199"/>
        <v>0</v>
      </c>
      <c r="AN91" s="71">
        <f>(6)/157.5</f>
        <v>3.8095238095238099E-2</v>
      </c>
      <c r="AO91" s="10">
        <f t="shared" si="188"/>
        <v>0</v>
      </c>
      <c r="AP91" s="10">
        <f t="shared" si="188"/>
        <v>0</v>
      </c>
      <c r="AQ91" s="10">
        <f>(5)/157.5</f>
        <v>3.1746031746031744E-2</v>
      </c>
      <c r="AR91" s="10">
        <f t="shared" si="188"/>
        <v>0</v>
      </c>
      <c r="AS91" s="10">
        <f>(15)/157.5</f>
        <v>9.5238095238095233E-2</v>
      </c>
      <c r="AT91" s="189">
        <f t="shared" si="158"/>
        <v>0</v>
      </c>
      <c r="AU91" s="10">
        <f t="shared" si="158"/>
        <v>0</v>
      </c>
      <c r="AV91" s="10">
        <f t="shared" si="158"/>
        <v>0</v>
      </c>
      <c r="AW91" s="10">
        <f t="shared" si="158"/>
        <v>0</v>
      </c>
      <c r="AX91" s="10">
        <f t="shared" si="158"/>
        <v>0</v>
      </c>
      <c r="AY91" s="17">
        <f t="shared" si="158"/>
        <v>0</v>
      </c>
      <c r="AZ91" s="19">
        <f t="shared" si="177"/>
        <v>0</v>
      </c>
      <c r="BA91" s="10">
        <f t="shared" si="177"/>
        <v>0</v>
      </c>
      <c r="BB91" s="10">
        <f t="shared" si="177"/>
        <v>0</v>
      </c>
      <c r="BC91" s="10">
        <f t="shared" si="177"/>
        <v>0</v>
      </c>
      <c r="BD91" s="10">
        <f t="shared" si="177"/>
        <v>0</v>
      </c>
      <c r="BE91" s="10">
        <f t="shared" si="177"/>
        <v>0</v>
      </c>
      <c r="BF91" s="10">
        <f t="shared" si="177"/>
        <v>0</v>
      </c>
      <c r="BG91" s="19">
        <f t="shared" si="200"/>
        <v>0</v>
      </c>
      <c r="BH91" s="10">
        <f t="shared" si="200"/>
        <v>0</v>
      </c>
      <c r="BI91" s="10">
        <f t="shared" si="200"/>
        <v>0</v>
      </c>
      <c r="BJ91" s="10">
        <f t="shared" si="200"/>
        <v>0</v>
      </c>
      <c r="BK91" s="10">
        <f t="shared" si="200"/>
        <v>0</v>
      </c>
      <c r="BL91" s="10">
        <f t="shared" si="201"/>
        <v>0</v>
      </c>
      <c r="BM91" s="10">
        <f t="shared" si="201"/>
        <v>0</v>
      </c>
      <c r="BN91" s="17">
        <f t="shared" si="201"/>
        <v>0</v>
      </c>
      <c r="BO91" s="19">
        <f t="shared" si="212"/>
        <v>0</v>
      </c>
      <c r="BP91" s="10">
        <f t="shared" si="212"/>
        <v>0</v>
      </c>
      <c r="BQ91" s="10">
        <f t="shared" si="212"/>
        <v>0</v>
      </c>
      <c r="BR91" s="10">
        <f t="shared" si="212"/>
        <v>0</v>
      </c>
      <c r="BS91" s="10">
        <f t="shared" si="212"/>
        <v>0</v>
      </c>
      <c r="BT91" s="10">
        <f t="shared" si="202"/>
        <v>0</v>
      </c>
      <c r="BU91" s="10">
        <f t="shared" si="202"/>
        <v>0</v>
      </c>
      <c r="BV91" s="17">
        <f t="shared" si="202"/>
        <v>0</v>
      </c>
      <c r="BW91" s="71">
        <f t="shared" si="172"/>
        <v>0</v>
      </c>
      <c r="BX91" s="10">
        <f t="shared" si="172"/>
        <v>0</v>
      </c>
      <c r="BY91" s="10">
        <f t="shared" si="172"/>
        <v>0</v>
      </c>
      <c r="BZ91" s="10">
        <f t="shared" si="172"/>
        <v>0</v>
      </c>
      <c r="CA91" s="10">
        <f t="shared" si="172"/>
        <v>0</v>
      </c>
      <c r="CB91" s="10">
        <f t="shared" si="203"/>
        <v>0</v>
      </c>
      <c r="CC91" s="10">
        <f t="shared" si="203"/>
        <v>0</v>
      </c>
      <c r="CD91" s="17">
        <f t="shared" si="203"/>
        <v>0</v>
      </c>
      <c r="CE91" s="19">
        <f t="shared" si="204"/>
        <v>0</v>
      </c>
      <c r="CF91" s="10">
        <f t="shared" si="204"/>
        <v>0</v>
      </c>
      <c r="CG91" s="10">
        <f t="shared" si="204"/>
        <v>0</v>
      </c>
      <c r="CH91" s="10">
        <f t="shared" si="204"/>
        <v>0</v>
      </c>
      <c r="CI91" s="10">
        <f t="shared" si="204"/>
        <v>0</v>
      </c>
      <c r="CJ91" s="10">
        <f t="shared" si="205"/>
        <v>0</v>
      </c>
      <c r="CK91" s="10">
        <f t="shared" si="205"/>
        <v>0</v>
      </c>
      <c r="CL91" s="17">
        <f t="shared" si="205"/>
        <v>0</v>
      </c>
      <c r="CM91" s="19">
        <f t="shared" si="206"/>
        <v>0</v>
      </c>
      <c r="CN91" s="10">
        <f t="shared" si="206"/>
        <v>0</v>
      </c>
      <c r="CO91" s="10">
        <f t="shared" si="206"/>
        <v>0</v>
      </c>
      <c r="CP91" s="10">
        <f t="shared" si="206"/>
        <v>0</v>
      </c>
      <c r="CQ91" s="10">
        <f t="shared" si="206"/>
        <v>0</v>
      </c>
      <c r="CR91" s="10">
        <f t="shared" si="207"/>
        <v>0</v>
      </c>
      <c r="CS91" s="10">
        <f t="shared" si="207"/>
        <v>0</v>
      </c>
      <c r="CT91" s="17">
        <f t="shared" si="207"/>
        <v>0</v>
      </c>
      <c r="CU91" s="235"/>
    </row>
    <row r="92" spans="1:99" ht="26.25" hidden="1" customHeight="1" outlineLevel="1" x14ac:dyDescent="0.4">
      <c r="A92" s="351"/>
      <c r="B92" s="351"/>
      <c r="C92" s="351"/>
      <c r="D92" s="353"/>
      <c r="E92" s="353"/>
      <c r="F92" s="353"/>
      <c r="G92" s="385"/>
      <c r="H92" s="447"/>
      <c r="I92" s="447"/>
      <c r="J92" s="449"/>
      <c r="K92" s="453"/>
      <c r="L92" s="453"/>
      <c r="M92" s="451"/>
      <c r="N92" s="38" t="s">
        <v>25</v>
      </c>
      <c r="O92" s="11">
        <f t="shared" si="194"/>
        <v>0</v>
      </c>
      <c r="P92" s="11">
        <f t="shared" si="194"/>
        <v>0</v>
      </c>
      <c r="Q92" s="11">
        <f t="shared" si="194"/>
        <v>0</v>
      </c>
      <c r="R92" s="11">
        <f t="shared" si="194"/>
        <v>0</v>
      </c>
      <c r="S92" s="11">
        <f t="shared" si="194"/>
        <v>0</v>
      </c>
      <c r="T92" s="11">
        <f t="shared" si="194"/>
        <v>0</v>
      </c>
      <c r="U92" s="48">
        <f t="shared" si="194"/>
        <v>0</v>
      </c>
      <c r="V92" s="56">
        <f t="shared" si="211"/>
        <v>0</v>
      </c>
      <c r="W92" s="18">
        <f t="shared" si="211"/>
        <v>0</v>
      </c>
      <c r="X92" s="18">
        <f t="shared" si="211"/>
        <v>0</v>
      </c>
      <c r="Y92" s="18">
        <f t="shared" si="211"/>
        <v>0</v>
      </c>
      <c r="Z92" s="18">
        <f t="shared" si="211"/>
        <v>0</v>
      </c>
      <c r="AA92" s="18">
        <f t="shared" si="208"/>
        <v>0</v>
      </c>
      <c r="AB92" s="41">
        <f t="shared" si="186"/>
        <v>0</v>
      </c>
      <c r="AC92" s="51">
        <f t="shared" si="186"/>
        <v>0</v>
      </c>
      <c r="AD92" s="11">
        <f t="shared" si="186"/>
        <v>0</v>
      </c>
      <c r="AE92" s="11">
        <f t="shared" si="186"/>
        <v>0</v>
      </c>
      <c r="AF92" s="11">
        <f t="shared" si="186"/>
        <v>0</v>
      </c>
      <c r="AG92" s="18">
        <f t="shared" si="186"/>
        <v>0</v>
      </c>
      <c r="AH92" s="50">
        <f t="shared" si="197"/>
        <v>0</v>
      </c>
      <c r="AI92" s="51">
        <f t="shared" si="197"/>
        <v>0</v>
      </c>
      <c r="AJ92" s="51">
        <f t="shared" si="197"/>
        <v>0</v>
      </c>
      <c r="AK92" s="51">
        <f t="shared" si="197"/>
        <v>0</v>
      </c>
      <c r="AL92" s="51">
        <f t="shared" si="197"/>
        <v>0</v>
      </c>
      <c r="AM92" s="18">
        <f t="shared" si="199"/>
        <v>0</v>
      </c>
      <c r="AN92" s="56">
        <f>(3+4)/157.5</f>
        <v>4.4444444444444446E-2</v>
      </c>
      <c r="AO92" s="11">
        <f t="shared" si="188"/>
        <v>0</v>
      </c>
      <c r="AP92" s="11">
        <f t="shared" si="188"/>
        <v>0</v>
      </c>
      <c r="AQ92" s="11">
        <f>(0+3)/157.5</f>
        <v>1.9047619047619049E-2</v>
      </c>
      <c r="AR92" s="11">
        <f t="shared" si="188"/>
        <v>0</v>
      </c>
      <c r="AS92" s="11">
        <f>(7+7.5)/157.5</f>
        <v>9.2063492063492069E-2</v>
      </c>
      <c r="AT92" s="61">
        <f t="shared" si="158"/>
        <v>0</v>
      </c>
      <c r="AU92" s="58">
        <f t="shared" si="158"/>
        <v>0</v>
      </c>
      <c r="AV92" s="58">
        <f t="shared" si="158"/>
        <v>0</v>
      </c>
      <c r="AW92" s="58">
        <f t="shared" si="158"/>
        <v>0</v>
      </c>
      <c r="AX92" s="58">
        <f t="shared" si="158"/>
        <v>0</v>
      </c>
      <c r="AY92" s="62">
        <f t="shared" si="158"/>
        <v>0</v>
      </c>
      <c r="AZ92" s="61">
        <f t="shared" si="177"/>
        <v>0</v>
      </c>
      <c r="BA92" s="58">
        <f t="shared" si="177"/>
        <v>0</v>
      </c>
      <c r="BB92" s="58">
        <f t="shared" si="177"/>
        <v>0</v>
      </c>
      <c r="BC92" s="58">
        <f t="shared" si="177"/>
        <v>0</v>
      </c>
      <c r="BD92" s="58">
        <f t="shared" si="177"/>
        <v>0</v>
      </c>
      <c r="BE92" s="58">
        <f t="shared" si="177"/>
        <v>0</v>
      </c>
      <c r="BF92" s="58">
        <f t="shared" si="177"/>
        <v>0</v>
      </c>
      <c r="BG92" s="61">
        <f t="shared" si="200"/>
        <v>0</v>
      </c>
      <c r="BH92" s="58">
        <f t="shared" si="200"/>
        <v>0</v>
      </c>
      <c r="BI92" s="58">
        <f t="shared" si="200"/>
        <v>0</v>
      </c>
      <c r="BJ92" s="58">
        <f t="shared" si="200"/>
        <v>0</v>
      </c>
      <c r="BK92" s="58">
        <f t="shared" si="200"/>
        <v>0</v>
      </c>
      <c r="BL92" s="58">
        <f t="shared" si="201"/>
        <v>0</v>
      </c>
      <c r="BM92" s="58">
        <f t="shared" si="201"/>
        <v>0</v>
      </c>
      <c r="BN92" s="62">
        <f t="shared" si="201"/>
        <v>0</v>
      </c>
      <c r="BO92" s="61">
        <f t="shared" si="212"/>
        <v>0</v>
      </c>
      <c r="BP92" s="58">
        <f t="shared" si="212"/>
        <v>0</v>
      </c>
      <c r="BQ92" s="58">
        <f t="shared" si="212"/>
        <v>0</v>
      </c>
      <c r="BR92" s="58">
        <f t="shared" si="212"/>
        <v>0</v>
      </c>
      <c r="BS92" s="58">
        <f t="shared" si="212"/>
        <v>0</v>
      </c>
      <c r="BT92" s="58">
        <f t="shared" si="202"/>
        <v>0</v>
      </c>
      <c r="BU92" s="58">
        <f t="shared" si="202"/>
        <v>0</v>
      </c>
      <c r="BV92" s="62">
        <f t="shared" si="202"/>
        <v>0</v>
      </c>
      <c r="BW92" s="61">
        <f t="shared" si="172"/>
        <v>0</v>
      </c>
      <c r="BX92" s="58">
        <f t="shared" si="172"/>
        <v>0</v>
      </c>
      <c r="BY92" s="58">
        <f t="shared" si="172"/>
        <v>0</v>
      </c>
      <c r="BZ92" s="58">
        <f t="shared" si="172"/>
        <v>0</v>
      </c>
      <c r="CA92" s="58">
        <f t="shared" si="172"/>
        <v>0</v>
      </c>
      <c r="CB92" s="58">
        <f t="shared" si="203"/>
        <v>0</v>
      </c>
      <c r="CC92" s="58">
        <f t="shared" si="203"/>
        <v>0</v>
      </c>
      <c r="CD92" s="62">
        <f t="shared" si="203"/>
        <v>0</v>
      </c>
      <c r="CE92" s="61">
        <f t="shared" si="204"/>
        <v>0</v>
      </c>
      <c r="CF92" s="58">
        <f t="shared" si="204"/>
        <v>0</v>
      </c>
      <c r="CG92" s="58">
        <f t="shared" si="204"/>
        <v>0</v>
      </c>
      <c r="CH92" s="58">
        <f t="shared" si="204"/>
        <v>0</v>
      </c>
      <c r="CI92" s="58">
        <f t="shared" si="204"/>
        <v>0</v>
      </c>
      <c r="CJ92" s="58">
        <f t="shared" si="205"/>
        <v>0</v>
      </c>
      <c r="CK92" s="58">
        <f t="shared" si="205"/>
        <v>0</v>
      </c>
      <c r="CL92" s="62">
        <f t="shared" si="205"/>
        <v>0</v>
      </c>
      <c r="CM92" s="61">
        <f t="shared" si="206"/>
        <v>0</v>
      </c>
      <c r="CN92" s="58">
        <f t="shared" si="206"/>
        <v>0</v>
      </c>
      <c r="CO92" s="58">
        <f t="shared" si="206"/>
        <v>0</v>
      </c>
      <c r="CP92" s="58">
        <f t="shared" si="206"/>
        <v>0</v>
      </c>
      <c r="CQ92" s="58">
        <f t="shared" si="206"/>
        <v>0</v>
      </c>
      <c r="CR92" s="58">
        <f t="shared" si="207"/>
        <v>0</v>
      </c>
      <c r="CS92" s="58">
        <f t="shared" si="207"/>
        <v>0</v>
      </c>
      <c r="CT92" s="62">
        <f t="shared" si="207"/>
        <v>0</v>
      </c>
      <c r="CU92" s="235"/>
    </row>
    <row r="93" spans="1:99" ht="26.25" hidden="1" customHeight="1" outlineLevel="1" x14ac:dyDescent="0.4">
      <c r="A93" s="350">
        <v>44</v>
      </c>
      <c r="B93" s="350" t="s">
        <v>47</v>
      </c>
      <c r="C93" s="350" t="s">
        <v>14</v>
      </c>
      <c r="D93" s="352" t="s">
        <v>820</v>
      </c>
      <c r="E93" s="352" t="s">
        <v>812</v>
      </c>
      <c r="F93" s="352"/>
      <c r="G93" s="385" t="s">
        <v>815</v>
      </c>
      <c r="H93" s="446">
        <f t="shared" ref="H93:H114" si="216">SUM(AZ93:BF93)</f>
        <v>0</v>
      </c>
      <c r="I93" s="446">
        <f t="shared" ref="I93:I114" si="217">SUM(AZ94:BF94)</f>
        <v>0</v>
      </c>
      <c r="J93" s="448"/>
      <c r="K93" s="452"/>
      <c r="L93" s="452"/>
      <c r="M93" s="450"/>
      <c r="N93" s="47" t="s">
        <v>24</v>
      </c>
      <c r="O93" s="10">
        <f t="shared" si="194"/>
        <v>0</v>
      </c>
      <c r="P93" s="10">
        <f t="shared" si="194"/>
        <v>0</v>
      </c>
      <c r="Q93" s="10">
        <f t="shared" si="194"/>
        <v>0</v>
      </c>
      <c r="R93" s="10">
        <f t="shared" si="194"/>
        <v>0</v>
      </c>
      <c r="S93" s="10">
        <f t="shared" si="194"/>
        <v>0</v>
      </c>
      <c r="T93" s="10">
        <f t="shared" si="194"/>
        <v>0</v>
      </c>
      <c r="U93" s="79">
        <f t="shared" si="194"/>
        <v>0</v>
      </c>
      <c r="V93" s="19">
        <f t="shared" si="211"/>
        <v>0</v>
      </c>
      <c r="W93" s="10">
        <f t="shared" si="211"/>
        <v>0</v>
      </c>
      <c r="X93" s="10">
        <f t="shared" si="211"/>
        <v>0</v>
      </c>
      <c r="Y93" s="10">
        <f t="shared" si="211"/>
        <v>0</v>
      </c>
      <c r="Z93" s="10">
        <f t="shared" si="211"/>
        <v>0</v>
      </c>
      <c r="AA93" s="10">
        <f t="shared" si="208"/>
        <v>0</v>
      </c>
      <c r="AB93" s="19">
        <f t="shared" si="186"/>
        <v>0</v>
      </c>
      <c r="AC93" s="10">
        <f t="shared" si="186"/>
        <v>0</v>
      </c>
      <c r="AD93" s="210">
        <f t="shared" si="186"/>
        <v>0</v>
      </c>
      <c r="AE93" s="10">
        <f t="shared" si="186"/>
        <v>0</v>
      </c>
      <c r="AF93" s="10">
        <f t="shared" si="186"/>
        <v>0</v>
      </c>
      <c r="AG93" s="10">
        <f t="shared" si="186"/>
        <v>0</v>
      </c>
      <c r="AH93" s="19">
        <f t="shared" si="197"/>
        <v>0</v>
      </c>
      <c r="AI93" s="10">
        <f t="shared" si="197"/>
        <v>0</v>
      </c>
      <c r="AJ93" s="10">
        <f t="shared" si="197"/>
        <v>0</v>
      </c>
      <c r="AK93" s="10">
        <f t="shared" si="197"/>
        <v>0</v>
      </c>
      <c r="AL93" s="10">
        <f t="shared" si="197"/>
        <v>0</v>
      </c>
      <c r="AM93" s="10">
        <f t="shared" si="199"/>
        <v>0</v>
      </c>
      <c r="AN93" s="71">
        <f>(6)/157.5</f>
        <v>3.8095238095238099E-2</v>
      </c>
      <c r="AO93" s="10">
        <f>(5)/157.5</f>
        <v>3.1746031746031744E-2</v>
      </c>
      <c r="AP93" s="10">
        <f>(20)/157.5</f>
        <v>0.12698412698412698</v>
      </c>
      <c r="AQ93" s="10">
        <f t="shared" si="188"/>
        <v>0</v>
      </c>
      <c r="AR93" s="10">
        <f t="shared" si="188"/>
        <v>0</v>
      </c>
      <c r="AS93" s="10">
        <f>(8)/157.5</f>
        <v>5.0793650793650794E-2</v>
      </c>
      <c r="AT93" s="189">
        <f t="shared" si="158"/>
        <v>0</v>
      </c>
      <c r="AU93" s="10">
        <f t="shared" si="158"/>
        <v>0</v>
      </c>
      <c r="AV93" s="10">
        <f t="shared" si="158"/>
        <v>0</v>
      </c>
      <c r="AW93" s="10">
        <f t="shared" si="158"/>
        <v>0</v>
      </c>
      <c r="AX93" s="10">
        <f t="shared" si="158"/>
        <v>0</v>
      </c>
      <c r="AY93" s="17">
        <f t="shared" si="158"/>
        <v>0</v>
      </c>
      <c r="AZ93" s="19">
        <f t="shared" si="177"/>
        <v>0</v>
      </c>
      <c r="BA93" s="10">
        <f t="shared" si="177"/>
        <v>0</v>
      </c>
      <c r="BB93" s="10">
        <f t="shared" si="177"/>
        <v>0</v>
      </c>
      <c r="BC93" s="10">
        <f t="shared" si="177"/>
        <v>0</v>
      </c>
      <c r="BD93" s="10">
        <f t="shared" si="177"/>
        <v>0</v>
      </c>
      <c r="BE93" s="10">
        <f t="shared" si="177"/>
        <v>0</v>
      </c>
      <c r="BF93" s="10">
        <f t="shared" si="177"/>
        <v>0</v>
      </c>
      <c r="BG93" s="19">
        <f t="shared" si="200"/>
        <v>0</v>
      </c>
      <c r="BH93" s="10">
        <f t="shared" si="200"/>
        <v>0</v>
      </c>
      <c r="BI93" s="10">
        <f t="shared" si="200"/>
        <v>0</v>
      </c>
      <c r="BJ93" s="10">
        <f t="shared" si="200"/>
        <v>0</v>
      </c>
      <c r="BK93" s="10">
        <f t="shared" si="200"/>
        <v>0</v>
      </c>
      <c r="BL93" s="10">
        <f t="shared" si="201"/>
        <v>0</v>
      </c>
      <c r="BM93" s="10">
        <f t="shared" si="201"/>
        <v>0</v>
      </c>
      <c r="BN93" s="17">
        <f t="shared" si="201"/>
        <v>0</v>
      </c>
      <c r="BO93" s="19">
        <f t="shared" si="212"/>
        <v>0</v>
      </c>
      <c r="BP93" s="10">
        <f t="shared" si="212"/>
        <v>0</v>
      </c>
      <c r="BQ93" s="10">
        <f t="shared" si="212"/>
        <v>0</v>
      </c>
      <c r="BR93" s="10">
        <f t="shared" si="212"/>
        <v>0</v>
      </c>
      <c r="BS93" s="10">
        <f t="shared" si="212"/>
        <v>0</v>
      </c>
      <c r="BT93" s="10">
        <f t="shared" si="202"/>
        <v>0</v>
      </c>
      <c r="BU93" s="10">
        <f t="shared" si="202"/>
        <v>0</v>
      </c>
      <c r="BV93" s="17">
        <f t="shared" si="202"/>
        <v>0</v>
      </c>
      <c r="BW93" s="71">
        <f t="shared" si="172"/>
        <v>0</v>
      </c>
      <c r="BX93" s="10">
        <f t="shared" si="172"/>
        <v>0</v>
      </c>
      <c r="BY93" s="10">
        <f t="shared" si="172"/>
        <v>0</v>
      </c>
      <c r="BZ93" s="10">
        <f t="shared" si="172"/>
        <v>0</v>
      </c>
      <c r="CA93" s="10">
        <f t="shared" si="172"/>
        <v>0</v>
      </c>
      <c r="CB93" s="10">
        <f t="shared" si="203"/>
        <v>0</v>
      </c>
      <c r="CC93" s="10">
        <f t="shared" si="203"/>
        <v>0</v>
      </c>
      <c r="CD93" s="17">
        <f t="shared" si="203"/>
        <v>0</v>
      </c>
      <c r="CE93" s="19">
        <f t="shared" si="204"/>
        <v>0</v>
      </c>
      <c r="CF93" s="10">
        <f t="shared" si="204"/>
        <v>0</v>
      </c>
      <c r="CG93" s="10">
        <f t="shared" si="204"/>
        <v>0</v>
      </c>
      <c r="CH93" s="10">
        <f t="shared" si="204"/>
        <v>0</v>
      </c>
      <c r="CI93" s="10">
        <f t="shared" si="204"/>
        <v>0</v>
      </c>
      <c r="CJ93" s="10">
        <f t="shared" si="205"/>
        <v>0</v>
      </c>
      <c r="CK93" s="10">
        <f t="shared" si="205"/>
        <v>0</v>
      </c>
      <c r="CL93" s="17">
        <f t="shared" si="205"/>
        <v>0</v>
      </c>
      <c r="CM93" s="19">
        <f t="shared" si="206"/>
        <v>0</v>
      </c>
      <c r="CN93" s="10">
        <f t="shared" si="206"/>
        <v>0</v>
      </c>
      <c r="CO93" s="10">
        <f t="shared" si="206"/>
        <v>0</v>
      </c>
      <c r="CP93" s="10">
        <f t="shared" si="206"/>
        <v>0</v>
      </c>
      <c r="CQ93" s="10">
        <f t="shared" si="206"/>
        <v>0</v>
      </c>
      <c r="CR93" s="10">
        <f t="shared" si="207"/>
        <v>0</v>
      </c>
      <c r="CS93" s="10">
        <f t="shared" si="207"/>
        <v>0</v>
      </c>
      <c r="CT93" s="17">
        <f t="shared" si="207"/>
        <v>0</v>
      </c>
      <c r="CU93" s="235"/>
    </row>
    <row r="94" spans="1:99" ht="26.25" hidden="1" customHeight="1" outlineLevel="1" x14ac:dyDescent="0.4">
      <c r="A94" s="351"/>
      <c r="B94" s="351"/>
      <c r="C94" s="351"/>
      <c r="D94" s="353"/>
      <c r="E94" s="353"/>
      <c r="F94" s="353"/>
      <c r="G94" s="385"/>
      <c r="H94" s="447"/>
      <c r="I94" s="447"/>
      <c r="J94" s="449"/>
      <c r="K94" s="453"/>
      <c r="L94" s="453"/>
      <c r="M94" s="451"/>
      <c r="N94" s="38" t="s">
        <v>25</v>
      </c>
      <c r="O94" s="11">
        <f t="shared" si="194"/>
        <v>0</v>
      </c>
      <c r="P94" s="11">
        <f t="shared" si="194"/>
        <v>0</v>
      </c>
      <c r="Q94" s="11">
        <f t="shared" si="194"/>
        <v>0</v>
      </c>
      <c r="R94" s="11">
        <f t="shared" si="194"/>
        <v>0</v>
      </c>
      <c r="S94" s="11">
        <f t="shared" si="194"/>
        <v>0</v>
      </c>
      <c r="T94" s="11">
        <f t="shared" si="194"/>
        <v>0</v>
      </c>
      <c r="U94" s="48">
        <f t="shared" si="194"/>
        <v>0</v>
      </c>
      <c r="V94" s="56">
        <f t="shared" si="211"/>
        <v>0</v>
      </c>
      <c r="W94" s="18">
        <f t="shared" si="211"/>
        <v>0</v>
      </c>
      <c r="X94" s="18">
        <f t="shared" si="211"/>
        <v>0</v>
      </c>
      <c r="Y94" s="18">
        <f t="shared" si="211"/>
        <v>0</v>
      </c>
      <c r="Z94" s="18">
        <f t="shared" si="211"/>
        <v>0</v>
      </c>
      <c r="AA94" s="18">
        <f t="shared" si="208"/>
        <v>0</v>
      </c>
      <c r="AB94" s="41">
        <f t="shared" si="186"/>
        <v>0</v>
      </c>
      <c r="AC94" s="51">
        <f t="shared" si="186"/>
        <v>0</v>
      </c>
      <c r="AD94" s="11">
        <f t="shared" si="186"/>
        <v>0</v>
      </c>
      <c r="AE94" s="11">
        <f t="shared" si="186"/>
        <v>0</v>
      </c>
      <c r="AF94" s="11">
        <f t="shared" si="186"/>
        <v>0</v>
      </c>
      <c r="AG94" s="18">
        <f t="shared" si="186"/>
        <v>0</v>
      </c>
      <c r="AH94" s="50">
        <f t="shared" si="197"/>
        <v>0</v>
      </c>
      <c r="AI94" s="51">
        <f t="shared" si="197"/>
        <v>0</v>
      </c>
      <c r="AJ94" s="51">
        <f t="shared" si="197"/>
        <v>0</v>
      </c>
      <c r="AK94" s="51">
        <f t="shared" si="197"/>
        <v>0</v>
      </c>
      <c r="AL94" s="51">
        <f t="shared" si="197"/>
        <v>0</v>
      </c>
      <c r="AM94" s="18">
        <f t="shared" si="199"/>
        <v>0</v>
      </c>
      <c r="AN94" s="56">
        <f>(2.5+6)/157.5</f>
        <v>5.3968253968253971E-2</v>
      </c>
      <c r="AO94" s="11">
        <f>(0+3)/157.5</f>
        <v>1.9047619047619049E-2</v>
      </c>
      <c r="AP94" s="11">
        <f>(3+16.5)/157.5</f>
        <v>0.12380952380952381</v>
      </c>
      <c r="AQ94" s="11">
        <f t="shared" si="188"/>
        <v>0</v>
      </c>
      <c r="AR94" s="11">
        <f t="shared" si="188"/>
        <v>0</v>
      </c>
      <c r="AS94" s="11">
        <f>(0+7.25)/157.5</f>
        <v>4.6031746031746035E-2</v>
      </c>
      <c r="AT94" s="61">
        <f t="shared" si="158"/>
        <v>0</v>
      </c>
      <c r="AU94" s="58">
        <f t="shared" si="158"/>
        <v>0</v>
      </c>
      <c r="AV94" s="58">
        <f t="shared" si="158"/>
        <v>0</v>
      </c>
      <c r="AW94" s="58">
        <f t="shared" si="158"/>
        <v>0</v>
      </c>
      <c r="AX94" s="58">
        <f t="shared" si="158"/>
        <v>0</v>
      </c>
      <c r="AY94" s="62">
        <f t="shared" si="158"/>
        <v>0</v>
      </c>
      <c r="AZ94" s="61">
        <f t="shared" si="177"/>
        <v>0</v>
      </c>
      <c r="BA94" s="58">
        <f t="shared" si="177"/>
        <v>0</v>
      </c>
      <c r="BB94" s="58">
        <f t="shared" si="177"/>
        <v>0</v>
      </c>
      <c r="BC94" s="58">
        <f t="shared" si="177"/>
        <v>0</v>
      </c>
      <c r="BD94" s="58">
        <f t="shared" si="177"/>
        <v>0</v>
      </c>
      <c r="BE94" s="58">
        <f t="shared" si="177"/>
        <v>0</v>
      </c>
      <c r="BF94" s="58">
        <f t="shared" si="177"/>
        <v>0</v>
      </c>
      <c r="BG94" s="61">
        <f t="shared" si="200"/>
        <v>0</v>
      </c>
      <c r="BH94" s="58">
        <f t="shared" si="200"/>
        <v>0</v>
      </c>
      <c r="BI94" s="58">
        <f t="shared" si="200"/>
        <v>0</v>
      </c>
      <c r="BJ94" s="58">
        <f t="shared" si="200"/>
        <v>0</v>
      </c>
      <c r="BK94" s="58">
        <f t="shared" si="200"/>
        <v>0</v>
      </c>
      <c r="BL94" s="58">
        <f t="shared" si="201"/>
        <v>0</v>
      </c>
      <c r="BM94" s="58">
        <f t="shared" si="201"/>
        <v>0</v>
      </c>
      <c r="BN94" s="62">
        <f t="shared" si="201"/>
        <v>0</v>
      </c>
      <c r="BO94" s="61">
        <f t="shared" si="212"/>
        <v>0</v>
      </c>
      <c r="BP94" s="58">
        <f t="shared" si="212"/>
        <v>0</v>
      </c>
      <c r="BQ94" s="58">
        <f t="shared" si="212"/>
        <v>0</v>
      </c>
      <c r="BR94" s="58">
        <f t="shared" si="212"/>
        <v>0</v>
      </c>
      <c r="BS94" s="58">
        <f t="shared" si="212"/>
        <v>0</v>
      </c>
      <c r="BT94" s="58">
        <f t="shared" si="202"/>
        <v>0</v>
      </c>
      <c r="BU94" s="58">
        <f t="shared" si="202"/>
        <v>0</v>
      </c>
      <c r="BV94" s="62">
        <f t="shared" si="202"/>
        <v>0</v>
      </c>
      <c r="BW94" s="61">
        <f t="shared" si="172"/>
        <v>0</v>
      </c>
      <c r="BX94" s="58">
        <f t="shared" si="172"/>
        <v>0</v>
      </c>
      <c r="BY94" s="58">
        <f t="shared" si="172"/>
        <v>0</v>
      </c>
      <c r="BZ94" s="58">
        <f t="shared" si="172"/>
        <v>0</v>
      </c>
      <c r="CA94" s="58">
        <f t="shared" si="172"/>
        <v>0</v>
      </c>
      <c r="CB94" s="58">
        <f t="shared" si="203"/>
        <v>0</v>
      </c>
      <c r="CC94" s="58">
        <f t="shared" si="203"/>
        <v>0</v>
      </c>
      <c r="CD94" s="62">
        <f t="shared" si="203"/>
        <v>0</v>
      </c>
      <c r="CE94" s="61">
        <f t="shared" si="204"/>
        <v>0</v>
      </c>
      <c r="CF94" s="58">
        <f t="shared" si="204"/>
        <v>0</v>
      </c>
      <c r="CG94" s="58">
        <f t="shared" si="204"/>
        <v>0</v>
      </c>
      <c r="CH94" s="58">
        <f t="shared" si="204"/>
        <v>0</v>
      </c>
      <c r="CI94" s="58">
        <f t="shared" si="204"/>
        <v>0</v>
      </c>
      <c r="CJ94" s="58">
        <f t="shared" si="205"/>
        <v>0</v>
      </c>
      <c r="CK94" s="58">
        <f t="shared" si="205"/>
        <v>0</v>
      </c>
      <c r="CL94" s="62">
        <f t="shared" si="205"/>
        <v>0</v>
      </c>
      <c r="CM94" s="61">
        <f t="shared" si="206"/>
        <v>0</v>
      </c>
      <c r="CN94" s="58">
        <f t="shared" si="206"/>
        <v>0</v>
      </c>
      <c r="CO94" s="58">
        <f t="shared" si="206"/>
        <v>0</v>
      </c>
      <c r="CP94" s="58">
        <f t="shared" si="206"/>
        <v>0</v>
      </c>
      <c r="CQ94" s="58">
        <f t="shared" si="206"/>
        <v>0</v>
      </c>
      <c r="CR94" s="58">
        <f t="shared" si="207"/>
        <v>0</v>
      </c>
      <c r="CS94" s="58">
        <f t="shared" si="207"/>
        <v>0</v>
      </c>
      <c r="CT94" s="62">
        <f t="shared" si="207"/>
        <v>0</v>
      </c>
      <c r="CU94" s="235"/>
    </row>
    <row r="95" spans="1:99" ht="26.25" hidden="1" customHeight="1" outlineLevel="1" collapsed="1" x14ac:dyDescent="0.4">
      <c r="A95" s="350">
        <v>45</v>
      </c>
      <c r="B95" s="350" t="s">
        <v>47</v>
      </c>
      <c r="C95" s="350" t="s">
        <v>14</v>
      </c>
      <c r="D95" s="352" t="s">
        <v>476</v>
      </c>
      <c r="E95" s="352" t="s">
        <v>829</v>
      </c>
      <c r="F95" s="352"/>
      <c r="G95" s="385" t="s">
        <v>834</v>
      </c>
      <c r="H95" s="446">
        <f t="shared" ref="H95:H114" si="218">SUM(AZ95:BF95)</f>
        <v>0</v>
      </c>
      <c r="I95" s="446">
        <f t="shared" ref="I95:I114" si="219">SUM(AZ96:BF96)</f>
        <v>0</v>
      </c>
      <c r="J95" s="448"/>
      <c r="K95" s="452"/>
      <c r="L95" s="452"/>
      <c r="M95" s="450"/>
      <c r="N95" s="47" t="s">
        <v>24</v>
      </c>
      <c r="O95" s="10">
        <f t="shared" si="194"/>
        <v>0</v>
      </c>
      <c r="P95" s="10">
        <f t="shared" si="194"/>
        <v>0</v>
      </c>
      <c r="Q95" s="10">
        <f t="shared" si="194"/>
        <v>0</v>
      </c>
      <c r="R95" s="10">
        <f t="shared" si="194"/>
        <v>0</v>
      </c>
      <c r="S95" s="10">
        <f t="shared" si="194"/>
        <v>0</v>
      </c>
      <c r="T95" s="10">
        <f t="shared" si="194"/>
        <v>0</v>
      </c>
      <c r="U95" s="79">
        <f t="shared" si="194"/>
        <v>0</v>
      </c>
      <c r="V95" s="19">
        <f t="shared" si="211"/>
        <v>0</v>
      </c>
      <c r="W95" s="10">
        <f t="shared" si="211"/>
        <v>0</v>
      </c>
      <c r="X95" s="10">
        <f t="shared" si="211"/>
        <v>0</v>
      </c>
      <c r="Y95" s="10">
        <f t="shared" si="211"/>
        <v>0</v>
      </c>
      <c r="Z95" s="10">
        <f t="shared" si="211"/>
        <v>0</v>
      </c>
      <c r="AA95" s="10">
        <f t="shared" si="208"/>
        <v>0</v>
      </c>
      <c r="AB95" s="19">
        <f t="shared" si="186"/>
        <v>0</v>
      </c>
      <c r="AC95" s="10">
        <f t="shared" si="186"/>
        <v>0</v>
      </c>
      <c r="AD95" s="210">
        <f t="shared" si="186"/>
        <v>0</v>
      </c>
      <c r="AE95" s="10">
        <f t="shared" si="186"/>
        <v>0</v>
      </c>
      <c r="AF95" s="10">
        <f t="shared" si="186"/>
        <v>0</v>
      </c>
      <c r="AG95" s="10">
        <f t="shared" si="186"/>
        <v>0</v>
      </c>
      <c r="AH95" s="19">
        <f t="shared" si="197"/>
        <v>0</v>
      </c>
      <c r="AI95" s="10">
        <f t="shared" si="197"/>
        <v>0</v>
      </c>
      <c r="AJ95" s="10">
        <f t="shared" si="197"/>
        <v>0</v>
      </c>
      <c r="AK95" s="10">
        <f t="shared" si="197"/>
        <v>0</v>
      </c>
      <c r="AL95" s="10">
        <f t="shared" si="197"/>
        <v>0</v>
      </c>
      <c r="AM95" s="10">
        <f t="shared" si="199"/>
        <v>0</v>
      </c>
      <c r="AN95" s="71">
        <f>(0)/157.5</f>
        <v>0</v>
      </c>
      <c r="AO95" s="10">
        <f>(7.5)/157.5</f>
        <v>4.7619047619047616E-2</v>
      </c>
      <c r="AP95" s="10">
        <f t="shared" si="188"/>
        <v>0</v>
      </c>
      <c r="AQ95" s="10">
        <f t="shared" si="188"/>
        <v>0</v>
      </c>
      <c r="AR95" s="10">
        <f t="shared" si="188"/>
        <v>0</v>
      </c>
      <c r="AS95" s="10">
        <f t="shared" si="188"/>
        <v>0</v>
      </c>
      <c r="AT95" s="189">
        <f t="shared" si="158"/>
        <v>0</v>
      </c>
      <c r="AU95" s="10">
        <f t="shared" si="158"/>
        <v>0</v>
      </c>
      <c r="AV95" s="10">
        <f t="shared" si="158"/>
        <v>0</v>
      </c>
      <c r="AW95" s="10">
        <f t="shared" si="158"/>
        <v>0</v>
      </c>
      <c r="AX95" s="10">
        <f t="shared" si="158"/>
        <v>0</v>
      </c>
      <c r="AY95" s="17">
        <f t="shared" si="158"/>
        <v>0</v>
      </c>
      <c r="AZ95" s="19">
        <f t="shared" si="177"/>
        <v>0</v>
      </c>
      <c r="BA95" s="10">
        <f t="shared" si="177"/>
        <v>0</v>
      </c>
      <c r="BB95" s="10">
        <f t="shared" si="177"/>
        <v>0</v>
      </c>
      <c r="BC95" s="10">
        <f t="shared" si="177"/>
        <v>0</v>
      </c>
      <c r="BD95" s="10">
        <f t="shared" si="177"/>
        <v>0</v>
      </c>
      <c r="BE95" s="10">
        <f t="shared" si="177"/>
        <v>0</v>
      </c>
      <c r="BF95" s="10">
        <f t="shared" si="177"/>
        <v>0</v>
      </c>
      <c r="BG95" s="19">
        <f t="shared" si="200"/>
        <v>0</v>
      </c>
      <c r="BH95" s="10">
        <f t="shared" si="200"/>
        <v>0</v>
      </c>
      <c r="BI95" s="10">
        <f t="shared" si="200"/>
        <v>0</v>
      </c>
      <c r="BJ95" s="10">
        <f t="shared" si="200"/>
        <v>0</v>
      </c>
      <c r="BK95" s="10">
        <f t="shared" si="200"/>
        <v>0</v>
      </c>
      <c r="BL95" s="10">
        <f t="shared" si="201"/>
        <v>0</v>
      </c>
      <c r="BM95" s="10">
        <f t="shared" si="201"/>
        <v>0</v>
      </c>
      <c r="BN95" s="17">
        <f t="shared" si="201"/>
        <v>0</v>
      </c>
      <c r="BO95" s="19">
        <f t="shared" si="212"/>
        <v>0</v>
      </c>
      <c r="BP95" s="10">
        <f t="shared" si="212"/>
        <v>0</v>
      </c>
      <c r="BQ95" s="10">
        <f t="shared" si="212"/>
        <v>0</v>
      </c>
      <c r="BR95" s="10">
        <f t="shared" si="212"/>
        <v>0</v>
      </c>
      <c r="BS95" s="10">
        <f t="shared" si="212"/>
        <v>0</v>
      </c>
      <c r="BT95" s="10">
        <f t="shared" si="202"/>
        <v>0</v>
      </c>
      <c r="BU95" s="10">
        <f t="shared" si="202"/>
        <v>0</v>
      </c>
      <c r="BV95" s="17">
        <f t="shared" si="202"/>
        <v>0</v>
      </c>
      <c r="BW95" s="71">
        <f t="shared" si="172"/>
        <v>0</v>
      </c>
      <c r="BX95" s="10">
        <f t="shared" si="172"/>
        <v>0</v>
      </c>
      <c r="BY95" s="10">
        <f t="shared" si="172"/>
        <v>0</v>
      </c>
      <c r="BZ95" s="10">
        <f t="shared" si="172"/>
        <v>0</v>
      </c>
      <c r="CA95" s="10">
        <f t="shared" si="172"/>
        <v>0</v>
      </c>
      <c r="CB95" s="10">
        <f t="shared" si="203"/>
        <v>0</v>
      </c>
      <c r="CC95" s="10">
        <f t="shared" si="203"/>
        <v>0</v>
      </c>
      <c r="CD95" s="17">
        <f t="shared" si="203"/>
        <v>0</v>
      </c>
      <c r="CE95" s="19">
        <f t="shared" si="204"/>
        <v>0</v>
      </c>
      <c r="CF95" s="10">
        <f t="shared" si="204"/>
        <v>0</v>
      </c>
      <c r="CG95" s="10">
        <f t="shared" si="204"/>
        <v>0</v>
      </c>
      <c r="CH95" s="10">
        <f t="shared" si="204"/>
        <v>0</v>
      </c>
      <c r="CI95" s="10">
        <f t="shared" si="204"/>
        <v>0</v>
      </c>
      <c r="CJ95" s="10">
        <f t="shared" si="205"/>
        <v>0</v>
      </c>
      <c r="CK95" s="10">
        <f t="shared" si="205"/>
        <v>0</v>
      </c>
      <c r="CL95" s="17">
        <f t="shared" si="205"/>
        <v>0</v>
      </c>
      <c r="CM95" s="19">
        <f t="shared" si="206"/>
        <v>0</v>
      </c>
      <c r="CN95" s="10">
        <f t="shared" si="206"/>
        <v>0</v>
      </c>
      <c r="CO95" s="10">
        <f t="shared" si="206"/>
        <v>0</v>
      </c>
      <c r="CP95" s="10">
        <f t="shared" si="206"/>
        <v>0</v>
      </c>
      <c r="CQ95" s="10">
        <f t="shared" si="206"/>
        <v>0</v>
      </c>
      <c r="CR95" s="10">
        <f t="shared" si="207"/>
        <v>0</v>
      </c>
      <c r="CS95" s="10">
        <f t="shared" si="207"/>
        <v>0</v>
      </c>
      <c r="CT95" s="17">
        <f t="shared" si="207"/>
        <v>0</v>
      </c>
      <c r="CU95" s="235"/>
    </row>
    <row r="96" spans="1:99" ht="26.25" hidden="1" customHeight="1" outlineLevel="1" x14ac:dyDescent="0.4">
      <c r="A96" s="351"/>
      <c r="B96" s="351"/>
      <c r="C96" s="351"/>
      <c r="D96" s="353"/>
      <c r="E96" s="353"/>
      <c r="F96" s="353"/>
      <c r="G96" s="385"/>
      <c r="H96" s="447"/>
      <c r="I96" s="447"/>
      <c r="J96" s="449"/>
      <c r="K96" s="453"/>
      <c r="L96" s="453"/>
      <c r="M96" s="451"/>
      <c r="N96" s="38" t="s">
        <v>25</v>
      </c>
      <c r="O96" s="11">
        <f t="shared" si="194"/>
        <v>0</v>
      </c>
      <c r="P96" s="11">
        <f t="shared" si="194"/>
        <v>0</v>
      </c>
      <c r="Q96" s="11">
        <f t="shared" si="194"/>
        <v>0</v>
      </c>
      <c r="R96" s="11">
        <f t="shared" si="194"/>
        <v>0</v>
      </c>
      <c r="S96" s="11">
        <f t="shared" si="194"/>
        <v>0</v>
      </c>
      <c r="T96" s="11">
        <f t="shared" si="194"/>
        <v>0</v>
      </c>
      <c r="U96" s="48">
        <f t="shared" si="194"/>
        <v>0</v>
      </c>
      <c r="V96" s="56">
        <f t="shared" si="211"/>
        <v>0</v>
      </c>
      <c r="W96" s="18">
        <f t="shared" si="211"/>
        <v>0</v>
      </c>
      <c r="X96" s="18">
        <f t="shared" si="211"/>
        <v>0</v>
      </c>
      <c r="Y96" s="18">
        <f t="shared" si="211"/>
        <v>0</v>
      </c>
      <c r="Z96" s="18">
        <f t="shared" si="211"/>
        <v>0</v>
      </c>
      <c r="AA96" s="18">
        <f t="shared" si="208"/>
        <v>0</v>
      </c>
      <c r="AB96" s="41">
        <f t="shared" si="186"/>
        <v>0</v>
      </c>
      <c r="AC96" s="51">
        <f t="shared" si="186"/>
        <v>0</v>
      </c>
      <c r="AD96" s="11">
        <f t="shared" si="186"/>
        <v>0</v>
      </c>
      <c r="AE96" s="11">
        <f t="shared" si="186"/>
        <v>0</v>
      </c>
      <c r="AF96" s="11">
        <f t="shared" si="186"/>
        <v>0</v>
      </c>
      <c r="AG96" s="18">
        <f t="shared" si="186"/>
        <v>0</v>
      </c>
      <c r="AH96" s="50">
        <f t="shared" si="197"/>
        <v>0</v>
      </c>
      <c r="AI96" s="51">
        <f t="shared" si="197"/>
        <v>0</v>
      </c>
      <c r="AJ96" s="51">
        <f t="shared" si="197"/>
        <v>0</v>
      </c>
      <c r="AK96" s="51">
        <f t="shared" si="197"/>
        <v>0</v>
      </c>
      <c r="AL96" s="51">
        <f t="shared" si="197"/>
        <v>0</v>
      </c>
      <c r="AM96" s="18">
        <f t="shared" si="199"/>
        <v>0</v>
      </c>
      <c r="AN96" s="56">
        <f>(0)/157.5</f>
        <v>0</v>
      </c>
      <c r="AO96" s="11">
        <f>(5+1)/157.5</f>
        <v>3.8095238095238099E-2</v>
      </c>
      <c r="AP96" s="11">
        <f t="shared" si="188"/>
        <v>0</v>
      </c>
      <c r="AQ96" s="11">
        <f t="shared" si="188"/>
        <v>0</v>
      </c>
      <c r="AR96" s="11">
        <f t="shared" si="188"/>
        <v>0</v>
      </c>
      <c r="AS96" s="11">
        <f t="shared" si="188"/>
        <v>0</v>
      </c>
      <c r="AT96" s="61">
        <f t="shared" si="158"/>
        <v>0</v>
      </c>
      <c r="AU96" s="58">
        <f t="shared" si="158"/>
        <v>0</v>
      </c>
      <c r="AV96" s="58">
        <f t="shared" si="158"/>
        <v>0</v>
      </c>
      <c r="AW96" s="58">
        <f t="shared" si="158"/>
        <v>0</v>
      </c>
      <c r="AX96" s="58">
        <f t="shared" si="158"/>
        <v>0</v>
      </c>
      <c r="AY96" s="62">
        <f t="shared" si="158"/>
        <v>0</v>
      </c>
      <c r="AZ96" s="61">
        <f t="shared" si="177"/>
        <v>0</v>
      </c>
      <c r="BA96" s="58">
        <f t="shared" si="177"/>
        <v>0</v>
      </c>
      <c r="BB96" s="58">
        <f t="shared" si="177"/>
        <v>0</v>
      </c>
      <c r="BC96" s="58">
        <f t="shared" si="177"/>
        <v>0</v>
      </c>
      <c r="BD96" s="58">
        <f t="shared" si="177"/>
        <v>0</v>
      </c>
      <c r="BE96" s="58">
        <f t="shared" si="177"/>
        <v>0</v>
      </c>
      <c r="BF96" s="58">
        <f t="shared" si="177"/>
        <v>0</v>
      </c>
      <c r="BG96" s="61">
        <f t="shared" si="200"/>
        <v>0</v>
      </c>
      <c r="BH96" s="58">
        <f t="shared" si="200"/>
        <v>0</v>
      </c>
      <c r="BI96" s="58">
        <f t="shared" si="200"/>
        <v>0</v>
      </c>
      <c r="BJ96" s="58">
        <f t="shared" si="200"/>
        <v>0</v>
      </c>
      <c r="BK96" s="58">
        <f t="shared" si="200"/>
        <v>0</v>
      </c>
      <c r="BL96" s="58">
        <f t="shared" si="201"/>
        <v>0</v>
      </c>
      <c r="BM96" s="58">
        <f t="shared" si="201"/>
        <v>0</v>
      </c>
      <c r="BN96" s="62">
        <f t="shared" si="201"/>
        <v>0</v>
      </c>
      <c r="BO96" s="61">
        <f t="shared" si="212"/>
        <v>0</v>
      </c>
      <c r="BP96" s="58">
        <f t="shared" si="212"/>
        <v>0</v>
      </c>
      <c r="BQ96" s="58">
        <f t="shared" si="212"/>
        <v>0</v>
      </c>
      <c r="BR96" s="58">
        <f t="shared" si="212"/>
        <v>0</v>
      </c>
      <c r="BS96" s="58">
        <f t="shared" si="212"/>
        <v>0</v>
      </c>
      <c r="BT96" s="58">
        <f t="shared" si="202"/>
        <v>0</v>
      </c>
      <c r="BU96" s="58">
        <f t="shared" si="202"/>
        <v>0</v>
      </c>
      <c r="BV96" s="62">
        <f t="shared" si="202"/>
        <v>0</v>
      </c>
      <c r="BW96" s="61">
        <f t="shared" si="172"/>
        <v>0</v>
      </c>
      <c r="BX96" s="58">
        <f t="shared" si="172"/>
        <v>0</v>
      </c>
      <c r="BY96" s="58">
        <f t="shared" si="172"/>
        <v>0</v>
      </c>
      <c r="BZ96" s="58">
        <f t="shared" si="172"/>
        <v>0</v>
      </c>
      <c r="CA96" s="58">
        <f t="shared" si="172"/>
        <v>0</v>
      </c>
      <c r="CB96" s="58">
        <f t="shared" si="203"/>
        <v>0</v>
      </c>
      <c r="CC96" s="58">
        <f t="shared" si="203"/>
        <v>0</v>
      </c>
      <c r="CD96" s="62">
        <f t="shared" si="203"/>
        <v>0</v>
      </c>
      <c r="CE96" s="61">
        <f t="shared" si="204"/>
        <v>0</v>
      </c>
      <c r="CF96" s="58">
        <f t="shared" si="204"/>
        <v>0</v>
      </c>
      <c r="CG96" s="58">
        <f t="shared" si="204"/>
        <v>0</v>
      </c>
      <c r="CH96" s="58">
        <f t="shared" si="204"/>
        <v>0</v>
      </c>
      <c r="CI96" s="58">
        <f t="shared" si="204"/>
        <v>0</v>
      </c>
      <c r="CJ96" s="58">
        <f t="shared" si="205"/>
        <v>0</v>
      </c>
      <c r="CK96" s="58">
        <f t="shared" si="205"/>
        <v>0</v>
      </c>
      <c r="CL96" s="62">
        <f t="shared" si="205"/>
        <v>0</v>
      </c>
      <c r="CM96" s="61">
        <f t="shared" si="206"/>
        <v>0</v>
      </c>
      <c r="CN96" s="58">
        <f t="shared" si="206"/>
        <v>0</v>
      </c>
      <c r="CO96" s="58">
        <f t="shared" si="206"/>
        <v>0</v>
      </c>
      <c r="CP96" s="58">
        <f t="shared" si="206"/>
        <v>0</v>
      </c>
      <c r="CQ96" s="58">
        <f t="shared" si="206"/>
        <v>0</v>
      </c>
      <c r="CR96" s="58">
        <f t="shared" si="207"/>
        <v>0</v>
      </c>
      <c r="CS96" s="58">
        <f t="shared" si="207"/>
        <v>0</v>
      </c>
      <c r="CT96" s="62">
        <f t="shared" si="207"/>
        <v>0</v>
      </c>
      <c r="CU96" s="235"/>
    </row>
    <row r="97" spans="1:99" ht="26.25" hidden="1" customHeight="1" outlineLevel="1" collapsed="1" x14ac:dyDescent="0.4">
      <c r="A97" s="350">
        <v>46</v>
      </c>
      <c r="B97" s="350" t="s">
        <v>47</v>
      </c>
      <c r="C97" s="350" t="s">
        <v>343</v>
      </c>
      <c r="D97" s="352" t="s">
        <v>807</v>
      </c>
      <c r="E97" s="352" t="s">
        <v>860</v>
      </c>
      <c r="F97" s="352" t="s">
        <v>870</v>
      </c>
      <c r="G97" s="385" t="s">
        <v>869</v>
      </c>
      <c r="H97" s="446">
        <f t="shared" ref="H97:H114" si="220">SUM(AZ97:BF97)</f>
        <v>0</v>
      </c>
      <c r="I97" s="446">
        <f t="shared" ref="I97:I114" si="221">SUM(AZ98:BF98)</f>
        <v>0</v>
      </c>
      <c r="J97" s="448"/>
      <c r="K97" s="452"/>
      <c r="L97" s="452"/>
      <c r="M97" s="450"/>
      <c r="N97" s="47" t="s">
        <v>24</v>
      </c>
      <c r="O97" s="10">
        <f t="shared" si="194"/>
        <v>0</v>
      </c>
      <c r="P97" s="10">
        <f t="shared" si="194"/>
        <v>0</v>
      </c>
      <c r="Q97" s="10">
        <f t="shared" si="194"/>
        <v>0</v>
      </c>
      <c r="R97" s="10">
        <f t="shared" si="194"/>
        <v>0</v>
      </c>
      <c r="S97" s="10">
        <f t="shared" si="194"/>
        <v>0</v>
      </c>
      <c r="T97" s="10">
        <f t="shared" si="194"/>
        <v>0</v>
      </c>
      <c r="U97" s="79">
        <f t="shared" si="194"/>
        <v>0</v>
      </c>
      <c r="V97" s="19">
        <f t="shared" si="211"/>
        <v>0</v>
      </c>
      <c r="W97" s="10">
        <f t="shared" si="211"/>
        <v>0</v>
      </c>
      <c r="X97" s="10">
        <f t="shared" si="211"/>
        <v>0</v>
      </c>
      <c r="Y97" s="10">
        <f t="shared" si="211"/>
        <v>0</v>
      </c>
      <c r="Z97" s="10">
        <f t="shared" si="211"/>
        <v>0</v>
      </c>
      <c r="AA97" s="10">
        <f t="shared" si="208"/>
        <v>0</v>
      </c>
      <c r="AB97" s="19">
        <f t="shared" si="186"/>
        <v>0</v>
      </c>
      <c r="AC97" s="10">
        <f t="shared" si="186"/>
        <v>0</v>
      </c>
      <c r="AD97" s="210">
        <f t="shared" si="186"/>
        <v>0</v>
      </c>
      <c r="AE97" s="10">
        <f t="shared" si="186"/>
        <v>0</v>
      </c>
      <c r="AF97" s="10">
        <f t="shared" si="186"/>
        <v>0</v>
      </c>
      <c r="AG97" s="10">
        <f t="shared" si="186"/>
        <v>0</v>
      </c>
      <c r="AH97" s="19">
        <f t="shared" si="197"/>
        <v>0</v>
      </c>
      <c r="AI97" s="10">
        <f t="shared" si="197"/>
        <v>0</v>
      </c>
      <c r="AJ97" s="10">
        <f t="shared" si="197"/>
        <v>0</v>
      </c>
      <c r="AK97" s="10">
        <f t="shared" si="197"/>
        <v>0</v>
      </c>
      <c r="AL97" s="10">
        <f t="shared" si="197"/>
        <v>0</v>
      </c>
      <c r="AM97" s="10">
        <f t="shared" si="199"/>
        <v>0</v>
      </c>
      <c r="AN97" s="71">
        <f t="shared" ref="AN97:AS100" si="222">(0)/157.5</f>
        <v>0</v>
      </c>
      <c r="AO97" s="10">
        <f>(4)/157.5</f>
        <v>2.5396825396825397E-2</v>
      </c>
      <c r="AP97" s="10">
        <f t="shared" si="188"/>
        <v>0</v>
      </c>
      <c r="AQ97" s="10">
        <f>(4)/157.5</f>
        <v>2.5396825396825397E-2</v>
      </c>
      <c r="AR97" s="10">
        <f t="shared" si="188"/>
        <v>0</v>
      </c>
      <c r="AS97" s="10">
        <f t="shared" si="188"/>
        <v>0</v>
      </c>
      <c r="AT97" s="71">
        <f>(4)/165</f>
        <v>2.4242424242424242E-2</v>
      </c>
      <c r="AU97" s="10">
        <f>(18)/165</f>
        <v>0.10909090909090909</v>
      </c>
      <c r="AV97" s="10">
        <f t="shared" si="158"/>
        <v>0</v>
      </c>
      <c r="AW97" s="10">
        <f>(20)/165</f>
        <v>0.12121212121212122</v>
      </c>
      <c r="AX97" s="10">
        <f t="shared" si="158"/>
        <v>0</v>
      </c>
      <c r="AY97" s="17">
        <f t="shared" si="158"/>
        <v>0</v>
      </c>
      <c r="AZ97" s="19">
        <f t="shared" si="177"/>
        <v>0</v>
      </c>
      <c r="BA97" s="10">
        <f t="shared" si="177"/>
        <v>0</v>
      </c>
      <c r="BB97" s="10">
        <f t="shared" si="177"/>
        <v>0</v>
      </c>
      <c r="BC97" s="10">
        <f t="shared" si="177"/>
        <v>0</v>
      </c>
      <c r="BD97" s="10">
        <f t="shared" si="177"/>
        <v>0</v>
      </c>
      <c r="BE97" s="10">
        <f t="shared" si="177"/>
        <v>0</v>
      </c>
      <c r="BF97" s="10">
        <f t="shared" si="177"/>
        <v>0</v>
      </c>
      <c r="BG97" s="19">
        <f t="shared" ref="BG97:BK112" si="223">0/142.5</f>
        <v>0</v>
      </c>
      <c r="BH97" s="10">
        <f t="shared" si="223"/>
        <v>0</v>
      </c>
      <c r="BI97" s="10">
        <f t="shared" si="223"/>
        <v>0</v>
      </c>
      <c r="BJ97" s="10">
        <f t="shared" si="223"/>
        <v>0</v>
      </c>
      <c r="BK97" s="10">
        <f t="shared" si="223"/>
        <v>0</v>
      </c>
      <c r="BL97" s="10">
        <f t="shared" si="201"/>
        <v>0</v>
      </c>
      <c r="BM97" s="10">
        <f t="shared" si="201"/>
        <v>0</v>
      </c>
      <c r="BN97" s="17">
        <f t="shared" si="201"/>
        <v>0</v>
      </c>
      <c r="BO97" s="19">
        <f t="shared" si="212"/>
        <v>0</v>
      </c>
      <c r="BP97" s="10">
        <f t="shared" si="212"/>
        <v>0</v>
      </c>
      <c r="BQ97" s="10">
        <f t="shared" si="212"/>
        <v>0</v>
      </c>
      <c r="BR97" s="10">
        <f t="shared" si="212"/>
        <v>0</v>
      </c>
      <c r="BS97" s="10">
        <f t="shared" si="212"/>
        <v>0</v>
      </c>
      <c r="BT97" s="10">
        <f t="shared" si="202"/>
        <v>0</v>
      </c>
      <c r="BU97" s="10">
        <f t="shared" si="202"/>
        <v>0</v>
      </c>
      <c r="BV97" s="17">
        <f t="shared" si="202"/>
        <v>0</v>
      </c>
      <c r="BW97" s="71">
        <f t="shared" si="172"/>
        <v>0</v>
      </c>
      <c r="BX97" s="10">
        <f t="shared" si="172"/>
        <v>0</v>
      </c>
      <c r="BY97" s="10">
        <f t="shared" si="172"/>
        <v>0</v>
      </c>
      <c r="BZ97" s="10">
        <f t="shared" si="172"/>
        <v>0</v>
      </c>
      <c r="CA97" s="10">
        <f t="shared" si="172"/>
        <v>0</v>
      </c>
      <c r="CB97" s="10">
        <f t="shared" si="203"/>
        <v>0</v>
      </c>
      <c r="CC97" s="10">
        <f t="shared" si="203"/>
        <v>0</v>
      </c>
      <c r="CD97" s="17">
        <f t="shared" si="203"/>
        <v>0</v>
      </c>
      <c r="CE97" s="19">
        <f t="shared" ref="CE97:CI112" si="224">0/157.5</f>
        <v>0</v>
      </c>
      <c r="CF97" s="10">
        <f t="shared" si="224"/>
        <v>0</v>
      </c>
      <c r="CG97" s="10">
        <f t="shared" si="224"/>
        <v>0</v>
      </c>
      <c r="CH97" s="10">
        <f t="shared" si="224"/>
        <v>0</v>
      </c>
      <c r="CI97" s="10">
        <f t="shared" si="224"/>
        <v>0</v>
      </c>
      <c r="CJ97" s="10">
        <f t="shared" si="205"/>
        <v>0</v>
      </c>
      <c r="CK97" s="10">
        <f t="shared" si="205"/>
        <v>0</v>
      </c>
      <c r="CL97" s="17">
        <f t="shared" si="205"/>
        <v>0</v>
      </c>
      <c r="CM97" s="19">
        <f t="shared" ref="CM97:CQ112" si="225">0/142.5</f>
        <v>0</v>
      </c>
      <c r="CN97" s="10">
        <f t="shared" si="225"/>
        <v>0</v>
      </c>
      <c r="CO97" s="10">
        <f t="shared" si="225"/>
        <v>0</v>
      </c>
      <c r="CP97" s="10">
        <f t="shared" si="225"/>
        <v>0</v>
      </c>
      <c r="CQ97" s="10">
        <f t="shared" si="225"/>
        <v>0</v>
      </c>
      <c r="CR97" s="10">
        <f t="shared" si="207"/>
        <v>0</v>
      </c>
      <c r="CS97" s="10">
        <f t="shared" si="207"/>
        <v>0</v>
      </c>
      <c r="CT97" s="17">
        <f t="shared" si="207"/>
        <v>0</v>
      </c>
      <c r="CU97" s="235"/>
    </row>
    <row r="98" spans="1:99" ht="26.25" hidden="1" customHeight="1" outlineLevel="1" x14ac:dyDescent="0.4">
      <c r="A98" s="351"/>
      <c r="B98" s="351"/>
      <c r="C98" s="351"/>
      <c r="D98" s="353"/>
      <c r="E98" s="353"/>
      <c r="F98" s="353"/>
      <c r="G98" s="385"/>
      <c r="H98" s="447"/>
      <c r="I98" s="447"/>
      <c r="J98" s="449"/>
      <c r="K98" s="453"/>
      <c r="L98" s="453"/>
      <c r="M98" s="451"/>
      <c r="N98" s="38" t="s">
        <v>25</v>
      </c>
      <c r="O98" s="11">
        <f t="shared" si="194"/>
        <v>0</v>
      </c>
      <c r="P98" s="11">
        <f t="shared" si="194"/>
        <v>0</v>
      </c>
      <c r="Q98" s="11">
        <f t="shared" si="194"/>
        <v>0</v>
      </c>
      <c r="R98" s="11">
        <f t="shared" si="194"/>
        <v>0</v>
      </c>
      <c r="S98" s="11">
        <f t="shared" si="194"/>
        <v>0</v>
      </c>
      <c r="T98" s="11">
        <f t="shared" si="194"/>
        <v>0</v>
      </c>
      <c r="U98" s="48">
        <f t="shared" si="194"/>
        <v>0</v>
      </c>
      <c r="V98" s="56">
        <f t="shared" si="211"/>
        <v>0</v>
      </c>
      <c r="W98" s="18">
        <f t="shared" si="211"/>
        <v>0</v>
      </c>
      <c r="X98" s="18">
        <f t="shared" si="211"/>
        <v>0</v>
      </c>
      <c r="Y98" s="18">
        <f t="shared" si="211"/>
        <v>0</v>
      </c>
      <c r="Z98" s="18">
        <f t="shared" si="211"/>
        <v>0</v>
      </c>
      <c r="AA98" s="18">
        <f t="shared" si="208"/>
        <v>0</v>
      </c>
      <c r="AB98" s="41">
        <f t="shared" si="186"/>
        <v>0</v>
      </c>
      <c r="AC98" s="51">
        <f t="shared" si="186"/>
        <v>0</v>
      </c>
      <c r="AD98" s="11">
        <f t="shared" si="186"/>
        <v>0</v>
      </c>
      <c r="AE98" s="11">
        <f t="shared" si="186"/>
        <v>0</v>
      </c>
      <c r="AF98" s="11">
        <f t="shared" si="186"/>
        <v>0</v>
      </c>
      <c r="AG98" s="18">
        <f t="shared" si="186"/>
        <v>0</v>
      </c>
      <c r="AH98" s="50">
        <f t="shared" si="197"/>
        <v>0</v>
      </c>
      <c r="AI98" s="51">
        <f t="shared" si="197"/>
        <v>0</v>
      </c>
      <c r="AJ98" s="51">
        <f t="shared" si="197"/>
        <v>0</v>
      </c>
      <c r="AK98" s="51">
        <f t="shared" si="197"/>
        <v>0</v>
      </c>
      <c r="AL98" s="51">
        <f t="shared" si="197"/>
        <v>0</v>
      </c>
      <c r="AM98" s="18">
        <f t="shared" si="199"/>
        <v>0</v>
      </c>
      <c r="AN98" s="56">
        <f t="shared" si="222"/>
        <v>0</v>
      </c>
      <c r="AO98" s="11">
        <f>(3.75)/157.5</f>
        <v>2.3809523809523808E-2</v>
      </c>
      <c r="AP98" s="11">
        <f t="shared" si="222"/>
        <v>0</v>
      </c>
      <c r="AQ98" s="11">
        <f>(4.25)/157.5</f>
        <v>2.6984126984126985E-2</v>
      </c>
      <c r="AR98" s="11">
        <f t="shared" si="222"/>
        <v>0</v>
      </c>
      <c r="AS98" s="11">
        <f t="shared" si="222"/>
        <v>0</v>
      </c>
      <c r="AT98" s="61">
        <f>(1.5+2)/165</f>
        <v>2.1212121212121213E-2</v>
      </c>
      <c r="AU98" s="58">
        <f>(7.5+8.75+1)/165</f>
        <v>0.10454545454545454</v>
      </c>
      <c r="AV98" s="58">
        <f t="shared" ref="AU98:AY113" si="226">(0)/165</f>
        <v>0</v>
      </c>
      <c r="AW98" s="58">
        <f>(6.5+13.5)/165</f>
        <v>0.12121212121212122</v>
      </c>
      <c r="AX98" s="58">
        <f t="shared" si="226"/>
        <v>0</v>
      </c>
      <c r="AY98" s="62">
        <f t="shared" si="226"/>
        <v>0</v>
      </c>
      <c r="AZ98" s="61">
        <f t="shared" si="177"/>
        <v>0</v>
      </c>
      <c r="BA98" s="58">
        <f t="shared" si="177"/>
        <v>0</v>
      </c>
      <c r="BB98" s="58">
        <f t="shared" si="177"/>
        <v>0</v>
      </c>
      <c r="BC98" s="58">
        <f t="shared" si="177"/>
        <v>0</v>
      </c>
      <c r="BD98" s="58">
        <f t="shared" si="177"/>
        <v>0</v>
      </c>
      <c r="BE98" s="58">
        <f t="shared" si="177"/>
        <v>0</v>
      </c>
      <c r="BF98" s="58">
        <f t="shared" si="177"/>
        <v>0</v>
      </c>
      <c r="BG98" s="61">
        <f t="shared" si="223"/>
        <v>0</v>
      </c>
      <c r="BH98" s="58">
        <f t="shared" si="223"/>
        <v>0</v>
      </c>
      <c r="BI98" s="58">
        <f t="shared" si="223"/>
        <v>0</v>
      </c>
      <c r="BJ98" s="58">
        <f t="shared" si="223"/>
        <v>0</v>
      </c>
      <c r="BK98" s="58">
        <f t="shared" si="223"/>
        <v>0</v>
      </c>
      <c r="BL98" s="58">
        <f t="shared" si="201"/>
        <v>0</v>
      </c>
      <c r="BM98" s="58">
        <f t="shared" si="201"/>
        <v>0</v>
      </c>
      <c r="BN98" s="62">
        <f t="shared" si="201"/>
        <v>0</v>
      </c>
      <c r="BO98" s="61">
        <f t="shared" si="212"/>
        <v>0</v>
      </c>
      <c r="BP98" s="58">
        <f t="shared" si="212"/>
        <v>0</v>
      </c>
      <c r="BQ98" s="58">
        <f t="shared" si="212"/>
        <v>0</v>
      </c>
      <c r="BR98" s="58">
        <f t="shared" si="212"/>
        <v>0</v>
      </c>
      <c r="BS98" s="58">
        <f t="shared" si="212"/>
        <v>0</v>
      </c>
      <c r="BT98" s="58">
        <f t="shared" si="202"/>
        <v>0</v>
      </c>
      <c r="BU98" s="58">
        <f t="shared" si="202"/>
        <v>0</v>
      </c>
      <c r="BV98" s="62">
        <f t="shared" si="202"/>
        <v>0</v>
      </c>
      <c r="BW98" s="61">
        <f t="shared" si="172"/>
        <v>0</v>
      </c>
      <c r="BX98" s="58">
        <f t="shared" si="172"/>
        <v>0</v>
      </c>
      <c r="BY98" s="58">
        <f t="shared" si="172"/>
        <v>0</v>
      </c>
      <c r="BZ98" s="58">
        <f t="shared" si="172"/>
        <v>0</v>
      </c>
      <c r="CA98" s="58">
        <f t="shared" si="172"/>
        <v>0</v>
      </c>
      <c r="CB98" s="58">
        <f t="shared" si="203"/>
        <v>0</v>
      </c>
      <c r="CC98" s="58">
        <f t="shared" si="203"/>
        <v>0</v>
      </c>
      <c r="CD98" s="62">
        <f t="shared" si="203"/>
        <v>0</v>
      </c>
      <c r="CE98" s="61">
        <f t="shared" si="224"/>
        <v>0</v>
      </c>
      <c r="CF98" s="58">
        <f t="shared" si="224"/>
        <v>0</v>
      </c>
      <c r="CG98" s="58">
        <f t="shared" si="224"/>
        <v>0</v>
      </c>
      <c r="CH98" s="58">
        <f t="shared" si="224"/>
        <v>0</v>
      </c>
      <c r="CI98" s="58">
        <f t="shared" si="224"/>
        <v>0</v>
      </c>
      <c r="CJ98" s="58">
        <f t="shared" si="205"/>
        <v>0</v>
      </c>
      <c r="CK98" s="58">
        <f t="shared" si="205"/>
        <v>0</v>
      </c>
      <c r="CL98" s="62">
        <f t="shared" si="205"/>
        <v>0</v>
      </c>
      <c r="CM98" s="61">
        <f t="shared" si="225"/>
        <v>0</v>
      </c>
      <c r="CN98" s="58">
        <f t="shared" si="225"/>
        <v>0</v>
      </c>
      <c r="CO98" s="58">
        <f t="shared" si="225"/>
        <v>0</v>
      </c>
      <c r="CP98" s="58">
        <f t="shared" si="225"/>
        <v>0</v>
      </c>
      <c r="CQ98" s="58">
        <f t="shared" si="225"/>
        <v>0</v>
      </c>
      <c r="CR98" s="58">
        <f t="shared" si="207"/>
        <v>0</v>
      </c>
      <c r="CS98" s="58">
        <f t="shared" si="207"/>
        <v>0</v>
      </c>
      <c r="CT98" s="62">
        <f t="shared" si="207"/>
        <v>0</v>
      </c>
      <c r="CU98" s="235"/>
    </row>
    <row r="99" spans="1:99" ht="26.25" customHeight="1" collapsed="1" x14ac:dyDescent="0.4">
      <c r="A99" s="350">
        <v>47</v>
      </c>
      <c r="B99" s="350" t="s">
        <v>47</v>
      </c>
      <c r="C99" s="350" t="s">
        <v>14</v>
      </c>
      <c r="D99" s="352" t="s">
        <v>476</v>
      </c>
      <c r="E99" s="352" t="s">
        <v>866</v>
      </c>
      <c r="F99" s="352"/>
      <c r="G99" s="385" t="s">
        <v>871</v>
      </c>
      <c r="H99" s="446">
        <f t="shared" ref="H99:H114" si="227">SUM(AZ99:BF99)</f>
        <v>0</v>
      </c>
      <c r="I99" s="446">
        <f t="shared" ref="I99:I114" si="228">SUM(AZ100:BF100)</f>
        <v>5.0000000000000001E-3</v>
      </c>
      <c r="J99" s="448"/>
      <c r="K99" s="452"/>
      <c r="L99" s="452"/>
      <c r="M99" s="450"/>
      <c r="N99" s="47" t="s">
        <v>24</v>
      </c>
      <c r="O99" s="10">
        <f t="shared" si="194"/>
        <v>0</v>
      </c>
      <c r="P99" s="10">
        <f t="shared" si="194"/>
        <v>0</v>
      </c>
      <c r="Q99" s="10">
        <f t="shared" si="194"/>
        <v>0</v>
      </c>
      <c r="R99" s="10">
        <f t="shared" si="194"/>
        <v>0</v>
      </c>
      <c r="S99" s="10">
        <f t="shared" si="194"/>
        <v>0</v>
      </c>
      <c r="T99" s="10">
        <f t="shared" si="194"/>
        <v>0</v>
      </c>
      <c r="U99" s="79">
        <f t="shared" si="194"/>
        <v>0</v>
      </c>
      <c r="V99" s="19">
        <f t="shared" si="211"/>
        <v>0</v>
      </c>
      <c r="W99" s="10">
        <f t="shared" si="211"/>
        <v>0</v>
      </c>
      <c r="X99" s="10">
        <f t="shared" si="211"/>
        <v>0</v>
      </c>
      <c r="Y99" s="10">
        <f t="shared" si="211"/>
        <v>0</v>
      </c>
      <c r="Z99" s="10">
        <f t="shared" si="211"/>
        <v>0</v>
      </c>
      <c r="AA99" s="10">
        <f t="shared" si="208"/>
        <v>0</v>
      </c>
      <c r="AB99" s="19">
        <f t="shared" si="186"/>
        <v>0</v>
      </c>
      <c r="AC99" s="10">
        <f t="shared" si="186"/>
        <v>0</v>
      </c>
      <c r="AD99" s="210">
        <f t="shared" si="186"/>
        <v>0</v>
      </c>
      <c r="AE99" s="10">
        <f t="shared" si="186"/>
        <v>0</v>
      </c>
      <c r="AF99" s="10">
        <f t="shared" si="186"/>
        <v>0</v>
      </c>
      <c r="AG99" s="10">
        <f t="shared" si="186"/>
        <v>0</v>
      </c>
      <c r="AH99" s="19">
        <f t="shared" si="197"/>
        <v>0</v>
      </c>
      <c r="AI99" s="10">
        <f t="shared" si="197"/>
        <v>0</v>
      </c>
      <c r="AJ99" s="10">
        <f t="shared" si="197"/>
        <v>0</v>
      </c>
      <c r="AK99" s="10">
        <f t="shared" si="197"/>
        <v>0</v>
      </c>
      <c r="AL99" s="10">
        <f t="shared" si="197"/>
        <v>0</v>
      </c>
      <c r="AM99" s="10">
        <f t="shared" si="199"/>
        <v>0</v>
      </c>
      <c r="AN99" s="71">
        <f t="shared" si="222"/>
        <v>0</v>
      </c>
      <c r="AO99" s="10">
        <f t="shared" si="222"/>
        <v>0</v>
      </c>
      <c r="AP99" s="10">
        <f t="shared" si="222"/>
        <v>0</v>
      </c>
      <c r="AQ99" s="10">
        <f t="shared" si="222"/>
        <v>0</v>
      </c>
      <c r="AR99" s="10">
        <f t="shared" si="222"/>
        <v>0</v>
      </c>
      <c r="AS99" s="10">
        <f t="shared" si="222"/>
        <v>0</v>
      </c>
      <c r="AT99" s="189">
        <f>(11)/165</f>
        <v>6.6666666666666666E-2</v>
      </c>
      <c r="AU99" s="10">
        <f>(35)/165</f>
        <v>0.21212121212121213</v>
      </c>
      <c r="AV99" s="10">
        <f t="shared" si="226"/>
        <v>0</v>
      </c>
      <c r="AW99" s="10">
        <f>(15)/165</f>
        <v>9.0909090909090912E-2</v>
      </c>
      <c r="AX99" s="10">
        <f>(18)/165</f>
        <v>0.10909090909090909</v>
      </c>
      <c r="AY99" s="17">
        <f t="shared" si="226"/>
        <v>0</v>
      </c>
      <c r="AZ99" s="19">
        <f t="shared" si="177"/>
        <v>0</v>
      </c>
      <c r="BA99" s="10">
        <f t="shared" si="177"/>
        <v>0</v>
      </c>
      <c r="BB99" s="10">
        <f t="shared" si="177"/>
        <v>0</v>
      </c>
      <c r="BC99" s="10">
        <f t="shared" si="177"/>
        <v>0</v>
      </c>
      <c r="BD99" s="10">
        <f t="shared" si="177"/>
        <v>0</v>
      </c>
      <c r="BE99" s="10">
        <f t="shared" si="177"/>
        <v>0</v>
      </c>
      <c r="BF99" s="10">
        <f t="shared" si="177"/>
        <v>0</v>
      </c>
      <c r="BG99" s="19">
        <f t="shared" si="223"/>
        <v>0</v>
      </c>
      <c r="BH99" s="10">
        <f t="shared" si="223"/>
        <v>0</v>
      </c>
      <c r="BI99" s="10">
        <f t="shared" si="223"/>
        <v>0</v>
      </c>
      <c r="BJ99" s="10">
        <f t="shared" si="223"/>
        <v>0</v>
      </c>
      <c r="BK99" s="10">
        <f t="shared" si="223"/>
        <v>0</v>
      </c>
      <c r="BL99" s="10">
        <f t="shared" si="201"/>
        <v>0</v>
      </c>
      <c r="BM99" s="10">
        <f t="shared" si="201"/>
        <v>0</v>
      </c>
      <c r="BN99" s="17">
        <f t="shared" si="201"/>
        <v>0</v>
      </c>
      <c r="BO99" s="19">
        <f t="shared" ref="BO99:BS114" si="229">0/157.5</f>
        <v>0</v>
      </c>
      <c r="BP99" s="10">
        <f t="shared" si="229"/>
        <v>0</v>
      </c>
      <c r="BQ99" s="10">
        <f t="shared" si="229"/>
        <v>0</v>
      </c>
      <c r="BR99" s="10">
        <f t="shared" si="229"/>
        <v>0</v>
      </c>
      <c r="BS99" s="10">
        <f t="shared" si="229"/>
        <v>0</v>
      </c>
      <c r="BT99" s="10">
        <f t="shared" si="202"/>
        <v>0</v>
      </c>
      <c r="BU99" s="10">
        <f t="shared" si="202"/>
        <v>0</v>
      </c>
      <c r="BV99" s="17">
        <f t="shared" si="202"/>
        <v>0</v>
      </c>
      <c r="BW99" s="71">
        <f t="shared" si="172"/>
        <v>0</v>
      </c>
      <c r="BX99" s="10">
        <f t="shared" si="172"/>
        <v>0</v>
      </c>
      <c r="BY99" s="10">
        <f t="shared" si="172"/>
        <v>0</v>
      </c>
      <c r="BZ99" s="10">
        <f t="shared" si="172"/>
        <v>0</v>
      </c>
      <c r="CA99" s="10">
        <f t="shared" si="172"/>
        <v>0</v>
      </c>
      <c r="CB99" s="10">
        <f t="shared" si="203"/>
        <v>0</v>
      </c>
      <c r="CC99" s="10">
        <f t="shared" si="203"/>
        <v>0</v>
      </c>
      <c r="CD99" s="17">
        <f t="shared" si="203"/>
        <v>0</v>
      </c>
      <c r="CE99" s="19">
        <f t="shared" si="224"/>
        <v>0</v>
      </c>
      <c r="CF99" s="10">
        <f t="shared" si="224"/>
        <v>0</v>
      </c>
      <c r="CG99" s="10">
        <f t="shared" si="224"/>
        <v>0</v>
      </c>
      <c r="CH99" s="10">
        <f t="shared" si="224"/>
        <v>0</v>
      </c>
      <c r="CI99" s="10">
        <f t="shared" si="224"/>
        <v>0</v>
      </c>
      <c r="CJ99" s="10">
        <f t="shared" si="205"/>
        <v>0</v>
      </c>
      <c r="CK99" s="10">
        <f t="shared" si="205"/>
        <v>0</v>
      </c>
      <c r="CL99" s="17">
        <f t="shared" si="205"/>
        <v>0</v>
      </c>
      <c r="CM99" s="19">
        <f t="shared" si="225"/>
        <v>0</v>
      </c>
      <c r="CN99" s="10">
        <f t="shared" si="225"/>
        <v>0</v>
      </c>
      <c r="CO99" s="10">
        <f t="shared" si="225"/>
        <v>0</v>
      </c>
      <c r="CP99" s="10">
        <f t="shared" si="225"/>
        <v>0</v>
      </c>
      <c r="CQ99" s="10">
        <f t="shared" si="225"/>
        <v>0</v>
      </c>
      <c r="CR99" s="10">
        <f t="shared" si="207"/>
        <v>0</v>
      </c>
      <c r="CS99" s="10">
        <f t="shared" si="207"/>
        <v>0</v>
      </c>
      <c r="CT99" s="17">
        <f t="shared" si="207"/>
        <v>0</v>
      </c>
      <c r="CU99" s="235"/>
    </row>
    <row r="100" spans="1:99" ht="26.25" customHeight="1" x14ac:dyDescent="0.4">
      <c r="A100" s="351"/>
      <c r="B100" s="351"/>
      <c r="C100" s="351"/>
      <c r="D100" s="353"/>
      <c r="E100" s="353"/>
      <c r="F100" s="353"/>
      <c r="G100" s="385"/>
      <c r="H100" s="447"/>
      <c r="I100" s="447"/>
      <c r="J100" s="449"/>
      <c r="K100" s="453"/>
      <c r="L100" s="453"/>
      <c r="M100" s="451"/>
      <c r="N100" s="38" t="s">
        <v>25</v>
      </c>
      <c r="O100" s="11">
        <f t="shared" si="194"/>
        <v>0</v>
      </c>
      <c r="P100" s="11">
        <f t="shared" si="194"/>
        <v>0</v>
      </c>
      <c r="Q100" s="11">
        <f t="shared" si="194"/>
        <v>0</v>
      </c>
      <c r="R100" s="11">
        <f t="shared" si="194"/>
        <v>0</v>
      </c>
      <c r="S100" s="11">
        <f t="shared" si="194"/>
        <v>0</v>
      </c>
      <c r="T100" s="11">
        <f t="shared" si="194"/>
        <v>0</v>
      </c>
      <c r="U100" s="48">
        <f t="shared" si="194"/>
        <v>0</v>
      </c>
      <c r="V100" s="56">
        <f t="shared" si="211"/>
        <v>0</v>
      </c>
      <c r="W100" s="18">
        <f t="shared" si="211"/>
        <v>0</v>
      </c>
      <c r="X100" s="18">
        <f t="shared" si="211"/>
        <v>0</v>
      </c>
      <c r="Y100" s="18">
        <f t="shared" si="211"/>
        <v>0</v>
      </c>
      <c r="Z100" s="18">
        <f t="shared" si="211"/>
        <v>0</v>
      </c>
      <c r="AA100" s="18">
        <f t="shared" si="208"/>
        <v>0</v>
      </c>
      <c r="AB100" s="41">
        <f t="shared" si="186"/>
        <v>0</v>
      </c>
      <c r="AC100" s="51">
        <f t="shared" si="186"/>
        <v>0</v>
      </c>
      <c r="AD100" s="11">
        <f t="shared" si="186"/>
        <v>0</v>
      </c>
      <c r="AE100" s="11">
        <f t="shared" si="186"/>
        <v>0</v>
      </c>
      <c r="AF100" s="11">
        <f t="shared" si="186"/>
        <v>0</v>
      </c>
      <c r="AG100" s="18">
        <f t="shared" si="186"/>
        <v>0</v>
      </c>
      <c r="AH100" s="50">
        <f t="shared" si="197"/>
        <v>0</v>
      </c>
      <c r="AI100" s="51">
        <f t="shared" si="197"/>
        <v>0</v>
      </c>
      <c r="AJ100" s="51">
        <f t="shared" si="197"/>
        <v>0</v>
      </c>
      <c r="AK100" s="51">
        <f t="shared" si="197"/>
        <v>0</v>
      </c>
      <c r="AL100" s="51">
        <f t="shared" si="197"/>
        <v>0</v>
      </c>
      <c r="AM100" s="18">
        <f t="shared" si="199"/>
        <v>0</v>
      </c>
      <c r="AN100" s="56">
        <f t="shared" si="222"/>
        <v>0</v>
      </c>
      <c r="AO100" s="11">
        <f t="shared" si="222"/>
        <v>0</v>
      </c>
      <c r="AP100" s="11">
        <f t="shared" si="222"/>
        <v>0</v>
      </c>
      <c r="AQ100" s="11">
        <f t="shared" si="222"/>
        <v>0</v>
      </c>
      <c r="AR100" s="11">
        <f t="shared" si="222"/>
        <v>0</v>
      </c>
      <c r="AS100" s="11">
        <f t="shared" si="222"/>
        <v>0</v>
      </c>
      <c r="AT100" s="61">
        <f>(1+4.25+5.5)/165</f>
        <v>6.5151515151515155E-2</v>
      </c>
      <c r="AU100" s="58">
        <f>(7.5+12+15.25)/165</f>
        <v>0.2106060606060606</v>
      </c>
      <c r="AV100" s="58">
        <f t="shared" si="226"/>
        <v>0</v>
      </c>
      <c r="AW100" s="58">
        <f>(0+14.5)/165</f>
        <v>8.7878787878787876E-2</v>
      </c>
      <c r="AX100" s="58">
        <f>(0+17+1)/165</f>
        <v>0.10909090909090909</v>
      </c>
      <c r="AY100" s="62">
        <f t="shared" si="226"/>
        <v>0</v>
      </c>
      <c r="AZ100" s="61">
        <f t="shared" si="177"/>
        <v>0</v>
      </c>
      <c r="BA100" s="58">
        <f>(0.75)/150</f>
        <v>5.0000000000000001E-3</v>
      </c>
      <c r="BB100" s="58">
        <f t="shared" si="177"/>
        <v>0</v>
      </c>
      <c r="BC100" s="58">
        <f t="shared" si="177"/>
        <v>0</v>
      </c>
      <c r="BD100" s="58">
        <f t="shared" si="177"/>
        <v>0</v>
      </c>
      <c r="BE100" s="58">
        <f t="shared" si="177"/>
        <v>0</v>
      </c>
      <c r="BF100" s="58">
        <f t="shared" si="177"/>
        <v>0</v>
      </c>
      <c r="BG100" s="61">
        <f t="shared" si="223"/>
        <v>0</v>
      </c>
      <c r="BH100" s="58">
        <f t="shared" si="223"/>
        <v>0</v>
      </c>
      <c r="BI100" s="58">
        <f t="shared" si="223"/>
        <v>0</v>
      </c>
      <c r="BJ100" s="58">
        <f t="shared" si="223"/>
        <v>0</v>
      </c>
      <c r="BK100" s="58">
        <f t="shared" si="223"/>
        <v>0</v>
      </c>
      <c r="BL100" s="58">
        <f t="shared" si="201"/>
        <v>0</v>
      </c>
      <c r="BM100" s="58">
        <f t="shared" si="201"/>
        <v>0</v>
      </c>
      <c r="BN100" s="62">
        <f t="shared" si="201"/>
        <v>0</v>
      </c>
      <c r="BO100" s="61">
        <f t="shared" si="229"/>
        <v>0</v>
      </c>
      <c r="BP100" s="58">
        <f t="shared" si="229"/>
        <v>0</v>
      </c>
      <c r="BQ100" s="58">
        <f t="shared" si="229"/>
        <v>0</v>
      </c>
      <c r="BR100" s="58">
        <f t="shared" si="229"/>
        <v>0</v>
      </c>
      <c r="BS100" s="58">
        <f t="shared" si="229"/>
        <v>0</v>
      </c>
      <c r="BT100" s="58">
        <f t="shared" si="202"/>
        <v>0</v>
      </c>
      <c r="BU100" s="58">
        <f t="shared" si="202"/>
        <v>0</v>
      </c>
      <c r="BV100" s="62">
        <f t="shared" si="202"/>
        <v>0</v>
      </c>
      <c r="BW100" s="61">
        <f t="shared" si="172"/>
        <v>0</v>
      </c>
      <c r="BX100" s="58">
        <f t="shared" si="172"/>
        <v>0</v>
      </c>
      <c r="BY100" s="58">
        <f t="shared" si="172"/>
        <v>0</v>
      </c>
      <c r="BZ100" s="58">
        <f t="shared" si="172"/>
        <v>0</v>
      </c>
      <c r="CA100" s="58">
        <f t="shared" si="172"/>
        <v>0</v>
      </c>
      <c r="CB100" s="58">
        <f t="shared" si="203"/>
        <v>0</v>
      </c>
      <c r="CC100" s="58">
        <f t="shared" si="203"/>
        <v>0</v>
      </c>
      <c r="CD100" s="62">
        <f t="shared" si="203"/>
        <v>0</v>
      </c>
      <c r="CE100" s="61">
        <f t="shared" si="224"/>
        <v>0</v>
      </c>
      <c r="CF100" s="58">
        <f t="shared" si="224"/>
        <v>0</v>
      </c>
      <c r="CG100" s="58">
        <f t="shared" si="224"/>
        <v>0</v>
      </c>
      <c r="CH100" s="58">
        <f t="shared" si="224"/>
        <v>0</v>
      </c>
      <c r="CI100" s="58">
        <f t="shared" si="224"/>
        <v>0</v>
      </c>
      <c r="CJ100" s="58">
        <f t="shared" si="205"/>
        <v>0</v>
      </c>
      <c r="CK100" s="58">
        <f t="shared" si="205"/>
        <v>0</v>
      </c>
      <c r="CL100" s="62">
        <f t="shared" si="205"/>
        <v>0</v>
      </c>
      <c r="CM100" s="61">
        <f t="shared" si="225"/>
        <v>0</v>
      </c>
      <c r="CN100" s="58">
        <f t="shared" si="225"/>
        <v>0</v>
      </c>
      <c r="CO100" s="58">
        <f t="shared" si="225"/>
        <v>0</v>
      </c>
      <c r="CP100" s="58">
        <f t="shared" si="225"/>
        <v>0</v>
      </c>
      <c r="CQ100" s="58">
        <f t="shared" si="225"/>
        <v>0</v>
      </c>
      <c r="CR100" s="58">
        <f t="shared" si="207"/>
        <v>0</v>
      </c>
      <c r="CS100" s="58">
        <f t="shared" si="207"/>
        <v>0</v>
      </c>
      <c r="CT100" s="62">
        <f t="shared" si="207"/>
        <v>0</v>
      </c>
      <c r="CU100" s="235"/>
    </row>
    <row r="101" spans="1:99" ht="26.25" hidden="1" customHeight="1" outlineLevel="1" collapsed="1" x14ac:dyDescent="0.4">
      <c r="A101" s="350">
        <v>48</v>
      </c>
      <c r="B101" s="350" t="s">
        <v>47</v>
      </c>
      <c r="C101" s="350" t="s">
        <v>14</v>
      </c>
      <c r="D101" s="352" t="s">
        <v>887</v>
      </c>
      <c r="E101" s="352" t="s">
        <v>878</v>
      </c>
      <c r="F101" s="352" t="s">
        <v>877</v>
      </c>
      <c r="G101" s="385" t="s">
        <v>876</v>
      </c>
      <c r="H101" s="446">
        <f t="shared" ref="H101:H114" si="230">SUM(AZ101:BF101)</f>
        <v>0</v>
      </c>
      <c r="I101" s="446">
        <f t="shared" ref="I101:I114" si="231">SUM(AZ102:BF102)</f>
        <v>0</v>
      </c>
      <c r="J101" s="448"/>
      <c r="K101" s="452"/>
      <c r="L101" s="452"/>
      <c r="M101" s="450"/>
      <c r="N101" s="47" t="s">
        <v>24</v>
      </c>
      <c r="O101" s="10">
        <f t="shared" si="194"/>
        <v>0</v>
      </c>
      <c r="P101" s="10">
        <f t="shared" si="194"/>
        <v>0</v>
      </c>
      <c r="Q101" s="10">
        <f t="shared" si="194"/>
        <v>0</v>
      </c>
      <c r="R101" s="10">
        <f t="shared" si="194"/>
        <v>0</v>
      </c>
      <c r="S101" s="10">
        <f t="shared" si="194"/>
        <v>0</v>
      </c>
      <c r="T101" s="10">
        <f t="shared" si="194"/>
        <v>0</v>
      </c>
      <c r="U101" s="79">
        <f t="shared" si="194"/>
        <v>0</v>
      </c>
      <c r="V101" s="19">
        <f t="shared" si="211"/>
        <v>0</v>
      </c>
      <c r="W101" s="10">
        <f t="shared" si="211"/>
        <v>0</v>
      </c>
      <c r="X101" s="10">
        <f t="shared" si="211"/>
        <v>0</v>
      </c>
      <c r="Y101" s="10">
        <f t="shared" si="211"/>
        <v>0</v>
      </c>
      <c r="Z101" s="10">
        <f t="shared" si="211"/>
        <v>0</v>
      </c>
      <c r="AA101" s="10">
        <f t="shared" si="208"/>
        <v>0</v>
      </c>
      <c r="AB101" s="19">
        <f t="shared" si="186"/>
        <v>0</v>
      </c>
      <c r="AC101" s="10">
        <f t="shared" si="186"/>
        <v>0</v>
      </c>
      <c r="AD101" s="210">
        <f t="shared" si="186"/>
        <v>0</v>
      </c>
      <c r="AE101" s="10">
        <f t="shared" si="186"/>
        <v>0</v>
      </c>
      <c r="AF101" s="10">
        <f t="shared" si="186"/>
        <v>0</v>
      </c>
      <c r="AG101" s="10">
        <f t="shared" si="186"/>
        <v>0</v>
      </c>
      <c r="AH101" s="19">
        <f t="shared" si="197"/>
        <v>0</v>
      </c>
      <c r="AI101" s="10">
        <f t="shared" si="197"/>
        <v>0</v>
      </c>
      <c r="AJ101" s="10">
        <f t="shared" si="197"/>
        <v>0</v>
      </c>
      <c r="AK101" s="10">
        <f t="shared" si="197"/>
        <v>0</v>
      </c>
      <c r="AL101" s="10">
        <f t="shared" si="197"/>
        <v>0</v>
      </c>
      <c r="AM101" s="10">
        <f t="shared" si="199"/>
        <v>0</v>
      </c>
      <c r="AN101" s="19">
        <f t="shared" ref="AN101:AR106" si="232">0/157.5</f>
        <v>0</v>
      </c>
      <c r="AO101" s="10">
        <f t="shared" si="232"/>
        <v>0</v>
      </c>
      <c r="AP101" s="10">
        <f t="shared" si="232"/>
        <v>0</v>
      </c>
      <c r="AQ101" s="10">
        <f t="shared" si="232"/>
        <v>0</v>
      </c>
      <c r="AR101" s="10">
        <f t="shared" si="232"/>
        <v>0</v>
      </c>
      <c r="AS101" s="10">
        <f t="shared" ref="AS101:AS106" si="233">0/165</f>
        <v>0</v>
      </c>
      <c r="AT101" s="189">
        <f>(3)/165</f>
        <v>1.8181818181818181E-2</v>
      </c>
      <c r="AU101" s="10">
        <f>(5)/165</f>
        <v>3.0303030303030304E-2</v>
      </c>
      <c r="AV101" s="10">
        <f t="shared" si="226"/>
        <v>0</v>
      </c>
      <c r="AW101" s="10">
        <f t="shared" si="226"/>
        <v>0</v>
      </c>
      <c r="AX101" s="10">
        <f>(6)/165</f>
        <v>3.6363636363636362E-2</v>
      </c>
      <c r="AY101" s="17">
        <f t="shared" si="226"/>
        <v>0</v>
      </c>
      <c r="AZ101" s="19">
        <f t="shared" si="177"/>
        <v>0</v>
      </c>
      <c r="BA101" s="10">
        <f t="shared" si="177"/>
        <v>0</v>
      </c>
      <c r="BB101" s="10">
        <f t="shared" si="177"/>
        <v>0</v>
      </c>
      <c r="BC101" s="10">
        <f t="shared" si="177"/>
        <v>0</v>
      </c>
      <c r="BD101" s="10">
        <f t="shared" si="177"/>
        <v>0</v>
      </c>
      <c r="BE101" s="10">
        <f t="shared" si="177"/>
        <v>0</v>
      </c>
      <c r="BF101" s="10">
        <f t="shared" si="177"/>
        <v>0</v>
      </c>
      <c r="BG101" s="19">
        <f t="shared" si="223"/>
        <v>0</v>
      </c>
      <c r="BH101" s="10">
        <f t="shared" si="223"/>
        <v>0</v>
      </c>
      <c r="BI101" s="10">
        <f t="shared" si="223"/>
        <v>0</v>
      </c>
      <c r="BJ101" s="10">
        <f t="shared" si="223"/>
        <v>0</v>
      </c>
      <c r="BK101" s="10">
        <f t="shared" si="223"/>
        <v>0</v>
      </c>
      <c r="BL101" s="10">
        <f t="shared" si="201"/>
        <v>0</v>
      </c>
      <c r="BM101" s="10">
        <f t="shared" si="201"/>
        <v>0</v>
      </c>
      <c r="BN101" s="17">
        <f t="shared" si="201"/>
        <v>0</v>
      </c>
      <c r="BO101" s="19">
        <f t="shared" si="229"/>
        <v>0</v>
      </c>
      <c r="BP101" s="10">
        <f t="shared" si="229"/>
        <v>0</v>
      </c>
      <c r="BQ101" s="10">
        <f t="shared" si="229"/>
        <v>0</v>
      </c>
      <c r="BR101" s="10">
        <f t="shared" si="229"/>
        <v>0</v>
      </c>
      <c r="BS101" s="10">
        <f t="shared" si="229"/>
        <v>0</v>
      </c>
      <c r="BT101" s="10">
        <f t="shared" si="202"/>
        <v>0</v>
      </c>
      <c r="BU101" s="10">
        <f t="shared" si="202"/>
        <v>0</v>
      </c>
      <c r="BV101" s="17">
        <f t="shared" si="202"/>
        <v>0</v>
      </c>
      <c r="BW101" s="71">
        <f t="shared" si="172"/>
        <v>0</v>
      </c>
      <c r="BX101" s="10">
        <f t="shared" si="172"/>
        <v>0</v>
      </c>
      <c r="BY101" s="10">
        <f t="shared" si="172"/>
        <v>0</v>
      </c>
      <c r="BZ101" s="10">
        <f t="shared" si="172"/>
        <v>0</v>
      </c>
      <c r="CA101" s="10">
        <f t="shared" si="172"/>
        <v>0</v>
      </c>
      <c r="CB101" s="10">
        <f t="shared" si="203"/>
        <v>0</v>
      </c>
      <c r="CC101" s="10">
        <f t="shared" si="203"/>
        <v>0</v>
      </c>
      <c r="CD101" s="17">
        <f t="shared" si="203"/>
        <v>0</v>
      </c>
      <c r="CE101" s="19">
        <f t="shared" si="224"/>
        <v>0</v>
      </c>
      <c r="CF101" s="10">
        <f t="shared" si="224"/>
        <v>0</v>
      </c>
      <c r="CG101" s="10">
        <f t="shared" si="224"/>
        <v>0</v>
      </c>
      <c r="CH101" s="10">
        <f t="shared" si="224"/>
        <v>0</v>
      </c>
      <c r="CI101" s="10">
        <f t="shared" si="224"/>
        <v>0</v>
      </c>
      <c r="CJ101" s="10">
        <f t="shared" si="205"/>
        <v>0</v>
      </c>
      <c r="CK101" s="10">
        <f t="shared" si="205"/>
        <v>0</v>
      </c>
      <c r="CL101" s="17">
        <f t="shared" si="205"/>
        <v>0</v>
      </c>
      <c r="CM101" s="19">
        <f t="shared" si="225"/>
        <v>0</v>
      </c>
      <c r="CN101" s="10">
        <f t="shared" si="225"/>
        <v>0</v>
      </c>
      <c r="CO101" s="10">
        <f t="shared" si="225"/>
        <v>0</v>
      </c>
      <c r="CP101" s="10">
        <f t="shared" si="225"/>
        <v>0</v>
      </c>
      <c r="CQ101" s="10">
        <f t="shared" si="225"/>
        <v>0</v>
      </c>
      <c r="CR101" s="10">
        <f t="shared" si="207"/>
        <v>0</v>
      </c>
      <c r="CS101" s="10">
        <f t="shared" si="207"/>
        <v>0</v>
      </c>
      <c r="CT101" s="17">
        <f t="shared" si="207"/>
        <v>0</v>
      </c>
      <c r="CU101" s="235"/>
    </row>
    <row r="102" spans="1:99" ht="26.25" hidden="1" customHeight="1" outlineLevel="1" x14ac:dyDescent="0.4">
      <c r="A102" s="351"/>
      <c r="B102" s="351"/>
      <c r="C102" s="351"/>
      <c r="D102" s="353"/>
      <c r="E102" s="353"/>
      <c r="F102" s="353"/>
      <c r="G102" s="385"/>
      <c r="H102" s="447"/>
      <c r="I102" s="447"/>
      <c r="J102" s="449"/>
      <c r="K102" s="453"/>
      <c r="L102" s="453"/>
      <c r="M102" s="451"/>
      <c r="N102" s="38" t="s">
        <v>25</v>
      </c>
      <c r="O102" s="11">
        <f t="shared" si="194"/>
        <v>0</v>
      </c>
      <c r="P102" s="11">
        <f t="shared" si="194"/>
        <v>0</v>
      </c>
      <c r="Q102" s="11">
        <f t="shared" si="194"/>
        <v>0</v>
      </c>
      <c r="R102" s="11">
        <f t="shared" si="194"/>
        <v>0</v>
      </c>
      <c r="S102" s="11">
        <f t="shared" si="194"/>
        <v>0</v>
      </c>
      <c r="T102" s="11">
        <f t="shared" si="194"/>
        <v>0</v>
      </c>
      <c r="U102" s="48">
        <f t="shared" si="194"/>
        <v>0</v>
      </c>
      <c r="V102" s="56">
        <f t="shared" si="211"/>
        <v>0</v>
      </c>
      <c r="W102" s="18">
        <f t="shared" si="211"/>
        <v>0</v>
      </c>
      <c r="X102" s="18">
        <f t="shared" si="211"/>
        <v>0</v>
      </c>
      <c r="Y102" s="18">
        <f t="shared" si="211"/>
        <v>0</v>
      </c>
      <c r="Z102" s="18">
        <f t="shared" si="211"/>
        <v>0</v>
      </c>
      <c r="AA102" s="18">
        <f t="shared" si="208"/>
        <v>0</v>
      </c>
      <c r="AB102" s="41">
        <f t="shared" si="186"/>
        <v>0</v>
      </c>
      <c r="AC102" s="51">
        <f t="shared" si="186"/>
        <v>0</v>
      </c>
      <c r="AD102" s="11">
        <f t="shared" si="186"/>
        <v>0</v>
      </c>
      <c r="AE102" s="11">
        <f t="shared" si="186"/>
        <v>0</v>
      </c>
      <c r="AF102" s="11">
        <f t="shared" si="186"/>
        <v>0</v>
      </c>
      <c r="AG102" s="18">
        <f t="shared" si="186"/>
        <v>0</v>
      </c>
      <c r="AH102" s="50">
        <f t="shared" si="197"/>
        <v>0</v>
      </c>
      <c r="AI102" s="51">
        <f t="shared" si="197"/>
        <v>0</v>
      </c>
      <c r="AJ102" s="51">
        <f t="shared" si="197"/>
        <v>0</v>
      </c>
      <c r="AK102" s="51">
        <f t="shared" si="197"/>
        <v>0</v>
      </c>
      <c r="AL102" s="51">
        <f t="shared" si="197"/>
        <v>0</v>
      </c>
      <c r="AM102" s="18">
        <f t="shared" si="199"/>
        <v>0</v>
      </c>
      <c r="AN102" s="41">
        <f t="shared" si="232"/>
        <v>0</v>
      </c>
      <c r="AO102" s="11">
        <f t="shared" si="232"/>
        <v>0</v>
      </c>
      <c r="AP102" s="11">
        <f t="shared" si="232"/>
        <v>0</v>
      </c>
      <c r="AQ102" s="11">
        <f t="shared" si="232"/>
        <v>0</v>
      </c>
      <c r="AR102" s="11">
        <f t="shared" si="232"/>
        <v>0</v>
      </c>
      <c r="AS102" s="18">
        <f t="shared" si="233"/>
        <v>0</v>
      </c>
      <c r="AT102" s="61">
        <f>(2)/165</f>
        <v>1.2121212121212121E-2</v>
      </c>
      <c r="AU102" s="58">
        <f>(2.25)/165</f>
        <v>1.3636363636363636E-2</v>
      </c>
      <c r="AV102" s="58">
        <f t="shared" si="226"/>
        <v>0</v>
      </c>
      <c r="AW102" s="58">
        <f t="shared" si="226"/>
        <v>0</v>
      </c>
      <c r="AX102" s="58">
        <f>(7.25)/165</f>
        <v>4.3939393939393938E-2</v>
      </c>
      <c r="AY102" s="62">
        <f t="shared" si="226"/>
        <v>0</v>
      </c>
      <c r="AZ102" s="61">
        <f t="shared" si="177"/>
        <v>0</v>
      </c>
      <c r="BA102" s="58">
        <f t="shared" si="177"/>
        <v>0</v>
      </c>
      <c r="BB102" s="58">
        <f t="shared" si="177"/>
        <v>0</v>
      </c>
      <c r="BC102" s="58">
        <f t="shared" si="177"/>
        <v>0</v>
      </c>
      <c r="BD102" s="58">
        <f t="shared" si="177"/>
        <v>0</v>
      </c>
      <c r="BE102" s="58">
        <f t="shared" si="177"/>
        <v>0</v>
      </c>
      <c r="BF102" s="58">
        <f t="shared" si="177"/>
        <v>0</v>
      </c>
      <c r="BG102" s="61">
        <f t="shared" si="223"/>
        <v>0</v>
      </c>
      <c r="BH102" s="58">
        <f t="shared" si="223"/>
        <v>0</v>
      </c>
      <c r="BI102" s="58">
        <f t="shared" si="223"/>
        <v>0</v>
      </c>
      <c r="BJ102" s="58">
        <f t="shared" si="223"/>
        <v>0</v>
      </c>
      <c r="BK102" s="58">
        <f t="shared" si="223"/>
        <v>0</v>
      </c>
      <c r="BL102" s="58">
        <f t="shared" si="201"/>
        <v>0</v>
      </c>
      <c r="BM102" s="58">
        <f t="shared" si="201"/>
        <v>0</v>
      </c>
      <c r="BN102" s="62">
        <f t="shared" si="201"/>
        <v>0</v>
      </c>
      <c r="BO102" s="61">
        <f t="shared" si="229"/>
        <v>0</v>
      </c>
      <c r="BP102" s="58">
        <f t="shared" si="229"/>
        <v>0</v>
      </c>
      <c r="BQ102" s="58">
        <f t="shared" si="229"/>
        <v>0</v>
      </c>
      <c r="BR102" s="58">
        <f t="shared" si="229"/>
        <v>0</v>
      </c>
      <c r="BS102" s="58">
        <f t="shared" si="229"/>
        <v>0</v>
      </c>
      <c r="BT102" s="58">
        <f t="shared" si="202"/>
        <v>0</v>
      </c>
      <c r="BU102" s="58">
        <f t="shared" si="202"/>
        <v>0</v>
      </c>
      <c r="BV102" s="62">
        <f t="shared" si="202"/>
        <v>0</v>
      </c>
      <c r="BW102" s="61">
        <f t="shared" si="172"/>
        <v>0</v>
      </c>
      <c r="BX102" s="58">
        <f t="shared" si="172"/>
        <v>0</v>
      </c>
      <c r="BY102" s="58">
        <f t="shared" si="172"/>
        <v>0</v>
      </c>
      <c r="BZ102" s="58">
        <f t="shared" si="172"/>
        <v>0</v>
      </c>
      <c r="CA102" s="58">
        <f t="shared" si="172"/>
        <v>0</v>
      </c>
      <c r="CB102" s="58">
        <f t="shared" si="203"/>
        <v>0</v>
      </c>
      <c r="CC102" s="58">
        <f t="shared" si="203"/>
        <v>0</v>
      </c>
      <c r="CD102" s="62">
        <f t="shared" si="203"/>
        <v>0</v>
      </c>
      <c r="CE102" s="61">
        <f t="shared" si="224"/>
        <v>0</v>
      </c>
      <c r="CF102" s="58">
        <f t="shared" si="224"/>
        <v>0</v>
      </c>
      <c r="CG102" s="58">
        <f t="shared" si="224"/>
        <v>0</v>
      </c>
      <c r="CH102" s="58">
        <f t="shared" si="224"/>
        <v>0</v>
      </c>
      <c r="CI102" s="58">
        <f t="shared" si="224"/>
        <v>0</v>
      </c>
      <c r="CJ102" s="58">
        <f t="shared" si="205"/>
        <v>0</v>
      </c>
      <c r="CK102" s="58">
        <f t="shared" si="205"/>
        <v>0</v>
      </c>
      <c r="CL102" s="62">
        <f t="shared" si="205"/>
        <v>0</v>
      </c>
      <c r="CM102" s="61">
        <f t="shared" si="225"/>
        <v>0</v>
      </c>
      <c r="CN102" s="58">
        <f t="shared" si="225"/>
        <v>0</v>
      </c>
      <c r="CO102" s="58">
        <f t="shared" si="225"/>
        <v>0</v>
      </c>
      <c r="CP102" s="58">
        <f t="shared" si="225"/>
        <v>0</v>
      </c>
      <c r="CQ102" s="58">
        <f t="shared" si="225"/>
        <v>0</v>
      </c>
      <c r="CR102" s="58">
        <f t="shared" si="207"/>
        <v>0</v>
      </c>
      <c r="CS102" s="58">
        <f t="shared" si="207"/>
        <v>0</v>
      </c>
      <c r="CT102" s="62">
        <f t="shared" si="207"/>
        <v>0</v>
      </c>
      <c r="CU102" s="235"/>
    </row>
    <row r="103" spans="1:99" ht="26.25" hidden="1" customHeight="1" outlineLevel="1" collapsed="1" x14ac:dyDescent="0.4">
      <c r="A103" s="350">
        <v>49</v>
      </c>
      <c r="B103" s="350" t="s">
        <v>47</v>
      </c>
      <c r="C103" s="350" t="s">
        <v>14</v>
      </c>
      <c r="D103" s="352" t="s">
        <v>888</v>
      </c>
      <c r="E103" s="352" t="s">
        <v>880</v>
      </c>
      <c r="F103" s="352"/>
      <c r="G103" s="385" t="s">
        <v>879</v>
      </c>
      <c r="H103" s="446">
        <f t="shared" ref="H103:H114" si="234">SUM(AZ103:BF103)</f>
        <v>0</v>
      </c>
      <c r="I103" s="446">
        <f t="shared" ref="I103:I114" si="235">SUM(AZ104:BF104)</f>
        <v>0</v>
      </c>
      <c r="J103" s="448"/>
      <c r="K103" s="452"/>
      <c r="L103" s="452"/>
      <c r="M103" s="450"/>
      <c r="N103" s="47" t="s">
        <v>24</v>
      </c>
      <c r="O103" s="10">
        <f t="shared" si="194"/>
        <v>0</v>
      </c>
      <c r="P103" s="10">
        <f t="shared" si="194"/>
        <v>0</v>
      </c>
      <c r="Q103" s="10">
        <f t="shared" si="194"/>
        <v>0</v>
      </c>
      <c r="R103" s="10">
        <f t="shared" si="194"/>
        <v>0</v>
      </c>
      <c r="S103" s="10">
        <f t="shared" si="194"/>
        <v>0</v>
      </c>
      <c r="T103" s="10">
        <f t="shared" si="194"/>
        <v>0</v>
      </c>
      <c r="U103" s="79">
        <f t="shared" si="194"/>
        <v>0</v>
      </c>
      <c r="V103" s="19">
        <f t="shared" si="211"/>
        <v>0</v>
      </c>
      <c r="W103" s="10">
        <f t="shared" si="211"/>
        <v>0</v>
      </c>
      <c r="X103" s="10">
        <f t="shared" si="211"/>
        <v>0</v>
      </c>
      <c r="Y103" s="10">
        <f t="shared" si="211"/>
        <v>0</v>
      </c>
      <c r="Z103" s="10">
        <f t="shared" si="211"/>
        <v>0</v>
      </c>
      <c r="AA103" s="10">
        <f t="shared" si="208"/>
        <v>0</v>
      </c>
      <c r="AB103" s="19">
        <f t="shared" si="186"/>
        <v>0</v>
      </c>
      <c r="AC103" s="10">
        <f t="shared" si="186"/>
        <v>0</v>
      </c>
      <c r="AD103" s="210">
        <f t="shared" si="186"/>
        <v>0</v>
      </c>
      <c r="AE103" s="10">
        <f t="shared" si="186"/>
        <v>0</v>
      </c>
      <c r="AF103" s="10">
        <f t="shared" si="186"/>
        <v>0</v>
      </c>
      <c r="AG103" s="10">
        <f t="shared" si="186"/>
        <v>0</v>
      </c>
      <c r="AH103" s="19">
        <f t="shared" si="197"/>
        <v>0</v>
      </c>
      <c r="AI103" s="10">
        <f t="shared" si="197"/>
        <v>0</v>
      </c>
      <c r="AJ103" s="10">
        <f t="shared" si="197"/>
        <v>0</v>
      </c>
      <c r="AK103" s="10">
        <f t="shared" si="197"/>
        <v>0</v>
      </c>
      <c r="AL103" s="10">
        <f t="shared" si="197"/>
        <v>0</v>
      </c>
      <c r="AM103" s="10">
        <f t="shared" si="199"/>
        <v>0</v>
      </c>
      <c r="AN103" s="19">
        <f t="shared" si="232"/>
        <v>0</v>
      </c>
      <c r="AO103" s="10">
        <f t="shared" si="232"/>
        <v>0</v>
      </c>
      <c r="AP103" s="10">
        <f t="shared" si="232"/>
        <v>0</v>
      </c>
      <c r="AQ103" s="10">
        <f t="shared" si="232"/>
        <v>0</v>
      </c>
      <c r="AR103" s="10">
        <f t="shared" si="232"/>
        <v>0</v>
      </c>
      <c r="AS103" s="10">
        <f t="shared" si="233"/>
        <v>0</v>
      </c>
      <c r="AT103" s="189">
        <f>(3)/165</f>
        <v>1.8181818181818181E-2</v>
      </c>
      <c r="AU103" s="10">
        <f t="shared" si="226"/>
        <v>0</v>
      </c>
      <c r="AV103" s="10">
        <f>(2)/165</f>
        <v>1.2121212121212121E-2</v>
      </c>
      <c r="AW103" s="10">
        <f t="shared" si="226"/>
        <v>0</v>
      </c>
      <c r="AX103" s="10">
        <f t="shared" si="226"/>
        <v>0</v>
      </c>
      <c r="AY103" s="10">
        <f>(5)/165</f>
        <v>3.0303030303030304E-2</v>
      </c>
      <c r="AZ103" s="19">
        <f t="shared" si="177"/>
        <v>0</v>
      </c>
      <c r="BA103" s="10">
        <f t="shared" si="177"/>
        <v>0</v>
      </c>
      <c r="BB103" s="10">
        <f t="shared" si="177"/>
        <v>0</v>
      </c>
      <c r="BC103" s="10">
        <f t="shared" si="177"/>
        <v>0</v>
      </c>
      <c r="BD103" s="10">
        <f t="shared" si="177"/>
        <v>0</v>
      </c>
      <c r="BE103" s="10">
        <f t="shared" si="177"/>
        <v>0</v>
      </c>
      <c r="BF103" s="10">
        <f t="shared" si="177"/>
        <v>0</v>
      </c>
      <c r="BG103" s="19">
        <f t="shared" si="223"/>
        <v>0</v>
      </c>
      <c r="BH103" s="10">
        <f t="shared" si="223"/>
        <v>0</v>
      </c>
      <c r="BI103" s="10">
        <f t="shared" si="223"/>
        <v>0</v>
      </c>
      <c r="BJ103" s="10">
        <f t="shared" si="223"/>
        <v>0</v>
      </c>
      <c r="BK103" s="10">
        <f t="shared" si="223"/>
        <v>0</v>
      </c>
      <c r="BL103" s="10">
        <f t="shared" si="201"/>
        <v>0</v>
      </c>
      <c r="BM103" s="10">
        <f t="shared" si="201"/>
        <v>0</v>
      </c>
      <c r="BN103" s="17">
        <f t="shared" si="201"/>
        <v>0</v>
      </c>
      <c r="BO103" s="19">
        <f t="shared" si="229"/>
        <v>0</v>
      </c>
      <c r="BP103" s="10">
        <f t="shared" si="229"/>
        <v>0</v>
      </c>
      <c r="BQ103" s="10">
        <f t="shared" si="229"/>
        <v>0</v>
      </c>
      <c r="BR103" s="10">
        <f t="shared" si="229"/>
        <v>0</v>
      </c>
      <c r="BS103" s="10">
        <f t="shared" si="229"/>
        <v>0</v>
      </c>
      <c r="BT103" s="10">
        <f t="shared" si="202"/>
        <v>0</v>
      </c>
      <c r="BU103" s="10">
        <f t="shared" si="202"/>
        <v>0</v>
      </c>
      <c r="BV103" s="17">
        <f t="shared" si="202"/>
        <v>0</v>
      </c>
      <c r="BW103" s="71">
        <f t="shared" si="172"/>
        <v>0</v>
      </c>
      <c r="BX103" s="10">
        <f t="shared" si="172"/>
        <v>0</v>
      </c>
      <c r="BY103" s="10">
        <f t="shared" si="172"/>
        <v>0</v>
      </c>
      <c r="BZ103" s="10">
        <f t="shared" si="172"/>
        <v>0</v>
      </c>
      <c r="CA103" s="10">
        <f t="shared" si="172"/>
        <v>0</v>
      </c>
      <c r="CB103" s="10">
        <f t="shared" si="203"/>
        <v>0</v>
      </c>
      <c r="CC103" s="10">
        <f t="shared" si="203"/>
        <v>0</v>
      </c>
      <c r="CD103" s="17">
        <f t="shared" si="203"/>
        <v>0</v>
      </c>
      <c r="CE103" s="19">
        <f t="shared" si="224"/>
        <v>0</v>
      </c>
      <c r="CF103" s="10">
        <f t="shared" si="224"/>
        <v>0</v>
      </c>
      <c r="CG103" s="10">
        <f t="shared" si="224"/>
        <v>0</v>
      </c>
      <c r="CH103" s="10">
        <f t="shared" si="224"/>
        <v>0</v>
      </c>
      <c r="CI103" s="10">
        <f t="shared" si="224"/>
        <v>0</v>
      </c>
      <c r="CJ103" s="10">
        <f t="shared" si="205"/>
        <v>0</v>
      </c>
      <c r="CK103" s="10">
        <f t="shared" si="205"/>
        <v>0</v>
      </c>
      <c r="CL103" s="17">
        <f t="shared" si="205"/>
        <v>0</v>
      </c>
      <c r="CM103" s="19">
        <f t="shared" si="225"/>
        <v>0</v>
      </c>
      <c r="CN103" s="10">
        <f t="shared" si="225"/>
        <v>0</v>
      </c>
      <c r="CO103" s="10">
        <f t="shared" si="225"/>
        <v>0</v>
      </c>
      <c r="CP103" s="10">
        <f t="shared" si="225"/>
        <v>0</v>
      </c>
      <c r="CQ103" s="10">
        <f t="shared" si="225"/>
        <v>0</v>
      </c>
      <c r="CR103" s="10">
        <f t="shared" si="207"/>
        <v>0</v>
      </c>
      <c r="CS103" s="10">
        <f t="shared" si="207"/>
        <v>0</v>
      </c>
      <c r="CT103" s="17">
        <f t="shared" si="207"/>
        <v>0</v>
      </c>
      <c r="CU103" s="235"/>
    </row>
    <row r="104" spans="1:99" ht="26.25" hidden="1" customHeight="1" outlineLevel="1" x14ac:dyDescent="0.4">
      <c r="A104" s="351"/>
      <c r="B104" s="351"/>
      <c r="C104" s="351"/>
      <c r="D104" s="353"/>
      <c r="E104" s="353"/>
      <c r="F104" s="353"/>
      <c r="G104" s="385"/>
      <c r="H104" s="447"/>
      <c r="I104" s="447"/>
      <c r="J104" s="449"/>
      <c r="K104" s="453"/>
      <c r="L104" s="453"/>
      <c r="M104" s="451"/>
      <c r="N104" s="38" t="s">
        <v>25</v>
      </c>
      <c r="O104" s="11">
        <f t="shared" si="194"/>
        <v>0</v>
      </c>
      <c r="P104" s="11">
        <f t="shared" si="194"/>
        <v>0</v>
      </c>
      <c r="Q104" s="11">
        <f t="shared" si="194"/>
        <v>0</v>
      </c>
      <c r="R104" s="11">
        <f t="shared" si="194"/>
        <v>0</v>
      </c>
      <c r="S104" s="11">
        <f t="shared" si="194"/>
        <v>0</v>
      </c>
      <c r="T104" s="11">
        <f t="shared" si="194"/>
        <v>0</v>
      </c>
      <c r="U104" s="48">
        <f t="shared" si="194"/>
        <v>0</v>
      </c>
      <c r="V104" s="56">
        <f t="shared" si="211"/>
        <v>0</v>
      </c>
      <c r="W104" s="18">
        <f t="shared" si="211"/>
        <v>0</v>
      </c>
      <c r="X104" s="18">
        <f t="shared" si="211"/>
        <v>0</v>
      </c>
      <c r="Y104" s="18">
        <f t="shared" si="211"/>
        <v>0</v>
      </c>
      <c r="Z104" s="18">
        <f t="shared" si="211"/>
        <v>0</v>
      </c>
      <c r="AA104" s="18">
        <f t="shared" si="208"/>
        <v>0</v>
      </c>
      <c r="AB104" s="41">
        <f t="shared" si="186"/>
        <v>0</v>
      </c>
      <c r="AC104" s="51">
        <f t="shared" si="186"/>
        <v>0</v>
      </c>
      <c r="AD104" s="11">
        <f t="shared" si="186"/>
        <v>0</v>
      </c>
      <c r="AE104" s="11">
        <f t="shared" si="186"/>
        <v>0</v>
      </c>
      <c r="AF104" s="11">
        <f t="shared" si="186"/>
        <v>0</v>
      </c>
      <c r="AG104" s="18">
        <f t="shared" si="186"/>
        <v>0</v>
      </c>
      <c r="AH104" s="50">
        <f t="shared" si="197"/>
        <v>0</v>
      </c>
      <c r="AI104" s="51">
        <f t="shared" si="197"/>
        <v>0</v>
      </c>
      <c r="AJ104" s="51">
        <f t="shared" si="197"/>
        <v>0</v>
      </c>
      <c r="AK104" s="51">
        <f t="shared" si="197"/>
        <v>0</v>
      </c>
      <c r="AL104" s="51">
        <f t="shared" si="197"/>
        <v>0</v>
      </c>
      <c r="AM104" s="18">
        <f t="shared" si="199"/>
        <v>0</v>
      </c>
      <c r="AN104" s="41">
        <f t="shared" si="232"/>
        <v>0</v>
      </c>
      <c r="AO104" s="11">
        <f t="shared" si="232"/>
        <v>0</v>
      </c>
      <c r="AP104" s="11">
        <f t="shared" si="232"/>
        <v>0</v>
      </c>
      <c r="AQ104" s="11">
        <f t="shared" si="232"/>
        <v>0</v>
      </c>
      <c r="AR104" s="11">
        <f t="shared" si="232"/>
        <v>0</v>
      </c>
      <c r="AS104" s="18">
        <f t="shared" si="233"/>
        <v>0</v>
      </c>
      <c r="AT104" s="61">
        <f>(2)/165</f>
        <v>1.2121212121212121E-2</v>
      </c>
      <c r="AU104" s="58">
        <f t="shared" si="226"/>
        <v>0</v>
      </c>
      <c r="AV104" s="58">
        <f>(2.25)/165</f>
        <v>1.3636363636363636E-2</v>
      </c>
      <c r="AW104" s="58">
        <f t="shared" si="226"/>
        <v>0</v>
      </c>
      <c r="AX104" s="58">
        <f t="shared" si="226"/>
        <v>0</v>
      </c>
      <c r="AY104" s="62">
        <f>(4.25)/165</f>
        <v>2.5757575757575757E-2</v>
      </c>
      <c r="AZ104" s="61">
        <f t="shared" si="177"/>
        <v>0</v>
      </c>
      <c r="BA104" s="58">
        <f t="shared" si="177"/>
        <v>0</v>
      </c>
      <c r="BB104" s="58">
        <f t="shared" si="177"/>
        <v>0</v>
      </c>
      <c r="BC104" s="58">
        <f t="shared" si="177"/>
        <v>0</v>
      </c>
      <c r="BD104" s="58">
        <f t="shared" si="177"/>
        <v>0</v>
      </c>
      <c r="BE104" s="58">
        <f t="shared" si="177"/>
        <v>0</v>
      </c>
      <c r="BF104" s="58">
        <f t="shared" si="177"/>
        <v>0</v>
      </c>
      <c r="BG104" s="61">
        <f t="shared" si="223"/>
        <v>0</v>
      </c>
      <c r="BH104" s="58">
        <f t="shared" si="223"/>
        <v>0</v>
      </c>
      <c r="BI104" s="58">
        <f t="shared" si="223"/>
        <v>0</v>
      </c>
      <c r="BJ104" s="58">
        <f t="shared" si="223"/>
        <v>0</v>
      </c>
      <c r="BK104" s="58">
        <f t="shared" si="223"/>
        <v>0</v>
      </c>
      <c r="BL104" s="58">
        <f t="shared" si="201"/>
        <v>0</v>
      </c>
      <c r="BM104" s="58">
        <f t="shared" si="201"/>
        <v>0</v>
      </c>
      <c r="BN104" s="62">
        <f t="shared" si="201"/>
        <v>0</v>
      </c>
      <c r="BO104" s="61">
        <f t="shared" si="229"/>
        <v>0</v>
      </c>
      <c r="BP104" s="58">
        <f t="shared" si="229"/>
        <v>0</v>
      </c>
      <c r="BQ104" s="58">
        <f t="shared" si="229"/>
        <v>0</v>
      </c>
      <c r="BR104" s="58">
        <f t="shared" si="229"/>
        <v>0</v>
      </c>
      <c r="BS104" s="58">
        <f t="shared" si="229"/>
        <v>0</v>
      </c>
      <c r="BT104" s="58">
        <f t="shared" si="202"/>
        <v>0</v>
      </c>
      <c r="BU104" s="58">
        <f t="shared" si="202"/>
        <v>0</v>
      </c>
      <c r="BV104" s="62">
        <f t="shared" si="202"/>
        <v>0</v>
      </c>
      <c r="BW104" s="61">
        <f t="shared" si="172"/>
        <v>0</v>
      </c>
      <c r="BX104" s="58">
        <f t="shared" si="172"/>
        <v>0</v>
      </c>
      <c r="BY104" s="58">
        <f t="shared" si="172"/>
        <v>0</v>
      </c>
      <c r="BZ104" s="58">
        <f t="shared" si="172"/>
        <v>0</v>
      </c>
      <c r="CA104" s="58">
        <f t="shared" si="172"/>
        <v>0</v>
      </c>
      <c r="CB104" s="58">
        <f t="shared" si="203"/>
        <v>0</v>
      </c>
      <c r="CC104" s="58">
        <f t="shared" si="203"/>
        <v>0</v>
      </c>
      <c r="CD104" s="62">
        <f t="shared" si="203"/>
        <v>0</v>
      </c>
      <c r="CE104" s="61">
        <f t="shared" si="224"/>
        <v>0</v>
      </c>
      <c r="CF104" s="58">
        <f t="shared" si="224"/>
        <v>0</v>
      </c>
      <c r="CG104" s="58">
        <f t="shared" si="224"/>
        <v>0</v>
      </c>
      <c r="CH104" s="58">
        <f t="shared" si="224"/>
        <v>0</v>
      </c>
      <c r="CI104" s="58">
        <f t="shared" si="224"/>
        <v>0</v>
      </c>
      <c r="CJ104" s="58">
        <f t="shared" si="205"/>
        <v>0</v>
      </c>
      <c r="CK104" s="58">
        <f t="shared" si="205"/>
        <v>0</v>
      </c>
      <c r="CL104" s="62">
        <f t="shared" si="205"/>
        <v>0</v>
      </c>
      <c r="CM104" s="61">
        <f t="shared" si="225"/>
        <v>0</v>
      </c>
      <c r="CN104" s="58">
        <f t="shared" si="225"/>
        <v>0</v>
      </c>
      <c r="CO104" s="58">
        <f t="shared" si="225"/>
        <v>0</v>
      </c>
      <c r="CP104" s="58">
        <f t="shared" si="225"/>
        <v>0</v>
      </c>
      <c r="CQ104" s="58">
        <f t="shared" si="225"/>
        <v>0</v>
      </c>
      <c r="CR104" s="58">
        <f t="shared" si="207"/>
        <v>0</v>
      </c>
      <c r="CS104" s="58">
        <f t="shared" si="207"/>
        <v>0</v>
      </c>
      <c r="CT104" s="62">
        <f t="shared" si="207"/>
        <v>0</v>
      </c>
      <c r="CU104" s="235"/>
    </row>
    <row r="105" spans="1:99" ht="26.25" hidden="1" customHeight="1" outlineLevel="1" collapsed="1" x14ac:dyDescent="0.4">
      <c r="A105" s="350">
        <v>50</v>
      </c>
      <c r="B105" s="350" t="s">
        <v>47</v>
      </c>
      <c r="C105" s="350" t="s">
        <v>343</v>
      </c>
      <c r="D105" s="352" t="s">
        <v>905</v>
      </c>
      <c r="E105" s="352" t="s">
        <v>899</v>
      </c>
      <c r="F105" s="352" t="s">
        <v>903</v>
      </c>
      <c r="G105" s="385" t="s">
        <v>901</v>
      </c>
      <c r="H105" s="446">
        <f t="shared" ref="H105:H114" si="236">SUM(AZ105:BF105)</f>
        <v>0</v>
      </c>
      <c r="I105" s="446">
        <f t="shared" ref="I105:I114" si="237">SUM(AZ106:BF106)</f>
        <v>0</v>
      </c>
      <c r="J105" s="448"/>
      <c r="K105" s="452"/>
      <c r="L105" s="452"/>
      <c r="M105" s="450"/>
      <c r="N105" s="47" t="s">
        <v>24</v>
      </c>
      <c r="O105" s="10">
        <f t="shared" si="194"/>
        <v>0</v>
      </c>
      <c r="P105" s="10">
        <f t="shared" si="194"/>
        <v>0</v>
      </c>
      <c r="Q105" s="10">
        <f t="shared" si="194"/>
        <v>0</v>
      </c>
      <c r="R105" s="10">
        <f t="shared" si="194"/>
        <v>0</v>
      </c>
      <c r="S105" s="10">
        <f t="shared" si="194"/>
        <v>0</v>
      </c>
      <c r="T105" s="10">
        <f t="shared" si="194"/>
        <v>0</v>
      </c>
      <c r="U105" s="79">
        <f t="shared" si="194"/>
        <v>0</v>
      </c>
      <c r="V105" s="19">
        <f t="shared" si="211"/>
        <v>0</v>
      </c>
      <c r="W105" s="10">
        <f t="shared" si="211"/>
        <v>0</v>
      </c>
      <c r="X105" s="10">
        <f t="shared" si="211"/>
        <v>0</v>
      </c>
      <c r="Y105" s="10">
        <f t="shared" si="211"/>
        <v>0</v>
      </c>
      <c r="Z105" s="10">
        <f t="shared" si="211"/>
        <v>0</v>
      </c>
      <c r="AA105" s="10">
        <f t="shared" si="208"/>
        <v>0</v>
      </c>
      <c r="AB105" s="19">
        <f t="shared" si="186"/>
        <v>0</v>
      </c>
      <c r="AC105" s="10">
        <f t="shared" si="186"/>
        <v>0</v>
      </c>
      <c r="AD105" s="210">
        <f t="shared" si="186"/>
        <v>0</v>
      </c>
      <c r="AE105" s="10">
        <f t="shared" si="186"/>
        <v>0</v>
      </c>
      <c r="AF105" s="10">
        <f t="shared" si="186"/>
        <v>0</v>
      </c>
      <c r="AG105" s="10">
        <f t="shared" si="186"/>
        <v>0</v>
      </c>
      <c r="AH105" s="19">
        <f t="shared" si="197"/>
        <v>0</v>
      </c>
      <c r="AI105" s="10">
        <f t="shared" si="197"/>
        <v>0</v>
      </c>
      <c r="AJ105" s="10">
        <f t="shared" si="197"/>
        <v>0</v>
      </c>
      <c r="AK105" s="10">
        <f t="shared" si="197"/>
        <v>0</v>
      </c>
      <c r="AL105" s="10">
        <f t="shared" si="197"/>
        <v>0</v>
      </c>
      <c r="AM105" s="10">
        <f t="shared" si="199"/>
        <v>0</v>
      </c>
      <c r="AN105" s="19">
        <f t="shared" si="232"/>
        <v>0</v>
      </c>
      <c r="AO105" s="10">
        <f t="shared" si="232"/>
        <v>0</v>
      </c>
      <c r="AP105" s="10">
        <f t="shared" si="232"/>
        <v>0</v>
      </c>
      <c r="AQ105" s="10">
        <f t="shared" si="232"/>
        <v>0</v>
      </c>
      <c r="AR105" s="10">
        <f t="shared" si="232"/>
        <v>0</v>
      </c>
      <c r="AS105" s="10">
        <f t="shared" si="233"/>
        <v>0</v>
      </c>
      <c r="AT105" s="189">
        <f>(5)/165</f>
        <v>3.0303030303030304E-2</v>
      </c>
      <c r="AU105" s="10">
        <f>(10)/165</f>
        <v>6.0606060606060608E-2</v>
      </c>
      <c r="AV105" s="10">
        <f t="shared" si="226"/>
        <v>0</v>
      </c>
      <c r="AW105" s="10">
        <f>(20)/165</f>
        <v>0.12121212121212122</v>
      </c>
      <c r="AX105" s="10">
        <f t="shared" si="226"/>
        <v>0</v>
      </c>
      <c r="AY105" s="10">
        <f t="shared" si="226"/>
        <v>0</v>
      </c>
      <c r="AZ105" s="19">
        <f t="shared" si="177"/>
        <v>0</v>
      </c>
      <c r="BA105" s="10">
        <f t="shared" si="177"/>
        <v>0</v>
      </c>
      <c r="BB105" s="10">
        <f t="shared" si="177"/>
        <v>0</v>
      </c>
      <c r="BC105" s="10">
        <f t="shared" si="177"/>
        <v>0</v>
      </c>
      <c r="BD105" s="10">
        <f t="shared" si="177"/>
        <v>0</v>
      </c>
      <c r="BE105" s="10">
        <f t="shared" si="177"/>
        <v>0</v>
      </c>
      <c r="BF105" s="10">
        <f t="shared" si="177"/>
        <v>0</v>
      </c>
      <c r="BG105" s="19">
        <f t="shared" si="223"/>
        <v>0</v>
      </c>
      <c r="BH105" s="10">
        <f t="shared" si="223"/>
        <v>0</v>
      </c>
      <c r="BI105" s="10">
        <f t="shared" si="223"/>
        <v>0</v>
      </c>
      <c r="BJ105" s="10">
        <f t="shared" si="223"/>
        <v>0</v>
      </c>
      <c r="BK105" s="10">
        <f t="shared" si="223"/>
        <v>0</v>
      </c>
      <c r="BL105" s="10">
        <f t="shared" si="201"/>
        <v>0</v>
      </c>
      <c r="BM105" s="10">
        <f t="shared" si="201"/>
        <v>0</v>
      </c>
      <c r="BN105" s="17">
        <f t="shared" si="201"/>
        <v>0</v>
      </c>
      <c r="BO105" s="19">
        <f t="shared" si="229"/>
        <v>0</v>
      </c>
      <c r="BP105" s="10">
        <f t="shared" si="229"/>
        <v>0</v>
      </c>
      <c r="BQ105" s="10">
        <f t="shared" si="229"/>
        <v>0</v>
      </c>
      <c r="BR105" s="10">
        <f t="shared" si="229"/>
        <v>0</v>
      </c>
      <c r="BS105" s="10">
        <f t="shared" si="229"/>
        <v>0</v>
      </c>
      <c r="BT105" s="10">
        <f t="shared" si="202"/>
        <v>0</v>
      </c>
      <c r="BU105" s="10">
        <f t="shared" si="202"/>
        <v>0</v>
      </c>
      <c r="BV105" s="17">
        <f t="shared" si="202"/>
        <v>0</v>
      </c>
      <c r="BW105" s="71">
        <f t="shared" si="172"/>
        <v>0</v>
      </c>
      <c r="BX105" s="10">
        <f t="shared" si="172"/>
        <v>0</v>
      </c>
      <c r="BY105" s="10">
        <f t="shared" si="172"/>
        <v>0</v>
      </c>
      <c r="BZ105" s="10">
        <f t="shared" si="172"/>
        <v>0</v>
      </c>
      <c r="CA105" s="10">
        <f t="shared" si="172"/>
        <v>0</v>
      </c>
      <c r="CB105" s="10">
        <f t="shared" si="203"/>
        <v>0</v>
      </c>
      <c r="CC105" s="10">
        <f t="shared" si="203"/>
        <v>0</v>
      </c>
      <c r="CD105" s="17">
        <f t="shared" si="203"/>
        <v>0</v>
      </c>
      <c r="CE105" s="19">
        <f t="shared" si="224"/>
        <v>0</v>
      </c>
      <c r="CF105" s="10">
        <f t="shared" si="224"/>
        <v>0</v>
      </c>
      <c r="CG105" s="10">
        <f t="shared" si="224"/>
        <v>0</v>
      </c>
      <c r="CH105" s="10">
        <f t="shared" si="224"/>
        <v>0</v>
      </c>
      <c r="CI105" s="10">
        <f t="shared" si="224"/>
        <v>0</v>
      </c>
      <c r="CJ105" s="10">
        <f t="shared" si="205"/>
        <v>0</v>
      </c>
      <c r="CK105" s="10">
        <f t="shared" si="205"/>
        <v>0</v>
      </c>
      <c r="CL105" s="17">
        <f t="shared" si="205"/>
        <v>0</v>
      </c>
      <c r="CM105" s="19">
        <f t="shared" si="225"/>
        <v>0</v>
      </c>
      <c r="CN105" s="10">
        <f t="shared" si="225"/>
        <v>0</v>
      </c>
      <c r="CO105" s="10">
        <f t="shared" si="225"/>
        <v>0</v>
      </c>
      <c r="CP105" s="10">
        <f t="shared" si="225"/>
        <v>0</v>
      </c>
      <c r="CQ105" s="10">
        <f t="shared" si="225"/>
        <v>0</v>
      </c>
      <c r="CR105" s="10">
        <f t="shared" si="207"/>
        <v>0</v>
      </c>
      <c r="CS105" s="10">
        <f t="shared" si="207"/>
        <v>0</v>
      </c>
      <c r="CT105" s="17">
        <f t="shared" si="207"/>
        <v>0</v>
      </c>
      <c r="CU105" s="235"/>
    </row>
    <row r="106" spans="1:99" ht="26.25" hidden="1" customHeight="1" outlineLevel="1" x14ac:dyDescent="0.4">
      <c r="A106" s="351"/>
      <c r="B106" s="351"/>
      <c r="C106" s="351"/>
      <c r="D106" s="353"/>
      <c r="E106" s="353"/>
      <c r="F106" s="353"/>
      <c r="G106" s="385"/>
      <c r="H106" s="447"/>
      <c r="I106" s="447"/>
      <c r="J106" s="449"/>
      <c r="K106" s="453"/>
      <c r="L106" s="453"/>
      <c r="M106" s="451"/>
      <c r="N106" s="38" t="s">
        <v>25</v>
      </c>
      <c r="O106" s="11">
        <f t="shared" si="194"/>
        <v>0</v>
      </c>
      <c r="P106" s="11">
        <f t="shared" si="194"/>
        <v>0</v>
      </c>
      <c r="Q106" s="11">
        <f t="shared" si="194"/>
        <v>0</v>
      </c>
      <c r="R106" s="11">
        <f t="shared" si="194"/>
        <v>0</v>
      </c>
      <c r="S106" s="11">
        <f t="shared" si="194"/>
        <v>0</v>
      </c>
      <c r="T106" s="11">
        <f t="shared" si="194"/>
        <v>0</v>
      </c>
      <c r="U106" s="48">
        <f t="shared" si="194"/>
        <v>0</v>
      </c>
      <c r="V106" s="56">
        <f t="shared" si="211"/>
        <v>0</v>
      </c>
      <c r="W106" s="18">
        <f t="shared" si="211"/>
        <v>0</v>
      </c>
      <c r="X106" s="18">
        <f t="shared" si="211"/>
        <v>0</v>
      </c>
      <c r="Y106" s="18">
        <f t="shared" si="211"/>
        <v>0</v>
      </c>
      <c r="Z106" s="18">
        <f t="shared" si="211"/>
        <v>0</v>
      </c>
      <c r="AA106" s="18">
        <f t="shared" si="208"/>
        <v>0</v>
      </c>
      <c r="AB106" s="41">
        <f t="shared" si="186"/>
        <v>0</v>
      </c>
      <c r="AC106" s="51">
        <f t="shared" si="186"/>
        <v>0</v>
      </c>
      <c r="AD106" s="11">
        <f t="shared" si="186"/>
        <v>0</v>
      </c>
      <c r="AE106" s="11">
        <f t="shared" si="186"/>
        <v>0</v>
      </c>
      <c r="AF106" s="11">
        <f t="shared" si="186"/>
        <v>0</v>
      </c>
      <c r="AG106" s="18">
        <f t="shared" si="186"/>
        <v>0</v>
      </c>
      <c r="AH106" s="50">
        <f t="shared" si="197"/>
        <v>0</v>
      </c>
      <c r="AI106" s="51">
        <f t="shared" si="197"/>
        <v>0</v>
      </c>
      <c r="AJ106" s="51">
        <f t="shared" si="197"/>
        <v>0</v>
      </c>
      <c r="AK106" s="51">
        <f t="shared" si="197"/>
        <v>0</v>
      </c>
      <c r="AL106" s="51">
        <f t="shared" si="197"/>
        <v>0</v>
      </c>
      <c r="AM106" s="18">
        <f t="shared" si="199"/>
        <v>0</v>
      </c>
      <c r="AN106" s="41">
        <f t="shared" si="232"/>
        <v>0</v>
      </c>
      <c r="AO106" s="11">
        <f t="shared" si="232"/>
        <v>0</v>
      </c>
      <c r="AP106" s="11">
        <f t="shared" si="232"/>
        <v>0</v>
      </c>
      <c r="AQ106" s="11">
        <f t="shared" si="232"/>
        <v>0</v>
      </c>
      <c r="AR106" s="11">
        <f t="shared" si="232"/>
        <v>0</v>
      </c>
      <c r="AS106" s="18">
        <f t="shared" si="233"/>
        <v>0</v>
      </c>
      <c r="AT106" s="61">
        <f>(0+2+1)/165</f>
        <v>1.8181818181818181E-2</v>
      </c>
      <c r="AU106" s="58">
        <f>(0+3.5+3.25+1)/165</f>
        <v>4.6969696969696967E-2</v>
      </c>
      <c r="AV106" s="58">
        <f t="shared" si="226"/>
        <v>0</v>
      </c>
      <c r="AW106" s="58">
        <f>(0+7.5+13)/165</f>
        <v>0.12424242424242424</v>
      </c>
      <c r="AX106" s="58">
        <f t="shared" si="226"/>
        <v>0</v>
      </c>
      <c r="AY106" s="62">
        <f t="shared" si="226"/>
        <v>0</v>
      </c>
      <c r="AZ106" s="61">
        <f t="shared" si="177"/>
        <v>0</v>
      </c>
      <c r="BA106" s="58">
        <f t="shared" si="177"/>
        <v>0</v>
      </c>
      <c r="BB106" s="58">
        <f t="shared" si="177"/>
        <v>0</v>
      </c>
      <c r="BC106" s="58">
        <f t="shared" si="177"/>
        <v>0</v>
      </c>
      <c r="BD106" s="58">
        <f t="shared" si="177"/>
        <v>0</v>
      </c>
      <c r="BE106" s="58">
        <f t="shared" si="177"/>
        <v>0</v>
      </c>
      <c r="BF106" s="58">
        <f t="shared" si="177"/>
        <v>0</v>
      </c>
      <c r="BG106" s="61">
        <f t="shared" si="223"/>
        <v>0</v>
      </c>
      <c r="BH106" s="58">
        <f t="shared" si="223"/>
        <v>0</v>
      </c>
      <c r="BI106" s="58">
        <f t="shared" si="223"/>
        <v>0</v>
      </c>
      <c r="BJ106" s="58">
        <f t="shared" si="223"/>
        <v>0</v>
      </c>
      <c r="BK106" s="58">
        <f t="shared" si="223"/>
        <v>0</v>
      </c>
      <c r="BL106" s="58">
        <f t="shared" si="201"/>
        <v>0</v>
      </c>
      <c r="BM106" s="58">
        <f t="shared" si="201"/>
        <v>0</v>
      </c>
      <c r="BN106" s="62">
        <f t="shared" si="201"/>
        <v>0</v>
      </c>
      <c r="BO106" s="61">
        <f t="shared" si="229"/>
        <v>0</v>
      </c>
      <c r="BP106" s="58">
        <f t="shared" si="229"/>
        <v>0</v>
      </c>
      <c r="BQ106" s="58">
        <f t="shared" si="229"/>
        <v>0</v>
      </c>
      <c r="BR106" s="58">
        <f t="shared" si="229"/>
        <v>0</v>
      </c>
      <c r="BS106" s="58">
        <f t="shared" si="229"/>
        <v>0</v>
      </c>
      <c r="BT106" s="58">
        <f t="shared" si="202"/>
        <v>0</v>
      </c>
      <c r="BU106" s="58">
        <f t="shared" si="202"/>
        <v>0</v>
      </c>
      <c r="BV106" s="62">
        <f t="shared" si="202"/>
        <v>0</v>
      </c>
      <c r="BW106" s="61">
        <f t="shared" si="172"/>
        <v>0</v>
      </c>
      <c r="BX106" s="58">
        <f t="shared" si="172"/>
        <v>0</v>
      </c>
      <c r="BY106" s="58">
        <f t="shared" si="172"/>
        <v>0</v>
      </c>
      <c r="BZ106" s="58">
        <f t="shared" si="172"/>
        <v>0</v>
      </c>
      <c r="CA106" s="58">
        <f t="shared" si="172"/>
        <v>0</v>
      </c>
      <c r="CB106" s="58">
        <f t="shared" si="203"/>
        <v>0</v>
      </c>
      <c r="CC106" s="58">
        <f t="shared" si="203"/>
        <v>0</v>
      </c>
      <c r="CD106" s="62">
        <f t="shared" si="203"/>
        <v>0</v>
      </c>
      <c r="CE106" s="61">
        <f t="shared" si="224"/>
        <v>0</v>
      </c>
      <c r="CF106" s="58">
        <f t="shared" si="224"/>
        <v>0</v>
      </c>
      <c r="CG106" s="58">
        <f t="shared" si="224"/>
        <v>0</v>
      </c>
      <c r="CH106" s="58">
        <f t="shared" si="224"/>
        <v>0</v>
      </c>
      <c r="CI106" s="58">
        <f t="shared" si="224"/>
        <v>0</v>
      </c>
      <c r="CJ106" s="58">
        <f t="shared" si="205"/>
        <v>0</v>
      </c>
      <c r="CK106" s="58">
        <f t="shared" si="205"/>
        <v>0</v>
      </c>
      <c r="CL106" s="62">
        <f t="shared" si="205"/>
        <v>0</v>
      </c>
      <c r="CM106" s="61">
        <f t="shared" si="225"/>
        <v>0</v>
      </c>
      <c r="CN106" s="58">
        <f t="shared" si="225"/>
        <v>0</v>
      </c>
      <c r="CO106" s="58">
        <f t="shared" si="225"/>
        <v>0</v>
      </c>
      <c r="CP106" s="58">
        <f t="shared" si="225"/>
        <v>0</v>
      </c>
      <c r="CQ106" s="58">
        <f t="shared" si="225"/>
        <v>0</v>
      </c>
      <c r="CR106" s="58">
        <f t="shared" si="207"/>
        <v>0</v>
      </c>
      <c r="CS106" s="58">
        <f t="shared" si="207"/>
        <v>0</v>
      </c>
      <c r="CT106" s="62">
        <f t="shared" si="207"/>
        <v>0</v>
      </c>
      <c r="CU106" s="235"/>
    </row>
    <row r="107" spans="1:99" ht="26.25" customHeight="1" collapsed="1" x14ac:dyDescent="0.4">
      <c r="A107" s="350">
        <v>51</v>
      </c>
      <c r="B107" s="350" t="s">
        <v>47</v>
      </c>
      <c r="C107" s="350" t="s">
        <v>343</v>
      </c>
      <c r="D107" s="352" t="s">
        <v>906</v>
      </c>
      <c r="E107" s="352" t="s">
        <v>900</v>
      </c>
      <c r="F107" s="352" t="s">
        <v>904</v>
      </c>
      <c r="G107" s="385" t="s">
        <v>902</v>
      </c>
      <c r="H107" s="446">
        <f t="shared" ref="H107:H114" si="238">SUM(AZ107:BF107)</f>
        <v>4.6666666666666669E-2</v>
      </c>
      <c r="I107" s="446">
        <f t="shared" ref="I107:I114" si="239">SUM(AZ108:BF108)</f>
        <v>1.8333333333333333E-2</v>
      </c>
      <c r="J107" s="448"/>
      <c r="K107" s="452"/>
      <c r="L107" s="452"/>
      <c r="M107" s="450"/>
      <c r="N107" s="47" t="s">
        <v>24</v>
      </c>
      <c r="O107" s="10">
        <f t="shared" ref="O107:U135" si="240">0/127.5</f>
        <v>0</v>
      </c>
      <c r="P107" s="10">
        <f t="shared" si="240"/>
        <v>0</v>
      </c>
      <c r="Q107" s="10">
        <f t="shared" si="240"/>
        <v>0</v>
      </c>
      <c r="R107" s="10">
        <f t="shared" si="240"/>
        <v>0</v>
      </c>
      <c r="S107" s="10">
        <f t="shared" si="240"/>
        <v>0</v>
      </c>
      <c r="T107" s="10">
        <f t="shared" si="240"/>
        <v>0</v>
      </c>
      <c r="U107" s="79">
        <f t="shared" si="240"/>
        <v>0</v>
      </c>
      <c r="V107" s="19">
        <f t="shared" ref="V107:Z138" si="241">0/142.5</f>
        <v>0</v>
      </c>
      <c r="W107" s="10">
        <f t="shared" si="241"/>
        <v>0</v>
      </c>
      <c r="X107" s="10">
        <f t="shared" si="241"/>
        <v>0</v>
      </c>
      <c r="Y107" s="10">
        <f t="shared" si="241"/>
        <v>0</v>
      </c>
      <c r="Z107" s="10">
        <f t="shared" si="241"/>
        <v>0</v>
      </c>
      <c r="AA107" s="10">
        <f t="shared" ref="AA107:AG129" si="242">0/165</f>
        <v>0</v>
      </c>
      <c r="AB107" s="19">
        <f t="shared" si="242"/>
        <v>0</v>
      </c>
      <c r="AC107" s="10">
        <f t="shared" si="242"/>
        <v>0</v>
      </c>
      <c r="AD107" s="210">
        <f t="shared" si="242"/>
        <v>0</v>
      </c>
      <c r="AE107" s="10">
        <f t="shared" si="242"/>
        <v>0</v>
      </c>
      <c r="AF107" s="10">
        <f t="shared" si="242"/>
        <v>0</v>
      </c>
      <c r="AG107" s="10">
        <f t="shared" si="242"/>
        <v>0</v>
      </c>
      <c r="AH107" s="19">
        <f t="shared" ref="AH107:AL122" si="243">0/150</f>
        <v>0</v>
      </c>
      <c r="AI107" s="10">
        <f t="shared" si="243"/>
        <v>0</v>
      </c>
      <c r="AJ107" s="10">
        <f t="shared" si="243"/>
        <v>0</v>
      </c>
      <c r="AK107" s="10">
        <f t="shared" si="243"/>
        <v>0</v>
      </c>
      <c r="AL107" s="10">
        <f t="shared" si="243"/>
        <v>0</v>
      </c>
      <c r="AM107" s="10">
        <f t="shared" ref="AM107:AM138" si="244">0/165</f>
        <v>0</v>
      </c>
      <c r="AN107" s="19">
        <f t="shared" ref="AN107:AR138" si="245">0/157.5</f>
        <v>0</v>
      </c>
      <c r="AO107" s="10">
        <f t="shared" si="245"/>
        <v>0</v>
      </c>
      <c r="AP107" s="10">
        <f t="shared" si="245"/>
        <v>0</v>
      </c>
      <c r="AQ107" s="10">
        <f t="shared" si="245"/>
        <v>0</v>
      </c>
      <c r="AR107" s="10">
        <f t="shared" si="245"/>
        <v>0</v>
      </c>
      <c r="AS107" s="10">
        <f t="shared" ref="AS107:AS138" si="246">0/165</f>
        <v>0</v>
      </c>
      <c r="AT107" s="189">
        <f>(6)/165</f>
        <v>3.6363636363636362E-2</v>
      </c>
      <c r="AU107" s="10">
        <f>(20)/165</f>
        <v>0.12121212121212122</v>
      </c>
      <c r="AV107" s="10">
        <f t="shared" si="226"/>
        <v>0</v>
      </c>
      <c r="AW107" s="10">
        <f t="shared" si="226"/>
        <v>0</v>
      </c>
      <c r="AX107" s="10">
        <f t="shared" si="226"/>
        <v>0</v>
      </c>
      <c r="AY107" s="10">
        <f>(22)/165</f>
        <v>0.13333333333333333</v>
      </c>
      <c r="AZ107" s="19">
        <f>(7)/150</f>
        <v>4.6666666666666669E-2</v>
      </c>
      <c r="BA107" s="10">
        <f t="shared" si="177"/>
        <v>0</v>
      </c>
      <c r="BB107" s="10">
        <f t="shared" si="177"/>
        <v>0</v>
      </c>
      <c r="BC107" s="10">
        <f t="shared" si="177"/>
        <v>0</v>
      </c>
      <c r="BD107" s="10">
        <f t="shared" si="177"/>
        <v>0</v>
      </c>
      <c r="BE107" s="10">
        <f t="shared" si="177"/>
        <v>0</v>
      </c>
      <c r="BF107" s="10">
        <f t="shared" si="177"/>
        <v>0</v>
      </c>
      <c r="BG107" s="19">
        <f t="shared" si="223"/>
        <v>0</v>
      </c>
      <c r="BH107" s="10">
        <f t="shared" si="223"/>
        <v>0</v>
      </c>
      <c r="BI107" s="10">
        <f t="shared" si="223"/>
        <v>0</v>
      </c>
      <c r="BJ107" s="10">
        <f t="shared" si="223"/>
        <v>0</v>
      </c>
      <c r="BK107" s="10">
        <f t="shared" si="223"/>
        <v>0</v>
      </c>
      <c r="BL107" s="10">
        <f t="shared" ref="BL107:BN138" si="247">0/172.5</f>
        <v>0</v>
      </c>
      <c r="BM107" s="10">
        <f t="shared" si="247"/>
        <v>0</v>
      </c>
      <c r="BN107" s="17">
        <f t="shared" si="247"/>
        <v>0</v>
      </c>
      <c r="BO107" s="19">
        <f t="shared" si="229"/>
        <v>0</v>
      </c>
      <c r="BP107" s="10">
        <f t="shared" si="229"/>
        <v>0</v>
      </c>
      <c r="BQ107" s="10">
        <f t="shared" si="229"/>
        <v>0</v>
      </c>
      <c r="BR107" s="10">
        <f t="shared" si="229"/>
        <v>0</v>
      </c>
      <c r="BS107" s="10">
        <f t="shared" si="229"/>
        <v>0</v>
      </c>
      <c r="BT107" s="10">
        <f t="shared" ref="BT107:BV138" si="248">0/172.5</f>
        <v>0</v>
      </c>
      <c r="BU107" s="10">
        <f t="shared" si="248"/>
        <v>0</v>
      </c>
      <c r="BV107" s="17">
        <f t="shared" si="248"/>
        <v>0</v>
      </c>
      <c r="BW107" s="71">
        <f t="shared" ref="BW107:CA138" si="249">0/157.5</f>
        <v>0</v>
      </c>
      <c r="BX107" s="10">
        <f t="shared" si="249"/>
        <v>0</v>
      </c>
      <c r="BY107" s="10">
        <f t="shared" si="249"/>
        <v>0</v>
      </c>
      <c r="BZ107" s="10">
        <f t="shared" si="249"/>
        <v>0</v>
      </c>
      <c r="CA107" s="10">
        <f t="shared" si="249"/>
        <v>0</v>
      </c>
      <c r="CB107" s="10">
        <f t="shared" ref="CB107:CD138" si="250">0/172.5</f>
        <v>0</v>
      </c>
      <c r="CC107" s="10">
        <f t="shared" si="250"/>
        <v>0</v>
      </c>
      <c r="CD107" s="17">
        <f t="shared" si="250"/>
        <v>0</v>
      </c>
      <c r="CE107" s="19">
        <f t="shared" si="224"/>
        <v>0</v>
      </c>
      <c r="CF107" s="10">
        <f t="shared" si="224"/>
        <v>0</v>
      </c>
      <c r="CG107" s="10">
        <f t="shared" si="224"/>
        <v>0</v>
      </c>
      <c r="CH107" s="10">
        <f t="shared" si="224"/>
        <v>0</v>
      </c>
      <c r="CI107" s="10">
        <f t="shared" si="224"/>
        <v>0</v>
      </c>
      <c r="CJ107" s="10">
        <f t="shared" ref="CJ107:CL138" si="251">0/172.5</f>
        <v>0</v>
      </c>
      <c r="CK107" s="10">
        <f t="shared" si="251"/>
        <v>0</v>
      </c>
      <c r="CL107" s="17">
        <f t="shared" si="251"/>
        <v>0</v>
      </c>
      <c r="CM107" s="19">
        <f t="shared" si="225"/>
        <v>0</v>
      </c>
      <c r="CN107" s="10">
        <f t="shared" si="225"/>
        <v>0</v>
      </c>
      <c r="CO107" s="10">
        <f t="shared" si="225"/>
        <v>0</v>
      </c>
      <c r="CP107" s="10">
        <f t="shared" si="225"/>
        <v>0</v>
      </c>
      <c r="CQ107" s="10">
        <f t="shared" si="225"/>
        <v>0</v>
      </c>
      <c r="CR107" s="10">
        <f t="shared" ref="CR107:CT138" si="252">0/172.5</f>
        <v>0</v>
      </c>
      <c r="CS107" s="10">
        <f t="shared" si="252"/>
        <v>0</v>
      </c>
      <c r="CT107" s="17">
        <f t="shared" si="252"/>
        <v>0</v>
      </c>
      <c r="CU107" s="235"/>
    </row>
    <row r="108" spans="1:99" ht="26.25" customHeight="1" x14ac:dyDescent="0.4">
      <c r="A108" s="351"/>
      <c r="B108" s="351"/>
      <c r="C108" s="351"/>
      <c r="D108" s="353"/>
      <c r="E108" s="353"/>
      <c r="F108" s="353"/>
      <c r="G108" s="385"/>
      <c r="H108" s="447"/>
      <c r="I108" s="447"/>
      <c r="J108" s="449"/>
      <c r="K108" s="453"/>
      <c r="L108" s="453"/>
      <c r="M108" s="451"/>
      <c r="N108" s="38" t="s">
        <v>25</v>
      </c>
      <c r="O108" s="11">
        <f t="shared" si="240"/>
        <v>0</v>
      </c>
      <c r="P108" s="11">
        <f t="shared" si="240"/>
        <v>0</v>
      </c>
      <c r="Q108" s="11">
        <f t="shared" si="240"/>
        <v>0</v>
      </c>
      <c r="R108" s="11">
        <f t="shared" si="240"/>
        <v>0</v>
      </c>
      <c r="S108" s="11">
        <f t="shared" si="240"/>
        <v>0</v>
      </c>
      <c r="T108" s="11">
        <f t="shared" si="240"/>
        <v>0</v>
      </c>
      <c r="U108" s="48">
        <f t="shared" si="240"/>
        <v>0</v>
      </c>
      <c r="V108" s="56">
        <f t="shared" si="241"/>
        <v>0</v>
      </c>
      <c r="W108" s="18">
        <f t="shared" si="241"/>
        <v>0</v>
      </c>
      <c r="X108" s="18">
        <f t="shared" si="241"/>
        <v>0</v>
      </c>
      <c r="Y108" s="18">
        <f t="shared" si="241"/>
        <v>0</v>
      </c>
      <c r="Z108" s="18">
        <f t="shared" si="241"/>
        <v>0</v>
      </c>
      <c r="AA108" s="18">
        <f t="shared" si="242"/>
        <v>0</v>
      </c>
      <c r="AB108" s="41">
        <f t="shared" si="242"/>
        <v>0</v>
      </c>
      <c r="AC108" s="51">
        <f t="shared" si="242"/>
        <v>0</v>
      </c>
      <c r="AD108" s="11">
        <f t="shared" si="242"/>
        <v>0</v>
      </c>
      <c r="AE108" s="11">
        <f t="shared" si="242"/>
        <v>0</v>
      </c>
      <c r="AF108" s="11">
        <f t="shared" si="242"/>
        <v>0</v>
      </c>
      <c r="AG108" s="18">
        <f t="shared" si="242"/>
        <v>0</v>
      </c>
      <c r="AH108" s="50">
        <f t="shared" si="243"/>
        <v>0</v>
      </c>
      <c r="AI108" s="51">
        <f t="shared" si="243"/>
        <v>0</v>
      </c>
      <c r="AJ108" s="51">
        <f t="shared" si="243"/>
        <v>0</v>
      </c>
      <c r="AK108" s="51">
        <f t="shared" si="243"/>
        <v>0</v>
      </c>
      <c r="AL108" s="51">
        <f t="shared" si="243"/>
        <v>0</v>
      </c>
      <c r="AM108" s="18">
        <f t="shared" si="244"/>
        <v>0</v>
      </c>
      <c r="AN108" s="41">
        <f t="shared" si="245"/>
        <v>0</v>
      </c>
      <c r="AO108" s="11">
        <f t="shared" si="245"/>
        <v>0</v>
      </c>
      <c r="AP108" s="11">
        <f t="shared" si="245"/>
        <v>0</v>
      </c>
      <c r="AQ108" s="11">
        <f t="shared" si="245"/>
        <v>0</v>
      </c>
      <c r="AR108" s="11">
        <f t="shared" si="245"/>
        <v>0</v>
      </c>
      <c r="AS108" s="18">
        <f t="shared" si="246"/>
        <v>0</v>
      </c>
      <c r="AT108" s="61">
        <f>(0+2+2.5)/165</f>
        <v>2.7272727272727271E-2</v>
      </c>
      <c r="AU108" s="58">
        <f>(0+4+6.25+10.25)/165</f>
        <v>0.12424242424242424</v>
      </c>
      <c r="AV108" s="58">
        <f t="shared" si="226"/>
        <v>0</v>
      </c>
      <c r="AW108" s="58">
        <f t="shared" si="226"/>
        <v>0</v>
      </c>
      <c r="AX108" s="58">
        <f t="shared" si="226"/>
        <v>0</v>
      </c>
      <c r="AY108" s="62">
        <f>(0+4.25+10+6.5)/165</f>
        <v>0.12575757575757576</v>
      </c>
      <c r="AZ108" s="61">
        <f>(0.75)/150</f>
        <v>5.0000000000000001E-3</v>
      </c>
      <c r="BA108" s="58">
        <f>(2)/150</f>
        <v>1.3333333333333334E-2</v>
      </c>
      <c r="BB108" s="58">
        <f t="shared" si="177"/>
        <v>0</v>
      </c>
      <c r="BC108" s="58">
        <f t="shared" si="177"/>
        <v>0</v>
      </c>
      <c r="BD108" s="58">
        <f t="shared" si="177"/>
        <v>0</v>
      </c>
      <c r="BE108" s="58">
        <f t="shared" si="177"/>
        <v>0</v>
      </c>
      <c r="BF108" s="58">
        <f t="shared" si="177"/>
        <v>0</v>
      </c>
      <c r="BG108" s="61">
        <f t="shared" si="223"/>
        <v>0</v>
      </c>
      <c r="BH108" s="58">
        <f t="shared" si="223"/>
        <v>0</v>
      </c>
      <c r="BI108" s="58">
        <f t="shared" si="223"/>
        <v>0</v>
      </c>
      <c r="BJ108" s="58">
        <f t="shared" si="223"/>
        <v>0</v>
      </c>
      <c r="BK108" s="58">
        <f t="shared" si="223"/>
        <v>0</v>
      </c>
      <c r="BL108" s="58">
        <f t="shared" si="247"/>
        <v>0</v>
      </c>
      <c r="BM108" s="58">
        <f t="shared" si="247"/>
        <v>0</v>
      </c>
      <c r="BN108" s="62">
        <f t="shared" si="247"/>
        <v>0</v>
      </c>
      <c r="BO108" s="61">
        <f t="shared" si="229"/>
        <v>0</v>
      </c>
      <c r="BP108" s="58">
        <f t="shared" si="229"/>
        <v>0</v>
      </c>
      <c r="BQ108" s="58">
        <f t="shared" si="229"/>
        <v>0</v>
      </c>
      <c r="BR108" s="58">
        <f t="shared" si="229"/>
        <v>0</v>
      </c>
      <c r="BS108" s="58">
        <f t="shared" si="229"/>
        <v>0</v>
      </c>
      <c r="BT108" s="58">
        <f t="shared" si="248"/>
        <v>0</v>
      </c>
      <c r="BU108" s="58">
        <f t="shared" si="248"/>
        <v>0</v>
      </c>
      <c r="BV108" s="62">
        <f t="shared" si="248"/>
        <v>0</v>
      </c>
      <c r="BW108" s="61">
        <f t="shared" si="249"/>
        <v>0</v>
      </c>
      <c r="BX108" s="58">
        <f t="shared" si="249"/>
        <v>0</v>
      </c>
      <c r="BY108" s="58">
        <f t="shared" si="249"/>
        <v>0</v>
      </c>
      <c r="BZ108" s="58">
        <f t="shared" si="249"/>
        <v>0</v>
      </c>
      <c r="CA108" s="58">
        <f t="shared" si="249"/>
        <v>0</v>
      </c>
      <c r="CB108" s="58">
        <f t="shared" si="250"/>
        <v>0</v>
      </c>
      <c r="CC108" s="58">
        <f t="shared" si="250"/>
        <v>0</v>
      </c>
      <c r="CD108" s="62">
        <f t="shared" si="250"/>
        <v>0</v>
      </c>
      <c r="CE108" s="61">
        <f t="shared" si="224"/>
        <v>0</v>
      </c>
      <c r="CF108" s="58">
        <f t="shared" si="224"/>
        <v>0</v>
      </c>
      <c r="CG108" s="58">
        <f t="shared" si="224"/>
        <v>0</v>
      </c>
      <c r="CH108" s="58">
        <f t="shared" si="224"/>
        <v>0</v>
      </c>
      <c r="CI108" s="58">
        <f t="shared" si="224"/>
        <v>0</v>
      </c>
      <c r="CJ108" s="58">
        <f t="shared" si="251"/>
        <v>0</v>
      </c>
      <c r="CK108" s="58">
        <f t="shared" si="251"/>
        <v>0</v>
      </c>
      <c r="CL108" s="62">
        <f t="shared" si="251"/>
        <v>0</v>
      </c>
      <c r="CM108" s="61">
        <f t="shared" si="225"/>
        <v>0</v>
      </c>
      <c r="CN108" s="58">
        <f t="shared" si="225"/>
        <v>0</v>
      </c>
      <c r="CO108" s="58">
        <f t="shared" si="225"/>
        <v>0</v>
      </c>
      <c r="CP108" s="58">
        <f t="shared" si="225"/>
        <v>0</v>
      </c>
      <c r="CQ108" s="58">
        <f t="shared" si="225"/>
        <v>0</v>
      </c>
      <c r="CR108" s="58">
        <f t="shared" si="252"/>
        <v>0</v>
      </c>
      <c r="CS108" s="58">
        <f t="shared" si="252"/>
        <v>0</v>
      </c>
      <c r="CT108" s="62">
        <f t="shared" si="252"/>
        <v>0</v>
      </c>
      <c r="CU108" s="235"/>
    </row>
    <row r="109" spans="1:99" ht="26.25" hidden="1" customHeight="1" outlineLevel="1" x14ac:dyDescent="0.4">
      <c r="A109" s="350">
        <v>52</v>
      </c>
      <c r="B109" s="350" t="s">
        <v>47</v>
      </c>
      <c r="C109" s="350" t="s">
        <v>14</v>
      </c>
      <c r="D109" s="352" t="s">
        <v>915</v>
      </c>
      <c r="E109" s="352" t="s">
        <v>916</v>
      </c>
      <c r="F109" s="352"/>
      <c r="G109" s="385" t="s">
        <v>917</v>
      </c>
      <c r="H109" s="446">
        <f t="shared" ref="H109:H114" si="253">SUM(AZ109:BF109)</f>
        <v>0</v>
      </c>
      <c r="I109" s="446">
        <f t="shared" ref="I109:I114" si="254">SUM(AZ110:BF110)</f>
        <v>0</v>
      </c>
      <c r="J109" s="448"/>
      <c r="K109" s="452"/>
      <c r="L109" s="452"/>
      <c r="M109" s="450"/>
      <c r="N109" s="47" t="s">
        <v>24</v>
      </c>
      <c r="O109" s="10">
        <f t="shared" si="240"/>
        <v>0</v>
      </c>
      <c r="P109" s="10">
        <f t="shared" si="240"/>
        <v>0</v>
      </c>
      <c r="Q109" s="10">
        <f t="shared" si="240"/>
        <v>0</v>
      </c>
      <c r="R109" s="10">
        <f t="shared" si="240"/>
        <v>0</v>
      </c>
      <c r="S109" s="10">
        <f t="shared" si="240"/>
        <v>0</v>
      </c>
      <c r="T109" s="10">
        <f t="shared" si="240"/>
        <v>0</v>
      </c>
      <c r="U109" s="79">
        <f t="shared" si="240"/>
        <v>0</v>
      </c>
      <c r="V109" s="19">
        <f t="shared" si="241"/>
        <v>0</v>
      </c>
      <c r="W109" s="10">
        <f t="shared" si="241"/>
        <v>0</v>
      </c>
      <c r="X109" s="10">
        <f t="shared" si="241"/>
        <v>0</v>
      </c>
      <c r="Y109" s="10">
        <f t="shared" si="241"/>
        <v>0</v>
      </c>
      <c r="Z109" s="10">
        <f t="shared" si="241"/>
        <v>0</v>
      </c>
      <c r="AA109" s="10">
        <f t="shared" si="242"/>
        <v>0</v>
      </c>
      <c r="AB109" s="19">
        <f t="shared" si="242"/>
        <v>0</v>
      </c>
      <c r="AC109" s="10">
        <f t="shared" si="242"/>
        <v>0</v>
      </c>
      <c r="AD109" s="210">
        <f t="shared" si="242"/>
        <v>0</v>
      </c>
      <c r="AE109" s="10">
        <f t="shared" si="242"/>
        <v>0</v>
      </c>
      <c r="AF109" s="10">
        <f t="shared" si="242"/>
        <v>0</v>
      </c>
      <c r="AG109" s="10">
        <f t="shared" si="242"/>
        <v>0</v>
      </c>
      <c r="AH109" s="19">
        <f t="shared" si="243"/>
        <v>0</v>
      </c>
      <c r="AI109" s="10">
        <f t="shared" si="243"/>
        <v>0</v>
      </c>
      <c r="AJ109" s="10">
        <f t="shared" si="243"/>
        <v>0</v>
      </c>
      <c r="AK109" s="10">
        <f t="shared" si="243"/>
        <v>0</v>
      </c>
      <c r="AL109" s="10">
        <f t="shared" si="243"/>
        <v>0</v>
      </c>
      <c r="AM109" s="10">
        <f t="shared" si="244"/>
        <v>0</v>
      </c>
      <c r="AN109" s="19">
        <f t="shared" si="245"/>
        <v>0</v>
      </c>
      <c r="AO109" s="10">
        <f t="shared" si="245"/>
        <v>0</v>
      </c>
      <c r="AP109" s="10">
        <f t="shared" si="245"/>
        <v>0</v>
      </c>
      <c r="AQ109" s="10">
        <f t="shared" si="245"/>
        <v>0</v>
      </c>
      <c r="AR109" s="10">
        <f t="shared" si="245"/>
        <v>0</v>
      </c>
      <c r="AS109" s="10">
        <f t="shared" si="246"/>
        <v>0</v>
      </c>
      <c r="AT109" s="189">
        <f>(2)/165</f>
        <v>1.2121212121212121E-2</v>
      </c>
      <c r="AU109" s="10">
        <f t="shared" si="226"/>
        <v>0</v>
      </c>
      <c r="AV109" s="10">
        <f>(2.5)/165</f>
        <v>1.5151515151515152E-2</v>
      </c>
      <c r="AW109" s="10">
        <f t="shared" si="226"/>
        <v>0</v>
      </c>
      <c r="AX109" s="10">
        <f t="shared" si="226"/>
        <v>0</v>
      </c>
      <c r="AY109" s="10">
        <f>(2.5)/165</f>
        <v>1.5151515151515152E-2</v>
      </c>
      <c r="AZ109" s="19">
        <f t="shared" si="177"/>
        <v>0</v>
      </c>
      <c r="BA109" s="10">
        <f t="shared" si="177"/>
        <v>0</v>
      </c>
      <c r="BB109" s="10">
        <f t="shared" si="177"/>
        <v>0</v>
      </c>
      <c r="BC109" s="10">
        <f t="shared" si="177"/>
        <v>0</v>
      </c>
      <c r="BD109" s="10">
        <f t="shared" si="177"/>
        <v>0</v>
      </c>
      <c r="BE109" s="10">
        <f t="shared" si="177"/>
        <v>0</v>
      </c>
      <c r="BF109" s="10">
        <f t="shared" si="177"/>
        <v>0</v>
      </c>
      <c r="BG109" s="19">
        <f t="shared" si="223"/>
        <v>0</v>
      </c>
      <c r="BH109" s="10">
        <f t="shared" si="223"/>
        <v>0</v>
      </c>
      <c r="BI109" s="10">
        <f t="shared" si="223"/>
        <v>0</v>
      </c>
      <c r="BJ109" s="10">
        <f t="shared" si="223"/>
        <v>0</v>
      </c>
      <c r="BK109" s="10">
        <f t="shared" si="223"/>
        <v>0</v>
      </c>
      <c r="BL109" s="10">
        <f t="shared" si="247"/>
        <v>0</v>
      </c>
      <c r="BM109" s="10">
        <f t="shared" si="247"/>
        <v>0</v>
      </c>
      <c r="BN109" s="17">
        <f t="shared" si="247"/>
        <v>0</v>
      </c>
      <c r="BO109" s="19">
        <f t="shared" si="229"/>
        <v>0</v>
      </c>
      <c r="BP109" s="10">
        <f t="shared" si="229"/>
        <v>0</v>
      </c>
      <c r="BQ109" s="10">
        <f t="shared" si="229"/>
        <v>0</v>
      </c>
      <c r="BR109" s="10">
        <f t="shared" si="229"/>
        <v>0</v>
      </c>
      <c r="BS109" s="10">
        <f t="shared" si="229"/>
        <v>0</v>
      </c>
      <c r="BT109" s="10">
        <f t="shared" si="248"/>
        <v>0</v>
      </c>
      <c r="BU109" s="10">
        <f t="shared" si="248"/>
        <v>0</v>
      </c>
      <c r="BV109" s="17">
        <f t="shared" si="248"/>
        <v>0</v>
      </c>
      <c r="BW109" s="71">
        <f t="shared" si="249"/>
        <v>0</v>
      </c>
      <c r="BX109" s="10">
        <f t="shared" si="249"/>
        <v>0</v>
      </c>
      <c r="BY109" s="10">
        <f t="shared" si="249"/>
        <v>0</v>
      </c>
      <c r="BZ109" s="10">
        <f t="shared" si="249"/>
        <v>0</v>
      </c>
      <c r="CA109" s="10">
        <f t="shared" si="249"/>
        <v>0</v>
      </c>
      <c r="CB109" s="10">
        <f t="shared" si="250"/>
        <v>0</v>
      </c>
      <c r="CC109" s="10">
        <f t="shared" si="250"/>
        <v>0</v>
      </c>
      <c r="CD109" s="17">
        <f t="shared" si="250"/>
        <v>0</v>
      </c>
      <c r="CE109" s="19">
        <f t="shared" si="224"/>
        <v>0</v>
      </c>
      <c r="CF109" s="10">
        <f t="shared" si="224"/>
        <v>0</v>
      </c>
      <c r="CG109" s="10">
        <f t="shared" si="224"/>
        <v>0</v>
      </c>
      <c r="CH109" s="10">
        <f t="shared" si="224"/>
        <v>0</v>
      </c>
      <c r="CI109" s="10">
        <f t="shared" si="224"/>
        <v>0</v>
      </c>
      <c r="CJ109" s="10">
        <f t="shared" si="251"/>
        <v>0</v>
      </c>
      <c r="CK109" s="10">
        <f t="shared" si="251"/>
        <v>0</v>
      </c>
      <c r="CL109" s="17">
        <f t="shared" si="251"/>
        <v>0</v>
      </c>
      <c r="CM109" s="19">
        <f t="shared" si="225"/>
        <v>0</v>
      </c>
      <c r="CN109" s="10">
        <f t="shared" si="225"/>
        <v>0</v>
      </c>
      <c r="CO109" s="10">
        <f t="shared" si="225"/>
        <v>0</v>
      </c>
      <c r="CP109" s="10">
        <f t="shared" si="225"/>
        <v>0</v>
      </c>
      <c r="CQ109" s="10">
        <f t="shared" si="225"/>
        <v>0</v>
      </c>
      <c r="CR109" s="10">
        <f t="shared" si="252"/>
        <v>0</v>
      </c>
      <c r="CS109" s="10">
        <f t="shared" si="252"/>
        <v>0</v>
      </c>
      <c r="CT109" s="17">
        <f t="shared" si="252"/>
        <v>0</v>
      </c>
      <c r="CU109" s="235"/>
    </row>
    <row r="110" spans="1:99" ht="26.25" hidden="1" customHeight="1" outlineLevel="1" x14ac:dyDescent="0.4">
      <c r="A110" s="351"/>
      <c r="B110" s="351"/>
      <c r="C110" s="351"/>
      <c r="D110" s="353"/>
      <c r="E110" s="353"/>
      <c r="F110" s="353"/>
      <c r="G110" s="385"/>
      <c r="H110" s="447"/>
      <c r="I110" s="447"/>
      <c r="J110" s="449"/>
      <c r="K110" s="453"/>
      <c r="L110" s="453"/>
      <c r="M110" s="451"/>
      <c r="N110" s="38" t="s">
        <v>25</v>
      </c>
      <c r="O110" s="11">
        <f t="shared" si="240"/>
        <v>0</v>
      </c>
      <c r="P110" s="11">
        <f t="shared" si="240"/>
        <v>0</v>
      </c>
      <c r="Q110" s="11">
        <f t="shared" si="240"/>
        <v>0</v>
      </c>
      <c r="R110" s="11">
        <f t="shared" si="240"/>
        <v>0</v>
      </c>
      <c r="S110" s="11">
        <f t="shared" si="240"/>
        <v>0</v>
      </c>
      <c r="T110" s="11">
        <f t="shared" si="240"/>
        <v>0</v>
      </c>
      <c r="U110" s="48">
        <f t="shared" si="240"/>
        <v>0</v>
      </c>
      <c r="V110" s="56">
        <f t="shared" si="241"/>
        <v>0</v>
      </c>
      <c r="W110" s="18">
        <f t="shared" si="241"/>
        <v>0</v>
      </c>
      <c r="X110" s="18">
        <f t="shared" si="241"/>
        <v>0</v>
      </c>
      <c r="Y110" s="18">
        <f t="shared" si="241"/>
        <v>0</v>
      </c>
      <c r="Z110" s="18">
        <f t="shared" si="241"/>
        <v>0</v>
      </c>
      <c r="AA110" s="18">
        <f t="shared" si="242"/>
        <v>0</v>
      </c>
      <c r="AB110" s="41">
        <f t="shared" si="242"/>
        <v>0</v>
      </c>
      <c r="AC110" s="51">
        <f t="shared" si="242"/>
        <v>0</v>
      </c>
      <c r="AD110" s="11">
        <f t="shared" si="242"/>
        <v>0</v>
      </c>
      <c r="AE110" s="11">
        <f t="shared" si="242"/>
        <v>0</v>
      </c>
      <c r="AF110" s="11">
        <f t="shared" si="242"/>
        <v>0</v>
      </c>
      <c r="AG110" s="18">
        <f t="shared" si="242"/>
        <v>0</v>
      </c>
      <c r="AH110" s="50">
        <f t="shared" si="243"/>
        <v>0</v>
      </c>
      <c r="AI110" s="51">
        <f t="shared" si="243"/>
        <v>0</v>
      </c>
      <c r="AJ110" s="51">
        <f t="shared" si="243"/>
        <v>0</v>
      </c>
      <c r="AK110" s="51">
        <f t="shared" si="243"/>
        <v>0</v>
      </c>
      <c r="AL110" s="51">
        <f t="shared" si="243"/>
        <v>0</v>
      </c>
      <c r="AM110" s="18">
        <f t="shared" si="244"/>
        <v>0</v>
      </c>
      <c r="AN110" s="41">
        <f t="shared" si="245"/>
        <v>0</v>
      </c>
      <c r="AO110" s="11">
        <f t="shared" si="245"/>
        <v>0</v>
      </c>
      <c r="AP110" s="11">
        <f t="shared" si="245"/>
        <v>0</v>
      </c>
      <c r="AQ110" s="11">
        <f t="shared" si="245"/>
        <v>0</v>
      </c>
      <c r="AR110" s="11">
        <f t="shared" si="245"/>
        <v>0</v>
      </c>
      <c r="AS110" s="18">
        <f t="shared" si="246"/>
        <v>0</v>
      </c>
      <c r="AT110" s="61">
        <f>(1)/165</f>
        <v>6.0606060606060606E-3</v>
      </c>
      <c r="AU110" s="58">
        <f t="shared" si="226"/>
        <v>0</v>
      </c>
      <c r="AV110" s="58">
        <f>(2)/165</f>
        <v>1.2121212121212121E-2</v>
      </c>
      <c r="AW110" s="58">
        <f t="shared" si="226"/>
        <v>0</v>
      </c>
      <c r="AX110" s="58">
        <f t="shared" si="226"/>
        <v>0</v>
      </c>
      <c r="AY110" s="62">
        <f>(2.25)/165</f>
        <v>1.3636363636363636E-2</v>
      </c>
      <c r="AZ110" s="61">
        <f t="shared" si="177"/>
        <v>0</v>
      </c>
      <c r="BA110" s="58">
        <f t="shared" si="177"/>
        <v>0</v>
      </c>
      <c r="BB110" s="58">
        <f t="shared" si="177"/>
        <v>0</v>
      </c>
      <c r="BC110" s="58">
        <f t="shared" si="177"/>
        <v>0</v>
      </c>
      <c r="BD110" s="58">
        <f t="shared" si="177"/>
        <v>0</v>
      </c>
      <c r="BE110" s="58">
        <f t="shared" si="177"/>
        <v>0</v>
      </c>
      <c r="BF110" s="58">
        <f t="shared" si="177"/>
        <v>0</v>
      </c>
      <c r="BG110" s="61">
        <f t="shared" si="223"/>
        <v>0</v>
      </c>
      <c r="BH110" s="58">
        <f t="shared" si="223"/>
        <v>0</v>
      </c>
      <c r="BI110" s="58">
        <f t="shared" si="223"/>
        <v>0</v>
      </c>
      <c r="BJ110" s="58">
        <f t="shared" si="223"/>
        <v>0</v>
      </c>
      <c r="BK110" s="58">
        <f t="shared" si="223"/>
        <v>0</v>
      </c>
      <c r="BL110" s="58">
        <f t="shared" si="247"/>
        <v>0</v>
      </c>
      <c r="BM110" s="58">
        <f t="shared" si="247"/>
        <v>0</v>
      </c>
      <c r="BN110" s="62">
        <f t="shared" si="247"/>
        <v>0</v>
      </c>
      <c r="BO110" s="61">
        <f t="shared" si="229"/>
        <v>0</v>
      </c>
      <c r="BP110" s="58">
        <f t="shared" si="229"/>
        <v>0</v>
      </c>
      <c r="BQ110" s="58">
        <f t="shared" si="229"/>
        <v>0</v>
      </c>
      <c r="BR110" s="58">
        <f t="shared" si="229"/>
        <v>0</v>
      </c>
      <c r="BS110" s="58">
        <f t="shared" si="229"/>
        <v>0</v>
      </c>
      <c r="BT110" s="58">
        <f t="shared" si="248"/>
        <v>0</v>
      </c>
      <c r="BU110" s="58">
        <f t="shared" si="248"/>
        <v>0</v>
      </c>
      <c r="BV110" s="62">
        <f t="shared" si="248"/>
        <v>0</v>
      </c>
      <c r="BW110" s="61">
        <f t="shared" si="249"/>
        <v>0</v>
      </c>
      <c r="BX110" s="58">
        <f t="shared" si="249"/>
        <v>0</v>
      </c>
      <c r="BY110" s="58">
        <f t="shared" si="249"/>
        <v>0</v>
      </c>
      <c r="BZ110" s="58">
        <f t="shared" si="249"/>
        <v>0</v>
      </c>
      <c r="CA110" s="58">
        <f t="shared" si="249"/>
        <v>0</v>
      </c>
      <c r="CB110" s="58">
        <f t="shared" si="250"/>
        <v>0</v>
      </c>
      <c r="CC110" s="58">
        <f t="shared" si="250"/>
        <v>0</v>
      </c>
      <c r="CD110" s="62">
        <f t="shared" si="250"/>
        <v>0</v>
      </c>
      <c r="CE110" s="61">
        <f t="shared" si="224"/>
        <v>0</v>
      </c>
      <c r="CF110" s="58">
        <f t="shared" si="224"/>
        <v>0</v>
      </c>
      <c r="CG110" s="58">
        <f t="shared" si="224"/>
        <v>0</v>
      </c>
      <c r="CH110" s="58">
        <f t="shared" si="224"/>
        <v>0</v>
      </c>
      <c r="CI110" s="58">
        <f t="shared" si="224"/>
        <v>0</v>
      </c>
      <c r="CJ110" s="58">
        <f t="shared" si="251"/>
        <v>0</v>
      </c>
      <c r="CK110" s="58">
        <f t="shared" si="251"/>
        <v>0</v>
      </c>
      <c r="CL110" s="62">
        <f t="shared" si="251"/>
        <v>0</v>
      </c>
      <c r="CM110" s="61">
        <f t="shared" si="225"/>
        <v>0</v>
      </c>
      <c r="CN110" s="58">
        <f t="shared" si="225"/>
        <v>0</v>
      </c>
      <c r="CO110" s="58">
        <f t="shared" si="225"/>
        <v>0</v>
      </c>
      <c r="CP110" s="58">
        <f t="shared" si="225"/>
        <v>0</v>
      </c>
      <c r="CQ110" s="58">
        <f t="shared" si="225"/>
        <v>0</v>
      </c>
      <c r="CR110" s="58">
        <f t="shared" si="252"/>
        <v>0</v>
      </c>
      <c r="CS110" s="58">
        <f t="shared" si="252"/>
        <v>0</v>
      </c>
      <c r="CT110" s="62">
        <f t="shared" si="252"/>
        <v>0</v>
      </c>
      <c r="CU110" s="235"/>
    </row>
    <row r="111" spans="1:99" ht="26.25" hidden="1" customHeight="1" outlineLevel="1" x14ac:dyDescent="0.4">
      <c r="A111" s="350">
        <v>53</v>
      </c>
      <c r="B111" s="350" t="s">
        <v>47</v>
      </c>
      <c r="C111" s="350" t="s">
        <v>14</v>
      </c>
      <c r="D111" s="352" t="s">
        <v>476</v>
      </c>
      <c r="E111" s="352" t="s">
        <v>926</v>
      </c>
      <c r="F111" s="352"/>
      <c r="G111" s="385" t="s">
        <v>925</v>
      </c>
      <c r="H111" s="446">
        <f t="shared" ref="H111:H114" si="255">SUM(AZ111:BF111)</f>
        <v>0</v>
      </c>
      <c r="I111" s="446">
        <f t="shared" ref="I111:I114" si="256">SUM(AZ112:BF112)</f>
        <v>0</v>
      </c>
      <c r="J111" s="448"/>
      <c r="K111" s="452"/>
      <c r="L111" s="452"/>
      <c r="M111" s="450"/>
      <c r="N111" s="47" t="s">
        <v>24</v>
      </c>
      <c r="O111" s="10">
        <f t="shared" si="240"/>
        <v>0</v>
      </c>
      <c r="P111" s="10">
        <f t="shared" si="240"/>
        <v>0</v>
      </c>
      <c r="Q111" s="10">
        <f t="shared" si="240"/>
        <v>0</v>
      </c>
      <c r="R111" s="10">
        <f t="shared" si="240"/>
        <v>0</v>
      </c>
      <c r="S111" s="10">
        <f t="shared" si="240"/>
        <v>0</v>
      </c>
      <c r="T111" s="10">
        <f t="shared" si="240"/>
        <v>0</v>
      </c>
      <c r="U111" s="79">
        <f t="shared" si="240"/>
        <v>0</v>
      </c>
      <c r="V111" s="19">
        <f t="shared" si="241"/>
        <v>0</v>
      </c>
      <c r="W111" s="10">
        <f t="shared" si="241"/>
        <v>0</v>
      </c>
      <c r="X111" s="10">
        <f t="shared" si="241"/>
        <v>0</v>
      </c>
      <c r="Y111" s="10">
        <f t="shared" si="241"/>
        <v>0</v>
      </c>
      <c r="Z111" s="10">
        <f t="shared" si="241"/>
        <v>0</v>
      </c>
      <c r="AA111" s="10">
        <f t="shared" si="242"/>
        <v>0</v>
      </c>
      <c r="AB111" s="19">
        <f t="shared" si="242"/>
        <v>0</v>
      </c>
      <c r="AC111" s="10">
        <f t="shared" si="242"/>
        <v>0</v>
      </c>
      <c r="AD111" s="210">
        <f t="shared" si="242"/>
        <v>0</v>
      </c>
      <c r="AE111" s="10">
        <f t="shared" si="242"/>
        <v>0</v>
      </c>
      <c r="AF111" s="10">
        <f t="shared" si="242"/>
        <v>0</v>
      </c>
      <c r="AG111" s="10">
        <f t="shared" si="242"/>
        <v>0</v>
      </c>
      <c r="AH111" s="19">
        <f t="shared" si="243"/>
        <v>0</v>
      </c>
      <c r="AI111" s="10">
        <f t="shared" si="243"/>
        <v>0</v>
      </c>
      <c r="AJ111" s="10">
        <f t="shared" si="243"/>
        <v>0</v>
      </c>
      <c r="AK111" s="10">
        <f t="shared" si="243"/>
        <v>0</v>
      </c>
      <c r="AL111" s="10">
        <f t="shared" si="243"/>
        <v>0</v>
      </c>
      <c r="AM111" s="10">
        <f t="shared" si="244"/>
        <v>0</v>
      </c>
      <c r="AN111" s="19">
        <f t="shared" si="245"/>
        <v>0</v>
      </c>
      <c r="AO111" s="10">
        <f t="shared" si="245"/>
        <v>0</v>
      </c>
      <c r="AP111" s="10">
        <f t="shared" si="245"/>
        <v>0</v>
      </c>
      <c r="AQ111" s="10">
        <f t="shared" si="245"/>
        <v>0</v>
      </c>
      <c r="AR111" s="10">
        <f t="shared" si="245"/>
        <v>0</v>
      </c>
      <c r="AS111" s="10">
        <f t="shared" si="246"/>
        <v>0</v>
      </c>
      <c r="AT111" s="189">
        <f>(2)/165</f>
        <v>1.2121212121212121E-2</v>
      </c>
      <c r="AU111" s="10">
        <f t="shared" si="226"/>
        <v>0</v>
      </c>
      <c r="AV111" s="10">
        <f>(2.5)/165</f>
        <v>1.5151515151515152E-2</v>
      </c>
      <c r="AW111" s="10">
        <f t="shared" si="226"/>
        <v>0</v>
      </c>
      <c r="AX111" s="10">
        <f t="shared" si="226"/>
        <v>0</v>
      </c>
      <c r="AY111" s="10">
        <f>(2.5)/165</f>
        <v>1.5151515151515152E-2</v>
      </c>
      <c r="AZ111" s="19">
        <f t="shared" si="177"/>
        <v>0</v>
      </c>
      <c r="BA111" s="10">
        <f t="shared" si="177"/>
        <v>0</v>
      </c>
      <c r="BB111" s="10">
        <f t="shared" si="177"/>
        <v>0</v>
      </c>
      <c r="BC111" s="10">
        <f t="shared" si="177"/>
        <v>0</v>
      </c>
      <c r="BD111" s="10">
        <f t="shared" si="177"/>
        <v>0</v>
      </c>
      <c r="BE111" s="10">
        <f t="shared" si="177"/>
        <v>0</v>
      </c>
      <c r="BF111" s="10">
        <f t="shared" si="177"/>
        <v>0</v>
      </c>
      <c r="BG111" s="19">
        <f t="shared" si="223"/>
        <v>0</v>
      </c>
      <c r="BH111" s="10">
        <f t="shared" si="223"/>
        <v>0</v>
      </c>
      <c r="BI111" s="10">
        <f t="shared" si="223"/>
        <v>0</v>
      </c>
      <c r="BJ111" s="10">
        <f t="shared" si="223"/>
        <v>0</v>
      </c>
      <c r="BK111" s="10">
        <f t="shared" si="223"/>
        <v>0</v>
      </c>
      <c r="BL111" s="10">
        <f t="shared" si="247"/>
        <v>0</v>
      </c>
      <c r="BM111" s="10">
        <f t="shared" si="247"/>
        <v>0</v>
      </c>
      <c r="BN111" s="17">
        <f t="shared" si="247"/>
        <v>0</v>
      </c>
      <c r="BO111" s="19">
        <f t="shared" si="229"/>
        <v>0</v>
      </c>
      <c r="BP111" s="10">
        <f t="shared" si="229"/>
        <v>0</v>
      </c>
      <c r="BQ111" s="10">
        <f t="shared" si="229"/>
        <v>0</v>
      </c>
      <c r="BR111" s="10">
        <f t="shared" si="229"/>
        <v>0</v>
      </c>
      <c r="BS111" s="10">
        <f t="shared" si="229"/>
        <v>0</v>
      </c>
      <c r="BT111" s="10">
        <f t="shared" si="248"/>
        <v>0</v>
      </c>
      <c r="BU111" s="10">
        <f t="shared" si="248"/>
        <v>0</v>
      </c>
      <c r="BV111" s="17">
        <f t="shared" si="248"/>
        <v>0</v>
      </c>
      <c r="BW111" s="71">
        <f t="shared" si="249"/>
        <v>0</v>
      </c>
      <c r="BX111" s="10">
        <f t="shared" si="249"/>
        <v>0</v>
      </c>
      <c r="BY111" s="10">
        <f t="shared" si="249"/>
        <v>0</v>
      </c>
      <c r="BZ111" s="10">
        <f t="shared" si="249"/>
        <v>0</v>
      </c>
      <c r="CA111" s="10">
        <f t="shared" si="249"/>
        <v>0</v>
      </c>
      <c r="CB111" s="10">
        <f t="shared" si="250"/>
        <v>0</v>
      </c>
      <c r="CC111" s="10">
        <f t="shared" si="250"/>
        <v>0</v>
      </c>
      <c r="CD111" s="17">
        <f t="shared" si="250"/>
        <v>0</v>
      </c>
      <c r="CE111" s="19">
        <f t="shared" si="224"/>
        <v>0</v>
      </c>
      <c r="CF111" s="10">
        <f t="shared" si="224"/>
        <v>0</v>
      </c>
      <c r="CG111" s="10">
        <f t="shared" si="224"/>
        <v>0</v>
      </c>
      <c r="CH111" s="10">
        <f t="shared" si="224"/>
        <v>0</v>
      </c>
      <c r="CI111" s="10">
        <f t="shared" si="224"/>
        <v>0</v>
      </c>
      <c r="CJ111" s="10">
        <f t="shared" si="251"/>
        <v>0</v>
      </c>
      <c r="CK111" s="10">
        <f t="shared" si="251"/>
        <v>0</v>
      </c>
      <c r="CL111" s="17">
        <f t="shared" si="251"/>
        <v>0</v>
      </c>
      <c r="CM111" s="19">
        <f t="shared" si="225"/>
        <v>0</v>
      </c>
      <c r="CN111" s="10">
        <f t="shared" si="225"/>
        <v>0</v>
      </c>
      <c r="CO111" s="10">
        <f t="shared" si="225"/>
        <v>0</v>
      </c>
      <c r="CP111" s="10">
        <f t="shared" si="225"/>
        <v>0</v>
      </c>
      <c r="CQ111" s="10">
        <f t="shared" si="225"/>
        <v>0</v>
      </c>
      <c r="CR111" s="10">
        <f t="shared" si="252"/>
        <v>0</v>
      </c>
      <c r="CS111" s="10">
        <f t="shared" si="252"/>
        <v>0</v>
      </c>
      <c r="CT111" s="17">
        <f t="shared" si="252"/>
        <v>0</v>
      </c>
      <c r="CU111" s="235"/>
    </row>
    <row r="112" spans="1:99" ht="26.25" hidden="1" customHeight="1" outlineLevel="1" x14ac:dyDescent="0.4">
      <c r="A112" s="351"/>
      <c r="B112" s="351"/>
      <c r="C112" s="351"/>
      <c r="D112" s="353"/>
      <c r="E112" s="353"/>
      <c r="F112" s="353"/>
      <c r="G112" s="385"/>
      <c r="H112" s="447"/>
      <c r="I112" s="447"/>
      <c r="J112" s="449"/>
      <c r="K112" s="453"/>
      <c r="L112" s="453"/>
      <c r="M112" s="451"/>
      <c r="N112" s="38" t="s">
        <v>25</v>
      </c>
      <c r="O112" s="11">
        <f t="shared" si="240"/>
        <v>0</v>
      </c>
      <c r="P112" s="11">
        <f t="shared" si="240"/>
        <v>0</v>
      </c>
      <c r="Q112" s="11">
        <f t="shared" si="240"/>
        <v>0</v>
      </c>
      <c r="R112" s="11">
        <f t="shared" si="240"/>
        <v>0</v>
      </c>
      <c r="S112" s="11">
        <f t="shared" si="240"/>
        <v>0</v>
      </c>
      <c r="T112" s="11">
        <f t="shared" si="240"/>
        <v>0</v>
      </c>
      <c r="U112" s="48">
        <f t="shared" si="240"/>
        <v>0</v>
      </c>
      <c r="V112" s="56">
        <f t="shared" si="241"/>
        <v>0</v>
      </c>
      <c r="W112" s="18">
        <f t="shared" si="241"/>
        <v>0</v>
      </c>
      <c r="X112" s="18">
        <f t="shared" si="241"/>
        <v>0</v>
      </c>
      <c r="Y112" s="18">
        <f t="shared" si="241"/>
        <v>0</v>
      </c>
      <c r="Z112" s="18">
        <f t="shared" si="241"/>
        <v>0</v>
      </c>
      <c r="AA112" s="18">
        <f t="shared" si="242"/>
        <v>0</v>
      </c>
      <c r="AB112" s="41">
        <f t="shared" si="242"/>
        <v>0</v>
      </c>
      <c r="AC112" s="51">
        <f t="shared" si="242"/>
        <v>0</v>
      </c>
      <c r="AD112" s="11">
        <f t="shared" si="242"/>
        <v>0</v>
      </c>
      <c r="AE112" s="11">
        <f t="shared" si="242"/>
        <v>0</v>
      </c>
      <c r="AF112" s="11">
        <f t="shared" si="242"/>
        <v>0</v>
      </c>
      <c r="AG112" s="18">
        <f t="shared" si="242"/>
        <v>0</v>
      </c>
      <c r="AH112" s="50">
        <f t="shared" si="243"/>
        <v>0</v>
      </c>
      <c r="AI112" s="51">
        <f t="shared" si="243"/>
        <v>0</v>
      </c>
      <c r="AJ112" s="51">
        <f t="shared" si="243"/>
        <v>0</v>
      </c>
      <c r="AK112" s="51">
        <f t="shared" si="243"/>
        <v>0</v>
      </c>
      <c r="AL112" s="51">
        <f t="shared" si="243"/>
        <v>0</v>
      </c>
      <c r="AM112" s="18">
        <f t="shared" si="244"/>
        <v>0</v>
      </c>
      <c r="AN112" s="41">
        <f t="shared" si="245"/>
        <v>0</v>
      </c>
      <c r="AO112" s="11">
        <f t="shared" si="245"/>
        <v>0</v>
      </c>
      <c r="AP112" s="11">
        <f t="shared" si="245"/>
        <v>0</v>
      </c>
      <c r="AQ112" s="11">
        <f t="shared" si="245"/>
        <v>0</v>
      </c>
      <c r="AR112" s="11">
        <f t="shared" si="245"/>
        <v>0</v>
      </c>
      <c r="AS112" s="18">
        <f t="shared" si="246"/>
        <v>0</v>
      </c>
      <c r="AT112" s="61">
        <f>(0+2)/165</f>
        <v>1.2121212121212121E-2</v>
      </c>
      <c r="AU112" s="58">
        <f t="shared" si="226"/>
        <v>0</v>
      </c>
      <c r="AV112" s="58">
        <f>(0+1)/165</f>
        <v>6.0606060606060606E-3</v>
      </c>
      <c r="AW112" s="58">
        <f t="shared" si="226"/>
        <v>0</v>
      </c>
      <c r="AX112" s="58">
        <f t="shared" si="226"/>
        <v>0</v>
      </c>
      <c r="AY112" s="62">
        <f>(0+2)/165</f>
        <v>1.2121212121212121E-2</v>
      </c>
      <c r="AZ112" s="61">
        <f t="shared" si="177"/>
        <v>0</v>
      </c>
      <c r="BA112" s="58">
        <f t="shared" si="177"/>
        <v>0</v>
      </c>
      <c r="BB112" s="58">
        <f t="shared" si="177"/>
        <v>0</v>
      </c>
      <c r="BC112" s="58">
        <f t="shared" si="177"/>
        <v>0</v>
      </c>
      <c r="BD112" s="58">
        <f t="shared" si="177"/>
        <v>0</v>
      </c>
      <c r="BE112" s="58">
        <f t="shared" si="177"/>
        <v>0</v>
      </c>
      <c r="BF112" s="58">
        <f t="shared" si="177"/>
        <v>0</v>
      </c>
      <c r="BG112" s="61">
        <f t="shared" si="223"/>
        <v>0</v>
      </c>
      <c r="BH112" s="58">
        <f t="shared" si="223"/>
        <v>0</v>
      </c>
      <c r="BI112" s="58">
        <f t="shared" si="223"/>
        <v>0</v>
      </c>
      <c r="BJ112" s="58">
        <f t="shared" si="223"/>
        <v>0</v>
      </c>
      <c r="BK112" s="58">
        <f t="shared" si="223"/>
        <v>0</v>
      </c>
      <c r="BL112" s="58">
        <f t="shared" si="247"/>
        <v>0</v>
      </c>
      <c r="BM112" s="58">
        <f t="shared" si="247"/>
        <v>0</v>
      </c>
      <c r="BN112" s="62">
        <f t="shared" si="247"/>
        <v>0</v>
      </c>
      <c r="BO112" s="61">
        <f t="shared" si="229"/>
        <v>0</v>
      </c>
      <c r="BP112" s="58">
        <f t="shared" si="229"/>
        <v>0</v>
      </c>
      <c r="BQ112" s="58">
        <f t="shared" si="229"/>
        <v>0</v>
      </c>
      <c r="BR112" s="58">
        <f t="shared" si="229"/>
        <v>0</v>
      </c>
      <c r="BS112" s="58">
        <f t="shared" si="229"/>
        <v>0</v>
      </c>
      <c r="BT112" s="58">
        <f t="shared" si="248"/>
        <v>0</v>
      </c>
      <c r="BU112" s="58">
        <f t="shared" si="248"/>
        <v>0</v>
      </c>
      <c r="BV112" s="62">
        <f t="shared" si="248"/>
        <v>0</v>
      </c>
      <c r="BW112" s="61">
        <f t="shared" si="249"/>
        <v>0</v>
      </c>
      <c r="BX112" s="58">
        <f t="shared" si="249"/>
        <v>0</v>
      </c>
      <c r="BY112" s="58">
        <f t="shared" si="249"/>
        <v>0</v>
      </c>
      <c r="BZ112" s="58">
        <f t="shared" si="249"/>
        <v>0</v>
      </c>
      <c r="CA112" s="58">
        <f t="shared" si="249"/>
        <v>0</v>
      </c>
      <c r="CB112" s="58">
        <f t="shared" si="250"/>
        <v>0</v>
      </c>
      <c r="CC112" s="58">
        <f t="shared" si="250"/>
        <v>0</v>
      </c>
      <c r="CD112" s="62">
        <f t="shared" si="250"/>
        <v>0</v>
      </c>
      <c r="CE112" s="61">
        <f t="shared" si="224"/>
        <v>0</v>
      </c>
      <c r="CF112" s="58">
        <f t="shared" si="224"/>
        <v>0</v>
      </c>
      <c r="CG112" s="58">
        <f t="shared" si="224"/>
        <v>0</v>
      </c>
      <c r="CH112" s="58">
        <f t="shared" si="224"/>
        <v>0</v>
      </c>
      <c r="CI112" s="58">
        <f t="shared" si="224"/>
        <v>0</v>
      </c>
      <c r="CJ112" s="58">
        <f t="shared" si="251"/>
        <v>0</v>
      </c>
      <c r="CK112" s="58">
        <f t="shared" si="251"/>
        <v>0</v>
      </c>
      <c r="CL112" s="62">
        <f t="shared" si="251"/>
        <v>0</v>
      </c>
      <c r="CM112" s="61">
        <f t="shared" si="225"/>
        <v>0</v>
      </c>
      <c r="CN112" s="58">
        <f t="shared" si="225"/>
        <v>0</v>
      </c>
      <c r="CO112" s="58">
        <f t="shared" si="225"/>
        <v>0</v>
      </c>
      <c r="CP112" s="58">
        <f t="shared" si="225"/>
        <v>0</v>
      </c>
      <c r="CQ112" s="58">
        <f t="shared" si="225"/>
        <v>0</v>
      </c>
      <c r="CR112" s="58">
        <f t="shared" si="252"/>
        <v>0</v>
      </c>
      <c r="CS112" s="58">
        <f t="shared" si="252"/>
        <v>0</v>
      </c>
      <c r="CT112" s="62">
        <f t="shared" si="252"/>
        <v>0</v>
      </c>
      <c r="CU112" s="235"/>
    </row>
    <row r="113" spans="1:99" ht="26.25" customHeight="1" collapsed="1" x14ac:dyDescent="0.4">
      <c r="A113" s="350">
        <v>54</v>
      </c>
      <c r="B113" s="350" t="s">
        <v>46</v>
      </c>
      <c r="C113" s="350" t="s">
        <v>14</v>
      </c>
      <c r="D113" s="352" t="s">
        <v>544</v>
      </c>
      <c r="E113" s="352" t="s">
        <v>934</v>
      </c>
      <c r="F113" s="352"/>
      <c r="G113" s="385" t="s">
        <v>932</v>
      </c>
      <c r="H113" s="446">
        <f>SUM(AZ113:BF113)</f>
        <v>0.18</v>
      </c>
      <c r="I113" s="446">
        <f t="shared" ref="I113:I114" si="257">SUM(AZ114:BF114)</f>
        <v>0.27166666666666667</v>
      </c>
      <c r="J113" s="448"/>
      <c r="K113" s="452"/>
      <c r="L113" s="452"/>
      <c r="M113" s="450"/>
      <c r="N113" s="47" t="s">
        <v>24</v>
      </c>
      <c r="O113" s="10">
        <f t="shared" si="240"/>
        <v>0</v>
      </c>
      <c r="P113" s="10">
        <f t="shared" si="240"/>
        <v>0</v>
      </c>
      <c r="Q113" s="10">
        <f t="shared" si="240"/>
        <v>0</v>
      </c>
      <c r="R113" s="10">
        <f t="shared" si="240"/>
        <v>0</v>
      </c>
      <c r="S113" s="10">
        <f t="shared" si="240"/>
        <v>0</v>
      </c>
      <c r="T113" s="10">
        <f t="shared" si="240"/>
        <v>0</v>
      </c>
      <c r="U113" s="79">
        <f t="shared" si="240"/>
        <v>0</v>
      </c>
      <c r="V113" s="19">
        <f t="shared" si="241"/>
        <v>0</v>
      </c>
      <c r="W113" s="10">
        <f t="shared" si="241"/>
        <v>0</v>
      </c>
      <c r="X113" s="10">
        <f t="shared" si="241"/>
        <v>0</v>
      </c>
      <c r="Y113" s="10">
        <f t="shared" si="241"/>
        <v>0</v>
      </c>
      <c r="Z113" s="10">
        <f t="shared" si="241"/>
        <v>0</v>
      </c>
      <c r="AA113" s="10">
        <f t="shared" si="242"/>
        <v>0</v>
      </c>
      <c r="AB113" s="19">
        <f t="shared" si="242"/>
        <v>0</v>
      </c>
      <c r="AC113" s="10">
        <f t="shared" si="242"/>
        <v>0</v>
      </c>
      <c r="AD113" s="210">
        <f t="shared" si="242"/>
        <v>0</v>
      </c>
      <c r="AE113" s="10">
        <f t="shared" si="242"/>
        <v>0</v>
      </c>
      <c r="AF113" s="10">
        <f t="shared" si="242"/>
        <v>0</v>
      </c>
      <c r="AG113" s="10">
        <f t="shared" si="242"/>
        <v>0</v>
      </c>
      <c r="AH113" s="19">
        <f t="shared" si="243"/>
        <v>0</v>
      </c>
      <c r="AI113" s="10">
        <f t="shared" si="243"/>
        <v>0</v>
      </c>
      <c r="AJ113" s="10">
        <f t="shared" si="243"/>
        <v>0</v>
      </c>
      <c r="AK113" s="10">
        <f t="shared" si="243"/>
        <v>0</v>
      </c>
      <c r="AL113" s="10">
        <f t="shared" si="243"/>
        <v>0</v>
      </c>
      <c r="AM113" s="10">
        <f t="shared" si="244"/>
        <v>0</v>
      </c>
      <c r="AN113" s="19">
        <f t="shared" si="245"/>
        <v>0</v>
      </c>
      <c r="AO113" s="10">
        <f t="shared" si="245"/>
        <v>0</v>
      </c>
      <c r="AP113" s="10">
        <f t="shared" si="245"/>
        <v>0</v>
      </c>
      <c r="AQ113" s="10">
        <f t="shared" si="245"/>
        <v>0</v>
      </c>
      <c r="AR113" s="10">
        <f t="shared" si="245"/>
        <v>0</v>
      </c>
      <c r="AS113" s="10">
        <f t="shared" si="246"/>
        <v>0</v>
      </c>
      <c r="AT113" s="189">
        <f>(5)/165</f>
        <v>3.0303030303030304E-2</v>
      </c>
      <c r="AU113" s="10">
        <f>(10)/165</f>
        <v>6.0606060606060608E-2</v>
      </c>
      <c r="AV113" s="10">
        <f t="shared" si="226"/>
        <v>0</v>
      </c>
      <c r="AW113" s="10">
        <f t="shared" si="226"/>
        <v>0</v>
      </c>
      <c r="AX113" s="10">
        <f t="shared" si="226"/>
        <v>0</v>
      </c>
      <c r="AY113" s="10">
        <f t="shared" si="226"/>
        <v>0</v>
      </c>
      <c r="AZ113" s="19">
        <f>(7)/150</f>
        <v>4.6666666666666669E-2</v>
      </c>
      <c r="BA113" s="10">
        <f t="shared" si="177"/>
        <v>0</v>
      </c>
      <c r="BB113" s="10">
        <f t="shared" si="177"/>
        <v>0</v>
      </c>
      <c r="BC113" s="10">
        <f>(20)/150</f>
        <v>0.13333333333333333</v>
      </c>
      <c r="BD113" s="10">
        <f t="shared" ref="BB113:BF126" si="258">(0)/150</f>
        <v>0</v>
      </c>
      <c r="BE113" s="10">
        <f t="shared" si="258"/>
        <v>0</v>
      </c>
      <c r="BF113" s="10">
        <f t="shared" si="258"/>
        <v>0</v>
      </c>
      <c r="BG113" s="19">
        <f t="shared" ref="BG113:BK128" si="259">0/142.5</f>
        <v>0</v>
      </c>
      <c r="BH113" s="10">
        <f t="shared" si="259"/>
        <v>0</v>
      </c>
      <c r="BI113" s="10">
        <f t="shared" si="259"/>
        <v>0</v>
      </c>
      <c r="BJ113" s="10">
        <f t="shared" si="259"/>
        <v>0</v>
      </c>
      <c r="BK113" s="10">
        <f t="shared" si="259"/>
        <v>0</v>
      </c>
      <c r="BL113" s="10">
        <f t="shared" si="247"/>
        <v>0</v>
      </c>
      <c r="BM113" s="10">
        <f t="shared" si="247"/>
        <v>0</v>
      </c>
      <c r="BN113" s="17">
        <f t="shared" si="247"/>
        <v>0</v>
      </c>
      <c r="BO113" s="19">
        <f t="shared" si="229"/>
        <v>0</v>
      </c>
      <c r="BP113" s="10">
        <f t="shared" si="229"/>
        <v>0</v>
      </c>
      <c r="BQ113" s="10">
        <f t="shared" si="229"/>
        <v>0</v>
      </c>
      <c r="BR113" s="10">
        <f t="shared" si="229"/>
        <v>0</v>
      </c>
      <c r="BS113" s="10">
        <f t="shared" si="229"/>
        <v>0</v>
      </c>
      <c r="BT113" s="10">
        <f t="shared" si="248"/>
        <v>0</v>
      </c>
      <c r="BU113" s="10">
        <f t="shared" si="248"/>
        <v>0</v>
      </c>
      <c r="BV113" s="17">
        <f t="shared" si="248"/>
        <v>0</v>
      </c>
      <c r="BW113" s="71">
        <f t="shared" si="249"/>
        <v>0</v>
      </c>
      <c r="BX113" s="10">
        <f t="shared" si="249"/>
        <v>0</v>
      </c>
      <c r="BY113" s="10">
        <f t="shared" si="249"/>
        <v>0</v>
      </c>
      <c r="BZ113" s="10">
        <f t="shared" si="249"/>
        <v>0</v>
      </c>
      <c r="CA113" s="10">
        <f t="shared" si="249"/>
        <v>0</v>
      </c>
      <c r="CB113" s="10">
        <f t="shared" si="250"/>
        <v>0</v>
      </c>
      <c r="CC113" s="10">
        <f t="shared" si="250"/>
        <v>0</v>
      </c>
      <c r="CD113" s="17">
        <f t="shared" si="250"/>
        <v>0</v>
      </c>
      <c r="CE113" s="19">
        <f t="shared" ref="CE113:CI128" si="260">0/157.5</f>
        <v>0</v>
      </c>
      <c r="CF113" s="10">
        <f t="shared" si="260"/>
        <v>0</v>
      </c>
      <c r="CG113" s="10">
        <f t="shared" si="260"/>
        <v>0</v>
      </c>
      <c r="CH113" s="10">
        <f t="shared" si="260"/>
        <v>0</v>
      </c>
      <c r="CI113" s="10">
        <f t="shared" si="260"/>
        <v>0</v>
      </c>
      <c r="CJ113" s="10">
        <f t="shared" si="251"/>
        <v>0</v>
      </c>
      <c r="CK113" s="10">
        <f t="shared" si="251"/>
        <v>0</v>
      </c>
      <c r="CL113" s="17">
        <f t="shared" si="251"/>
        <v>0</v>
      </c>
      <c r="CM113" s="19">
        <f t="shared" ref="CM113:CQ128" si="261">0/142.5</f>
        <v>0</v>
      </c>
      <c r="CN113" s="10">
        <f t="shared" si="261"/>
        <v>0</v>
      </c>
      <c r="CO113" s="10">
        <f t="shared" si="261"/>
        <v>0</v>
      </c>
      <c r="CP113" s="10">
        <f t="shared" si="261"/>
        <v>0</v>
      </c>
      <c r="CQ113" s="10">
        <f t="shared" si="261"/>
        <v>0</v>
      </c>
      <c r="CR113" s="10">
        <f t="shared" si="252"/>
        <v>0</v>
      </c>
      <c r="CS113" s="10">
        <f t="shared" si="252"/>
        <v>0</v>
      </c>
      <c r="CT113" s="17">
        <f t="shared" si="252"/>
        <v>0</v>
      </c>
      <c r="CU113" s="235"/>
    </row>
    <row r="114" spans="1:99" ht="26.25" customHeight="1" x14ac:dyDescent="0.4">
      <c r="A114" s="351"/>
      <c r="B114" s="351"/>
      <c r="C114" s="351"/>
      <c r="D114" s="353"/>
      <c r="E114" s="353"/>
      <c r="F114" s="353"/>
      <c r="G114" s="385"/>
      <c r="H114" s="447"/>
      <c r="I114" s="447"/>
      <c r="J114" s="449"/>
      <c r="K114" s="453"/>
      <c r="L114" s="453"/>
      <c r="M114" s="451"/>
      <c r="N114" s="38" t="s">
        <v>25</v>
      </c>
      <c r="O114" s="11">
        <f t="shared" si="240"/>
        <v>0</v>
      </c>
      <c r="P114" s="11">
        <f t="shared" si="240"/>
        <v>0</v>
      </c>
      <c r="Q114" s="11">
        <f t="shared" si="240"/>
        <v>0</v>
      </c>
      <c r="R114" s="11">
        <f t="shared" si="240"/>
        <v>0</v>
      </c>
      <c r="S114" s="11">
        <f t="shared" si="240"/>
        <v>0</v>
      </c>
      <c r="T114" s="11">
        <f t="shared" si="240"/>
        <v>0</v>
      </c>
      <c r="U114" s="48">
        <f t="shared" si="240"/>
        <v>0</v>
      </c>
      <c r="V114" s="56">
        <f t="shared" si="241"/>
        <v>0</v>
      </c>
      <c r="W114" s="18">
        <f t="shared" si="241"/>
        <v>0</v>
      </c>
      <c r="X114" s="18">
        <f t="shared" si="241"/>
        <v>0</v>
      </c>
      <c r="Y114" s="18">
        <f t="shared" si="241"/>
        <v>0</v>
      </c>
      <c r="Z114" s="18">
        <f t="shared" si="241"/>
        <v>0</v>
      </c>
      <c r="AA114" s="18">
        <f t="shared" si="242"/>
        <v>0</v>
      </c>
      <c r="AB114" s="41">
        <f t="shared" si="242"/>
        <v>0</v>
      </c>
      <c r="AC114" s="51">
        <f t="shared" si="242"/>
        <v>0</v>
      </c>
      <c r="AD114" s="11">
        <f t="shared" si="242"/>
        <v>0</v>
      </c>
      <c r="AE114" s="11">
        <f t="shared" si="242"/>
        <v>0</v>
      </c>
      <c r="AF114" s="11">
        <f t="shared" si="242"/>
        <v>0</v>
      </c>
      <c r="AG114" s="18">
        <f t="shared" si="242"/>
        <v>0</v>
      </c>
      <c r="AH114" s="50">
        <f t="shared" si="243"/>
        <v>0</v>
      </c>
      <c r="AI114" s="51">
        <f t="shared" si="243"/>
        <v>0</v>
      </c>
      <c r="AJ114" s="51">
        <f t="shared" si="243"/>
        <v>0</v>
      </c>
      <c r="AK114" s="51">
        <f t="shared" si="243"/>
        <v>0</v>
      </c>
      <c r="AL114" s="51">
        <f t="shared" si="243"/>
        <v>0</v>
      </c>
      <c r="AM114" s="18">
        <f t="shared" si="244"/>
        <v>0</v>
      </c>
      <c r="AN114" s="41">
        <f t="shared" si="245"/>
        <v>0</v>
      </c>
      <c r="AO114" s="11">
        <f t="shared" si="245"/>
        <v>0</v>
      </c>
      <c r="AP114" s="11">
        <f t="shared" si="245"/>
        <v>0</v>
      </c>
      <c r="AQ114" s="11">
        <f t="shared" si="245"/>
        <v>0</v>
      </c>
      <c r="AR114" s="11">
        <f t="shared" si="245"/>
        <v>0</v>
      </c>
      <c r="AS114" s="18">
        <f t="shared" si="246"/>
        <v>0</v>
      </c>
      <c r="AT114" s="61">
        <f t="shared" ref="AT114:AY114" si="262">(0)/165</f>
        <v>0</v>
      </c>
      <c r="AU114" s="58">
        <f>(12)/165</f>
        <v>7.2727272727272724E-2</v>
      </c>
      <c r="AV114" s="58">
        <f t="shared" si="262"/>
        <v>0</v>
      </c>
      <c r="AW114" s="58">
        <f t="shared" si="262"/>
        <v>0</v>
      </c>
      <c r="AX114" s="58">
        <f t="shared" si="262"/>
        <v>0</v>
      </c>
      <c r="AY114" s="62">
        <f t="shared" si="262"/>
        <v>0</v>
      </c>
      <c r="AZ114" s="61">
        <f>(2.25)/150</f>
        <v>1.4999999999999999E-2</v>
      </c>
      <c r="BA114" s="58">
        <f>(12.25)/150</f>
        <v>8.1666666666666665E-2</v>
      </c>
      <c r="BB114" s="58">
        <f t="shared" si="258"/>
        <v>0</v>
      </c>
      <c r="BC114" s="58">
        <f>(26.25)/150</f>
        <v>0.17499999999999999</v>
      </c>
      <c r="BD114" s="58">
        <f t="shared" si="258"/>
        <v>0</v>
      </c>
      <c r="BE114" s="58">
        <f t="shared" si="258"/>
        <v>0</v>
      </c>
      <c r="BF114" s="58">
        <f t="shared" si="258"/>
        <v>0</v>
      </c>
      <c r="BG114" s="61">
        <f t="shared" si="259"/>
        <v>0</v>
      </c>
      <c r="BH114" s="58">
        <f t="shared" si="259"/>
        <v>0</v>
      </c>
      <c r="BI114" s="58">
        <f t="shared" si="259"/>
        <v>0</v>
      </c>
      <c r="BJ114" s="58">
        <f t="shared" si="259"/>
        <v>0</v>
      </c>
      <c r="BK114" s="58">
        <f t="shared" si="259"/>
        <v>0</v>
      </c>
      <c r="BL114" s="58">
        <f t="shared" si="247"/>
        <v>0</v>
      </c>
      <c r="BM114" s="58">
        <f t="shared" si="247"/>
        <v>0</v>
      </c>
      <c r="BN114" s="62">
        <f t="shared" si="247"/>
        <v>0</v>
      </c>
      <c r="BO114" s="61">
        <f t="shared" si="229"/>
        <v>0</v>
      </c>
      <c r="BP114" s="58">
        <f t="shared" si="229"/>
        <v>0</v>
      </c>
      <c r="BQ114" s="58">
        <f t="shared" si="229"/>
        <v>0</v>
      </c>
      <c r="BR114" s="58">
        <f t="shared" si="229"/>
        <v>0</v>
      </c>
      <c r="BS114" s="58">
        <f t="shared" si="229"/>
        <v>0</v>
      </c>
      <c r="BT114" s="58">
        <f t="shared" si="248"/>
        <v>0</v>
      </c>
      <c r="BU114" s="58">
        <f t="shared" si="248"/>
        <v>0</v>
      </c>
      <c r="BV114" s="62">
        <f t="shared" si="248"/>
        <v>0</v>
      </c>
      <c r="BW114" s="61">
        <f t="shared" si="249"/>
        <v>0</v>
      </c>
      <c r="BX114" s="58">
        <f t="shared" si="249"/>
        <v>0</v>
      </c>
      <c r="BY114" s="58">
        <f t="shared" si="249"/>
        <v>0</v>
      </c>
      <c r="BZ114" s="58">
        <f t="shared" si="249"/>
        <v>0</v>
      </c>
      <c r="CA114" s="58">
        <f t="shared" si="249"/>
        <v>0</v>
      </c>
      <c r="CB114" s="58">
        <f t="shared" si="250"/>
        <v>0</v>
      </c>
      <c r="CC114" s="58">
        <f t="shared" si="250"/>
        <v>0</v>
      </c>
      <c r="CD114" s="62">
        <f t="shared" si="250"/>
        <v>0</v>
      </c>
      <c r="CE114" s="61">
        <f t="shared" si="260"/>
        <v>0</v>
      </c>
      <c r="CF114" s="58">
        <f t="shared" si="260"/>
        <v>0</v>
      </c>
      <c r="CG114" s="58">
        <f t="shared" si="260"/>
        <v>0</v>
      </c>
      <c r="CH114" s="58">
        <f t="shared" si="260"/>
        <v>0</v>
      </c>
      <c r="CI114" s="58">
        <f t="shared" si="260"/>
        <v>0</v>
      </c>
      <c r="CJ114" s="58">
        <f t="shared" si="251"/>
        <v>0</v>
      </c>
      <c r="CK114" s="58">
        <f t="shared" si="251"/>
        <v>0</v>
      </c>
      <c r="CL114" s="62">
        <f t="shared" si="251"/>
        <v>0</v>
      </c>
      <c r="CM114" s="61">
        <f t="shared" si="261"/>
        <v>0</v>
      </c>
      <c r="CN114" s="58">
        <f t="shared" si="261"/>
        <v>0</v>
      </c>
      <c r="CO114" s="58">
        <f t="shared" si="261"/>
        <v>0</v>
      </c>
      <c r="CP114" s="58">
        <f t="shared" si="261"/>
        <v>0</v>
      </c>
      <c r="CQ114" s="58">
        <f t="shared" si="261"/>
        <v>0</v>
      </c>
      <c r="CR114" s="58">
        <f t="shared" si="252"/>
        <v>0</v>
      </c>
      <c r="CS114" s="58">
        <f t="shared" si="252"/>
        <v>0</v>
      </c>
      <c r="CT114" s="62">
        <f t="shared" si="252"/>
        <v>0</v>
      </c>
      <c r="CU114" s="235"/>
    </row>
    <row r="115" spans="1:99" ht="26.25" customHeight="1" x14ac:dyDescent="0.4">
      <c r="A115" s="350">
        <v>55</v>
      </c>
      <c r="B115" s="350" t="s">
        <v>46</v>
      </c>
      <c r="C115" s="350" t="s">
        <v>14</v>
      </c>
      <c r="D115" s="352" t="s">
        <v>954</v>
      </c>
      <c r="E115" s="352" t="s">
        <v>953</v>
      </c>
      <c r="F115" s="352"/>
      <c r="G115" s="375" t="s">
        <v>952</v>
      </c>
      <c r="H115" s="446">
        <f t="shared" ref="H115:H126" si="263">SUM(AZ115:BF115)</f>
        <v>0.31333333333333335</v>
      </c>
      <c r="I115" s="446">
        <f t="shared" ref="I115:I126" si="264">SUM(AZ116:BF116)</f>
        <v>0.13500000000000001</v>
      </c>
      <c r="J115" s="448"/>
      <c r="K115" s="452"/>
      <c r="L115" s="452"/>
      <c r="M115" s="481"/>
      <c r="N115" s="47" t="s">
        <v>24</v>
      </c>
      <c r="O115" s="10">
        <f t="shared" si="240"/>
        <v>0</v>
      </c>
      <c r="P115" s="10">
        <f t="shared" si="240"/>
        <v>0</v>
      </c>
      <c r="Q115" s="10">
        <f t="shared" si="240"/>
        <v>0</v>
      </c>
      <c r="R115" s="10">
        <f t="shared" si="240"/>
        <v>0</v>
      </c>
      <c r="S115" s="10">
        <f t="shared" si="240"/>
        <v>0</v>
      </c>
      <c r="T115" s="10">
        <f t="shared" si="240"/>
        <v>0</v>
      </c>
      <c r="U115" s="79">
        <f t="shared" si="240"/>
        <v>0</v>
      </c>
      <c r="V115" s="19">
        <f t="shared" si="241"/>
        <v>0</v>
      </c>
      <c r="W115" s="10">
        <f t="shared" si="241"/>
        <v>0</v>
      </c>
      <c r="X115" s="10">
        <f t="shared" si="241"/>
        <v>0</v>
      </c>
      <c r="Y115" s="10">
        <f t="shared" si="241"/>
        <v>0</v>
      </c>
      <c r="Z115" s="10">
        <f t="shared" si="241"/>
        <v>0</v>
      </c>
      <c r="AA115" s="10">
        <f t="shared" si="242"/>
        <v>0</v>
      </c>
      <c r="AB115" s="19">
        <f t="shared" si="242"/>
        <v>0</v>
      </c>
      <c r="AC115" s="10">
        <f t="shared" si="242"/>
        <v>0</v>
      </c>
      <c r="AD115" s="210">
        <f t="shared" si="242"/>
        <v>0</v>
      </c>
      <c r="AE115" s="10">
        <f t="shared" si="242"/>
        <v>0</v>
      </c>
      <c r="AF115" s="10">
        <f t="shared" si="242"/>
        <v>0</v>
      </c>
      <c r="AG115" s="10">
        <f t="shared" si="242"/>
        <v>0</v>
      </c>
      <c r="AH115" s="19">
        <f t="shared" si="243"/>
        <v>0</v>
      </c>
      <c r="AI115" s="10">
        <f t="shared" si="243"/>
        <v>0</v>
      </c>
      <c r="AJ115" s="10">
        <f t="shared" si="243"/>
        <v>0</v>
      </c>
      <c r="AK115" s="10">
        <f t="shared" si="243"/>
        <v>0</v>
      </c>
      <c r="AL115" s="10">
        <f t="shared" si="243"/>
        <v>0</v>
      </c>
      <c r="AM115" s="10">
        <f t="shared" si="244"/>
        <v>0</v>
      </c>
      <c r="AN115" s="19">
        <f t="shared" si="245"/>
        <v>0</v>
      </c>
      <c r="AO115" s="10">
        <f t="shared" si="245"/>
        <v>0</v>
      </c>
      <c r="AP115" s="10">
        <f t="shared" si="245"/>
        <v>0</v>
      </c>
      <c r="AQ115" s="10">
        <f t="shared" si="245"/>
        <v>0</v>
      </c>
      <c r="AR115" s="10">
        <f t="shared" si="245"/>
        <v>0</v>
      </c>
      <c r="AS115" s="10">
        <f t="shared" si="246"/>
        <v>0</v>
      </c>
      <c r="AT115" s="71">
        <f t="shared" ref="AT115:AY138" si="265">0/172.5</f>
        <v>0</v>
      </c>
      <c r="AU115" s="10">
        <f t="shared" si="265"/>
        <v>0</v>
      </c>
      <c r="AV115" s="10">
        <f t="shared" si="265"/>
        <v>0</v>
      </c>
      <c r="AW115" s="10">
        <f t="shared" si="265"/>
        <v>0</v>
      </c>
      <c r="AX115" s="10">
        <f t="shared" si="265"/>
        <v>0</v>
      </c>
      <c r="AY115" s="10">
        <f t="shared" si="265"/>
        <v>0</v>
      </c>
      <c r="AZ115" s="19">
        <f>(7)/150</f>
        <v>4.6666666666666669E-2</v>
      </c>
      <c r="BA115" s="10">
        <f>(20)/150</f>
        <v>0.13333333333333333</v>
      </c>
      <c r="BB115" s="10">
        <f t="shared" ref="AZ114:BB126" si="266">(0)/150</f>
        <v>0</v>
      </c>
      <c r="BC115" s="10">
        <f t="shared" si="258"/>
        <v>0</v>
      </c>
      <c r="BD115" s="10">
        <f>(20)/150</f>
        <v>0.13333333333333333</v>
      </c>
      <c r="BE115" s="10">
        <f t="shared" si="258"/>
        <v>0</v>
      </c>
      <c r="BF115" s="10">
        <f t="shared" si="258"/>
        <v>0</v>
      </c>
      <c r="BG115" s="19">
        <f t="shared" si="259"/>
        <v>0</v>
      </c>
      <c r="BH115" s="10">
        <f t="shared" si="259"/>
        <v>0</v>
      </c>
      <c r="BI115" s="10">
        <f t="shared" si="259"/>
        <v>0</v>
      </c>
      <c r="BJ115" s="10">
        <f t="shared" si="259"/>
        <v>0</v>
      </c>
      <c r="BK115" s="10">
        <f t="shared" si="259"/>
        <v>0</v>
      </c>
      <c r="BL115" s="10">
        <f t="shared" si="247"/>
        <v>0</v>
      </c>
      <c r="BM115" s="10">
        <f t="shared" si="247"/>
        <v>0</v>
      </c>
      <c r="BN115" s="17">
        <f t="shared" si="247"/>
        <v>0</v>
      </c>
      <c r="BO115" s="19">
        <f t="shared" ref="BO115:BS130" si="267">0/157.5</f>
        <v>0</v>
      </c>
      <c r="BP115" s="10">
        <f t="shared" si="267"/>
        <v>0</v>
      </c>
      <c r="BQ115" s="10">
        <f t="shared" si="267"/>
        <v>0</v>
      </c>
      <c r="BR115" s="10">
        <f t="shared" si="267"/>
        <v>0</v>
      </c>
      <c r="BS115" s="10">
        <f t="shared" si="267"/>
        <v>0</v>
      </c>
      <c r="BT115" s="10">
        <f t="shared" si="248"/>
        <v>0</v>
      </c>
      <c r="BU115" s="10">
        <f t="shared" si="248"/>
        <v>0</v>
      </c>
      <c r="BV115" s="17">
        <f t="shared" si="248"/>
        <v>0</v>
      </c>
      <c r="BW115" s="71">
        <f t="shared" si="249"/>
        <v>0</v>
      </c>
      <c r="BX115" s="10">
        <f t="shared" si="249"/>
        <v>0</v>
      </c>
      <c r="BY115" s="10">
        <f t="shared" si="249"/>
        <v>0</v>
      </c>
      <c r="BZ115" s="10">
        <f t="shared" si="249"/>
        <v>0</v>
      </c>
      <c r="CA115" s="10">
        <f t="shared" si="249"/>
        <v>0</v>
      </c>
      <c r="CB115" s="10">
        <f t="shared" si="250"/>
        <v>0</v>
      </c>
      <c r="CC115" s="10">
        <f t="shared" si="250"/>
        <v>0</v>
      </c>
      <c r="CD115" s="17">
        <f t="shared" si="250"/>
        <v>0</v>
      </c>
      <c r="CE115" s="19">
        <f t="shared" si="260"/>
        <v>0</v>
      </c>
      <c r="CF115" s="10">
        <f t="shared" si="260"/>
        <v>0</v>
      </c>
      <c r="CG115" s="10">
        <f t="shared" si="260"/>
        <v>0</v>
      </c>
      <c r="CH115" s="10">
        <f t="shared" si="260"/>
        <v>0</v>
      </c>
      <c r="CI115" s="10">
        <f t="shared" si="260"/>
        <v>0</v>
      </c>
      <c r="CJ115" s="10">
        <f t="shared" si="251"/>
        <v>0</v>
      </c>
      <c r="CK115" s="10">
        <f t="shared" si="251"/>
        <v>0</v>
      </c>
      <c r="CL115" s="17">
        <f t="shared" si="251"/>
        <v>0</v>
      </c>
      <c r="CM115" s="19">
        <f t="shared" si="261"/>
        <v>0</v>
      </c>
      <c r="CN115" s="10">
        <f t="shared" si="261"/>
        <v>0</v>
      </c>
      <c r="CO115" s="10">
        <f t="shared" si="261"/>
        <v>0</v>
      </c>
      <c r="CP115" s="10">
        <f t="shared" si="261"/>
        <v>0</v>
      </c>
      <c r="CQ115" s="10">
        <f t="shared" si="261"/>
        <v>0</v>
      </c>
      <c r="CR115" s="10">
        <f t="shared" si="252"/>
        <v>0</v>
      </c>
      <c r="CS115" s="10">
        <f t="shared" si="252"/>
        <v>0</v>
      </c>
      <c r="CT115" s="17">
        <f t="shared" si="252"/>
        <v>0</v>
      </c>
      <c r="CU115" s="235"/>
    </row>
    <row r="116" spans="1:99" ht="26.25" customHeight="1" x14ac:dyDescent="0.4">
      <c r="A116" s="351"/>
      <c r="B116" s="351"/>
      <c r="C116" s="351"/>
      <c r="D116" s="353"/>
      <c r="E116" s="353"/>
      <c r="F116" s="353"/>
      <c r="G116" s="375"/>
      <c r="H116" s="447"/>
      <c r="I116" s="447"/>
      <c r="J116" s="449"/>
      <c r="K116" s="453"/>
      <c r="L116" s="453"/>
      <c r="M116" s="482"/>
      <c r="N116" s="38" t="s">
        <v>25</v>
      </c>
      <c r="O116" s="11">
        <f t="shared" si="240"/>
        <v>0</v>
      </c>
      <c r="P116" s="11">
        <f t="shared" si="240"/>
        <v>0</v>
      </c>
      <c r="Q116" s="11">
        <f t="shared" si="240"/>
        <v>0</v>
      </c>
      <c r="R116" s="11">
        <f t="shared" si="240"/>
        <v>0</v>
      </c>
      <c r="S116" s="11">
        <f t="shared" si="240"/>
        <v>0</v>
      </c>
      <c r="T116" s="11">
        <f t="shared" si="240"/>
        <v>0</v>
      </c>
      <c r="U116" s="48">
        <f t="shared" si="240"/>
        <v>0</v>
      </c>
      <c r="V116" s="56">
        <f t="shared" si="241"/>
        <v>0</v>
      </c>
      <c r="W116" s="18">
        <f t="shared" si="241"/>
        <v>0</v>
      </c>
      <c r="X116" s="18">
        <f t="shared" si="241"/>
        <v>0</v>
      </c>
      <c r="Y116" s="18">
        <f t="shared" si="241"/>
        <v>0</v>
      </c>
      <c r="Z116" s="18">
        <f t="shared" si="241"/>
        <v>0</v>
      </c>
      <c r="AA116" s="18">
        <f t="shared" si="242"/>
        <v>0</v>
      </c>
      <c r="AB116" s="41">
        <f t="shared" si="242"/>
        <v>0</v>
      </c>
      <c r="AC116" s="51">
        <f t="shared" si="242"/>
        <v>0</v>
      </c>
      <c r="AD116" s="11">
        <f t="shared" si="242"/>
        <v>0</v>
      </c>
      <c r="AE116" s="11">
        <f t="shared" si="242"/>
        <v>0</v>
      </c>
      <c r="AF116" s="11">
        <f t="shared" si="242"/>
        <v>0</v>
      </c>
      <c r="AG116" s="18">
        <f t="shared" si="242"/>
        <v>0</v>
      </c>
      <c r="AH116" s="50">
        <f t="shared" si="243"/>
        <v>0</v>
      </c>
      <c r="AI116" s="51">
        <f t="shared" si="243"/>
        <v>0</v>
      </c>
      <c r="AJ116" s="51">
        <f t="shared" si="243"/>
        <v>0</v>
      </c>
      <c r="AK116" s="51">
        <f t="shared" si="243"/>
        <v>0</v>
      </c>
      <c r="AL116" s="51">
        <f t="shared" si="243"/>
        <v>0</v>
      </c>
      <c r="AM116" s="18">
        <f t="shared" si="244"/>
        <v>0</v>
      </c>
      <c r="AN116" s="41">
        <f t="shared" si="245"/>
        <v>0</v>
      </c>
      <c r="AO116" s="11">
        <f t="shared" si="245"/>
        <v>0</v>
      </c>
      <c r="AP116" s="11">
        <f t="shared" si="245"/>
        <v>0</v>
      </c>
      <c r="AQ116" s="11">
        <f t="shared" si="245"/>
        <v>0</v>
      </c>
      <c r="AR116" s="11">
        <f t="shared" si="245"/>
        <v>0</v>
      </c>
      <c r="AS116" s="18">
        <f t="shared" si="246"/>
        <v>0</v>
      </c>
      <c r="AT116" s="41">
        <f t="shared" si="265"/>
        <v>0</v>
      </c>
      <c r="AU116" s="11">
        <f t="shared" si="265"/>
        <v>0</v>
      </c>
      <c r="AV116" s="11">
        <f t="shared" si="265"/>
        <v>0</v>
      </c>
      <c r="AW116" s="11">
        <f t="shared" si="265"/>
        <v>0</v>
      </c>
      <c r="AX116" s="11">
        <f t="shared" si="265"/>
        <v>0</v>
      </c>
      <c r="AY116" s="18">
        <f t="shared" si="265"/>
        <v>0</v>
      </c>
      <c r="AZ116" s="61">
        <f>(3)/150</f>
        <v>0.02</v>
      </c>
      <c r="BA116" s="58">
        <f>(9.25)/150</f>
        <v>6.1666666666666668E-2</v>
      </c>
      <c r="BB116" s="58">
        <f t="shared" si="258"/>
        <v>0</v>
      </c>
      <c r="BC116" s="58">
        <f t="shared" si="258"/>
        <v>0</v>
      </c>
      <c r="BD116" s="58">
        <f>(8)/150</f>
        <v>5.3333333333333337E-2</v>
      </c>
      <c r="BE116" s="58">
        <f t="shared" si="258"/>
        <v>0</v>
      </c>
      <c r="BF116" s="58">
        <f t="shared" si="258"/>
        <v>0</v>
      </c>
      <c r="BG116" s="61">
        <f t="shared" si="259"/>
        <v>0</v>
      </c>
      <c r="BH116" s="58">
        <f t="shared" si="259"/>
        <v>0</v>
      </c>
      <c r="BI116" s="58">
        <f t="shared" si="259"/>
        <v>0</v>
      </c>
      <c r="BJ116" s="58">
        <f t="shared" si="259"/>
        <v>0</v>
      </c>
      <c r="BK116" s="58">
        <f t="shared" si="259"/>
        <v>0</v>
      </c>
      <c r="BL116" s="58">
        <f t="shared" si="247"/>
        <v>0</v>
      </c>
      <c r="BM116" s="58">
        <f t="shared" si="247"/>
        <v>0</v>
      </c>
      <c r="BN116" s="62">
        <f t="shared" si="247"/>
        <v>0</v>
      </c>
      <c r="BO116" s="61">
        <f t="shared" si="267"/>
        <v>0</v>
      </c>
      <c r="BP116" s="58">
        <f t="shared" si="267"/>
        <v>0</v>
      </c>
      <c r="BQ116" s="58">
        <f t="shared" si="267"/>
        <v>0</v>
      </c>
      <c r="BR116" s="58">
        <f t="shared" si="267"/>
        <v>0</v>
      </c>
      <c r="BS116" s="58">
        <f t="shared" si="267"/>
        <v>0</v>
      </c>
      <c r="BT116" s="58">
        <f t="shared" si="248"/>
        <v>0</v>
      </c>
      <c r="BU116" s="58">
        <f t="shared" si="248"/>
        <v>0</v>
      </c>
      <c r="BV116" s="62">
        <f t="shared" si="248"/>
        <v>0</v>
      </c>
      <c r="BW116" s="61">
        <f t="shared" si="249"/>
        <v>0</v>
      </c>
      <c r="BX116" s="58">
        <f t="shared" si="249"/>
        <v>0</v>
      </c>
      <c r="BY116" s="58">
        <f t="shared" si="249"/>
        <v>0</v>
      </c>
      <c r="BZ116" s="58">
        <f t="shared" si="249"/>
        <v>0</v>
      </c>
      <c r="CA116" s="58">
        <f t="shared" si="249"/>
        <v>0</v>
      </c>
      <c r="CB116" s="58">
        <f t="shared" si="250"/>
        <v>0</v>
      </c>
      <c r="CC116" s="58">
        <f t="shared" si="250"/>
        <v>0</v>
      </c>
      <c r="CD116" s="62">
        <f t="shared" si="250"/>
        <v>0</v>
      </c>
      <c r="CE116" s="61">
        <f t="shared" si="260"/>
        <v>0</v>
      </c>
      <c r="CF116" s="58">
        <f t="shared" si="260"/>
        <v>0</v>
      </c>
      <c r="CG116" s="58">
        <f t="shared" si="260"/>
        <v>0</v>
      </c>
      <c r="CH116" s="58">
        <f t="shared" si="260"/>
        <v>0</v>
      </c>
      <c r="CI116" s="58">
        <f t="shared" si="260"/>
        <v>0</v>
      </c>
      <c r="CJ116" s="58">
        <f t="shared" si="251"/>
        <v>0</v>
      </c>
      <c r="CK116" s="58">
        <f t="shared" si="251"/>
        <v>0</v>
      </c>
      <c r="CL116" s="62">
        <f t="shared" si="251"/>
        <v>0</v>
      </c>
      <c r="CM116" s="61">
        <f t="shared" si="261"/>
        <v>0</v>
      </c>
      <c r="CN116" s="58">
        <f t="shared" si="261"/>
        <v>0</v>
      </c>
      <c r="CO116" s="58">
        <f t="shared" si="261"/>
        <v>0</v>
      </c>
      <c r="CP116" s="58">
        <f t="shared" si="261"/>
        <v>0</v>
      </c>
      <c r="CQ116" s="58">
        <f t="shared" si="261"/>
        <v>0</v>
      </c>
      <c r="CR116" s="58">
        <f t="shared" si="252"/>
        <v>0</v>
      </c>
      <c r="CS116" s="58">
        <f t="shared" si="252"/>
        <v>0</v>
      </c>
      <c r="CT116" s="62">
        <f t="shared" si="252"/>
        <v>0</v>
      </c>
      <c r="CU116" s="235"/>
    </row>
    <row r="117" spans="1:99" ht="26.25" customHeight="1" x14ac:dyDescent="0.4">
      <c r="A117" s="350">
        <v>56</v>
      </c>
      <c r="B117" s="350" t="s">
        <v>46</v>
      </c>
      <c r="C117" s="350" t="s">
        <v>14</v>
      </c>
      <c r="D117" s="352" t="s">
        <v>958</v>
      </c>
      <c r="E117" s="352" t="s">
        <v>957</v>
      </c>
      <c r="F117" s="352"/>
      <c r="G117" s="375" t="s">
        <v>956</v>
      </c>
      <c r="H117" s="446">
        <f t="shared" ref="H117:H126" si="268">SUM(AZ117:BF117)</f>
        <v>0.44666666666666666</v>
      </c>
      <c r="I117" s="446">
        <f t="shared" ref="I117:I126" si="269">SUM(AZ118:BF118)</f>
        <v>0.16666666666666663</v>
      </c>
      <c r="J117" s="448"/>
      <c r="K117" s="452"/>
      <c r="L117" s="452"/>
      <c r="M117" s="450"/>
      <c r="N117" s="47" t="s">
        <v>24</v>
      </c>
      <c r="O117" s="10">
        <f t="shared" si="240"/>
        <v>0</v>
      </c>
      <c r="P117" s="10">
        <f t="shared" si="240"/>
        <v>0</v>
      </c>
      <c r="Q117" s="10">
        <f t="shared" si="240"/>
        <v>0</v>
      </c>
      <c r="R117" s="10">
        <f t="shared" si="240"/>
        <v>0</v>
      </c>
      <c r="S117" s="10">
        <f t="shared" si="240"/>
        <v>0</v>
      </c>
      <c r="T117" s="10">
        <f t="shared" si="240"/>
        <v>0</v>
      </c>
      <c r="U117" s="79">
        <f t="shared" si="240"/>
        <v>0</v>
      </c>
      <c r="V117" s="19">
        <f t="shared" si="241"/>
        <v>0</v>
      </c>
      <c r="W117" s="10">
        <f t="shared" si="241"/>
        <v>0</v>
      </c>
      <c r="X117" s="10">
        <f t="shared" si="241"/>
        <v>0</v>
      </c>
      <c r="Y117" s="10">
        <f t="shared" si="241"/>
        <v>0</v>
      </c>
      <c r="Z117" s="10">
        <f t="shared" si="241"/>
        <v>0</v>
      </c>
      <c r="AA117" s="10">
        <f t="shared" si="242"/>
        <v>0</v>
      </c>
      <c r="AB117" s="19">
        <f t="shared" si="242"/>
        <v>0</v>
      </c>
      <c r="AC117" s="10">
        <f t="shared" si="242"/>
        <v>0</v>
      </c>
      <c r="AD117" s="210">
        <f t="shared" si="242"/>
        <v>0</v>
      </c>
      <c r="AE117" s="10">
        <f t="shared" si="242"/>
        <v>0</v>
      </c>
      <c r="AF117" s="10">
        <f t="shared" si="242"/>
        <v>0</v>
      </c>
      <c r="AG117" s="10">
        <f t="shared" si="242"/>
        <v>0</v>
      </c>
      <c r="AH117" s="19">
        <f t="shared" si="243"/>
        <v>0</v>
      </c>
      <c r="AI117" s="10">
        <f t="shared" si="243"/>
        <v>0</v>
      </c>
      <c r="AJ117" s="10">
        <f t="shared" si="243"/>
        <v>0</v>
      </c>
      <c r="AK117" s="10">
        <f t="shared" si="243"/>
        <v>0</v>
      </c>
      <c r="AL117" s="10">
        <f t="shared" si="243"/>
        <v>0</v>
      </c>
      <c r="AM117" s="10">
        <f t="shared" si="244"/>
        <v>0</v>
      </c>
      <c r="AN117" s="19">
        <f t="shared" si="245"/>
        <v>0</v>
      </c>
      <c r="AO117" s="10">
        <f t="shared" si="245"/>
        <v>0</v>
      </c>
      <c r="AP117" s="10">
        <f t="shared" si="245"/>
        <v>0</v>
      </c>
      <c r="AQ117" s="10">
        <f t="shared" si="245"/>
        <v>0</v>
      </c>
      <c r="AR117" s="10">
        <f t="shared" si="245"/>
        <v>0</v>
      </c>
      <c r="AS117" s="10">
        <f t="shared" si="246"/>
        <v>0</v>
      </c>
      <c r="AT117" s="71">
        <f t="shared" si="265"/>
        <v>0</v>
      </c>
      <c r="AU117" s="10">
        <f t="shared" si="265"/>
        <v>0</v>
      </c>
      <c r="AV117" s="10">
        <f t="shared" si="265"/>
        <v>0</v>
      </c>
      <c r="AW117" s="10">
        <f t="shared" si="265"/>
        <v>0</v>
      </c>
      <c r="AX117" s="10">
        <f t="shared" si="265"/>
        <v>0</v>
      </c>
      <c r="AY117" s="10">
        <f t="shared" si="265"/>
        <v>0</v>
      </c>
      <c r="AZ117" s="19">
        <f>(7)/150</f>
        <v>4.6666666666666669E-2</v>
      </c>
      <c r="BA117" s="10">
        <f>(20)/150</f>
        <v>0.13333333333333333</v>
      </c>
      <c r="BB117" s="10">
        <f t="shared" si="266"/>
        <v>0</v>
      </c>
      <c r="BC117" s="10">
        <f t="shared" si="258"/>
        <v>0</v>
      </c>
      <c r="BD117" s="10">
        <f>(20)/150</f>
        <v>0.13333333333333333</v>
      </c>
      <c r="BE117" s="10">
        <f>(20)/150</f>
        <v>0.13333333333333333</v>
      </c>
      <c r="BF117" s="10">
        <f t="shared" si="258"/>
        <v>0</v>
      </c>
      <c r="BG117" s="19">
        <f t="shared" si="259"/>
        <v>0</v>
      </c>
      <c r="BH117" s="10">
        <f t="shared" si="259"/>
        <v>0</v>
      </c>
      <c r="BI117" s="10">
        <f t="shared" si="259"/>
        <v>0</v>
      </c>
      <c r="BJ117" s="10">
        <f t="shared" si="259"/>
        <v>0</v>
      </c>
      <c r="BK117" s="10">
        <f t="shared" si="259"/>
        <v>0</v>
      </c>
      <c r="BL117" s="10">
        <f t="shared" si="247"/>
        <v>0</v>
      </c>
      <c r="BM117" s="10">
        <f t="shared" si="247"/>
        <v>0</v>
      </c>
      <c r="BN117" s="17">
        <f t="shared" si="247"/>
        <v>0</v>
      </c>
      <c r="BO117" s="19">
        <f t="shared" si="267"/>
        <v>0</v>
      </c>
      <c r="BP117" s="10">
        <f t="shared" si="267"/>
        <v>0</v>
      </c>
      <c r="BQ117" s="10">
        <f t="shared" si="267"/>
        <v>0</v>
      </c>
      <c r="BR117" s="10">
        <f t="shared" si="267"/>
        <v>0</v>
      </c>
      <c r="BS117" s="10">
        <f t="shared" si="267"/>
        <v>0</v>
      </c>
      <c r="BT117" s="10">
        <f t="shared" si="248"/>
        <v>0</v>
      </c>
      <c r="BU117" s="10">
        <f t="shared" si="248"/>
        <v>0</v>
      </c>
      <c r="BV117" s="17">
        <f t="shared" si="248"/>
        <v>0</v>
      </c>
      <c r="BW117" s="71">
        <f t="shared" si="249"/>
        <v>0</v>
      </c>
      <c r="BX117" s="10">
        <f t="shared" si="249"/>
        <v>0</v>
      </c>
      <c r="BY117" s="10">
        <f t="shared" si="249"/>
        <v>0</v>
      </c>
      <c r="BZ117" s="10">
        <f t="shared" si="249"/>
        <v>0</v>
      </c>
      <c r="CA117" s="10">
        <f t="shared" si="249"/>
        <v>0</v>
      </c>
      <c r="CB117" s="10">
        <f t="shared" si="250"/>
        <v>0</v>
      </c>
      <c r="CC117" s="10">
        <f t="shared" si="250"/>
        <v>0</v>
      </c>
      <c r="CD117" s="17">
        <f t="shared" si="250"/>
        <v>0</v>
      </c>
      <c r="CE117" s="19">
        <f t="shared" si="260"/>
        <v>0</v>
      </c>
      <c r="CF117" s="10">
        <f t="shared" si="260"/>
        <v>0</v>
      </c>
      <c r="CG117" s="10">
        <f t="shared" si="260"/>
        <v>0</v>
      </c>
      <c r="CH117" s="10">
        <f t="shared" si="260"/>
        <v>0</v>
      </c>
      <c r="CI117" s="10">
        <f t="shared" si="260"/>
        <v>0</v>
      </c>
      <c r="CJ117" s="10">
        <f t="shared" si="251"/>
        <v>0</v>
      </c>
      <c r="CK117" s="10">
        <f t="shared" si="251"/>
        <v>0</v>
      </c>
      <c r="CL117" s="17">
        <f t="shared" si="251"/>
        <v>0</v>
      </c>
      <c r="CM117" s="19">
        <f t="shared" si="261"/>
        <v>0</v>
      </c>
      <c r="CN117" s="10">
        <f t="shared" si="261"/>
        <v>0</v>
      </c>
      <c r="CO117" s="10">
        <f t="shared" si="261"/>
        <v>0</v>
      </c>
      <c r="CP117" s="10">
        <f t="shared" si="261"/>
        <v>0</v>
      </c>
      <c r="CQ117" s="10">
        <f t="shared" si="261"/>
        <v>0</v>
      </c>
      <c r="CR117" s="10">
        <f t="shared" si="252"/>
        <v>0</v>
      </c>
      <c r="CS117" s="10">
        <f t="shared" si="252"/>
        <v>0</v>
      </c>
      <c r="CT117" s="17">
        <f t="shared" si="252"/>
        <v>0</v>
      </c>
      <c r="CU117" s="235"/>
    </row>
    <row r="118" spans="1:99" ht="26.25" customHeight="1" x14ac:dyDescent="0.4">
      <c r="A118" s="351"/>
      <c r="B118" s="351"/>
      <c r="C118" s="351"/>
      <c r="D118" s="353"/>
      <c r="E118" s="353"/>
      <c r="F118" s="353"/>
      <c r="G118" s="375"/>
      <c r="H118" s="447"/>
      <c r="I118" s="447"/>
      <c r="J118" s="449"/>
      <c r="K118" s="453"/>
      <c r="L118" s="453"/>
      <c r="M118" s="451"/>
      <c r="N118" s="38" t="s">
        <v>25</v>
      </c>
      <c r="O118" s="11">
        <f t="shared" si="240"/>
        <v>0</v>
      </c>
      <c r="P118" s="11">
        <f t="shared" si="240"/>
        <v>0</v>
      </c>
      <c r="Q118" s="11">
        <f t="shared" si="240"/>
        <v>0</v>
      </c>
      <c r="R118" s="11">
        <f t="shared" si="240"/>
        <v>0</v>
      </c>
      <c r="S118" s="11">
        <f t="shared" si="240"/>
        <v>0</v>
      </c>
      <c r="T118" s="11">
        <f t="shared" si="240"/>
        <v>0</v>
      </c>
      <c r="U118" s="48">
        <f t="shared" si="240"/>
        <v>0</v>
      </c>
      <c r="V118" s="56">
        <f t="shared" si="241"/>
        <v>0</v>
      </c>
      <c r="W118" s="18">
        <f t="shared" si="241"/>
        <v>0</v>
      </c>
      <c r="X118" s="18">
        <f t="shared" si="241"/>
        <v>0</v>
      </c>
      <c r="Y118" s="18">
        <f t="shared" si="241"/>
        <v>0</v>
      </c>
      <c r="Z118" s="18">
        <f t="shared" si="241"/>
        <v>0</v>
      </c>
      <c r="AA118" s="18">
        <f t="shared" si="242"/>
        <v>0</v>
      </c>
      <c r="AB118" s="41">
        <f t="shared" si="242"/>
        <v>0</v>
      </c>
      <c r="AC118" s="51">
        <f t="shared" si="242"/>
        <v>0</v>
      </c>
      <c r="AD118" s="11">
        <f t="shared" si="242"/>
        <v>0</v>
      </c>
      <c r="AE118" s="11">
        <f t="shared" si="242"/>
        <v>0</v>
      </c>
      <c r="AF118" s="11">
        <f t="shared" si="242"/>
        <v>0</v>
      </c>
      <c r="AG118" s="18">
        <f t="shared" si="242"/>
        <v>0</v>
      </c>
      <c r="AH118" s="50">
        <f t="shared" si="243"/>
        <v>0</v>
      </c>
      <c r="AI118" s="51">
        <f t="shared" si="243"/>
        <v>0</v>
      </c>
      <c r="AJ118" s="51">
        <f t="shared" si="243"/>
        <v>0</v>
      </c>
      <c r="AK118" s="51">
        <f t="shared" si="243"/>
        <v>0</v>
      </c>
      <c r="AL118" s="51">
        <f t="shared" si="243"/>
        <v>0</v>
      </c>
      <c r="AM118" s="18">
        <f t="shared" si="244"/>
        <v>0</v>
      </c>
      <c r="AN118" s="41">
        <f t="shared" si="245"/>
        <v>0</v>
      </c>
      <c r="AO118" s="11">
        <f t="shared" si="245"/>
        <v>0</v>
      </c>
      <c r="AP118" s="11">
        <f t="shared" si="245"/>
        <v>0</v>
      </c>
      <c r="AQ118" s="11">
        <f t="shared" si="245"/>
        <v>0</v>
      </c>
      <c r="AR118" s="11">
        <f t="shared" si="245"/>
        <v>0</v>
      </c>
      <c r="AS118" s="18">
        <f t="shared" si="246"/>
        <v>0</v>
      </c>
      <c r="AT118" s="41">
        <f t="shared" si="265"/>
        <v>0</v>
      </c>
      <c r="AU118" s="11">
        <f t="shared" si="265"/>
        <v>0</v>
      </c>
      <c r="AV118" s="11">
        <f t="shared" si="265"/>
        <v>0</v>
      </c>
      <c r="AW118" s="11">
        <f t="shared" si="265"/>
        <v>0</v>
      </c>
      <c r="AX118" s="11">
        <f t="shared" si="265"/>
        <v>0</v>
      </c>
      <c r="AY118" s="18">
        <f t="shared" si="265"/>
        <v>0</v>
      </c>
      <c r="AZ118" s="61">
        <f>(3.5)/150</f>
        <v>2.3333333333333334E-2</v>
      </c>
      <c r="BA118" s="58">
        <f>(11.5)/150</f>
        <v>7.6666666666666661E-2</v>
      </c>
      <c r="BB118" s="58">
        <f t="shared" si="258"/>
        <v>0</v>
      </c>
      <c r="BC118" s="58">
        <f t="shared" si="258"/>
        <v>0</v>
      </c>
      <c r="BD118" s="58">
        <f>(5.75)/150</f>
        <v>3.833333333333333E-2</v>
      </c>
      <c r="BE118" s="58">
        <f>(4.25)/150</f>
        <v>2.8333333333333332E-2</v>
      </c>
      <c r="BF118" s="58">
        <f t="shared" si="258"/>
        <v>0</v>
      </c>
      <c r="BG118" s="61">
        <f t="shared" si="259"/>
        <v>0</v>
      </c>
      <c r="BH118" s="58">
        <f t="shared" si="259"/>
        <v>0</v>
      </c>
      <c r="BI118" s="58">
        <f t="shared" si="259"/>
        <v>0</v>
      </c>
      <c r="BJ118" s="58">
        <f t="shared" si="259"/>
        <v>0</v>
      </c>
      <c r="BK118" s="58">
        <f t="shared" si="259"/>
        <v>0</v>
      </c>
      <c r="BL118" s="58">
        <f t="shared" si="247"/>
        <v>0</v>
      </c>
      <c r="BM118" s="58">
        <f t="shared" si="247"/>
        <v>0</v>
      </c>
      <c r="BN118" s="62">
        <f t="shared" si="247"/>
        <v>0</v>
      </c>
      <c r="BO118" s="61">
        <f t="shared" si="267"/>
        <v>0</v>
      </c>
      <c r="BP118" s="58">
        <f t="shared" si="267"/>
        <v>0</v>
      </c>
      <c r="BQ118" s="58">
        <f t="shared" si="267"/>
        <v>0</v>
      </c>
      <c r="BR118" s="58">
        <f t="shared" si="267"/>
        <v>0</v>
      </c>
      <c r="BS118" s="58">
        <f t="shared" si="267"/>
        <v>0</v>
      </c>
      <c r="BT118" s="58">
        <f t="shared" si="248"/>
        <v>0</v>
      </c>
      <c r="BU118" s="58">
        <f t="shared" si="248"/>
        <v>0</v>
      </c>
      <c r="BV118" s="62">
        <f t="shared" si="248"/>
        <v>0</v>
      </c>
      <c r="BW118" s="61">
        <f t="shared" si="249"/>
        <v>0</v>
      </c>
      <c r="BX118" s="58">
        <f t="shared" si="249"/>
        <v>0</v>
      </c>
      <c r="BY118" s="58">
        <f t="shared" si="249"/>
        <v>0</v>
      </c>
      <c r="BZ118" s="58">
        <f t="shared" si="249"/>
        <v>0</v>
      </c>
      <c r="CA118" s="58">
        <f t="shared" si="249"/>
        <v>0</v>
      </c>
      <c r="CB118" s="58">
        <f t="shared" si="250"/>
        <v>0</v>
      </c>
      <c r="CC118" s="58">
        <f t="shared" si="250"/>
        <v>0</v>
      </c>
      <c r="CD118" s="62">
        <f t="shared" si="250"/>
        <v>0</v>
      </c>
      <c r="CE118" s="61">
        <f t="shared" si="260"/>
        <v>0</v>
      </c>
      <c r="CF118" s="58">
        <f t="shared" si="260"/>
        <v>0</v>
      </c>
      <c r="CG118" s="58">
        <f t="shared" si="260"/>
        <v>0</v>
      </c>
      <c r="CH118" s="58">
        <f t="shared" si="260"/>
        <v>0</v>
      </c>
      <c r="CI118" s="58">
        <f t="shared" si="260"/>
        <v>0</v>
      </c>
      <c r="CJ118" s="58">
        <f t="shared" si="251"/>
        <v>0</v>
      </c>
      <c r="CK118" s="58">
        <f t="shared" si="251"/>
        <v>0</v>
      </c>
      <c r="CL118" s="62">
        <f t="shared" si="251"/>
        <v>0</v>
      </c>
      <c r="CM118" s="61">
        <f t="shared" si="261"/>
        <v>0</v>
      </c>
      <c r="CN118" s="58">
        <f t="shared" si="261"/>
        <v>0</v>
      </c>
      <c r="CO118" s="58">
        <f t="shared" si="261"/>
        <v>0</v>
      </c>
      <c r="CP118" s="58">
        <f t="shared" si="261"/>
        <v>0</v>
      </c>
      <c r="CQ118" s="58">
        <f t="shared" si="261"/>
        <v>0</v>
      </c>
      <c r="CR118" s="58">
        <f t="shared" si="252"/>
        <v>0</v>
      </c>
      <c r="CS118" s="58">
        <f t="shared" si="252"/>
        <v>0</v>
      </c>
      <c r="CT118" s="62">
        <f t="shared" si="252"/>
        <v>0</v>
      </c>
      <c r="CU118" s="235"/>
    </row>
    <row r="119" spans="1:99" ht="26.25" customHeight="1" x14ac:dyDescent="0.4">
      <c r="A119" s="350">
        <v>57</v>
      </c>
      <c r="B119" s="350" t="s">
        <v>46</v>
      </c>
      <c r="C119" s="350" t="s">
        <v>343</v>
      </c>
      <c r="D119" s="352" t="s">
        <v>965</v>
      </c>
      <c r="E119" s="352" t="s">
        <v>964</v>
      </c>
      <c r="F119" s="352"/>
      <c r="G119" s="385" t="s">
        <v>963</v>
      </c>
      <c r="H119" s="446">
        <f t="shared" ref="H119:H126" si="270">SUM(AZ119:BF119)</f>
        <v>0.18</v>
      </c>
      <c r="I119" s="446">
        <f t="shared" ref="I119:I126" si="271">SUM(AZ120:BF120)</f>
        <v>0.1</v>
      </c>
      <c r="J119" s="448"/>
      <c r="K119" s="452"/>
      <c r="L119" s="452"/>
      <c r="M119" s="450"/>
      <c r="N119" s="47" t="s">
        <v>24</v>
      </c>
      <c r="O119" s="10">
        <f t="shared" si="240"/>
        <v>0</v>
      </c>
      <c r="P119" s="10">
        <f t="shared" si="240"/>
        <v>0</v>
      </c>
      <c r="Q119" s="10">
        <f t="shared" si="240"/>
        <v>0</v>
      </c>
      <c r="R119" s="10">
        <f t="shared" si="240"/>
        <v>0</v>
      </c>
      <c r="S119" s="10">
        <f t="shared" si="240"/>
        <v>0</v>
      </c>
      <c r="T119" s="10">
        <f t="shared" si="240"/>
        <v>0</v>
      </c>
      <c r="U119" s="79">
        <f t="shared" si="240"/>
        <v>0</v>
      </c>
      <c r="V119" s="19">
        <f t="shared" si="241"/>
        <v>0</v>
      </c>
      <c r="W119" s="10">
        <f t="shared" si="241"/>
        <v>0</v>
      </c>
      <c r="X119" s="10">
        <f t="shared" si="241"/>
        <v>0</v>
      </c>
      <c r="Y119" s="10">
        <f t="shared" si="241"/>
        <v>0</v>
      </c>
      <c r="Z119" s="10">
        <f t="shared" si="241"/>
        <v>0</v>
      </c>
      <c r="AA119" s="10">
        <f t="shared" si="242"/>
        <v>0</v>
      </c>
      <c r="AB119" s="19">
        <f t="shared" si="242"/>
        <v>0</v>
      </c>
      <c r="AC119" s="10">
        <f t="shared" si="242"/>
        <v>0</v>
      </c>
      <c r="AD119" s="210">
        <f t="shared" si="242"/>
        <v>0</v>
      </c>
      <c r="AE119" s="10">
        <f t="shared" si="242"/>
        <v>0</v>
      </c>
      <c r="AF119" s="10">
        <f t="shared" si="242"/>
        <v>0</v>
      </c>
      <c r="AG119" s="10">
        <f t="shared" si="242"/>
        <v>0</v>
      </c>
      <c r="AH119" s="19">
        <f t="shared" si="243"/>
        <v>0</v>
      </c>
      <c r="AI119" s="10">
        <f t="shared" si="243"/>
        <v>0</v>
      </c>
      <c r="AJ119" s="10">
        <f t="shared" si="243"/>
        <v>0</v>
      </c>
      <c r="AK119" s="10">
        <f t="shared" si="243"/>
        <v>0</v>
      </c>
      <c r="AL119" s="10">
        <f t="shared" si="243"/>
        <v>0</v>
      </c>
      <c r="AM119" s="10">
        <f t="shared" si="244"/>
        <v>0</v>
      </c>
      <c r="AN119" s="19">
        <f t="shared" si="245"/>
        <v>0</v>
      </c>
      <c r="AO119" s="10">
        <f t="shared" si="245"/>
        <v>0</v>
      </c>
      <c r="AP119" s="10">
        <f t="shared" si="245"/>
        <v>0</v>
      </c>
      <c r="AQ119" s="10">
        <f t="shared" si="245"/>
        <v>0</v>
      </c>
      <c r="AR119" s="10">
        <f t="shared" si="245"/>
        <v>0</v>
      </c>
      <c r="AS119" s="10">
        <f t="shared" si="246"/>
        <v>0</v>
      </c>
      <c r="AT119" s="71">
        <f t="shared" si="265"/>
        <v>0</v>
      </c>
      <c r="AU119" s="10">
        <f t="shared" si="265"/>
        <v>0</v>
      </c>
      <c r="AV119" s="10">
        <f t="shared" si="265"/>
        <v>0</v>
      </c>
      <c r="AW119" s="10">
        <f t="shared" si="265"/>
        <v>0</v>
      </c>
      <c r="AX119" s="10">
        <f t="shared" si="265"/>
        <v>0</v>
      </c>
      <c r="AY119" s="10">
        <f t="shared" si="265"/>
        <v>0</v>
      </c>
      <c r="AZ119" s="19">
        <f>(7)/150</f>
        <v>4.6666666666666669E-2</v>
      </c>
      <c r="BA119" s="10">
        <f t="shared" si="266"/>
        <v>0</v>
      </c>
      <c r="BB119" s="10">
        <f t="shared" si="266"/>
        <v>0</v>
      </c>
      <c r="BC119" s="10">
        <f t="shared" si="258"/>
        <v>0</v>
      </c>
      <c r="BD119" s="10">
        <f t="shared" si="258"/>
        <v>0</v>
      </c>
      <c r="BE119" s="10">
        <f>(20)/150</f>
        <v>0.13333333333333333</v>
      </c>
      <c r="BF119" s="10">
        <f t="shared" si="258"/>
        <v>0</v>
      </c>
      <c r="BG119" s="19">
        <f t="shared" si="259"/>
        <v>0</v>
      </c>
      <c r="BH119" s="10">
        <f t="shared" si="259"/>
        <v>0</v>
      </c>
      <c r="BI119" s="10">
        <f t="shared" si="259"/>
        <v>0</v>
      </c>
      <c r="BJ119" s="10">
        <f t="shared" si="259"/>
        <v>0</v>
      </c>
      <c r="BK119" s="10">
        <f t="shared" si="259"/>
        <v>0</v>
      </c>
      <c r="BL119" s="10">
        <f t="shared" si="247"/>
        <v>0</v>
      </c>
      <c r="BM119" s="10">
        <f t="shared" si="247"/>
        <v>0</v>
      </c>
      <c r="BN119" s="17">
        <f t="shared" si="247"/>
        <v>0</v>
      </c>
      <c r="BO119" s="19">
        <f t="shared" si="267"/>
        <v>0</v>
      </c>
      <c r="BP119" s="10">
        <f t="shared" si="267"/>
        <v>0</v>
      </c>
      <c r="BQ119" s="10">
        <f t="shared" si="267"/>
        <v>0</v>
      </c>
      <c r="BR119" s="10">
        <f t="shared" si="267"/>
        <v>0</v>
      </c>
      <c r="BS119" s="10">
        <f t="shared" si="267"/>
        <v>0</v>
      </c>
      <c r="BT119" s="10">
        <f t="shared" si="248"/>
        <v>0</v>
      </c>
      <c r="BU119" s="10">
        <f t="shared" si="248"/>
        <v>0</v>
      </c>
      <c r="BV119" s="17">
        <f t="shared" si="248"/>
        <v>0</v>
      </c>
      <c r="BW119" s="71">
        <f t="shared" si="249"/>
        <v>0</v>
      </c>
      <c r="BX119" s="10">
        <f t="shared" si="249"/>
        <v>0</v>
      </c>
      <c r="BY119" s="10">
        <f t="shared" si="249"/>
        <v>0</v>
      </c>
      <c r="BZ119" s="10">
        <f t="shared" si="249"/>
        <v>0</v>
      </c>
      <c r="CA119" s="10">
        <f t="shared" si="249"/>
        <v>0</v>
      </c>
      <c r="CB119" s="10">
        <f t="shared" si="250"/>
        <v>0</v>
      </c>
      <c r="CC119" s="10">
        <f t="shared" si="250"/>
        <v>0</v>
      </c>
      <c r="CD119" s="17">
        <f t="shared" si="250"/>
        <v>0</v>
      </c>
      <c r="CE119" s="19">
        <f t="shared" si="260"/>
        <v>0</v>
      </c>
      <c r="CF119" s="10">
        <f t="shared" si="260"/>
        <v>0</v>
      </c>
      <c r="CG119" s="10">
        <f t="shared" si="260"/>
        <v>0</v>
      </c>
      <c r="CH119" s="10">
        <f t="shared" si="260"/>
        <v>0</v>
      </c>
      <c r="CI119" s="10">
        <f t="shared" si="260"/>
        <v>0</v>
      </c>
      <c r="CJ119" s="10">
        <f t="shared" si="251"/>
        <v>0</v>
      </c>
      <c r="CK119" s="10">
        <f t="shared" si="251"/>
        <v>0</v>
      </c>
      <c r="CL119" s="17">
        <f t="shared" si="251"/>
        <v>0</v>
      </c>
      <c r="CM119" s="19">
        <f t="shared" si="261"/>
        <v>0</v>
      </c>
      <c r="CN119" s="10">
        <f t="shared" si="261"/>
        <v>0</v>
      </c>
      <c r="CO119" s="10">
        <f t="shared" si="261"/>
        <v>0</v>
      </c>
      <c r="CP119" s="10">
        <f t="shared" si="261"/>
        <v>0</v>
      </c>
      <c r="CQ119" s="10">
        <f t="shared" si="261"/>
        <v>0</v>
      </c>
      <c r="CR119" s="10">
        <f t="shared" si="252"/>
        <v>0</v>
      </c>
      <c r="CS119" s="10">
        <f t="shared" si="252"/>
        <v>0</v>
      </c>
      <c r="CT119" s="17">
        <f t="shared" si="252"/>
        <v>0</v>
      </c>
      <c r="CU119" s="235"/>
    </row>
    <row r="120" spans="1:99" ht="26.25" customHeight="1" x14ac:dyDescent="0.4">
      <c r="A120" s="351"/>
      <c r="B120" s="351"/>
      <c r="C120" s="351"/>
      <c r="D120" s="353"/>
      <c r="E120" s="353"/>
      <c r="F120" s="353"/>
      <c r="G120" s="385"/>
      <c r="H120" s="447"/>
      <c r="I120" s="447"/>
      <c r="J120" s="449"/>
      <c r="K120" s="453"/>
      <c r="L120" s="453"/>
      <c r="M120" s="451"/>
      <c r="N120" s="38" t="s">
        <v>25</v>
      </c>
      <c r="O120" s="11">
        <f t="shared" si="240"/>
        <v>0</v>
      </c>
      <c r="P120" s="11">
        <f t="shared" si="240"/>
        <v>0</v>
      </c>
      <c r="Q120" s="11">
        <f t="shared" si="240"/>
        <v>0</v>
      </c>
      <c r="R120" s="11">
        <f t="shared" si="240"/>
        <v>0</v>
      </c>
      <c r="S120" s="11">
        <f t="shared" si="240"/>
        <v>0</v>
      </c>
      <c r="T120" s="11">
        <f t="shared" si="240"/>
        <v>0</v>
      </c>
      <c r="U120" s="48">
        <f t="shared" si="240"/>
        <v>0</v>
      </c>
      <c r="V120" s="56">
        <f t="shared" si="241"/>
        <v>0</v>
      </c>
      <c r="W120" s="18">
        <f t="shared" si="241"/>
        <v>0</v>
      </c>
      <c r="X120" s="18">
        <f t="shared" si="241"/>
        <v>0</v>
      </c>
      <c r="Y120" s="18">
        <f t="shared" si="241"/>
        <v>0</v>
      </c>
      <c r="Z120" s="18">
        <f t="shared" si="241"/>
        <v>0</v>
      </c>
      <c r="AA120" s="18">
        <f t="shared" si="242"/>
        <v>0</v>
      </c>
      <c r="AB120" s="41">
        <f t="shared" si="242"/>
        <v>0</v>
      </c>
      <c r="AC120" s="51">
        <f t="shared" si="242"/>
        <v>0</v>
      </c>
      <c r="AD120" s="11">
        <f t="shared" si="242"/>
        <v>0</v>
      </c>
      <c r="AE120" s="11">
        <f t="shared" si="242"/>
        <v>0</v>
      </c>
      <c r="AF120" s="11">
        <f t="shared" si="242"/>
        <v>0</v>
      </c>
      <c r="AG120" s="18">
        <f t="shared" si="242"/>
        <v>0</v>
      </c>
      <c r="AH120" s="50">
        <f t="shared" si="243"/>
        <v>0</v>
      </c>
      <c r="AI120" s="51">
        <f t="shared" si="243"/>
        <v>0</v>
      </c>
      <c r="AJ120" s="51">
        <f t="shared" si="243"/>
        <v>0</v>
      </c>
      <c r="AK120" s="51">
        <f t="shared" si="243"/>
        <v>0</v>
      </c>
      <c r="AL120" s="51">
        <f t="shared" si="243"/>
        <v>0</v>
      </c>
      <c r="AM120" s="18">
        <f t="shared" si="244"/>
        <v>0</v>
      </c>
      <c r="AN120" s="41">
        <f t="shared" si="245"/>
        <v>0</v>
      </c>
      <c r="AO120" s="11">
        <f t="shared" si="245"/>
        <v>0</v>
      </c>
      <c r="AP120" s="11">
        <f t="shared" si="245"/>
        <v>0</v>
      </c>
      <c r="AQ120" s="11">
        <f t="shared" si="245"/>
        <v>0</v>
      </c>
      <c r="AR120" s="11">
        <f t="shared" si="245"/>
        <v>0</v>
      </c>
      <c r="AS120" s="18">
        <f t="shared" si="246"/>
        <v>0</v>
      </c>
      <c r="AT120" s="41">
        <f t="shared" si="265"/>
        <v>0</v>
      </c>
      <c r="AU120" s="11">
        <f t="shared" si="265"/>
        <v>0</v>
      </c>
      <c r="AV120" s="11">
        <f t="shared" si="265"/>
        <v>0</v>
      </c>
      <c r="AW120" s="11">
        <f t="shared" si="265"/>
        <v>0</v>
      </c>
      <c r="AX120" s="11">
        <f t="shared" si="265"/>
        <v>0</v>
      </c>
      <c r="AY120" s="18">
        <f t="shared" si="265"/>
        <v>0</v>
      </c>
      <c r="AZ120" s="61">
        <f>(2)/150</f>
        <v>1.3333333333333334E-2</v>
      </c>
      <c r="BA120" s="58">
        <f t="shared" si="266"/>
        <v>0</v>
      </c>
      <c r="BB120" s="58">
        <f t="shared" si="258"/>
        <v>0</v>
      </c>
      <c r="BC120" s="58">
        <f t="shared" si="258"/>
        <v>0</v>
      </c>
      <c r="BD120" s="58">
        <f t="shared" si="258"/>
        <v>0</v>
      </c>
      <c r="BE120" s="58">
        <f>(13)/150</f>
        <v>8.666666666666667E-2</v>
      </c>
      <c r="BF120" s="58">
        <f>(0)/150</f>
        <v>0</v>
      </c>
      <c r="BG120" s="61">
        <f t="shared" si="259"/>
        <v>0</v>
      </c>
      <c r="BH120" s="58">
        <f t="shared" si="259"/>
        <v>0</v>
      </c>
      <c r="BI120" s="58">
        <f t="shared" si="259"/>
        <v>0</v>
      </c>
      <c r="BJ120" s="58">
        <f t="shared" si="259"/>
        <v>0</v>
      </c>
      <c r="BK120" s="58">
        <f t="shared" si="259"/>
        <v>0</v>
      </c>
      <c r="BL120" s="58">
        <f t="shared" si="247"/>
        <v>0</v>
      </c>
      <c r="BM120" s="58">
        <f t="shared" si="247"/>
        <v>0</v>
      </c>
      <c r="BN120" s="62">
        <f t="shared" si="247"/>
        <v>0</v>
      </c>
      <c r="BO120" s="61">
        <f t="shared" si="267"/>
        <v>0</v>
      </c>
      <c r="BP120" s="58">
        <f t="shared" si="267"/>
        <v>0</v>
      </c>
      <c r="BQ120" s="58">
        <f t="shared" si="267"/>
        <v>0</v>
      </c>
      <c r="BR120" s="58">
        <f t="shared" si="267"/>
        <v>0</v>
      </c>
      <c r="BS120" s="58">
        <f t="shared" si="267"/>
        <v>0</v>
      </c>
      <c r="BT120" s="58">
        <f t="shared" si="248"/>
        <v>0</v>
      </c>
      <c r="BU120" s="58">
        <f t="shared" si="248"/>
        <v>0</v>
      </c>
      <c r="BV120" s="62">
        <f t="shared" si="248"/>
        <v>0</v>
      </c>
      <c r="BW120" s="61">
        <f t="shared" si="249"/>
        <v>0</v>
      </c>
      <c r="BX120" s="58">
        <f t="shared" si="249"/>
        <v>0</v>
      </c>
      <c r="BY120" s="58">
        <f t="shared" si="249"/>
        <v>0</v>
      </c>
      <c r="BZ120" s="58">
        <f t="shared" si="249"/>
        <v>0</v>
      </c>
      <c r="CA120" s="58">
        <f t="shared" si="249"/>
        <v>0</v>
      </c>
      <c r="CB120" s="58">
        <f t="shared" si="250"/>
        <v>0</v>
      </c>
      <c r="CC120" s="58">
        <f t="shared" si="250"/>
        <v>0</v>
      </c>
      <c r="CD120" s="62">
        <f t="shared" si="250"/>
        <v>0</v>
      </c>
      <c r="CE120" s="61">
        <f t="shared" si="260"/>
        <v>0</v>
      </c>
      <c r="CF120" s="58">
        <f t="shared" si="260"/>
        <v>0</v>
      </c>
      <c r="CG120" s="58">
        <f t="shared" si="260"/>
        <v>0</v>
      </c>
      <c r="CH120" s="58">
        <f t="shared" si="260"/>
        <v>0</v>
      </c>
      <c r="CI120" s="58">
        <f t="shared" si="260"/>
        <v>0</v>
      </c>
      <c r="CJ120" s="58">
        <f t="shared" si="251"/>
        <v>0</v>
      </c>
      <c r="CK120" s="58">
        <f t="shared" si="251"/>
        <v>0</v>
      </c>
      <c r="CL120" s="62">
        <f t="shared" si="251"/>
        <v>0</v>
      </c>
      <c r="CM120" s="61">
        <f t="shared" si="261"/>
        <v>0</v>
      </c>
      <c r="CN120" s="58">
        <f t="shared" si="261"/>
        <v>0</v>
      </c>
      <c r="CO120" s="58">
        <f t="shared" si="261"/>
        <v>0</v>
      </c>
      <c r="CP120" s="58">
        <f t="shared" si="261"/>
        <v>0</v>
      </c>
      <c r="CQ120" s="58">
        <f t="shared" si="261"/>
        <v>0</v>
      </c>
      <c r="CR120" s="58">
        <f t="shared" si="252"/>
        <v>0</v>
      </c>
      <c r="CS120" s="58">
        <f t="shared" si="252"/>
        <v>0</v>
      </c>
      <c r="CT120" s="62">
        <f t="shared" si="252"/>
        <v>0</v>
      </c>
      <c r="CU120" s="235"/>
    </row>
    <row r="121" spans="1:99" ht="26.25" customHeight="1" collapsed="1" x14ac:dyDescent="0.4">
      <c r="A121" s="350">
        <v>58</v>
      </c>
      <c r="B121" s="350" t="s">
        <v>46</v>
      </c>
      <c r="C121" s="350" t="s">
        <v>14</v>
      </c>
      <c r="D121" s="352" t="s">
        <v>973</v>
      </c>
      <c r="E121" s="352" t="s">
        <v>974</v>
      </c>
      <c r="F121" s="352"/>
      <c r="G121" s="385" t="s">
        <v>967</v>
      </c>
      <c r="H121" s="446">
        <f t="shared" ref="H121:H126" si="272">SUM(AZ121:BF121)</f>
        <v>0.44666666666666666</v>
      </c>
      <c r="I121" s="446">
        <f t="shared" ref="I121:I126" si="273">SUM(AZ122:BF122)</f>
        <v>3.3333333333333335E-3</v>
      </c>
      <c r="J121" s="448"/>
      <c r="K121" s="452"/>
      <c r="L121" s="452"/>
      <c r="M121" s="450"/>
      <c r="N121" s="47" t="s">
        <v>24</v>
      </c>
      <c r="O121" s="10">
        <f t="shared" si="240"/>
        <v>0</v>
      </c>
      <c r="P121" s="10">
        <f t="shared" si="240"/>
        <v>0</v>
      </c>
      <c r="Q121" s="10">
        <f t="shared" si="240"/>
        <v>0</v>
      </c>
      <c r="R121" s="10">
        <f t="shared" si="240"/>
        <v>0</v>
      </c>
      <c r="S121" s="10">
        <f t="shared" si="240"/>
        <v>0</v>
      </c>
      <c r="T121" s="10">
        <f t="shared" si="240"/>
        <v>0</v>
      </c>
      <c r="U121" s="79">
        <f t="shared" si="240"/>
        <v>0</v>
      </c>
      <c r="V121" s="19">
        <f t="shared" si="241"/>
        <v>0</v>
      </c>
      <c r="W121" s="10">
        <f t="shared" si="241"/>
        <v>0</v>
      </c>
      <c r="X121" s="10">
        <f t="shared" si="241"/>
        <v>0</v>
      </c>
      <c r="Y121" s="10">
        <f t="shared" si="241"/>
        <v>0</v>
      </c>
      <c r="Z121" s="10">
        <f t="shared" si="241"/>
        <v>0</v>
      </c>
      <c r="AA121" s="10">
        <f t="shared" si="242"/>
        <v>0</v>
      </c>
      <c r="AB121" s="19">
        <f t="shared" si="242"/>
        <v>0</v>
      </c>
      <c r="AC121" s="10">
        <f t="shared" si="242"/>
        <v>0</v>
      </c>
      <c r="AD121" s="210">
        <f t="shared" si="242"/>
        <v>0</v>
      </c>
      <c r="AE121" s="10">
        <f t="shared" si="242"/>
        <v>0</v>
      </c>
      <c r="AF121" s="10">
        <f t="shared" si="242"/>
        <v>0</v>
      </c>
      <c r="AG121" s="10">
        <f t="shared" si="242"/>
        <v>0</v>
      </c>
      <c r="AH121" s="19">
        <f t="shared" si="243"/>
        <v>0</v>
      </c>
      <c r="AI121" s="10">
        <f t="shared" si="243"/>
        <v>0</v>
      </c>
      <c r="AJ121" s="10">
        <f t="shared" si="243"/>
        <v>0</v>
      </c>
      <c r="AK121" s="10">
        <f t="shared" si="243"/>
        <v>0</v>
      </c>
      <c r="AL121" s="10">
        <f t="shared" si="243"/>
        <v>0</v>
      </c>
      <c r="AM121" s="10">
        <f t="shared" si="244"/>
        <v>0</v>
      </c>
      <c r="AN121" s="19">
        <f t="shared" si="245"/>
        <v>0</v>
      </c>
      <c r="AO121" s="10">
        <f t="shared" si="245"/>
        <v>0</v>
      </c>
      <c r="AP121" s="10">
        <f t="shared" si="245"/>
        <v>0</v>
      </c>
      <c r="AQ121" s="10">
        <f t="shared" si="245"/>
        <v>0</v>
      </c>
      <c r="AR121" s="10">
        <f t="shared" si="245"/>
        <v>0</v>
      </c>
      <c r="AS121" s="10">
        <f t="shared" si="246"/>
        <v>0</v>
      </c>
      <c r="AT121" s="71">
        <f t="shared" si="265"/>
        <v>0</v>
      </c>
      <c r="AU121" s="10">
        <f t="shared" si="265"/>
        <v>0</v>
      </c>
      <c r="AV121" s="10">
        <f t="shared" si="265"/>
        <v>0</v>
      </c>
      <c r="AW121" s="10">
        <f t="shared" si="265"/>
        <v>0</v>
      </c>
      <c r="AX121" s="10">
        <f t="shared" si="265"/>
        <v>0</v>
      </c>
      <c r="AY121" s="10">
        <f t="shared" si="265"/>
        <v>0</v>
      </c>
      <c r="AZ121" s="19">
        <f>(7)/150</f>
        <v>4.6666666666666669E-2</v>
      </c>
      <c r="BA121" s="10">
        <f>(20)/150</f>
        <v>0.13333333333333333</v>
      </c>
      <c r="BB121" s="10">
        <f>(20)/150</f>
        <v>0.13333333333333333</v>
      </c>
      <c r="BC121" s="10">
        <f t="shared" si="258"/>
        <v>0</v>
      </c>
      <c r="BD121" s="10">
        <f>(20)/150</f>
        <v>0.13333333333333333</v>
      </c>
      <c r="BE121" s="10">
        <f t="shared" si="258"/>
        <v>0</v>
      </c>
      <c r="BF121" s="10">
        <f t="shared" si="258"/>
        <v>0</v>
      </c>
      <c r="BG121" s="19">
        <f t="shared" si="259"/>
        <v>0</v>
      </c>
      <c r="BH121" s="10">
        <f t="shared" si="259"/>
        <v>0</v>
      </c>
      <c r="BI121" s="10">
        <f t="shared" si="259"/>
        <v>0</v>
      </c>
      <c r="BJ121" s="10">
        <f t="shared" si="259"/>
        <v>0</v>
      </c>
      <c r="BK121" s="10">
        <f t="shared" si="259"/>
        <v>0</v>
      </c>
      <c r="BL121" s="10">
        <f t="shared" si="247"/>
        <v>0</v>
      </c>
      <c r="BM121" s="10">
        <f t="shared" si="247"/>
        <v>0</v>
      </c>
      <c r="BN121" s="17">
        <f t="shared" si="247"/>
        <v>0</v>
      </c>
      <c r="BO121" s="19">
        <f t="shared" si="267"/>
        <v>0</v>
      </c>
      <c r="BP121" s="10">
        <f t="shared" si="267"/>
        <v>0</v>
      </c>
      <c r="BQ121" s="10">
        <f t="shared" si="267"/>
        <v>0</v>
      </c>
      <c r="BR121" s="10">
        <f t="shared" si="267"/>
        <v>0</v>
      </c>
      <c r="BS121" s="10">
        <f t="shared" si="267"/>
        <v>0</v>
      </c>
      <c r="BT121" s="10">
        <f t="shared" si="248"/>
        <v>0</v>
      </c>
      <c r="BU121" s="10">
        <f t="shared" si="248"/>
        <v>0</v>
      </c>
      <c r="BV121" s="17">
        <f t="shared" si="248"/>
        <v>0</v>
      </c>
      <c r="BW121" s="71">
        <f t="shared" si="249"/>
        <v>0</v>
      </c>
      <c r="BX121" s="10">
        <f t="shared" si="249"/>
        <v>0</v>
      </c>
      <c r="BY121" s="10">
        <f t="shared" si="249"/>
        <v>0</v>
      </c>
      <c r="BZ121" s="10">
        <f t="shared" si="249"/>
        <v>0</v>
      </c>
      <c r="CA121" s="10">
        <f t="shared" si="249"/>
        <v>0</v>
      </c>
      <c r="CB121" s="10">
        <f t="shared" si="250"/>
        <v>0</v>
      </c>
      <c r="CC121" s="10">
        <f t="shared" si="250"/>
        <v>0</v>
      </c>
      <c r="CD121" s="17">
        <f t="shared" si="250"/>
        <v>0</v>
      </c>
      <c r="CE121" s="19">
        <f t="shared" si="260"/>
        <v>0</v>
      </c>
      <c r="CF121" s="10">
        <f t="shared" si="260"/>
        <v>0</v>
      </c>
      <c r="CG121" s="10">
        <f t="shared" si="260"/>
        <v>0</v>
      </c>
      <c r="CH121" s="10">
        <f t="shared" si="260"/>
        <v>0</v>
      </c>
      <c r="CI121" s="10">
        <f t="shared" si="260"/>
        <v>0</v>
      </c>
      <c r="CJ121" s="10">
        <f t="shared" si="251"/>
        <v>0</v>
      </c>
      <c r="CK121" s="10">
        <f t="shared" si="251"/>
        <v>0</v>
      </c>
      <c r="CL121" s="17">
        <f t="shared" si="251"/>
        <v>0</v>
      </c>
      <c r="CM121" s="19">
        <f t="shared" si="261"/>
        <v>0</v>
      </c>
      <c r="CN121" s="10">
        <f t="shared" si="261"/>
        <v>0</v>
      </c>
      <c r="CO121" s="10">
        <f t="shared" si="261"/>
        <v>0</v>
      </c>
      <c r="CP121" s="10">
        <f t="shared" si="261"/>
        <v>0</v>
      </c>
      <c r="CQ121" s="10">
        <f t="shared" si="261"/>
        <v>0</v>
      </c>
      <c r="CR121" s="10">
        <f t="shared" si="252"/>
        <v>0</v>
      </c>
      <c r="CS121" s="10">
        <f t="shared" si="252"/>
        <v>0</v>
      </c>
      <c r="CT121" s="17">
        <f t="shared" si="252"/>
        <v>0</v>
      </c>
      <c r="CU121" s="235"/>
    </row>
    <row r="122" spans="1:99" ht="26.25" customHeight="1" x14ac:dyDescent="0.4">
      <c r="A122" s="351"/>
      <c r="B122" s="351"/>
      <c r="C122" s="351"/>
      <c r="D122" s="353"/>
      <c r="E122" s="353"/>
      <c r="F122" s="353"/>
      <c r="G122" s="385"/>
      <c r="H122" s="447"/>
      <c r="I122" s="447"/>
      <c r="J122" s="449"/>
      <c r="K122" s="453"/>
      <c r="L122" s="453"/>
      <c r="M122" s="451"/>
      <c r="N122" s="38" t="s">
        <v>25</v>
      </c>
      <c r="O122" s="11">
        <f t="shared" si="240"/>
        <v>0</v>
      </c>
      <c r="P122" s="11">
        <f t="shared" si="240"/>
        <v>0</v>
      </c>
      <c r="Q122" s="11">
        <f t="shared" si="240"/>
        <v>0</v>
      </c>
      <c r="R122" s="11">
        <f t="shared" si="240"/>
        <v>0</v>
      </c>
      <c r="S122" s="11">
        <f t="shared" si="240"/>
        <v>0</v>
      </c>
      <c r="T122" s="11">
        <f t="shared" si="240"/>
        <v>0</v>
      </c>
      <c r="U122" s="48">
        <f t="shared" si="240"/>
        <v>0</v>
      </c>
      <c r="V122" s="56">
        <f t="shared" si="241"/>
        <v>0</v>
      </c>
      <c r="W122" s="18">
        <f t="shared" si="241"/>
        <v>0</v>
      </c>
      <c r="X122" s="18">
        <f t="shared" si="241"/>
        <v>0</v>
      </c>
      <c r="Y122" s="18">
        <f t="shared" si="241"/>
        <v>0</v>
      </c>
      <c r="Z122" s="18">
        <f t="shared" si="241"/>
        <v>0</v>
      </c>
      <c r="AA122" s="18">
        <f t="shared" si="242"/>
        <v>0</v>
      </c>
      <c r="AB122" s="41">
        <f t="shared" si="242"/>
        <v>0</v>
      </c>
      <c r="AC122" s="51">
        <f t="shared" si="242"/>
        <v>0</v>
      </c>
      <c r="AD122" s="11">
        <f t="shared" si="242"/>
        <v>0</v>
      </c>
      <c r="AE122" s="11">
        <f t="shared" si="242"/>
        <v>0</v>
      </c>
      <c r="AF122" s="11">
        <f t="shared" si="242"/>
        <v>0</v>
      </c>
      <c r="AG122" s="18">
        <f t="shared" si="242"/>
        <v>0</v>
      </c>
      <c r="AH122" s="50">
        <f t="shared" si="243"/>
        <v>0</v>
      </c>
      <c r="AI122" s="51">
        <f t="shared" si="243"/>
        <v>0</v>
      </c>
      <c r="AJ122" s="51">
        <f t="shared" si="243"/>
        <v>0</v>
      </c>
      <c r="AK122" s="51">
        <f t="shared" si="243"/>
        <v>0</v>
      </c>
      <c r="AL122" s="51">
        <f t="shared" si="243"/>
        <v>0</v>
      </c>
      <c r="AM122" s="18">
        <f t="shared" si="244"/>
        <v>0</v>
      </c>
      <c r="AN122" s="41">
        <f t="shared" si="245"/>
        <v>0</v>
      </c>
      <c r="AO122" s="11">
        <f t="shared" si="245"/>
        <v>0</v>
      </c>
      <c r="AP122" s="11">
        <f t="shared" si="245"/>
        <v>0</v>
      </c>
      <c r="AQ122" s="11">
        <f t="shared" si="245"/>
        <v>0</v>
      </c>
      <c r="AR122" s="11">
        <f t="shared" si="245"/>
        <v>0</v>
      </c>
      <c r="AS122" s="18">
        <f t="shared" si="246"/>
        <v>0</v>
      </c>
      <c r="AT122" s="41">
        <f t="shared" si="265"/>
        <v>0</v>
      </c>
      <c r="AU122" s="11">
        <f t="shared" si="265"/>
        <v>0</v>
      </c>
      <c r="AV122" s="11">
        <f t="shared" si="265"/>
        <v>0</v>
      </c>
      <c r="AW122" s="11">
        <f t="shared" si="265"/>
        <v>0</v>
      </c>
      <c r="AX122" s="11">
        <f t="shared" si="265"/>
        <v>0</v>
      </c>
      <c r="AY122" s="18">
        <f t="shared" si="265"/>
        <v>0</v>
      </c>
      <c r="AZ122" s="61">
        <f>(0.5)/150</f>
        <v>3.3333333333333335E-3</v>
      </c>
      <c r="BA122" s="58">
        <f t="shared" si="266"/>
        <v>0</v>
      </c>
      <c r="BB122" s="58">
        <f t="shared" si="258"/>
        <v>0</v>
      </c>
      <c r="BC122" s="58">
        <f t="shared" si="258"/>
        <v>0</v>
      </c>
      <c r="BD122" s="58">
        <f t="shared" si="258"/>
        <v>0</v>
      </c>
      <c r="BE122" s="58">
        <f t="shared" si="258"/>
        <v>0</v>
      </c>
      <c r="BF122" s="58">
        <f t="shared" si="258"/>
        <v>0</v>
      </c>
      <c r="BG122" s="61">
        <f t="shared" si="259"/>
        <v>0</v>
      </c>
      <c r="BH122" s="58">
        <f t="shared" si="259"/>
        <v>0</v>
      </c>
      <c r="BI122" s="58">
        <f t="shared" si="259"/>
        <v>0</v>
      </c>
      <c r="BJ122" s="58">
        <f t="shared" si="259"/>
        <v>0</v>
      </c>
      <c r="BK122" s="58">
        <f t="shared" si="259"/>
        <v>0</v>
      </c>
      <c r="BL122" s="58">
        <f t="shared" si="247"/>
        <v>0</v>
      </c>
      <c r="BM122" s="58">
        <f t="shared" si="247"/>
        <v>0</v>
      </c>
      <c r="BN122" s="62">
        <f t="shared" si="247"/>
        <v>0</v>
      </c>
      <c r="BO122" s="61">
        <f t="shared" si="267"/>
        <v>0</v>
      </c>
      <c r="BP122" s="58">
        <f t="shared" si="267"/>
        <v>0</v>
      </c>
      <c r="BQ122" s="58">
        <f t="shared" si="267"/>
        <v>0</v>
      </c>
      <c r="BR122" s="58">
        <f t="shared" si="267"/>
        <v>0</v>
      </c>
      <c r="BS122" s="58">
        <f t="shared" si="267"/>
        <v>0</v>
      </c>
      <c r="BT122" s="58">
        <f t="shared" si="248"/>
        <v>0</v>
      </c>
      <c r="BU122" s="58">
        <f t="shared" si="248"/>
        <v>0</v>
      </c>
      <c r="BV122" s="62">
        <f t="shared" si="248"/>
        <v>0</v>
      </c>
      <c r="BW122" s="61">
        <f t="shared" si="249"/>
        <v>0</v>
      </c>
      <c r="BX122" s="58">
        <f t="shared" si="249"/>
        <v>0</v>
      </c>
      <c r="BY122" s="58">
        <f t="shared" si="249"/>
        <v>0</v>
      </c>
      <c r="BZ122" s="58">
        <f t="shared" si="249"/>
        <v>0</v>
      </c>
      <c r="CA122" s="58">
        <f t="shared" si="249"/>
        <v>0</v>
      </c>
      <c r="CB122" s="58">
        <f t="shared" si="250"/>
        <v>0</v>
      </c>
      <c r="CC122" s="58">
        <f t="shared" si="250"/>
        <v>0</v>
      </c>
      <c r="CD122" s="62">
        <f t="shared" si="250"/>
        <v>0</v>
      </c>
      <c r="CE122" s="61">
        <f t="shared" si="260"/>
        <v>0</v>
      </c>
      <c r="CF122" s="58">
        <f t="shared" si="260"/>
        <v>0</v>
      </c>
      <c r="CG122" s="58">
        <f t="shared" si="260"/>
        <v>0</v>
      </c>
      <c r="CH122" s="58">
        <f t="shared" si="260"/>
        <v>0</v>
      </c>
      <c r="CI122" s="58">
        <f t="shared" si="260"/>
        <v>0</v>
      </c>
      <c r="CJ122" s="58">
        <f t="shared" si="251"/>
        <v>0</v>
      </c>
      <c r="CK122" s="58">
        <f t="shared" si="251"/>
        <v>0</v>
      </c>
      <c r="CL122" s="62">
        <f t="shared" si="251"/>
        <v>0</v>
      </c>
      <c r="CM122" s="61">
        <f t="shared" si="261"/>
        <v>0</v>
      </c>
      <c r="CN122" s="58">
        <f t="shared" si="261"/>
        <v>0</v>
      </c>
      <c r="CO122" s="58">
        <f t="shared" si="261"/>
        <v>0</v>
      </c>
      <c r="CP122" s="58">
        <f t="shared" si="261"/>
        <v>0</v>
      </c>
      <c r="CQ122" s="58">
        <f t="shared" si="261"/>
        <v>0</v>
      </c>
      <c r="CR122" s="58">
        <f t="shared" si="252"/>
        <v>0</v>
      </c>
      <c r="CS122" s="58">
        <f t="shared" si="252"/>
        <v>0</v>
      </c>
      <c r="CT122" s="62">
        <f t="shared" si="252"/>
        <v>0</v>
      </c>
      <c r="CU122" s="235"/>
    </row>
    <row r="123" spans="1:99" ht="26.25" customHeight="1" x14ac:dyDescent="0.4">
      <c r="A123" s="350">
        <v>59</v>
      </c>
      <c r="B123" s="350" t="s">
        <v>46</v>
      </c>
      <c r="C123" s="350" t="s">
        <v>14</v>
      </c>
      <c r="D123" s="352" t="s">
        <v>977</v>
      </c>
      <c r="E123" s="352" t="s">
        <v>976</v>
      </c>
      <c r="F123" s="352"/>
      <c r="G123" s="385" t="s">
        <v>975</v>
      </c>
      <c r="H123" s="446">
        <f t="shared" ref="H123:H126" si="274">SUM(AZ123:BF123)</f>
        <v>0.31333333333333335</v>
      </c>
      <c r="I123" s="446">
        <f t="shared" ref="I123:I126" si="275">SUM(AZ124:BF124)</f>
        <v>8.1666666666666665E-2</v>
      </c>
      <c r="J123" s="448"/>
      <c r="K123" s="452"/>
      <c r="L123" s="452"/>
      <c r="M123" s="450"/>
      <c r="N123" s="47" t="s">
        <v>24</v>
      </c>
      <c r="O123" s="10">
        <f t="shared" si="240"/>
        <v>0</v>
      </c>
      <c r="P123" s="10">
        <f t="shared" si="240"/>
        <v>0</v>
      </c>
      <c r="Q123" s="10">
        <f t="shared" si="240"/>
        <v>0</v>
      </c>
      <c r="R123" s="10">
        <f t="shared" si="240"/>
        <v>0</v>
      </c>
      <c r="S123" s="10">
        <f t="shared" si="240"/>
        <v>0</v>
      </c>
      <c r="T123" s="10">
        <f t="shared" si="240"/>
        <v>0</v>
      </c>
      <c r="U123" s="79">
        <f t="shared" si="240"/>
        <v>0</v>
      </c>
      <c r="V123" s="19">
        <f t="shared" si="241"/>
        <v>0</v>
      </c>
      <c r="W123" s="10">
        <f t="shared" si="241"/>
        <v>0</v>
      </c>
      <c r="X123" s="10">
        <f t="shared" si="241"/>
        <v>0</v>
      </c>
      <c r="Y123" s="10">
        <f t="shared" si="241"/>
        <v>0</v>
      </c>
      <c r="Z123" s="10">
        <f t="shared" si="241"/>
        <v>0</v>
      </c>
      <c r="AA123" s="10">
        <f t="shared" si="242"/>
        <v>0</v>
      </c>
      <c r="AB123" s="19">
        <f t="shared" si="242"/>
        <v>0</v>
      </c>
      <c r="AC123" s="10">
        <f t="shared" si="242"/>
        <v>0</v>
      </c>
      <c r="AD123" s="210">
        <f t="shared" si="242"/>
        <v>0</v>
      </c>
      <c r="AE123" s="10">
        <f t="shared" si="242"/>
        <v>0</v>
      </c>
      <c r="AF123" s="10">
        <f t="shared" si="242"/>
        <v>0</v>
      </c>
      <c r="AG123" s="10">
        <f t="shared" si="242"/>
        <v>0</v>
      </c>
      <c r="AH123" s="19">
        <f t="shared" ref="AH123:AL147" si="276">0/150</f>
        <v>0</v>
      </c>
      <c r="AI123" s="10">
        <f t="shared" si="276"/>
        <v>0</v>
      </c>
      <c r="AJ123" s="10">
        <f t="shared" si="276"/>
        <v>0</v>
      </c>
      <c r="AK123" s="10">
        <f t="shared" si="276"/>
        <v>0</v>
      </c>
      <c r="AL123" s="10">
        <f t="shared" si="276"/>
        <v>0</v>
      </c>
      <c r="AM123" s="10">
        <f t="shared" si="244"/>
        <v>0</v>
      </c>
      <c r="AN123" s="19">
        <f t="shared" si="245"/>
        <v>0</v>
      </c>
      <c r="AO123" s="10">
        <f t="shared" si="245"/>
        <v>0</v>
      </c>
      <c r="AP123" s="10">
        <f t="shared" si="245"/>
        <v>0</v>
      </c>
      <c r="AQ123" s="10">
        <f t="shared" si="245"/>
        <v>0</v>
      </c>
      <c r="AR123" s="10">
        <f t="shared" si="245"/>
        <v>0</v>
      </c>
      <c r="AS123" s="10">
        <f t="shared" si="246"/>
        <v>0</v>
      </c>
      <c r="AT123" s="71">
        <f t="shared" si="265"/>
        <v>0</v>
      </c>
      <c r="AU123" s="10">
        <f t="shared" si="265"/>
        <v>0</v>
      </c>
      <c r="AV123" s="10">
        <f t="shared" si="265"/>
        <v>0</v>
      </c>
      <c r="AW123" s="10">
        <f t="shared" si="265"/>
        <v>0</v>
      </c>
      <c r="AX123" s="10">
        <f t="shared" si="265"/>
        <v>0</v>
      </c>
      <c r="AY123" s="10">
        <f t="shared" si="265"/>
        <v>0</v>
      </c>
      <c r="AZ123" s="19">
        <f>(7)/150</f>
        <v>4.6666666666666669E-2</v>
      </c>
      <c r="BA123" s="10">
        <f t="shared" si="266"/>
        <v>0</v>
      </c>
      <c r="BB123" s="10">
        <f t="shared" ref="BB123:BC123" si="277">(20)/150</f>
        <v>0.13333333333333333</v>
      </c>
      <c r="BC123" s="10">
        <f t="shared" si="277"/>
        <v>0.13333333333333333</v>
      </c>
      <c r="BD123" s="10">
        <f t="shared" si="258"/>
        <v>0</v>
      </c>
      <c r="BE123" s="10">
        <f t="shared" si="258"/>
        <v>0</v>
      </c>
      <c r="BF123" s="10">
        <f t="shared" si="258"/>
        <v>0</v>
      </c>
      <c r="BG123" s="19">
        <f t="shared" si="259"/>
        <v>0</v>
      </c>
      <c r="BH123" s="10">
        <f t="shared" si="259"/>
        <v>0</v>
      </c>
      <c r="BI123" s="10">
        <f t="shared" si="259"/>
        <v>0</v>
      </c>
      <c r="BJ123" s="10">
        <f t="shared" si="259"/>
        <v>0</v>
      </c>
      <c r="BK123" s="10">
        <f t="shared" si="259"/>
        <v>0</v>
      </c>
      <c r="BL123" s="10">
        <f t="shared" si="247"/>
        <v>0</v>
      </c>
      <c r="BM123" s="10">
        <f t="shared" si="247"/>
        <v>0</v>
      </c>
      <c r="BN123" s="17">
        <f t="shared" si="247"/>
        <v>0</v>
      </c>
      <c r="BO123" s="19">
        <f t="shared" si="267"/>
        <v>0</v>
      </c>
      <c r="BP123" s="10">
        <f t="shared" si="267"/>
        <v>0</v>
      </c>
      <c r="BQ123" s="10">
        <f t="shared" si="267"/>
        <v>0</v>
      </c>
      <c r="BR123" s="10">
        <f t="shared" si="267"/>
        <v>0</v>
      </c>
      <c r="BS123" s="10">
        <f t="shared" si="267"/>
        <v>0</v>
      </c>
      <c r="BT123" s="10">
        <f t="shared" si="248"/>
        <v>0</v>
      </c>
      <c r="BU123" s="10">
        <f t="shared" si="248"/>
        <v>0</v>
      </c>
      <c r="BV123" s="17">
        <f t="shared" si="248"/>
        <v>0</v>
      </c>
      <c r="BW123" s="71">
        <f t="shared" si="249"/>
        <v>0</v>
      </c>
      <c r="BX123" s="10">
        <f t="shared" si="249"/>
        <v>0</v>
      </c>
      <c r="BY123" s="10">
        <f t="shared" si="249"/>
        <v>0</v>
      </c>
      <c r="BZ123" s="10">
        <f t="shared" si="249"/>
        <v>0</v>
      </c>
      <c r="CA123" s="10">
        <f t="shared" si="249"/>
        <v>0</v>
      </c>
      <c r="CB123" s="10">
        <f t="shared" si="250"/>
        <v>0</v>
      </c>
      <c r="CC123" s="10">
        <f t="shared" si="250"/>
        <v>0</v>
      </c>
      <c r="CD123" s="17">
        <f t="shared" si="250"/>
        <v>0</v>
      </c>
      <c r="CE123" s="19">
        <f t="shared" si="260"/>
        <v>0</v>
      </c>
      <c r="CF123" s="10">
        <f t="shared" si="260"/>
        <v>0</v>
      </c>
      <c r="CG123" s="10">
        <f t="shared" si="260"/>
        <v>0</v>
      </c>
      <c r="CH123" s="10">
        <f t="shared" si="260"/>
        <v>0</v>
      </c>
      <c r="CI123" s="10">
        <f t="shared" si="260"/>
        <v>0</v>
      </c>
      <c r="CJ123" s="10">
        <f t="shared" si="251"/>
        <v>0</v>
      </c>
      <c r="CK123" s="10">
        <f t="shared" si="251"/>
        <v>0</v>
      </c>
      <c r="CL123" s="17">
        <f t="shared" si="251"/>
        <v>0</v>
      </c>
      <c r="CM123" s="19">
        <f t="shared" si="261"/>
        <v>0</v>
      </c>
      <c r="CN123" s="10">
        <f t="shared" si="261"/>
        <v>0</v>
      </c>
      <c r="CO123" s="10">
        <f t="shared" si="261"/>
        <v>0</v>
      </c>
      <c r="CP123" s="10">
        <f t="shared" si="261"/>
        <v>0</v>
      </c>
      <c r="CQ123" s="10">
        <f t="shared" si="261"/>
        <v>0</v>
      </c>
      <c r="CR123" s="10">
        <f t="shared" si="252"/>
        <v>0</v>
      </c>
      <c r="CS123" s="10">
        <f t="shared" si="252"/>
        <v>0</v>
      </c>
      <c r="CT123" s="17">
        <f t="shared" si="252"/>
        <v>0</v>
      </c>
      <c r="CU123" s="235"/>
    </row>
    <row r="124" spans="1:99" ht="26.25" customHeight="1" x14ac:dyDescent="0.4">
      <c r="A124" s="351"/>
      <c r="B124" s="351"/>
      <c r="C124" s="351"/>
      <c r="D124" s="353"/>
      <c r="E124" s="353"/>
      <c r="F124" s="353"/>
      <c r="G124" s="385"/>
      <c r="H124" s="447"/>
      <c r="I124" s="447"/>
      <c r="J124" s="449"/>
      <c r="K124" s="453"/>
      <c r="L124" s="453"/>
      <c r="M124" s="451"/>
      <c r="N124" s="38" t="s">
        <v>25</v>
      </c>
      <c r="O124" s="11">
        <f t="shared" si="240"/>
        <v>0</v>
      </c>
      <c r="P124" s="11">
        <f t="shared" si="240"/>
        <v>0</v>
      </c>
      <c r="Q124" s="11">
        <f t="shared" si="240"/>
        <v>0</v>
      </c>
      <c r="R124" s="11">
        <f t="shared" si="240"/>
        <v>0</v>
      </c>
      <c r="S124" s="11">
        <f t="shared" si="240"/>
        <v>0</v>
      </c>
      <c r="T124" s="11">
        <f t="shared" si="240"/>
        <v>0</v>
      </c>
      <c r="U124" s="48">
        <f t="shared" si="240"/>
        <v>0</v>
      </c>
      <c r="V124" s="56">
        <f t="shared" si="241"/>
        <v>0</v>
      </c>
      <c r="W124" s="18">
        <f t="shared" si="241"/>
        <v>0</v>
      </c>
      <c r="X124" s="18">
        <f t="shared" si="241"/>
        <v>0</v>
      </c>
      <c r="Y124" s="18">
        <f t="shared" si="241"/>
        <v>0</v>
      </c>
      <c r="Z124" s="18">
        <f t="shared" si="241"/>
        <v>0</v>
      </c>
      <c r="AA124" s="18">
        <f t="shared" si="242"/>
        <v>0</v>
      </c>
      <c r="AB124" s="41">
        <f t="shared" si="242"/>
        <v>0</v>
      </c>
      <c r="AC124" s="51">
        <f t="shared" si="242"/>
        <v>0</v>
      </c>
      <c r="AD124" s="11">
        <f t="shared" si="242"/>
        <v>0</v>
      </c>
      <c r="AE124" s="11">
        <f t="shared" si="242"/>
        <v>0</v>
      </c>
      <c r="AF124" s="11">
        <f t="shared" si="242"/>
        <v>0</v>
      </c>
      <c r="AG124" s="18">
        <f t="shared" si="242"/>
        <v>0</v>
      </c>
      <c r="AH124" s="50">
        <f t="shared" si="276"/>
        <v>0</v>
      </c>
      <c r="AI124" s="51">
        <f t="shared" si="276"/>
        <v>0</v>
      </c>
      <c r="AJ124" s="51">
        <f t="shared" si="276"/>
        <v>0</v>
      </c>
      <c r="AK124" s="51">
        <f t="shared" si="276"/>
        <v>0</v>
      </c>
      <c r="AL124" s="51">
        <f t="shared" si="276"/>
        <v>0</v>
      </c>
      <c r="AM124" s="18">
        <f t="shared" si="244"/>
        <v>0</v>
      </c>
      <c r="AN124" s="41">
        <f t="shared" si="245"/>
        <v>0</v>
      </c>
      <c r="AO124" s="11">
        <f t="shared" si="245"/>
        <v>0</v>
      </c>
      <c r="AP124" s="11">
        <f t="shared" si="245"/>
        <v>0</v>
      </c>
      <c r="AQ124" s="11">
        <f t="shared" si="245"/>
        <v>0</v>
      </c>
      <c r="AR124" s="11">
        <f t="shared" si="245"/>
        <v>0</v>
      </c>
      <c r="AS124" s="18">
        <f t="shared" si="246"/>
        <v>0</v>
      </c>
      <c r="AT124" s="41">
        <f t="shared" si="265"/>
        <v>0</v>
      </c>
      <c r="AU124" s="11">
        <f t="shared" si="265"/>
        <v>0</v>
      </c>
      <c r="AV124" s="11">
        <f t="shared" si="265"/>
        <v>0</v>
      </c>
      <c r="AW124" s="11">
        <f t="shared" si="265"/>
        <v>0</v>
      </c>
      <c r="AX124" s="11">
        <f t="shared" si="265"/>
        <v>0</v>
      </c>
      <c r="AY124" s="18">
        <f t="shared" si="265"/>
        <v>0</v>
      </c>
      <c r="AZ124" s="61">
        <f>(1.75)/150</f>
        <v>1.1666666666666667E-2</v>
      </c>
      <c r="BA124" s="58">
        <f t="shared" si="266"/>
        <v>0</v>
      </c>
      <c r="BB124" s="58">
        <f>(5)/150</f>
        <v>3.3333333333333333E-2</v>
      </c>
      <c r="BC124" s="58">
        <f>(5.5)/150</f>
        <v>3.6666666666666667E-2</v>
      </c>
      <c r="BD124" s="58">
        <f t="shared" si="258"/>
        <v>0</v>
      </c>
      <c r="BE124" s="58">
        <f t="shared" si="258"/>
        <v>0</v>
      </c>
      <c r="BF124" s="58">
        <f t="shared" si="258"/>
        <v>0</v>
      </c>
      <c r="BG124" s="61">
        <f t="shared" si="259"/>
        <v>0</v>
      </c>
      <c r="BH124" s="58">
        <f t="shared" si="259"/>
        <v>0</v>
      </c>
      <c r="BI124" s="58">
        <f t="shared" si="259"/>
        <v>0</v>
      </c>
      <c r="BJ124" s="58">
        <f t="shared" si="259"/>
        <v>0</v>
      </c>
      <c r="BK124" s="58">
        <f t="shared" si="259"/>
        <v>0</v>
      </c>
      <c r="BL124" s="58">
        <f t="shared" si="247"/>
        <v>0</v>
      </c>
      <c r="BM124" s="58">
        <f t="shared" si="247"/>
        <v>0</v>
      </c>
      <c r="BN124" s="62">
        <f t="shared" si="247"/>
        <v>0</v>
      </c>
      <c r="BO124" s="61">
        <f t="shared" si="267"/>
        <v>0</v>
      </c>
      <c r="BP124" s="58">
        <f t="shared" si="267"/>
        <v>0</v>
      </c>
      <c r="BQ124" s="58">
        <f t="shared" si="267"/>
        <v>0</v>
      </c>
      <c r="BR124" s="58">
        <f t="shared" si="267"/>
        <v>0</v>
      </c>
      <c r="BS124" s="58">
        <f t="shared" si="267"/>
        <v>0</v>
      </c>
      <c r="BT124" s="58">
        <f t="shared" si="248"/>
        <v>0</v>
      </c>
      <c r="BU124" s="58">
        <f t="shared" si="248"/>
        <v>0</v>
      </c>
      <c r="BV124" s="62">
        <f t="shared" si="248"/>
        <v>0</v>
      </c>
      <c r="BW124" s="61">
        <f t="shared" si="249"/>
        <v>0</v>
      </c>
      <c r="BX124" s="58">
        <f t="shared" si="249"/>
        <v>0</v>
      </c>
      <c r="BY124" s="58">
        <f t="shared" si="249"/>
        <v>0</v>
      </c>
      <c r="BZ124" s="58">
        <f t="shared" si="249"/>
        <v>0</v>
      </c>
      <c r="CA124" s="58">
        <f t="shared" si="249"/>
        <v>0</v>
      </c>
      <c r="CB124" s="58">
        <f t="shared" si="250"/>
        <v>0</v>
      </c>
      <c r="CC124" s="58">
        <f t="shared" si="250"/>
        <v>0</v>
      </c>
      <c r="CD124" s="62">
        <f t="shared" si="250"/>
        <v>0</v>
      </c>
      <c r="CE124" s="61">
        <f t="shared" si="260"/>
        <v>0</v>
      </c>
      <c r="CF124" s="58">
        <f t="shared" si="260"/>
        <v>0</v>
      </c>
      <c r="CG124" s="58">
        <f t="shared" si="260"/>
        <v>0</v>
      </c>
      <c r="CH124" s="58">
        <f t="shared" si="260"/>
        <v>0</v>
      </c>
      <c r="CI124" s="58">
        <f t="shared" si="260"/>
        <v>0</v>
      </c>
      <c r="CJ124" s="58">
        <f t="shared" si="251"/>
        <v>0</v>
      </c>
      <c r="CK124" s="58">
        <f t="shared" si="251"/>
        <v>0</v>
      </c>
      <c r="CL124" s="62">
        <f t="shared" si="251"/>
        <v>0</v>
      </c>
      <c r="CM124" s="61">
        <f t="shared" si="261"/>
        <v>0</v>
      </c>
      <c r="CN124" s="58">
        <f t="shared" si="261"/>
        <v>0</v>
      </c>
      <c r="CO124" s="58">
        <f t="shared" si="261"/>
        <v>0</v>
      </c>
      <c r="CP124" s="58">
        <f t="shared" si="261"/>
        <v>0</v>
      </c>
      <c r="CQ124" s="58">
        <f t="shared" si="261"/>
        <v>0</v>
      </c>
      <c r="CR124" s="58">
        <f t="shared" si="252"/>
        <v>0</v>
      </c>
      <c r="CS124" s="58">
        <f t="shared" si="252"/>
        <v>0</v>
      </c>
      <c r="CT124" s="62">
        <f t="shared" si="252"/>
        <v>0</v>
      </c>
      <c r="CU124" s="235"/>
    </row>
    <row r="125" spans="1:99" ht="26.25" customHeight="1" x14ac:dyDescent="0.4">
      <c r="A125" s="350">
        <v>60</v>
      </c>
      <c r="B125" s="350" t="s">
        <v>46</v>
      </c>
      <c r="C125" s="350" t="s">
        <v>14</v>
      </c>
      <c r="D125" s="352" t="s">
        <v>986</v>
      </c>
      <c r="E125" s="352" t="s">
        <v>983</v>
      </c>
      <c r="F125" s="352"/>
      <c r="G125" s="385" t="s">
        <v>985</v>
      </c>
      <c r="H125" s="446">
        <f t="shared" ref="H125:H126" si="278">SUM(AZ125:BF125)</f>
        <v>0.31333333333333335</v>
      </c>
      <c r="I125" s="446">
        <f t="shared" ref="I125:I126" si="279">SUM(AZ126:BF126)</f>
        <v>3.3333333333333335E-3</v>
      </c>
      <c r="J125" s="448"/>
      <c r="K125" s="452"/>
      <c r="L125" s="452"/>
      <c r="M125" s="450"/>
      <c r="N125" s="47" t="s">
        <v>24</v>
      </c>
      <c r="O125" s="10">
        <f t="shared" si="240"/>
        <v>0</v>
      </c>
      <c r="P125" s="10">
        <f t="shared" si="240"/>
        <v>0</v>
      </c>
      <c r="Q125" s="10">
        <f t="shared" si="240"/>
        <v>0</v>
      </c>
      <c r="R125" s="10">
        <f t="shared" si="240"/>
        <v>0</v>
      </c>
      <c r="S125" s="10">
        <f t="shared" si="240"/>
        <v>0</v>
      </c>
      <c r="T125" s="10">
        <f t="shared" si="240"/>
        <v>0</v>
      </c>
      <c r="U125" s="79">
        <f t="shared" si="240"/>
        <v>0</v>
      </c>
      <c r="V125" s="19">
        <f t="shared" si="241"/>
        <v>0</v>
      </c>
      <c r="W125" s="10">
        <f t="shared" si="241"/>
        <v>0</v>
      </c>
      <c r="X125" s="10">
        <f t="shared" si="241"/>
        <v>0</v>
      </c>
      <c r="Y125" s="10">
        <f t="shared" si="241"/>
        <v>0</v>
      </c>
      <c r="Z125" s="10">
        <f t="shared" si="241"/>
        <v>0</v>
      </c>
      <c r="AA125" s="10">
        <f t="shared" si="242"/>
        <v>0</v>
      </c>
      <c r="AB125" s="19">
        <f t="shared" si="242"/>
        <v>0</v>
      </c>
      <c r="AC125" s="10">
        <f t="shared" si="242"/>
        <v>0</v>
      </c>
      <c r="AD125" s="210">
        <f t="shared" si="242"/>
        <v>0</v>
      </c>
      <c r="AE125" s="10">
        <f t="shared" si="242"/>
        <v>0</v>
      </c>
      <c r="AF125" s="10">
        <f t="shared" si="242"/>
        <v>0</v>
      </c>
      <c r="AG125" s="10">
        <f t="shared" si="242"/>
        <v>0</v>
      </c>
      <c r="AH125" s="19">
        <f t="shared" si="276"/>
        <v>0</v>
      </c>
      <c r="AI125" s="10">
        <f t="shared" si="276"/>
        <v>0</v>
      </c>
      <c r="AJ125" s="10">
        <f t="shared" si="276"/>
        <v>0</v>
      </c>
      <c r="AK125" s="10">
        <f t="shared" si="276"/>
        <v>0</v>
      </c>
      <c r="AL125" s="10">
        <f t="shared" si="276"/>
        <v>0</v>
      </c>
      <c r="AM125" s="10">
        <f t="shared" si="244"/>
        <v>0</v>
      </c>
      <c r="AN125" s="19">
        <f t="shared" si="245"/>
        <v>0</v>
      </c>
      <c r="AO125" s="10">
        <f t="shared" si="245"/>
        <v>0</v>
      </c>
      <c r="AP125" s="10">
        <f t="shared" si="245"/>
        <v>0</v>
      </c>
      <c r="AQ125" s="10">
        <f t="shared" si="245"/>
        <v>0</v>
      </c>
      <c r="AR125" s="10">
        <f t="shared" si="245"/>
        <v>0</v>
      </c>
      <c r="AS125" s="10">
        <f t="shared" si="246"/>
        <v>0</v>
      </c>
      <c r="AT125" s="71">
        <f t="shared" si="265"/>
        <v>0</v>
      </c>
      <c r="AU125" s="10">
        <f t="shared" si="265"/>
        <v>0</v>
      </c>
      <c r="AV125" s="10">
        <f t="shared" si="265"/>
        <v>0</v>
      </c>
      <c r="AW125" s="10">
        <f t="shared" si="265"/>
        <v>0</v>
      </c>
      <c r="AX125" s="10">
        <f t="shared" si="265"/>
        <v>0</v>
      </c>
      <c r="AY125" s="10">
        <f t="shared" si="265"/>
        <v>0</v>
      </c>
      <c r="AZ125" s="19">
        <f>(7)/150</f>
        <v>4.6666666666666669E-2</v>
      </c>
      <c r="BA125" s="10">
        <f t="shared" si="266"/>
        <v>0</v>
      </c>
      <c r="BB125" s="10">
        <f>(20)/150</f>
        <v>0.13333333333333333</v>
      </c>
      <c r="BC125" s="10">
        <f t="shared" si="258"/>
        <v>0</v>
      </c>
      <c r="BD125" s="10">
        <f t="shared" si="258"/>
        <v>0</v>
      </c>
      <c r="BE125" s="10">
        <f>(20)/150</f>
        <v>0.13333333333333333</v>
      </c>
      <c r="BF125" s="10">
        <f t="shared" si="258"/>
        <v>0</v>
      </c>
      <c r="BG125" s="19">
        <f t="shared" si="259"/>
        <v>0</v>
      </c>
      <c r="BH125" s="10">
        <f t="shared" si="259"/>
        <v>0</v>
      </c>
      <c r="BI125" s="10">
        <f t="shared" si="259"/>
        <v>0</v>
      </c>
      <c r="BJ125" s="10">
        <f t="shared" si="259"/>
        <v>0</v>
      </c>
      <c r="BK125" s="10">
        <f t="shared" si="259"/>
        <v>0</v>
      </c>
      <c r="BL125" s="10">
        <f t="shared" si="247"/>
        <v>0</v>
      </c>
      <c r="BM125" s="10">
        <f t="shared" si="247"/>
        <v>0</v>
      </c>
      <c r="BN125" s="17">
        <f t="shared" si="247"/>
        <v>0</v>
      </c>
      <c r="BO125" s="19">
        <f t="shared" si="267"/>
        <v>0</v>
      </c>
      <c r="BP125" s="10">
        <f t="shared" si="267"/>
        <v>0</v>
      </c>
      <c r="BQ125" s="10">
        <f t="shared" si="267"/>
        <v>0</v>
      </c>
      <c r="BR125" s="10">
        <f t="shared" si="267"/>
        <v>0</v>
      </c>
      <c r="BS125" s="10">
        <f t="shared" si="267"/>
        <v>0</v>
      </c>
      <c r="BT125" s="10">
        <f t="shared" si="248"/>
        <v>0</v>
      </c>
      <c r="BU125" s="10">
        <f t="shared" si="248"/>
        <v>0</v>
      </c>
      <c r="BV125" s="17">
        <f t="shared" si="248"/>
        <v>0</v>
      </c>
      <c r="BW125" s="71">
        <f t="shared" si="249"/>
        <v>0</v>
      </c>
      <c r="BX125" s="10">
        <f t="shared" si="249"/>
        <v>0</v>
      </c>
      <c r="BY125" s="10">
        <f t="shared" si="249"/>
        <v>0</v>
      </c>
      <c r="BZ125" s="10">
        <f t="shared" si="249"/>
        <v>0</v>
      </c>
      <c r="CA125" s="10">
        <f t="shared" si="249"/>
        <v>0</v>
      </c>
      <c r="CB125" s="10">
        <f t="shared" si="250"/>
        <v>0</v>
      </c>
      <c r="CC125" s="10">
        <f t="shared" si="250"/>
        <v>0</v>
      </c>
      <c r="CD125" s="17">
        <f t="shared" si="250"/>
        <v>0</v>
      </c>
      <c r="CE125" s="19">
        <f t="shared" si="260"/>
        <v>0</v>
      </c>
      <c r="CF125" s="10">
        <f t="shared" si="260"/>
        <v>0</v>
      </c>
      <c r="CG125" s="10">
        <f t="shared" si="260"/>
        <v>0</v>
      </c>
      <c r="CH125" s="10">
        <f t="shared" si="260"/>
        <v>0</v>
      </c>
      <c r="CI125" s="10">
        <f t="shared" si="260"/>
        <v>0</v>
      </c>
      <c r="CJ125" s="10">
        <f t="shared" si="251"/>
        <v>0</v>
      </c>
      <c r="CK125" s="10">
        <f t="shared" si="251"/>
        <v>0</v>
      </c>
      <c r="CL125" s="17">
        <f t="shared" si="251"/>
        <v>0</v>
      </c>
      <c r="CM125" s="19">
        <f t="shared" si="261"/>
        <v>0</v>
      </c>
      <c r="CN125" s="10">
        <f t="shared" si="261"/>
        <v>0</v>
      </c>
      <c r="CO125" s="10">
        <f t="shared" si="261"/>
        <v>0</v>
      </c>
      <c r="CP125" s="10">
        <f t="shared" si="261"/>
        <v>0</v>
      </c>
      <c r="CQ125" s="10">
        <f t="shared" si="261"/>
        <v>0</v>
      </c>
      <c r="CR125" s="10">
        <f t="shared" si="252"/>
        <v>0</v>
      </c>
      <c r="CS125" s="10">
        <f t="shared" si="252"/>
        <v>0</v>
      </c>
      <c r="CT125" s="17">
        <f t="shared" si="252"/>
        <v>0</v>
      </c>
      <c r="CU125" s="235"/>
    </row>
    <row r="126" spans="1:99" ht="26.25" customHeight="1" x14ac:dyDescent="0.4">
      <c r="A126" s="351"/>
      <c r="B126" s="351"/>
      <c r="C126" s="351"/>
      <c r="D126" s="353"/>
      <c r="E126" s="353"/>
      <c r="F126" s="353"/>
      <c r="G126" s="385"/>
      <c r="H126" s="447"/>
      <c r="I126" s="447"/>
      <c r="J126" s="449"/>
      <c r="K126" s="453"/>
      <c r="L126" s="453"/>
      <c r="M126" s="451"/>
      <c r="N126" s="38" t="s">
        <v>25</v>
      </c>
      <c r="O126" s="11">
        <f t="shared" si="240"/>
        <v>0</v>
      </c>
      <c r="P126" s="11">
        <f t="shared" si="240"/>
        <v>0</v>
      </c>
      <c r="Q126" s="11">
        <f t="shared" si="240"/>
        <v>0</v>
      </c>
      <c r="R126" s="11">
        <f t="shared" si="240"/>
        <v>0</v>
      </c>
      <c r="S126" s="11">
        <f t="shared" si="240"/>
        <v>0</v>
      </c>
      <c r="T126" s="11">
        <f t="shared" si="240"/>
        <v>0</v>
      </c>
      <c r="U126" s="48">
        <f t="shared" si="240"/>
        <v>0</v>
      </c>
      <c r="V126" s="56">
        <f t="shared" si="241"/>
        <v>0</v>
      </c>
      <c r="W126" s="18">
        <f t="shared" si="241"/>
        <v>0</v>
      </c>
      <c r="X126" s="18">
        <f t="shared" si="241"/>
        <v>0</v>
      </c>
      <c r="Y126" s="18">
        <f t="shared" si="241"/>
        <v>0</v>
      </c>
      <c r="Z126" s="18">
        <f t="shared" si="241"/>
        <v>0</v>
      </c>
      <c r="AA126" s="18">
        <f t="shared" si="242"/>
        <v>0</v>
      </c>
      <c r="AB126" s="41">
        <f t="shared" si="242"/>
        <v>0</v>
      </c>
      <c r="AC126" s="51">
        <f t="shared" si="242"/>
        <v>0</v>
      </c>
      <c r="AD126" s="11">
        <f t="shared" si="242"/>
        <v>0</v>
      </c>
      <c r="AE126" s="11">
        <f t="shared" si="242"/>
        <v>0</v>
      </c>
      <c r="AF126" s="11">
        <f t="shared" si="242"/>
        <v>0</v>
      </c>
      <c r="AG126" s="18">
        <f t="shared" si="242"/>
        <v>0</v>
      </c>
      <c r="AH126" s="50">
        <f t="shared" si="276"/>
        <v>0</v>
      </c>
      <c r="AI126" s="51">
        <f t="shared" si="276"/>
        <v>0</v>
      </c>
      <c r="AJ126" s="51">
        <f t="shared" si="276"/>
        <v>0</v>
      </c>
      <c r="AK126" s="51">
        <f t="shared" si="276"/>
        <v>0</v>
      </c>
      <c r="AL126" s="51">
        <f t="shared" si="276"/>
        <v>0</v>
      </c>
      <c r="AM126" s="18">
        <f t="shared" si="244"/>
        <v>0</v>
      </c>
      <c r="AN126" s="41">
        <f t="shared" si="245"/>
        <v>0</v>
      </c>
      <c r="AO126" s="11">
        <f t="shared" si="245"/>
        <v>0</v>
      </c>
      <c r="AP126" s="11">
        <f t="shared" si="245"/>
        <v>0</v>
      </c>
      <c r="AQ126" s="11">
        <f t="shared" si="245"/>
        <v>0</v>
      </c>
      <c r="AR126" s="11">
        <f t="shared" si="245"/>
        <v>0</v>
      </c>
      <c r="AS126" s="18">
        <f t="shared" si="246"/>
        <v>0</v>
      </c>
      <c r="AT126" s="41">
        <f t="shared" si="265"/>
        <v>0</v>
      </c>
      <c r="AU126" s="11">
        <f t="shared" si="265"/>
        <v>0</v>
      </c>
      <c r="AV126" s="11">
        <f t="shared" si="265"/>
        <v>0</v>
      </c>
      <c r="AW126" s="11">
        <f t="shared" si="265"/>
        <v>0</v>
      </c>
      <c r="AX126" s="11">
        <f t="shared" si="265"/>
        <v>0</v>
      </c>
      <c r="AY126" s="18">
        <f t="shared" si="265"/>
        <v>0</v>
      </c>
      <c r="AZ126" s="61">
        <f>(0.5)/150</f>
        <v>3.3333333333333335E-3</v>
      </c>
      <c r="BA126" s="58">
        <f t="shared" si="266"/>
        <v>0</v>
      </c>
      <c r="BB126" s="58">
        <f t="shared" si="258"/>
        <v>0</v>
      </c>
      <c r="BC126" s="58">
        <f t="shared" si="258"/>
        <v>0</v>
      </c>
      <c r="BD126" s="58">
        <f t="shared" si="258"/>
        <v>0</v>
      </c>
      <c r="BE126" s="58">
        <f t="shared" si="258"/>
        <v>0</v>
      </c>
      <c r="BF126" s="58">
        <f t="shared" si="258"/>
        <v>0</v>
      </c>
      <c r="BG126" s="61">
        <f t="shared" si="259"/>
        <v>0</v>
      </c>
      <c r="BH126" s="58">
        <f t="shared" si="259"/>
        <v>0</v>
      </c>
      <c r="BI126" s="58">
        <f t="shared" si="259"/>
        <v>0</v>
      </c>
      <c r="BJ126" s="58">
        <f t="shared" si="259"/>
        <v>0</v>
      </c>
      <c r="BK126" s="58">
        <f t="shared" si="259"/>
        <v>0</v>
      </c>
      <c r="BL126" s="58">
        <f t="shared" si="247"/>
        <v>0</v>
      </c>
      <c r="BM126" s="58">
        <f t="shared" si="247"/>
        <v>0</v>
      </c>
      <c r="BN126" s="62">
        <f t="shared" si="247"/>
        <v>0</v>
      </c>
      <c r="BO126" s="61">
        <f t="shared" si="267"/>
        <v>0</v>
      </c>
      <c r="BP126" s="58">
        <f t="shared" si="267"/>
        <v>0</v>
      </c>
      <c r="BQ126" s="58">
        <f t="shared" si="267"/>
        <v>0</v>
      </c>
      <c r="BR126" s="58">
        <f t="shared" si="267"/>
        <v>0</v>
      </c>
      <c r="BS126" s="58">
        <f t="shared" si="267"/>
        <v>0</v>
      </c>
      <c r="BT126" s="58">
        <f t="shared" si="248"/>
        <v>0</v>
      </c>
      <c r="BU126" s="58">
        <f t="shared" si="248"/>
        <v>0</v>
      </c>
      <c r="BV126" s="62">
        <f t="shared" si="248"/>
        <v>0</v>
      </c>
      <c r="BW126" s="61">
        <f t="shared" si="249"/>
        <v>0</v>
      </c>
      <c r="BX126" s="58">
        <f t="shared" si="249"/>
        <v>0</v>
      </c>
      <c r="BY126" s="58">
        <f t="shared" si="249"/>
        <v>0</v>
      </c>
      <c r="BZ126" s="58">
        <f t="shared" si="249"/>
        <v>0</v>
      </c>
      <c r="CA126" s="58">
        <f t="shared" si="249"/>
        <v>0</v>
      </c>
      <c r="CB126" s="58">
        <f t="shared" si="250"/>
        <v>0</v>
      </c>
      <c r="CC126" s="58">
        <f t="shared" si="250"/>
        <v>0</v>
      </c>
      <c r="CD126" s="62">
        <f t="shared" si="250"/>
        <v>0</v>
      </c>
      <c r="CE126" s="61">
        <f t="shared" si="260"/>
        <v>0</v>
      </c>
      <c r="CF126" s="58">
        <f t="shared" si="260"/>
        <v>0</v>
      </c>
      <c r="CG126" s="58">
        <f t="shared" si="260"/>
        <v>0</v>
      </c>
      <c r="CH126" s="58">
        <f t="shared" si="260"/>
        <v>0</v>
      </c>
      <c r="CI126" s="58">
        <f t="shared" si="260"/>
        <v>0</v>
      </c>
      <c r="CJ126" s="58">
        <f t="shared" si="251"/>
        <v>0</v>
      </c>
      <c r="CK126" s="58">
        <f t="shared" si="251"/>
        <v>0</v>
      </c>
      <c r="CL126" s="62">
        <f t="shared" si="251"/>
        <v>0</v>
      </c>
      <c r="CM126" s="61">
        <f t="shared" si="261"/>
        <v>0</v>
      </c>
      <c r="CN126" s="58">
        <f t="shared" si="261"/>
        <v>0</v>
      </c>
      <c r="CO126" s="58">
        <f t="shared" si="261"/>
        <v>0</v>
      </c>
      <c r="CP126" s="58">
        <f t="shared" si="261"/>
        <v>0</v>
      </c>
      <c r="CQ126" s="58">
        <f t="shared" si="261"/>
        <v>0</v>
      </c>
      <c r="CR126" s="58">
        <f t="shared" si="252"/>
        <v>0</v>
      </c>
      <c r="CS126" s="58">
        <f t="shared" si="252"/>
        <v>0</v>
      </c>
      <c r="CT126" s="62">
        <f t="shared" si="252"/>
        <v>0</v>
      </c>
      <c r="CU126" s="235"/>
    </row>
    <row r="127" spans="1:99" ht="26.25" hidden="1" customHeight="1" outlineLevel="1" collapsed="1" x14ac:dyDescent="0.4">
      <c r="A127" s="350">
        <v>61</v>
      </c>
      <c r="B127" s="350" t="s">
        <v>45</v>
      </c>
      <c r="C127" s="350" t="s">
        <v>342</v>
      </c>
      <c r="D127" s="352"/>
      <c r="E127" s="352"/>
      <c r="F127" s="352"/>
      <c r="G127" s="385"/>
      <c r="H127" s="446">
        <f t="shared" ref="H127" si="280">SUM(BO127:BV127)</f>
        <v>0</v>
      </c>
      <c r="I127" s="446">
        <f t="shared" ref="I127" si="281">SUM(BO128:BV128)</f>
        <v>0</v>
      </c>
      <c r="J127" s="448"/>
      <c r="K127" s="452"/>
      <c r="L127" s="452"/>
      <c r="M127" s="450"/>
      <c r="N127" s="47" t="s">
        <v>24</v>
      </c>
      <c r="O127" s="10">
        <f t="shared" si="240"/>
        <v>0</v>
      </c>
      <c r="P127" s="10">
        <f t="shared" si="240"/>
        <v>0</v>
      </c>
      <c r="Q127" s="10">
        <f t="shared" si="240"/>
        <v>0</v>
      </c>
      <c r="R127" s="10">
        <f t="shared" si="240"/>
        <v>0</v>
      </c>
      <c r="S127" s="10">
        <f t="shared" si="240"/>
        <v>0</v>
      </c>
      <c r="T127" s="10">
        <f t="shared" si="240"/>
        <v>0</v>
      </c>
      <c r="U127" s="79">
        <f t="shared" si="240"/>
        <v>0</v>
      </c>
      <c r="V127" s="19">
        <f t="shared" si="241"/>
        <v>0</v>
      </c>
      <c r="W127" s="10">
        <f t="shared" si="241"/>
        <v>0</v>
      </c>
      <c r="X127" s="10">
        <f t="shared" si="241"/>
        <v>0</v>
      </c>
      <c r="Y127" s="10">
        <f t="shared" si="241"/>
        <v>0</v>
      </c>
      <c r="Z127" s="10">
        <f t="shared" si="241"/>
        <v>0</v>
      </c>
      <c r="AA127" s="10">
        <f t="shared" si="242"/>
        <v>0</v>
      </c>
      <c r="AB127" s="19">
        <f t="shared" si="242"/>
        <v>0</v>
      </c>
      <c r="AC127" s="10">
        <f t="shared" si="242"/>
        <v>0</v>
      </c>
      <c r="AD127" s="210">
        <f t="shared" si="242"/>
        <v>0</v>
      </c>
      <c r="AE127" s="10">
        <f t="shared" si="242"/>
        <v>0</v>
      </c>
      <c r="AF127" s="10">
        <f t="shared" si="242"/>
        <v>0</v>
      </c>
      <c r="AG127" s="10">
        <f t="shared" si="242"/>
        <v>0</v>
      </c>
      <c r="AH127" s="19">
        <f t="shared" si="276"/>
        <v>0</v>
      </c>
      <c r="AI127" s="10">
        <f t="shared" si="276"/>
        <v>0</v>
      </c>
      <c r="AJ127" s="10">
        <f t="shared" si="276"/>
        <v>0</v>
      </c>
      <c r="AK127" s="10">
        <f t="shared" si="276"/>
        <v>0</v>
      </c>
      <c r="AL127" s="10">
        <f t="shared" si="276"/>
        <v>0</v>
      </c>
      <c r="AM127" s="10">
        <f t="shared" si="244"/>
        <v>0</v>
      </c>
      <c r="AN127" s="19">
        <f t="shared" si="245"/>
        <v>0</v>
      </c>
      <c r="AO127" s="10">
        <f t="shared" si="245"/>
        <v>0</v>
      </c>
      <c r="AP127" s="10">
        <f t="shared" si="245"/>
        <v>0</v>
      </c>
      <c r="AQ127" s="10">
        <f t="shared" si="245"/>
        <v>0</v>
      </c>
      <c r="AR127" s="10">
        <f t="shared" si="245"/>
        <v>0</v>
      </c>
      <c r="AS127" s="10">
        <f t="shared" si="246"/>
        <v>0</v>
      </c>
      <c r="AT127" s="71">
        <f t="shared" si="265"/>
        <v>0</v>
      </c>
      <c r="AU127" s="10">
        <f t="shared" si="265"/>
        <v>0</v>
      </c>
      <c r="AV127" s="10">
        <f t="shared" si="265"/>
        <v>0</v>
      </c>
      <c r="AW127" s="10">
        <f t="shared" si="265"/>
        <v>0</v>
      </c>
      <c r="AX127" s="10">
        <f t="shared" si="265"/>
        <v>0</v>
      </c>
      <c r="AY127" s="10">
        <f t="shared" si="265"/>
        <v>0</v>
      </c>
      <c r="AZ127" s="19">
        <f t="shared" ref="AZ107:BD138" si="282">0/142.5</f>
        <v>0</v>
      </c>
      <c r="BA127" s="10">
        <f t="shared" si="282"/>
        <v>0</v>
      </c>
      <c r="BB127" s="10">
        <f t="shared" si="282"/>
        <v>0</v>
      </c>
      <c r="BC127" s="10">
        <f t="shared" si="282"/>
        <v>0</v>
      </c>
      <c r="BD127" s="10">
        <f t="shared" si="282"/>
        <v>0</v>
      </c>
      <c r="BE127" s="10">
        <f t="shared" ref="BE107:BF138" si="283">0/172.5</f>
        <v>0</v>
      </c>
      <c r="BF127" s="10">
        <f t="shared" si="283"/>
        <v>0</v>
      </c>
      <c r="BG127" s="190">
        <f t="shared" si="259"/>
        <v>0</v>
      </c>
      <c r="BH127" s="210">
        <f t="shared" si="259"/>
        <v>0</v>
      </c>
      <c r="BI127" s="210">
        <f t="shared" si="259"/>
        <v>0</v>
      </c>
      <c r="BJ127" s="210">
        <f t="shared" si="259"/>
        <v>0</v>
      </c>
      <c r="BK127" s="210">
        <f t="shared" si="259"/>
        <v>0</v>
      </c>
      <c r="BL127" s="10">
        <f t="shared" si="247"/>
        <v>0</v>
      </c>
      <c r="BM127" s="10">
        <f t="shared" si="247"/>
        <v>0</v>
      </c>
      <c r="BN127" s="10">
        <f t="shared" si="247"/>
        <v>0</v>
      </c>
      <c r="BO127" s="71">
        <f t="shared" si="267"/>
        <v>0</v>
      </c>
      <c r="BP127" s="10">
        <f t="shared" si="267"/>
        <v>0</v>
      </c>
      <c r="BQ127" s="10">
        <f t="shared" si="267"/>
        <v>0</v>
      </c>
      <c r="BR127" s="10">
        <f t="shared" si="267"/>
        <v>0</v>
      </c>
      <c r="BS127" s="10">
        <f t="shared" si="267"/>
        <v>0</v>
      </c>
      <c r="BT127" s="10">
        <f t="shared" si="248"/>
        <v>0</v>
      </c>
      <c r="BU127" s="10">
        <f t="shared" si="248"/>
        <v>0</v>
      </c>
      <c r="BV127" s="10">
        <f t="shared" si="248"/>
        <v>0</v>
      </c>
      <c r="BW127" s="71">
        <f t="shared" si="249"/>
        <v>0</v>
      </c>
      <c r="BX127" s="10">
        <f t="shared" si="249"/>
        <v>0</v>
      </c>
      <c r="BY127" s="10">
        <f t="shared" si="249"/>
        <v>0</v>
      </c>
      <c r="BZ127" s="10">
        <f t="shared" si="249"/>
        <v>0</v>
      </c>
      <c r="CA127" s="10">
        <f t="shared" si="249"/>
        <v>0</v>
      </c>
      <c r="CB127" s="10">
        <f t="shared" si="250"/>
        <v>0</v>
      </c>
      <c r="CC127" s="10">
        <f t="shared" si="250"/>
        <v>0</v>
      </c>
      <c r="CD127" s="10">
        <f t="shared" si="250"/>
        <v>0</v>
      </c>
      <c r="CE127" s="71">
        <f t="shared" si="260"/>
        <v>0</v>
      </c>
      <c r="CF127" s="10">
        <f t="shared" si="260"/>
        <v>0</v>
      </c>
      <c r="CG127" s="10">
        <f t="shared" si="260"/>
        <v>0</v>
      </c>
      <c r="CH127" s="10">
        <f t="shared" si="260"/>
        <v>0</v>
      </c>
      <c r="CI127" s="10">
        <f t="shared" si="260"/>
        <v>0</v>
      </c>
      <c r="CJ127" s="10">
        <f t="shared" si="251"/>
        <v>0</v>
      </c>
      <c r="CK127" s="10">
        <f t="shared" si="251"/>
        <v>0</v>
      </c>
      <c r="CL127" s="10">
        <f t="shared" si="251"/>
        <v>0</v>
      </c>
      <c r="CM127" s="71">
        <f t="shared" si="261"/>
        <v>0</v>
      </c>
      <c r="CN127" s="10">
        <f t="shared" si="261"/>
        <v>0</v>
      </c>
      <c r="CO127" s="10">
        <f t="shared" si="261"/>
        <v>0</v>
      </c>
      <c r="CP127" s="10">
        <f t="shared" si="261"/>
        <v>0</v>
      </c>
      <c r="CQ127" s="10">
        <f t="shared" si="261"/>
        <v>0</v>
      </c>
      <c r="CR127" s="10">
        <f t="shared" si="252"/>
        <v>0</v>
      </c>
      <c r="CS127" s="10">
        <f t="shared" si="252"/>
        <v>0</v>
      </c>
      <c r="CT127" s="10">
        <f t="shared" si="252"/>
        <v>0</v>
      </c>
    </row>
    <row r="128" spans="1:99" ht="26.25" hidden="1" customHeight="1" outlineLevel="1" x14ac:dyDescent="0.4">
      <c r="A128" s="351"/>
      <c r="B128" s="351"/>
      <c r="C128" s="351"/>
      <c r="D128" s="353"/>
      <c r="E128" s="353"/>
      <c r="F128" s="353"/>
      <c r="G128" s="385"/>
      <c r="H128" s="447"/>
      <c r="I128" s="447"/>
      <c r="J128" s="449"/>
      <c r="K128" s="453"/>
      <c r="L128" s="453"/>
      <c r="M128" s="451"/>
      <c r="N128" s="38" t="s">
        <v>25</v>
      </c>
      <c r="O128" s="11">
        <f t="shared" si="240"/>
        <v>0</v>
      </c>
      <c r="P128" s="11">
        <f t="shared" si="240"/>
        <v>0</v>
      </c>
      <c r="Q128" s="11">
        <f t="shared" si="240"/>
        <v>0</v>
      </c>
      <c r="R128" s="11">
        <f t="shared" si="240"/>
        <v>0</v>
      </c>
      <c r="S128" s="11">
        <f t="shared" si="240"/>
        <v>0</v>
      </c>
      <c r="T128" s="11">
        <f t="shared" si="240"/>
        <v>0</v>
      </c>
      <c r="U128" s="48">
        <f t="shared" si="240"/>
        <v>0</v>
      </c>
      <c r="V128" s="56">
        <f t="shared" si="241"/>
        <v>0</v>
      </c>
      <c r="W128" s="18">
        <f t="shared" si="241"/>
        <v>0</v>
      </c>
      <c r="X128" s="18">
        <f t="shared" si="241"/>
        <v>0</v>
      </c>
      <c r="Y128" s="18">
        <f t="shared" si="241"/>
        <v>0</v>
      </c>
      <c r="Z128" s="18">
        <f t="shared" si="241"/>
        <v>0</v>
      </c>
      <c r="AA128" s="18">
        <f t="shared" si="242"/>
        <v>0</v>
      </c>
      <c r="AB128" s="41">
        <f t="shared" si="242"/>
        <v>0</v>
      </c>
      <c r="AC128" s="51">
        <f t="shared" si="242"/>
        <v>0</v>
      </c>
      <c r="AD128" s="11">
        <f t="shared" si="242"/>
        <v>0</v>
      </c>
      <c r="AE128" s="11">
        <f t="shared" si="242"/>
        <v>0</v>
      </c>
      <c r="AF128" s="11">
        <f t="shared" si="242"/>
        <v>0</v>
      </c>
      <c r="AG128" s="18">
        <f t="shared" si="242"/>
        <v>0</v>
      </c>
      <c r="AH128" s="50">
        <f t="shared" si="276"/>
        <v>0</v>
      </c>
      <c r="AI128" s="51">
        <f t="shared" si="276"/>
        <v>0</v>
      </c>
      <c r="AJ128" s="51">
        <f t="shared" si="276"/>
        <v>0</v>
      </c>
      <c r="AK128" s="51">
        <f t="shared" si="276"/>
        <v>0</v>
      </c>
      <c r="AL128" s="51">
        <f t="shared" si="276"/>
        <v>0</v>
      </c>
      <c r="AM128" s="18">
        <f t="shared" si="244"/>
        <v>0</v>
      </c>
      <c r="AN128" s="41">
        <f t="shared" si="245"/>
        <v>0</v>
      </c>
      <c r="AO128" s="11">
        <f t="shared" si="245"/>
        <v>0</v>
      </c>
      <c r="AP128" s="11">
        <f t="shared" si="245"/>
        <v>0</v>
      </c>
      <c r="AQ128" s="11">
        <f t="shared" si="245"/>
        <v>0</v>
      </c>
      <c r="AR128" s="11">
        <f t="shared" si="245"/>
        <v>0</v>
      </c>
      <c r="AS128" s="18">
        <f t="shared" si="246"/>
        <v>0</v>
      </c>
      <c r="AT128" s="41">
        <f t="shared" si="265"/>
        <v>0</v>
      </c>
      <c r="AU128" s="11">
        <f t="shared" si="265"/>
        <v>0</v>
      </c>
      <c r="AV128" s="11">
        <f t="shared" si="265"/>
        <v>0</v>
      </c>
      <c r="AW128" s="11">
        <f t="shared" si="265"/>
        <v>0</v>
      </c>
      <c r="AX128" s="11">
        <f t="shared" si="265"/>
        <v>0</v>
      </c>
      <c r="AY128" s="18">
        <f t="shared" si="265"/>
        <v>0</v>
      </c>
      <c r="AZ128" s="41">
        <f t="shared" si="282"/>
        <v>0</v>
      </c>
      <c r="BA128" s="11">
        <f t="shared" si="282"/>
        <v>0</v>
      </c>
      <c r="BB128" s="11">
        <f t="shared" si="282"/>
        <v>0</v>
      </c>
      <c r="BC128" s="11">
        <f t="shared" si="282"/>
        <v>0</v>
      </c>
      <c r="BD128" s="11">
        <f t="shared" si="282"/>
        <v>0</v>
      </c>
      <c r="BE128" s="11">
        <f t="shared" si="283"/>
        <v>0</v>
      </c>
      <c r="BF128" s="18">
        <f t="shared" si="283"/>
        <v>0</v>
      </c>
      <c r="BG128" s="20">
        <f t="shared" si="259"/>
        <v>0</v>
      </c>
      <c r="BH128" s="11">
        <f t="shared" si="259"/>
        <v>0</v>
      </c>
      <c r="BI128" s="11">
        <f t="shared" si="259"/>
        <v>0</v>
      </c>
      <c r="BJ128" s="11">
        <f t="shared" si="259"/>
        <v>0</v>
      </c>
      <c r="BK128" s="11">
        <f t="shared" si="259"/>
        <v>0</v>
      </c>
      <c r="BL128" s="11">
        <f t="shared" si="247"/>
        <v>0</v>
      </c>
      <c r="BM128" s="11">
        <f t="shared" si="247"/>
        <v>0</v>
      </c>
      <c r="BN128" s="18">
        <f t="shared" si="247"/>
        <v>0</v>
      </c>
      <c r="BO128" s="191">
        <f t="shared" si="267"/>
        <v>0</v>
      </c>
      <c r="BP128" s="11">
        <f t="shared" si="267"/>
        <v>0</v>
      </c>
      <c r="BQ128" s="11">
        <f t="shared" si="267"/>
        <v>0</v>
      </c>
      <c r="BR128" s="11">
        <f t="shared" si="267"/>
        <v>0</v>
      </c>
      <c r="BS128" s="11">
        <f t="shared" si="267"/>
        <v>0</v>
      </c>
      <c r="BT128" s="11">
        <f t="shared" si="248"/>
        <v>0</v>
      </c>
      <c r="BU128" s="11">
        <f t="shared" si="248"/>
        <v>0</v>
      </c>
      <c r="BV128" s="18">
        <f t="shared" si="248"/>
        <v>0</v>
      </c>
      <c r="BW128" s="191">
        <f t="shared" si="249"/>
        <v>0</v>
      </c>
      <c r="BX128" s="211">
        <f t="shared" si="249"/>
        <v>0</v>
      </c>
      <c r="BY128" s="211">
        <f t="shared" si="249"/>
        <v>0</v>
      </c>
      <c r="BZ128" s="211">
        <f t="shared" si="249"/>
        <v>0</v>
      </c>
      <c r="CA128" s="211">
        <f t="shared" si="249"/>
        <v>0</v>
      </c>
      <c r="CB128" s="11">
        <f t="shared" si="250"/>
        <v>0</v>
      </c>
      <c r="CC128" s="11">
        <f t="shared" si="250"/>
        <v>0</v>
      </c>
      <c r="CD128" s="18">
        <f t="shared" si="250"/>
        <v>0</v>
      </c>
      <c r="CE128" s="191">
        <f t="shared" si="260"/>
        <v>0</v>
      </c>
      <c r="CF128" s="11">
        <f t="shared" si="260"/>
        <v>0</v>
      </c>
      <c r="CG128" s="11">
        <f t="shared" si="260"/>
        <v>0</v>
      </c>
      <c r="CH128" s="11">
        <f t="shared" si="260"/>
        <v>0</v>
      </c>
      <c r="CI128" s="11">
        <f t="shared" si="260"/>
        <v>0</v>
      </c>
      <c r="CJ128" s="11">
        <f t="shared" si="251"/>
        <v>0</v>
      </c>
      <c r="CK128" s="11">
        <f t="shared" si="251"/>
        <v>0</v>
      </c>
      <c r="CL128" s="18">
        <f t="shared" si="251"/>
        <v>0</v>
      </c>
      <c r="CM128" s="41">
        <f t="shared" si="261"/>
        <v>0</v>
      </c>
      <c r="CN128" s="11">
        <f t="shared" si="261"/>
        <v>0</v>
      </c>
      <c r="CO128" s="11">
        <f t="shared" si="261"/>
        <v>0</v>
      </c>
      <c r="CP128" s="11">
        <f t="shared" si="261"/>
        <v>0</v>
      </c>
      <c r="CQ128" s="11">
        <f t="shared" si="261"/>
        <v>0</v>
      </c>
      <c r="CR128" s="11">
        <f t="shared" si="252"/>
        <v>0</v>
      </c>
      <c r="CS128" s="11">
        <f t="shared" si="252"/>
        <v>0</v>
      </c>
      <c r="CT128" s="11">
        <f t="shared" si="252"/>
        <v>0</v>
      </c>
    </row>
    <row r="129" spans="1:98" ht="26.25" hidden="1" customHeight="1" outlineLevel="1" collapsed="1" x14ac:dyDescent="0.4">
      <c r="A129" s="350">
        <v>62</v>
      </c>
      <c r="B129" s="350" t="s">
        <v>45</v>
      </c>
      <c r="C129" s="350" t="s">
        <v>342</v>
      </c>
      <c r="D129" s="352"/>
      <c r="E129" s="352"/>
      <c r="F129" s="352"/>
      <c r="G129" s="385"/>
      <c r="H129" s="446">
        <f t="shared" ref="H129" si="284">SUM(BO129:BV129)</f>
        <v>0</v>
      </c>
      <c r="I129" s="446">
        <f t="shared" ref="I129" si="285">SUM(BO130:BV130)</f>
        <v>0</v>
      </c>
      <c r="J129" s="448"/>
      <c r="K129" s="452"/>
      <c r="L129" s="452"/>
      <c r="M129" s="450"/>
      <c r="N129" s="47" t="s">
        <v>24</v>
      </c>
      <c r="O129" s="10">
        <f t="shared" si="240"/>
        <v>0</v>
      </c>
      <c r="P129" s="10">
        <f t="shared" si="240"/>
        <v>0</v>
      </c>
      <c r="Q129" s="10">
        <f t="shared" si="240"/>
        <v>0</v>
      </c>
      <c r="R129" s="10">
        <f t="shared" si="240"/>
        <v>0</v>
      </c>
      <c r="S129" s="10">
        <f t="shared" si="240"/>
        <v>0</v>
      </c>
      <c r="T129" s="10">
        <f t="shared" si="240"/>
        <v>0</v>
      </c>
      <c r="U129" s="79">
        <f t="shared" si="240"/>
        <v>0</v>
      </c>
      <c r="V129" s="19">
        <f t="shared" si="241"/>
        <v>0</v>
      </c>
      <c r="W129" s="10">
        <f t="shared" si="241"/>
        <v>0</v>
      </c>
      <c r="X129" s="10">
        <f t="shared" si="241"/>
        <v>0</v>
      </c>
      <c r="Y129" s="10">
        <f t="shared" si="241"/>
        <v>0</v>
      </c>
      <c r="Z129" s="10">
        <f t="shared" si="241"/>
        <v>0</v>
      </c>
      <c r="AA129" s="10">
        <f t="shared" si="242"/>
        <v>0</v>
      </c>
      <c r="AB129" s="19">
        <f t="shared" si="242"/>
        <v>0</v>
      </c>
      <c r="AC129" s="10">
        <f t="shared" si="242"/>
        <v>0</v>
      </c>
      <c r="AD129" s="210">
        <f t="shared" si="242"/>
        <v>0</v>
      </c>
      <c r="AE129" s="10">
        <f t="shared" si="242"/>
        <v>0</v>
      </c>
      <c r="AF129" s="10">
        <f t="shared" si="242"/>
        <v>0</v>
      </c>
      <c r="AG129" s="10">
        <f t="shared" si="242"/>
        <v>0</v>
      </c>
      <c r="AH129" s="19">
        <f t="shared" si="276"/>
        <v>0</v>
      </c>
      <c r="AI129" s="10">
        <f t="shared" si="276"/>
        <v>0</v>
      </c>
      <c r="AJ129" s="10">
        <f t="shared" si="276"/>
        <v>0</v>
      </c>
      <c r="AK129" s="10">
        <f t="shared" si="276"/>
        <v>0</v>
      </c>
      <c r="AL129" s="10">
        <f t="shared" si="276"/>
        <v>0</v>
      </c>
      <c r="AM129" s="10">
        <f t="shared" si="244"/>
        <v>0</v>
      </c>
      <c r="AN129" s="19">
        <f t="shared" si="245"/>
        <v>0</v>
      </c>
      <c r="AO129" s="10">
        <f t="shared" si="245"/>
        <v>0</v>
      </c>
      <c r="AP129" s="10">
        <f t="shared" si="245"/>
        <v>0</v>
      </c>
      <c r="AQ129" s="10">
        <f t="shared" si="245"/>
        <v>0</v>
      </c>
      <c r="AR129" s="10">
        <f t="shared" si="245"/>
        <v>0</v>
      </c>
      <c r="AS129" s="10">
        <f t="shared" si="246"/>
        <v>0</v>
      </c>
      <c r="AT129" s="71">
        <f t="shared" si="265"/>
        <v>0</v>
      </c>
      <c r="AU129" s="10">
        <f t="shared" si="265"/>
        <v>0</v>
      </c>
      <c r="AV129" s="10">
        <f t="shared" si="265"/>
        <v>0</v>
      </c>
      <c r="AW129" s="10">
        <f t="shared" si="265"/>
        <v>0</v>
      </c>
      <c r="AX129" s="10">
        <f t="shared" si="265"/>
        <v>0</v>
      </c>
      <c r="AY129" s="10">
        <f t="shared" si="265"/>
        <v>0</v>
      </c>
      <c r="AZ129" s="19">
        <f t="shared" si="282"/>
        <v>0</v>
      </c>
      <c r="BA129" s="10">
        <f t="shared" si="282"/>
        <v>0</v>
      </c>
      <c r="BB129" s="10">
        <f t="shared" si="282"/>
        <v>0</v>
      </c>
      <c r="BC129" s="10">
        <f t="shared" si="282"/>
        <v>0</v>
      </c>
      <c r="BD129" s="10">
        <f t="shared" si="282"/>
        <v>0</v>
      </c>
      <c r="BE129" s="10">
        <f t="shared" si="283"/>
        <v>0</v>
      </c>
      <c r="BF129" s="10">
        <f t="shared" si="283"/>
        <v>0</v>
      </c>
      <c r="BG129" s="190">
        <f t="shared" ref="BG129:BK144" si="286">0/142.5</f>
        <v>0</v>
      </c>
      <c r="BH129" s="210">
        <f t="shared" si="286"/>
        <v>0</v>
      </c>
      <c r="BI129" s="210">
        <f t="shared" si="286"/>
        <v>0</v>
      </c>
      <c r="BJ129" s="210">
        <f t="shared" si="286"/>
        <v>0</v>
      </c>
      <c r="BK129" s="210">
        <f t="shared" si="286"/>
        <v>0</v>
      </c>
      <c r="BL129" s="10">
        <f t="shared" si="247"/>
        <v>0</v>
      </c>
      <c r="BM129" s="10">
        <f t="shared" si="247"/>
        <v>0</v>
      </c>
      <c r="BN129" s="10">
        <f t="shared" si="247"/>
        <v>0</v>
      </c>
      <c r="BO129" s="71">
        <f t="shared" si="267"/>
        <v>0</v>
      </c>
      <c r="BP129" s="10">
        <f t="shared" si="267"/>
        <v>0</v>
      </c>
      <c r="BQ129" s="10">
        <f t="shared" si="267"/>
        <v>0</v>
      </c>
      <c r="BR129" s="10">
        <f t="shared" si="267"/>
        <v>0</v>
      </c>
      <c r="BS129" s="10">
        <f t="shared" si="267"/>
        <v>0</v>
      </c>
      <c r="BT129" s="10">
        <f t="shared" si="248"/>
        <v>0</v>
      </c>
      <c r="BU129" s="10">
        <f t="shared" si="248"/>
        <v>0</v>
      </c>
      <c r="BV129" s="10">
        <f t="shared" si="248"/>
        <v>0</v>
      </c>
      <c r="BW129" s="71">
        <f t="shared" si="249"/>
        <v>0</v>
      </c>
      <c r="BX129" s="10">
        <f t="shared" si="249"/>
        <v>0</v>
      </c>
      <c r="BY129" s="10">
        <f t="shared" si="249"/>
        <v>0</v>
      </c>
      <c r="BZ129" s="10">
        <f t="shared" si="249"/>
        <v>0</v>
      </c>
      <c r="CA129" s="10">
        <f t="shared" si="249"/>
        <v>0</v>
      </c>
      <c r="CB129" s="10">
        <f t="shared" si="250"/>
        <v>0</v>
      </c>
      <c r="CC129" s="10">
        <f t="shared" si="250"/>
        <v>0</v>
      </c>
      <c r="CD129" s="10">
        <f t="shared" si="250"/>
        <v>0</v>
      </c>
      <c r="CE129" s="71">
        <f t="shared" ref="CE129:CI144" si="287">0/157.5</f>
        <v>0</v>
      </c>
      <c r="CF129" s="10">
        <f t="shared" si="287"/>
        <v>0</v>
      </c>
      <c r="CG129" s="10">
        <f t="shared" si="287"/>
        <v>0</v>
      </c>
      <c r="CH129" s="10">
        <f t="shared" si="287"/>
        <v>0</v>
      </c>
      <c r="CI129" s="10">
        <f t="shared" si="287"/>
        <v>0</v>
      </c>
      <c r="CJ129" s="10">
        <f t="shared" si="251"/>
        <v>0</v>
      </c>
      <c r="CK129" s="10">
        <f t="shared" si="251"/>
        <v>0</v>
      </c>
      <c r="CL129" s="10">
        <f t="shared" si="251"/>
        <v>0</v>
      </c>
      <c r="CM129" s="71">
        <f t="shared" ref="CM129:CQ144" si="288">0/142.5</f>
        <v>0</v>
      </c>
      <c r="CN129" s="10">
        <f t="shared" si="288"/>
        <v>0</v>
      </c>
      <c r="CO129" s="10">
        <f t="shared" si="288"/>
        <v>0</v>
      </c>
      <c r="CP129" s="10">
        <f t="shared" si="288"/>
        <v>0</v>
      </c>
      <c r="CQ129" s="10">
        <f t="shared" si="288"/>
        <v>0</v>
      </c>
      <c r="CR129" s="10">
        <f t="shared" si="252"/>
        <v>0</v>
      </c>
      <c r="CS129" s="10">
        <f t="shared" si="252"/>
        <v>0</v>
      </c>
      <c r="CT129" s="10">
        <f t="shared" si="252"/>
        <v>0</v>
      </c>
    </row>
    <row r="130" spans="1:98" ht="26.25" hidden="1" customHeight="1" outlineLevel="1" x14ac:dyDescent="0.4">
      <c r="A130" s="351"/>
      <c r="B130" s="351"/>
      <c r="C130" s="351"/>
      <c r="D130" s="353"/>
      <c r="E130" s="353"/>
      <c r="F130" s="353"/>
      <c r="G130" s="385"/>
      <c r="H130" s="447"/>
      <c r="I130" s="447"/>
      <c r="J130" s="449"/>
      <c r="K130" s="453"/>
      <c r="L130" s="453"/>
      <c r="M130" s="451"/>
      <c r="N130" s="38" t="s">
        <v>25</v>
      </c>
      <c r="O130" s="11">
        <f t="shared" si="240"/>
        <v>0</v>
      </c>
      <c r="P130" s="11">
        <f t="shared" si="240"/>
        <v>0</v>
      </c>
      <c r="Q130" s="11">
        <f t="shared" si="240"/>
        <v>0</v>
      </c>
      <c r="R130" s="11">
        <f t="shared" si="240"/>
        <v>0</v>
      </c>
      <c r="S130" s="11">
        <f t="shared" si="240"/>
        <v>0</v>
      </c>
      <c r="T130" s="11">
        <f t="shared" si="240"/>
        <v>0</v>
      </c>
      <c r="U130" s="48">
        <f t="shared" si="240"/>
        <v>0</v>
      </c>
      <c r="V130" s="56">
        <f t="shared" si="241"/>
        <v>0</v>
      </c>
      <c r="W130" s="18">
        <f t="shared" si="241"/>
        <v>0</v>
      </c>
      <c r="X130" s="18">
        <f t="shared" si="241"/>
        <v>0</v>
      </c>
      <c r="Y130" s="18">
        <f t="shared" si="241"/>
        <v>0</v>
      </c>
      <c r="Z130" s="18">
        <f t="shared" si="241"/>
        <v>0</v>
      </c>
      <c r="AA130" s="18">
        <f t="shared" ref="AA130:AG146" si="289">0/165</f>
        <v>0</v>
      </c>
      <c r="AB130" s="41">
        <f t="shared" si="289"/>
        <v>0</v>
      </c>
      <c r="AC130" s="51">
        <f t="shared" si="289"/>
        <v>0</v>
      </c>
      <c r="AD130" s="11">
        <f t="shared" si="289"/>
        <v>0</v>
      </c>
      <c r="AE130" s="11">
        <f t="shared" si="289"/>
        <v>0</v>
      </c>
      <c r="AF130" s="11">
        <f t="shared" si="289"/>
        <v>0</v>
      </c>
      <c r="AG130" s="18">
        <f t="shared" si="289"/>
        <v>0</v>
      </c>
      <c r="AH130" s="50">
        <f t="shared" si="276"/>
        <v>0</v>
      </c>
      <c r="AI130" s="51">
        <f t="shared" si="276"/>
        <v>0</v>
      </c>
      <c r="AJ130" s="51">
        <f t="shared" si="276"/>
        <v>0</v>
      </c>
      <c r="AK130" s="51">
        <f t="shared" si="276"/>
        <v>0</v>
      </c>
      <c r="AL130" s="51">
        <f t="shared" si="276"/>
        <v>0</v>
      </c>
      <c r="AM130" s="18">
        <f t="shared" si="244"/>
        <v>0</v>
      </c>
      <c r="AN130" s="41">
        <f t="shared" si="245"/>
        <v>0</v>
      </c>
      <c r="AO130" s="11">
        <f t="shared" si="245"/>
        <v>0</v>
      </c>
      <c r="AP130" s="11">
        <f t="shared" si="245"/>
        <v>0</v>
      </c>
      <c r="AQ130" s="11">
        <f t="shared" si="245"/>
        <v>0</v>
      </c>
      <c r="AR130" s="11">
        <f t="shared" si="245"/>
        <v>0</v>
      </c>
      <c r="AS130" s="18">
        <f t="shared" si="246"/>
        <v>0</v>
      </c>
      <c r="AT130" s="41">
        <f t="shared" si="265"/>
        <v>0</v>
      </c>
      <c r="AU130" s="11">
        <f t="shared" si="265"/>
        <v>0</v>
      </c>
      <c r="AV130" s="11">
        <f t="shared" si="265"/>
        <v>0</v>
      </c>
      <c r="AW130" s="11">
        <f t="shared" si="265"/>
        <v>0</v>
      </c>
      <c r="AX130" s="11">
        <f t="shared" si="265"/>
        <v>0</v>
      </c>
      <c r="AY130" s="18">
        <f t="shared" si="265"/>
        <v>0</v>
      </c>
      <c r="AZ130" s="41">
        <f t="shared" si="282"/>
        <v>0</v>
      </c>
      <c r="BA130" s="11">
        <f t="shared" si="282"/>
        <v>0</v>
      </c>
      <c r="BB130" s="11">
        <f t="shared" si="282"/>
        <v>0</v>
      </c>
      <c r="BC130" s="11">
        <f t="shared" si="282"/>
        <v>0</v>
      </c>
      <c r="BD130" s="11">
        <f t="shared" si="282"/>
        <v>0</v>
      </c>
      <c r="BE130" s="11">
        <f t="shared" si="283"/>
        <v>0</v>
      </c>
      <c r="BF130" s="18">
        <f t="shared" si="283"/>
        <v>0</v>
      </c>
      <c r="BG130" s="20">
        <f t="shared" si="286"/>
        <v>0</v>
      </c>
      <c r="BH130" s="11">
        <f t="shared" si="286"/>
        <v>0</v>
      </c>
      <c r="BI130" s="11">
        <f t="shared" si="286"/>
        <v>0</v>
      </c>
      <c r="BJ130" s="11">
        <f t="shared" si="286"/>
        <v>0</v>
      </c>
      <c r="BK130" s="11">
        <f t="shared" si="286"/>
        <v>0</v>
      </c>
      <c r="BL130" s="11">
        <f t="shared" si="247"/>
        <v>0</v>
      </c>
      <c r="BM130" s="11">
        <f t="shared" si="247"/>
        <v>0</v>
      </c>
      <c r="BN130" s="18">
        <f t="shared" si="247"/>
        <v>0</v>
      </c>
      <c r="BO130" s="191">
        <f t="shared" si="267"/>
        <v>0</v>
      </c>
      <c r="BP130" s="11">
        <f t="shared" si="267"/>
        <v>0</v>
      </c>
      <c r="BQ130" s="11">
        <f t="shared" si="267"/>
        <v>0</v>
      </c>
      <c r="BR130" s="11">
        <f t="shared" si="267"/>
        <v>0</v>
      </c>
      <c r="BS130" s="11">
        <f t="shared" si="267"/>
        <v>0</v>
      </c>
      <c r="BT130" s="11">
        <f t="shared" si="248"/>
        <v>0</v>
      </c>
      <c r="BU130" s="11">
        <f t="shared" si="248"/>
        <v>0</v>
      </c>
      <c r="BV130" s="18">
        <f t="shared" si="248"/>
        <v>0</v>
      </c>
      <c r="BW130" s="191">
        <f t="shared" si="249"/>
        <v>0</v>
      </c>
      <c r="BX130" s="211">
        <f t="shared" si="249"/>
        <v>0</v>
      </c>
      <c r="BY130" s="211">
        <f t="shared" si="249"/>
        <v>0</v>
      </c>
      <c r="BZ130" s="211">
        <f t="shared" si="249"/>
        <v>0</v>
      </c>
      <c r="CA130" s="211">
        <f t="shared" si="249"/>
        <v>0</v>
      </c>
      <c r="CB130" s="11">
        <f t="shared" si="250"/>
        <v>0</v>
      </c>
      <c r="CC130" s="11">
        <f t="shared" si="250"/>
        <v>0</v>
      </c>
      <c r="CD130" s="18">
        <f t="shared" si="250"/>
        <v>0</v>
      </c>
      <c r="CE130" s="191">
        <f t="shared" si="287"/>
        <v>0</v>
      </c>
      <c r="CF130" s="11">
        <f t="shared" si="287"/>
        <v>0</v>
      </c>
      <c r="CG130" s="11">
        <f t="shared" si="287"/>
        <v>0</v>
      </c>
      <c r="CH130" s="11">
        <f t="shared" si="287"/>
        <v>0</v>
      </c>
      <c r="CI130" s="11">
        <f t="shared" si="287"/>
        <v>0</v>
      </c>
      <c r="CJ130" s="11">
        <f t="shared" si="251"/>
        <v>0</v>
      </c>
      <c r="CK130" s="11">
        <f t="shared" si="251"/>
        <v>0</v>
      </c>
      <c r="CL130" s="18">
        <f t="shared" si="251"/>
        <v>0</v>
      </c>
      <c r="CM130" s="41">
        <f t="shared" si="288"/>
        <v>0</v>
      </c>
      <c r="CN130" s="11">
        <f t="shared" si="288"/>
        <v>0</v>
      </c>
      <c r="CO130" s="11">
        <f t="shared" si="288"/>
        <v>0</v>
      </c>
      <c r="CP130" s="11">
        <f t="shared" si="288"/>
        <v>0</v>
      </c>
      <c r="CQ130" s="11">
        <f t="shared" si="288"/>
        <v>0</v>
      </c>
      <c r="CR130" s="11">
        <f t="shared" si="252"/>
        <v>0</v>
      </c>
      <c r="CS130" s="11">
        <f t="shared" si="252"/>
        <v>0</v>
      </c>
      <c r="CT130" s="11">
        <f t="shared" si="252"/>
        <v>0</v>
      </c>
    </row>
    <row r="131" spans="1:98" ht="26.25" hidden="1" customHeight="1" outlineLevel="1" collapsed="1" x14ac:dyDescent="0.4">
      <c r="A131" s="350">
        <v>63</v>
      </c>
      <c r="B131" s="350" t="s">
        <v>45</v>
      </c>
      <c r="C131" s="350" t="s">
        <v>342</v>
      </c>
      <c r="D131" s="352"/>
      <c r="E131" s="352"/>
      <c r="F131" s="352"/>
      <c r="G131" s="385"/>
      <c r="H131" s="446">
        <f t="shared" ref="H131" si="290">SUM(BO131:BV131)</f>
        <v>0</v>
      </c>
      <c r="I131" s="446">
        <f t="shared" ref="I131" si="291">SUM(BO132:BV132)</f>
        <v>0</v>
      </c>
      <c r="J131" s="448"/>
      <c r="K131" s="452"/>
      <c r="L131" s="452"/>
      <c r="M131" s="450"/>
      <c r="N131" s="47" t="s">
        <v>24</v>
      </c>
      <c r="O131" s="10">
        <f t="shared" si="240"/>
        <v>0</v>
      </c>
      <c r="P131" s="10">
        <f t="shared" si="240"/>
        <v>0</v>
      </c>
      <c r="Q131" s="10">
        <f t="shared" si="240"/>
        <v>0</v>
      </c>
      <c r="R131" s="10">
        <f t="shared" si="240"/>
        <v>0</v>
      </c>
      <c r="S131" s="10">
        <f t="shared" si="240"/>
        <v>0</v>
      </c>
      <c r="T131" s="10">
        <f t="shared" si="240"/>
        <v>0</v>
      </c>
      <c r="U131" s="79">
        <f t="shared" si="240"/>
        <v>0</v>
      </c>
      <c r="V131" s="19">
        <f t="shared" si="241"/>
        <v>0</v>
      </c>
      <c r="W131" s="10">
        <f t="shared" si="241"/>
        <v>0</v>
      </c>
      <c r="X131" s="10">
        <f t="shared" si="241"/>
        <v>0</v>
      </c>
      <c r="Y131" s="10">
        <f t="shared" si="241"/>
        <v>0</v>
      </c>
      <c r="Z131" s="10">
        <f t="shared" si="241"/>
        <v>0</v>
      </c>
      <c r="AA131" s="10">
        <f t="shared" si="289"/>
        <v>0</v>
      </c>
      <c r="AB131" s="19">
        <f t="shared" si="289"/>
        <v>0</v>
      </c>
      <c r="AC131" s="10">
        <f t="shared" si="289"/>
        <v>0</v>
      </c>
      <c r="AD131" s="210">
        <f t="shared" si="289"/>
        <v>0</v>
      </c>
      <c r="AE131" s="10">
        <f t="shared" si="289"/>
        <v>0</v>
      </c>
      <c r="AF131" s="10">
        <f t="shared" si="289"/>
        <v>0</v>
      </c>
      <c r="AG131" s="10">
        <f t="shared" si="289"/>
        <v>0</v>
      </c>
      <c r="AH131" s="19">
        <f t="shared" si="276"/>
        <v>0</v>
      </c>
      <c r="AI131" s="10">
        <f t="shared" si="276"/>
        <v>0</v>
      </c>
      <c r="AJ131" s="10">
        <f t="shared" si="276"/>
        <v>0</v>
      </c>
      <c r="AK131" s="10">
        <f t="shared" si="276"/>
        <v>0</v>
      </c>
      <c r="AL131" s="10">
        <f t="shared" si="276"/>
        <v>0</v>
      </c>
      <c r="AM131" s="10">
        <f t="shared" si="244"/>
        <v>0</v>
      </c>
      <c r="AN131" s="19">
        <f t="shared" si="245"/>
        <v>0</v>
      </c>
      <c r="AO131" s="10">
        <f t="shared" si="245"/>
        <v>0</v>
      </c>
      <c r="AP131" s="10">
        <f t="shared" si="245"/>
        <v>0</v>
      </c>
      <c r="AQ131" s="10">
        <f t="shared" si="245"/>
        <v>0</v>
      </c>
      <c r="AR131" s="10">
        <f t="shared" si="245"/>
        <v>0</v>
      </c>
      <c r="AS131" s="10">
        <f t="shared" si="246"/>
        <v>0</v>
      </c>
      <c r="AT131" s="71">
        <f t="shared" si="265"/>
        <v>0</v>
      </c>
      <c r="AU131" s="10">
        <f t="shared" si="265"/>
        <v>0</v>
      </c>
      <c r="AV131" s="10">
        <f t="shared" si="265"/>
        <v>0</v>
      </c>
      <c r="AW131" s="10">
        <f t="shared" si="265"/>
        <v>0</v>
      </c>
      <c r="AX131" s="10">
        <f t="shared" si="265"/>
        <v>0</v>
      </c>
      <c r="AY131" s="10">
        <f t="shared" si="265"/>
        <v>0</v>
      </c>
      <c r="AZ131" s="19">
        <f t="shared" si="282"/>
        <v>0</v>
      </c>
      <c r="BA131" s="10">
        <f t="shared" si="282"/>
        <v>0</v>
      </c>
      <c r="BB131" s="10">
        <f t="shared" si="282"/>
        <v>0</v>
      </c>
      <c r="BC131" s="10">
        <f t="shared" si="282"/>
        <v>0</v>
      </c>
      <c r="BD131" s="10">
        <f t="shared" si="282"/>
        <v>0</v>
      </c>
      <c r="BE131" s="10">
        <f t="shared" si="283"/>
        <v>0</v>
      </c>
      <c r="BF131" s="10">
        <f t="shared" si="283"/>
        <v>0</v>
      </c>
      <c r="BG131" s="190">
        <f t="shared" si="286"/>
        <v>0</v>
      </c>
      <c r="BH131" s="210">
        <f t="shared" si="286"/>
        <v>0</v>
      </c>
      <c r="BI131" s="210">
        <f t="shared" si="286"/>
        <v>0</v>
      </c>
      <c r="BJ131" s="210">
        <f t="shared" si="286"/>
        <v>0</v>
      </c>
      <c r="BK131" s="210">
        <f t="shared" si="286"/>
        <v>0</v>
      </c>
      <c r="BL131" s="10">
        <f t="shared" si="247"/>
        <v>0</v>
      </c>
      <c r="BM131" s="10">
        <f t="shared" si="247"/>
        <v>0</v>
      </c>
      <c r="BN131" s="10">
        <f t="shared" si="247"/>
        <v>0</v>
      </c>
      <c r="BO131" s="71">
        <f t="shared" ref="BO131:BS146" si="292">0/157.5</f>
        <v>0</v>
      </c>
      <c r="BP131" s="10">
        <f t="shared" si="292"/>
        <v>0</v>
      </c>
      <c r="BQ131" s="10">
        <f t="shared" si="292"/>
        <v>0</v>
      </c>
      <c r="BR131" s="10">
        <f t="shared" si="292"/>
        <v>0</v>
      </c>
      <c r="BS131" s="10">
        <f t="shared" si="292"/>
        <v>0</v>
      </c>
      <c r="BT131" s="10">
        <f t="shared" si="248"/>
        <v>0</v>
      </c>
      <c r="BU131" s="10">
        <f t="shared" si="248"/>
        <v>0</v>
      </c>
      <c r="BV131" s="10">
        <f t="shared" si="248"/>
        <v>0</v>
      </c>
      <c r="BW131" s="71">
        <f t="shared" si="249"/>
        <v>0</v>
      </c>
      <c r="BX131" s="10">
        <f t="shared" si="249"/>
        <v>0</v>
      </c>
      <c r="BY131" s="10">
        <f t="shared" si="249"/>
        <v>0</v>
      </c>
      <c r="BZ131" s="10">
        <f t="shared" si="249"/>
        <v>0</v>
      </c>
      <c r="CA131" s="10">
        <f t="shared" si="249"/>
        <v>0</v>
      </c>
      <c r="CB131" s="10">
        <f t="shared" si="250"/>
        <v>0</v>
      </c>
      <c r="CC131" s="10">
        <f t="shared" si="250"/>
        <v>0</v>
      </c>
      <c r="CD131" s="10">
        <f t="shared" si="250"/>
        <v>0</v>
      </c>
      <c r="CE131" s="71">
        <f t="shared" si="287"/>
        <v>0</v>
      </c>
      <c r="CF131" s="10">
        <f t="shared" si="287"/>
        <v>0</v>
      </c>
      <c r="CG131" s="10">
        <f t="shared" si="287"/>
        <v>0</v>
      </c>
      <c r="CH131" s="10">
        <f t="shared" si="287"/>
        <v>0</v>
      </c>
      <c r="CI131" s="10">
        <f t="shared" si="287"/>
        <v>0</v>
      </c>
      <c r="CJ131" s="10">
        <f t="shared" si="251"/>
        <v>0</v>
      </c>
      <c r="CK131" s="10">
        <f t="shared" si="251"/>
        <v>0</v>
      </c>
      <c r="CL131" s="10">
        <f t="shared" si="251"/>
        <v>0</v>
      </c>
      <c r="CM131" s="71">
        <f t="shared" si="288"/>
        <v>0</v>
      </c>
      <c r="CN131" s="10">
        <f t="shared" si="288"/>
        <v>0</v>
      </c>
      <c r="CO131" s="10">
        <f t="shared" si="288"/>
        <v>0</v>
      </c>
      <c r="CP131" s="10">
        <f t="shared" si="288"/>
        <v>0</v>
      </c>
      <c r="CQ131" s="10">
        <f t="shared" si="288"/>
        <v>0</v>
      </c>
      <c r="CR131" s="10">
        <f t="shared" si="252"/>
        <v>0</v>
      </c>
      <c r="CS131" s="10">
        <f t="shared" si="252"/>
        <v>0</v>
      </c>
      <c r="CT131" s="10">
        <f t="shared" si="252"/>
        <v>0</v>
      </c>
    </row>
    <row r="132" spans="1:98" ht="26.25" hidden="1" customHeight="1" outlineLevel="1" x14ac:dyDescent="0.4">
      <c r="A132" s="351"/>
      <c r="B132" s="351"/>
      <c r="C132" s="351"/>
      <c r="D132" s="353"/>
      <c r="E132" s="353"/>
      <c r="F132" s="353"/>
      <c r="G132" s="385"/>
      <c r="H132" s="447"/>
      <c r="I132" s="447"/>
      <c r="J132" s="449"/>
      <c r="K132" s="453"/>
      <c r="L132" s="453"/>
      <c r="M132" s="451"/>
      <c r="N132" s="38" t="s">
        <v>25</v>
      </c>
      <c r="O132" s="11">
        <f t="shared" si="240"/>
        <v>0</v>
      </c>
      <c r="P132" s="11">
        <f t="shared" si="240"/>
        <v>0</v>
      </c>
      <c r="Q132" s="11">
        <f t="shared" si="240"/>
        <v>0</v>
      </c>
      <c r="R132" s="11">
        <f t="shared" si="240"/>
        <v>0</v>
      </c>
      <c r="S132" s="11">
        <f t="shared" si="240"/>
        <v>0</v>
      </c>
      <c r="T132" s="11">
        <f t="shared" si="240"/>
        <v>0</v>
      </c>
      <c r="U132" s="48">
        <f t="shared" si="240"/>
        <v>0</v>
      </c>
      <c r="V132" s="56">
        <f t="shared" si="241"/>
        <v>0</v>
      </c>
      <c r="W132" s="18">
        <f t="shared" si="241"/>
        <v>0</v>
      </c>
      <c r="X132" s="18">
        <f t="shared" si="241"/>
        <v>0</v>
      </c>
      <c r="Y132" s="18">
        <f t="shared" si="241"/>
        <v>0</v>
      </c>
      <c r="Z132" s="18">
        <f t="shared" si="241"/>
        <v>0</v>
      </c>
      <c r="AA132" s="18">
        <f t="shared" si="289"/>
        <v>0</v>
      </c>
      <c r="AB132" s="41">
        <f t="shared" si="289"/>
        <v>0</v>
      </c>
      <c r="AC132" s="51">
        <f t="shared" si="289"/>
        <v>0</v>
      </c>
      <c r="AD132" s="11">
        <f t="shared" si="289"/>
        <v>0</v>
      </c>
      <c r="AE132" s="11">
        <f t="shared" si="289"/>
        <v>0</v>
      </c>
      <c r="AF132" s="11">
        <f t="shared" si="289"/>
        <v>0</v>
      </c>
      <c r="AG132" s="18">
        <f t="shared" si="289"/>
        <v>0</v>
      </c>
      <c r="AH132" s="50">
        <f t="shared" si="276"/>
        <v>0</v>
      </c>
      <c r="AI132" s="51">
        <f t="shared" si="276"/>
        <v>0</v>
      </c>
      <c r="AJ132" s="51">
        <f t="shared" si="276"/>
        <v>0</v>
      </c>
      <c r="AK132" s="51">
        <f t="shared" si="276"/>
        <v>0</v>
      </c>
      <c r="AL132" s="51">
        <f t="shared" si="276"/>
        <v>0</v>
      </c>
      <c r="AM132" s="18">
        <f t="shared" si="244"/>
        <v>0</v>
      </c>
      <c r="AN132" s="41">
        <f t="shared" si="245"/>
        <v>0</v>
      </c>
      <c r="AO132" s="11">
        <f t="shared" si="245"/>
        <v>0</v>
      </c>
      <c r="AP132" s="11">
        <f t="shared" si="245"/>
        <v>0</v>
      </c>
      <c r="AQ132" s="11">
        <f t="shared" si="245"/>
        <v>0</v>
      </c>
      <c r="AR132" s="11">
        <f t="shared" si="245"/>
        <v>0</v>
      </c>
      <c r="AS132" s="18">
        <f t="shared" si="246"/>
        <v>0</v>
      </c>
      <c r="AT132" s="41">
        <f t="shared" si="265"/>
        <v>0</v>
      </c>
      <c r="AU132" s="11">
        <f t="shared" si="265"/>
        <v>0</v>
      </c>
      <c r="AV132" s="11">
        <f t="shared" si="265"/>
        <v>0</v>
      </c>
      <c r="AW132" s="11">
        <f t="shared" si="265"/>
        <v>0</v>
      </c>
      <c r="AX132" s="11">
        <f t="shared" si="265"/>
        <v>0</v>
      </c>
      <c r="AY132" s="18">
        <f t="shared" si="265"/>
        <v>0</v>
      </c>
      <c r="AZ132" s="41">
        <f t="shared" si="282"/>
        <v>0</v>
      </c>
      <c r="BA132" s="11">
        <f t="shared" si="282"/>
        <v>0</v>
      </c>
      <c r="BB132" s="11">
        <f t="shared" si="282"/>
        <v>0</v>
      </c>
      <c r="BC132" s="11">
        <f t="shared" si="282"/>
        <v>0</v>
      </c>
      <c r="BD132" s="11">
        <f t="shared" si="282"/>
        <v>0</v>
      </c>
      <c r="BE132" s="11">
        <f t="shared" si="283"/>
        <v>0</v>
      </c>
      <c r="BF132" s="18">
        <f t="shared" si="283"/>
        <v>0</v>
      </c>
      <c r="BG132" s="20">
        <f t="shared" si="286"/>
        <v>0</v>
      </c>
      <c r="BH132" s="11">
        <f t="shared" si="286"/>
        <v>0</v>
      </c>
      <c r="BI132" s="11">
        <f t="shared" si="286"/>
        <v>0</v>
      </c>
      <c r="BJ132" s="11">
        <f t="shared" si="286"/>
        <v>0</v>
      </c>
      <c r="BK132" s="11">
        <f t="shared" si="286"/>
        <v>0</v>
      </c>
      <c r="BL132" s="11">
        <f t="shared" si="247"/>
        <v>0</v>
      </c>
      <c r="BM132" s="11">
        <f t="shared" si="247"/>
        <v>0</v>
      </c>
      <c r="BN132" s="18">
        <f t="shared" si="247"/>
        <v>0</v>
      </c>
      <c r="BO132" s="191">
        <f t="shared" si="292"/>
        <v>0</v>
      </c>
      <c r="BP132" s="11">
        <f t="shared" si="292"/>
        <v>0</v>
      </c>
      <c r="BQ132" s="11">
        <f t="shared" si="292"/>
        <v>0</v>
      </c>
      <c r="BR132" s="11">
        <f t="shared" si="292"/>
        <v>0</v>
      </c>
      <c r="BS132" s="11">
        <f t="shared" si="292"/>
        <v>0</v>
      </c>
      <c r="BT132" s="11">
        <f t="shared" si="248"/>
        <v>0</v>
      </c>
      <c r="BU132" s="11">
        <f t="shared" si="248"/>
        <v>0</v>
      </c>
      <c r="BV132" s="18">
        <f t="shared" si="248"/>
        <v>0</v>
      </c>
      <c r="BW132" s="191">
        <f t="shared" si="249"/>
        <v>0</v>
      </c>
      <c r="BX132" s="211">
        <f t="shared" si="249"/>
        <v>0</v>
      </c>
      <c r="BY132" s="211">
        <f t="shared" si="249"/>
        <v>0</v>
      </c>
      <c r="BZ132" s="211">
        <f t="shared" si="249"/>
        <v>0</v>
      </c>
      <c r="CA132" s="211">
        <f t="shared" si="249"/>
        <v>0</v>
      </c>
      <c r="CB132" s="11">
        <f t="shared" si="250"/>
        <v>0</v>
      </c>
      <c r="CC132" s="11">
        <f t="shared" si="250"/>
        <v>0</v>
      </c>
      <c r="CD132" s="18">
        <f t="shared" si="250"/>
        <v>0</v>
      </c>
      <c r="CE132" s="191">
        <f t="shared" si="287"/>
        <v>0</v>
      </c>
      <c r="CF132" s="11">
        <f t="shared" si="287"/>
        <v>0</v>
      </c>
      <c r="CG132" s="11">
        <f t="shared" si="287"/>
        <v>0</v>
      </c>
      <c r="CH132" s="11">
        <f t="shared" si="287"/>
        <v>0</v>
      </c>
      <c r="CI132" s="11">
        <f t="shared" si="287"/>
        <v>0</v>
      </c>
      <c r="CJ132" s="11">
        <f t="shared" si="251"/>
        <v>0</v>
      </c>
      <c r="CK132" s="11">
        <f t="shared" si="251"/>
        <v>0</v>
      </c>
      <c r="CL132" s="18">
        <f t="shared" si="251"/>
        <v>0</v>
      </c>
      <c r="CM132" s="41">
        <f t="shared" si="288"/>
        <v>0</v>
      </c>
      <c r="CN132" s="11">
        <f t="shared" si="288"/>
        <v>0</v>
      </c>
      <c r="CO132" s="11">
        <f t="shared" si="288"/>
        <v>0</v>
      </c>
      <c r="CP132" s="11">
        <f t="shared" si="288"/>
        <v>0</v>
      </c>
      <c r="CQ132" s="11">
        <f t="shared" si="288"/>
        <v>0</v>
      </c>
      <c r="CR132" s="11">
        <f t="shared" si="252"/>
        <v>0</v>
      </c>
      <c r="CS132" s="11">
        <f t="shared" si="252"/>
        <v>0</v>
      </c>
      <c r="CT132" s="11">
        <f t="shared" si="252"/>
        <v>0</v>
      </c>
    </row>
    <row r="133" spans="1:98" ht="26.25" hidden="1" customHeight="1" outlineLevel="1" x14ac:dyDescent="0.4">
      <c r="A133" s="350">
        <v>64</v>
      </c>
      <c r="B133" s="350" t="s">
        <v>45</v>
      </c>
      <c r="C133" s="350" t="s">
        <v>342</v>
      </c>
      <c r="D133" s="352"/>
      <c r="E133" s="352"/>
      <c r="F133" s="352"/>
      <c r="G133" s="385"/>
      <c r="H133" s="446">
        <f t="shared" ref="H133" si="293">SUM(BO133:BV133)</f>
        <v>0</v>
      </c>
      <c r="I133" s="446">
        <f t="shared" ref="I133" si="294">SUM(BO134:BV134)</f>
        <v>0</v>
      </c>
      <c r="J133" s="448"/>
      <c r="K133" s="452"/>
      <c r="L133" s="452"/>
      <c r="M133" s="450"/>
      <c r="N133" s="47" t="s">
        <v>24</v>
      </c>
      <c r="O133" s="10">
        <f t="shared" si="240"/>
        <v>0</v>
      </c>
      <c r="P133" s="10">
        <f t="shared" si="240"/>
        <v>0</v>
      </c>
      <c r="Q133" s="10">
        <f t="shared" si="240"/>
        <v>0</v>
      </c>
      <c r="R133" s="10">
        <f t="shared" si="240"/>
        <v>0</v>
      </c>
      <c r="S133" s="10">
        <f t="shared" si="240"/>
        <v>0</v>
      </c>
      <c r="T133" s="10">
        <f t="shared" si="240"/>
        <v>0</v>
      </c>
      <c r="U133" s="79">
        <f t="shared" si="240"/>
        <v>0</v>
      </c>
      <c r="V133" s="19">
        <f t="shared" si="241"/>
        <v>0</v>
      </c>
      <c r="W133" s="10">
        <f t="shared" si="241"/>
        <v>0</v>
      </c>
      <c r="X133" s="10">
        <f t="shared" si="241"/>
        <v>0</v>
      </c>
      <c r="Y133" s="10">
        <f t="shared" si="241"/>
        <v>0</v>
      </c>
      <c r="Z133" s="10">
        <f t="shared" si="241"/>
        <v>0</v>
      </c>
      <c r="AA133" s="10">
        <f t="shared" si="289"/>
        <v>0</v>
      </c>
      <c r="AB133" s="19">
        <f t="shared" si="289"/>
        <v>0</v>
      </c>
      <c r="AC133" s="10">
        <f t="shared" si="289"/>
        <v>0</v>
      </c>
      <c r="AD133" s="210">
        <f t="shared" si="289"/>
        <v>0</v>
      </c>
      <c r="AE133" s="10">
        <f t="shared" si="289"/>
        <v>0</v>
      </c>
      <c r="AF133" s="10">
        <f t="shared" si="289"/>
        <v>0</v>
      </c>
      <c r="AG133" s="10">
        <f t="shared" si="289"/>
        <v>0</v>
      </c>
      <c r="AH133" s="19">
        <f t="shared" si="276"/>
        <v>0</v>
      </c>
      <c r="AI133" s="10">
        <f t="shared" si="276"/>
        <v>0</v>
      </c>
      <c r="AJ133" s="10">
        <f t="shared" si="276"/>
        <v>0</v>
      </c>
      <c r="AK133" s="10">
        <f t="shared" si="276"/>
        <v>0</v>
      </c>
      <c r="AL133" s="10">
        <f t="shared" si="276"/>
        <v>0</v>
      </c>
      <c r="AM133" s="10">
        <f t="shared" si="244"/>
        <v>0</v>
      </c>
      <c r="AN133" s="19">
        <f t="shared" si="245"/>
        <v>0</v>
      </c>
      <c r="AO133" s="10">
        <f t="shared" si="245"/>
        <v>0</v>
      </c>
      <c r="AP133" s="10">
        <f t="shared" si="245"/>
        <v>0</v>
      </c>
      <c r="AQ133" s="10">
        <f t="shared" si="245"/>
        <v>0</v>
      </c>
      <c r="AR133" s="10">
        <f t="shared" si="245"/>
        <v>0</v>
      </c>
      <c r="AS133" s="10">
        <f t="shared" si="246"/>
        <v>0</v>
      </c>
      <c r="AT133" s="71">
        <f t="shared" si="265"/>
        <v>0</v>
      </c>
      <c r="AU133" s="10">
        <f t="shared" si="265"/>
        <v>0</v>
      </c>
      <c r="AV133" s="10">
        <f t="shared" si="265"/>
        <v>0</v>
      </c>
      <c r="AW133" s="10">
        <f t="shared" si="265"/>
        <v>0</v>
      </c>
      <c r="AX133" s="10">
        <f t="shared" si="265"/>
        <v>0</v>
      </c>
      <c r="AY133" s="10">
        <f t="shared" si="265"/>
        <v>0</v>
      </c>
      <c r="AZ133" s="19">
        <f t="shared" si="282"/>
        <v>0</v>
      </c>
      <c r="BA133" s="10">
        <f t="shared" si="282"/>
        <v>0</v>
      </c>
      <c r="BB133" s="10">
        <f t="shared" si="282"/>
        <v>0</v>
      </c>
      <c r="BC133" s="10">
        <f t="shared" si="282"/>
        <v>0</v>
      </c>
      <c r="BD133" s="10">
        <f t="shared" si="282"/>
        <v>0</v>
      </c>
      <c r="BE133" s="10">
        <f t="shared" si="283"/>
        <v>0</v>
      </c>
      <c r="BF133" s="10">
        <f t="shared" si="283"/>
        <v>0</v>
      </c>
      <c r="BG133" s="190">
        <f t="shared" si="286"/>
        <v>0</v>
      </c>
      <c r="BH133" s="210">
        <f t="shared" si="286"/>
        <v>0</v>
      </c>
      <c r="BI133" s="210">
        <f t="shared" si="286"/>
        <v>0</v>
      </c>
      <c r="BJ133" s="210">
        <f t="shared" si="286"/>
        <v>0</v>
      </c>
      <c r="BK133" s="210">
        <f t="shared" si="286"/>
        <v>0</v>
      </c>
      <c r="BL133" s="10">
        <f t="shared" si="247"/>
        <v>0</v>
      </c>
      <c r="BM133" s="10">
        <f t="shared" si="247"/>
        <v>0</v>
      </c>
      <c r="BN133" s="10">
        <f t="shared" si="247"/>
        <v>0</v>
      </c>
      <c r="BO133" s="71">
        <f t="shared" si="292"/>
        <v>0</v>
      </c>
      <c r="BP133" s="10">
        <f t="shared" si="292"/>
        <v>0</v>
      </c>
      <c r="BQ133" s="10">
        <f t="shared" si="292"/>
        <v>0</v>
      </c>
      <c r="BR133" s="10">
        <f t="shared" si="292"/>
        <v>0</v>
      </c>
      <c r="BS133" s="10">
        <f t="shared" si="292"/>
        <v>0</v>
      </c>
      <c r="BT133" s="10">
        <f t="shared" si="248"/>
        <v>0</v>
      </c>
      <c r="BU133" s="10">
        <f t="shared" si="248"/>
        <v>0</v>
      </c>
      <c r="BV133" s="10">
        <f t="shared" si="248"/>
        <v>0</v>
      </c>
      <c r="BW133" s="71">
        <f t="shared" si="249"/>
        <v>0</v>
      </c>
      <c r="BX133" s="10">
        <f t="shared" si="249"/>
        <v>0</v>
      </c>
      <c r="BY133" s="10">
        <f t="shared" si="249"/>
        <v>0</v>
      </c>
      <c r="BZ133" s="10">
        <f t="shared" si="249"/>
        <v>0</v>
      </c>
      <c r="CA133" s="10">
        <f t="shared" si="249"/>
        <v>0</v>
      </c>
      <c r="CB133" s="10">
        <f t="shared" si="250"/>
        <v>0</v>
      </c>
      <c r="CC133" s="10">
        <f t="shared" si="250"/>
        <v>0</v>
      </c>
      <c r="CD133" s="10">
        <f t="shared" si="250"/>
        <v>0</v>
      </c>
      <c r="CE133" s="71">
        <f t="shared" si="287"/>
        <v>0</v>
      </c>
      <c r="CF133" s="10">
        <f t="shared" si="287"/>
        <v>0</v>
      </c>
      <c r="CG133" s="10">
        <f t="shared" si="287"/>
        <v>0</v>
      </c>
      <c r="CH133" s="10">
        <f t="shared" si="287"/>
        <v>0</v>
      </c>
      <c r="CI133" s="10">
        <f t="shared" si="287"/>
        <v>0</v>
      </c>
      <c r="CJ133" s="10">
        <f t="shared" si="251"/>
        <v>0</v>
      </c>
      <c r="CK133" s="10">
        <f t="shared" si="251"/>
        <v>0</v>
      </c>
      <c r="CL133" s="10">
        <f t="shared" si="251"/>
        <v>0</v>
      </c>
      <c r="CM133" s="71">
        <f t="shared" si="288"/>
        <v>0</v>
      </c>
      <c r="CN133" s="10">
        <f t="shared" si="288"/>
        <v>0</v>
      </c>
      <c r="CO133" s="10">
        <f t="shared" si="288"/>
        <v>0</v>
      </c>
      <c r="CP133" s="10">
        <f t="shared" si="288"/>
        <v>0</v>
      </c>
      <c r="CQ133" s="10">
        <f t="shared" si="288"/>
        <v>0</v>
      </c>
      <c r="CR133" s="10">
        <f t="shared" si="252"/>
        <v>0</v>
      </c>
      <c r="CS133" s="10">
        <f t="shared" si="252"/>
        <v>0</v>
      </c>
      <c r="CT133" s="10">
        <f t="shared" si="252"/>
        <v>0</v>
      </c>
    </row>
    <row r="134" spans="1:98" ht="26.25" hidden="1" customHeight="1" outlineLevel="1" x14ac:dyDescent="0.4">
      <c r="A134" s="351"/>
      <c r="B134" s="351"/>
      <c r="C134" s="351"/>
      <c r="D134" s="353"/>
      <c r="E134" s="353"/>
      <c r="F134" s="353"/>
      <c r="G134" s="385"/>
      <c r="H134" s="447"/>
      <c r="I134" s="447"/>
      <c r="J134" s="449"/>
      <c r="K134" s="453"/>
      <c r="L134" s="453"/>
      <c r="M134" s="451"/>
      <c r="N134" s="38" t="s">
        <v>25</v>
      </c>
      <c r="O134" s="11">
        <f t="shared" si="240"/>
        <v>0</v>
      </c>
      <c r="P134" s="11">
        <f t="shared" si="240"/>
        <v>0</v>
      </c>
      <c r="Q134" s="11">
        <f t="shared" si="240"/>
        <v>0</v>
      </c>
      <c r="R134" s="11">
        <f t="shared" si="240"/>
        <v>0</v>
      </c>
      <c r="S134" s="11">
        <f t="shared" si="240"/>
        <v>0</v>
      </c>
      <c r="T134" s="11">
        <f t="shared" si="240"/>
        <v>0</v>
      </c>
      <c r="U134" s="48">
        <f t="shared" si="240"/>
        <v>0</v>
      </c>
      <c r="V134" s="56">
        <f t="shared" si="241"/>
        <v>0</v>
      </c>
      <c r="W134" s="18">
        <f t="shared" si="241"/>
        <v>0</v>
      </c>
      <c r="X134" s="18">
        <f t="shared" si="241"/>
        <v>0</v>
      </c>
      <c r="Y134" s="18">
        <f t="shared" si="241"/>
        <v>0</v>
      </c>
      <c r="Z134" s="18">
        <f t="shared" si="241"/>
        <v>0</v>
      </c>
      <c r="AA134" s="18">
        <f t="shared" si="289"/>
        <v>0</v>
      </c>
      <c r="AB134" s="41">
        <f t="shared" si="289"/>
        <v>0</v>
      </c>
      <c r="AC134" s="51">
        <f t="shared" si="289"/>
        <v>0</v>
      </c>
      <c r="AD134" s="11">
        <f t="shared" si="289"/>
        <v>0</v>
      </c>
      <c r="AE134" s="11">
        <f t="shared" si="289"/>
        <v>0</v>
      </c>
      <c r="AF134" s="11">
        <f t="shared" si="289"/>
        <v>0</v>
      </c>
      <c r="AG134" s="18">
        <f t="shared" si="289"/>
        <v>0</v>
      </c>
      <c r="AH134" s="50">
        <f t="shared" si="276"/>
        <v>0</v>
      </c>
      <c r="AI134" s="51">
        <f t="shared" si="276"/>
        <v>0</v>
      </c>
      <c r="AJ134" s="51">
        <f t="shared" si="276"/>
        <v>0</v>
      </c>
      <c r="AK134" s="51">
        <f t="shared" si="276"/>
        <v>0</v>
      </c>
      <c r="AL134" s="51">
        <f t="shared" si="276"/>
        <v>0</v>
      </c>
      <c r="AM134" s="18">
        <f t="shared" si="244"/>
        <v>0</v>
      </c>
      <c r="AN134" s="41">
        <f t="shared" si="245"/>
        <v>0</v>
      </c>
      <c r="AO134" s="11">
        <f t="shared" si="245"/>
        <v>0</v>
      </c>
      <c r="AP134" s="11">
        <f t="shared" si="245"/>
        <v>0</v>
      </c>
      <c r="AQ134" s="11">
        <f t="shared" si="245"/>
        <v>0</v>
      </c>
      <c r="AR134" s="11">
        <f t="shared" si="245"/>
        <v>0</v>
      </c>
      <c r="AS134" s="18">
        <f t="shared" si="246"/>
        <v>0</v>
      </c>
      <c r="AT134" s="41">
        <f t="shared" si="265"/>
        <v>0</v>
      </c>
      <c r="AU134" s="11">
        <f t="shared" si="265"/>
        <v>0</v>
      </c>
      <c r="AV134" s="11">
        <f t="shared" si="265"/>
        <v>0</v>
      </c>
      <c r="AW134" s="11">
        <f t="shared" si="265"/>
        <v>0</v>
      </c>
      <c r="AX134" s="11">
        <f t="shared" si="265"/>
        <v>0</v>
      </c>
      <c r="AY134" s="18">
        <f t="shared" si="265"/>
        <v>0</v>
      </c>
      <c r="AZ134" s="41">
        <f t="shared" si="282"/>
        <v>0</v>
      </c>
      <c r="BA134" s="11">
        <f t="shared" si="282"/>
        <v>0</v>
      </c>
      <c r="BB134" s="11">
        <f t="shared" si="282"/>
        <v>0</v>
      </c>
      <c r="BC134" s="11">
        <f t="shared" si="282"/>
        <v>0</v>
      </c>
      <c r="BD134" s="11">
        <f t="shared" si="282"/>
        <v>0</v>
      </c>
      <c r="BE134" s="11">
        <f t="shared" si="283"/>
        <v>0</v>
      </c>
      <c r="BF134" s="18">
        <f t="shared" si="283"/>
        <v>0</v>
      </c>
      <c r="BG134" s="20">
        <f t="shared" si="286"/>
        <v>0</v>
      </c>
      <c r="BH134" s="11">
        <f t="shared" si="286"/>
        <v>0</v>
      </c>
      <c r="BI134" s="11">
        <f t="shared" si="286"/>
        <v>0</v>
      </c>
      <c r="BJ134" s="11">
        <f t="shared" si="286"/>
        <v>0</v>
      </c>
      <c r="BK134" s="11">
        <f t="shared" si="286"/>
        <v>0</v>
      </c>
      <c r="BL134" s="11">
        <f t="shared" si="247"/>
        <v>0</v>
      </c>
      <c r="BM134" s="11">
        <f t="shared" si="247"/>
        <v>0</v>
      </c>
      <c r="BN134" s="18">
        <f t="shared" si="247"/>
        <v>0</v>
      </c>
      <c r="BO134" s="191">
        <f t="shared" si="292"/>
        <v>0</v>
      </c>
      <c r="BP134" s="11">
        <f t="shared" si="292"/>
        <v>0</v>
      </c>
      <c r="BQ134" s="11">
        <f t="shared" si="292"/>
        <v>0</v>
      </c>
      <c r="BR134" s="11">
        <f t="shared" si="292"/>
        <v>0</v>
      </c>
      <c r="BS134" s="11">
        <f t="shared" si="292"/>
        <v>0</v>
      </c>
      <c r="BT134" s="11">
        <f t="shared" si="248"/>
        <v>0</v>
      </c>
      <c r="BU134" s="11">
        <f t="shared" si="248"/>
        <v>0</v>
      </c>
      <c r="BV134" s="18">
        <f t="shared" si="248"/>
        <v>0</v>
      </c>
      <c r="BW134" s="191">
        <f t="shared" si="249"/>
        <v>0</v>
      </c>
      <c r="BX134" s="211">
        <f t="shared" si="249"/>
        <v>0</v>
      </c>
      <c r="BY134" s="211">
        <f t="shared" si="249"/>
        <v>0</v>
      </c>
      <c r="BZ134" s="211">
        <f t="shared" si="249"/>
        <v>0</v>
      </c>
      <c r="CA134" s="211">
        <f t="shared" si="249"/>
        <v>0</v>
      </c>
      <c r="CB134" s="11">
        <f t="shared" si="250"/>
        <v>0</v>
      </c>
      <c r="CC134" s="11">
        <f t="shared" si="250"/>
        <v>0</v>
      </c>
      <c r="CD134" s="18">
        <f t="shared" si="250"/>
        <v>0</v>
      </c>
      <c r="CE134" s="191">
        <f t="shared" si="287"/>
        <v>0</v>
      </c>
      <c r="CF134" s="11">
        <f t="shared" si="287"/>
        <v>0</v>
      </c>
      <c r="CG134" s="11">
        <f t="shared" si="287"/>
        <v>0</v>
      </c>
      <c r="CH134" s="11">
        <f t="shared" si="287"/>
        <v>0</v>
      </c>
      <c r="CI134" s="11">
        <f t="shared" si="287"/>
        <v>0</v>
      </c>
      <c r="CJ134" s="11">
        <f t="shared" si="251"/>
        <v>0</v>
      </c>
      <c r="CK134" s="11">
        <f t="shared" si="251"/>
        <v>0</v>
      </c>
      <c r="CL134" s="18">
        <f t="shared" si="251"/>
        <v>0</v>
      </c>
      <c r="CM134" s="41">
        <f t="shared" si="288"/>
        <v>0</v>
      </c>
      <c r="CN134" s="11">
        <f t="shared" si="288"/>
        <v>0</v>
      </c>
      <c r="CO134" s="11">
        <f t="shared" si="288"/>
        <v>0</v>
      </c>
      <c r="CP134" s="11">
        <f t="shared" si="288"/>
        <v>0</v>
      </c>
      <c r="CQ134" s="11">
        <f t="shared" si="288"/>
        <v>0</v>
      </c>
      <c r="CR134" s="11">
        <f t="shared" si="252"/>
        <v>0</v>
      </c>
      <c r="CS134" s="11">
        <f t="shared" si="252"/>
        <v>0</v>
      </c>
      <c r="CT134" s="11">
        <f t="shared" si="252"/>
        <v>0</v>
      </c>
    </row>
    <row r="135" spans="1:98" ht="26.25" hidden="1" customHeight="1" outlineLevel="1" collapsed="1" x14ac:dyDescent="0.4">
      <c r="A135" s="350">
        <v>65</v>
      </c>
      <c r="B135" s="350" t="s">
        <v>45</v>
      </c>
      <c r="C135" s="350" t="s">
        <v>342</v>
      </c>
      <c r="D135" s="352"/>
      <c r="E135" s="352"/>
      <c r="F135" s="352"/>
      <c r="G135" s="385"/>
      <c r="H135" s="446">
        <f t="shared" ref="H135" si="295">SUM(BO135:BV135)</f>
        <v>0</v>
      </c>
      <c r="I135" s="446">
        <f t="shared" ref="I135" si="296">SUM(BO136:BV136)</f>
        <v>0</v>
      </c>
      <c r="J135" s="448"/>
      <c r="K135" s="452"/>
      <c r="L135" s="452"/>
      <c r="M135" s="450"/>
      <c r="N135" s="47" t="s">
        <v>24</v>
      </c>
      <c r="O135" s="10">
        <f t="shared" si="240"/>
        <v>0</v>
      </c>
      <c r="P135" s="10">
        <f t="shared" si="240"/>
        <v>0</v>
      </c>
      <c r="Q135" s="10">
        <f t="shared" si="240"/>
        <v>0</v>
      </c>
      <c r="R135" s="10">
        <f t="shared" ref="O135:U150" si="297">0/127.5</f>
        <v>0</v>
      </c>
      <c r="S135" s="10">
        <f t="shared" si="297"/>
        <v>0</v>
      </c>
      <c r="T135" s="10">
        <f t="shared" si="297"/>
        <v>0</v>
      </c>
      <c r="U135" s="79">
        <f t="shared" si="297"/>
        <v>0</v>
      </c>
      <c r="V135" s="19">
        <f t="shared" si="241"/>
        <v>0</v>
      </c>
      <c r="W135" s="10">
        <f t="shared" si="241"/>
        <v>0</v>
      </c>
      <c r="X135" s="10">
        <f t="shared" si="241"/>
        <v>0</v>
      </c>
      <c r="Y135" s="10">
        <f t="shared" si="241"/>
        <v>0</v>
      </c>
      <c r="Z135" s="10">
        <f t="shared" si="241"/>
        <v>0</v>
      </c>
      <c r="AA135" s="10">
        <f t="shared" si="289"/>
        <v>0</v>
      </c>
      <c r="AB135" s="19">
        <f t="shared" si="289"/>
        <v>0</v>
      </c>
      <c r="AC135" s="10">
        <f t="shared" si="289"/>
        <v>0</v>
      </c>
      <c r="AD135" s="210">
        <f t="shared" si="289"/>
        <v>0</v>
      </c>
      <c r="AE135" s="10">
        <f t="shared" si="289"/>
        <v>0</v>
      </c>
      <c r="AF135" s="10">
        <f t="shared" si="289"/>
        <v>0</v>
      </c>
      <c r="AG135" s="10">
        <f t="shared" si="289"/>
        <v>0</v>
      </c>
      <c r="AH135" s="19">
        <f t="shared" si="276"/>
        <v>0</v>
      </c>
      <c r="AI135" s="10">
        <f t="shared" si="276"/>
        <v>0</v>
      </c>
      <c r="AJ135" s="10">
        <f t="shared" si="276"/>
        <v>0</v>
      </c>
      <c r="AK135" s="10">
        <f t="shared" si="276"/>
        <v>0</v>
      </c>
      <c r="AL135" s="10">
        <f t="shared" si="276"/>
        <v>0</v>
      </c>
      <c r="AM135" s="10">
        <f t="shared" si="244"/>
        <v>0</v>
      </c>
      <c r="AN135" s="19">
        <f t="shared" si="245"/>
        <v>0</v>
      </c>
      <c r="AO135" s="10">
        <f t="shared" si="245"/>
        <v>0</v>
      </c>
      <c r="AP135" s="10">
        <f t="shared" si="245"/>
        <v>0</v>
      </c>
      <c r="AQ135" s="10">
        <f t="shared" si="245"/>
        <v>0</v>
      </c>
      <c r="AR135" s="10">
        <f t="shared" si="245"/>
        <v>0</v>
      </c>
      <c r="AS135" s="10">
        <f t="shared" si="246"/>
        <v>0</v>
      </c>
      <c r="AT135" s="71">
        <f t="shared" si="265"/>
        <v>0</v>
      </c>
      <c r="AU135" s="10">
        <f t="shared" si="265"/>
        <v>0</v>
      </c>
      <c r="AV135" s="10">
        <f t="shared" si="265"/>
        <v>0</v>
      </c>
      <c r="AW135" s="10">
        <f t="shared" si="265"/>
        <v>0</v>
      </c>
      <c r="AX135" s="10">
        <f t="shared" si="265"/>
        <v>0</v>
      </c>
      <c r="AY135" s="10">
        <f t="shared" si="265"/>
        <v>0</v>
      </c>
      <c r="AZ135" s="19">
        <f t="shared" si="282"/>
        <v>0</v>
      </c>
      <c r="BA135" s="10">
        <f t="shared" si="282"/>
        <v>0</v>
      </c>
      <c r="BB135" s="10">
        <f t="shared" si="282"/>
        <v>0</v>
      </c>
      <c r="BC135" s="10">
        <f t="shared" si="282"/>
        <v>0</v>
      </c>
      <c r="BD135" s="10">
        <f t="shared" si="282"/>
        <v>0</v>
      </c>
      <c r="BE135" s="10">
        <f t="shared" si="283"/>
        <v>0</v>
      </c>
      <c r="BF135" s="10">
        <f t="shared" si="283"/>
        <v>0</v>
      </c>
      <c r="BG135" s="190">
        <f t="shared" si="286"/>
        <v>0</v>
      </c>
      <c r="BH135" s="210">
        <f t="shared" si="286"/>
        <v>0</v>
      </c>
      <c r="BI135" s="210">
        <f t="shared" si="286"/>
        <v>0</v>
      </c>
      <c r="BJ135" s="210">
        <f t="shared" si="286"/>
        <v>0</v>
      </c>
      <c r="BK135" s="210">
        <f t="shared" si="286"/>
        <v>0</v>
      </c>
      <c r="BL135" s="10">
        <f t="shared" si="247"/>
        <v>0</v>
      </c>
      <c r="BM135" s="10">
        <f t="shared" si="247"/>
        <v>0</v>
      </c>
      <c r="BN135" s="10">
        <f t="shared" si="247"/>
        <v>0</v>
      </c>
      <c r="BO135" s="71">
        <f t="shared" si="292"/>
        <v>0</v>
      </c>
      <c r="BP135" s="10">
        <f t="shared" si="292"/>
        <v>0</v>
      </c>
      <c r="BQ135" s="10">
        <f t="shared" si="292"/>
        <v>0</v>
      </c>
      <c r="BR135" s="10">
        <f t="shared" si="292"/>
        <v>0</v>
      </c>
      <c r="BS135" s="10">
        <f t="shared" si="292"/>
        <v>0</v>
      </c>
      <c r="BT135" s="10">
        <f t="shared" si="248"/>
        <v>0</v>
      </c>
      <c r="BU135" s="10">
        <f t="shared" si="248"/>
        <v>0</v>
      </c>
      <c r="BV135" s="10">
        <f t="shared" si="248"/>
        <v>0</v>
      </c>
      <c r="BW135" s="71">
        <f t="shared" si="249"/>
        <v>0</v>
      </c>
      <c r="BX135" s="10">
        <f t="shared" si="249"/>
        <v>0</v>
      </c>
      <c r="BY135" s="10">
        <f t="shared" si="249"/>
        <v>0</v>
      </c>
      <c r="BZ135" s="10">
        <f t="shared" si="249"/>
        <v>0</v>
      </c>
      <c r="CA135" s="10">
        <f t="shared" si="249"/>
        <v>0</v>
      </c>
      <c r="CB135" s="10">
        <f t="shared" si="250"/>
        <v>0</v>
      </c>
      <c r="CC135" s="10">
        <f t="shared" si="250"/>
        <v>0</v>
      </c>
      <c r="CD135" s="10">
        <f t="shared" si="250"/>
        <v>0</v>
      </c>
      <c r="CE135" s="71">
        <f t="shared" si="287"/>
        <v>0</v>
      </c>
      <c r="CF135" s="10">
        <f t="shared" si="287"/>
        <v>0</v>
      </c>
      <c r="CG135" s="10">
        <f t="shared" si="287"/>
        <v>0</v>
      </c>
      <c r="CH135" s="10">
        <f t="shared" si="287"/>
        <v>0</v>
      </c>
      <c r="CI135" s="10">
        <f t="shared" si="287"/>
        <v>0</v>
      </c>
      <c r="CJ135" s="10">
        <f t="shared" si="251"/>
        <v>0</v>
      </c>
      <c r="CK135" s="10">
        <f t="shared" si="251"/>
        <v>0</v>
      </c>
      <c r="CL135" s="10">
        <f t="shared" si="251"/>
        <v>0</v>
      </c>
      <c r="CM135" s="71">
        <f t="shared" si="288"/>
        <v>0</v>
      </c>
      <c r="CN135" s="10">
        <f t="shared" si="288"/>
        <v>0</v>
      </c>
      <c r="CO135" s="10">
        <f t="shared" si="288"/>
        <v>0</v>
      </c>
      <c r="CP135" s="10">
        <f t="shared" si="288"/>
        <v>0</v>
      </c>
      <c r="CQ135" s="10">
        <f t="shared" si="288"/>
        <v>0</v>
      </c>
      <c r="CR135" s="10">
        <f t="shared" si="252"/>
        <v>0</v>
      </c>
      <c r="CS135" s="10">
        <f t="shared" si="252"/>
        <v>0</v>
      </c>
      <c r="CT135" s="10">
        <f t="shared" si="252"/>
        <v>0</v>
      </c>
    </row>
    <row r="136" spans="1:98" ht="26.25" hidden="1" customHeight="1" outlineLevel="1" x14ac:dyDescent="0.4">
      <c r="A136" s="351"/>
      <c r="B136" s="351"/>
      <c r="C136" s="351"/>
      <c r="D136" s="353"/>
      <c r="E136" s="353"/>
      <c r="F136" s="353"/>
      <c r="G136" s="385"/>
      <c r="H136" s="447"/>
      <c r="I136" s="447"/>
      <c r="J136" s="449"/>
      <c r="K136" s="453"/>
      <c r="L136" s="453"/>
      <c r="M136" s="451"/>
      <c r="N136" s="38" t="s">
        <v>25</v>
      </c>
      <c r="O136" s="11">
        <f t="shared" si="297"/>
        <v>0</v>
      </c>
      <c r="P136" s="11">
        <f t="shared" si="297"/>
        <v>0</v>
      </c>
      <c r="Q136" s="11">
        <f t="shared" si="297"/>
        <v>0</v>
      </c>
      <c r="R136" s="11">
        <f t="shared" si="297"/>
        <v>0</v>
      </c>
      <c r="S136" s="11">
        <f t="shared" si="297"/>
        <v>0</v>
      </c>
      <c r="T136" s="11">
        <f t="shared" si="297"/>
        <v>0</v>
      </c>
      <c r="U136" s="48">
        <f t="shared" si="297"/>
        <v>0</v>
      </c>
      <c r="V136" s="56">
        <f t="shared" si="241"/>
        <v>0</v>
      </c>
      <c r="W136" s="18">
        <f t="shared" si="241"/>
        <v>0</v>
      </c>
      <c r="X136" s="18">
        <f t="shared" si="241"/>
        <v>0</v>
      </c>
      <c r="Y136" s="18">
        <f t="shared" si="241"/>
        <v>0</v>
      </c>
      <c r="Z136" s="18">
        <f t="shared" si="241"/>
        <v>0</v>
      </c>
      <c r="AA136" s="18">
        <f t="shared" si="289"/>
        <v>0</v>
      </c>
      <c r="AB136" s="41">
        <f t="shared" si="289"/>
        <v>0</v>
      </c>
      <c r="AC136" s="51">
        <f t="shared" si="289"/>
        <v>0</v>
      </c>
      <c r="AD136" s="11">
        <f t="shared" si="289"/>
        <v>0</v>
      </c>
      <c r="AE136" s="11">
        <f t="shared" si="289"/>
        <v>0</v>
      </c>
      <c r="AF136" s="11">
        <f t="shared" si="289"/>
        <v>0</v>
      </c>
      <c r="AG136" s="18">
        <f t="shared" si="289"/>
        <v>0</v>
      </c>
      <c r="AH136" s="50">
        <f t="shared" si="276"/>
        <v>0</v>
      </c>
      <c r="AI136" s="51">
        <f t="shared" si="276"/>
        <v>0</v>
      </c>
      <c r="AJ136" s="51">
        <f t="shared" si="276"/>
        <v>0</v>
      </c>
      <c r="AK136" s="51">
        <f t="shared" si="276"/>
        <v>0</v>
      </c>
      <c r="AL136" s="51">
        <f t="shared" si="276"/>
        <v>0</v>
      </c>
      <c r="AM136" s="18">
        <f t="shared" si="244"/>
        <v>0</v>
      </c>
      <c r="AN136" s="41">
        <f t="shared" si="245"/>
        <v>0</v>
      </c>
      <c r="AO136" s="11">
        <f t="shared" si="245"/>
        <v>0</v>
      </c>
      <c r="AP136" s="11">
        <f t="shared" si="245"/>
        <v>0</v>
      </c>
      <c r="AQ136" s="11">
        <f t="shared" si="245"/>
        <v>0</v>
      </c>
      <c r="AR136" s="11">
        <f t="shared" si="245"/>
        <v>0</v>
      </c>
      <c r="AS136" s="18">
        <f t="shared" si="246"/>
        <v>0</v>
      </c>
      <c r="AT136" s="41">
        <f t="shared" si="265"/>
        <v>0</v>
      </c>
      <c r="AU136" s="11">
        <f t="shared" si="265"/>
        <v>0</v>
      </c>
      <c r="AV136" s="11">
        <f t="shared" si="265"/>
        <v>0</v>
      </c>
      <c r="AW136" s="11">
        <f t="shared" si="265"/>
        <v>0</v>
      </c>
      <c r="AX136" s="11">
        <f t="shared" si="265"/>
        <v>0</v>
      </c>
      <c r="AY136" s="18">
        <f t="shared" si="265"/>
        <v>0</v>
      </c>
      <c r="AZ136" s="41">
        <f t="shared" si="282"/>
        <v>0</v>
      </c>
      <c r="BA136" s="11">
        <f t="shared" si="282"/>
        <v>0</v>
      </c>
      <c r="BB136" s="11">
        <f t="shared" si="282"/>
        <v>0</v>
      </c>
      <c r="BC136" s="11">
        <f t="shared" si="282"/>
        <v>0</v>
      </c>
      <c r="BD136" s="11">
        <f t="shared" si="282"/>
        <v>0</v>
      </c>
      <c r="BE136" s="11">
        <f t="shared" si="283"/>
        <v>0</v>
      </c>
      <c r="BF136" s="18">
        <f t="shared" si="283"/>
        <v>0</v>
      </c>
      <c r="BG136" s="20">
        <f t="shared" si="286"/>
        <v>0</v>
      </c>
      <c r="BH136" s="11">
        <f t="shared" si="286"/>
        <v>0</v>
      </c>
      <c r="BI136" s="11">
        <f t="shared" si="286"/>
        <v>0</v>
      </c>
      <c r="BJ136" s="11">
        <f t="shared" si="286"/>
        <v>0</v>
      </c>
      <c r="BK136" s="11">
        <f t="shared" si="286"/>
        <v>0</v>
      </c>
      <c r="BL136" s="11">
        <f t="shared" si="247"/>
        <v>0</v>
      </c>
      <c r="BM136" s="11">
        <f t="shared" si="247"/>
        <v>0</v>
      </c>
      <c r="BN136" s="18">
        <f t="shared" si="247"/>
        <v>0</v>
      </c>
      <c r="BO136" s="191">
        <f t="shared" si="292"/>
        <v>0</v>
      </c>
      <c r="BP136" s="11">
        <f t="shared" si="292"/>
        <v>0</v>
      </c>
      <c r="BQ136" s="11">
        <f t="shared" si="292"/>
        <v>0</v>
      </c>
      <c r="BR136" s="11">
        <f t="shared" si="292"/>
        <v>0</v>
      </c>
      <c r="BS136" s="11">
        <f t="shared" si="292"/>
        <v>0</v>
      </c>
      <c r="BT136" s="11">
        <f t="shared" si="248"/>
        <v>0</v>
      </c>
      <c r="BU136" s="11">
        <f t="shared" si="248"/>
        <v>0</v>
      </c>
      <c r="BV136" s="18">
        <f t="shared" si="248"/>
        <v>0</v>
      </c>
      <c r="BW136" s="191">
        <f t="shared" si="249"/>
        <v>0</v>
      </c>
      <c r="BX136" s="211">
        <f t="shared" si="249"/>
        <v>0</v>
      </c>
      <c r="BY136" s="211">
        <f t="shared" si="249"/>
        <v>0</v>
      </c>
      <c r="BZ136" s="211">
        <f t="shared" si="249"/>
        <v>0</v>
      </c>
      <c r="CA136" s="211">
        <f t="shared" si="249"/>
        <v>0</v>
      </c>
      <c r="CB136" s="11">
        <f t="shared" si="250"/>
        <v>0</v>
      </c>
      <c r="CC136" s="11">
        <f t="shared" si="250"/>
        <v>0</v>
      </c>
      <c r="CD136" s="18">
        <f t="shared" si="250"/>
        <v>0</v>
      </c>
      <c r="CE136" s="191">
        <f t="shared" si="287"/>
        <v>0</v>
      </c>
      <c r="CF136" s="11">
        <f t="shared" si="287"/>
        <v>0</v>
      </c>
      <c r="CG136" s="11">
        <f t="shared" si="287"/>
        <v>0</v>
      </c>
      <c r="CH136" s="11">
        <f t="shared" si="287"/>
        <v>0</v>
      </c>
      <c r="CI136" s="11">
        <f t="shared" si="287"/>
        <v>0</v>
      </c>
      <c r="CJ136" s="11">
        <f t="shared" si="251"/>
        <v>0</v>
      </c>
      <c r="CK136" s="11">
        <f t="shared" si="251"/>
        <v>0</v>
      </c>
      <c r="CL136" s="18">
        <f t="shared" si="251"/>
        <v>0</v>
      </c>
      <c r="CM136" s="41">
        <f t="shared" si="288"/>
        <v>0</v>
      </c>
      <c r="CN136" s="11">
        <f t="shared" si="288"/>
        <v>0</v>
      </c>
      <c r="CO136" s="11">
        <f t="shared" si="288"/>
        <v>0</v>
      </c>
      <c r="CP136" s="11">
        <f t="shared" si="288"/>
        <v>0</v>
      </c>
      <c r="CQ136" s="11">
        <f t="shared" si="288"/>
        <v>0</v>
      </c>
      <c r="CR136" s="11">
        <f t="shared" si="252"/>
        <v>0</v>
      </c>
      <c r="CS136" s="11">
        <f t="shared" si="252"/>
        <v>0</v>
      </c>
      <c r="CT136" s="11">
        <f t="shared" si="252"/>
        <v>0</v>
      </c>
    </row>
    <row r="137" spans="1:98" ht="26.25" hidden="1" customHeight="1" outlineLevel="1" x14ac:dyDescent="0.4">
      <c r="A137" s="350">
        <v>66</v>
      </c>
      <c r="B137" s="350" t="s">
        <v>45</v>
      </c>
      <c r="C137" s="350" t="s">
        <v>342</v>
      </c>
      <c r="D137" s="352"/>
      <c r="E137" s="352"/>
      <c r="F137" s="352"/>
      <c r="G137" s="385"/>
      <c r="H137" s="446">
        <f t="shared" ref="H137" si="298">SUM(BO137:BV137)</f>
        <v>0</v>
      </c>
      <c r="I137" s="446">
        <f t="shared" ref="I137" si="299">SUM(BO138:BV138)</f>
        <v>0</v>
      </c>
      <c r="J137" s="448"/>
      <c r="K137" s="452"/>
      <c r="L137" s="452"/>
      <c r="M137" s="450"/>
      <c r="N137" s="47" t="s">
        <v>24</v>
      </c>
      <c r="O137" s="10">
        <f t="shared" si="297"/>
        <v>0</v>
      </c>
      <c r="P137" s="10">
        <f t="shared" si="297"/>
        <v>0</v>
      </c>
      <c r="Q137" s="10">
        <f t="shared" si="297"/>
        <v>0</v>
      </c>
      <c r="R137" s="10">
        <f t="shared" si="297"/>
        <v>0</v>
      </c>
      <c r="S137" s="10">
        <f t="shared" si="297"/>
        <v>0</v>
      </c>
      <c r="T137" s="10">
        <f t="shared" si="297"/>
        <v>0</v>
      </c>
      <c r="U137" s="79">
        <f t="shared" si="297"/>
        <v>0</v>
      </c>
      <c r="V137" s="19">
        <f t="shared" si="241"/>
        <v>0</v>
      </c>
      <c r="W137" s="10">
        <f t="shared" si="241"/>
        <v>0</v>
      </c>
      <c r="X137" s="10">
        <f t="shared" si="241"/>
        <v>0</v>
      </c>
      <c r="Y137" s="10">
        <f t="shared" si="241"/>
        <v>0</v>
      </c>
      <c r="Z137" s="10">
        <f t="shared" si="241"/>
        <v>0</v>
      </c>
      <c r="AA137" s="10">
        <f t="shared" si="289"/>
        <v>0</v>
      </c>
      <c r="AB137" s="19">
        <f t="shared" si="289"/>
        <v>0</v>
      </c>
      <c r="AC137" s="10">
        <f t="shared" si="289"/>
        <v>0</v>
      </c>
      <c r="AD137" s="210">
        <f t="shared" si="289"/>
        <v>0</v>
      </c>
      <c r="AE137" s="10">
        <f t="shared" si="289"/>
        <v>0</v>
      </c>
      <c r="AF137" s="10">
        <f t="shared" si="289"/>
        <v>0</v>
      </c>
      <c r="AG137" s="10">
        <f t="shared" si="289"/>
        <v>0</v>
      </c>
      <c r="AH137" s="19">
        <f t="shared" si="276"/>
        <v>0</v>
      </c>
      <c r="AI137" s="10">
        <f t="shared" si="276"/>
        <v>0</v>
      </c>
      <c r="AJ137" s="10">
        <f t="shared" si="276"/>
        <v>0</v>
      </c>
      <c r="AK137" s="10">
        <f t="shared" si="276"/>
        <v>0</v>
      </c>
      <c r="AL137" s="10">
        <f t="shared" si="276"/>
        <v>0</v>
      </c>
      <c r="AM137" s="10">
        <f t="shared" si="244"/>
        <v>0</v>
      </c>
      <c r="AN137" s="19">
        <f t="shared" si="245"/>
        <v>0</v>
      </c>
      <c r="AO137" s="10">
        <f t="shared" si="245"/>
        <v>0</v>
      </c>
      <c r="AP137" s="10">
        <f t="shared" si="245"/>
        <v>0</v>
      </c>
      <c r="AQ137" s="10">
        <f t="shared" si="245"/>
        <v>0</v>
      </c>
      <c r="AR137" s="10">
        <f t="shared" si="245"/>
        <v>0</v>
      </c>
      <c r="AS137" s="10">
        <f t="shared" si="246"/>
        <v>0</v>
      </c>
      <c r="AT137" s="71">
        <f t="shared" si="265"/>
        <v>0</v>
      </c>
      <c r="AU137" s="10">
        <f t="shared" si="265"/>
        <v>0</v>
      </c>
      <c r="AV137" s="10">
        <f t="shared" si="265"/>
        <v>0</v>
      </c>
      <c r="AW137" s="10">
        <f t="shared" si="265"/>
        <v>0</v>
      </c>
      <c r="AX137" s="10">
        <f t="shared" si="265"/>
        <v>0</v>
      </c>
      <c r="AY137" s="10">
        <f t="shared" si="265"/>
        <v>0</v>
      </c>
      <c r="AZ137" s="19">
        <f t="shared" si="282"/>
        <v>0</v>
      </c>
      <c r="BA137" s="10">
        <f t="shared" si="282"/>
        <v>0</v>
      </c>
      <c r="BB137" s="10">
        <f t="shared" si="282"/>
        <v>0</v>
      </c>
      <c r="BC137" s="10">
        <f t="shared" si="282"/>
        <v>0</v>
      </c>
      <c r="BD137" s="10">
        <f t="shared" si="282"/>
        <v>0</v>
      </c>
      <c r="BE137" s="10">
        <f t="shared" si="283"/>
        <v>0</v>
      </c>
      <c r="BF137" s="10">
        <f t="shared" si="283"/>
        <v>0</v>
      </c>
      <c r="BG137" s="190">
        <f t="shared" si="286"/>
        <v>0</v>
      </c>
      <c r="BH137" s="210">
        <f t="shared" si="286"/>
        <v>0</v>
      </c>
      <c r="BI137" s="210">
        <f t="shared" si="286"/>
        <v>0</v>
      </c>
      <c r="BJ137" s="210">
        <f t="shared" si="286"/>
        <v>0</v>
      </c>
      <c r="BK137" s="210">
        <f t="shared" si="286"/>
        <v>0</v>
      </c>
      <c r="BL137" s="10">
        <f t="shared" si="247"/>
        <v>0</v>
      </c>
      <c r="BM137" s="10">
        <f t="shared" si="247"/>
        <v>0</v>
      </c>
      <c r="BN137" s="10">
        <f t="shared" si="247"/>
        <v>0</v>
      </c>
      <c r="BO137" s="71">
        <f t="shared" si="292"/>
        <v>0</v>
      </c>
      <c r="BP137" s="10">
        <f t="shared" si="292"/>
        <v>0</v>
      </c>
      <c r="BQ137" s="10">
        <f t="shared" si="292"/>
        <v>0</v>
      </c>
      <c r="BR137" s="10">
        <f t="shared" si="292"/>
        <v>0</v>
      </c>
      <c r="BS137" s="10">
        <f t="shared" si="292"/>
        <v>0</v>
      </c>
      <c r="BT137" s="10">
        <f t="shared" si="248"/>
        <v>0</v>
      </c>
      <c r="BU137" s="10">
        <f t="shared" si="248"/>
        <v>0</v>
      </c>
      <c r="BV137" s="10">
        <f t="shared" si="248"/>
        <v>0</v>
      </c>
      <c r="BW137" s="71">
        <f t="shared" si="249"/>
        <v>0</v>
      </c>
      <c r="BX137" s="10">
        <f t="shared" si="249"/>
        <v>0</v>
      </c>
      <c r="BY137" s="10">
        <f t="shared" si="249"/>
        <v>0</v>
      </c>
      <c r="BZ137" s="10">
        <f t="shared" si="249"/>
        <v>0</v>
      </c>
      <c r="CA137" s="10">
        <f t="shared" si="249"/>
        <v>0</v>
      </c>
      <c r="CB137" s="10">
        <f t="shared" si="250"/>
        <v>0</v>
      </c>
      <c r="CC137" s="10">
        <f t="shared" si="250"/>
        <v>0</v>
      </c>
      <c r="CD137" s="10">
        <f t="shared" si="250"/>
        <v>0</v>
      </c>
      <c r="CE137" s="71">
        <f t="shared" si="287"/>
        <v>0</v>
      </c>
      <c r="CF137" s="10">
        <f t="shared" si="287"/>
        <v>0</v>
      </c>
      <c r="CG137" s="10">
        <f t="shared" si="287"/>
        <v>0</v>
      </c>
      <c r="CH137" s="10">
        <f t="shared" si="287"/>
        <v>0</v>
      </c>
      <c r="CI137" s="10">
        <f t="shared" si="287"/>
        <v>0</v>
      </c>
      <c r="CJ137" s="10">
        <f t="shared" si="251"/>
        <v>0</v>
      </c>
      <c r="CK137" s="10">
        <f t="shared" si="251"/>
        <v>0</v>
      </c>
      <c r="CL137" s="10">
        <f t="shared" si="251"/>
        <v>0</v>
      </c>
      <c r="CM137" s="71">
        <f t="shared" si="288"/>
        <v>0</v>
      </c>
      <c r="CN137" s="10">
        <f t="shared" si="288"/>
        <v>0</v>
      </c>
      <c r="CO137" s="10">
        <f t="shared" si="288"/>
        <v>0</v>
      </c>
      <c r="CP137" s="10">
        <f t="shared" si="288"/>
        <v>0</v>
      </c>
      <c r="CQ137" s="10">
        <f t="shared" si="288"/>
        <v>0</v>
      </c>
      <c r="CR137" s="10">
        <f t="shared" si="252"/>
        <v>0</v>
      </c>
      <c r="CS137" s="10">
        <f t="shared" si="252"/>
        <v>0</v>
      </c>
      <c r="CT137" s="10">
        <f t="shared" si="252"/>
        <v>0</v>
      </c>
    </row>
    <row r="138" spans="1:98" ht="26.25" hidden="1" customHeight="1" outlineLevel="1" x14ac:dyDescent="0.4">
      <c r="A138" s="351"/>
      <c r="B138" s="351"/>
      <c r="C138" s="351"/>
      <c r="D138" s="353"/>
      <c r="E138" s="353"/>
      <c r="F138" s="353"/>
      <c r="G138" s="385"/>
      <c r="H138" s="447"/>
      <c r="I138" s="447"/>
      <c r="J138" s="449"/>
      <c r="K138" s="453"/>
      <c r="L138" s="453"/>
      <c r="M138" s="451"/>
      <c r="N138" s="38" t="s">
        <v>25</v>
      </c>
      <c r="O138" s="11">
        <f t="shared" si="297"/>
        <v>0</v>
      </c>
      <c r="P138" s="11">
        <f t="shared" si="297"/>
        <v>0</v>
      </c>
      <c r="Q138" s="11">
        <f t="shared" si="297"/>
        <v>0</v>
      </c>
      <c r="R138" s="11">
        <f t="shared" si="297"/>
        <v>0</v>
      </c>
      <c r="S138" s="11">
        <f t="shared" si="297"/>
        <v>0</v>
      </c>
      <c r="T138" s="11">
        <f t="shared" si="297"/>
        <v>0</v>
      </c>
      <c r="U138" s="48">
        <f t="shared" si="297"/>
        <v>0</v>
      </c>
      <c r="V138" s="56">
        <f t="shared" si="241"/>
        <v>0</v>
      </c>
      <c r="W138" s="18">
        <f t="shared" si="241"/>
        <v>0</v>
      </c>
      <c r="X138" s="18">
        <f t="shared" si="241"/>
        <v>0</v>
      </c>
      <c r="Y138" s="18">
        <f t="shared" si="241"/>
        <v>0</v>
      </c>
      <c r="Z138" s="18">
        <f t="shared" si="241"/>
        <v>0</v>
      </c>
      <c r="AA138" s="18">
        <f t="shared" si="289"/>
        <v>0</v>
      </c>
      <c r="AB138" s="41">
        <f t="shared" si="289"/>
        <v>0</v>
      </c>
      <c r="AC138" s="51">
        <f t="shared" si="289"/>
        <v>0</v>
      </c>
      <c r="AD138" s="11">
        <f t="shared" si="289"/>
        <v>0</v>
      </c>
      <c r="AE138" s="11">
        <f t="shared" si="289"/>
        <v>0</v>
      </c>
      <c r="AF138" s="11">
        <f t="shared" si="289"/>
        <v>0</v>
      </c>
      <c r="AG138" s="18">
        <f t="shared" si="289"/>
        <v>0</v>
      </c>
      <c r="AH138" s="50">
        <f t="shared" si="276"/>
        <v>0</v>
      </c>
      <c r="AI138" s="51">
        <f t="shared" si="276"/>
        <v>0</v>
      </c>
      <c r="AJ138" s="51">
        <f t="shared" si="276"/>
        <v>0</v>
      </c>
      <c r="AK138" s="51">
        <f t="shared" si="276"/>
        <v>0</v>
      </c>
      <c r="AL138" s="51">
        <f t="shared" si="276"/>
        <v>0</v>
      </c>
      <c r="AM138" s="18">
        <f t="shared" si="244"/>
        <v>0</v>
      </c>
      <c r="AN138" s="41">
        <f t="shared" si="245"/>
        <v>0</v>
      </c>
      <c r="AO138" s="11">
        <f t="shared" si="245"/>
        <v>0</v>
      </c>
      <c r="AP138" s="11">
        <f t="shared" si="245"/>
        <v>0</v>
      </c>
      <c r="AQ138" s="11">
        <f t="shared" si="245"/>
        <v>0</v>
      </c>
      <c r="AR138" s="11">
        <f t="shared" si="245"/>
        <v>0</v>
      </c>
      <c r="AS138" s="18">
        <f t="shared" si="246"/>
        <v>0</v>
      </c>
      <c r="AT138" s="41">
        <f t="shared" si="265"/>
        <v>0</v>
      </c>
      <c r="AU138" s="11">
        <f t="shared" si="265"/>
        <v>0</v>
      </c>
      <c r="AV138" s="11">
        <f t="shared" si="265"/>
        <v>0</v>
      </c>
      <c r="AW138" s="11">
        <f t="shared" si="265"/>
        <v>0</v>
      </c>
      <c r="AX138" s="11">
        <f t="shared" si="265"/>
        <v>0</v>
      </c>
      <c r="AY138" s="18">
        <f t="shared" ref="AT138:AY153" si="300">0/172.5</f>
        <v>0</v>
      </c>
      <c r="AZ138" s="41">
        <f t="shared" si="282"/>
        <v>0</v>
      </c>
      <c r="BA138" s="11">
        <f t="shared" si="282"/>
        <v>0</v>
      </c>
      <c r="BB138" s="11">
        <f t="shared" si="282"/>
        <v>0</v>
      </c>
      <c r="BC138" s="11">
        <f t="shared" si="282"/>
        <v>0</v>
      </c>
      <c r="BD138" s="11">
        <f t="shared" si="282"/>
        <v>0</v>
      </c>
      <c r="BE138" s="11">
        <f t="shared" si="283"/>
        <v>0</v>
      </c>
      <c r="BF138" s="18">
        <f t="shared" si="283"/>
        <v>0</v>
      </c>
      <c r="BG138" s="20">
        <f t="shared" si="286"/>
        <v>0</v>
      </c>
      <c r="BH138" s="11">
        <f t="shared" si="286"/>
        <v>0</v>
      </c>
      <c r="BI138" s="11">
        <f t="shared" si="286"/>
        <v>0</v>
      </c>
      <c r="BJ138" s="11">
        <f t="shared" si="286"/>
        <v>0</v>
      </c>
      <c r="BK138" s="11">
        <f t="shared" si="286"/>
        <v>0</v>
      </c>
      <c r="BL138" s="11">
        <f t="shared" si="247"/>
        <v>0</v>
      </c>
      <c r="BM138" s="11">
        <f t="shared" si="247"/>
        <v>0</v>
      </c>
      <c r="BN138" s="18">
        <f t="shared" si="247"/>
        <v>0</v>
      </c>
      <c r="BO138" s="191">
        <f t="shared" si="292"/>
        <v>0</v>
      </c>
      <c r="BP138" s="11">
        <f t="shared" si="292"/>
        <v>0</v>
      </c>
      <c r="BQ138" s="11">
        <f t="shared" si="292"/>
        <v>0</v>
      </c>
      <c r="BR138" s="11">
        <f t="shared" si="292"/>
        <v>0</v>
      </c>
      <c r="BS138" s="11">
        <f t="shared" si="292"/>
        <v>0</v>
      </c>
      <c r="BT138" s="11">
        <f t="shared" si="248"/>
        <v>0</v>
      </c>
      <c r="BU138" s="11">
        <f t="shared" si="248"/>
        <v>0</v>
      </c>
      <c r="BV138" s="18">
        <f t="shared" si="248"/>
        <v>0</v>
      </c>
      <c r="BW138" s="191">
        <f t="shared" si="249"/>
        <v>0</v>
      </c>
      <c r="BX138" s="211">
        <f t="shared" si="249"/>
        <v>0</v>
      </c>
      <c r="BY138" s="211">
        <f t="shared" si="249"/>
        <v>0</v>
      </c>
      <c r="BZ138" s="211">
        <f t="shared" si="249"/>
        <v>0</v>
      </c>
      <c r="CA138" s="211">
        <f t="shared" si="249"/>
        <v>0</v>
      </c>
      <c r="CB138" s="11">
        <f t="shared" si="250"/>
        <v>0</v>
      </c>
      <c r="CC138" s="11">
        <f t="shared" si="250"/>
        <v>0</v>
      </c>
      <c r="CD138" s="18">
        <f t="shared" si="250"/>
        <v>0</v>
      </c>
      <c r="CE138" s="191">
        <f t="shared" si="287"/>
        <v>0</v>
      </c>
      <c r="CF138" s="11">
        <f t="shared" si="287"/>
        <v>0</v>
      </c>
      <c r="CG138" s="11">
        <f t="shared" si="287"/>
        <v>0</v>
      </c>
      <c r="CH138" s="11">
        <f t="shared" si="287"/>
        <v>0</v>
      </c>
      <c r="CI138" s="11">
        <f t="shared" si="287"/>
        <v>0</v>
      </c>
      <c r="CJ138" s="11">
        <f t="shared" si="251"/>
        <v>0</v>
      </c>
      <c r="CK138" s="11">
        <f t="shared" si="251"/>
        <v>0</v>
      </c>
      <c r="CL138" s="18">
        <f t="shared" si="251"/>
        <v>0</v>
      </c>
      <c r="CM138" s="41">
        <f t="shared" si="288"/>
        <v>0</v>
      </c>
      <c r="CN138" s="11">
        <f t="shared" si="288"/>
        <v>0</v>
      </c>
      <c r="CO138" s="11">
        <f t="shared" si="288"/>
        <v>0</v>
      </c>
      <c r="CP138" s="11">
        <f t="shared" si="288"/>
        <v>0</v>
      </c>
      <c r="CQ138" s="11">
        <f t="shared" si="288"/>
        <v>0</v>
      </c>
      <c r="CR138" s="11">
        <f t="shared" si="252"/>
        <v>0</v>
      </c>
      <c r="CS138" s="11">
        <f t="shared" si="252"/>
        <v>0</v>
      </c>
      <c r="CT138" s="11">
        <f t="shared" si="252"/>
        <v>0</v>
      </c>
    </row>
    <row r="139" spans="1:98" ht="26.25" hidden="1" customHeight="1" outlineLevel="1" collapsed="1" x14ac:dyDescent="0.4">
      <c r="A139" s="350">
        <v>67</v>
      </c>
      <c r="B139" s="350" t="s">
        <v>45</v>
      </c>
      <c r="C139" s="350" t="s">
        <v>342</v>
      </c>
      <c r="D139" s="352"/>
      <c r="E139" s="352"/>
      <c r="F139" s="352"/>
      <c r="G139" s="385"/>
      <c r="H139" s="446">
        <f t="shared" ref="H139" si="301">SUM(BO139:BV139)</f>
        <v>0</v>
      </c>
      <c r="I139" s="446">
        <f t="shared" ref="I139" si="302">SUM(BO140:BV140)</f>
        <v>0</v>
      </c>
      <c r="J139" s="448"/>
      <c r="K139" s="452"/>
      <c r="L139" s="452"/>
      <c r="M139" s="450"/>
      <c r="N139" s="47" t="s">
        <v>24</v>
      </c>
      <c r="O139" s="10">
        <f t="shared" si="297"/>
        <v>0</v>
      </c>
      <c r="P139" s="10">
        <f t="shared" si="297"/>
        <v>0</v>
      </c>
      <c r="Q139" s="10">
        <f t="shared" si="297"/>
        <v>0</v>
      </c>
      <c r="R139" s="10">
        <f t="shared" si="297"/>
        <v>0</v>
      </c>
      <c r="S139" s="10">
        <f t="shared" si="297"/>
        <v>0</v>
      </c>
      <c r="T139" s="10">
        <f t="shared" si="297"/>
        <v>0</v>
      </c>
      <c r="U139" s="79">
        <f t="shared" si="297"/>
        <v>0</v>
      </c>
      <c r="V139" s="19">
        <f t="shared" ref="V139:Z154" si="303">0/142.5</f>
        <v>0</v>
      </c>
      <c r="W139" s="10">
        <f t="shared" si="303"/>
        <v>0</v>
      </c>
      <c r="X139" s="10">
        <f t="shared" si="303"/>
        <v>0</v>
      </c>
      <c r="Y139" s="10">
        <f t="shared" si="303"/>
        <v>0</v>
      </c>
      <c r="Z139" s="10">
        <f t="shared" si="303"/>
        <v>0</v>
      </c>
      <c r="AA139" s="10">
        <f t="shared" si="289"/>
        <v>0</v>
      </c>
      <c r="AB139" s="19">
        <f t="shared" si="289"/>
        <v>0</v>
      </c>
      <c r="AC139" s="10">
        <f t="shared" si="289"/>
        <v>0</v>
      </c>
      <c r="AD139" s="210">
        <f t="shared" si="289"/>
        <v>0</v>
      </c>
      <c r="AE139" s="10">
        <f t="shared" si="289"/>
        <v>0</v>
      </c>
      <c r="AF139" s="10">
        <f t="shared" si="289"/>
        <v>0</v>
      </c>
      <c r="AG139" s="10">
        <f t="shared" si="289"/>
        <v>0</v>
      </c>
      <c r="AH139" s="19">
        <f t="shared" si="276"/>
        <v>0</v>
      </c>
      <c r="AI139" s="10">
        <f t="shared" si="276"/>
        <v>0</v>
      </c>
      <c r="AJ139" s="10">
        <f t="shared" si="276"/>
        <v>0</v>
      </c>
      <c r="AK139" s="10">
        <f t="shared" si="276"/>
        <v>0</v>
      </c>
      <c r="AL139" s="10">
        <f t="shared" si="276"/>
        <v>0</v>
      </c>
      <c r="AM139" s="10">
        <f t="shared" ref="AM139:AM154" si="304">0/165</f>
        <v>0</v>
      </c>
      <c r="AN139" s="19">
        <f t="shared" ref="AN139:AR154" si="305">0/157.5</f>
        <v>0</v>
      </c>
      <c r="AO139" s="10">
        <f t="shared" si="305"/>
        <v>0</v>
      </c>
      <c r="AP139" s="10">
        <f t="shared" si="305"/>
        <v>0</v>
      </c>
      <c r="AQ139" s="10">
        <f t="shared" si="305"/>
        <v>0</v>
      </c>
      <c r="AR139" s="10">
        <f t="shared" si="305"/>
        <v>0</v>
      </c>
      <c r="AS139" s="10">
        <f t="shared" ref="AS139:AS154" si="306">0/165</f>
        <v>0</v>
      </c>
      <c r="AT139" s="71">
        <f t="shared" si="300"/>
        <v>0</v>
      </c>
      <c r="AU139" s="10">
        <f t="shared" si="300"/>
        <v>0</v>
      </c>
      <c r="AV139" s="10">
        <f t="shared" si="300"/>
        <v>0</v>
      </c>
      <c r="AW139" s="10">
        <f t="shared" si="300"/>
        <v>0</v>
      </c>
      <c r="AX139" s="10">
        <f t="shared" si="300"/>
        <v>0</v>
      </c>
      <c r="AY139" s="10">
        <f t="shared" si="300"/>
        <v>0</v>
      </c>
      <c r="AZ139" s="19">
        <f t="shared" ref="AZ139:BD154" si="307">0/142.5</f>
        <v>0</v>
      </c>
      <c r="BA139" s="10">
        <f t="shared" si="307"/>
        <v>0</v>
      </c>
      <c r="BB139" s="10">
        <f t="shared" si="307"/>
        <v>0</v>
      </c>
      <c r="BC139" s="10">
        <f t="shared" si="307"/>
        <v>0</v>
      </c>
      <c r="BD139" s="10">
        <f t="shared" si="307"/>
        <v>0</v>
      </c>
      <c r="BE139" s="10">
        <f t="shared" ref="BE139:BF154" si="308">0/172.5</f>
        <v>0</v>
      </c>
      <c r="BF139" s="10">
        <f t="shared" si="308"/>
        <v>0</v>
      </c>
      <c r="BG139" s="190">
        <f t="shared" si="286"/>
        <v>0</v>
      </c>
      <c r="BH139" s="210">
        <f t="shared" si="286"/>
        <v>0</v>
      </c>
      <c r="BI139" s="210">
        <f t="shared" si="286"/>
        <v>0</v>
      </c>
      <c r="BJ139" s="210">
        <f t="shared" si="286"/>
        <v>0</v>
      </c>
      <c r="BK139" s="210">
        <f t="shared" si="286"/>
        <v>0</v>
      </c>
      <c r="BL139" s="10">
        <f t="shared" ref="BL139:BN154" si="309">0/172.5</f>
        <v>0</v>
      </c>
      <c r="BM139" s="10">
        <f t="shared" si="309"/>
        <v>0</v>
      </c>
      <c r="BN139" s="10">
        <f t="shared" si="309"/>
        <v>0</v>
      </c>
      <c r="BO139" s="71">
        <f t="shared" si="292"/>
        <v>0</v>
      </c>
      <c r="BP139" s="10">
        <f t="shared" si="292"/>
        <v>0</v>
      </c>
      <c r="BQ139" s="10">
        <f t="shared" si="292"/>
        <v>0</v>
      </c>
      <c r="BR139" s="10">
        <f t="shared" si="292"/>
        <v>0</v>
      </c>
      <c r="BS139" s="10">
        <f t="shared" si="292"/>
        <v>0</v>
      </c>
      <c r="BT139" s="10">
        <f t="shared" ref="BT139:BV154" si="310">0/172.5</f>
        <v>0</v>
      </c>
      <c r="BU139" s="10">
        <f t="shared" si="310"/>
        <v>0</v>
      </c>
      <c r="BV139" s="10">
        <f t="shared" si="310"/>
        <v>0</v>
      </c>
      <c r="BW139" s="71">
        <f t="shared" ref="BW139:CA154" si="311">0/157.5</f>
        <v>0</v>
      </c>
      <c r="BX139" s="10">
        <f t="shared" si="311"/>
        <v>0</v>
      </c>
      <c r="BY139" s="10">
        <f t="shared" si="311"/>
        <v>0</v>
      </c>
      <c r="BZ139" s="10">
        <f t="shared" si="311"/>
        <v>0</v>
      </c>
      <c r="CA139" s="10">
        <f t="shared" si="311"/>
        <v>0</v>
      </c>
      <c r="CB139" s="10">
        <f t="shared" ref="CB139:CD154" si="312">0/172.5</f>
        <v>0</v>
      </c>
      <c r="CC139" s="10">
        <f t="shared" si="312"/>
        <v>0</v>
      </c>
      <c r="CD139" s="10">
        <f t="shared" si="312"/>
        <v>0</v>
      </c>
      <c r="CE139" s="71">
        <f t="shared" si="287"/>
        <v>0</v>
      </c>
      <c r="CF139" s="10">
        <f t="shared" si="287"/>
        <v>0</v>
      </c>
      <c r="CG139" s="10">
        <f t="shared" si="287"/>
        <v>0</v>
      </c>
      <c r="CH139" s="10">
        <f t="shared" si="287"/>
        <v>0</v>
      </c>
      <c r="CI139" s="10">
        <f t="shared" si="287"/>
        <v>0</v>
      </c>
      <c r="CJ139" s="10">
        <f t="shared" ref="CJ139:CL154" si="313">0/172.5</f>
        <v>0</v>
      </c>
      <c r="CK139" s="10">
        <f t="shared" si="313"/>
        <v>0</v>
      </c>
      <c r="CL139" s="10">
        <f t="shared" si="313"/>
        <v>0</v>
      </c>
      <c r="CM139" s="71">
        <f t="shared" si="288"/>
        <v>0</v>
      </c>
      <c r="CN139" s="10">
        <f t="shared" si="288"/>
        <v>0</v>
      </c>
      <c r="CO139" s="10">
        <f t="shared" si="288"/>
        <v>0</v>
      </c>
      <c r="CP139" s="10">
        <f t="shared" si="288"/>
        <v>0</v>
      </c>
      <c r="CQ139" s="10">
        <f t="shared" si="288"/>
        <v>0</v>
      </c>
      <c r="CR139" s="10">
        <f t="shared" ref="CR139:CT154" si="314">0/172.5</f>
        <v>0</v>
      </c>
      <c r="CS139" s="10">
        <f t="shared" si="314"/>
        <v>0</v>
      </c>
      <c r="CT139" s="10">
        <f t="shared" si="314"/>
        <v>0</v>
      </c>
    </row>
    <row r="140" spans="1:98" ht="26.25" hidden="1" customHeight="1" outlineLevel="1" x14ac:dyDescent="0.4">
      <c r="A140" s="351"/>
      <c r="B140" s="351"/>
      <c r="C140" s="351"/>
      <c r="D140" s="353"/>
      <c r="E140" s="353"/>
      <c r="F140" s="353"/>
      <c r="G140" s="385"/>
      <c r="H140" s="447"/>
      <c r="I140" s="447"/>
      <c r="J140" s="449"/>
      <c r="K140" s="453"/>
      <c r="L140" s="453"/>
      <c r="M140" s="451"/>
      <c r="N140" s="38" t="s">
        <v>25</v>
      </c>
      <c r="O140" s="11">
        <f t="shared" si="297"/>
        <v>0</v>
      </c>
      <c r="P140" s="11">
        <f t="shared" si="297"/>
        <v>0</v>
      </c>
      <c r="Q140" s="11">
        <f t="shared" si="297"/>
        <v>0</v>
      </c>
      <c r="R140" s="11">
        <f t="shared" si="297"/>
        <v>0</v>
      </c>
      <c r="S140" s="11">
        <f t="shared" si="297"/>
        <v>0</v>
      </c>
      <c r="T140" s="11">
        <f t="shared" si="297"/>
        <v>0</v>
      </c>
      <c r="U140" s="48">
        <f t="shared" si="297"/>
        <v>0</v>
      </c>
      <c r="V140" s="56">
        <f t="shared" si="303"/>
        <v>0</v>
      </c>
      <c r="W140" s="18">
        <f t="shared" si="303"/>
        <v>0</v>
      </c>
      <c r="X140" s="18">
        <f t="shared" si="303"/>
        <v>0</v>
      </c>
      <c r="Y140" s="18">
        <f t="shared" si="303"/>
        <v>0</v>
      </c>
      <c r="Z140" s="18">
        <f t="shared" si="303"/>
        <v>0</v>
      </c>
      <c r="AA140" s="18">
        <f t="shared" si="289"/>
        <v>0</v>
      </c>
      <c r="AB140" s="41">
        <f t="shared" si="289"/>
        <v>0</v>
      </c>
      <c r="AC140" s="51">
        <f t="shared" si="289"/>
        <v>0</v>
      </c>
      <c r="AD140" s="11">
        <f t="shared" si="289"/>
        <v>0</v>
      </c>
      <c r="AE140" s="11">
        <f t="shared" si="289"/>
        <v>0</v>
      </c>
      <c r="AF140" s="11">
        <f t="shared" si="289"/>
        <v>0</v>
      </c>
      <c r="AG140" s="18">
        <f t="shared" si="289"/>
        <v>0</v>
      </c>
      <c r="AH140" s="50">
        <f t="shared" si="276"/>
        <v>0</v>
      </c>
      <c r="AI140" s="51">
        <f t="shared" si="276"/>
        <v>0</v>
      </c>
      <c r="AJ140" s="51">
        <f t="shared" si="276"/>
        <v>0</v>
      </c>
      <c r="AK140" s="51">
        <f t="shared" si="276"/>
        <v>0</v>
      </c>
      <c r="AL140" s="51">
        <f t="shared" si="276"/>
        <v>0</v>
      </c>
      <c r="AM140" s="18">
        <f t="shared" si="304"/>
        <v>0</v>
      </c>
      <c r="AN140" s="41">
        <f t="shared" si="305"/>
        <v>0</v>
      </c>
      <c r="AO140" s="11">
        <f t="shared" si="305"/>
        <v>0</v>
      </c>
      <c r="AP140" s="11">
        <f t="shared" si="305"/>
        <v>0</v>
      </c>
      <c r="AQ140" s="11">
        <f t="shared" si="305"/>
        <v>0</v>
      </c>
      <c r="AR140" s="11">
        <f t="shared" si="305"/>
        <v>0</v>
      </c>
      <c r="AS140" s="18">
        <f t="shared" si="306"/>
        <v>0</v>
      </c>
      <c r="AT140" s="41">
        <f t="shared" si="300"/>
        <v>0</v>
      </c>
      <c r="AU140" s="11">
        <f t="shared" si="300"/>
        <v>0</v>
      </c>
      <c r="AV140" s="11">
        <f t="shared" si="300"/>
        <v>0</v>
      </c>
      <c r="AW140" s="11">
        <f t="shared" si="300"/>
        <v>0</v>
      </c>
      <c r="AX140" s="11">
        <f t="shared" si="300"/>
        <v>0</v>
      </c>
      <c r="AY140" s="18">
        <f t="shared" si="300"/>
        <v>0</v>
      </c>
      <c r="AZ140" s="41">
        <f t="shared" si="307"/>
        <v>0</v>
      </c>
      <c r="BA140" s="11">
        <f t="shared" si="307"/>
        <v>0</v>
      </c>
      <c r="BB140" s="11">
        <f t="shared" si="307"/>
        <v>0</v>
      </c>
      <c r="BC140" s="11">
        <f t="shared" si="307"/>
        <v>0</v>
      </c>
      <c r="BD140" s="11">
        <f t="shared" si="307"/>
        <v>0</v>
      </c>
      <c r="BE140" s="11">
        <f t="shared" si="308"/>
        <v>0</v>
      </c>
      <c r="BF140" s="18">
        <f t="shared" si="308"/>
        <v>0</v>
      </c>
      <c r="BG140" s="20">
        <f t="shared" si="286"/>
        <v>0</v>
      </c>
      <c r="BH140" s="11">
        <f t="shared" si="286"/>
        <v>0</v>
      </c>
      <c r="BI140" s="11">
        <f t="shared" si="286"/>
        <v>0</v>
      </c>
      <c r="BJ140" s="11">
        <f t="shared" si="286"/>
        <v>0</v>
      </c>
      <c r="BK140" s="11">
        <f t="shared" si="286"/>
        <v>0</v>
      </c>
      <c r="BL140" s="11">
        <f t="shared" si="309"/>
        <v>0</v>
      </c>
      <c r="BM140" s="11">
        <f t="shared" si="309"/>
        <v>0</v>
      </c>
      <c r="BN140" s="18">
        <f t="shared" si="309"/>
        <v>0</v>
      </c>
      <c r="BO140" s="191">
        <f t="shared" si="292"/>
        <v>0</v>
      </c>
      <c r="BP140" s="11">
        <f t="shared" si="292"/>
        <v>0</v>
      </c>
      <c r="BQ140" s="11">
        <f t="shared" si="292"/>
        <v>0</v>
      </c>
      <c r="BR140" s="11">
        <f t="shared" si="292"/>
        <v>0</v>
      </c>
      <c r="BS140" s="11">
        <f t="shared" si="292"/>
        <v>0</v>
      </c>
      <c r="BT140" s="11">
        <f t="shared" si="310"/>
        <v>0</v>
      </c>
      <c r="BU140" s="11">
        <f t="shared" si="310"/>
        <v>0</v>
      </c>
      <c r="BV140" s="18">
        <f t="shared" si="310"/>
        <v>0</v>
      </c>
      <c r="BW140" s="191">
        <f t="shared" si="311"/>
        <v>0</v>
      </c>
      <c r="BX140" s="211">
        <f t="shared" si="311"/>
        <v>0</v>
      </c>
      <c r="BY140" s="211">
        <f t="shared" si="311"/>
        <v>0</v>
      </c>
      <c r="BZ140" s="211">
        <f t="shared" si="311"/>
        <v>0</v>
      </c>
      <c r="CA140" s="211">
        <f t="shared" si="311"/>
        <v>0</v>
      </c>
      <c r="CB140" s="11">
        <f t="shared" si="312"/>
        <v>0</v>
      </c>
      <c r="CC140" s="11">
        <f t="shared" si="312"/>
        <v>0</v>
      </c>
      <c r="CD140" s="18">
        <f t="shared" si="312"/>
        <v>0</v>
      </c>
      <c r="CE140" s="191">
        <f t="shared" si="287"/>
        <v>0</v>
      </c>
      <c r="CF140" s="11">
        <f t="shared" si="287"/>
        <v>0</v>
      </c>
      <c r="CG140" s="11">
        <f t="shared" si="287"/>
        <v>0</v>
      </c>
      <c r="CH140" s="11">
        <f t="shared" si="287"/>
        <v>0</v>
      </c>
      <c r="CI140" s="11">
        <f t="shared" si="287"/>
        <v>0</v>
      </c>
      <c r="CJ140" s="11">
        <f t="shared" si="313"/>
        <v>0</v>
      </c>
      <c r="CK140" s="11">
        <f t="shared" si="313"/>
        <v>0</v>
      </c>
      <c r="CL140" s="18">
        <f t="shared" si="313"/>
        <v>0</v>
      </c>
      <c r="CM140" s="41">
        <f t="shared" si="288"/>
        <v>0</v>
      </c>
      <c r="CN140" s="11">
        <f t="shared" si="288"/>
        <v>0</v>
      </c>
      <c r="CO140" s="11">
        <f t="shared" si="288"/>
        <v>0</v>
      </c>
      <c r="CP140" s="11">
        <f t="shared" si="288"/>
        <v>0</v>
      </c>
      <c r="CQ140" s="11">
        <f t="shared" si="288"/>
        <v>0</v>
      </c>
      <c r="CR140" s="11">
        <f t="shared" si="314"/>
        <v>0</v>
      </c>
      <c r="CS140" s="11">
        <f t="shared" si="314"/>
        <v>0</v>
      </c>
      <c r="CT140" s="11">
        <f t="shared" si="314"/>
        <v>0</v>
      </c>
    </row>
    <row r="141" spans="1:98" ht="26.25" hidden="1" customHeight="1" outlineLevel="1" collapsed="1" x14ac:dyDescent="0.4">
      <c r="A141" s="350">
        <v>68</v>
      </c>
      <c r="B141" s="350" t="s">
        <v>45</v>
      </c>
      <c r="C141" s="350" t="s">
        <v>342</v>
      </c>
      <c r="D141" s="352"/>
      <c r="E141" s="352"/>
      <c r="F141" s="352"/>
      <c r="G141" s="385"/>
      <c r="H141" s="446">
        <f t="shared" ref="H141" si="315">SUM(BO141:BV141)</f>
        <v>0</v>
      </c>
      <c r="I141" s="446">
        <f t="shared" ref="I141" si="316">SUM(BO142:BV142)</f>
        <v>0</v>
      </c>
      <c r="J141" s="448"/>
      <c r="K141" s="452"/>
      <c r="L141" s="452"/>
      <c r="M141" s="450"/>
      <c r="N141" s="47" t="s">
        <v>24</v>
      </c>
      <c r="O141" s="10">
        <f t="shared" si="297"/>
        <v>0</v>
      </c>
      <c r="P141" s="10">
        <f t="shared" si="297"/>
        <v>0</v>
      </c>
      <c r="Q141" s="10">
        <f t="shared" si="297"/>
        <v>0</v>
      </c>
      <c r="R141" s="10">
        <f t="shared" si="297"/>
        <v>0</v>
      </c>
      <c r="S141" s="10">
        <f t="shared" si="297"/>
        <v>0</v>
      </c>
      <c r="T141" s="10">
        <f t="shared" si="297"/>
        <v>0</v>
      </c>
      <c r="U141" s="79">
        <f t="shared" si="297"/>
        <v>0</v>
      </c>
      <c r="V141" s="19">
        <f t="shared" si="303"/>
        <v>0</v>
      </c>
      <c r="W141" s="10">
        <f t="shared" si="303"/>
        <v>0</v>
      </c>
      <c r="X141" s="10">
        <f t="shared" si="303"/>
        <v>0</v>
      </c>
      <c r="Y141" s="10">
        <f t="shared" si="303"/>
        <v>0</v>
      </c>
      <c r="Z141" s="10">
        <f t="shared" si="303"/>
        <v>0</v>
      </c>
      <c r="AA141" s="10">
        <f t="shared" si="289"/>
        <v>0</v>
      </c>
      <c r="AB141" s="19">
        <f t="shared" si="289"/>
        <v>0</v>
      </c>
      <c r="AC141" s="10">
        <f t="shared" si="289"/>
        <v>0</v>
      </c>
      <c r="AD141" s="210">
        <f t="shared" si="289"/>
        <v>0</v>
      </c>
      <c r="AE141" s="10">
        <f t="shared" si="289"/>
        <v>0</v>
      </c>
      <c r="AF141" s="10">
        <f t="shared" si="289"/>
        <v>0</v>
      </c>
      <c r="AG141" s="10">
        <f t="shared" si="289"/>
        <v>0</v>
      </c>
      <c r="AH141" s="19">
        <f t="shared" si="276"/>
        <v>0</v>
      </c>
      <c r="AI141" s="10">
        <f t="shared" si="276"/>
        <v>0</v>
      </c>
      <c r="AJ141" s="10">
        <f t="shared" si="276"/>
        <v>0</v>
      </c>
      <c r="AK141" s="10">
        <f t="shared" si="276"/>
        <v>0</v>
      </c>
      <c r="AL141" s="10">
        <f t="shared" si="276"/>
        <v>0</v>
      </c>
      <c r="AM141" s="10">
        <f t="shared" si="304"/>
        <v>0</v>
      </c>
      <c r="AN141" s="19">
        <f t="shared" si="305"/>
        <v>0</v>
      </c>
      <c r="AO141" s="10">
        <f t="shared" si="305"/>
        <v>0</v>
      </c>
      <c r="AP141" s="10">
        <f t="shared" si="305"/>
        <v>0</v>
      </c>
      <c r="AQ141" s="10">
        <f t="shared" si="305"/>
        <v>0</v>
      </c>
      <c r="AR141" s="10">
        <f t="shared" si="305"/>
        <v>0</v>
      </c>
      <c r="AS141" s="10">
        <f t="shared" si="306"/>
        <v>0</v>
      </c>
      <c r="AT141" s="71">
        <f t="shared" si="300"/>
        <v>0</v>
      </c>
      <c r="AU141" s="10">
        <f t="shared" si="300"/>
        <v>0</v>
      </c>
      <c r="AV141" s="10">
        <f t="shared" si="300"/>
        <v>0</v>
      </c>
      <c r="AW141" s="10">
        <f t="shared" si="300"/>
        <v>0</v>
      </c>
      <c r="AX141" s="10">
        <f t="shared" si="300"/>
        <v>0</v>
      </c>
      <c r="AY141" s="10">
        <f t="shared" si="300"/>
        <v>0</v>
      </c>
      <c r="AZ141" s="19">
        <f t="shared" si="307"/>
        <v>0</v>
      </c>
      <c r="BA141" s="10">
        <f t="shared" si="307"/>
        <v>0</v>
      </c>
      <c r="BB141" s="10">
        <f t="shared" si="307"/>
        <v>0</v>
      </c>
      <c r="BC141" s="10">
        <f t="shared" si="307"/>
        <v>0</v>
      </c>
      <c r="BD141" s="10">
        <f t="shared" si="307"/>
        <v>0</v>
      </c>
      <c r="BE141" s="10">
        <f t="shared" si="308"/>
        <v>0</v>
      </c>
      <c r="BF141" s="10">
        <f t="shared" si="308"/>
        <v>0</v>
      </c>
      <c r="BG141" s="190">
        <f t="shared" si="286"/>
        <v>0</v>
      </c>
      <c r="BH141" s="210">
        <f t="shared" si="286"/>
        <v>0</v>
      </c>
      <c r="BI141" s="210">
        <f t="shared" si="286"/>
        <v>0</v>
      </c>
      <c r="BJ141" s="210">
        <f t="shared" si="286"/>
        <v>0</v>
      </c>
      <c r="BK141" s="210">
        <f t="shared" si="286"/>
        <v>0</v>
      </c>
      <c r="BL141" s="10">
        <f t="shared" si="309"/>
        <v>0</v>
      </c>
      <c r="BM141" s="10">
        <f t="shared" si="309"/>
        <v>0</v>
      </c>
      <c r="BN141" s="10">
        <f t="shared" si="309"/>
        <v>0</v>
      </c>
      <c r="BO141" s="71">
        <f t="shared" si="292"/>
        <v>0</v>
      </c>
      <c r="BP141" s="10">
        <f t="shared" si="292"/>
        <v>0</v>
      </c>
      <c r="BQ141" s="10">
        <f t="shared" si="292"/>
        <v>0</v>
      </c>
      <c r="BR141" s="10">
        <f t="shared" si="292"/>
        <v>0</v>
      </c>
      <c r="BS141" s="10">
        <f t="shared" si="292"/>
        <v>0</v>
      </c>
      <c r="BT141" s="10">
        <f t="shared" si="310"/>
        <v>0</v>
      </c>
      <c r="BU141" s="10">
        <f t="shared" si="310"/>
        <v>0</v>
      </c>
      <c r="BV141" s="10">
        <f t="shared" si="310"/>
        <v>0</v>
      </c>
      <c r="BW141" s="71">
        <f t="shared" si="311"/>
        <v>0</v>
      </c>
      <c r="BX141" s="10">
        <f t="shared" si="311"/>
        <v>0</v>
      </c>
      <c r="BY141" s="10">
        <f t="shared" si="311"/>
        <v>0</v>
      </c>
      <c r="BZ141" s="10">
        <f t="shared" si="311"/>
        <v>0</v>
      </c>
      <c r="CA141" s="10">
        <f t="shared" si="311"/>
        <v>0</v>
      </c>
      <c r="CB141" s="10">
        <f t="shared" si="312"/>
        <v>0</v>
      </c>
      <c r="CC141" s="10">
        <f t="shared" si="312"/>
        <v>0</v>
      </c>
      <c r="CD141" s="10">
        <f t="shared" si="312"/>
        <v>0</v>
      </c>
      <c r="CE141" s="71">
        <f t="shared" si="287"/>
        <v>0</v>
      </c>
      <c r="CF141" s="10">
        <f t="shared" si="287"/>
        <v>0</v>
      </c>
      <c r="CG141" s="10">
        <f t="shared" si="287"/>
        <v>0</v>
      </c>
      <c r="CH141" s="10">
        <f t="shared" si="287"/>
        <v>0</v>
      </c>
      <c r="CI141" s="10">
        <f t="shared" si="287"/>
        <v>0</v>
      </c>
      <c r="CJ141" s="10">
        <f t="shared" si="313"/>
        <v>0</v>
      </c>
      <c r="CK141" s="10">
        <f t="shared" si="313"/>
        <v>0</v>
      </c>
      <c r="CL141" s="10">
        <f t="shared" si="313"/>
        <v>0</v>
      </c>
      <c r="CM141" s="71">
        <f t="shared" si="288"/>
        <v>0</v>
      </c>
      <c r="CN141" s="10">
        <f t="shared" si="288"/>
        <v>0</v>
      </c>
      <c r="CO141" s="10">
        <f t="shared" si="288"/>
        <v>0</v>
      </c>
      <c r="CP141" s="10">
        <f t="shared" si="288"/>
        <v>0</v>
      </c>
      <c r="CQ141" s="10">
        <f t="shared" si="288"/>
        <v>0</v>
      </c>
      <c r="CR141" s="10">
        <f t="shared" si="314"/>
        <v>0</v>
      </c>
      <c r="CS141" s="10">
        <f t="shared" si="314"/>
        <v>0</v>
      </c>
      <c r="CT141" s="10">
        <f t="shared" si="314"/>
        <v>0</v>
      </c>
    </row>
    <row r="142" spans="1:98" ht="26.25" hidden="1" customHeight="1" outlineLevel="1" x14ac:dyDescent="0.4">
      <c r="A142" s="351"/>
      <c r="B142" s="351"/>
      <c r="C142" s="351"/>
      <c r="D142" s="353"/>
      <c r="E142" s="353"/>
      <c r="F142" s="353"/>
      <c r="G142" s="385"/>
      <c r="H142" s="447"/>
      <c r="I142" s="447"/>
      <c r="J142" s="449"/>
      <c r="K142" s="453"/>
      <c r="L142" s="453"/>
      <c r="M142" s="451"/>
      <c r="N142" s="38" t="s">
        <v>25</v>
      </c>
      <c r="O142" s="11">
        <f t="shared" si="297"/>
        <v>0</v>
      </c>
      <c r="P142" s="11">
        <f t="shared" si="297"/>
        <v>0</v>
      </c>
      <c r="Q142" s="11">
        <f t="shared" si="297"/>
        <v>0</v>
      </c>
      <c r="R142" s="11">
        <f t="shared" si="297"/>
        <v>0</v>
      </c>
      <c r="S142" s="11">
        <f t="shared" si="297"/>
        <v>0</v>
      </c>
      <c r="T142" s="11">
        <f t="shared" si="297"/>
        <v>0</v>
      </c>
      <c r="U142" s="48">
        <f t="shared" si="297"/>
        <v>0</v>
      </c>
      <c r="V142" s="56">
        <f t="shared" si="303"/>
        <v>0</v>
      </c>
      <c r="W142" s="18">
        <f t="shared" si="303"/>
        <v>0</v>
      </c>
      <c r="X142" s="18">
        <f t="shared" si="303"/>
        <v>0</v>
      </c>
      <c r="Y142" s="18">
        <f t="shared" si="303"/>
        <v>0</v>
      </c>
      <c r="Z142" s="18">
        <f t="shared" si="303"/>
        <v>0</v>
      </c>
      <c r="AA142" s="18">
        <f t="shared" si="289"/>
        <v>0</v>
      </c>
      <c r="AB142" s="41">
        <f t="shared" si="289"/>
        <v>0</v>
      </c>
      <c r="AC142" s="51">
        <f t="shared" si="289"/>
        <v>0</v>
      </c>
      <c r="AD142" s="11">
        <f t="shared" si="289"/>
        <v>0</v>
      </c>
      <c r="AE142" s="11">
        <f t="shared" si="289"/>
        <v>0</v>
      </c>
      <c r="AF142" s="11">
        <f t="shared" si="289"/>
        <v>0</v>
      </c>
      <c r="AG142" s="18">
        <f t="shared" si="289"/>
        <v>0</v>
      </c>
      <c r="AH142" s="50">
        <f t="shared" si="276"/>
        <v>0</v>
      </c>
      <c r="AI142" s="51">
        <f t="shared" si="276"/>
        <v>0</v>
      </c>
      <c r="AJ142" s="51">
        <f t="shared" si="276"/>
        <v>0</v>
      </c>
      <c r="AK142" s="51">
        <f t="shared" si="276"/>
        <v>0</v>
      </c>
      <c r="AL142" s="51">
        <f t="shared" si="276"/>
        <v>0</v>
      </c>
      <c r="AM142" s="18">
        <f t="shared" si="304"/>
        <v>0</v>
      </c>
      <c r="AN142" s="41">
        <f t="shared" si="305"/>
        <v>0</v>
      </c>
      <c r="AO142" s="11">
        <f t="shared" si="305"/>
        <v>0</v>
      </c>
      <c r="AP142" s="11">
        <f t="shared" si="305"/>
        <v>0</v>
      </c>
      <c r="AQ142" s="11">
        <f t="shared" si="305"/>
        <v>0</v>
      </c>
      <c r="AR142" s="11">
        <f t="shared" si="305"/>
        <v>0</v>
      </c>
      <c r="AS142" s="18">
        <f t="shared" si="306"/>
        <v>0</v>
      </c>
      <c r="AT142" s="41">
        <f t="shared" si="300"/>
        <v>0</v>
      </c>
      <c r="AU142" s="11">
        <f t="shared" si="300"/>
        <v>0</v>
      </c>
      <c r="AV142" s="11">
        <f t="shared" si="300"/>
        <v>0</v>
      </c>
      <c r="AW142" s="11">
        <f t="shared" si="300"/>
        <v>0</v>
      </c>
      <c r="AX142" s="11">
        <f t="shared" si="300"/>
        <v>0</v>
      </c>
      <c r="AY142" s="18">
        <f t="shared" si="300"/>
        <v>0</v>
      </c>
      <c r="AZ142" s="41">
        <f t="shared" si="307"/>
        <v>0</v>
      </c>
      <c r="BA142" s="11">
        <f t="shared" si="307"/>
        <v>0</v>
      </c>
      <c r="BB142" s="11">
        <f t="shared" si="307"/>
        <v>0</v>
      </c>
      <c r="BC142" s="11">
        <f t="shared" si="307"/>
        <v>0</v>
      </c>
      <c r="BD142" s="11">
        <f t="shared" si="307"/>
        <v>0</v>
      </c>
      <c r="BE142" s="11">
        <f t="shared" si="308"/>
        <v>0</v>
      </c>
      <c r="BF142" s="18">
        <f t="shared" si="308"/>
        <v>0</v>
      </c>
      <c r="BG142" s="20">
        <f t="shared" si="286"/>
        <v>0</v>
      </c>
      <c r="BH142" s="11">
        <f t="shared" si="286"/>
        <v>0</v>
      </c>
      <c r="BI142" s="11">
        <f t="shared" si="286"/>
        <v>0</v>
      </c>
      <c r="BJ142" s="11">
        <f t="shared" si="286"/>
        <v>0</v>
      </c>
      <c r="BK142" s="11">
        <f t="shared" si="286"/>
        <v>0</v>
      </c>
      <c r="BL142" s="11">
        <f t="shared" si="309"/>
        <v>0</v>
      </c>
      <c r="BM142" s="11">
        <f t="shared" si="309"/>
        <v>0</v>
      </c>
      <c r="BN142" s="18">
        <f t="shared" si="309"/>
        <v>0</v>
      </c>
      <c r="BO142" s="191">
        <f t="shared" si="292"/>
        <v>0</v>
      </c>
      <c r="BP142" s="11">
        <f t="shared" si="292"/>
        <v>0</v>
      </c>
      <c r="BQ142" s="11">
        <f t="shared" si="292"/>
        <v>0</v>
      </c>
      <c r="BR142" s="11">
        <f t="shared" si="292"/>
        <v>0</v>
      </c>
      <c r="BS142" s="11">
        <f t="shared" si="292"/>
        <v>0</v>
      </c>
      <c r="BT142" s="11">
        <f t="shared" si="310"/>
        <v>0</v>
      </c>
      <c r="BU142" s="11">
        <f t="shared" si="310"/>
        <v>0</v>
      </c>
      <c r="BV142" s="18">
        <f t="shared" si="310"/>
        <v>0</v>
      </c>
      <c r="BW142" s="191">
        <f t="shared" si="311"/>
        <v>0</v>
      </c>
      <c r="BX142" s="211">
        <f t="shared" si="311"/>
        <v>0</v>
      </c>
      <c r="BY142" s="211">
        <f t="shared" si="311"/>
        <v>0</v>
      </c>
      <c r="BZ142" s="211">
        <f t="shared" si="311"/>
        <v>0</v>
      </c>
      <c r="CA142" s="211">
        <f t="shared" si="311"/>
        <v>0</v>
      </c>
      <c r="CB142" s="11">
        <f t="shared" si="312"/>
        <v>0</v>
      </c>
      <c r="CC142" s="11">
        <f t="shared" si="312"/>
        <v>0</v>
      </c>
      <c r="CD142" s="18">
        <f t="shared" si="312"/>
        <v>0</v>
      </c>
      <c r="CE142" s="191">
        <f t="shared" si="287"/>
        <v>0</v>
      </c>
      <c r="CF142" s="11">
        <f t="shared" si="287"/>
        <v>0</v>
      </c>
      <c r="CG142" s="11">
        <f t="shared" si="287"/>
        <v>0</v>
      </c>
      <c r="CH142" s="11">
        <f t="shared" si="287"/>
        <v>0</v>
      </c>
      <c r="CI142" s="11">
        <f t="shared" si="287"/>
        <v>0</v>
      </c>
      <c r="CJ142" s="11">
        <f t="shared" si="313"/>
        <v>0</v>
      </c>
      <c r="CK142" s="11">
        <f t="shared" si="313"/>
        <v>0</v>
      </c>
      <c r="CL142" s="18">
        <f t="shared" si="313"/>
        <v>0</v>
      </c>
      <c r="CM142" s="41">
        <f t="shared" si="288"/>
        <v>0</v>
      </c>
      <c r="CN142" s="11">
        <f t="shared" si="288"/>
        <v>0</v>
      </c>
      <c r="CO142" s="11">
        <f t="shared" si="288"/>
        <v>0</v>
      </c>
      <c r="CP142" s="11">
        <f t="shared" si="288"/>
        <v>0</v>
      </c>
      <c r="CQ142" s="11">
        <f t="shared" si="288"/>
        <v>0</v>
      </c>
      <c r="CR142" s="11">
        <f t="shared" si="314"/>
        <v>0</v>
      </c>
      <c r="CS142" s="11">
        <f t="shared" si="314"/>
        <v>0</v>
      </c>
      <c r="CT142" s="11">
        <f t="shared" si="314"/>
        <v>0</v>
      </c>
    </row>
    <row r="143" spans="1:98" ht="26.25" hidden="1" customHeight="1" outlineLevel="1" collapsed="1" x14ac:dyDescent="0.4">
      <c r="A143" s="350">
        <v>69</v>
      </c>
      <c r="B143" s="350" t="s">
        <v>45</v>
      </c>
      <c r="C143" s="350" t="s">
        <v>342</v>
      </c>
      <c r="D143" s="352"/>
      <c r="E143" s="352"/>
      <c r="F143" s="352"/>
      <c r="G143" s="385"/>
      <c r="H143" s="446">
        <f t="shared" ref="H143" si="317">SUM(BO143:BV143)</f>
        <v>0</v>
      </c>
      <c r="I143" s="446">
        <f t="shared" ref="I143" si="318">SUM(BO144:BV144)</f>
        <v>0</v>
      </c>
      <c r="J143" s="448"/>
      <c r="K143" s="452"/>
      <c r="L143" s="452"/>
      <c r="M143" s="450"/>
      <c r="N143" s="47" t="s">
        <v>24</v>
      </c>
      <c r="O143" s="10">
        <f t="shared" si="297"/>
        <v>0</v>
      </c>
      <c r="P143" s="10">
        <f t="shared" si="297"/>
        <v>0</v>
      </c>
      <c r="Q143" s="10">
        <f t="shared" si="297"/>
        <v>0</v>
      </c>
      <c r="R143" s="10">
        <f t="shared" si="297"/>
        <v>0</v>
      </c>
      <c r="S143" s="10">
        <f t="shared" si="297"/>
        <v>0</v>
      </c>
      <c r="T143" s="10">
        <f t="shared" si="297"/>
        <v>0</v>
      </c>
      <c r="U143" s="79">
        <f t="shared" si="297"/>
        <v>0</v>
      </c>
      <c r="V143" s="19">
        <f t="shared" si="303"/>
        <v>0</v>
      </c>
      <c r="W143" s="10">
        <f t="shared" si="303"/>
        <v>0</v>
      </c>
      <c r="X143" s="10">
        <f t="shared" si="303"/>
        <v>0</v>
      </c>
      <c r="Y143" s="10">
        <f t="shared" si="303"/>
        <v>0</v>
      </c>
      <c r="Z143" s="10">
        <f t="shared" si="303"/>
        <v>0</v>
      </c>
      <c r="AA143" s="10">
        <f t="shared" si="289"/>
        <v>0</v>
      </c>
      <c r="AB143" s="19">
        <f t="shared" si="289"/>
        <v>0</v>
      </c>
      <c r="AC143" s="10">
        <f t="shared" si="289"/>
        <v>0</v>
      </c>
      <c r="AD143" s="210">
        <f t="shared" si="289"/>
        <v>0</v>
      </c>
      <c r="AE143" s="10">
        <f t="shared" si="289"/>
        <v>0</v>
      </c>
      <c r="AF143" s="10">
        <f t="shared" si="289"/>
        <v>0</v>
      </c>
      <c r="AG143" s="10">
        <f t="shared" si="289"/>
        <v>0</v>
      </c>
      <c r="AH143" s="19">
        <f t="shared" si="276"/>
        <v>0</v>
      </c>
      <c r="AI143" s="10">
        <f t="shared" si="276"/>
        <v>0</v>
      </c>
      <c r="AJ143" s="10">
        <f t="shared" si="276"/>
        <v>0</v>
      </c>
      <c r="AK143" s="10">
        <f t="shared" si="276"/>
        <v>0</v>
      </c>
      <c r="AL143" s="10">
        <f t="shared" si="276"/>
        <v>0</v>
      </c>
      <c r="AM143" s="10">
        <f t="shared" si="304"/>
        <v>0</v>
      </c>
      <c r="AN143" s="19">
        <f t="shared" si="305"/>
        <v>0</v>
      </c>
      <c r="AO143" s="10">
        <f t="shared" si="305"/>
        <v>0</v>
      </c>
      <c r="AP143" s="10">
        <f t="shared" si="305"/>
        <v>0</v>
      </c>
      <c r="AQ143" s="10">
        <f t="shared" si="305"/>
        <v>0</v>
      </c>
      <c r="AR143" s="10">
        <f t="shared" si="305"/>
        <v>0</v>
      </c>
      <c r="AS143" s="10">
        <f t="shared" si="306"/>
        <v>0</v>
      </c>
      <c r="AT143" s="71">
        <f t="shared" si="300"/>
        <v>0</v>
      </c>
      <c r="AU143" s="10">
        <f t="shared" si="300"/>
        <v>0</v>
      </c>
      <c r="AV143" s="10">
        <f t="shared" si="300"/>
        <v>0</v>
      </c>
      <c r="AW143" s="10">
        <f t="shared" si="300"/>
        <v>0</v>
      </c>
      <c r="AX143" s="10">
        <f t="shared" si="300"/>
        <v>0</v>
      </c>
      <c r="AY143" s="10">
        <f t="shared" si="300"/>
        <v>0</v>
      </c>
      <c r="AZ143" s="19">
        <f t="shared" si="307"/>
        <v>0</v>
      </c>
      <c r="BA143" s="10">
        <f t="shared" si="307"/>
        <v>0</v>
      </c>
      <c r="BB143" s="10">
        <f t="shared" si="307"/>
        <v>0</v>
      </c>
      <c r="BC143" s="10">
        <f t="shared" si="307"/>
        <v>0</v>
      </c>
      <c r="BD143" s="10">
        <f t="shared" si="307"/>
        <v>0</v>
      </c>
      <c r="BE143" s="10">
        <f t="shared" si="308"/>
        <v>0</v>
      </c>
      <c r="BF143" s="10">
        <f t="shared" si="308"/>
        <v>0</v>
      </c>
      <c r="BG143" s="190">
        <f t="shared" si="286"/>
        <v>0</v>
      </c>
      <c r="BH143" s="210">
        <f t="shared" si="286"/>
        <v>0</v>
      </c>
      <c r="BI143" s="210">
        <f t="shared" si="286"/>
        <v>0</v>
      </c>
      <c r="BJ143" s="210">
        <f t="shared" si="286"/>
        <v>0</v>
      </c>
      <c r="BK143" s="210">
        <f t="shared" si="286"/>
        <v>0</v>
      </c>
      <c r="BL143" s="10">
        <f t="shared" si="309"/>
        <v>0</v>
      </c>
      <c r="BM143" s="10">
        <f t="shared" si="309"/>
        <v>0</v>
      </c>
      <c r="BN143" s="10">
        <f t="shared" si="309"/>
        <v>0</v>
      </c>
      <c r="BO143" s="71">
        <f t="shared" si="292"/>
        <v>0</v>
      </c>
      <c r="BP143" s="10">
        <f t="shared" si="292"/>
        <v>0</v>
      </c>
      <c r="BQ143" s="10">
        <f t="shared" si="292"/>
        <v>0</v>
      </c>
      <c r="BR143" s="10">
        <f t="shared" si="292"/>
        <v>0</v>
      </c>
      <c r="BS143" s="10">
        <f t="shared" si="292"/>
        <v>0</v>
      </c>
      <c r="BT143" s="10">
        <f t="shared" si="310"/>
        <v>0</v>
      </c>
      <c r="BU143" s="10">
        <f t="shared" si="310"/>
        <v>0</v>
      </c>
      <c r="BV143" s="10">
        <f t="shared" si="310"/>
        <v>0</v>
      </c>
      <c r="BW143" s="71">
        <f t="shared" si="311"/>
        <v>0</v>
      </c>
      <c r="BX143" s="10">
        <f t="shared" si="311"/>
        <v>0</v>
      </c>
      <c r="BY143" s="10">
        <f t="shared" si="311"/>
        <v>0</v>
      </c>
      <c r="BZ143" s="10">
        <f t="shared" si="311"/>
        <v>0</v>
      </c>
      <c r="CA143" s="10">
        <f t="shared" si="311"/>
        <v>0</v>
      </c>
      <c r="CB143" s="10">
        <f t="shared" si="312"/>
        <v>0</v>
      </c>
      <c r="CC143" s="10">
        <f t="shared" si="312"/>
        <v>0</v>
      </c>
      <c r="CD143" s="10">
        <f t="shared" si="312"/>
        <v>0</v>
      </c>
      <c r="CE143" s="71">
        <f t="shared" si="287"/>
        <v>0</v>
      </c>
      <c r="CF143" s="10">
        <f t="shared" si="287"/>
        <v>0</v>
      </c>
      <c r="CG143" s="10">
        <f t="shared" si="287"/>
        <v>0</v>
      </c>
      <c r="CH143" s="10">
        <f t="shared" si="287"/>
        <v>0</v>
      </c>
      <c r="CI143" s="10">
        <f t="shared" si="287"/>
        <v>0</v>
      </c>
      <c r="CJ143" s="10">
        <f t="shared" si="313"/>
        <v>0</v>
      </c>
      <c r="CK143" s="10">
        <f t="shared" si="313"/>
        <v>0</v>
      </c>
      <c r="CL143" s="10">
        <f t="shared" si="313"/>
        <v>0</v>
      </c>
      <c r="CM143" s="71">
        <f t="shared" si="288"/>
        <v>0</v>
      </c>
      <c r="CN143" s="10">
        <f t="shared" si="288"/>
        <v>0</v>
      </c>
      <c r="CO143" s="10">
        <f t="shared" si="288"/>
        <v>0</v>
      </c>
      <c r="CP143" s="10">
        <f t="shared" si="288"/>
        <v>0</v>
      </c>
      <c r="CQ143" s="10">
        <f t="shared" si="288"/>
        <v>0</v>
      </c>
      <c r="CR143" s="10">
        <f t="shared" si="314"/>
        <v>0</v>
      </c>
      <c r="CS143" s="10">
        <f t="shared" si="314"/>
        <v>0</v>
      </c>
      <c r="CT143" s="10">
        <f t="shared" si="314"/>
        <v>0</v>
      </c>
    </row>
    <row r="144" spans="1:98" ht="26.25" hidden="1" customHeight="1" outlineLevel="1" x14ac:dyDescent="0.4">
      <c r="A144" s="351"/>
      <c r="B144" s="351"/>
      <c r="C144" s="351"/>
      <c r="D144" s="353"/>
      <c r="E144" s="353"/>
      <c r="F144" s="353"/>
      <c r="G144" s="385"/>
      <c r="H144" s="447"/>
      <c r="I144" s="447"/>
      <c r="J144" s="449"/>
      <c r="K144" s="453"/>
      <c r="L144" s="453"/>
      <c r="M144" s="451"/>
      <c r="N144" s="38" t="s">
        <v>25</v>
      </c>
      <c r="O144" s="11">
        <f t="shared" si="297"/>
        <v>0</v>
      </c>
      <c r="P144" s="11">
        <f t="shared" si="297"/>
        <v>0</v>
      </c>
      <c r="Q144" s="11">
        <f t="shared" si="297"/>
        <v>0</v>
      </c>
      <c r="R144" s="11">
        <f t="shared" si="297"/>
        <v>0</v>
      </c>
      <c r="S144" s="11">
        <f t="shared" si="297"/>
        <v>0</v>
      </c>
      <c r="T144" s="11">
        <f t="shared" si="297"/>
        <v>0</v>
      </c>
      <c r="U144" s="48">
        <f t="shared" si="297"/>
        <v>0</v>
      </c>
      <c r="V144" s="56">
        <f t="shared" si="303"/>
        <v>0</v>
      </c>
      <c r="W144" s="18">
        <f t="shared" si="303"/>
        <v>0</v>
      </c>
      <c r="X144" s="18">
        <f t="shared" si="303"/>
        <v>0</v>
      </c>
      <c r="Y144" s="18">
        <f t="shared" si="303"/>
        <v>0</v>
      </c>
      <c r="Z144" s="18">
        <f t="shared" si="303"/>
        <v>0</v>
      </c>
      <c r="AA144" s="18">
        <f t="shared" si="289"/>
        <v>0</v>
      </c>
      <c r="AB144" s="41">
        <f t="shared" si="289"/>
        <v>0</v>
      </c>
      <c r="AC144" s="51">
        <f t="shared" si="289"/>
        <v>0</v>
      </c>
      <c r="AD144" s="11">
        <f t="shared" si="289"/>
        <v>0</v>
      </c>
      <c r="AE144" s="11">
        <f t="shared" si="289"/>
        <v>0</v>
      </c>
      <c r="AF144" s="11">
        <f t="shared" si="289"/>
        <v>0</v>
      </c>
      <c r="AG144" s="18">
        <f t="shared" si="289"/>
        <v>0</v>
      </c>
      <c r="AH144" s="50">
        <f t="shared" si="276"/>
        <v>0</v>
      </c>
      <c r="AI144" s="51">
        <f t="shared" si="276"/>
        <v>0</v>
      </c>
      <c r="AJ144" s="51">
        <f t="shared" si="276"/>
        <v>0</v>
      </c>
      <c r="AK144" s="51">
        <f t="shared" si="276"/>
        <v>0</v>
      </c>
      <c r="AL144" s="51">
        <f t="shared" si="276"/>
        <v>0</v>
      </c>
      <c r="AM144" s="18">
        <f t="shared" si="304"/>
        <v>0</v>
      </c>
      <c r="AN144" s="41">
        <f t="shared" si="305"/>
        <v>0</v>
      </c>
      <c r="AO144" s="11">
        <f t="shared" si="305"/>
        <v>0</v>
      </c>
      <c r="AP144" s="11">
        <f t="shared" si="305"/>
        <v>0</v>
      </c>
      <c r="AQ144" s="11">
        <f t="shared" si="305"/>
        <v>0</v>
      </c>
      <c r="AR144" s="11">
        <f t="shared" si="305"/>
        <v>0</v>
      </c>
      <c r="AS144" s="18">
        <f t="shared" si="306"/>
        <v>0</v>
      </c>
      <c r="AT144" s="41">
        <f t="shared" si="300"/>
        <v>0</v>
      </c>
      <c r="AU144" s="11">
        <f t="shared" si="300"/>
        <v>0</v>
      </c>
      <c r="AV144" s="11">
        <f t="shared" si="300"/>
        <v>0</v>
      </c>
      <c r="AW144" s="11">
        <f t="shared" si="300"/>
        <v>0</v>
      </c>
      <c r="AX144" s="11">
        <f t="shared" si="300"/>
        <v>0</v>
      </c>
      <c r="AY144" s="18">
        <f t="shared" si="300"/>
        <v>0</v>
      </c>
      <c r="AZ144" s="41">
        <f t="shared" si="307"/>
        <v>0</v>
      </c>
      <c r="BA144" s="11">
        <f t="shared" si="307"/>
        <v>0</v>
      </c>
      <c r="BB144" s="11">
        <f t="shared" si="307"/>
        <v>0</v>
      </c>
      <c r="BC144" s="11">
        <f t="shared" si="307"/>
        <v>0</v>
      </c>
      <c r="BD144" s="11">
        <f t="shared" si="307"/>
        <v>0</v>
      </c>
      <c r="BE144" s="11">
        <f t="shared" si="308"/>
        <v>0</v>
      </c>
      <c r="BF144" s="18">
        <f t="shared" si="308"/>
        <v>0</v>
      </c>
      <c r="BG144" s="20">
        <f t="shared" si="286"/>
        <v>0</v>
      </c>
      <c r="BH144" s="11">
        <f t="shared" si="286"/>
        <v>0</v>
      </c>
      <c r="BI144" s="11">
        <f t="shared" si="286"/>
        <v>0</v>
      </c>
      <c r="BJ144" s="11">
        <f t="shared" si="286"/>
        <v>0</v>
      </c>
      <c r="BK144" s="11">
        <f t="shared" si="286"/>
        <v>0</v>
      </c>
      <c r="BL144" s="11">
        <f t="shared" si="309"/>
        <v>0</v>
      </c>
      <c r="BM144" s="11">
        <f t="shared" si="309"/>
        <v>0</v>
      </c>
      <c r="BN144" s="18">
        <f t="shared" si="309"/>
        <v>0</v>
      </c>
      <c r="BO144" s="191">
        <f t="shared" si="292"/>
        <v>0</v>
      </c>
      <c r="BP144" s="11">
        <f t="shared" si="292"/>
        <v>0</v>
      </c>
      <c r="BQ144" s="11">
        <f t="shared" si="292"/>
        <v>0</v>
      </c>
      <c r="BR144" s="11">
        <f t="shared" si="292"/>
        <v>0</v>
      </c>
      <c r="BS144" s="11">
        <f t="shared" si="292"/>
        <v>0</v>
      </c>
      <c r="BT144" s="11">
        <f t="shared" si="310"/>
        <v>0</v>
      </c>
      <c r="BU144" s="11">
        <f t="shared" si="310"/>
        <v>0</v>
      </c>
      <c r="BV144" s="18">
        <f t="shared" si="310"/>
        <v>0</v>
      </c>
      <c r="BW144" s="191">
        <f t="shared" si="311"/>
        <v>0</v>
      </c>
      <c r="BX144" s="211">
        <f t="shared" si="311"/>
        <v>0</v>
      </c>
      <c r="BY144" s="211">
        <f t="shared" si="311"/>
        <v>0</v>
      </c>
      <c r="BZ144" s="211">
        <f t="shared" si="311"/>
        <v>0</v>
      </c>
      <c r="CA144" s="211">
        <f t="shared" si="311"/>
        <v>0</v>
      </c>
      <c r="CB144" s="11">
        <f t="shared" si="312"/>
        <v>0</v>
      </c>
      <c r="CC144" s="11">
        <f t="shared" si="312"/>
        <v>0</v>
      </c>
      <c r="CD144" s="18">
        <f t="shared" si="312"/>
        <v>0</v>
      </c>
      <c r="CE144" s="191">
        <f t="shared" si="287"/>
        <v>0</v>
      </c>
      <c r="CF144" s="11">
        <f t="shared" si="287"/>
        <v>0</v>
      </c>
      <c r="CG144" s="11">
        <f t="shared" si="287"/>
        <v>0</v>
      </c>
      <c r="CH144" s="11">
        <f t="shared" si="287"/>
        <v>0</v>
      </c>
      <c r="CI144" s="11">
        <f t="shared" si="287"/>
        <v>0</v>
      </c>
      <c r="CJ144" s="11">
        <f t="shared" si="313"/>
        <v>0</v>
      </c>
      <c r="CK144" s="11">
        <f t="shared" si="313"/>
        <v>0</v>
      </c>
      <c r="CL144" s="18">
        <f t="shared" si="313"/>
        <v>0</v>
      </c>
      <c r="CM144" s="41">
        <f t="shared" si="288"/>
        <v>0</v>
      </c>
      <c r="CN144" s="11">
        <f t="shared" si="288"/>
        <v>0</v>
      </c>
      <c r="CO144" s="11">
        <f t="shared" si="288"/>
        <v>0</v>
      </c>
      <c r="CP144" s="11">
        <f t="shared" si="288"/>
        <v>0</v>
      </c>
      <c r="CQ144" s="11">
        <f t="shared" si="288"/>
        <v>0</v>
      </c>
      <c r="CR144" s="11">
        <f t="shared" si="314"/>
        <v>0</v>
      </c>
      <c r="CS144" s="11">
        <f t="shared" si="314"/>
        <v>0</v>
      </c>
      <c r="CT144" s="11">
        <f t="shared" si="314"/>
        <v>0</v>
      </c>
    </row>
    <row r="145" spans="1:98" ht="26.25" hidden="1" customHeight="1" outlineLevel="1" collapsed="1" x14ac:dyDescent="0.4">
      <c r="A145" s="350">
        <v>70</v>
      </c>
      <c r="B145" s="350" t="s">
        <v>45</v>
      </c>
      <c r="C145" s="350" t="s">
        <v>342</v>
      </c>
      <c r="D145" s="352"/>
      <c r="E145" s="352"/>
      <c r="F145" s="352"/>
      <c r="G145" s="385"/>
      <c r="H145" s="446">
        <f t="shared" ref="H145" si="319">SUM(BO145:BV145)</f>
        <v>0</v>
      </c>
      <c r="I145" s="446">
        <f t="shared" ref="I145" si="320">SUM(BO146:BV146)</f>
        <v>0</v>
      </c>
      <c r="J145" s="448"/>
      <c r="K145" s="452"/>
      <c r="L145" s="452"/>
      <c r="M145" s="450"/>
      <c r="N145" s="47" t="s">
        <v>24</v>
      </c>
      <c r="O145" s="10">
        <f t="shared" si="297"/>
        <v>0</v>
      </c>
      <c r="P145" s="10">
        <f t="shared" si="297"/>
        <v>0</v>
      </c>
      <c r="Q145" s="10">
        <f t="shared" si="297"/>
        <v>0</v>
      </c>
      <c r="R145" s="10">
        <f t="shared" si="297"/>
        <v>0</v>
      </c>
      <c r="S145" s="10">
        <f t="shared" si="297"/>
        <v>0</v>
      </c>
      <c r="T145" s="10">
        <f t="shared" si="297"/>
        <v>0</v>
      </c>
      <c r="U145" s="79">
        <f t="shared" si="297"/>
        <v>0</v>
      </c>
      <c r="V145" s="19">
        <f t="shared" si="303"/>
        <v>0</v>
      </c>
      <c r="W145" s="10">
        <f t="shared" si="303"/>
        <v>0</v>
      </c>
      <c r="X145" s="10">
        <f t="shared" si="303"/>
        <v>0</v>
      </c>
      <c r="Y145" s="10">
        <f t="shared" si="303"/>
        <v>0</v>
      </c>
      <c r="Z145" s="10">
        <f t="shared" si="303"/>
        <v>0</v>
      </c>
      <c r="AA145" s="10">
        <f t="shared" si="289"/>
        <v>0</v>
      </c>
      <c r="AB145" s="19">
        <f t="shared" si="289"/>
        <v>0</v>
      </c>
      <c r="AC145" s="10">
        <f t="shared" si="289"/>
        <v>0</v>
      </c>
      <c r="AD145" s="210">
        <f t="shared" si="289"/>
        <v>0</v>
      </c>
      <c r="AE145" s="10">
        <f t="shared" si="289"/>
        <v>0</v>
      </c>
      <c r="AF145" s="10">
        <f t="shared" si="289"/>
        <v>0</v>
      </c>
      <c r="AG145" s="10">
        <f t="shared" si="289"/>
        <v>0</v>
      </c>
      <c r="AH145" s="19">
        <f t="shared" si="276"/>
        <v>0</v>
      </c>
      <c r="AI145" s="10">
        <f t="shared" si="276"/>
        <v>0</v>
      </c>
      <c r="AJ145" s="10">
        <f t="shared" si="276"/>
        <v>0</v>
      </c>
      <c r="AK145" s="10">
        <f t="shared" si="276"/>
        <v>0</v>
      </c>
      <c r="AL145" s="10">
        <f t="shared" si="276"/>
        <v>0</v>
      </c>
      <c r="AM145" s="10">
        <f t="shared" si="304"/>
        <v>0</v>
      </c>
      <c r="AN145" s="19">
        <f t="shared" si="305"/>
        <v>0</v>
      </c>
      <c r="AO145" s="10">
        <f t="shared" si="305"/>
        <v>0</v>
      </c>
      <c r="AP145" s="10">
        <f t="shared" si="305"/>
        <v>0</v>
      </c>
      <c r="AQ145" s="10">
        <f t="shared" si="305"/>
        <v>0</v>
      </c>
      <c r="AR145" s="10">
        <f t="shared" si="305"/>
        <v>0</v>
      </c>
      <c r="AS145" s="10">
        <f t="shared" si="306"/>
        <v>0</v>
      </c>
      <c r="AT145" s="71">
        <f t="shared" si="300"/>
        <v>0</v>
      </c>
      <c r="AU145" s="10">
        <f t="shared" si="300"/>
        <v>0</v>
      </c>
      <c r="AV145" s="10">
        <f t="shared" si="300"/>
        <v>0</v>
      </c>
      <c r="AW145" s="10">
        <f t="shared" si="300"/>
        <v>0</v>
      </c>
      <c r="AX145" s="10">
        <f t="shared" si="300"/>
        <v>0</v>
      </c>
      <c r="AY145" s="10">
        <f t="shared" si="300"/>
        <v>0</v>
      </c>
      <c r="AZ145" s="19">
        <f t="shared" si="307"/>
        <v>0</v>
      </c>
      <c r="BA145" s="10">
        <f t="shared" si="307"/>
        <v>0</v>
      </c>
      <c r="BB145" s="10">
        <f t="shared" si="307"/>
        <v>0</v>
      </c>
      <c r="BC145" s="10">
        <f t="shared" si="307"/>
        <v>0</v>
      </c>
      <c r="BD145" s="10">
        <f t="shared" si="307"/>
        <v>0</v>
      </c>
      <c r="BE145" s="10">
        <f t="shared" si="308"/>
        <v>0</v>
      </c>
      <c r="BF145" s="10">
        <f t="shared" si="308"/>
        <v>0</v>
      </c>
      <c r="BG145" s="190">
        <f t="shared" ref="BG145:BK160" si="321">0/142.5</f>
        <v>0</v>
      </c>
      <c r="BH145" s="210">
        <f t="shared" si="321"/>
        <v>0</v>
      </c>
      <c r="BI145" s="210">
        <f t="shared" si="321"/>
        <v>0</v>
      </c>
      <c r="BJ145" s="210">
        <f t="shared" si="321"/>
        <v>0</v>
      </c>
      <c r="BK145" s="210">
        <f t="shared" si="321"/>
        <v>0</v>
      </c>
      <c r="BL145" s="10">
        <f t="shared" si="309"/>
        <v>0</v>
      </c>
      <c r="BM145" s="10">
        <f t="shared" si="309"/>
        <v>0</v>
      </c>
      <c r="BN145" s="10">
        <f t="shared" si="309"/>
        <v>0</v>
      </c>
      <c r="BO145" s="71">
        <f t="shared" si="292"/>
        <v>0</v>
      </c>
      <c r="BP145" s="10">
        <f t="shared" si="292"/>
        <v>0</v>
      </c>
      <c r="BQ145" s="10">
        <f t="shared" si="292"/>
        <v>0</v>
      </c>
      <c r="BR145" s="10">
        <f t="shared" si="292"/>
        <v>0</v>
      </c>
      <c r="BS145" s="10">
        <f t="shared" si="292"/>
        <v>0</v>
      </c>
      <c r="BT145" s="10">
        <f t="shared" si="310"/>
        <v>0</v>
      </c>
      <c r="BU145" s="10">
        <f t="shared" si="310"/>
        <v>0</v>
      </c>
      <c r="BV145" s="10">
        <f t="shared" si="310"/>
        <v>0</v>
      </c>
      <c r="BW145" s="71">
        <f t="shared" si="311"/>
        <v>0</v>
      </c>
      <c r="BX145" s="10">
        <f t="shared" si="311"/>
        <v>0</v>
      </c>
      <c r="BY145" s="10">
        <f t="shared" si="311"/>
        <v>0</v>
      </c>
      <c r="BZ145" s="10">
        <f t="shared" si="311"/>
        <v>0</v>
      </c>
      <c r="CA145" s="10">
        <f t="shared" si="311"/>
        <v>0</v>
      </c>
      <c r="CB145" s="10">
        <f t="shared" si="312"/>
        <v>0</v>
      </c>
      <c r="CC145" s="10">
        <f t="shared" si="312"/>
        <v>0</v>
      </c>
      <c r="CD145" s="10">
        <f t="shared" si="312"/>
        <v>0</v>
      </c>
      <c r="CE145" s="71">
        <f t="shared" ref="CE145:CI160" si="322">0/157.5</f>
        <v>0</v>
      </c>
      <c r="CF145" s="10">
        <f t="shared" si="322"/>
        <v>0</v>
      </c>
      <c r="CG145" s="10">
        <f t="shared" si="322"/>
        <v>0</v>
      </c>
      <c r="CH145" s="10">
        <f t="shared" si="322"/>
        <v>0</v>
      </c>
      <c r="CI145" s="10">
        <f t="shared" si="322"/>
        <v>0</v>
      </c>
      <c r="CJ145" s="10">
        <f t="shared" si="313"/>
        <v>0</v>
      </c>
      <c r="CK145" s="10">
        <f t="shared" si="313"/>
        <v>0</v>
      </c>
      <c r="CL145" s="10">
        <f t="shared" si="313"/>
        <v>0</v>
      </c>
      <c r="CM145" s="71">
        <f t="shared" ref="CM145:CQ160" si="323">0/142.5</f>
        <v>0</v>
      </c>
      <c r="CN145" s="10">
        <f t="shared" si="323"/>
        <v>0</v>
      </c>
      <c r="CO145" s="10">
        <f t="shared" si="323"/>
        <v>0</v>
      </c>
      <c r="CP145" s="10">
        <f t="shared" si="323"/>
        <v>0</v>
      </c>
      <c r="CQ145" s="10">
        <f t="shared" si="323"/>
        <v>0</v>
      </c>
      <c r="CR145" s="10">
        <f t="shared" si="314"/>
        <v>0</v>
      </c>
      <c r="CS145" s="10">
        <f t="shared" si="314"/>
        <v>0</v>
      </c>
      <c r="CT145" s="10">
        <f t="shared" si="314"/>
        <v>0</v>
      </c>
    </row>
    <row r="146" spans="1:98" ht="26.25" hidden="1" customHeight="1" outlineLevel="1" x14ac:dyDescent="0.4">
      <c r="A146" s="351"/>
      <c r="B146" s="351"/>
      <c r="C146" s="351"/>
      <c r="D146" s="353"/>
      <c r="E146" s="353"/>
      <c r="F146" s="353"/>
      <c r="G146" s="385"/>
      <c r="H146" s="447"/>
      <c r="I146" s="447"/>
      <c r="J146" s="449"/>
      <c r="K146" s="453"/>
      <c r="L146" s="453"/>
      <c r="M146" s="451"/>
      <c r="N146" s="38" t="s">
        <v>25</v>
      </c>
      <c r="O146" s="11">
        <f t="shared" si="297"/>
        <v>0</v>
      </c>
      <c r="P146" s="11">
        <f t="shared" si="297"/>
        <v>0</v>
      </c>
      <c r="Q146" s="11">
        <f t="shared" si="297"/>
        <v>0</v>
      </c>
      <c r="R146" s="11">
        <f t="shared" si="297"/>
        <v>0</v>
      </c>
      <c r="S146" s="11">
        <f t="shared" si="297"/>
        <v>0</v>
      </c>
      <c r="T146" s="11">
        <f t="shared" si="297"/>
        <v>0</v>
      </c>
      <c r="U146" s="48">
        <f t="shared" si="297"/>
        <v>0</v>
      </c>
      <c r="V146" s="56">
        <f t="shared" si="303"/>
        <v>0</v>
      </c>
      <c r="W146" s="18">
        <f t="shared" si="303"/>
        <v>0</v>
      </c>
      <c r="X146" s="18">
        <f t="shared" si="303"/>
        <v>0</v>
      </c>
      <c r="Y146" s="18">
        <f t="shared" si="303"/>
        <v>0</v>
      </c>
      <c r="Z146" s="18">
        <f t="shared" si="303"/>
        <v>0</v>
      </c>
      <c r="AA146" s="18">
        <f t="shared" si="289"/>
        <v>0</v>
      </c>
      <c r="AB146" s="41">
        <f t="shared" si="289"/>
        <v>0</v>
      </c>
      <c r="AC146" s="51">
        <f t="shared" si="289"/>
        <v>0</v>
      </c>
      <c r="AD146" s="11">
        <f t="shared" si="289"/>
        <v>0</v>
      </c>
      <c r="AE146" s="11">
        <f t="shared" si="289"/>
        <v>0</v>
      </c>
      <c r="AF146" s="11">
        <f t="shared" si="289"/>
        <v>0</v>
      </c>
      <c r="AG146" s="18">
        <f t="shared" si="289"/>
        <v>0</v>
      </c>
      <c r="AH146" s="50">
        <f t="shared" si="276"/>
        <v>0</v>
      </c>
      <c r="AI146" s="51">
        <f t="shared" si="276"/>
        <v>0</v>
      </c>
      <c r="AJ146" s="51">
        <f t="shared" si="276"/>
        <v>0</v>
      </c>
      <c r="AK146" s="51">
        <f t="shared" si="276"/>
        <v>0</v>
      </c>
      <c r="AL146" s="51">
        <f t="shared" si="276"/>
        <v>0</v>
      </c>
      <c r="AM146" s="18">
        <f t="shared" si="304"/>
        <v>0</v>
      </c>
      <c r="AN146" s="41">
        <f t="shared" si="305"/>
        <v>0</v>
      </c>
      <c r="AO146" s="11">
        <f t="shared" si="305"/>
        <v>0</v>
      </c>
      <c r="AP146" s="11">
        <f t="shared" si="305"/>
        <v>0</v>
      </c>
      <c r="AQ146" s="11">
        <f t="shared" si="305"/>
        <v>0</v>
      </c>
      <c r="AR146" s="11">
        <f t="shared" si="305"/>
        <v>0</v>
      </c>
      <c r="AS146" s="18">
        <f t="shared" si="306"/>
        <v>0</v>
      </c>
      <c r="AT146" s="41">
        <f t="shared" si="300"/>
        <v>0</v>
      </c>
      <c r="AU146" s="11">
        <f t="shared" si="300"/>
        <v>0</v>
      </c>
      <c r="AV146" s="11">
        <f t="shared" si="300"/>
        <v>0</v>
      </c>
      <c r="AW146" s="11">
        <f t="shared" si="300"/>
        <v>0</v>
      </c>
      <c r="AX146" s="11">
        <f t="shared" si="300"/>
        <v>0</v>
      </c>
      <c r="AY146" s="18">
        <f t="shared" si="300"/>
        <v>0</v>
      </c>
      <c r="AZ146" s="41">
        <f t="shared" si="307"/>
        <v>0</v>
      </c>
      <c r="BA146" s="11">
        <f t="shared" si="307"/>
        <v>0</v>
      </c>
      <c r="BB146" s="11">
        <f t="shared" si="307"/>
        <v>0</v>
      </c>
      <c r="BC146" s="11">
        <f t="shared" si="307"/>
        <v>0</v>
      </c>
      <c r="BD146" s="11">
        <f t="shared" si="307"/>
        <v>0</v>
      </c>
      <c r="BE146" s="11">
        <f t="shared" si="308"/>
        <v>0</v>
      </c>
      <c r="BF146" s="18">
        <f t="shared" si="308"/>
        <v>0</v>
      </c>
      <c r="BG146" s="20">
        <f t="shared" si="321"/>
        <v>0</v>
      </c>
      <c r="BH146" s="11">
        <f t="shared" si="321"/>
        <v>0</v>
      </c>
      <c r="BI146" s="11">
        <f t="shared" si="321"/>
        <v>0</v>
      </c>
      <c r="BJ146" s="11">
        <f t="shared" si="321"/>
        <v>0</v>
      </c>
      <c r="BK146" s="11">
        <f t="shared" si="321"/>
        <v>0</v>
      </c>
      <c r="BL146" s="11">
        <f t="shared" si="309"/>
        <v>0</v>
      </c>
      <c r="BM146" s="11">
        <f t="shared" si="309"/>
        <v>0</v>
      </c>
      <c r="BN146" s="18">
        <f t="shared" si="309"/>
        <v>0</v>
      </c>
      <c r="BO146" s="191">
        <f t="shared" si="292"/>
        <v>0</v>
      </c>
      <c r="BP146" s="11">
        <f t="shared" si="292"/>
        <v>0</v>
      </c>
      <c r="BQ146" s="11">
        <f t="shared" si="292"/>
        <v>0</v>
      </c>
      <c r="BR146" s="11">
        <f t="shared" si="292"/>
        <v>0</v>
      </c>
      <c r="BS146" s="11">
        <f t="shared" si="292"/>
        <v>0</v>
      </c>
      <c r="BT146" s="11">
        <f t="shared" si="310"/>
        <v>0</v>
      </c>
      <c r="BU146" s="11">
        <f t="shared" si="310"/>
        <v>0</v>
      </c>
      <c r="BV146" s="18">
        <f t="shared" si="310"/>
        <v>0</v>
      </c>
      <c r="BW146" s="191">
        <f t="shared" si="311"/>
        <v>0</v>
      </c>
      <c r="BX146" s="211">
        <f t="shared" si="311"/>
        <v>0</v>
      </c>
      <c r="BY146" s="211">
        <f t="shared" si="311"/>
        <v>0</v>
      </c>
      <c r="BZ146" s="211">
        <f t="shared" si="311"/>
        <v>0</v>
      </c>
      <c r="CA146" s="211">
        <f t="shared" si="311"/>
        <v>0</v>
      </c>
      <c r="CB146" s="11">
        <f t="shared" si="312"/>
        <v>0</v>
      </c>
      <c r="CC146" s="11">
        <f t="shared" si="312"/>
        <v>0</v>
      </c>
      <c r="CD146" s="18">
        <f t="shared" si="312"/>
        <v>0</v>
      </c>
      <c r="CE146" s="191">
        <f t="shared" si="322"/>
        <v>0</v>
      </c>
      <c r="CF146" s="11">
        <f t="shared" si="322"/>
        <v>0</v>
      </c>
      <c r="CG146" s="11">
        <f t="shared" si="322"/>
        <v>0</v>
      </c>
      <c r="CH146" s="11">
        <f t="shared" si="322"/>
        <v>0</v>
      </c>
      <c r="CI146" s="11">
        <f t="shared" si="322"/>
        <v>0</v>
      </c>
      <c r="CJ146" s="11">
        <f t="shared" si="313"/>
        <v>0</v>
      </c>
      <c r="CK146" s="11">
        <f t="shared" si="313"/>
        <v>0</v>
      </c>
      <c r="CL146" s="18">
        <f t="shared" si="313"/>
        <v>0</v>
      </c>
      <c r="CM146" s="41">
        <f t="shared" si="323"/>
        <v>0</v>
      </c>
      <c r="CN146" s="11">
        <f t="shared" si="323"/>
        <v>0</v>
      </c>
      <c r="CO146" s="11">
        <f t="shared" si="323"/>
        <v>0</v>
      </c>
      <c r="CP146" s="11">
        <f t="shared" si="323"/>
        <v>0</v>
      </c>
      <c r="CQ146" s="11">
        <f t="shared" si="323"/>
        <v>0</v>
      </c>
      <c r="CR146" s="11">
        <f t="shared" si="314"/>
        <v>0</v>
      </c>
      <c r="CS146" s="11">
        <f t="shared" si="314"/>
        <v>0</v>
      </c>
      <c r="CT146" s="11">
        <f t="shared" si="314"/>
        <v>0</v>
      </c>
    </row>
    <row r="147" spans="1:98" ht="26.25" hidden="1" customHeight="1" outlineLevel="1" collapsed="1" x14ac:dyDescent="0.4">
      <c r="A147" s="350">
        <v>71</v>
      </c>
      <c r="B147" s="350" t="s">
        <v>45</v>
      </c>
      <c r="C147" s="350" t="s">
        <v>342</v>
      </c>
      <c r="D147" s="352"/>
      <c r="E147" s="352"/>
      <c r="F147" s="352"/>
      <c r="G147" s="385"/>
      <c r="H147" s="446">
        <f t="shared" ref="H147" si="324">SUM(BO147:BV147)</f>
        <v>0</v>
      </c>
      <c r="I147" s="446">
        <f t="shared" ref="I147" si="325">SUM(BO148:BV148)</f>
        <v>0</v>
      </c>
      <c r="J147" s="448"/>
      <c r="K147" s="452"/>
      <c r="L147" s="452"/>
      <c r="M147" s="450"/>
      <c r="N147" s="47" t="s">
        <v>24</v>
      </c>
      <c r="O147" s="10">
        <f t="shared" si="297"/>
        <v>0</v>
      </c>
      <c r="P147" s="10">
        <f t="shared" si="297"/>
        <v>0</v>
      </c>
      <c r="Q147" s="10">
        <f t="shared" si="297"/>
        <v>0</v>
      </c>
      <c r="R147" s="10">
        <f t="shared" si="297"/>
        <v>0</v>
      </c>
      <c r="S147" s="10">
        <f t="shared" si="297"/>
        <v>0</v>
      </c>
      <c r="T147" s="10">
        <f t="shared" si="297"/>
        <v>0</v>
      </c>
      <c r="U147" s="79">
        <f t="shared" si="297"/>
        <v>0</v>
      </c>
      <c r="V147" s="19">
        <f t="shared" si="303"/>
        <v>0</v>
      </c>
      <c r="W147" s="10">
        <f t="shared" si="303"/>
        <v>0</v>
      </c>
      <c r="X147" s="10">
        <f t="shared" si="303"/>
        <v>0</v>
      </c>
      <c r="Y147" s="10">
        <f t="shared" si="303"/>
        <v>0</v>
      </c>
      <c r="Z147" s="10">
        <f t="shared" si="303"/>
        <v>0</v>
      </c>
      <c r="AA147" s="10">
        <f t="shared" ref="AA147:AG166" si="326">0/165</f>
        <v>0</v>
      </c>
      <c r="AB147" s="19">
        <f t="shared" si="326"/>
        <v>0</v>
      </c>
      <c r="AC147" s="10">
        <f t="shared" si="326"/>
        <v>0</v>
      </c>
      <c r="AD147" s="210">
        <f t="shared" si="326"/>
        <v>0</v>
      </c>
      <c r="AE147" s="10">
        <f t="shared" si="326"/>
        <v>0</v>
      </c>
      <c r="AF147" s="10">
        <f t="shared" si="326"/>
        <v>0</v>
      </c>
      <c r="AG147" s="10">
        <f t="shared" si="326"/>
        <v>0</v>
      </c>
      <c r="AH147" s="19">
        <f t="shared" si="276"/>
        <v>0</v>
      </c>
      <c r="AI147" s="10">
        <f t="shared" si="276"/>
        <v>0</v>
      </c>
      <c r="AJ147" s="10">
        <f t="shared" si="276"/>
        <v>0</v>
      </c>
      <c r="AK147" s="10">
        <f t="shared" si="276"/>
        <v>0</v>
      </c>
      <c r="AL147" s="10">
        <f t="shared" si="276"/>
        <v>0</v>
      </c>
      <c r="AM147" s="10">
        <f t="shared" si="304"/>
        <v>0</v>
      </c>
      <c r="AN147" s="19">
        <f t="shared" si="305"/>
        <v>0</v>
      </c>
      <c r="AO147" s="10">
        <f t="shared" si="305"/>
        <v>0</v>
      </c>
      <c r="AP147" s="10">
        <f t="shared" si="305"/>
        <v>0</v>
      </c>
      <c r="AQ147" s="10">
        <f t="shared" si="305"/>
        <v>0</v>
      </c>
      <c r="AR147" s="10">
        <f t="shared" si="305"/>
        <v>0</v>
      </c>
      <c r="AS147" s="10">
        <f t="shared" si="306"/>
        <v>0</v>
      </c>
      <c r="AT147" s="71">
        <f t="shared" si="300"/>
        <v>0</v>
      </c>
      <c r="AU147" s="10">
        <f t="shared" si="300"/>
        <v>0</v>
      </c>
      <c r="AV147" s="10">
        <f t="shared" si="300"/>
        <v>0</v>
      </c>
      <c r="AW147" s="10">
        <f t="shared" si="300"/>
        <v>0</v>
      </c>
      <c r="AX147" s="10">
        <f t="shared" si="300"/>
        <v>0</v>
      </c>
      <c r="AY147" s="10">
        <f t="shared" si="300"/>
        <v>0</v>
      </c>
      <c r="AZ147" s="19">
        <f t="shared" si="307"/>
        <v>0</v>
      </c>
      <c r="BA147" s="10">
        <f t="shared" si="307"/>
        <v>0</v>
      </c>
      <c r="BB147" s="10">
        <f t="shared" si="307"/>
        <v>0</v>
      </c>
      <c r="BC147" s="10">
        <f t="shared" si="307"/>
        <v>0</v>
      </c>
      <c r="BD147" s="10">
        <f t="shared" si="307"/>
        <v>0</v>
      </c>
      <c r="BE147" s="10">
        <f t="shared" si="308"/>
        <v>0</v>
      </c>
      <c r="BF147" s="10">
        <f t="shared" si="308"/>
        <v>0</v>
      </c>
      <c r="BG147" s="190">
        <f t="shared" si="321"/>
        <v>0</v>
      </c>
      <c r="BH147" s="210">
        <f t="shared" si="321"/>
        <v>0</v>
      </c>
      <c r="BI147" s="210">
        <f t="shared" si="321"/>
        <v>0</v>
      </c>
      <c r="BJ147" s="210">
        <f t="shared" si="321"/>
        <v>0</v>
      </c>
      <c r="BK147" s="210">
        <f t="shared" si="321"/>
        <v>0</v>
      </c>
      <c r="BL147" s="10">
        <f t="shared" si="309"/>
        <v>0</v>
      </c>
      <c r="BM147" s="10">
        <f t="shared" si="309"/>
        <v>0</v>
      </c>
      <c r="BN147" s="10">
        <f t="shared" si="309"/>
        <v>0</v>
      </c>
      <c r="BO147" s="71">
        <f t="shared" ref="BO147:BS162" si="327">0/157.5</f>
        <v>0</v>
      </c>
      <c r="BP147" s="10">
        <f t="shared" si="327"/>
        <v>0</v>
      </c>
      <c r="BQ147" s="10">
        <f t="shared" si="327"/>
        <v>0</v>
      </c>
      <c r="BR147" s="10">
        <f t="shared" si="327"/>
        <v>0</v>
      </c>
      <c r="BS147" s="10">
        <f t="shared" si="327"/>
        <v>0</v>
      </c>
      <c r="BT147" s="10">
        <f t="shared" si="310"/>
        <v>0</v>
      </c>
      <c r="BU147" s="10">
        <f t="shared" si="310"/>
        <v>0</v>
      </c>
      <c r="BV147" s="10">
        <f t="shared" si="310"/>
        <v>0</v>
      </c>
      <c r="BW147" s="71">
        <f t="shared" si="311"/>
        <v>0</v>
      </c>
      <c r="BX147" s="10">
        <f t="shared" si="311"/>
        <v>0</v>
      </c>
      <c r="BY147" s="10">
        <f t="shared" si="311"/>
        <v>0</v>
      </c>
      <c r="BZ147" s="10">
        <f t="shared" si="311"/>
        <v>0</v>
      </c>
      <c r="CA147" s="10">
        <f t="shared" si="311"/>
        <v>0</v>
      </c>
      <c r="CB147" s="10">
        <f t="shared" si="312"/>
        <v>0</v>
      </c>
      <c r="CC147" s="10">
        <f t="shared" si="312"/>
        <v>0</v>
      </c>
      <c r="CD147" s="10">
        <f t="shared" si="312"/>
        <v>0</v>
      </c>
      <c r="CE147" s="71">
        <f t="shared" si="322"/>
        <v>0</v>
      </c>
      <c r="CF147" s="10">
        <f t="shared" si="322"/>
        <v>0</v>
      </c>
      <c r="CG147" s="10">
        <f t="shared" si="322"/>
        <v>0</v>
      </c>
      <c r="CH147" s="10">
        <f t="shared" si="322"/>
        <v>0</v>
      </c>
      <c r="CI147" s="10">
        <f t="shared" si="322"/>
        <v>0</v>
      </c>
      <c r="CJ147" s="10">
        <f t="shared" si="313"/>
        <v>0</v>
      </c>
      <c r="CK147" s="10">
        <f t="shared" si="313"/>
        <v>0</v>
      </c>
      <c r="CL147" s="10">
        <f t="shared" si="313"/>
        <v>0</v>
      </c>
      <c r="CM147" s="71">
        <f t="shared" si="323"/>
        <v>0</v>
      </c>
      <c r="CN147" s="10">
        <f t="shared" si="323"/>
        <v>0</v>
      </c>
      <c r="CO147" s="10">
        <f t="shared" si="323"/>
        <v>0</v>
      </c>
      <c r="CP147" s="10">
        <f t="shared" si="323"/>
        <v>0</v>
      </c>
      <c r="CQ147" s="10">
        <f t="shared" si="323"/>
        <v>0</v>
      </c>
      <c r="CR147" s="10">
        <f t="shared" si="314"/>
        <v>0</v>
      </c>
      <c r="CS147" s="10">
        <f t="shared" si="314"/>
        <v>0</v>
      </c>
      <c r="CT147" s="10">
        <f t="shared" si="314"/>
        <v>0</v>
      </c>
    </row>
    <row r="148" spans="1:98" ht="26.25" hidden="1" customHeight="1" outlineLevel="1" x14ac:dyDescent="0.4">
      <c r="A148" s="351"/>
      <c r="B148" s="351"/>
      <c r="C148" s="351"/>
      <c r="D148" s="353"/>
      <c r="E148" s="353"/>
      <c r="F148" s="353"/>
      <c r="G148" s="385"/>
      <c r="H148" s="447"/>
      <c r="I148" s="447"/>
      <c r="J148" s="449"/>
      <c r="K148" s="453"/>
      <c r="L148" s="453"/>
      <c r="M148" s="451"/>
      <c r="N148" s="38" t="s">
        <v>25</v>
      </c>
      <c r="O148" s="11">
        <f t="shared" si="297"/>
        <v>0</v>
      </c>
      <c r="P148" s="11">
        <f t="shared" si="297"/>
        <v>0</v>
      </c>
      <c r="Q148" s="11">
        <f t="shared" si="297"/>
        <v>0</v>
      </c>
      <c r="R148" s="11">
        <f t="shared" si="297"/>
        <v>0</v>
      </c>
      <c r="S148" s="11">
        <f t="shared" si="297"/>
        <v>0</v>
      </c>
      <c r="T148" s="11">
        <f t="shared" si="297"/>
        <v>0</v>
      </c>
      <c r="U148" s="48">
        <f t="shared" si="297"/>
        <v>0</v>
      </c>
      <c r="V148" s="56">
        <f t="shared" si="303"/>
        <v>0</v>
      </c>
      <c r="W148" s="18">
        <f t="shared" si="303"/>
        <v>0</v>
      </c>
      <c r="X148" s="18">
        <f t="shared" si="303"/>
        <v>0</v>
      </c>
      <c r="Y148" s="18">
        <f t="shared" si="303"/>
        <v>0</v>
      </c>
      <c r="Z148" s="18">
        <f t="shared" si="303"/>
        <v>0</v>
      </c>
      <c r="AA148" s="18">
        <f t="shared" si="326"/>
        <v>0</v>
      </c>
      <c r="AB148" s="41">
        <f t="shared" si="326"/>
        <v>0</v>
      </c>
      <c r="AC148" s="51">
        <f t="shared" si="326"/>
        <v>0</v>
      </c>
      <c r="AD148" s="11">
        <f t="shared" si="326"/>
        <v>0</v>
      </c>
      <c r="AE148" s="11">
        <f t="shared" si="326"/>
        <v>0</v>
      </c>
      <c r="AF148" s="11">
        <f t="shared" si="326"/>
        <v>0</v>
      </c>
      <c r="AG148" s="18">
        <f t="shared" si="326"/>
        <v>0</v>
      </c>
      <c r="AH148" s="50">
        <f t="shared" ref="AH148:AL166" si="328">0/150</f>
        <v>0</v>
      </c>
      <c r="AI148" s="51">
        <f t="shared" si="328"/>
        <v>0</v>
      </c>
      <c r="AJ148" s="51">
        <f t="shared" si="328"/>
        <v>0</v>
      </c>
      <c r="AK148" s="51">
        <f t="shared" si="328"/>
        <v>0</v>
      </c>
      <c r="AL148" s="51">
        <f t="shared" si="328"/>
        <v>0</v>
      </c>
      <c r="AM148" s="18">
        <f t="shared" si="304"/>
        <v>0</v>
      </c>
      <c r="AN148" s="41">
        <f t="shared" si="305"/>
        <v>0</v>
      </c>
      <c r="AO148" s="11">
        <f t="shared" si="305"/>
        <v>0</v>
      </c>
      <c r="AP148" s="11">
        <f t="shared" si="305"/>
        <v>0</v>
      </c>
      <c r="AQ148" s="11">
        <f t="shared" si="305"/>
        <v>0</v>
      </c>
      <c r="AR148" s="11">
        <f t="shared" si="305"/>
        <v>0</v>
      </c>
      <c r="AS148" s="18">
        <f t="shared" si="306"/>
        <v>0</v>
      </c>
      <c r="AT148" s="41">
        <f t="shared" si="300"/>
        <v>0</v>
      </c>
      <c r="AU148" s="11">
        <f t="shared" si="300"/>
        <v>0</v>
      </c>
      <c r="AV148" s="11">
        <f t="shared" si="300"/>
        <v>0</v>
      </c>
      <c r="AW148" s="11">
        <f t="shared" si="300"/>
        <v>0</v>
      </c>
      <c r="AX148" s="11">
        <f t="shared" si="300"/>
        <v>0</v>
      </c>
      <c r="AY148" s="18">
        <f t="shared" si="300"/>
        <v>0</v>
      </c>
      <c r="AZ148" s="41">
        <f t="shared" si="307"/>
        <v>0</v>
      </c>
      <c r="BA148" s="11">
        <f t="shared" si="307"/>
        <v>0</v>
      </c>
      <c r="BB148" s="11">
        <f t="shared" si="307"/>
        <v>0</v>
      </c>
      <c r="BC148" s="11">
        <f t="shared" si="307"/>
        <v>0</v>
      </c>
      <c r="BD148" s="11">
        <f t="shared" si="307"/>
        <v>0</v>
      </c>
      <c r="BE148" s="11">
        <f t="shared" si="308"/>
        <v>0</v>
      </c>
      <c r="BF148" s="18">
        <f t="shared" si="308"/>
        <v>0</v>
      </c>
      <c r="BG148" s="20">
        <f t="shared" si="321"/>
        <v>0</v>
      </c>
      <c r="BH148" s="11">
        <f t="shared" si="321"/>
        <v>0</v>
      </c>
      <c r="BI148" s="11">
        <f t="shared" si="321"/>
        <v>0</v>
      </c>
      <c r="BJ148" s="11">
        <f t="shared" si="321"/>
        <v>0</v>
      </c>
      <c r="BK148" s="11">
        <f t="shared" si="321"/>
        <v>0</v>
      </c>
      <c r="BL148" s="11">
        <f t="shared" si="309"/>
        <v>0</v>
      </c>
      <c r="BM148" s="11">
        <f t="shared" si="309"/>
        <v>0</v>
      </c>
      <c r="BN148" s="18">
        <f t="shared" si="309"/>
        <v>0</v>
      </c>
      <c r="BO148" s="191">
        <f t="shared" si="327"/>
        <v>0</v>
      </c>
      <c r="BP148" s="11">
        <f t="shared" si="327"/>
        <v>0</v>
      </c>
      <c r="BQ148" s="11">
        <f t="shared" si="327"/>
        <v>0</v>
      </c>
      <c r="BR148" s="11">
        <f t="shared" si="327"/>
        <v>0</v>
      </c>
      <c r="BS148" s="11">
        <f t="shared" si="327"/>
        <v>0</v>
      </c>
      <c r="BT148" s="11">
        <f t="shared" si="310"/>
        <v>0</v>
      </c>
      <c r="BU148" s="11">
        <f t="shared" si="310"/>
        <v>0</v>
      </c>
      <c r="BV148" s="18">
        <f t="shared" si="310"/>
        <v>0</v>
      </c>
      <c r="BW148" s="191">
        <f t="shared" si="311"/>
        <v>0</v>
      </c>
      <c r="BX148" s="211">
        <f t="shared" si="311"/>
        <v>0</v>
      </c>
      <c r="BY148" s="211">
        <f t="shared" si="311"/>
        <v>0</v>
      </c>
      <c r="BZ148" s="211">
        <f t="shared" si="311"/>
        <v>0</v>
      </c>
      <c r="CA148" s="211">
        <f t="shared" si="311"/>
        <v>0</v>
      </c>
      <c r="CB148" s="11">
        <f t="shared" si="312"/>
        <v>0</v>
      </c>
      <c r="CC148" s="11">
        <f t="shared" si="312"/>
        <v>0</v>
      </c>
      <c r="CD148" s="18">
        <f t="shared" si="312"/>
        <v>0</v>
      </c>
      <c r="CE148" s="191">
        <f t="shared" si="322"/>
        <v>0</v>
      </c>
      <c r="CF148" s="11">
        <f t="shared" si="322"/>
        <v>0</v>
      </c>
      <c r="CG148" s="11">
        <f t="shared" si="322"/>
        <v>0</v>
      </c>
      <c r="CH148" s="11">
        <f t="shared" si="322"/>
        <v>0</v>
      </c>
      <c r="CI148" s="11">
        <f t="shared" si="322"/>
        <v>0</v>
      </c>
      <c r="CJ148" s="11">
        <f t="shared" si="313"/>
        <v>0</v>
      </c>
      <c r="CK148" s="11">
        <f t="shared" si="313"/>
        <v>0</v>
      </c>
      <c r="CL148" s="18">
        <f t="shared" si="313"/>
        <v>0</v>
      </c>
      <c r="CM148" s="41">
        <f t="shared" si="323"/>
        <v>0</v>
      </c>
      <c r="CN148" s="11">
        <f t="shared" si="323"/>
        <v>0</v>
      </c>
      <c r="CO148" s="11">
        <f t="shared" si="323"/>
        <v>0</v>
      </c>
      <c r="CP148" s="11">
        <f t="shared" si="323"/>
        <v>0</v>
      </c>
      <c r="CQ148" s="11">
        <f t="shared" si="323"/>
        <v>0</v>
      </c>
      <c r="CR148" s="11">
        <f t="shared" si="314"/>
        <v>0</v>
      </c>
      <c r="CS148" s="11">
        <f t="shared" si="314"/>
        <v>0</v>
      </c>
      <c r="CT148" s="11">
        <f t="shared" si="314"/>
        <v>0</v>
      </c>
    </row>
    <row r="149" spans="1:98" ht="26.25" hidden="1" customHeight="1" outlineLevel="1" collapsed="1" x14ac:dyDescent="0.4">
      <c r="A149" s="350">
        <v>72</v>
      </c>
      <c r="B149" s="350" t="s">
        <v>45</v>
      </c>
      <c r="C149" s="350" t="s">
        <v>342</v>
      </c>
      <c r="D149" s="352"/>
      <c r="E149" s="352"/>
      <c r="F149" s="352"/>
      <c r="G149" s="385"/>
      <c r="H149" s="446">
        <f t="shared" ref="H149" si="329">SUM(BO149:BV149)</f>
        <v>0</v>
      </c>
      <c r="I149" s="446">
        <f t="shared" ref="I149" si="330">SUM(BO150:BV150)</f>
        <v>0</v>
      </c>
      <c r="J149" s="448"/>
      <c r="K149" s="452"/>
      <c r="L149" s="452"/>
      <c r="M149" s="450"/>
      <c r="N149" s="47" t="s">
        <v>24</v>
      </c>
      <c r="O149" s="10">
        <f t="shared" si="297"/>
        <v>0</v>
      </c>
      <c r="P149" s="10">
        <f t="shared" si="297"/>
        <v>0</v>
      </c>
      <c r="Q149" s="10">
        <f t="shared" si="297"/>
        <v>0</v>
      </c>
      <c r="R149" s="10">
        <f t="shared" si="297"/>
        <v>0</v>
      </c>
      <c r="S149" s="10">
        <f t="shared" si="297"/>
        <v>0</v>
      </c>
      <c r="T149" s="10">
        <f t="shared" si="297"/>
        <v>0</v>
      </c>
      <c r="U149" s="79">
        <f t="shared" si="297"/>
        <v>0</v>
      </c>
      <c r="V149" s="19">
        <f t="shared" si="303"/>
        <v>0</v>
      </c>
      <c r="W149" s="10">
        <f t="shared" si="303"/>
        <v>0</v>
      </c>
      <c r="X149" s="10">
        <f t="shared" si="303"/>
        <v>0</v>
      </c>
      <c r="Y149" s="10">
        <f t="shared" si="303"/>
        <v>0</v>
      </c>
      <c r="Z149" s="10">
        <f t="shared" si="303"/>
        <v>0</v>
      </c>
      <c r="AA149" s="10">
        <f t="shared" si="326"/>
        <v>0</v>
      </c>
      <c r="AB149" s="19">
        <f t="shared" si="326"/>
        <v>0</v>
      </c>
      <c r="AC149" s="10">
        <f t="shared" si="326"/>
        <v>0</v>
      </c>
      <c r="AD149" s="210">
        <f t="shared" si="326"/>
        <v>0</v>
      </c>
      <c r="AE149" s="10">
        <f t="shared" si="326"/>
        <v>0</v>
      </c>
      <c r="AF149" s="10">
        <f t="shared" si="326"/>
        <v>0</v>
      </c>
      <c r="AG149" s="10">
        <f t="shared" si="326"/>
        <v>0</v>
      </c>
      <c r="AH149" s="19">
        <f t="shared" si="328"/>
        <v>0</v>
      </c>
      <c r="AI149" s="10">
        <f t="shared" si="328"/>
        <v>0</v>
      </c>
      <c r="AJ149" s="10">
        <f t="shared" si="328"/>
        <v>0</v>
      </c>
      <c r="AK149" s="10">
        <f t="shared" si="328"/>
        <v>0</v>
      </c>
      <c r="AL149" s="10">
        <f t="shared" si="328"/>
        <v>0</v>
      </c>
      <c r="AM149" s="10">
        <f t="shared" si="304"/>
        <v>0</v>
      </c>
      <c r="AN149" s="19">
        <f t="shared" si="305"/>
        <v>0</v>
      </c>
      <c r="AO149" s="10">
        <f t="shared" si="305"/>
        <v>0</v>
      </c>
      <c r="AP149" s="10">
        <f t="shared" si="305"/>
        <v>0</v>
      </c>
      <c r="AQ149" s="10">
        <f t="shared" si="305"/>
        <v>0</v>
      </c>
      <c r="AR149" s="10">
        <f t="shared" si="305"/>
        <v>0</v>
      </c>
      <c r="AS149" s="10">
        <f t="shared" si="306"/>
        <v>0</v>
      </c>
      <c r="AT149" s="71">
        <f t="shared" si="300"/>
        <v>0</v>
      </c>
      <c r="AU149" s="10">
        <f t="shared" si="300"/>
        <v>0</v>
      </c>
      <c r="AV149" s="10">
        <f t="shared" si="300"/>
        <v>0</v>
      </c>
      <c r="AW149" s="10">
        <f t="shared" si="300"/>
        <v>0</v>
      </c>
      <c r="AX149" s="10">
        <f t="shared" si="300"/>
        <v>0</v>
      </c>
      <c r="AY149" s="10">
        <f t="shared" si="300"/>
        <v>0</v>
      </c>
      <c r="AZ149" s="19">
        <f t="shared" si="307"/>
        <v>0</v>
      </c>
      <c r="BA149" s="10">
        <f t="shared" si="307"/>
        <v>0</v>
      </c>
      <c r="BB149" s="10">
        <f t="shared" si="307"/>
        <v>0</v>
      </c>
      <c r="BC149" s="10">
        <f t="shared" si="307"/>
        <v>0</v>
      </c>
      <c r="BD149" s="10">
        <f t="shared" si="307"/>
        <v>0</v>
      </c>
      <c r="BE149" s="10">
        <f t="shared" si="308"/>
        <v>0</v>
      </c>
      <c r="BF149" s="10">
        <f t="shared" si="308"/>
        <v>0</v>
      </c>
      <c r="BG149" s="190">
        <f t="shared" si="321"/>
        <v>0</v>
      </c>
      <c r="BH149" s="210">
        <f t="shared" si="321"/>
        <v>0</v>
      </c>
      <c r="BI149" s="210">
        <f t="shared" si="321"/>
        <v>0</v>
      </c>
      <c r="BJ149" s="210">
        <f t="shared" si="321"/>
        <v>0</v>
      </c>
      <c r="BK149" s="210">
        <f t="shared" si="321"/>
        <v>0</v>
      </c>
      <c r="BL149" s="10">
        <f t="shared" si="309"/>
        <v>0</v>
      </c>
      <c r="BM149" s="10">
        <f t="shared" si="309"/>
        <v>0</v>
      </c>
      <c r="BN149" s="10">
        <f t="shared" si="309"/>
        <v>0</v>
      </c>
      <c r="BO149" s="71">
        <f t="shared" si="327"/>
        <v>0</v>
      </c>
      <c r="BP149" s="10">
        <f t="shared" si="327"/>
        <v>0</v>
      </c>
      <c r="BQ149" s="10">
        <f t="shared" si="327"/>
        <v>0</v>
      </c>
      <c r="BR149" s="10">
        <f t="shared" si="327"/>
        <v>0</v>
      </c>
      <c r="BS149" s="10">
        <f t="shared" si="327"/>
        <v>0</v>
      </c>
      <c r="BT149" s="10">
        <f t="shared" si="310"/>
        <v>0</v>
      </c>
      <c r="BU149" s="10">
        <f t="shared" si="310"/>
        <v>0</v>
      </c>
      <c r="BV149" s="10">
        <f t="shared" si="310"/>
        <v>0</v>
      </c>
      <c r="BW149" s="71">
        <f t="shared" si="311"/>
        <v>0</v>
      </c>
      <c r="BX149" s="10">
        <f t="shared" si="311"/>
        <v>0</v>
      </c>
      <c r="BY149" s="10">
        <f t="shared" si="311"/>
        <v>0</v>
      </c>
      <c r="BZ149" s="10">
        <f t="shared" si="311"/>
        <v>0</v>
      </c>
      <c r="CA149" s="10">
        <f t="shared" si="311"/>
        <v>0</v>
      </c>
      <c r="CB149" s="10">
        <f t="shared" si="312"/>
        <v>0</v>
      </c>
      <c r="CC149" s="10">
        <f t="shared" si="312"/>
        <v>0</v>
      </c>
      <c r="CD149" s="10">
        <f t="shared" si="312"/>
        <v>0</v>
      </c>
      <c r="CE149" s="71">
        <f t="shared" si="322"/>
        <v>0</v>
      </c>
      <c r="CF149" s="10">
        <f t="shared" si="322"/>
        <v>0</v>
      </c>
      <c r="CG149" s="10">
        <f t="shared" si="322"/>
        <v>0</v>
      </c>
      <c r="CH149" s="10">
        <f t="shared" si="322"/>
        <v>0</v>
      </c>
      <c r="CI149" s="10">
        <f t="shared" si="322"/>
        <v>0</v>
      </c>
      <c r="CJ149" s="10">
        <f t="shared" si="313"/>
        <v>0</v>
      </c>
      <c r="CK149" s="10">
        <f t="shared" si="313"/>
        <v>0</v>
      </c>
      <c r="CL149" s="10">
        <f t="shared" si="313"/>
        <v>0</v>
      </c>
      <c r="CM149" s="71">
        <f t="shared" si="323"/>
        <v>0</v>
      </c>
      <c r="CN149" s="10">
        <f t="shared" si="323"/>
        <v>0</v>
      </c>
      <c r="CO149" s="10">
        <f t="shared" si="323"/>
        <v>0</v>
      </c>
      <c r="CP149" s="10">
        <f t="shared" si="323"/>
        <v>0</v>
      </c>
      <c r="CQ149" s="10">
        <f t="shared" si="323"/>
        <v>0</v>
      </c>
      <c r="CR149" s="10">
        <f t="shared" si="314"/>
        <v>0</v>
      </c>
      <c r="CS149" s="10">
        <f t="shared" si="314"/>
        <v>0</v>
      </c>
      <c r="CT149" s="10">
        <f t="shared" si="314"/>
        <v>0</v>
      </c>
    </row>
    <row r="150" spans="1:98" ht="26.25" hidden="1" customHeight="1" outlineLevel="1" x14ac:dyDescent="0.4">
      <c r="A150" s="351"/>
      <c r="B150" s="351"/>
      <c r="C150" s="351"/>
      <c r="D150" s="353"/>
      <c r="E150" s="353"/>
      <c r="F150" s="353"/>
      <c r="G150" s="385"/>
      <c r="H150" s="447"/>
      <c r="I150" s="447"/>
      <c r="J150" s="449"/>
      <c r="K150" s="453"/>
      <c r="L150" s="453"/>
      <c r="M150" s="451"/>
      <c r="N150" s="38" t="s">
        <v>25</v>
      </c>
      <c r="O150" s="11">
        <f t="shared" si="297"/>
        <v>0</v>
      </c>
      <c r="P150" s="11">
        <f t="shared" si="297"/>
        <v>0</v>
      </c>
      <c r="Q150" s="11">
        <f t="shared" si="297"/>
        <v>0</v>
      </c>
      <c r="R150" s="11">
        <f t="shared" si="297"/>
        <v>0</v>
      </c>
      <c r="S150" s="11">
        <f t="shared" si="297"/>
        <v>0</v>
      </c>
      <c r="T150" s="11">
        <f t="shared" si="297"/>
        <v>0</v>
      </c>
      <c r="U150" s="48">
        <f t="shared" si="297"/>
        <v>0</v>
      </c>
      <c r="V150" s="56">
        <f t="shared" si="303"/>
        <v>0</v>
      </c>
      <c r="W150" s="18">
        <f t="shared" si="303"/>
        <v>0</v>
      </c>
      <c r="X150" s="18">
        <f t="shared" si="303"/>
        <v>0</v>
      </c>
      <c r="Y150" s="18">
        <f t="shared" si="303"/>
        <v>0</v>
      </c>
      <c r="Z150" s="18">
        <f t="shared" si="303"/>
        <v>0</v>
      </c>
      <c r="AA150" s="18">
        <f t="shared" si="326"/>
        <v>0</v>
      </c>
      <c r="AB150" s="41">
        <f t="shared" si="326"/>
        <v>0</v>
      </c>
      <c r="AC150" s="51">
        <f t="shared" si="326"/>
        <v>0</v>
      </c>
      <c r="AD150" s="11">
        <f t="shared" si="326"/>
        <v>0</v>
      </c>
      <c r="AE150" s="11">
        <f t="shared" si="326"/>
        <v>0</v>
      </c>
      <c r="AF150" s="11">
        <f t="shared" si="326"/>
        <v>0</v>
      </c>
      <c r="AG150" s="18">
        <f t="shared" si="326"/>
        <v>0</v>
      </c>
      <c r="AH150" s="50">
        <f t="shared" si="328"/>
        <v>0</v>
      </c>
      <c r="AI150" s="51">
        <f t="shared" si="328"/>
        <v>0</v>
      </c>
      <c r="AJ150" s="51">
        <f t="shared" si="328"/>
        <v>0</v>
      </c>
      <c r="AK150" s="51">
        <f t="shared" si="328"/>
        <v>0</v>
      </c>
      <c r="AL150" s="51">
        <f t="shared" si="328"/>
        <v>0</v>
      </c>
      <c r="AM150" s="18">
        <f t="shared" si="304"/>
        <v>0</v>
      </c>
      <c r="AN150" s="41">
        <f t="shared" si="305"/>
        <v>0</v>
      </c>
      <c r="AO150" s="11">
        <f t="shared" si="305"/>
        <v>0</v>
      </c>
      <c r="AP150" s="11">
        <f t="shared" si="305"/>
        <v>0</v>
      </c>
      <c r="AQ150" s="11">
        <f t="shared" si="305"/>
        <v>0</v>
      </c>
      <c r="AR150" s="11">
        <f t="shared" si="305"/>
        <v>0</v>
      </c>
      <c r="AS150" s="18">
        <f t="shared" si="306"/>
        <v>0</v>
      </c>
      <c r="AT150" s="41">
        <f t="shared" si="300"/>
        <v>0</v>
      </c>
      <c r="AU150" s="11">
        <f t="shared" si="300"/>
        <v>0</v>
      </c>
      <c r="AV150" s="11">
        <f t="shared" si="300"/>
        <v>0</v>
      </c>
      <c r="AW150" s="11">
        <f t="shared" si="300"/>
        <v>0</v>
      </c>
      <c r="AX150" s="11">
        <f t="shared" si="300"/>
        <v>0</v>
      </c>
      <c r="AY150" s="18">
        <f t="shared" si="300"/>
        <v>0</v>
      </c>
      <c r="AZ150" s="41">
        <f t="shared" si="307"/>
        <v>0</v>
      </c>
      <c r="BA150" s="11">
        <f t="shared" si="307"/>
        <v>0</v>
      </c>
      <c r="BB150" s="11">
        <f t="shared" si="307"/>
        <v>0</v>
      </c>
      <c r="BC150" s="11">
        <f t="shared" si="307"/>
        <v>0</v>
      </c>
      <c r="BD150" s="11">
        <f t="shared" si="307"/>
        <v>0</v>
      </c>
      <c r="BE150" s="11">
        <f t="shared" si="308"/>
        <v>0</v>
      </c>
      <c r="BF150" s="18">
        <f t="shared" si="308"/>
        <v>0</v>
      </c>
      <c r="BG150" s="20">
        <f t="shared" si="321"/>
        <v>0</v>
      </c>
      <c r="BH150" s="11">
        <f t="shared" si="321"/>
        <v>0</v>
      </c>
      <c r="BI150" s="11">
        <f t="shared" si="321"/>
        <v>0</v>
      </c>
      <c r="BJ150" s="11">
        <f t="shared" si="321"/>
        <v>0</v>
      </c>
      <c r="BK150" s="11">
        <f t="shared" si="321"/>
        <v>0</v>
      </c>
      <c r="BL150" s="11">
        <f t="shared" si="309"/>
        <v>0</v>
      </c>
      <c r="BM150" s="11">
        <f t="shared" si="309"/>
        <v>0</v>
      </c>
      <c r="BN150" s="18">
        <f t="shared" si="309"/>
        <v>0</v>
      </c>
      <c r="BO150" s="191">
        <f t="shared" si="327"/>
        <v>0</v>
      </c>
      <c r="BP150" s="11">
        <f t="shared" si="327"/>
        <v>0</v>
      </c>
      <c r="BQ150" s="11">
        <f t="shared" si="327"/>
        <v>0</v>
      </c>
      <c r="BR150" s="11">
        <f t="shared" si="327"/>
        <v>0</v>
      </c>
      <c r="BS150" s="11">
        <f t="shared" si="327"/>
        <v>0</v>
      </c>
      <c r="BT150" s="11">
        <f t="shared" si="310"/>
        <v>0</v>
      </c>
      <c r="BU150" s="11">
        <f t="shared" si="310"/>
        <v>0</v>
      </c>
      <c r="BV150" s="18">
        <f t="shared" si="310"/>
        <v>0</v>
      </c>
      <c r="BW150" s="191">
        <f t="shared" si="311"/>
        <v>0</v>
      </c>
      <c r="BX150" s="211">
        <f t="shared" si="311"/>
        <v>0</v>
      </c>
      <c r="BY150" s="211">
        <f t="shared" si="311"/>
        <v>0</v>
      </c>
      <c r="BZ150" s="211">
        <f t="shared" si="311"/>
        <v>0</v>
      </c>
      <c r="CA150" s="211">
        <f t="shared" si="311"/>
        <v>0</v>
      </c>
      <c r="CB150" s="11">
        <f t="shared" si="312"/>
        <v>0</v>
      </c>
      <c r="CC150" s="11">
        <f t="shared" si="312"/>
        <v>0</v>
      </c>
      <c r="CD150" s="18">
        <f t="shared" si="312"/>
        <v>0</v>
      </c>
      <c r="CE150" s="191">
        <f t="shared" si="322"/>
        <v>0</v>
      </c>
      <c r="CF150" s="11">
        <f t="shared" si="322"/>
        <v>0</v>
      </c>
      <c r="CG150" s="11">
        <f t="shared" si="322"/>
        <v>0</v>
      </c>
      <c r="CH150" s="11">
        <f t="shared" si="322"/>
        <v>0</v>
      </c>
      <c r="CI150" s="11">
        <f t="shared" si="322"/>
        <v>0</v>
      </c>
      <c r="CJ150" s="11">
        <f t="shared" si="313"/>
        <v>0</v>
      </c>
      <c r="CK150" s="11">
        <f t="shared" si="313"/>
        <v>0</v>
      </c>
      <c r="CL150" s="18">
        <f t="shared" si="313"/>
        <v>0</v>
      </c>
      <c r="CM150" s="41">
        <f t="shared" si="323"/>
        <v>0</v>
      </c>
      <c r="CN150" s="11">
        <f t="shared" si="323"/>
        <v>0</v>
      </c>
      <c r="CO150" s="11">
        <f t="shared" si="323"/>
        <v>0</v>
      </c>
      <c r="CP150" s="11">
        <f t="shared" si="323"/>
        <v>0</v>
      </c>
      <c r="CQ150" s="11">
        <f t="shared" si="323"/>
        <v>0</v>
      </c>
      <c r="CR150" s="11">
        <f t="shared" si="314"/>
        <v>0</v>
      </c>
      <c r="CS150" s="11">
        <f t="shared" si="314"/>
        <v>0</v>
      </c>
      <c r="CT150" s="11">
        <f t="shared" si="314"/>
        <v>0</v>
      </c>
    </row>
    <row r="151" spans="1:98" ht="26.25" hidden="1" customHeight="1" outlineLevel="1" collapsed="1" x14ac:dyDescent="0.4">
      <c r="A151" s="350">
        <v>73</v>
      </c>
      <c r="B151" s="350" t="s">
        <v>45</v>
      </c>
      <c r="C151" s="350" t="s">
        <v>342</v>
      </c>
      <c r="D151" s="352"/>
      <c r="E151" s="352"/>
      <c r="F151" s="352"/>
      <c r="G151" s="385"/>
      <c r="H151" s="446">
        <f t="shared" ref="H151" si="331">SUM(BO151:BV151)</f>
        <v>0</v>
      </c>
      <c r="I151" s="446">
        <f t="shared" ref="I151" si="332">SUM(BO152:BV152)</f>
        <v>0</v>
      </c>
      <c r="J151" s="448"/>
      <c r="K151" s="452"/>
      <c r="L151" s="452"/>
      <c r="M151" s="450"/>
      <c r="N151" s="47" t="s">
        <v>24</v>
      </c>
      <c r="O151" s="10">
        <f t="shared" ref="O151:U166" si="333">0/127.5</f>
        <v>0</v>
      </c>
      <c r="P151" s="10">
        <f t="shared" si="333"/>
        <v>0</v>
      </c>
      <c r="Q151" s="10">
        <f t="shared" si="333"/>
        <v>0</v>
      </c>
      <c r="R151" s="10">
        <f t="shared" si="333"/>
        <v>0</v>
      </c>
      <c r="S151" s="10">
        <f t="shared" si="333"/>
        <v>0</v>
      </c>
      <c r="T151" s="10">
        <f t="shared" si="333"/>
        <v>0</v>
      </c>
      <c r="U151" s="79">
        <f t="shared" si="333"/>
        <v>0</v>
      </c>
      <c r="V151" s="19">
        <f t="shared" si="303"/>
        <v>0</v>
      </c>
      <c r="W151" s="10">
        <f t="shared" si="303"/>
        <v>0</v>
      </c>
      <c r="X151" s="10">
        <f t="shared" si="303"/>
        <v>0</v>
      </c>
      <c r="Y151" s="10">
        <f t="shared" si="303"/>
        <v>0</v>
      </c>
      <c r="Z151" s="10">
        <f t="shared" si="303"/>
        <v>0</v>
      </c>
      <c r="AA151" s="10">
        <f t="shared" si="326"/>
        <v>0</v>
      </c>
      <c r="AB151" s="19">
        <f t="shared" si="326"/>
        <v>0</v>
      </c>
      <c r="AC151" s="10">
        <f t="shared" si="326"/>
        <v>0</v>
      </c>
      <c r="AD151" s="210">
        <f t="shared" si="326"/>
        <v>0</v>
      </c>
      <c r="AE151" s="10">
        <f t="shared" si="326"/>
        <v>0</v>
      </c>
      <c r="AF151" s="10">
        <f t="shared" si="326"/>
        <v>0</v>
      </c>
      <c r="AG151" s="10">
        <f t="shared" si="326"/>
        <v>0</v>
      </c>
      <c r="AH151" s="19">
        <f t="shared" si="328"/>
        <v>0</v>
      </c>
      <c r="AI151" s="10">
        <f t="shared" si="328"/>
        <v>0</v>
      </c>
      <c r="AJ151" s="10">
        <f t="shared" si="328"/>
        <v>0</v>
      </c>
      <c r="AK151" s="10">
        <f t="shared" si="328"/>
        <v>0</v>
      </c>
      <c r="AL151" s="10">
        <f t="shared" si="328"/>
        <v>0</v>
      </c>
      <c r="AM151" s="10">
        <f t="shared" si="304"/>
        <v>0</v>
      </c>
      <c r="AN151" s="19">
        <f t="shared" si="305"/>
        <v>0</v>
      </c>
      <c r="AO151" s="10">
        <f t="shared" si="305"/>
        <v>0</v>
      </c>
      <c r="AP151" s="10">
        <f t="shared" si="305"/>
        <v>0</v>
      </c>
      <c r="AQ151" s="10">
        <f t="shared" si="305"/>
        <v>0</v>
      </c>
      <c r="AR151" s="10">
        <f t="shared" si="305"/>
        <v>0</v>
      </c>
      <c r="AS151" s="10">
        <f t="shared" si="306"/>
        <v>0</v>
      </c>
      <c r="AT151" s="71">
        <f t="shared" si="300"/>
        <v>0</v>
      </c>
      <c r="AU151" s="10">
        <f t="shared" si="300"/>
        <v>0</v>
      </c>
      <c r="AV151" s="10">
        <f t="shared" si="300"/>
        <v>0</v>
      </c>
      <c r="AW151" s="10">
        <f t="shared" si="300"/>
        <v>0</v>
      </c>
      <c r="AX151" s="10">
        <f t="shared" si="300"/>
        <v>0</v>
      </c>
      <c r="AY151" s="10">
        <f t="shared" si="300"/>
        <v>0</v>
      </c>
      <c r="AZ151" s="19">
        <f t="shared" si="307"/>
        <v>0</v>
      </c>
      <c r="BA151" s="10">
        <f t="shared" si="307"/>
        <v>0</v>
      </c>
      <c r="BB151" s="10">
        <f t="shared" si="307"/>
        <v>0</v>
      </c>
      <c r="BC151" s="10">
        <f t="shared" si="307"/>
        <v>0</v>
      </c>
      <c r="BD151" s="10">
        <f t="shared" si="307"/>
        <v>0</v>
      </c>
      <c r="BE151" s="10">
        <f t="shared" si="308"/>
        <v>0</v>
      </c>
      <c r="BF151" s="10">
        <f t="shared" si="308"/>
        <v>0</v>
      </c>
      <c r="BG151" s="190">
        <f t="shared" si="321"/>
        <v>0</v>
      </c>
      <c r="BH151" s="210">
        <f t="shared" si="321"/>
        <v>0</v>
      </c>
      <c r="BI151" s="210">
        <f t="shared" si="321"/>
        <v>0</v>
      </c>
      <c r="BJ151" s="210">
        <f t="shared" si="321"/>
        <v>0</v>
      </c>
      <c r="BK151" s="210">
        <f t="shared" si="321"/>
        <v>0</v>
      </c>
      <c r="BL151" s="10">
        <f t="shared" si="309"/>
        <v>0</v>
      </c>
      <c r="BM151" s="10">
        <f t="shared" si="309"/>
        <v>0</v>
      </c>
      <c r="BN151" s="10">
        <f t="shared" si="309"/>
        <v>0</v>
      </c>
      <c r="BO151" s="71">
        <f t="shared" si="327"/>
        <v>0</v>
      </c>
      <c r="BP151" s="10">
        <f t="shared" si="327"/>
        <v>0</v>
      </c>
      <c r="BQ151" s="10">
        <f t="shared" si="327"/>
        <v>0</v>
      </c>
      <c r="BR151" s="10">
        <f t="shared" si="327"/>
        <v>0</v>
      </c>
      <c r="BS151" s="10">
        <f t="shared" si="327"/>
        <v>0</v>
      </c>
      <c r="BT151" s="10">
        <f t="shared" si="310"/>
        <v>0</v>
      </c>
      <c r="BU151" s="10">
        <f t="shared" si="310"/>
        <v>0</v>
      </c>
      <c r="BV151" s="10">
        <f t="shared" si="310"/>
        <v>0</v>
      </c>
      <c r="BW151" s="71">
        <f t="shared" si="311"/>
        <v>0</v>
      </c>
      <c r="BX151" s="10">
        <f t="shared" si="311"/>
        <v>0</v>
      </c>
      <c r="BY151" s="10">
        <f t="shared" si="311"/>
        <v>0</v>
      </c>
      <c r="BZ151" s="10">
        <f t="shared" si="311"/>
        <v>0</v>
      </c>
      <c r="CA151" s="10">
        <f t="shared" si="311"/>
        <v>0</v>
      </c>
      <c r="CB151" s="10">
        <f t="shared" si="312"/>
        <v>0</v>
      </c>
      <c r="CC151" s="10">
        <f t="shared" si="312"/>
        <v>0</v>
      </c>
      <c r="CD151" s="10">
        <f t="shared" si="312"/>
        <v>0</v>
      </c>
      <c r="CE151" s="71">
        <f t="shared" si="322"/>
        <v>0</v>
      </c>
      <c r="CF151" s="10">
        <f t="shared" si="322"/>
        <v>0</v>
      </c>
      <c r="CG151" s="10">
        <f t="shared" si="322"/>
        <v>0</v>
      </c>
      <c r="CH151" s="10">
        <f t="shared" si="322"/>
        <v>0</v>
      </c>
      <c r="CI151" s="10">
        <f t="shared" si="322"/>
        <v>0</v>
      </c>
      <c r="CJ151" s="10">
        <f t="shared" si="313"/>
        <v>0</v>
      </c>
      <c r="CK151" s="10">
        <f t="shared" si="313"/>
        <v>0</v>
      </c>
      <c r="CL151" s="10">
        <f t="shared" si="313"/>
        <v>0</v>
      </c>
      <c r="CM151" s="71">
        <f t="shared" si="323"/>
        <v>0</v>
      </c>
      <c r="CN151" s="10">
        <f t="shared" si="323"/>
        <v>0</v>
      </c>
      <c r="CO151" s="10">
        <f t="shared" si="323"/>
        <v>0</v>
      </c>
      <c r="CP151" s="10">
        <f t="shared" si="323"/>
        <v>0</v>
      </c>
      <c r="CQ151" s="10">
        <f t="shared" si="323"/>
        <v>0</v>
      </c>
      <c r="CR151" s="10">
        <f t="shared" si="314"/>
        <v>0</v>
      </c>
      <c r="CS151" s="10">
        <f t="shared" si="314"/>
        <v>0</v>
      </c>
      <c r="CT151" s="10">
        <f t="shared" si="314"/>
        <v>0</v>
      </c>
    </row>
    <row r="152" spans="1:98" ht="26.25" hidden="1" customHeight="1" outlineLevel="1" x14ac:dyDescent="0.4">
      <c r="A152" s="351"/>
      <c r="B152" s="351"/>
      <c r="C152" s="351"/>
      <c r="D152" s="353"/>
      <c r="E152" s="353"/>
      <c r="F152" s="353"/>
      <c r="G152" s="385"/>
      <c r="H152" s="447"/>
      <c r="I152" s="447"/>
      <c r="J152" s="449"/>
      <c r="K152" s="453"/>
      <c r="L152" s="453"/>
      <c r="M152" s="451"/>
      <c r="N152" s="38" t="s">
        <v>25</v>
      </c>
      <c r="O152" s="11">
        <f t="shared" si="333"/>
        <v>0</v>
      </c>
      <c r="P152" s="11">
        <f t="shared" si="333"/>
        <v>0</v>
      </c>
      <c r="Q152" s="11">
        <f t="shared" si="333"/>
        <v>0</v>
      </c>
      <c r="R152" s="11">
        <f t="shared" si="333"/>
        <v>0</v>
      </c>
      <c r="S152" s="11">
        <f t="shared" si="333"/>
        <v>0</v>
      </c>
      <c r="T152" s="11">
        <f t="shared" si="333"/>
        <v>0</v>
      </c>
      <c r="U152" s="48">
        <f t="shared" si="333"/>
        <v>0</v>
      </c>
      <c r="V152" s="56">
        <f t="shared" si="303"/>
        <v>0</v>
      </c>
      <c r="W152" s="18">
        <f t="shared" si="303"/>
        <v>0</v>
      </c>
      <c r="X152" s="18">
        <f t="shared" si="303"/>
        <v>0</v>
      </c>
      <c r="Y152" s="18">
        <f t="shared" si="303"/>
        <v>0</v>
      </c>
      <c r="Z152" s="18">
        <f t="shared" si="303"/>
        <v>0</v>
      </c>
      <c r="AA152" s="18">
        <f t="shared" si="326"/>
        <v>0</v>
      </c>
      <c r="AB152" s="41">
        <f t="shared" si="326"/>
        <v>0</v>
      </c>
      <c r="AC152" s="51">
        <f t="shared" si="326"/>
        <v>0</v>
      </c>
      <c r="AD152" s="11">
        <f t="shared" si="326"/>
        <v>0</v>
      </c>
      <c r="AE152" s="11">
        <f t="shared" si="326"/>
        <v>0</v>
      </c>
      <c r="AF152" s="11">
        <f t="shared" si="326"/>
        <v>0</v>
      </c>
      <c r="AG152" s="18">
        <f t="shared" si="326"/>
        <v>0</v>
      </c>
      <c r="AH152" s="50">
        <f t="shared" si="328"/>
        <v>0</v>
      </c>
      <c r="AI152" s="51">
        <f t="shared" si="328"/>
        <v>0</v>
      </c>
      <c r="AJ152" s="51">
        <f t="shared" si="328"/>
        <v>0</v>
      </c>
      <c r="AK152" s="51">
        <f t="shared" si="328"/>
        <v>0</v>
      </c>
      <c r="AL152" s="51">
        <f t="shared" si="328"/>
        <v>0</v>
      </c>
      <c r="AM152" s="18">
        <f t="shared" si="304"/>
        <v>0</v>
      </c>
      <c r="AN152" s="41">
        <f t="shared" si="305"/>
        <v>0</v>
      </c>
      <c r="AO152" s="11">
        <f t="shared" si="305"/>
        <v>0</v>
      </c>
      <c r="AP152" s="11">
        <f t="shared" si="305"/>
        <v>0</v>
      </c>
      <c r="AQ152" s="11">
        <f t="shared" si="305"/>
        <v>0</v>
      </c>
      <c r="AR152" s="11">
        <f t="shared" si="305"/>
        <v>0</v>
      </c>
      <c r="AS152" s="18">
        <f t="shared" si="306"/>
        <v>0</v>
      </c>
      <c r="AT152" s="41">
        <f t="shared" si="300"/>
        <v>0</v>
      </c>
      <c r="AU152" s="11">
        <f t="shared" si="300"/>
        <v>0</v>
      </c>
      <c r="AV152" s="11">
        <f t="shared" si="300"/>
        <v>0</v>
      </c>
      <c r="AW152" s="11">
        <f t="shared" si="300"/>
        <v>0</v>
      </c>
      <c r="AX152" s="11">
        <f t="shared" si="300"/>
        <v>0</v>
      </c>
      <c r="AY152" s="18">
        <f t="shared" si="300"/>
        <v>0</v>
      </c>
      <c r="AZ152" s="41">
        <f t="shared" si="307"/>
        <v>0</v>
      </c>
      <c r="BA152" s="11">
        <f t="shared" si="307"/>
        <v>0</v>
      </c>
      <c r="BB152" s="11">
        <f t="shared" si="307"/>
        <v>0</v>
      </c>
      <c r="BC152" s="11">
        <f t="shared" si="307"/>
        <v>0</v>
      </c>
      <c r="BD152" s="11">
        <f t="shared" si="307"/>
        <v>0</v>
      </c>
      <c r="BE152" s="11">
        <f t="shared" si="308"/>
        <v>0</v>
      </c>
      <c r="BF152" s="18">
        <f t="shared" si="308"/>
        <v>0</v>
      </c>
      <c r="BG152" s="20">
        <f t="shared" si="321"/>
        <v>0</v>
      </c>
      <c r="BH152" s="11">
        <f t="shared" si="321"/>
        <v>0</v>
      </c>
      <c r="BI152" s="11">
        <f t="shared" si="321"/>
        <v>0</v>
      </c>
      <c r="BJ152" s="11">
        <f t="shared" si="321"/>
        <v>0</v>
      </c>
      <c r="BK152" s="11">
        <f t="shared" si="321"/>
        <v>0</v>
      </c>
      <c r="BL152" s="11">
        <f t="shared" si="309"/>
        <v>0</v>
      </c>
      <c r="BM152" s="11">
        <f t="shared" si="309"/>
        <v>0</v>
      </c>
      <c r="BN152" s="18">
        <f t="shared" si="309"/>
        <v>0</v>
      </c>
      <c r="BO152" s="191">
        <f t="shared" si="327"/>
        <v>0</v>
      </c>
      <c r="BP152" s="11">
        <f t="shared" si="327"/>
        <v>0</v>
      </c>
      <c r="BQ152" s="11">
        <f t="shared" si="327"/>
        <v>0</v>
      </c>
      <c r="BR152" s="11">
        <f t="shared" si="327"/>
        <v>0</v>
      </c>
      <c r="BS152" s="11">
        <f t="shared" si="327"/>
        <v>0</v>
      </c>
      <c r="BT152" s="11">
        <f t="shared" si="310"/>
        <v>0</v>
      </c>
      <c r="BU152" s="11">
        <f t="shared" si="310"/>
        <v>0</v>
      </c>
      <c r="BV152" s="18">
        <f t="shared" si="310"/>
        <v>0</v>
      </c>
      <c r="BW152" s="191">
        <f t="shared" si="311"/>
        <v>0</v>
      </c>
      <c r="BX152" s="211">
        <f t="shared" si="311"/>
        <v>0</v>
      </c>
      <c r="BY152" s="211">
        <f t="shared" si="311"/>
        <v>0</v>
      </c>
      <c r="BZ152" s="211">
        <f t="shared" si="311"/>
        <v>0</v>
      </c>
      <c r="CA152" s="211">
        <f t="shared" si="311"/>
        <v>0</v>
      </c>
      <c r="CB152" s="11">
        <f t="shared" si="312"/>
        <v>0</v>
      </c>
      <c r="CC152" s="11">
        <f t="shared" si="312"/>
        <v>0</v>
      </c>
      <c r="CD152" s="18">
        <f t="shared" si="312"/>
        <v>0</v>
      </c>
      <c r="CE152" s="191">
        <f t="shared" si="322"/>
        <v>0</v>
      </c>
      <c r="CF152" s="11">
        <f t="shared" si="322"/>
        <v>0</v>
      </c>
      <c r="CG152" s="11">
        <f t="shared" si="322"/>
        <v>0</v>
      </c>
      <c r="CH152" s="11">
        <f t="shared" si="322"/>
        <v>0</v>
      </c>
      <c r="CI152" s="11">
        <f t="shared" si="322"/>
        <v>0</v>
      </c>
      <c r="CJ152" s="11">
        <f t="shared" si="313"/>
        <v>0</v>
      </c>
      <c r="CK152" s="11">
        <f t="shared" si="313"/>
        <v>0</v>
      </c>
      <c r="CL152" s="18">
        <f t="shared" si="313"/>
        <v>0</v>
      </c>
      <c r="CM152" s="41">
        <f t="shared" si="323"/>
        <v>0</v>
      </c>
      <c r="CN152" s="11">
        <f t="shared" si="323"/>
        <v>0</v>
      </c>
      <c r="CO152" s="11">
        <f t="shared" si="323"/>
        <v>0</v>
      </c>
      <c r="CP152" s="11">
        <f t="shared" si="323"/>
        <v>0</v>
      </c>
      <c r="CQ152" s="11">
        <f t="shared" si="323"/>
        <v>0</v>
      </c>
      <c r="CR152" s="11">
        <f t="shared" si="314"/>
        <v>0</v>
      </c>
      <c r="CS152" s="11">
        <f t="shared" si="314"/>
        <v>0</v>
      </c>
      <c r="CT152" s="11">
        <f t="shared" si="314"/>
        <v>0</v>
      </c>
    </row>
    <row r="153" spans="1:98" ht="26.25" hidden="1" customHeight="1" outlineLevel="1" x14ac:dyDescent="0.4">
      <c r="A153" s="350">
        <v>74</v>
      </c>
      <c r="B153" s="350" t="s">
        <v>45</v>
      </c>
      <c r="C153" s="350" t="s">
        <v>342</v>
      </c>
      <c r="D153" s="352"/>
      <c r="E153" s="352"/>
      <c r="F153" s="352"/>
      <c r="G153" s="385"/>
      <c r="H153" s="446">
        <f t="shared" ref="H153" si="334">SUM(BO153:BV153)</f>
        <v>0</v>
      </c>
      <c r="I153" s="446">
        <f t="shared" ref="I153" si="335">SUM(BO154:BV154)</f>
        <v>0</v>
      </c>
      <c r="J153" s="448"/>
      <c r="K153" s="452"/>
      <c r="L153" s="452"/>
      <c r="M153" s="450"/>
      <c r="N153" s="47" t="s">
        <v>24</v>
      </c>
      <c r="O153" s="10">
        <f t="shared" si="333"/>
        <v>0</v>
      </c>
      <c r="P153" s="10">
        <f t="shared" si="333"/>
        <v>0</v>
      </c>
      <c r="Q153" s="10">
        <f t="shared" si="333"/>
        <v>0</v>
      </c>
      <c r="R153" s="10">
        <f t="shared" si="333"/>
        <v>0</v>
      </c>
      <c r="S153" s="10">
        <f t="shared" si="333"/>
        <v>0</v>
      </c>
      <c r="T153" s="10">
        <f t="shared" si="333"/>
        <v>0</v>
      </c>
      <c r="U153" s="79">
        <f t="shared" si="333"/>
        <v>0</v>
      </c>
      <c r="V153" s="19">
        <f t="shared" si="303"/>
        <v>0</v>
      </c>
      <c r="W153" s="10">
        <f t="shared" si="303"/>
        <v>0</v>
      </c>
      <c r="X153" s="10">
        <f t="shared" si="303"/>
        <v>0</v>
      </c>
      <c r="Y153" s="10">
        <f t="shared" si="303"/>
        <v>0</v>
      </c>
      <c r="Z153" s="10">
        <f t="shared" si="303"/>
        <v>0</v>
      </c>
      <c r="AA153" s="10">
        <f t="shared" si="326"/>
        <v>0</v>
      </c>
      <c r="AB153" s="19">
        <f t="shared" si="326"/>
        <v>0</v>
      </c>
      <c r="AC153" s="10">
        <f t="shared" si="326"/>
        <v>0</v>
      </c>
      <c r="AD153" s="210">
        <f t="shared" si="326"/>
        <v>0</v>
      </c>
      <c r="AE153" s="10">
        <f t="shared" si="326"/>
        <v>0</v>
      </c>
      <c r="AF153" s="10">
        <f t="shared" si="326"/>
        <v>0</v>
      </c>
      <c r="AG153" s="10">
        <f t="shared" si="326"/>
        <v>0</v>
      </c>
      <c r="AH153" s="19">
        <f t="shared" si="328"/>
        <v>0</v>
      </c>
      <c r="AI153" s="10">
        <f t="shared" si="328"/>
        <v>0</v>
      </c>
      <c r="AJ153" s="10">
        <f t="shared" si="328"/>
        <v>0</v>
      </c>
      <c r="AK153" s="10">
        <f t="shared" si="328"/>
        <v>0</v>
      </c>
      <c r="AL153" s="10">
        <f t="shared" si="328"/>
        <v>0</v>
      </c>
      <c r="AM153" s="10">
        <f t="shared" si="304"/>
        <v>0</v>
      </c>
      <c r="AN153" s="19">
        <f t="shared" si="305"/>
        <v>0</v>
      </c>
      <c r="AO153" s="10">
        <f t="shared" si="305"/>
        <v>0</v>
      </c>
      <c r="AP153" s="10">
        <f t="shared" si="305"/>
        <v>0</v>
      </c>
      <c r="AQ153" s="10">
        <f t="shared" si="305"/>
        <v>0</v>
      </c>
      <c r="AR153" s="10">
        <f t="shared" si="305"/>
        <v>0</v>
      </c>
      <c r="AS153" s="10">
        <f t="shared" si="306"/>
        <v>0</v>
      </c>
      <c r="AT153" s="71">
        <f t="shared" si="300"/>
        <v>0</v>
      </c>
      <c r="AU153" s="10">
        <f t="shared" si="300"/>
        <v>0</v>
      </c>
      <c r="AV153" s="10">
        <f t="shared" si="300"/>
        <v>0</v>
      </c>
      <c r="AW153" s="10">
        <f t="shared" si="300"/>
        <v>0</v>
      </c>
      <c r="AX153" s="10">
        <f t="shared" si="300"/>
        <v>0</v>
      </c>
      <c r="AY153" s="10">
        <f t="shared" si="300"/>
        <v>0</v>
      </c>
      <c r="AZ153" s="19">
        <f t="shared" si="307"/>
        <v>0</v>
      </c>
      <c r="BA153" s="10">
        <f t="shared" si="307"/>
        <v>0</v>
      </c>
      <c r="BB153" s="10">
        <f t="shared" si="307"/>
        <v>0</v>
      </c>
      <c r="BC153" s="10">
        <f t="shared" si="307"/>
        <v>0</v>
      </c>
      <c r="BD153" s="10">
        <f t="shared" si="307"/>
        <v>0</v>
      </c>
      <c r="BE153" s="10">
        <f t="shared" si="308"/>
        <v>0</v>
      </c>
      <c r="BF153" s="10">
        <f t="shared" si="308"/>
        <v>0</v>
      </c>
      <c r="BG153" s="190">
        <f t="shared" si="321"/>
        <v>0</v>
      </c>
      <c r="BH153" s="210">
        <f t="shared" si="321"/>
        <v>0</v>
      </c>
      <c r="BI153" s="210">
        <f t="shared" si="321"/>
        <v>0</v>
      </c>
      <c r="BJ153" s="210">
        <f t="shared" si="321"/>
        <v>0</v>
      </c>
      <c r="BK153" s="210">
        <f t="shared" si="321"/>
        <v>0</v>
      </c>
      <c r="BL153" s="10">
        <f t="shared" si="309"/>
        <v>0</v>
      </c>
      <c r="BM153" s="10">
        <f t="shared" si="309"/>
        <v>0</v>
      </c>
      <c r="BN153" s="10">
        <f t="shared" si="309"/>
        <v>0</v>
      </c>
      <c r="BO153" s="71">
        <f t="shared" si="327"/>
        <v>0</v>
      </c>
      <c r="BP153" s="10">
        <f t="shared" si="327"/>
        <v>0</v>
      </c>
      <c r="BQ153" s="10">
        <f t="shared" si="327"/>
        <v>0</v>
      </c>
      <c r="BR153" s="10">
        <f t="shared" si="327"/>
        <v>0</v>
      </c>
      <c r="BS153" s="10">
        <f t="shared" si="327"/>
        <v>0</v>
      </c>
      <c r="BT153" s="10">
        <f t="shared" si="310"/>
        <v>0</v>
      </c>
      <c r="BU153" s="10">
        <f t="shared" si="310"/>
        <v>0</v>
      </c>
      <c r="BV153" s="10">
        <f t="shared" si="310"/>
        <v>0</v>
      </c>
      <c r="BW153" s="71">
        <f t="shared" si="311"/>
        <v>0</v>
      </c>
      <c r="BX153" s="10">
        <f t="shared" si="311"/>
        <v>0</v>
      </c>
      <c r="BY153" s="10">
        <f t="shared" si="311"/>
        <v>0</v>
      </c>
      <c r="BZ153" s="10">
        <f t="shared" si="311"/>
        <v>0</v>
      </c>
      <c r="CA153" s="10">
        <f t="shared" si="311"/>
        <v>0</v>
      </c>
      <c r="CB153" s="10">
        <f t="shared" si="312"/>
        <v>0</v>
      </c>
      <c r="CC153" s="10">
        <f t="shared" si="312"/>
        <v>0</v>
      </c>
      <c r="CD153" s="10">
        <f t="shared" si="312"/>
        <v>0</v>
      </c>
      <c r="CE153" s="71">
        <f t="shared" si="322"/>
        <v>0</v>
      </c>
      <c r="CF153" s="10">
        <f t="shared" si="322"/>
        <v>0</v>
      </c>
      <c r="CG153" s="10">
        <f t="shared" si="322"/>
        <v>0</v>
      </c>
      <c r="CH153" s="10">
        <f t="shared" si="322"/>
        <v>0</v>
      </c>
      <c r="CI153" s="10">
        <f t="shared" si="322"/>
        <v>0</v>
      </c>
      <c r="CJ153" s="10">
        <f t="shared" si="313"/>
        <v>0</v>
      </c>
      <c r="CK153" s="10">
        <f t="shared" si="313"/>
        <v>0</v>
      </c>
      <c r="CL153" s="10">
        <f t="shared" si="313"/>
        <v>0</v>
      </c>
      <c r="CM153" s="71">
        <f t="shared" si="323"/>
        <v>0</v>
      </c>
      <c r="CN153" s="10">
        <f t="shared" si="323"/>
        <v>0</v>
      </c>
      <c r="CO153" s="10">
        <f t="shared" si="323"/>
        <v>0</v>
      </c>
      <c r="CP153" s="10">
        <f t="shared" si="323"/>
        <v>0</v>
      </c>
      <c r="CQ153" s="10">
        <f t="shared" si="323"/>
        <v>0</v>
      </c>
      <c r="CR153" s="10">
        <f t="shared" si="314"/>
        <v>0</v>
      </c>
      <c r="CS153" s="10">
        <f t="shared" si="314"/>
        <v>0</v>
      </c>
      <c r="CT153" s="10">
        <f t="shared" si="314"/>
        <v>0</v>
      </c>
    </row>
    <row r="154" spans="1:98" ht="26.25" hidden="1" customHeight="1" outlineLevel="1" x14ac:dyDescent="0.4">
      <c r="A154" s="351"/>
      <c r="B154" s="351"/>
      <c r="C154" s="351"/>
      <c r="D154" s="353"/>
      <c r="E154" s="353"/>
      <c r="F154" s="353"/>
      <c r="G154" s="385"/>
      <c r="H154" s="447"/>
      <c r="I154" s="447"/>
      <c r="J154" s="449"/>
      <c r="K154" s="453"/>
      <c r="L154" s="453"/>
      <c r="M154" s="451"/>
      <c r="N154" s="38" t="s">
        <v>25</v>
      </c>
      <c r="O154" s="11">
        <f t="shared" si="333"/>
        <v>0</v>
      </c>
      <c r="P154" s="11">
        <f t="shared" si="333"/>
        <v>0</v>
      </c>
      <c r="Q154" s="11">
        <f t="shared" si="333"/>
        <v>0</v>
      </c>
      <c r="R154" s="11">
        <f t="shared" si="333"/>
        <v>0</v>
      </c>
      <c r="S154" s="11">
        <f t="shared" si="333"/>
        <v>0</v>
      </c>
      <c r="T154" s="11">
        <f t="shared" si="333"/>
        <v>0</v>
      </c>
      <c r="U154" s="48">
        <f t="shared" si="333"/>
        <v>0</v>
      </c>
      <c r="V154" s="56">
        <f t="shared" si="303"/>
        <v>0</v>
      </c>
      <c r="W154" s="18">
        <f t="shared" si="303"/>
        <v>0</v>
      </c>
      <c r="X154" s="18">
        <f t="shared" si="303"/>
        <v>0</v>
      </c>
      <c r="Y154" s="18">
        <f t="shared" si="303"/>
        <v>0</v>
      </c>
      <c r="Z154" s="18">
        <f t="shared" si="303"/>
        <v>0</v>
      </c>
      <c r="AA154" s="18">
        <f t="shared" si="326"/>
        <v>0</v>
      </c>
      <c r="AB154" s="41">
        <f t="shared" si="326"/>
        <v>0</v>
      </c>
      <c r="AC154" s="51">
        <f t="shared" si="326"/>
        <v>0</v>
      </c>
      <c r="AD154" s="11">
        <f t="shared" si="326"/>
        <v>0</v>
      </c>
      <c r="AE154" s="11">
        <f t="shared" si="326"/>
        <v>0</v>
      </c>
      <c r="AF154" s="11">
        <f t="shared" si="326"/>
        <v>0</v>
      </c>
      <c r="AG154" s="18">
        <f t="shared" si="326"/>
        <v>0</v>
      </c>
      <c r="AH154" s="50">
        <f t="shared" si="328"/>
        <v>0</v>
      </c>
      <c r="AI154" s="51">
        <f t="shared" si="328"/>
        <v>0</v>
      </c>
      <c r="AJ154" s="51">
        <f t="shared" si="328"/>
        <v>0</v>
      </c>
      <c r="AK154" s="51">
        <f t="shared" si="328"/>
        <v>0</v>
      </c>
      <c r="AL154" s="51">
        <f t="shared" si="328"/>
        <v>0</v>
      </c>
      <c r="AM154" s="18">
        <f t="shared" si="304"/>
        <v>0</v>
      </c>
      <c r="AN154" s="41">
        <f t="shared" si="305"/>
        <v>0</v>
      </c>
      <c r="AO154" s="11">
        <f t="shared" si="305"/>
        <v>0</v>
      </c>
      <c r="AP154" s="11">
        <f t="shared" si="305"/>
        <v>0</v>
      </c>
      <c r="AQ154" s="11">
        <f t="shared" si="305"/>
        <v>0</v>
      </c>
      <c r="AR154" s="11">
        <f t="shared" si="305"/>
        <v>0</v>
      </c>
      <c r="AS154" s="18">
        <f t="shared" si="306"/>
        <v>0</v>
      </c>
      <c r="AT154" s="41">
        <f t="shared" ref="AT154:AY166" si="336">0/172.5</f>
        <v>0</v>
      </c>
      <c r="AU154" s="11">
        <f t="shared" si="336"/>
        <v>0</v>
      </c>
      <c r="AV154" s="11">
        <f t="shared" si="336"/>
        <v>0</v>
      </c>
      <c r="AW154" s="11">
        <f t="shared" si="336"/>
        <v>0</v>
      </c>
      <c r="AX154" s="11">
        <f t="shared" si="336"/>
        <v>0</v>
      </c>
      <c r="AY154" s="18">
        <f t="shared" si="336"/>
        <v>0</v>
      </c>
      <c r="AZ154" s="41">
        <f t="shared" si="307"/>
        <v>0</v>
      </c>
      <c r="BA154" s="11">
        <f t="shared" si="307"/>
        <v>0</v>
      </c>
      <c r="BB154" s="11">
        <f t="shared" si="307"/>
        <v>0</v>
      </c>
      <c r="BC154" s="11">
        <f t="shared" si="307"/>
        <v>0</v>
      </c>
      <c r="BD154" s="11">
        <f t="shared" si="307"/>
        <v>0</v>
      </c>
      <c r="BE154" s="11">
        <f t="shared" si="308"/>
        <v>0</v>
      </c>
      <c r="BF154" s="18">
        <f t="shared" si="308"/>
        <v>0</v>
      </c>
      <c r="BG154" s="20">
        <f t="shared" si="321"/>
        <v>0</v>
      </c>
      <c r="BH154" s="11">
        <f t="shared" si="321"/>
        <v>0</v>
      </c>
      <c r="BI154" s="11">
        <f t="shared" si="321"/>
        <v>0</v>
      </c>
      <c r="BJ154" s="11">
        <f t="shared" si="321"/>
        <v>0</v>
      </c>
      <c r="BK154" s="11">
        <f t="shared" si="321"/>
        <v>0</v>
      </c>
      <c r="BL154" s="11">
        <f t="shared" si="309"/>
        <v>0</v>
      </c>
      <c r="BM154" s="11">
        <f t="shared" si="309"/>
        <v>0</v>
      </c>
      <c r="BN154" s="18">
        <f t="shared" si="309"/>
        <v>0</v>
      </c>
      <c r="BO154" s="191">
        <f t="shared" si="327"/>
        <v>0</v>
      </c>
      <c r="BP154" s="11">
        <f t="shared" si="327"/>
        <v>0</v>
      </c>
      <c r="BQ154" s="11">
        <f t="shared" si="327"/>
        <v>0</v>
      </c>
      <c r="BR154" s="11">
        <f t="shared" si="327"/>
        <v>0</v>
      </c>
      <c r="BS154" s="11">
        <f t="shared" si="327"/>
        <v>0</v>
      </c>
      <c r="BT154" s="11">
        <f t="shared" si="310"/>
        <v>0</v>
      </c>
      <c r="BU154" s="11">
        <f t="shared" si="310"/>
        <v>0</v>
      </c>
      <c r="BV154" s="18">
        <f t="shared" si="310"/>
        <v>0</v>
      </c>
      <c r="BW154" s="191">
        <f t="shared" si="311"/>
        <v>0</v>
      </c>
      <c r="BX154" s="211">
        <f t="shared" si="311"/>
        <v>0</v>
      </c>
      <c r="BY154" s="211">
        <f t="shared" si="311"/>
        <v>0</v>
      </c>
      <c r="BZ154" s="211">
        <f t="shared" si="311"/>
        <v>0</v>
      </c>
      <c r="CA154" s="211">
        <f t="shared" si="311"/>
        <v>0</v>
      </c>
      <c r="CB154" s="11">
        <f t="shared" si="312"/>
        <v>0</v>
      </c>
      <c r="CC154" s="11">
        <f t="shared" si="312"/>
        <v>0</v>
      </c>
      <c r="CD154" s="18">
        <f t="shared" si="312"/>
        <v>0</v>
      </c>
      <c r="CE154" s="191">
        <f t="shared" si="322"/>
        <v>0</v>
      </c>
      <c r="CF154" s="11">
        <f t="shared" si="322"/>
        <v>0</v>
      </c>
      <c r="CG154" s="11">
        <f t="shared" si="322"/>
        <v>0</v>
      </c>
      <c r="CH154" s="11">
        <f t="shared" si="322"/>
        <v>0</v>
      </c>
      <c r="CI154" s="11">
        <f t="shared" si="322"/>
        <v>0</v>
      </c>
      <c r="CJ154" s="11">
        <f t="shared" si="313"/>
        <v>0</v>
      </c>
      <c r="CK154" s="11">
        <f t="shared" si="313"/>
        <v>0</v>
      </c>
      <c r="CL154" s="18">
        <f t="shared" si="313"/>
        <v>0</v>
      </c>
      <c r="CM154" s="41">
        <f t="shared" si="323"/>
        <v>0</v>
      </c>
      <c r="CN154" s="11">
        <f t="shared" si="323"/>
        <v>0</v>
      </c>
      <c r="CO154" s="11">
        <f t="shared" si="323"/>
        <v>0</v>
      </c>
      <c r="CP154" s="11">
        <f t="shared" si="323"/>
        <v>0</v>
      </c>
      <c r="CQ154" s="11">
        <f t="shared" si="323"/>
        <v>0</v>
      </c>
      <c r="CR154" s="11">
        <f t="shared" si="314"/>
        <v>0</v>
      </c>
      <c r="CS154" s="11">
        <f t="shared" si="314"/>
        <v>0</v>
      </c>
      <c r="CT154" s="11">
        <f t="shared" si="314"/>
        <v>0</v>
      </c>
    </row>
    <row r="155" spans="1:98" ht="26.25" hidden="1" customHeight="1" outlineLevel="1" collapsed="1" x14ac:dyDescent="0.4">
      <c r="A155" s="350">
        <v>75</v>
      </c>
      <c r="B155" s="350" t="s">
        <v>45</v>
      </c>
      <c r="C155" s="350" t="s">
        <v>342</v>
      </c>
      <c r="D155" s="352"/>
      <c r="E155" s="352"/>
      <c r="F155" s="352"/>
      <c r="G155" s="385"/>
      <c r="H155" s="446">
        <f t="shared" ref="H155" si="337">SUM(BO155:BV155)</f>
        <v>0</v>
      </c>
      <c r="I155" s="446">
        <f t="shared" ref="I155" si="338">SUM(BO156:BV156)</f>
        <v>0</v>
      </c>
      <c r="J155" s="448"/>
      <c r="K155" s="452"/>
      <c r="L155" s="452"/>
      <c r="M155" s="450"/>
      <c r="N155" s="47" t="s">
        <v>24</v>
      </c>
      <c r="O155" s="10">
        <f t="shared" si="333"/>
        <v>0</v>
      </c>
      <c r="P155" s="10">
        <f t="shared" si="333"/>
        <v>0</v>
      </c>
      <c r="Q155" s="10">
        <f t="shared" si="333"/>
        <v>0</v>
      </c>
      <c r="R155" s="10">
        <f t="shared" si="333"/>
        <v>0</v>
      </c>
      <c r="S155" s="10">
        <f t="shared" si="333"/>
        <v>0</v>
      </c>
      <c r="T155" s="10">
        <f t="shared" si="333"/>
        <v>0</v>
      </c>
      <c r="U155" s="79">
        <f t="shared" si="333"/>
        <v>0</v>
      </c>
      <c r="V155" s="19">
        <f t="shared" ref="V155:Z166" si="339">0/142.5</f>
        <v>0</v>
      </c>
      <c r="W155" s="10">
        <f t="shared" si="339"/>
        <v>0</v>
      </c>
      <c r="X155" s="10">
        <f t="shared" si="339"/>
        <v>0</v>
      </c>
      <c r="Y155" s="10">
        <f t="shared" si="339"/>
        <v>0</v>
      </c>
      <c r="Z155" s="10">
        <f t="shared" si="339"/>
        <v>0</v>
      </c>
      <c r="AA155" s="10">
        <f t="shared" si="326"/>
        <v>0</v>
      </c>
      <c r="AB155" s="19">
        <f t="shared" si="326"/>
        <v>0</v>
      </c>
      <c r="AC155" s="10">
        <f t="shared" si="326"/>
        <v>0</v>
      </c>
      <c r="AD155" s="210">
        <f t="shared" si="326"/>
        <v>0</v>
      </c>
      <c r="AE155" s="10">
        <f t="shared" si="326"/>
        <v>0</v>
      </c>
      <c r="AF155" s="10">
        <f t="shared" si="326"/>
        <v>0</v>
      </c>
      <c r="AG155" s="10">
        <f t="shared" si="326"/>
        <v>0</v>
      </c>
      <c r="AH155" s="19">
        <f t="shared" si="328"/>
        <v>0</v>
      </c>
      <c r="AI155" s="10">
        <f t="shared" si="328"/>
        <v>0</v>
      </c>
      <c r="AJ155" s="10">
        <f t="shared" si="328"/>
        <v>0</v>
      </c>
      <c r="AK155" s="10">
        <f t="shared" si="328"/>
        <v>0</v>
      </c>
      <c r="AL155" s="10">
        <f t="shared" si="328"/>
        <v>0</v>
      </c>
      <c r="AM155" s="10">
        <f t="shared" ref="AM155:AM166" si="340">0/165</f>
        <v>0</v>
      </c>
      <c r="AN155" s="19">
        <f t="shared" ref="AN155:AR166" si="341">0/157.5</f>
        <v>0</v>
      </c>
      <c r="AO155" s="10">
        <f t="shared" si="341"/>
        <v>0</v>
      </c>
      <c r="AP155" s="10">
        <f t="shared" si="341"/>
        <v>0</v>
      </c>
      <c r="AQ155" s="10">
        <f t="shared" si="341"/>
        <v>0</v>
      </c>
      <c r="AR155" s="10">
        <f t="shared" si="341"/>
        <v>0</v>
      </c>
      <c r="AS155" s="10">
        <f t="shared" ref="AS155:AS166" si="342">0/165</f>
        <v>0</v>
      </c>
      <c r="AT155" s="71">
        <f t="shared" si="336"/>
        <v>0</v>
      </c>
      <c r="AU155" s="10">
        <f t="shared" si="336"/>
        <v>0</v>
      </c>
      <c r="AV155" s="10">
        <f t="shared" si="336"/>
        <v>0</v>
      </c>
      <c r="AW155" s="10">
        <f t="shared" si="336"/>
        <v>0</v>
      </c>
      <c r="AX155" s="10">
        <f t="shared" si="336"/>
        <v>0</v>
      </c>
      <c r="AY155" s="10">
        <f t="shared" si="336"/>
        <v>0</v>
      </c>
      <c r="AZ155" s="19">
        <f t="shared" ref="AZ155:BD166" si="343">0/142.5</f>
        <v>0</v>
      </c>
      <c r="BA155" s="10">
        <f t="shared" si="343"/>
        <v>0</v>
      </c>
      <c r="BB155" s="10">
        <f t="shared" si="343"/>
        <v>0</v>
      </c>
      <c r="BC155" s="10">
        <f t="shared" si="343"/>
        <v>0</v>
      </c>
      <c r="BD155" s="10">
        <f t="shared" si="343"/>
        <v>0</v>
      </c>
      <c r="BE155" s="10">
        <f t="shared" ref="BE155:BF166" si="344">0/172.5</f>
        <v>0</v>
      </c>
      <c r="BF155" s="10">
        <f t="shared" si="344"/>
        <v>0</v>
      </c>
      <c r="BG155" s="190">
        <f t="shared" si="321"/>
        <v>0</v>
      </c>
      <c r="BH155" s="210">
        <f t="shared" si="321"/>
        <v>0</v>
      </c>
      <c r="BI155" s="210">
        <f t="shared" si="321"/>
        <v>0</v>
      </c>
      <c r="BJ155" s="210">
        <f t="shared" si="321"/>
        <v>0</v>
      </c>
      <c r="BK155" s="210">
        <f t="shared" si="321"/>
        <v>0</v>
      </c>
      <c r="BL155" s="10">
        <f t="shared" ref="BL155:BN166" si="345">0/172.5</f>
        <v>0</v>
      </c>
      <c r="BM155" s="10">
        <f t="shared" si="345"/>
        <v>0</v>
      </c>
      <c r="BN155" s="10">
        <f t="shared" si="345"/>
        <v>0</v>
      </c>
      <c r="BO155" s="71">
        <f t="shared" si="327"/>
        <v>0</v>
      </c>
      <c r="BP155" s="10">
        <f t="shared" si="327"/>
        <v>0</v>
      </c>
      <c r="BQ155" s="10">
        <f t="shared" si="327"/>
        <v>0</v>
      </c>
      <c r="BR155" s="10">
        <f t="shared" si="327"/>
        <v>0</v>
      </c>
      <c r="BS155" s="10">
        <f t="shared" si="327"/>
        <v>0</v>
      </c>
      <c r="BT155" s="10">
        <f t="shared" ref="BT155:BV166" si="346">0/172.5</f>
        <v>0</v>
      </c>
      <c r="BU155" s="10">
        <f t="shared" si="346"/>
        <v>0</v>
      </c>
      <c r="BV155" s="10">
        <f t="shared" si="346"/>
        <v>0</v>
      </c>
      <c r="BW155" s="71">
        <f t="shared" ref="BW155:CA166" si="347">0/157.5</f>
        <v>0</v>
      </c>
      <c r="BX155" s="10">
        <f t="shared" si="347"/>
        <v>0</v>
      </c>
      <c r="BY155" s="10">
        <f t="shared" si="347"/>
        <v>0</v>
      </c>
      <c r="BZ155" s="10">
        <f t="shared" si="347"/>
        <v>0</v>
      </c>
      <c r="CA155" s="10">
        <f t="shared" si="347"/>
        <v>0</v>
      </c>
      <c r="CB155" s="10">
        <f t="shared" ref="CB155:CD166" si="348">0/172.5</f>
        <v>0</v>
      </c>
      <c r="CC155" s="10">
        <f t="shared" si="348"/>
        <v>0</v>
      </c>
      <c r="CD155" s="10">
        <f t="shared" si="348"/>
        <v>0</v>
      </c>
      <c r="CE155" s="71">
        <f t="shared" si="322"/>
        <v>0</v>
      </c>
      <c r="CF155" s="10">
        <f t="shared" si="322"/>
        <v>0</v>
      </c>
      <c r="CG155" s="10">
        <f t="shared" si="322"/>
        <v>0</v>
      </c>
      <c r="CH155" s="10">
        <f t="shared" si="322"/>
        <v>0</v>
      </c>
      <c r="CI155" s="10">
        <f t="shared" si="322"/>
        <v>0</v>
      </c>
      <c r="CJ155" s="10">
        <f t="shared" ref="CJ155:CL166" si="349">0/172.5</f>
        <v>0</v>
      </c>
      <c r="CK155" s="10">
        <f t="shared" si="349"/>
        <v>0</v>
      </c>
      <c r="CL155" s="10">
        <f t="shared" si="349"/>
        <v>0</v>
      </c>
      <c r="CM155" s="71">
        <f t="shared" si="323"/>
        <v>0</v>
      </c>
      <c r="CN155" s="10">
        <f t="shared" si="323"/>
        <v>0</v>
      </c>
      <c r="CO155" s="10">
        <f t="shared" si="323"/>
        <v>0</v>
      </c>
      <c r="CP155" s="10">
        <f t="shared" si="323"/>
        <v>0</v>
      </c>
      <c r="CQ155" s="10">
        <f t="shared" si="323"/>
        <v>0</v>
      </c>
      <c r="CR155" s="10">
        <f t="shared" ref="CR155:CT166" si="350">0/172.5</f>
        <v>0</v>
      </c>
      <c r="CS155" s="10">
        <f t="shared" si="350"/>
        <v>0</v>
      </c>
      <c r="CT155" s="10">
        <f t="shared" si="350"/>
        <v>0</v>
      </c>
    </row>
    <row r="156" spans="1:98" ht="26.25" hidden="1" customHeight="1" outlineLevel="1" x14ac:dyDescent="0.4">
      <c r="A156" s="351"/>
      <c r="B156" s="351"/>
      <c r="C156" s="351"/>
      <c r="D156" s="353"/>
      <c r="E156" s="353"/>
      <c r="F156" s="353"/>
      <c r="G156" s="385"/>
      <c r="H156" s="447"/>
      <c r="I156" s="447"/>
      <c r="J156" s="449"/>
      <c r="K156" s="453"/>
      <c r="L156" s="453"/>
      <c r="M156" s="451"/>
      <c r="N156" s="38" t="s">
        <v>25</v>
      </c>
      <c r="O156" s="11">
        <f t="shared" si="333"/>
        <v>0</v>
      </c>
      <c r="P156" s="11">
        <f t="shared" si="333"/>
        <v>0</v>
      </c>
      <c r="Q156" s="11">
        <f t="shared" si="333"/>
        <v>0</v>
      </c>
      <c r="R156" s="11">
        <f t="shared" si="333"/>
        <v>0</v>
      </c>
      <c r="S156" s="11">
        <f t="shared" si="333"/>
        <v>0</v>
      </c>
      <c r="T156" s="11">
        <f t="shared" si="333"/>
        <v>0</v>
      </c>
      <c r="U156" s="48">
        <f t="shared" si="333"/>
        <v>0</v>
      </c>
      <c r="V156" s="56">
        <f t="shared" si="339"/>
        <v>0</v>
      </c>
      <c r="W156" s="18">
        <f t="shared" si="339"/>
        <v>0</v>
      </c>
      <c r="X156" s="18">
        <f t="shared" si="339"/>
        <v>0</v>
      </c>
      <c r="Y156" s="18">
        <f t="shared" si="339"/>
        <v>0</v>
      </c>
      <c r="Z156" s="18">
        <f t="shared" si="339"/>
        <v>0</v>
      </c>
      <c r="AA156" s="18">
        <f t="shared" si="326"/>
        <v>0</v>
      </c>
      <c r="AB156" s="41">
        <f t="shared" si="326"/>
        <v>0</v>
      </c>
      <c r="AC156" s="51">
        <f t="shared" si="326"/>
        <v>0</v>
      </c>
      <c r="AD156" s="11">
        <f t="shared" si="326"/>
        <v>0</v>
      </c>
      <c r="AE156" s="11">
        <f t="shared" si="326"/>
        <v>0</v>
      </c>
      <c r="AF156" s="11">
        <f t="shared" si="326"/>
        <v>0</v>
      </c>
      <c r="AG156" s="18">
        <f t="shared" si="326"/>
        <v>0</v>
      </c>
      <c r="AH156" s="50">
        <f t="shared" si="328"/>
        <v>0</v>
      </c>
      <c r="AI156" s="51">
        <f t="shared" si="328"/>
        <v>0</v>
      </c>
      <c r="AJ156" s="51">
        <f t="shared" si="328"/>
        <v>0</v>
      </c>
      <c r="AK156" s="51">
        <f t="shared" si="328"/>
        <v>0</v>
      </c>
      <c r="AL156" s="51">
        <f t="shared" si="328"/>
        <v>0</v>
      </c>
      <c r="AM156" s="18">
        <f t="shared" si="340"/>
        <v>0</v>
      </c>
      <c r="AN156" s="41">
        <f t="shared" si="341"/>
        <v>0</v>
      </c>
      <c r="AO156" s="11">
        <f t="shared" si="341"/>
        <v>0</v>
      </c>
      <c r="AP156" s="11">
        <f t="shared" si="341"/>
        <v>0</v>
      </c>
      <c r="AQ156" s="11">
        <f t="shared" si="341"/>
        <v>0</v>
      </c>
      <c r="AR156" s="11">
        <f t="shared" si="341"/>
        <v>0</v>
      </c>
      <c r="AS156" s="18">
        <f t="shared" si="342"/>
        <v>0</v>
      </c>
      <c r="AT156" s="41">
        <f t="shared" si="336"/>
        <v>0</v>
      </c>
      <c r="AU156" s="11">
        <f t="shared" si="336"/>
        <v>0</v>
      </c>
      <c r="AV156" s="11">
        <f t="shared" si="336"/>
        <v>0</v>
      </c>
      <c r="AW156" s="11">
        <f t="shared" si="336"/>
        <v>0</v>
      </c>
      <c r="AX156" s="11">
        <f t="shared" si="336"/>
        <v>0</v>
      </c>
      <c r="AY156" s="18">
        <f t="shared" si="336"/>
        <v>0</v>
      </c>
      <c r="AZ156" s="41">
        <f t="shared" si="343"/>
        <v>0</v>
      </c>
      <c r="BA156" s="11">
        <f t="shared" si="343"/>
        <v>0</v>
      </c>
      <c r="BB156" s="11">
        <f t="shared" si="343"/>
        <v>0</v>
      </c>
      <c r="BC156" s="11">
        <f t="shared" si="343"/>
        <v>0</v>
      </c>
      <c r="BD156" s="11">
        <f t="shared" si="343"/>
        <v>0</v>
      </c>
      <c r="BE156" s="11">
        <f t="shared" si="344"/>
        <v>0</v>
      </c>
      <c r="BF156" s="18">
        <f t="shared" si="344"/>
        <v>0</v>
      </c>
      <c r="BG156" s="20">
        <f t="shared" si="321"/>
        <v>0</v>
      </c>
      <c r="BH156" s="11">
        <f t="shared" si="321"/>
        <v>0</v>
      </c>
      <c r="BI156" s="11">
        <f t="shared" si="321"/>
        <v>0</v>
      </c>
      <c r="BJ156" s="11">
        <f t="shared" si="321"/>
        <v>0</v>
      </c>
      <c r="BK156" s="11">
        <f t="shared" si="321"/>
        <v>0</v>
      </c>
      <c r="BL156" s="11">
        <f t="shared" si="345"/>
        <v>0</v>
      </c>
      <c r="BM156" s="11">
        <f t="shared" si="345"/>
        <v>0</v>
      </c>
      <c r="BN156" s="18">
        <f t="shared" si="345"/>
        <v>0</v>
      </c>
      <c r="BO156" s="191">
        <f t="shared" si="327"/>
        <v>0</v>
      </c>
      <c r="BP156" s="11">
        <f t="shared" si="327"/>
        <v>0</v>
      </c>
      <c r="BQ156" s="11">
        <f t="shared" si="327"/>
        <v>0</v>
      </c>
      <c r="BR156" s="11">
        <f t="shared" si="327"/>
        <v>0</v>
      </c>
      <c r="BS156" s="11">
        <f t="shared" si="327"/>
        <v>0</v>
      </c>
      <c r="BT156" s="11">
        <f t="shared" si="346"/>
        <v>0</v>
      </c>
      <c r="BU156" s="11">
        <f t="shared" si="346"/>
        <v>0</v>
      </c>
      <c r="BV156" s="18">
        <f t="shared" si="346"/>
        <v>0</v>
      </c>
      <c r="BW156" s="191">
        <f t="shared" si="347"/>
        <v>0</v>
      </c>
      <c r="BX156" s="211">
        <f t="shared" si="347"/>
        <v>0</v>
      </c>
      <c r="BY156" s="211">
        <f t="shared" si="347"/>
        <v>0</v>
      </c>
      <c r="BZ156" s="211">
        <f t="shared" si="347"/>
        <v>0</v>
      </c>
      <c r="CA156" s="211">
        <f t="shared" si="347"/>
        <v>0</v>
      </c>
      <c r="CB156" s="11">
        <f t="shared" si="348"/>
        <v>0</v>
      </c>
      <c r="CC156" s="11">
        <f t="shared" si="348"/>
        <v>0</v>
      </c>
      <c r="CD156" s="18">
        <f t="shared" si="348"/>
        <v>0</v>
      </c>
      <c r="CE156" s="191">
        <f t="shared" si="322"/>
        <v>0</v>
      </c>
      <c r="CF156" s="11">
        <f t="shared" si="322"/>
        <v>0</v>
      </c>
      <c r="CG156" s="11">
        <f t="shared" si="322"/>
        <v>0</v>
      </c>
      <c r="CH156" s="11">
        <f t="shared" si="322"/>
        <v>0</v>
      </c>
      <c r="CI156" s="11">
        <f t="shared" si="322"/>
        <v>0</v>
      </c>
      <c r="CJ156" s="11">
        <f t="shared" si="349"/>
        <v>0</v>
      </c>
      <c r="CK156" s="11">
        <f t="shared" si="349"/>
        <v>0</v>
      </c>
      <c r="CL156" s="18">
        <f t="shared" si="349"/>
        <v>0</v>
      </c>
      <c r="CM156" s="41">
        <f t="shared" si="323"/>
        <v>0</v>
      </c>
      <c r="CN156" s="11">
        <f t="shared" si="323"/>
        <v>0</v>
      </c>
      <c r="CO156" s="11">
        <f t="shared" si="323"/>
        <v>0</v>
      </c>
      <c r="CP156" s="11">
        <f t="shared" si="323"/>
        <v>0</v>
      </c>
      <c r="CQ156" s="11">
        <f t="shared" si="323"/>
        <v>0</v>
      </c>
      <c r="CR156" s="11">
        <f t="shared" si="350"/>
        <v>0</v>
      </c>
      <c r="CS156" s="11">
        <f t="shared" si="350"/>
        <v>0</v>
      </c>
      <c r="CT156" s="11">
        <f t="shared" si="350"/>
        <v>0</v>
      </c>
    </row>
    <row r="157" spans="1:98" ht="26.25" hidden="1" customHeight="1" outlineLevel="1" x14ac:dyDescent="0.4">
      <c r="A157" s="350">
        <v>76</v>
      </c>
      <c r="B157" s="350" t="s">
        <v>45</v>
      </c>
      <c r="C157" s="350" t="s">
        <v>342</v>
      </c>
      <c r="D157" s="352"/>
      <c r="E157" s="352"/>
      <c r="F157" s="352"/>
      <c r="G157" s="385"/>
      <c r="H157" s="446">
        <f t="shared" ref="H157" si="351">SUM(BO157:BV157)</f>
        <v>0</v>
      </c>
      <c r="I157" s="446">
        <f t="shared" ref="I157" si="352">SUM(BO158:BV158)</f>
        <v>0</v>
      </c>
      <c r="J157" s="448"/>
      <c r="K157" s="452"/>
      <c r="L157" s="452"/>
      <c r="M157" s="450"/>
      <c r="N157" s="47" t="s">
        <v>24</v>
      </c>
      <c r="O157" s="10">
        <f t="shared" si="333"/>
        <v>0</v>
      </c>
      <c r="P157" s="10">
        <f t="shared" si="333"/>
        <v>0</v>
      </c>
      <c r="Q157" s="10">
        <f t="shared" si="333"/>
        <v>0</v>
      </c>
      <c r="R157" s="10">
        <f t="shared" si="333"/>
        <v>0</v>
      </c>
      <c r="S157" s="10">
        <f t="shared" si="333"/>
        <v>0</v>
      </c>
      <c r="T157" s="10">
        <f t="shared" si="333"/>
        <v>0</v>
      </c>
      <c r="U157" s="79">
        <f t="shared" si="333"/>
        <v>0</v>
      </c>
      <c r="V157" s="19">
        <f t="shared" si="339"/>
        <v>0</v>
      </c>
      <c r="W157" s="10">
        <f t="shared" si="339"/>
        <v>0</v>
      </c>
      <c r="X157" s="10">
        <f t="shared" si="339"/>
        <v>0</v>
      </c>
      <c r="Y157" s="10">
        <f t="shared" si="339"/>
        <v>0</v>
      </c>
      <c r="Z157" s="10">
        <f t="shared" si="339"/>
        <v>0</v>
      </c>
      <c r="AA157" s="10">
        <f t="shared" si="326"/>
        <v>0</v>
      </c>
      <c r="AB157" s="19">
        <f t="shared" si="326"/>
        <v>0</v>
      </c>
      <c r="AC157" s="10">
        <f t="shared" si="326"/>
        <v>0</v>
      </c>
      <c r="AD157" s="210">
        <f t="shared" si="326"/>
        <v>0</v>
      </c>
      <c r="AE157" s="10">
        <f t="shared" si="326"/>
        <v>0</v>
      </c>
      <c r="AF157" s="10">
        <f t="shared" si="326"/>
        <v>0</v>
      </c>
      <c r="AG157" s="10">
        <f t="shared" si="326"/>
        <v>0</v>
      </c>
      <c r="AH157" s="19">
        <f t="shared" si="328"/>
        <v>0</v>
      </c>
      <c r="AI157" s="10">
        <f t="shared" si="328"/>
        <v>0</v>
      </c>
      <c r="AJ157" s="10">
        <f t="shared" si="328"/>
        <v>0</v>
      </c>
      <c r="AK157" s="10">
        <f t="shared" si="328"/>
        <v>0</v>
      </c>
      <c r="AL157" s="10">
        <f t="shared" si="328"/>
        <v>0</v>
      </c>
      <c r="AM157" s="10">
        <f t="shared" si="340"/>
        <v>0</v>
      </c>
      <c r="AN157" s="19">
        <f t="shared" si="341"/>
        <v>0</v>
      </c>
      <c r="AO157" s="10">
        <f t="shared" si="341"/>
        <v>0</v>
      </c>
      <c r="AP157" s="10">
        <f t="shared" si="341"/>
        <v>0</v>
      </c>
      <c r="AQ157" s="10">
        <f t="shared" si="341"/>
        <v>0</v>
      </c>
      <c r="AR157" s="10">
        <f t="shared" si="341"/>
        <v>0</v>
      </c>
      <c r="AS157" s="10">
        <f t="shared" si="342"/>
        <v>0</v>
      </c>
      <c r="AT157" s="71">
        <f t="shared" si="336"/>
        <v>0</v>
      </c>
      <c r="AU157" s="10">
        <f t="shared" si="336"/>
        <v>0</v>
      </c>
      <c r="AV157" s="10">
        <f t="shared" si="336"/>
        <v>0</v>
      </c>
      <c r="AW157" s="10">
        <f t="shared" si="336"/>
        <v>0</v>
      </c>
      <c r="AX157" s="10">
        <f t="shared" si="336"/>
        <v>0</v>
      </c>
      <c r="AY157" s="10">
        <f t="shared" si="336"/>
        <v>0</v>
      </c>
      <c r="AZ157" s="19">
        <f t="shared" si="343"/>
        <v>0</v>
      </c>
      <c r="BA157" s="10">
        <f t="shared" si="343"/>
        <v>0</v>
      </c>
      <c r="BB157" s="10">
        <f t="shared" si="343"/>
        <v>0</v>
      </c>
      <c r="BC157" s="10">
        <f t="shared" si="343"/>
        <v>0</v>
      </c>
      <c r="BD157" s="10">
        <f t="shared" si="343"/>
        <v>0</v>
      </c>
      <c r="BE157" s="10">
        <f t="shared" si="344"/>
        <v>0</v>
      </c>
      <c r="BF157" s="10">
        <f t="shared" si="344"/>
        <v>0</v>
      </c>
      <c r="BG157" s="190">
        <f t="shared" si="321"/>
        <v>0</v>
      </c>
      <c r="BH157" s="210">
        <f t="shared" si="321"/>
        <v>0</v>
      </c>
      <c r="BI157" s="210">
        <f t="shared" si="321"/>
        <v>0</v>
      </c>
      <c r="BJ157" s="210">
        <f t="shared" si="321"/>
        <v>0</v>
      </c>
      <c r="BK157" s="210">
        <f t="shared" si="321"/>
        <v>0</v>
      </c>
      <c r="BL157" s="10">
        <f t="shared" si="345"/>
        <v>0</v>
      </c>
      <c r="BM157" s="10">
        <f t="shared" si="345"/>
        <v>0</v>
      </c>
      <c r="BN157" s="10">
        <f t="shared" si="345"/>
        <v>0</v>
      </c>
      <c r="BO157" s="71">
        <f t="shared" si="327"/>
        <v>0</v>
      </c>
      <c r="BP157" s="10">
        <f t="shared" si="327"/>
        <v>0</v>
      </c>
      <c r="BQ157" s="10">
        <f t="shared" si="327"/>
        <v>0</v>
      </c>
      <c r="BR157" s="10">
        <f t="shared" si="327"/>
        <v>0</v>
      </c>
      <c r="BS157" s="10">
        <f t="shared" si="327"/>
        <v>0</v>
      </c>
      <c r="BT157" s="10">
        <f t="shared" si="346"/>
        <v>0</v>
      </c>
      <c r="BU157" s="10">
        <f t="shared" si="346"/>
        <v>0</v>
      </c>
      <c r="BV157" s="10">
        <f t="shared" si="346"/>
        <v>0</v>
      </c>
      <c r="BW157" s="71">
        <f t="shared" si="347"/>
        <v>0</v>
      </c>
      <c r="BX157" s="10">
        <f t="shared" si="347"/>
        <v>0</v>
      </c>
      <c r="BY157" s="10">
        <f t="shared" si="347"/>
        <v>0</v>
      </c>
      <c r="BZ157" s="10">
        <f t="shared" si="347"/>
        <v>0</v>
      </c>
      <c r="CA157" s="10">
        <f t="shared" si="347"/>
        <v>0</v>
      </c>
      <c r="CB157" s="10">
        <f t="shared" si="348"/>
        <v>0</v>
      </c>
      <c r="CC157" s="10">
        <f t="shared" si="348"/>
        <v>0</v>
      </c>
      <c r="CD157" s="10">
        <f t="shared" si="348"/>
        <v>0</v>
      </c>
      <c r="CE157" s="71">
        <f t="shared" si="322"/>
        <v>0</v>
      </c>
      <c r="CF157" s="10">
        <f t="shared" si="322"/>
        <v>0</v>
      </c>
      <c r="CG157" s="10">
        <f t="shared" si="322"/>
        <v>0</v>
      </c>
      <c r="CH157" s="10">
        <f t="shared" si="322"/>
        <v>0</v>
      </c>
      <c r="CI157" s="10">
        <f t="shared" si="322"/>
        <v>0</v>
      </c>
      <c r="CJ157" s="10">
        <f t="shared" si="349"/>
        <v>0</v>
      </c>
      <c r="CK157" s="10">
        <f t="shared" si="349"/>
        <v>0</v>
      </c>
      <c r="CL157" s="10">
        <f t="shared" si="349"/>
        <v>0</v>
      </c>
      <c r="CM157" s="71">
        <f t="shared" si="323"/>
        <v>0</v>
      </c>
      <c r="CN157" s="10">
        <f t="shared" si="323"/>
        <v>0</v>
      </c>
      <c r="CO157" s="10">
        <f t="shared" si="323"/>
        <v>0</v>
      </c>
      <c r="CP157" s="10">
        <f t="shared" si="323"/>
        <v>0</v>
      </c>
      <c r="CQ157" s="10">
        <f t="shared" si="323"/>
        <v>0</v>
      </c>
      <c r="CR157" s="10">
        <f t="shared" si="350"/>
        <v>0</v>
      </c>
      <c r="CS157" s="10">
        <f t="shared" si="350"/>
        <v>0</v>
      </c>
      <c r="CT157" s="10">
        <f t="shared" si="350"/>
        <v>0</v>
      </c>
    </row>
    <row r="158" spans="1:98" ht="26.25" hidden="1" customHeight="1" outlineLevel="1" x14ac:dyDescent="0.4">
      <c r="A158" s="351"/>
      <c r="B158" s="351"/>
      <c r="C158" s="351"/>
      <c r="D158" s="353"/>
      <c r="E158" s="353"/>
      <c r="F158" s="353"/>
      <c r="G158" s="385"/>
      <c r="H158" s="447"/>
      <c r="I158" s="447"/>
      <c r="J158" s="449"/>
      <c r="K158" s="453"/>
      <c r="L158" s="453"/>
      <c r="M158" s="451"/>
      <c r="N158" s="38" t="s">
        <v>25</v>
      </c>
      <c r="O158" s="11">
        <f t="shared" si="333"/>
        <v>0</v>
      </c>
      <c r="P158" s="11">
        <f t="shared" si="333"/>
        <v>0</v>
      </c>
      <c r="Q158" s="11">
        <f t="shared" si="333"/>
        <v>0</v>
      </c>
      <c r="R158" s="11">
        <f t="shared" si="333"/>
        <v>0</v>
      </c>
      <c r="S158" s="11">
        <f t="shared" si="333"/>
        <v>0</v>
      </c>
      <c r="T158" s="11">
        <f t="shared" si="333"/>
        <v>0</v>
      </c>
      <c r="U158" s="48">
        <f t="shared" si="333"/>
        <v>0</v>
      </c>
      <c r="V158" s="56">
        <f t="shared" si="339"/>
        <v>0</v>
      </c>
      <c r="W158" s="18">
        <f t="shared" si="339"/>
        <v>0</v>
      </c>
      <c r="X158" s="18">
        <f t="shared" si="339"/>
        <v>0</v>
      </c>
      <c r="Y158" s="18">
        <f t="shared" si="339"/>
        <v>0</v>
      </c>
      <c r="Z158" s="18">
        <f t="shared" si="339"/>
        <v>0</v>
      </c>
      <c r="AA158" s="18">
        <f t="shared" si="326"/>
        <v>0</v>
      </c>
      <c r="AB158" s="41">
        <f t="shared" si="326"/>
        <v>0</v>
      </c>
      <c r="AC158" s="51">
        <f t="shared" si="326"/>
        <v>0</v>
      </c>
      <c r="AD158" s="11">
        <f t="shared" si="326"/>
        <v>0</v>
      </c>
      <c r="AE158" s="11">
        <f t="shared" si="326"/>
        <v>0</v>
      </c>
      <c r="AF158" s="11">
        <f t="shared" si="326"/>
        <v>0</v>
      </c>
      <c r="AG158" s="18">
        <f t="shared" si="326"/>
        <v>0</v>
      </c>
      <c r="AH158" s="50">
        <f t="shared" si="328"/>
        <v>0</v>
      </c>
      <c r="AI158" s="51">
        <f t="shared" si="328"/>
        <v>0</v>
      </c>
      <c r="AJ158" s="51">
        <f t="shared" si="328"/>
        <v>0</v>
      </c>
      <c r="AK158" s="51">
        <f t="shared" si="328"/>
        <v>0</v>
      </c>
      <c r="AL158" s="51">
        <f t="shared" si="328"/>
        <v>0</v>
      </c>
      <c r="AM158" s="18">
        <f t="shared" si="340"/>
        <v>0</v>
      </c>
      <c r="AN158" s="41">
        <f t="shared" si="341"/>
        <v>0</v>
      </c>
      <c r="AO158" s="11">
        <f t="shared" si="341"/>
        <v>0</v>
      </c>
      <c r="AP158" s="11">
        <f t="shared" si="341"/>
        <v>0</v>
      </c>
      <c r="AQ158" s="11">
        <f t="shared" si="341"/>
        <v>0</v>
      </c>
      <c r="AR158" s="11">
        <f t="shared" si="341"/>
        <v>0</v>
      </c>
      <c r="AS158" s="18">
        <f t="shared" si="342"/>
        <v>0</v>
      </c>
      <c r="AT158" s="41">
        <f t="shared" si="336"/>
        <v>0</v>
      </c>
      <c r="AU158" s="11">
        <f t="shared" si="336"/>
        <v>0</v>
      </c>
      <c r="AV158" s="11">
        <f t="shared" si="336"/>
        <v>0</v>
      </c>
      <c r="AW158" s="11">
        <f t="shared" si="336"/>
        <v>0</v>
      </c>
      <c r="AX158" s="11">
        <f t="shared" si="336"/>
        <v>0</v>
      </c>
      <c r="AY158" s="18">
        <f t="shared" si="336"/>
        <v>0</v>
      </c>
      <c r="AZ158" s="41">
        <f t="shared" si="343"/>
        <v>0</v>
      </c>
      <c r="BA158" s="11">
        <f t="shared" si="343"/>
        <v>0</v>
      </c>
      <c r="BB158" s="11">
        <f t="shared" si="343"/>
        <v>0</v>
      </c>
      <c r="BC158" s="11">
        <f t="shared" si="343"/>
        <v>0</v>
      </c>
      <c r="BD158" s="11">
        <f t="shared" si="343"/>
        <v>0</v>
      </c>
      <c r="BE158" s="11">
        <f t="shared" si="344"/>
        <v>0</v>
      </c>
      <c r="BF158" s="18">
        <f t="shared" si="344"/>
        <v>0</v>
      </c>
      <c r="BG158" s="20">
        <f t="shared" si="321"/>
        <v>0</v>
      </c>
      <c r="BH158" s="11">
        <f t="shared" si="321"/>
        <v>0</v>
      </c>
      <c r="BI158" s="11">
        <f t="shared" si="321"/>
        <v>0</v>
      </c>
      <c r="BJ158" s="11">
        <f t="shared" si="321"/>
        <v>0</v>
      </c>
      <c r="BK158" s="11">
        <f t="shared" si="321"/>
        <v>0</v>
      </c>
      <c r="BL158" s="11">
        <f t="shared" si="345"/>
        <v>0</v>
      </c>
      <c r="BM158" s="11">
        <f t="shared" si="345"/>
        <v>0</v>
      </c>
      <c r="BN158" s="18">
        <f t="shared" si="345"/>
        <v>0</v>
      </c>
      <c r="BO158" s="191">
        <f t="shared" si="327"/>
        <v>0</v>
      </c>
      <c r="BP158" s="11">
        <f t="shared" si="327"/>
        <v>0</v>
      </c>
      <c r="BQ158" s="11">
        <f t="shared" si="327"/>
        <v>0</v>
      </c>
      <c r="BR158" s="11">
        <f t="shared" si="327"/>
        <v>0</v>
      </c>
      <c r="BS158" s="11">
        <f t="shared" si="327"/>
        <v>0</v>
      </c>
      <c r="BT158" s="11">
        <f t="shared" si="346"/>
        <v>0</v>
      </c>
      <c r="BU158" s="11">
        <f t="shared" si="346"/>
        <v>0</v>
      </c>
      <c r="BV158" s="18">
        <f t="shared" si="346"/>
        <v>0</v>
      </c>
      <c r="BW158" s="191">
        <f t="shared" si="347"/>
        <v>0</v>
      </c>
      <c r="BX158" s="211">
        <f t="shared" si="347"/>
        <v>0</v>
      </c>
      <c r="BY158" s="211">
        <f t="shared" si="347"/>
        <v>0</v>
      </c>
      <c r="BZ158" s="211">
        <f t="shared" si="347"/>
        <v>0</v>
      </c>
      <c r="CA158" s="211">
        <f t="shared" si="347"/>
        <v>0</v>
      </c>
      <c r="CB158" s="11">
        <f t="shared" si="348"/>
        <v>0</v>
      </c>
      <c r="CC158" s="11">
        <f t="shared" si="348"/>
        <v>0</v>
      </c>
      <c r="CD158" s="18">
        <f t="shared" si="348"/>
        <v>0</v>
      </c>
      <c r="CE158" s="191">
        <f t="shared" si="322"/>
        <v>0</v>
      </c>
      <c r="CF158" s="11">
        <f t="shared" si="322"/>
        <v>0</v>
      </c>
      <c r="CG158" s="11">
        <f t="shared" si="322"/>
        <v>0</v>
      </c>
      <c r="CH158" s="11">
        <f t="shared" si="322"/>
        <v>0</v>
      </c>
      <c r="CI158" s="11">
        <f t="shared" si="322"/>
        <v>0</v>
      </c>
      <c r="CJ158" s="11">
        <f t="shared" si="349"/>
        <v>0</v>
      </c>
      <c r="CK158" s="11">
        <f t="shared" si="349"/>
        <v>0</v>
      </c>
      <c r="CL158" s="18">
        <f t="shared" si="349"/>
        <v>0</v>
      </c>
      <c r="CM158" s="41">
        <f t="shared" si="323"/>
        <v>0</v>
      </c>
      <c r="CN158" s="11">
        <f t="shared" si="323"/>
        <v>0</v>
      </c>
      <c r="CO158" s="11">
        <f t="shared" si="323"/>
        <v>0</v>
      </c>
      <c r="CP158" s="11">
        <f t="shared" si="323"/>
        <v>0</v>
      </c>
      <c r="CQ158" s="11">
        <f t="shared" si="323"/>
        <v>0</v>
      </c>
      <c r="CR158" s="11">
        <f t="shared" si="350"/>
        <v>0</v>
      </c>
      <c r="CS158" s="11">
        <f t="shared" si="350"/>
        <v>0</v>
      </c>
      <c r="CT158" s="11">
        <f t="shared" si="350"/>
        <v>0</v>
      </c>
    </row>
    <row r="159" spans="1:98" ht="26.25" hidden="1" customHeight="1" outlineLevel="1" collapsed="1" x14ac:dyDescent="0.4">
      <c r="A159" s="350">
        <v>77</v>
      </c>
      <c r="B159" s="350" t="s">
        <v>45</v>
      </c>
      <c r="C159" s="350" t="s">
        <v>342</v>
      </c>
      <c r="D159" s="352"/>
      <c r="E159" s="352"/>
      <c r="F159" s="352"/>
      <c r="G159" s="385"/>
      <c r="H159" s="446">
        <f t="shared" ref="H159" si="353">SUM(BO159:BV159)</f>
        <v>0</v>
      </c>
      <c r="I159" s="446">
        <f t="shared" ref="I159" si="354">SUM(BO160:BV160)</f>
        <v>0</v>
      </c>
      <c r="J159" s="448"/>
      <c r="K159" s="452"/>
      <c r="L159" s="452"/>
      <c r="M159" s="450"/>
      <c r="N159" s="47" t="s">
        <v>24</v>
      </c>
      <c r="O159" s="10">
        <f t="shared" si="333"/>
        <v>0</v>
      </c>
      <c r="P159" s="10">
        <f t="shared" si="333"/>
        <v>0</v>
      </c>
      <c r="Q159" s="10">
        <f t="shared" si="333"/>
        <v>0</v>
      </c>
      <c r="R159" s="10">
        <f t="shared" si="333"/>
        <v>0</v>
      </c>
      <c r="S159" s="10">
        <f t="shared" si="333"/>
        <v>0</v>
      </c>
      <c r="T159" s="10">
        <f t="shared" si="333"/>
        <v>0</v>
      </c>
      <c r="U159" s="79">
        <f t="shared" si="333"/>
        <v>0</v>
      </c>
      <c r="V159" s="19">
        <f t="shared" si="339"/>
        <v>0</v>
      </c>
      <c r="W159" s="10">
        <f t="shared" si="339"/>
        <v>0</v>
      </c>
      <c r="X159" s="10">
        <f t="shared" si="339"/>
        <v>0</v>
      </c>
      <c r="Y159" s="10">
        <f t="shared" si="339"/>
        <v>0</v>
      </c>
      <c r="Z159" s="10">
        <f t="shared" si="339"/>
        <v>0</v>
      </c>
      <c r="AA159" s="10">
        <f t="shared" si="326"/>
        <v>0</v>
      </c>
      <c r="AB159" s="19">
        <f t="shared" si="326"/>
        <v>0</v>
      </c>
      <c r="AC159" s="10">
        <f t="shared" si="326"/>
        <v>0</v>
      </c>
      <c r="AD159" s="210">
        <f t="shared" si="326"/>
        <v>0</v>
      </c>
      <c r="AE159" s="10">
        <f t="shared" si="326"/>
        <v>0</v>
      </c>
      <c r="AF159" s="10">
        <f t="shared" si="326"/>
        <v>0</v>
      </c>
      <c r="AG159" s="10">
        <f t="shared" si="326"/>
        <v>0</v>
      </c>
      <c r="AH159" s="19">
        <f t="shared" si="328"/>
        <v>0</v>
      </c>
      <c r="AI159" s="10">
        <f t="shared" si="328"/>
        <v>0</v>
      </c>
      <c r="AJ159" s="10">
        <f t="shared" si="328"/>
        <v>0</v>
      </c>
      <c r="AK159" s="10">
        <f t="shared" si="328"/>
        <v>0</v>
      </c>
      <c r="AL159" s="10">
        <f t="shared" si="328"/>
        <v>0</v>
      </c>
      <c r="AM159" s="10">
        <f t="shared" si="340"/>
        <v>0</v>
      </c>
      <c r="AN159" s="19">
        <f t="shared" si="341"/>
        <v>0</v>
      </c>
      <c r="AO159" s="10">
        <f t="shared" si="341"/>
        <v>0</v>
      </c>
      <c r="AP159" s="10">
        <f t="shared" si="341"/>
        <v>0</v>
      </c>
      <c r="AQ159" s="10">
        <f t="shared" si="341"/>
        <v>0</v>
      </c>
      <c r="AR159" s="10">
        <f t="shared" si="341"/>
        <v>0</v>
      </c>
      <c r="AS159" s="10">
        <f t="shared" si="342"/>
        <v>0</v>
      </c>
      <c r="AT159" s="71">
        <f t="shared" si="336"/>
        <v>0</v>
      </c>
      <c r="AU159" s="10">
        <f t="shared" si="336"/>
        <v>0</v>
      </c>
      <c r="AV159" s="10">
        <f t="shared" si="336"/>
        <v>0</v>
      </c>
      <c r="AW159" s="10">
        <f t="shared" si="336"/>
        <v>0</v>
      </c>
      <c r="AX159" s="10">
        <f t="shared" si="336"/>
        <v>0</v>
      </c>
      <c r="AY159" s="10">
        <f t="shared" si="336"/>
        <v>0</v>
      </c>
      <c r="AZ159" s="19">
        <f t="shared" si="343"/>
        <v>0</v>
      </c>
      <c r="BA159" s="10">
        <f t="shared" si="343"/>
        <v>0</v>
      </c>
      <c r="BB159" s="10">
        <f t="shared" si="343"/>
        <v>0</v>
      </c>
      <c r="BC159" s="10">
        <f t="shared" si="343"/>
        <v>0</v>
      </c>
      <c r="BD159" s="10">
        <f t="shared" si="343"/>
        <v>0</v>
      </c>
      <c r="BE159" s="10">
        <f t="shared" si="344"/>
        <v>0</v>
      </c>
      <c r="BF159" s="10">
        <f t="shared" si="344"/>
        <v>0</v>
      </c>
      <c r="BG159" s="190">
        <f t="shared" si="321"/>
        <v>0</v>
      </c>
      <c r="BH159" s="210">
        <f t="shared" si="321"/>
        <v>0</v>
      </c>
      <c r="BI159" s="210">
        <f t="shared" si="321"/>
        <v>0</v>
      </c>
      <c r="BJ159" s="210">
        <f t="shared" si="321"/>
        <v>0</v>
      </c>
      <c r="BK159" s="210">
        <f t="shared" si="321"/>
        <v>0</v>
      </c>
      <c r="BL159" s="10">
        <f t="shared" si="345"/>
        <v>0</v>
      </c>
      <c r="BM159" s="10">
        <f t="shared" si="345"/>
        <v>0</v>
      </c>
      <c r="BN159" s="10">
        <f t="shared" si="345"/>
        <v>0</v>
      </c>
      <c r="BO159" s="71">
        <f t="shared" si="327"/>
        <v>0</v>
      </c>
      <c r="BP159" s="10">
        <f t="shared" si="327"/>
        <v>0</v>
      </c>
      <c r="BQ159" s="10">
        <f t="shared" si="327"/>
        <v>0</v>
      </c>
      <c r="BR159" s="10">
        <f t="shared" si="327"/>
        <v>0</v>
      </c>
      <c r="BS159" s="10">
        <f t="shared" si="327"/>
        <v>0</v>
      </c>
      <c r="BT159" s="10">
        <f t="shared" si="346"/>
        <v>0</v>
      </c>
      <c r="BU159" s="10">
        <f t="shared" si="346"/>
        <v>0</v>
      </c>
      <c r="BV159" s="10">
        <f t="shared" si="346"/>
        <v>0</v>
      </c>
      <c r="BW159" s="71">
        <f t="shared" si="347"/>
        <v>0</v>
      </c>
      <c r="BX159" s="10">
        <f t="shared" si="347"/>
        <v>0</v>
      </c>
      <c r="BY159" s="10">
        <f t="shared" si="347"/>
        <v>0</v>
      </c>
      <c r="BZ159" s="10">
        <f t="shared" si="347"/>
        <v>0</v>
      </c>
      <c r="CA159" s="10">
        <f t="shared" si="347"/>
        <v>0</v>
      </c>
      <c r="CB159" s="10">
        <f t="shared" si="348"/>
        <v>0</v>
      </c>
      <c r="CC159" s="10">
        <f t="shared" si="348"/>
        <v>0</v>
      </c>
      <c r="CD159" s="10">
        <f t="shared" si="348"/>
        <v>0</v>
      </c>
      <c r="CE159" s="71">
        <f t="shared" si="322"/>
        <v>0</v>
      </c>
      <c r="CF159" s="10">
        <f t="shared" si="322"/>
        <v>0</v>
      </c>
      <c r="CG159" s="10">
        <f t="shared" si="322"/>
        <v>0</v>
      </c>
      <c r="CH159" s="10">
        <f t="shared" si="322"/>
        <v>0</v>
      </c>
      <c r="CI159" s="10">
        <f t="shared" si="322"/>
        <v>0</v>
      </c>
      <c r="CJ159" s="10">
        <f t="shared" si="349"/>
        <v>0</v>
      </c>
      <c r="CK159" s="10">
        <f t="shared" si="349"/>
        <v>0</v>
      </c>
      <c r="CL159" s="10">
        <f t="shared" si="349"/>
        <v>0</v>
      </c>
      <c r="CM159" s="71">
        <f t="shared" si="323"/>
        <v>0</v>
      </c>
      <c r="CN159" s="10">
        <f t="shared" si="323"/>
        <v>0</v>
      </c>
      <c r="CO159" s="10">
        <f t="shared" si="323"/>
        <v>0</v>
      </c>
      <c r="CP159" s="10">
        <f t="shared" si="323"/>
        <v>0</v>
      </c>
      <c r="CQ159" s="10">
        <f t="shared" si="323"/>
        <v>0</v>
      </c>
      <c r="CR159" s="10">
        <f t="shared" si="350"/>
        <v>0</v>
      </c>
      <c r="CS159" s="10">
        <f t="shared" si="350"/>
        <v>0</v>
      </c>
      <c r="CT159" s="10">
        <f t="shared" si="350"/>
        <v>0</v>
      </c>
    </row>
    <row r="160" spans="1:98" ht="26.25" hidden="1" customHeight="1" outlineLevel="1" x14ac:dyDescent="0.4">
      <c r="A160" s="351"/>
      <c r="B160" s="351"/>
      <c r="C160" s="351"/>
      <c r="D160" s="353"/>
      <c r="E160" s="353"/>
      <c r="F160" s="353"/>
      <c r="G160" s="385"/>
      <c r="H160" s="447"/>
      <c r="I160" s="447"/>
      <c r="J160" s="449"/>
      <c r="K160" s="453"/>
      <c r="L160" s="453"/>
      <c r="M160" s="451"/>
      <c r="N160" s="38" t="s">
        <v>25</v>
      </c>
      <c r="O160" s="11">
        <f t="shared" si="333"/>
        <v>0</v>
      </c>
      <c r="P160" s="11">
        <f t="shared" si="333"/>
        <v>0</v>
      </c>
      <c r="Q160" s="11">
        <f t="shared" si="333"/>
        <v>0</v>
      </c>
      <c r="R160" s="11">
        <f t="shared" si="333"/>
        <v>0</v>
      </c>
      <c r="S160" s="11">
        <f t="shared" si="333"/>
        <v>0</v>
      </c>
      <c r="T160" s="11">
        <f t="shared" si="333"/>
        <v>0</v>
      </c>
      <c r="U160" s="48">
        <f t="shared" si="333"/>
        <v>0</v>
      </c>
      <c r="V160" s="56">
        <f t="shared" si="339"/>
        <v>0</v>
      </c>
      <c r="W160" s="18">
        <f t="shared" si="339"/>
        <v>0</v>
      </c>
      <c r="X160" s="18">
        <f t="shared" si="339"/>
        <v>0</v>
      </c>
      <c r="Y160" s="18">
        <f t="shared" si="339"/>
        <v>0</v>
      </c>
      <c r="Z160" s="18">
        <f t="shared" si="339"/>
        <v>0</v>
      </c>
      <c r="AA160" s="18">
        <f t="shared" si="326"/>
        <v>0</v>
      </c>
      <c r="AB160" s="41">
        <f t="shared" si="326"/>
        <v>0</v>
      </c>
      <c r="AC160" s="51">
        <f t="shared" si="326"/>
        <v>0</v>
      </c>
      <c r="AD160" s="11">
        <f t="shared" si="326"/>
        <v>0</v>
      </c>
      <c r="AE160" s="11">
        <f t="shared" si="326"/>
        <v>0</v>
      </c>
      <c r="AF160" s="11">
        <f t="shared" si="326"/>
        <v>0</v>
      </c>
      <c r="AG160" s="18">
        <f t="shared" si="326"/>
        <v>0</v>
      </c>
      <c r="AH160" s="50">
        <f t="shared" si="328"/>
        <v>0</v>
      </c>
      <c r="AI160" s="51">
        <f t="shared" si="328"/>
        <v>0</v>
      </c>
      <c r="AJ160" s="51">
        <f t="shared" si="328"/>
        <v>0</v>
      </c>
      <c r="AK160" s="51">
        <f t="shared" si="328"/>
        <v>0</v>
      </c>
      <c r="AL160" s="51">
        <f t="shared" si="328"/>
        <v>0</v>
      </c>
      <c r="AM160" s="18">
        <f t="shared" si="340"/>
        <v>0</v>
      </c>
      <c r="AN160" s="41">
        <f t="shared" si="341"/>
        <v>0</v>
      </c>
      <c r="AO160" s="11">
        <f t="shared" si="341"/>
        <v>0</v>
      </c>
      <c r="AP160" s="11">
        <f t="shared" si="341"/>
        <v>0</v>
      </c>
      <c r="AQ160" s="11">
        <f t="shared" si="341"/>
        <v>0</v>
      </c>
      <c r="AR160" s="11">
        <f t="shared" si="341"/>
        <v>0</v>
      </c>
      <c r="AS160" s="18">
        <f t="shared" si="342"/>
        <v>0</v>
      </c>
      <c r="AT160" s="41">
        <f t="shared" si="336"/>
        <v>0</v>
      </c>
      <c r="AU160" s="11">
        <f t="shared" si="336"/>
        <v>0</v>
      </c>
      <c r="AV160" s="11">
        <f t="shared" si="336"/>
        <v>0</v>
      </c>
      <c r="AW160" s="11">
        <f t="shared" si="336"/>
        <v>0</v>
      </c>
      <c r="AX160" s="11">
        <f t="shared" si="336"/>
        <v>0</v>
      </c>
      <c r="AY160" s="18">
        <f t="shared" si="336"/>
        <v>0</v>
      </c>
      <c r="AZ160" s="41">
        <f t="shared" si="343"/>
        <v>0</v>
      </c>
      <c r="BA160" s="11">
        <f t="shared" si="343"/>
        <v>0</v>
      </c>
      <c r="BB160" s="11">
        <f t="shared" si="343"/>
        <v>0</v>
      </c>
      <c r="BC160" s="11">
        <f t="shared" si="343"/>
        <v>0</v>
      </c>
      <c r="BD160" s="11">
        <f t="shared" si="343"/>
        <v>0</v>
      </c>
      <c r="BE160" s="11">
        <f t="shared" si="344"/>
        <v>0</v>
      </c>
      <c r="BF160" s="18">
        <f t="shared" si="344"/>
        <v>0</v>
      </c>
      <c r="BG160" s="20">
        <f t="shared" si="321"/>
        <v>0</v>
      </c>
      <c r="BH160" s="11">
        <f t="shared" si="321"/>
        <v>0</v>
      </c>
      <c r="BI160" s="11">
        <f t="shared" si="321"/>
        <v>0</v>
      </c>
      <c r="BJ160" s="11">
        <f t="shared" si="321"/>
        <v>0</v>
      </c>
      <c r="BK160" s="11">
        <f t="shared" si="321"/>
        <v>0</v>
      </c>
      <c r="BL160" s="11">
        <f t="shared" si="345"/>
        <v>0</v>
      </c>
      <c r="BM160" s="11">
        <f t="shared" si="345"/>
        <v>0</v>
      </c>
      <c r="BN160" s="18">
        <f t="shared" si="345"/>
        <v>0</v>
      </c>
      <c r="BO160" s="191">
        <f t="shared" si="327"/>
        <v>0</v>
      </c>
      <c r="BP160" s="11">
        <f t="shared" si="327"/>
        <v>0</v>
      </c>
      <c r="BQ160" s="11">
        <f t="shared" si="327"/>
        <v>0</v>
      </c>
      <c r="BR160" s="11">
        <f t="shared" si="327"/>
        <v>0</v>
      </c>
      <c r="BS160" s="11">
        <f t="shared" si="327"/>
        <v>0</v>
      </c>
      <c r="BT160" s="11">
        <f t="shared" si="346"/>
        <v>0</v>
      </c>
      <c r="BU160" s="11">
        <f t="shared" si="346"/>
        <v>0</v>
      </c>
      <c r="BV160" s="18">
        <f t="shared" si="346"/>
        <v>0</v>
      </c>
      <c r="BW160" s="191">
        <f t="shared" si="347"/>
        <v>0</v>
      </c>
      <c r="BX160" s="211">
        <f t="shared" si="347"/>
        <v>0</v>
      </c>
      <c r="BY160" s="211">
        <f t="shared" si="347"/>
        <v>0</v>
      </c>
      <c r="BZ160" s="211">
        <f t="shared" si="347"/>
        <v>0</v>
      </c>
      <c r="CA160" s="211">
        <f t="shared" si="347"/>
        <v>0</v>
      </c>
      <c r="CB160" s="11">
        <f t="shared" si="348"/>
        <v>0</v>
      </c>
      <c r="CC160" s="11">
        <f t="shared" si="348"/>
        <v>0</v>
      </c>
      <c r="CD160" s="18">
        <f t="shared" si="348"/>
        <v>0</v>
      </c>
      <c r="CE160" s="191">
        <f t="shared" si="322"/>
        <v>0</v>
      </c>
      <c r="CF160" s="11">
        <f t="shared" si="322"/>
        <v>0</v>
      </c>
      <c r="CG160" s="11">
        <f t="shared" si="322"/>
        <v>0</v>
      </c>
      <c r="CH160" s="11">
        <f t="shared" si="322"/>
        <v>0</v>
      </c>
      <c r="CI160" s="11">
        <f t="shared" si="322"/>
        <v>0</v>
      </c>
      <c r="CJ160" s="11">
        <f t="shared" si="349"/>
        <v>0</v>
      </c>
      <c r="CK160" s="11">
        <f t="shared" si="349"/>
        <v>0</v>
      </c>
      <c r="CL160" s="18">
        <f t="shared" si="349"/>
        <v>0</v>
      </c>
      <c r="CM160" s="41">
        <f t="shared" si="323"/>
        <v>0</v>
      </c>
      <c r="CN160" s="11">
        <f t="shared" si="323"/>
        <v>0</v>
      </c>
      <c r="CO160" s="11">
        <f t="shared" si="323"/>
        <v>0</v>
      </c>
      <c r="CP160" s="11">
        <f t="shared" si="323"/>
        <v>0</v>
      </c>
      <c r="CQ160" s="11">
        <f t="shared" si="323"/>
        <v>0</v>
      </c>
      <c r="CR160" s="11">
        <f t="shared" si="350"/>
        <v>0</v>
      </c>
      <c r="CS160" s="11">
        <f t="shared" si="350"/>
        <v>0</v>
      </c>
      <c r="CT160" s="11">
        <f t="shared" si="350"/>
        <v>0</v>
      </c>
    </row>
    <row r="161" spans="1:108" ht="26.25" hidden="1" customHeight="1" outlineLevel="1" collapsed="1" x14ac:dyDescent="0.4">
      <c r="A161" s="350">
        <v>78</v>
      </c>
      <c r="B161" s="350" t="s">
        <v>45</v>
      </c>
      <c r="C161" s="350" t="s">
        <v>342</v>
      </c>
      <c r="D161" s="352"/>
      <c r="E161" s="352"/>
      <c r="F161" s="352"/>
      <c r="G161" s="385"/>
      <c r="H161" s="446">
        <f t="shared" ref="H161" si="355">SUM(BO161:BV161)</f>
        <v>0</v>
      </c>
      <c r="I161" s="446">
        <f t="shared" ref="I161" si="356">SUM(BO162:BV162)</f>
        <v>0</v>
      </c>
      <c r="J161" s="448"/>
      <c r="K161" s="452"/>
      <c r="L161" s="452"/>
      <c r="M161" s="450"/>
      <c r="N161" s="47" t="s">
        <v>24</v>
      </c>
      <c r="O161" s="10">
        <f t="shared" si="333"/>
        <v>0</v>
      </c>
      <c r="P161" s="10">
        <f t="shared" si="333"/>
        <v>0</v>
      </c>
      <c r="Q161" s="10">
        <f t="shared" si="333"/>
        <v>0</v>
      </c>
      <c r="R161" s="10">
        <f t="shared" si="333"/>
        <v>0</v>
      </c>
      <c r="S161" s="10">
        <f t="shared" si="333"/>
        <v>0</v>
      </c>
      <c r="T161" s="10">
        <f t="shared" si="333"/>
        <v>0</v>
      </c>
      <c r="U161" s="79">
        <f t="shared" si="333"/>
        <v>0</v>
      </c>
      <c r="V161" s="19">
        <f t="shared" si="339"/>
        <v>0</v>
      </c>
      <c r="W161" s="10">
        <f t="shared" si="339"/>
        <v>0</v>
      </c>
      <c r="X161" s="10">
        <f t="shared" si="339"/>
        <v>0</v>
      </c>
      <c r="Y161" s="10">
        <f t="shared" si="339"/>
        <v>0</v>
      </c>
      <c r="Z161" s="10">
        <f t="shared" si="339"/>
        <v>0</v>
      </c>
      <c r="AA161" s="10">
        <f t="shared" si="326"/>
        <v>0</v>
      </c>
      <c r="AB161" s="19">
        <f t="shared" si="326"/>
        <v>0</v>
      </c>
      <c r="AC161" s="10">
        <f t="shared" si="326"/>
        <v>0</v>
      </c>
      <c r="AD161" s="210">
        <f t="shared" si="326"/>
        <v>0</v>
      </c>
      <c r="AE161" s="10">
        <f t="shared" si="326"/>
        <v>0</v>
      </c>
      <c r="AF161" s="10">
        <f t="shared" si="326"/>
        <v>0</v>
      </c>
      <c r="AG161" s="10">
        <f t="shared" si="326"/>
        <v>0</v>
      </c>
      <c r="AH161" s="19">
        <f t="shared" si="328"/>
        <v>0</v>
      </c>
      <c r="AI161" s="10">
        <f t="shared" si="328"/>
        <v>0</v>
      </c>
      <c r="AJ161" s="10">
        <f t="shared" si="328"/>
        <v>0</v>
      </c>
      <c r="AK161" s="10">
        <f t="shared" si="328"/>
        <v>0</v>
      </c>
      <c r="AL161" s="10">
        <f t="shared" si="328"/>
        <v>0</v>
      </c>
      <c r="AM161" s="10">
        <f t="shared" si="340"/>
        <v>0</v>
      </c>
      <c r="AN161" s="19">
        <f t="shared" si="341"/>
        <v>0</v>
      </c>
      <c r="AO161" s="10">
        <f t="shared" si="341"/>
        <v>0</v>
      </c>
      <c r="AP161" s="10">
        <f t="shared" si="341"/>
        <v>0</v>
      </c>
      <c r="AQ161" s="10">
        <f t="shared" si="341"/>
        <v>0</v>
      </c>
      <c r="AR161" s="10">
        <f t="shared" si="341"/>
        <v>0</v>
      </c>
      <c r="AS161" s="10">
        <f t="shared" si="342"/>
        <v>0</v>
      </c>
      <c r="AT161" s="71">
        <f t="shared" si="336"/>
        <v>0</v>
      </c>
      <c r="AU161" s="10">
        <f t="shared" si="336"/>
        <v>0</v>
      </c>
      <c r="AV161" s="10">
        <f t="shared" si="336"/>
        <v>0</v>
      </c>
      <c r="AW161" s="10">
        <f t="shared" si="336"/>
        <v>0</v>
      </c>
      <c r="AX161" s="10">
        <f t="shared" si="336"/>
        <v>0</v>
      </c>
      <c r="AY161" s="10">
        <f t="shared" si="336"/>
        <v>0</v>
      </c>
      <c r="AZ161" s="19">
        <f t="shared" si="343"/>
        <v>0</v>
      </c>
      <c r="BA161" s="10">
        <f t="shared" si="343"/>
        <v>0</v>
      </c>
      <c r="BB161" s="10">
        <f t="shared" si="343"/>
        <v>0</v>
      </c>
      <c r="BC161" s="10">
        <f t="shared" si="343"/>
        <v>0</v>
      </c>
      <c r="BD161" s="10">
        <f t="shared" si="343"/>
        <v>0</v>
      </c>
      <c r="BE161" s="10">
        <f t="shared" si="344"/>
        <v>0</v>
      </c>
      <c r="BF161" s="10">
        <f t="shared" si="344"/>
        <v>0</v>
      </c>
      <c r="BG161" s="190">
        <f t="shared" ref="BG161:BK166" si="357">0/142.5</f>
        <v>0</v>
      </c>
      <c r="BH161" s="210">
        <f t="shared" si="357"/>
        <v>0</v>
      </c>
      <c r="BI161" s="210">
        <f t="shared" si="357"/>
        <v>0</v>
      </c>
      <c r="BJ161" s="210">
        <f t="shared" si="357"/>
        <v>0</v>
      </c>
      <c r="BK161" s="210">
        <f t="shared" si="357"/>
        <v>0</v>
      </c>
      <c r="BL161" s="10">
        <f t="shared" si="345"/>
        <v>0</v>
      </c>
      <c r="BM161" s="10">
        <f t="shared" si="345"/>
        <v>0</v>
      </c>
      <c r="BN161" s="10">
        <f t="shared" si="345"/>
        <v>0</v>
      </c>
      <c r="BO161" s="71">
        <f t="shared" si="327"/>
        <v>0</v>
      </c>
      <c r="BP161" s="10">
        <f t="shared" si="327"/>
        <v>0</v>
      </c>
      <c r="BQ161" s="10">
        <f t="shared" si="327"/>
        <v>0</v>
      </c>
      <c r="BR161" s="10">
        <f t="shared" si="327"/>
        <v>0</v>
      </c>
      <c r="BS161" s="10">
        <f t="shared" si="327"/>
        <v>0</v>
      </c>
      <c r="BT161" s="10">
        <f t="shared" si="346"/>
        <v>0</v>
      </c>
      <c r="BU161" s="10">
        <f t="shared" si="346"/>
        <v>0</v>
      </c>
      <c r="BV161" s="10">
        <f t="shared" si="346"/>
        <v>0</v>
      </c>
      <c r="BW161" s="71">
        <f t="shared" si="347"/>
        <v>0</v>
      </c>
      <c r="BX161" s="10">
        <f t="shared" si="347"/>
        <v>0</v>
      </c>
      <c r="BY161" s="10">
        <f t="shared" si="347"/>
        <v>0</v>
      </c>
      <c r="BZ161" s="10">
        <f t="shared" si="347"/>
        <v>0</v>
      </c>
      <c r="CA161" s="10">
        <f t="shared" si="347"/>
        <v>0</v>
      </c>
      <c r="CB161" s="10">
        <f t="shared" si="348"/>
        <v>0</v>
      </c>
      <c r="CC161" s="10">
        <f t="shared" si="348"/>
        <v>0</v>
      </c>
      <c r="CD161" s="10">
        <f t="shared" si="348"/>
        <v>0</v>
      </c>
      <c r="CE161" s="71">
        <f t="shared" ref="CE161:CI166" si="358">0/157.5</f>
        <v>0</v>
      </c>
      <c r="CF161" s="10">
        <f t="shared" si="358"/>
        <v>0</v>
      </c>
      <c r="CG161" s="10">
        <f t="shared" si="358"/>
        <v>0</v>
      </c>
      <c r="CH161" s="10">
        <f t="shared" si="358"/>
        <v>0</v>
      </c>
      <c r="CI161" s="10">
        <f t="shared" si="358"/>
        <v>0</v>
      </c>
      <c r="CJ161" s="10">
        <f t="shared" si="349"/>
        <v>0</v>
      </c>
      <c r="CK161" s="10">
        <f t="shared" si="349"/>
        <v>0</v>
      </c>
      <c r="CL161" s="10">
        <f t="shared" si="349"/>
        <v>0</v>
      </c>
      <c r="CM161" s="71">
        <f t="shared" ref="CM161:CQ166" si="359">0/142.5</f>
        <v>0</v>
      </c>
      <c r="CN161" s="10">
        <f t="shared" si="359"/>
        <v>0</v>
      </c>
      <c r="CO161" s="10">
        <f t="shared" si="359"/>
        <v>0</v>
      </c>
      <c r="CP161" s="10">
        <f t="shared" si="359"/>
        <v>0</v>
      </c>
      <c r="CQ161" s="10">
        <f t="shared" si="359"/>
        <v>0</v>
      </c>
      <c r="CR161" s="10">
        <f t="shared" si="350"/>
        <v>0</v>
      </c>
      <c r="CS161" s="10">
        <f t="shared" si="350"/>
        <v>0</v>
      </c>
      <c r="CT161" s="10">
        <f t="shared" si="350"/>
        <v>0</v>
      </c>
    </row>
    <row r="162" spans="1:108" ht="26.25" hidden="1" customHeight="1" outlineLevel="1" x14ac:dyDescent="0.4">
      <c r="A162" s="351"/>
      <c r="B162" s="351"/>
      <c r="C162" s="351"/>
      <c r="D162" s="353"/>
      <c r="E162" s="353"/>
      <c r="F162" s="353"/>
      <c r="G162" s="385"/>
      <c r="H162" s="447"/>
      <c r="I162" s="447"/>
      <c r="J162" s="449"/>
      <c r="K162" s="453"/>
      <c r="L162" s="453"/>
      <c r="M162" s="451"/>
      <c r="N162" s="38" t="s">
        <v>25</v>
      </c>
      <c r="O162" s="11">
        <f t="shared" si="333"/>
        <v>0</v>
      </c>
      <c r="P162" s="11">
        <f t="shared" si="333"/>
        <v>0</v>
      </c>
      <c r="Q162" s="11">
        <f t="shared" si="333"/>
        <v>0</v>
      </c>
      <c r="R162" s="11">
        <f t="shared" si="333"/>
        <v>0</v>
      </c>
      <c r="S162" s="11">
        <f t="shared" si="333"/>
        <v>0</v>
      </c>
      <c r="T162" s="11">
        <f t="shared" si="333"/>
        <v>0</v>
      </c>
      <c r="U162" s="48">
        <f t="shared" si="333"/>
        <v>0</v>
      </c>
      <c r="V162" s="56">
        <f t="shared" si="339"/>
        <v>0</v>
      </c>
      <c r="W162" s="18">
        <f t="shared" si="339"/>
        <v>0</v>
      </c>
      <c r="X162" s="18">
        <f t="shared" si="339"/>
        <v>0</v>
      </c>
      <c r="Y162" s="18">
        <f t="shared" si="339"/>
        <v>0</v>
      </c>
      <c r="Z162" s="18">
        <f t="shared" si="339"/>
        <v>0</v>
      </c>
      <c r="AA162" s="18">
        <f t="shared" si="326"/>
        <v>0</v>
      </c>
      <c r="AB162" s="41">
        <f t="shared" si="326"/>
        <v>0</v>
      </c>
      <c r="AC162" s="51">
        <f t="shared" si="326"/>
        <v>0</v>
      </c>
      <c r="AD162" s="11">
        <f t="shared" si="326"/>
        <v>0</v>
      </c>
      <c r="AE162" s="11">
        <f t="shared" si="326"/>
        <v>0</v>
      </c>
      <c r="AF162" s="11">
        <f t="shared" si="326"/>
        <v>0</v>
      </c>
      <c r="AG162" s="18">
        <f t="shared" si="326"/>
        <v>0</v>
      </c>
      <c r="AH162" s="50">
        <f t="shared" si="328"/>
        <v>0</v>
      </c>
      <c r="AI162" s="51">
        <f t="shared" si="328"/>
        <v>0</v>
      </c>
      <c r="AJ162" s="51">
        <f t="shared" si="328"/>
        <v>0</v>
      </c>
      <c r="AK162" s="51">
        <f t="shared" si="328"/>
        <v>0</v>
      </c>
      <c r="AL162" s="51">
        <f t="shared" si="328"/>
        <v>0</v>
      </c>
      <c r="AM162" s="18">
        <f t="shared" si="340"/>
        <v>0</v>
      </c>
      <c r="AN162" s="41">
        <f t="shared" si="341"/>
        <v>0</v>
      </c>
      <c r="AO162" s="11">
        <f t="shared" si="341"/>
        <v>0</v>
      </c>
      <c r="AP162" s="11">
        <f t="shared" si="341"/>
        <v>0</v>
      </c>
      <c r="AQ162" s="11">
        <f t="shared" si="341"/>
        <v>0</v>
      </c>
      <c r="AR162" s="11">
        <f t="shared" si="341"/>
        <v>0</v>
      </c>
      <c r="AS162" s="18">
        <f t="shared" si="342"/>
        <v>0</v>
      </c>
      <c r="AT162" s="41">
        <f t="shared" si="336"/>
        <v>0</v>
      </c>
      <c r="AU162" s="11">
        <f t="shared" si="336"/>
        <v>0</v>
      </c>
      <c r="AV162" s="11">
        <f t="shared" si="336"/>
        <v>0</v>
      </c>
      <c r="AW162" s="11">
        <f t="shared" si="336"/>
        <v>0</v>
      </c>
      <c r="AX162" s="11">
        <f t="shared" si="336"/>
        <v>0</v>
      </c>
      <c r="AY162" s="18">
        <f t="shared" si="336"/>
        <v>0</v>
      </c>
      <c r="AZ162" s="41">
        <f t="shared" si="343"/>
        <v>0</v>
      </c>
      <c r="BA162" s="11">
        <f t="shared" si="343"/>
        <v>0</v>
      </c>
      <c r="BB162" s="11">
        <f t="shared" si="343"/>
        <v>0</v>
      </c>
      <c r="BC162" s="11">
        <f t="shared" si="343"/>
        <v>0</v>
      </c>
      <c r="BD162" s="11">
        <f t="shared" si="343"/>
        <v>0</v>
      </c>
      <c r="BE162" s="11">
        <f t="shared" si="344"/>
        <v>0</v>
      </c>
      <c r="BF162" s="18">
        <f t="shared" si="344"/>
        <v>0</v>
      </c>
      <c r="BG162" s="20">
        <f t="shared" si="357"/>
        <v>0</v>
      </c>
      <c r="BH162" s="11">
        <f t="shared" si="357"/>
        <v>0</v>
      </c>
      <c r="BI162" s="11">
        <f t="shared" si="357"/>
        <v>0</v>
      </c>
      <c r="BJ162" s="11">
        <f t="shared" si="357"/>
        <v>0</v>
      </c>
      <c r="BK162" s="11">
        <f t="shared" si="357"/>
        <v>0</v>
      </c>
      <c r="BL162" s="11">
        <f t="shared" si="345"/>
        <v>0</v>
      </c>
      <c r="BM162" s="11">
        <f t="shared" si="345"/>
        <v>0</v>
      </c>
      <c r="BN162" s="18">
        <f t="shared" si="345"/>
        <v>0</v>
      </c>
      <c r="BO162" s="191">
        <f t="shared" si="327"/>
        <v>0</v>
      </c>
      <c r="BP162" s="11">
        <f t="shared" si="327"/>
        <v>0</v>
      </c>
      <c r="BQ162" s="11">
        <f t="shared" si="327"/>
        <v>0</v>
      </c>
      <c r="BR162" s="11">
        <f t="shared" si="327"/>
        <v>0</v>
      </c>
      <c r="BS162" s="11">
        <f t="shared" si="327"/>
        <v>0</v>
      </c>
      <c r="BT162" s="11">
        <f t="shared" si="346"/>
        <v>0</v>
      </c>
      <c r="BU162" s="11">
        <f t="shared" si="346"/>
        <v>0</v>
      </c>
      <c r="BV162" s="18">
        <f t="shared" si="346"/>
        <v>0</v>
      </c>
      <c r="BW162" s="191">
        <f t="shared" si="347"/>
        <v>0</v>
      </c>
      <c r="BX162" s="211">
        <f t="shared" si="347"/>
        <v>0</v>
      </c>
      <c r="BY162" s="211">
        <f t="shared" si="347"/>
        <v>0</v>
      </c>
      <c r="BZ162" s="211">
        <f t="shared" si="347"/>
        <v>0</v>
      </c>
      <c r="CA162" s="211">
        <f t="shared" si="347"/>
        <v>0</v>
      </c>
      <c r="CB162" s="11">
        <f t="shared" si="348"/>
        <v>0</v>
      </c>
      <c r="CC162" s="11">
        <f t="shared" si="348"/>
        <v>0</v>
      </c>
      <c r="CD162" s="18">
        <f t="shared" si="348"/>
        <v>0</v>
      </c>
      <c r="CE162" s="191">
        <f t="shared" si="358"/>
        <v>0</v>
      </c>
      <c r="CF162" s="11">
        <f t="shared" si="358"/>
        <v>0</v>
      </c>
      <c r="CG162" s="11">
        <f t="shared" si="358"/>
        <v>0</v>
      </c>
      <c r="CH162" s="11">
        <f t="shared" si="358"/>
        <v>0</v>
      </c>
      <c r="CI162" s="11">
        <f t="shared" si="358"/>
        <v>0</v>
      </c>
      <c r="CJ162" s="11">
        <f t="shared" si="349"/>
        <v>0</v>
      </c>
      <c r="CK162" s="11">
        <f t="shared" si="349"/>
        <v>0</v>
      </c>
      <c r="CL162" s="18">
        <f t="shared" si="349"/>
        <v>0</v>
      </c>
      <c r="CM162" s="41">
        <f t="shared" si="359"/>
        <v>0</v>
      </c>
      <c r="CN162" s="11">
        <f t="shared" si="359"/>
        <v>0</v>
      </c>
      <c r="CO162" s="11">
        <f t="shared" si="359"/>
        <v>0</v>
      </c>
      <c r="CP162" s="11">
        <f t="shared" si="359"/>
        <v>0</v>
      </c>
      <c r="CQ162" s="11">
        <f t="shared" si="359"/>
        <v>0</v>
      </c>
      <c r="CR162" s="11">
        <f t="shared" si="350"/>
        <v>0</v>
      </c>
      <c r="CS162" s="11">
        <f t="shared" si="350"/>
        <v>0</v>
      </c>
      <c r="CT162" s="11">
        <f t="shared" si="350"/>
        <v>0</v>
      </c>
    </row>
    <row r="163" spans="1:108" ht="26.25" hidden="1" customHeight="1" outlineLevel="1" collapsed="1" x14ac:dyDescent="0.4">
      <c r="A163" s="350">
        <v>79</v>
      </c>
      <c r="B163" s="350" t="s">
        <v>45</v>
      </c>
      <c r="C163" s="350" t="s">
        <v>342</v>
      </c>
      <c r="D163" s="352"/>
      <c r="E163" s="352"/>
      <c r="F163" s="352"/>
      <c r="G163" s="385"/>
      <c r="H163" s="446">
        <f t="shared" ref="H163" si="360">SUM(BO163:BV163)</f>
        <v>0</v>
      </c>
      <c r="I163" s="446">
        <f t="shared" ref="I163" si="361">SUM(BO164:BV164)</f>
        <v>0</v>
      </c>
      <c r="J163" s="448"/>
      <c r="K163" s="452"/>
      <c r="L163" s="452"/>
      <c r="M163" s="450"/>
      <c r="N163" s="47" t="s">
        <v>24</v>
      </c>
      <c r="O163" s="10">
        <f t="shared" si="333"/>
        <v>0</v>
      </c>
      <c r="P163" s="10">
        <f t="shared" si="333"/>
        <v>0</v>
      </c>
      <c r="Q163" s="10">
        <f t="shared" si="333"/>
        <v>0</v>
      </c>
      <c r="R163" s="10">
        <f t="shared" si="333"/>
        <v>0</v>
      </c>
      <c r="S163" s="10">
        <f t="shared" si="333"/>
        <v>0</v>
      </c>
      <c r="T163" s="10">
        <f t="shared" si="333"/>
        <v>0</v>
      </c>
      <c r="U163" s="79">
        <f t="shared" si="333"/>
        <v>0</v>
      </c>
      <c r="V163" s="19">
        <f t="shared" si="339"/>
        <v>0</v>
      </c>
      <c r="W163" s="10">
        <f t="shared" si="339"/>
        <v>0</v>
      </c>
      <c r="X163" s="10">
        <f t="shared" si="339"/>
        <v>0</v>
      </c>
      <c r="Y163" s="10">
        <f t="shared" si="339"/>
        <v>0</v>
      </c>
      <c r="Z163" s="10">
        <f t="shared" si="339"/>
        <v>0</v>
      </c>
      <c r="AA163" s="10">
        <f t="shared" si="326"/>
        <v>0</v>
      </c>
      <c r="AB163" s="19">
        <f t="shared" si="326"/>
        <v>0</v>
      </c>
      <c r="AC163" s="10">
        <f t="shared" si="326"/>
        <v>0</v>
      </c>
      <c r="AD163" s="210">
        <f t="shared" si="326"/>
        <v>0</v>
      </c>
      <c r="AE163" s="10">
        <f t="shared" si="326"/>
        <v>0</v>
      </c>
      <c r="AF163" s="10">
        <f t="shared" si="326"/>
        <v>0</v>
      </c>
      <c r="AG163" s="10">
        <f t="shared" si="326"/>
        <v>0</v>
      </c>
      <c r="AH163" s="19">
        <f t="shared" si="328"/>
        <v>0</v>
      </c>
      <c r="AI163" s="10">
        <f t="shared" si="328"/>
        <v>0</v>
      </c>
      <c r="AJ163" s="10">
        <f t="shared" si="328"/>
        <v>0</v>
      </c>
      <c r="AK163" s="10">
        <f t="shared" si="328"/>
        <v>0</v>
      </c>
      <c r="AL163" s="10">
        <f t="shared" si="328"/>
        <v>0</v>
      </c>
      <c r="AM163" s="10">
        <f t="shared" si="340"/>
        <v>0</v>
      </c>
      <c r="AN163" s="19">
        <f t="shared" si="341"/>
        <v>0</v>
      </c>
      <c r="AO163" s="10">
        <f t="shared" si="341"/>
        <v>0</v>
      </c>
      <c r="AP163" s="10">
        <f t="shared" si="341"/>
        <v>0</v>
      </c>
      <c r="AQ163" s="10">
        <f t="shared" si="341"/>
        <v>0</v>
      </c>
      <c r="AR163" s="10">
        <f t="shared" si="341"/>
        <v>0</v>
      </c>
      <c r="AS163" s="10">
        <f t="shared" si="342"/>
        <v>0</v>
      </c>
      <c r="AT163" s="71">
        <f t="shared" si="336"/>
        <v>0</v>
      </c>
      <c r="AU163" s="10">
        <f t="shared" si="336"/>
        <v>0</v>
      </c>
      <c r="AV163" s="10">
        <f t="shared" si="336"/>
        <v>0</v>
      </c>
      <c r="AW163" s="10">
        <f t="shared" si="336"/>
        <v>0</v>
      </c>
      <c r="AX163" s="10">
        <f t="shared" si="336"/>
        <v>0</v>
      </c>
      <c r="AY163" s="10">
        <f t="shared" si="336"/>
        <v>0</v>
      </c>
      <c r="AZ163" s="19">
        <f t="shared" si="343"/>
        <v>0</v>
      </c>
      <c r="BA163" s="10">
        <f t="shared" si="343"/>
        <v>0</v>
      </c>
      <c r="BB163" s="10">
        <f t="shared" si="343"/>
        <v>0</v>
      </c>
      <c r="BC163" s="10">
        <f t="shared" si="343"/>
        <v>0</v>
      </c>
      <c r="BD163" s="10">
        <f t="shared" si="343"/>
        <v>0</v>
      </c>
      <c r="BE163" s="10">
        <f t="shared" si="344"/>
        <v>0</v>
      </c>
      <c r="BF163" s="10">
        <f t="shared" si="344"/>
        <v>0</v>
      </c>
      <c r="BG163" s="190">
        <f t="shared" si="357"/>
        <v>0</v>
      </c>
      <c r="BH163" s="210">
        <f t="shared" si="357"/>
        <v>0</v>
      </c>
      <c r="BI163" s="210">
        <f t="shared" si="357"/>
        <v>0</v>
      </c>
      <c r="BJ163" s="210">
        <f t="shared" si="357"/>
        <v>0</v>
      </c>
      <c r="BK163" s="210">
        <f t="shared" si="357"/>
        <v>0</v>
      </c>
      <c r="BL163" s="10">
        <f t="shared" si="345"/>
        <v>0</v>
      </c>
      <c r="BM163" s="10">
        <f t="shared" si="345"/>
        <v>0</v>
      </c>
      <c r="BN163" s="10">
        <f t="shared" si="345"/>
        <v>0</v>
      </c>
      <c r="BO163" s="71">
        <f t="shared" ref="BO163:BS166" si="362">0/157.5</f>
        <v>0</v>
      </c>
      <c r="BP163" s="10">
        <f t="shared" si="362"/>
        <v>0</v>
      </c>
      <c r="BQ163" s="10">
        <f t="shared" si="362"/>
        <v>0</v>
      </c>
      <c r="BR163" s="10">
        <f t="shared" si="362"/>
        <v>0</v>
      </c>
      <c r="BS163" s="10">
        <f t="shared" si="362"/>
        <v>0</v>
      </c>
      <c r="BT163" s="10">
        <f t="shared" si="346"/>
        <v>0</v>
      </c>
      <c r="BU163" s="10">
        <f t="shared" si="346"/>
        <v>0</v>
      </c>
      <c r="BV163" s="10">
        <f t="shared" si="346"/>
        <v>0</v>
      </c>
      <c r="BW163" s="71">
        <f t="shared" si="347"/>
        <v>0</v>
      </c>
      <c r="BX163" s="10">
        <f t="shared" si="347"/>
        <v>0</v>
      </c>
      <c r="BY163" s="10">
        <f t="shared" si="347"/>
        <v>0</v>
      </c>
      <c r="BZ163" s="10">
        <f t="shared" si="347"/>
        <v>0</v>
      </c>
      <c r="CA163" s="10">
        <f t="shared" si="347"/>
        <v>0</v>
      </c>
      <c r="CB163" s="10">
        <f t="shared" si="348"/>
        <v>0</v>
      </c>
      <c r="CC163" s="10">
        <f t="shared" si="348"/>
        <v>0</v>
      </c>
      <c r="CD163" s="10">
        <f t="shared" si="348"/>
        <v>0</v>
      </c>
      <c r="CE163" s="71">
        <f t="shared" si="358"/>
        <v>0</v>
      </c>
      <c r="CF163" s="10">
        <f t="shared" si="358"/>
        <v>0</v>
      </c>
      <c r="CG163" s="10">
        <f t="shared" si="358"/>
        <v>0</v>
      </c>
      <c r="CH163" s="10">
        <f t="shared" si="358"/>
        <v>0</v>
      </c>
      <c r="CI163" s="10">
        <f t="shared" si="358"/>
        <v>0</v>
      </c>
      <c r="CJ163" s="10">
        <f t="shared" si="349"/>
        <v>0</v>
      </c>
      <c r="CK163" s="10">
        <f t="shared" si="349"/>
        <v>0</v>
      </c>
      <c r="CL163" s="10">
        <f t="shared" si="349"/>
        <v>0</v>
      </c>
      <c r="CM163" s="71">
        <f t="shared" si="359"/>
        <v>0</v>
      </c>
      <c r="CN163" s="10">
        <f t="shared" si="359"/>
        <v>0</v>
      </c>
      <c r="CO163" s="10">
        <f t="shared" si="359"/>
        <v>0</v>
      </c>
      <c r="CP163" s="10">
        <f t="shared" si="359"/>
        <v>0</v>
      </c>
      <c r="CQ163" s="10">
        <f t="shared" si="359"/>
        <v>0</v>
      </c>
      <c r="CR163" s="10">
        <f t="shared" si="350"/>
        <v>0</v>
      </c>
      <c r="CS163" s="10">
        <f t="shared" si="350"/>
        <v>0</v>
      </c>
      <c r="CT163" s="10">
        <f t="shared" si="350"/>
        <v>0</v>
      </c>
    </row>
    <row r="164" spans="1:108" ht="26.25" hidden="1" customHeight="1" outlineLevel="1" x14ac:dyDescent="0.4">
      <c r="A164" s="351"/>
      <c r="B164" s="351"/>
      <c r="C164" s="351"/>
      <c r="D164" s="353"/>
      <c r="E164" s="353"/>
      <c r="F164" s="353"/>
      <c r="G164" s="385"/>
      <c r="H164" s="447"/>
      <c r="I164" s="447"/>
      <c r="J164" s="449"/>
      <c r="K164" s="453"/>
      <c r="L164" s="453"/>
      <c r="M164" s="451"/>
      <c r="N164" s="38" t="s">
        <v>25</v>
      </c>
      <c r="O164" s="11">
        <f t="shared" si="333"/>
        <v>0</v>
      </c>
      <c r="P164" s="11">
        <f t="shared" si="333"/>
        <v>0</v>
      </c>
      <c r="Q164" s="11">
        <f t="shared" si="333"/>
        <v>0</v>
      </c>
      <c r="R164" s="11">
        <f t="shared" si="333"/>
        <v>0</v>
      </c>
      <c r="S164" s="11">
        <f t="shared" si="333"/>
        <v>0</v>
      </c>
      <c r="T164" s="11">
        <f t="shared" si="333"/>
        <v>0</v>
      </c>
      <c r="U164" s="48">
        <f t="shared" si="333"/>
        <v>0</v>
      </c>
      <c r="V164" s="56">
        <f t="shared" si="339"/>
        <v>0</v>
      </c>
      <c r="W164" s="18">
        <f t="shared" si="339"/>
        <v>0</v>
      </c>
      <c r="X164" s="18">
        <f t="shared" si="339"/>
        <v>0</v>
      </c>
      <c r="Y164" s="18">
        <f t="shared" si="339"/>
        <v>0</v>
      </c>
      <c r="Z164" s="18">
        <f t="shared" si="339"/>
        <v>0</v>
      </c>
      <c r="AA164" s="18">
        <f t="shared" si="326"/>
        <v>0</v>
      </c>
      <c r="AB164" s="41">
        <f t="shared" si="326"/>
        <v>0</v>
      </c>
      <c r="AC164" s="51">
        <f t="shared" si="326"/>
        <v>0</v>
      </c>
      <c r="AD164" s="11">
        <f t="shared" si="326"/>
        <v>0</v>
      </c>
      <c r="AE164" s="11">
        <f t="shared" si="326"/>
        <v>0</v>
      </c>
      <c r="AF164" s="11">
        <f t="shared" si="326"/>
        <v>0</v>
      </c>
      <c r="AG164" s="18">
        <f t="shared" si="326"/>
        <v>0</v>
      </c>
      <c r="AH164" s="50">
        <f t="shared" si="328"/>
        <v>0</v>
      </c>
      <c r="AI164" s="51">
        <f t="shared" si="328"/>
        <v>0</v>
      </c>
      <c r="AJ164" s="51">
        <f t="shared" si="328"/>
        <v>0</v>
      </c>
      <c r="AK164" s="51">
        <f t="shared" si="328"/>
        <v>0</v>
      </c>
      <c r="AL164" s="51">
        <f t="shared" si="328"/>
        <v>0</v>
      </c>
      <c r="AM164" s="18">
        <f t="shared" si="340"/>
        <v>0</v>
      </c>
      <c r="AN164" s="41">
        <f t="shared" si="341"/>
        <v>0</v>
      </c>
      <c r="AO164" s="11">
        <f t="shared" si="341"/>
        <v>0</v>
      </c>
      <c r="AP164" s="11">
        <f t="shared" si="341"/>
        <v>0</v>
      </c>
      <c r="AQ164" s="11">
        <f t="shared" si="341"/>
        <v>0</v>
      </c>
      <c r="AR164" s="11">
        <f t="shared" si="341"/>
        <v>0</v>
      </c>
      <c r="AS164" s="18">
        <f t="shared" si="342"/>
        <v>0</v>
      </c>
      <c r="AT164" s="41">
        <f t="shared" si="336"/>
        <v>0</v>
      </c>
      <c r="AU164" s="11">
        <f t="shared" si="336"/>
        <v>0</v>
      </c>
      <c r="AV164" s="11">
        <f t="shared" si="336"/>
        <v>0</v>
      </c>
      <c r="AW164" s="11">
        <f t="shared" si="336"/>
        <v>0</v>
      </c>
      <c r="AX164" s="11">
        <f t="shared" si="336"/>
        <v>0</v>
      </c>
      <c r="AY164" s="18">
        <f t="shared" si="336"/>
        <v>0</v>
      </c>
      <c r="AZ164" s="41">
        <f t="shared" si="343"/>
        <v>0</v>
      </c>
      <c r="BA164" s="11">
        <f t="shared" si="343"/>
        <v>0</v>
      </c>
      <c r="BB164" s="11">
        <f t="shared" si="343"/>
        <v>0</v>
      </c>
      <c r="BC164" s="11">
        <f t="shared" si="343"/>
        <v>0</v>
      </c>
      <c r="BD164" s="11">
        <f t="shared" si="343"/>
        <v>0</v>
      </c>
      <c r="BE164" s="11">
        <f t="shared" si="344"/>
        <v>0</v>
      </c>
      <c r="BF164" s="18">
        <f t="shared" si="344"/>
        <v>0</v>
      </c>
      <c r="BG164" s="20">
        <f t="shared" si="357"/>
        <v>0</v>
      </c>
      <c r="BH164" s="11">
        <f t="shared" si="357"/>
        <v>0</v>
      </c>
      <c r="BI164" s="11">
        <f t="shared" si="357"/>
        <v>0</v>
      </c>
      <c r="BJ164" s="11">
        <f t="shared" si="357"/>
        <v>0</v>
      </c>
      <c r="BK164" s="11">
        <f t="shared" si="357"/>
        <v>0</v>
      </c>
      <c r="BL164" s="11">
        <f t="shared" si="345"/>
        <v>0</v>
      </c>
      <c r="BM164" s="11">
        <f t="shared" si="345"/>
        <v>0</v>
      </c>
      <c r="BN164" s="18">
        <f t="shared" si="345"/>
        <v>0</v>
      </c>
      <c r="BO164" s="191">
        <f t="shared" si="362"/>
        <v>0</v>
      </c>
      <c r="BP164" s="11">
        <f t="shared" si="362"/>
        <v>0</v>
      </c>
      <c r="BQ164" s="11">
        <f t="shared" si="362"/>
        <v>0</v>
      </c>
      <c r="BR164" s="11">
        <f t="shared" si="362"/>
        <v>0</v>
      </c>
      <c r="BS164" s="11">
        <f t="shared" si="362"/>
        <v>0</v>
      </c>
      <c r="BT164" s="11">
        <f t="shared" si="346"/>
        <v>0</v>
      </c>
      <c r="BU164" s="11">
        <f t="shared" si="346"/>
        <v>0</v>
      </c>
      <c r="BV164" s="18">
        <f t="shared" si="346"/>
        <v>0</v>
      </c>
      <c r="BW164" s="191">
        <f t="shared" si="347"/>
        <v>0</v>
      </c>
      <c r="BX164" s="211">
        <f t="shared" si="347"/>
        <v>0</v>
      </c>
      <c r="BY164" s="211">
        <f t="shared" si="347"/>
        <v>0</v>
      </c>
      <c r="BZ164" s="211">
        <f t="shared" si="347"/>
        <v>0</v>
      </c>
      <c r="CA164" s="211">
        <f t="shared" si="347"/>
        <v>0</v>
      </c>
      <c r="CB164" s="11">
        <f t="shared" si="348"/>
        <v>0</v>
      </c>
      <c r="CC164" s="11">
        <f t="shared" si="348"/>
        <v>0</v>
      </c>
      <c r="CD164" s="18">
        <f t="shared" si="348"/>
        <v>0</v>
      </c>
      <c r="CE164" s="191">
        <f t="shared" si="358"/>
        <v>0</v>
      </c>
      <c r="CF164" s="11">
        <f t="shared" si="358"/>
        <v>0</v>
      </c>
      <c r="CG164" s="11">
        <f t="shared" si="358"/>
        <v>0</v>
      </c>
      <c r="CH164" s="11">
        <f t="shared" si="358"/>
        <v>0</v>
      </c>
      <c r="CI164" s="11">
        <f t="shared" si="358"/>
        <v>0</v>
      </c>
      <c r="CJ164" s="11">
        <f t="shared" si="349"/>
        <v>0</v>
      </c>
      <c r="CK164" s="11">
        <f t="shared" si="349"/>
        <v>0</v>
      </c>
      <c r="CL164" s="18">
        <f t="shared" si="349"/>
        <v>0</v>
      </c>
      <c r="CM164" s="41">
        <f t="shared" si="359"/>
        <v>0</v>
      </c>
      <c r="CN164" s="11">
        <f t="shared" si="359"/>
        <v>0</v>
      </c>
      <c r="CO164" s="11">
        <f t="shared" si="359"/>
        <v>0</v>
      </c>
      <c r="CP164" s="11">
        <f t="shared" si="359"/>
        <v>0</v>
      </c>
      <c r="CQ164" s="11">
        <f t="shared" si="359"/>
        <v>0</v>
      </c>
      <c r="CR164" s="11">
        <f t="shared" si="350"/>
        <v>0</v>
      </c>
      <c r="CS164" s="11">
        <f t="shared" si="350"/>
        <v>0</v>
      </c>
      <c r="CT164" s="11">
        <f t="shared" si="350"/>
        <v>0</v>
      </c>
    </row>
    <row r="165" spans="1:108" ht="26.25" hidden="1" customHeight="1" outlineLevel="1" collapsed="1" x14ac:dyDescent="0.4">
      <c r="A165" s="350">
        <v>80</v>
      </c>
      <c r="B165" s="350" t="s">
        <v>45</v>
      </c>
      <c r="C165" s="350" t="s">
        <v>342</v>
      </c>
      <c r="D165" s="352"/>
      <c r="E165" s="352"/>
      <c r="F165" s="352"/>
      <c r="G165" s="385"/>
      <c r="H165" s="446">
        <f t="shared" ref="H165" si="363">SUM(BO165:BV165)</f>
        <v>0</v>
      </c>
      <c r="I165" s="446">
        <f t="shared" ref="I165" si="364">SUM(BO166:BV166)</f>
        <v>0</v>
      </c>
      <c r="J165" s="448"/>
      <c r="K165" s="452"/>
      <c r="L165" s="452"/>
      <c r="M165" s="450"/>
      <c r="N165" s="47" t="s">
        <v>24</v>
      </c>
      <c r="O165" s="10">
        <f t="shared" si="333"/>
        <v>0</v>
      </c>
      <c r="P165" s="10">
        <f t="shared" si="333"/>
        <v>0</v>
      </c>
      <c r="Q165" s="10">
        <f t="shared" si="333"/>
        <v>0</v>
      </c>
      <c r="R165" s="10">
        <f t="shared" si="333"/>
        <v>0</v>
      </c>
      <c r="S165" s="10">
        <f t="shared" si="333"/>
        <v>0</v>
      </c>
      <c r="T165" s="10">
        <f t="shared" si="333"/>
        <v>0</v>
      </c>
      <c r="U165" s="79">
        <f t="shared" si="333"/>
        <v>0</v>
      </c>
      <c r="V165" s="19">
        <f t="shared" si="339"/>
        <v>0</v>
      </c>
      <c r="W165" s="10">
        <f t="shared" si="339"/>
        <v>0</v>
      </c>
      <c r="X165" s="10">
        <f t="shared" si="339"/>
        <v>0</v>
      </c>
      <c r="Y165" s="10">
        <f t="shared" si="339"/>
        <v>0</v>
      </c>
      <c r="Z165" s="10">
        <f t="shared" si="339"/>
        <v>0</v>
      </c>
      <c r="AA165" s="10">
        <f t="shared" si="326"/>
        <v>0</v>
      </c>
      <c r="AB165" s="19">
        <f t="shared" si="326"/>
        <v>0</v>
      </c>
      <c r="AC165" s="10">
        <f t="shared" si="326"/>
        <v>0</v>
      </c>
      <c r="AD165" s="210">
        <f t="shared" si="326"/>
        <v>0</v>
      </c>
      <c r="AE165" s="10">
        <f t="shared" si="326"/>
        <v>0</v>
      </c>
      <c r="AF165" s="10">
        <f t="shared" si="326"/>
        <v>0</v>
      </c>
      <c r="AG165" s="10">
        <f t="shared" si="326"/>
        <v>0</v>
      </c>
      <c r="AH165" s="19">
        <f t="shared" si="328"/>
        <v>0</v>
      </c>
      <c r="AI165" s="10">
        <f t="shared" si="328"/>
        <v>0</v>
      </c>
      <c r="AJ165" s="10">
        <f t="shared" si="328"/>
        <v>0</v>
      </c>
      <c r="AK165" s="10">
        <f t="shared" si="328"/>
        <v>0</v>
      </c>
      <c r="AL165" s="10">
        <f t="shared" si="328"/>
        <v>0</v>
      </c>
      <c r="AM165" s="10">
        <f t="shared" si="340"/>
        <v>0</v>
      </c>
      <c r="AN165" s="19">
        <f t="shared" si="341"/>
        <v>0</v>
      </c>
      <c r="AO165" s="10">
        <f t="shared" si="341"/>
        <v>0</v>
      </c>
      <c r="AP165" s="10">
        <f t="shared" si="341"/>
        <v>0</v>
      </c>
      <c r="AQ165" s="10">
        <f t="shared" si="341"/>
        <v>0</v>
      </c>
      <c r="AR165" s="10">
        <f t="shared" si="341"/>
        <v>0</v>
      </c>
      <c r="AS165" s="10">
        <f t="shared" si="342"/>
        <v>0</v>
      </c>
      <c r="AT165" s="71">
        <f t="shared" si="336"/>
        <v>0</v>
      </c>
      <c r="AU165" s="10">
        <f t="shared" si="336"/>
        <v>0</v>
      </c>
      <c r="AV165" s="10">
        <f t="shared" si="336"/>
        <v>0</v>
      </c>
      <c r="AW165" s="10">
        <f t="shared" si="336"/>
        <v>0</v>
      </c>
      <c r="AX165" s="10">
        <f t="shared" si="336"/>
        <v>0</v>
      </c>
      <c r="AY165" s="10">
        <f t="shared" si="336"/>
        <v>0</v>
      </c>
      <c r="AZ165" s="19">
        <f t="shared" si="343"/>
        <v>0</v>
      </c>
      <c r="BA165" s="10">
        <f t="shared" si="343"/>
        <v>0</v>
      </c>
      <c r="BB165" s="10">
        <f t="shared" si="343"/>
        <v>0</v>
      </c>
      <c r="BC165" s="10">
        <f t="shared" si="343"/>
        <v>0</v>
      </c>
      <c r="BD165" s="10">
        <f t="shared" si="343"/>
        <v>0</v>
      </c>
      <c r="BE165" s="10">
        <f t="shared" si="344"/>
        <v>0</v>
      </c>
      <c r="BF165" s="10">
        <f t="shared" si="344"/>
        <v>0</v>
      </c>
      <c r="BG165" s="190">
        <f t="shared" si="357"/>
        <v>0</v>
      </c>
      <c r="BH165" s="210">
        <f t="shared" si="357"/>
        <v>0</v>
      </c>
      <c r="BI165" s="210">
        <f t="shared" si="357"/>
        <v>0</v>
      </c>
      <c r="BJ165" s="210">
        <f t="shared" si="357"/>
        <v>0</v>
      </c>
      <c r="BK165" s="210">
        <f t="shared" si="357"/>
        <v>0</v>
      </c>
      <c r="BL165" s="10">
        <f t="shared" si="345"/>
        <v>0</v>
      </c>
      <c r="BM165" s="10">
        <f t="shared" si="345"/>
        <v>0</v>
      </c>
      <c r="BN165" s="10">
        <f t="shared" si="345"/>
        <v>0</v>
      </c>
      <c r="BO165" s="71">
        <f t="shared" si="362"/>
        <v>0</v>
      </c>
      <c r="BP165" s="10">
        <f t="shared" si="362"/>
        <v>0</v>
      </c>
      <c r="BQ165" s="10">
        <f t="shared" si="362"/>
        <v>0</v>
      </c>
      <c r="BR165" s="10">
        <f t="shared" si="362"/>
        <v>0</v>
      </c>
      <c r="BS165" s="10">
        <f t="shared" si="362"/>
        <v>0</v>
      </c>
      <c r="BT165" s="10">
        <f t="shared" si="346"/>
        <v>0</v>
      </c>
      <c r="BU165" s="10">
        <f t="shared" si="346"/>
        <v>0</v>
      </c>
      <c r="BV165" s="10">
        <f t="shared" si="346"/>
        <v>0</v>
      </c>
      <c r="BW165" s="71">
        <f t="shared" si="347"/>
        <v>0</v>
      </c>
      <c r="BX165" s="10">
        <f t="shared" si="347"/>
        <v>0</v>
      </c>
      <c r="BY165" s="10">
        <f t="shared" si="347"/>
        <v>0</v>
      </c>
      <c r="BZ165" s="10">
        <f t="shared" si="347"/>
        <v>0</v>
      </c>
      <c r="CA165" s="10">
        <f t="shared" si="347"/>
        <v>0</v>
      </c>
      <c r="CB165" s="10">
        <f t="shared" si="348"/>
        <v>0</v>
      </c>
      <c r="CC165" s="10">
        <f t="shared" si="348"/>
        <v>0</v>
      </c>
      <c r="CD165" s="10">
        <f t="shared" si="348"/>
        <v>0</v>
      </c>
      <c r="CE165" s="71">
        <f t="shared" si="358"/>
        <v>0</v>
      </c>
      <c r="CF165" s="10">
        <f t="shared" si="358"/>
        <v>0</v>
      </c>
      <c r="CG165" s="10">
        <f t="shared" si="358"/>
        <v>0</v>
      </c>
      <c r="CH165" s="10">
        <f t="shared" si="358"/>
        <v>0</v>
      </c>
      <c r="CI165" s="10">
        <f t="shared" si="358"/>
        <v>0</v>
      </c>
      <c r="CJ165" s="10">
        <f t="shared" si="349"/>
        <v>0</v>
      </c>
      <c r="CK165" s="10">
        <f t="shared" si="349"/>
        <v>0</v>
      </c>
      <c r="CL165" s="10">
        <f t="shared" si="349"/>
        <v>0</v>
      </c>
      <c r="CM165" s="71">
        <f t="shared" si="359"/>
        <v>0</v>
      </c>
      <c r="CN165" s="10">
        <f t="shared" si="359"/>
        <v>0</v>
      </c>
      <c r="CO165" s="10">
        <f t="shared" si="359"/>
        <v>0</v>
      </c>
      <c r="CP165" s="10">
        <f t="shared" si="359"/>
        <v>0</v>
      </c>
      <c r="CQ165" s="10">
        <f t="shared" si="359"/>
        <v>0</v>
      </c>
      <c r="CR165" s="10">
        <f t="shared" si="350"/>
        <v>0</v>
      </c>
      <c r="CS165" s="10">
        <f t="shared" si="350"/>
        <v>0</v>
      </c>
      <c r="CT165" s="10">
        <f t="shared" si="350"/>
        <v>0</v>
      </c>
    </row>
    <row r="166" spans="1:108" ht="26.25" hidden="1" customHeight="1" outlineLevel="1" x14ac:dyDescent="0.4">
      <c r="A166" s="351"/>
      <c r="B166" s="351"/>
      <c r="C166" s="351"/>
      <c r="D166" s="353"/>
      <c r="E166" s="353"/>
      <c r="F166" s="353"/>
      <c r="G166" s="385"/>
      <c r="H166" s="447"/>
      <c r="I166" s="447"/>
      <c r="J166" s="449"/>
      <c r="K166" s="453"/>
      <c r="L166" s="453"/>
      <c r="M166" s="451"/>
      <c r="N166" s="38" t="s">
        <v>25</v>
      </c>
      <c r="O166" s="11">
        <f t="shared" si="333"/>
        <v>0</v>
      </c>
      <c r="P166" s="11">
        <f t="shared" si="333"/>
        <v>0</v>
      </c>
      <c r="Q166" s="11">
        <f t="shared" si="333"/>
        <v>0</v>
      </c>
      <c r="R166" s="11">
        <f t="shared" si="333"/>
        <v>0</v>
      </c>
      <c r="S166" s="11">
        <f t="shared" si="333"/>
        <v>0</v>
      </c>
      <c r="T166" s="11">
        <f t="shared" si="333"/>
        <v>0</v>
      </c>
      <c r="U166" s="48">
        <f t="shared" si="333"/>
        <v>0</v>
      </c>
      <c r="V166" s="56">
        <f t="shared" si="339"/>
        <v>0</v>
      </c>
      <c r="W166" s="18">
        <f t="shared" si="339"/>
        <v>0</v>
      </c>
      <c r="X166" s="18">
        <f t="shared" si="339"/>
        <v>0</v>
      </c>
      <c r="Y166" s="18">
        <f t="shared" si="339"/>
        <v>0</v>
      </c>
      <c r="Z166" s="18">
        <f t="shared" si="339"/>
        <v>0</v>
      </c>
      <c r="AA166" s="18">
        <f t="shared" si="326"/>
        <v>0</v>
      </c>
      <c r="AB166" s="41">
        <f t="shared" si="326"/>
        <v>0</v>
      </c>
      <c r="AC166" s="51">
        <f t="shared" si="326"/>
        <v>0</v>
      </c>
      <c r="AD166" s="11">
        <f t="shared" si="326"/>
        <v>0</v>
      </c>
      <c r="AE166" s="11">
        <f t="shared" si="326"/>
        <v>0</v>
      </c>
      <c r="AF166" s="11">
        <f t="shared" si="326"/>
        <v>0</v>
      </c>
      <c r="AG166" s="18">
        <f t="shared" si="326"/>
        <v>0</v>
      </c>
      <c r="AH166" s="50">
        <f t="shared" si="328"/>
        <v>0</v>
      </c>
      <c r="AI166" s="51">
        <f t="shared" si="328"/>
        <v>0</v>
      </c>
      <c r="AJ166" s="51">
        <f t="shared" si="328"/>
        <v>0</v>
      </c>
      <c r="AK166" s="51">
        <f t="shared" si="328"/>
        <v>0</v>
      </c>
      <c r="AL166" s="51">
        <f t="shared" si="328"/>
        <v>0</v>
      </c>
      <c r="AM166" s="18">
        <f t="shared" si="340"/>
        <v>0</v>
      </c>
      <c r="AN166" s="41">
        <f t="shared" si="341"/>
        <v>0</v>
      </c>
      <c r="AO166" s="11">
        <f t="shared" si="341"/>
        <v>0</v>
      </c>
      <c r="AP166" s="11">
        <f t="shared" si="341"/>
        <v>0</v>
      </c>
      <c r="AQ166" s="11">
        <f t="shared" si="341"/>
        <v>0</v>
      </c>
      <c r="AR166" s="11">
        <f t="shared" si="341"/>
        <v>0</v>
      </c>
      <c r="AS166" s="18">
        <f t="shared" si="342"/>
        <v>0</v>
      </c>
      <c r="AT166" s="41">
        <f t="shared" si="336"/>
        <v>0</v>
      </c>
      <c r="AU166" s="11">
        <f t="shared" si="336"/>
        <v>0</v>
      </c>
      <c r="AV166" s="11">
        <f t="shared" si="336"/>
        <v>0</v>
      </c>
      <c r="AW166" s="11">
        <f t="shared" si="336"/>
        <v>0</v>
      </c>
      <c r="AX166" s="11">
        <f t="shared" si="336"/>
        <v>0</v>
      </c>
      <c r="AY166" s="18">
        <f t="shared" si="336"/>
        <v>0</v>
      </c>
      <c r="AZ166" s="41">
        <f t="shared" si="343"/>
        <v>0</v>
      </c>
      <c r="BA166" s="11">
        <f t="shared" si="343"/>
        <v>0</v>
      </c>
      <c r="BB166" s="11">
        <f t="shared" si="343"/>
        <v>0</v>
      </c>
      <c r="BC166" s="11">
        <f t="shared" si="343"/>
        <v>0</v>
      </c>
      <c r="BD166" s="11">
        <f t="shared" si="343"/>
        <v>0</v>
      </c>
      <c r="BE166" s="11">
        <f t="shared" si="344"/>
        <v>0</v>
      </c>
      <c r="BF166" s="18">
        <f t="shared" si="344"/>
        <v>0</v>
      </c>
      <c r="BG166" s="20">
        <f t="shared" si="357"/>
        <v>0</v>
      </c>
      <c r="BH166" s="11">
        <f t="shared" si="357"/>
        <v>0</v>
      </c>
      <c r="BI166" s="11">
        <f t="shared" si="357"/>
        <v>0</v>
      </c>
      <c r="BJ166" s="11">
        <f t="shared" si="357"/>
        <v>0</v>
      </c>
      <c r="BK166" s="11">
        <f t="shared" si="357"/>
        <v>0</v>
      </c>
      <c r="BL166" s="11">
        <f t="shared" si="345"/>
        <v>0</v>
      </c>
      <c r="BM166" s="11">
        <f t="shared" si="345"/>
        <v>0</v>
      </c>
      <c r="BN166" s="18">
        <f t="shared" si="345"/>
        <v>0</v>
      </c>
      <c r="BO166" s="191">
        <f t="shared" si="362"/>
        <v>0</v>
      </c>
      <c r="BP166" s="11">
        <f t="shared" si="362"/>
        <v>0</v>
      </c>
      <c r="BQ166" s="11">
        <f t="shared" si="362"/>
        <v>0</v>
      </c>
      <c r="BR166" s="11">
        <f t="shared" si="362"/>
        <v>0</v>
      </c>
      <c r="BS166" s="11">
        <f t="shared" si="362"/>
        <v>0</v>
      </c>
      <c r="BT166" s="11">
        <f t="shared" si="346"/>
        <v>0</v>
      </c>
      <c r="BU166" s="11">
        <f t="shared" si="346"/>
        <v>0</v>
      </c>
      <c r="BV166" s="18">
        <f t="shared" si="346"/>
        <v>0</v>
      </c>
      <c r="BW166" s="191">
        <f t="shared" si="347"/>
        <v>0</v>
      </c>
      <c r="BX166" s="211">
        <f t="shared" si="347"/>
        <v>0</v>
      </c>
      <c r="BY166" s="211">
        <f t="shared" si="347"/>
        <v>0</v>
      </c>
      <c r="BZ166" s="211">
        <f t="shared" si="347"/>
        <v>0</v>
      </c>
      <c r="CA166" s="211">
        <f t="shared" si="347"/>
        <v>0</v>
      </c>
      <c r="CB166" s="11">
        <f t="shared" si="348"/>
        <v>0</v>
      </c>
      <c r="CC166" s="11">
        <f t="shared" si="348"/>
        <v>0</v>
      </c>
      <c r="CD166" s="18">
        <f t="shared" si="348"/>
        <v>0</v>
      </c>
      <c r="CE166" s="191">
        <f t="shared" si="358"/>
        <v>0</v>
      </c>
      <c r="CF166" s="11">
        <f t="shared" si="358"/>
        <v>0</v>
      </c>
      <c r="CG166" s="11">
        <f t="shared" si="358"/>
        <v>0</v>
      </c>
      <c r="CH166" s="11">
        <f t="shared" si="358"/>
        <v>0</v>
      </c>
      <c r="CI166" s="11">
        <f t="shared" si="358"/>
        <v>0</v>
      </c>
      <c r="CJ166" s="11">
        <f t="shared" si="349"/>
        <v>0</v>
      </c>
      <c r="CK166" s="11">
        <f t="shared" si="349"/>
        <v>0</v>
      </c>
      <c r="CL166" s="18">
        <f t="shared" si="349"/>
        <v>0</v>
      </c>
      <c r="CM166" s="41">
        <f t="shared" si="359"/>
        <v>0</v>
      </c>
      <c r="CN166" s="11">
        <f t="shared" si="359"/>
        <v>0</v>
      </c>
      <c r="CO166" s="11">
        <f t="shared" si="359"/>
        <v>0</v>
      </c>
      <c r="CP166" s="11">
        <f t="shared" si="359"/>
        <v>0</v>
      </c>
      <c r="CQ166" s="11">
        <f t="shared" si="359"/>
        <v>0</v>
      </c>
      <c r="CR166" s="11">
        <f t="shared" si="350"/>
        <v>0</v>
      </c>
      <c r="CS166" s="11">
        <f t="shared" si="350"/>
        <v>0</v>
      </c>
      <c r="CT166" s="11">
        <f t="shared" si="350"/>
        <v>0</v>
      </c>
    </row>
    <row r="167" spans="1:108" ht="26.25" customHeight="1" collapsed="1" x14ac:dyDescent="0.4">
      <c r="A167" s="454"/>
      <c r="B167" s="455"/>
      <c r="C167" s="455"/>
      <c r="D167" s="455"/>
      <c r="E167" s="455"/>
      <c r="F167" s="455"/>
      <c r="G167" s="456"/>
      <c r="H167" s="440">
        <f>SUM(H7,H9,H11,H13,H15,H17,H19,H21,H23,H25,H27,H29,H31,H33,H35,H37,H39,H41,H43,H45,H47,H49,H51,H53,H55,H57,H59,H61,H63,H65,H67,H69,H71,H73,H75,H77,H79,H81,H83,H85,H87,H89,H91,H93,H95,H97,H99,H101,H103,H105,H107,H109,H111,H113,H115,H117,H119,H121,H123,H125)</f>
        <v>3.1133333333333337</v>
      </c>
      <c r="I167" s="440">
        <f>SUM(I7,I9,I11,I13,I15,I17,I19,I21,I23,I25,I27,I29,I31,I33,I35,I37,I39,I41,I43,I45,I47,I49,I51,I53,I55,I57,I59,I61,I63,I65,I67,I69,I71,I73,I75,I77,I79,I81,I83,I85,I87,I89,I91,I93,I95,I97,I99,I101,I103,I105,I107,I109,I111,I113,I115,I117,I119,I121,I123,I125)</f>
        <v>1.3066666666666666</v>
      </c>
      <c r="J167" s="529" t="s">
        <v>90</v>
      </c>
      <c r="K167" s="530"/>
      <c r="L167" s="530"/>
      <c r="M167" s="531"/>
      <c r="N167" s="10" t="s">
        <v>88</v>
      </c>
      <c r="O167" s="10">
        <f>SUM(O7,O9,O11,O13,O15,O17,O19,O21,O23,O25,O27,O29,O31,O33,O35,O37,O39,O41,O43,O45,O47,O49,O51,O53,O55,O57,O59,O61,O63,O65,O67,O69,O71,O73,O75,O77,O79,O81,O83,O85,O87,O89,O91,O93,O95,O97,O99,O101,O103,O105)</f>
        <v>0.53333333333333333</v>
      </c>
      <c r="P167" s="10">
        <f>SUM(P7,P9,P11,P13,P15,P17,P19,P21,P23,P25,P27,P29,P31,P33,P35,P37,P39,P41,P43,P45,P47,P49,P51,P53,P55,P57,P59,P61,P63,P65,P67,P69,P71,P73,P75,P77,P79,P81,P83,P85,P87,P89,P91,P93,P95,P97,P99,P101,P103,P105)</f>
        <v>0</v>
      </c>
      <c r="Q167" s="10">
        <f>SUM(Q7,Q9,Q11,Q13,Q15,Q17,Q19,Q21,Q23,Q25,Q27,Q29,Q31,Q33,Q35,Q37,Q39,Q41,Q43,Q45,Q47,Q49,Q51,Q53,Q55,Q57,Q59,Q61,Q63,Q65,Q67,Q69,Q71,Q73,Q75,Q77,Q79,Q81,Q83,Q85,Q87,Q89,Q91,Q93,Q95,Q97,Q99,Q101,Q103,Q105)</f>
        <v>0.91666666666666674</v>
      </c>
      <c r="R167" s="10">
        <f>SUM(R7,R9,R11,R13,R15,R17,R19,R21,R23,R25,R27,R29,R31,R33,R35,R37,R39,R41,R43,R45,R47,R49,R51,R53,R55,R57,R59,R61,R63,R65,R67,R69,R71,R73,R75,R77,R79,R81,R83,R85,R87,R89,R91,R93,R95,R97,R99,R101,R103,R105)</f>
        <v>0.77083333333333337</v>
      </c>
      <c r="S167" s="10">
        <f t="shared" ref="S167:U167" si="365">SUM(S7,S9,S11,S13,S15,S17,S19,S21,S23,S25,S27,S29,S31,S33,S35,S37,S39,S41,S43,S45,S47,S49,S51,S53,S55,S57,S59,S61,S63,S65,S67,S69,S71,S73,S75,S77,S79,S81,S83,S85,S87,S89,S91,S93,S95,S97,S99,S101,S103,S105)</f>
        <v>0.93333333333333346</v>
      </c>
      <c r="T167" s="10">
        <f t="shared" si="365"/>
        <v>1.1166666666666667</v>
      </c>
      <c r="U167" s="79">
        <f t="shared" si="365"/>
        <v>0.83333333333333326</v>
      </c>
      <c r="V167" s="10">
        <f t="shared" ref="V167:Y168" si="366">SUM(V7,V9,V11,V13,V15,V17,V19,V21,V23,V25,V27,V29,V31,V33,V35,V37,V39,V41,V43,V45,V47,V49,V51,V53,V55,V57,V59,V61,V63,V65,V67,V69,V71,V73,V75,V77,V79,V81,V83,V85,V87,V89,V91,V93,V95,V97,V99,V101,V103,V105)</f>
        <v>0.41403508771929826</v>
      </c>
      <c r="W167" s="10">
        <f t="shared" si="366"/>
        <v>0</v>
      </c>
      <c r="X167" s="10">
        <f t="shared" si="366"/>
        <v>0.68421052631578938</v>
      </c>
      <c r="Y167" s="10">
        <f t="shared" si="366"/>
        <v>0.84210526315789469</v>
      </c>
      <c r="Z167" s="10">
        <f t="shared" ref="Z167:AE167" si="367">SUM(Z7,Z9,Z11,Z13,Z15,Z17,Z19,Z21,Z23,Z25,Z27,Z29,Z31,Z33,Z35,Z37,Z39,Z41,Z43,Z45,Z47,Z49,Z51,Z53,Z55,Z57,Z59,Z61,Z63,Z65,Z67,Z69,Z71,Z73,Z75,Z77,Z79,Z81,Z83,Z85,Z87,Z89,Z91,Z93,Z95,Z97,Z99,Z101,Z103,Z105)</f>
        <v>0.84210526315789469</v>
      </c>
      <c r="AA167" s="79">
        <f t="shared" si="367"/>
        <v>0.89473684210526305</v>
      </c>
      <c r="AB167" s="10">
        <f t="shared" si="367"/>
        <v>0.41818181818181821</v>
      </c>
      <c r="AC167" s="10">
        <f t="shared" si="367"/>
        <v>0.48484848484848486</v>
      </c>
      <c r="AD167" s="10">
        <f t="shared" si="367"/>
        <v>0.83636363636363642</v>
      </c>
      <c r="AE167" s="10">
        <f t="shared" si="367"/>
        <v>0.87878787878787878</v>
      </c>
      <c r="AF167" s="10">
        <f t="shared" ref="AF167:AK167" si="368">SUM(AF7,AF9,AF11,AF13,AF15,AF17,AF19,AF21,AF23,AF25,AF27,AF29,AF31,AF33,AF35,AF37,AF39,AF41,AF43,AF45,AF47,AF49,AF51,AF53,AF55,AF57,AF59,AF61,AF63,AF65,AF67,AF69,AF71,AF73,AF75,AF77,AF79,AF81,AF83,AF85,AF87,AF89,AF91,AF93,AF95,AF97,AF99,AF101,AF103,AF105)</f>
        <v>0.87878787878787878</v>
      </c>
      <c r="AG167" s="79">
        <f t="shared" si="368"/>
        <v>0.89696969696969697</v>
      </c>
      <c r="AH167" s="10">
        <f t="shared" si="368"/>
        <v>0.6333333333333333</v>
      </c>
      <c r="AI167" s="10">
        <f t="shared" si="368"/>
        <v>0.912121212121212</v>
      </c>
      <c r="AJ167" s="10">
        <f t="shared" si="368"/>
        <v>0.86666666666666681</v>
      </c>
      <c r="AK167" s="10">
        <f t="shared" si="368"/>
        <v>0.88484848484848488</v>
      </c>
      <c r="AL167" s="10">
        <f t="shared" ref="AL167:AQ167" si="369">SUM(AL7,AL9,AL11,AL13,AL15,AL17,AL19,AL21,AL23,AL25,AL27,AL29,AL31,AL33,AL35,AL37,AL39,AL41,AL43,AL45,AL47,AL49,AL51,AL53,AL55,AL57,AL59,AL61,AL63,AL65,AL67,AL69,AL71,AL73,AL75,AL77,AL79,AL81,AL83,AL85,AL87,AL89,AL91,AL93,AL95,AL97,AL99,AL101,AL103,AL105)</f>
        <v>0.90909090909090906</v>
      </c>
      <c r="AM167" s="79">
        <f t="shared" si="369"/>
        <v>0.92121212121212104</v>
      </c>
      <c r="AN167" s="10">
        <f t="shared" si="369"/>
        <v>0.26666666666666666</v>
      </c>
      <c r="AO167" s="10">
        <f t="shared" si="369"/>
        <v>0.86666666666666659</v>
      </c>
      <c r="AP167" s="10">
        <f t="shared" si="369"/>
        <v>0.8571428571428571</v>
      </c>
      <c r="AQ167" s="10">
        <f t="shared" si="369"/>
        <v>0.80634920634920637</v>
      </c>
      <c r="AR167" s="10">
        <f t="shared" ref="AR167:AS167" si="370">SUM(AR7,AR9,AR11,AR13,AR15,AR17,AR19,AR21,AR23,AR25,AR27,AR29,AR31,AR33,AR35,AR37,AR39,AR41,AR43,AR45,AR47,AR49,AR51,AR53,AR55,AR57,AR59,AR61,AR63,AR65,AR67,AR69,AR71,AR73,AR75,AR77,AR79,AR81,AR83,AR85,AR87,AR89,AR91,AR93,AR95,AR97,AR99,AR101,AR103,AR105)</f>
        <v>0.88888888888888884</v>
      </c>
      <c r="AS167" s="79">
        <f t="shared" si="370"/>
        <v>0.85079365079365088</v>
      </c>
      <c r="AT167" s="10">
        <f>SUM(AT7,AT9,AT11,AT13,AT15,AT17,AT19,AT21,AT23,AT25,AT27,AT29,AT31,AT33,AT35,AT37,AT39,AT41,AT43,AT45,AT47,AT49,AT51,AT53,AT55,AT57,AT59,AT61,AT63,AT65,AT67,AT69,AT71,AT73,AT75,AT77,AT79,AT81,AT83,AT85,AT87,AT89,AT91,AT93,AT95,AT97,AT99,AT101,AT103,AT105,AT107,AT109,AT111,AT113)</f>
        <v>0.40606060606060612</v>
      </c>
      <c r="AU167" s="10">
        <f>SUM(AU7,AU9,AU11,AU13,AU15,AU17,AU19,AU21,AU23,AU25,AU27,AU29,AU31,AU33,AU35,AU37,AU39,AU41,AU43,AU45,AU47,AU49,AU51,AU53,AU55,AU57,AU59,AU61,AU63,AU65,AU67,AU69,AU71,AU73,AU75,AU77,AU79,AU81,AU83,AU85,AU87,AU89,AU91,AU93,AU95,AU97,AU99,AU101,AU103,AU105,AU107,AU109,AU111,AU113)</f>
        <v>0.91515151515151527</v>
      </c>
      <c r="AV167" s="10">
        <f t="shared" ref="AV167:AY167" si="371">SUM(AV7,AV9,AV11,AV13,AV15,AV17,AV19,AV21,AV23,AV25,AV27,AV29,AV31,AV33,AV35,AV37,AV39,AV41,AV43,AV45,AV47,AV49,AV51,AV53,AV55,AV57,AV59,AV61,AV63,AV65,AV67,AV69,AV71,AV73,AV75,AV77,AV79,AV81,AV83,AV85,AV87,AV89,AV91,AV93,AV95,AV97,AV99,AV101,AV103,AV105,AV107,AV109,AV111,AV113)</f>
        <v>0.88181818181818172</v>
      </c>
      <c r="AW167" s="10">
        <f t="shared" si="371"/>
        <v>0.85757575757575755</v>
      </c>
      <c r="AX167" s="10">
        <f t="shared" si="371"/>
        <v>0.90303030303030307</v>
      </c>
      <c r="AY167" s="79">
        <f t="shared" si="371"/>
        <v>0.92121212121212115</v>
      </c>
      <c r="AZ167" s="10">
        <f>SUM(AZ7,AZ9,AZ11,AZ13,AZ15,AZ17,AZ19,AZ21,AZ23,AZ25,AZ27,AZ29,AZ31,AZ33,AZ35,AZ37,AZ39,AZ41,AZ43,AZ45,AZ47,AZ49,AZ51,AZ53,AZ55,AZ57,AZ59,AZ61,AZ63,AZ65,AZ67,AZ69,AZ71,AZ73,AZ75,AZ77,AZ79,AZ81,AZ83,AZ85,AZ87,AZ89,AZ91,AZ93,AZ95,AZ97,AZ99,AZ101,AZ103,AZ105,AZ107,AZ109,AZ111,AZ113)</f>
        <v>0.23333333333333334</v>
      </c>
      <c r="BA167" s="10">
        <f>SUM(BA7,BA9,BA11,BA13,BA15,BA17,BA19,BA21,BA23,BA25,BA27,BA29,BA31,BA33,BA35,BA37,BA39,BA41,BA43,BA45,BA47,BA49,BA51,BA53,BA55,BA57,BA59,BA61,BA63,BA65,BA67,BA69,BA71,BA73,BA75,BA77,BA79,BA81,BA83,BA85,BA87,BA89,BA91,BA93,BA95,BA97,BA99,BA101,BA103,BA105,BA107,BA109,BA111,BA113)</f>
        <v>6.6666666666666666E-2</v>
      </c>
      <c r="BB167" s="10">
        <f t="shared" ref="BB167:BE167" si="372">SUM(BB7,BB9,BB11,BB13,BB15,BB17,BB19,BB21,BB23,BB25,BB27,BB29,BB31,BB33,BB35,BB37,BB39,BB41,BB43,BB45,BB47,BB49,BB51,BB53,BB55,BB57,BB59,BB61,BB63,BB65,BB67,BB69,BB71,BB73,BB75,BB77,BB79,BB81,BB83,BB85,BB87,BB89,BB91,BB93,BB95,BB97,BB99,BB101,BB103,BB105,BB107,BB109,BB111,BB113)</f>
        <v>0.2</v>
      </c>
      <c r="BC167" s="10">
        <f t="shared" si="372"/>
        <v>0.2</v>
      </c>
      <c r="BD167" s="10">
        <f t="shared" si="372"/>
        <v>0.2</v>
      </c>
      <c r="BE167" s="10">
        <f t="shared" si="372"/>
        <v>0.2</v>
      </c>
      <c r="BF167" s="10">
        <f t="shared" ref="BF167" si="373">SUM(BF7,BF9,BF11,BF13,BF15,BF17,BF19,BF21,BF23,BF25,BF27,BF29,BF31,BF33,BF35,BF37,BF39,BF41,BF43,BF45,BF47,BF49,BF51,BF53,BF55,BF57,BF59,BF61,BF63,BF65,BF67,BF69,BF71,BF73,BF75,BF77,BF79,BF81,BF83,BF85,BF87,BF89,BF91,BF93,BF95,BF97,BF99,BF101,BF103,BF105,BF107,BF109,BF111,BF113)</f>
        <v>0</v>
      </c>
      <c r="BG167" s="19">
        <f t="shared" ref="BA167:CT167" si="374">SUM(BG7,BG9,BG11,BG13,BG15,BG17,BG19,BG21,BG23,BG25,BG27,BG29,BG31,BG33,BG35,BG37,BG39,BG41,BG43,BG45,BG47,BG49,BG51,BG53,BG55,BG57,BG59,BG61,BG63,BG65,BG67,BG69,BG71,BG73,BG75,BG77,BG79,BG81,BG83,BG85,BG87,BG89,BG91,BG93,BG95,BG97,BG99,BG101,BG103,BG105)</f>
        <v>0</v>
      </c>
      <c r="BH167" s="79">
        <f t="shared" si="374"/>
        <v>0</v>
      </c>
      <c r="BI167" s="19">
        <f t="shared" si="374"/>
        <v>0</v>
      </c>
      <c r="BJ167" s="79">
        <f t="shared" si="374"/>
        <v>0</v>
      </c>
      <c r="BK167" s="19">
        <f t="shared" si="374"/>
        <v>0</v>
      </c>
      <c r="BL167" s="79">
        <f t="shared" si="374"/>
        <v>0</v>
      </c>
      <c r="BM167" s="19">
        <f t="shared" si="374"/>
        <v>0</v>
      </c>
      <c r="BN167" s="79">
        <f t="shared" si="374"/>
        <v>0</v>
      </c>
      <c r="BO167" s="19">
        <f t="shared" si="374"/>
        <v>0</v>
      </c>
      <c r="BP167" s="79">
        <f t="shared" si="374"/>
        <v>0</v>
      </c>
      <c r="BQ167" s="19">
        <f t="shared" si="374"/>
        <v>0</v>
      </c>
      <c r="BR167" s="79">
        <f t="shared" si="374"/>
        <v>0</v>
      </c>
      <c r="BS167" s="19">
        <f t="shared" si="374"/>
        <v>0</v>
      </c>
      <c r="BT167" s="79">
        <f t="shared" si="374"/>
        <v>0</v>
      </c>
      <c r="BU167" s="19">
        <f t="shared" si="374"/>
        <v>0</v>
      </c>
      <c r="BV167" s="79">
        <f t="shared" si="374"/>
        <v>0</v>
      </c>
      <c r="BW167" s="19">
        <f t="shared" si="374"/>
        <v>0</v>
      </c>
      <c r="BX167" s="79">
        <f t="shared" si="374"/>
        <v>0</v>
      </c>
      <c r="BY167" s="19">
        <f t="shared" si="374"/>
        <v>0</v>
      </c>
      <c r="BZ167" s="79">
        <f t="shared" si="374"/>
        <v>0</v>
      </c>
      <c r="CA167" s="19">
        <f t="shared" si="374"/>
        <v>0</v>
      </c>
      <c r="CB167" s="79">
        <f t="shared" si="374"/>
        <v>0</v>
      </c>
      <c r="CC167" s="19">
        <f t="shared" si="374"/>
        <v>0</v>
      </c>
      <c r="CD167" s="79">
        <f t="shared" si="374"/>
        <v>0</v>
      </c>
      <c r="CE167" s="19">
        <f t="shared" si="374"/>
        <v>0</v>
      </c>
      <c r="CF167" s="79">
        <f t="shared" si="374"/>
        <v>0</v>
      </c>
      <c r="CG167" s="19">
        <f t="shared" si="374"/>
        <v>0</v>
      </c>
      <c r="CH167" s="79">
        <f t="shared" si="374"/>
        <v>0</v>
      </c>
      <c r="CI167" s="19">
        <f t="shared" si="374"/>
        <v>0</v>
      </c>
      <c r="CJ167" s="79">
        <f t="shared" si="374"/>
        <v>0</v>
      </c>
      <c r="CK167" s="19">
        <f t="shared" si="374"/>
        <v>0</v>
      </c>
      <c r="CL167" s="79">
        <f t="shared" si="374"/>
        <v>0</v>
      </c>
      <c r="CM167" s="19">
        <f t="shared" si="374"/>
        <v>0</v>
      </c>
      <c r="CN167" s="79">
        <f t="shared" si="374"/>
        <v>0</v>
      </c>
      <c r="CO167" s="19">
        <f t="shared" si="374"/>
        <v>0</v>
      </c>
      <c r="CP167" s="79">
        <f t="shared" si="374"/>
        <v>0</v>
      </c>
      <c r="CQ167" s="19">
        <f t="shared" si="374"/>
        <v>0</v>
      </c>
      <c r="CR167" s="79">
        <f t="shared" si="374"/>
        <v>0</v>
      </c>
      <c r="CS167" s="19">
        <f t="shared" si="374"/>
        <v>0</v>
      </c>
      <c r="CT167" s="79">
        <f t="shared" si="374"/>
        <v>0</v>
      </c>
      <c r="CU167" s="19">
        <f>SUM(AZ167:BF167)</f>
        <v>1.0999999999999999</v>
      </c>
    </row>
    <row r="168" spans="1:108" ht="26.25" customHeight="1" x14ac:dyDescent="0.4">
      <c r="A168" s="457"/>
      <c r="B168" s="458"/>
      <c r="C168" s="458"/>
      <c r="D168" s="458"/>
      <c r="E168" s="458"/>
      <c r="F168" s="458"/>
      <c r="G168" s="459"/>
      <c r="H168" s="441"/>
      <c r="I168" s="441"/>
      <c r="J168" s="497" t="s">
        <v>90</v>
      </c>
      <c r="K168" s="498"/>
      <c r="L168" s="498"/>
      <c r="M168" s="499"/>
      <c r="N168" s="11" t="s">
        <v>89</v>
      </c>
      <c r="O168" s="11">
        <f>SUM(O8,O10,O12,O14,O16,O18,O20,O22,O24,O26,O28,O30,O32,O34,O36,O38,O40,O42,O44,O46,O48,O50,O52,O54,O56,O58,O60,O62,O64,O66,O68,O70,O72,O74,O76,O78,O80,O82,O84,O86,O88,O90,O92,O94,O96,O98,O100,O102,O104,O106)</f>
        <v>0.46250000000000002</v>
      </c>
      <c r="P168" s="11">
        <f>SUM(P8,P10,P12,P14,P16,P18,P20,P22,P24,P26,P28,P30,P32,P34,P36,P38,P40,P42,P44,P46,P48,P50,P52,P54,P56,P58,P60,P62,P64,P66,P68,P70,P72,P74,P76,P78,P80,P82,P84,P86,P88,P90,P92,P94,P96,P98,P100,P102,P104,P106)</f>
        <v>0</v>
      </c>
      <c r="Q168" s="11">
        <f t="shared" ref="Q168:U168" si="375">SUM(Q8,Q10,Q12,Q14,Q16,Q18,Q20,Q22,Q24,Q26,Q28,Q30,Q32,Q34,Q36,Q38,Q40,Q42,Q44,Q46,Q48,Q50,Q52,Q54,Q56,Q58,Q60,Q62,Q64,Q66,Q68,Q70,Q72,Q74,Q76,Q78,Q80,Q82,Q84,Q86,Q88,Q90,Q92,Q94,Q96,Q98,Q100,Q102,Q104,Q106)</f>
        <v>0.8125</v>
      </c>
      <c r="R168" s="11">
        <f t="shared" si="375"/>
        <v>0.72083333333333333</v>
      </c>
      <c r="S168" s="11">
        <f t="shared" si="375"/>
        <v>0.87083333333333324</v>
      </c>
      <c r="T168" s="11">
        <f t="shared" si="375"/>
        <v>0.92499999999999993</v>
      </c>
      <c r="U168" s="48">
        <f t="shared" si="375"/>
        <v>0.87916666666666665</v>
      </c>
      <c r="V168" s="11">
        <f>SUM(V8,V10,V12,V14,V16,V18,V20,V22,V24,V26,V28,V30,V32,V34,V36,V38,V40,V42,V44,V46,V48,V50,V52,V54,V56,V58,V60,V62,V64,V66,V68,V70,V72,V74,V76,V78,V80,V82,V84,V86,V88,V90,V92,V94,V96,V98,V100,V102,V104,V106)</f>
        <v>0.37894736842105264</v>
      </c>
      <c r="W168" s="11">
        <f t="shared" si="366"/>
        <v>0</v>
      </c>
      <c r="X168" s="11">
        <f t="shared" si="366"/>
        <v>0.64561403508771942</v>
      </c>
      <c r="Y168" s="11">
        <f t="shared" si="366"/>
        <v>0.74736842105263157</v>
      </c>
      <c r="Z168" s="11">
        <f>SUM(Z8,Z10,Z12,Z14,Z16,Z18,Z20,Z22,Z24,Z26,Z28,Z30,Z32,Z34,Z36,Z38,Z40,Z42,Z44,Z46,Z48,Z50,Z52,Z54,Z56,Z58,Z60,Z62,Z64,Z66,Z68,Z70,Z72,Z74,Z76,Z78,Z80,Z82,Z84,Z86,Z88,Z90,Z92,Z94,Z96,Z98,Z100,Z102,Z104,Z106)</f>
        <v>0.75789473684210529</v>
      </c>
      <c r="AA168" s="48">
        <f>SUM(AA8,AA10,AA12,AA14,AA16,AA18,AA20,AA22,AA24,AA26,AA28,AA30,AA32,AA34,AA36,AA38,AA40,AA42,AA44,AA46,AA48,AA50,AA52,AA54,AA56,AA58,AA60,AA62,AA64,AA66,AA68,AA70,AA72,AA74,AA76,AA78,AA80,AA82,AA84,AA86,AA88,AA90,AA92,AA94,AA96,AA98,AA100,AA102,AA104,AA106)</f>
        <v>0.7929824561403509</v>
      </c>
      <c r="AB168" s="11">
        <f>SUM(AB8,AB10,AB12,AB14,AB16,AB18,AB20,AB22,AB24,AB26,AB28,AB30,AB32,AB34,AB36,AB38,AB40,AB42,AB44,AB46,AB48,AB50,AB52,AB54,AB56,AB58,AB60,AB62,AB64,AB66,AB68,AB70,AB72,AB74,AB76,AB78,AB80,AB82,AB84,AB86,AB88,AB90,AB92,AB94,AB96,AB98,AB100,AB102,AB104,AB106)</f>
        <v>0.38787878787878788</v>
      </c>
      <c r="AC168" s="11">
        <f t="shared" ref="AC168:AE168" si="376">SUM(AC8,AC10,AC12,AC14,AC16,AC18,AC20,AC22,AC24,AC26,AC28,AC30,AC32,AC34,AC36,AC38,AC40,AC42,AC44,AC46,AC48,AC50,AC52,AC54,AC56,AC58,AC60,AC62,AC64,AC66,AC68,AC70,AC72,AC74,AC76,AC78,AC80,AC82,AC84,AC86,AC88,AC90,AC92,AC94,AC96,AC98,AC100,AC102,AC104,AC106)</f>
        <v>0.44545454545454544</v>
      </c>
      <c r="AD168" s="11">
        <f t="shared" si="376"/>
        <v>0.74545454545454559</v>
      </c>
      <c r="AE168" s="11">
        <f t="shared" si="376"/>
        <v>0.84848484848484851</v>
      </c>
      <c r="AF168" s="11">
        <f>SUM(AF8,AF10,AF12,AF14,AF16,AF18,AF20,AF22,AF24,AF26,AF28,AF30,AF32,AF34,AF36,AF38,AF40,AF42,AF44,AF46,AF48,AF50,AF52,AF54,AF56,AF58,AF60,AF62,AF64,AF66,AF68,AF70,AF72,AF74,AF76,AF78,AF80,AF82,AF84,AF86,AF88,AF90,AF92,AF94,AF96,AF98,AF100,AF102,AF104,AF106)</f>
        <v>0.81212121212121224</v>
      </c>
      <c r="AG168" s="48">
        <f>SUM(AG8,AG10,AG12,AG14,AG16,AG18,AG20,AG22,AG24,AG26,AG28,AG30,AG32,AG34,AG36,AG38,AG40,AG42,AG44,AG46,AG48,AG50,AG52,AG54,AG56,AG58,AG60,AG62,AG64,AG66,AG68,AG70,AG72,AG74,AG76,AG78,AG80,AG82,AG84,AG86,AG88,AG90,AG92,AG94,AG96,AG98,AG100,AG102,AG104,AG106)</f>
        <v>0.79393939393939383</v>
      </c>
      <c r="AH168" s="11">
        <f>SUM(AH8,AH10,AH12,AH14,AH16,AH18,AH20,AH22,AH24,AH26,AH28,AH30,AH32,AH34,AH36,AH38,AH40,AH42,AH44,AH46,AH48,AH50,AH52,AH54,AH56,AH58,AH60,AH62,AH64,AH66,AH68,AH70,AH72,AH74,AH76,AH78,AH80,AH82,AH84,AH86,AH88,AH90,AH92,AH94,AH96,AH98,AH100,AH102,AH104,AH106)</f>
        <v>0.54242424242424248</v>
      </c>
      <c r="AI168" s="11">
        <f t="shared" ref="AI168:AK168" si="377">SUM(AI8,AI10,AI12,AI14,AI16,AI18,AI20,AI22,AI24,AI26,AI28,AI30,AI32,AI34,AI36,AI38,AI40,AI42,AI44,AI46,AI48,AI50,AI52,AI54,AI56,AI58,AI60,AI62,AI64,AI66,AI68,AI70,AI72,AI74,AI76,AI78,AI80,AI82,AI84,AI86,AI88,AI90,AI92,AI94,AI96,AI98,AI100,AI102,AI104,AI106)</f>
        <v>0.87575757575757573</v>
      </c>
      <c r="AJ168" s="11">
        <f t="shared" si="377"/>
        <v>0.84696969696969693</v>
      </c>
      <c r="AK168" s="11">
        <f t="shared" si="377"/>
        <v>0.86363636363636354</v>
      </c>
      <c r="AL168" s="11">
        <f>SUM(AL8,AL10,AL12,AL14,AL16,AL18,AL20,AL22,AL24,AL26,AL28,AL30,AL32,AL34,AL36,AL38,AL40,AL42,AL44,AL46,AL48,AL50,AL52,AL54,AL56,AL58,AL60,AL62,AL64,AL66,AL68,AL70,AL72,AL74,AL76,AL78,AL80,AL82,AL84,AL86,AL88,AL90,AL92,AL94,AL96,AL98,AL100,AL102,AL104,AL106)</f>
        <v>0.87878787878787878</v>
      </c>
      <c r="AM168" s="48">
        <f>SUM(AM8,AM10,AM12,AM14,AM16,AM18,AM20,AM22,AM24,AM26,AM28,AM30,AM32,AM34,AM36,AM38,AM40,AM42,AM44,AM46,AM48,AM50,AM52,AM54,AM56,AM58,AM60,AM62,AM64,AM66,AM68,AM70,AM72,AM74,AM76,AM78,AM80,AM82,AM84,AM86,AM88,AM90,AM92,AM94,AM96,AM98,AM100,AM102,AM104,AM106)</f>
        <v>0.88181818181818183</v>
      </c>
      <c r="AN168" s="11">
        <f>SUM(AN8,AN10,AN12,AN14,AN16,AN18,AN20,AN22,AN24,AN26,AN28,AN30,AN32,AN34,AN36,AN38,AN40,AN42,AN44,AN46,AN48,AN50,AN52,AN54,AN56,AN58,AN60,AN62,AN64,AN66,AN68,AN70,AN72,AN74,AN76,AN78,AN80,AN82,AN84,AN86,AN88,AN90,AN92,AN94,AN96,AN98,AN100,AN102,AN104,AN106)</f>
        <v>0.30158730158730163</v>
      </c>
      <c r="AO168" s="11">
        <f t="shared" ref="AO168:AQ168" si="378">SUM(AO8,AO10,AO12,AO14,AO16,AO18,AO20,AO22,AO24,AO26,AO28,AO30,AO32,AO34,AO36,AO38,AO40,AO42,AO44,AO46,AO48,AO50,AO52,AO54,AO56,AO58,AO60,AO62,AO64,AO66,AO68,AO70,AO72,AO74,AO76,AO78,AO80,AO82,AO84,AO86,AO88,AO90,AO92,AO94,AO96,AO98,AO100,AO102,AO104,AO106)</f>
        <v>0.83492063492063495</v>
      </c>
      <c r="AP168" s="11">
        <f t="shared" si="378"/>
        <v>0.79841269841269835</v>
      </c>
      <c r="AQ168" s="11">
        <f t="shared" si="378"/>
        <v>0.78412698412698412</v>
      </c>
      <c r="AR168" s="11">
        <f>SUM(AR8,AR10,AR12,AR14,AR16,AR18,AR20,AR22,AR24,AR26,AR28,AR30,AR32,AR34,AR36,AR38,AR40,AR42,AR44,AR46,AR48,AR50,AR52,AR54,AR56,AR58,AR60,AR62,AR64,AR66,AR68,AR70,AR72,AR74,AR76,AR78,AR80,AR82,AR84,AR86,AR88,AR90,AR92,AR94,AR96,AR98,AR100,AR102,AR104,AR106)</f>
        <v>0.88571428571428568</v>
      </c>
      <c r="AS168" s="48">
        <f>SUM(AS8,AS10,AS12,AS14,AS16,AS18,AS20,AS22,AS24,AS26,AS28,AS30,AS32,AS34,AS36,AS38,AS40,AS42,AS44,AS46,AS48,AS50,AS52,AS54,AS56,AS58,AS60,AS62,AS64,AS66,AS68,AS70,AS72,AS74,AS76,AS78,AS80,AS82,AS84,AS86,AS88,AS90,AS92,AS94,AS96,AS98,AS100,AS102,AS104,AS106)</f>
        <v>0.84126984126984139</v>
      </c>
      <c r="AT168" s="11">
        <f>SUM(AT8,AT10,AT12,AT14,AT16,AT18,AT20,AT22,AT24,AT26,AT28,AT30,AT32,AT34,AT36,AT38,AT40,AT42,AT44,AT46,AT48,AT50,AT52,AT54,AT56,AT58,AT60,AT62,AT64,AT66,AT68,AT70,AT72,AT74,AT76,AT78,AT80,AT82,AT84,AT86,AT88,AT90,AT92,AT94,AT96,AT98,AT100,AT102,AT104,AT106,AT108,AT110,AT112,AT114)</f>
        <v>0.33333333333333343</v>
      </c>
      <c r="AU168" s="11">
        <f>SUM(AU8,AU10,AU12,AU14,AU16,AU18,AU20,AU22,AU24,AU26,AU28,AU30,AU32,AU34,AU36,AU38,AU40,AU42,AU44,AU46,AU48,AU50,AU52,AU54,AU56,AU58,AU60,AU62,AU64,AU66,AU68,AU70,AU72,AU74,AU76,AU78,AU80,AU82,AU84,AU86,AU88,AU90,AU92,AU94,AU96,AU98,AU100,AU102,AU104,AU106,AU108,AU110,AU112,AU114)</f>
        <v>0.837878787878788</v>
      </c>
      <c r="AV168" s="11">
        <f t="shared" ref="AV168:AY168" si="379">SUM(AV8,AV10,AV12,AV14,AV16,AV18,AV20,AV22,AV24,AV26,AV28,AV30,AV32,AV34,AV36,AV38,AV40,AV42,AV44,AV46,AV48,AV50,AV52,AV54,AV56,AV58,AV60,AV62,AV64,AV66,AV68,AV70,AV72,AV74,AV76,AV78,AV80,AV82,AV84,AV86,AV88,AV90,AV92,AV94,AV96,AV98,AV100,AV102,AV104,AV106,AV108,AV110,AV112,AV114)</f>
        <v>0.86969696969696975</v>
      </c>
      <c r="AW168" s="11">
        <f t="shared" si="379"/>
        <v>0.82727272727272738</v>
      </c>
      <c r="AX168" s="11">
        <f t="shared" si="379"/>
        <v>0.91060606060606064</v>
      </c>
      <c r="AY168" s="48">
        <f t="shared" si="379"/>
        <v>0.87575757575757573</v>
      </c>
      <c r="AZ168" s="11">
        <f>SUM(AZ8,AZ10,AZ12,AZ14,AZ16,AZ18,AZ20,AZ22,AZ24,AZ26,AZ28,AZ30,AZ32,AZ34,AZ36,AZ38,AZ40,AZ42,AZ44,AZ46,AZ48,AZ50,AZ52,AZ54,AZ56,AZ58,AZ60,AZ62,AZ64,AZ66,AZ68,AZ70,AZ72,AZ74,AZ76,AZ78,AZ80,AZ82,AZ84,AZ86,AZ88,AZ90,AZ92,AZ94,AZ96,AZ98,AZ100,AZ102,AZ104,AZ106,AZ108,AZ110,AZ112,AZ114,AZ116,AZ118,AZ120,AZ122,AZ124,AZ126)</f>
        <v>0.12999999999999998</v>
      </c>
      <c r="BA168" s="11">
        <f t="shared" ref="BA168:BF168" si="380">SUM(BA8,BA10,BA12,BA14,BA16,BA18,BA20,BA22,BA24,BA26,BA28,BA30,BA32,BA34,BA36,BA38,BA40,BA42,BA44,BA46,BA48,BA50,BA52,BA54,BA56,BA58,BA60,BA62,BA64,BA66,BA68,BA70,BA72,BA74,BA76,BA78,BA80,BA82,BA84,BA86,BA88,BA90,BA92,BA94,BA96,BA98,BA100,BA102,BA104,BA106,BA108,BA110,BA112,BA114,BA116,BA118,BA120,BA122,BA124,BA126)</f>
        <v>0.23833333333333334</v>
      </c>
      <c r="BB168" s="11">
        <f t="shared" si="380"/>
        <v>0.23833333333333331</v>
      </c>
      <c r="BC168" s="11">
        <f t="shared" si="380"/>
        <v>0.23833333333333334</v>
      </c>
      <c r="BD168" s="11">
        <f>SUM(BD8,BD10,BD12,BD14,BD16,BD18,BD20,BD22,BD24,BD26,BD28,BD30,BD32,BD34,BD36,BD38,BD40,BD42,BD44,BD46,BD48,BD50,BD52,BD54,BD56,BD58,BD60,BD62,BD64,BD66,BD68,BD70,BD72,BD74,BD76,BD78,BD80,BD82,BD84,BD86,BD88,BD90,BD92,BD94,BD96,BD98,BD100,BD102,BD104,BD106,BD108,BD110,BD112,BD114,BD116,BD118,BD120,BD122,BD124,BD126)</f>
        <v>0.22333333333333333</v>
      </c>
      <c r="BE168" s="11">
        <f t="shared" si="380"/>
        <v>0.23833333333333334</v>
      </c>
      <c r="BF168" s="11">
        <f t="shared" ref="BF168" si="381">SUM(BF8,BF10,BF12,BF14,BF16,BF18,BF20,BF22,BF24,BF26,BF28,BF30,BF32,BF34,BF36,BF38,BF40,BF42,BF44,BF46,BF48,BF50,BF52,BF54,BF56,BF58,BF60,BF62,BF64,BF66,BF68,BF70,BF72,BF74,BF76,BF78,BF80,BF82,BF84,BF86,BF88,BF90,BF92,BF94,BF96,BF98,BF100,BF102,BF104,BF106,BF108,BF110,BF112,BF114,BF116,BF118,BF120,BF122,BF124,BF126)</f>
        <v>0</v>
      </c>
      <c r="BG168" s="56">
        <f t="shared" ref="BA168:CT168" si="382">SUM(BG8,BG10,BG12,BG14,BG16,BG18,BG20,BG22,BG24,BG26,BG28,BG30,BG32,BG34,BG36,BG38,BG40,BG42,BG44,BG46,BG48,BG50,BG52,BG54,BG56,BG58,BG60,BG62,BG64,BG66,BG68,BG70,BG72,BG74,BG76,BG78,BG80,BG82,BG84,BG86,BG88,BG90,BG92,BG94,BG96,BG98,BG100,BG102,BG104,BG106)</f>
        <v>0</v>
      </c>
      <c r="BH168" s="48">
        <f t="shared" si="382"/>
        <v>0</v>
      </c>
      <c r="BI168" s="56">
        <f t="shared" si="382"/>
        <v>0</v>
      </c>
      <c r="BJ168" s="48">
        <f t="shared" si="382"/>
        <v>0</v>
      </c>
      <c r="BK168" s="56">
        <f t="shared" si="382"/>
        <v>0</v>
      </c>
      <c r="BL168" s="48">
        <f t="shared" si="382"/>
        <v>0</v>
      </c>
      <c r="BM168" s="56">
        <f t="shared" si="382"/>
        <v>0</v>
      </c>
      <c r="BN168" s="48">
        <f t="shared" si="382"/>
        <v>0</v>
      </c>
      <c r="BO168" s="56">
        <f t="shared" si="382"/>
        <v>0</v>
      </c>
      <c r="BP168" s="48">
        <f t="shared" si="382"/>
        <v>0</v>
      </c>
      <c r="BQ168" s="56">
        <f t="shared" si="382"/>
        <v>0</v>
      </c>
      <c r="BR168" s="48">
        <f t="shared" si="382"/>
        <v>0</v>
      </c>
      <c r="BS168" s="56">
        <f t="shared" si="382"/>
        <v>0</v>
      </c>
      <c r="BT168" s="48">
        <f t="shared" si="382"/>
        <v>0</v>
      </c>
      <c r="BU168" s="56">
        <f t="shared" si="382"/>
        <v>0</v>
      </c>
      <c r="BV168" s="48">
        <f t="shared" si="382"/>
        <v>0</v>
      </c>
      <c r="BW168" s="56">
        <f t="shared" si="382"/>
        <v>0</v>
      </c>
      <c r="BX168" s="48">
        <f t="shared" si="382"/>
        <v>0</v>
      </c>
      <c r="BY168" s="56">
        <f t="shared" si="382"/>
        <v>0</v>
      </c>
      <c r="BZ168" s="48">
        <f t="shared" si="382"/>
        <v>0</v>
      </c>
      <c r="CA168" s="56">
        <f t="shared" si="382"/>
        <v>0</v>
      </c>
      <c r="CB168" s="48">
        <f t="shared" si="382"/>
        <v>0</v>
      </c>
      <c r="CC168" s="56">
        <f t="shared" si="382"/>
        <v>0</v>
      </c>
      <c r="CD168" s="48">
        <f t="shared" si="382"/>
        <v>0</v>
      </c>
      <c r="CE168" s="56">
        <f t="shared" si="382"/>
        <v>0</v>
      </c>
      <c r="CF168" s="48">
        <f t="shared" si="382"/>
        <v>0</v>
      </c>
      <c r="CG168" s="56">
        <f t="shared" si="382"/>
        <v>0</v>
      </c>
      <c r="CH168" s="48">
        <f t="shared" si="382"/>
        <v>0</v>
      </c>
      <c r="CI168" s="56">
        <f t="shared" si="382"/>
        <v>0</v>
      </c>
      <c r="CJ168" s="48">
        <f t="shared" si="382"/>
        <v>0</v>
      </c>
      <c r="CK168" s="56">
        <f t="shared" si="382"/>
        <v>0</v>
      </c>
      <c r="CL168" s="48">
        <f t="shared" si="382"/>
        <v>0</v>
      </c>
      <c r="CM168" s="56">
        <f t="shared" si="382"/>
        <v>0</v>
      </c>
      <c r="CN168" s="48">
        <f t="shared" si="382"/>
        <v>0</v>
      </c>
      <c r="CO168" s="56">
        <f t="shared" si="382"/>
        <v>0</v>
      </c>
      <c r="CP168" s="48">
        <f t="shared" si="382"/>
        <v>0</v>
      </c>
      <c r="CQ168" s="56">
        <f t="shared" si="382"/>
        <v>0</v>
      </c>
      <c r="CR168" s="48">
        <f t="shared" si="382"/>
        <v>0</v>
      </c>
      <c r="CS168" s="56">
        <f t="shared" si="382"/>
        <v>0</v>
      </c>
      <c r="CT168" s="48">
        <f t="shared" si="382"/>
        <v>0</v>
      </c>
      <c r="CU168" s="20">
        <f>SUM(AZ168:BF168)</f>
        <v>1.3066666666666666</v>
      </c>
    </row>
    <row r="170" spans="1:108" ht="20.100000000000001" customHeight="1" x14ac:dyDescent="0.4">
      <c r="A170" s="7" t="s">
        <v>29</v>
      </c>
    </row>
    <row r="171" spans="1:108" s="2" customFormat="1" ht="20.100000000000001" customHeight="1" x14ac:dyDescent="0.4">
      <c r="A171" s="471" t="s">
        <v>0</v>
      </c>
      <c r="B171" s="460" t="s">
        <v>87</v>
      </c>
      <c r="C171" s="460" t="s">
        <v>6</v>
      </c>
      <c r="D171" s="460" t="s">
        <v>31</v>
      </c>
      <c r="E171" s="460" t="s">
        <v>2</v>
      </c>
      <c r="F171" s="460" t="s">
        <v>3</v>
      </c>
      <c r="G171" s="538" t="s">
        <v>1</v>
      </c>
      <c r="H171" s="468" t="s">
        <v>24</v>
      </c>
      <c r="I171" s="468" t="s">
        <v>25</v>
      </c>
      <c r="J171" s="468" t="s">
        <v>9</v>
      </c>
      <c r="K171" s="471" t="s">
        <v>7</v>
      </c>
      <c r="L171" s="471" t="s">
        <v>8</v>
      </c>
      <c r="M171" s="471" t="s">
        <v>4</v>
      </c>
      <c r="N171" s="542" t="s">
        <v>5</v>
      </c>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c r="AM171" s="543"/>
      <c r="AN171" s="543"/>
      <c r="AO171" s="543"/>
      <c r="AP171" s="543"/>
      <c r="AQ171" s="543"/>
      <c r="AR171" s="543"/>
      <c r="AS171" s="543"/>
      <c r="AT171" s="543"/>
      <c r="AU171" s="543"/>
      <c r="AV171" s="543"/>
      <c r="AW171" s="543"/>
      <c r="AX171" s="543"/>
      <c r="AY171" s="543"/>
      <c r="AZ171" s="543"/>
      <c r="BA171" s="543"/>
      <c r="BB171" s="543"/>
      <c r="BC171" s="543"/>
      <c r="BD171" s="543"/>
      <c r="BE171" s="543"/>
      <c r="BF171" s="543"/>
      <c r="BG171" s="543"/>
      <c r="BH171" s="543"/>
      <c r="BI171" s="543"/>
      <c r="BJ171" s="543"/>
      <c r="BK171" s="543"/>
      <c r="BL171" s="543"/>
      <c r="BM171" s="543"/>
      <c r="BN171" s="543"/>
      <c r="BO171" s="543"/>
      <c r="BP171" s="543"/>
      <c r="BQ171" s="543"/>
      <c r="BR171" s="543"/>
      <c r="BS171" s="543"/>
      <c r="BT171" s="543"/>
      <c r="BU171" s="543"/>
      <c r="BV171" s="543"/>
      <c r="BW171" s="543"/>
      <c r="BX171" s="543"/>
      <c r="BY171" s="543"/>
      <c r="BZ171" s="543"/>
      <c r="CA171" s="543"/>
      <c r="CB171" s="543"/>
      <c r="CC171" s="543"/>
      <c r="CD171" s="543"/>
      <c r="CE171" s="543"/>
      <c r="CF171" s="543"/>
      <c r="CG171" s="543"/>
      <c r="CH171" s="543"/>
      <c r="CI171" s="543"/>
      <c r="CJ171" s="543"/>
      <c r="CK171" s="543"/>
      <c r="CL171" s="543"/>
      <c r="CM171" s="543"/>
      <c r="CN171" s="543"/>
      <c r="CO171" s="543"/>
      <c r="CP171" s="543"/>
      <c r="CQ171" s="543"/>
      <c r="CR171" s="543"/>
      <c r="CS171" s="543"/>
      <c r="CT171" s="543"/>
      <c r="CU171" s="237"/>
    </row>
    <row r="172" spans="1:108" s="2" customFormat="1" ht="20.100000000000001" customHeight="1" x14ac:dyDescent="0.4">
      <c r="A172" s="472"/>
      <c r="B172" s="460"/>
      <c r="C172" s="460"/>
      <c r="D172" s="460"/>
      <c r="E172" s="460"/>
      <c r="F172" s="460"/>
      <c r="G172" s="539"/>
      <c r="H172" s="469"/>
      <c r="I172" s="469"/>
      <c r="J172" s="469"/>
      <c r="K172" s="472"/>
      <c r="L172" s="472"/>
      <c r="M172" s="472"/>
      <c r="N172" s="495" t="s">
        <v>134</v>
      </c>
      <c r="O172" s="475"/>
      <c r="P172" s="475"/>
      <c r="Q172" s="475"/>
      <c r="R172" s="475"/>
      <c r="S172" s="475"/>
      <c r="T172" s="475"/>
      <c r="U172" s="475"/>
      <c r="V172" s="474" t="s">
        <v>135</v>
      </c>
      <c r="W172" s="475"/>
      <c r="X172" s="475"/>
      <c r="Y172" s="475"/>
      <c r="Z172" s="475"/>
      <c r="AA172" s="475"/>
      <c r="AB172" s="474" t="s">
        <v>137</v>
      </c>
      <c r="AC172" s="475"/>
      <c r="AD172" s="475"/>
      <c r="AE172" s="475"/>
      <c r="AF172" s="475"/>
      <c r="AG172" s="475"/>
      <c r="AH172" s="474" t="s">
        <v>138</v>
      </c>
      <c r="AI172" s="475"/>
      <c r="AJ172" s="475"/>
      <c r="AK172" s="475"/>
      <c r="AL172" s="475"/>
      <c r="AM172" s="475"/>
      <c r="AN172" s="474" t="s">
        <v>139</v>
      </c>
      <c r="AO172" s="475"/>
      <c r="AP172" s="475"/>
      <c r="AQ172" s="475"/>
      <c r="AR172" s="475"/>
      <c r="AS172" s="475"/>
      <c r="AT172" s="474" t="s">
        <v>140</v>
      </c>
      <c r="AU172" s="475"/>
      <c r="AV172" s="475"/>
      <c r="AW172" s="475"/>
      <c r="AX172" s="475"/>
      <c r="AY172" s="475"/>
      <c r="AZ172" s="474" t="s">
        <v>141</v>
      </c>
      <c r="BA172" s="475"/>
      <c r="BB172" s="475"/>
      <c r="BC172" s="475"/>
      <c r="BD172" s="475"/>
      <c r="BE172" s="475"/>
      <c r="BF172" s="475"/>
      <c r="BG172" s="474" t="s">
        <v>142</v>
      </c>
      <c r="BH172" s="475"/>
      <c r="BI172" s="475"/>
      <c r="BJ172" s="475"/>
      <c r="BK172" s="475"/>
      <c r="BL172" s="475"/>
      <c r="BM172" s="475"/>
      <c r="BN172" s="475"/>
      <c r="BO172" s="474" t="s">
        <v>143</v>
      </c>
      <c r="BP172" s="475"/>
      <c r="BQ172" s="475"/>
      <c r="BR172" s="475"/>
      <c r="BS172" s="475"/>
      <c r="BT172" s="475"/>
      <c r="BU172" s="475"/>
      <c r="BV172" s="475"/>
      <c r="BW172" s="474" t="s">
        <v>144</v>
      </c>
      <c r="BX172" s="475"/>
      <c r="BY172" s="475"/>
      <c r="BZ172" s="475"/>
      <c r="CA172" s="475"/>
      <c r="CB172" s="475"/>
      <c r="CC172" s="475"/>
      <c r="CD172" s="475"/>
      <c r="CE172" s="474" t="s">
        <v>30</v>
      </c>
      <c r="CF172" s="475"/>
      <c r="CG172" s="475"/>
      <c r="CH172" s="475"/>
      <c r="CI172" s="475"/>
      <c r="CJ172" s="475"/>
      <c r="CK172" s="475"/>
      <c r="CL172" s="475"/>
      <c r="CM172" s="474" t="s">
        <v>145</v>
      </c>
      <c r="CN172" s="475"/>
      <c r="CO172" s="475"/>
      <c r="CP172" s="475"/>
      <c r="CQ172" s="475"/>
      <c r="CR172" s="475"/>
      <c r="CS172" s="475"/>
      <c r="CT172" s="475"/>
      <c r="CU172" s="237"/>
    </row>
    <row r="173" spans="1:108" s="2" customFormat="1" ht="20.100000000000001" customHeight="1" x14ac:dyDescent="0.4">
      <c r="A173" s="473"/>
      <c r="B173" s="460"/>
      <c r="C173" s="460"/>
      <c r="D173" s="460"/>
      <c r="E173" s="460"/>
      <c r="F173" s="460"/>
      <c r="G173" s="540"/>
      <c r="H173" s="470"/>
      <c r="I173" s="470"/>
      <c r="J173" s="470"/>
      <c r="K173" s="473"/>
      <c r="L173" s="473"/>
      <c r="M173" s="473"/>
      <c r="N173" s="5"/>
      <c r="O173" s="5" t="s">
        <v>172</v>
      </c>
      <c r="P173" s="5" t="s">
        <v>408</v>
      </c>
      <c r="Q173" s="5" t="s">
        <v>170</v>
      </c>
      <c r="R173" s="16" t="s">
        <v>409</v>
      </c>
      <c r="S173" s="16" t="s">
        <v>410</v>
      </c>
      <c r="T173" s="16" t="s">
        <v>411</v>
      </c>
      <c r="U173" s="16" t="s">
        <v>412</v>
      </c>
      <c r="V173" s="5" t="s">
        <v>172</v>
      </c>
      <c r="W173" s="5" t="s">
        <v>408</v>
      </c>
      <c r="X173" s="5" t="s">
        <v>170</v>
      </c>
      <c r="Y173" s="16" t="s">
        <v>410</v>
      </c>
      <c r="Z173" s="16" t="s">
        <v>411</v>
      </c>
      <c r="AA173" s="16" t="s">
        <v>412</v>
      </c>
      <c r="AB173" s="181" t="s">
        <v>172</v>
      </c>
      <c r="AC173" s="5" t="s">
        <v>408</v>
      </c>
      <c r="AD173" s="5" t="s">
        <v>170</v>
      </c>
      <c r="AE173" s="16" t="s">
        <v>410</v>
      </c>
      <c r="AF173" s="16" t="s">
        <v>411</v>
      </c>
      <c r="AG173" s="16" t="s">
        <v>412</v>
      </c>
      <c r="AH173" s="181" t="s">
        <v>172</v>
      </c>
      <c r="AI173" s="5" t="s">
        <v>408</v>
      </c>
      <c r="AJ173" s="5" t="s">
        <v>170</v>
      </c>
      <c r="AK173" s="16" t="s">
        <v>410</v>
      </c>
      <c r="AL173" s="16" t="s">
        <v>411</v>
      </c>
      <c r="AM173" s="16" t="s">
        <v>412</v>
      </c>
      <c r="AN173" s="181" t="s">
        <v>162</v>
      </c>
      <c r="AO173" s="5" t="s">
        <v>408</v>
      </c>
      <c r="AP173" s="5" t="s">
        <v>170</v>
      </c>
      <c r="AQ173" s="16" t="s">
        <v>410</v>
      </c>
      <c r="AR173" s="16" t="s">
        <v>411</v>
      </c>
      <c r="AS173" s="16" t="s">
        <v>412</v>
      </c>
      <c r="AT173" s="181" t="s">
        <v>162</v>
      </c>
      <c r="AU173" s="5" t="s">
        <v>408</v>
      </c>
      <c r="AV173" s="5" t="s">
        <v>170</v>
      </c>
      <c r="AW173" s="16" t="s">
        <v>410</v>
      </c>
      <c r="AX173" s="16" t="s">
        <v>411</v>
      </c>
      <c r="AY173" s="16" t="s">
        <v>412</v>
      </c>
      <c r="AZ173" s="181" t="s">
        <v>162</v>
      </c>
      <c r="BA173" s="5" t="s">
        <v>408</v>
      </c>
      <c r="BB173" s="5" t="s">
        <v>170</v>
      </c>
      <c r="BC173" s="16" t="s">
        <v>410</v>
      </c>
      <c r="BD173" s="16" t="s">
        <v>411</v>
      </c>
      <c r="BE173" s="16" t="s">
        <v>412</v>
      </c>
      <c r="BF173" s="70" t="s">
        <v>928</v>
      </c>
      <c r="BG173" s="69" t="s">
        <v>172</v>
      </c>
      <c r="BH173" s="5" t="s">
        <v>167</v>
      </c>
      <c r="BI173" s="5" t="s">
        <v>168</v>
      </c>
      <c r="BJ173" s="16" t="s">
        <v>169</v>
      </c>
      <c r="BK173" s="16" t="s">
        <v>170</v>
      </c>
      <c r="BL173" s="16" t="s">
        <v>171</v>
      </c>
      <c r="BM173" s="16" t="s">
        <v>171</v>
      </c>
      <c r="BN173" s="16" t="s">
        <v>331</v>
      </c>
      <c r="BO173" s="69" t="s">
        <v>172</v>
      </c>
      <c r="BP173" s="5" t="s">
        <v>167</v>
      </c>
      <c r="BQ173" s="5" t="s">
        <v>168</v>
      </c>
      <c r="BR173" s="16" t="s">
        <v>169</v>
      </c>
      <c r="BS173" s="16" t="s">
        <v>170</v>
      </c>
      <c r="BT173" s="16" t="s">
        <v>171</v>
      </c>
      <c r="BU173" s="16" t="s">
        <v>171</v>
      </c>
      <c r="BV173" s="16" t="s">
        <v>331</v>
      </c>
      <c r="BW173" s="69" t="s">
        <v>172</v>
      </c>
      <c r="BX173" s="5" t="s">
        <v>167</v>
      </c>
      <c r="BY173" s="5" t="s">
        <v>168</v>
      </c>
      <c r="BZ173" s="16" t="s">
        <v>169</v>
      </c>
      <c r="CA173" s="16" t="s">
        <v>170</v>
      </c>
      <c r="CB173" s="16" t="s">
        <v>171</v>
      </c>
      <c r="CC173" s="16" t="s">
        <v>171</v>
      </c>
      <c r="CD173" s="16" t="s">
        <v>331</v>
      </c>
      <c r="CE173" s="69" t="s">
        <v>172</v>
      </c>
      <c r="CF173" s="5" t="s">
        <v>167</v>
      </c>
      <c r="CG173" s="5" t="s">
        <v>168</v>
      </c>
      <c r="CH173" s="16" t="s">
        <v>169</v>
      </c>
      <c r="CI173" s="16" t="s">
        <v>170</v>
      </c>
      <c r="CJ173" s="16" t="s">
        <v>171</v>
      </c>
      <c r="CK173" s="16" t="s">
        <v>171</v>
      </c>
      <c r="CL173" s="16" t="s">
        <v>331</v>
      </c>
      <c r="CM173" s="69" t="s">
        <v>172</v>
      </c>
      <c r="CN173" s="5" t="s">
        <v>167</v>
      </c>
      <c r="CO173" s="5" t="s">
        <v>168</v>
      </c>
      <c r="CP173" s="16" t="s">
        <v>169</v>
      </c>
      <c r="CQ173" s="16" t="s">
        <v>170</v>
      </c>
      <c r="CR173" s="16" t="s">
        <v>171</v>
      </c>
      <c r="CS173" s="16" t="s">
        <v>171</v>
      </c>
      <c r="CT173" s="16" t="s">
        <v>331</v>
      </c>
      <c r="CU173" s="237"/>
    </row>
    <row r="174" spans="1:108" ht="20.100000000000001" customHeight="1" x14ac:dyDescent="0.4">
      <c r="A174" s="436">
        <v>1</v>
      </c>
      <c r="B174" s="436" t="s">
        <v>46</v>
      </c>
      <c r="C174" s="436" t="s">
        <v>28</v>
      </c>
      <c r="D174" s="442" t="s">
        <v>19</v>
      </c>
      <c r="E174" s="461" t="s">
        <v>26</v>
      </c>
      <c r="F174" s="442" t="s">
        <v>19</v>
      </c>
      <c r="G174" s="464" t="s">
        <v>84</v>
      </c>
      <c r="H174" s="440">
        <f>SUM(AZ174:BF174)</f>
        <v>0.14000000000000001</v>
      </c>
      <c r="I174" s="466">
        <f>SUM(AZ175:BF175)</f>
        <v>3.0000000000000002E-2</v>
      </c>
      <c r="J174" s="12"/>
      <c r="K174" s="13"/>
      <c r="L174" s="13"/>
      <c r="M174" s="450" t="s">
        <v>174</v>
      </c>
      <c r="N174" s="10" t="s">
        <v>88</v>
      </c>
      <c r="O174" s="10">
        <f>(0.25*16)/120</f>
        <v>3.3333333333333333E-2</v>
      </c>
      <c r="P174" s="10">
        <f>(0.25*0)/120</f>
        <v>0</v>
      </c>
      <c r="Q174" s="10">
        <f t="shared" ref="Q174:U174" si="383">(0.25*16)/120</f>
        <v>3.3333333333333333E-2</v>
      </c>
      <c r="R174" s="10">
        <f t="shared" si="383"/>
        <v>3.3333333333333333E-2</v>
      </c>
      <c r="S174" s="10">
        <f t="shared" si="383"/>
        <v>3.3333333333333333E-2</v>
      </c>
      <c r="T174" s="10">
        <f t="shared" si="383"/>
        <v>3.3333333333333333E-2</v>
      </c>
      <c r="U174" s="79">
        <f t="shared" si="383"/>
        <v>3.3333333333333333E-2</v>
      </c>
      <c r="V174" s="19">
        <f>(0.25*19)/142.5</f>
        <v>3.3333333333333333E-2</v>
      </c>
      <c r="W174" s="10">
        <f>(0.25*19)/142.5</f>
        <v>3.3333333333333333E-2</v>
      </c>
      <c r="X174" s="10">
        <f t="shared" ref="X174:AA174" si="384">(0.25*19)/142.5</f>
        <v>3.3333333333333333E-2</v>
      </c>
      <c r="Y174" s="10">
        <f t="shared" si="384"/>
        <v>3.3333333333333333E-2</v>
      </c>
      <c r="Z174" s="10">
        <f t="shared" si="384"/>
        <v>3.3333333333333333E-2</v>
      </c>
      <c r="AA174" s="10">
        <f t="shared" si="384"/>
        <v>3.3333333333333333E-2</v>
      </c>
      <c r="AB174" s="71">
        <f>(0.25*22)/165</f>
        <v>3.3333333333333333E-2</v>
      </c>
      <c r="AC174" s="10">
        <f>(0.25*22)/165</f>
        <v>3.3333333333333333E-2</v>
      </c>
      <c r="AD174" s="10">
        <f t="shared" ref="AD174:AG174" si="385">(0.25*22)/165</f>
        <v>3.3333333333333333E-2</v>
      </c>
      <c r="AE174" s="10">
        <f t="shared" si="385"/>
        <v>3.3333333333333333E-2</v>
      </c>
      <c r="AF174" s="10">
        <f t="shared" si="385"/>
        <v>3.3333333333333333E-2</v>
      </c>
      <c r="AG174" s="10">
        <f t="shared" si="385"/>
        <v>3.3333333333333333E-2</v>
      </c>
      <c r="AH174" s="71">
        <f>(0.25*22)/165</f>
        <v>3.3333333333333333E-2</v>
      </c>
      <c r="AI174" s="10">
        <f>(0.25*22)/165</f>
        <v>3.3333333333333333E-2</v>
      </c>
      <c r="AJ174" s="10">
        <f t="shared" ref="AJ174:AM174" si="386">(0.25*22)/165</f>
        <v>3.3333333333333333E-2</v>
      </c>
      <c r="AK174" s="10">
        <f t="shared" si="386"/>
        <v>3.3333333333333333E-2</v>
      </c>
      <c r="AL174" s="10">
        <f t="shared" si="386"/>
        <v>3.3333333333333333E-2</v>
      </c>
      <c r="AM174" s="10">
        <f t="shared" si="386"/>
        <v>3.3333333333333333E-2</v>
      </c>
      <c r="AN174" s="71">
        <f>(0.15*21)/157.5</f>
        <v>0.02</v>
      </c>
      <c r="AO174" s="10">
        <f>(0.15*21)/157.5</f>
        <v>0.02</v>
      </c>
      <c r="AP174" s="10">
        <f t="shared" ref="AP174:AS174" si="387">(0.15*21)/157.5</f>
        <v>0.02</v>
      </c>
      <c r="AQ174" s="10">
        <f t="shared" si="387"/>
        <v>0.02</v>
      </c>
      <c r="AR174" s="10">
        <f t="shared" si="387"/>
        <v>0.02</v>
      </c>
      <c r="AS174" s="10">
        <f t="shared" si="387"/>
        <v>0.02</v>
      </c>
      <c r="AT174" s="189">
        <f>(0.15*22)/165</f>
        <v>0.02</v>
      </c>
      <c r="AU174" s="10">
        <f>(0.15*22)/165</f>
        <v>0.02</v>
      </c>
      <c r="AV174" s="10">
        <f t="shared" ref="AV174:AY174" si="388">(0.15*22)/165</f>
        <v>0.02</v>
      </c>
      <c r="AW174" s="10">
        <f t="shared" si="388"/>
        <v>0.02</v>
      </c>
      <c r="AX174" s="10">
        <f t="shared" si="388"/>
        <v>0.02</v>
      </c>
      <c r="AY174" s="10">
        <f t="shared" si="388"/>
        <v>0.02</v>
      </c>
      <c r="AZ174" s="19">
        <f>(0.15*20)/150</f>
        <v>0.02</v>
      </c>
      <c r="BA174" s="10">
        <f>(0.15*20)/150</f>
        <v>0.02</v>
      </c>
      <c r="BB174" s="10">
        <f t="shared" ref="BB174:BF178" si="389">(0.15*20)/150</f>
        <v>0.02</v>
      </c>
      <c r="BC174" s="10">
        <f t="shared" si="389"/>
        <v>0.02</v>
      </c>
      <c r="BD174" s="10">
        <f t="shared" si="389"/>
        <v>0.02</v>
      </c>
      <c r="BE174" s="10">
        <f t="shared" si="389"/>
        <v>0.02</v>
      </c>
      <c r="BF174" s="10">
        <f t="shared" si="389"/>
        <v>0.02</v>
      </c>
      <c r="BG174" s="19">
        <f t="shared" ref="AZ174:BK175" si="390">(0)/142.5</f>
        <v>0</v>
      </c>
      <c r="BH174" s="10">
        <f t="shared" si="390"/>
        <v>0</v>
      </c>
      <c r="BI174" s="10">
        <f t="shared" si="390"/>
        <v>0</v>
      </c>
      <c r="BJ174" s="10">
        <f t="shared" si="390"/>
        <v>0</v>
      </c>
      <c r="BK174" s="10">
        <f t="shared" si="390"/>
        <v>0</v>
      </c>
      <c r="BL174" s="10">
        <f t="shared" ref="BL174:BN185" si="391">(0)/172.5</f>
        <v>0</v>
      </c>
      <c r="BM174" s="10">
        <f t="shared" si="391"/>
        <v>0</v>
      </c>
      <c r="BN174" s="17">
        <f>(0)/172.5</f>
        <v>0</v>
      </c>
      <c r="BO174" s="19">
        <f t="shared" ref="BO174:BW175" si="392">(0)/157.5</f>
        <v>0</v>
      </c>
      <c r="BP174" s="10">
        <f t="shared" si="392"/>
        <v>0</v>
      </c>
      <c r="BQ174" s="10">
        <f t="shared" si="392"/>
        <v>0</v>
      </c>
      <c r="BR174" s="10">
        <f t="shared" si="392"/>
        <v>0</v>
      </c>
      <c r="BS174" s="10">
        <f t="shared" si="392"/>
        <v>0</v>
      </c>
      <c r="BT174" s="10">
        <f t="shared" ref="BT174:BV185" si="393">(0)/172.5</f>
        <v>0</v>
      </c>
      <c r="BU174" s="10">
        <f t="shared" si="393"/>
        <v>0</v>
      </c>
      <c r="BV174" s="17">
        <f>(0)/172.5</f>
        <v>0</v>
      </c>
      <c r="BW174" s="71">
        <f t="shared" si="392"/>
        <v>0</v>
      </c>
      <c r="BX174" s="10">
        <f t="shared" ref="BX174:CA185" si="394">(0)/157.5</f>
        <v>0</v>
      </c>
      <c r="BY174" s="10">
        <f t="shared" si="394"/>
        <v>0</v>
      </c>
      <c r="BZ174" s="10">
        <f t="shared" si="394"/>
        <v>0</v>
      </c>
      <c r="CA174" s="10">
        <f t="shared" si="394"/>
        <v>0</v>
      </c>
      <c r="CB174" s="10">
        <f t="shared" ref="CB174:CD185" si="395">(0)/172.5</f>
        <v>0</v>
      </c>
      <c r="CC174" s="10">
        <f t="shared" si="395"/>
        <v>0</v>
      </c>
      <c r="CD174" s="17">
        <f>(0)/172.5</f>
        <v>0</v>
      </c>
      <c r="CE174" s="19">
        <f t="shared" ref="CE174:CI174" si="396">(0/157.5)</f>
        <v>0</v>
      </c>
      <c r="CF174" s="10">
        <f t="shared" si="396"/>
        <v>0</v>
      </c>
      <c r="CG174" s="10">
        <f t="shared" si="396"/>
        <v>0</v>
      </c>
      <c r="CH174" s="10">
        <f t="shared" si="396"/>
        <v>0</v>
      </c>
      <c r="CI174" s="10">
        <f t="shared" si="396"/>
        <v>0</v>
      </c>
      <c r="CJ174" s="10">
        <f t="shared" ref="CJ174:CL185" si="397">(0)/172.5</f>
        <v>0</v>
      </c>
      <c r="CK174" s="10">
        <f t="shared" si="397"/>
        <v>0</v>
      </c>
      <c r="CL174" s="17">
        <f>(0)/172.5</f>
        <v>0</v>
      </c>
      <c r="CM174" s="19">
        <f t="shared" ref="CM174:CQ174" si="398">(0)/142.5</f>
        <v>0</v>
      </c>
      <c r="CN174" s="10">
        <f t="shared" si="398"/>
        <v>0</v>
      </c>
      <c r="CO174" s="10">
        <f t="shared" si="398"/>
        <v>0</v>
      </c>
      <c r="CP174" s="10">
        <f t="shared" si="398"/>
        <v>0</v>
      </c>
      <c r="CQ174" s="10">
        <f t="shared" si="398"/>
        <v>0</v>
      </c>
      <c r="CR174" s="10">
        <f t="shared" ref="CR174:CT185" si="399">(0)/172.5</f>
        <v>0</v>
      </c>
      <c r="CS174" s="10">
        <f t="shared" si="399"/>
        <v>0</v>
      </c>
      <c r="CT174" s="17">
        <f>(0)/172.5</f>
        <v>0</v>
      </c>
      <c r="CU174" s="235"/>
    </row>
    <row r="175" spans="1:108" ht="20.100000000000001" customHeight="1" x14ac:dyDescent="0.4">
      <c r="A175" s="437"/>
      <c r="B175" s="437"/>
      <c r="C175" s="437"/>
      <c r="D175" s="443"/>
      <c r="E175" s="443"/>
      <c r="F175" s="443"/>
      <c r="G175" s="465"/>
      <c r="H175" s="441"/>
      <c r="I175" s="467"/>
      <c r="J175" s="14"/>
      <c r="K175" s="15"/>
      <c r="L175" s="15"/>
      <c r="M175" s="451"/>
      <c r="N175" s="11" t="s">
        <v>89</v>
      </c>
      <c r="O175" s="11">
        <f>(0.25+1.25+0.25+0.75+1.25)/120</f>
        <v>3.125E-2</v>
      </c>
      <c r="P175" s="11">
        <f t="shared" ref="P175:U185" si="400">(0)/120</f>
        <v>0</v>
      </c>
      <c r="Q175" s="11">
        <f>(0.25+1.25+0.5+0.75+1.25)/120</f>
        <v>3.3333333333333333E-2</v>
      </c>
      <c r="R175" s="11">
        <f>(0.25+1.25+0.5+0.75+0.5)/120</f>
        <v>2.7083333333333334E-2</v>
      </c>
      <c r="S175" s="11">
        <f>(0.25+1.25+0.5+0.75+1.25)/120</f>
        <v>3.3333333333333333E-2</v>
      </c>
      <c r="T175" s="11">
        <f>(0.25+1.25+0.5+0.75+1.25)/120</f>
        <v>3.3333333333333333E-2</v>
      </c>
      <c r="U175" s="48">
        <f>(0.25+1.25+0.5+0.75+1.25)/120</f>
        <v>3.3333333333333333E-2</v>
      </c>
      <c r="V175" s="56">
        <f>(0.75+1.25+1.25+1)/142.5</f>
        <v>2.9824561403508771E-2</v>
      </c>
      <c r="W175" s="11">
        <f>(0)/142.5</f>
        <v>0</v>
      </c>
      <c r="X175" s="11">
        <f>(0.75+0.75+1.25+1+0.25)/142.5</f>
        <v>2.8070175438596492E-2</v>
      </c>
      <c r="Y175" s="11">
        <f>(0.75+1.25+1.25+1.25)/142.5</f>
        <v>3.1578947368421054E-2</v>
      </c>
      <c r="Z175" s="11">
        <f>(0.5+1.25+1.25+1.25+0.25)/142.5</f>
        <v>3.1578947368421054E-2</v>
      </c>
      <c r="AA175" s="11">
        <f>(0.75+1.25+1.25+1.25+0.25)/142.5</f>
        <v>3.3333333333333333E-2</v>
      </c>
      <c r="AB175" s="56">
        <f>(0.75+1.25+1.25+1.25+1)/165</f>
        <v>3.3333333333333333E-2</v>
      </c>
      <c r="AC175" s="11">
        <f>(0+0.5+1.25+1)/165</f>
        <v>1.6666666666666666E-2</v>
      </c>
      <c r="AD175" s="11">
        <f>(0.75+1.25+1.25+1.25+1)/165</f>
        <v>3.3333333333333333E-2</v>
      </c>
      <c r="AE175" s="11">
        <f>(0.75+1.25+1.25+1.25+1)/165</f>
        <v>3.3333333333333333E-2</v>
      </c>
      <c r="AF175" s="11">
        <f>(0.5+1.25+1.25+1.25+1)/165</f>
        <v>3.1818181818181815E-2</v>
      </c>
      <c r="AG175" s="11">
        <f>(0.75+1.25+1+1.25+1)/165</f>
        <v>3.1818181818181815E-2</v>
      </c>
      <c r="AH175" s="56">
        <f>(0.25+1.25+1.25+1+1+0.5)/165</f>
        <v>3.1818181818181815E-2</v>
      </c>
      <c r="AI175" s="11">
        <f>(0.25+1+1.25+1.25+0.8+0.3)/165</f>
        <v>2.9393939393939392E-2</v>
      </c>
      <c r="AJ175" s="11">
        <f>(0.25+1.25+1.25+1.25+0.6+0.15)/165</f>
        <v>2.8787878787878789E-2</v>
      </c>
      <c r="AK175" s="11">
        <f>(0.25+1.25+1.25+1+1+0.2)/165</f>
        <v>3.0000000000000002E-2</v>
      </c>
      <c r="AL175" s="11">
        <f>(0.25+1.25+1.25+1.25+0.75+0.3)/165</f>
        <v>3.0606060606060605E-2</v>
      </c>
      <c r="AM175" s="11">
        <f>(0.25+1.25+1.25+1+0.6+0.3)/165</f>
        <v>2.8181818181818179E-2</v>
      </c>
      <c r="AN175" s="56">
        <f>(0.45+0.75+0.75+0.75+0.45)/157.5</f>
        <v>2.0000000000000004E-2</v>
      </c>
      <c r="AO175" s="11">
        <f>(0.45+0.75+0.75+0.6+0.45)/157.5</f>
        <v>1.9047619047619049E-2</v>
      </c>
      <c r="AP175" s="11">
        <f>(0.45+0.6+0.6+0.75+0.45)/157.5</f>
        <v>1.8095238095238095E-2</v>
      </c>
      <c r="AQ175" s="11">
        <f>(0.45+0.75+0.6+0.75+0.45)/157.5</f>
        <v>1.9047619047619049E-2</v>
      </c>
      <c r="AR175" s="11">
        <f>(0.45+0.75+0.75+0.75+0.3)/157.5</f>
        <v>1.9047619047619049E-2</v>
      </c>
      <c r="AS175" s="11">
        <f>(0.45+0.75+0.75+0.6+0.45)/157.5</f>
        <v>1.9047619047619049E-2</v>
      </c>
      <c r="AT175" s="61">
        <f>(0.3+0.75+0.75+0.75+0.75)/165</f>
        <v>0.02</v>
      </c>
      <c r="AU175" s="58">
        <f>(0.3+0.6+0.75+0.75+0.75)/165</f>
        <v>1.9090909090909089E-2</v>
      </c>
      <c r="AV175" s="58">
        <f>(0.3+0.6+0.6+0.75+0.75)/165</f>
        <v>1.8181818181818181E-2</v>
      </c>
      <c r="AW175" s="58">
        <f>(0.3+0.7+0.6+0.75+0.6)/165</f>
        <v>1.7878787878787879E-2</v>
      </c>
      <c r="AX175" s="58">
        <f>(0.3+0.75+0.75+0.75+0.6)/165</f>
        <v>1.9090909090909089E-2</v>
      </c>
      <c r="AY175" s="58">
        <f>(0.3+0.75+0.6+0.75+0.6)/165</f>
        <v>1.8181818181818181E-2</v>
      </c>
      <c r="AZ175" s="61">
        <f>(0.75)/150</f>
        <v>5.0000000000000001E-3</v>
      </c>
      <c r="BA175" s="58">
        <f>(0.75)/150</f>
        <v>5.0000000000000001E-3</v>
      </c>
      <c r="BB175" s="58">
        <f t="shared" ref="BB175:BF175" si="401">(0.75)/150</f>
        <v>5.0000000000000001E-3</v>
      </c>
      <c r="BC175" s="58">
        <f t="shared" si="401"/>
        <v>5.0000000000000001E-3</v>
      </c>
      <c r="BD175" s="58">
        <f t="shared" si="401"/>
        <v>5.0000000000000001E-3</v>
      </c>
      <c r="BE175" s="58">
        <f t="shared" si="401"/>
        <v>5.0000000000000001E-3</v>
      </c>
      <c r="BF175" s="58">
        <f t="shared" ref="AZ174:BF185" si="402">(0)/150</f>
        <v>0</v>
      </c>
      <c r="BG175" s="61">
        <f t="shared" si="390"/>
        <v>0</v>
      </c>
      <c r="BH175" s="58">
        <f t="shared" si="390"/>
        <v>0</v>
      </c>
      <c r="BI175" s="58">
        <f t="shared" si="390"/>
        <v>0</v>
      </c>
      <c r="BJ175" s="58">
        <f t="shared" si="390"/>
        <v>0</v>
      </c>
      <c r="BK175" s="58">
        <f t="shared" si="390"/>
        <v>0</v>
      </c>
      <c r="BL175" s="58">
        <f t="shared" si="391"/>
        <v>0</v>
      </c>
      <c r="BM175" s="58">
        <f t="shared" si="391"/>
        <v>0</v>
      </c>
      <c r="BN175" s="62">
        <f>(0)/172.5</f>
        <v>0</v>
      </c>
      <c r="BO175" s="61">
        <f t="shared" si="392"/>
        <v>0</v>
      </c>
      <c r="BP175" s="58">
        <f t="shared" si="392"/>
        <v>0</v>
      </c>
      <c r="BQ175" s="58">
        <f t="shared" si="392"/>
        <v>0</v>
      </c>
      <c r="BR175" s="58">
        <f t="shared" si="392"/>
        <v>0</v>
      </c>
      <c r="BS175" s="58">
        <f t="shared" si="392"/>
        <v>0</v>
      </c>
      <c r="BT175" s="58">
        <f t="shared" si="393"/>
        <v>0</v>
      </c>
      <c r="BU175" s="58">
        <f t="shared" si="393"/>
        <v>0</v>
      </c>
      <c r="BV175" s="62">
        <f>(0)/172.5</f>
        <v>0</v>
      </c>
      <c r="BW175" s="61">
        <f t="shared" si="392"/>
        <v>0</v>
      </c>
      <c r="BX175" s="58">
        <f t="shared" si="394"/>
        <v>0</v>
      </c>
      <c r="BY175" s="58">
        <f t="shared" si="394"/>
        <v>0</v>
      </c>
      <c r="BZ175" s="58">
        <f t="shared" si="394"/>
        <v>0</v>
      </c>
      <c r="CA175" s="58">
        <f t="shared" si="394"/>
        <v>0</v>
      </c>
      <c r="CB175" s="58">
        <f t="shared" si="395"/>
        <v>0</v>
      </c>
      <c r="CC175" s="58">
        <f t="shared" si="395"/>
        <v>0</v>
      </c>
      <c r="CD175" s="62">
        <f>(0)/172.5</f>
        <v>0</v>
      </c>
      <c r="CE175" s="61">
        <f t="shared" ref="CE175:CI175" si="403">(0)/157.5</f>
        <v>0</v>
      </c>
      <c r="CF175" s="58">
        <f t="shared" si="403"/>
        <v>0</v>
      </c>
      <c r="CG175" s="58">
        <f t="shared" si="403"/>
        <v>0</v>
      </c>
      <c r="CH175" s="58">
        <f t="shared" si="403"/>
        <v>0</v>
      </c>
      <c r="CI175" s="58">
        <f t="shared" si="403"/>
        <v>0</v>
      </c>
      <c r="CJ175" s="58">
        <f t="shared" si="397"/>
        <v>0</v>
      </c>
      <c r="CK175" s="58">
        <f t="shared" si="397"/>
        <v>0</v>
      </c>
      <c r="CL175" s="62">
        <f>(0)/172.5</f>
        <v>0</v>
      </c>
      <c r="CM175" s="61">
        <f t="shared" ref="CM175:CQ175" si="404">0/142.5</f>
        <v>0</v>
      </c>
      <c r="CN175" s="58">
        <f t="shared" si="404"/>
        <v>0</v>
      </c>
      <c r="CO175" s="58">
        <f t="shared" si="404"/>
        <v>0</v>
      </c>
      <c r="CP175" s="58">
        <f t="shared" si="404"/>
        <v>0</v>
      </c>
      <c r="CQ175" s="58">
        <f t="shared" si="404"/>
        <v>0</v>
      </c>
      <c r="CR175" s="58">
        <f t="shared" si="399"/>
        <v>0</v>
      </c>
      <c r="CS175" s="58">
        <f t="shared" si="399"/>
        <v>0</v>
      </c>
      <c r="CT175" s="62">
        <f>(0)/172.5</f>
        <v>0</v>
      </c>
      <c r="CU175" s="235"/>
      <c r="CV175" s="2"/>
      <c r="CW175" s="2"/>
      <c r="CX175" s="2"/>
      <c r="CY175" s="2"/>
      <c r="CZ175" s="2"/>
      <c r="DA175" s="2"/>
      <c r="DB175" s="2"/>
      <c r="DC175" s="2"/>
      <c r="DD175" s="2"/>
    </row>
    <row r="176" spans="1:108" ht="20.100000000000001" customHeight="1" x14ac:dyDescent="0.4">
      <c r="A176" s="436">
        <v>2</v>
      </c>
      <c r="B176" s="436" t="s">
        <v>46</v>
      </c>
      <c r="C176" s="436" t="s">
        <v>28</v>
      </c>
      <c r="D176" s="442" t="s">
        <v>34</v>
      </c>
      <c r="E176" s="461" t="s">
        <v>26</v>
      </c>
      <c r="F176" s="442" t="s">
        <v>27</v>
      </c>
      <c r="G176" s="462" t="s">
        <v>159</v>
      </c>
      <c r="H176" s="440">
        <f t="shared" ref="H176:H185" si="405">SUM(AZ176:BF176)</f>
        <v>0.11666666666666665</v>
      </c>
      <c r="I176" s="466">
        <f t="shared" ref="I176:I185" si="406">SUM(AZ177:BF177)</f>
        <v>0.02</v>
      </c>
      <c r="J176" s="12"/>
      <c r="K176" s="13"/>
      <c r="L176" s="13"/>
      <c r="M176" s="450" t="s">
        <v>38</v>
      </c>
      <c r="N176" s="10" t="s">
        <v>88</v>
      </c>
      <c r="O176" s="10">
        <f>(0.5*4)/120</f>
        <v>1.6666666666666666E-2</v>
      </c>
      <c r="P176" s="10">
        <f>(0.25*0)/120</f>
        <v>0</v>
      </c>
      <c r="Q176" s="10">
        <f t="shared" ref="Q176:U176" si="407">(0.5*4)/120</f>
        <v>1.6666666666666666E-2</v>
      </c>
      <c r="R176" s="10">
        <f t="shared" si="407"/>
        <v>1.6666666666666666E-2</v>
      </c>
      <c r="S176" s="10">
        <f t="shared" si="407"/>
        <v>1.6666666666666666E-2</v>
      </c>
      <c r="T176" s="10">
        <f t="shared" si="407"/>
        <v>1.6666666666666666E-2</v>
      </c>
      <c r="U176" s="79">
        <f t="shared" si="407"/>
        <v>1.6666666666666666E-2</v>
      </c>
      <c r="V176" s="19">
        <f>(0.5*4)/142.5</f>
        <v>1.4035087719298246E-2</v>
      </c>
      <c r="W176" s="10">
        <f>(0.5*4)/142.5</f>
        <v>1.4035087719298246E-2</v>
      </c>
      <c r="X176" s="10">
        <f t="shared" ref="X176:AA176" si="408">(0.5*4)/142.5</f>
        <v>1.4035087719298246E-2</v>
      </c>
      <c r="Y176" s="10">
        <f t="shared" si="408"/>
        <v>1.4035087719298246E-2</v>
      </c>
      <c r="Z176" s="10">
        <f t="shared" si="408"/>
        <v>1.4035087719298246E-2</v>
      </c>
      <c r="AA176" s="10">
        <f t="shared" si="408"/>
        <v>1.4035087719298246E-2</v>
      </c>
      <c r="AB176" s="71">
        <f>(0.5*4)/165</f>
        <v>1.2121212121212121E-2</v>
      </c>
      <c r="AC176" s="10">
        <f>(0.5*4)/165</f>
        <v>1.2121212121212121E-2</v>
      </c>
      <c r="AD176" s="10">
        <f t="shared" ref="AD176:AF176" si="409">(0.5*4)/165</f>
        <v>1.2121212121212121E-2</v>
      </c>
      <c r="AE176" s="10">
        <f t="shared" si="409"/>
        <v>1.2121212121212121E-2</v>
      </c>
      <c r="AF176" s="10">
        <f t="shared" si="409"/>
        <v>1.2121212121212121E-2</v>
      </c>
      <c r="AG176" s="10">
        <f>(0.5*4)/165</f>
        <v>1.2121212121212121E-2</v>
      </c>
      <c r="AH176" s="71">
        <f>(0.5*5)/165</f>
        <v>1.5151515151515152E-2</v>
      </c>
      <c r="AI176" s="10">
        <f>(0.5*5)/165</f>
        <v>1.5151515151515152E-2</v>
      </c>
      <c r="AJ176" s="10">
        <f t="shared" ref="AJ176:AM176" si="410">(0.5*5)/165</f>
        <v>1.5151515151515152E-2</v>
      </c>
      <c r="AK176" s="10">
        <f t="shared" si="410"/>
        <v>1.5151515151515152E-2</v>
      </c>
      <c r="AL176" s="10">
        <f t="shared" si="410"/>
        <v>1.5151515151515152E-2</v>
      </c>
      <c r="AM176" s="10">
        <f t="shared" si="410"/>
        <v>1.5151515151515152E-2</v>
      </c>
      <c r="AN176" s="71">
        <f>(0.5*4)/157.5</f>
        <v>1.2698412698412698E-2</v>
      </c>
      <c r="AO176" s="10">
        <f>(0.5*4)/157.5</f>
        <v>1.2698412698412698E-2</v>
      </c>
      <c r="AP176" s="10">
        <f t="shared" ref="AP176:AS176" si="411">(0.5*4)/157.5</f>
        <v>1.2698412698412698E-2</v>
      </c>
      <c r="AQ176" s="10">
        <f t="shared" si="411"/>
        <v>1.2698412698412698E-2</v>
      </c>
      <c r="AR176" s="10">
        <f t="shared" si="411"/>
        <v>1.2698412698412698E-2</v>
      </c>
      <c r="AS176" s="10">
        <f t="shared" si="411"/>
        <v>1.2698412698412698E-2</v>
      </c>
      <c r="AT176" s="71">
        <f>(0.5*4)/157.5</f>
        <v>1.2698412698412698E-2</v>
      </c>
      <c r="AU176" s="10">
        <f>(0.5*4)/157.5</f>
        <v>1.2698412698412698E-2</v>
      </c>
      <c r="AV176" s="10">
        <f t="shared" ref="AV176:AY176" si="412">(0.5*4)/157.5</f>
        <v>1.2698412698412698E-2</v>
      </c>
      <c r="AW176" s="10">
        <f t="shared" si="412"/>
        <v>1.2698412698412698E-2</v>
      </c>
      <c r="AX176" s="10">
        <f t="shared" si="412"/>
        <v>1.2698412698412698E-2</v>
      </c>
      <c r="AY176" s="10">
        <f t="shared" si="412"/>
        <v>1.2698412698412698E-2</v>
      </c>
      <c r="AZ176" s="19">
        <f>(0.5*5)/150</f>
        <v>1.6666666666666666E-2</v>
      </c>
      <c r="BA176" s="10">
        <f>(0.5*5)/150</f>
        <v>1.6666666666666666E-2</v>
      </c>
      <c r="BB176" s="10">
        <f t="shared" ref="BB176:BF176" si="413">(0.5*5)/150</f>
        <v>1.6666666666666666E-2</v>
      </c>
      <c r="BC176" s="10">
        <f t="shared" si="413"/>
        <v>1.6666666666666666E-2</v>
      </c>
      <c r="BD176" s="10">
        <f t="shared" si="413"/>
        <v>1.6666666666666666E-2</v>
      </c>
      <c r="BE176" s="10">
        <f t="shared" si="413"/>
        <v>1.6666666666666666E-2</v>
      </c>
      <c r="BF176" s="10">
        <f t="shared" si="413"/>
        <v>1.6666666666666666E-2</v>
      </c>
      <c r="BG176" s="19">
        <f t="shared" ref="BG176:BK185" si="414">(0)/142.5</f>
        <v>0</v>
      </c>
      <c r="BH176" s="10">
        <f t="shared" si="414"/>
        <v>0</v>
      </c>
      <c r="BI176" s="10">
        <f t="shared" si="414"/>
        <v>0</v>
      </c>
      <c r="BJ176" s="10">
        <f t="shared" si="414"/>
        <v>0</v>
      </c>
      <c r="BK176" s="10">
        <f t="shared" si="414"/>
        <v>0</v>
      </c>
      <c r="BL176" s="10">
        <f t="shared" si="391"/>
        <v>0</v>
      </c>
      <c r="BM176" s="10">
        <f t="shared" si="391"/>
        <v>0</v>
      </c>
      <c r="BN176" s="17">
        <f t="shared" si="391"/>
        <v>0</v>
      </c>
      <c r="BO176" s="19">
        <f t="shared" ref="BO176:BS185" si="415">(0)/157.5</f>
        <v>0</v>
      </c>
      <c r="BP176" s="10">
        <f t="shared" si="415"/>
        <v>0</v>
      </c>
      <c r="BQ176" s="10">
        <f t="shared" si="415"/>
        <v>0</v>
      </c>
      <c r="BR176" s="10">
        <f t="shared" si="415"/>
        <v>0</v>
      </c>
      <c r="BS176" s="10">
        <f t="shared" si="415"/>
        <v>0</v>
      </c>
      <c r="BT176" s="10">
        <f t="shared" si="393"/>
        <v>0</v>
      </c>
      <c r="BU176" s="10">
        <f t="shared" si="393"/>
        <v>0</v>
      </c>
      <c r="BV176" s="17">
        <f t="shared" si="393"/>
        <v>0</v>
      </c>
      <c r="BW176" s="71">
        <f t="shared" ref="BW176:BW185" si="416">(0)/157.5</f>
        <v>0</v>
      </c>
      <c r="BX176" s="10">
        <f t="shared" si="394"/>
        <v>0</v>
      </c>
      <c r="BY176" s="10">
        <f t="shared" si="394"/>
        <v>0</v>
      </c>
      <c r="BZ176" s="10">
        <f t="shared" si="394"/>
        <v>0</v>
      </c>
      <c r="CA176" s="10">
        <f t="shared" si="394"/>
        <v>0</v>
      </c>
      <c r="CB176" s="10">
        <f t="shared" si="395"/>
        <v>0</v>
      </c>
      <c r="CC176" s="10">
        <f t="shared" si="395"/>
        <v>0</v>
      </c>
      <c r="CD176" s="17">
        <f t="shared" si="395"/>
        <v>0</v>
      </c>
      <c r="CE176" s="19">
        <f t="shared" ref="CE176:CI176" si="417">(0/157.5)</f>
        <v>0</v>
      </c>
      <c r="CF176" s="10">
        <f t="shared" si="417"/>
        <v>0</v>
      </c>
      <c r="CG176" s="10">
        <f t="shared" si="417"/>
        <v>0</v>
      </c>
      <c r="CH176" s="10">
        <f t="shared" si="417"/>
        <v>0</v>
      </c>
      <c r="CI176" s="10">
        <f t="shared" si="417"/>
        <v>0</v>
      </c>
      <c r="CJ176" s="10">
        <f t="shared" si="397"/>
        <v>0</v>
      </c>
      <c r="CK176" s="10">
        <f t="shared" si="397"/>
        <v>0</v>
      </c>
      <c r="CL176" s="17">
        <f t="shared" si="397"/>
        <v>0</v>
      </c>
      <c r="CM176" s="19">
        <f t="shared" ref="CM176:CQ176" si="418">(0)/142.5</f>
        <v>0</v>
      </c>
      <c r="CN176" s="10">
        <f t="shared" si="418"/>
        <v>0</v>
      </c>
      <c r="CO176" s="10">
        <f t="shared" si="418"/>
        <v>0</v>
      </c>
      <c r="CP176" s="10">
        <f t="shared" si="418"/>
        <v>0</v>
      </c>
      <c r="CQ176" s="10">
        <f t="shared" si="418"/>
        <v>0</v>
      </c>
      <c r="CR176" s="10">
        <f t="shared" si="399"/>
        <v>0</v>
      </c>
      <c r="CS176" s="10">
        <f t="shared" si="399"/>
        <v>0</v>
      </c>
      <c r="CT176" s="17">
        <f t="shared" si="399"/>
        <v>0</v>
      </c>
      <c r="CU176" s="235"/>
    </row>
    <row r="177" spans="1:99" ht="20.100000000000001" customHeight="1" x14ac:dyDescent="0.4">
      <c r="A177" s="437"/>
      <c r="B177" s="437"/>
      <c r="C177" s="437"/>
      <c r="D177" s="443"/>
      <c r="E177" s="443"/>
      <c r="F177" s="443"/>
      <c r="G177" s="465"/>
      <c r="H177" s="441"/>
      <c r="I177" s="467"/>
      <c r="J177" s="14"/>
      <c r="K177" s="15"/>
      <c r="L177" s="15"/>
      <c r="M177" s="451"/>
      <c r="N177" s="11" t="s">
        <v>89</v>
      </c>
      <c r="O177" s="11">
        <f>(0+0.5+0.5+0.5)/120</f>
        <v>1.2500000000000001E-2</v>
      </c>
      <c r="P177" s="11">
        <f>(0)/120</f>
        <v>0</v>
      </c>
      <c r="Q177" s="11">
        <f>(0+0.5+0.5+0.5)/120</f>
        <v>1.2500000000000001E-2</v>
      </c>
      <c r="R177" s="11">
        <f>(0+0.5+0.5+0.5)/120</f>
        <v>1.2500000000000001E-2</v>
      </c>
      <c r="S177" s="11">
        <f>(0+0.5+0.5+0.5)/120</f>
        <v>1.2500000000000001E-2</v>
      </c>
      <c r="T177" s="11">
        <f>(0+0.5+0.5+0)/120</f>
        <v>8.3333333333333332E-3</v>
      </c>
      <c r="U177" s="48">
        <f>(0+0.5+0.5+0.5)/120</f>
        <v>1.2500000000000001E-2</v>
      </c>
      <c r="V177" s="56">
        <f>(0+0.5+0.5+0.5)/142.5</f>
        <v>1.0526315789473684E-2</v>
      </c>
      <c r="W177" s="11">
        <f>(0)/142.5</f>
        <v>0</v>
      </c>
      <c r="X177" s="11">
        <f>(0+0.5)/142.5</f>
        <v>3.5087719298245615E-3</v>
      </c>
      <c r="Y177" s="11">
        <f>(0+0.5+0.5+0.5)/142.5</f>
        <v>1.0526315789473684E-2</v>
      </c>
      <c r="Z177" s="11">
        <f>(0+0)/142.5</f>
        <v>0</v>
      </c>
      <c r="AA177" s="11">
        <f>(0+0.5+0.5)/142.5</f>
        <v>7.0175438596491229E-3</v>
      </c>
      <c r="AB177" s="56">
        <f>(0.5+0.5+0.5)/165</f>
        <v>9.0909090909090905E-3</v>
      </c>
      <c r="AC177" s="11">
        <f>(0+0.5+0.5)/165</f>
        <v>6.0606060606060606E-3</v>
      </c>
      <c r="AD177" s="11">
        <f>(0.5+0.5+0.5+0.5)/165</f>
        <v>1.2121212121212121E-2</v>
      </c>
      <c r="AE177" s="11">
        <f>(0.5+0.5+0.5+0.5)/165</f>
        <v>1.2121212121212121E-2</v>
      </c>
      <c r="AF177" s="11">
        <f>(0.5+0.5+0.5+0.5)/165</f>
        <v>1.2121212121212121E-2</v>
      </c>
      <c r="AG177" s="11">
        <f>(0.5+0+0.5+0.5)/165</f>
        <v>9.0909090909090905E-3</v>
      </c>
      <c r="AH177" s="56">
        <f>(0.5+0.5+0.5+0.5+0.5)/165</f>
        <v>1.5151515151515152E-2</v>
      </c>
      <c r="AI177" s="11">
        <f>(0.5+0.5+0.5+0.5)/165</f>
        <v>1.2121212121212121E-2</v>
      </c>
      <c r="AJ177" s="11">
        <f>(0.5+0.5+0.5+0.5)/165</f>
        <v>1.2121212121212121E-2</v>
      </c>
      <c r="AK177" s="11">
        <f>(0.5+0.5+0.5+0.5)/165</f>
        <v>1.2121212121212121E-2</v>
      </c>
      <c r="AL177" s="11">
        <f>(0.5+0.5+0.5)/165</f>
        <v>9.0909090909090905E-3</v>
      </c>
      <c r="AM177" s="11">
        <f>(0.5+0.5+0.5)/165</f>
        <v>9.0909090909090905E-3</v>
      </c>
      <c r="AN177" s="56">
        <f>(0+0.5+0.5+0.5+0.5)/157.5</f>
        <v>1.2698412698412698E-2</v>
      </c>
      <c r="AO177" s="11">
        <f>(0+0.5+0.5+0.5+0.5)/157.5</f>
        <v>1.2698412698412698E-2</v>
      </c>
      <c r="AP177" s="11">
        <f>(0+0.5+0.5+0.5+0.5)/157.5</f>
        <v>1.2698412698412698E-2</v>
      </c>
      <c r="AQ177" s="11">
        <f>(0+0.5+0.5+0.5)/157.5</f>
        <v>9.5238095238095247E-3</v>
      </c>
      <c r="AR177" s="11">
        <f>(0+0.5+0.5+0.5+0.5)/157.5</f>
        <v>1.2698412698412698E-2</v>
      </c>
      <c r="AS177" s="11">
        <f>(0+0.5+0.5+0.5)/157.5</f>
        <v>9.5238095238095247E-3</v>
      </c>
      <c r="AT177" s="61">
        <f>(0+0.5+0.5+0.5+0.5)/165</f>
        <v>1.2121212121212121E-2</v>
      </c>
      <c r="AU177" s="58">
        <f>(0+0.5+0.5+0.5+0.5)/165</f>
        <v>1.2121212121212121E-2</v>
      </c>
      <c r="AV177" s="58">
        <f>(0+0.5+0.5+0.5)/165</f>
        <v>9.0909090909090905E-3</v>
      </c>
      <c r="AW177" s="58">
        <f>(0+0.5+0.5+0.5+0.5)/165</f>
        <v>1.2121212121212121E-2</v>
      </c>
      <c r="AX177" s="58">
        <f>(0+0.5+0.5+0.5+0.5)/165</f>
        <v>1.2121212121212121E-2</v>
      </c>
      <c r="AY177" s="62">
        <f>(0+0+0+0+0.5)/165</f>
        <v>3.0303030303030303E-3</v>
      </c>
      <c r="AZ177" s="61">
        <f>(0.5)/150</f>
        <v>3.3333333333333335E-3</v>
      </c>
      <c r="BA177" s="58">
        <f>(0.5)/150</f>
        <v>3.3333333333333335E-3</v>
      </c>
      <c r="BB177" s="58">
        <f t="shared" ref="BB177:BF179" si="419">(0.5)/150</f>
        <v>3.3333333333333335E-3</v>
      </c>
      <c r="BC177" s="58">
        <f t="shared" si="419"/>
        <v>3.3333333333333335E-3</v>
      </c>
      <c r="BD177" s="58">
        <f t="shared" si="419"/>
        <v>3.3333333333333335E-3</v>
      </c>
      <c r="BE177" s="58">
        <f t="shared" si="419"/>
        <v>3.3333333333333335E-3</v>
      </c>
      <c r="BF177" s="58">
        <f t="shared" si="402"/>
        <v>0</v>
      </c>
      <c r="BG177" s="61">
        <f t="shared" si="414"/>
        <v>0</v>
      </c>
      <c r="BH177" s="58">
        <f t="shared" si="414"/>
        <v>0</v>
      </c>
      <c r="BI177" s="58">
        <f t="shared" si="414"/>
        <v>0</v>
      </c>
      <c r="BJ177" s="58">
        <f t="shared" si="414"/>
        <v>0</v>
      </c>
      <c r="BK177" s="58">
        <f t="shared" si="414"/>
        <v>0</v>
      </c>
      <c r="BL177" s="58">
        <f t="shared" si="391"/>
        <v>0</v>
      </c>
      <c r="BM177" s="58">
        <f t="shared" si="391"/>
        <v>0</v>
      </c>
      <c r="BN177" s="62">
        <f t="shared" si="391"/>
        <v>0</v>
      </c>
      <c r="BO177" s="61">
        <f t="shared" si="415"/>
        <v>0</v>
      </c>
      <c r="BP177" s="58">
        <f t="shared" si="415"/>
        <v>0</v>
      </c>
      <c r="BQ177" s="58">
        <f t="shared" si="415"/>
        <v>0</v>
      </c>
      <c r="BR177" s="58">
        <f t="shared" si="415"/>
        <v>0</v>
      </c>
      <c r="BS177" s="58">
        <f t="shared" si="415"/>
        <v>0</v>
      </c>
      <c r="BT177" s="58">
        <f t="shared" si="393"/>
        <v>0</v>
      </c>
      <c r="BU177" s="58">
        <f t="shared" si="393"/>
        <v>0</v>
      </c>
      <c r="BV177" s="62">
        <f t="shared" si="393"/>
        <v>0</v>
      </c>
      <c r="BW177" s="61">
        <f t="shared" si="416"/>
        <v>0</v>
      </c>
      <c r="BX177" s="58">
        <f t="shared" si="394"/>
        <v>0</v>
      </c>
      <c r="BY177" s="58">
        <f t="shared" si="394"/>
        <v>0</v>
      </c>
      <c r="BZ177" s="58">
        <f t="shared" si="394"/>
        <v>0</v>
      </c>
      <c r="CA177" s="58">
        <f t="shared" si="394"/>
        <v>0</v>
      </c>
      <c r="CB177" s="58">
        <f t="shared" si="395"/>
        <v>0</v>
      </c>
      <c r="CC177" s="58">
        <f t="shared" si="395"/>
        <v>0</v>
      </c>
      <c r="CD177" s="62">
        <f t="shared" si="395"/>
        <v>0</v>
      </c>
      <c r="CE177" s="61">
        <f t="shared" ref="CE177:CI177" si="420">(0)/157.5</f>
        <v>0</v>
      </c>
      <c r="CF177" s="58">
        <f t="shared" si="420"/>
        <v>0</v>
      </c>
      <c r="CG177" s="58">
        <f t="shared" si="420"/>
        <v>0</v>
      </c>
      <c r="CH177" s="58">
        <f t="shared" si="420"/>
        <v>0</v>
      </c>
      <c r="CI177" s="58">
        <f t="shared" si="420"/>
        <v>0</v>
      </c>
      <c r="CJ177" s="58">
        <f t="shared" si="397"/>
        <v>0</v>
      </c>
      <c r="CK177" s="58">
        <f t="shared" si="397"/>
        <v>0</v>
      </c>
      <c r="CL177" s="62">
        <f t="shared" si="397"/>
        <v>0</v>
      </c>
      <c r="CM177" s="61">
        <f t="shared" ref="CM177:CQ177" si="421">0/142.5</f>
        <v>0</v>
      </c>
      <c r="CN177" s="58">
        <f t="shared" si="421"/>
        <v>0</v>
      </c>
      <c r="CO177" s="58">
        <f t="shared" si="421"/>
        <v>0</v>
      </c>
      <c r="CP177" s="58">
        <f t="shared" si="421"/>
        <v>0</v>
      </c>
      <c r="CQ177" s="58">
        <f t="shared" si="421"/>
        <v>0</v>
      </c>
      <c r="CR177" s="58">
        <f t="shared" si="399"/>
        <v>0</v>
      </c>
      <c r="CS177" s="58">
        <f t="shared" si="399"/>
        <v>0</v>
      </c>
      <c r="CT177" s="62">
        <f t="shared" si="399"/>
        <v>0</v>
      </c>
      <c r="CU177" s="235"/>
    </row>
    <row r="178" spans="1:99" ht="20.100000000000001" customHeight="1" x14ac:dyDescent="0.4">
      <c r="A178" s="436">
        <v>3</v>
      </c>
      <c r="B178" s="436" t="s">
        <v>46</v>
      </c>
      <c r="C178" s="436" t="s">
        <v>28</v>
      </c>
      <c r="D178" s="442" t="s">
        <v>21</v>
      </c>
      <c r="E178" s="461" t="s">
        <v>26</v>
      </c>
      <c r="F178" s="442" t="s">
        <v>27</v>
      </c>
      <c r="G178" s="464" t="s">
        <v>32</v>
      </c>
      <c r="H178" s="440">
        <f t="shared" ref="H178:H185" si="422">SUM(AZ178:BF178)</f>
        <v>9.3333333333333338E-2</v>
      </c>
      <c r="I178" s="466">
        <f t="shared" ref="I178:I185" si="423">SUM(AZ179:BF179)</f>
        <v>0.02</v>
      </c>
      <c r="J178" s="12"/>
      <c r="K178" s="13"/>
      <c r="L178" s="13"/>
      <c r="M178" s="481" t="s">
        <v>160</v>
      </c>
      <c r="N178" s="10" t="s">
        <v>88</v>
      </c>
      <c r="O178" s="10">
        <f>(0.25*16)/120</f>
        <v>3.3333333333333333E-2</v>
      </c>
      <c r="P178" s="10">
        <f>(0.25*0)/120</f>
        <v>0</v>
      </c>
      <c r="Q178" s="10">
        <f t="shared" ref="Q178:U178" si="424">(0.25*16)/120</f>
        <v>3.3333333333333333E-2</v>
      </c>
      <c r="R178" s="10">
        <f t="shared" si="424"/>
        <v>3.3333333333333333E-2</v>
      </c>
      <c r="S178" s="10">
        <f t="shared" si="424"/>
        <v>3.3333333333333333E-2</v>
      </c>
      <c r="T178" s="10">
        <f t="shared" si="424"/>
        <v>3.3333333333333333E-2</v>
      </c>
      <c r="U178" s="79">
        <f t="shared" si="424"/>
        <v>3.3333333333333333E-2</v>
      </c>
      <c r="V178" s="19">
        <f>(0.25*19)/142.5</f>
        <v>3.3333333333333333E-2</v>
      </c>
      <c r="W178" s="10">
        <f>(0.25*19)/142.5</f>
        <v>3.3333333333333333E-2</v>
      </c>
      <c r="X178" s="10">
        <f t="shared" ref="X178:AA178" si="425">(0.25*19)/142.5</f>
        <v>3.3333333333333333E-2</v>
      </c>
      <c r="Y178" s="10">
        <f t="shared" si="425"/>
        <v>3.3333333333333333E-2</v>
      </c>
      <c r="Z178" s="10">
        <f t="shared" si="425"/>
        <v>3.3333333333333333E-2</v>
      </c>
      <c r="AA178" s="10">
        <f t="shared" si="425"/>
        <v>3.3333333333333333E-2</v>
      </c>
      <c r="AB178" s="71">
        <f>(0.25*22)/165</f>
        <v>3.3333333333333333E-2</v>
      </c>
      <c r="AC178" s="10">
        <f>(0.25*22)/165</f>
        <v>3.3333333333333333E-2</v>
      </c>
      <c r="AD178" s="10">
        <f t="shared" ref="AD178:AG178" si="426">(0.25*22)/165</f>
        <v>3.3333333333333333E-2</v>
      </c>
      <c r="AE178" s="10">
        <f t="shared" si="426"/>
        <v>3.3333333333333333E-2</v>
      </c>
      <c r="AF178" s="10">
        <f t="shared" si="426"/>
        <v>3.3333333333333333E-2</v>
      </c>
      <c r="AG178" s="10">
        <f t="shared" si="426"/>
        <v>3.3333333333333333E-2</v>
      </c>
      <c r="AH178" s="71">
        <f>(0.25*22)/165</f>
        <v>3.3333333333333333E-2</v>
      </c>
      <c r="AI178" s="10">
        <f>(0.25*22)/165</f>
        <v>3.3333333333333333E-2</v>
      </c>
      <c r="AJ178" s="10">
        <f t="shared" ref="AJ178:AM178" si="427">(0.25*22)/165</f>
        <v>3.3333333333333333E-2</v>
      </c>
      <c r="AK178" s="10">
        <f t="shared" si="427"/>
        <v>3.3333333333333333E-2</v>
      </c>
      <c r="AL178" s="10">
        <f t="shared" si="427"/>
        <v>3.3333333333333333E-2</v>
      </c>
      <c r="AM178" s="10">
        <f t="shared" si="427"/>
        <v>3.3333333333333333E-2</v>
      </c>
      <c r="AN178" s="71">
        <f>(0.1*21)/157.5</f>
        <v>1.3333333333333334E-2</v>
      </c>
      <c r="AO178" s="10">
        <f>(0.1*21)/157.5</f>
        <v>1.3333333333333334E-2</v>
      </c>
      <c r="AP178" s="10">
        <f t="shared" ref="AP178:AS178" si="428">(0.1*21)/157.5</f>
        <v>1.3333333333333334E-2</v>
      </c>
      <c r="AQ178" s="10">
        <f t="shared" si="428"/>
        <v>1.3333333333333334E-2</v>
      </c>
      <c r="AR178" s="10">
        <f t="shared" si="428"/>
        <v>1.3333333333333334E-2</v>
      </c>
      <c r="AS178" s="10">
        <f t="shared" si="428"/>
        <v>1.3333333333333334E-2</v>
      </c>
      <c r="AT178" s="189">
        <f>(0.1*22)/165</f>
        <v>1.3333333333333334E-2</v>
      </c>
      <c r="AU178" s="10">
        <f>(0.1*22)/165</f>
        <v>1.3333333333333334E-2</v>
      </c>
      <c r="AV178" s="10">
        <f t="shared" ref="AV178:AY178" si="429">(0.1*22)/165</f>
        <v>1.3333333333333334E-2</v>
      </c>
      <c r="AW178" s="10">
        <f t="shared" si="429"/>
        <v>1.3333333333333334E-2</v>
      </c>
      <c r="AX178" s="10">
        <f t="shared" si="429"/>
        <v>1.3333333333333334E-2</v>
      </c>
      <c r="AY178" s="10">
        <f t="shared" si="429"/>
        <v>1.3333333333333334E-2</v>
      </c>
      <c r="AZ178" s="19">
        <f>(0.1*20)/150</f>
        <v>1.3333333333333334E-2</v>
      </c>
      <c r="BA178" s="10">
        <f>(0.1*20)/150</f>
        <v>1.3333333333333334E-2</v>
      </c>
      <c r="BB178" s="10">
        <f t="shared" ref="BB178:BF178" si="430">(0.1*20)/150</f>
        <v>1.3333333333333334E-2</v>
      </c>
      <c r="BC178" s="10">
        <f t="shared" si="430"/>
        <v>1.3333333333333334E-2</v>
      </c>
      <c r="BD178" s="10">
        <f t="shared" si="430"/>
        <v>1.3333333333333334E-2</v>
      </c>
      <c r="BE178" s="10">
        <f t="shared" si="430"/>
        <v>1.3333333333333334E-2</v>
      </c>
      <c r="BF178" s="10">
        <f t="shared" si="430"/>
        <v>1.3333333333333334E-2</v>
      </c>
      <c r="BG178" s="19">
        <f t="shared" si="414"/>
        <v>0</v>
      </c>
      <c r="BH178" s="10">
        <f t="shared" si="414"/>
        <v>0</v>
      </c>
      <c r="BI178" s="10">
        <f t="shared" si="414"/>
        <v>0</v>
      </c>
      <c r="BJ178" s="10">
        <f t="shared" si="414"/>
        <v>0</v>
      </c>
      <c r="BK178" s="10">
        <f t="shared" si="414"/>
        <v>0</v>
      </c>
      <c r="BL178" s="10">
        <f t="shared" si="391"/>
        <v>0</v>
      </c>
      <c r="BM178" s="10">
        <f t="shared" si="391"/>
        <v>0</v>
      </c>
      <c r="BN178" s="17">
        <f t="shared" si="391"/>
        <v>0</v>
      </c>
      <c r="BO178" s="19">
        <f t="shared" si="415"/>
        <v>0</v>
      </c>
      <c r="BP178" s="10">
        <f t="shared" si="415"/>
        <v>0</v>
      </c>
      <c r="BQ178" s="10">
        <f t="shared" si="415"/>
        <v>0</v>
      </c>
      <c r="BR178" s="10">
        <f t="shared" si="415"/>
        <v>0</v>
      </c>
      <c r="BS178" s="10">
        <f t="shared" si="415"/>
        <v>0</v>
      </c>
      <c r="BT178" s="10">
        <f t="shared" si="393"/>
        <v>0</v>
      </c>
      <c r="BU178" s="10">
        <f t="shared" si="393"/>
        <v>0</v>
      </c>
      <c r="BV178" s="17">
        <f t="shared" si="393"/>
        <v>0</v>
      </c>
      <c r="BW178" s="71">
        <f t="shared" si="416"/>
        <v>0</v>
      </c>
      <c r="BX178" s="10">
        <f t="shared" si="394"/>
        <v>0</v>
      </c>
      <c r="BY178" s="10">
        <f t="shared" si="394"/>
        <v>0</v>
      </c>
      <c r="BZ178" s="10">
        <f t="shared" si="394"/>
        <v>0</v>
      </c>
      <c r="CA178" s="10">
        <f t="shared" si="394"/>
        <v>0</v>
      </c>
      <c r="CB178" s="10">
        <f t="shared" si="395"/>
        <v>0</v>
      </c>
      <c r="CC178" s="10">
        <f t="shared" si="395"/>
        <v>0</v>
      </c>
      <c r="CD178" s="17">
        <f t="shared" si="395"/>
        <v>0</v>
      </c>
      <c r="CE178" s="19">
        <f t="shared" ref="CE178:CI178" si="431">(0/157.5)</f>
        <v>0</v>
      </c>
      <c r="CF178" s="10">
        <f t="shared" si="431"/>
        <v>0</v>
      </c>
      <c r="CG178" s="10">
        <f t="shared" si="431"/>
        <v>0</v>
      </c>
      <c r="CH178" s="10">
        <f t="shared" si="431"/>
        <v>0</v>
      </c>
      <c r="CI178" s="10">
        <f t="shared" si="431"/>
        <v>0</v>
      </c>
      <c r="CJ178" s="10">
        <f t="shared" si="397"/>
        <v>0</v>
      </c>
      <c r="CK178" s="10">
        <f t="shared" si="397"/>
        <v>0</v>
      </c>
      <c r="CL178" s="17">
        <f t="shared" si="397"/>
        <v>0</v>
      </c>
      <c r="CM178" s="19">
        <f t="shared" ref="CM178:CQ178" si="432">(0)/142.5</f>
        <v>0</v>
      </c>
      <c r="CN178" s="10">
        <f t="shared" si="432"/>
        <v>0</v>
      </c>
      <c r="CO178" s="10">
        <f t="shared" si="432"/>
        <v>0</v>
      </c>
      <c r="CP178" s="10">
        <f t="shared" si="432"/>
        <v>0</v>
      </c>
      <c r="CQ178" s="10">
        <f t="shared" si="432"/>
        <v>0</v>
      </c>
      <c r="CR178" s="10">
        <f t="shared" si="399"/>
        <v>0</v>
      </c>
      <c r="CS178" s="10">
        <f t="shared" si="399"/>
        <v>0</v>
      </c>
      <c r="CT178" s="17">
        <f t="shared" si="399"/>
        <v>0</v>
      </c>
      <c r="CU178" s="235"/>
    </row>
    <row r="179" spans="1:99" ht="20.100000000000001" customHeight="1" x14ac:dyDescent="0.4">
      <c r="A179" s="437"/>
      <c r="B179" s="437"/>
      <c r="C179" s="437"/>
      <c r="D179" s="443"/>
      <c r="E179" s="443"/>
      <c r="F179" s="443"/>
      <c r="G179" s="465"/>
      <c r="H179" s="441"/>
      <c r="I179" s="467"/>
      <c r="J179" s="14"/>
      <c r="K179" s="15"/>
      <c r="L179" s="15"/>
      <c r="M179" s="451"/>
      <c r="N179" s="11" t="s">
        <v>89</v>
      </c>
      <c r="O179" s="11">
        <f>(0.25+1.25+0.25+0.75+1.25)/120</f>
        <v>3.125E-2</v>
      </c>
      <c r="P179" s="11">
        <f t="shared" si="400"/>
        <v>0</v>
      </c>
      <c r="Q179" s="11">
        <f>(0.25+1.25+0.5+0.75+1.25)/120</f>
        <v>3.3333333333333333E-2</v>
      </c>
      <c r="R179" s="11">
        <f>(0.25+1.25+0.5+0.75+0.5)/120</f>
        <v>2.7083333333333334E-2</v>
      </c>
      <c r="S179" s="11">
        <f>(0.25+1.25+0.5+0.75+1.25)/120</f>
        <v>3.3333333333333333E-2</v>
      </c>
      <c r="T179" s="11">
        <f>(0.25+1.25+0.5+0.75+1.25)/120</f>
        <v>3.3333333333333333E-2</v>
      </c>
      <c r="U179" s="48">
        <f>(0.25+1.25+0.5+0.75+1.25)/120</f>
        <v>3.3333333333333333E-2</v>
      </c>
      <c r="V179" s="56">
        <f>(0.75+1.25+1.25+1)/142.5</f>
        <v>2.9824561403508771E-2</v>
      </c>
      <c r="W179" s="11">
        <f t="shared" ref="W179:W185" si="433">(0)/142.5</f>
        <v>0</v>
      </c>
      <c r="X179" s="11">
        <f>(0.75+0.75+1.25+1+0.25)/142.5</f>
        <v>2.8070175438596492E-2</v>
      </c>
      <c r="Y179" s="11">
        <f>(0.75+1.25+1.25+1.25)/142.5</f>
        <v>3.1578947368421054E-2</v>
      </c>
      <c r="Z179" s="11">
        <f>(0.5+1.25+1.25+1.25+0.25)/142.5</f>
        <v>3.1578947368421054E-2</v>
      </c>
      <c r="AA179" s="11">
        <f>(0.75+1.25+1.25+1.25+0.25)/142.5</f>
        <v>3.3333333333333333E-2</v>
      </c>
      <c r="AB179" s="56">
        <f>(0.75+1.25+1.25+1.25+1)/165</f>
        <v>3.3333333333333333E-2</v>
      </c>
      <c r="AC179" s="11">
        <f>(0+0.5+1.25+1)/165</f>
        <v>1.6666666666666666E-2</v>
      </c>
      <c r="AD179" s="11">
        <f>(0.75+1.25+1.25+1.25+1)/165</f>
        <v>3.3333333333333333E-2</v>
      </c>
      <c r="AE179" s="11">
        <f>(0.75+1.25+1.25+1.25+1)/165</f>
        <v>3.3333333333333333E-2</v>
      </c>
      <c r="AF179" s="11">
        <f>(0.5+1.25+1.25+1.25+1)/165</f>
        <v>3.1818181818181815E-2</v>
      </c>
      <c r="AG179" s="11">
        <f>(0.75+1.25+1+1.25+1)/165</f>
        <v>3.1818181818181815E-2</v>
      </c>
      <c r="AH179" s="56">
        <f>(0.25+1.25+1.25+1+1+0.5)/165</f>
        <v>3.1818181818181815E-2</v>
      </c>
      <c r="AI179" s="11">
        <f>(0.25+1+1.25+1.25+0.7+0.2)/165</f>
        <v>2.8181818181818183E-2</v>
      </c>
      <c r="AJ179" s="11">
        <f>(0.25+1.25+1.25+1.25+0.4+0.1)/165</f>
        <v>2.7272727272727271E-2</v>
      </c>
      <c r="AK179" s="11">
        <f>(0.25+1.25+1.25+1+1+0.3)/165</f>
        <v>3.0606060606060605E-2</v>
      </c>
      <c r="AL179" s="11">
        <f>(0.25+1.25+1.25+1.25+0.75+0.2)/165</f>
        <v>3.0000000000000002E-2</v>
      </c>
      <c r="AM179" s="11">
        <f>(0.25+1.25+1.25+1+0.4+0.2)/165</f>
        <v>2.6363636363636367E-2</v>
      </c>
      <c r="AN179" s="56">
        <f>(0.3+0.5+0.5+0.5+0.3)/157.5</f>
        <v>1.3333333333333334E-2</v>
      </c>
      <c r="AO179" s="11">
        <f>(0.3+0.5+0.5+0.4+0.3)/157.5</f>
        <v>1.2698412698412698E-2</v>
      </c>
      <c r="AP179" s="11">
        <f>(0.3+0.5+0.4+0.5+0.3)/157.5</f>
        <v>1.2698412698412698E-2</v>
      </c>
      <c r="AQ179" s="11">
        <f>(0.3+0.5+0.4+0.5+0.3)/157.5</f>
        <v>1.2698412698412698E-2</v>
      </c>
      <c r="AR179" s="11">
        <f>(0.3+0.5+0.5+0.5+0.3)/157.5</f>
        <v>1.3333333333333334E-2</v>
      </c>
      <c r="AS179" s="11">
        <f>(0.3+0.5+0.5+0.4+0.3)/157.5</f>
        <v>1.2698412698412698E-2</v>
      </c>
      <c r="AT179" s="61">
        <f>(0.2+0.5+0.5+0.5+0.5)/165</f>
        <v>1.3333333333333334E-2</v>
      </c>
      <c r="AU179" s="58">
        <f>(0.2+0.4+0.5+0.5+0.5)/165</f>
        <v>1.2727272727272728E-2</v>
      </c>
      <c r="AV179" s="58">
        <f>(0.2+0.4+0.4+0.5+0.5)/165</f>
        <v>1.2121212121212121E-2</v>
      </c>
      <c r="AW179" s="58">
        <f>(0.2+0.55+0.4+0.5+0.4)/165</f>
        <v>1.2424242424242423E-2</v>
      </c>
      <c r="AX179" s="58">
        <f>(0.2+0.5+0.5+0.5+0.4)/165</f>
        <v>1.2727272727272728E-2</v>
      </c>
      <c r="AY179" s="58">
        <f>(0.2+0.5+0.4+0.5+0.4)/165</f>
        <v>1.2121212121212121E-2</v>
      </c>
      <c r="AZ179" s="61">
        <f>(0.5)/150</f>
        <v>3.3333333333333335E-3</v>
      </c>
      <c r="BA179" s="58">
        <f>(0.5)/150</f>
        <v>3.3333333333333335E-3</v>
      </c>
      <c r="BB179" s="58">
        <f t="shared" si="419"/>
        <v>3.3333333333333335E-3</v>
      </c>
      <c r="BC179" s="58">
        <f t="shared" si="419"/>
        <v>3.3333333333333335E-3</v>
      </c>
      <c r="BD179" s="58">
        <f t="shared" si="419"/>
        <v>3.3333333333333335E-3</v>
      </c>
      <c r="BE179" s="58">
        <f t="shared" si="419"/>
        <v>3.3333333333333335E-3</v>
      </c>
      <c r="BF179" s="58">
        <f t="shared" si="402"/>
        <v>0</v>
      </c>
      <c r="BG179" s="61">
        <f t="shared" si="414"/>
        <v>0</v>
      </c>
      <c r="BH179" s="58">
        <f t="shared" si="414"/>
        <v>0</v>
      </c>
      <c r="BI179" s="58">
        <f t="shared" si="414"/>
        <v>0</v>
      </c>
      <c r="BJ179" s="58">
        <f t="shared" si="414"/>
        <v>0</v>
      </c>
      <c r="BK179" s="58">
        <f t="shared" si="414"/>
        <v>0</v>
      </c>
      <c r="BL179" s="58">
        <f t="shared" si="391"/>
        <v>0</v>
      </c>
      <c r="BM179" s="58">
        <f t="shared" si="391"/>
        <v>0</v>
      </c>
      <c r="BN179" s="62">
        <f t="shared" si="391"/>
        <v>0</v>
      </c>
      <c r="BO179" s="61">
        <f t="shared" si="415"/>
        <v>0</v>
      </c>
      <c r="BP179" s="58">
        <f t="shared" si="415"/>
        <v>0</v>
      </c>
      <c r="BQ179" s="58">
        <f t="shared" si="415"/>
        <v>0</v>
      </c>
      <c r="BR179" s="58">
        <f t="shared" si="415"/>
        <v>0</v>
      </c>
      <c r="BS179" s="58">
        <f t="shared" si="415"/>
        <v>0</v>
      </c>
      <c r="BT179" s="58">
        <f t="shared" si="393"/>
        <v>0</v>
      </c>
      <c r="BU179" s="58">
        <f t="shared" si="393"/>
        <v>0</v>
      </c>
      <c r="BV179" s="62">
        <f t="shared" si="393"/>
        <v>0</v>
      </c>
      <c r="BW179" s="61">
        <f t="shared" si="416"/>
        <v>0</v>
      </c>
      <c r="BX179" s="58">
        <f t="shared" si="394"/>
        <v>0</v>
      </c>
      <c r="BY179" s="58">
        <f t="shared" si="394"/>
        <v>0</v>
      </c>
      <c r="BZ179" s="58">
        <f t="shared" si="394"/>
        <v>0</v>
      </c>
      <c r="CA179" s="58">
        <f t="shared" si="394"/>
        <v>0</v>
      </c>
      <c r="CB179" s="58">
        <f t="shared" si="395"/>
        <v>0</v>
      </c>
      <c r="CC179" s="58">
        <f t="shared" si="395"/>
        <v>0</v>
      </c>
      <c r="CD179" s="62">
        <f t="shared" si="395"/>
        <v>0</v>
      </c>
      <c r="CE179" s="61">
        <f t="shared" ref="CE179:CI179" si="434">(0)/157.5</f>
        <v>0</v>
      </c>
      <c r="CF179" s="58">
        <f t="shared" si="434"/>
        <v>0</v>
      </c>
      <c r="CG179" s="58">
        <f t="shared" si="434"/>
        <v>0</v>
      </c>
      <c r="CH179" s="58">
        <f t="shared" si="434"/>
        <v>0</v>
      </c>
      <c r="CI179" s="58">
        <f t="shared" si="434"/>
        <v>0</v>
      </c>
      <c r="CJ179" s="58">
        <f t="shared" si="397"/>
        <v>0</v>
      </c>
      <c r="CK179" s="58">
        <f t="shared" si="397"/>
        <v>0</v>
      </c>
      <c r="CL179" s="62">
        <f t="shared" si="397"/>
        <v>0</v>
      </c>
      <c r="CM179" s="61">
        <f t="shared" ref="CM179:CQ179" si="435">0/142.5</f>
        <v>0</v>
      </c>
      <c r="CN179" s="58">
        <f t="shared" si="435"/>
        <v>0</v>
      </c>
      <c r="CO179" s="58">
        <f t="shared" si="435"/>
        <v>0</v>
      </c>
      <c r="CP179" s="58">
        <f t="shared" si="435"/>
        <v>0</v>
      </c>
      <c r="CQ179" s="58">
        <f t="shared" si="435"/>
        <v>0</v>
      </c>
      <c r="CR179" s="58">
        <f t="shared" si="399"/>
        <v>0</v>
      </c>
      <c r="CS179" s="58">
        <f t="shared" si="399"/>
        <v>0</v>
      </c>
      <c r="CT179" s="62">
        <f t="shared" si="399"/>
        <v>0</v>
      </c>
      <c r="CU179" s="235"/>
    </row>
    <row r="180" spans="1:99" ht="20.100000000000001" customHeight="1" x14ac:dyDescent="0.4">
      <c r="A180" s="436">
        <v>4</v>
      </c>
      <c r="B180" s="436" t="s">
        <v>46</v>
      </c>
      <c r="C180" s="436" t="s">
        <v>28</v>
      </c>
      <c r="D180" s="442" t="s">
        <v>20</v>
      </c>
      <c r="E180" s="461" t="s">
        <v>26</v>
      </c>
      <c r="F180" s="442" t="s">
        <v>27</v>
      </c>
      <c r="G180" s="464" t="s">
        <v>33</v>
      </c>
      <c r="H180" s="440">
        <f t="shared" ref="H180:H185" si="436">SUM(AZ180:BF180)</f>
        <v>0</v>
      </c>
      <c r="I180" s="466">
        <f t="shared" ref="I180:I185" si="437">SUM(AZ181:BF181)</f>
        <v>0</v>
      </c>
      <c r="J180" s="12"/>
      <c r="K180" s="13"/>
      <c r="L180" s="13"/>
      <c r="M180" s="481" t="s">
        <v>40</v>
      </c>
      <c r="N180" s="17" t="s">
        <v>88</v>
      </c>
      <c r="O180" s="10">
        <f>(0)/120</f>
        <v>0</v>
      </c>
      <c r="P180" s="10">
        <f t="shared" si="400"/>
        <v>0</v>
      </c>
      <c r="Q180" s="10">
        <f t="shared" si="400"/>
        <v>0</v>
      </c>
      <c r="R180" s="10">
        <f t="shared" si="400"/>
        <v>0</v>
      </c>
      <c r="S180" s="10">
        <f t="shared" si="400"/>
        <v>0</v>
      </c>
      <c r="T180" s="10">
        <f t="shared" si="400"/>
        <v>0</v>
      </c>
      <c r="U180" s="79">
        <f t="shared" si="400"/>
        <v>0</v>
      </c>
      <c r="V180" s="19">
        <f>(0)/142.5</f>
        <v>0</v>
      </c>
      <c r="W180" s="10">
        <f t="shared" si="433"/>
        <v>0</v>
      </c>
      <c r="X180" s="10">
        <f t="shared" ref="X180:AA185" si="438">(0)/142.5</f>
        <v>0</v>
      </c>
      <c r="Y180" s="10">
        <f t="shared" si="438"/>
        <v>0</v>
      </c>
      <c r="Z180" s="10">
        <f t="shared" si="438"/>
        <v>0</v>
      </c>
      <c r="AA180" s="10">
        <f t="shared" si="438"/>
        <v>0</v>
      </c>
      <c r="AB180" s="71">
        <f t="shared" ref="AB180:AG185" si="439">(0)/165</f>
        <v>0</v>
      </c>
      <c r="AC180" s="10">
        <f t="shared" si="439"/>
        <v>0</v>
      </c>
      <c r="AD180" s="10">
        <f t="shared" si="439"/>
        <v>0</v>
      </c>
      <c r="AE180" s="10">
        <f t="shared" si="439"/>
        <v>0</v>
      </c>
      <c r="AF180" s="10">
        <f t="shared" si="439"/>
        <v>0</v>
      </c>
      <c r="AG180" s="10">
        <f t="shared" si="439"/>
        <v>0</v>
      </c>
      <c r="AH180" s="71">
        <f t="shared" ref="AH180:AM185" si="440">(0)/165</f>
        <v>0</v>
      </c>
      <c r="AI180" s="10">
        <f t="shared" si="440"/>
        <v>0</v>
      </c>
      <c r="AJ180" s="10">
        <f t="shared" si="440"/>
        <v>0</v>
      </c>
      <c r="AK180" s="10">
        <f t="shared" si="440"/>
        <v>0</v>
      </c>
      <c r="AL180" s="10">
        <f t="shared" si="440"/>
        <v>0</v>
      </c>
      <c r="AM180" s="10">
        <f t="shared" si="440"/>
        <v>0</v>
      </c>
      <c r="AN180" s="71">
        <f t="shared" ref="AN180:AS185" si="441">(0)/157.5</f>
        <v>0</v>
      </c>
      <c r="AO180" s="10">
        <f t="shared" si="441"/>
        <v>0</v>
      </c>
      <c r="AP180" s="10">
        <f t="shared" si="441"/>
        <v>0</v>
      </c>
      <c r="AQ180" s="10">
        <f t="shared" si="441"/>
        <v>0</v>
      </c>
      <c r="AR180" s="10">
        <f t="shared" si="441"/>
        <v>0</v>
      </c>
      <c r="AS180" s="10">
        <f t="shared" si="441"/>
        <v>0</v>
      </c>
      <c r="AT180" s="189">
        <f t="shared" ref="AT180:AY185" si="442">(0)/165</f>
        <v>0</v>
      </c>
      <c r="AU180" s="10">
        <f t="shared" si="442"/>
        <v>0</v>
      </c>
      <c r="AV180" s="10">
        <f t="shared" si="442"/>
        <v>0</v>
      </c>
      <c r="AW180" s="10">
        <f t="shared" si="442"/>
        <v>0</v>
      </c>
      <c r="AX180" s="10">
        <f t="shared" si="442"/>
        <v>0</v>
      </c>
      <c r="AY180" s="17">
        <f t="shared" si="442"/>
        <v>0</v>
      </c>
      <c r="AZ180" s="19">
        <f t="shared" si="402"/>
        <v>0</v>
      </c>
      <c r="BA180" s="10">
        <f t="shared" si="402"/>
        <v>0</v>
      </c>
      <c r="BB180" s="10">
        <f t="shared" si="402"/>
        <v>0</v>
      </c>
      <c r="BC180" s="10">
        <f t="shared" si="402"/>
        <v>0</v>
      </c>
      <c r="BD180" s="10">
        <f t="shared" si="402"/>
        <v>0</v>
      </c>
      <c r="BE180" s="10">
        <f t="shared" si="402"/>
        <v>0</v>
      </c>
      <c r="BF180" s="10">
        <f t="shared" si="402"/>
        <v>0</v>
      </c>
      <c r="BG180" s="19">
        <f t="shared" si="414"/>
        <v>0</v>
      </c>
      <c r="BH180" s="10">
        <f t="shared" si="414"/>
        <v>0</v>
      </c>
      <c r="BI180" s="10">
        <f t="shared" si="414"/>
        <v>0</v>
      </c>
      <c r="BJ180" s="10">
        <f t="shared" si="414"/>
        <v>0</v>
      </c>
      <c r="BK180" s="10">
        <f t="shared" si="414"/>
        <v>0</v>
      </c>
      <c r="BL180" s="10">
        <f t="shared" si="391"/>
        <v>0</v>
      </c>
      <c r="BM180" s="10">
        <f t="shared" si="391"/>
        <v>0</v>
      </c>
      <c r="BN180" s="17">
        <f t="shared" si="391"/>
        <v>0</v>
      </c>
      <c r="BO180" s="19">
        <f t="shared" si="415"/>
        <v>0</v>
      </c>
      <c r="BP180" s="10">
        <f t="shared" si="415"/>
        <v>0</v>
      </c>
      <c r="BQ180" s="10">
        <f t="shared" si="415"/>
        <v>0</v>
      </c>
      <c r="BR180" s="10">
        <f t="shared" si="415"/>
        <v>0</v>
      </c>
      <c r="BS180" s="10">
        <f t="shared" si="415"/>
        <v>0</v>
      </c>
      <c r="BT180" s="10">
        <f t="shared" si="393"/>
        <v>0</v>
      </c>
      <c r="BU180" s="10">
        <f t="shared" si="393"/>
        <v>0</v>
      </c>
      <c r="BV180" s="17">
        <f t="shared" si="393"/>
        <v>0</v>
      </c>
      <c r="BW180" s="71">
        <f t="shared" si="416"/>
        <v>0</v>
      </c>
      <c r="BX180" s="10">
        <f t="shared" si="394"/>
        <v>0</v>
      </c>
      <c r="BY180" s="10">
        <f t="shared" si="394"/>
        <v>0</v>
      </c>
      <c r="BZ180" s="10">
        <f t="shared" si="394"/>
        <v>0</v>
      </c>
      <c r="CA180" s="10">
        <f t="shared" si="394"/>
        <v>0</v>
      </c>
      <c r="CB180" s="10">
        <f t="shared" si="395"/>
        <v>0</v>
      </c>
      <c r="CC180" s="10">
        <f t="shared" si="395"/>
        <v>0</v>
      </c>
      <c r="CD180" s="17">
        <f t="shared" si="395"/>
        <v>0</v>
      </c>
      <c r="CE180" s="19">
        <f t="shared" ref="CE180:CI180" si="443">(0/157.5)</f>
        <v>0</v>
      </c>
      <c r="CF180" s="10">
        <f t="shared" si="443"/>
        <v>0</v>
      </c>
      <c r="CG180" s="10">
        <f t="shared" si="443"/>
        <v>0</v>
      </c>
      <c r="CH180" s="10">
        <f t="shared" si="443"/>
        <v>0</v>
      </c>
      <c r="CI180" s="10">
        <f t="shared" si="443"/>
        <v>0</v>
      </c>
      <c r="CJ180" s="10">
        <f t="shared" si="397"/>
        <v>0</v>
      </c>
      <c r="CK180" s="10">
        <f t="shared" si="397"/>
        <v>0</v>
      </c>
      <c r="CL180" s="17">
        <f t="shared" si="397"/>
        <v>0</v>
      </c>
      <c r="CM180" s="19">
        <f t="shared" ref="CM180:CQ180" si="444">(0)/142.5</f>
        <v>0</v>
      </c>
      <c r="CN180" s="10">
        <f t="shared" si="444"/>
        <v>0</v>
      </c>
      <c r="CO180" s="10">
        <f t="shared" si="444"/>
        <v>0</v>
      </c>
      <c r="CP180" s="10">
        <f t="shared" si="444"/>
        <v>0</v>
      </c>
      <c r="CQ180" s="10">
        <f t="shared" si="444"/>
        <v>0</v>
      </c>
      <c r="CR180" s="10">
        <f t="shared" si="399"/>
        <v>0</v>
      </c>
      <c r="CS180" s="10">
        <f t="shared" si="399"/>
        <v>0</v>
      </c>
      <c r="CT180" s="17">
        <f t="shared" si="399"/>
        <v>0</v>
      </c>
      <c r="CU180" s="235"/>
    </row>
    <row r="181" spans="1:99" ht="20.100000000000001" customHeight="1" x14ac:dyDescent="0.4">
      <c r="A181" s="437"/>
      <c r="B181" s="437"/>
      <c r="C181" s="437"/>
      <c r="D181" s="443"/>
      <c r="E181" s="443"/>
      <c r="F181" s="443"/>
      <c r="G181" s="465"/>
      <c r="H181" s="441"/>
      <c r="I181" s="467"/>
      <c r="J181" s="14"/>
      <c r="K181" s="15"/>
      <c r="L181" s="15"/>
      <c r="M181" s="451"/>
      <c r="N181" s="11" t="s">
        <v>89</v>
      </c>
      <c r="O181" s="11">
        <f>(0)/120</f>
        <v>0</v>
      </c>
      <c r="P181" s="11">
        <f t="shared" si="400"/>
        <v>0</v>
      </c>
      <c r="Q181" s="11">
        <f t="shared" si="400"/>
        <v>0</v>
      </c>
      <c r="R181" s="11">
        <f t="shared" si="400"/>
        <v>0</v>
      </c>
      <c r="S181" s="11">
        <f t="shared" si="400"/>
        <v>0</v>
      </c>
      <c r="T181" s="11">
        <f t="shared" si="400"/>
        <v>0</v>
      </c>
      <c r="U181" s="48">
        <f t="shared" si="400"/>
        <v>0</v>
      </c>
      <c r="V181" s="56">
        <f>(0)/142.5</f>
        <v>0</v>
      </c>
      <c r="W181" s="11">
        <f t="shared" si="433"/>
        <v>0</v>
      </c>
      <c r="X181" s="11">
        <f t="shared" si="438"/>
        <v>0</v>
      </c>
      <c r="Y181" s="11">
        <f t="shared" si="438"/>
        <v>0</v>
      </c>
      <c r="Z181" s="11">
        <f t="shared" si="438"/>
        <v>0</v>
      </c>
      <c r="AA181" s="11">
        <f t="shared" si="438"/>
        <v>0</v>
      </c>
      <c r="AB181" s="56">
        <f t="shared" si="439"/>
        <v>0</v>
      </c>
      <c r="AC181" s="11">
        <f t="shared" si="439"/>
        <v>0</v>
      </c>
      <c r="AD181" s="11">
        <f t="shared" si="439"/>
        <v>0</v>
      </c>
      <c r="AE181" s="11">
        <f t="shared" si="439"/>
        <v>0</v>
      </c>
      <c r="AF181" s="11">
        <f t="shared" si="439"/>
        <v>0</v>
      </c>
      <c r="AG181" s="11">
        <f t="shared" si="439"/>
        <v>0</v>
      </c>
      <c r="AH181" s="56">
        <f t="shared" si="440"/>
        <v>0</v>
      </c>
      <c r="AI181" s="11">
        <f t="shared" si="440"/>
        <v>0</v>
      </c>
      <c r="AJ181" s="11">
        <f t="shared" si="440"/>
        <v>0</v>
      </c>
      <c r="AK181" s="11">
        <f t="shared" si="440"/>
        <v>0</v>
      </c>
      <c r="AL181" s="11">
        <f t="shared" si="440"/>
        <v>0</v>
      </c>
      <c r="AM181" s="11">
        <f t="shared" si="440"/>
        <v>0</v>
      </c>
      <c r="AN181" s="56">
        <f t="shared" si="441"/>
        <v>0</v>
      </c>
      <c r="AO181" s="11">
        <f t="shared" si="441"/>
        <v>0</v>
      </c>
      <c r="AP181" s="11">
        <f t="shared" si="441"/>
        <v>0</v>
      </c>
      <c r="AQ181" s="11">
        <f t="shared" si="441"/>
        <v>0</v>
      </c>
      <c r="AR181" s="11">
        <f t="shared" si="441"/>
        <v>0</v>
      </c>
      <c r="AS181" s="11">
        <f t="shared" si="441"/>
        <v>0</v>
      </c>
      <c r="AT181" s="61">
        <f t="shared" si="442"/>
        <v>0</v>
      </c>
      <c r="AU181" s="58">
        <f t="shared" si="442"/>
        <v>0</v>
      </c>
      <c r="AV181" s="58">
        <f t="shared" si="442"/>
        <v>0</v>
      </c>
      <c r="AW181" s="58">
        <f t="shared" si="442"/>
        <v>0</v>
      </c>
      <c r="AX181" s="58">
        <f t="shared" si="442"/>
        <v>0</v>
      </c>
      <c r="AY181" s="62">
        <f t="shared" si="442"/>
        <v>0</v>
      </c>
      <c r="AZ181" s="61">
        <f t="shared" si="402"/>
        <v>0</v>
      </c>
      <c r="BA181" s="58">
        <f t="shared" si="402"/>
        <v>0</v>
      </c>
      <c r="BB181" s="58">
        <f t="shared" si="402"/>
        <v>0</v>
      </c>
      <c r="BC181" s="58">
        <f t="shared" si="402"/>
        <v>0</v>
      </c>
      <c r="BD181" s="58">
        <f t="shared" si="402"/>
        <v>0</v>
      </c>
      <c r="BE181" s="58">
        <f t="shared" si="402"/>
        <v>0</v>
      </c>
      <c r="BF181" s="58">
        <f t="shared" si="402"/>
        <v>0</v>
      </c>
      <c r="BG181" s="61">
        <f t="shared" si="414"/>
        <v>0</v>
      </c>
      <c r="BH181" s="58">
        <f t="shared" si="414"/>
        <v>0</v>
      </c>
      <c r="BI181" s="58">
        <f t="shared" si="414"/>
        <v>0</v>
      </c>
      <c r="BJ181" s="58">
        <f t="shared" si="414"/>
        <v>0</v>
      </c>
      <c r="BK181" s="58">
        <f t="shared" si="414"/>
        <v>0</v>
      </c>
      <c r="BL181" s="58">
        <f t="shared" si="391"/>
        <v>0</v>
      </c>
      <c r="BM181" s="58">
        <f t="shared" si="391"/>
        <v>0</v>
      </c>
      <c r="BN181" s="62">
        <f t="shared" si="391"/>
        <v>0</v>
      </c>
      <c r="BO181" s="61">
        <f t="shared" si="415"/>
        <v>0</v>
      </c>
      <c r="BP181" s="58">
        <f t="shared" si="415"/>
        <v>0</v>
      </c>
      <c r="BQ181" s="58">
        <f t="shared" si="415"/>
        <v>0</v>
      </c>
      <c r="BR181" s="58">
        <f t="shared" si="415"/>
        <v>0</v>
      </c>
      <c r="BS181" s="58">
        <f t="shared" si="415"/>
        <v>0</v>
      </c>
      <c r="BT181" s="58">
        <f t="shared" si="393"/>
        <v>0</v>
      </c>
      <c r="BU181" s="58">
        <f t="shared" si="393"/>
        <v>0</v>
      </c>
      <c r="BV181" s="62">
        <f t="shared" si="393"/>
        <v>0</v>
      </c>
      <c r="BW181" s="61">
        <f t="shared" si="416"/>
        <v>0</v>
      </c>
      <c r="BX181" s="58">
        <f t="shared" si="394"/>
        <v>0</v>
      </c>
      <c r="BY181" s="58">
        <f t="shared" si="394"/>
        <v>0</v>
      </c>
      <c r="BZ181" s="58">
        <f t="shared" si="394"/>
        <v>0</v>
      </c>
      <c r="CA181" s="58">
        <f t="shared" si="394"/>
        <v>0</v>
      </c>
      <c r="CB181" s="58">
        <f t="shared" si="395"/>
        <v>0</v>
      </c>
      <c r="CC181" s="58">
        <f t="shared" si="395"/>
        <v>0</v>
      </c>
      <c r="CD181" s="62">
        <f t="shared" si="395"/>
        <v>0</v>
      </c>
      <c r="CE181" s="61">
        <f t="shared" ref="CE181:CI181" si="445">(0)/157.5</f>
        <v>0</v>
      </c>
      <c r="CF181" s="58">
        <f t="shared" si="445"/>
        <v>0</v>
      </c>
      <c r="CG181" s="58">
        <f t="shared" si="445"/>
        <v>0</v>
      </c>
      <c r="CH181" s="58">
        <f t="shared" si="445"/>
        <v>0</v>
      </c>
      <c r="CI181" s="58">
        <f t="shared" si="445"/>
        <v>0</v>
      </c>
      <c r="CJ181" s="58">
        <f t="shared" si="397"/>
        <v>0</v>
      </c>
      <c r="CK181" s="58">
        <f t="shared" si="397"/>
        <v>0</v>
      </c>
      <c r="CL181" s="62">
        <f t="shared" si="397"/>
        <v>0</v>
      </c>
      <c r="CM181" s="61">
        <f t="shared" ref="CM181:CQ181" si="446">0/142.5</f>
        <v>0</v>
      </c>
      <c r="CN181" s="58">
        <f t="shared" si="446"/>
        <v>0</v>
      </c>
      <c r="CO181" s="58">
        <f t="shared" si="446"/>
        <v>0</v>
      </c>
      <c r="CP181" s="58">
        <f t="shared" si="446"/>
        <v>0</v>
      </c>
      <c r="CQ181" s="58">
        <f t="shared" si="446"/>
        <v>0</v>
      </c>
      <c r="CR181" s="58">
        <f t="shared" si="399"/>
        <v>0</v>
      </c>
      <c r="CS181" s="58">
        <f t="shared" si="399"/>
        <v>0</v>
      </c>
      <c r="CT181" s="62">
        <f t="shared" si="399"/>
        <v>0</v>
      </c>
      <c r="CU181" s="235"/>
    </row>
    <row r="182" spans="1:99" ht="20.100000000000001" customHeight="1" x14ac:dyDescent="0.4">
      <c r="A182" s="436">
        <v>5</v>
      </c>
      <c r="B182" s="436" t="s">
        <v>46</v>
      </c>
      <c r="C182" s="436" t="s">
        <v>28</v>
      </c>
      <c r="D182" s="442" t="s">
        <v>20</v>
      </c>
      <c r="E182" s="461" t="s">
        <v>26</v>
      </c>
      <c r="F182" s="442" t="s">
        <v>27</v>
      </c>
      <c r="G182" s="462" t="s">
        <v>39</v>
      </c>
      <c r="H182" s="440">
        <f t="shared" ref="H182:H185" si="447">SUM(AZ182:BF182)</f>
        <v>0.72</v>
      </c>
      <c r="I182" s="466">
        <f t="shared" ref="I182:I185" si="448">SUM(AZ183:BF183)</f>
        <v>0.10833333333333334</v>
      </c>
      <c r="J182" s="12"/>
      <c r="K182" s="13"/>
      <c r="L182" s="13"/>
      <c r="M182" s="481" t="s">
        <v>85</v>
      </c>
      <c r="N182" s="17" t="s">
        <v>88</v>
      </c>
      <c r="O182" s="10">
        <f>(4.8*10)/120</f>
        <v>0.4</v>
      </c>
      <c r="P182" s="10">
        <f t="shared" si="400"/>
        <v>0</v>
      </c>
      <c r="Q182" s="10">
        <f t="shared" si="400"/>
        <v>0</v>
      </c>
      <c r="R182" s="10">
        <f t="shared" si="400"/>
        <v>0</v>
      </c>
      <c r="S182" s="10">
        <f t="shared" si="400"/>
        <v>0</v>
      </c>
      <c r="T182" s="10">
        <f t="shared" si="400"/>
        <v>0</v>
      </c>
      <c r="U182" s="79">
        <f t="shared" si="400"/>
        <v>0</v>
      </c>
      <c r="V182" s="19">
        <f>(2.3*20)/142.5</f>
        <v>0.32280701754385965</v>
      </c>
      <c r="W182" s="10">
        <f t="shared" si="433"/>
        <v>0</v>
      </c>
      <c r="X182" s="10">
        <f t="shared" si="438"/>
        <v>0</v>
      </c>
      <c r="Y182" s="10">
        <f t="shared" si="438"/>
        <v>0</v>
      </c>
      <c r="Z182" s="10">
        <f t="shared" si="438"/>
        <v>0</v>
      </c>
      <c r="AA182" s="10">
        <f t="shared" si="438"/>
        <v>0</v>
      </c>
      <c r="AB182" s="71">
        <f>(4*18)/165</f>
        <v>0.43636363636363634</v>
      </c>
      <c r="AC182" s="10">
        <f t="shared" si="439"/>
        <v>0</v>
      </c>
      <c r="AD182" s="10">
        <f t="shared" si="439"/>
        <v>0</v>
      </c>
      <c r="AE182" s="10">
        <f t="shared" si="439"/>
        <v>0</v>
      </c>
      <c r="AF182" s="10">
        <f t="shared" si="439"/>
        <v>0</v>
      </c>
      <c r="AG182" s="10">
        <f t="shared" si="439"/>
        <v>0</v>
      </c>
      <c r="AH182" s="71">
        <f>(2.25*22)/165</f>
        <v>0.3</v>
      </c>
      <c r="AI182" s="10">
        <f t="shared" si="440"/>
        <v>0</v>
      </c>
      <c r="AJ182" s="10">
        <f t="shared" si="440"/>
        <v>0</v>
      </c>
      <c r="AK182" s="10">
        <f t="shared" si="440"/>
        <v>0</v>
      </c>
      <c r="AL182" s="10">
        <f t="shared" si="440"/>
        <v>0</v>
      </c>
      <c r="AM182" s="10">
        <f t="shared" si="440"/>
        <v>0</v>
      </c>
      <c r="AN182" s="71">
        <f>(4.3*21)/157.5</f>
        <v>0.57333333333333336</v>
      </c>
      <c r="AO182" s="10">
        <f t="shared" si="441"/>
        <v>0</v>
      </c>
      <c r="AP182" s="10">
        <f t="shared" si="441"/>
        <v>0</v>
      </c>
      <c r="AQ182" s="10">
        <f t="shared" si="441"/>
        <v>0</v>
      </c>
      <c r="AR182" s="10">
        <f t="shared" si="441"/>
        <v>0</v>
      </c>
      <c r="AS182" s="10">
        <f t="shared" si="441"/>
        <v>0</v>
      </c>
      <c r="AT182" s="189">
        <f>(5.4*22)/165</f>
        <v>0.72000000000000008</v>
      </c>
      <c r="AU182" s="10">
        <f t="shared" si="442"/>
        <v>0</v>
      </c>
      <c r="AV182" s="10">
        <f t="shared" si="442"/>
        <v>0</v>
      </c>
      <c r="AW182" s="10">
        <f t="shared" si="442"/>
        <v>0</v>
      </c>
      <c r="AX182" s="10">
        <f t="shared" si="442"/>
        <v>0</v>
      </c>
      <c r="AY182" s="17">
        <f t="shared" si="442"/>
        <v>0</v>
      </c>
      <c r="AZ182" s="19">
        <f>(5.4*20)/150</f>
        <v>0.72</v>
      </c>
      <c r="BA182" s="10">
        <f t="shared" si="402"/>
        <v>0</v>
      </c>
      <c r="BB182" s="10">
        <f t="shared" si="402"/>
        <v>0</v>
      </c>
      <c r="BC182" s="10">
        <f t="shared" si="402"/>
        <v>0</v>
      </c>
      <c r="BD182" s="10">
        <f t="shared" si="402"/>
        <v>0</v>
      </c>
      <c r="BE182" s="10">
        <f t="shared" si="402"/>
        <v>0</v>
      </c>
      <c r="BF182" s="10">
        <f t="shared" si="402"/>
        <v>0</v>
      </c>
      <c r="BG182" s="19">
        <f t="shared" si="414"/>
        <v>0</v>
      </c>
      <c r="BH182" s="10">
        <f t="shared" si="414"/>
        <v>0</v>
      </c>
      <c r="BI182" s="10">
        <f t="shared" si="414"/>
        <v>0</v>
      </c>
      <c r="BJ182" s="10">
        <f t="shared" si="414"/>
        <v>0</v>
      </c>
      <c r="BK182" s="10">
        <f t="shared" si="414"/>
        <v>0</v>
      </c>
      <c r="BL182" s="10">
        <f t="shared" si="391"/>
        <v>0</v>
      </c>
      <c r="BM182" s="10">
        <f t="shared" si="391"/>
        <v>0</v>
      </c>
      <c r="BN182" s="17">
        <f t="shared" si="391"/>
        <v>0</v>
      </c>
      <c r="BO182" s="19">
        <f t="shared" si="415"/>
        <v>0</v>
      </c>
      <c r="BP182" s="10">
        <f t="shared" si="415"/>
        <v>0</v>
      </c>
      <c r="BQ182" s="10">
        <f t="shared" si="415"/>
        <v>0</v>
      </c>
      <c r="BR182" s="10">
        <f t="shared" si="415"/>
        <v>0</v>
      </c>
      <c r="BS182" s="10">
        <f t="shared" si="415"/>
        <v>0</v>
      </c>
      <c r="BT182" s="10">
        <f t="shared" si="393"/>
        <v>0</v>
      </c>
      <c r="BU182" s="10">
        <f t="shared" si="393"/>
        <v>0</v>
      </c>
      <c r="BV182" s="17">
        <f t="shared" si="393"/>
        <v>0</v>
      </c>
      <c r="BW182" s="71">
        <f t="shared" si="416"/>
        <v>0</v>
      </c>
      <c r="BX182" s="10">
        <f t="shared" si="394"/>
        <v>0</v>
      </c>
      <c r="BY182" s="10">
        <f t="shared" si="394"/>
        <v>0</v>
      </c>
      <c r="BZ182" s="10">
        <f t="shared" si="394"/>
        <v>0</v>
      </c>
      <c r="CA182" s="10">
        <f t="shared" si="394"/>
        <v>0</v>
      </c>
      <c r="CB182" s="10">
        <f t="shared" si="395"/>
        <v>0</v>
      </c>
      <c r="CC182" s="10">
        <f t="shared" si="395"/>
        <v>0</v>
      </c>
      <c r="CD182" s="17">
        <f t="shared" si="395"/>
        <v>0</v>
      </c>
      <c r="CE182" s="19">
        <f t="shared" ref="CE182:CI182" si="449">(0/157.5)</f>
        <v>0</v>
      </c>
      <c r="CF182" s="10">
        <f t="shared" si="449"/>
        <v>0</v>
      </c>
      <c r="CG182" s="10">
        <f t="shared" si="449"/>
        <v>0</v>
      </c>
      <c r="CH182" s="10">
        <f t="shared" si="449"/>
        <v>0</v>
      </c>
      <c r="CI182" s="10">
        <f t="shared" si="449"/>
        <v>0</v>
      </c>
      <c r="CJ182" s="10">
        <f t="shared" si="397"/>
        <v>0</v>
      </c>
      <c r="CK182" s="10">
        <f t="shared" si="397"/>
        <v>0</v>
      </c>
      <c r="CL182" s="17">
        <f t="shared" si="397"/>
        <v>0</v>
      </c>
      <c r="CM182" s="19">
        <f t="shared" ref="CM182:CQ182" si="450">(0)/142.5</f>
        <v>0</v>
      </c>
      <c r="CN182" s="10">
        <f t="shared" si="450"/>
        <v>0</v>
      </c>
      <c r="CO182" s="10">
        <f t="shared" si="450"/>
        <v>0</v>
      </c>
      <c r="CP182" s="10">
        <f t="shared" si="450"/>
        <v>0</v>
      </c>
      <c r="CQ182" s="10">
        <f t="shared" si="450"/>
        <v>0</v>
      </c>
      <c r="CR182" s="10">
        <f t="shared" si="399"/>
        <v>0</v>
      </c>
      <c r="CS182" s="10">
        <f t="shared" si="399"/>
        <v>0</v>
      </c>
      <c r="CT182" s="17">
        <f t="shared" si="399"/>
        <v>0</v>
      </c>
      <c r="CU182" s="235"/>
    </row>
    <row r="183" spans="1:99" ht="20.100000000000001" customHeight="1" x14ac:dyDescent="0.4">
      <c r="A183" s="437"/>
      <c r="B183" s="437"/>
      <c r="C183" s="437"/>
      <c r="D183" s="443"/>
      <c r="E183" s="443"/>
      <c r="F183" s="443"/>
      <c r="G183" s="463"/>
      <c r="H183" s="441"/>
      <c r="I183" s="467"/>
      <c r="J183" s="14"/>
      <c r="K183" s="15"/>
      <c r="L183" s="15"/>
      <c r="M183" s="451"/>
      <c r="N183" s="11" t="s">
        <v>89</v>
      </c>
      <c r="O183" s="11">
        <f>(2+12+0.5+11+22.5)/120</f>
        <v>0.4</v>
      </c>
      <c r="P183" s="11">
        <f t="shared" si="400"/>
        <v>0</v>
      </c>
      <c r="Q183" s="11">
        <f t="shared" si="400"/>
        <v>0</v>
      </c>
      <c r="R183" s="11">
        <f t="shared" si="400"/>
        <v>0</v>
      </c>
      <c r="S183" s="11">
        <f t="shared" si="400"/>
        <v>0</v>
      </c>
      <c r="T183" s="11">
        <f t="shared" si="400"/>
        <v>0</v>
      </c>
      <c r="U183" s="48">
        <f t="shared" si="400"/>
        <v>0</v>
      </c>
      <c r="V183" s="56">
        <f>(15+14.5+11+7)/142.5</f>
        <v>0.33333333333333331</v>
      </c>
      <c r="W183" s="11">
        <f t="shared" si="433"/>
        <v>0</v>
      </c>
      <c r="X183" s="11">
        <f t="shared" si="438"/>
        <v>0</v>
      </c>
      <c r="Y183" s="11">
        <f t="shared" si="438"/>
        <v>0</v>
      </c>
      <c r="Z183" s="11">
        <f t="shared" si="438"/>
        <v>0</v>
      </c>
      <c r="AA183" s="11">
        <f t="shared" si="438"/>
        <v>0</v>
      </c>
      <c r="AB183" s="56">
        <f>(10+16+11.5+17+17.5)/165</f>
        <v>0.43636363636363634</v>
      </c>
      <c r="AC183" s="11">
        <f t="shared" si="439"/>
        <v>0</v>
      </c>
      <c r="AD183" s="11">
        <f t="shared" si="439"/>
        <v>0</v>
      </c>
      <c r="AE183" s="11">
        <f t="shared" si="439"/>
        <v>0</v>
      </c>
      <c r="AF183" s="11">
        <f t="shared" si="439"/>
        <v>0</v>
      </c>
      <c r="AG183" s="11">
        <f t="shared" si="439"/>
        <v>0</v>
      </c>
      <c r="AH183" s="56">
        <f>(4.5+18+10.5+10+8.5+3)/165</f>
        <v>0.33030303030303032</v>
      </c>
      <c r="AI183" s="11">
        <f t="shared" si="440"/>
        <v>0</v>
      </c>
      <c r="AJ183" s="11">
        <f t="shared" si="440"/>
        <v>0</v>
      </c>
      <c r="AK183" s="11">
        <f t="shared" si="440"/>
        <v>0</v>
      </c>
      <c r="AL183" s="11">
        <f t="shared" si="440"/>
        <v>0</v>
      </c>
      <c r="AM183" s="11">
        <f t="shared" si="440"/>
        <v>0</v>
      </c>
      <c r="AN183" s="56">
        <f>(12.5+20.25+25.25+19.75+10.5)/157.5</f>
        <v>0.56031746031746033</v>
      </c>
      <c r="AO183" s="11">
        <f t="shared" si="441"/>
        <v>0</v>
      </c>
      <c r="AP183" s="11">
        <f t="shared" si="441"/>
        <v>0</v>
      </c>
      <c r="AQ183" s="11">
        <f t="shared" si="441"/>
        <v>0</v>
      </c>
      <c r="AR183" s="11">
        <f t="shared" si="441"/>
        <v>0</v>
      </c>
      <c r="AS183" s="11">
        <f t="shared" si="441"/>
        <v>0</v>
      </c>
      <c r="AT183" s="61">
        <f>(10+21.75+19.75+20.75+27.25)/165</f>
        <v>0.60303030303030303</v>
      </c>
      <c r="AU183" s="58">
        <f>(3+2.5+6.5)/165</f>
        <v>7.2727272727272724E-2</v>
      </c>
      <c r="AV183" s="58">
        <f t="shared" si="442"/>
        <v>0</v>
      </c>
      <c r="AW183" s="58">
        <f>(6.5)/165</f>
        <v>3.9393939393939391E-2</v>
      </c>
      <c r="AX183" s="58">
        <f t="shared" si="442"/>
        <v>0</v>
      </c>
      <c r="AY183" s="62">
        <f t="shared" si="442"/>
        <v>0</v>
      </c>
      <c r="AZ183" s="61">
        <f>(16.25)/150</f>
        <v>0.10833333333333334</v>
      </c>
      <c r="BA183" s="58">
        <f t="shared" si="402"/>
        <v>0</v>
      </c>
      <c r="BB183" s="58">
        <f t="shared" si="402"/>
        <v>0</v>
      </c>
      <c r="BC183" s="58">
        <f t="shared" si="402"/>
        <v>0</v>
      </c>
      <c r="BD183" s="58">
        <f t="shared" si="402"/>
        <v>0</v>
      </c>
      <c r="BE183" s="58">
        <f t="shared" si="402"/>
        <v>0</v>
      </c>
      <c r="BF183" s="58">
        <f t="shared" si="402"/>
        <v>0</v>
      </c>
      <c r="BG183" s="61">
        <f t="shared" si="414"/>
        <v>0</v>
      </c>
      <c r="BH183" s="58">
        <f t="shared" si="414"/>
        <v>0</v>
      </c>
      <c r="BI183" s="58">
        <f t="shared" si="414"/>
        <v>0</v>
      </c>
      <c r="BJ183" s="58">
        <f t="shared" si="414"/>
        <v>0</v>
      </c>
      <c r="BK183" s="58">
        <f t="shared" si="414"/>
        <v>0</v>
      </c>
      <c r="BL183" s="58">
        <f t="shared" si="391"/>
        <v>0</v>
      </c>
      <c r="BM183" s="58">
        <f t="shared" si="391"/>
        <v>0</v>
      </c>
      <c r="BN183" s="62">
        <f t="shared" si="391"/>
        <v>0</v>
      </c>
      <c r="BO183" s="61">
        <f t="shared" si="415"/>
        <v>0</v>
      </c>
      <c r="BP183" s="58">
        <f t="shared" si="415"/>
        <v>0</v>
      </c>
      <c r="BQ183" s="58">
        <f t="shared" si="415"/>
        <v>0</v>
      </c>
      <c r="BR183" s="58">
        <f t="shared" si="415"/>
        <v>0</v>
      </c>
      <c r="BS183" s="58">
        <f t="shared" si="415"/>
        <v>0</v>
      </c>
      <c r="BT183" s="58">
        <f t="shared" si="393"/>
        <v>0</v>
      </c>
      <c r="BU183" s="58">
        <f t="shared" si="393"/>
        <v>0</v>
      </c>
      <c r="BV183" s="62">
        <f t="shared" si="393"/>
        <v>0</v>
      </c>
      <c r="BW183" s="61">
        <f t="shared" si="416"/>
        <v>0</v>
      </c>
      <c r="BX183" s="58">
        <f t="shared" si="394"/>
        <v>0</v>
      </c>
      <c r="BY183" s="58">
        <f t="shared" si="394"/>
        <v>0</v>
      </c>
      <c r="BZ183" s="58">
        <f t="shared" si="394"/>
        <v>0</v>
      </c>
      <c r="CA183" s="58">
        <f t="shared" si="394"/>
        <v>0</v>
      </c>
      <c r="CB183" s="58">
        <f t="shared" si="395"/>
        <v>0</v>
      </c>
      <c r="CC183" s="58">
        <f t="shared" si="395"/>
        <v>0</v>
      </c>
      <c r="CD183" s="62">
        <f t="shared" si="395"/>
        <v>0</v>
      </c>
      <c r="CE183" s="61">
        <f t="shared" ref="CE183:CI183" si="451">(0)/157.5</f>
        <v>0</v>
      </c>
      <c r="CF183" s="58">
        <f t="shared" si="451"/>
        <v>0</v>
      </c>
      <c r="CG183" s="58">
        <f t="shared" si="451"/>
        <v>0</v>
      </c>
      <c r="CH183" s="58">
        <f t="shared" si="451"/>
        <v>0</v>
      </c>
      <c r="CI183" s="58">
        <f t="shared" si="451"/>
        <v>0</v>
      </c>
      <c r="CJ183" s="58">
        <f t="shared" si="397"/>
        <v>0</v>
      </c>
      <c r="CK183" s="58">
        <f t="shared" si="397"/>
        <v>0</v>
      </c>
      <c r="CL183" s="62">
        <f t="shared" si="397"/>
        <v>0</v>
      </c>
      <c r="CM183" s="61">
        <f t="shared" ref="CM183:CQ183" si="452">0/142.5</f>
        <v>0</v>
      </c>
      <c r="CN183" s="58">
        <f t="shared" si="452"/>
        <v>0</v>
      </c>
      <c r="CO183" s="58">
        <f t="shared" si="452"/>
        <v>0</v>
      </c>
      <c r="CP183" s="58">
        <f t="shared" si="452"/>
        <v>0</v>
      </c>
      <c r="CQ183" s="58">
        <f t="shared" si="452"/>
        <v>0</v>
      </c>
      <c r="CR183" s="58">
        <f t="shared" si="399"/>
        <v>0</v>
      </c>
      <c r="CS183" s="58">
        <f t="shared" si="399"/>
        <v>0</v>
      </c>
      <c r="CT183" s="62">
        <f t="shared" si="399"/>
        <v>0</v>
      </c>
      <c r="CU183" s="235"/>
    </row>
    <row r="184" spans="1:99" ht="20.100000000000001" customHeight="1" x14ac:dyDescent="0.4">
      <c r="A184" s="436">
        <v>6</v>
      </c>
      <c r="B184" s="436" t="s">
        <v>46</v>
      </c>
      <c r="C184" s="436" t="s">
        <v>28</v>
      </c>
      <c r="D184" s="442" t="s">
        <v>20</v>
      </c>
      <c r="E184" s="461" t="s">
        <v>42</v>
      </c>
      <c r="F184" s="442" t="s">
        <v>27</v>
      </c>
      <c r="G184" s="462" t="s">
        <v>41</v>
      </c>
      <c r="H184" s="440">
        <f t="shared" ref="H184:H185" si="453">SUM(AZ184:BF184)</f>
        <v>0</v>
      </c>
      <c r="I184" s="466">
        <f t="shared" ref="I184:I185" si="454">SUM(AZ185:BF185)</f>
        <v>0</v>
      </c>
      <c r="J184" s="12"/>
      <c r="K184" s="13"/>
      <c r="L184" s="13"/>
      <c r="M184" s="481"/>
      <c r="N184" s="10" t="s">
        <v>88</v>
      </c>
      <c r="O184" s="10">
        <f>(0)/120</f>
        <v>0</v>
      </c>
      <c r="P184" s="10">
        <f t="shared" si="400"/>
        <v>0</v>
      </c>
      <c r="Q184" s="10">
        <f t="shared" si="400"/>
        <v>0</v>
      </c>
      <c r="R184" s="10">
        <f t="shared" si="400"/>
        <v>0</v>
      </c>
      <c r="S184" s="10">
        <f t="shared" si="400"/>
        <v>0</v>
      </c>
      <c r="T184" s="10">
        <f t="shared" si="400"/>
        <v>0</v>
      </c>
      <c r="U184" s="79">
        <f t="shared" si="400"/>
        <v>0</v>
      </c>
      <c r="V184" s="19">
        <f>(0)/142.5</f>
        <v>0</v>
      </c>
      <c r="W184" s="10">
        <f t="shared" si="433"/>
        <v>0</v>
      </c>
      <c r="X184" s="10">
        <f t="shared" si="438"/>
        <v>0</v>
      </c>
      <c r="Y184" s="10">
        <f t="shared" si="438"/>
        <v>0</v>
      </c>
      <c r="Z184" s="10">
        <f t="shared" si="438"/>
        <v>0</v>
      </c>
      <c r="AA184" s="10">
        <f t="shared" si="438"/>
        <v>0</v>
      </c>
      <c r="AB184" s="71">
        <f t="shared" si="439"/>
        <v>0</v>
      </c>
      <c r="AC184" s="10">
        <f t="shared" si="439"/>
        <v>0</v>
      </c>
      <c r="AD184" s="10">
        <f t="shared" si="439"/>
        <v>0</v>
      </c>
      <c r="AE184" s="10">
        <f t="shared" si="439"/>
        <v>0</v>
      </c>
      <c r="AF184" s="10">
        <f t="shared" si="439"/>
        <v>0</v>
      </c>
      <c r="AG184" s="10">
        <f t="shared" si="439"/>
        <v>0</v>
      </c>
      <c r="AH184" s="71">
        <f t="shared" si="440"/>
        <v>0</v>
      </c>
      <c r="AI184" s="10">
        <f t="shared" si="440"/>
        <v>0</v>
      </c>
      <c r="AJ184" s="10">
        <f t="shared" si="440"/>
        <v>0</v>
      </c>
      <c r="AK184" s="10">
        <f t="shared" si="440"/>
        <v>0</v>
      </c>
      <c r="AL184" s="10">
        <f t="shared" si="440"/>
        <v>0</v>
      </c>
      <c r="AM184" s="10">
        <f t="shared" si="440"/>
        <v>0</v>
      </c>
      <c r="AN184" s="71">
        <f t="shared" si="441"/>
        <v>0</v>
      </c>
      <c r="AO184" s="10">
        <f t="shared" si="441"/>
        <v>0</v>
      </c>
      <c r="AP184" s="10">
        <f t="shared" si="441"/>
        <v>0</v>
      </c>
      <c r="AQ184" s="10">
        <f t="shared" si="441"/>
        <v>0</v>
      </c>
      <c r="AR184" s="10">
        <f t="shared" si="441"/>
        <v>0</v>
      </c>
      <c r="AS184" s="10">
        <f t="shared" si="441"/>
        <v>0</v>
      </c>
      <c r="AT184" s="189">
        <f t="shared" si="442"/>
        <v>0</v>
      </c>
      <c r="AU184" s="10">
        <f t="shared" si="442"/>
        <v>0</v>
      </c>
      <c r="AV184" s="10">
        <f t="shared" si="442"/>
        <v>0</v>
      </c>
      <c r="AW184" s="10">
        <f t="shared" si="442"/>
        <v>0</v>
      </c>
      <c r="AX184" s="10">
        <f t="shared" si="442"/>
        <v>0</v>
      </c>
      <c r="AY184" s="17">
        <f t="shared" si="442"/>
        <v>0</v>
      </c>
      <c r="AZ184" s="19">
        <f t="shared" si="402"/>
        <v>0</v>
      </c>
      <c r="BA184" s="10">
        <f t="shared" si="402"/>
        <v>0</v>
      </c>
      <c r="BB184" s="10">
        <f t="shared" si="402"/>
        <v>0</v>
      </c>
      <c r="BC184" s="10">
        <f t="shared" si="402"/>
        <v>0</v>
      </c>
      <c r="BD184" s="10">
        <f t="shared" si="402"/>
        <v>0</v>
      </c>
      <c r="BE184" s="10">
        <f t="shared" si="402"/>
        <v>0</v>
      </c>
      <c r="BF184" s="10">
        <f t="shared" si="402"/>
        <v>0</v>
      </c>
      <c r="BG184" s="19">
        <f t="shared" si="414"/>
        <v>0</v>
      </c>
      <c r="BH184" s="10">
        <f t="shared" si="414"/>
        <v>0</v>
      </c>
      <c r="BI184" s="10">
        <f t="shared" si="414"/>
        <v>0</v>
      </c>
      <c r="BJ184" s="10">
        <f t="shared" si="414"/>
        <v>0</v>
      </c>
      <c r="BK184" s="10">
        <f t="shared" si="414"/>
        <v>0</v>
      </c>
      <c r="BL184" s="10">
        <f t="shared" si="391"/>
        <v>0</v>
      </c>
      <c r="BM184" s="10">
        <f t="shared" si="391"/>
        <v>0</v>
      </c>
      <c r="BN184" s="17">
        <f t="shared" si="391"/>
        <v>0</v>
      </c>
      <c r="BO184" s="19">
        <f t="shared" si="415"/>
        <v>0</v>
      </c>
      <c r="BP184" s="10">
        <f t="shared" si="415"/>
        <v>0</v>
      </c>
      <c r="BQ184" s="10">
        <f t="shared" si="415"/>
        <v>0</v>
      </c>
      <c r="BR184" s="10">
        <f t="shared" si="415"/>
        <v>0</v>
      </c>
      <c r="BS184" s="10">
        <f t="shared" si="415"/>
        <v>0</v>
      </c>
      <c r="BT184" s="10">
        <f t="shared" si="393"/>
        <v>0</v>
      </c>
      <c r="BU184" s="10">
        <f t="shared" si="393"/>
        <v>0</v>
      </c>
      <c r="BV184" s="17">
        <f t="shared" si="393"/>
        <v>0</v>
      </c>
      <c r="BW184" s="71">
        <f t="shared" si="416"/>
        <v>0</v>
      </c>
      <c r="BX184" s="10">
        <f t="shared" si="394"/>
        <v>0</v>
      </c>
      <c r="BY184" s="10">
        <f t="shared" si="394"/>
        <v>0</v>
      </c>
      <c r="BZ184" s="10">
        <f t="shared" si="394"/>
        <v>0</v>
      </c>
      <c r="CA184" s="10">
        <f t="shared" si="394"/>
        <v>0</v>
      </c>
      <c r="CB184" s="10">
        <f t="shared" si="395"/>
        <v>0</v>
      </c>
      <c r="CC184" s="10">
        <f t="shared" si="395"/>
        <v>0</v>
      </c>
      <c r="CD184" s="17">
        <f t="shared" si="395"/>
        <v>0</v>
      </c>
      <c r="CE184" s="19">
        <f t="shared" ref="CE184:CI184" si="455">(0/157.5)</f>
        <v>0</v>
      </c>
      <c r="CF184" s="10">
        <f t="shared" si="455"/>
        <v>0</v>
      </c>
      <c r="CG184" s="10">
        <f t="shared" si="455"/>
        <v>0</v>
      </c>
      <c r="CH184" s="10">
        <f t="shared" si="455"/>
        <v>0</v>
      </c>
      <c r="CI184" s="10">
        <f t="shared" si="455"/>
        <v>0</v>
      </c>
      <c r="CJ184" s="10">
        <f t="shared" si="397"/>
        <v>0</v>
      </c>
      <c r="CK184" s="10">
        <f t="shared" si="397"/>
        <v>0</v>
      </c>
      <c r="CL184" s="17">
        <f t="shared" si="397"/>
        <v>0</v>
      </c>
      <c r="CM184" s="19">
        <f t="shared" ref="CM184:CQ184" si="456">(0)/142.5</f>
        <v>0</v>
      </c>
      <c r="CN184" s="10">
        <f t="shared" si="456"/>
        <v>0</v>
      </c>
      <c r="CO184" s="10">
        <f t="shared" si="456"/>
        <v>0</v>
      </c>
      <c r="CP184" s="10">
        <f t="shared" si="456"/>
        <v>0</v>
      </c>
      <c r="CQ184" s="10">
        <f t="shared" si="456"/>
        <v>0</v>
      </c>
      <c r="CR184" s="10">
        <f t="shared" si="399"/>
        <v>0</v>
      </c>
      <c r="CS184" s="10">
        <f t="shared" si="399"/>
        <v>0</v>
      </c>
      <c r="CT184" s="17">
        <f t="shared" si="399"/>
        <v>0</v>
      </c>
      <c r="CU184" s="235"/>
    </row>
    <row r="185" spans="1:99" ht="20.100000000000001" customHeight="1" x14ac:dyDescent="0.4">
      <c r="A185" s="437"/>
      <c r="B185" s="437"/>
      <c r="C185" s="437"/>
      <c r="D185" s="443"/>
      <c r="E185" s="443"/>
      <c r="F185" s="443"/>
      <c r="G185" s="463"/>
      <c r="H185" s="441"/>
      <c r="I185" s="467"/>
      <c r="J185" s="14"/>
      <c r="K185" s="15"/>
      <c r="L185" s="15"/>
      <c r="M185" s="451"/>
      <c r="N185" s="11" t="s">
        <v>89</v>
      </c>
      <c r="O185" s="11">
        <f>(0)/120</f>
        <v>0</v>
      </c>
      <c r="P185" s="11">
        <f t="shared" si="400"/>
        <v>0</v>
      </c>
      <c r="Q185" s="11">
        <f t="shared" si="400"/>
        <v>0</v>
      </c>
      <c r="R185" s="11">
        <f t="shared" si="400"/>
        <v>0</v>
      </c>
      <c r="S185" s="11">
        <f t="shared" si="400"/>
        <v>0</v>
      </c>
      <c r="T185" s="11">
        <f t="shared" si="400"/>
        <v>0</v>
      </c>
      <c r="U185" s="48">
        <f t="shared" si="400"/>
        <v>0</v>
      </c>
      <c r="V185" s="56">
        <f>(0)/142.5</f>
        <v>0</v>
      </c>
      <c r="W185" s="11">
        <f t="shared" si="433"/>
        <v>0</v>
      </c>
      <c r="X185" s="11">
        <f t="shared" si="438"/>
        <v>0</v>
      </c>
      <c r="Y185" s="11">
        <f t="shared" si="438"/>
        <v>0</v>
      </c>
      <c r="Z185" s="11">
        <f t="shared" si="438"/>
        <v>0</v>
      </c>
      <c r="AA185" s="11">
        <f t="shared" si="438"/>
        <v>0</v>
      </c>
      <c r="AB185" s="56">
        <f t="shared" si="439"/>
        <v>0</v>
      </c>
      <c r="AC185" s="11">
        <f t="shared" si="439"/>
        <v>0</v>
      </c>
      <c r="AD185" s="11">
        <f>(1)/165</f>
        <v>6.0606060606060606E-3</v>
      </c>
      <c r="AE185" s="11">
        <f t="shared" si="439"/>
        <v>0</v>
      </c>
      <c r="AF185" s="11">
        <f t="shared" si="439"/>
        <v>0</v>
      </c>
      <c r="AG185" s="11">
        <f>(1)/165</f>
        <v>6.0606060606060606E-3</v>
      </c>
      <c r="AH185" s="56">
        <f t="shared" si="440"/>
        <v>0</v>
      </c>
      <c r="AI185" s="11">
        <f t="shared" si="440"/>
        <v>0</v>
      </c>
      <c r="AJ185" s="11">
        <f t="shared" si="440"/>
        <v>0</v>
      </c>
      <c r="AK185" s="11">
        <f t="shared" si="440"/>
        <v>0</v>
      </c>
      <c r="AL185" s="11">
        <f t="shared" si="440"/>
        <v>0</v>
      </c>
      <c r="AM185" s="11">
        <f t="shared" si="440"/>
        <v>0</v>
      </c>
      <c r="AN185" s="56">
        <f t="shared" si="441"/>
        <v>0</v>
      </c>
      <c r="AO185" s="11">
        <f t="shared" si="441"/>
        <v>0</v>
      </c>
      <c r="AP185" s="11">
        <f t="shared" si="441"/>
        <v>0</v>
      </c>
      <c r="AQ185" s="11">
        <f t="shared" si="441"/>
        <v>0</v>
      </c>
      <c r="AR185" s="11">
        <f t="shared" si="441"/>
        <v>0</v>
      </c>
      <c r="AS185" s="11">
        <f t="shared" si="441"/>
        <v>0</v>
      </c>
      <c r="AT185" s="61">
        <f t="shared" si="442"/>
        <v>0</v>
      </c>
      <c r="AU185" s="58">
        <f t="shared" si="442"/>
        <v>0</v>
      </c>
      <c r="AV185" s="58">
        <f t="shared" si="442"/>
        <v>0</v>
      </c>
      <c r="AW185" s="58">
        <f t="shared" si="442"/>
        <v>0</v>
      </c>
      <c r="AX185" s="58">
        <f t="shared" si="442"/>
        <v>0</v>
      </c>
      <c r="AY185" s="62">
        <f t="shared" si="442"/>
        <v>0</v>
      </c>
      <c r="AZ185" s="61">
        <f t="shared" si="402"/>
        <v>0</v>
      </c>
      <c r="BA185" s="58">
        <f t="shared" si="402"/>
        <v>0</v>
      </c>
      <c r="BB185" s="58">
        <f t="shared" si="402"/>
        <v>0</v>
      </c>
      <c r="BC185" s="58">
        <f t="shared" si="402"/>
        <v>0</v>
      </c>
      <c r="BD185" s="58">
        <f t="shared" si="402"/>
        <v>0</v>
      </c>
      <c r="BE185" s="58">
        <f t="shared" si="402"/>
        <v>0</v>
      </c>
      <c r="BF185" s="58">
        <f t="shared" si="402"/>
        <v>0</v>
      </c>
      <c r="BG185" s="61">
        <f t="shared" si="414"/>
        <v>0</v>
      </c>
      <c r="BH185" s="58">
        <f t="shared" si="414"/>
        <v>0</v>
      </c>
      <c r="BI185" s="58">
        <f t="shared" si="414"/>
        <v>0</v>
      </c>
      <c r="BJ185" s="58">
        <f t="shared" si="414"/>
        <v>0</v>
      </c>
      <c r="BK185" s="58">
        <f t="shared" si="414"/>
        <v>0</v>
      </c>
      <c r="BL185" s="58">
        <f t="shared" si="391"/>
        <v>0</v>
      </c>
      <c r="BM185" s="58">
        <f t="shared" si="391"/>
        <v>0</v>
      </c>
      <c r="BN185" s="62">
        <f t="shared" si="391"/>
        <v>0</v>
      </c>
      <c r="BO185" s="61">
        <f t="shared" si="415"/>
        <v>0</v>
      </c>
      <c r="BP185" s="58">
        <f t="shared" si="415"/>
        <v>0</v>
      </c>
      <c r="BQ185" s="58">
        <f t="shared" si="415"/>
        <v>0</v>
      </c>
      <c r="BR185" s="58">
        <f t="shared" si="415"/>
        <v>0</v>
      </c>
      <c r="BS185" s="58">
        <f t="shared" si="415"/>
        <v>0</v>
      </c>
      <c r="BT185" s="58">
        <f t="shared" si="393"/>
        <v>0</v>
      </c>
      <c r="BU185" s="58">
        <f t="shared" si="393"/>
        <v>0</v>
      </c>
      <c r="BV185" s="62">
        <f t="shared" si="393"/>
        <v>0</v>
      </c>
      <c r="BW185" s="61">
        <f t="shared" si="416"/>
        <v>0</v>
      </c>
      <c r="BX185" s="58">
        <f t="shared" si="394"/>
        <v>0</v>
      </c>
      <c r="BY185" s="58">
        <f t="shared" si="394"/>
        <v>0</v>
      </c>
      <c r="BZ185" s="58">
        <f t="shared" si="394"/>
        <v>0</v>
      </c>
      <c r="CA185" s="58">
        <f t="shared" si="394"/>
        <v>0</v>
      </c>
      <c r="CB185" s="58">
        <f t="shared" si="395"/>
        <v>0</v>
      </c>
      <c r="CC185" s="58">
        <f t="shared" si="395"/>
        <v>0</v>
      </c>
      <c r="CD185" s="62">
        <f t="shared" si="395"/>
        <v>0</v>
      </c>
      <c r="CE185" s="61">
        <f t="shared" ref="CE185:CI185" si="457">(0)/157.5</f>
        <v>0</v>
      </c>
      <c r="CF185" s="58">
        <f t="shared" si="457"/>
        <v>0</v>
      </c>
      <c r="CG185" s="58">
        <f t="shared" si="457"/>
        <v>0</v>
      </c>
      <c r="CH185" s="58">
        <f t="shared" si="457"/>
        <v>0</v>
      </c>
      <c r="CI185" s="58">
        <f t="shared" si="457"/>
        <v>0</v>
      </c>
      <c r="CJ185" s="58">
        <f t="shared" si="397"/>
        <v>0</v>
      </c>
      <c r="CK185" s="58">
        <f t="shared" si="397"/>
        <v>0</v>
      </c>
      <c r="CL185" s="62">
        <f t="shared" si="397"/>
        <v>0</v>
      </c>
      <c r="CM185" s="61">
        <f t="shared" ref="CM185:CQ185" si="458">0/142.5</f>
        <v>0</v>
      </c>
      <c r="CN185" s="58">
        <f t="shared" si="458"/>
        <v>0</v>
      </c>
      <c r="CO185" s="58">
        <f t="shared" si="458"/>
        <v>0</v>
      </c>
      <c r="CP185" s="58">
        <f t="shared" si="458"/>
        <v>0</v>
      </c>
      <c r="CQ185" s="58">
        <f t="shared" si="458"/>
        <v>0</v>
      </c>
      <c r="CR185" s="58">
        <f t="shared" si="399"/>
        <v>0</v>
      </c>
      <c r="CS185" s="58">
        <f t="shared" si="399"/>
        <v>0</v>
      </c>
      <c r="CT185" s="62">
        <f t="shared" si="399"/>
        <v>0</v>
      </c>
      <c r="CU185" s="235"/>
    </row>
    <row r="186" spans="1:99" ht="20.100000000000001" customHeight="1" x14ac:dyDescent="0.4">
      <c r="A186" s="454" t="s">
        <v>35</v>
      </c>
      <c r="B186" s="455"/>
      <c r="C186" s="455"/>
      <c r="D186" s="455"/>
      <c r="E186" s="455"/>
      <c r="F186" s="455"/>
      <c r="G186" s="456"/>
      <c r="H186" s="440">
        <f>SUM(H174:H185)</f>
        <v>1.0699999999999998</v>
      </c>
      <c r="I186" s="440">
        <f>SUM(I174:I185)</f>
        <v>0.17833333333333334</v>
      </c>
      <c r="J186" s="529" t="s">
        <v>79</v>
      </c>
      <c r="K186" s="530"/>
      <c r="L186" s="530"/>
      <c r="M186" s="531"/>
      <c r="N186" s="10" t="s">
        <v>88</v>
      </c>
      <c r="O186" s="10">
        <f>SUM(O174,O176,O178,O180,O182,O184)</f>
        <v>0.48333333333333339</v>
      </c>
      <c r="P186" s="10">
        <f t="shared" ref="P186:U186" si="459">SUM(P174,P176,P178,P180,P182,P184)</f>
        <v>0</v>
      </c>
      <c r="Q186" s="10">
        <f t="shared" ref="Q186" si="460">SUM(Q174,Q176,Q178,Q180,Q182,Q184)</f>
        <v>8.3333333333333343E-2</v>
      </c>
      <c r="R186" s="10">
        <f t="shared" si="459"/>
        <v>8.3333333333333343E-2</v>
      </c>
      <c r="S186" s="10">
        <f t="shared" ref="S186:T186" si="461">SUM(S174,S176,S178,S180,S182,S184)</f>
        <v>8.3333333333333343E-2</v>
      </c>
      <c r="T186" s="10">
        <f t="shared" si="461"/>
        <v>8.3333333333333343E-2</v>
      </c>
      <c r="U186" s="79">
        <f t="shared" si="459"/>
        <v>8.3333333333333343E-2</v>
      </c>
      <c r="V186" s="19">
        <f t="shared" ref="V186:AB187" si="462">SUM(V174,V176,V178,V180,V182,V184)</f>
        <v>0.40350877192982459</v>
      </c>
      <c r="W186" s="10">
        <f t="shared" si="462"/>
        <v>8.0701754385964913E-2</v>
      </c>
      <c r="X186" s="10">
        <f t="shared" si="462"/>
        <v>8.0701754385964913E-2</v>
      </c>
      <c r="Y186" s="10">
        <f t="shared" si="462"/>
        <v>8.0701754385964913E-2</v>
      </c>
      <c r="Z186" s="10">
        <f t="shared" si="462"/>
        <v>8.0701754385964913E-2</v>
      </c>
      <c r="AA186" s="10">
        <f t="shared" si="462"/>
        <v>8.0701754385964913E-2</v>
      </c>
      <c r="AB186" s="71">
        <f t="shared" si="462"/>
        <v>0.51515151515151514</v>
      </c>
      <c r="AC186" s="10">
        <f t="shared" ref="AC186" si="463">SUM(AC174,AC176,AC178,AC180,AC182,AC184)</f>
        <v>7.8787878787878796E-2</v>
      </c>
      <c r="AD186" s="10">
        <f t="shared" ref="AD186:AK187" si="464">SUM(AD174,AD176,AD178,AD180,AD182,AD184)</f>
        <v>7.8787878787878796E-2</v>
      </c>
      <c r="AE186" s="10">
        <f t="shared" si="464"/>
        <v>7.8787878787878796E-2</v>
      </c>
      <c r="AF186" s="10">
        <f t="shared" ref="AF186" si="465">SUM(AF174,AF176,AF178,AF180,AF182,AF184)</f>
        <v>7.8787878787878796E-2</v>
      </c>
      <c r="AG186" s="188">
        <f t="shared" si="464"/>
        <v>7.8787878787878796E-2</v>
      </c>
      <c r="AH186" s="71">
        <f>SUM(AH174,AH176,AH178,AH180,AH182,AH184)</f>
        <v>0.38181818181818183</v>
      </c>
      <c r="AI186" s="10">
        <f t="shared" si="464"/>
        <v>8.1818181818181818E-2</v>
      </c>
      <c r="AJ186" s="10">
        <f t="shared" ref="AJ186:AQ187" si="466">SUM(AJ174,AJ176,AJ178,AJ180,AJ182,AJ184)</f>
        <v>8.1818181818181818E-2</v>
      </c>
      <c r="AK186" s="10">
        <f t="shared" si="466"/>
        <v>8.1818181818181818E-2</v>
      </c>
      <c r="AL186" s="10">
        <f t="shared" si="466"/>
        <v>8.1818181818181818E-2</v>
      </c>
      <c r="AM186" s="188">
        <f t="shared" si="466"/>
        <v>8.1818181818181818E-2</v>
      </c>
      <c r="AN186" s="71">
        <f>SUM(AN174,AN176,AN178,AN180,AN182,AN184)</f>
        <v>0.61936507936507934</v>
      </c>
      <c r="AO186" s="10">
        <f t="shared" ref="AO186:AS186" si="467">SUM(AO174,AO176,AO178,AO180,AO182,AO184)</f>
        <v>4.6031746031746035E-2</v>
      </c>
      <c r="AP186" s="10">
        <f t="shared" si="467"/>
        <v>4.6031746031746035E-2</v>
      </c>
      <c r="AQ186" s="10">
        <f t="shared" si="467"/>
        <v>4.6031746031746035E-2</v>
      </c>
      <c r="AR186" s="10">
        <f t="shared" si="467"/>
        <v>4.6031746031746035E-2</v>
      </c>
      <c r="AS186" s="188">
        <f t="shared" si="467"/>
        <v>4.6031746031746035E-2</v>
      </c>
      <c r="AT186" s="71">
        <f>SUM(AT174,AT176,AT178,AT180,AT182,AT184)</f>
        <v>0.76603174603174606</v>
      </c>
      <c r="AU186" s="10">
        <f t="shared" ref="AU186:AY186" si="468">SUM(AU174,AU176,AU178,AU180,AU182,AU184)</f>
        <v>4.6031746031746035E-2</v>
      </c>
      <c r="AV186" s="10">
        <f t="shared" si="468"/>
        <v>4.6031746031746035E-2</v>
      </c>
      <c r="AW186" s="10">
        <f t="shared" si="468"/>
        <v>4.6031746031746035E-2</v>
      </c>
      <c r="AX186" s="10">
        <f t="shared" si="468"/>
        <v>4.6031746031746035E-2</v>
      </c>
      <c r="AY186" s="188">
        <f t="shared" si="468"/>
        <v>4.6031746031746035E-2</v>
      </c>
      <c r="AZ186" s="71">
        <f>SUM(AZ174,AZ176,AZ178,AZ180,AZ182,AZ184)</f>
        <v>0.77</v>
      </c>
      <c r="BA186" s="10">
        <f t="shared" ref="BA186:BE186" si="469">SUM(BA174,BA176,BA178,BA180,BA182,BA184)</f>
        <v>0.05</v>
      </c>
      <c r="BB186" s="10">
        <f t="shared" si="469"/>
        <v>0.05</v>
      </c>
      <c r="BC186" s="10">
        <f t="shared" si="469"/>
        <v>0.05</v>
      </c>
      <c r="BD186" s="10">
        <f t="shared" si="469"/>
        <v>0.05</v>
      </c>
      <c r="BE186" s="10">
        <f t="shared" ref="BE186:BF186" si="470">SUM(BE174,BE176,BE178,BE180,BE182,BE184)</f>
        <v>0.05</v>
      </c>
      <c r="BF186" s="10">
        <f t="shared" si="470"/>
        <v>0.05</v>
      </c>
      <c r="BG186" s="19">
        <f>SUM(BG174,BG176,BG178,BG180,BG182,BG184)</f>
        <v>0</v>
      </c>
      <c r="BH186" s="10">
        <f t="shared" ref="BH186" si="471">SUM(BH174,BH176,BH178,BH180,BH182,BH184)</f>
        <v>0</v>
      </c>
      <c r="BI186" s="10">
        <f t="shared" ref="BI186:BN186" si="472">SUM(BI174,BI176,BI178,BI180,BI182,BI184)</f>
        <v>0</v>
      </c>
      <c r="BJ186" s="10">
        <f t="shared" si="472"/>
        <v>0</v>
      </c>
      <c r="BK186" s="10">
        <f t="shared" si="472"/>
        <v>0</v>
      </c>
      <c r="BL186" s="10">
        <f t="shared" si="472"/>
        <v>0</v>
      </c>
      <c r="BM186" s="10">
        <f t="shared" si="472"/>
        <v>0</v>
      </c>
      <c r="BN186" s="17">
        <f t="shared" si="472"/>
        <v>0</v>
      </c>
      <c r="BO186" s="19">
        <f>SUM(BO174,BO176,BO178,BO180,BO182,BO184)</f>
        <v>0</v>
      </c>
      <c r="BP186" s="10">
        <f t="shared" ref="BP186" si="473">SUM(BP174,BP176,BP178,BP180,BP182,BP184)</f>
        <v>0</v>
      </c>
      <c r="BQ186" s="10">
        <f t="shared" ref="BQ186:BV186" si="474">SUM(BQ174,BQ176,BQ178,BQ180,BQ182,BQ184)</f>
        <v>0</v>
      </c>
      <c r="BR186" s="10">
        <f t="shared" si="474"/>
        <v>0</v>
      </c>
      <c r="BS186" s="10">
        <f t="shared" si="474"/>
        <v>0</v>
      </c>
      <c r="BT186" s="10">
        <f t="shared" si="474"/>
        <v>0</v>
      </c>
      <c r="BU186" s="10">
        <f t="shared" si="474"/>
        <v>0</v>
      </c>
      <c r="BV186" s="17">
        <f t="shared" si="474"/>
        <v>0</v>
      </c>
      <c r="BW186" s="71">
        <f>SUM(BW174,BW176,BW178,BW180,BW182,BW184)</f>
        <v>0</v>
      </c>
      <c r="BX186" s="10">
        <f t="shared" ref="BX186:CD186" si="475">SUM(BX174,BX176,BX178,BX180,BX182,BX184)</f>
        <v>0</v>
      </c>
      <c r="BY186" s="10">
        <f t="shared" ref="BY186:BZ186" si="476">SUM(BY174,BY176,BY178,BY180,BY182,BY184)</f>
        <v>0</v>
      </c>
      <c r="BZ186" s="10">
        <f t="shared" si="476"/>
        <v>0</v>
      </c>
      <c r="CA186" s="10">
        <f t="shared" si="475"/>
        <v>0</v>
      </c>
      <c r="CB186" s="10">
        <f t="shared" si="475"/>
        <v>0</v>
      </c>
      <c r="CC186" s="10">
        <f t="shared" si="475"/>
        <v>0</v>
      </c>
      <c r="CD186" s="17">
        <f t="shared" si="475"/>
        <v>0</v>
      </c>
      <c r="CE186" s="19">
        <f>SUM(CE174,CE176,CE178,CE180,CE182,CE184)</f>
        <v>0</v>
      </c>
      <c r="CF186" s="10">
        <f t="shared" ref="CF186:CG186" si="477">SUM(CF174,CF176,CF178,CF180,CF182,CF184)</f>
        <v>0</v>
      </c>
      <c r="CG186" s="10">
        <f t="shared" si="477"/>
        <v>0</v>
      </c>
      <c r="CH186" s="10">
        <f t="shared" ref="CH186:CL186" si="478">SUM(CH174,CH176,CH178,CH180,CH182,CH184)</f>
        <v>0</v>
      </c>
      <c r="CI186" s="10">
        <f t="shared" si="478"/>
        <v>0</v>
      </c>
      <c r="CJ186" s="10">
        <f t="shared" si="478"/>
        <v>0</v>
      </c>
      <c r="CK186" s="10">
        <f t="shared" si="478"/>
        <v>0</v>
      </c>
      <c r="CL186" s="17">
        <f t="shared" si="478"/>
        <v>0</v>
      </c>
      <c r="CM186" s="19">
        <f>SUM(CM174,CM176,CM178,CM180,CM182,CM184)</f>
        <v>0</v>
      </c>
      <c r="CN186" s="10">
        <f t="shared" ref="CN186:CT186" si="479">SUM(CN174,CN176,CN178,CN180,CN182,CN184)</f>
        <v>0</v>
      </c>
      <c r="CO186" s="10">
        <f t="shared" si="479"/>
        <v>0</v>
      </c>
      <c r="CP186" s="10">
        <f t="shared" si="479"/>
        <v>0</v>
      </c>
      <c r="CQ186" s="10">
        <f t="shared" si="479"/>
        <v>0</v>
      </c>
      <c r="CR186" s="10">
        <f t="shared" si="479"/>
        <v>0</v>
      </c>
      <c r="CS186" s="10">
        <f t="shared" si="479"/>
        <v>0</v>
      </c>
      <c r="CT186" s="17">
        <f t="shared" si="479"/>
        <v>0</v>
      </c>
      <c r="CU186" s="19">
        <f>SUM(AZ186:BF186)</f>
        <v>1.0700000000000003</v>
      </c>
    </row>
    <row r="187" spans="1:99" ht="20.100000000000001" customHeight="1" x14ac:dyDescent="0.4">
      <c r="A187" s="457"/>
      <c r="B187" s="458"/>
      <c r="C187" s="458"/>
      <c r="D187" s="458"/>
      <c r="E187" s="458"/>
      <c r="F187" s="458"/>
      <c r="G187" s="459"/>
      <c r="H187" s="441"/>
      <c r="I187" s="441"/>
      <c r="J187" s="497" t="s">
        <v>80</v>
      </c>
      <c r="K187" s="498"/>
      <c r="L187" s="498"/>
      <c r="M187" s="499"/>
      <c r="N187" s="18" t="s">
        <v>89</v>
      </c>
      <c r="O187" s="11">
        <f>SUM(O175,O177,O179,O181,O183,O185)</f>
        <v>0.47500000000000003</v>
      </c>
      <c r="P187" s="11">
        <f t="shared" ref="P187:CG187" si="480">SUM(P175,P177,P179,P181,P183,P185)</f>
        <v>0</v>
      </c>
      <c r="Q187" s="11">
        <f t="shared" ref="Q187" si="481">SUM(Q175,Q177,Q179,Q181,Q183,Q185)</f>
        <v>7.9166666666666663E-2</v>
      </c>
      <c r="R187" s="11">
        <f t="shared" si="480"/>
        <v>6.6666666666666666E-2</v>
      </c>
      <c r="S187" s="11">
        <f t="shared" ref="S187:T187" si="482">SUM(S175,S177,S179,S181,S183,S185)</f>
        <v>7.9166666666666663E-2</v>
      </c>
      <c r="T187" s="11">
        <f t="shared" si="482"/>
        <v>7.4999999999999997E-2</v>
      </c>
      <c r="U187" s="48">
        <f t="shared" si="480"/>
        <v>7.9166666666666663E-2</v>
      </c>
      <c r="V187" s="20">
        <f t="shared" ref="V187:Z187" si="483">SUM(V175,V177,V179,V181,V183,V185)</f>
        <v>0.40350877192982454</v>
      </c>
      <c r="W187" s="11">
        <f t="shared" si="483"/>
        <v>0</v>
      </c>
      <c r="X187" s="11">
        <f t="shared" si="483"/>
        <v>5.9649122807017549E-2</v>
      </c>
      <c r="Y187" s="11">
        <f t="shared" si="483"/>
        <v>7.3684210526315796E-2</v>
      </c>
      <c r="Z187" s="11">
        <f t="shared" si="483"/>
        <v>6.3157894736842107E-2</v>
      </c>
      <c r="AA187" s="11">
        <f t="shared" si="462"/>
        <v>7.3684210526315796E-2</v>
      </c>
      <c r="AB187" s="56">
        <f t="shared" si="480"/>
        <v>0.51212121212121209</v>
      </c>
      <c r="AC187" s="11">
        <f t="shared" ref="AC187" si="484">SUM(AC175,AC177,AC179,AC181,AC183,AC185)</f>
        <v>3.9393939393939398E-2</v>
      </c>
      <c r="AD187" s="11">
        <f t="shared" si="480"/>
        <v>8.4848484848484854E-2</v>
      </c>
      <c r="AE187" s="11">
        <f t="shared" si="480"/>
        <v>7.8787878787878796E-2</v>
      </c>
      <c r="AF187" s="11">
        <f t="shared" ref="AF187" si="485">SUM(AF175,AF177,AF179,AF181,AF183,AF185)</f>
        <v>7.5757575757575746E-2</v>
      </c>
      <c r="AG187" s="48">
        <f t="shared" si="480"/>
        <v>7.8787878787878782E-2</v>
      </c>
      <c r="AH187" s="56">
        <f t="shared" ref="AH187" si="486">SUM(AH175,AH177,AH179,AH181,AH183,AH185)</f>
        <v>0.40909090909090912</v>
      </c>
      <c r="AI187" s="11">
        <f t="shared" si="464"/>
        <v>6.9696969696969702E-2</v>
      </c>
      <c r="AJ187" s="11">
        <f t="shared" si="464"/>
        <v>6.8181818181818177E-2</v>
      </c>
      <c r="AK187" s="11">
        <f t="shared" si="464"/>
        <v>7.2727272727272724E-2</v>
      </c>
      <c r="AL187" s="11">
        <f t="shared" si="466"/>
        <v>6.9696969696969702E-2</v>
      </c>
      <c r="AM187" s="48">
        <f t="shared" si="466"/>
        <v>6.363636363636363E-2</v>
      </c>
      <c r="AN187" s="56">
        <f t="shared" si="466"/>
        <v>0.60634920634920642</v>
      </c>
      <c r="AO187" s="11">
        <f t="shared" si="466"/>
        <v>4.4444444444444439E-2</v>
      </c>
      <c r="AP187" s="11">
        <f t="shared" si="466"/>
        <v>4.3492063492063492E-2</v>
      </c>
      <c r="AQ187" s="11">
        <f t="shared" si="466"/>
        <v>4.1269841269841276E-2</v>
      </c>
      <c r="AR187" s="11">
        <f t="shared" ref="AR187:AW187" si="487">SUM(AR175,AR177,AR179,AR181,AR183,AR185)</f>
        <v>4.507936507936508E-2</v>
      </c>
      <c r="AS187" s="48">
        <f t="shared" si="487"/>
        <v>4.1269841269841276E-2</v>
      </c>
      <c r="AT187" s="56">
        <f t="shared" si="487"/>
        <v>0.64848484848484844</v>
      </c>
      <c r="AU187" s="11">
        <f t="shared" si="487"/>
        <v>0.11666666666666667</v>
      </c>
      <c r="AV187" s="11">
        <f t="shared" si="487"/>
        <v>3.9393939393939391E-2</v>
      </c>
      <c r="AW187" s="11">
        <f t="shared" si="487"/>
        <v>8.1818181818181818E-2</v>
      </c>
      <c r="AX187" s="11">
        <f t="shared" ref="AX187:BC187" si="488">SUM(AX175,AX177,AX179,AX181,AX183,AX185)</f>
        <v>4.3939393939393938E-2</v>
      </c>
      <c r="AY187" s="48">
        <f t="shared" si="488"/>
        <v>3.3333333333333333E-2</v>
      </c>
      <c r="AZ187" s="56">
        <f t="shared" si="488"/>
        <v>0.12000000000000001</v>
      </c>
      <c r="BA187" s="11">
        <f t="shared" si="488"/>
        <v>1.1666666666666667E-2</v>
      </c>
      <c r="BB187" s="11">
        <f t="shared" si="488"/>
        <v>1.1666666666666667E-2</v>
      </c>
      <c r="BC187" s="11">
        <f t="shared" si="488"/>
        <v>1.1666666666666667E-2</v>
      </c>
      <c r="BD187" s="11">
        <f t="shared" ref="BD187:BE187" si="489">SUM(BD175,BD177,BD179,BD181,BD183,BD185)</f>
        <v>1.1666666666666667E-2</v>
      </c>
      <c r="BE187" s="11">
        <f t="shared" ref="BE187:BF187" si="490">SUM(BE175,BE177,BE179,BE181,BE183,BE185)</f>
        <v>1.1666666666666667E-2</v>
      </c>
      <c r="BF187" s="11">
        <f t="shared" si="490"/>
        <v>0</v>
      </c>
      <c r="BG187" s="61">
        <f t="shared" si="480"/>
        <v>0</v>
      </c>
      <c r="BH187" s="58">
        <f t="shared" si="480"/>
        <v>0</v>
      </c>
      <c r="BI187" s="58">
        <f t="shared" ref="BI187:BN187" si="491">SUM(BI175,BI177,BI179,BI181,BI183,BI185)</f>
        <v>0</v>
      </c>
      <c r="BJ187" s="58">
        <f t="shared" si="491"/>
        <v>0</v>
      </c>
      <c r="BK187" s="58">
        <f t="shared" si="491"/>
        <v>0</v>
      </c>
      <c r="BL187" s="58">
        <f t="shared" si="491"/>
        <v>0</v>
      </c>
      <c r="BM187" s="58">
        <f t="shared" si="491"/>
        <v>0</v>
      </c>
      <c r="BN187" s="62">
        <f t="shared" si="491"/>
        <v>0</v>
      </c>
      <c r="BO187" s="61">
        <f>SUM(BO175,BO177,BO179,BO181,BO183,BO185)</f>
        <v>0</v>
      </c>
      <c r="BP187" s="58">
        <f t="shared" ref="BP187:BV187" si="492">SUM(BP175,BP177,BP179,BP181,BP183,BP185)</f>
        <v>0</v>
      </c>
      <c r="BQ187" s="58">
        <f t="shared" si="492"/>
        <v>0</v>
      </c>
      <c r="BR187" s="58">
        <f t="shared" si="492"/>
        <v>0</v>
      </c>
      <c r="BS187" s="58">
        <f t="shared" si="492"/>
        <v>0</v>
      </c>
      <c r="BT187" s="58">
        <f t="shared" si="492"/>
        <v>0</v>
      </c>
      <c r="BU187" s="58">
        <f t="shared" si="492"/>
        <v>0</v>
      </c>
      <c r="BV187" s="62">
        <f t="shared" si="492"/>
        <v>0</v>
      </c>
      <c r="BW187" s="61">
        <f>SUM(BW175,BW177,BW179,BW181,BW183,BW185)</f>
        <v>0</v>
      </c>
      <c r="BX187" s="58">
        <f t="shared" si="480"/>
        <v>0</v>
      </c>
      <c r="BY187" s="58">
        <f t="shared" ref="BY187:BZ187" si="493">SUM(BY175,BY177,BY179,BY181,BY183,BY185)</f>
        <v>0</v>
      </c>
      <c r="BZ187" s="58">
        <f t="shared" si="493"/>
        <v>0</v>
      </c>
      <c r="CA187" s="58">
        <f t="shared" si="480"/>
        <v>0</v>
      </c>
      <c r="CB187" s="58">
        <f t="shared" si="480"/>
        <v>0</v>
      </c>
      <c r="CC187" s="58">
        <f t="shared" si="480"/>
        <v>0</v>
      </c>
      <c r="CD187" s="62">
        <f t="shared" si="480"/>
        <v>0</v>
      </c>
      <c r="CE187" s="61">
        <f t="shared" si="480"/>
        <v>0</v>
      </c>
      <c r="CF187" s="58">
        <f t="shared" si="480"/>
        <v>0</v>
      </c>
      <c r="CG187" s="58">
        <f t="shared" si="480"/>
        <v>0</v>
      </c>
      <c r="CH187" s="58">
        <f t="shared" ref="CH187:CL187" si="494">SUM(CH175,CH177,CH179,CH181,CH183,CH185)</f>
        <v>0</v>
      </c>
      <c r="CI187" s="58">
        <f t="shared" si="494"/>
        <v>0</v>
      </c>
      <c r="CJ187" s="58">
        <f t="shared" si="494"/>
        <v>0</v>
      </c>
      <c r="CK187" s="58">
        <f t="shared" si="494"/>
        <v>0</v>
      </c>
      <c r="CL187" s="62">
        <f t="shared" si="494"/>
        <v>0</v>
      </c>
      <c r="CM187" s="61">
        <f t="shared" ref="CM187" si="495">SUM(CM175,CM177,CM179,CM181,CM183,CM185)</f>
        <v>0</v>
      </c>
      <c r="CN187" s="58">
        <f>0/157.5</f>
        <v>0</v>
      </c>
      <c r="CO187" s="58">
        <f t="shared" ref="CO187:CQ187" si="496">0/157.5</f>
        <v>0</v>
      </c>
      <c r="CP187" s="58">
        <f t="shared" si="496"/>
        <v>0</v>
      </c>
      <c r="CQ187" s="58">
        <f t="shared" si="496"/>
        <v>0</v>
      </c>
      <c r="CR187" s="58">
        <f t="shared" ref="CR187:CT187" si="497">SUM(CR175,CR177,CR179,CR181,CR183,CR185)</f>
        <v>0</v>
      </c>
      <c r="CS187" s="58">
        <f t="shared" si="497"/>
        <v>0</v>
      </c>
      <c r="CT187" s="62">
        <f t="shared" si="497"/>
        <v>0</v>
      </c>
      <c r="CU187" s="20">
        <f>SUM(AZ187:BF187)</f>
        <v>0.17833333333333332</v>
      </c>
    </row>
    <row r="188" spans="1:99" ht="20.100000000000001" customHeight="1" x14ac:dyDescent="0.4">
      <c r="I188" s="172"/>
    </row>
    <row r="189" spans="1:99" ht="20.100000000000001" customHeight="1" x14ac:dyDescent="0.4">
      <c r="M189" s="35" t="s">
        <v>91</v>
      </c>
      <c r="N189" s="42" t="s">
        <v>88</v>
      </c>
      <c r="O189" s="34">
        <f>SUM(O167,O186)</f>
        <v>1.0166666666666666</v>
      </c>
      <c r="P189" s="34">
        <f>SUM(P167,P186)</f>
        <v>0</v>
      </c>
      <c r="Q189" s="34">
        <f t="shared" ref="Q189" si="498">SUM(Q167,Q186)</f>
        <v>1</v>
      </c>
      <c r="R189" s="34">
        <f t="shared" ref="R189:CO189" si="499">SUM(R167,R186)</f>
        <v>0.85416666666666674</v>
      </c>
      <c r="S189" s="34">
        <f t="shared" ref="S189:T189" si="500">SUM(S167,S186)</f>
        <v>1.0166666666666668</v>
      </c>
      <c r="T189" s="34">
        <f t="shared" si="500"/>
        <v>1.2</v>
      </c>
      <c r="U189" s="236">
        <f t="shared" si="499"/>
        <v>0.91666666666666663</v>
      </c>
      <c r="V189" s="40">
        <f t="shared" ref="V189:AA190" si="501">SUM(V167,V186)</f>
        <v>0.81754385964912291</v>
      </c>
      <c r="W189" s="34">
        <f t="shared" si="501"/>
        <v>8.0701754385964913E-2</v>
      </c>
      <c r="X189" s="34">
        <f t="shared" si="501"/>
        <v>0.76491228070175432</v>
      </c>
      <c r="Y189" s="34">
        <f t="shared" si="501"/>
        <v>0.92280701754385963</v>
      </c>
      <c r="Z189" s="34">
        <f t="shared" si="501"/>
        <v>0.92280701754385963</v>
      </c>
      <c r="AA189" s="39">
        <f t="shared" si="501"/>
        <v>0.97543859649122799</v>
      </c>
      <c r="AB189" s="40">
        <f>SUM(AB167,AB186)</f>
        <v>0.93333333333333335</v>
      </c>
      <c r="AC189" s="39">
        <f t="shared" ref="AC189:AG189" si="502">SUM(AC167,AC186)</f>
        <v>0.56363636363636371</v>
      </c>
      <c r="AD189" s="39">
        <f t="shared" si="502"/>
        <v>0.91515151515151527</v>
      </c>
      <c r="AE189" s="39">
        <f t="shared" si="502"/>
        <v>0.95757575757575752</v>
      </c>
      <c r="AF189" s="39">
        <f t="shared" si="502"/>
        <v>0.95757575757575752</v>
      </c>
      <c r="AG189" s="39">
        <f t="shared" si="502"/>
        <v>0.97575757575757582</v>
      </c>
      <c r="AH189" s="40">
        <f t="shared" ref="AH189:AY189" si="503">SUM(AH167,AH186)</f>
        <v>1.0151515151515151</v>
      </c>
      <c r="AI189" s="34">
        <f t="shared" si="503"/>
        <v>0.99393939393939379</v>
      </c>
      <c r="AJ189" s="34">
        <f t="shared" ref="AJ189:AK189" si="504">SUM(AJ167,AJ186)</f>
        <v>0.9484848484848486</v>
      </c>
      <c r="AK189" s="34">
        <f t="shared" si="504"/>
        <v>0.96666666666666667</v>
      </c>
      <c r="AL189" s="34">
        <f t="shared" ref="AL189:AM190" si="505">SUM(AL167,AL186)</f>
        <v>0.99090909090909085</v>
      </c>
      <c r="AM189" s="39">
        <f t="shared" si="505"/>
        <v>1.0030303030303029</v>
      </c>
      <c r="AN189" s="40">
        <f t="shared" si="503"/>
        <v>0.88603174603174595</v>
      </c>
      <c r="AO189" s="39">
        <f t="shared" ref="AO189" si="506">SUM(AO167,AO186)</f>
        <v>0.91269841269841256</v>
      </c>
      <c r="AP189" s="39">
        <f t="shared" si="503"/>
        <v>0.90317460317460307</v>
      </c>
      <c r="AQ189" s="39">
        <f t="shared" ref="AQ189:AS189" si="507">SUM(AQ167,AQ186)</f>
        <v>0.85238095238095246</v>
      </c>
      <c r="AR189" s="39">
        <f t="shared" si="507"/>
        <v>0.93492063492063493</v>
      </c>
      <c r="AS189" s="39">
        <f t="shared" si="507"/>
        <v>0.89682539682539697</v>
      </c>
      <c r="AT189" s="40">
        <f t="shared" si="503"/>
        <v>1.1720923520923523</v>
      </c>
      <c r="AU189" s="39">
        <f t="shared" ref="AU189" si="508">SUM(AU167,AU186)</f>
        <v>0.96118326118326136</v>
      </c>
      <c r="AV189" s="39">
        <f t="shared" si="503"/>
        <v>0.9278499278499277</v>
      </c>
      <c r="AW189" s="39">
        <f t="shared" ref="AW189:AX189" si="509">SUM(AW167,AW186)</f>
        <v>0.90360750360750353</v>
      </c>
      <c r="AX189" s="39">
        <f t="shared" si="509"/>
        <v>0.94906204906204916</v>
      </c>
      <c r="AY189" s="39">
        <f t="shared" si="503"/>
        <v>0.96724386724386724</v>
      </c>
      <c r="AZ189" s="40">
        <f>SUM(AZ167,AZ186)</f>
        <v>1.0033333333333334</v>
      </c>
      <c r="BA189" s="39">
        <f t="shared" si="499"/>
        <v>0.11666666666666667</v>
      </c>
      <c r="BB189" s="39">
        <f t="shared" ref="BB189:BC189" si="510">SUM(BB167,BB186)</f>
        <v>0.25</v>
      </c>
      <c r="BC189" s="39">
        <f t="shared" si="510"/>
        <v>0.25</v>
      </c>
      <c r="BD189" s="39">
        <f t="shared" ref="BD189:BF189" si="511">SUM(BD167,BD186)</f>
        <v>0.25</v>
      </c>
      <c r="BE189" s="39">
        <f t="shared" si="511"/>
        <v>0.25</v>
      </c>
      <c r="BF189" s="39">
        <f t="shared" si="511"/>
        <v>0.05</v>
      </c>
      <c r="BG189" s="40">
        <f>SUM(BG167,BG186)</f>
        <v>0</v>
      </c>
      <c r="BH189" s="39">
        <f t="shared" si="499"/>
        <v>0</v>
      </c>
      <c r="BI189" s="39">
        <f t="shared" ref="BI189:BN189" si="512">SUM(BI167,BI186)</f>
        <v>0</v>
      </c>
      <c r="BJ189" s="39">
        <f t="shared" si="512"/>
        <v>0</v>
      </c>
      <c r="BK189" s="39">
        <f t="shared" si="512"/>
        <v>0</v>
      </c>
      <c r="BL189" s="39">
        <f t="shared" si="512"/>
        <v>0</v>
      </c>
      <c r="BM189" s="39">
        <f t="shared" si="512"/>
        <v>0</v>
      </c>
      <c r="BN189" s="39">
        <f t="shared" si="512"/>
        <v>0</v>
      </c>
      <c r="BO189" s="40">
        <f t="shared" ref="BO189:BP189" si="513">SUM(BO167,BO186)</f>
        <v>0</v>
      </c>
      <c r="BP189" s="39">
        <f t="shared" si="513"/>
        <v>0</v>
      </c>
      <c r="BQ189" s="39">
        <f t="shared" ref="BQ189:BV189" si="514">SUM(BQ167,BQ186)</f>
        <v>0</v>
      </c>
      <c r="BR189" s="39">
        <f t="shared" si="514"/>
        <v>0</v>
      </c>
      <c r="BS189" s="39">
        <f t="shared" si="514"/>
        <v>0</v>
      </c>
      <c r="BT189" s="39">
        <f t="shared" si="514"/>
        <v>0</v>
      </c>
      <c r="BU189" s="39">
        <f t="shared" si="514"/>
        <v>0</v>
      </c>
      <c r="BV189" s="39">
        <f t="shared" si="514"/>
        <v>0</v>
      </c>
      <c r="BW189" s="40">
        <f t="shared" ref="BW189:CG189" si="515">SUM(BW167,BW186)</f>
        <v>0</v>
      </c>
      <c r="BX189" s="39">
        <f t="shared" si="515"/>
        <v>0</v>
      </c>
      <c r="BY189" s="39">
        <f t="shared" ref="BY189:BZ189" si="516">SUM(BY167,BY186)</f>
        <v>0</v>
      </c>
      <c r="BZ189" s="39">
        <f t="shared" si="516"/>
        <v>0</v>
      </c>
      <c r="CA189" s="39">
        <f t="shared" si="515"/>
        <v>0</v>
      </c>
      <c r="CB189" s="39">
        <f t="shared" si="515"/>
        <v>0</v>
      </c>
      <c r="CC189" s="39">
        <f t="shared" si="515"/>
        <v>0</v>
      </c>
      <c r="CD189" s="39">
        <f t="shared" si="515"/>
        <v>0</v>
      </c>
      <c r="CE189" s="40">
        <f t="shared" si="515"/>
        <v>0</v>
      </c>
      <c r="CF189" s="39">
        <f t="shared" si="515"/>
        <v>0</v>
      </c>
      <c r="CG189" s="39">
        <f t="shared" si="515"/>
        <v>0</v>
      </c>
      <c r="CH189" s="39">
        <f t="shared" ref="CH189:CL189" si="517">SUM(CH167,CH186)</f>
        <v>0</v>
      </c>
      <c r="CI189" s="39">
        <f t="shared" si="517"/>
        <v>0</v>
      </c>
      <c r="CJ189" s="39">
        <f t="shared" si="517"/>
        <v>0</v>
      </c>
      <c r="CK189" s="39">
        <f t="shared" si="517"/>
        <v>0</v>
      </c>
      <c r="CL189" s="39">
        <f t="shared" si="517"/>
        <v>0</v>
      </c>
      <c r="CM189" s="40">
        <f t="shared" si="499"/>
        <v>0</v>
      </c>
      <c r="CN189" s="39">
        <f t="shared" si="499"/>
        <v>0</v>
      </c>
      <c r="CO189" s="39">
        <f t="shared" si="499"/>
        <v>0</v>
      </c>
      <c r="CP189" s="39">
        <f t="shared" ref="CP189:CT189" si="518">SUM(CP167,CP186)</f>
        <v>0</v>
      </c>
      <c r="CQ189" s="39">
        <f t="shared" si="518"/>
        <v>0</v>
      </c>
      <c r="CR189" s="39">
        <f t="shared" si="518"/>
        <v>0</v>
      </c>
      <c r="CS189" s="39">
        <f t="shared" si="518"/>
        <v>0</v>
      </c>
      <c r="CT189" s="34">
        <f t="shared" si="518"/>
        <v>0</v>
      </c>
    </row>
    <row r="190" spans="1:99" ht="20.100000000000001" customHeight="1" x14ac:dyDescent="0.4">
      <c r="M190" s="35" t="s">
        <v>92</v>
      </c>
      <c r="N190" s="43" t="s">
        <v>89</v>
      </c>
      <c r="O190" s="34">
        <f t="shared" ref="O190:CO190" si="519">SUM(O168,O187)</f>
        <v>0.9375</v>
      </c>
      <c r="P190" s="34">
        <f t="shared" si="519"/>
        <v>0</v>
      </c>
      <c r="Q190" s="34">
        <f t="shared" ref="Q190" si="520">SUM(Q168,Q187)</f>
        <v>0.89166666666666661</v>
      </c>
      <c r="R190" s="34">
        <f t="shared" si="519"/>
        <v>0.78749999999999998</v>
      </c>
      <c r="S190" s="34">
        <f t="shared" ref="S190:T190" si="521">SUM(S168,S187)</f>
        <v>0.95</v>
      </c>
      <c r="T190" s="34">
        <f t="shared" si="521"/>
        <v>0.99999999999999989</v>
      </c>
      <c r="U190" s="236">
        <f t="shared" si="519"/>
        <v>0.95833333333333326</v>
      </c>
      <c r="V190" s="40">
        <f t="shared" ref="V190:AY190" si="522">SUM(V168,V187)</f>
        <v>0.78245614035087718</v>
      </c>
      <c r="W190" s="39">
        <f t="shared" ref="W190" si="523">SUM(W168,W187)</f>
        <v>0</v>
      </c>
      <c r="X190" s="39">
        <f>SUM(X168,X187)</f>
        <v>0.70526315789473693</v>
      </c>
      <c r="Y190" s="39">
        <f t="shared" ref="Y190:Z190" si="524">SUM(Y168,Y187)</f>
        <v>0.82105263157894737</v>
      </c>
      <c r="Z190" s="39">
        <f t="shared" si="524"/>
        <v>0.82105263157894737</v>
      </c>
      <c r="AA190" s="39">
        <f t="shared" si="501"/>
        <v>0.8666666666666667</v>
      </c>
      <c r="AB190" s="40">
        <f t="shared" si="522"/>
        <v>0.89999999999999991</v>
      </c>
      <c r="AC190" s="39">
        <f t="shared" ref="AC190" si="525">SUM(AC168,AC187)</f>
        <v>0.48484848484848486</v>
      </c>
      <c r="AD190" s="39">
        <f t="shared" si="522"/>
        <v>0.83030303030303043</v>
      </c>
      <c r="AE190" s="39">
        <f t="shared" ref="AE190:AF190" si="526">SUM(AE168,AE187)</f>
        <v>0.92727272727272725</v>
      </c>
      <c r="AF190" s="39">
        <f t="shared" si="526"/>
        <v>0.88787878787878793</v>
      </c>
      <c r="AG190" s="39">
        <f t="shared" si="522"/>
        <v>0.87272727272727257</v>
      </c>
      <c r="AH190" s="40">
        <f t="shared" si="522"/>
        <v>0.95151515151515165</v>
      </c>
      <c r="AI190" s="34">
        <f t="shared" si="522"/>
        <v>0.94545454545454544</v>
      </c>
      <c r="AJ190" s="34">
        <f t="shared" ref="AJ190:AK190" si="527">SUM(AJ168,AJ187)</f>
        <v>0.91515151515151505</v>
      </c>
      <c r="AK190" s="34">
        <f t="shared" si="527"/>
        <v>0.93636363636363629</v>
      </c>
      <c r="AL190" s="34">
        <f t="shared" ref="AL190" si="528">SUM(AL168,AL187)</f>
        <v>0.94848484848484849</v>
      </c>
      <c r="AM190" s="39">
        <f t="shared" si="505"/>
        <v>0.94545454545454544</v>
      </c>
      <c r="AN190" s="40">
        <f t="shared" si="522"/>
        <v>0.90793650793650804</v>
      </c>
      <c r="AO190" s="39">
        <f t="shared" ref="AO190" si="529">SUM(AO168,AO187)</f>
        <v>0.87936507936507935</v>
      </c>
      <c r="AP190" s="39">
        <f t="shared" si="522"/>
        <v>0.84190476190476182</v>
      </c>
      <c r="AQ190" s="39">
        <f>SUM(AQ168,AQ187)</f>
        <v>0.82539682539682535</v>
      </c>
      <c r="AR190" s="39">
        <f>SUM(AR168,AR187)</f>
        <v>0.93079365079365073</v>
      </c>
      <c r="AS190" s="39">
        <f t="shared" ref="AS190" si="530">SUM(AS168,AS187)</f>
        <v>0.88253968253968262</v>
      </c>
      <c r="AT190" s="40">
        <f t="shared" si="522"/>
        <v>0.98181818181818192</v>
      </c>
      <c r="AU190" s="39">
        <f t="shared" ref="AU190" si="531">SUM(AU168,AU187)</f>
        <v>0.9545454545454547</v>
      </c>
      <c r="AV190" s="39">
        <f t="shared" si="522"/>
        <v>0.90909090909090917</v>
      </c>
      <c r="AW190" s="39">
        <f t="shared" ref="AW190:AX190" si="532">SUM(AW168,AW187)</f>
        <v>0.90909090909090917</v>
      </c>
      <c r="AX190" s="39">
        <f t="shared" si="532"/>
        <v>0.95454545454545459</v>
      </c>
      <c r="AY190" s="39">
        <f t="shared" si="522"/>
        <v>0.90909090909090906</v>
      </c>
      <c r="AZ190" s="40">
        <f t="shared" si="519"/>
        <v>0.25</v>
      </c>
      <c r="BA190" s="39">
        <f t="shared" si="519"/>
        <v>0.25</v>
      </c>
      <c r="BB190" s="39">
        <f t="shared" ref="BB190:BC190" si="533">SUM(BB168,BB187)</f>
        <v>0.24999999999999997</v>
      </c>
      <c r="BC190" s="39">
        <f t="shared" si="533"/>
        <v>0.25</v>
      </c>
      <c r="BD190" s="39">
        <f t="shared" ref="BD190:BF190" si="534">SUM(BD168,BD187)</f>
        <v>0.23499999999999999</v>
      </c>
      <c r="BE190" s="39">
        <f t="shared" si="534"/>
        <v>0.25</v>
      </c>
      <c r="BF190" s="39">
        <f t="shared" si="534"/>
        <v>0</v>
      </c>
      <c r="BG190" s="40">
        <f t="shared" si="519"/>
        <v>0</v>
      </c>
      <c r="BH190" s="39">
        <f t="shared" si="519"/>
        <v>0</v>
      </c>
      <c r="BI190" s="39">
        <f t="shared" ref="BI190:BN190" si="535">SUM(BI168,BI187)</f>
        <v>0</v>
      </c>
      <c r="BJ190" s="39">
        <f t="shared" si="535"/>
        <v>0</v>
      </c>
      <c r="BK190" s="39">
        <f t="shared" si="535"/>
        <v>0</v>
      </c>
      <c r="BL190" s="39">
        <f t="shared" si="535"/>
        <v>0</v>
      </c>
      <c r="BM190" s="39">
        <f t="shared" si="535"/>
        <v>0</v>
      </c>
      <c r="BN190" s="39">
        <f t="shared" si="535"/>
        <v>0</v>
      </c>
      <c r="BO190" s="40">
        <f>SUM(BO168,BO187)</f>
        <v>0</v>
      </c>
      <c r="BP190" s="39">
        <f t="shared" ref="BP190" si="536">SUM(BP168,BP187)</f>
        <v>0</v>
      </c>
      <c r="BQ190" s="39">
        <f t="shared" ref="BQ190:BV190" si="537">SUM(BQ168,BQ187)</f>
        <v>0</v>
      </c>
      <c r="BR190" s="39">
        <f t="shared" si="537"/>
        <v>0</v>
      </c>
      <c r="BS190" s="39">
        <f t="shared" si="537"/>
        <v>0</v>
      </c>
      <c r="BT190" s="39">
        <f t="shared" si="537"/>
        <v>0</v>
      </c>
      <c r="BU190" s="39">
        <f t="shared" si="537"/>
        <v>0</v>
      </c>
      <c r="BV190" s="39">
        <f t="shared" si="537"/>
        <v>0</v>
      </c>
      <c r="BW190" s="40">
        <f t="shared" ref="BW190:CG190" si="538">SUM(BW168,BW187)</f>
        <v>0</v>
      </c>
      <c r="BX190" s="39">
        <f t="shared" si="538"/>
        <v>0</v>
      </c>
      <c r="BY190" s="39">
        <f t="shared" ref="BY190:BZ190" si="539">SUM(BY168,BY187)</f>
        <v>0</v>
      </c>
      <c r="BZ190" s="39">
        <f t="shared" si="539"/>
        <v>0</v>
      </c>
      <c r="CA190" s="39">
        <f t="shared" si="538"/>
        <v>0</v>
      </c>
      <c r="CB190" s="39">
        <f t="shared" si="538"/>
        <v>0</v>
      </c>
      <c r="CC190" s="39">
        <f t="shared" si="538"/>
        <v>0</v>
      </c>
      <c r="CD190" s="39">
        <f t="shared" si="538"/>
        <v>0</v>
      </c>
      <c r="CE190" s="40">
        <f t="shared" si="538"/>
        <v>0</v>
      </c>
      <c r="CF190" s="39">
        <f t="shared" si="538"/>
        <v>0</v>
      </c>
      <c r="CG190" s="39">
        <f t="shared" si="538"/>
        <v>0</v>
      </c>
      <c r="CH190" s="39">
        <f t="shared" ref="CH190:CL190" si="540">SUM(CH168,CH187)</f>
        <v>0</v>
      </c>
      <c r="CI190" s="39">
        <f t="shared" si="540"/>
        <v>0</v>
      </c>
      <c r="CJ190" s="39">
        <f t="shared" si="540"/>
        <v>0</v>
      </c>
      <c r="CK190" s="39">
        <f t="shared" si="540"/>
        <v>0</v>
      </c>
      <c r="CL190" s="39">
        <f t="shared" si="540"/>
        <v>0</v>
      </c>
      <c r="CM190" s="40">
        <f t="shared" si="519"/>
        <v>0</v>
      </c>
      <c r="CN190" s="39">
        <f t="shared" si="519"/>
        <v>0</v>
      </c>
      <c r="CO190" s="39">
        <f t="shared" si="519"/>
        <v>0</v>
      </c>
      <c r="CP190" s="39">
        <f t="shared" ref="CP190:CT190" si="541">SUM(CP168,CP187)</f>
        <v>0</v>
      </c>
      <c r="CQ190" s="39">
        <f t="shared" si="541"/>
        <v>0</v>
      </c>
      <c r="CR190" s="39">
        <f t="shared" si="541"/>
        <v>0</v>
      </c>
      <c r="CS190" s="39">
        <f t="shared" si="541"/>
        <v>0</v>
      </c>
      <c r="CT190" s="34">
        <f t="shared" si="541"/>
        <v>0</v>
      </c>
    </row>
    <row r="191" spans="1:99" ht="20.100000000000001" customHeight="1" thickBot="1" x14ac:dyDescent="0.45">
      <c r="M191" s="36" t="s">
        <v>95</v>
      </c>
      <c r="N191" s="44" t="s">
        <v>93</v>
      </c>
      <c r="O191" s="486">
        <f>SUM(O189:U189)</f>
        <v>6.0041666666666673</v>
      </c>
      <c r="P191" s="486"/>
      <c r="Q191" s="486"/>
      <c r="R191" s="486"/>
      <c r="S191" s="486"/>
      <c r="T191" s="486"/>
      <c r="U191" s="487"/>
      <c r="V191" s="523">
        <f>SUM(V189:AA189)</f>
        <v>4.4842105263157901</v>
      </c>
      <c r="W191" s="486"/>
      <c r="X191" s="486"/>
      <c r="Y191" s="486"/>
      <c r="Z191" s="486"/>
      <c r="AA191" s="486"/>
      <c r="AB191" s="523">
        <f>SUM(AB189:AG189)</f>
        <v>5.3030303030303028</v>
      </c>
      <c r="AC191" s="486"/>
      <c r="AD191" s="524"/>
      <c r="AE191" s="524"/>
      <c r="AF191" s="524"/>
      <c r="AG191" s="524"/>
      <c r="AH191" s="525">
        <f>SUM(AH189:AM189)</f>
        <v>5.918181818181818</v>
      </c>
      <c r="AI191" s="526"/>
      <c r="AJ191" s="526"/>
      <c r="AK191" s="526"/>
      <c r="AL191" s="526"/>
      <c r="AM191" s="527"/>
      <c r="AN191" s="523">
        <f>SUM(AN189:AS189)</f>
        <v>5.3860317460317457</v>
      </c>
      <c r="AO191" s="524"/>
      <c r="AP191" s="524"/>
      <c r="AQ191" s="524"/>
      <c r="AR191" s="524"/>
      <c r="AS191" s="524"/>
      <c r="AT191" s="523">
        <f>SUM(AT189:AY189)</f>
        <v>5.8810389610389606</v>
      </c>
      <c r="AU191" s="524"/>
      <c r="AV191" s="524"/>
      <c r="AW191" s="524"/>
      <c r="AX191" s="524"/>
      <c r="AY191" s="524"/>
      <c r="AZ191" s="523">
        <f>SUM(AZ189:BF189)</f>
        <v>2.17</v>
      </c>
      <c r="BA191" s="524"/>
      <c r="BB191" s="524"/>
      <c r="BC191" s="524"/>
      <c r="BD191" s="524"/>
      <c r="BE191" s="524"/>
      <c r="BF191" s="524"/>
      <c r="BG191" s="523">
        <f>SUM(BG189:BN189)</f>
        <v>0</v>
      </c>
      <c r="BH191" s="524"/>
      <c r="BI191" s="524"/>
      <c r="BJ191" s="524"/>
      <c r="BK191" s="524"/>
      <c r="BL191" s="524"/>
      <c r="BM191" s="524"/>
      <c r="BN191" s="524"/>
      <c r="BO191" s="523">
        <f>SUM(BO189:BV189)</f>
        <v>0</v>
      </c>
      <c r="BP191" s="524"/>
      <c r="BQ191" s="524"/>
      <c r="BR191" s="524"/>
      <c r="BS191" s="524"/>
      <c r="BT191" s="524"/>
      <c r="BU191" s="524"/>
      <c r="BV191" s="524"/>
      <c r="BW191" s="523">
        <f>SUM(BW189:CD189)</f>
        <v>0</v>
      </c>
      <c r="BX191" s="524"/>
      <c r="BY191" s="524"/>
      <c r="BZ191" s="524"/>
      <c r="CA191" s="524"/>
      <c r="CB191" s="524"/>
      <c r="CC191" s="524"/>
      <c r="CD191" s="524"/>
      <c r="CE191" s="523">
        <f>SUM(CE189:CL189)</f>
        <v>0</v>
      </c>
      <c r="CF191" s="524"/>
      <c r="CG191" s="524"/>
      <c r="CH191" s="524"/>
      <c r="CI191" s="524"/>
      <c r="CJ191" s="524"/>
      <c r="CK191" s="524"/>
      <c r="CL191" s="524"/>
      <c r="CM191" s="523">
        <f>SUM(CM189:CT189)</f>
        <v>0</v>
      </c>
      <c r="CN191" s="524"/>
      <c r="CO191" s="524"/>
      <c r="CP191" s="524"/>
      <c r="CQ191" s="524"/>
      <c r="CR191" s="524"/>
      <c r="CS191" s="524"/>
      <c r="CT191" s="544"/>
    </row>
    <row r="192" spans="1:99" ht="20.100000000000001" customHeight="1" thickTop="1" thickBot="1" x14ac:dyDescent="0.45">
      <c r="M192" s="36" t="s">
        <v>96</v>
      </c>
      <c r="N192" s="45" t="s">
        <v>94</v>
      </c>
      <c r="O192" s="445">
        <f>SUM(O190:U190)</f>
        <v>5.5249999999999995</v>
      </c>
      <c r="P192" s="445"/>
      <c r="Q192" s="445"/>
      <c r="R192" s="445"/>
      <c r="S192" s="445"/>
      <c r="T192" s="445"/>
      <c r="U192" s="528"/>
      <c r="V192" s="504">
        <f>SUM(V190:AA190)</f>
        <v>3.9964912280701754</v>
      </c>
      <c r="W192" s="445"/>
      <c r="X192" s="505"/>
      <c r="Y192" s="505"/>
      <c r="Z192" s="505"/>
      <c r="AA192" s="505"/>
      <c r="AB192" s="504">
        <f>SUM(AB190:AG190)</f>
        <v>4.9030303030303024</v>
      </c>
      <c r="AC192" s="445"/>
      <c r="AD192" s="505"/>
      <c r="AE192" s="505"/>
      <c r="AF192" s="505"/>
      <c r="AG192" s="505"/>
      <c r="AH192" s="532">
        <f>SUM(AH190:AM190)</f>
        <v>5.6424242424242417</v>
      </c>
      <c r="AI192" s="533"/>
      <c r="AJ192" s="533"/>
      <c r="AK192" s="533"/>
      <c r="AL192" s="533"/>
      <c r="AM192" s="534"/>
      <c r="AN192" s="504">
        <f>SUM(AN190:AS190)</f>
        <v>5.2679365079365077</v>
      </c>
      <c r="AO192" s="505"/>
      <c r="AP192" s="505"/>
      <c r="AQ192" s="505"/>
      <c r="AR192" s="505"/>
      <c r="AS192" s="505"/>
      <c r="AT192" s="504">
        <f>SUM(AT190:AY190)</f>
        <v>5.6181818181818182</v>
      </c>
      <c r="AU192" s="505"/>
      <c r="AV192" s="505"/>
      <c r="AW192" s="505"/>
      <c r="AX192" s="505"/>
      <c r="AY192" s="505"/>
      <c r="AZ192" s="504">
        <f>SUM(AZ190:BF190)</f>
        <v>1.4849999999999999</v>
      </c>
      <c r="BA192" s="505"/>
      <c r="BB192" s="505"/>
      <c r="BC192" s="505"/>
      <c r="BD192" s="505"/>
      <c r="BE192" s="505"/>
      <c r="BF192" s="505"/>
      <c r="BG192" s="504">
        <f>SUM(BG190:BN190)</f>
        <v>0</v>
      </c>
      <c r="BH192" s="505"/>
      <c r="BI192" s="505"/>
      <c r="BJ192" s="505"/>
      <c r="BK192" s="505"/>
      <c r="BL192" s="505"/>
      <c r="BM192" s="505"/>
      <c r="BN192" s="505"/>
      <c r="BO192" s="504">
        <f>SUM(BO190:BV190)</f>
        <v>0</v>
      </c>
      <c r="BP192" s="505"/>
      <c r="BQ192" s="505"/>
      <c r="BR192" s="505"/>
      <c r="BS192" s="505"/>
      <c r="BT192" s="505"/>
      <c r="BU192" s="505"/>
      <c r="BV192" s="505"/>
      <c r="BW192" s="504">
        <f>SUM(BW190:CD190)</f>
        <v>0</v>
      </c>
      <c r="BX192" s="505"/>
      <c r="BY192" s="505"/>
      <c r="BZ192" s="505"/>
      <c r="CA192" s="505"/>
      <c r="CB192" s="505"/>
      <c r="CC192" s="505"/>
      <c r="CD192" s="505"/>
      <c r="CE192" s="504">
        <f>SUM(CE190:CL190)</f>
        <v>0</v>
      </c>
      <c r="CF192" s="505"/>
      <c r="CG192" s="505"/>
      <c r="CH192" s="505"/>
      <c r="CI192" s="505"/>
      <c r="CJ192" s="505"/>
      <c r="CK192" s="505"/>
      <c r="CL192" s="505"/>
      <c r="CM192" s="504">
        <f>SUM(CM190:CT190)</f>
        <v>0</v>
      </c>
      <c r="CN192" s="505"/>
      <c r="CO192" s="505"/>
      <c r="CP192" s="505"/>
      <c r="CQ192" s="505"/>
      <c r="CR192" s="505"/>
      <c r="CS192" s="505"/>
      <c r="CT192" s="545"/>
    </row>
    <row r="193" spans="1:99" ht="20.100000000000001" customHeight="1" thickTop="1" x14ac:dyDescent="0.4"/>
    <row r="194" spans="1:99" ht="20.100000000000001" customHeight="1" x14ac:dyDescent="0.4">
      <c r="A194" s="8" t="s">
        <v>18</v>
      </c>
    </row>
    <row r="195" spans="1:99" s="2" customFormat="1" ht="20.100000000000001" customHeight="1" x14ac:dyDescent="0.4">
      <c r="A195" s="535" t="s">
        <v>0</v>
      </c>
      <c r="B195" s="508" t="s">
        <v>87</v>
      </c>
      <c r="C195" s="508" t="s">
        <v>6</v>
      </c>
      <c r="D195" s="508" t="s">
        <v>31</v>
      </c>
      <c r="E195" s="508" t="s">
        <v>2</v>
      </c>
      <c r="F195" s="508" t="s">
        <v>3</v>
      </c>
      <c r="G195" s="518" t="s">
        <v>1</v>
      </c>
      <c r="H195" s="509" t="s">
        <v>24</v>
      </c>
      <c r="I195" s="509" t="s">
        <v>25</v>
      </c>
      <c r="J195" s="509" t="s">
        <v>9</v>
      </c>
      <c r="K195" s="535" t="s">
        <v>7</v>
      </c>
      <c r="L195" s="535" t="s">
        <v>8</v>
      </c>
      <c r="M195" s="535" t="s">
        <v>4</v>
      </c>
      <c r="N195" s="514" t="s">
        <v>5</v>
      </c>
      <c r="O195" s="507"/>
      <c r="P195" s="507"/>
      <c r="Q195" s="507"/>
      <c r="R195" s="507"/>
      <c r="S195" s="507"/>
      <c r="T195" s="507"/>
      <c r="U195" s="507"/>
      <c r="V195" s="507"/>
      <c r="W195" s="507"/>
      <c r="X195" s="507"/>
      <c r="Y195" s="507"/>
      <c r="Z195" s="507"/>
      <c r="AA195" s="507"/>
      <c r="AB195" s="507"/>
      <c r="AC195" s="507"/>
      <c r="AD195" s="507"/>
      <c r="AE195" s="507"/>
      <c r="AF195" s="507"/>
      <c r="AG195" s="507"/>
      <c r="AH195" s="507"/>
      <c r="AI195" s="507"/>
      <c r="AJ195" s="507"/>
      <c r="AK195" s="507"/>
      <c r="AL195" s="507"/>
      <c r="AM195" s="507"/>
      <c r="AN195" s="507"/>
      <c r="AO195" s="507"/>
      <c r="AP195" s="507"/>
      <c r="AQ195" s="507"/>
      <c r="AR195" s="507"/>
      <c r="AS195" s="507"/>
      <c r="AT195" s="507"/>
      <c r="AU195" s="507"/>
      <c r="AV195" s="507"/>
      <c r="AW195" s="507"/>
      <c r="AX195" s="507"/>
      <c r="AY195" s="507"/>
      <c r="AZ195" s="507"/>
      <c r="BA195" s="507"/>
      <c r="BB195" s="507"/>
      <c r="BC195" s="507"/>
      <c r="BD195" s="507"/>
      <c r="BE195" s="507"/>
      <c r="BF195" s="507"/>
      <c r="BG195" s="507"/>
      <c r="BH195" s="507"/>
      <c r="BI195" s="507"/>
      <c r="BJ195" s="507"/>
      <c r="BK195" s="507"/>
      <c r="BL195" s="507"/>
      <c r="BM195" s="507"/>
      <c r="BN195" s="507"/>
      <c r="BO195" s="507"/>
      <c r="BP195" s="507"/>
      <c r="BQ195" s="507"/>
      <c r="BR195" s="507"/>
      <c r="BS195" s="507"/>
      <c r="BT195" s="507"/>
      <c r="BU195" s="507"/>
      <c r="BV195" s="507"/>
      <c r="BW195" s="507"/>
      <c r="BX195" s="507"/>
      <c r="BY195" s="507"/>
      <c r="BZ195" s="507"/>
      <c r="CA195" s="507"/>
      <c r="CB195" s="507"/>
      <c r="CC195" s="507"/>
      <c r="CD195" s="507"/>
      <c r="CE195" s="507"/>
      <c r="CF195" s="507"/>
      <c r="CG195" s="507"/>
      <c r="CH195" s="507"/>
      <c r="CI195" s="507"/>
      <c r="CJ195" s="507"/>
      <c r="CK195" s="507"/>
      <c r="CL195" s="507"/>
      <c r="CM195" s="507"/>
      <c r="CN195" s="507"/>
      <c r="CO195" s="507"/>
      <c r="CP195" s="507"/>
      <c r="CQ195" s="507"/>
      <c r="CR195" s="507"/>
      <c r="CS195" s="507"/>
      <c r="CT195" s="507"/>
      <c r="CU195" s="237"/>
    </row>
    <row r="196" spans="1:99" s="2" customFormat="1" ht="20.100000000000001" customHeight="1" x14ac:dyDescent="0.4">
      <c r="A196" s="536"/>
      <c r="B196" s="508"/>
      <c r="C196" s="508"/>
      <c r="D196" s="508"/>
      <c r="E196" s="508"/>
      <c r="F196" s="508"/>
      <c r="G196" s="519"/>
      <c r="H196" s="510"/>
      <c r="I196" s="510"/>
      <c r="J196" s="510"/>
      <c r="K196" s="536"/>
      <c r="L196" s="536"/>
      <c r="M196" s="536"/>
      <c r="N196" s="514" t="s">
        <v>136</v>
      </c>
      <c r="O196" s="507"/>
      <c r="P196" s="507"/>
      <c r="Q196" s="507"/>
      <c r="R196" s="507"/>
      <c r="S196" s="507"/>
      <c r="T196" s="507"/>
      <c r="U196" s="507"/>
      <c r="V196" s="506" t="s">
        <v>135</v>
      </c>
      <c r="W196" s="507"/>
      <c r="X196" s="507"/>
      <c r="Y196" s="507"/>
      <c r="Z196" s="507"/>
      <c r="AA196" s="507"/>
      <c r="AB196" s="506" t="s">
        <v>137</v>
      </c>
      <c r="AC196" s="507"/>
      <c r="AD196" s="507"/>
      <c r="AE196" s="507"/>
      <c r="AF196" s="507"/>
      <c r="AG196" s="507"/>
      <c r="AH196" s="506" t="s">
        <v>138</v>
      </c>
      <c r="AI196" s="507"/>
      <c r="AJ196" s="507"/>
      <c r="AK196" s="507"/>
      <c r="AL196" s="507"/>
      <c r="AM196" s="507"/>
      <c r="AN196" s="506" t="s">
        <v>139</v>
      </c>
      <c r="AO196" s="507"/>
      <c r="AP196" s="507"/>
      <c r="AQ196" s="507"/>
      <c r="AR196" s="507"/>
      <c r="AS196" s="507"/>
      <c r="AT196" s="506" t="s">
        <v>140</v>
      </c>
      <c r="AU196" s="507"/>
      <c r="AV196" s="507"/>
      <c r="AW196" s="507"/>
      <c r="AX196" s="507"/>
      <c r="AY196" s="507"/>
      <c r="AZ196" s="506" t="s">
        <v>141</v>
      </c>
      <c r="BA196" s="507"/>
      <c r="BB196" s="507"/>
      <c r="BC196" s="507"/>
      <c r="BD196" s="507"/>
      <c r="BE196" s="507"/>
      <c r="BF196" s="507"/>
      <c r="BG196" s="506" t="s">
        <v>142</v>
      </c>
      <c r="BH196" s="507"/>
      <c r="BI196" s="507"/>
      <c r="BJ196" s="507"/>
      <c r="BK196" s="507"/>
      <c r="BL196" s="507"/>
      <c r="BM196" s="507"/>
      <c r="BN196" s="507"/>
      <c r="BO196" s="506" t="s">
        <v>143</v>
      </c>
      <c r="BP196" s="507"/>
      <c r="BQ196" s="507"/>
      <c r="BR196" s="507"/>
      <c r="BS196" s="507"/>
      <c r="BT196" s="507"/>
      <c r="BU196" s="507"/>
      <c r="BV196" s="507"/>
      <c r="BW196" s="506" t="s">
        <v>144</v>
      </c>
      <c r="BX196" s="507"/>
      <c r="BY196" s="507"/>
      <c r="BZ196" s="507"/>
      <c r="CA196" s="507"/>
      <c r="CB196" s="507"/>
      <c r="CC196" s="507"/>
      <c r="CD196" s="507"/>
      <c r="CE196" s="506" t="s">
        <v>30</v>
      </c>
      <c r="CF196" s="507"/>
      <c r="CG196" s="507"/>
      <c r="CH196" s="507"/>
      <c r="CI196" s="507"/>
      <c r="CJ196" s="507"/>
      <c r="CK196" s="507"/>
      <c r="CL196" s="507"/>
      <c r="CM196" s="506" t="s">
        <v>145</v>
      </c>
      <c r="CN196" s="507"/>
      <c r="CO196" s="507"/>
      <c r="CP196" s="507"/>
      <c r="CQ196" s="507"/>
      <c r="CR196" s="507"/>
      <c r="CS196" s="507"/>
      <c r="CT196" s="507"/>
      <c r="CU196" s="237"/>
    </row>
    <row r="197" spans="1:99" s="2" customFormat="1" ht="20.100000000000001" customHeight="1" x14ac:dyDescent="0.4">
      <c r="A197" s="537"/>
      <c r="B197" s="508"/>
      <c r="C197" s="508"/>
      <c r="D197" s="508"/>
      <c r="E197" s="508"/>
      <c r="F197" s="508"/>
      <c r="G197" s="520"/>
      <c r="H197" s="511"/>
      <c r="I197" s="511"/>
      <c r="J197" s="511"/>
      <c r="K197" s="537"/>
      <c r="L197" s="537"/>
      <c r="M197" s="537"/>
      <c r="N197" s="16"/>
      <c r="O197" s="5" t="s">
        <v>172</v>
      </c>
      <c r="P197" s="5" t="s">
        <v>408</v>
      </c>
      <c r="Q197" s="5" t="s">
        <v>170</v>
      </c>
      <c r="R197" s="16" t="s">
        <v>409</v>
      </c>
      <c r="S197" s="16" t="s">
        <v>410</v>
      </c>
      <c r="T197" s="16" t="s">
        <v>411</v>
      </c>
      <c r="U197" s="16" t="s">
        <v>412</v>
      </c>
      <c r="V197" s="5" t="s">
        <v>172</v>
      </c>
      <c r="W197" s="5" t="s">
        <v>408</v>
      </c>
      <c r="X197" s="5" t="s">
        <v>170</v>
      </c>
      <c r="Y197" s="16" t="s">
        <v>410</v>
      </c>
      <c r="Z197" s="16" t="s">
        <v>411</v>
      </c>
      <c r="AA197" s="16" t="s">
        <v>412</v>
      </c>
      <c r="AB197" s="181" t="s">
        <v>172</v>
      </c>
      <c r="AC197" s="5" t="s">
        <v>408</v>
      </c>
      <c r="AD197" s="5" t="s">
        <v>170</v>
      </c>
      <c r="AE197" s="16" t="s">
        <v>410</v>
      </c>
      <c r="AF197" s="16" t="s">
        <v>411</v>
      </c>
      <c r="AG197" s="16" t="s">
        <v>412</v>
      </c>
      <c r="AH197" s="181" t="s">
        <v>162</v>
      </c>
      <c r="AI197" s="5" t="s">
        <v>408</v>
      </c>
      <c r="AJ197" s="5" t="s">
        <v>170</v>
      </c>
      <c r="AK197" s="16" t="s">
        <v>410</v>
      </c>
      <c r="AL197" s="16" t="s">
        <v>411</v>
      </c>
      <c r="AM197" s="16" t="s">
        <v>412</v>
      </c>
      <c r="AN197" s="181" t="s">
        <v>162</v>
      </c>
      <c r="AO197" s="5" t="s">
        <v>408</v>
      </c>
      <c r="AP197" s="5" t="s">
        <v>170</v>
      </c>
      <c r="AQ197" s="16" t="s">
        <v>410</v>
      </c>
      <c r="AR197" s="16" t="s">
        <v>411</v>
      </c>
      <c r="AS197" s="16" t="s">
        <v>412</v>
      </c>
      <c r="AT197" s="181" t="s">
        <v>162</v>
      </c>
      <c r="AU197" s="5" t="s">
        <v>408</v>
      </c>
      <c r="AV197" s="5" t="s">
        <v>170</v>
      </c>
      <c r="AW197" s="16" t="s">
        <v>410</v>
      </c>
      <c r="AX197" s="16" t="s">
        <v>411</v>
      </c>
      <c r="AY197" s="16" t="s">
        <v>412</v>
      </c>
      <c r="AZ197" s="181" t="s">
        <v>162</v>
      </c>
      <c r="BA197" s="5" t="s">
        <v>408</v>
      </c>
      <c r="BB197" s="5" t="s">
        <v>170</v>
      </c>
      <c r="BC197" s="16" t="s">
        <v>410</v>
      </c>
      <c r="BD197" s="16" t="s">
        <v>411</v>
      </c>
      <c r="BE197" s="16" t="s">
        <v>412</v>
      </c>
      <c r="BF197" s="70" t="s">
        <v>928</v>
      </c>
      <c r="BG197" s="69" t="s">
        <v>172</v>
      </c>
      <c r="BH197" s="5" t="s">
        <v>167</v>
      </c>
      <c r="BI197" s="5" t="s">
        <v>168</v>
      </c>
      <c r="BJ197" s="16" t="s">
        <v>169</v>
      </c>
      <c r="BK197" s="16" t="s">
        <v>170</v>
      </c>
      <c r="BL197" s="16" t="s">
        <v>171</v>
      </c>
      <c r="BM197" s="16" t="s">
        <v>171</v>
      </c>
      <c r="BN197" s="70" t="s">
        <v>331</v>
      </c>
      <c r="BO197" s="69" t="s">
        <v>172</v>
      </c>
      <c r="BP197" s="5" t="s">
        <v>167</v>
      </c>
      <c r="BQ197" s="5" t="s">
        <v>168</v>
      </c>
      <c r="BR197" s="16" t="s">
        <v>169</v>
      </c>
      <c r="BS197" s="16" t="s">
        <v>170</v>
      </c>
      <c r="BT197" s="16" t="s">
        <v>171</v>
      </c>
      <c r="BU197" s="16" t="s">
        <v>171</v>
      </c>
      <c r="BV197" s="70" t="s">
        <v>331</v>
      </c>
      <c r="BW197" s="69" t="s">
        <v>172</v>
      </c>
      <c r="BX197" s="5" t="s">
        <v>167</v>
      </c>
      <c r="BY197" s="5" t="s">
        <v>168</v>
      </c>
      <c r="BZ197" s="16" t="s">
        <v>169</v>
      </c>
      <c r="CA197" s="16" t="s">
        <v>170</v>
      </c>
      <c r="CB197" s="16" t="s">
        <v>171</v>
      </c>
      <c r="CC197" s="16" t="s">
        <v>171</v>
      </c>
      <c r="CD197" s="70" t="s">
        <v>331</v>
      </c>
      <c r="CE197" s="69" t="s">
        <v>172</v>
      </c>
      <c r="CF197" s="5" t="s">
        <v>167</v>
      </c>
      <c r="CG197" s="5" t="s">
        <v>168</v>
      </c>
      <c r="CH197" s="16" t="s">
        <v>169</v>
      </c>
      <c r="CI197" s="16" t="s">
        <v>170</v>
      </c>
      <c r="CJ197" s="16" t="s">
        <v>171</v>
      </c>
      <c r="CK197" s="16" t="s">
        <v>171</v>
      </c>
      <c r="CL197" s="70" t="s">
        <v>331</v>
      </c>
      <c r="CM197" s="69" t="s">
        <v>172</v>
      </c>
      <c r="CN197" s="5" t="s">
        <v>167</v>
      </c>
      <c r="CO197" s="5" t="s">
        <v>168</v>
      </c>
      <c r="CP197" s="16" t="s">
        <v>169</v>
      </c>
      <c r="CQ197" s="16" t="s">
        <v>170</v>
      </c>
      <c r="CR197" s="16" t="s">
        <v>171</v>
      </c>
      <c r="CS197" s="16" t="s">
        <v>171</v>
      </c>
      <c r="CT197" s="16" t="s">
        <v>331</v>
      </c>
      <c r="CU197" s="237"/>
    </row>
    <row r="198" spans="1:99" ht="25.5" customHeight="1" x14ac:dyDescent="0.4">
      <c r="A198" s="436">
        <v>1</v>
      </c>
      <c r="B198" s="436" t="s">
        <v>46</v>
      </c>
      <c r="C198" s="436" t="s">
        <v>14</v>
      </c>
      <c r="D198" s="442" t="s">
        <v>21</v>
      </c>
      <c r="E198" s="461" t="s">
        <v>175</v>
      </c>
      <c r="F198" s="442" t="s">
        <v>19</v>
      </c>
      <c r="G198" s="464" t="s">
        <v>176</v>
      </c>
      <c r="H198" s="440">
        <f>SUM(AZ198:BF198)</f>
        <v>0</v>
      </c>
      <c r="I198" s="466">
        <f>SUM(AZ199:BF199)</f>
        <v>1.4999999999999999E-2</v>
      </c>
      <c r="J198" s="12"/>
      <c r="K198" s="13"/>
      <c r="L198" s="13"/>
      <c r="M198" s="513" t="s">
        <v>338</v>
      </c>
      <c r="N198" s="10" t="s">
        <v>24</v>
      </c>
      <c r="O198" s="10">
        <f>(9.5)/120</f>
        <v>7.9166666666666663E-2</v>
      </c>
      <c r="P198" s="10">
        <f t="shared" ref="P198:U207" si="542">(0)/120</f>
        <v>0</v>
      </c>
      <c r="Q198" s="10">
        <f>(30)/120</f>
        <v>0.25</v>
      </c>
      <c r="R198" s="10">
        <f>(30)/120</f>
        <v>0.25</v>
      </c>
      <c r="S198" s="10">
        <f>(30)/120</f>
        <v>0.25</v>
      </c>
      <c r="T198" s="10">
        <f t="shared" si="542"/>
        <v>0</v>
      </c>
      <c r="U198" s="79">
        <f>(20)/120</f>
        <v>0.16666666666666666</v>
      </c>
      <c r="V198" s="19">
        <f>(21)/142.5</f>
        <v>0.14736842105263157</v>
      </c>
      <c r="W198" s="10">
        <f>(0)/142.5</f>
        <v>0</v>
      </c>
      <c r="X198" s="10">
        <f>(35)/142.5</f>
        <v>0.24561403508771928</v>
      </c>
      <c r="Y198" s="10">
        <f>(35)/142.5</f>
        <v>0.24561403508771928</v>
      </c>
      <c r="Z198" s="10">
        <f>(30)/142.5</f>
        <v>0.21052631578947367</v>
      </c>
      <c r="AA198" s="10">
        <f>(0)/142.5</f>
        <v>0</v>
      </c>
      <c r="AB198" s="71">
        <f>(0)/165</f>
        <v>0</v>
      </c>
      <c r="AC198" s="10">
        <f>(0)/165</f>
        <v>0</v>
      </c>
      <c r="AD198" s="10">
        <f>(20)/165</f>
        <v>0.12121212121212122</v>
      </c>
      <c r="AE198" s="10">
        <f>(0)/165</f>
        <v>0</v>
      </c>
      <c r="AF198" s="10">
        <f>(10)/165</f>
        <v>6.0606060606060608E-2</v>
      </c>
      <c r="AG198" s="10">
        <f>(5)/165</f>
        <v>3.0303030303030304E-2</v>
      </c>
      <c r="AH198" s="71">
        <f t="shared" ref="AB198:AM207" si="543">(0)/165</f>
        <v>0</v>
      </c>
      <c r="AI198" s="10">
        <f t="shared" si="543"/>
        <v>0</v>
      </c>
      <c r="AJ198" s="10">
        <f>(2.5)/165</f>
        <v>1.5151515151515152E-2</v>
      </c>
      <c r="AK198" s="10">
        <f>(2.5)/165</f>
        <v>1.5151515151515152E-2</v>
      </c>
      <c r="AL198" s="10">
        <f t="shared" si="543"/>
        <v>0</v>
      </c>
      <c r="AM198" s="10">
        <f t="shared" si="543"/>
        <v>0</v>
      </c>
      <c r="AN198" s="71">
        <f t="shared" ref="AN198:AS207" si="544">(0)/157.5</f>
        <v>0</v>
      </c>
      <c r="AO198" s="10">
        <f>(5)/157.5</f>
        <v>3.1746031746031744E-2</v>
      </c>
      <c r="AP198" s="10">
        <f>(5.5)/157.5</f>
        <v>3.4920634920634921E-2</v>
      </c>
      <c r="AQ198" s="10">
        <f t="shared" ref="AQ198:AS198" si="545">(5)/157.5</f>
        <v>3.1746031746031744E-2</v>
      </c>
      <c r="AR198" s="10">
        <f t="shared" si="545"/>
        <v>3.1746031746031744E-2</v>
      </c>
      <c r="AS198" s="10">
        <f t="shared" si="545"/>
        <v>3.1746031746031744E-2</v>
      </c>
      <c r="AT198" s="189">
        <f t="shared" ref="AT198:AY207" si="546">(0)/165</f>
        <v>0</v>
      </c>
      <c r="AU198" s="10">
        <f>(3)/165</f>
        <v>1.8181818181818181E-2</v>
      </c>
      <c r="AV198" s="10">
        <f>(4)/165</f>
        <v>2.4242424242424242E-2</v>
      </c>
      <c r="AW198" s="10">
        <f t="shared" ref="AW198:AY198" si="547">(4)/165</f>
        <v>2.4242424242424242E-2</v>
      </c>
      <c r="AX198" s="10">
        <f t="shared" si="547"/>
        <v>2.4242424242424242E-2</v>
      </c>
      <c r="AY198" s="10">
        <f t="shared" si="547"/>
        <v>2.4242424242424242E-2</v>
      </c>
      <c r="AZ198" s="19">
        <f t="shared" ref="AZ198:BF207" si="548">(0)/150</f>
        <v>0</v>
      </c>
      <c r="BA198" s="10">
        <f t="shared" si="548"/>
        <v>0</v>
      </c>
      <c r="BB198" s="10">
        <f t="shared" si="548"/>
        <v>0</v>
      </c>
      <c r="BC198" s="10">
        <f t="shared" si="548"/>
        <v>0</v>
      </c>
      <c r="BD198" s="10">
        <f t="shared" si="548"/>
        <v>0</v>
      </c>
      <c r="BE198" s="10">
        <f t="shared" si="548"/>
        <v>0</v>
      </c>
      <c r="BF198" s="10">
        <f t="shared" si="548"/>
        <v>0</v>
      </c>
      <c r="BG198" s="19">
        <f t="shared" ref="BG198:BK207" si="549">(0)/142.5</f>
        <v>0</v>
      </c>
      <c r="BH198" s="10">
        <f t="shared" si="549"/>
        <v>0</v>
      </c>
      <c r="BI198" s="10">
        <f t="shared" si="549"/>
        <v>0</v>
      </c>
      <c r="BJ198" s="10">
        <f t="shared" si="549"/>
        <v>0</v>
      </c>
      <c r="BK198" s="10">
        <f t="shared" si="549"/>
        <v>0</v>
      </c>
      <c r="BL198" s="10">
        <f t="shared" ref="BL198:BN207" si="550">(0)/172.5</f>
        <v>0</v>
      </c>
      <c r="BM198" s="10">
        <f t="shared" si="550"/>
        <v>0</v>
      </c>
      <c r="BN198" s="17">
        <f t="shared" si="550"/>
        <v>0</v>
      </c>
      <c r="BO198" s="19">
        <f t="shared" ref="BO198:BS207" si="551">(0)/157.5</f>
        <v>0</v>
      </c>
      <c r="BP198" s="10">
        <f t="shared" si="551"/>
        <v>0</v>
      </c>
      <c r="BQ198" s="10">
        <f t="shared" si="551"/>
        <v>0</v>
      </c>
      <c r="BR198" s="10">
        <f t="shared" si="551"/>
        <v>0</v>
      </c>
      <c r="BS198" s="10">
        <f t="shared" si="551"/>
        <v>0</v>
      </c>
      <c r="BT198" s="10">
        <f t="shared" ref="BT198:BV207" si="552">(0)/172.5</f>
        <v>0</v>
      </c>
      <c r="BU198" s="10">
        <f t="shared" si="552"/>
        <v>0</v>
      </c>
      <c r="BV198" s="17">
        <f t="shared" si="552"/>
        <v>0</v>
      </c>
      <c r="BW198" s="71">
        <f t="shared" ref="BW198:CA207" si="553">(0)/157.5</f>
        <v>0</v>
      </c>
      <c r="BX198" s="10">
        <f t="shared" si="553"/>
        <v>0</v>
      </c>
      <c r="BY198" s="10">
        <f t="shared" si="553"/>
        <v>0</v>
      </c>
      <c r="BZ198" s="10">
        <f t="shared" si="553"/>
        <v>0</v>
      </c>
      <c r="CA198" s="10">
        <f t="shared" si="553"/>
        <v>0</v>
      </c>
      <c r="CB198" s="10">
        <f t="shared" ref="CB198:CD207" si="554">(0)/172.5</f>
        <v>0</v>
      </c>
      <c r="CC198" s="10">
        <f t="shared" si="554"/>
        <v>0</v>
      </c>
      <c r="CD198" s="17">
        <f t="shared" si="554"/>
        <v>0</v>
      </c>
      <c r="CE198" s="19">
        <f t="shared" ref="CE198:CI206" si="555">(0/157.5)</f>
        <v>0</v>
      </c>
      <c r="CF198" s="10">
        <f t="shared" si="555"/>
        <v>0</v>
      </c>
      <c r="CG198" s="10">
        <f t="shared" si="555"/>
        <v>0</v>
      </c>
      <c r="CH198" s="10">
        <f t="shared" si="555"/>
        <v>0</v>
      </c>
      <c r="CI198" s="10">
        <f t="shared" si="555"/>
        <v>0</v>
      </c>
      <c r="CJ198" s="10">
        <f t="shared" ref="CJ198:CL207" si="556">(0)/172.5</f>
        <v>0</v>
      </c>
      <c r="CK198" s="10">
        <f t="shared" si="556"/>
        <v>0</v>
      </c>
      <c r="CL198" s="17">
        <f t="shared" si="556"/>
        <v>0</v>
      </c>
      <c r="CM198" s="19">
        <f t="shared" ref="CM198:CQ206" si="557">(0)/142.5</f>
        <v>0</v>
      </c>
      <c r="CN198" s="10">
        <f t="shared" si="557"/>
        <v>0</v>
      </c>
      <c r="CO198" s="10">
        <f t="shared" si="557"/>
        <v>0</v>
      </c>
      <c r="CP198" s="10">
        <f t="shared" si="557"/>
        <v>0</v>
      </c>
      <c r="CQ198" s="10">
        <f t="shared" si="557"/>
        <v>0</v>
      </c>
      <c r="CR198" s="10">
        <f t="shared" ref="CR198:CT207" si="558">(0)/172.5</f>
        <v>0</v>
      </c>
      <c r="CS198" s="10">
        <f t="shared" si="558"/>
        <v>0</v>
      </c>
      <c r="CT198" s="17">
        <f t="shared" si="558"/>
        <v>0</v>
      </c>
      <c r="CU198" s="235"/>
    </row>
    <row r="199" spans="1:99" ht="25.5" customHeight="1" x14ac:dyDescent="0.4">
      <c r="A199" s="437"/>
      <c r="B199" s="437"/>
      <c r="C199" s="437"/>
      <c r="D199" s="443"/>
      <c r="E199" s="443"/>
      <c r="F199" s="443"/>
      <c r="G199" s="465"/>
      <c r="H199" s="441"/>
      <c r="I199" s="467"/>
      <c r="J199" s="14"/>
      <c r="K199" s="15"/>
      <c r="L199" s="15"/>
      <c r="M199" s="451"/>
      <c r="N199" s="11" t="s">
        <v>25</v>
      </c>
      <c r="O199" s="11">
        <f>(0+7.5)/120</f>
        <v>6.25E-2</v>
      </c>
      <c r="P199" s="11">
        <f t="shared" si="542"/>
        <v>0</v>
      </c>
      <c r="Q199" s="11">
        <f>(0+13)/120</f>
        <v>0.10833333333333334</v>
      </c>
      <c r="R199" s="11">
        <f>(0+3)/120</f>
        <v>2.5000000000000001E-2</v>
      </c>
      <c r="S199" s="11">
        <f>(0+6)/120</f>
        <v>0.05</v>
      </c>
      <c r="T199" s="11">
        <f t="shared" si="542"/>
        <v>0</v>
      </c>
      <c r="U199" s="48">
        <f>(0+5)/120</f>
        <v>4.1666666666666664E-2</v>
      </c>
      <c r="V199" s="56">
        <f>(0+7.5+7.5)/142.5</f>
        <v>0.10526315789473684</v>
      </c>
      <c r="W199" s="11">
        <f>(0)/142.5</f>
        <v>0</v>
      </c>
      <c r="X199" s="11">
        <f>(3.5+15+7.5)/142.5</f>
        <v>0.18245614035087721</v>
      </c>
      <c r="Y199" s="11">
        <f>(7.5)/142.5</f>
        <v>5.2631578947368418E-2</v>
      </c>
      <c r="Z199" s="11">
        <f>(7.5)/142.5</f>
        <v>5.2631578947368418E-2</v>
      </c>
      <c r="AA199" s="11">
        <f>(0)/142.5</f>
        <v>0</v>
      </c>
      <c r="AB199" s="56">
        <f t="shared" si="543"/>
        <v>0</v>
      </c>
      <c r="AC199" s="11">
        <f t="shared" si="543"/>
        <v>0</v>
      </c>
      <c r="AD199" s="11">
        <f>(14)/165</f>
        <v>8.4848484848484854E-2</v>
      </c>
      <c r="AE199" s="11">
        <f t="shared" si="543"/>
        <v>0</v>
      </c>
      <c r="AF199" s="11">
        <f>(7.5)/165</f>
        <v>4.5454545454545456E-2</v>
      </c>
      <c r="AG199" s="11">
        <f>(0+7.5)/165</f>
        <v>4.5454545454545456E-2</v>
      </c>
      <c r="AH199" s="56">
        <f>(7.5)/165</f>
        <v>4.5454545454545456E-2</v>
      </c>
      <c r="AI199" s="11">
        <f>(7.5)/165</f>
        <v>4.5454545454545456E-2</v>
      </c>
      <c r="AJ199" s="11">
        <f>(3.5+7.5)/165</f>
        <v>6.6666666666666666E-2</v>
      </c>
      <c r="AK199" s="11">
        <f>(7.5)/165</f>
        <v>4.5454545454545456E-2</v>
      </c>
      <c r="AL199" s="11">
        <f>(0+7.5)/165</f>
        <v>4.5454545454545456E-2</v>
      </c>
      <c r="AM199" s="11">
        <f>(7.5)/165</f>
        <v>4.5454545454545456E-2</v>
      </c>
      <c r="AN199" s="56">
        <f t="shared" si="544"/>
        <v>0</v>
      </c>
      <c r="AO199" s="11">
        <f>(7.5)/157.5</f>
        <v>4.7619047619047616E-2</v>
      </c>
      <c r="AP199" s="11">
        <f>(7.5+7.5)/157.5</f>
        <v>9.5238095238095233E-2</v>
      </c>
      <c r="AQ199" s="11">
        <f>(0+7.5)/157.5</f>
        <v>4.7619047619047616E-2</v>
      </c>
      <c r="AR199" s="11">
        <f>(0+7.5)/157.5</f>
        <v>4.7619047619047616E-2</v>
      </c>
      <c r="AS199" s="11">
        <f>(7.5)/157.5</f>
        <v>4.7619047619047616E-2</v>
      </c>
      <c r="AT199" s="61">
        <f>(0+3)/165</f>
        <v>1.8181818181818181E-2</v>
      </c>
      <c r="AU199" s="58">
        <f>(7.5)/165</f>
        <v>4.5454545454545456E-2</v>
      </c>
      <c r="AV199" s="58">
        <f>(15)/165</f>
        <v>9.0909090909090912E-2</v>
      </c>
      <c r="AW199" s="58">
        <f>(7.5+7.5)/165</f>
        <v>9.0909090909090912E-2</v>
      </c>
      <c r="AX199" s="58">
        <f>(0+7.5)/165</f>
        <v>4.5454545454545456E-2</v>
      </c>
      <c r="AY199" s="58">
        <f>(7.5+7.5)/165</f>
        <v>9.0909090909090912E-2</v>
      </c>
      <c r="AZ199" s="61">
        <f t="shared" si="548"/>
        <v>0</v>
      </c>
      <c r="BA199" s="58">
        <f t="shared" si="548"/>
        <v>0</v>
      </c>
      <c r="BB199" s="58">
        <f t="shared" si="548"/>
        <v>0</v>
      </c>
      <c r="BC199" s="58">
        <f t="shared" si="548"/>
        <v>0</v>
      </c>
      <c r="BD199" s="58">
        <f>(2.25)/150</f>
        <v>1.4999999999999999E-2</v>
      </c>
      <c r="BE199" s="58">
        <f t="shared" si="548"/>
        <v>0</v>
      </c>
      <c r="BF199" s="58">
        <f t="shared" si="548"/>
        <v>0</v>
      </c>
      <c r="BG199" s="61">
        <f t="shared" si="549"/>
        <v>0</v>
      </c>
      <c r="BH199" s="58">
        <f t="shared" si="549"/>
        <v>0</v>
      </c>
      <c r="BI199" s="58">
        <f t="shared" si="549"/>
        <v>0</v>
      </c>
      <c r="BJ199" s="58">
        <f t="shared" si="549"/>
        <v>0</v>
      </c>
      <c r="BK199" s="58">
        <f t="shared" si="549"/>
        <v>0</v>
      </c>
      <c r="BL199" s="58">
        <f t="shared" si="550"/>
        <v>0</v>
      </c>
      <c r="BM199" s="58">
        <f t="shared" si="550"/>
        <v>0</v>
      </c>
      <c r="BN199" s="62">
        <f t="shared" si="550"/>
        <v>0</v>
      </c>
      <c r="BO199" s="61">
        <f t="shared" si="551"/>
        <v>0</v>
      </c>
      <c r="BP199" s="58">
        <f t="shared" si="551"/>
        <v>0</v>
      </c>
      <c r="BQ199" s="58">
        <f t="shared" si="551"/>
        <v>0</v>
      </c>
      <c r="BR199" s="58">
        <f t="shared" si="551"/>
        <v>0</v>
      </c>
      <c r="BS199" s="58">
        <f t="shared" si="551"/>
        <v>0</v>
      </c>
      <c r="BT199" s="58">
        <f t="shared" si="552"/>
        <v>0</v>
      </c>
      <c r="BU199" s="58">
        <f t="shared" si="552"/>
        <v>0</v>
      </c>
      <c r="BV199" s="62">
        <f t="shared" si="552"/>
        <v>0</v>
      </c>
      <c r="BW199" s="61">
        <f t="shared" si="553"/>
        <v>0</v>
      </c>
      <c r="BX199" s="58">
        <f t="shared" si="553"/>
        <v>0</v>
      </c>
      <c r="BY199" s="58">
        <f t="shared" si="553"/>
        <v>0</v>
      </c>
      <c r="BZ199" s="58">
        <f t="shared" si="553"/>
        <v>0</v>
      </c>
      <c r="CA199" s="58">
        <f t="shared" si="553"/>
        <v>0</v>
      </c>
      <c r="CB199" s="58">
        <f t="shared" si="554"/>
        <v>0</v>
      </c>
      <c r="CC199" s="58">
        <f t="shared" si="554"/>
        <v>0</v>
      </c>
      <c r="CD199" s="62">
        <f t="shared" si="554"/>
        <v>0</v>
      </c>
      <c r="CE199" s="61">
        <f t="shared" ref="CE199:CI207" si="559">(0)/157.5</f>
        <v>0</v>
      </c>
      <c r="CF199" s="58">
        <f t="shared" si="559"/>
        <v>0</v>
      </c>
      <c r="CG199" s="58">
        <f t="shared" si="559"/>
        <v>0</v>
      </c>
      <c r="CH199" s="58">
        <f t="shared" si="559"/>
        <v>0</v>
      </c>
      <c r="CI199" s="58">
        <f t="shared" si="559"/>
        <v>0</v>
      </c>
      <c r="CJ199" s="58">
        <f t="shared" si="556"/>
        <v>0</v>
      </c>
      <c r="CK199" s="58">
        <f t="shared" si="556"/>
        <v>0</v>
      </c>
      <c r="CL199" s="62">
        <f t="shared" si="556"/>
        <v>0</v>
      </c>
      <c r="CM199" s="61">
        <f t="shared" ref="CM199:CQ207" si="560">0/142.5</f>
        <v>0</v>
      </c>
      <c r="CN199" s="58">
        <f t="shared" si="560"/>
        <v>0</v>
      </c>
      <c r="CO199" s="58">
        <f t="shared" si="560"/>
        <v>0</v>
      </c>
      <c r="CP199" s="58">
        <f t="shared" si="560"/>
        <v>0</v>
      </c>
      <c r="CQ199" s="58">
        <f t="shared" si="560"/>
        <v>0</v>
      </c>
      <c r="CR199" s="58">
        <f t="shared" si="558"/>
        <v>0</v>
      </c>
      <c r="CS199" s="58">
        <f t="shared" si="558"/>
        <v>0</v>
      </c>
      <c r="CT199" s="62">
        <f t="shared" si="558"/>
        <v>0</v>
      </c>
      <c r="CU199" s="235"/>
    </row>
    <row r="200" spans="1:99" ht="25.5" customHeight="1" x14ac:dyDescent="0.4">
      <c r="A200" s="436">
        <v>2</v>
      </c>
      <c r="B200" s="436" t="s">
        <v>46</v>
      </c>
      <c r="C200" s="436" t="s">
        <v>14</v>
      </c>
      <c r="D200" s="442" t="s">
        <v>19</v>
      </c>
      <c r="E200" s="442" t="s">
        <v>195</v>
      </c>
      <c r="F200" s="442" t="s">
        <v>19</v>
      </c>
      <c r="G200" s="464" t="s">
        <v>177</v>
      </c>
      <c r="H200" s="440">
        <f t="shared" ref="H200:H207" si="561">SUM(AZ200:BF200)</f>
        <v>0</v>
      </c>
      <c r="I200" s="466">
        <f t="shared" ref="I200:I207" si="562">SUM(AZ201:BF201)</f>
        <v>0</v>
      </c>
      <c r="J200" s="12"/>
      <c r="K200" s="13"/>
      <c r="L200" s="13"/>
      <c r="M200" s="513"/>
      <c r="N200" s="10" t="s">
        <v>24</v>
      </c>
      <c r="O200" s="10">
        <f t="shared" ref="O200:O207" si="563">(0)/120</f>
        <v>0</v>
      </c>
      <c r="P200" s="10">
        <f t="shared" si="542"/>
        <v>0</v>
      </c>
      <c r="Q200" s="10">
        <f t="shared" si="542"/>
        <v>0</v>
      </c>
      <c r="R200" s="10">
        <f t="shared" si="542"/>
        <v>0</v>
      </c>
      <c r="S200" s="10">
        <f t="shared" si="542"/>
        <v>0</v>
      </c>
      <c r="T200" s="10">
        <f t="shared" si="542"/>
        <v>0</v>
      </c>
      <c r="U200" s="79">
        <f t="shared" si="542"/>
        <v>0</v>
      </c>
      <c r="V200" s="19">
        <f>(1*15)/142.5</f>
        <v>0.10526315789473684</v>
      </c>
      <c r="W200" s="10">
        <f>(0)/142.5</f>
        <v>0</v>
      </c>
      <c r="X200" s="10">
        <f t="shared" ref="X200:AA200" si="564">(1*20)/142.5</f>
        <v>0.14035087719298245</v>
      </c>
      <c r="Y200" s="10">
        <f t="shared" si="564"/>
        <v>0.14035087719298245</v>
      </c>
      <c r="Z200" s="10">
        <f t="shared" si="564"/>
        <v>0.14035087719298245</v>
      </c>
      <c r="AA200" s="10">
        <f t="shared" si="564"/>
        <v>0.14035087719298245</v>
      </c>
      <c r="AB200" s="71">
        <f>(1*22)/165</f>
        <v>0.13333333333333333</v>
      </c>
      <c r="AC200" s="10">
        <f>(1*8)/165</f>
        <v>4.8484848484848485E-2</v>
      </c>
      <c r="AD200" s="10">
        <f>(1*12.5)/165</f>
        <v>7.575757575757576E-2</v>
      </c>
      <c r="AE200" s="10">
        <f t="shared" ref="AE200:AG200" si="565">(1*12.5)/165</f>
        <v>7.575757575757576E-2</v>
      </c>
      <c r="AF200" s="10">
        <f t="shared" si="565"/>
        <v>7.575757575757576E-2</v>
      </c>
      <c r="AG200" s="10">
        <f t="shared" si="565"/>
        <v>7.575757575757576E-2</v>
      </c>
      <c r="AH200" s="71">
        <f t="shared" si="543"/>
        <v>0</v>
      </c>
      <c r="AI200" s="10">
        <f>(2)/165</f>
        <v>1.2121212121212121E-2</v>
      </c>
      <c r="AJ200" s="10">
        <f>(2)/165</f>
        <v>1.2121212121212121E-2</v>
      </c>
      <c r="AK200" s="10">
        <f>(2)/165</f>
        <v>1.2121212121212121E-2</v>
      </c>
      <c r="AL200" s="10">
        <f>(1)/165</f>
        <v>6.0606060606060606E-3</v>
      </c>
      <c r="AM200" s="10">
        <f>(1)/165</f>
        <v>6.0606060606060606E-3</v>
      </c>
      <c r="AN200" s="71">
        <f>(0.85*21)/157.5</f>
        <v>0.11333333333333331</v>
      </c>
      <c r="AO200" s="10">
        <f>(0.4*21)/157.5</f>
        <v>5.3333333333333337E-2</v>
      </c>
      <c r="AP200" s="10">
        <f t="shared" ref="AP200:AS200" si="566">(0.5*21)/157.5</f>
        <v>6.6666666666666666E-2</v>
      </c>
      <c r="AQ200" s="10">
        <f>(0.9*21)/157.5</f>
        <v>0.12000000000000001</v>
      </c>
      <c r="AR200" s="10">
        <f>(0.25*21)/157.5</f>
        <v>3.3333333333333333E-2</v>
      </c>
      <c r="AS200" s="10">
        <f t="shared" si="566"/>
        <v>6.6666666666666666E-2</v>
      </c>
      <c r="AT200" s="189">
        <f t="shared" si="546"/>
        <v>0</v>
      </c>
      <c r="AU200" s="10">
        <f t="shared" si="546"/>
        <v>0</v>
      </c>
      <c r="AV200" s="10">
        <f t="shared" si="546"/>
        <v>0</v>
      </c>
      <c r="AW200" s="10">
        <f t="shared" si="546"/>
        <v>0</v>
      </c>
      <c r="AX200" s="10">
        <f t="shared" si="546"/>
        <v>0</v>
      </c>
      <c r="AY200" s="17">
        <f t="shared" si="546"/>
        <v>0</v>
      </c>
      <c r="AZ200" s="19">
        <f t="shared" si="548"/>
        <v>0</v>
      </c>
      <c r="BA200" s="10">
        <f t="shared" si="548"/>
        <v>0</v>
      </c>
      <c r="BB200" s="10">
        <f t="shared" si="548"/>
        <v>0</v>
      </c>
      <c r="BC200" s="10">
        <f t="shared" si="548"/>
        <v>0</v>
      </c>
      <c r="BD200" s="10">
        <f t="shared" si="548"/>
        <v>0</v>
      </c>
      <c r="BE200" s="10">
        <f t="shared" si="548"/>
        <v>0</v>
      </c>
      <c r="BF200" s="10">
        <f t="shared" si="548"/>
        <v>0</v>
      </c>
      <c r="BG200" s="19">
        <f t="shared" si="549"/>
        <v>0</v>
      </c>
      <c r="BH200" s="10">
        <f t="shared" si="549"/>
        <v>0</v>
      </c>
      <c r="BI200" s="10">
        <f t="shared" si="549"/>
        <v>0</v>
      </c>
      <c r="BJ200" s="10">
        <f t="shared" si="549"/>
        <v>0</v>
      </c>
      <c r="BK200" s="10">
        <f t="shared" si="549"/>
        <v>0</v>
      </c>
      <c r="BL200" s="10">
        <f t="shared" si="550"/>
        <v>0</v>
      </c>
      <c r="BM200" s="10">
        <f t="shared" si="550"/>
        <v>0</v>
      </c>
      <c r="BN200" s="17">
        <f t="shared" si="550"/>
        <v>0</v>
      </c>
      <c r="BO200" s="19">
        <f t="shared" si="551"/>
        <v>0</v>
      </c>
      <c r="BP200" s="10">
        <f t="shared" si="551"/>
        <v>0</v>
      </c>
      <c r="BQ200" s="10">
        <f t="shared" si="551"/>
        <v>0</v>
      </c>
      <c r="BR200" s="10">
        <f t="shared" si="551"/>
        <v>0</v>
      </c>
      <c r="BS200" s="10">
        <f t="shared" si="551"/>
        <v>0</v>
      </c>
      <c r="BT200" s="10">
        <f t="shared" si="552"/>
        <v>0</v>
      </c>
      <c r="BU200" s="10">
        <f t="shared" si="552"/>
        <v>0</v>
      </c>
      <c r="BV200" s="17">
        <f t="shared" si="552"/>
        <v>0</v>
      </c>
      <c r="BW200" s="71">
        <f t="shared" si="553"/>
        <v>0</v>
      </c>
      <c r="BX200" s="10">
        <f t="shared" si="553"/>
        <v>0</v>
      </c>
      <c r="BY200" s="10">
        <f t="shared" si="553"/>
        <v>0</v>
      </c>
      <c r="BZ200" s="10">
        <f t="shared" si="553"/>
        <v>0</v>
      </c>
      <c r="CA200" s="10">
        <f t="shared" si="553"/>
        <v>0</v>
      </c>
      <c r="CB200" s="10">
        <f t="shared" si="554"/>
        <v>0</v>
      </c>
      <c r="CC200" s="10">
        <f t="shared" si="554"/>
        <v>0</v>
      </c>
      <c r="CD200" s="17">
        <f t="shared" si="554"/>
        <v>0</v>
      </c>
      <c r="CE200" s="19">
        <f t="shared" si="555"/>
        <v>0</v>
      </c>
      <c r="CF200" s="10">
        <f t="shared" si="555"/>
        <v>0</v>
      </c>
      <c r="CG200" s="10">
        <f t="shared" si="555"/>
        <v>0</v>
      </c>
      <c r="CH200" s="10">
        <f t="shared" si="555"/>
        <v>0</v>
      </c>
      <c r="CI200" s="10">
        <f t="shared" si="555"/>
        <v>0</v>
      </c>
      <c r="CJ200" s="10">
        <f t="shared" si="556"/>
        <v>0</v>
      </c>
      <c r="CK200" s="10">
        <f t="shared" si="556"/>
        <v>0</v>
      </c>
      <c r="CL200" s="17">
        <f t="shared" si="556"/>
        <v>0</v>
      </c>
      <c r="CM200" s="19">
        <f t="shared" si="557"/>
        <v>0</v>
      </c>
      <c r="CN200" s="10">
        <f t="shared" si="557"/>
        <v>0</v>
      </c>
      <c r="CO200" s="10">
        <f t="shared" si="557"/>
        <v>0</v>
      </c>
      <c r="CP200" s="10">
        <f t="shared" si="557"/>
        <v>0</v>
      </c>
      <c r="CQ200" s="10">
        <f t="shared" si="557"/>
        <v>0</v>
      </c>
      <c r="CR200" s="10">
        <f t="shared" si="558"/>
        <v>0</v>
      </c>
      <c r="CS200" s="10">
        <f t="shared" si="558"/>
        <v>0</v>
      </c>
      <c r="CT200" s="17">
        <f t="shared" si="558"/>
        <v>0</v>
      </c>
      <c r="CU200" s="235"/>
    </row>
    <row r="201" spans="1:99" ht="25.5" customHeight="1" x14ac:dyDescent="0.4">
      <c r="A201" s="437"/>
      <c r="B201" s="437"/>
      <c r="C201" s="437"/>
      <c r="D201" s="443"/>
      <c r="E201" s="443"/>
      <c r="F201" s="443"/>
      <c r="G201" s="465"/>
      <c r="H201" s="441"/>
      <c r="I201" s="467"/>
      <c r="J201" s="14"/>
      <c r="K201" s="15"/>
      <c r="L201" s="15"/>
      <c r="M201" s="451"/>
      <c r="N201" s="11" t="s">
        <v>25</v>
      </c>
      <c r="O201" s="11">
        <f t="shared" si="563"/>
        <v>0</v>
      </c>
      <c r="P201" s="11">
        <f t="shared" si="542"/>
        <v>0</v>
      </c>
      <c r="Q201" s="11">
        <f t="shared" si="542"/>
        <v>0</v>
      </c>
      <c r="R201" s="11">
        <f t="shared" si="542"/>
        <v>0</v>
      </c>
      <c r="S201" s="11">
        <f t="shared" si="542"/>
        <v>0</v>
      </c>
      <c r="T201" s="11">
        <f t="shared" si="542"/>
        <v>0</v>
      </c>
      <c r="U201" s="48">
        <f t="shared" si="542"/>
        <v>0</v>
      </c>
      <c r="V201" s="56">
        <f>(3+5+5+3)/142.5</f>
        <v>0.11228070175438597</v>
      </c>
      <c r="W201" s="11">
        <f>(0)/142.5</f>
        <v>0</v>
      </c>
      <c r="X201" s="11">
        <f>(3+3+5+4+1)/142.5</f>
        <v>0.11228070175438597</v>
      </c>
      <c r="Y201" s="11">
        <f>(3+5+5+5)/142.5</f>
        <v>0.12631578947368421</v>
      </c>
      <c r="Z201" s="11">
        <f>(2+5+5+5+1)/142.5</f>
        <v>0.12631578947368421</v>
      </c>
      <c r="AA201" s="11">
        <f>(3+5+5+5+1)/142.5</f>
        <v>0.13333333333333333</v>
      </c>
      <c r="AB201" s="56">
        <f>(3+5+3+3+2)/165</f>
        <v>9.696969696969697E-2</v>
      </c>
      <c r="AC201" s="11">
        <f>(0+1.5+1)/165</f>
        <v>1.5151515151515152E-2</v>
      </c>
      <c r="AD201" s="11">
        <f>(3+2.5+2.5+4+2)/165</f>
        <v>8.4848484848484854E-2</v>
      </c>
      <c r="AE201" s="11">
        <f>(3+2+5+2)/165</f>
        <v>7.2727272727272724E-2</v>
      </c>
      <c r="AF201" s="11">
        <f>(2+2+5+2)/165</f>
        <v>6.6666666666666666E-2</v>
      </c>
      <c r="AG201" s="11">
        <f>(3+2.5+4+4)/165</f>
        <v>8.1818181818181818E-2</v>
      </c>
      <c r="AH201" s="56">
        <f>(0.5)/165</f>
        <v>3.0303030303030303E-3</v>
      </c>
      <c r="AI201" s="11">
        <f>(0.5+1)/165</f>
        <v>9.0909090909090905E-3</v>
      </c>
      <c r="AJ201" s="11">
        <f>(1+2)/165</f>
        <v>1.8181818181818181E-2</v>
      </c>
      <c r="AK201" s="11">
        <f>(1+2)/165</f>
        <v>1.8181818181818181E-2</v>
      </c>
      <c r="AL201" s="11">
        <f t="shared" ref="AL201" si="567">(1)/165</f>
        <v>6.0606060606060606E-3</v>
      </c>
      <c r="AM201" s="11">
        <f>(0+1.5)/165</f>
        <v>9.0909090909090905E-3</v>
      </c>
      <c r="AN201" s="56">
        <f>(1.5+5+5+3)/157.5</f>
        <v>9.2063492063492069E-2</v>
      </c>
      <c r="AO201" s="11">
        <f>(2.5+3+4+2)/157.5</f>
        <v>7.301587301587302E-2</v>
      </c>
      <c r="AP201" s="11">
        <f>(3+4+3)/157.5</f>
        <v>6.3492063492063489E-2</v>
      </c>
      <c r="AQ201" s="11">
        <f>(3+5+4+5+3)/157.5</f>
        <v>0.12698412698412698</v>
      </c>
      <c r="AR201" s="11">
        <f>(2+1.5)/157.5</f>
        <v>2.2222222222222223E-2</v>
      </c>
      <c r="AS201" s="11">
        <f>(0.5+4.5+5+1)/157.5</f>
        <v>6.9841269841269843E-2</v>
      </c>
      <c r="AT201" s="61">
        <f t="shared" si="546"/>
        <v>0</v>
      </c>
      <c r="AU201" s="58">
        <f t="shared" si="546"/>
        <v>0</v>
      </c>
      <c r="AV201" s="58">
        <f t="shared" si="546"/>
        <v>0</v>
      </c>
      <c r="AW201" s="58">
        <f t="shared" si="546"/>
        <v>0</v>
      </c>
      <c r="AX201" s="58">
        <f t="shared" si="546"/>
        <v>0</v>
      </c>
      <c r="AY201" s="62">
        <f t="shared" si="546"/>
        <v>0</v>
      </c>
      <c r="AZ201" s="61">
        <f t="shared" si="548"/>
        <v>0</v>
      </c>
      <c r="BA201" s="58">
        <f t="shared" si="548"/>
        <v>0</v>
      </c>
      <c r="BB201" s="58">
        <f t="shared" si="548"/>
        <v>0</v>
      </c>
      <c r="BC201" s="58">
        <f t="shared" si="548"/>
        <v>0</v>
      </c>
      <c r="BD201" s="58">
        <f t="shared" si="548"/>
        <v>0</v>
      </c>
      <c r="BE201" s="58">
        <f t="shared" si="548"/>
        <v>0</v>
      </c>
      <c r="BF201" s="58">
        <f t="shared" si="548"/>
        <v>0</v>
      </c>
      <c r="BG201" s="61">
        <f t="shared" si="549"/>
        <v>0</v>
      </c>
      <c r="BH201" s="58">
        <f t="shared" si="549"/>
        <v>0</v>
      </c>
      <c r="BI201" s="58">
        <f t="shared" si="549"/>
        <v>0</v>
      </c>
      <c r="BJ201" s="58">
        <f t="shared" si="549"/>
        <v>0</v>
      </c>
      <c r="BK201" s="58">
        <f t="shared" si="549"/>
        <v>0</v>
      </c>
      <c r="BL201" s="58">
        <f t="shared" si="550"/>
        <v>0</v>
      </c>
      <c r="BM201" s="58">
        <f t="shared" si="550"/>
        <v>0</v>
      </c>
      <c r="BN201" s="62">
        <f t="shared" si="550"/>
        <v>0</v>
      </c>
      <c r="BO201" s="61">
        <f t="shared" si="551"/>
        <v>0</v>
      </c>
      <c r="BP201" s="58">
        <f t="shared" si="551"/>
        <v>0</v>
      </c>
      <c r="BQ201" s="58">
        <f t="shared" si="551"/>
        <v>0</v>
      </c>
      <c r="BR201" s="58">
        <f t="shared" si="551"/>
        <v>0</v>
      </c>
      <c r="BS201" s="58">
        <f t="shared" si="551"/>
        <v>0</v>
      </c>
      <c r="BT201" s="58">
        <f t="shared" si="552"/>
        <v>0</v>
      </c>
      <c r="BU201" s="58">
        <f t="shared" si="552"/>
        <v>0</v>
      </c>
      <c r="BV201" s="62">
        <f t="shared" si="552"/>
        <v>0</v>
      </c>
      <c r="BW201" s="61">
        <f t="shared" si="553"/>
        <v>0</v>
      </c>
      <c r="BX201" s="58">
        <f t="shared" si="553"/>
        <v>0</v>
      </c>
      <c r="BY201" s="58">
        <f t="shared" si="553"/>
        <v>0</v>
      </c>
      <c r="BZ201" s="58">
        <f t="shared" si="553"/>
        <v>0</v>
      </c>
      <c r="CA201" s="58">
        <f t="shared" si="553"/>
        <v>0</v>
      </c>
      <c r="CB201" s="58">
        <f t="shared" si="554"/>
        <v>0</v>
      </c>
      <c r="CC201" s="58">
        <f t="shared" si="554"/>
        <v>0</v>
      </c>
      <c r="CD201" s="62">
        <f t="shared" si="554"/>
        <v>0</v>
      </c>
      <c r="CE201" s="61">
        <f t="shared" si="559"/>
        <v>0</v>
      </c>
      <c r="CF201" s="58">
        <f t="shared" si="559"/>
        <v>0</v>
      </c>
      <c r="CG201" s="58">
        <f t="shared" si="559"/>
        <v>0</v>
      </c>
      <c r="CH201" s="58">
        <f t="shared" si="559"/>
        <v>0</v>
      </c>
      <c r="CI201" s="58">
        <f t="shared" si="559"/>
        <v>0</v>
      </c>
      <c r="CJ201" s="58">
        <f t="shared" si="556"/>
        <v>0</v>
      </c>
      <c r="CK201" s="58">
        <f t="shared" si="556"/>
        <v>0</v>
      </c>
      <c r="CL201" s="62">
        <f t="shared" si="556"/>
        <v>0</v>
      </c>
      <c r="CM201" s="61">
        <f t="shared" si="560"/>
        <v>0</v>
      </c>
      <c r="CN201" s="58">
        <f t="shared" si="560"/>
        <v>0</v>
      </c>
      <c r="CO201" s="58">
        <f t="shared" si="560"/>
        <v>0</v>
      </c>
      <c r="CP201" s="58">
        <f t="shared" si="560"/>
        <v>0</v>
      </c>
      <c r="CQ201" s="58">
        <f t="shared" si="560"/>
        <v>0</v>
      </c>
      <c r="CR201" s="58">
        <f t="shared" si="558"/>
        <v>0</v>
      </c>
      <c r="CS201" s="58">
        <f t="shared" si="558"/>
        <v>0</v>
      </c>
      <c r="CT201" s="62">
        <f t="shared" si="558"/>
        <v>0</v>
      </c>
      <c r="CU201" s="235"/>
    </row>
    <row r="202" spans="1:99" ht="25.5" customHeight="1" x14ac:dyDescent="0.4">
      <c r="A202" s="436">
        <v>3</v>
      </c>
      <c r="B202" s="436" t="s">
        <v>46</v>
      </c>
      <c r="C202" s="436" t="s">
        <v>14</v>
      </c>
      <c r="D202" s="442" t="s">
        <v>19</v>
      </c>
      <c r="E202" s="442" t="s">
        <v>196</v>
      </c>
      <c r="F202" s="442" t="s">
        <v>19</v>
      </c>
      <c r="G202" s="464" t="s">
        <v>197</v>
      </c>
      <c r="H202" s="440">
        <f t="shared" ref="H202:H207" si="568">SUM(AZ202:BF202)</f>
        <v>0</v>
      </c>
      <c r="I202" s="466">
        <f t="shared" ref="I202:I207" si="569">SUM(AZ203:BF203)</f>
        <v>0</v>
      </c>
      <c r="J202" s="12"/>
      <c r="K202" s="13"/>
      <c r="L202" s="13"/>
      <c r="M202" s="513"/>
      <c r="N202" s="10" t="s">
        <v>24</v>
      </c>
      <c r="O202" s="10">
        <f t="shared" si="563"/>
        <v>0</v>
      </c>
      <c r="P202" s="10">
        <f t="shared" si="542"/>
        <v>0</v>
      </c>
      <c r="Q202" s="10">
        <f t="shared" si="542"/>
        <v>0</v>
      </c>
      <c r="R202" s="10">
        <f t="shared" si="542"/>
        <v>0</v>
      </c>
      <c r="S202" s="10">
        <f t="shared" si="542"/>
        <v>0</v>
      </c>
      <c r="T202" s="10">
        <f t="shared" si="542"/>
        <v>0</v>
      </c>
      <c r="U202" s="79">
        <f t="shared" si="542"/>
        <v>0</v>
      </c>
      <c r="V202" s="19">
        <f t="shared" ref="V202:V207" si="570">(0)/142.5</f>
        <v>0</v>
      </c>
      <c r="W202" s="10">
        <f t="shared" ref="W202:W206" si="571">(0)/142.5</f>
        <v>0</v>
      </c>
      <c r="X202" s="10">
        <f t="shared" ref="X202:AA207" si="572">(0)/142.5</f>
        <v>0</v>
      </c>
      <c r="Y202" s="10">
        <f t="shared" si="572"/>
        <v>0</v>
      </c>
      <c r="Z202" s="10">
        <f t="shared" si="572"/>
        <v>0</v>
      </c>
      <c r="AA202" s="10">
        <f t="shared" si="572"/>
        <v>0</v>
      </c>
      <c r="AB202" s="71">
        <f t="shared" si="543"/>
        <v>0</v>
      </c>
      <c r="AC202" s="10">
        <f t="shared" si="543"/>
        <v>0</v>
      </c>
      <c r="AD202" s="10">
        <f t="shared" si="543"/>
        <v>0</v>
      </c>
      <c r="AE202" s="10">
        <f t="shared" si="543"/>
        <v>0</v>
      </c>
      <c r="AF202" s="10">
        <f t="shared" si="543"/>
        <v>0</v>
      </c>
      <c r="AG202" s="10">
        <f t="shared" si="543"/>
        <v>0</v>
      </c>
      <c r="AH202" s="71">
        <f t="shared" si="543"/>
        <v>0</v>
      </c>
      <c r="AI202" s="10">
        <f t="shared" si="543"/>
        <v>0</v>
      </c>
      <c r="AJ202" s="10">
        <f t="shared" si="543"/>
        <v>0</v>
      </c>
      <c r="AK202" s="10">
        <f t="shared" si="543"/>
        <v>0</v>
      </c>
      <c r="AL202" s="10">
        <f t="shared" si="543"/>
        <v>0</v>
      </c>
      <c r="AM202" s="10">
        <f t="shared" si="543"/>
        <v>0</v>
      </c>
      <c r="AN202" s="71">
        <f t="shared" si="544"/>
        <v>0</v>
      </c>
      <c r="AO202" s="10">
        <f t="shared" si="544"/>
        <v>0</v>
      </c>
      <c r="AP202" s="10">
        <f t="shared" si="544"/>
        <v>0</v>
      </c>
      <c r="AQ202" s="10">
        <f t="shared" si="544"/>
        <v>0</v>
      </c>
      <c r="AR202" s="10">
        <f t="shared" si="544"/>
        <v>0</v>
      </c>
      <c r="AS202" s="10">
        <f t="shared" si="544"/>
        <v>0</v>
      </c>
      <c r="AT202" s="189">
        <f t="shared" si="546"/>
        <v>0</v>
      </c>
      <c r="AU202" s="10">
        <f t="shared" si="546"/>
        <v>0</v>
      </c>
      <c r="AV202" s="10">
        <f t="shared" si="546"/>
        <v>0</v>
      </c>
      <c r="AW202" s="10">
        <f t="shared" si="546"/>
        <v>0</v>
      </c>
      <c r="AX202" s="10">
        <f t="shared" si="546"/>
        <v>0</v>
      </c>
      <c r="AY202" s="17">
        <f t="shared" si="546"/>
        <v>0</v>
      </c>
      <c r="AZ202" s="19">
        <f t="shared" si="548"/>
        <v>0</v>
      </c>
      <c r="BA202" s="10">
        <f t="shared" si="548"/>
        <v>0</v>
      </c>
      <c r="BB202" s="10">
        <f t="shared" si="548"/>
        <v>0</v>
      </c>
      <c r="BC202" s="10">
        <f t="shared" si="548"/>
        <v>0</v>
      </c>
      <c r="BD202" s="10">
        <f t="shared" si="548"/>
        <v>0</v>
      </c>
      <c r="BE202" s="10">
        <f t="shared" si="548"/>
        <v>0</v>
      </c>
      <c r="BF202" s="10">
        <f t="shared" si="548"/>
        <v>0</v>
      </c>
      <c r="BG202" s="19">
        <f t="shared" si="549"/>
        <v>0</v>
      </c>
      <c r="BH202" s="10">
        <f t="shared" si="549"/>
        <v>0</v>
      </c>
      <c r="BI202" s="10">
        <f t="shared" si="549"/>
        <v>0</v>
      </c>
      <c r="BJ202" s="10">
        <f t="shared" si="549"/>
        <v>0</v>
      </c>
      <c r="BK202" s="10">
        <f t="shared" si="549"/>
        <v>0</v>
      </c>
      <c r="BL202" s="10">
        <f t="shared" si="550"/>
        <v>0</v>
      </c>
      <c r="BM202" s="10">
        <f t="shared" si="550"/>
        <v>0</v>
      </c>
      <c r="BN202" s="17">
        <f t="shared" si="550"/>
        <v>0</v>
      </c>
      <c r="BO202" s="19">
        <f t="shared" si="551"/>
        <v>0</v>
      </c>
      <c r="BP202" s="10">
        <f t="shared" si="551"/>
        <v>0</v>
      </c>
      <c r="BQ202" s="10">
        <f t="shared" si="551"/>
        <v>0</v>
      </c>
      <c r="BR202" s="10">
        <f t="shared" si="551"/>
        <v>0</v>
      </c>
      <c r="BS202" s="10">
        <f t="shared" si="551"/>
        <v>0</v>
      </c>
      <c r="BT202" s="10">
        <f t="shared" si="552"/>
        <v>0</v>
      </c>
      <c r="BU202" s="10">
        <f t="shared" si="552"/>
        <v>0</v>
      </c>
      <c r="BV202" s="17">
        <f t="shared" si="552"/>
        <v>0</v>
      </c>
      <c r="BW202" s="71">
        <f t="shared" si="553"/>
        <v>0</v>
      </c>
      <c r="BX202" s="10">
        <f t="shared" si="553"/>
        <v>0</v>
      </c>
      <c r="BY202" s="10">
        <f t="shared" si="553"/>
        <v>0</v>
      </c>
      <c r="BZ202" s="10">
        <f t="shared" si="553"/>
        <v>0</v>
      </c>
      <c r="CA202" s="10">
        <f t="shared" si="553"/>
        <v>0</v>
      </c>
      <c r="CB202" s="10">
        <f t="shared" si="554"/>
        <v>0</v>
      </c>
      <c r="CC202" s="10">
        <f t="shared" si="554"/>
        <v>0</v>
      </c>
      <c r="CD202" s="17">
        <f t="shared" si="554"/>
        <v>0</v>
      </c>
      <c r="CE202" s="19">
        <f t="shared" si="555"/>
        <v>0</v>
      </c>
      <c r="CF202" s="10">
        <f t="shared" si="555"/>
        <v>0</v>
      </c>
      <c r="CG202" s="10">
        <f t="shared" si="555"/>
        <v>0</v>
      </c>
      <c r="CH202" s="10">
        <f t="shared" si="555"/>
        <v>0</v>
      </c>
      <c r="CI202" s="10">
        <f t="shared" si="555"/>
        <v>0</v>
      </c>
      <c r="CJ202" s="10">
        <f t="shared" si="556"/>
        <v>0</v>
      </c>
      <c r="CK202" s="10">
        <f t="shared" si="556"/>
        <v>0</v>
      </c>
      <c r="CL202" s="17">
        <f t="shared" si="556"/>
        <v>0</v>
      </c>
      <c r="CM202" s="19">
        <f t="shared" si="557"/>
        <v>0</v>
      </c>
      <c r="CN202" s="10">
        <f t="shared" si="557"/>
        <v>0</v>
      </c>
      <c r="CO202" s="10">
        <f t="shared" si="557"/>
        <v>0</v>
      </c>
      <c r="CP202" s="10">
        <f t="shared" si="557"/>
        <v>0</v>
      </c>
      <c r="CQ202" s="10">
        <f t="shared" si="557"/>
        <v>0</v>
      </c>
      <c r="CR202" s="10">
        <f t="shared" si="558"/>
        <v>0</v>
      </c>
      <c r="CS202" s="10">
        <f t="shared" si="558"/>
        <v>0</v>
      </c>
      <c r="CT202" s="17">
        <f t="shared" si="558"/>
        <v>0</v>
      </c>
      <c r="CU202" s="235"/>
    </row>
    <row r="203" spans="1:99" ht="25.5" customHeight="1" x14ac:dyDescent="0.4">
      <c r="A203" s="437"/>
      <c r="B203" s="437"/>
      <c r="C203" s="437"/>
      <c r="D203" s="443"/>
      <c r="E203" s="443"/>
      <c r="F203" s="443"/>
      <c r="G203" s="465"/>
      <c r="H203" s="441"/>
      <c r="I203" s="467"/>
      <c r="J203" s="14"/>
      <c r="K203" s="15"/>
      <c r="L203" s="15"/>
      <c r="M203" s="451"/>
      <c r="N203" s="11" t="s">
        <v>25</v>
      </c>
      <c r="O203" s="11">
        <f t="shared" si="563"/>
        <v>0</v>
      </c>
      <c r="P203" s="11">
        <f t="shared" si="542"/>
        <v>0</v>
      </c>
      <c r="Q203" s="11">
        <f t="shared" si="542"/>
        <v>0</v>
      </c>
      <c r="R203" s="11">
        <f t="shared" si="542"/>
        <v>0</v>
      </c>
      <c r="S203" s="11">
        <f t="shared" si="542"/>
        <v>0</v>
      </c>
      <c r="T203" s="11">
        <f t="shared" si="542"/>
        <v>0</v>
      </c>
      <c r="U203" s="48">
        <f t="shared" si="542"/>
        <v>0</v>
      </c>
      <c r="V203" s="56">
        <f t="shared" si="570"/>
        <v>0</v>
      </c>
      <c r="W203" s="11">
        <f t="shared" si="571"/>
        <v>0</v>
      </c>
      <c r="X203" s="11">
        <f t="shared" si="572"/>
        <v>0</v>
      </c>
      <c r="Y203" s="11">
        <f t="shared" si="572"/>
        <v>0</v>
      </c>
      <c r="Z203" s="11">
        <f t="shared" si="572"/>
        <v>0</v>
      </c>
      <c r="AA203" s="11">
        <f t="shared" si="572"/>
        <v>0</v>
      </c>
      <c r="AB203" s="56">
        <f t="shared" si="543"/>
        <v>0</v>
      </c>
      <c r="AC203" s="11">
        <f t="shared" si="543"/>
        <v>0</v>
      </c>
      <c r="AD203" s="11">
        <f t="shared" si="543"/>
        <v>0</v>
      </c>
      <c r="AE203" s="11">
        <f t="shared" si="543"/>
        <v>0</v>
      </c>
      <c r="AF203" s="11">
        <f t="shared" si="543"/>
        <v>0</v>
      </c>
      <c r="AG203" s="11">
        <f t="shared" si="543"/>
        <v>0</v>
      </c>
      <c r="AH203" s="56">
        <f t="shared" si="543"/>
        <v>0</v>
      </c>
      <c r="AI203" s="11">
        <f t="shared" si="543"/>
        <v>0</v>
      </c>
      <c r="AJ203" s="11">
        <f t="shared" si="543"/>
        <v>0</v>
      </c>
      <c r="AK203" s="11">
        <f t="shared" si="543"/>
        <v>0</v>
      </c>
      <c r="AL203" s="11">
        <f t="shared" si="543"/>
        <v>0</v>
      </c>
      <c r="AM203" s="11">
        <f t="shared" si="543"/>
        <v>0</v>
      </c>
      <c r="AN203" s="56">
        <f t="shared" si="544"/>
        <v>0</v>
      </c>
      <c r="AO203" s="11">
        <f t="shared" si="544"/>
        <v>0</v>
      </c>
      <c r="AP203" s="11">
        <f t="shared" si="544"/>
        <v>0</v>
      </c>
      <c r="AQ203" s="11">
        <f t="shared" si="544"/>
        <v>0</v>
      </c>
      <c r="AR203" s="11">
        <f t="shared" si="544"/>
        <v>0</v>
      </c>
      <c r="AS203" s="11">
        <f t="shared" si="544"/>
        <v>0</v>
      </c>
      <c r="AT203" s="61">
        <f t="shared" si="546"/>
        <v>0</v>
      </c>
      <c r="AU203" s="58">
        <f t="shared" si="546"/>
        <v>0</v>
      </c>
      <c r="AV203" s="58">
        <f t="shared" si="546"/>
        <v>0</v>
      </c>
      <c r="AW203" s="58">
        <f t="shared" si="546"/>
        <v>0</v>
      </c>
      <c r="AX203" s="58">
        <f t="shared" si="546"/>
        <v>0</v>
      </c>
      <c r="AY203" s="62">
        <f t="shared" si="546"/>
        <v>0</v>
      </c>
      <c r="AZ203" s="61">
        <f t="shared" si="548"/>
        <v>0</v>
      </c>
      <c r="BA203" s="58">
        <f t="shared" si="548"/>
        <v>0</v>
      </c>
      <c r="BB203" s="58">
        <f t="shared" si="548"/>
        <v>0</v>
      </c>
      <c r="BC203" s="58">
        <f t="shared" si="548"/>
        <v>0</v>
      </c>
      <c r="BD203" s="58">
        <f t="shared" si="548"/>
        <v>0</v>
      </c>
      <c r="BE203" s="58">
        <f t="shared" si="548"/>
        <v>0</v>
      </c>
      <c r="BF203" s="58">
        <f t="shared" si="548"/>
        <v>0</v>
      </c>
      <c r="BG203" s="61">
        <f t="shared" si="549"/>
        <v>0</v>
      </c>
      <c r="BH203" s="58">
        <f t="shared" si="549"/>
        <v>0</v>
      </c>
      <c r="BI203" s="58">
        <f t="shared" si="549"/>
        <v>0</v>
      </c>
      <c r="BJ203" s="58">
        <f t="shared" si="549"/>
        <v>0</v>
      </c>
      <c r="BK203" s="58">
        <f t="shared" si="549"/>
        <v>0</v>
      </c>
      <c r="BL203" s="58">
        <f t="shared" si="550"/>
        <v>0</v>
      </c>
      <c r="BM203" s="58">
        <f t="shared" si="550"/>
        <v>0</v>
      </c>
      <c r="BN203" s="62">
        <f t="shared" si="550"/>
        <v>0</v>
      </c>
      <c r="BO203" s="61">
        <f t="shared" si="551"/>
        <v>0</v>
      </c>
      <c r="BP203" s="58">
        <f t="shared" si="551"/>
        <v>0</v>
      </c>
      <c r="BQ203" s="58">
        <f t="shared" si="551"/>
        <v>0</v>
      </c>
      <c r="BR203" s="58">
        <f t="shared" si="551"/>
        <v>0</v>
      </c>
      <c r="BS203" s="58">
        <f t="shared" si="551"/>
        <v>0</v>
      </c>
      <c r="BT203" s="58">
        <f t="shared" si="552"/>
        <v>0</v>
      </c>
      <c r="BU203" s="58">
        <f t="shared" si="552"/>
        <v>0</v>
      </c>
      <c r="BV203" s="62">
        <f t="shared" si="552"/>
        <v>0</v>
      </c>
      <c r="BW203" s="61">
        <f t="shared" si="553"/>
        <v>0</v>
      </c>
      <c r="BX203" s="58">
        <f t="shared" si="553"/>
        <v>0</v>
      </c>
      <c r="BY203" s="58">
        <f t="shared" si="553"/>
        <v>0</v>
      </c>
      <c r="BZ203" s="58">
        <f t="shared" si="553"/>
        <v>0</v>
      </c>
      <c r="CA203" s="58">
        <f t="shared" si="553"/>
        <v>0</v>
      </c>
      <c r="CB203" s="58">
        <f t="shared" si="554"/>
        <v>0</v>
      </c>
      <c r="CC203" s="58">
        <f t="shared" si="554"/>
        <v>0</v>
      </c>
      <c r="CD203" s="62">
        <f t="shared" si="554"/>
        <v>0</v>
      </c>
      <c r="CE203" s="61">
        <f t="shared" si="559"/>
        <v>0</v>
      </c>
      <c r="CF203" s="58">
        <f t="shared" si="559"/>
        <v>0</v>
      </c>
      <c r="CG203" s="58">
        <f t="shared" si="559"/>
        <v>0</v>
      </c>
      <c r="CH203" s="58">
        <f t="shared" si="559"/>
        <v>0</v>
      </c>
      <c r="CI203" s="58">
        <f t="shared" si="559"/>
        <v>0</v>
      </c>
      <c r="CJ203" s="58">
        <f t="shared" si="556"/>
        <v>0</v>
      </c>
      <c r="CK203" s="58">
        <f t="shared" si="556"/>
        <v>0</v>
      </c>
      <c r="CL203" s="62">
        <f t="shared" si="556"/>
        <v>0</v>
      </c>
      <c r="CM203" s="61">
        <f t="shared" si="560"/>
        <v>0</v>
      </c>
      <c r="CN203" s="58">
        <f t="shared" si="560"/>
        <v>0</v>
      </c>
      <c r="CO203" s="58">
        <f t="shared" si="560"/>
        <v>0</v>
      </c>
      <c r="CP203" s="58">
        <f t="shared" si="560"/>
        <v>0</v>
      </c>
      <c r="CQ203" s="58">
        <f t="shared" si="560"/>
        <v>0</v>
      </c>
      <c r="CR203" s="58">
        <f t="shared" si="558"/>
        <v>0</v>
      </c>
      <c r="CS203" s="58">
        <f t="shared" si="558"/>
        <v>0</v>
      </c>
      <c r="CT203" s="62">
        <f t="shared" si="558"/>
        <v>0</v>
      </c>
      <c r="CU203" s="235"/>
    </row>
    <row r="204" spans="1:99" ht="25.5" customHeight="1" x14ac:dyDescent="0.4">
      <c r="A204" s="436">
        <v>4</v>
      </c>
      <c r="B204" s="436" t="s">
        <v>46</v>
      </c>
      <c r="C204" s="436" t="s">
        <v>14</v>
      </c>
      <c r="D204" s="442" t="s">
        <v>21</v>
      </c>
      <c r="E204" s="442" t="s">
        <v>20</v>
      </c>
      <c r="F204" s="442" t="s">
        <v>21</v>
      </c>
      <c r="G204" s="464" t="s">
        <v>22</v>
      </c>
      <c r="H204" s="440">
        <f t="shared" ref="H204:H207" si="573">SUM(AZ204:BF204)</f>
        <v>0</v>
      </c>
      <c r="I204" s="466">
        <f t="shared" ref="I204:I207" si="574">SUM(AZ205:BF205)</f>
        <v>0</v>
      </c>
      <c r="J204" s="12"/>
      <c r="K204" s="13"/>
      <c r="L204" s="13"/>
      <c r="M204" s="513" t="s">
        <v>43</v>
      </c>
      <c r="N204" s="10" t="s">
        <v>88</v>
      </c>
      <c r="O204" s="10">
        <f t="shared" si="563"/>
        <v>0</v>
      </c>
      <c r="P204" s="10">
        <f t="shared" si="542"/>
        <v>0</v>
      </c>
      <c r="Q204" s="10">
        <f t="shared" si="542"/>
        <v>0</v>
      </c>
      <c r="R204" s="10">
        <f t="shared" si="542"/>
        <v>0</v>
      </c>
      <c r="S204" s="10">
        <f t="shared" si="542"/>
        <v>0</v>
      </c>
      <c r="T204" s="10">
        <f t="shared" si="542"/>
        <v>0</v>
      </c>
      <c r="U204" s="79">
        <f t="shared" si="542"/>
        <v>0</v>
      </c>
      <c r="V204" s="19">
        <f t="shared" si="570"/>
        <v>0</v>
      </c>
      <c r="W204" s="10">
        <f t="shared" si="571"/>
        <v>0</v>
      </c>
      <c r="X204" s="10">
        <f t="shared" si="572"/>
        <v>0</v>
      </c>
      <c r="Y204" s="10">
        <f t="shared" si="572"/>
        <v>0</v>
      </c>
      <c r="Z204" s="10">
        <f t="shared" si="572"/>
        <v>0</v>
      </c>
      <c r="AA204" s="10">
        <f t="shared" si="572"/>
        <v>0</v>
      </c>
      <c r="AB204" s="71">
        <f t="shared" si="543"/>
        <v>0</v>
      </c>
      <c r="AC204" s="10">
        <f t="shared" si="543"/>
        <v>0</v>
      </c>
      <c r="AD204" s="10">
        <f t="shared" si="543"/>
        <v>0</v>
      </c>
      <c r="AE204" s="10">
        <f t="shared" si="543"/>
        <v>0</v>
      </c>
      <c r="AF204" s="10">
        <f t="shared" si="543"/>
        <v>0</v>
      </c>
      <c r="AG204" s="10">
        <f t="shared" si="543"/>
        <v>0</v>
      </c>
      <c r="AH204" s="71">
        <f t="shared" si="543"/>
        <v>0</v>
      </c>
      <c r="AI204" s="10">
        <f t="shared" si="543"/>
        <v>0</v>
      </c>
      <c r="AJ204" s="10">
        <f t="shared" si="543"/>
        <v>0</v>
      </c>
      <c r="AK204" s="10">
        <f t="shared" si="543"/>
        <v>0</v>
      </c>
      <c r="AL204" s="10">
        <f t="shared" si="543"/>
        <v>0</v>
      </c>
      <c r="AM204" s="10">
        <f t="shared" si="543"/>
        <v>0</v>
      </c>
      <c r="AN204" s="71">
        <f t="shared" si="544"/>
        <v>0</v>
      </c>
      <c r="AO204" s="10">
        <f t="shared" si="544"/>
        <v>0</v>
      </c>
      <c r="AP204" s="10">
        <f t="shared" si="544"/>
        <v>0</v>
      </c>
      <c r="AQ204" s="10">
        <f t="shared" si="544"/>
        <v>0</v>
      </c>
      <c r="AR204" s="10">
        <f t="shared" si="544"/>
        <v>0</v>
      </c>
      <c r="AS204" s="10">
        <f t="shared" si="544"/>
        <v>0</v>
      </c>
      <c r="AT204" s="189">
        <f t="shared" si="546"/>
        <v>0</v>
      </c>
      <c r="AU204" s="10">
        <f t="shared" si="546"/>
        <v>0</v>
      </c>
      <c r="AV204" s="10">
        <f t="shared" si="546"/>
        <v>0</v>
      </c>
      <c r="AW204" s="10">
        <f t="shared" si="546"/>
        <v>0</v>
      </c>
      <c r="AX204" s="10">
        <f t="shared" si="546"/>
        <v>0</v>
      </c>
      <c r="AY204" s="17">
        <f t="shared" si="546"/>
        <v>0</v>
      </c>
      <c r="AZ204" s="19">
        <f t="shared" si="548"/>
        <v>0</v>
      </c>
      <c r="BA204" s="10">
        <f t="shared" si="548"/>
        <v>0</v>
      </c>
      <c r="BB204" s="10">
        <f t="shared" si="548"/>
        <v>0</v>
      </c>
      <c r="BC204" s="10">
        <f t="shared" si="548"/>
        <v>0</v>
      </c>
      <c r="BD204" s="10">
        <f t="shared" si="548"/>
        <v>0</v>
      </c>
      <c r="BE204" s="10">
        <f t="shared" si="548"/>
        <v>0</v>
      </c>
      <c r="BF204" s="10">
        <f t="shared" si="548"/>
        <v>0</v>
      </c>
      <c r="BG204" s="19">
        <f t="shared" si="549"/>
        <v>0</v>
      </c>
      <c r="BH204" s="10">
        <f t="shared" si="549"/>
        <v>0</v>
      </c>
      <c r="BI204" s="10">
        <f t="shared" si="549"/>
        <v>0</v>
      </c>
      <c r="BJ204" s="10">
        <f t="shared" si="549"/>
        <v>0</v>
      </c>
      <c r="BK204" s="10">
        <f t="shared" si="549"/>
        <v>0</v>
      </c>
      <c r="BL204" s="10">
        <f t="shared" si="550"/>
        <v>0</v>
      </c>
      <c r="BM204" s="10">
        <f t="shared" si="550"/>
        <v>0</v>
      </c>
      <c r="BN204" s="17">
        <f t="shared" si="550"/>
        <v>0</v>
      </c>
      <c r="BO204" s="19">
        <f t="shared" si="551"/>
        <v>0</v>
      </c>
      <c r="BP204" s="10">
        <f t="shared" si="551"/>
        <v>0</v>
      </c>
      <c r="BQ204" s="10">
        <f t="shared" si="551"/>
        <v>0</v>
      </c>
      <c r="BR204" s="10">
        <f t="shared" si="551"/>
        <v>0</v>
      </c>
      <c r="BS204" s="10">
        <f t="shared" si="551"/>
        <v>0</v>
      </c>
      <c r="BT204" s="10">
        <f t="shared" si="552"/>
        <v>0</v>
      </c>
      <c r="BU204" s="10">
        <f t="shared" si="552"/>
        <v>0</v>
      </c>
      <c r="BV204" s="17">
        <f t="shared" si="552"/>
        <v>0</v>
      </c>
      <c r="BW204" s="71">
        <f t="shared" si="553"/>
        <v>0</v>
      </c>
      <c r="BX204" s="10">
        <f t="shared" si="553"/>
        <v>0</v>
      </c>
      <c r="BY204" s="10">
        <f t="shared" si="553"/>
        <v>0</v>
      </c>
      <c r="BZ204" s="10">
        <f t="shared" si="553"/>
        <v>0</v>
      </c>
      <c r="CA204" s="10">
        <f t="shared" si="553"/>
        <v>0</v>
      </c>
      <c r="CB204" s="10">
        <f t="shared" si="554"/>
        <v>0</v>
      </c>
      <c r="CC204" s="10">
        <f t="shared" si="554"/>
        <v>0</v>
      </c>
      <c r="CD204" s="17">
        <f t="shared" si="554"/>
        <v>0</v>
      </c>
      <c r="CE204" s="19">
        <f t="shared" si="555"/>
        <v>0</v>
      </c>
      <c r="CF204" s="10">
        <f t="shared" si="555"/>
        <v>0</v>
      </c>
      <c r="CG204" s="10">
        <f t="shared" si="555"/>
        <v>0</v>
      </c>
      <c r="CH204" s="10">
        <f t="shared" si="555"/>
        <v>0</v>
      </c>
      <c r="CI204" s="10">
        <f t="shared" si="555"/>
        <v>0</v>
      </c>
      <c r="CJ204" s="10">
        <f t="shared" si="556"/>
        <v>0</v>
      </c>
      <c r="CK204" s="10">
        <f t="shared" si="556"/>
        <v>0</v>
      </c>
      <c r="CL204" s="17">
        <f t="shared" si="556"/>
        <v>0</v>
      </c>
      <c r="CM204" s="19">
        <f t="shared" si="557"/>
        <v>0</v>
      </c>
      <c r="CN204" s="10">
        <f t="shared" si="557"/>
        <v>0</v>
      </c>
      <c r="CO204" s="10">
        <f t="shared" si="557"/>
        <v>0</v>
      </c>
      <c r="CP204" s="10">
        <f t="shared" si="557"/>
        <v>0</v>
      </c>
      <c r="CQ204" s="10">
        <f t="shared" si="557"/>
        <v>0</v>
      </c>
      <c r="CR204" s="10">
        <f t="shared" si="558"/>
        <v>0</v>
      </c>
      <c r="CS204" s="10">
        <f t="shared" si="558"/>
        <v>0</v>
      </c>
      <c r="CT204" s="17">
        <f t="shared" si="558"/>
        <v>0</v>
      </c>
      <c r="CU204" s="235"/>
    </row>
    <row r="205" spans="1:99" ht="25.5" customHeight="1" x14ac:dyDescent="0.4">
      <c r="A205" s="437"/>
      <c r="B205" s="437"/>
      <c r="C205" s="437"/>
      <c r="D205" s="443"/>
      <c r="E205" s="443"/>
      <c r="F205" s="443"/>
      <c r="G205" s="465"/>
      <c r="H205" s="441"/>
      <c r="I205" s="467"/>
      <c r="J205" s="14"/>
      <c r="K205" s="15"/>
      <c r="L205" s="15"/>
      <c r="M205" s="451"/>
      <c r="N205" s="11" t="s">
        <v>89</v>
      </c>
      <c r="O205" s="11">
        <f t="shared" si="563"/>
        <v>0</v>
      </c>
      <c r="P205" s="11">
        <f t="shared" si="542"/>
        <v>0</v>
      </c>
      <c r="Q205" s="11">
        <f t="shared" si="542"/>
        <v>0</v>
      </c>
      <c r="R205" s="11">
        <f t="shared" si="542"/>
        <v>0</v>
      </c>
      <c r="S205" s="11">
        <f t="shared" si="542"/>
        <v>0</v>
      </c>
      <c r="T205" s="11">
        <f t="shared" si="542"/>
        <v>0</v>
      </c>
      <c r="U205" s="48">
        <f t="shared" si="542"/>
        <v>0</v>
      </c>
      <c r="V205" s="56">
        <f t="shared" si="570"/>
        <v>0</v>
      </c>
      <c r="W205" s="11">
        <f t="shared" si="571"/>
        <v>0</v>
      </c>
      <c r="X205" s="11">
        <f t="shared" si="572"/>
        <v>0</v>
      </c>
      <c r="Y205" s="11">
        <f t="shared" si="572"/>
        <v>0</v>
      </c>
      <c r="Z205" s="11">
        <f t="shared" si="572"/>
        <v>0</v>
      </c>
      <c r="AA205" s="11">
        <f t="shared" si="572"/>
        <v>0</v>
      </c>
      <c r="AB205" s="56">
        <f t="shared" si="543"/>
        <v>0</v>
      </c>
      <c r="AC205" s="11">
        <f t="shared" si="543"/>
        <v>0</v>
      </c>
      <c r="AD205" s="11">
        <f t="shared" si="543"/>
        <v>0</v>
      </c>
      <c r="AE205" s="11">
        <f t="shared" si="543"/>
        <v>0</v>
      </c>
      <c r="AF205" s="11">
        <f t="shared" si="543"/>
        <v>0</v>
      </c>
      <c r="AG205" s="11">
        <f t="shared" si="543"/>
        <v>0</v>
      </c>
      <c r="AH205" s="56">
        <f t="shared" si="543"/>
        <v>0</v>
      </c>
      <c r="AI205" s="11">
        <f t="shared" si="543"/>
        <v>0</v>
      </c>
      <c r="AJ205" s="11">
        <f t="shared" si="543"/>
        <v>0</v>
      </c>
      <c r="AK205" s="11">
        <f t="shared" si="543"/>
        <v>0</v>
      </c>
      <c r="AL205" s="11">
        <f t="shared" si="543"/>
        <v>0</v>
      </c>
      <c r="AM205" s="11">
        <f t="shared" si="543"/>
        <v>0</v>
      </c>
      <c r="AN205" s="56">
        <f t="shared" si="544"/>
        <v>0</v>
      </c>
      <c r="AO205" s="11">
        <f t="shared" si="544"/>
        <v>0</v>
      </c>
      <c r="AP205" s="11">
        <f t="shared" si="544"/>
        <v>0</v>
      </c>
      <c r="AQ205" s="11">
        <f t="shared" si="544"/>
        <v>0</v>
      </c>
      <c r="AR205" s="11">
        <f t="shared" si="544"/>
        <v>0</v>
      </c>
      <c r="AS205" s="11">
        <f t="shared" si="544"/>
        <v>0</v>
      </c>
      <c r="AT205" s="61">
        <f t="shared" si="546"/>
        <v>0</v>
      </c>
      <c r="AU205" s="58">
        <f t="shared" si="546"/>
        <v>0</v>
      </c>
      <c r="AV205" s="58">
        <f t="shared" si="546"/>
        <v>0</v>
      </c>
      <c r="AW205" s="58">
        <f t="shared" si="546"/>
        <v>0</v>
      </c>
      <c r="AX205" s="58">
        <f t="shared" si="546"/>
        <v>0</v>
      </c>
      <c r="AY205" s="62">
        <f t="shared" si="546"/>
        <v>0</v>
      </c>
      <c r="AZ205" s="61">
        <f t="shared" si="548"/>
        <v>0</v>
      </c>
      <c r="BA205" s="58">
        <f t="shared" si="548"/>
        <v>0</v>
      </c>
      <c r="BB205" s="58">
        <f t="shared" si="548"/>
        <v>0</v>
      </c>
      <c r="BC205" s="58">
        <f t="shared" si="548"/>
        <v>0</v>
      </c>
      <c r="BD205" s="58">
        <f t="shared" si="548"/>
        <v>0</v>
      </c>
      <c r="BE205" s="58">
        <f t="shared" si="548"/>
        <v>0</v>
      </c>
      <c r="BF205" s="58">
        <f t="shared" si="548"/>
        <v>0</v>
      </c>
      <c r="BG205" s="61">
        <f t="shared" si="549"/>
        <v>0</v>
      </c>
      <c r="BH205" s="58">
        <f t="shared" si="549"/>
        <v>0</v>
      </c>
      <c r="BI205" s="58">
        <f t="shared" si="549"/>
        <v>0</v>
      </c>
      <c r="BJ205" s="58">
        <f t="shared" si="549"/>
        <v>0</v>
      </c>
      <c r="BK205" s="58">
        <f t="shared" si="549"/>
        <v>0</v>
      </c>
      <c r="BL205" s="58">
        <f t="shared" si="550"/>
        <v>0</v>
      </c>
      <c r="BM205" s="58">
        <f t="shared" si="550"/>
        <v>0</v>
      </c>
      <c r="BN205" s="62">
        <f t="shared" si="550"/>
        <v>0</v>
      </c>
      <c r="BO205" s="61">
        <f t="shared" si="551"/>
        <v>0</v>
      </c>
      <c r="BP205" s="58">
        <f t="shared" si="551"/>
        <v>0</v>
      </c>
      <c r="BQ205" s="58">
        <f t="shared" si="551"/>
        <v>0</v>
      </c>
      <c r="BR205" s="58">
        <f t="shared" si="551"/>
        <v>0</v>
      </c>
      <c r="BS205" s="58">
        <f t="shared" si="551"/>
        <v>0</v>
      </c>
      <c r="BT205" s="58">
        <f t="shared" si="552"/>
        <v>0</v>
      </c>
      <c r="BU205" s="58">
        <f t="shared" si="552"/>
        <v>0</v>
      </c>
      <c r="BV205" s="62">
        <f t="shared" si="552"/>
        <v>0</v>
      </c>
      <c r="BW205" s="61">
        <f t="shared" si="553"/>
        <v>0</v>
      </c>
      <c r="BX205" s="58">
        <f t="shared" si="553"/>
        <v>0</v>
      </c>
      <c r="BY205" s="58">
        <f t="shared" si="553"/>
        <v>0</v>
      </c>
      <c r="BZ205" s="58">
        <f t="shared" si="553"/>
        <v>0</v>
      </c>
      <c r="CA205" s="58">
        <f t="shared" si="553"/>
        <v>0</v>
      </c>
      <c r="CB205" s="58">
        <f t="shared" si="554"/>
        <v>0</v>
      </c>
      <c r="CC205" s="58">
        <f t="shared" si="554"/>
        <v>0</v>
      </c>
      <c r="CD205" s="62">
        <f t="shared" si="554"/>
        <v>0</v>
      </c>
      <c r="CE205" s="61">
        <f t="shared" si="559"/>
        <v>0</v>
      </c>
      <c r="CF205" s="58">
        <f t="shared" si="559"/>
        <v>0</v>
      </c>
      <c r="CG205" s="58">
        <f t="shared" si="559"/>
        <v>0</v>
      </c>
      <c r="CH205" s="58">
        <f t="shared" si="559"/>
        <v>0</v>
      </c>
      <c r="CI205" s="58">
        <f t="shared" si="559"/>
        <v>0</v>
      </c>
      <c r="CJ205" s="58">
        <f t="shared" si="556"/>
        <v>0</v>
      </c>
      <c r="CK205" s="58">
        <f t="shared" si="556"/>
        <v>0</v>
      </c>
      <c r="CL205" s="62">
        <f t="shared" si="556"/>
        <v>0</v>
      </c>
      <c r="CM205" s="61">
        <f t="shared" si="560"/>
        <v>0</v>
      </c>
      <c r="CN205" s="58">
        <f t="shared" si="560"/>
        <v>0</v>
      </c>
      <c r="CO205" s="58">
        <f t="shared" si="560"/>
        <v>0</v>
      </c>
      <c r="CP205" s="58">
        <f t="shared" si="560"/>
        <v>0</v>
      </c>
      <c r="CQ205" s="58">
        <f t="shared" si="560"/>
        <v>0</v>
      </c>
      <c r="CR205" s="58">
        <f t="shared" si="558"/>
        <v>0</v>
      </c>
      <c r="CS205" s="58">
        <f t="shared" si="558"/>
        <v>0</v>
      </c>
      <c r="CT205" s="62">
        <f t="shared" si="558"/>
        <v>0</v>
      </c>
      <c r="CU205" s="235"/>
    </row>
    <row r="206" spans="1:99" ht="25.5" customHeight="1" x14ac:dyDescent="0.4">
      <c r="A206" s="436">
        <v>5</v>
      </c>
      <c r="B206" s="436" t="s">
        <v>46</v>
      </c>
      <c r="C206" s="436" t="s">
        <v>14</v>
      </c>
      <c r="D206" s="442" t="s">
        <v>20</v>
      </c>
      <c r="E206" s="442" t="s">
        <v>21</v>
      </c>
      <c r="F206" s="442" t="s">
        <v>21</v>
      </c>
      <c r="G206" s="521" t="s">
        <v>23</v>
      </c>
      <c r="H206" s="440">
        <f t="shared" ref="H206:H207" si="575">SUM(AZ206:BF206)</f>
        <v>0</v>
      </c>
      <c r="I206" s="466">
        <f t="shared" ref="I206:I207" si="576">SUM(AZ207:BF207)</f>
        <v>0</v>
      </c>
      <c r="J206" s="12"/>
      <c r="K206" s="13"/>
      <c r="L206" s="13"/>
      <c r="M206" s="541" t="s">
        <v>20</v>
      </c>
      <c r="N206" s="10" t="s">
        <v>88</v>
      </c>
      <c r="O206" s="10">
        <f t="shared" si="563"/>
        <v>0</v>
      </c>
      <c r="P206" s="10">
        <f t="shared" si="542"/>
        <v>0</v>
      </c>
      <c r="Q206" s="10">
        <f t="shared" si="542"/>
        <v>0</v>
      </c>
      <c r="R206" s="10">
        <f t="shared" si="542"/>
        <v>0</v>
      </c>
      <c r="S206" s="10">
        <f t="shared" si="542"/>
        <v>0</v>
      </c>
      <c r="T206" s="10">
        <f t="shared" si="542"/>
        <v>0</v>
      </c>
      <c r="U206" s="79">
        <f t="shared" si="542"/>
        <v>0</v>
      </c>
      <c r="V206" s="19">
        <f t="shared" si="570"/>
        <v>0</v>
      </c>
      <c r="W206" s="10">
        <f t="shared" si="571"/>
        <v>0</v>
      </c>
      <c r="X206" s="10">
        <f t="shared" si="572"/>
        <v>0</v>
      </c>
      <c r="Y206" s="10">
        <f t="shared" si="572"/>
        <v>0</v>
      </c>
      <c r="Z206" s="10">
        <f t="shared" si="572"/>
        <v>0</v>
      </c>
      <c r="AA206" s="10">
        <f t="shared" si="572"/>
        <v>0</v>
      </c>
      <c r="AB206" s="71">
        <f t="shared" si="543"/>
        <v>0</v>
      </c>
      <c r="AC206" s="10">
        <f t="shared" si="543"/>
        <v>0</v>
      </c>
      <c r="AD206" s="10">
        <f t="shared" si="543"/>
        <v>0</v>
      </c>
      <c r="AE206" s="10">
        <f t="shared" si="543"/>
        <v>0</v>
      </c>
      <c r="AF206" s="10">
        <f t="shared" si="543"/>
        <v>0</v>
      </c>
      <c r="AG206" s="10">
        <f t="shared" si="543"/>
        <v>0</v>
      </c>
      <c r="AH206" s="71">
        <f t="shared" si="543"/>
        <v>0</v>
      </c>
      <c r="AI206" s="10">
        <f t="shared" si="543"/>
        <v>0</v>
      </c>
      <c r="AJ206" s="10">
        <f t="shared" si="543"/>
        <v>0</v>
      </c>
      <c r="AK206" s="10">
        <f t="shared" si="543"/>
        <v>0</v>
      </c>
      <c r="AL206" s="10">
        <f t="shared" si="543"/>
        <v>0</v>
      </c>
      <c r="AM206" s="10">
        <f t="shared" si="543"/>
        <v>0</v>
      </c>
      <c r="AN206" s="71">
        <f t="shared" si="544"/>
        <v>0</v>
      </c>
      <c r="AO206" s="10">
        <f t="shared" si="544"/>
        <v>0</v>
      </c>
      <c r="AP206" s="10">
        <f t="shared" si="544"/>
        <v>0</v>
      </c>
      <c r="AQ206" s="10">
        <f t="shared" si="544"/>
        <v>0</v>
      </c>
      <c r="AR206" s="10">
        <f t="shared" si="544"/>
        <v>0</v>
      </c>
      <c r="AS206" s="10">
        <f t="shared" si="544"/>
        <v>0</v>
      </c>
      <c r="AT206" s="189">
        <f t="shared" si="546"/>
        <v>0</v>
      </c>
      <c r="AU206" s="10">
        <f t="shared" si="546"/>
        <v>0</v>
      </c>
      <c r="AV206" s="10">
        <f t="shared" si="546"/>
        <v>0</v>
      </c>
      <c r="AW206" s="10">
        <f t="shared" si="546"/>
        <v>0</v>
      </c>
      <c r="AX206" s="10">
        <f t="shared" si="546"/>
        <v>0</v>
      </c>
      <c r="AY206" s="17">
        <f t="shared" si="546"/>
        <v>0</v>
      </c>
      <c r="AZ206" s="19">
        <f t="shared" si="548"/>
        <v>0</v>
      </c>
      <c r="BA206" s="10">
        <f t="shared" si="548"/>
        <v>0</v>
      </c>
      <c r="BB206" s="10">
        <f t="shared" si="548"/>
        <v>0</v>
      </c>
      <c r="BC206" s="10">
        <f t="shared" si="548"/>
        <v>0</v>
      </c>
      <c r="BD206" s="10">
        <f t="shared" si="548"/>
        <v>0</v>
      </c>
      <c r="BE206" s="10">
        <f t="shared" si="548"/>
        <v>0</v>
      </c>
      <c r="BF206" s="10">
        <f t="shared" si="548"/>
        <v>0</v>
      </c>
      <c r="BG206" s="19">
        <f t="shared" si="549"/>
        <v>0</v>
      </c>
      <c r="BH206" s="10">
        <f t="shared" si="549"/>
        <v>0</v>
      </c>
      <c r="BI206" s="10">
        <f t="shared" si="549"/>
        <v>0</v>
      </c>
      <c r="BJ206" s="10">
        <f t="shared" si="549"/>
        <v>0</v>
      </c>
      <c r="BK206" s="10">
        <f t="shared" si="549"/>
        <v>0</v>
      </c>
      <c r="BL206" s="10">
        <f t="shared" si="550"/>
        <v>0</v>
      </c>
      <c r="BM206" s="10">
        <f t="shared" si="550"/>
        <v>0</v>
      </c>
      <c r="BN206" s="17">
        <f t="shared" si="550"/>
        <v>0</v>
      </c>
      <c r="BO206" s="19">
        <f t="shared" si="551"/>
        <v>0</v>
      </c>
      <c r="BP206" s="10">
        <f t="shared" si="551"/>
        <v>0</v>
      </c>
      <c r="BQ206" s="10">
        <f t="shared" si="551"/>
        <v>0</v>
      </c>
      <c r="BR206" s="10">
        <f t="shared" si="551"/>
        <v>0</v>
      </c>
      <c r="BS206" s="10">
        <f t="shared" si="551"/>
        <v>0</v>
      </c>
      <c r="BT206" s="10">
        <f t="shared" si="552"/>
        <v>0</v>
      </c>
      <c r="BU206" s="10">
        <f t="shared" si="552"/>
        <v>0</v>
      </c>
      <c r="BV206" s="17">
        <f t="shared" si="552"/>
        <v>0</v>
      </c>
      <c r="BW206" s="71">
        <f t="shared" si="553"/>
        <v>0</v>
      </c>
      <c r="BX206" s="10">
        <f t="shared" si="553"/>
        <v>0</v>
      </c>
      <c r="BY206" s="10">
        <f t="shared" si="553"/>
        <v>0</v>
      </c>
      <c r="BZ206" s="10">
        <f t="shared" si="553"/>
        <v>0</v>
      </c>
      <c r="CA206" s="10">
        <f t="shared" si="553"/>
        <v>0</v>
      </c>
      <c r="CB206" s="10">
        <f t="shared" si="554"/>
        <v>0</v>
      </c>
      <c r="CC206" s="10">
        <f t="shared" si="554"/>
        <v>0</v>
      </c>
      <c r="CD206" s="17">
        <f t="shared" si="554"/>
        <v>0</v>
      </c>
      <c r="CE206" s="19">
        <f t="shared" si="555"/>
        <v>0</v>
      </c>
      <c r="CF206" s="10">
        <f t="shared" si="555"/>
        <v>0</v>
      </c>
      <c r="CG206" s="10">
        <f t="shared" si="555"/>
        <v>0</v>
      </c>
      <c r="CH206" s="10">
        <f t="shared" si="555"/>
        <v>0</v>
      </c>
      <c r="CI206" s="10">
        <f t="shared" si="555"/>
        <v>0</v>
      </c>
      <c r="CJ206" s="10">
        <f t="shared" si="556"/>
        <v>0</v>
      </c>
      <c r="CK206" s="10">
        <f t="shared" si="556"/>
        <v>0</v>
      </c>
      <c r="CL206" s="17">
        <f t="shared" si="556"/>
        <v>0</v>
      </c>
      <c r="CM206" s="19">
        <f t="shared" si="557"/>
        <v>0</v>
      </c>
      <c r="CN206" s="10">
        <f t="shared" si="557"/>
        <v>0</v>
      </c>
      <c r="CO206" s="10">
        <f t="shared" si="557"/>
        <v>0</v>
      </c>
      <c r="CP206" s="10">
        <f t="shared" si="557"/>
        <v>0</v>
      </c>
      <c r="CQ206" s="10">
        <f t="shared" si="557"/>
        <v>0</v>
      </c>
      <c r="CR206" s="10">
        <f t="shared" si="558"/>
        <v>0</v>
      </c>
      <c r="CS206" s="10">
        <f t="shared" si="558"/>
        <v>0</v>
      </c>
      <c r="CT206" s="17">
        <f t="shared" si="558"/>
        <v>0</v>
      </c>
      <c r="CU206" s="235"/>
    </row>
    <row r="207" spans="1:99" ht="25.5" customHeight="1" x14ac:dyDescent="0.4">
      <c r="A207" s="437"/>
      <c r="B207" s="437"/>
      <c r="C207" s="437"/>
      <c r="D207" s="443"/>
      <c r="E207" s="443"/>
      <c r="F207" s="443"/>
      <c r="G207" s="522"/>
      <c r="H207" s="441"/>
      <c r="I207" s="467"/>
      <c r="J207" s="14"/>
      <c r="K207" s="15"/>
      <c r="L207" s="15"/>
      <c r="M207" s="451"/>
      <c r="N207" s="11" t="s">
        <v>89</v>
      </c>
      <c r="O207" s="11">
        <f t="shared" si="563"/>
        <v>0</v>
      </c>
      <c r="P207" s="11">
        <f>(7.5+37.5+15+22.5+37.5)/120</f>
        <v>1</v>
      </c>
      <c r="Q207" s="11">
        <f t="shared" si="542"/>
        <v>0</v>
      </c>
      <c r="R207" s="11">
        <f t="shared" si="542"/>
        <v>0</v>
      </c>
      <c r="S207" s="11">
        <f t="shared" si="542"/>
        <v>0</v>
      </c>
      <c r="T207" s="11">
        <f t="shared" si="542"/>
        <v>0</v>
      </c>
      <c r="U207" s="48">
        <f t="shared" si="542"/>
        <v>0</v>
      </c>
      <c r="V207" s="56">
        <f t="shared" si="570"/>
        <v>0</v>
      </c>
      <c r="W207" s="11">
        <f>(22.5+37.5+37.5+37.5+7.5)/142.5</f>
        <v>1</v>
      </c>
      <c r="X207" s="11">
        <f t="shared" si="572"/>
        <v>0</v>
      </c>
      <c r="Y207" s="11">
        <f t="shared" si="572"/>
        <v>0</v>
      </c>
      <c r="Z207" s="11">
        <f t="shared" si="572"/>
        <v>0</v>
      </c>
      <c r="AA207" s="11">
        <f t="shared" si="572"/>
        <v>0</v>
      </c>
      <c r="AB207" s="56">
        <f t="shared" si="543"/>
        <v>0</v>
      </c>
      <c r="AC207" s="11">
        <f>(22.5+37.5+22.5)/165</f>
        <v>0.5</v>
      </c>
      <c r="AD207" s="11">
        <f t="shared" si="543"/>
        <v>0</v>
      </c>
      <c r="AE207" s="11">
        <f t="shared" si="543"/>
        <v>0</v>
      </c>
      <c r="AF207" s="11">
        <f t="shared" si="543"/>
        <v>0</v>
      </c>
      <c r="AG207" s="11">
        <f t="shared" si="543"/>
        <v>0</v>
      </c>
      <c r="AH207" s="56">
        <f t="shared" si="543"/>
        <v>0</v>
      </c>
      <c r="AI207" s="11">
        <f t="shared" si="543"/>
        <v>0</v>
      </c>
      <c r="AJ207" s="11">
        <f t="shared" si="543"/>
        <v>0</v>
      </c>
      <c r="AK207" s="11">
        <f t="shared" si="543"/>
        <v>0</v>
      </c>
      <c r="AL207" s="11">
        <f t="shared" si="543"/>
        <v>0</v>
      </c>
      <c r="AM207" s="11">
        <f t="shared" si="543"/>
        <v>0</v>
      </c>
      <c r="AN207" s="56">
        <f t="shared" si="544"/>
        <v>0</v>
      </c>
      <c r="AO207" s="11">
        <f t="shared" si="544"/>
        <v>0</v>
      </c>
      <c r="AP207" s="11">
        <f t="shared" si="544"/>
        <v>0</v>
      </c>
      <c r="AQ207" s="11">
        <f t="shared" si="544"/>
        <v>0</v>
      </c>
      <c r="AR207" s="11">
        <f t="shared" si="544"/>
        <v>0</v>
      </c>
      <c r="AS207" s="11">
        <f t="shared" si="544"/>
        <v>0</v>
      </c>
      <c r="AT207" s="61">
        <f t="shared" si="546"/>
        <v>0</v>
      </c>
      <c r="AU207" s="58">
        <f t="shared" si="546"/>
        <v>0</v>
      </c>
      <c r="AV207" s="58">
        <f t="shared" si="546"/>
        <v>0</v>
      </c>
      <c r="AW207" s="58">
        <f t="shared" si="546"/>
        <v>0</v>
      </c>
      <c r="AX207" s="58">
        <f t="shared" si="546"/>
        <v>0</v>
      </c>
      <c r="AY207" s="62">
        <f t="shared" si="546"/>
        <v>0</v>
      </c>
      <c r="AZ207" s="61">
        <f t="shared" si="548"/>
        <v>0</v>
      </c>
      <c r="BA207" s="58">
        <f t="shared" si="548"/>
        <v>0</v>
      </c>
      <c r="BB207" s="58">
        <f t="shared" si="548"/>
        <v>0</v>
      </c>
      <c r="BC207" s="58">
        <f t="shared" si="548"/>
        <v>0</v>
      </c>
      <c r="BD207" s="58">
        <f t="shared" si="548"/>
        <v>0</v>
      </c>
      <c r="BE207" s="58">
        <f t="shared" si="548"/>
        <v>0</v>
      </c>
      <c r="BF207" s="58">
        <f t="shared" si="548"/>
        <v>0</v>
      </c>
      <c r="BG207" s="61">
        <f t="shared" si="549"/>
        <v>0</v>
      </c>
      <c r="BH207" s="58">
        <f t="shared" si="549"/>
        <v>0</v>
      </c>
      <c r="BI207" s="58">
        <f t="shared" si="549"/>
        <v>0</v>
      </c>
      <c r="BJ207" s="58">
        <f t="shared" si="549"/>
        <v>0</v>
      </c>
      <c r="BK207" s="58">
        <f t="shared" si="549"/>
        <v>0</v>
      </c>
      <c r="BL207" s="58">
        <f t="shared" si="550"/>
        <v>0</v>
      </c>
      <c r="BM207" s="58">
        <f t="shared" si="550"/>
        <v>0</v>
      </c>
      <c r="BN207" s="62">
        <f t="shared" si="550"/>
        <v>0</v>
      </c>
      <c r="BO207" s="61">
        <f t="shared" si="551"/>
        <v>0</v>
      </c>
      <c r="BP207" s="58">
        <f t="shared" si="551"/>
        <v>0</v>
      </c>
      <c r="BQ207" s="58">
        <f t="shared" si="551"/>
        <v>0</v>
      </c>
      <c r="BR207" s="58">
        <f t="shared" si="551"/>
        <v>0</v>
      </c>
      <c r="BS207" s="58">
        <f t="shared" si="551"/>
        <v>0</v>
      </c>
      <c r="BT207" s="58">
        <f t="shared" si="552"/>
        <v>0</v>
      </c>
      <c r="BU207" s="58">
        <f t="shared" si="552"/>
        <v>0</v>
      </c>
      <c r="BV207" s="62">
        <f t="shared" si="552"/>
        <v>0</v>
      </c>
      <c r="BW207" s="61">
        <f t="shared" si="553"/>
        <v>0</v>
      </c>
      <c r="BX207" s="58">
        <f t="shared" si="553"/>
        <v>0</v>
      </c>
      <c r="BY207" s="58">
        <f t="shared" si="553"/>
        <v>0</v>
      </c>
      <c r="BZ207" s="58">
        <f t="shared" si="553"/>
        <v>0</v>
      </c>
      <c r="CA207" s="58">
        <f t="shared" si="553"/>
        <v>0</v>
      </c>
      <c r="CB207" s="58">
        <f t="shared" si="554"/>
        <v>0</v>
      </c>
      <c r="CC207" s="58">
        <f t="shared" si="554"/>
        <v>0</v>
      </c>
      <c r="CD207" s="62">
        <f t="shared" si="554"/>
        <v>0</v>
      </c>
      <c r="CE207" s="61">
        <f t="shared" si="559"/>
        <v>0</v>
      </c>
      <c r="CF207" s="58">
        <f t="shared" si="559"/>
        <v>0</v>
      </c>
      <c r="CG207" s="58">
        <f t="shared" si="559"/>
        <v>0</v>
      </c>
      <c r="CH207" s="58">
        <f t="shared" si="559"/>
        <v>0</v>
      </c>
      <c r="CI207" s="58">
        <f t="shared" si="559"/>
        <v>0</v>
      </c>
      <c r="CJ207" s="58">
        <f t="shared" si="556"/>
        <v>0</v>
      </c>
      <c r="CK207" s="58">
        <f t="shared" si="556"/>
        <v>0</v>
      </c>
      <c r="CL207" s="62">
        <f t="shared" si="556"/>
        <v>0</v>
      </c>
      <c r="CM207" s="61">
        <f t="shared" si="560"/>
        <v>0</v>
      </c>
      <c r="CN207" s="58">
        <f t="shared" si="560"/>
        <v>0</v>
      </c>
      <c r="CO207" s="58">
        <f t="shared" si="560"/>
        <v>0</v>
      </c>
      <c r="CP207" s="58">
        <f t="shared" si="560"/>
        <v>0</v>
      </c>
      <c r="CQ207" s="58">
        <f t="shared" si="560"/>
        <v>0</v>
      </c>
      <c r="CR207" s="58">
        <f t="shared" si="558"/>
        <v>0</v>
      </c>
      <c r="CS207" s="58">
        <f t="shared" si="558"/>
        <v>0</v>
      </c>
      <c r="CT207" s="62">
        <f t="shared" si="558"/>
        <v>0</v>
      </c>
      <c r="CU207" s="235"/>
    </row>
    <row r="208" spans="1:99" ht="20.100000000000001" customHeight="1" x14ac:dyDescent="0.4">
      <c r="A208" s="454" t="s">
        <v>35</v>
      </c>
      <c r="B208" s="455"/>
      <c r="C208" s="455"/>
      <c r="D208" s="455"/>
      <c r="E208" s="455"/>
      <c r="F208" s="455"/>
      <c r="G208" s="456"/>
      <c r="H208" s="440">
        <f>SUM(H198:H207)</f>
        <v>0</v>
      </c>
      <c r="I208" s="440">
        <f>SUM(I198:I207)</f>
        <v>1.4999999999999999E-2</v>
      </c>
      <c r="J208" s="529" t="s">
        <v>37</v>
      </c>
      <c r="K208" s="530"/>
      <c r="L208" s="530"/>
      <c r="M208" s="531"/>
      <c r="N208" s="10" t="s">
        <v>88</v>
      </c>
      <c r="O208" s="10">
        <f>SUM(O198,O200,O202,O204,O206)</f>
        <v>7.9166666666666663E-2</v>
      </c>
      <c r="P208" s="10">
        <f t="shared" ref="P208:T208" si="577">SUM(P198,P200,P202,P204,P206)</f>
        <v>0</v>
      </c>
      <c r="Q208" s="10">
        <f t="shared" si="577"/>
        <v>0.25</v>
      </c>
      <c r="R208" s="10">
        <f t="shared" si="577"/>
        <v>0.25</v>
      </c>
      <c r="S208" s="10">
        <f t="shared" si="577"/>
        <v>0.25</v>
      </c>
      <c r="T208" s="10">
        <f t="shared" si="577"/>
        <v>0</v>
      </c>
      <c r="U208" s="79">
        <f t="shared" ref="U208:U209" si="578">SUM(U198,U200,U202,U204,U206)</f>
        <v>0.16666666666666666</v>
      </c>
      <c r="V208" s="19">
        <f>SUM(V196,V198,V200,V202,V204,V206)</f>
        <v>0.25263157894736843</v>
      </c>
      <c r="W208" s="10">
        <f t="shared" ref="W208:AA208" si="579">SUM(W196,W198,W200,W202,W204,W206)</f>
        <v>0</v>
      </c>
      <c r="X208" s="10">
        <f t="shared" si="579"/>
        <v>0.38596491228070173</v>
      </c>
      <c r="Y208" s="10">
        <f t="shared" si="579"/>
        <v>0.38596491228070173</v>
      </c>
      <c r="Z208" s="10">
        <f t="shared" si="579"/>
        <v>0.35087719298245612</v>
      </c>
      <c r="AA208" s="10">
        <f t="shared" si="579"/>
        <v>0.14035087719298245</v>
      </c>
      <c r="AB208" s="57">
        <f>SUM(AB198,AB200,AB202,AB204,AB206)</f>
        <v>0.13333333333333333</v>
      </c>
      <c r="AC208" s="10">
        <f t="shared" ref="AC208:AF208" si="580">SUM(AC198,AC200,AC202,AC204,AC206)</f>
        <v>4.8484848484848485E-2</v>
      </c>
      <c r="AD208" s="10">
        <f t="shared" si="580"/>
        <v>0.19696969696969696</v>
      </c>
      <c r="AE208" s="10">
        <f t="shared" si="580"/>
        <v>7.575757575757576E-2</v>
      </c>
      <c r="AF208" s="10">
        <f t="shared" si="580"/>
        <v>0.13636363636363635</v>
      </c>
      <c r="AG208" s="79">
        <f>SUM(AG198,AG200,AG202,AG204,AG206)</f>
        <v>0.10606060606060606</v>
      </c>
      <c r="AH208" s="10">
        <f>SUM(AH198,AH200,AH202,AH204,AH206)</f>
        <v>0</v>
      </c>
      <c r="AI208" s="10">
        <f t="shared" ref="AI208:AL208" si="581">SUM(AI198,AI200,AI202,AI204,AI206)</f>
        <v>1.2121212121212121E-2</v>
      </c>
      <c r="AJ208" s="10">
        <f t="shared" si="581"/>
        <v>2.7272727272727275E-2</v>
      </c>
      <c r="AK208" s="10">
        <f t="shared" si="581"/>
        <v>2.7272727272727275E-2</v>
      </c>
      <c r="AL208" s="10">
        <f t="shared" si="581"/>
        <v>6.0606060606060606E-3</v>
      </c>
      <c r="AM208" s="79">
        <f>SUM(AM198,AM200,AM202,AM204,AM206)</f>
        <v>6.0606060606060606E-3</v>
      </c>
      <c r="AN208" s="10">
        <f>SUM(AN198,AN200,AN202,AN204,AN206)</f>
        <v>0.11333333333333331</v>
      </c>
      <c r="AO208" s="10">
        <f t="shared" ref="AO208:AR208" si="582">SUM(AO198,AO200,AO202,AO204,AO206)</f>
        <v>8.5079365079365088E-2</v>
      </c>
      <c r="AP208" s="10">
        <f t="shared" si="582"/>
        <v>0.10158730158730159</v>
      </c>
      <c r="AQ208" s="10">
        <f t="shared" si="582"/>
        <v>0.15174603174603174</v>
      </c>
      <c r="AR208" s="10">
        <f t="shared" si="582"/>
        <v>6.507936507936507E-2</v>
      </c>
      <c r="AS208" s="79">
        <f>SUM(AS198,AS200,AS202,AS204,AS206)</f>
        <v>9.841269841269841E-2</v>
      </c>
      <c r="AT208" s="10">
        <f>SUM(AT198,AT200,AT202,AT204,AT206)</f>
        <v>0</v>
      </c>
      <c r="AU208" s="10">
        <f t="shared" ref="AU208:AX208" si="583">SUM(AU198,AU200,AU202,AU204,AU206)</f>
        <v>1.8181818181818181E-2</v>
      </c>
      <c r="AV208" s="10">
        <f t="shared" si="583"/>
        <v>2.4242424242424242E-2</v>
      </c>
      <c r="AW208" s="10">
        <f t="shared" si="583"/>
        <v>2.4242424242424242E-2</v>
      </c>
      <c r="AX208" s="10">
        <f t="shared" si="583"/>
        <v>2.4242424242424242E-2</v>
      </c>
      <c r="AY208" s="79">
        <f>SUM(AY198,AY200,AY202,AY204,AY206)</f>
        <v>2.4242424242424242E-2</v>
      </c>
      <c r="AZ208" s="10">
        <f>SUM(AZ198,AZ200,AZ202,AZ204,AZ206)</f>
        <v>0</v>
      </c>
      <c r="BA208" s="10">
        <f t="shared" ref="BA208:BD208" si="584">SUM(BA198,BA200,BA202,BA204,BA206)</f>
        <v>0</v>
      </c>
      <c r="BB208" s="10">
        <f t="shared" si="584"/>
        <v>0</v>
      </c>
      <c r="BC208" s="10">
        <f t="shared" si="584"/>
        <v>0</v>
      </c>
      <c r="BD208" s="10">
        <f t="shared" si="584"/>
        <v>0</v>
      </c>
      <c r="BE208" s="10">
        <f t="shared" ref="BE208:BF208" si="585">SUM(BE198,BE200,BE202,BE204,BE206)</f>
        <v>0</v>
      </c>
      <c r="BF208" s="10">
        <f t="shared" si="585"/>
        <v>0</v>
      </c>
      <c r="BG208" s="10">
        <f>SUM(BG198,BG200,BG202,BG204,BG206)</f>
        <v>0</v>
      </c>
      <c r="BH208" s="10">
        <f t="shared" ref="BH208:BN208" si="586">SUM(BH198,BH200,BH202,BH204,BH206)</f>
        <v>0</v>
      </c>
      <c r="BI208" s="10">
        <f t="shared" si="586"/>
        <v>0</v>
      </c>
      <c r="BJ208" s="10">
        <f t="shared" si="586"/>
        <v>0</v>
      </c>
      <c r="BK208" s="10">
        <f t="shared" si="586"/>
        <v>0</v>
      </c>
      <c r="BL208" s="10">
        <f t="shared" si="586"/>
        <v>0</v>
      </c>
      <c r="BM208" s="10">
        <f t="shared" si="586"/>
        <v>0</v>
      </c>
      <c r="BN208" s="79">
        <f t="shared" si="586"/>
        <v>0</v>
      </c>
      <c r="BO208" s="10">
        <f>SUM(BO198,BO200,BO202,BO204,BO206)</f>
        <v>0</v>
      </c>
      <c r="BP208" s="10">
        <f t="shared" ref="BP208:BV208" si="587">SUM(BP198,BP200,BP202,BP204,BP206)</f>
        <v>0</v>
      </c>
      <c r="BQ208" s="10">
        <f t="shared" si="587"/>
        <v>0</v>
      </c>
      <c r="BR208" s="10">
        <f t="shared" si="587"/>
        <v>0</v>
      </c>
      <c r="BS208" s="10">
        <f t="shared" si="587"/>
        <v>0</v>
      </c>
      <c r="BT208" s="10">
        <f t="shared" si="587"/>
        <v>0</v>
      </c>
      <c r="BU208" s="10">
        <f t="shared" si="587"/>
        <v>0</v>
      </c>
      <c r="BV208" s="79">
        <f t="shared" si="587"/>
        <v>0</v>
      </c>
      <c r="BW208" s="10">
        <f>SUM(BW198,BW200,BW202,BW204,BW206)</f>
        <v>0</v>
      </c>
      <c r="BX208" s="10">
        <f t="shared" ref="BX208:CD208" si="588">SUM(BX198,BX200,BX202,BX204,BX206)</f>
        <v>0</v>
      </c>
      <c r="BY208" s="10">
        <f t="shared" si="588"/>
        <v>0</v>
      </c>
      <c r="BZ208" s="10">
        <f t="shared" si="588"/>
        <v>0</v>
      </c>
      <c r="CA208" s="10">
        <f t="shared" si="588"/>
        <v>0</v>
      </c>
      <c r="CB208" s="10">
        <f t="shared" si="588"/>
        <v>0</v>
      </c>
      <c r="CC208" s="10">
        <f t="shared" si="588"/>
        <v>0</v>
      </c>
      <c r="CD208" s="79">
        <f t="shared" si="588"/>
        <v>0</v>
      </c>
      <c r="CE208" s="10">
        <f>SUM(CE198,CE200,CE202,CE204,CE206)</f>
        <v>0</v>
      </c>
      <c r="CF208" s="10">
        <f t="shared" ref="CF208:CL208" si="589">SUM(CF198,CF200,CF202,CF204,CF206)</f>
        <v>0</v>
      </c>
      <c r="CG208" s="10">
        <f t="shared" si="589"/>
        <v>0</v>
      </c>
      <c r="CH208" s="10">
        <f t="shared" si="589"/>
        <v>0</v>
      </c>
      <c r="CI208" s="10">
        <f t="shared" si="589"/>
        <v>0</v>
      </c>
      <c r="CJ208" s="10">
        <f t="shared" si="589"/>
        <v>0</v>
      </c>
      <c r="CK208" s="10">
        <f t="shared" si="589"/>
        <v>0</v>
      </c>
      <c r="CL208" s="79">
        <f t="shared" si="589"/>
        <v>0</v>
      </c>
      <c r="CM208" s="10">
        <f>SUM(CM198,CM200,CM202,CM204,CM206)</f>
        <v>0</v>
      </c>
      <c r="CN208" s="10">
        <f t="shared" ref="CN208:CT208" si="590">SUM(CN198,CN200,CN202,CN204,CN206)</f>
        <v>0</v>
      </c>
      <c r="CO208" s="10">
        <f t="shared" si="590"/>
        <v>0</v>
      </c>
      <c r="CP208" s="10">
        <f t="shared" si="590"/>
        <v>0</v>
      </c>
      <c r="CQ208" s="10">
        <f t="shared" si="590"/>
        <v>0</v>
      </c>
      <c r="CR208" s="10">
        <f t="shared" si="590"/>
        <v>0</v>
      </c>
      <c r="CS208" s="10">
        <f t="shared" si="590"/>
        <v>0</v>
      </c>
      <c r="CT208" s="10">
        <f t="shared" si="590"/>
        <v>0</v>
      </c>
      <c r="CU208" s="19">
        <f>SUM(AZ208:BF208)</f>
        <v>0</v>
      </c>
    </row>
    <row r="209" spans="1:105" ht="20.100000000000001" customHeight="1" x14ac:dyDescent="0.4">
      <c r="A209" s="457"/>
      <c r="B209" s="458"/>
      <c r="C209" s="458"/>
      <c r="D209" s="458"/>
      <c r="E209" s="458"/>
      <c r="F209" s="458"/>
      <c r="G209" s="459"/>
      <c r="H209" s="441"/>
      <c r="I209" s="441"/>
      <c r="J209" s="497" t="s">
        <v>80</v>
      </c>
      <c r="K209" s="498"/>
      <c r="L209" s="498"/>
      <c r="M209" s="499"/>
      <c r="N209" s="11" t="s">
        <v>89</v>
      </c>
      <c r="O209" s="11">
        <f>SUM(O199,O201,O203,O205,O207)</f>
        <v>6.25E-2</v>
      </c>
      <c r="P209" s="11">
        <f t="shared" ref="P209:T209" si="591">SUM(P199,P201,P203,P205,P207)</f>
        <v>1</v>
      </c>
      <c r="Q209" s="11">
        <f t="shared" si="591"/>
        <v>0.10833333333333334</v>
      </c>
      <c r="R209" s="11">
        <f t="shared" si="591"/>
        <v>2.5000000000000001E-2</v>
      </c>
      <c r="S209" s="11">
        <f t="shared" si="591"/>
        <v>0.05</v>
      </c>
      <c r="T209" s="11">
        <f t="shared" si="591"/>
        <v>0</v>
      </c>
      <c r="U209" s="48">
        <f t="shared" si="578"/>
        <v>4.1666666666666664E-2</v>
      </c>
      <c r="V209" s="20">
        <f t="shared" ref="V209:AA209" si="592">SUM(V197,V199,V201,V203,V205,V207)</f>
        <v>0.21754385964912282</v>
      </c>
      <c r="W209" s="11">
        <f t="shared" si="592"/>
        <v>1</v>
      </c>
      <c r="X209" s="11">
        <f t="shared" si="592"/>
        <v>0.29473684210526319</v>
      </c>
      <c r="Y209" s="11">
        <f t="shared" si="592"/>
        <v>0.17894736842105263</v>
      </c>
      <c r="Z209" s="11">
        <f t="shared" si="592"/>
        <v>0.17894736842105263</v>
      </c>
      <c r="AA209" s="11">
        <f t="shared" si="592"/>
        <v>0.13333333333333333</v>
      </c>
      <c r="AB209" s="53">
        <f>SUM(AB199,AB201,AB203,AB205,AB207)</f>
        <v>9.696969696969697E-2</v>
      </c>
      <c r="AC209" s="11">
        <f t="shared" ref="AC209:AF209" si="593">SUM(AC199,AC201,AC203,AC205,AC207)</f>
        <v>0.51515151515151514</v>
      </c>
      <c r="AD209" s="11">
        <f t="shared" si="593"/>
        <v>0.16969696969696971</v>
      </c>
      <c r="AE209" s="11">
        <f t="shared" si="593"/>
        <v>7.2727272727272724E-2</v>
      </c>
      <c r="AF209" s="11">
        <f t="shared" si="593"/>
        <v>0.11212121212121212</v>
      </c>
      <c r="AG209" s="48">
        <f>SUM(AG199,AG201,AG203,AG205,AG207)</f>
        <v>0.12727272727272726</v>
      </c>
      <c r="AH209" s="11">
        <f>SUM(AH199,AH201,AH203,AH205,AH207)</f>
        <v>4.8484848484848485E-2</v>
      </c>
      <c r="AI209" s="11">
        <f t="shared" ref="AI209:AL209" si="594">SUM(AI199,AI201,AI203,AI205,AI207)</f>
        <v>5.454545454545455E-2</v>
      </c>
      <c r="AJ209" s="11">
        <f t="shared" si="594"/>
        <v>8.484848484848484E-2</v>
      </c>
      <c r="AK209" s="11">
        <f t="shared" si="594"/>
        <v>6.363636363636363E-2</v>
      </c>
      <c r="AL209" s="11">
        <f t="shared" si="594"/>
        <v>5.1515151515151514E-2</v>
      </c>
      <c r="AM209" s="48">
        <f>SUM(AM199,AM201,AM203,AM205,AM207)</f>
        <v>5.454545454545455E-2</v>
      </c>
      <c r="AN209" s="11">
        <f>SUM(AN199,AN201,AN203,AN205,AN207)</f>
        <v>9.2063492063492069E-2</v>
      </c>
      <c r="AO209" s="11">
        <f t="shared" ref="AO209:AR209" si="595">SUM(AO199,AO201,AO203,AO205,AO207)</f>
        <v>0.12063492063492064</v>
      </c>
      <c r="AP209" s="11">
        <f t="shared" si="595"/>
        <v>0.15873015873015872</v>
      </c>
      <c r="AQ209" s="11">
        <f t="shared" si="595"/>
        <v>0.17460317460317459</v>
      </c>
      <c r="AR209" s="11">
        <f t="shared" si="595"/>
        <v>6.9841269841269843E-2</v>
      </c>
      <c r="AS209" s="48">
        <f>SUM(AS199,AS201,AS203,AS205,AS207)</f>
        <v>0.11746031746031746</v>
      </c>
      <c r="AT209" s="11">
        <f>SUM(AT199,AT201,AT203,AT205,AT207)</f>
        <v>1.8181818181818181E-2</v>
      </c>
      <c r="AU209" s="11">
        <f t="shared" ref="AU209:AX209" si="596">SUM(AU199,AU201,AU203,AU205,AU207)</f>
        <v>4.5454545454545456E-2</v>
      </c>
      <c r="AV209" s="11">
        <f t="shared" si="596"/>
        <v>9.0909090909090912E-2</v>
      </c>
      <c r="AW209" s="11">
        <f t="shared" si="596"/>
        <v>9.0909090909090912E-2</v>
      </c>
      <c r="AX209" s="11">
        <f t="shared" si="596"/>
        <v>4.5454545454545456E-2</v>
      </c>
      <c r="AY209" s="48">
        <f>SUM(AY199,AY201,AY203,AY205,AY207)</f>
        <v>9.0909090909090912E-2</v>
      </c>
      <c r="AZ209" s="11">
        <f>SUM(AZ199,AZ201,AZ203,AZ205,AZ207)</f>
        <v>0</v>
      </c>
      <c r="BA209" s="11">
        <f t="shared" ref="BA209:BD209" si="597">SUM(BA199,BA201,BA203,BA205,BA207)</f>
        <v>0</v>
      </c>
      <c r="BB209" s="11">
        <f t="shared" si="597"/>
        <v>0</v>
      </c>
      <c r="BC209" s="11">
        <f t="shared" si="597"/>
        <v>0</v>
      </c>
      <c r="BD209" s="11">
        <f t="shared" si="597"/>
        <v>1.4999999999999999E-2</v>
      </c>
      <c r="BE209" s="11">
        <f t="shared" ref="BE209:BF209" si="598">SUM(BE199,BE201,BE203,BE205,BE207)</f>
        <v>0</v>
      </c>
      <c r="BF209" s="11">
        <f t="shared" si="598"/>
        <v>0</v>
      </c>
      <c r="BG209" s="11">
        <f>SUM(BG199,BG201,BG203,BG205,BG207)</f>
        <v>0</v>
      </c>
      <c r="BH209" s="11">
        <f t="shared" ref="BH209:BN209" si="599">SUM(BH199,BH201,BH203,BH205,BH207)</f>
        <v>0</v>
      </c>
      <c r="BI209" s="11">
        <f t="shared" si="599"/>
        <v>0</v>
      </c>
      <c r="BJ209" s="11">
        <f t="shared" si="599"/>
        <v>0</v>
      </c>
      <c r="BK209" s="11">
        <f t="shared" si="599"/>
        <v>0</v>
      </c>
      <c r="BL209" s="11">
        <f t="shared" si="599"/>
        <v>0</v>
      </c>
      <c r="BM209" s="11">
        <f t="shared" si="599"/>
        <v>0</v>
      </c>
      <c r="BN209" s="48">
        <f t="shared" si="599"/>
        <v>0</v>
      </c>
      <c r="BO209" s="11">
        <f>SUM(BO199,BO201,BO203,BO205,BO207)</f>
        <v>0</v>
      </c>
      <c r="BP209" s="11">
        <f t="shared" ref="BP209:BV209" si="600">SUM(BP199,BP201,BP203,BP205,BP207)</f>
        <v>0</v>
      </c>
      <c r="BQ209" s="11">
        <f t="shared" si="600"/>
        <v>0</v>
      </c>
      <c r="BR209" s="11">
        <f t="shared" si="600"/>
        <v>0</v>
      </c>
      <c r="BS209" s="11">
        <f t="shared" si="600"/>
        <v>0</v>
      </c>
      <c r="BT209" s="11">
        <f t="shared" si="600"/>
        <v>0</v>
      </c>
      <c r="BU209" s="11">
        <f t="shared" si="600"/>
        <v>0</v>
      </c>
      <c r="BV209" s="48">
        <f t="shared" si="600"/>
        <v>0</v>
      </c>
      <c r="BW209" s="11">
        <f>SUM(BW199,BW201,BW203,BW205,BW207)</f>
        <v>0</v>
      </c>
      <c r="BX209" s="11">
        <f t="shared" ref="BX209:CD209" si="601">SUM(BX199,BX201,BX203,BX205,BX207)</f>
        <v>0</v>
      </c>
      <c r="BY209" s="11">
        <f t="shared" si="601"/>
        <v>0</v>
      </c>
      <c r="BZ209" s="11">
        <f t="shared" si="601"/>
        <v>0</v>
      </c>
      <c r="CA209" s="11">
        <f t="shared" si="601"/>
        <v>0</v>
      </c>
      <c r="CB209" s="11">
        <f t="shared" si="601"/>
        <v>0</v>
      </c>
      <c r="CC209" s="11">
        <f t="shared" si="601"/>
        <v>0</v>
      </c>
      <c r="CD209" s="48">
        <f t="shared" si="601"/>
        <v>0</v>
      </c>
      <c r="CE209" s="11">
        <f>SUM(CE199,CE201,CE203,CE205,CE207)</f>
        <v>0</v>
      </c>
      <c r="CF209" s="11">
        <f t="shared" ref="CF209:CL209" si="602">SUM(CF199,CF201,CF203,CF205,CF207)</f>
        <v>0</v>
      </c>
      <c r="CG209" s="11">
        <f t="shared" si="602"/>
        <v>0</v>
      </c>
      <c r="CH209" s="11">
        <f t="shared" si="602"/>
        <v>0</v>
      </c>
      <c r="CI209" s="11">
        <f t="shared" si="602"/>
        <v>0</v>
      </c>
      <c r="CJ209" s="11">
        <f t="shared" si="602"/>
        <v>0</v>
      </c>
      <c r="CK209" s="11">
        <f t="shared" si="602"/>
        <v>0</v>
      </c>
      <c r="CL209" s="48">
        <f t="shared" si="602"/>
        <v>0</v>
      </c>
      <c r="CM209" s="11">
        <f>SUM(CM199,CM201,CM203,CM205,CM207)</f>
        <v>0</v>
      </c>
      <c r="CN209" s="11">
        <f t="shared" ref="CN209:CT209" si="603">SUM(CN199,CN201,CN203,CN205,CN207)</f>
        <v>0</v>
      </c>
      <c r="CO209" s="11">
        <f t="shared" si="603"/>
        <v>0</v>
      </c>
      <c r="CP209" s="11">
        <f t="shared" si="603"/>
        <v>0</v>
      </c>
      <c r="CQ209" s="11">
        <f t="shared" si="603"/>
        <v>0</v>
      </c>
      <c r="CR209" s="11">
        <f t="shared" si="603"/>
        <v>0</v>
      </c>
      <c r="CS209" s="11">
        <f t="shared" si="603"/>
        <v>0</v>
      </c>
      <c r="CT209" s="11">
        <f t="shared" si="603"/>
        <v>0</v>
      </c>
      <c r="CU209" s="20">
        <f>SUM(AZ209:BF209)</f>
        <v>1.4999999999999999E-2</v>
      </c>
      <c r="CV209" s="54"/>
      <c r="CW209" s="54"/>
    </row>
    <row r="210" spans="1:105" ht="20.100000000000001" customHeight="1" x14ac:dyDescent="0.4">
      <c r="M210" s="22"/>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row>
    <row r="211" spans="1:105" ht="30" customHeight="1" thickBot="1" x14ac:dyDescent="0.45">
      <c r="G211" s="37" t="s">
        <v>81</v>
      </c>
      <c r="H211" s="165">
        <f>SUM(H167,H186)</f>
        <v>4.1833333333333336</v>
      </c>
      <c r="I211" s="165">
        <f>SUM(I167,I186)</f>
        <v>1.4849999999999999</v>
      </c>
      <c r="K211" s="512" t="s">
        <v>97</v>
      </c>
      <c r="L211" s="512"/>
      <c r="M211" s="512"/>
      <c r="N211" s="42" t="s">
        <v>88</v>
      </c>
      <c r="O211" s="24">
        <f>SUM(O189,O208)</f>
        <v>1.0958333333333332</v>
      </c>
      <c r="P211" s="24">
        <f t="shared" ref="P211:AL211" si="604">SUM(P189,P208)</f>
        <v>0</v>
      </c>
      <c r="Q211" s="24">
        <f t="shared" si="604"/>
        <v>1.25</v>
      </c>
      <c r="R211" s="24">
        <f t="shared" si="604"/>
        <v>1.1041666666666667</v>
      </c>
      <c r="S211" s="24">
        <f t="shared" si="604"/>
        <v>1.2666666666666668</v>
      </c>
      <c r="T211" s="24">
        <f t="shared" si="604"/>
        <v>1.2</v>
      </c>
      <c r="U211" s="80">
        <f t="shared" si="604"/>
        <v>1.0833333333333333</v>
      </c>
      <c r="V211" s="26">
        <f t="shared" ref="V211:AA212" si="605">SUM(V189,V208)</f>
        <v>1.0701754385964914</v>
      </c>
      <c r="W211" s="27">
        <f t="shared" si="605"/>
        <v>8.0701754385964913E-2</v>
      </c>
      <c r="X211" s="27">
        <f t="shared" si="605"/>
        <v>1.1508771929824562</v>
      </c>
      <c r="Y211" s="27">
        <f t="shared" si="605"/>
        <v>1.3087719298245615</v>
      </c>
      <c r="Z211" s="27">
        <f t="shared" si="605"/>
        <v>1.2736842105263158</v>
      </c>
      <c r="AA211" s="27">
        <f t="shared" si="605"/>
        <v>1.1157894736842104</v>
      </c>
      <c r="AB211" s="26">
        <f t="shared" si="604"/>
        <v>1.0666666666666667</v>
      </c>
      <c r="AC211" s="27">
        <f t="shared" si="604"/>
        <v>0.61212121212121218</v>
      </c>
      <c r="AD211" s="27">
        <f t="shared" si="604"/>
        <v>1.1121212121212123</v>
      </c>
      <c r="AE211" s="27">
        <f t="shared" si="604"/>
        <v>1.0333333333333332</v>
      </c>
      <c r="AF211" s="27">
        <f t="shared" si="604"/>
        <v>1.0939393939393938</v>
      </c>
      <c r="AG211" s="27">
        <f t="shared" si="604"/>
        <v>1.0818181818181818</v>
      </c>
      <c r="AH211" s="26">
        <f t="shared" si="604"/>
        <v>1.0151515151515151</v>
      </c>
      <c r="AI211" s="27">
        <f t="shared" si="604"/>
        <v>1.0060606060606059</v>
      </c>
      <c r="AJ211" s="27">
        <f t="shared" si="604"/>
        <v>0.97575757575757582</v>
      </c>
      <c r="AK211" s="27">
        <f t="shared" si="604"/>
        <v>0.9939393939393939</v>
      </c>
      <c r="AL211" s="27">
        <f t="shared" si="604"/>
        <v>0.99696969696969695</v>
      </c>
      <c r="AM211" s="27">
        <f t="shared" ref="AM211:AM212" si="606">SUM(AM189,AM208)</f>
        <v>1.009090909090909</v>
      </c>
      <c r="AN211" s="26">
        <f t="shared" ref="AN211:BK212" si="607">SUM(AN189,AN208)</f>
        <v>0.99936507936507923</v>
      </c>
      <c r="AO211" s="27">
        <f t="shared" si="607"/>
        <v>0.99777777777777765</v>
      </c>
      <c r="AP211" s="27">
        <f t="shared" si="607"/>
        <v>1.0047619047619047</v>
      </c>
      <c r="AQ211" s="27">
        <f t="shared" si="607"/>
        <v>1.0041269841269842</v>
      </c>
      <c r="AR211" s="27">
        <f t="shared" si="607"/>
        <v>1</v>
      </c>
      <c r="AS211" s="27">
        <f t="shared" si="607"/>
        <v>0.99523809523809537</v>
      </c>
      <c r="AT211" s="26">
        <f t="shared" si="607"/>
        <v>1.1720923520923523</v>
      </c>
      <c r="AU211" s="27">
        <f t="shared" si="607"/>
        <v>0.97936507936507955</v>
      </c>
      <c r="AV211" s="27">
        <f t="shared" si="607"/>
        <v>0.95209235209235199</v>
      </c>
      <c r="AW211" s="27">
        <f t="shared" ref="AW211:AX211" si="608">SUM(AW189,AW208)</f>
        <v>0.92784992784992781</v>
      </c>
      <c r="AX211" s="27">
        <f t="shared" si="608"/>
        <v>0.97330447330447345</v>
      </c>
      <c r="AY211" s="27">
        <f t="shared" si="607"/>
        <v>0.99148629148629153</v>
      </c>
      <c r="AZ211" s="26">
        <f t="shared" si="607"/>
        <v>1.0033333333333334</v>
      </c>
      <c r="BA211" s="27">
        <f t="shared" si="607"/>
        <v>0.11666666666666667</v>
      </c>
      <c r="BB211" s="27">
        <f t="shared" si="607"/>
        <v>0.25</v>
      </c>
      <c r="BC211" s="27">
        <f t="shared" si="607"/>
        <v>0.25</v>
      </c>
      <c r="BD211" s="27">
        <f t="shared" si="607"/>
        <v>0.25</v>
      </c>
      <c r="BE211" s="27">
        <f t="shared" si="607"/>
        <v>0.25</v>
      </c>
      <c r="BF211" s="27">
        <f t="shared" ref="BF211" si="609">SUM(BF189,BF208)</f>
        <v>0.05</v>
      </c>
      <c r="BG211" s="26">
        <f t="shared" si="607"/>
        <v>0</v>
      </c>
      <c r="BH211" s="27">
        <f t="shared" si="607"/>
        <v>0</v>
      </c>
      <c r="BI211" s="27">
        <f t="shared" si="607"/>
        <v>0</v>
      </c>
      <c r="BJ211" s="27">
        <f t="shared" si="607"/>
        <v>0</v>
      </c>
      <c r="BK211" s="27">
        <f t="shared" si="607"/>
        <v>0</v>
      </c>
      <c r="BL211" s="27">
        <f t="shared" ref="BL211:BN212" si="610">SUM(BL189,BL208)</f>
        <v>0</v>
      </c>
      <c r="BM211" s="27">
        <f t="shared" si="610"/>
        <v>0</v>
      </c>
      <c r="BN211" s="27">
        <f t="shared" si="610"/>
        <v>0</v>
      </c>
      <c r="BO211" s="26">
        <f t="shared" ref="BO211:CT212" si="611">SUM(BO189,BO208)</f>
        <v>0</v>
      </c>
      <c r="BP211" s="27">
        <f t="shared" si="611"/>
        <v>0</v>
      </c>
      <c r="BQ211" s="27">
        <f t="shared" si="611"/>
        <v>0</v>
      </c>
      <c r="BR211" s="27">
        <f t="shared" si="611"/>
        <v>0</v>
      </c>
      <c r="BS211" s="27">
        <f t="shared" si="611"/>
        <v>0</v>
      </c>
      <c r="BT211" s="27">
        <f t="shared" si="611"/>
        <v>0</v>
      </c>
      <c r="BU211" s="27">
        <f t="shared" si="611"/>
        <v>0</v>
      </c>
      <c r="BV211" s="27">
        <f t="shared" si="611"/>
        <v>0</v>
      </c>
      <c r="BW211" s="82">
        <f t="shared" si="611"/>
        <v>0</v>
      </c>
      <c r="BX211" s="27">
        <f t="shared" si="611"/>
        <v>0</v>
      </c>
      <c r="BY211" s="27">
        <f t="shared" si="611"/>
        <v>0</v>
      </c>
      <c r="BZ211" s="27">
        <f t="shared" si="611"/>
        <v>0</v>
      </c>
      <c r="CA211" s="27">
        <f t="shared" si="611"/>
        <v>0</v>
      </c>
      <c r="CB211" s="27">
        <f t="shared" ref="CB211:CD211" si="612">SUM(CB189,CB208)</f>
        <v>0</v>
      </c>
      <c r="CC211" s="27">
        <f t="shared" si="612"/>
        <v>0</v>
      </c>
      <c r="CD211" s="27">
        <f t="shared" si="612"/>
        <v>0</v>
      </c>
      <c r="CE211" s="26">
        <f t="shared" si="611"/>
        <v>0</v>
      </c>
      <c r="CF211" s="27">
        <f t="shared" si="611"/>
        <v>0</v>
      </c>
      <c r="CG211" s="27">
        <f t="shared" si="611"/>
        <v>0</v>
      </c>
      <c r="CH211" s="27">
        <f t="shared" si="611"/>
        <v>0</v>
      </c>
      <c r="CI211" s="27">
        <f t="shared" si="611"/>
        <v>0</v>
      </c>
      <c r="CJ211" s="27">
        <f t="shared" ref="CJ211:CL211" si="613">SUM(CJ189,CJ208)</f>
        <v>0</v>
      </c>
      <c r="CK211" s="27">
        <f t="shared" si="613"/>
        <v>0</v>
      </c>
      <c r="CL211" s="27">
        <f t="shared" si="613"/>
        <v>0</v>
      </c>
      <c r="CM211" s="26">
        <f t="shared" si="611"/>
        <v>0</v>
      </c>
      <c r="CN211" s="27">
        <f t="shared" si="611"/>
        <v>0</v>
      </c>
      <c r="CO211" s="27">
        <f t="shared" si="611"/>
        <v>0</v>
      </c>
      <c r="CP211" s="27">
        <f t="shared" si="611"/>
        <v>0</v>
      </c>
      <c r="CQ211" s="27">
        <f t="shared" si="611"/>
        <v>0</v>
      </c>
      <c r="CR211" s="27">
        <f t="shared" si="611"/>
        <v>0</v>
      </c>
      <c r="CS211" s="27">
        <f t="shared" si="611"/>
        <v>0</v>
      </c>
      <c r="CT211" s="27">
        <f t="shared" si="611"/>
        <v>0</v>
      </c>
      <c r="CU211" s="197"/>
    </row>
    <row r="212" spans="1:105" ht="30" customHeight="1" thickTop="1" thickBot="1" x14ac:dyDescent="0.45">
      <c r="G212" s="37" t="s">
        <v>82</v>
      </c>
      <c r="H212" s="165">
        <f>H208</f>
        <v>0</v>
      </c>
      <c r="I212" s="165">
        <f>I208</f>
        <v>1.4999999999999999E-2</v>
      </c>
      <c r="K212" s="512" t="s">
        <v>97</v>
      </c>
      <c r="L212" s="512"/>
      <c r="M212" s="512"/>
      <c r="N212" s="43" t="s">
        <v>89</v>
      </c>
      <c r="O212" s="25">
        <f t="shared" ref="O212:AL212" si="614">SUM(O190,O209)</f>
        <v>1</v>
      </c>
      <c r="P212" s="25">
        <f t="shared" si="614"/>
        <v>1</v>
      </c>
      <c r="Q212" s="25">
        <f t="shared" si="614"/>
        <v>1</v>
      </c>
      <c r="R212" s="25">
        <f t="shared" si="614"/>
        <v>0.8125</v>
      </c>
      <c r="S212" s="25">
        <f t="shared" si="614"/>
        <v>1</v>
      </c>
      <c r="T212" s="25">
        <f t="shared" si="614"/>
        <v>0.99999999999999989</v>
      </c>
      <c r="U212" s="81">
        <f t="shared" si="614"/>
        <v>0.99999999999999989</v>
      </c>
      <c r="V212" s="60">
        <f>SUM(V190,V209)</f>
        <v>1</v>
      </c>
      <c r="W212" s="25">
        <f>SUM(W190,W209)</f>
        <v>1</v>
      </c>
      <c r="X212" s="25">
        <f>SUM(X190,X209)</f>
        <v>1</v>
      </c>
      <c r="Y212" s="25">
        <f t="shared" si="614"/>
        <v>1</v>
      </c>
      <c r="Z212" s="25">
        <f t="shared" si="614"/>
        <v>1</v>
      </c>
      <c r="AA212" s="59">
        <f t="shared" si="605"/>
        <v>1</v>
      </c>
      <c r="AB212" s="60">
        <f t="shared" si="614"/>
        <v>0.99696969696969684</v>
      </c>
      <c r="AC212" s="25">
        <f t="shared" si="614"/>
        <v>1</v>
      </c>
      <c r="AD212" s="25">
        <f t="shared" si="614"/>
        <v>1.0000000000000002</v>
      </c>
      <c r="AE212" s="25">
        <f t="shared" si="614"/>
        <v>1</v>
      </c>
      <c r="AF212" s="25">
        <f t="shared" si="614"/>
        <v>1</v>
      </c>
      <c r="AG212" s="59">
        <f t="shared" si="614"/>
        <v>0.99999999999999978</v>
      </c>
      <c r="AH212" s="60">
        <f t="shared" si="614"/>
        <v>1.0000000000000002</v>
      </c>
      <c r="AI212" s="25">
        <f t="shared" si="614"/>
        <v>1</v>
      </c>
      <c r="AJ212" s="25">
        <f t="shared" si="614"/>
        <v>0.99999999999999989</v>
      </c>
      <c r="AK212" s="25">
        <f t="shared" si="614"/>
        <v>0.99999999999999989</v>
      </c>
      <c r="AL212" s="25">
        <f t="shared" si="614"/>
        <v>1</v>
      </c>
      <c r="AM212" s="59">
        <f t="shared" si="606"/>
        <v>1</v>
      </c>
      <c r="AN212" s="60">
        <f t="shared" ref="AN212:BK212" si="615">SUM(AN190,AN209)</f>
        <v>1</v>
      </c>
      <c r="AO212" s="25">
        <f t="shared" si="615"/>
        <v>1</v>
      </c>
      <c r="AP212" s="25">
        <f t="shared" si="615"/>
        <v>1.0006349206349205</v>
      </c>
      <c r="AQ212" s="25">
        <f t="shared" si="615"/>
        <v>1</v>
      </c>
      <c r="AR212" s="25">
        <f t="shared" si="615"/>
        <v>1.0006349206349205</v>
      </c>
      <c r="AS212" s="59">
        <f t="shared" si="607"/>
        <v>1</v>
      </c>
      <c r="AT212" s="60">
        <f t="shared" si="615"/>
        <v>1</v>
      </c>
      <c r="AU212" s="25">
        <f t="shared" si="615"/>
        <v>1.0000000000000002</v>
      </c>
      <c r="AV212" s="25">
        <f t="shared" si="615"/>
        <v>1</v>
      </c>
      <c r="AW212" s="59">
        <f t="shared" ref="AW212:AX212" si="616">SUM(AW190,AW209)</f>
        <v>1</v>
      </c>
      <c r="AX212" s="59">
        <f t="shared" si="616"/>
        <v>1</v>
      </c>
      <c r="AY212" s="59">
        <f t="shared" si="615"/>
        <v>1</v>
      </c>
      <c r="AZ212" s="60">
        <f t="shared" si="615"/>
        <v>0.25</v>
      </c>
      <c r="BA212" s="25">
        <f t="shared" si="615"/>
        <v>0.25</v>
      </c>
      <c r="BB212" s="25">
        <f t="shared" si="615"/>
        <v>0.24999999999999997</v>
      </c>
      <c r="BC212" s="25">
        <f t="shared" si="615"/>
        <v>0.25</v>
      </c>
      <c r="BD212" s="25">
        <f>SUM(BD190,BD209)</f>
        <v>0.25</v>
      </c>
      <c r="BE212" s="59">
        <f t="shared" si="615"/>
        <v>0.25</v>
      </c>
      <c r="BF212" s="59">
        <f t="shared" ref="BF212" si="617">SUM(BF190,BF209)</f>
        <v>0</v>
      </c>
      <c r="BG212" s="60">
        <f t="shared" si="615"/>
        <v>0</v>
      </c>
      <c r="BH212" s="25">
        <f t="shared" si="615"/>
        <v>0</v>
      </c>
      <c r="BI212" s="25">
        <f t="shared" si="615"/>
        <v>0</v>
      </c>
      <c r="BJ212" s="25">
        <f t="shared" si="615"/>
        <v>0</v>
      </c>
      <c r="BK212" s="25">
        <f t="shared" si="615"/>
        <v>0</v>
      </c>
      <c r="BL212" s="59">
        <f t="shared" ref="BL212:BM212" si="618">SUM(BL190,BL209)</f>
        <v>0</v>
      </c>
      <c r="BM212" s="59">
        <f t="shared" si="618"/>
        <v>0</v>
      </c>
      <c r="BN212" s="59">
        <f t="shared" si="610"/>
        <v>0</v>
      </c>
      <c r="BO212" s="60">
        <f t="shared" ref="BO212:CT212" si="619">SUM(BO190,BO209)</f>
        <v>0</v>
      </c>
      <c r="BP212" s="25">
        <f t="shared" si="619"/>
        <v>0</v>
      </c>
      <c r="BQ212" s="25">
        <f t="shared" si="619"/>
        <v>0</v>
      </c>
      <c r="BR212" s="25">
        <f t="shared" si="619"/>
        <v>0</v>
      </c>
      <c r="BS212" s="25">
        <f t="shared" si="619"/>
        <v>0</v>
      </c>
      <c r="BT212" s="59">
        <f t="shared" si="619"/>
        <v>0</v>
      </c>
      <c r="BU212" s="59">
        <f t="shared" si="619"/>
        <v>0</v>
      </c>
      <c r="BV212" s="59">
        <f t="shared" si="611"/>
        <v>0</v>
      </c>
      <c r="BW212" s="60">
        <f t="shared" si="619"/>
        <v>0</v>
      </c>
      <c r="BX212" s="25">
        <f t="shared" si="619"/>
        <v>0</v>
      </c>
      <c r="BY212" s="25">
        <f t="shared" si="619"/>
        <v>0</v>
      </c>
      <c r="BZ212" s="25">
        <f t="shared" si="619"/>
        <v>0</v>
      </c>
      <c r="CA212" s="25">
        <f t="shared" si="619"/>
        <v>0</v>
      </c>
      <c r="CB212" s="59">
        <f t="shared" ref="CB212:CD212" si="620">SUM(CB190,CB209)</f>
        <v>0</v>
      </c>
      <c r="CC212" s="59">
        <f t="shared" si="620"/>
        <v>0</v>
      </c>
      <c r="CD212" s="59">
        <f t="shared" si="620"/>
        <v>0</v>
      </c>
      <c r="CE212" s="60">
        <f t="shared" si="619"/>
        <v>0</v>
      </c>
      <c r="CF212" s="25">
        <f t="shared" si="619"/>
        <v>0</v>
      </c>
      <c r="CG212" s="25">
        <f t="shared" si="619"/>
        <v>0</v>
      </c>
      <c r="CH212" s="25">
        <f t="shared" si="619"/>
        <v>0</v>
      </c>
      <c r="CI212" s="25">
        <f t="shared" si="619"/>
        <v>0</v>
      </c>
      <c r="CJ212" s="59">
        <f t="shared" ref="CJ212:CL212" si="621">SUM(CJ190,CJ209)</f>
        <v>0</v>
      </c>
      <c r="CK212" s="59">
        <f t="shared" si="621"/>
        <v>0</v>
      </c>
      <c r="CL212" s="59">
        <f t="shared" si="621"/>
        <v>0</v>
      </c>
      <c r="CM212" s="60">
        <f t="shared" si="619"/>
        <v>0</v>
      </c>
      <c r="CN212" s="25">
        <f t="shared" si="619"/>
        <v>0</v>
      </c>
      <c r="CO212" s="25">
        <f t="shared" si="619"/>
        <v>0</v>
      </c>
      <c r="CP212" s="25">
        <f t="shared" si="619"/>
        <v>0</v>
      </c>
      <c r="CQ212" s="25">
        <f t="shared" si="619"/>
        <v>0</v>
      </c>
      <c r="CR212" s="59">
        <f t="shared" si="619"/>
        <v>0</v>
      </c>
      <c r="CS212" s="59">
        <f t="shared" si="619"/>
        <v>0</v>
      </c>
      <c r="CT212" s="59">
        <f t="shared" si="619"/>
        <v>0</v>
      </c>
      <c r="CU212" s="198">
        <f>SUM(AZ212:BF212)</f>
        <v>1.5</v>
      </c>
      <c r="CW212" s="49"/>
      <c r="CX212" s="49"/>
    </row>
    <row r="213" spans="1:105" ht="30" customHeight="1" thickTop="1" thickBot="1" x14ac:dyDescent="0.45">
      <c r="G213" s="37" t="s">
        <v>83</v>
      </c>
      <c r="H213" s="165">
        <f>SUM(H211:H212)</f>
        <v>4.1833333333333336</v>
      </c>
      <c r="I213" s="165">
        <f>SUM(I211:I212)</f>
        <v>1.4999999999999998</v>
      </c>
      <c r="K213" s="515" t="s">
        <v>98</v>
      </c>
      <c r="L213" s="516"/>
      <c r="M213" s="517"/>
      <c r="N213" s="44" t="s">
        <v>93</v>
      </c>
      <c r="O213" s="444">
        <f>SUM(O211:U211)</f>
        <v>7</v>
      </c>
      <c r="P213" s="445"/>
      <c r="Q213" s="445"/>
      <c r="R213" s="445"/>
      <c r="S213" s="445"/>
      <c r="T213" s="445"/>
      <c r="U213" s="528"/>
      <c r="V213" s="444">
        <f>SUM(V211:AA211)</f>
        <v>6</v>
      </c>
      <c r="W213" s="445"/>
      <c r="X213" s="445"/>
      <c r="Y213" s="445"/>
      <c r="Z213" s="445"/>
      <c r="AA213" s="445"/>
      <c r="AB213" s="504">
        <f>SUM(AB211:AG211)</f>
        <v>6</v>
      </c>
      <c r="AC213" s="445"/>
      <c r="AD213" s="505"/>
      <c r="AE213" s="505"/>
      <c r="AF213" s="505"/>
      <c r="AG213" s="505"/>
      <c r="AH213" s="523">
        <f>SUM(AH211:AM211)</f>
        <v>5.9969696969696971</v>
      </c>
      <c r="AI213" s="524"/>
      <c r="AJ213" s="524"/>
      <c r="AK213" s="524"/>
      <c r="AL213" s="524"/>
      <c r="AM213" s="524"/>
      <c r="AN213" s="523">
        <f>SUM(AN211:AS211)</f>
        <v>6.0012698412698411</v>
      </c>
      <c r="AO213" s="524"/>
      <c r="AP213" s="524"/>
      <c r="AQ213" s="524"/>
      <c r="AR213" s="524"/>
      <c r="AS213" s="524"/>
      <c r="AT213" s="523">
        <f>SUM(AT211:AY211)</f>
        <v>5.9961904761904767</v>
      </c>
      <c r="AU213" s="524"/>
      <c r="AV213" s="524"/>
      <c r="AW213" s="524"/>
      <c r="AX213" s="524"/>
      <c r="AY213" s="524"/>
      <c r="AZ213" s="523">
        <f>SUM(AZ211:BF211)</f>
        <v>2.17</v>
      </c>
      <c r="BA213" s="524"/>
      <c r="BB213" s="524"/>
      <c r="BC213" s="524"/>
      <c r="BD213" s="524"/>
      <c r="BE213" s="524"/>
      <c r="BF213" s="524"/>
      <c r="BG213" s="523">
        <f>SUM(BG211:BN211)</f>
        <v>0</v>
      </c>
      <c r="BH213" s="524"/>
      <c r="BI213" s="524"/>
      <c r="BJ213" s="524"/>
      <c r="BK213" s="524"/>
      <c r="BL213" s="524"/>
      <c r="BM213" s="524"/>
      <c r="BN213" s="524"/>
      <c r="BO213" s="523">
        <f>SUM(BO211:BV211)</f>
        <v>0</v>
      </c>
      <c r="BP213" s="524"/>
      <c r="BQ213" s="524"/>
      <c r="BR213" s="524"/>
      <c r="BS213" s="524"/>
      <c r="BT213" s="524"/>
      <c r="BU213" s="524"/>
      <c r="BV213" s="524"/>
      <c r="BW213" s="523">
        <f>SUM(BW211:CD211)</f>
        <v>0</v>
      </c>
      <c r="BX213" s="524"/>
      <c r="BY213" s="524"/>
      <c r="BZ213" s="524"/>
      <c r="CA213" s="524"/>
      <c r="CB213" s="524"/>
      <c r="CC213" s="524"/>
      <c r="CD213" s="524"/>
      <c r="CE213" s="523">
        <f>SUM(CE211:CL211)</f>
        <v>0</v>
      </c>
      <c r="CF213" s="524"/>
      <c r="CG213" s="524"/>
      <c r="CH213" s="524"/>
      <c r="CI213" s="524"/>
      <c r="CJ213" s="524"/>
      <c r="CK213" s="524"/>
      <c r="CL213" s="524"/>
      <c r="CM213" s="523">
        <f>SUM(CM211:CT211)</f>
        <v>0</v>
      </c>
      <c r="CN213" s="524"/>
      <c r="CO213" s="524"/>
      <c r="CP213" s="524"/>
      <c r="CQ213" s="524"/>
      <c r="CR213" s="524"/>
      <c r="CS213" s="524"/>
      <c r="CT213" s="524"/>
      <c r="CU213" s="274"/>
    </row>
    <row r="214" spans="1:105" ht="20.100000000000001" customHeight="1" thickTop="1" thickBot="1" x14ac:dyDescent="0.45">
      <c r="K214" s="515" t="s">
        <v>99</v>
      </c>
      <c r="L214" s="516"/>
      <c r="M214" s="517"/>
      <c r="N214" s="45" t="s">
        <v>94</v>
      </c>
      <c r="O214" s="445">
        <f>SUM(O212:U212)</f>
        <v>6.8125</v>
      </c>
      <c r="P214" s="445"/>
      <c r="Q214" s="445"/>
      <c r="R214" s="445"/>
      <c r="S214" s="445"/>
      <c r="T214" s="445"/>
      <c r="U214" s="445"/>
      <c r="V214" s="504">
        <f>SUM(V212:AA212)</f>
        <v>6</v>
      </c>
      <c r="W214" s="445"/>
      <c r="X214" s="505"/>
      <c r="Y214" s="505"/>
      <c r="Z214" s="505"/>
      <c r="AA214" s="505"/>
      <c r="AB214" s="504">
        <f>SUM(AB212:AG212)</f>
        <v>5.9969696969696971</v>
      </c>
      <c r="AC214" s="445"/>
      <c r="AD214" s="505"/>
      <c r="AE214" s="505"/>
      <c r="AF214" s="505"/>
      <c r="AG214" s="505"/>
      <c r="AH214" s="546">
        <f>SUM(AH212:AM212)</f>
        <v>6</v>
      </c>
      <c r="AI214" s="547"/>
      <c r="AJ214" s="547"/>
      <c r="AK214" s="547"/>
      <c r="AL214" s="547"/>
      <c r="AM214" s="547"/>
      <c r="AN214" s="504">
        <f>SUM(AN212:AS212)</f>
        <v>6.001269841269842</v>
      </c>
      <c r="AO214" s="445"/>
      <c r="AP214" s="445"/>
      <c r="AQ214" s="445"/>
      <c r="AR214" s="445"/>
      <c r="AS214" s="445"/>
      <c r="AT214" s="504">
        <f>SUM(AT212:AY212)</f>
        <v>6</v>
      </c>
      <c r="AU214" s="505"/>
      <c r="AV214" s="505"/>
      <c r="AW214" s="505"/>
      <c r="AX214" s="505"/>
      <c r="AY214" s="505"/>
      <c r="AZ214" s="504">
        <f>SUM(AZ212:BF212)</f>
        <v>1.5</v>
      </c>
      <c r="BA214" s="505"/>
      <c r="BB214" s="505"/>
      <c r="BC214" s="505"/>
      <c r="BD214" s="505"/>
      <c r="BE214" s="505"/>
      <c r="BF214" s="505"/>
      <c r="BG214" s="504">
        <f>SUM(BG212:BN212)</f>
        <v>0</v>
      </c>
      <c r="BH214" s="505"/>
      <c r="BI214" s="505"/>
      <c r="BJ214" s="505"/>
      <c r="BK214" s="505"/>
      <c r="BL214" s="505"/>
      <c r="BM214" s="505"/>
      <c r="BN214" s="505"/>
      <c r="BO214" s="504">
        <f>SUM(BO212:BV212)</f>
        <v>0</v>
      </c>
      <c r="BP214" s="505"/>
      <c r="BQ214" s="505"/>
      <c r="BR214" s="505"/>
      <c r="BS214" s="505"/>
      <c r="BT214" s="505"/>
      <c r="BU214" s="505"/>
      <c r="BV214" s="505"/>
      <c r="BW214" s="504">
        <f>SUM(BW212:CD212)</f>
        <v>0</v>
      </c>
      <c r="BX214" s="445"/>
      <c r="BY214" s="445"/>
      <c r="BZ214" s="445"/>
      <c r="CA214" s="445"/>
      <c r="CB214" s="445"/>
      <c r="CC214" s="445"/>
      <c r="CD214" s="445"/>
      <c r="CE214" s="504">
        <f>SUM(CE212:CL212)</f>
        <v>0</v>
      </c>
      <c r="CF214" s="505"/>
      <c r="CG214" s="505"/>
      <c r="CH214" s="505"/>
      <c r="CI214" s="505"/>
      <c r="CJ214" s="505"/>
      <c r="CK214" s="505"/>
      <c r="CL214" s="505"/>
      <c r="CM214" s="504">
        <f>SUM(CM212:CT212)</f>
        <v>0</v>
      </c>
      <c r="CN214" s="505"/>
      <c r="CO214" s="505"/>
      <c r="CP214" s="505"/>
      <c r="CQ214" s="505"/>
      <c r="CR214" s="505"/>
      <c r="CS214" s="505"/>
      <c r="CT214" s="505"/>
      <c r="CU214" s="235"/>
    </row>
    <row r="215" spans="1:105" ht="20.100000000000001" customHeight="1" thickTop="1" x14ac:dyDescent="0.4">
      <c r="AH215" s="52"/>
      <c r="AN215" s="52"/>
      <c r="AT215" s="52"/>
      <c r="AZ215" s="52"/>
    </row>
    <row r="216" spans="1:105" ht="20.100000000000001" customHeight="1" x14ac:dyDescent="0.4">
      <c r="P216" s="438" t="s">
        <v>516</v>
      </c>
      <c r="Q216" s="439"/>
      <c r="R216" s="173" t="s">
        <v>178</v>
      </c>
      <c r="S216" s="174" t="s">
        <v>179</v>
      </c>
      <c r="T216" s="175" t="s">
        <v>180</v>
      </c>
      <c r="U216"/>
      <c r="V216" s="434" t="s">
        <v>563</v>
      </c>
      <c r="W216" s="435"/>
      <c r="X216" s="173" t="s">
        <v>178</v>
      </c>
      <c r="Y216" s="174" t="s">
        <v>179</v>
      </c>
      <c r="Z216" s="175" t="s">
        <v>180</v>
      </c>
      <c r="AA216" s="172"/>
      <c r="AB216" s="432" t="s">
        <v>625</v>
      </c>
      <c r="AC216" s="433"/>
      <c r="AD216" s="173" t="s">
        <v>178</v>
      </c>
      <c r="AE216" s="174" t="s">
        <v>179</v>
      </c>
      <c r="AF216" s="175" t="s">
        <v>180</v>
      </c>
      <c r="AG216" s="172"/>
      <c r="AH216" s="282" t="s">
        <v>759</v>
      </c>
      <c r="AI216" s="283"/>
      <c r="AJ216" s="173" t="s">
        <v>178</v>
      </c>
      <c r="AK216" s="174" t="s">
        <v>179</v>
      </c>
      <c r="AL216" s="175" t="s">
        <v>180</v>
      </c>
      <c r="AM216" s="172"/>
      <c r="AN216" s="434" t="s">
        <v>872</v>
      </c>
      <c r="AO216" s="435"/>
      <c r="AP216" s="173" t="s">
        <v>178</v>
      </c>
      <c r="AQ216" s="174" t="s">
        <v>179</v>
      </c>
      <c r="AR216" s="175" t="s">
        <v>180</v>
      </c>
      <c r="AS216" s="172"/>
      <c r="AT216" s="434" t="s">
        <v>929</v>
      </c>
      <c r="AU216" s="435"/>
      <c r="AV216" s="173" t="s">
        <v>178</v>
      </c>
      <c r="AW216" s="174" t="s">
        <v>179</v>
      </c>
      <c r="AX216" s="175" t="s">
        <v>180</v>
      </c>
      <c r="AY216"/>
      <c r="AZ216" s="202"/>
      <c r="BA216" s="434" t="s">
        <v>1003</v>
      </c>
      <c r="BB216" s="435"/>
      <c r="BC216" s="173" t="s">
        <v>178</v>
      </c>
      <c r="BD216" s="174" t="s">
        <v>179</v>
      </c>
      <c r="BE216" s="175" t="s">
        <v>180</v>
      </c>
      <c r="BF216"/>
      <c r="BG216" s="202"/>
      <c r="BH216" s="434" t="s">
        <v>350</v>
      </c>
      <c r="BI216" s="435"/>
      <c r="BJ216" s="173" t="s">
        <v>178</v>
      </c>
      <c r="BK216" s="174" t="s">
        <v>179</v>
      </c>
      <c r="BL216" s="175" t="s">
        <v>180</v>
      </c>
      <c r="BM216"/>
      <c r="BN216"/>
      <c r="BO216" s="202"/>
      <c r="BP216" s="434" t="s">
        <v>351</v>
      </c>
      <c r="BQ216" s="435"/>
      <c r="BR216" s="173" t="s">
        <v>178</v>
      </c>
      <c r="BS216" s="174" t="s">
        <v>179</v>
      </c>
      <c r="BT216" s="175" t="s">
        <v>180</v>
      </c>
      <c r="BU216"/>
      <c r="BV216"/>
      <c r="BW216" s="202"/>
      <c r="BX216" s="434" t="s">
        <v>348</v>
      </c>
      <c r="BY216" s="435"/>
      <c r="BZ216" s="173" t="s">
        <v>178</v>
      </c>
      <c r="CA216" s="174" t="s">
        <v>179</v>
      </c>
      <c r="CB216" s="175" t="s">
        <v>180</v>
      </c>
      <c r="CC216"/>
      <c r="CD216"/>
      <c r="CE216" s="202"/>
      <c r="CF216" s="434" t="s">
        <v>347</v>
      </c>
      <c r="CG216" s="435"/>
      <c r="CH216" s="173" t="s">
        <v>178</v>
      </c>
      <c r="CI216" s="174" t="s">
        <v>179</v>
      </c>
      <c r="CJ216" s="175" t="s">
        <v>180</v>
      </c>
      <c r="CK216"/>
      <c r="CL216"/>
      <c r="CM216" s="202"/>
      <c r="CN216" s="434" t="s">
        <v>346</v>
      </c>
      <c r="CO216" s="435"/>
      <c r="CP216" s="173" t="s">
        <v>178</v>
      </c>
      <c r="CQ216" s="174" t="s">
        <v>179</v>
      </c>
      <c r="CR216" s="175" t="s">
        <v>180</v>
      </c>
      <c r="CS216"/>
      <c r="CT216"/>
      <c r="CV216" s="199"/>
    </row>
    <row r="217" spans="1:105" ht="20.100000000000001" customHeight="1" x14ac:dyDescent="0.4">
      <c r="P217" s="430" t="s">
        <v>181</v>
      </c>
      <c r="Q217" s="431"/>
      <c r="R217" s="176">
        <v>2.7708333333333335</v>
      </c>
      <c r="S217" s="176">
        <f>SUM(O167:U167)</f>
        <v>5.104166666666667</v>
      </c>
      <c r="T217" s="192">
        <f t="shared" ref="T217:T224" si="622">S217-R217</f>
        <v>2.3333333333333335</v>
      </c>
      <c r="U217"/>
      <c r="V217" s="430" t="s">
        <v>181</v>
      </c>
      <c r="W217" s="431"/>
      <c r="X217" s="176">
        <v>3.4877192982456133</v>
      </c>
      <c r="Y217" s="176">
        <f>SUM(V167:AA167)</f>
        <v>3.6771929824561402</v>
      </c>
      <c r="Z217" s="192">
        <f>Y217-X217</f>
        <v>0.1894736842105269</v>
      </c>
      <c r="AA217" s="172"/>
      <c r="AB217" s="430" t="s">
        <v>181</v>
      </c>
      <c r="AC217" s="431"/>
      <c r="AD217" s="176">
        <v>2.4848484848484844</v>
      </c>
      <c r="AE217" s="176">
        <f>SUM(AB167:AG167)</f>
        <v>4.3939393939393945</v>
      </c>
      <c r="AF217" s="192">
        <f>AE217-AD217</f>
        <v>1.9090909090909101</v>
      </c>
      <c r="AG217" s="172"/>
      <c r="AH217" s="280" t="s">
        <v>181</v>
      </c>
      <c r="AI217" s="279"/>
      <c r="AJ217" s="176">
        <v>5.0545454545454538</v>
      </c>
      <c r="AK217" s="176">
        <f>SUM(AH167:AM167)</f>
        <v>5.127272727272727</v>
      </c>
      <c r="AL217" s="192">
        <f>AK217-AJ217</f>
        <v>7.2727272727273196E-2</v>
      </c>
      <c r="AM217" s="172"/>
      <c r="AN217" s="430" t="s">
        <v>181</v>
      </c>
      <c r="AO217" s="431"/>
      <c r="AP217" s="176">
        <v>4.5365079365079364</v>
      </c>
      <c r="AQ217" s="176">
        <f>SUM(AN167:AS167)</f>
        <v>4.5365079365079364</v>
      </c>
      <c r="AR217" s="192">
        <f>AQ217-AP217</f>
        <v>0</v>
      </c>
      <c r="AS217" s="172"/>
      <c r="AT217" s="430" t="s">
        <v>181</v>
      </c>
      <c r="AU217" s="431"/>
      <c r="AV217" s="176">
        <v>4.2594516594516589</v>
      </c>
      <c r="AW217" s="176">
        <f>SUM(AT167:AY167)</f>
        <v>4.8848484848484848</v>
      </c>
      <c r="AX217" s="192">
        <f>AW217-AV217</f>
        <v>0.62539682539682584</v>
      </c>
      <c r="AY217"/>
      <c r="AZ217" s="206"/>
      <c r="BA217" s="430" t="s">
        <v>181</v>
      </c>
      <c r="BB217" s="431"/>
      <c r="BC217" s="176"/>
      <c r="BD217" s="176">
        <f>SUM(AZ167:BF167)</f>
        <v>1.0999999999999999</v>
      </c>
      <c r="BE217" s="192">
        <f>BD217-BC217</f>
        <v>1.0999999999999999</v>
      </c>
      <c r="BF217"/>
      <c r="BG217" s="206"/>
      <c r="BH217" s="430" t="s">
        <v>181</v>
      </c>
      <c r="BI217" s="431"/>
      <c r="BJ217" s="176"/>
      <c r="BK217" s="176">
        <f>SUM(BG167:BN167)</f>
        <v>0</v>
      </c>
      <c r="BL217" s="192">
        <f>BK217-BJ217</f>
        <v>0</v>
      </c>
      <c r="BM217"/>
      <c r="BN217"/>
      <c r="BO217" s="206"/>
      <c r="BP217" s="430" t="s">
        <v>181</v>
      </c>
      <c r="BQ217" s="431"/>
      <c r="BR217" s="176"/>
      <c r="BS217" s="176">
        <f>SUM(BO167:BV167)</f>
        <v>0</v>
      </c>
      <c r="BT217" s="192">
        <f>BS217-BR217</f>
        <v>0</v>
      </c>
      <c r="BU217"/>
      <c r="BV217"/>
      <c r="BW217" s="206"/>
      <c r="BX217" s="430" t="s">
        <v>181</v>
      </c>
      <c r="BY217" s="431"/>
      <c r="BZ217" s="176"/>
      <c r="CA217" s="176">
        <f>SUM(BW167:CD167)</f>
        <v>0</v>
      </c>
      <c r="CB217" s="192">
        <f>CA217-BZ217</f>
        <v>0</v>
      </c>
      <c r="CC217"/>
      <c r="CD217"/>
      <c r="CE217" s="206"/>
      <c r="CF217" s="430" t="s">
        <v>181</v>
      </c>
      <c r="CG217" s="431"/>
      <c r="CH217" s="176"/>
      <c r="CI217" s="176">
        <f>SUM(CE167:CL167)</f>
        <v>0</v>
      </c>
      <c r="CJ217" s="192">
        <f>CI217-CH217</f>
        <v>0</v>
      </c>
      <c r="CK217"/>
      <c r="CL217"/>
      <c r="CM217" s="206"/>
      <c r="CN217" s="430" t="s">
        <v>181</v>
      </c>
      <c r="CO217" s="431"/>
      <c r="CP217" s="176"/>
      <c r="CQ217" s="176">
        <f>SUM(CM167:CT167)</f>
        <v>0</v>
      </c>
      <c r="CR217" s="192">
        <f>CQ217-CP217</f>
        <v>0</v>
      </c>
      <c r="CS217"/>
      <c r="CT217"/>
    </row>
    <row r="218" spans="1:105" ht="20.100000000000001" customHeight="1" x14ac:dyDescent="0.4">
      <c r="P218" s="430" t="s">
        <v>182</v>
      </c>
      <c r="Q218" s="431"/>
      <c r="R218" s="176">
        <v>3.4541666666666666</v>
      </c>
      <c r="S218" s="176">
        <f>SUM(O168:U168)</f>
        <v>4.6708333333333325</v>
      </c>
      <c r="T218" s="192">
        <f t="shared" si="622"/>
        <v>1.2166666666666659</v>
      </c>
      <c r="U218"/>
      <c r="V218" s="430" t="s">
        <v>182</v>
      </c>
      <c r="W218" s="431"/>
      <c r="X218" s="176">
        <v>3.1964912280701756</v>
      </c>
      <c r="Y218" s="176">
        <f>SUM(V168:AA168)</f>
        <v>3.3228070175438598</v>
      </c>
      <c r="Z218" s="192">
        <f t="shared" ref="Z218:Z222" si="623">Y218-X218</f>
        <v>0.12631578947368416</v>
      </c>
      <c r="AA218" s="172"/>
      <c r="AB218" s="430" t="s">
        <v>182</v>
      </c>
      <c r="AC218" s="431"/>
      <c r="AD218" s="176">
        <v>3.3151515151515145</v>
      </c>
      <c r="AE218" s="176">
        <f>SUM(AB168:AG168)</f>
        <v>4.0333333333333332</v>
      </c>
      <c r="AF218" s="192">
        <f t="shared" ref="AF218:AF224" si="624">AE218-AD218</f>
        <v>0.7181818181818187</v>
      </c>
      <c r="AG218" s="172"/>
      <c r="AH218" s="280" t="s">
        <v>182</v>
      </c>
      <c r="AI218" s="279"/>
      <c r="AJ218" s="176">
        <v>4.4363636363636365</v>
      </c>
      <c r="AK218" s="176">
        <f>SUM(AH168:AM168)</f>
        <v>4.8893939393939396</v>
      </c>
      <c r="AL218" s="192">
        <f t="shared" ref="AL218:AL224" si="625">AK218-AJ218</f>
        <v>0.45303030303030312</v>
      </c>
      <c r="AM218" s="172"/>
      <c r="AN218" s="430" t="s">
        <v>182</v>
      </c>
      <c r="AO218" s="431"/>
      <c r="AP218" s="176">
        <v>3.8</v>
      </c>
      <c r="AQ218" s="176">
        <f>SUM(AN168:AS168)</f>
        <v>4.4460317460317462</v>
      </c>
      <c r="AR218" s="192">
        <f t="shared" ref="AR218:AR224" si="626">AQ218-AP218</f>
        <v>0.6460317460317464</v>
      </c>
      <c r="AS218" s="172"/>
      <c r="AT218" s="430" t="s">
        <v>182</v>
      </c>
      <c r="AU218" s="431"/>
      <c r="AV218" s="176">
        <v>3.7484848484848485</v>
      </c>
      <c r="AW218" s="176">
        <f>SUM(AT168:AY168)</f>
        <v>4.6545454545454543</v>
      </c>
      <c r="AX218" s="192">
        <f>AW218-AV218</f>
        <v>0.90606060606060579</v>
      </c>
      <c r="AY218"/>
      <c r="AZ218" s="206"/>
      <c r="BA218" s="430" t="s">
        <v>182</v>
      </c>
      <c r="BB218" s="431"/>
      <c r="BC218" s="176"/>
      <c r="BD218" s="176">
        <f>SUM(AZ168:BF168)</f>
        <v>1.3066666666666666</v>
      </c>
      <c r="BE218" s="192">
        <f t="shared" ref="BE218:BE224" si="627">BD218-BC218</f>
        <v>1.3066666666666666</v>
      </c>
      <c r="BF218"/>
      <c r="BG218" s="206"/>
      <c r="BH218" s="430" t="s">
        <v>182</v>
      </c>
      <c r="BI218" s="431"/>
      <c r="BJ218" s="176"/>
      <c r="BK218" s="176">
        <f>SUM(BG168:BN168)</f>
        <v>0</v>
      </c>
      <c r="BL218" s="192">
        <f t="shared" ref="BL218:BL224" si="628">BK218-BJ218</f>
        <v>0</v>
      </c>
      <c r="BM218"/>
      <c r="BN218"/>
      <c r="BO218" s="206"/>
      <c r="BP218" s="430" t="s">
        <v>182</v>
      </c>
      <c r="BQ218" s="431"/>
      <c r="BR218" s="176"/>
      <c r="BS218" s="176">
        <f>SUM(BO168:BV168)</f>
        <v>0</v>
      </c>
      <c r="BT218" s="192">
        <f t="shared" ref="BT218:BT224" si="629">BS218-BR218</f>
        <v>0</v>
      </c>
      <c r="BU218"/>
      <c r="BV218"/>
      <c r="BW218" s="206"/>
      <c r="BX218" s="430" t="s">
        <v>182</v>
      </c>
      <c r="BY218" s="431"/>
      <c r="BZ218" s="176"/>
      <c r="CA218" s="176">
        <f>SUM(BW168:CD168)</f>
        <v>0</v>
      </c>
      <c r="CB218" s="192">
        <f t="shared" ref="CB218:CB224" si="630">CA218-BZ218</f>
        <v>0</v>
      </c>
      <c r="CC218"/>
      <c r="CD218"/>
      <c r="CE218" s="206"/>
      <c r="CF218" s="430" t="s">
        <v>182</v>
      </c>
      <c r="CG218" s="431"/>
      <c r="CH218" s="176"/>
      <c r="CI218" s="176">
        <f>SUM(CE168:CL168)</f>
        <v>0</v>
      </c>
      <c r="CJ218" s="192">
        <f t="shared" ref="CJ218:CJ224" si="631">CI218-CH218</f>
        <v>0</v>
      </c>
      <c r="CK218"/>
      <c r="CL218"/>
      <c r="CM218" s="206"/>
      <c r="CN218" s="430" t="s">
        <v>182</v>
      </c>
      <c r="CO218" s="431"/>
      <c r="CP218" s="176"/>
      <c r="CQ218" s="176">
        <f>SUM(CM168:CT168)</f>
        <v>0</v>
      </c>
      <c r="CR218" s="192">
        <f t="shared" ref="CR218:CR224" si="632">CQ218-CP218</f>
        <v>0</v>
      </c>
      <c r="CS218"/>
      <c r="CT218"/>
      <c r="CV218" s="172"/>
    </row>
    <row r="219" spans="1:105" ht="20.100000000000001" customHeight="1" x14ac:dyDescent="0.4">
      <c r="P219" s="428" t="s">
        <v>183</v>
      </c>
      <c r="Q219" s="429"/>
      <c r="R219" s="176">
        <v>1.0000000000000002</v>
      </c>
      <c r="S219" s="177">
        <f>SUM(O186:U186)</f>
        <v>0.90000000000000024</v>
      </c>
      <c r="T219" s="192">
        <f t="shared" si="622"/>
        <v>-9.9999999999999978E-2</v>
      </c>
      <c r="V219" s="428" t="s">
        <v>183</v>
      </c>
      <c r="W219" s="429"/>
      <c r="X219" s="176">
        <v>1.2210526315789474</v>
      </c>
      <c r="Y219" s="177">
        <f>SUM(V186:AA186)</f>
        <v>0.8070175438596493</v>
      </c>
      <c r="Z219" s="192">
        <f t="shared" si="623"/>
        <v>-0.41403508771929809</v>
      </c>
      <c r="AA219" s="172"/>
      <c r="AB219" s="428" t="s">
        <v>183</v>
      </c>
      <c r="AC219" s="429"/>
      <c r="AD219" s="176">
        <v>0.90909090909090939</v>
      </c>
      <c r="AE219" s="177">
        <f>SUM(AB186:AG186)</f>
        <v>0.90909090909090939</v>
      </c>
      <c r="AF219" s="192">
        <f>AE219-AD219</f>
        <v>0</v>
      </c>
      <c r="AG219" s="172"/>
      <c r="AH219" s="280" t="s">
        <v>183</v>
      </c>
      <c r="AI219" s="281"/>
      <c r="AJ219" s="176">
        <v>0.89090909090909076</v>
      </c>
      <c r="AK219" s="177">
        <f>SUM(AH186:AM186)</f>
        <v>0.79090909090909078</v>
      </c>
      <c r="AL219" s="192">
        <f t="shared" si="625"/>
        <v>-9.9999999999999978E-2</v>
      </c>
      <c r="AM219" s="172"/>
      <c r="AN219" s="428" t="s">
        <v>183</v>
      </c>
      <c r="AO219" s="429"/>
      <c r="AP219" s="176">
        <v>0.84952380952380979</v>
      </c>
      <c r="AQ219" s="177">
        <f>SUM(AN186:AS186)</f>
        <v>0.84952380952380979</v>
      </c>
      <c r="AR219" s="192">
        <f t="shared" si="626"/>
        <v>0</v>
      </c>
      <c r="AS219" s="172"/>
      <c r="AT219" s="428" t="s">
        <v>183</v>
      </c>
      <c r="AU219" s="429"/>
      <c r="AV219" s="176">
        <v>0.67619047619047645</v>
      </c>
      <c r="AW219" s="177">
        <f>SUM(AT186:AZ186)</f>
        <v>1.7661904761904765</v>
      </c>
      <c r="AX219" s="192">
        <f t="shared" ref="AX219:AX224" si="633">AW219-AV219</f>
        <v>1.0900000000000001</v>
      </c>
      <c r="AY219"/>
      <c r="AZ219" s="207"/>
      <c r="BA219" s="428" t="s">
        <v>183</v>
      </c>
      <c r="BB219" s="429"/>
      <c r="BC219" s="176"/>
      <c r="BD219" s="177">
        <f>SUM(AZ186:BF186)</f>
        <v>1.0700000000000003</v>
      </c>
      <c r="BE219" s="192">
        <f t="shared" si="627"/>
        <v>1.0700000000000003</v>
      </c>
      <c r="BF219"/>
      <c r="BG219" s="207"/>
      <c r="BH219" s="428" t="s">
        <v>183</v>
      </c>
      <c r="BI219" s="429"/>
      <c r="BJ219" s="176"/>
      <c r="BK219" s="177">
        <f>SUM(BG186:BN186)</f>
        <v>0</v>
      </c>
      <c r="BL219" s="192">
        <f t="shared" si="628"/>
        <v>0</v>
      </c>
      <c r="BM219"/>
      <c r="BN219"/>
      <c r="BO219" s="207"/>
      <c r="BP219" s="428" t="s">
        <v>183</v>
      </c>
      <c r="BQ219" s="429"/>
      <c r="BR219" s="176"/>
      <c r="BS219" s="177">
        <f>SUM(BO186:BV186)</f>
        <v>0</v>
      </c>
      <c r="BT219" s="192">
        <f t="shared" si="629"/>
        <v>0</v>
      </c>
      <c r="BU219"/>
      <c r="BV219"/>
      <c r="BW219" s="207"/>
      <c r="BX219" s="428" t="s">
        <v>183</v>
      </c>
      <c r="BY219" s="429"/>
      <c r="BZ219" s="176"/>
      <c r="CA219" s="177">
        <f>SUM(BW186:CD186)</f>
        <v>0</v>
      </c>
      <c r="CB219" s="192">
        <f t="shared" si="630"/>
        <v>0</v>
      </c>
      <c r="CC219"/>
      <c r="CD219"/>
      <c r="CE219" s="207"/>
      <c r="CF219" s="428" t="s">
        <v>183</v>
      </c>
      <c r="CG219" s="429"/>
      <c r="CH219" s="176"/>
      <c r="CI219" s="177">
        <f>SUM(CE186:CL186)</f>
        <v>0</v>
      </c>
      <c r="CJ219" s="192">
        <f t="shared" si="631"/>
        <v>0</v>
      </c>
      <c r="CK219"/>
      <c r="CL219"/>
      <c r="CM219" s="207"/>
      <c r="CN219" s="428" t="s">
        <v>183</v>
      </c>
      <c r="CO219" s="429"/>
      <c r="CP219" s="176"/>
      <c r="CQ219" s="177">
        <f>SUM(CM186:CT186)</f>
        <v>0</v>
      </c>
      <c r="CR219" s="192">
        <f t="shared" si="632"/>
        <v>0</v>
      </c>
      <c r="CS219"/>
      <c r="CT219"/>
      <c r="CV219" s="172"/>
    </row>
    <row r="220" spans="1:105" ht="20.100000000000001" customHeight="1" x14ac:dyDescent="0.4">
      <c r="P220" s="428" t="s">
        <v>184</v>
      </c>
      <c r="Q220" s="429"/>
      <c r="R220" s="176">
        <v>0.53333333333333344</v>
      </c>
      <c r="S220" s="177">
        <f>SUM(O187:U187)</f>
        <v>0.85416666666666652</v>
      </c>
      <c r="T220" s="192">
        <f t="shared" si="622"/>
        <v>0.32083333333333308</v>
      </c>
      <c r="V220" s="428" t="s">
        <v>184</v>
      </c>
      <c r="W220" s="429"/>
      <c r="X220" s="176">
        <v>0.66315789473684206</v>
      </c>
      <c r="Y220" s="177">
        <f>SUM(V187:AA187)</f>
        <v>0.67368421052631577</v>
      </c>
      <c r="Z220" s="192">
        <f t="shared" si="623"/>
        <v>1.0526315789473717E-2</v>
      </c>
      <c r="AA220" s="172"/>
      <c r="AB220" s="428" t="s">
        <v>184</v>
      </c>
      <c r="AC220" s="429"/>
      <c r="AD220" s="176">
        <v>0.66060606060606064</v>
      </c>
      <c r="AE220" s="177">
        <f>SUM(AB187:AG187)</f>
        <v>0.86969696969696952</v>
      </c>
      <c r="AF220" s="192">
        <f t="shared" si="624"/>
        <v>0.20909090909090888</v>
      </c>
      <c r="AG220" s="172"/>
      <c r="AH220" s="280" t="s">
        <v>184</v>
      </c>
      <c r="AI220" s="281"/>
      <c r="AJ220" s="176">
        <v>0.70606060606060606</v>
      </c>
      <c r="AK220" s="177">
        <f>SUM(AH187:AM187)</f>
        <v>0.75303030303030305</v>
      </c>
      <c r="AL220" s="192">
        <f t="shared" si="625"/>
        <v>4.6969696969696995E-2</v>
      </c>
      <c r="AM220" s="172"/>
      <c r="AN220" s="428" t="s">
        <v>184</v>
      </c>
      <c r="AO220" s="429"/>
      <c r="AP220" s="176">
        <v>0.70857142857142852</v>
      </c>
      <c r="AQ220" s="177">
        <f>SUM(AN187:AS187)</f>
        <v>0.8219047619047618</v>
      </c>
      <c r="AR220" s="192">
        <f t="shared" si="626"/>
        <v>0.11333333333333329</v>
      </c>
      <c r="AS220" s="172"/>
      <c r="AT220" s="428" t="s">
        <v>184</v>
      </c>
      <c r="AU220" s="429"/>
      <c r="AV220" s="176">
        <v>0.66666666666666674</v>
      </c>
      <c r="AW220" s="177">
        <f>SUM(AT187:AZ187)</f>
        <v>1.0836363636363637</v>
      </c>
      <c r="AX220" s="192">
        <f t="shared" si="633"/>
        <v>0.41696969696969699</v>
      </c>
      <c r="AY220"/>
      <c r="AZ220" s="207"/>
      <c r="BA220" s="428" t="s">
        <v>184</v>
      </c>
      <c r="BB220" s="429"/>
      <c r="BC220" s="176"/>
      <c r="BD220" s="177">
        <f>SUM(AZ187:BF187)</f>
        <v>0.17833333333333332</v>
      </c>
      <c r="BE220" s="192">
        <f t="shared" si="627"/>
        <v>0.17833333333333332</v>
      </c>
      <c r="BF220"/>
      <c r="BG220" s="207"/>
      <c r="BH220" s="428" t="s">
        <v>184</v>
      </c>
      <c r="BI220" s="429"/>
      <c r="BJ220" s="176"/>
      <c r="BK220" s="177">
        <f>SUM(BG187:BN187)</f>
        <v>0</v>
      </c>
      <c r="BL220" s="192">
        <f t="shared" si="628"/>
        <v>0</v>
      </c>
      <c r="BM220"/>
      <c r="BN220"/>
      <c r="BO220" s="207"/>
      <c r="BP220" s="428" t="s">
        <v>184</v>
      </c>
      <c r="BQ220" s="429"/>
      <c r="BR220" s="176"/>
      <c r="BS220" s="177">
        <f>SUM(BO187:BV187)</f>
        <v>0</v>
      </c>
      <c r="BT220" s="192">
        <f t="shared" si="629"/>
        <v>0</v>
      </c>
      <c r="BU220"/>
      <c r="BV220"/>
      <c r="BW220" s="207"/>
      <c r="BX220" s="428" t="s">
        <v>184</v>
      </c>
      <c r="BY220" s="429"/>
      <c r="BZ220" s="176"/>
      <c r="CA220" s="177">
        <f>SUM(BW187:CD187)</f>
        <v>0</v>
      </c>
      <c r="CB220" s="192">
        <f t="shared" si="630"/>
        <v>0</v>
      </c>
      <c r="CC220"/>
      <c r="CD220"/>
      <c r="CE220" s="207"/>
      <c r="CF220" s="428" t="s">
        <v>184</v>
      </c>
      <c r="CG220" s="429"/>
      <c r="CH220" s="176"/>
      <c r="CI220" s="177">
        <f>SUM(CE187:CL187)</f>
        <v>0</v>
      </c>
      <c r="CJ220" s="192">
        <f t="shared" si="631"/>
        <v>0</v>
      </c>
      <c r="CK220"/>
      <c r="CL220"/>
      <c r="CM220" s="207"/>
      <c r="CN220" s="428" t="s">
        <v>184</v>
      </c>
      <c r="CO220" s="429"/>
      <c r="CP220" s="176"/>
      <c r="CQ220" s="177">
        <f>SUM(CM187:CT187)</f>
        <v>0</v>
      </c>
      <c r="CR220" s="192">
        <f t="shared" si="632"/>
        <v>0</v>
      </c>
      <c r="CS220"/>
      <c r="CT220"/>
      <c r="CV220" s="172"/>
    </row>
    <row r="221" spans="1:105" ht="20.100000000000001" customHeight="1" x14ac:dyDescent="0.4">
      <c r="P221" s="430" t="s">
        <v>185</v>
      </c>
      <c r="Q221" s="431"/>
      <c r="R221" s="176">
        <v>1.2416666666666665</v>
      </c>
      <c r="S221" s="178">
        <f>SUM(O208:U208)</f>
        <v>0.99583333333333324</v>
      </c>
      <c r="T221" s="192">
        <f t="shared" si="622"/>
        <v>-0.24583333333333324</v>
      </c>
      <c r="V221" s="430" t="s">
        <v>185</v>
      </c>
      <c r="W221" s="431"/>
      <c r="X221" s="176">
        <v>1.1228070175438596</v>
      </c>
      <c r="Y221" s="178">
        <f>SUM(V208:AA208)</f>
        <v>1.5157894736842106</v>
      </c>
      <c r="Z221" s="192">
        <f t="shared" si="623"/>
        <v>0.39298245614035099</v>
      </c>
      <c r="AA221" s="268"/>
      <c r="AB221" s="430" t="s">
        <v>185</v>
      </c>
      <c r="AC221" s="431"/>
      <c r="AD221" s="176">
        <v>0.69696969696969691</v>
      </c>
      <c r="AE221" s="178">
        <f>SUM(AB208:AG208)</f>
        <v>0.69696969696969691</v>
      </c>
      <c r="AF221" s="192">
        <f t="shared" si="624"/>
        <v>0</v>
      </c>
      <c r="AG221" s="208"/>
      <c r="AH221" s="280" t="s">
        <v>185</v>
      </c>
      <c r="AI221" s="279"/>
      <c r="AJ221" s="176">
        <v>0.44242424242424239</v>
      </c>
      <c r="AK221" s="178">
        <f>SUM(AH208:AM208)</f>
        <v>7.8787878787878796E-2</v>
      </c>
      <c r="AL221" s="192">
        <f t="shared" si="625"/>
        <v>-0.36363636363636359</v>
      </c>
      <c r="AM221" s="208"/>
      <c r="AN221" s="430" t="s">
        <v>185</v>
      </c>
      <c r="AO221" s="431"/>
      <c r="AP221" s="176">
        <v>0.61523809523809525</v>
      </c>
      <c r="AQ221" s="178">
        <f>SUM(AN208:AS208)</f>
        <v>0.61523809523809525</v>
      </c>
      <c r="AR221" s="192">
        <f t="shared" si="626"/>
        <v>0</v>
      </c>
      <c r="AS221" s="208"/>
      <c r="AT221" s="430" t="s">
        <v>185</v>
      </c>
      <c r="AU221" s="431"/>
      <c r="AV221" s="176">
        <v>0.12121212121212122</v>
      </c>
      <c r="AW221" s="178">
        <f>SUM(AT208:AZ208)</f>
        <v>0.11515151515151516</v>
      </c>
      <c r="AX221" s="192">
        <f t="shared" si="633"/>
        <v>-6.060606060606058E-3</v>
      </c>
      <c r="AY221"/>
      <c r="AZ221" s="206"/>
      <c r="BA221" s="430" t="s">
        <v>185</v>
      </c>
      <c r="BB221" s="431"/>
      <c r="BC221" s="176"/>
      <c r="BD221" s="178">
        <f>SUM(AZ208:BF208)</f>
        <v>0</v>
      </c>
      <c r="BE221" s="192">
        <f t="shared" si="627"/>
        <v>0</v>
      </c>
      <c r="BF221"/>
      <c r="BG221" s="206"/>
      <c r="BH221" s="430" t="s">
        <v>185</v>
      </c>
      <c r="BI221" s="431"/>
      <c r="BJ221" s="176"/>
      <c r="BK221" s="178">
        <f>SUM(BG208:BN208)</f>
        <v>0</v>
      </c>
      <c r="BL221" s="192">
        <f t="shared" si="628"/>
        <v>0</v>
      </c>
      <c r="BM221"/>
      <c r="BN221"/>
      <c r="BO221" s="206"/>
      <c r="BP221" s="430" t="s">
        <v>185</v>
      </c>
      <c r="BQ221" s="431"/>
      <c r="BR221" s="176"/>
      <c r="BS221" s="178">
        <f>SUM(BO208:BV208)</f>
        <v>0</v>
      </c>
      <c r="BT221" s="192">
        <f t="shared" si="629"/>
        <v>0</v>
      </c>
      <c r="BU221"/>
      <c r="BV221"/>
      <c r="BW221" s="206"/>
      <c r="BX221" s="430" t="s">
        <v>185</v>
      </c>
      <c r="BY221" s="431"/>
      <c r="BZ221" s="176"/>
      <c r="CA221" s="178">
        <f>SUM(BW208:CD208)</f>
        <v>0</v>
      </c>
      <c r="CB221" s="192">
        <f t="shared" si="630"/>
        <v>0</v>
      </c>
      <c r="CC221"/>
      <c r="CD221"/>
      <c r="CE221" s="206"/>
      <c r="CF221" s="430" t="s">
        <v>185</v>
      </c>
      <c r="CG221" s="431"/>
      <c r="CH221" s="176"/>
      <c r="CI221" s="178">
        <f>SUM(CE208:CL208)</f>
        <v>0</v>
      </c>
      <c r="CJ221" s="192">
        <f t="shared" si="631"/>
        <v>0</v>
      </c>
      <c r="CK221"/>
      <c r="CL221"/>
      <c r="CM221" s="206"/>
      <c r="CN221" s="430" t="s">
        <v>185</v>
      </c>
      <c r="CO221" s="431"/>
      <c r="CP221" s="176"/>
      <c r="CQ221" s="178">
        <f>SUM(CM208:CT208)</f>
        <v>0</v>
      </c>
      <c r="CR221" s="192">
        <f t="shared" si="632"/>
        <v>0</v>
      </c>
      <c r="CS221"/>
      <c r="CT221"/>
      <c r="CV221" s="172"/>
      <c r="CX221" s="200"/>
      <c r="CZ221" s="201"/>
      <c r="DA221" s="201"/>
    </row>
    <row r="222" spans="1:105" ht="20.100000000000001" customHeight="1" x14ac:dyDescent="0.4">
      <c r="P222" s="430" t="s">
        <v>186</v>
      </c>
      <c r="Q222" s="431"/>
      <c r="R222" s="176">
        <v>0.82500000000000007</v>
      </c>
      <c r="S222" s="177">
        <f>SUM(O209:U209)</f>
        <v>1.2875000000000001</v>
      </c>
      <c r="T222" s="192">
        <f t="shared" si="622"/>
        <v>0.46250000000000002</v>
      </c>
      <c r="V222" s="430" t="s">
        <v>186</v>
      </c>
      <c r="W222" s="431"/>
      <c r="X222" s="176">
        <v>1.8245614035087718</v>
      </c>
      <c r="Y222" s="177">
        <f>SUM(V209:AA209)</f>
        <v>2.0035087719298246</v>
      </c>
      <c r="Z222" s="192">
        <f t="shared" si="623"/>
        <v>0.17894736842105274</v>
      </c>
      <c r="AA222" s="172"/>
      <c r="AB222" s="430" t="s">
        <v>186</v>
      </c>
      <c r="AC222" s="431"/>
      <c r="AD222" s="176">
        <v>0.9303030303030303</v>
      </c>
      <c r="AE222" s="177">
        <f>SUM(AB209:AG209)</f>
        <v>1.0939393939393938</v>
      </c>
      <c r="AF222" s="192">
        <f t="shared" si="624"/>
        <v>0.16363636363636347</v>
      </c>
      <c r="AG222" s="172"/>
      <c r="AH222" s="280" t="s">
        <v>186</v>
      </c>
      <c r="AI222" s="279"/>
      <c r="AJ222" s="176">
        <v>0.31212121212121213</v>
      </c>
      <c r="AK222" s="177">
        <f>SUM(AH209:AM209)</f>
        <v>0.35757575757575755</v>
      </c>
      <c r="AL222" s="192">
        <f t="shared" si="625"/>
        <v>4.5454545454545414E-2</v>
      </c>
      <c r="AM222" s="172"/>
      <c r="AN222" s="430" t="s">
        <v>186</v>
      </c>
      <c r="AO222" s="431"/>
      <c r="AP222" s="176">
        <v>0.634920634920635</v>
      </c>
      <c r="AQ222" s="177">
        <f>SUM(AN209:AS209)</f>
        <v>0.73333333333333339</v>
      </c>
      <c r="AR222" s="192">
        <f t="shared" si="626"/>
        <v>9.8412698412698396E-2</v>
      </c>
      <c r="AS222" s="172"/>
      <c r="AT222" s="430" t="s">
        <v>186</v>
      </c>
      <c r="AU222" s="431"/>
      <c r="AV222" s="176">
        <v>0.22727272727272729</v>
      </c>
      <c r="AW222" s="177">
        <f>SUM(AT209:AZ209)</f>
        <v>0.38181818181818183</v>
      </c>
      <c r="AX222" s="192">
        <f t="shared" si="633"/>
        <v>0.15454545454545454</v>
      </c>
      <c r="AY222"/>
      <c r="AZ222" s="206"/>
      <c r="BA222" s="430" t="s">
        <v>186</v>
      </c>
      <c r="BB222" s="431"/>
      <c r="BC222" s="176"/>
      <c r="BD222" s="177">
        <f>SUM(AZ209:BF209)</f>
        <v>1.4999999999999999E-2</v>
      </c>
      <c r="BE222" s="192">
        <f t="shared" si="627"/>
        <v>1.4999999999999999E-2</v>
      </c>
      <c r="BF222"/>
      <c r="BG222" s="206"/>
      <c r="BH222" s="430" t="s">
        <v>186</v>
      </c>
      <c r="BI222" s="431"/>
      <c r="BJ222" s="176"/>
      <c r="BK222" s="177">
        <f>SUM(BG209:BN209)</f>
        <v>0</v>
      </c>
      <c r="BL222" s="192">
        <f t="shared" si="628"/>
        <v>0</v>
      </c>
      <c r="BM222"/>
      <c r="BN222"/>
      <c r="BO222" s="206"/>
      <c r="BP222" s="430" t="s">
        <v>186</v>
      </c>
      <c r="BQ222" s="431"/>
      <c r="BR222" s="176"/>
      <c r="BS222" s="177">
        <f>SUM(BO209:BV209)</f>
        <v>0</v>
      </c>
      <c r="BT222" s="192">
        <f t="shared" si="629"/>
        <v>0</v>
      </c>
      <c r="BU222"/>
      <c r="BV222"/>
      <c r="BW222" s="206"/>
      <c r="BX222" s="430" t="s">
        <v>186</v>
      </c>
      <c r="BY222" s="431"/>
      <c r="BZ222" s="176"/>
      <c r="CA222" s="177">
        <f>SUM(BW209:CD209)</f>
        <v>0</v>
      </c>
      <c r="CB222" s="192">
        <f t="shared" si="630"/>
        <v>0</v>
      </c>
      <c r="CC222"/>
      <c r="CD222"/>
      <c r="CE222" s="206"/>
      <c r="CF222" s="430" t="s">
        <v>186</v>
      </c>
      <c r="CG222" s="431"/>
      <c r="CH222" s="176"/>
      <c r="CI222" s="177">
        <f>SUM(CE209:CL209)</f>
        <v>0</v>
      </c>
      <c r="CJ222" s="192">
        <f t="shared" si="631"/>
        <v>0</v>
      </c>
      <c r="CK222"/>
      <c r="CL222"/>
      <c r="CM222" s="206"/>
      <c r="CN222" s="430" t="s">
        <v>186</v>
      </c>
      <c r="CO222" s="431"/>
      <c r="CP222" s="176"/>
      <c r="CQ222" s="177">
        <f>SUM(CM209:CT209)</f>
        <v>0</v>
      </c>
      <c r="CR222" s="192">
        <f t="shared" si="632"/>
        <v>0</v>
      </c>
      <c r="CS222"/>
      <c r="CT222"/>
      <c r="CV222" s="172"/>
      <c r="CW222" s="172"/>
      <c r="CX222" s="502"/>
      <c r="CY222" s="503"/>
      <c r="CZ222" s="501"/>
      <c r="DA222" s="501"/>
    </row>
    <row r="223" spans="1:105" ht="20.100000000000001" customHeight="1" x14ac:dyDescent="0.4">
      <c r="P223" s="430" t="s">
        <v>187</v>
      </c>
      <c r="Q223" s="431"/>
      <c r="R223" s="176">
        <v>5.0125000000000002</v>
      </c>
      <c r="S223" s="177">
        <f>SUM(S217,S219,S221)</f>
        <v>7.0000000000000009</v>
      </c>
      <c r="T223" s="192">
        <f t="shared" si="622"/>
        <v>1.9875000000000007</v>
      </c>
      <c r="V223" s="430" t="s">
        <v>187</v>
      </c>
      <c r="W223" s="431"/>
      <c r="X223" s="176">
        <v>5.8315789473684205</v>
      </c>
      <c r="Y223" s="177">
        <f>SUM(Y217,Y219,Y221)</f>
        <v>6</v>
      </c>
      <c r="Z223" s="192">
        <f>Y223-X223</f>
        <v>0.16842105263157947</v>
      </c>
      <c r="AB223" s="430" t="s">
        <v>187</v>
      </c>
      <c r="AC223" s="431"/>
      <c r="AD223" s="176">
        <v>4.3515151515151516</v>
      </c>
      <c r="AE223" s="177">
        <f>SUM(AE217,AE219,AE221)</f>
        <v>6.0000000000000009</v>
      </c>
      <c r="AF223" s="192">
        <f t="shared" si="624"/>
        <v>1.6484848484848493</v>
      </c>
      <c r="AH223" s="280" t="s">
        <v>187</v>
      </c>
      <c r="AI223" s="279"/>
      <c r="AJ223" s="176">
        <v>6.3878787878787868</v>
      </c>
      <c r="AK223" s="177">
        <f>SUM(AK217,AK219,AK221)</f>
        <v>5.9969696969696971</v>
      </c>
      <c r="AL223" s="192">
        <f t="shared" si="625"/>
        <v>-0.39090909090908976</v>
      </c>
      <c r="AN223" s="430" t="s">
        <v>187</v>
      </c>
      <c r="AO223" s="431"/>
      <c r="AP223" s="176">
        <v>6.0012698412698411</v>
      </c>
      <c r="AQ223" s="177">
        <f>SUM(AQ217,AQ219,AQ221)</f>
        <v>6.0012698412698411</v>
      </c>
      <c r="AR223" s="192">
        <f t="shared" si="626"/>
        <v>0</v>
      </c>
      <c r="AT223" s="430" t="s">
        <v>187</v>
      </c>
      <c r="AU223" s="431"/>
      <c r="AV223" s="176">
        <v>5.0568542568542565</v>
      </c>
      <c r="AW223" s="177">
        <f>SUM(AW217,AW219,AW221)</f>
        <v>6.7661904761904763</v>
      </c>
      <c r="AX223" s="192">
        <f t="shared" si="633"/>
        <v>1.7093362193362198</v>
      </c>
      <c r="AY223"/>
      <c r="AZ223" s="206"/>
      <c r="BA223" s="430" t="s">
        <v>187</v>
      </c>
      <c r="BB223" s="431"/>
      <c r="BC223" s="176"/>
      <c r="BD223" s="177">
        <f>SUM(BD217,BD219,BD221)</f>
        <v>2.17</v>
      </c>
      <c r="BE223" s="192">
        <f t="shared" si="627"/>
        <v>2.17</v>
      </c>
      <c r="BF223"/>
      <c r="BG223" s="206"/>
      <c r="BH223" s="430" t="s">
        <v>187</v>
      </c>
      <c r="BI223" s="431"/>
      <c r="BJ223" s="176"/>
      <c r="BK223" s="177">
        <f>SUM(BK217,BK219,BK221)</f>
        <v>0</v>
      </c>
      <c r="BL223" s="192">
        <f t="shared" si="628"/>
        <v>0</v>
      </c>
      <c r="BM223"/>
      <c r="BN223"/>
      <c r="BO223" s="206"/>
      <c r="BP223" s="430" t="s">
        <v>187</v>
      </c>
      <c r="BQ223" s="431"/>
      <c r="BR223" s="176"/>
      <c r="BS223" s="177">
        <f>SUM(BS217,BS219,BS221)</f>
        <v>0</v>
      </c>
      <c r="BT223" s="192">
        <f t="shared" si="629"/>
        <v>0</v>
      </c>
      <c r="BU223"/>
      <c r="BV223"/>
      <c r="BW223" s="206"/>
      <c r="BX223" s="430" t="s">
        <v>187</v>
      </c>
      <c r="BY223" s="431"/>
      <c r="BZ223" s="176"/>
      <c r="CA223" s="177">
        <f>SUM(CA217,CA219,CA221)</f>
        <v>0</v>
      </c>
      <c r="CB223" s="192">
        <f t="shared" si="630"/>
        <v>0</v>
      </c>
      <c r="CC223"/>
      <c r="CD223"/>
      <c r="CE223" s="206"/>
      <c r="CF223" s="430" t="s">
        <v>187</v>
      </c>
      <c r="CG223" s="431"/>
      <c r="CH223" s="176"/>
      <c r="CI223" s="177">
        <f>SUM(CI217,CI219,CI221)</f>
        <v>0</v>
      </c>
      <c r="CJ223" s="192">
        <f t="shared" si="631"/>
        <v>0</v>
      </c>
      <c r="CK223"/>
      <c r="CL223"/>
      <c r="CM223" s="206"/>
      <c r="CN223" s="430" t="s">
        <v>187</v>
      </c>
      <c r="CO223" s="431"/>
      <c r="CP223" s="176"/>
      <c r="CQ223" s="177">
        <f>SUM(CQ217,CQ219,CQ221)</f>
        <v>0</v>
      </c>
      <c r="CR223" s="192">
        <f t="shared" si="632"/>
        <v>0</v>
      </c>
      <c r="CS223"/>
      <c r="CT223"/>
      <c r="CV223" s="172"/>
      <c r="CW223" s="172"/>
      <c r="CX223" s="500"/>
      <c r="CY223" s="500"/>
      <c r="CZ223" s="501"/>
      <c r="DA223" s="501"/>
    </row>
    <row r="224" spans="1:105" ht="20.100000000000001" customHeight="1" x14ac:dyDescent="0.4">
      <c r="P224" s="430" t="s">
        <v>188</v>
      </c>
      <c r="Q224" s="431"/>
      <c r="R224" s="176">
        <v>4.8125</v>
      </c>
      <c r="S224" s="179">
        <f>SUM(S218,S220,S222)</f>
        <v>6.8124999999999982</v>
      </c>
      <c r="T224" s="192">
        <f t="shared" si="622"/>
        <v>1.9999999999999982</v>
      </c>
      <c r="V224" s="430" t="s">
        <v>188</v>
      </c>
      <c r="W224" s="431"/>
      <c r="X224" s="176">
        <v>5.6842105263157894</v>
      </c>
      <c r="Y224" s="179">
        <f>SUM(Y218,Y220,Y222)</f>
        <v>6</v>
      </c>
      <c r="Z224" s="192">
        <f>Y224-X224</f>
        <v>0.31578947368421062</v>
      </c>
      <c r="AB224" s="430" t="s">
        <v>188</v>
      </c>
      <c r="AC224" s="431"/>
      <c r="AD224" s="176">
        <v>4.9060606060606053</v>
      </c>
      <c r="AE224" s="179">
        <f>SUM(AE218,AE220,AE222)</f>
        <v>5.9969696969696962</v>
      </c>
      <c r="AF224" s="192">
        <f t="shared" si="624"/>
        <v>1.0909090909090908</v>
      </c>
      <c r="AH224" s="280" t="s">
        <v>188</v>
      </c>
      <c r="AI224" s="279"/>
      <c r="AJ224" s="176">
        <v>5.454545454545455</v>
      </c>
      <c r="AK224" s="179">
        <f>SUM(AK218,AK220,AK222)</f>
        <v>6</v>
      </c>
      <c r="AL224" s="192">
        <f t="shared" si="625"/>
        <v>0.54545454545454497</v>
      </c>
      <c r="AN224" s="430" t="s">
        <v>188</v>
      </c>
      <c r="AO224" s="431"/>
      <c r="AP224" s="176">
        <v>5.1434920634920633</v>
      </c>
      <c r="AQ224" s="179">
        <f>SUM(AQ218,AQ220,AQ222)</f>
        <v>6.0012698412698411</v>
      </c>
      <c r="AR224" s="192">
        <f t="shared" si="626"/>
        <v>0.85777777777777775</v>
      </c>
      <c r="AT224" s="430" t="s">
        <v>188</v>
      </c>
      <c r="AU224" s="431"/>
      <c r="AV224" s="176">
        <v>4.6424242424242426</v>
      </c>
      <c r="AW224" s="179">
        <f>SUM(AW218,AW220,AW222)</f>
        <v>6.12</v>
      </c>
      <c r="AX224" s="192">
        <f t="shared" si="633"/>
        <v>1.4775757575757575</v>
      </c>
      <c r="AY224"/>
      <c r="AZ224" s="206"/>
      <c r="BA224" s="430" t="s">
        <v>188</v>
      </c>
      <c r="BB224" s="431"/>
      <c r="BC224" s="176"/>
      <c r="BD224" s="179">
        <f>SUM(BD218,BD220,BD222)</f>
        <v>1.4999999999999998</v>
      </c>
      <c r="BE224" s="192">
        <f t="shared" si="627"/>
        <v>1.4999999999999998</v>
      </c>
      <c r="BF224"/>
      <c r="BG224" s="206"/>
      <c r="BH224" s="430" t="s">
        <v>188</v>
      </c>
      <c r="BI224" s="431"/>
      <c r="BJ224" s="176"/>
      <c r="BK224" s="179">
        <f>SUM(BK218,BK220,BK222)</f>
        <v>0</v>
      </c>
      <c r="BL224" s="192">
        <f t="shared" si="628"/>
        <v>0</v>
      </c>
      <c r="BM224"/>
      <c r="BN224"/>
      <c r="BO224" s="206"/>
      <c r="BP224" s="430" t="s">
        <v>188</v>
      </c>
      <c r="BQ224" s="431"/>
      <c r="BR224" s="176"/>
      <c r="BS224" s="179">
        <f>SUM(BS218,BS220,BS222)</f>
        <v>0</v>
      </c>
      <c r="BT224" s="192">
        <f t="shared" si="629"/>
        <v>0</v>
      </c>
      <c r="BU224"/>
      <c r="BV224"/>
      <c r="BW224" s="206"/>
      <c r="BX224" s="430" t="s">
        <v>188</v>
      </c>
      <c r="BY224" s="431"/>
      <c r="BZ224" s="176"/>
      <c r="CA224" s="179">
        <f>SUM(CA218,CA220,CA222)</f>
        <v>0</v>
      </c>
      <c r="CB224" s="192">
        <f t="shared" si="630"/>
        <v>0</v>
      </c>
      <c r="CC224"/>
      <c r="CD224"/>
      <c r="CE224" s="206"/>
      <c r="CF224" s="430" t="s">
        <v>188</v>
      </c>
      <c r="CG224" s="431"/>
      <c r="CH224" s="176"/>
      <c r="CI224" s="179">
        <f>SUM(CI218,CI220,CI222)</f>
        <v>0</v>
      </c>
      <c r="CJ224" s="192">
        <f t="shared" si="631"/>
        <v>0</v>
      </c>
      <c r="CK224"/>
      <c r="CL224"/>
      <c r="CM224" s="206"/>
      <c r="CN224" s="430" t="s">
        <v>188</v>
      </c>
      <c r="CO224" s="431"/>
      <c r="CP224" s="176"/>
      <c r="CQ224" s="179">
        <f>SUM(CQ218,CQ220,CQ222)</f>
        <v>0</v>
      </c>
      <c r="CR224" s="192">
        <f t="shared" si="632"/>
        <v>0</v>
      </c>
      <c r="CS224"/>
      <c r="CT224"/>
    </row>
    <row r="225" spans="16:105" ht="20.100000000000001" customHeight="1" x14ac:dyDescent="0.4">
      <c r="AI225" s="52"/>
      <c r="AJ225" s="52"/>
      <c r="AK225" s="52"/>
      <c r="AN225"/>
      <c r="AO225"/>
      <c r="AP225"/>
      <c r="AQ225"/>
      <c r="AR225"/>
      <c r="AT225"/>
      <c r="AU225"/>
      <c r="AV225"/>
      <c r="AW225"/>
      <c r="AX225"/>
      <c r="AY225"/>
      <c r="AZ225"/>
      <c r="BA225"/>
      <c r="BB225"/>
      <c r="BC225"/>
      <c r="BD225"/>
      <c r="BE225"/>
      <c r="BF225"/>
      <c r="BG225"/>
      <c r="BH225"/>
      <c r="BI225"/>
      <c r="BJ225"/>
      <c r="BK225"/>
      <c r="BL225"/>
      <c r="BM225"/>
      <c r="BN225"/>
      <c r="BO225"/>
      <c r="BP225"/>
      <c r="BQ225"/>
      <c r="BR225"/>
      <c r="BS225"/>
      <c r="BT225"/>
      <c r="BU225"/>
      <c r="BV225"/>
      <c r="CB225"/>
      <c r="CC225"/>
      <c r="CD225"/>
      <c r="CJ225"/>
      <c r="CK225"/>
      <c r="CL225"/>
      <c r="CR225"/>
      <c r="CS225"/>
      <c r="CT225"/>
      <c r="CW225" s="52"/>
    </row>
    <row r="226" spans="16:105" ht="20.100000000000001" customHeight="1" x14ac:dyDescent="0.4">
      <c r="P226" s="438" t="s">
        <v>504</v>
      </c>
      <c r="Q226" s="439"/>
      <c r="R226" s="173" t="s">
        <v>178</v>
      </c>
      <c r="S226" s="174" t="s">
        <v>179</v>
      </c>
      <c r="T226" s="175" t="s">
        <v>180</v>
      </c>
      <c r="V226" s="434" t="s">
        <v>563</v>
      </c>
      <c r="W226" s="435"/>
      <c r="X226" s="173" t="s">
        <v>178</v>
      </c>
      <c r="Y226" s="174" t="s">
        <v>179</v>
      </c>
      <c r="Z226" s="175" t="s">
        <v>180</v>
      </c>
      <c r="AA226" s="205"/>
      <c r="AB226" s="432" t="s">
        <v>612</v>
      </c>
      <c r="AC226" s="433"/>
      <c r="AD226" s="173" t="s">
        <v>178</v>
      </c>
      <c r="AE226" s="174" t="s">
        <v>179</v>
      </c>
      <c r="AF226" s="175" t="s">
        <v>180</v>
      </c>
      <c r="AG226" s="205"/>
      <c r="AH226" s="282" t="s">
        <v>753</v>
      </c>
      <c r="AI226" s="283"/>
      <c r="AJ226" s="173" t="s">
        <v>178</v>
      </c>
      <c r="AK226" s="174" t="s">
        <v>179</v>
      </c>
      <c r="AL226" s="175" t="s">
        <v>180</v>
      </c>
      <c r="AM226" s="205"/>
      <c r="AN226" s="434" t="s">
        <v>827</v>
      </c>
      <c r="AO226" s="548"/>
      <c r="AP226" s="173" t="s">
        <v>178</v>
      </c>
      <c r="AQ226" s="174" t="s">
        <v>179</v>
      </c>
      <c r="AR226" s="175" t="s">
        <v>180</v>
      </c>
      <c r="AS226" s="205"/>
      <c r="AT226" s="434" t="s">
        <v>918</v>
      </c>
      <c r="AU226" s="435"/>
      <c r="AV226" s="173" t="s">
        <v>178</v>
      </c>
      <c r="AW226" s="174" t="s">
        <v>179</v>
      </c>
      <c r="AX226" s="175" t="s">
        <v>180</v>
      </c>
      <c r="AY226" s="205"/>
      <c r="AZ226"/>
      <c r="BA226"/>
      <c r="BB226"/>
      <c r="BC226" s="202"/>
      <c r="BD226" s="203"/>
      <c r="BE226" s="204"/>
      <c r="BF226" s="205"/>
      <c r="BG226"/>
      <c r="BH226"/>
      <c r="BI226"/>
      <c r="BJ226" s="202"/>
      <c r="BK226" s="203"/>
      <c r="BL226" s="204"/>
      <c r="BM226" s="204"/>
      <c r="BN226" s="205"/>
      <c r="BO226"/>
      <c r="BP226"/>
      <c r="BQ226"/>
      <c r="BR226" s="202"/>
      <c r="BS226" s="203"/>
      <c r="BT226" s="204"/>
      <c r="BU226" s="204"/>
      <c r="BV226" s="205"/>
      <c r="BW226"/>
      <c r="BX226"/>
      <c r="BY226"/>
      <c r="BZ226" s="202"/>
      <c r="CA226" s="203"/>
      <c r="CB226" s="204"/>
      <c r="CC226" s="204"/>
      <c r="CD226" s="205"/>
      <c r="CH226" s="202"/>
      <c r="CI226" s="203"/>
      <c r="CJ226" s="204"/>
      <c r="CK226" s="204"/>
      <c r="CL226" s="205"/>
      <c r="CR226" s="204"/>
      <c r="CS226" s="204"/>
      <c r="CT226" s="205"/>
      <c r="CV226" s="199"/>
      <c r="CX226" s="200"/>
      <c r="CZ226" s="201"/>
      <c r="DA226" s="201"/>
    </row>
    <row r="227" spans="16:105" ht="20.100000000000001" customHeight="1" x14ac:dyDescent="0.4">
      <c r="P227" s="430" t="s">
        <v>181</v>
      </c>
      <c r="Q227" s="431"/>
      <c r="R227" s="176">
        <v>2.7583333333333333</v>
      </c>
      <c r="S227" s="176">
        <v>2.7708333333333335</v>
      </c>
      <c r="T227" s="192">
        <v>1.2500000000000178E-2</v>
      </c>
      <c r="U227" s="2"/>
      <c r="V227" s="430" t="s">
        <v>181</v>
      </c>
      <c r="W227" s="431"/>
      <c r="X227" s="176">
        <v>2.2947368421052632</v>
      </c>
      <c r="Y227" s="176">
        <v>3.4877192982456133</v>
      </c>
      <c r="Z227" s="192">
        <v>1.1929824561403501</v>
      </c>
      <c r="AA227" s="196"/>
      <c r="AB227" s="430" t="s">
        <v>181</v>
      </c>
      <c r="AC227" s="431"/>
      <c r="AD227" s="176">
        <v>2.4848484848484844</v>
      </c>
      <c r="AE227" s="176">
        <v>2.4848484848484844</v>
      </c>
      <c r="AF227" s="192">
        <v>0</v>
      </c>
      <c r="AG227" s="196"/>
      <c r="AH227" s="280" t="s">
        <v>181</v>
      </c>
      <c r="AI227" s="279"/>
      <c r="AJ227" s="176">
        <v>5.006060606060605</v>
      </c>
      <c r="AK227" s="176">
        <v>5.0545454545454538</v>
      </c>
      <c r="AL227" s="192">
        <v>4.8484848484848797E-2</v>
      </c>
      <c r="AM227" s="196"/>
      <c r="AN227" s="430" t="s">
        <v>181</v>
      </c>
      <c r="AO227" s="431"/>
      <c r="AP227" s="176">
        <v>3.4539682539682537</v>
      </c>
      <c r="AQ227" s="176">
        <v>4.5714285714285712</v>
      </c>
      <c r="AR227" s="192">
        <v>1.1174603174603175</v>
      </c>
      <c r="AS227" s="196"/>
      <c r="AT227" s="430" t="s">
        <v>181</v>
      </c>
      <c r="AU227" s="431"/>
      <c r="AV227" s="176">
        <v>1.9803751803751803</v>
      </c>
      <c r="AW227" s="176">
        <v>4.2594516594516589</v>
      </c>
      <c r="AX227" s="192">
        <v>2.2790764790764788</v>
      </c>
      <c r="AY227" s="196"/>
      <c r="AZ227"/>
      <c r="BA227"/>
      <c r="BB227"/>
      <c r="BC227" s="206"/>
      <c r="BD227" s="124"/>
      <c r="BE227" s="124"/>
      <c r="BF227" s="196"/>
      <c r="BG227"/>
      <c r="BH227"/>
      <c r="BI227"/>
      <c r="BJ227" s="206"/>
      <c r="BK227" s="124"/>
      <c r="BL227" s="124"/>
      <c r="BM227" s="124"/>
      <c r="BN227" s="196"/>
      <c r="BO227"/>
      <c r="BP227"/>
      <c r="BQ227"/>
      <c r="BR227" s="206"/>
      <c r="BS227" s="124"/>
      <c r="BT227" s="124"/>
      <c r="BU227" s="124"/>
      <c r="BV227" s="196"/>
      <c r="BW227"/>
      <c r="BX227"/>
      <c r="BY227"/>
      <c r="BZ227" s="206"/>
      <c r="CA227" s="124"/>
      <c r="CB227" s="124"/>
      <c r="CC227" s="124"/>
      <c r="CD227" s="196"/>
      <c r="CH227" s="206"/>
      <c r="CI227" s="124"/>
      <c r="CJ227" s="124"/>
      <c r="CK227" s="124"/>
      <c r="CL227" s="196"/>
      <c r="CR227" s="124"/>
      <c r="CS227" s="124"/>
      <c r="CT227" s="196"/>
      <c r="CW227" s="172"/>
      <c r="CX227" s="502"/>
      <c r="CY227" s="503"/>
      <c r="CZ227" s="501"/>
      <c r="DA227" s="501"/>
    </row>
    <row r="228" spans="16:105" ht="20.100000000000001" customHeight="1" x14ac:dyDescent="0.4">
      <c r="P228" s="430" t="s">
        <v>182</v>
      </c>
      <c r="Q228" s="431"/>
      <c r="R228" s="176">
        <v>2.4916666666666671</v>
      </c>
      <c r="S228" s="176">
        <v>3.4541666666666666</v>
      </c>
      <c r="T228" s="192">
        <v>0.96249999999999947</v>
      </c>
      <c r="U228" s="209"/>
      <c r="V228" s="430" t="s">
        <v>182</v>
      </c>
      <c r="W228" s="431"/>
      <c r="X228" s="176">
        <v>2.2807017543859649</v>
      </c>
      <c r="Y228" s="176">
        <v>3.1964912280701756</v>
      </c>
      <c r="Z228" s="192">
        <v>0.91578947368421071</v>
      </c>
      <c r="AA228" s="196"/>
      <c r="AB228" s="430" t="s">
        <v>182</v>
      </c>
      <c r="AC228" s="431"/>
      <c r="AD228" s="176">
        <v>2.2999999999999998</v>
      </c>
      <c r="AE228" s="176">
        <v>3.3151515151515145</v>
      </c>
      <c r="AF228" s="192">
        <v>1.0151515151515147</v>
      </c>
      <c r="AG228" s="196"/>
      <c r="AH228" s="280" t="s">
        <v>182</v>
      </c>
      <c r="AI228" s="279"/>
      <c r="AJ228" s="176">
        <v>3.5090909090909097</v>
      </c>
      <c r="AK228" s="176">
        <v>4.4363636363636365</v>
      </c>
      <c r="AL228" s="192">
        <v>0.9272727272727268</v>
      </c>
      <c r="AM228" s="196"/>
      <c r="AN228" s="430" t="s">
        <v>182</v>
      </c>
      <c r="AO228" s="431"/>
      <c r="AP228" s="176">
        <v>2.7476190476190476</v>
      </c>
      <c r="AQ228" s="176">
        <v>3.8</v>
      </c>
      <c r="AR228" s="192">
        <v>1.0523809523809522</v>
      </c>
      <c r="AS228" s="196"/>
      <c r="AT228" s="430" t="s">
        <v>182</v>
      </c>
      <c r="AU228" s="431"/>
      <c r="AV228" s="176">
        <v>2.5863636363636364</v>
      </c>
      <c r="AW228" s="176">
        <v>3.7484848484848485</v>
      </c>
      <c r="AX228" s="192">
        <v>1.1621212121212121</v>
      </c>
      <c r="AY228" s="196"/>
      <c r="AZ228"/>
      <c r="BA228"/>
      <c r="BB228"/>
      <c r="BC228" s="206"/>
      <c r="BD228" s="124"/>
      <c r="BE228" s="124"/>
      <c r="BF228" s="196"/>
      <c r="BG228"/>
      <c r="BH228"/>
      <c r="BI228"/>
      <c r="BJ228" s="206"/>
      <c r="BK228" s="124"/>
      <c r="BL228" s="124"/>
      <c r="BM228" s="124"/>
      <c r="BN228" s="196"/>
      <c r="BO228"/>
      <c r="BP228"/>
      <c r="BQ228"/>
      <c r="BR228" s="206"/>
      <c r="BS228" s="124"/>
      <c r="BT228" s="124"/>
      <c r="BU228" s="124"/>
      <c r="BV228" s="196"/>
      <c r="BW228"/>
      <c r="BX228"/>
      <c r="BY228"/>
      <c r="BZ228" s="206"/>
      <c r="CA228" s="124"/>
      <c r="CB228" s="124"/>
      <c r="CC228" s="124"/>
      <c r="CD228" s="196"/>
      <c r="CH228" s="206"/>
      <c r="CI228" s="124"/>
      <c r="CJ228" s="124"/>
      <c r="CK228" s="124"/>
      <c r="CL228" s="196"/>
      <c r="CR228" s="124"/>
      <c r="CS228" s="124"/>
      <c r="CT228" s="196"/>
      <c r="CV228" s="172"/>
      <c r="CW228" s="172"/>
      <c r="CX228" s="500"/>
      <c r="CY228" s="500"/>
      <c r="CZ228" s="501"/>
      <c r="DA228" s="501"/>
    </row>
    <row r="229" spans="16:105" ht="20.100000000000001" customHeight="1" x14ac:dyDescent="0.4">
      <c r="P229" s="428" t="s">
        <v>183</v>
      </c>
      <c r="Q229" s="429"/>
      <c r="R229" s="176">
        <v>1.0000000000000002</v>
      </c>
      <c r="S229" s="177">
        <v>1.0000000000000002</v>
      </c>
      <c r="T229" s="192">
        <v>0</v>
      </c>
      <c r="V229" s="428" t="s">
        <v>183</v>
      </c>
      <c r="W229" s="429"/>
      <c r="X229" s="176">
        <v>0.73684210526315785</v>
      </c>
      <c r="Y229" s="177">
        <v>1.2210526315789474</v>
      </c>
      <c r="Z229" s="192">
        <v>0.48421052631578954</v>
      </c>
      <c r="AA229" s="196"/>
      <c r="AB229" s="428" t="s">
        <v>183</v>
      </c>
      <c r="AC229" s="429"/>
      <c r="AD229" s="176">
        <v>1.0060606060606063</v>
      </c>
      <c r="AE229" s="177">
        <v>1.0060606060606063</v>
      </c>
      <c r="AF229" s="192">
        <v>0</v>
      </c>
      <c r="AG229" s="196"/>
      <c r="AH229" s="280" t="s">
        <v>183</v>
      </c>
      <c r="AI229" s="281"/>
      <c r="AJ229" s="176">
        <v>0.89090909090909076</v>
      </c>
      <c r="AK229" s="177">
        <v>0.89090909090909076</v>
      </c>
      <c r="AL229" s="192">
        <v>0</v>
      </c>
      <c r="AM229" s="196"/>
      <c r="AN229" s="428" t="s">
        <v>183</v>
      </c>
      <c r="AO229" s="429"/>
      <c r="AP229" s="176">
        <v>0.94285714285714306</v>
      </c>
      <c r="AQ229" s="177">
        <v>0.94285714285714306</v>
      </c>
      <c r="AR229" s="192">
        <v>0</v>
      </c>
      <c r="AS229" s="196"/>
      <c r="AT229" s="428" t="s">
        <v>183</v>
      </c>
      <c r="AU229" s="429"/>
      <c r="AV229" s="176">
        <v>0.67619047619047645</v>
      </c>
      <c r="AW229" s="177">
        <v>0.67619047619047645</v>
      </c>
      <c r="AX229" s="192">
        <v>0</v>
      </c>
      <c r="AY229" s="196"/>
      <c r="AZ229"/>
      <c r="BA229"/>
      <c r="BB229"/>
      <c r="BC229" s="207"/>
      <c r="BD229" s="124"/>
      <c r="BE229" s="124"/>
      <c r="BF229" s="196"/>
      <c r="BG229"/>
      <c r="BH229"/>
      <c r="BI229"/>
      <c r="BJ229" s="207"/>
      <c r="BK229" s="124"/>
      <c r="BL229" s="124"/>
      <c r="BM229" s="124"/>
      <c r="BN229" s="196"/>
      <c r="BO229"/>
      <c r="BP229"/>
      <c r="BQ229"/>
      <c r="BR229" s="207"/>
      <c r="BS229" s="124"/>
      <c r="BT229" s="124"/>
      <c r="BU229" s="124"/>
      <c r="BV229" s="196"/>
      <c r="BW229"/>
      <c r="BX229"/>
      <c r="BY229"/>
      <c r="BZ229" s="207"/>
      <c r="CA229" s="124"/>
      <c r="CB229" s="124"/>
      <c r="CC229" s="124"/>
      <c r="CD229" s="196"/>
      <c r="CH229" s="207"/>
      <c r="CI229" s="124"/>
      <c r="CJ229" s="124"/>
      <c r="CK229" s="124"/>
      <c r="CL229" s="196"/>
      <c r="CR229" s="124"/>
      <c r="CS229" s="124"/>
      <c r="CT229" s="196"/>
      <c r="CV229" s="172"/>
    </row>
    <row r="230" spans="16:105" ht="20.100000000000001" customHeight="1" x14ac:dyDescent="0.4">
      <c r="P230" s="428" t="s">
        <v>184</v>
      </c>
      <c r="Q230" s="429"/>
      <c r="R230" s="176">
        <v>0.3708333333333334</v>
      </c>
      <c r="S230" s="177">
        <v>0.53333333333333344</v>
      </c>
      <c r="T230" s="192">
        <v>0.16250000000000003</v>
      </c>
      <c r="V230" s="428" t="s">
        <v>184</v>
      </c>
      <c r="W230" s="429"/>
      <c r="X230" s="176">
        <v>0.52280701754385972</v>
      </c>
      <c r="Y230" s="177">
        <v>0.66315789473684206</v>
      </c>
      <c r="Z230" s="192">
        <v>0.14035087719298234</v>
      </c>
      <c r="AA230" s="196"/>
      <c r="AB230" s="428" t="s">
        <v>184</v>
      </c>
      <c r="AC230" s="429"/>
      <c r="AD230" s="176">
        <v>0.44848484848484843</v>
      </c>
      <c r="AE230" s="177">
        <v>0.66060606060606064</v>
      </c>
      <c r="AF230" s="192">
        <v>0.21212121212121221</v>
      </c>
      <c r="AG230" s="196"/>
      <c r="AH230" s="280" t="s">
        <v>184</v>
      </c>
      <c r="AI230" s="281"/>
      <c r="AJ230" s="176">
        <v>0.58787878787878789</v>
      </c>
      <c r="AK230" s="177">
        <v>0.70606060606060606</v>
      </c>
      <c r="AL230" s="192">
        <v>0.11818181818181817</v>
      </c>
      <c r="AM230" s="196"/>
      <c r="AN230" s="428" t="s">
        <v>184</v>
      </c>
      <c r="AO230" s="429"/>
      <c r="AP230" s="176">
        <v>0.52285714285714291</v>
      </c>
      <c r="AQ230" s="177">
        <v>0.70857142857142852</v>
      </c>
      <c r="AR230" s="192">
        <v>0.18571428571428561</v>
      </c>
      <c r="AS230" s="196"/>
      <c r="AT230" s="428" t="s">
        <v>184</v>
      </c>
      <c r="AU230" s="429"/>
      <c r="AV230" s="176">
        <v>0.4621212121212121</v>
      </c>
      <c r="AW230" s="177">
        <v>0.66666666666666674</v>
      </c>
      <c r="AX230" s="192">
        <v>0.20454545454545464</v>
      </c>
      <c r="AY230" s="196"/>
      <c r="AZ230"/>
      <c r="BA230"/>
      <c r="BB230"/>
      <c r="BC230" s="207"/>
      <c r="BD230" s="124"/>
      <c r="BE230" s="124"/>
      <c r="BF230" s="196"/>
      <c r="BG230"/>
      <c r="BH230"/>
      <c r="BI230"/>
      <c r="BJ230" s="207"/>
      <c r="BK230" s="124"/>
      <c r="BL230" s="124"/>
      <c r="BM230" s="124"/>
      <c r="BN230" s="196"/>
      <c r="BO230"/>
      <c r="BP230"/>
      <c r="BQ230"/>
      <c r="BR230" s="207"/>
      <c r="BS230" s="124"/>
      <c r="BT230" s="124"/>
      <c r="BU230" s="124"/>
      <c r="BV230" s="196"/>
      <c r="BW230"/>
      <c r="BX230"/>
      <c r="BY230"/>
      <c r="BZ230" s="207"/>
      <c r="CA230" s="124"/>
      <c r="CB230" s="124"/>
      <c r="CC230" s="124"/>
      <c r="CD230" s="196"/>
      <c r="CH230" s="207"/>
      <c r="CI230" s="124"/>
      <c r="CJ230" s="124"/>
      <c r="CK230" s="124"/>
      <c r="CL230" s="196"/>
      <c r="CR230" s="124"/>
      <c r="CS230" s="124"/>
      <c r="CT230" s="196"/>
      <c r="CV230" s="172"/>
    </row>
    <row r="231" spans="16:105" ht="20.100000000000001" customHeight="1" x14ac:dyDescent="0.4">
      <c r="P231" s="430" t="s">
        <v>185</v>
      </c>
      <c r="Q231" s="431"/>
      <c r="R231" s="176">
        <v>1.2416666666666665</v>
      </c>
      <c r="S231" s="178">
        <v>1.2416666666666665</v>
      </c>
      <c r="T231" s="192">
        <v>0</v>
      </c>
      <c r="V231" s="430" t="s">
        <v>185</v>
      </c>
      <c r="W231" s="431"/>
      <c r="X231" s="176">
        <v>0.84210526315789469</v>
      </c>
      <c r="Y231" s="178">
        <v>1.1228070175438596</v>
      </c>
      <c r="Z231" s="192">
        <v>0.2807017543859649</v>
      </c>
      <c r="AA231" s="196"/>
      <c r="AB231" s="430" t="s">
        <v>185</v>
      </c>
      <c r="AC231" s="431"/>
      <c r="AD231" s="176">
        <v>0.8606060606060606</v>
      </c>
      <c r="AE231" s="178">
        <v>0.8606060606060606</v>
      </c>
      <c r="AF231" s="192">
        <v>0</v>
      </c>
      <c r="AG231" s="196"/>
      <c r="AH231" s="280" t="s">
        <v>185</v>
      </c>
      <c r="AI231" s="279"/>
      <c r="AJ231" s="176">
        <v>0.44242424242424239</v>
      </c>
      <c r="AK231" s="178">
        <v>0.44242424242424239</v>
      </c>
      <c r="AL231" s="192">
        <v>0</v>
      </c>
      <c r="AM231" s="196"/>
      <c r="AN231" s="430" t="s">
        <v>185</v>
      </c>
      <c r="AO231" s="431"/>
      <c r="AP231" s="176">
        <v>0.86349206349206342</v>
      </c>
      <c r="AQ231" s="178">
        <v>0.86349206349206342</v>
      </c>
      <c r="AR231" s="192">
        <v>0</v>
      </c>
      <c r="AS231" s="196"/>
      <c r="AT231" s="430" t="s">
        <v>185</v>
      </c>
      <c r="AU231" s="431"/>
      <c r="AV231" s="176">
        <v>0.12121212121212122</v>
      </c>
      <c r="AW231" s="178">
        <v>0.12121212121212122</v>
      </c>
      <c r="AX231" s="192">
        <v>0</v>
      </c>
      <c r="AY231" s="196"/>
      <c r="AZ231"/>
      <c r="BA231"/>
      <c r="BB231"/>
      <c r="BC231" s="206"/>
      <c r="BD231" s="128"/>
      <c r="BE231" s="128"/>
      <c r="BF231" s="196"/>
      <c r="BG231"/>
      <c r="BH231"/>
      <c r="BI231"/>
      <c r="BJ231" s="206"/>
      <c r="BK231" s="128"/>
      <c r="BL231" s="128"/>
      <c r="BM231" s="128"/>
      <c r="BN231" s="196"/>
      <c r="BO231"/>
      <c r="BP231"/>
      <c r="BQ231"/>
      <c r="BR231" s="206"/>
      <c r="BS231" s="128"/>
      <c r="BT231" s="128"/>
      <c r="BU231" s="128"/>
      <c r="BV231" s="196"/>
      <c r="BW231"/>
      <c r="BX231"/>
      <c r="BY231"/>
      <c r="BZ231" s="206"/>
      <c r="CA231" s="128"/>
      <c r="CB231" s="128"/>
      <c r="CC231" s="128"/>
      <c r="CD231" s="196"/>
      <c r="CH231" s="206"/>
      <c r="CI231" s="128"/>
      <c r="CJ231" s="128"/>
      <c r="CK231" s="128"/>
      <c r="CL231" s="196"/>
      <c r="CR231" s="128"/>
      <c r="CS231" s="128"/>
      <c r="CT231" s="196"/>
      <c r="CV231" s="172"/>
    </row>
    <row r="232" spans="16:105" ht="20.100000000000001" customHeight="1" x14ac:dyDescent="0.4">
      <c r="P232" s="430" t="s">
        <v>186</v>
      </c>
      <c r="Q232" s="431"/>
      <c r="R232" s="176">
        <v>0.63750000000000007</v>
      </c>
      <c r="S232" s="177">
        <v>0.82500000000000007</v>
      </c>
      <c r="T232" s="192">
        <v>0.1875</v>
      </c>
      <c r="V232" s="430" t="s">
        <v>186</v>
      </c>
      <c r="W232" s="431"/>
      <c r="X232" s="176">
        <v>1.3017543859649123</v>
      </c>
      <c r="Y232" s="177">
        <v>1.8245614035087718</v>
      </c>
      <c r="Z232" s="192">
        <v>0.5228070175438595</v>
      </c>
      <c r="AA232" s="196"/>
      <c r="AB232" s="430" t="s">
        <v>186</v>
      </c>
      <c r="AC232" s="431"/>
      <c r="AD232" s="176">
        <v>0.79393939393939394</v>
      </c>
      <c r="AE232" s="177">
        <v>0.9303030303030303</v>
      </c>
      <c r="AF232" s="192">
        <v>0.13636363636363635</v>
      </c>
      <c r="AG232" s="196"/>
      <c r="AH232" s="280" t="s">
        <v>186</v>
      </c>
      <c r="AI232" s="279"/>
      <c r="AJ232" s="176">
        <v>0.26666666666666666</v>
      </c>
      <c r="AK232" s="177">
        <v>0.31212121212121213</v>
      </c>
      <c r="AL232" s="192">
        <v>4.545454545454547E-2</v>
      </c>
      <c r="AM232" s="196"/>
      <c r="AN232" s="430" t="s">
        <v>186</v>
      </c>
      <c r="AO232" s="431"/>
      <c r="AP232" s="176">
        <v>0.44444444444444442</v>
      </c>
      <c r="AQ232" s="177">
        <v>0.634920634920635</v>
      </c>
      <c r="AR232" s="192">
        <v>0.19047619047619058</v>
      </c>
      <c r="AS232" s="196"/>
      <c r="AT232" s="430" t="s">
        <v>186</v>
      </c>
      <c r="AU232" s="431"/>
      <c r="AV232" s="176">
        <v>0.22727272727272729</v>
      </c>
      <c r="AW232" s="177">
        <v>0.22727272727272729</v>
      </c>
      <c r="AX232" s="192">
        <v>0</v>
      </c>
      <c r="AY232" s="196"/>
      <c r="AZ232"/>
      <c r="BA232"/>
      <c r="BB232"/>
      <c r="BC232" s="206"/>
      <c r="BD232" s="124"/>
      <c r="BE232" s="124"/>
      <c r="BF232" s="196"/>
      <c r="BG232"/>
      <c r="BH232"/>
      <c r="BI232"/>
      <c r="BJ232" s="206"/>
      <c r="BK232" s="124"/>
      <c r="BL232" s="124"/>
      <c r="BM232" s="124"/>
      <c r="BN232" s="196"/>
      <c r="BO232"/>
      <c r="BP232"/>
      <c r="BQ232"/>
      <c r="BR232" s="206"/>
      <c r="BS232" s="124"/>
      <c r="BT232" s="124"/>
      <c r="BU232" s="124"/>
      <c r="BV232" s="196"/>
      <c r="BW232"/>
      <c r="BX232"/>
      <c r="BY232"/>
      <c r="BZ232" s="206"/>
      <c r="CA232" s="124"/>
      <c r="CB232" s="124"/>
      <c r="CC232" s="124"/>
      <c r="CD232" s="196"/>
      <c r="CH232" s="206"/>
      <c r="CI232" s="124"/>
      <c r="CJ232" s="124"/>
      <c r="CK232" s="124"/>
      <c r="CL232" s="196"/>
      <c r="CR232" s="124"/>
      <c r="CS232" s="124"/>
      <c r="CT232" s="196"/>
      <c r="CV232" s="172"/>
    </row>
    <row r="233" spans="16:105" ht="20.100000000000001" customHeight="1" x14ac:dyDescent="0.4">
      <c r="P233" s="430" t="s">
        <v>187</v>
      </c>
      <c r="Q233" s="431"/>
      <c r="R233" s="176">
        <v>5</v>
      </c>
      <c r="S233" s="177">
        <v>5.0125000000000002</v>
      </c>
      <c r="T233" s="192">
        <v>1.2500000000000178E-2</v>
      </c>
      <c r="V233" s="430" t="s">
        <v>187</v>
      </c>
      <c r="W233" s="431"/>
      <c r="X233" s="176">
        <v>3.8736842105263158</v>
      </c>
      <c r="Y233" s="177">
        <v>5.8315789473684205</v>
      </c>
      <c r="Z233" s="192">
        <v>1.9578947368421047</v>
      </c>
      <c r="AA233" s="196"/>
      <c r="AB233" s="430" t="s">
        <v>187</v>
      </c>
      <c r="AC233" s="431"/>
      <c r="AD233" s="176">
        <v>4.3515151515151516</v>
      </c>
      <c r="AE233" s="177">
        <v>4.3515151515151516</v>
      </c>
      <c r="AF233" s="192">
        <v>0</v>
      </c>
      <c r="AG233" s="196"/>
      <c r="AH233" s="280" t="s">
        <v>187</v>
      </c>
      <c r="AI233" s="279"/>
      <c r="AJ233" s="176">
        <v>6.339393939393938</v>
      </c>
      <c r="AK233" s="177">
        <v>6.3878787878787868</v>
      </c>
      <c r="AL233" s="192">
        <v>4.8484848484848797E-2</v>
      </c>
      <c r="AM233" s="196"/>
      <c r="AN233" s="430" t="s">
        <v>187</v>
      </c>
      <c r="AO233" s="431"/>
      <c r="AP233" s="176">
        <v>5.2603174603174603</v>
      </c>
      <c r="AQ233" s="177">
        <v>6.3777777777777773</v>
      </c>
      <c r="AR233" s="192">
        <v>1.117460317460317</v>
      </c>
      <c r="AS233" s="196"/>
      <c r="AT233" s="430" t="s">
        <v>187</v>
      </c>
      <c r="AU233" s="431"/>
      <c r="AV233" s="176">
        <v>2.7777777777777777</v>
      </c>
      <c r="AW233" s="177">
        <v>5.0568542568542565</v>
      </c>
      <c r="AX233" s="192">
        <v>2.2790764790764788</v>
      </c>
      <c r="AY233" s="196"/>
      <c r="AZ233"/>
      <c r="BA233"/>
      <c r="BB233"/>
      <c r="BC233" s="206"/>
      <c r="BD233" s="124"/>
      <c r="BE233" s="124"/>
      <c r="BF233" s="196"/>
      <c r="BG233"/>
      <c r="BH233"/>
      <c r="BI233"/>
      <c r="BJ233" s="206"/>
      <c r="BK233" s="124"/>
      <c r="BL233" s="124"/>
      <c r="BM233" s="124"/>
      <c r="BN233" s="196"/>
      <c r="BO233"/>
      <c r="BP233"/>
      <c r="BQ233"/>
      <c r="BR233" s="206"/>
      <c r="BS233" s="124"/>
      <c r="BT233" s="124"/>
      <c r="BU233" s="124"/>
      <c r="BV233" s="196"/>
      <c r="BW233"/>
      <c r="BX233"/>
      <c r="BY233"/>
      <c r="BZ233" s="206"/>
      <c r="CA233" s="124"/>
      <c r="CB233" s="124"/>
      <c r="CC233" s="124"/>
      <c r="CD233" s="196"/>
      <c r="CH233" s="206"/>
      <c r="CI233" s="124"/>
      <c r="CJ233" s="124"/>
      <c r="CK233" s="124"/>
      <c r="CL233" s="196"/>
      <c r="CR233" s="124"/>
      <c r="CS233" s="124"/>
      <c r="CT233" s="196"/>
      <c r="CV233" s="172"/>
    </row>
    <row r="234" spans="16:105" ht="20.100000000000001" customHeight="1" x14ac:dyDescent="0.4">
      <c r="P234" s="430" t="s">
        <v>188</v>
      </c>
      <c r="Q234" s="431"/>
      <c r="R234" s="176">
        <v>3.5000000000000009</v>
      </c>
      <c r="S234" s="179">
        <v>4.8125</v>
      </c>
      <c r="T234" s="192">
        <v>1.3124999999999991</v>
      </c>
      <c r="V234" s="430" t="s">
        <v>188</v>
      </c>
      <c r="W234" s="431"/>
      <c r="X234" s="176">
        <v>4.1052631578947372</v>
      </c>
      <c r="Y234" s="179">
        <v>5.6842105263157894</v>
      </c>
      <c r="Z234" s="192">
        <v>1.5789473684210522</v>
      </c>
      <c r="AA234" s="196"/>
      <c r="AB234" s="430" t="s">
        <v>188</v>
      </c>
      <c r="AC234" s="431"/>
      <c r="AD234" s="176">
        <v>3.542424242424242</v>
      </c>
      <c r="AE234" s="179">
        <v>4.9060606060606053</v>
      </c>
      <c r="AF234" s="192">
        <v>1.3636363636363633</v>
      </c>
      <c r="AG234" s="196"/>
      <c r="AH234" s="280" t="s">
        <v>188</v>
      </c>
      <c r="AI234" s="279"/>
      <c r="AJ234" s="176">
        <v>4.3636363636363642</v>
      </c>
      <c r="AK234" s="179">
        <v>5.454545454545455</v>
      </c>
      <c r="AL234" s="192">
        <v>1.0909090909090908</v>
      </c>
      <c r="AM234" s="196"/>
      <c r="AN234" s="430" t="s">
        <v>188</v>
      </c>
      <c r="AO234" s="431"/>
      <c r="AP234" s="176">
        <v>3.7149206349206354</v>
      </c>
      <c r="AQ234" s="179">
        <v>5.1434920634920633</v>
      </c>
      <c r="AR234" s="192">
        <v>1.4285714285714279</v>
      </c>
      <c r="AS234" s="196"/>
      <c r="AT234" s="430" t="s">
        <v>188</v>
      </c>
      <c r="AU234" s="431"/>
      <c r="AV234" s="176">
        <v>3.2757575757575754</v>
      </c>
      <c r="AW234" s="179">
        <v>4.6424242424242426</v>
      </c>
      <c r="AX234" s="192">
        <v>1.3666666666666671</v>
      </c>
      <c r="AY234" s="196"/>
      <c r="AZ234"/>
      <c r="BA234"/>
      <c r="BB234"/>
      <c r="BC234" s="206"/>
      <c r="BD234" s="128"/>
      <c r="BE234" s="128"/>
      <c r="BF234" s="196"/>
      <c r="BG234"/>
      <c r="BH234"/>
      <c r="BI234"/>
      <c r="BJ234" s="206"/>
      <c r="BK234" s="128"/>
      <c r="BL234" s="128"/>
      <c r="BM234" s="128"/>
      <c r="BN234" s="196"/>
      <c r="BO234"/>
      <c r="BP234"/>
      <c r="BQ234"/>
      <c r="BR234" s="206"/>
      <c r="BS234" s="128"/>
      <c r="BT234" s="128"/>
      <c r="BU234" s="128"/>
      <c r="BV234" s="196"/>
      <c r="BZ234" s="206"/>
      <c r="CA234" s="128"/>
      <c r="CB234" s="128"/>
      <c r="CC234" s="128"/>
      <c r="CD234" s="196"/>
      <c r="CH234" s="206"/>
      <c r="CI234" s="128"/>
      <c r="CJ234" s="128"/>
      <c r="CK234" s="128"/>
      <c r="CL234" s="196"/>
      <c r="CR234" s="128"/>
      <c r="CS234" s="128"/>
      <c r="CT234" s="196"/>
    </row>
    <row r="235" spans="16:105" ht="20.100000000000001" customHeight="1" x14ac:dyDescent="0.4">
      <c r="R235" s="172"/>
      <c r="Y235" s="207"/>
      <c r="Z235" s="124"/>
      <c r="AA235"/>
      <c r="AD235" s="207"/>
      <c r="AE235" s="124"/>
      <c r="AF235" s="124"/>
      <c r="AG235"/>
      <c r="AH235"/>
      <c r="AI235"/>
      <c r="AJ235" s="207"/>
      <c r="AK235" s="124"/>
      <c r="AL235" s="124"/>
      <c r="AM235"/>
      <c r="AN235"/>
      <c r="AO235"/>
      <c r="AP235" s="207"/>
      <c r="AQ235" s="124"/>
      <c r="AR235" s="124"/>
      <c r="AS235"/>
      <c r="AT235"/>
      <c r="AU235"/>
      <c r="AV235" s="207"/>
      <c r="AW235" s="196"/>
      <c r="AX235" s="196"/>
      <c r="AY235"/>
      <c r="AZ235"/>
      <c r="BA235"/>
      <c r="BB235" s="207"/>
      <c r="BC235" s="124"/>
      <c r="BD235" s="124"/>
      <c r="BE235" s="196"/>
      <c r="BF235"/>
      <c r="BG235"/>
      <c r="BH235"/>
      <c r="BI235" s="207"/>
      <c r="BJ235" s="124"/>
      <c r="BK235" s="124"/>
      <c r="BL235" s="196"/>
      <c r="BM235" s="196"/>
      <c r="BN235"/>
      <c r="BO235"/>
      <c r="BP235"/>
      <c r="BQ235" s="207"/>
      <c r="BR235" s="124"/>
      <c r="BS235" s="124"/>
      <c r="BT235" s="196"/>
      <c r="BU235" s="196"/>
      <c r="BV235"/>
      <c r="BW235"/>
      <c r="BX235"/>
      <c r="BY235" s="207"/>
      <c r="BZ235" s="124"/>
      <c r="CA235" s="124"/>
      <c r="CB235" s="196"/>
      <c r="CC235" s="196"/>
      <c r="CD235"/>
      <c r="CG235" s="207"/>
      <c r="CH235" s="124"/>
      <c r="CI235" s="124"/>
      <c r="CJ235" s="196"/>
      <c r="CK235" s="196"/>
      <c r="CL235"/>
      <c r="CR235" s="196"/>
      <c r="CS235" s="196"/>
      <c r="CT235"/>
      <c r="CU235" s="172"/>
    </row>
    <row r="236" spans="16:105" ht="20.100000000000001" customHeight="1" x14ac:dyDescent="0.4">
      <c r="P236" s="438" t="s">
        <v>493</v>
      </c>
      <c r="Q236" s="439"/>
      <c r="R236" s="173" t="s">
        <v>178</v>
      </c>
      <c r="S236" s="174" t="s">
        <v>179</v>
      </c>
      <c r="T236" s="175" t="s">
        <v>180</v>
      </c>
      <c r="V236" s="434" t="s">
        <v>541</v>
      </c>
      <c r="W236" s="435"/>
      <c r="X236" s="173" t="s">
        <v>178</v>
      </c>
      <c r="Y236" s="174" t="s">
        <v>179</v>
      </c>
      <c r="Z236" s="175" t="s">
        <v>180</v>
      </c>
      <c r="AA236"/>
      <c r="AB236" s="432" t="s">
        <v>595</v>
      </c>
      <c r="AC236" s="433"/>
      <c r="AD236" s="173" t="s">
        <v>178</v>
      </c>
      <c r="AE236" s="174" t="s">
        <v>179</v>
      </c>
      <c r="AF236" s="175" t="s">
        <v>180</v>
      </c>
      <c r="AG236"/>
      <c r="AH236" s="282" t="s">
        <v>726</v>
      </c>
      <c r="AI236" s="283"/>
      <c r="AJ236" s="173" t="s">
        <v>178</v>
      </c>
      <c r="AK236" s="174" t="s">
        <v>179</v>
      </c>
      <c r="AL236" s="175" t="s">
        <v>180</v>
      </c>
      <c r="AM236"/>
      <c r="AN236" s="434" t="s">
        <v>814</v>
      </c>
      <c r="AO236" s="435"/>
      <c r="AP236" s="173" t="s">
        <v>178</v>
      </c>
      <c r="AQ236" s="174" t="s">
        <v>179</v>
      </c>
      <c r="AR236" s="175" t="s">
        <v>180</v>
      </c>
      <c r="AS236"/>
      <c r="AT236" s="434" t="s">
        <v>892</v>
      </c>
      <c r="AU236" s="435"/>
      <c r="AV236" s="173" t="s">
        <v>178</v>
      </c>
      <c r="AW236" s="174" t="s">
        <v>179</v>
      </c>
      <c r="AX236" s="175" t="s">
        <v>180</v>
      </c>
      <c r="AY236"/>
      <c r="AZ236"/>
      <c r="BA236"/>
      <c r="BB236" s="206"/>
      <c r="BC236" s="128"/>
      <c r="BD236" s="128"/>
      <c r="BE236" s="196"/>
      <c r="BF236"/>
      <c r="BG236"/>
      <c r="BH236"/>
      <c r="BI236" s="206"/>
      <c r="BJ236" s="128"/>
      <c r="BK236" s="128"/>
      <c r="BL236" s="196"/>
      <c r="BM236" s="196"/>
      <c r="BN236"/>
      <c r="BO236"/>
      <c r="BP236"/>
      <c r="BQ236" s="206"/>
      <c r="BR236" s="128"/>
      <c r="BS236" s="128"/>
      <c r="BT236" s="196"/>
      <c r="BU236" s="196"/>
      <c r="BV236"/>
      <c r="BW236"/>
      <c r="BX236"/>
      <c r="BY236" s="206"/>
      <c r="BZ236" s="128"/>
      <c r="CA236" s="128"/>
      <c r="CB236" s="196"/>
      <c r="CC236" s="196"/>
      <c r="CD236"/>
      <c r="CG236" s="206"/>
      <c r="CH236" s="128"/>
      <c r="CI236" s="128"/>
      <c r="CJ236" s="196"/>
      <c r="CK236" s="196"/>
      <c r="CL236"/>
      <c r="CR236" s="196"/>
      <c r="CS236" s="196"/>
      <c r="CT236"/>
      <c r="CU236" s="172"/>
    </row>
    <row r="237" spans="16:105" ht="20.100000000000001" customHeight="1" x14ac:dyDescent="0.4">
      <c r="P237" s="430" t="s">
        <v>181</v>
      </c>
      <c r="Q237" s="431"/>
      <c r="R237" s="176">
        <v>1.9583333333333333</v>
      </c>
      <c r="S237" s="176">
        <v>2.7583333333333333</v>
      </c>
      <c r="T237" s="192">
        <v>0.8</v>
      </c>
      <c r="V237" s="430" t="s">
        <v>181</v>
      </c>
      <c r="W237" s="431"/>
      <c r="X237" s="176">
        <v>1.3000000000000003</v>
      </c>
      <c r="Y237" s="176">
        <v>2.2947368421052632</v>
      </c>
      <c r="Z237" s="192">
        <v>0.99473684210526292</v>
      </c>
      <c r="AA237"/>
      <c r="AB237" s="430" t="s">
        <v>181</v>
      </c>
      <c r="AC237" s="431"/>
      <c r="AD237" s="176">
        <v>1.6666666666666667</v>
      </c>
      <c r="AE237" s="176">
        <v>2.4848484848484844</v>
      </c>
      <c r="AF237" s="192">
        <v>0.81818181818181768</v>
      </c>
      <c r="AG237"/>
      <c r="AH237" s="280" t="s">
        <v>181</v>
      </c>
      <c r="AI237" s="279"/>
      <c r="AJ237" s="176">
        <v>4.666666666666667</v>
      </c>
      <c r="AK237" s="176">
        <v>5.006060606060605</v>
      </c>
      <c r="AL237" s="192">
        <v>0.33939393939393803</v>
      </c>
      <c r="AM237"/>
      <c r="AN237" s="430" t="s">
        <v>181</v>
      </c>
      <c r="AO237" s="431"/>
      <c r="AP237" s="176">
        <v>2.0888888888888886</v>
      </c>
      <c r="AQ237" s="176">
        <v>3.4539682539682537</v>
      </c>
      <c r="AR237" s="192">
        <v>1.3650793650793651</v>
      </c>
      <c r="AS237"/>
      <c r="AT237" s="430" t="s">
        <v>181</v>
      </c>
      <c r="AU237" s="431"/>
      <c r="AV237" s="176">
        <v>1.7598845598845601</v>
      </c>
      <c r="AW237" s="176">
        <v>1.9803751803751803</v>
      </c>
      <c r="AX237" s="192">
        <v>0.22049062049062029</v>
      </c>
      <c r="AY237"/>
      <c r="AZ237"/>
      <c r="BA237"/>
      <c r="BB237" s="206"/>
      <c r="BC237" s="124"/>
      <c r="BD237" s="124"/>
      <c r="BE237" s="196"/>
      <c r="BF237"/>
      <c r="BG237"/>
      <c r="BH237"/>
      <c r="BI237" s="206"/>
      <c r="BJ237" s="124"/>
      <c r="BK237" s="124"/>
      <c r="BL237" s="196"/>
      <c r="BM237" s="196"/>
      <c r="BN237"/>
      <c r="BO237"/>
      <c r="BP237"/>
      <c r="BQ237" s="206"/>
      <c r="BR237" s="124"/>
      <c r="BS237" s="124"/>
      <c r="BT237" s="196"/>
      <c r="BU237" s="196"/>
      <c r="BV237"/>
      <c r="BW237"/>
      <c r="BX237"/>
      <c r="BY237" s="206"/>
      <c r="BZ237" s="124"/>
      <c r="CA237" s="124"/>
      <c r="CB237" s="196"/>
      <c r="CC237" s="196"/>
      <c r="CD237"/>
      <c r="CG237" s="206"/>
      <c r="CH237" s="124"/>
      <c r="CI237" s="124"/>
      <c r="CJ237" s="196"/>
      <c r="CK237" s="196"/>
      <c r="CL237"/>
      <c r="CR237" s="196"/>
      <c r="CS237" s="196"/>
      <c r="CT237"/>
      <c r="CU237" s="172"/>
    </row>
    <row r="238" spans="16:105" ht="20.100000000000001" customHeight="1" x14ac:dyDescent="0.4">
      <c r="P238" s="430" t="s">
        <v>182</v>
      </c>
      <c r="Q238" s="431"/>
      <c r="R238" s="176">
        <v>1.8791666666666664</v>
      </c>
      <c r="S238" s="176">
        <v>2.4916666666666671</v>
      </c>
      <c r="T238" s="192">
        <v>0.61250000000000071</v>
      </c>
      <c r="V238" s="430" t="s">
        <v>182</v>
      </c>
      <c r="W238" s="431"/>
      <c r="X238" s="176">
        <v>1.2533333333333334</v>
      </c>
      <c r="Y238" s="176">
        <v>2.2807017543859649</v>
      </c>
      <c r="Z238" s="192">
        <v>1.0273684210526315</v>
      </c>
      <c r="AA238"/>
      <c r="AB238" s="430" t="s">
        <v>182</v>
      </c>
      <c r="AC238" s="431"/>
      <c r="AD238" s="176">
        <v>1.312121212121212</v>
      </c>
      <c r="AE238" s="176">
        <v>2.2999999999999998</v>
      </c>
      <c r="AF238" s="192">
        <v>0.9878787878787878</v>
      </c>
      <c r="AG238"/>
      <c r="AH238" s="280" t="s">
        <v>182</v>
      </c>
      <c r="AI238" s="279"/>
      <c r="AJ238" s="176">
        <v>2.4575757575757575</v>
      </c>
      <c r="AK238" s="176">
        <v>3.5090909090909097</v>
      </c>
      <c r="AL238" s="192">
        <v>1.0515151515151522</v>
      </c>
      <c r="AM238"/>
      <c r="AN238" s="430" t="s">
        <v>182</v>
      </c>
      <c r="AO238" s="431"/>
      <c r="AP238" s="176">
        <v>1.7714285714285718</v>
      </c>
      <c r="AQ238" s="176">
        <v>2.7476190476190476</v>
      </c>
      <c r="AR238" s="192">
        <v>0.97619047619047583</v>
      </c>
      <c r="AS238"/>
      <c r="AT238" s="430" t="s">
        <v>182</v>
      </c>
      <c r="AU238" s="431"/>
      <c r="AV238" s="176">
        <v>1.531818181818182</v>
      </c>
      <c r="AW238" s="176">
        <v>2.5863636363636364</v>
      </c>
      <c r="AX238" s="192">
        <v>1.0545454545454545</v>
      </c>
      <c r="AY238"/>
      <c r="AZ238"/>
      <c r="BA238"/>
      <c r="BB238" s="206"/>
      <c r="BC238" s="124"/>
      <c r="BD238" s="124"/>
      <c r="BE238" s="196"/>
      <c r="BF238"/>
      <c r="BG238"/>
      <c r="BH238"/>
      <c r="BI238" s="206"/>
      <c r="BJ238" s="124"/>
      <c r="BK238" s="124"/>
      <c r="BL238" s="196"/>
      <c r="BM238" s="196"/>
      <c r="BN238"/>
      <c r="BO238"/>
      <c r="BP238"/>
      <c r="BQ238" s="206"/>
      <c r="BR238" s="124"/>
      <c r="BS238" s="124"/>
      <c r="BT238" s="196"/>
      <c r="BU238" s="196"/>
      <c r="BV238"/>
      <c r="BW238"/>
      <c r="BX238"/>
      <c r="BY238" s="206"/>
      <c r="BZ238" s="124"/>
      <c r="CA238" s="124"/>
      <c r="CB238" s="196"/>
      <c r="CC238" s="196"/>
      <c r="CD238"/>
      <c r="CG238" s="206"/>
      <c r="CH238" s="124"/>
      <c r="CI238" s="124"/>
      <c r="CJ238" s="196"/>
      <c r="CK238" s="196"/>
      <c r="CL238"/>
      <c r="CR238" s="196"/>
      <c r="CS238" s="196"/>
      <c r="CT238"/>
      <c r="CU238" s="172"/>
    </row>
    <row r="239" spans="16:105" ht="20.100000000000001" customHeight="1" x14ac:dyDescent="0.4">
      <c r="P239" s="428" t="s">
        <v>183</v>
      </c>
      <c r="Q239" s="429"/>
      <c r="R239" s="176">
        <v>1.2499999999999998</v>
      </c>
      <c r="S239" s="177">
        <v>1.0000000000000002</v>
      </c>
      <c r="T239" s="192">
        <v>-0.24999999999999956</v>
      </c>
      <c r="V239" s="428" t="s">
        <v>183</v>
      </c>
      <c r="W239" s="429"/>
      <c r="X239" s="176">
        <v>0.7</v>
      </c>
      <c r="Y239" s="177">
        <v>0.73684210526315785</v>
      </c>
      <c r="Z239" s="192">
        <v>3.6842105263157898E-2</v>
      </c>
      <c r="AB239" s="428" t="s">
        <v>183</v>
      </c>
      <c r="AC239" s="429"/>
      <c r="AD239" s="176">
        <v>1.0060606060606063</v>
      </c>
      <c r="AE239" s="177">
        <v>1.0060606060606063</v>
      </c>
      <c r="AF239" s="192">
        <v>0</v>
      </c>
      <c r="AH239" s="280" t="s">
        <v>183</v>
      </c>
      <c r="AI239" s="281"/>
      <c r="AJ239" s="176">
        <v>0.89090909090909076</v>
      </c>
      <c r="AK239" s="177">
        <v>0.89090909090909076</v>
      </c>
      <c r="AL239" s="192">
        <v>0</v>
      </c>
      <c r="AN239" s="428" t="s">
        <v>183</v>
      </c>
      <c r="AO239" s="429"/>
      <c r="AP239" s="176">
        <v>0.94285714285714306</v>
      </c>
      <c r="AQ239" s="177">
        <v>0.94285714285714306</v>
      </c>
      <c r="AR239" s="192">
        <v>0</v>
      </c>
      <c r="AT239" s="428" t="s">
        <v>183</v>
      </c>
      <c r="AU239" s="429"/>
      <c r="AV239" s="176">
        <v>0.67619047619047645</v>
      </c>
      <c r="AW239" s="177">
        <v>0.67619047619047645</v>
      </c>
      <c r="AX239" s="192">
        <v>0</v>
      </c>
      <c r="AY239"/>
      <c r="AZ239" s="207"/>
      <c r="BA239" s="124"/>
      <c r="BB239" s="124"/>
      <c r="BC239" s="196"/>
      <c r="BD239"/>
      <c r="BE239"/>
      <c r="BF239"/>
      <c r="BG239" s="207"/>
      <c r="BH239" s="124"/>
      <c r="BI239" s="124"/>
      <c r="BJ239" s="196"/>
      <c r="BL239"/>
      <c r="BM239"/>
      <c r="BN239"/>
      <c r="BO239" s="207"/>
      <c r="BP239" s="124"/>
      <c r="BQ239" s="124"/>
      <c r="BR239" s="196"/>
      <c r="BT239"/>
      <c r="BU239"/>
      <c r="BV239"/>
      <c r="BW239" s="207"/>
      <c r="BX239" s="124"/>
      <c r="BY239" s="124"/>
      <c r="BZ239" s="196"/>
      <c r="CB239"/>
      <c r="CC239"/>
      <c r="CD239"/>
      <c r="CE239" s="207"/>
      <c r="CF239" s="124"/>
      <c r="CG239" s="124"/>
      <c r="CH239" s="196"/>
      <c r="CJ239"/>
      <c r="CK239"/>
      <c r="CL239"/>
      <c r="CM239" s="207"/>
      <c r="CN239" s="124"/>
      <c r="CO239" s="124"/>
      <c r="CP239" s="196"/>
      <c r="CR239"/>
      <c r="CS239"/>
      <c r="CT239"/>
    </row>
    <row r="240" spans="16:105" ht="20.100000000000001" customHeight="1" x14ac:dyDescent="0.4">
      <c r="P240" s="428" t="s">
        <v>184</v>
      </c>
      <c r="Q240" s="429"/>
      <c r="R240" s="176">
        <v>0.29583333333333334</v>
      </c>
      <c r="S240" s="177">
        <v>0.3708333333333334</v>
      </c>
      <c r="T240" s="192">
        <v>7.5000000000000067E-2</v>
      </c>
      <c r="V240" s="428" t="s">
        <v>184</v>
      </c>
      <c r="W240" s="429"/>
      <c r="X240" s="176">
        <v>0.32666666666666661</v>
      </c>
      <c r="Y240" s="177">
        <v>0.52280701754385972</v>
      </c>
      <c r="Z240" s="192">
        <v>0.19614035087719311</v>
      </c>
      <c r="AB240" s="428" t="s">
        <v>184</v>
      </c>
      <c r="AC240" s="429"/>
      <c r="AD240" s="176">
        <v>0.29090909090909095</v>
      </c>
      <c r="AE240" s="177">
        <v>0.44848484848484843</v>
      </c>
      <c r="AF240" s="192">
        <v>0.15757575757575748</v>
      </c>
      <c r="AH240" s="280" t="s">
        <v>184</v>
      </c>
      <c r="AI240" s="281"/>
      <c r="AJ240" s="176">
        <v>0.43333333333333346</v>
      </c>
      <c r="AK240" s="177">
        <v>0.58787878787878789</v>
      </c>
      <c r="AL240" s="192">
        <v>0.15454545454545443</v>
      </c>
      <c r="AN240" s="428" t="s">
        <v>184</v>
      </c>
      <c r="AO240" s="429"/>
      <c r="AP240" s="176">
        <v>0.30222222222222223</v>
      </c>
      <c r="AQ240" s="177">
        <v>0.52285714285714291</v>
      </c>
      <c r="AR240" s="192">
        <v>0.22063492063492068</v>
      </c>
      <c r="AT240" s="428" t="s">
        <v>184</v>
      </c>
      <c r="AU240" s="429"/>
      <c r="AV240" s="176">
        <v>0.28939393939393931</v>
      </c>
      <c r="AW240" s="177">
        <v>0.4621212121212121</v>
      </c>
      <c r="AX240" s="192">
        <v>0.17272727272727278</v>
      </c>
      <c r="AY240"/>
      <c r="AZ240" s="207"/>
      <c r="BA240" s="124"/>
      <c r="BB240" s="124"/>
      <c r="BC240" s="196"/>
      <c r="BD240"/>
      <c r="BE240"/>
      <c r="BF240"/>
      <c r="BG240" s="207"/>
      <c r="BH240" s="124"/>
      <c r="BI240" s="124"/>
      <c r="BJ240" s="196"/>
      <c r="BL240"/>
      <c r="BM240"/>
      <c r="BN240"/>
      <c r="BO240" s="207"/>
      <c r="BP240" s="124"/>
      <c r="BQ240" s="124"/>
      <c r="BR240" s="196"/>
      <c r="BT240"/>
      <c r="BU240"/>
      <c r="BV240"/>
      <c r="BW240" s="207"/>
      <c r="BX240" s="124"/>
      <c r="BY240" s="124"/>
      <c r="BZ240" s="196"/>
      <c r="CB240"/>
      <c r="CC240"/>
      <c r="CD240"/>
      <c r="CE240" s="207"/>
      <c r="CF240" s="124"/>
      <c r="CG240" s="124"/>
      <c r="CH240" s="196"/>
      <c r="CJ240"/>
      <c r="CK240"/>
      <c r="CL240"/>
      <c r="CM240" s="207"/>
      <c r="CN240" s="124"/>
      <c r="CO240" s="124"/>
      <c r="CP240" s="196"/>
      <c r="CR240"/>
      <c r="CS240"/>
      <c r="CT240"/>
    </row>
    <row r="241" spans="16:98" ht="20.100000000000001" customHeight="1" x14ac:dyDescent="0.4">
      <c r="P241" s="430" t="s">
        <v>185</v>
      </c>
      <c r="Q241" s="431"/>
      <c r="R241" s="176">
        <v>0</v>
      </c>
      <c r="S241" s="178">
        <v>1.2416666666666665</v>
      </c>
      <c r="T241" s="192">
        <v>1.2416666666666665</v>
      </c>
      <c r="V241" s="430" t="s">
        <v>185</v>
      </c>
      <c r="W241" s="431"/>
      <c r="X241" s="176">
        <v>0.79999999999999993</v>
      </c>
      <c r="Y241" s="178">
        <v>0.84210526315789469</v>
      </c>
      <c r="Z241" s="192">
        <v>4.2105263157894757E-2</v>
      </c>
      <c r="AB241" s="430" t="s">
        <v>185</v>
      </c>
      <c r="AC241" s="431"/>
      <c r="AD241" s="176">
        <v>0.8606060606060606</v>
      </c>
      <c r="AE241" s="178">
        <v>0.8606060606060606</v>
      </c>
      <c r="AF241" s="192">
        <v>0</v>
      </c>
      <c r="AH241" s="280" t="s">
        <v>185</v>
      </c>
      <c r="AI241" s="279"/>
      <c r="AJ241" s="176">
        <v>0.44242424242424239</v>
      </c>
      <c r="AK241" s="178">
        <v>0.44242424242424239</v>
      </c>
      <c r="AL241" s="192">
        <v>0</v>
      </c>
      <c r="AN241" s="430" t="s">
        <v>185</v>
      </c>
      <c r="AO241" s="431"/>
      <c r="AP241" s="176">
        <v>0.86349206349206342</v>
      </c>
      <c r="AQ241" s="178">
        <v>0.86349206349206342</v>
      </c>
      <c r="AR241" s="192">
        <v>0</v>
      </c>
      <c r="AT241" s="430" t="s">
        <v>185</v>
      </c>
      <c r="AU241" s="431"/>
      <c r="AV241" s="176">
        <v>0.12121212121212122</v>
      </c>
      <c r="AW241" s="178">
        <v>0.12121212121212122</v>
      </c>
      <c r="AX241" s="192">
        <v>0</v>
      </c>
      <c r="AY241"/>
      <c r="AZ241" s="206"/>
      <c r="BA241" s="128"/>
      <c r="BB241" s="128"/>
      <c r="BC241" s="196"/>
      <c r="BD241"/>
      <c r="BE241"/>
      <c r="BF241"/>
      <c r="BG241" s="206"/>
      <c r="BH241" s="128"/>
      <c r="BI241" s="128"/>
      <c r="BJ241" s="196"/>
      <c r="BL241"/>
      <c r="BM241"/>
      <c r="BN241"/>
      <c r="BO241" s="206"/>
      <c r="BP241" s="128"/>
      <c r="BQ241" s="128"/>
      <c r="BR241" s="196"/>
      <c r="BT241"/>
      <c r="BU241"/>
      <c r="BV241"/>
      <c r="BW241" s="206"/>
      <c r="BX241" s="128"/>
      <c r="BY241" s="128"/>
      <c r="BZ241" s="196"/>
      <c r="CB241"/>
      <c r="CC241"/>
      <c r="CD241"/>
      <c r="CE241" s="206"/>
      <c r="CF241" s="128"/>
      <c r="CG241" s="128"/>
      <c r="CH241" s="196"/>
      <c r="CJ241"/>
      <c r="CK241"/>
      <c r="CL241"/>
      <c r="CM241" s="206"/>
      <c r="CN241" s="128"/>
      <c r="CO241" s="128"/>
      <c r="CP241" s="196"/>
      <c r="CR241"/>
      <c r="CS241"/>
      <c r="CT241"/>
    </row>
    <row r="242" spans="16:98" ht="20.100000000000001" customHeight="1" x14ac:dyDescent="0.4">
      <c r="P242" s="430" t="s">
        <v>186</v>
      </c>
      <c r="Q242" s="431"/>
      <c r="R242" s="176">
        <v>0.45</v>
      </c>
      <c r="S242" s="177">
        <v>0.63750000000000007</v>
      </c>
      <c r="T242" s="192">
        <v>0.18750000000000006</v>
      </c>
      <c r="V242" s="430" t="s">
        <v>186</v>
      </c>
      <c r="W242" s="431"/>
      <c r="X242" s="176">
        <v>0.82000000000000006</v>
      </c>
      <c r="Y242" s="177">
        <v>1.3017543859649123</v>
      </c>
      <c r="Z242" s="192">
        <v>0.48175438596491227</v>
      </c>
      <c r="AB242" s="430" t="s">
        <v>186</v>
      </c>
      <c r="AC242" s="431"/>
      <c r="AD242" s="176">
        <v>0.57878787878787874</v>
      </c>
      <c r="AE242" s="177">
        <v>0.79393939393939394</v>
      </c>
      <c r="AF242" s="192">
        <v>0.2151515151515152</v>
      </c>
      <c r="AH242" s="280" t="s">
        <v>186</v>
      </c>
      <c r="AI242" s="279"/>
      <c r="AJ242" s="176">
        <v>0.10909090909090909</v>
      </c>
      <c r="AK242" s="177">
        <v>0.26666666666666666</v>
      </c>
      <c r="AL242" s="192">
        <v>0.15757575757575759</v>
      </c>
      <c r="AN242" s="430" t="s">
        <v>186</v>
      </c>
      <c r="AO242" s="431"/>
      <c r="AP242" s="176">
        <v>0.21269841269841272</v>
      </c>
      <c r="AQ242" s="177">
        <v>0.44444444444444442</v>
      </c>
      <c r="AR242" s="192">
        <v>0.2317460317460317</v>
      </c>
      <c r="AT242" s="430" t="s">
        <v>186</v>
      </c>
      <c r="AU242" s="431"/>
      <c r="AV242" s="176">
        <v>9.0909090909090912E-2</v>
      </c>
      <c r="AW242" s="177">
        <v>0.22727272727272729</v>
      </c>
      <c r="AX242" s="192">
        <v>0.13636363636363638</v>
      </c>
      <c r="AY242"/>
      <c r="AZ242" s="206"/>
      <c r="BA242" s="124"/>
      <c r="BB242" s="124"/>
      <c r="BC242" s="196"/>
      <c r="BD242"/>
      <c r="BE242"/>
      <c r="BF242"/>
      <c r="BG242" s="206"/>
      <c r="BH242" s="124"/>
      <c r="BI242" s="124"/>
      <c r="BJ242" s="196"/>
      <c r="BL242"/>
      <c r="BM242"/>
      <c r="BN242"/>
      <c r="BO242" s="206"/>
      <c r="BP242" s="124"/>
      <c r="BQ242" s="124"/>
      <c r="BR242" s="196"/>
      <c r="BS242"/>
      <c r="BT242"/>
      <c r="BU242"/>
      <c r="BV242"/>
      <c r="BW242" s="206"/>
      <c r="BX242" s="124"/>
      <c r="BY242" s="124"/>
      <c r="BZ242" s="196"/>
      <c r="CB242"/>
      <c r="CC242"/>
      <c r="CD242"/>
      <c r="CE242" s="206"/>
      <c r="CF242" s="124"/>
      <c r="CG242" s="124"/>
      <c r="CH242" s="196"/>
      <c r="CJ242"/>
      <c r="CK242"/>
      <c r="CL242"/>
      <c r="CM242" s="206"/>
      <c r="CN242" s="124"/>
      <c r="CO242" s="124"/>
      <c r="CP242" s="196"/>
      <c r="CR242"/>
      <c r="CS242"/>
      <c r="CT242"/>
    </row>
    <row r="243" spans="16:98" ht="20.100000000000001" customHeight="1" x14ac:dyDescent="0.4">
      <c r="P243" s="430" t="s">
        <v>187</v>
      </c>
      <c r="Q243" s="431"/>
      <c r="R243" s="176">
        <v>3.208333333333333</v>
      </c>
      <c r="S243" s="177">
        <v>5</v>
      </c>
      <c r="T243" s="192">
        <v>1.791666666666667</v>
      </c>
      <c r="V243" s="430" t="s">
        <v>187</v>
      </c>
      <c r="W243" s="431"/>
      <c r="X243" s="176">
        <v>2.8</v>
      </c>
      <c r="Y243" s="177">
        <v>3.8736842105263158</v>
      </c>
      <c r="Z243" s="192">
        <v>1.073684210526316</v>
      </c>
      <c r="AB243" s="430" t="s">
        <v>187</v>
      </c>
      <c r="AC243" s="431"/>
      <c r="AD243" s="176">
        <v>3.5333333333333332</v>
      </c>
      <c r="AE243" s="177">
        <v>4.3515151515151516</v>
      </c>
      <c r="AF243" s="192">
        <v>0.81818181818181834</v>
      </c>
      <c r="AH243" s="280" t="s">
        <v>187</v>
      </c>
      <c r="AI243" s="279"/>
      <c r="AJ243" s="176">
        <v>6</v>
      </c>
      <c r="AK243" s="177">
        <v>6.339393939393938</v>
      </c>
      <c r="AL243" s="192">
        <v>0.33939393939393803</v>
      </c>
      <c r="AN243" s="430" t="s">
        <v>187</v>
      </c>
      <c r="AO243" s="431"/>
      <c r="AP243" s="176">
        <v>3.8952380952380952</v>
      </c>
      <c r="AQ243" s="177">
        <v>5.2603174603174603</v>
      </c>
      <c r="AR243" s="192">
        <v>1.3650793650793651</v>
      </c>
      <c r="AT243" s="430" t="s">
        <v>187</v>
      </c>
      <c r="AU243" s="431"/>
      <c r="AV243" s="176">
        <v>2.5572871572871576</v>
      </c>
      <c r="AW243" s="177">
        <v>2.7777777777777777</v>
      </c>
      <c r="AX243" s="192">
        <v>0.22049062049062007</v>
      </c>
      <c r="AY243"/>
      <c r="AZ243" s="206"/>
      <c r="BA243" s="124"/>
      <c r="BB243" s="124"/>
      <c r="BC243" s="196"/>
      <c r="BD243"/>
      <c r="BE243"/>
      <c r="BF243"/>
      <c r="BG243" s="206"/>
      <c r="BH243" s="124"/>
      <c r="BI243" s="124"/>
      <c r="BJ243" s="196"/>
      <c r="BL243"/>
      <c r="BM243"/>
      <c r="BN243"/>
      <c r="BO243" s="206"/>
      <c r="BP243" s="124"/>
      <c r="BQ243" s="124"/>
      <c r="BR243" s="196"/>
      <c r="BS243"/>
      <c r="BT243"/>
      <c r="BU243"/>
      <c r="BV243"/>
      <c r="BW243" s="206"/>
      <c r="BX243" s="124"/>
      <c r="BY243" s="124"/>
      <c r="BZ243" s="196"/>
      <c r="CB243"/>
      <c r="CC243"/>
      <c r="CD243"/>
      <c r="CE243" s="206"/>
      <c r="CF243" s="124"/>
      <c r="CG243" s="124"/>
      <c r="CH243" s="196"/>
      <c r="CJ243"/>
      <c r="CK243"/>
      <c r="CL243"/>
      <c r="CM243" s="206"/>
      <c r="CN243" s="124"/>
      <c r="CO243" s="124"/>
      <c r="CP243" s="196"/>
      <c r="CR243"/>
      <c r="CS243"/>
      <c r="CT243"/>
    </row>
    <row r="244" spans="16:98" ht="20.100000000000001" customHeight="1" x14ac:dyDescent="0.4">
      <c r="P244" s="430" t="s">
        <v>188</v>
      </c>
      <c r="Q244" s="431"/>
      <c r="R244" s="176">
        <v>2.625</v>
      </c>
      <c r="S244" s="179">
        <v>3.5000000000000009</v>
      </c>
      <c r="T244" s="192">
        <v>0.87500000000000089</v>
      </c>
      <c r="V244" s="430" t="s">
        <v>188</v>
      </c>
      <c r="W244" s="431"/>
      <c r="X244" s="176">
        <v>2.4000000000000004</v>
      </c>
      <c r="Y244" s="179">
        <v>4.1052631578947372</v>
      </c>
      <c r="Z244" s="192">
        <v>1.7052631578947368</v>
      </c>
      <c r="AB244" s="430" t="s">
        <v>188</v>
      </c>
      <c r="AC244" s="431"/>
      <c r="AD244" s="176">
        <v>2.1818181818181817</v>
      </c>
      <c r="AE244" s="179">
        <v>3.542424242424242</v>
      </c>
      <c r="AF244" s="192">
        <v>1.3606060606060604</v>
      </c>
      <c r="AH244" s="280" t="s">
        <v>188</v>
      </c>
      <c r="AI244" s="279"/>
      <c r="AJ244" s="176">
        <v>3</v>
      </c>
      <c r="AK244" s="179">
        <v>4.3636363636363642</v>
      </c>
      <c r="AL244" s="192">
        <v>1.3636363636363642</v>
      </c>
      <c r="AN244" s="430" t="s">
        <v>188</v>
      </c>
      <c r="AO244" s="431"/>
      <c r="AP244" s="176">
        <v>2.286349206349207</v>
      </c>
      <c r="AQ244" s="179">
        <v>3.7149206349206354</v>
      </c>
      <c r="AR244" s="192">
        <v>1.4285714285714284</v>
      </c>
      <c r="AT244" s="430" t="s">
        <v>188</v>
      </c>
      <c r="AU244" s="431"/>
      <c r="AV244" s="176">
        <v>1.9121212121212121</v>
      </c>
      <c r="AW244" s="179">
        <v>3.2757575757575754</v>
      </c>
      <c r="AX244" s="192">
        <v>1.3636363636363633</v>
      </c>
      <c r="AY244"/>
      <c r="AZ244" s="206"/>
      <c r="BA244" s="128"/>
      <c r="BB244" s="128"/>
      <c r="BC244" s="196"/>
      <c r="BD244"/>
      <c r="BE244"/>
      <c r="BF244"/>
      <c r="BG244" s="206"/>
      <c r="BH244" s="128"/>
      <c r="BI244" s="128"/>
      <c r="BJ244" s="196"/>
      <c r="BL244"/>
      <c r="BM244"/>
      <c r="BN244"/>
      <c r="BO244" s="206"/>
      <c r="BP244" s="128"/>
      <c r="BQ244" s="128"/>
      <c r="BR244" s="196"/>
      <c r="BS244"/>
      <c r="BT244"/>
      <c r="BU244"/>
      <c r="BV244"/>
      <c r="BW244" s="206"/>
      <c r="BX244" s="128"/>
      <c r="BY244" s="128"/>
      <c r="BZ244" s="196"/>
      <c r="CB244"/>
      <c r="CC244"/>
      <c r="CD244"/>
      <c r="CE244" s="206"/>
      <c r="CF244" s="128"/>
      <c r="CG244" s="128"/>
      <c r="CH244" s="196"/>
      <c r="CJ244"/>
      <c r="CK244"/>
      <c r="CL244"/>
      <c r="CM244" s="206"/>
      <c r="CN244" s="128"/>
      <c r="CO244" s="128"/>
      <c r="CP244" s="196"/>
      <c r="CR244"/>
      <c r="CS244"/>
      <c r="CT244"/>
    </row>
    <row r="245" spans="16:98" ht="20.100000000000001" customHeight="1" x14ac:dyDescent="0.4">
      <c r="S245" s="172"/>
      <c r="AZ245"/>
      <c r="BA245"/>
      <c r="BB245"/>
      <c r="BC245"/>
      <c r="BD245"/>
    </row>
    <row r="246" spans="16:98" ht="20.100000000000001" customHeight="1" x14ac:dyDescent="0.4">
      <c r="P246" s="438" t="s">
        <v>461</v>
      </c>
      <c r="Q246" s="439"/>
      <c r="R246" s="173" t="s">
        <v>178</v>
      </c>
      <c r="S246" s="174" t="s">
        <v>179</v>
      </c>
      <c r="T246" s="175" t="s">
        <v>180</v>
      </c>
      <c r="V246" s="434" t="s">
        <v>533</v>
      </c>
      <c r="W246" s="548"/>
      <c r="X246" s="173" t="s">
        <v>178</v>
      </c>
      <c r="Y246" s="174" t="s">
        <v>179</v>
      </c>
      <c r="Z246" s="175" t="s">
        <v>180</v>
      </c>
      <c r="AB246" s="432" t="s">
        <v>588</v>
      </c>
      <c r="AC246" s="433"/>
      <c r="AD246" s="173" t="s">
        <v>178</v>
      </c>
      <c r="AE246" s="174" t="s">
        <v>179</v>
      </c>
      <c r="AF246" s="175" t="s">
        <v>180</v>
      </c>
      <c r="AH246" s="282" t="s">
        <v>713</v>
      </c>
      <c r="AI246" s="283"/>
      <c r="AJ246" s="173" t="s">
        <v>178</v>
      </c>
      <c r="AK246" s="174" t="s">
        <v>179</v>
      </c>
      <c r="AL246" s="175" t="s">
        <v>180</v>
      </c>
      <c r="AN246" s="434" t="s">
        <v>788</v>
      </c>
      <c r="AO246" s="548"/>
      <c r="AP246" s="173" t="s">
        <v>178</v>
      </c>
      <c r="AQ246" s="174" t="s">
        <v>179</v>
      </c>
      <c r="AR246" s="175" t="s">
        <v>180</v>
      </c>
      <c r="AT246" s="434" t="s">
        <v>889</v>
      </c>
      <c r="AU246" s="548"/>
      <c r="AV246" s="173" t="s">
        <v>178</v>
      </c>
      <c r="AW246" s="174" t="s">
        <v>179</v>
      </c>
      <c r="AX246" s="175" t="s">
        <v>180</v>
      </c>
      <c r="AZ246" s="202"/>
      <c r="BA246" s="203"/>
      <c r="BB246" s="204"/>
      <c r="BC246" s="205"/>
      <c r="BG246" s="202"/>
      <c r="BH246" s="203"/>
      <c r="BI246" s="204"/>
      <c r="BJ246" s="205"/>
      <c r="BO246" s="202"/>
      <c r="BP246" s="203"/>
      <c r="BQ246" s="204"/>
      <c r="BR246" s="205"/>
      <c r="BW246" s="202"/>
      <c r="BX246" s="203"/>
      <c r="BY246" s="204"/>
      <c r="BZ246" s="205"/>
      <c r="CE246" s="202"/>
      <c r="CF246" s="203"/>
      <c r="CG246" s="204"/>
      <c r="CH246" s="205"/>
      <c r="CM246" s="202"/>
      <c r="CN246" s="203"/>
      <c r="CO246" s="204"/>
      <c r="CP246" s="205"/>
    </row>
    <row r="247" spans="16:98" ht="20.100000000000001" customHeight="1" x14ac:dyDescent="0.4">
      <c r="P247" s="430" t="s">
        <v>181</v>
      </c>
      <c r="Q247" s="431"/>
      <c r="R247" s="176">
        <v>0.75</v>
      </c>
      <c r="S247" s="176">
        <v>1.9583333333333333</v>
      </c>
      <c r="T247" s="192">
        <v>1.2083333333333333</v>
      </c>
      <c r="V247" s="430" t="s">
        <v>181</v>
      </c>
      <c r="W247" s="431"/>
      <c r="X247" s="176">
        <v>0.53333333333333333</v>
      </c>
      <c r="Y247" s="176">
        <v>1.3000000000000003</v>
      </c>
      <c r="Z247" s="192">
        <v>0.76666666666666694</v>
      </c>
      <c r="AB247" s="430" t="s">
        <v>181</v>
      </c>
      <c r="AC247" s="431"/>
      <c r="AD247" s="176">
        <v>0.4242424242424242</v>
      </c>
      <c r="AE247" s="176">
        <v>1.6666666666666667</v>
      </c>
      <c r="AF247" s="192">
        <v>1.2424242424242427</v>
      </c>
      <c r="AH247" s="280" t="s">
        <v>181</v>
      </c>
      <c r="AI247" s="279"/>
      <c r="AJ247" s="176">
        <v>3.1515151515151514</v>
      </c>
      <c r="AK247" s="176">
        <v>4.666666666666667</v>
      </c>
      <c r="AL247" s="192">
        <v>1.5151515151515156</v>
      </c>
      <c r="AN247" s="430" t="s">
        <v>181</v>
      </c>
      <c r="AO247" s="431"/>
      <c r="AP247" s="176">
        <v>0.82539682539682535</v>
      </c>
      <c r="AQ247" s="176">
        <v>2.0888888888888886</v>
      </c>
      <c r="AR247" s="192">
        <v>1.2634920634920632</v>
      </c>
      <c r="AT247" s="430" t="s">
        <v>181</v>
      </c>
      <c r="AU247" s="431"/>
      <c r="AV247" s="176">
        <v>0.88888888888888884</v>
      </c>
      <c r="AW247" s="176">
        <v>1.7598845598845601</v>
      </c>
      <c r="AX247" s="192">
        <v>0.87099567099567121</v>
      </c>
      <c r="AZ247" s="206"/>
      <c r="BA247" s="124"/>
      <c r="BB247" s="124"/>
      <c r="BC247" s="196"/>
      <c r="BG247" s="206"/>
      <c r="BH247" s="124"/>
      <c r="BI247" s="124"/>
      <c r="BJ247" s="196"/>
      <c r="BO247" s="206"/>
      <c r="BP247" s="124"/>
      <c r="BQ247" s="124"/>
      <c r="BR247" s="196"/>
      <c r="BW247" s="206"/>
      <c r="BX247" s="124"/>
      <c r="BY247" s="124"/>
      <c r="BZ247" s="196"/>
      <c r="CE247" s="206"/>
      <c r="CF247" s="124"/>
      <c r="CG247" s="124"/>
      <c r="CH247" s="196"/>
      <c r="CM247" s="206"/>
      <c r="CN247" s="124"/>
      <c r="CO247" s="124"/>
      <c r="CP247" s="196"/>
    </row>
    <row r="248" spans="16:98" ht="20.100000000000001" customHeight="1" x14ac:dyDescent="0.4">
      <c r="P248" s="430" t="s">
        <v>182</v>
      </c>
      <c r="Q248" s="431"/>
      <c r="R248" s="176">
        <v>0.33333333333333337</v>
      </c>
      <c r="S248" s="176">
        <v>1.8791666666666664</v>
      </c>
      <c r="T248" s="192">
        <v>1.5458333333333329</v>
      </c>
      <c r="V248" s="430" t="s">
        <v>182</v>
      </c>
      <c r="W248" s="431"/>
      <c r="X248" s="176">
        <v>0.43666666666666665</v>
      </c>
      <c r="Y248" s="176">
        <v>1.2533333333333334</v>
      </c>
      <c r="Z248" s="192">
        <v>0.81666666666666676</v>
      </c>
      <c r="AB248" s="430" t="s">
        <v>182</v>
      </c>
      <c r="AC248" s="431"/>
      <c r="AD248" s="176">
        <v>0.44848484848484849</v>
      </c>
      <c r="AE248" s="176">
        <v>1.312121212121212</v>
      </c>
      <c r="AF248" s="192">
        <v>0.86363636363636354</v>
      </c>
      <c r="AH248" s="280" t="s">
        <v>182</v>
      </c>
      <c r="AI248" s="279"/>
      <c r="AJ248" s="176">
        <v>1.2666666666666668</v>
      </c>
      <c r="AK248" s="176">
        <v>2.4575757575757575</v>
      </c>
      <c r="AL248" s="192">
        <v>1.1909090909090907</v>
      </c>
      <c r="AN248" s="430" t="s">
        <v>182</v>
      </c>
      <c r="AO248" s="431"/>
      <c r="AP248" s="176">
        <v>0.69523809523809521</v>
      </c>
      <c r="AQ248" s="176">
        <v>1.7714285714285718</v>
      </c>
      <c r="AR248" s="192">
        <v>1.0761904761904766</v>
      </c>
      <c r="AT248" s="430" t="s">
        <v>182</v>
      </c>
      <c r="AU248" s="431"/>
      <c r="AV248" s="176">
        <v>0.46666666666666667</v>
      </c>
      <c r="AW248" s="176">
        <v>1.531818181818182</v>
      </c>
      <c r="AX248" s="192">
        <v>1.0651515151515154</v>
      </c>
      <c r="AZ248" s="206"/>
      <c r="BA248" s="124"/>
      <c r="BB248" s="124"/>
      <c r="BC248" s="196"/>
      <c r="BG248" s="206"/>
      <c r="BH248" s="124"/>
      <c r="BI248" s="124"/>
      <c r="BJ248" s="196"/>
      <c r="BO248" s="206"/>
      <c r="BP248" s="124"/>
      <c r="BQ248" s="124"/>
      <c r="BR248" s="196"/>
      <c r="BW248" s="206"/>
      <c r="BX248" s="124"/>
      <c r="BY248" s="124"/>
      <c r="BZ248" s="196"/>
      <c r="CE248" s="206"/>
      <c r="CF248" s="124"/>
      <c r="CG248" s="124"/>
      <c r="CH248" s="196"/>
      <c r="CM248" s="206"/>
      <c r="CN248" s="124"/>
      <c r="CO248" s="124"/>
      <c r="CP248" s="196"/>
    </row>
    <row r="249" spans="16:98" ht="20.100000000000001" customHeight="1" x14ac:dyDescent="0.4">
      <c r="P249" s="428" t="s">
        <v>183</v>
      </c>
      <c r="Q249" s="429"/>
      <c r="R249" s="176">
        <v>1.2499999999999998</v>
      </c>
      <c r="S249" s="177">
        <v>1.2499999999999998</v>
      </c>
      <c r="T249" s="192">
        <v>0</v>
      </c>
      <c r="V249" s="428" t="s">
        <v>183</v>
      </c>
      <c r="W249" s="429"/>
      <c r="X249" s="176">
        <v>0.66666666666666663</v>
      </c>
      <c r="Y249" s="177">
        <v>0.7</v>
      </c>
      <c r="Z249" s="192">
        <v>3.3333333333333326E-2</v>
      </c>
      <c r="AB249" s="428" t="s">
        <v>183</v>
      </c>
      <c r="AC249" s="429"/>
      <c r="AD249" s="176">
        <v>1.0060606060606063</v>
      </c>
      <c r="AE249" s="177">
        <v>1.0060606060606063</v>
      </c>
      <c r="AF249" s="192">
        <v>0</v>
      </c>
      <c r="AH249" s="280" t="s">
        <v>183</v>
      </c>
      <c r="AI249" s="281"/>
      <c r="AJ249" s="176">
        <v>1.1575757575757575</v>
      </c>
      <c r="AK249" s="177">
        <v>0.89090909090909076</v>
      </c>
      <c r="AL249" s="192">
        <v>-0.26666666666666672</v>
      </c>
      <c r="AN249" s="428" t="s">
        <v>183</v>
      </c>
      <c r="AO249" s="429"/>
      <c r="AP249" s="176">
        <v>0.94285714285714306</v>
      </c>
      <c r="AQ249" s="177">
        <v>0.94285714285714306</v>
      </c>
      <c r="AR249" s="192">
        <v>0</v>
      </c>
      <c r="AT249" s="428" t="s">
        <v>183</v>
      </c>
      <c r="AU249" s="429"/>
      <c r="AV249" s="176">
        <v>0.27619047619047621</v>
      </c>
      <c r="AW249" s="177">
        <v>0.67619047619047645</v>
      </c>
      <c r="AX249" s="192">
        <v>0.40000000000000024</v>
      </c>
      <c r="AZ249" s="207"/>
      <c r="BA249" s="124"/>
      <c r="BB249" s="124"/>
      <c r="BC249" s="196"/>
      <c r="BG249" s="207"/>
      <c r="BH249" s="124"/>
      <c r="BI249" s="124"/>
      <c r="BJ249" s="196"/>
      <c r="BO249" s="207"/>
      <c r="BP249" s="124"/>
      <c r="BQ249" s="124"/>
      <c r="BR249" s="196"/>
      <c r="BW249" s="207"/>
      <c r="BX249" s="124"/>
      <c r="BY249" s="124"/>
      <c r="BZ249" s="196"/>
      <c r="CE249" s="207"/>
      <c r="CF249" s="124"/>
      <c r="CG249" s="124"/>
      <c r="CH249" s="196"/>
      <c r="CM249" s="207"/>
      <c r="CN249" s="124"/>
      <c r="CO249" s="124"/>
      <c r="CP249" s="196"/>
    </row>
    <row r="250" spans="16:98" ht="20.100000000000001" customHeight="1" x14ac:dyDescent="0.4">
      <c r="P250" s="428" t="s">
        <v>184</v>
      </c>
      <c r="Q250" s="429"/>
      <c r="R250" s="176">
        <v>4.1666666666666664E-2</v>
      </c>
      <c r="S250" s="177">
        <v>0.29583333333333334</v>
      </c>
      <c r="T250" s="192">
        <v>0.25416666666666665</v>
      </c>
      <c r="V250" s="428" t="s">
        <v>184</v>
      </c>
      <c r="W250" s="429"/>
      <c r="X250" s="176">
        <v>0.14666666666666667</v>
      </c>
      <c r="Y250" s="177">
        <v>0.32666666666666661</v>
      </c>
      <c r="Z250" s="192">
        <v>0.17999999999999994</v>
      </c>
      <c r="AB250" s="428" t="s">
        <v>184</v>
      </c>
      <c r="AC250" s="429"/>
      <c r="AD250" s="176">
        <v>0.10303030303030304</v>
      </c>
      <c r="AE250" s="177">
        <v>0.29090909090909095</v>
      </c>
      <c r="AF250" s="192">
        <v>0.18787878787878792</v>
      </c>
      <c r="AH250" s="280" t="s">
        <v>184</v>
      </c>
      <c r="AI250" s="281"/>
      <c r="AJ250" s="176">
        <v>0.26060606060606062</v>
      </c>
      <c r="AK250" s="177">
        <v>0.43333333333333346</v>
      </c>
      <c r="AL250" s="192">
        <v>0.17272727272727284</v>
      </c>
      <c r="AN250" s="428" t="s">
        <v>184</v>
      </c>
      <c r="AO250" s="429"/>
      <c r="AP250" s="176">
        <v>0.10793650793650791</v>
      </c>
      <c r="AQ250" s="177">
        <v>0.30222222222222223</v>
      </c>
      <c r="AR250" s="192">
        <v>0.19428571428571431</v>
      </c>
      <c r="AT250" s="428" t="s">
        <v>184</v>
      </c>
      <c r="AU250" s="429"/>
      <c r="AV250" s="176">
        <v>7.8787878787878823E-2</v>
      </c>
      <c r="AW250" s="177">
        <v>0.28939393939393931</v>
      </c>
      <c r="AX250" s="192">
        <v>0.21060606060606049</v>
      </c>
      <c r="AZ250" s="207"/>
      <c r="BA250" s="124"/>
      <c r="BB250" s="124"/>
      <c r="BC250" s="196"/>
      <c r="BG250" s="207"/>
      <c r="BH250" s="124"/>
      <c r="BI250" s="124"/>
      <c r="BJ250" s="196"/>
      <c r="BO250" s="207"/>
      <c r="BP250" s="124"/>
      <c r="BQ250" s="124"/>
      <c r="BR250" s="196"/>
      <c r="BW250" s="207"/>
      <c r="BX250" s="124"/>
      <c r="BY250" s="124"/>
      <c r="BZ250" s="196"/>
      <c r="CE250" s="207"/>
      <c r="CF250" s="124"/>
      <c r="CG250" s="124"/>
      <c r="CH250" s="196"/>
      <c r="CM250" s="207"/>
      <c r="CN250" s="124"/>
      <c r="CO250" s="124"/>
      <c r="CP250" s="196"/>
    </row>
    <row r="251" spans="16:98" ht="20.100000000000001" customHeight="1" x14ac:dyDescent="0.4">
      <c r="P251" s="430" t="s">
        <v>185</v>
      </c>
      <c r="Q251" s="431"/>
      <c r="R251" s="176">
        <v>0</v>
      </c>
      <c r="S251" s="178">
        <v>0</v>
      </c>
      <c r="T251" s="192">
        <v>0</v>
      </c>
      <c r="V251" s="430" t="s">
        <v>185</v>
      </c>
      <c r="W251" s="431"/>
      <c r="X251" s="176">
        <v>0.79999999999999993</v>
      </c>
      <c r="Y251" s="178">
        <v>0.79999999999999993</v>
      </c>
      <c r="Z251" s="192">
        <v>0</v>
      </c>
      <c r="AB251" s="430" t="s">
        <v>185</v>
      </c>
      <c r="AC251" s="431"/>
      <c r="AD251" s="176">
        <v>0</v>
      </c>
      <c r="AE251" s="178">
        <v>0.8606060606060606</v>
      </c>
      <c r="AF251" s="192">
        <v>0.8606060606060606</v>
      </c>
      <c r="AH251" s="280" t="s">
        <v>185</v>
      </c>
      <c r="AI251" s="279"/>
      <c r="AJ251" s="176">
        <v>0.78787878787878785</v>
      </c>
      <c r="AK251" s="178">
        <v>0.44242424242424239</v>
      </c>
      <c r="AL251" s="192">
        <v>-0.34545454545454546</v>
      </c>
      <c r="AN251" s="430" t="s">
        <v>185</v>
      </c>
      <c r="AO251" s="431"/>
      <c r="AP251" s="176">
        <v>0.79999999999999993</v>
      </c>
      <c r="AQ251" s="178">
        <v>0.86349206349206342</v>
      </c>
      <c r="AR251" s="192">
        <v>6.3492063492063489E-2</v>
      </c>
      <c r="AT251" s="430" t="s">
        <v>185</v>
      </c>
      <c r="AU251" s="431"/>
      <c r="AV251" s="176">
        <v>0</v>
      </c>
      <c r="AW251" s="178">
        <v>0.12121212121212122</v>
      </c>
      <c r="AX251" s="192">
        <v>0.12121212121212122</v>
      </c>
      <c r="AZ251" s="206"/>
      <c r="BA251" s="128"/>
      <c r="BB251" s="128"/>
      <c r="BC251" s="196"/>
      <c r="BG251" s="206"/>
      <c r="BH251" s="128"/>
      <c r="BI251" s="128"/>
      <c r="BJ251" s="196"/>
      <c r="BO251" s="206"/>
      <c r="BP251" s="128"/>
      <c r="BQ251" s="128"/>
      <c r="BR251" s="196"/>
      <c r="BW251" s="206"/>
      <c r="BX251" s="128"/>
      <c r="BY251" s="128"/>
      <c r="BZ251" s="196"/>
      <c r="CE251" s="206"/>
      <c r="CF251" s="128"/>
      <c r="CG251" s="128"/>
      <c r="CH251" s="196"/>
      <c r="CM251" s="206"/>
      <c r="CN251" s="128"/>
      <c r="CO251" s="128"/>
      <c r="CP251" s="196"/>
    </row>
    <row r="252" spans="16:98" ht="20.100000000000001" customHeight="1" x14ac:dyDescent="0.4">
      <c r="P252" s="430" t="s">
        <v>186</v>
      </c>
      <c r="Q252" s="431"/>
      <c r="R252" s="176">
        <v>6.25E-2</v>
      </c>
      <c r="S252" s="177">
        <v>0.45</v>
      </c>
      <c r="T252" s="192">
        <v>0.38750000000000001</v>
      </c>
      <c r="V252" s="430" t="s">
        <v>186</v>
      </c>
      <c r="W252" s="431"/>
      <c r="X252" s="176">
        <v>0.31666666666666665</v>
      </c>
      <c r="Y252" s="177">
        <v>0.82000000000000006</v>
      </c>
      <c r="Z252" s="192">
        <v>0.50333333333333341</v>
      </c>
      <c r="AB252" s="430" t="s">
        <v>186</v>
      </c>
      <c r="AC252" s="431"/>
      <c r="AD252" s="176">
        <v>0.26666666666666666</v>
      </c>
      <c r="AE252" s="177">
        <v>0.57878787878787874</v>
      </c>
      <c r="AF252" s="192">
        <v>0.31212121212121208</v>
      </c>
      <c r="AH252" s="280" t="s">
        <v>186</v>
      </c>
      <c r="AI252" s="279"/>
      <c r="AJ252" s="176">
        <v>0.10909090909090909</v>
      </c>
      <c r="AK252" s="177">
        <v>0.10909090909090909</v>
      </c>
      <c r="AL252" s="192">
        <v>0</v>
      </c>
      <c r="AN252" s="430" t="s">
        <v>186</v>
      </c>
      <c r="AO252" s="431"/>
      <c r="AP252" s="176">
        <v>5.3968253968253971E-2</v>
      </c>
      <c r="AQ252" s="177">
        <v>0.21269841269841272</v>
      </c>
      <c r="AR252" s="192">
        <v>0.15873015873015875</v>
      </c>
      <c r="AT252" s="430" t="s">
        <v>186</v>
      </c>
      <c r="AU252" s="431"/>
      <c r="AV252" s="176">
        <v>0</v>
      </c>
      <c r="AW252" s="177">
        <v>9.0909090909090912E-2</v>
      </c>
      <c r="AX252" s="192">
        <v>9.0909090909090912E-2</v>
      </c>
      <c r="AZ252" s="206"/>
      <c r="BA252" s="124"/>
      <c r="BB252" s="124"/>
      <c r="BC252" s="196"/>
      <c r="BG252" s="206"/>
      <c r="BH252" s="124"/>
      <c r="BI252" s="124"/>
      <c r="BJ252" s="196"/>
      <c r="BO252" s="206"/>
      <c r="BP252" s="124"/>
      <c r="BQ252" s="124"/>
      <c r="BR252" s="196"/>
      <c r="BW252" s="206"/>
      <c r="BX252" s="124"/>
      <c r="BY252" s="124"/>
      <c r="BZ252" s="196"/>
      <c r="CE252" s="206"/>
      <c r="CF252" s="124"/>
      <c r="CG252" s="124"/>
      <c r="CH252" s="196"/>
      <c r="CM252" s="206"/>
      <c r="CN252" s="124"/>
      <c r="CO252" s="124"/>
      <c r="CP252" s="196"/>
    </row>
    <row r="253" spans="16:98" ht="20.100000000000001" customHeight="1" x14ac:dyDescent="0.4">
      <c r="P253" s="430" t="s">
        <v>187</v>
      </c>
      <c r="Q253" s="431"/>
      <c r="R253" s="176">
        <v>1.9999999999999998</v>
      </c>
      <c r="S253" s="177">
        <v>3.208333333333333</v>
      </c>
      <c r="T253" s="192">
        <v>1.2083333333333333</v>
      </c>
      <c r="V253" s="430" t="s">
        <v>187</v>
      </c>
      <c r="W253" s="431"/>
      <c r="X253" s="176">
        <v>2</v>
      </c>
      <c r="Y253" s="177">
        <v>2.8</v>
      </c>
      <c r="Z253" s="192">
        <v>0.79999999999999982</v>
      </c>
      <c r="AB253" s="430" t="s">
        <v>187</v>
      </c>
      <c r="AC253" s="431"/>
      <c r="AD253" s="176">
        <v>1.4303030303030306</v>
      </c>
      <c r="AE253" s="177">
        <v>3.5333333333333332</v>
      </c>
      <c r="AF253" s="192">
        <v>2.1030303030303026</v>
      </c>
      <c r="AH253" s="280" t="s">
        <v>187</v>
      </c>
      <c r="AI253" s="279"/>
      <c r="AJ253" s="176">
        <v>5.0969696969696967</v>
      </c>
      <c r="AK253" s="177">
        <v>6</v>
      </c>
      <c r="AL253" s="192">
        <v>0.90303030303030329</v>
      </c>
      <c r="AN253" s="430" t="s">
        <v>187</v>
      </c>
      <c r="AO253" s="431"/>
      <c r="AP253" s="176">
        <v>2.5682539682539685</v>
      </c>
      <c r="AQ253" s="177">
        <v>3.8952380952380952</v>
      </c>
      <c r="AR253" s="192">
        <v>1.3269841269841267</v>
      </c>
      <c r="AT253" s="430" t="s">
        <v>187</v>
      </c>
      <c r="AU253" s="431"/>
      <c r="AV253" s="176">
        <v>1.1650793650793649</v>
      </c>
      <c r="AW253" s="177">
        <v>2.5572871572871576</v>
      </c>
      <c r="AX253" s="192">
        <v>1.3922077922077927</v>
      </c>
      <c r="AZ253" s="206"/>
      <c r="BA253" s="124"/>
      <c r="BB253" s="124"/>
      <c r="BC253" s="196"/>
      <c r="BG253" s="206"/>
      <c r="BH253" s="124"/>
      <c r="BI253" s="124"/>
      <c r="BJ253" s="196"/>
      <c r="BO253" s="206"/>
      <c r="BP253" s="124"/>
      <c r="BQ253" s="124"/>
      <c r="BR253" s="196"/>
      <c r="BW253" s="206"/>
      <c r="BX253" s="124"/>
      <c r="BY253" s="124"/>
      <c r="BZ253" s="196"/>
      <c r="CE253" s="206"/>
      <c r="CF253" s="124"/>
      <c r="CG253" s="124"/>
      <c r="CH253" s="196"/>
      <c r="CM253" s="206"/>
      <c r="CN253" s="124"/>
      <c r="CO253" s="124"/>
      <c r="CP253" s="196"/>
    </row>
    <row r="254" spans="16:98" ht="20.100000000000001" customHeight="1" x14ac:dyDescent="0.4">
      <c r="P254" s="430" t="s">
        <v>188</v>
      </c>
      <c r="Q254" s="431"/>
      <c r="R254" s="176">
        <v>0.43750000000000006</v>
      </c>
      <c r="S254" s="179">
        <v>2.625</v>
      </c>
      <c r="T254" s="192">
        <v>2.1875</v>
      </c>
      <c r="V254" s="430" t="s">
        <v>188</v>
      </c>
      <c r="W254" s="431"/>
      <c r="X254" s="176">
        <v>0.89999999999999991</v>
      </c>
      <c r="Y254" s="179">
        <v>2.4000000000000004</v>
      </c>
      <c r="Z254" s="192">
        <v>1.5000000000000004</v>
      </c>
      <c r="AB254" s="430" t="s">
        <v>188</v>
      </c>
      <c r="AC254" s="431"/>
      <c r="AD254" s="176">
        <v>0.81818181818181812</v>
      </c>
      <c r="AE254" s="179">
        <v>2.1818181818181817</v>
      </c>
      <c r="AF254" s="192">
        <v>1.3636363636363635</v>
      </c>
      <c r="AH254" s="280" t="s">
        <v>188</v>
      </c>
      <c r="AI254" s="279"/>
      <c r="AJ254" s="176">
        <v>1.6363636363636365</v>
      </c>
      <c r="AK254" s="179">
        <v>3</v>
      </c>
      <c r="AL254" s="192">
        <v>1.3636363636363635</v>
      </c>
      <c r="AN254" s="430" t="s">
        <v>188</v>
      </c>
      <c r="AO254" s="431"/>
      <c r="AP254" s="176">
        <v>0.8571428571428571</v>
      </c>
      <c r="AQ254" s="179">
        <v>2.286349206349207</v>
      </c>
      <c r="AR254" s="192">
        <v>1.4292063492063498</v>
      </c>
      <c r="AT254" s="430" t="s">
        <v>188</v>
      </c>
      <c r="AU254" s="431"/>
      <c r="AV254" s="176">
        <v>0.54545454545454553</v>
      </c>
      <c r="AW254" s="179">
        <v>1.9121212121212121</v>
      </c>
      <c r="AX254" s="192">
        <v>1.3666666666666667</v>
      </c>
      <c r="AZ254" s="206"/>
      <c r="BA254" s="128"/>
      <c r="BB254" s="128"/>
      <c r="BC254" s="196"/>
      <c r="BG254" s="206"/>
      <c r="BH254" s="128"/>
      <c r="BI254" s="128"/>
      <c r="BJ254" s="196"/>
      <c r="BO254" s="206"/>
      <c r="BP254" s="128"/>
      <c r="BQ254" s="128"/>
      <c r="BR254" s="196"/>
      <c r="BW254" s="206"/>
      <c r="BX254" s="128"/>
      <c r="BY254" s="128"/>
      <c r="BZ254" s="196"/>
      <c r="CE254" s="206"/>
      <c r="CF254" s="128"/>
      <c r="CG254" s="128"/>
      <c r="CH254" s="196"/>
      <c r="CM254" s="206"/>
      <c r="CN254" s="128"/>
      <c r="CO254" s="128"/>
      <c r="CP254" s="196"/>
    </row>
    <row r="256" spans="16:98" ht="20.100000000000001" customHeight="1" x14ac:dyDescent="0.4">
      <c r="P256" s="438" t="s">
        <v>413</v>
      </c>
      <c r="Q256" s="439"/>
      <c r="R256" s="173" t="s">
        <v>178</v>
      </c>
      <c r="S256" s="174" t="s">
        <v>179</v>
      </c>
      <c r="T256" s="175" t="s">
        <v>180</v>
      </c>
      <c r="V256" s="434" t="s">
        <v>522</v>
      </c>
      <c r="W256" s="435"/>
      <c r="X256" s="173" t="s">
        <v>178</v>
      </c>
      <c r="Y256" s="174" t="s">
        <v>179</v>
      </c>
      <c r="Z256" s="175" t="s">
        <v>180</v>
      </c>
      <c r="AB256" s="282" t="s">
        <v>564</v>
      </c>
      <c r="AC256" s="283"/>
      <c r="AD256" s="173" t="s">
        <v>178</v>
      </c>
      <c r="AE256" s="174" t="s">
        <v>179</v>
      </c>
      <c r="AF256" s="175" t="s">
        <v>180</v>
      </c>
      <c r="AH256" s="282" t="s">
        <v>627</v>
      </c>
      <c r="AI256" s="283"/>
      <c r="AJ256" s="173" t="s">
        <v>178</v>
      </c>
      <c r="AK256" s="174" t="s">
        <v>179</v>
      </c>
      <c r="AL256" s="175" t="s">
        <v>180</v>
      </c>
      <c r="AN256" s="434" t="s">
        <v>349</v>
      </c>
      <c r="AO256" s="435"/>
      <c r="AP256" s="173" t="s">
        <v>178</v>
      </c>
      <c r="AQ256" s="174" t="s">
        <v>179</v>
      </c>
      <c r="AR256" s="175" t="s">
        <v>180</v>
      </c>
      <c r="AT256" s="434" t="s">
        <v>873</v>
      </c>
      <c r="AU256" s="548"/>
      <c r="AV256" s="173" t="s">
        <v>178</v>
      </c>
      <c r="AW256" s="174" t="s">
        <v>179</v>
      </c>
      <c r="AX256" s="175" t="s">
        <v>180</v>
      </c>
      <c r="AZ256" s="202"/>
      <c r="BA256" s="203"/>
      <c r="BB256" s="204"/>
      <c r="BC256" s="205"/>
      <c r="BG256" s="202"/>
      <c r="BH256" s="203"/>
      <c r="BI256" s="204"/>
      <c r="BJ256" s="205"/>
      <c r="BO256" s="202"/>
      <c r="BP256" s="203"/>
      <c r="BQ256" s="204"/>
      <c r="BR256" s="205"/>
      <c r="BW256" s="202"/>
      <c r="BX256" s="203"/>
      <c r="BY256" s="204"/>
      <c r="BZ256" s="205"/>
      <c r="CE256" s="202"/>
      <c r="CF256" s="203"/>
      <c r="CG256" s="204"/>
      <c r="CH256" s="205"/>
      <c r="CM256" s="202"/>
      <c r="CN256" s="203"/>
      <c r="CO256" s="204"/>
      <c r="CP256" s="205"/>
    </row>
    <row r="257" spans="16:113" ht="20.100000000000001" customHeight="1" x14ac:dyDescent="0.4">
      <c r="P257" s="430" t="s">
        <v>181</v>
      </c>
      <c r="Q257" s="431"/>
      <c r="R257" s="176"/>
      <c r="S257" s="176">
        <v>0.75</v>
      </c>
      <c r="T257" s="192">
        <v>0.75</v>
      </c>
      <c r="V257" s="430" t="s">
        <v>181</v>
      </c>
      <c r="W257" s="431"/>
      <c r="X257" s="176"/>
      <c r="Y257" s="176">
        <v>0.53333333333333333</v>
      </c>
      <c r="Z257" s="192">
        <v>0.53333333333333333</v>
      </c>
      <c r="AB257" s="430" t="s">
        <v>181</v>
      </c>
      <c r="AC257" s="431"/>
      <c r="AD257" s="176"/>
      <c r="AE257" s="176">
        <v>0.4242424242424242</v>
      </c>
      <c r="AF257" s="192">
        <v>0.4242424242424242</v>
      </c>
      <c r="AH257" s="280" t="s">
        <v>181</v>
      </c>
      <c r="AI257" s="279"/>
      <c r="AJ257" s="176">
        <v>0</v>
      </c>
      <c r="AK257" s="176">
        <v>3.1515151515151514</v>
      </c>
      <c r="AL257" s="192">
        <v>3.1515151515151514</v>
      </c>
      <c r="AN257" s="430" t="s">
        <v>181</v>
      </c>
      <c r="AO257" s="431"/>
      <c r="AP257" s="176"/>
      <c r="AQ257" s="176">
        <v>0.82539682539682535</v>
      </c>
      <c r="AR257" s="192">
        <v>0.82539682539682535</v>
      </c>
      <c r="AT257" s="430" t="s">
        <v>181</v>
      </c>
      <c r="AU257" s="431"/>
      <c r="AV257" s="176"/>
      <c r="AW257" s="176">
        <v>0.88888888888888884</v>
      </c>
      <c r="AX257" s="192">
        <v>0.88888888888888884</v>
      </c>
      <c r="AZ257" s="206"/>
      <c r="BA257" s="124"/>
      <c r="BB257" s="124"/>
      <c r="BC257" s="196"/>
      <c r="BG257" s="206"/>
      <c r="BH257" s="124"/>
      <c r="BI257" s="124"/>
      <c r="BJ257" s="196"/>
      <c r="BO257" s="206"/>
      <c r="BP257" s="124"/>
      <c r="BQ257" s="124"/>
      <c r="BR257" s="196"/>
      <c r="BW257" s="206"/>
      <c r="BX257" s="124"/>
      <c r="BY257" s="124"/>
      <c r="BZ257" s="196"/>
      <c r="CE257" s="206"/>
      <c r="CF257" s="124"/>
      <c r="CG257" s="124"/>
      <c r="CH257" s="196"/>
      <c r="CM257" s="206"/>
      <c r="CN257" s="124"/>
      <c r="CO257" s="124"/>
      <c r="CP257" s="196"/>
    </row>
    <row r="258" spans="16:113" ht="20.100000000000001" customHeight="1" x14ac:dyDescent="0.4">
      <c r="P258" s="430" t="s">
        <v>182</v>
      </c>
      <c r="Q258" s="431"/>
      <c r="R258" s="176"/>
      <c r="S258" s="176">
        <v>0.33333333333333337</v>
      </c>
      <c r="T258" s="192">
        <v>0.33333333333333337</v>
      </c>
      <c r="V258" s="430" t="s">
        <v>182</v>
      </c>
      <c r="W258" s="431"/>
      <c r="X258" s="176"/>
      <c r="Y258" s="176">
        <v>0.43666666666666665</v>
      </c>
      <c r="Z258" s="192">
        <v>0.43666666666666665</v>
      </c>
      <c r="AB258" s="430" t="s">
        <v>182</v>
      </c>
      <c r="AC258" s="431"/>
      <c r="AD258" s="176"/>
      <c r="AE258" s="176">
        <v>0.44848484848484849</v>
      </c>
      <c r="AF258" s="192">
        <v>0.44848484848484849</v>
      </c>
      <c r="AH258" s="280" t="s">
        <v>182</v>
      </c>
      <c r="AI258" s="279"/>
      <c r="AJ258" s="176">
        <v>0.20303030303030301</v>
      </c>
      <c r="AK258" s="176">
        <v>1.2666666666666668</v>
      </c>
      <c r="AL258" s="192">
        <v>1.0636363636363639</v>
      </c>
      <c r="AN258" s="430" t="s">
        <v>182</v>
      </c>
      <c r="AO258" s="431"/>
      <c r="AP258" s="176"/>
      <c r="AQ258" s="176">
        <v>0.69523809523809521</v>
      </c>
      <c r="AR258" s="192">
        <v>0.69523809523809521</v>
      </c>
      <c r="AT258" s="430" t="s">
        <v>182</v>
      </c>
      <c r="AU258" s="431"/>
      <c r="AV258" s="176"/>
      <c r="AW258" s="176">
        <v>0.46666666666666667</v>
      </c>
      <c r="AX258" s="192">
        <v>0.46666666666666667</v>
      </c>
      <c r="AZ258" s="206"/>
      <c r="BA258" s="124"/>
      <c r="BB258" s="124"/>
      <c r="BC258" s="196"/>
      <c r="BG258" s="206"/>
      <c r="BH258" s="124"/>
      <c r="BI258" s="124"/>
      <c r="BJ258" s="196"/>
      <c r="BO258" s="206"/>
      <c r="BP258" s="124"/>
      <c r="BQ258" s="124"/>
      <c r="BR258" s="196"/>
      <c r="BW258" s="206"/>
      <c r="BX258" s="124"/>
      <c r="BY258" s="124"/>
      <c r="BZ258" s="196"/>
      <c r="CE258" s="206"/>
      <c r="CF258" s="124"/>
      <c r="CG258" s="124"/>
      <c r="CH258" s="196"/>
      <c r="CM258" s="206"/>
      <c r="CN258" s="124"/>
      <c r="CO258" s="124"/>
      <c r="CP258" s="196"/>
    </row>
    <row r="259" spans="16:113" ht="20.100000000000001" customHeight="1" x14ac:dyDescent="0.4">
      <c r="P259" s="428" t="s">
        <v>183</v>
      </c>
      <c r="Q259" s="429"/>
      <c r="R259" s="176"/>
      <c r="S259" s="177">
        <v>1.2499999999999998</v>
      </c>
      <c r="T259" s="192">
        <v>1.2499999999999998</v>
      </c>
      <c r="V259" s="428" t="s">
        <v>183</v>
      </c>
      <c r="W259" s="429"/>
      <c r="X259" s="176"/>
      <c r="Y259" s="177">
        <v>0.66666666666666663</v>
      </c>
      <c r="Z259" s="192">
        <v>0.66666666666666663</v>
      </c>
      <c r="AB259" s="428" t="s">
        <v>183</v>
      </c>
      <c r="AC259" s="429"/>
      <c r="AD259" s="176"/>
      <c r="AE259" s="177">
        <v>1.0060606060606063</v>
      </c>
      <c r="AF259" s="192">
        <v>1.0060606060606063</v>
      </c>
      <c r="AH259" s="280" t="s">
        <v>183</v>
      </c>
      <c r="AI259" s="281"/>
      <c r="AJ259" s="176">
        <v>0</v>
      </c>
      <c r="AK259" s="177">
        <v>1.1575757575757575</v>
      </c>
      <c r="AL259" s="192">
        <v>1.1575757575757575</v>
      </c>
      <c r="AN259" s="428" t="s">
        <v>183</v>
      </c>
      <c r="AO259" s="429"/>
      <c r="AP259" s="176"/>
      <c r="AQ259" s="177">
        <v>0.94285714285714306</v>
      </c>
      <c r="AR259" s="192">
        <v>0.94285714285714306</v>
      </c>
      <c r="AT259" s="428" t="s">
        <v>183</v>
      </c>
      <c r="AU259" s="429"/>
      <c r="AV259" s="176"/>
      <c r="AW259" s="177">
        <v>0.27619047619047621</v>
      </c>
      <c r="AX259" s="192">
        <v>0.27619047619047621</v>
      </c>
      <c r="AZ259" s="207"/>
      <c r="BA259" s="124"/>
      <c r="BB259" s="124"/>
      <c r="BC259" s="196"/>
      <c r="BG259" s="207"/>
      <c r="BH259" s="124"/>
      <c r="BI259" s="124"/>
      <c r="BJ259" s="196"/>
      <c r="BO259" s="207"/>
      <c r="BP259" s="124"/>
      <c r="BQ259" s="124"/>
      <c r="BR259" s="196"/>
      <c r="BW259" s="207"/>
      <c r="BX259" s="124"/>
      <c r="BY259" s="124"/>
      <c r="BZ259" s="196"/>
      <c r="CE259" s="207"/>
      <c r="CF259" s="124"/>
      <c r="CG259" s="124"/>
      <c r="CH259" s="196"/>
      <c r="CM259" s="207"/>
      <c r="CN259" s="124"/>
      <c r="CO259" s="124"/>
      <c r="CP259" s="196"/>
    </row>
    <row r="260" spans="16:113" ht="20.100000000000001" customHeight="1" x14ac:dyDescent="0.4">
      <c r="P260" s="428" t="s">
        <v>184</v>
      </c>
      <c r="Q260" s="429"/>
      <c r="R260" s="176"/>
      <c r="S260" s="177">
        <v>4.1666666666666664E-2</v>
      </c>
      <c r="T260" s="192">
        <v>4.1666666666666664E-2</v>
      </c>
      <c r="V260" s="428" t="s">
        <v>184</v>
      </c>
      <c r="W260" s="429"/>
      <c r="X260" s="176"/>
      <c r="Y260" s="177">
        <v>0.14666666666666667</v>
      </c>
      <c r="Z260" s="192">
        <v>0.14666666666666667</v>
      </c>
      <c r="AB260" s="428" t="s">
        <v>184</v>
      </c>
      <c r="AC260" s="429"/>
      <c r="AD260" s="176"/>
      <c r="AE260" s="177">
        <v>0.10303030303030304</v>
      </c>
      <c r="AF260" s="192">
        <v>0.10303030303030304</v>
      </c>
      <c r="AH260" s="280" t="s">
        <v>184</v>
      </c>
      <c r="AI260" s="281"/>
      <c r="AJ260" s="176">
        <v>4.5454545454545449E-2</v>
      </c>
      <c r="AK260" s="177">
        <v>0.26060606060606062</v>
      </c>
      <c r="AL260" s="192">
        <v>0.21515151515151518</v>
      </c>
      <c r="AN260" s="428" t="s">
        <v>184</v>
      </c>
      <c r="AO260" s="429"/>
      <c r="AP260" s="176"/>
      <c r="AQ260" s="177">
        <v>0.10793650793650791</v>
      </c>
      <c r="AR260" s="192">
        <v>0.10793650793650791</v>
      </c>
      <c r="AT260" s="428" t="s">
        <v>184</v>
      </c>
      <c r="AU260" s="429"/>
      <c r="AV260" s="176"/>
      <c r="AW260" s="177">
        <v>7.8787878787878823E-2</v>
      </c>
      <c r="AX260" s="192">
        <v>7.8787878787878823E-2</v>
      </c>
      <c r="AZ260" s="207"/>
      <c r="BA260" s="124"/>
      <c r="BB260" s="124"/>
      <c r="BC260" s="196"/>
      <c r="BG260" s="207"/>
      <c r="BH260" s="124"/>
      <c r="BI260" s="124"/>
      <c r="BJ260" s="196"/>
      <c r="BO260" s="207"/>
      <c r="BP260" s="124"/>
      <c r="BQ260" s="124"/>
      <c r="BR260" s="196"/>
      <c r="BW260" s="207"/>
      <c r="BX260" s="124"/>
      <c r="BY260" s="124"/>
      <c r="BZ260" s="196"/>
      <c r="CE260" s="207"/>
      <c r="CF260" s="124"/>
      <c r="CG260" s="124"/>
      <c r="CH260" s="196"/>
      <c r="CM260" s="207"/>
      <c r="CN260" s="124"/>
      <c r="CO260" s="124"/>
      <c r="CP260" s="196"/>
    </row>
    <row r="261" spans="16:113" ht="20.100000000000001" customHeight="1" x14ac:dyDescent="0.4">
      <c r="P261" s="430" t="s">
        <v>185</v>
      </c>
      <c r="Q261" s="431"/>
      <c r="R261" s="176"/>
      <c r="S261" s="178">
        <v>0</v>
      </c>
      <c r="T261" s="192">
        <v>0</v>
      </c>
      <c r="V261" s="430" t="s">
        <v>185</v>
      </c>
      <c r="W261" s="431"/>
      <c r="X261" s="176"/>
      <c r="Y261" s="178">
        <v>0.79999999999999993</v>
      </c>
      <c r="Z261" s="192">
        <v>0.79999999999999993</v>
      </c>
      <c r="AB261" s="430" t="s">
        <v>185</v>
      </c>
      <c r="AC261" s="431"/>
      <c r="AD261" s="176"/>
      <c r="AE261" s="178">
        <v>0</v>
      </c>
      <c r="AF261" s="192">
        <v>0</v>
      </c>
      <c r="AH261" s="280" t="s">
        <v>185</v>
      </c>
      <c r="AI261" s="279"/>
      <c r="AJ261" s="176">
        <v>0</v>
      </c>
      <c r="AK261" s="178">
        <v>0.78787878787878785</v>
      </c>
      <c r="AL261" s="192">
        <v>0.78787878787878785</v>
      </c>
      <c r="AN261" s="430" t="s">
        <v>185</v>
      </c>
      <c r="AO261" s="431"/>
      <c r="AP261" s="176"/>
      <c r="AQ261" s="178">
        <v>0.79999999999999993</v>
      </c>
      <c r="AR261" s="192">
        <v>0.79999999999999993</v>
      </c>
      <c r="AT261" s="430" t="s">
        <v>185</v>
      </c>
      <c r="AU261" s="431"/>
      <c r="AV261" s="176"/>
      <c r="AW261" s="178">
        <v>0</v>
      </c>
      <c r="AX261" s="192">
        <v>0</v>
      </c>
      <c r="AZ261" s="206"/>
      <c r="BA261" s="128"/>
      <c r="BB261" s="128"/>
      <c r="BC261" s="196"/>
      <c r="BG261" s="206"/>
      <c r="BH261" s="128"/>
      <c r="BI261" s="128"/>
      <c r="BJ261" s="196"/>
      <c r="BO261" s="206"/>
      <c r="BP261" s="128"/>
      <c r="BQ261" s="128"/>
      <c r="BR261" s="196"/>
      <c r="BW261" s="206"/>
      <c r="BX261" s="128"/>
      <c r="BY261" s="128"/>
      <c r="BZ261" s="196"/>
      <c r="CE261" s="206"/>
      <c r="CF261" s="128"/>
      <c r="CG261" s="128"/>
      <c r="CH261" s="196"/>
      <c r="CM261" s="206"/>
      <c r="CN261" s="128"/>
      <c r="CO261" s="128"/>
      <c r="CP261" s="196"/>
    </row>
    <row r="262" spans="16:113" ht="20.100000000000001" customHeight="1" x14ac:dyDescent="0.4">
      <c r="P262" s="430" t="s">
        <v>186</v>
      </c>
      <c r="Q262" s="431"/>
      <c r="R262" s="176"/>
      <c r="S262" s="177">
        <v>6.25E-2</v>
      </c>
      <c r="T262" s="192">
        <v>6.25E-2</v>
      </c>
      <c r="V262" s="430" t="s">
        <v>186</v>
      </c>
      <c r="W262" s="431"/>
      <c r="X262" s="176"/>
      <c r="Y262" s="177">
        <v>0.31666666666666665</v>
      </c>
      <c r="Z262" s="192">
        <v>0.31666666666666665</v>
      </c>
      <c r="AB262" s="430" t="s">
        <v>186</v>
      </c>
      <c r="AC262" s="431"/>
      <c r="AD262" s="176"/>
      <c r="AE262" s="177">
        <v>0.26666666666666666</v>
      </c>
      <c r="AF262" s="192">
        <v>0.26666666666666666</v>
      </c>
      <c r="AH262" s="280" t="s">
        <v>186</v>
      </c>
      <c r="AI262" s="279"/>
      <c r="AJ262" s="176">
        <v>2.4242424242424242E-2</v>
      </c>
      <c r="AK262" s="177">
        <v>0.10909090909090909</v>
      </c>
      <c r="AL262" s="192">
        <v>8.484848484848484E-2</v>
      </c>
      <c r="AN262" s="430" t="s">
        <v>186</v>
      </c>
      <c r="AO262" s="431"/>
      <c r="AP262" s="176"/>
      <c r="AQ262" s="177">
        <v>5.3968253968253971E-2</v>
      </c>
      <c r="AR262" s="192">
        <v>5.3968253968253971E-2</v>
      </c>
      <c r="AT262" s="430" t="s">
        <v>186</v>
      </c>
      <c r="AU262" s="431"/>
      <c r="AV262" s="176"/>
      <c r="AW262" s="177">
        <v>0</v>
      </c>
      <c r="AX262" s="192">
        <v>0</v>
      </c>
      <c r="AZ262" s="206"/>
      <c r="BA262" s="124"/>
      <c r="BB262" s="124"/>
      <c r="BC262" s="196"/>
      <c r="BG262" s="206"/>
      <c r="BH262" s="124"/>
      <c r="BI262" s="124"/>
      <c r="BJ262" s="196"/>
      <c r="BO262" s="206"/>
      <c r="BP262" s="124"/>
      <c r="BQ262" s="124"/>
      <c r="BR262" s="196"/>
      <c r="BW262" s="206"/>
      <c r="BX262" s="124"/>
      <c r="BY262" s="124"/>
      <c r="BZ262" s="196"/>
      <c r="CE262" s="206"/>
      <c r="CF262" s="124"/>
      <c r="CG262" s="124"/>
      <c r="CH262" s="196"/>
      <c r="CM262" s="206"/>
      <c r="CN262" s="124"/>
      <c r="CO262" s="124"/>
      <c r="CP262" s="196"/>
    </row>
    <row r="263" spans="16:113" ht="20.100000000000001" customHeight="1" x14ac:dyDescent="0.4">
      <c r="P263" s="430" t="s">
        <v>187</v>
      </c>
      <c r="Q263" s="431"/>
      <c r="R263" s="176"/>
      <c r="S263" s="177">
        <v>1.9999999999999998</v>
      </c>
      <c r="T263" s="192">
        <v>1.9999999999999998</v>
      </c>
      <c r="V263" s="430" t="s">
        <v>187</v>
      </c>
      <c r="W263" s="431"/>
      <c r="X263" s="176"/>
      <c r="Y263" s="177">
        <v>2</v>
      </c>
      <c r="Z263" s="192">
        <v>2</v>
      </c>
      <c r="AB263" s="430" t="s">
        <v>187</v>
      </c>
      <c r="AC263" s="431"/>
      <c r="AD263" s="176"/>
      <c r="AE263" s="177">
        <v>1.4303030303030306</v>
      </c>
      <c r="AF263" s="192">
        <v>1.4303030303030306</v>
      </c>
      <c r="AH263" s="280" t="s">
        <v>187</v>
      </c>
      <c r="AI263" s="279"/>
      <c r="AJ263" s="176">
        <v>0</v>
      </c>
      <c r="AK263" s="177">
        <v>5.0969696969696967</v>
      </c>
      <c r="AL263" s="192">
        <v>5.0969696969696967</v>
      </c>
      <c r="AN263" s="430" t="s">
        <v>187</v>
      </c>
      <c r="AO263" s="431"/>
      <c r="AP263" s="176"/>
      <c r="AQ263" s="177">
        <v>2.5682539682539685</v>
      </c>
      <c r="AR263" s="192">
        <v>2.5682539682539685</v>
      </c>
      <c r="AT263" s="430" t="s">
        <v>187</v>
      </c>
      <c r="AU263" s="431"/>
      <c r="AV263" s="176"/>
      <c r="AW263" s="177">
        <v>1.1650793650793649</v>
      </c>
      <c r="AX263" s="192">
        <v>1.1650793650793649</v>
      </c>
      <c r="AZ263" s="206"/>
      <c r="BA263" s="124"/>
      <c r="BB263" s="124"/>
      <c r="BC263" s="196"/>
      <c r="BG263" s="206"/>
      <c r="BH263" s="124"/>
      <c r="BI263" s="124"/>
      <c r="BJ263" s="196"/>
      <c r="BO263" s="206"/>
      <c r="BP263" s="124"/>
      <c r="BQ263" s="124"/>
      <c r="BR263" s="196"/>
      <c r="BW263" s="206"/>
      <c r="BX263" s="124"/>
      <c r="BY263" s="124"/>
      <c r="BZ263" s="196"/>
      <c r="CE263" s="206"/>
      <c r="CF263" s="124"/>
      <c r="CG263" s="124"/>
      <c r="CH263" s="196"/>
      <c r="CM263" s="206"/>
      <c r="CN263" s="124"/>
      <c r="CO263" s="124"/>
      <c r="CP263" s="196"/>
    </row>
    <row r="264" spans="16:113" ht="20.100000000000001" customHeight="1" x14ac:dyDescent="0.4">
      <c r="P264" s="430" t="s">
        <v>188</v>
      </c>
      <c r="Q264" s="431"/>
      <c r="R264" s="176"/>
      <c r="S264" s="179">
        <v>0.43750000000000006</v>
      </c>
      <c r="T264" s="192">
        <v>0.43750000000000006</v>
      </c>
      <c r="V264" s="430" t="s">
        <v>188</v>
      </c>
      <c r="W264" s="431"/>
      <c r="X264" s="176"/>
      <c r="Y264" s="179">
        <v>0.89999999999999991</v>
      </c>
      <c r="Z264" s="192">
        <v>0.89999999999999991</v>
      </c>
      <c r="AB264" s="430" t="s">
        <v>188</v>
      </c>
      <c r="AC264" s="431"/>
      <c r="AD264" s="176"/>
      <c r="AE264" s="179">
        <v>0.81818181818181812</v>
      </c>
      <c r="AF264" s="192">
        <v>0.81818181818181812</v>
      </c>
      <c r="AH264" s="280" t="s">
        <v>188</v>
      </c>
      <c r="AI264" s="279"/>
      <c r="AJ264" s="176">
        <v>0.27272727272727271</v>
      </c>
      <c r="AK264" s="179">
        <v>1.6363636363636365</v>
      </c>
      <c r="AL264" s="192">
        <v>1.3636363636363638</v>
      </c>
      <c r="AN264" s="430" t="s">
        <v>188</v>
      </c>
      <c r="AO264" s="431"/>
      <c r="AP264" s="176"/>
      <c r="AQ264" s="179">
        <v>0.8571428571428571</v>
      </c>
      <c r="AR264" s="192">
        <v>0.8571428571428571</v>
      </c>
      <c r="AT264" s="430" t="s">
        <v>188</v>
      </c>
      <c r="AU264" s="431"/>
      <c r="AV264" s="176"/>
      <c r="AW264" s="179">
        <v>0.54545454545454553</v>
      </c>
      <c r="AX264" s="192">
        <v>0.54545454545454553</v>
      </c>
      <c r="AZ264" s="206"/>
      <c r="BA264" s="128"/>
      <c r="BB264" s="128"/>
      <c r="BC264" s="196"/>
      <c r="BG264" s="206"/>
      <c r="BH264" s="128"/>
      <c r="BI264" s="128"/>
      <c r="BJ264" s="196"/>
      <c r="BO264" s="206"/>
      <c r="BP264" s="128"/>
      <c r="BQ264" s="128"/>
      <c r="BR264" s="196"/>
      <c r="BW264" s="206"/>
      <c r="BX264" s="128"/>
      <c r="BY264" s="128"/>
      <c r="BZ264" s="196"/>
      <c r="CE264" s="206"/>
      <c r="CF264" s="128"/>
      <c r="CG264" s="128"/>
      <c r="CH264" s="196"/>
      <c r="CM264" s="206"/>
      <c r="CN264" s="128"/>
      <c r="CO264" s="128"/>
      <c r="CP264" s="196"/>
    </row>
    <row r="265" spans="16:113" ht="20.100000000000001" customHeight="1" x14ac:dyDescent="0.4">
      <c r="R265" s="172"/>
    </row>
    <row r="266" spans="16:113" ht="20.100000000000001" customHeight="1" x14ac:dyDescent="0.4">
      <c r="R266" s="172"/>
      <c r="V266" s="202"/>
      <c r="W266" s="203"/>
      <c r="X266" s="204"/>
      <c r="Y266" s="205"/>
      <c r="AH266" s="282" t="s">
        <v>626</v>
      </c>
      <c r="AI266" s="283"/>
      <c r="AJ266" s="173" t="s">
        <v>178</v>
      </c>
      <c r="AK266" s="174" t="s">
        <v>179</v>
      </c>
      <c r="AL266" s="175" t="s">
        <v>180</v>
      </c>
      <c r="AZ266" s="202"/>
      <c r="BA266" s="203"/>
      <c r="BB266" s="204"/>
      <c r="BC266" s="205"/>
      <c r="BL266" s="206"/>
      <c r="BM266" s="124"/>
      <c r="BN266" s="124"/>
      <c r="BO266" s="196"/>
      <c r="BU266" s="206"/>
      <c r="BV266" s="124"/>
      <c r="BW266" s="124"/>
      <c r="BX266" s="196"/>
      <c r="CC266" s="206"/>
      <c r="CD266" s="124"/>
      <c r="CE266" s="124"/>
      <c r="CF266" s="196"/>
      <c r="CK266" s="206"/>
      <c r="CL266" s="124"/>
      <c r="CM266" s="124"/>
      <c r="CN266" s="196"/>
      <c r="CS266" s="206"/>
      <c r="CT266" s="124"/>
      <c r="CU266" s="124"/>
      <c r="CV266" s="196"/>
      <c r="DA266" s="206"/>
      <c r="DB266" s="124"/>
      <c r="DC266" s="124"/>
      <c r="DD266" s="196"/>
      <c r="DI266" s="206"/>
    </row>
    <row r="267" spans="16:113" ht="20.100000000000001" customHeight="1" x14ac:dyDescent="0.4">
      <c r="V267" s="206"/>
      <c r="W267" s="124"/>
      <c r="X267" s="124"/>
      <c r="Y267" s="196"/>
      <c r="AH267" s="280" t="s">
        <v>181</v>
      </c>
      <c r="AI267" s="279"/>
      <c r="AJ267" s="176"/>
      <c r="AK267" s="176">
        <v>0</v>
      </c>
      <c r="AL267" s="192">
        <v>0</v>
      </c>
      <c r="AZ267" s="206"/>
      <c r="BA267" s="124"/>
      <c r="BB267" s="124"/>
      <c r="BC267" s="196"/>
      <c r="BL267" s="207"/>
      <c r="BM267" s="124"/>
      <c r="BN267" s="124"/>
      <c r="BO267" s="196"/>
      <c r="BU267" s="207"/>
      <c r="BV267" s="124"/>
      <c r="BW267" s="124"/>
      <c r="BX267" s="196"/>
      <c r="CC267" s="207"/>
      <c r="CD267" s="124"/>
      <c r="CE267" s="124"/>
      <c r="CF267" s="196"/>
      <c r="CK267" s="207"/>
      <c r="CL267" s="124"/>
      <c r="CM267" s="124"/>
      <c r="CN267" s="196"/>
      <c r="CS267" s="207"/>
      <c r="CT267" s="124"/>
      <c r="CU267" s="124"/>
      <c r="CV267" s="196"/>
      <c r="DA267" s="207"/>
      <c r="DB267" s="124"/>
      <c r="DC267" s="124"/>
      <c r="DD267" s="196"/>
      <c r="DI267" s="207"/>
    </row>
    <row r="268" spans="16:113" ht="20.100000000000001" customHeight="1" x14ac:dyDescent="0.4">
      <c r="V268" s="206"/>
      <c r="W268" s="124"/>
      <c r="X268" s="124"/>
      <c r="Y268" s="196"/>
      <c r="AH268" s="280" t="s">
        <v>182</v>
      </c>
      <c r="AI268" s="279"/>
      <c r="AJ268" s="176"/>
      <c r="AK268" s="176">
        <v>0.20303030303030301</v>
      </c>
      <c r="AL268" s="192">
        <v>0.20303030303030301</v>
      </c>
      <c r="AZ268" s="206"/>
      <c r="BA268" s="124"/>
      <c r="BB268" s="124"/>
      <c r="BC268" s="196"/>
      <c r="BL268" s="207"/>
      <c r="BM268" s="124"/>
      <c r="BN268" s="124"/>
      <c r="BO268" s="196"/>
      <c r="BU268" s="207"/>
      <c r="BV268" s="124"/>
      <c r="BW268" s="124"/>
      <c r="BX268" s="196"/>
      <c r="CC268" s="207"/>
      <c r="CD268" s="124"/>
      <c r="CE268" s="124"/>
      <c r="CF268" s="196"/>
      <c r="CK268" s="207"/>
      <c r="CL268" s="124"/>
      <c r="CM268" s="124"/>
      <c r="CN268" s="196"/>
      <c r="CS268" s="207"/>
      <c r="CT268" s="124"/>
      <c r="CU268" s="124"/>
      <c r="CV268" s="196"/>
      <c r="DA268" s="207"/>
      <c r="DB268" s="124"/>
      <c r="DC268" s="124"/>
      <c r="DD268" s="196"/>
      <c r="DI268" s="207"/>
    </row>
    <row r="269" spans="16:113" ht="20.100000000000001" customHeight="1" x14ac:dyDescent="0.4">
      <c r="W269" s="206"/>
      <c r="X269" s="124"/>
      <c r="Y269" s="124"/>
      <c r="Z269" s="196"/>
      <c r="AC269" s="206"/>
      <c r="AD269" s="124"/>
      <c r="AE269" s="124"/>
      <c r="AF269" s="196"/>
      <c r="AH269" s="280" t="s">
        <v>183</v>
      </c>
      <c r="AI269" s="281"/>
      <c r="AJ269" s="176"/>
      <c r="AK269" s="177">
        <v>0</v>
      </c>
      <c r="AL269" s="192">
        <v>0</v>
      </c>
      <c r="AO269" s="206"/>
      <c r="AP269" s="124"/>
      <c r="AQ269" s="124"/>
      <c r="AR269" s="196"/>
      <c r="AU269" s="206"/>
      <c r="AV269" s="124"/>
      <c r="BA269" s="206"/>
      <c r="BB269" s="124"/>
      <c r="BC269" s="124"/>
      <c r="BD269" s="196"/>
      <c r="BH269" s="206"/>
      <c r="BL269" s="206"/>
      <c r="BM269" s="128"/>
      <c r="BN269" s="128"/>
      <c r="BO269" s="196"/>
      <c r="BU269" s="206"/>
      <c r="BV269" s="128"/>
      <c r="BW269" s="128"/>
      <c r="BX269" s="196"/>
      <c r="CC269" s="206"/>
      <c r="CD269" s="128"/>
      <c r="CE269" s="128"/>
      <c r="CF269" s="196"/>
      <c r="CK269" s="206"/>
      <c r="CL269" s="128"/>
      <c r="CM269" s="128"/>
      <c r="CN269" s="196"/>
      <c r="CS269" s="206"/>
      <c r="CT269" s="128"/>
      <c r="CU269" s="128"/>
      <c r="CV269" s="196"/>
      <c r="DA269" s="206"/>
      <c r="DB269" s="128"/>
      <c r="DC269" s="128"/>
      <c r="DD269" s="196"/>
      <c r="DI269" s="206"/>
    </row>
    <row r="270" spans="16:113" ht="20.100000000000001" customHeight="1" x14ac:dyDescent="0.4">
      <c r="W270" s="207"/>
      <c r="X270" s="124"/>
      <c r="Y270" s="124"/>
      <c r="Z270" s="196"/>
      <c r="AC270" s="207"/>
      <c r="AD270" s="124"/>
      <c r="AE270" s="124"/>
      <c r="AF270" s="196"/>
      <c r="AH270" s="280" t="s">
        <v>184</v>
      </c>
      <c r="AI270" s="281"/>
      <c r="AJ270" s="176"/>
      <c r="AK270" s="177">
        <v>4.5454545454545449E-2</v>
      </c>
      <c r="AL270" s="192">
        <v>4.5454545454545449E-2</v>
      </c>
      <c r="AO270" s="207"/>
      <c r="AP270" s="124"/>
      <c r="AQ270" s="124"/>
      <c r="AR270" s="196"/>
      <c r="AU270" s="207"/>
      <c r="AV270" s="124"/>
      <c r="BA270" s="207"/>
      <c r="BB270" s="124"/>
      <c r="BC270" s="124"/>
      <c r="BD270" s="196"/>
      <c r="BH270" s="207"/>
      <c r="BL270" s="206"/>
      <c r="BM270" s="124"/>
      <c r="BN270" s="124"/>
      <c r="BO270" s="196"/>
      <c r="BU270" s="206"/>
      <c r="BV270" s="124"/>
      <c r="BW270" s="124"/>
      <c r="BX270" s="196"/>
      <c r="CC270" s="206"/>
      <c r="CD270" s="124"/>
      <c r="CE270" s="124"/>
      <c r="CF270" s="196"/>
      <c r="CK270" s="206"/>
      <c r="CL270" s="124"/>
      <c r="CM270" s="124"/>
      <c r="CN270" s="196"/>
      <c r="CS270" s="206"/>
      <c r="CT270" s="124"/>
      <c r="CU270" s="124"/>
      <c r="CV270" s="196"/>
      <c r="DA270" s="206"/>
      <c r="DB270" s="124"/>
      <c r="DC270" s="124"/>
      <c r="DD270" s="196"/>
      <c r="DI270" s="206"/>
    </row>
    <row r="271" spans="16:113" ht="20.100000000000001" customHeight="1" x14ac:dyDescent="0.4">
      <c r="W271" s="207"/>
      <c r="X271" s="124"/>
      <c r="Y271" s="124"/>
      <c r="Z271" s="196"/>
      <c r="AC271" s="207"/>
      <c r="AD271" s="124"/>
      <c r="AE271" s="124"/>
      <c r="AF271" s="196"/>
      <c r="AH271" s="280" t="s">
        <v>185</v>
      </c>
      <c r="AI271" s="279"/>
      <c r="AJ271" s="176"/>
      <c r="AK271" s="178">
        <v>0</v>
      </c>
      <c r="AL271" s="192">
        <v>0</v>
      </c>
      <c r="AO271" s="207"/>
      <c r="AP271" s="124"/>
      <c r="AQ271" s="124"/>
      <c r="AR271" s="196"/>
      <c r="AU271" s="207"/>
      <c r="AV271" s="124"/>
      <c r="BA271" s="207"/>
      <c r="BB271" s="124"/>
      <c r="BC271" s="124"/>
      <c r="BD271" s="196"/>
      <c r="BH271" s="207"/>
      <c r="BL271" s="206"/>
      <c r="BM271" s="124"/>
      <c r="BN271" s="124"/>
      <c r="BO271" s="196"/>
      <c r="BU271" s="206"/>
      <c r="BV271" s="124"/>
      <c r="BW271" s="124"/>
      <c r="BX271" s="196"/>
      <c r="CC271" s="206"/>
      <c r="CD271" s="124"/>
      <c r="CE271" s="124"/>
      <c r="CF271" s="196"/>
      <c r="CK271" s="206"/>
      <c r="CL271" s="124"/>
      <c r="CM271" s="124"/>
      <c r="CN271" s="196"/>
      <c r="CS271" s="206"/>
      <c r="CT271" s="124"/>
      <c r="CU271" s="124"/>
      <c r="CV271" s="196"/>
      <c r="DA271" s="206"/>
      <c r="DB271" s="124"/>
      <c r="DC271" s="124"/>
      <c r="DD271" s="196"/>
      <c r="DI271" s="206"/>
    </row>
    <row r="272" spans="16:113" ht="20.100000000000001" customHeight="1" x14ac:dyDescent="0.4">
      <c r="W272" s="206"/>
      <c r="X272" s="128"/>
      <c r="Y272" s="128"/>
      <c r="Z272" s="196"/>
      <c r="AC272" s="206"/>
      <c r="AD272" s="128"/>
      <c r="AE272" s="128"/>
      <c r="AF272" s="196"/>
      <c r="AH272" s="280" t="s">
        <v>186</v>
      </c>
      <c r="AI272" s="279"/>
      <c r="AJ272" s="176"/>
      <c r="AK272" s="177">
        <v>2.4242424242424242E-2</v>
      </c>
      <c r="AL272" s="192">
        <v>2.4242424242424242E-2</v>
      </c>
      <c r="AO272" s="206"/>
      <c r="AP272" s="128"/>
      <c r="AQ272" s="128"/>
      <c r="AR272" s="196"/>
      <c r="AU272" s="206"/>
      <c r="AV272" s="128"/>
      <c r="BA272" s="206"/>
      <c r="BB272" s="128"/>
      <c r="BC272" s="128"/>
      <c r="BD272" s="196"/>
      <c r="BH272" s="206"/>
      <c r="BL272" s="206"/>
      <c r="BM272" s="128"/>
      <c r="BN272" s="128"/>
      <c r="BO272" s="196"/>
      <c r="BU272" s="206"/>
      <c r="BV272" s="128"/>
      <c r="BW272" s="128"/>
      <c r="BX272" s="196"/>
      <c r="CC272" s="206"/>
      <c r="CD272" s="128"/>
      <c r="CE272" s="128"/>
      <c r="CF272" s="196"/>
      <c r="CK272" s="206"/>
      <c r="CL272" s="128"/>
      <c r="CM272" s="128"/>
      <c r="CN272" s="196"/>
      <c r="CS272" s="206"/>
      <c r="CT272" s="128"/>
      <c r="CU272" s="128"/>
      <c r="CV272" s="196"/>
      <c r="DA272" s="206"/>
      <c r="DB272" s="128"/>
      <c r="DC272" s="128"/>
      <c r="DD272" s="196"/>
      <c r="DI272" s="206"/>
    </row>
    <row r="273" spans="23:108" ht="20.100000000000001" customHeight="1" x14ac:dyDescent="0.4">
      <c r="W273" s="206"/>
      <c r="X273" s="124"/>
      <c r="Y273" s="124"/>
      <c r="Z273" s="196"/>
      <c r="AC273" s="206"/>
      <c r="AD273" s="124"/>
      <c r="AE273" s="124"/>
      <c r="AF273" s="196"/>
      <c r="AH273" s="280" t="s">
        <v>187</v>
      </c>
      <c r="AI273" s="279"/>
      <c r="AJ273" s="176"/>
      <c r="AK273" s="177">
        <v>0</v>
      </c>
      <c r="AL273" s="192">
        <v>0</v>
      </c>
      <c r="AO273" s="206"/>
      <c r="AP273" s="124"/>
      <c r="AQ273" s="124"/>
      <c r="AR273" s="196"/>
      <c r="AU273" s="206"/>
      <c r="AV273" s="124"/>
      <c r="BA273" s="206"/>
      <c r="BB273" s="124"/>
      <c r="BC273" s="124"/>
      <c r="BD273" s="196"/>
      <c r="BH273" s="206"/>
    </row>
    <row r="274" spans="23:108" ht="20.100000000000001" customHeight="1" x14ac:dyDescent="0.4">
      <c r="W274" s="206"/>
      <c r="X274" s="124"/>
      <c r="Y274" s="124"/>
      <c r="Z274" s="196"/>
      <c r="AC274" s="206"/>
      <c r="AD274" s="124"/>
      <c r="AE274" s="124"/>
      <c r="AF274" s="196"/>
      <c r="AH274" s="280" t="s">
        <v>188</v>
      </c>
      <c r="AI274" s="279"/>
      <c r="AJ274" s="176"/>
      <c r="AK274" s="179">
        <v>0.27272727272727271</v>
      </c>
      <c r="AL274" s="192">
        <v>0.27272727272727271</v>
      </c>
      <c r="AM274" s="124"/>
      <c r="AN274" s="196"/>
      <c r="AS274" s="124"/>
      <c r="AT274" s="124"/>
      <c r="AU274" s="196"/>
      <c r="AX274" s="206"/>
      <c r="AY274" s="124"/>
      <c r="AZ274" s="124"/>
      <c r="BA274" s="196"/>
      <c r="BF274" s="124"/>
      <c r="BG274" s="124"/>
      <c r="BH274" s="196"/>
      <c r="BL274" s="202"/>
      <c r="BM274" s="203"/>
      <c r="BN274" s="204"/>
      <c r="BO274" s="205"/>
      <c r="DA274" s="202"/>
      <c r="DB274" s="203"/>
      <c r="DC274" s="204"/>
      <c r="DD274" s="205"/>
    </row>
    <row r="275" spans="23:108" ht="20.100000000000001" customHeight="1" x14ac:dyDescent="0.4">
      <c r="W275" s="206"/>
      <c r="X275" s="128"/>
      <c r="Y275" s="128"/>
      <c r="Z275" s="196"/>
      <c r="AC275" s="206"/>
      <c r="AD275" s="128"/>
      <c r="AE275" s="128"/>
      <c r="AF275" s="196"/>
      <c r="AI275" s="206"/>
      <c r="AM275" s="124"/>
      <c r="AN275" s="196"/>
      <c r="AS275" s="124"/>
      <c r="AT275" s="124"/>
      <c r="AU275" s="196"/>
      <c r="AX275" s="207"/>
      <c r="AY275" s="124"/>
      <c r="AZ275" s="124"/>
      <c r="BA275" s="196"/>
      <c r="BF275" s="124"/>
      <c r="BG275" s="124"/>
      <c r="BH275" s="196"/>
      <c r="BL275" s="206"/>
      <c r="BM275" s="124"/>
      <c r="BN275" s="124"/>
      <c r="BO275" s="196"/>
      <c r="DA275" s="206"/>
      <c r="DB275" s="124"/>
      <c r="DC275" s="124"/>
      <c r="DD275" s="196"/>
    </row>
    <row r="276" spans="23:108" ht="20.100000000000001" customHeight="1" x14ac:dyDescent="0.4">
      <c r="AM276" s="124"/>
      <c r="AN276" s="196"/>
      <c r="AS276" s="124"/>
      <c r="AT276" s="124"/>
      <c r="AU276" s="196"/>
      <c r="AX276" s="207"/>
      <c r="AY276" s="124"/>
      <c r="AZ276" s="124"/>
      <c r="BA276" s="196"/>
      <c r="BF276" s="124"/>
      <c r="BG276" s="124"/>
      <c r="BH276" s="196"/>
      <c r="BL276" s="206"/>
      <c r="BM276" s="124"/>
      <c r="BN276" s="124"/>
      <c r="BO276" s="196"/>
      <c r="DA276" s="206"/>
      <c r="DB276" s="124"/>
      <c r="DC276" s="124"/>
      <c r="DD276" s="196"/>
    </row>
    <row r="277" spans="23:108" ht="20.100000000000001" customHeight="1" x14ac:dyDescent="0.4">
      <c r="W277" s="202"/>
      <c r="X277" s="203"/>
      <c r="Y277" s="204"/>
      <c r="Z277" s="205"/>
      <c r="AM277" s="128"/>
      <c r="AN277" s="196"/>
      <c r="AS277" s="128"/>
      <c r="AT277" s="128"/>
      <c r="AU277" s="196"/>
      <c r="AX277" s="206"/>
      <c r="AY277" s="128"/>
      <c r="AZ277" s="128"/>
      <c r="BA277" s="196"/>
      <c r="BF277" s="128"/>
      <c r="BG277" s="128"/>
      <c r="BH277" s="196"/>
      <c r="BM277" s="206"/>
      <c r="BN277" s="128"/>
      <c r="BO277" s="128"/>
      <c r="BP277" s="196"/>
      <c r="BU277" s="206"/>
      <c r="BV277" s="128"/>
      <c r="BW277" s="128"/>
      <c r="BX277" s="196"/>
      <c r="CC277" s="206"/>
    </row>
    <row r="278" spans="23:108" ht="20.100000000000001" customHeight="1" x14ac:dyDescent="0.4">
      <c r="W278" s="206"/>
      <c r="X278" s="124"/>
      <c r="Y278" s="124"/>
      <c r="Z278" s="196"/>
      <c r="AM278" s="124"/>
      <c r="AN278" s="196"/>
      <c r="AS278" s="124"/>
      <c r="AT278" s="124"/>
      <c r="AU278" s="196"/>
      <c r="AX278" s="206"/>
      <c r="AY278" s="124"/>
      <c r="AZ278" s="124"/>
      <c r="BA278" s="196"/>
      <c r="BF278" s="124"/>
      <c r="BG278" s="124"/>
      <c r="BH278" s="196"/>
      <c r="BM278" s="206"/>
      <c r="BN278" s="124"/>
      <c r="BO278" s="124"/>
      <c r="BP278" s="196"/>
      <c r="BU278" s="206"/>
      <c r="BV278" s="124"/>
      <c r="BW278" s="124"/>
      <c r="BX278" s="196"/>
      <c r="CC278" s="206"/>
    </row>
    <row r="279" spans="23:108" ht="20.100000000000001" customHeight="1" x14ac:dyDescent="0.4">
      <c r="W279" s="206"/>
      <c r="X279" s="124"/>
      <c r="Y279" s="124"/>
      <c r="Z279" s="196"/>
      <c r="AM279" s="124"/>
      <c r="AN279" s="196"/>
      <c r="AS279" s="124"/>
      <c r="AT279" s="124"/>
      <c r="AU279" s="196"/>
      <c r="AX279" s="206"/>
      <c r="AY279" s="124"/>
      <c r="AZ279" s="124"/>
      <c r="BA279" s="196"/>
      <c r="BF279" s="124"/>
      <c r="BG279" s="124"/>
      <c r="BH279" s="196"/>
      <c r="BM279" s="206"/>
      <c r="BN279" s="124"/>
      <c r="BO279" s="124"/>
      <c r="BP279" s="196"/>
      <c r="BU279" s="206"/>
      <c r="BV279" s="124"/>
      <c r="BW279" s="124"/>
      <c r="BX279" s="196"/>
      <c r="CC279" s="206"/>
    </row>
    <row r="280" spans="23:108" ht="20.100000000000001" customHeight="1" x14ac:dyDescent="0.4">
      <c r="AM280" s="128"/>
      <c r="AN280" s="196"/>
      <c r="AS280" s="128"/>
      <c r="AT280" s="128"/>
      <c r="AU280" s="196"/>
      <c r="AX280" s="206"/>
      <c r="AY280" s="128"/>
      <c r="AZ280" s="128"/>
      <c r="BA280" s="196"/>
      <c r="BF280" s="128"/>
      <c r="BG280" s="128"/>
      <c r="BH280" s="196"/>
      <c r="BM280" s="206"/>
      <c r="BN280" s="128"/>
      <c r="BO280" s="128"/>
      <c r="BP280" s="196"/>
      <c r="BU280" s="206"/>
      <c r="BV280" s="128"/>
      <c r="BW280" s="128"/>
      <c r="BX280" s="196"/>
      <c r="CC280" s="206"/>
    </row>
    <row r="282" spans="23:108" ht="20.100000000000001" customHeight="1" x14ac:dyDescent="0.4">
      <c r="AM282" s="204"/>
      <c r="AN282" s="205"/>
      <c r="BU282" s="202"/>
      <c r="BV282" s="203"/>
      <c r="BW282" s="204"/>
      <c r="BX282" s="205"/>
    </row>
    <row r="283" spans="23:108" ht="20.100000000000001" customHeight="1" x14ac:dyDescent="0.4">
      <c r="AM283" s="124"/>
      <c r="AN283" s="196"/>
      <c r="BU283" s="206"/>
      <c r="BV283" s="124"/>
      <c r="BW283" s="124"/>
      <c r="BX283" s="196"/>
    </row>
    <row r="284" spans="23:108" ht="20.100000000000001" customHeight="1" x14ac:dyDescent="0.4">
      <c r="AM284" s="124"/>
      <c r="AN284" s="196"/>
      <c r="BU284" s="206"/>
      <c r="BV284" s="124"/>
      <c r="BW284" s="124"/>
      <c r="BX284" s="196"/>
    </row>
  </sheetData>
  <autoFilter ref="A1:CU168" xr:uid="{00000000-0001-0000-0200-000000000000}"/>
  <dataConsolidate/>
  <mergeCells count="1555">
    <mergeCell ref="AT257:AU257"/>
    <mergeCell ref="AT258:AU258"/>
    <mergeCell ref="AT259:AU259"/>
    <mergeCell ref="AT260:AU260"/>
    <mergeCell ref="AT261:AU261"/>
    <mergeCell ref="AT262:AU262"/>
    <mergeCell ref="AT263:AU263"/>
    <mergeCell ref="AT264:AU264"/>
    <mergeCell ref="AT236:AU236"/>
    <mergeCell ref="AT237:AU237"/>
    <mergeCell ref="AT238:AU238"/>
    <mergeCell ref="AN256:AO256"/>
    <mergeCell ref="AN257:AO257"/>
    <mergeCell ref="AN258:AO258"/>
    <mergeCell ref="AN259:AO259"/>
    <mergeCell ref="P242:Q242"/>
    <mergeCell ref="P243:Q243"/>
    <mergeCell ref="AN260:AO260"/>
    <mergeCell ref="AN261:AO261"/>
    <mergeCell ref="AN262:AO262"/>
    <mergeCell ref="AN263:AO263"/>
    <mergeCell ref="AN264:AO264"/>
    <mergeCell ref="P263:Q263"/>
    <mergeCell ref="AN254:AO254"/>
    <mergeCell ref="V254:W254"/>
    <mergeCell ref="AN251:AO251"/>
    <mergeCell ref="AN252:AO252"/>
    <mergeCell ref="AN253:AO253"/>
    <mergeCell ref="V251:W251"/>
    <mergeCell ref="V252:W252"/>
    <mergeCell ref="V253:W253"/>
    <mergeCell ref="AT232:AU232"/>
    <mergeCell ref="AT233:AU233"/>
    <mergeCell ref="AT234:AU234"/>
    <mergeCell ref="AN220:AO220"/>
    <mergeCell ref="AN221:AO221"/>
    <mergeCell ref="AN243:AO243"/>
    <mergeCell ref="AT246:AU246"/>
    <mergeCell ref="AT247:AU247"/>
    <mergeCell ref="AT248:AU248"/>
    <mergeCell ref="AN240:AO240"/>
    <mergeCell ref="AB234:AC234"/>
    <mergeCell ref="AN223:AO223"/>
    <mergeCell ref="AN224:AO224"/>
    <mergeCell ref="AN226:AO226"/>
    <mergeCell ref="AN227:AO227"/>
    <mergeCell ref="AN228:AO228"/>
    <mergeCell ref="AT256:AU256"/>
    <mergeCell ref="AB236:AC236"/>
    <mergeCell ref="AB227:AC227"/>
    <mergeCell ref="AB228:AC228"/>
    <mergeCell ref="AB229:AC229"/>
    <mergeCell ref="V246:W246"/>
    <mergeCell ref="V247:W247"/>
    <mergeCell ref="V248:W248"/>
    <mergeCell ref="V249:W249"/>
    <mergeCell ref="AN246:AO246"/>
    <mergeCell ref="AN247:AO247"/>
    <mergeCell ref="AN248:AO248"/>
    <mergeCell ref="AN249:AO249"/>
    <mergeCell ref="AN250:AO250"/>
    <mergeCell ref="AN231:AO231"/>
    <mergeCell ref="AN232:AO232"/>
    <mergeCell ref="AN244:AO244"/>
    <mergeCell ref="V250:W250"/>
    <mergeCell ref="V244:W244"/>
    <mergeCell ref="AN241:AO241"/>
    <mergeCell ref="AN242:AO242"/>
    <mergeCell ref="AB233:AC233"/>
    <mergeCell ref="AB264:AC264"/>
    <mergeCell ref="AB246:AC246"/>
    <mergeCell ref="AB247:AC247"/>
    <mergeCell ref="AB248:AC248"/>
    <mergeCell ref="AB249:AC249"/>
    <mergeCell ref="AB250:AC250"/>
    <mergeCell ref="AB251:AC251"/>
    <mergeCell ref="AB252:AC252"/>
    <mergeCell ref="AB253:AC253"/>
    <mergeCell ref="AB254:AC254"/>
    <mergeCell ref="AB237:AC237"/>
    <mergeCell ref="AB238:AC238"/>
    <mergeCell ref="AB239:AC239"/>
    <mergeCell ref="AB240:AC240"/>
    <mergeCell ref="AB241:AC241"/>
    <mergeCell ref="AB242:AC242"/>
    <mergeCell ref="AB243:AC243"/>
    <mergeCell ref="AB244:AC244"/>
    <mergeCell ref="AB263:AC263"/>
    <mergeCell ref="AB257:AC257"/>
    <mergeCell ref="AB258:AC258"/>
    <mergeCell ref="AB259:AC259"/>
    <mergeCell ref="AB260:AC260"/>
    <mergeCell ref="AB261:AC261"/>
    <mergeCell ref="AB262:AC262"/>
    <mergeCell ref="V214:AA214"/>
    <mergeCell ref="V222:W222"/>
    <mergeCell ref="V223:W223"/>
    <mergeCell ref="V224:W224"/>
    <mergeCell ref="V220:W220"/>
    <mergeCell ref="V221:W221"/>
    <mergeCell ref="AT216:AU216"/>
    <mergeCell ref="AT217:AU217"/>
    <mergeCell ref="AT218:AU218"/>
    <mergeCell ref="AT219:AU219"/>
    <mergeCell ref="AT220:AU220"/>
    <mergeCell ref="AT221:AU221"/>
    <mergeCell ref="AT222:AU222"/>
    <mergeCell ref="AT223:AU223"/>
    <mergeCell ref="AT224:AU224"/>
    <mergeCell ref="CM213:CT213"/>
    <mergeCell ref="AN229:AO229"/>
    <mergeCell ref="AT226:AU226"/>
    <mergeCell ref="AT227:AU227"/>
    <mergeCell ref="AT228:AU228"/>
    <mergeCell ref="AT229:AU229"/>
    <mergeCell ref="V226:W226"/>
    <mergeCell ref="V227:W227"/>
    <mergeCell ref="V228:W228"/>
    <mergeCell ref="K159:K160"/>
    <mergeCell ref="L159:L160"/>
    <mergeCell ref="M159:M160"/>
    <mergeCell ref="J155:J156"/>
    <mergeCell ref="K155:K156"/>
    <mergeCell ref="L155:L156"/>
    <mergeCell ref="M155:M156"/>
    <mergeCell ref="P237:Q237"/>
    <mergeCell ref="P238:Q238"/>
    <mergeCell ref="P239:Q239"/>
    <mergeCell ref="P240:Q240"/>
    <mergeCell ref="P241:Q241"/>
    <mergeCell ref="BG172:BN172"/>
    <mergeCell ref="BO172:BV172"/>
    <mergeCell ref="BG191:BN191"/>
    <mergeCell ref="L165:L166"/>
    <mergeCell ref="M165:M166"/>
    <mergeCell ref="M161:M162"/>
    <mergeCell ref="M163:M164"/>
    <mergeCell ref="M180:M181"/>
    <mergeCell ref="M182:M183"/>
    <mergeCell ref="J187:M187"/>
    <mergeCell ref="V191:AA191"/>
    <mergeCell ref="V172:AA172"/>
    <mergeCell ref="P226:Q226"/>
    <mergeCell ref="AN214:AS214"/>
    <mergeCell ref="AH213:AM213"/>
    <mergeCell ref="BH224:BI224"/>
    <mergeCell ref="BA220:BB220"/>
    <mergeCell ref="BW172:CD172"/>
    <mergeCell ref="BW191:CD191"/>
    <mergeCell ref="BW192:CD192"/>
    <mergeCell ref="AZ172:BF172"/>
    <mergeCell ref="AZ213:BF213"/>
    <mergeCell ref="BO191:BV191"/>
    <mergeCell ref="BG192:BN192"/>
    <mergeCell ref="BA216:BB216"/>
    <mergeCell ref="BA217:BB217"/>
    <mergeCell ref="BA218:BB218"/>
    <mergeCell ref="BA219:BB219"/>
    <mergeCell ref="AH214:AM214"/>
    <mergeCell ref="AB214:AG214"/>
    <mergeCell ref="BA223:BB223"/>
    <mergeCell ref="BP223:BQ223"/>
    <mergeCell ref="BP224:BQ224"/>
    <mergeCell ref="AB231:AC231"/>
    <mergeCell ref="AT192:AY192"/>
    <mergeCell ref="AB191:AG191"/>
    <mergeCell ref="AB172:AG172"/>
    <mergeCell ref="AH172:AM172"/>
    <mergeCell ref="AN172:AS172"/>
    <mergeCell ref="AT172:AY172"/>
    <mergeCell ref="BW213:CD213"/>
    <mergeCell ref="BA221:BB221"/>
    <mergeCell ref="BA222:BB222"/>
    <mergeCell ref="BA224:BB224"/>
    <mergeCell ref="AT213:AY213"/>
    <mergeCell ref="AN230:AO230"/>
    <mergeCell ref="AT230:AU230"/>
    <mergeCell ref="AT231:AU231"/>
    <mergeCell ref="I184:I185"/>
    <mergeCell ref="L195:L197"/>
    <mergeCell ref="M195:M197"/>
    <mergeCell ref="J163:J164"/>
    <mergeCell ref="P227:Q227"/>
    <mergeCell ref="P228:Q228"/>
    <mergeCell ref="P233:Q233"/>
    <mergeCell ref="J167:M167"/>
    <mergeCell ref="I204:I205"/>
    <mergeCell ref="I202:I203"/>
    <mergeCell ref="P256:Q256"/>
    <mergeCell ref="P257:Q257"/>
    <mergeCell ref="P258:Q258"/>
    <mergeCell ref="P259:Q259"/>
    <mergeCell ref="P216:Q216"/>
    <mergeCell ref="O213:U213"/>
    <mergeCell ref="O214:U214"/>
    <mergeCell ref="K195:K197"/>
    <mergeCell ref="I171:I173"/>
    <mergeCell ref="I176:I177"/>
    <mergeCell ref="I180:I181"/>
    <mergeCell ref="N196:U196"/>
    <mergeCell ref="P244:Q244"/>
    <mergeCell ref="P230:Q230"/>
    <mergeCell ref="N171:CT171"/>
    <mergeCell ref="N172:U172"/>
    <mergeCell ref="CM191:CT191"/>
    <mergeCell ref="CM172:CT172"/>
    <mergeCell ref="BO192:BV192"/>
    <mergeCell ref="CE191:CL191"/>
    <mergeCell ref="CM192:CT192"/>
    <mergeCell ref="AT191:AY191"/>
    <mergeCell ref="I131:I132"/>
    <mergeCell ref="J131:J132"/>
    <mergeCell ref="G111:G112"/>
    <mergeCell ref="H111:H112"/>
    <mergeCell ref="I111:I112"/>
    <mergeCell ref="G113:G114"/>
    <mergeCell ref="H113:H114"/>
    <mergeCell ref="I113:I114"/>
    <mergeCell ref="J113:J114"/>
    <mergeCell ref="K113:K114"/>
    <mergeCell ref="J111:J112"/>
    <mergeCell ref="K111:K112"/>
    <mergeCell ref="J157:J158"/>
    <mergeCell ref="K157:K158"/>
    <mergeCell ref="L157:L158"/>
    <mergeCell ref="M157:M158"/>
    <mergeCell ref="H151:H152"/>
    <mergeCell ref="I151:I152"/>
    <mergeCell ref="J151:J152"/>
    <mergeCell ref="K151:K152"/>
    <mergeCell ref="L151:L152"/>
    <mergeCell ref="M151:M152"/>
    <mergeCell ref="G153:G154"/>
    <mergeCell ref="H153:H154"/>
    <mergeCell ref="I153:I154"/>
    <mergeCell ref="M141:M142"/>
    <mergeCell ref="M143:M144"/>
    <mergeCell ref="M147:M148"/>
    <mergeCell ref="J147:J148"/>
    <mergeCell ref="K147:K148"/>
    <mergeCell ref="K143:K144"/>
    <mergeCell ref="L143:L144"/>
    <mergeCell ref="M117:M118"/>
    <mergeCell ref="M129:M130"/>
    <mergeCell ref="E101:E102"/>
    <mergeCell ref="F97:F98"/>
    <mergeCell ref="J115:J116"/>
    <mergeCell ref="K115:K116"/>
    <mergeCell ref="L115:L116"/>
    <mergeCell ref="K97:K98"/>
    <mergeCell ref="L97:L98"/>
    <mergeCell ref="M113:M114"/>
    <mergeCell ref="M109:M110"/>
    <mergeCell ref="L111:L112"/>
    <mergeCell ref="L125:L126"/>
    <mergeCell ref="J127:J128"/>
    <mergeCell ref="M121:M122"/>
    <mergeCell ref="L127:L128"/>
    <mergeCell ref="L109:L110"/>
    <mergeCell ref="I99:I100"/>
    <mergeCell ref="J99:J100"/>
    <mergeCell ref="H123:H124"/>
    <mergeCell ref="I123:I124"/>
    <mergeCell ref="J105:J106"/>
    <mergeCell ref="H105:H106"/>
    <mergeCell ref="M105:M106"/>
    <mergeCell ref="K99:K100"/>
    <mergeCell ref="L99:L100"/>
    <mergeCell ref="M101:M102"/>
    <mergeCell ref="C200:C201"/>
    <mergeCell ref="D200:D201"/>
    <mergeCell ref="E200:E201"/>
    <mergeCell ref="F200:F201"/>
    <mergeCell ref="G200:G201"/>
    <mergeCell ref="M200:M201"/>
    <mergeCell ref="P260:Q260"/>
    <mergeCell ref="P261:Q261"/>
    <mergeCell ref="P229:Q229"/>
    <mergeCell ref="E198:E199"/>
    <mergeCell ref="D206:D207"/>
    <mergeCell ref="E13:E14"/>
    <mergeCell ref="E15:E16"/>
    <mergeCell ref="E17:E18"/>
    <mergeCell ref="E19:E20"/>
    <mergeCell ref="M139:M140"/>
    <mergeCell ref="E127:E128"/>
    <mergeCell ref="F127:F128"/>
    <mergeCell ref="G127:G128"/>
    <mergeCell ref="H127:H128"/>
    <mergeCell ref="I127:I128"/>
    <mergeCell ref="M131:M132"/>
    <mergeCell ref="K127:K128"/>
    <mergeCell ref="M123:M124"/>
    <mergeCell ref="M119:M120"/>
    <mergeCell ref="M115:M116"/>
    <mergeCell ref="M111:M112"/>
    <mergeCell ref="M107:M108"/>
    <mergeCell ref="L117:L118"/>
    <mergeCell ref="I105:I106"/>
    <mergeCell ref="K105:K106"/>
    <mergeCell ref="L105:L106"/>
    <mergeCell ref="G163:G164"/>
    <mergeCell ref="H163:H164"/>
    <mergeCell ref="I163:I164"/>
    <mergeCell ref="K163:K164"/>
    <mergeCell ref="L163:L164"/>
    <mergeCell ref="A161:A162"/>
    <mergeCell ref="B161:B162"/>
    <mergeCell ref="C161:C162"/>
    <mergeCell ref="D161:D162"/>
    <mergeCell ref="E161:E162"/>
    <mergeCell ref="F161:F162"/>
    <mergeCell ref="J161:J162"/>
    <mergeCell ref="K161:K162"/>
    <mergeCell ref="L161:L162"/>
    <mergeCell ref="P264:Q264"/>
    <mergeCell ref="P246:Q246"/>
    <mergeCell ref="P247:Q247"/>
    <mergeCell ref="P248:Q248"/>
    <mergeCell ref="P249:Q249"/>
    <mergeCell ref="P250:Q250"/>
    <mergeCell ref="P251:Q251"/>
    <mergeCell ref="P252:Q252"/>
    <mergeCell ref="P253:Q253"/>
    <mergeCell ref="P254:Q254"/>
    <mergeCell ref="P262:Q262"/>
    <mergeCell ref="H198:H199"/>
    <mergeCell ref="I198:I199"/>
    <mergeCell ref="B198:B199"/>
    <mergeCell ref="M198:M199"/>
    <mergeCell ref="B206:B207"/>
    <mergeCell ref="C204:C205"/>
    <mergeCell ref="M204:M205"/>
    <mergeCell ref="G159:G160"/>
    <mergeCell ref="A155:A156"/>
    <mergeCell ref="B155:B156"/>
    <mergeCell ref="C155:C156"/>
    <mergeCell ref="D155:D156"/>
    <mergeCell ref="E155:E156"/>
    <mergeCell ref="F155:F156"/>
    <mergeCell ref="G155:G156"/>
    <mergeCell ref="A157:A158"/>
    <mergeCell ref="B157:B158"/>
    <mergeCell ref="C157:C158"/>
    <mergeCell ref="D157:D158"/>
    <mergeCell ref="E157:E158"/>
    <mergeCell ref="F157:F158"/>
    <mergeCell ref="G157:G158"/>
    <mergeCell ref="E153:E154"/>
    <mergeCell ref="F153:F154"/>
    <mergeCell ref="D180:D181"/>
    <mergeCell ref="F180:F181"/>
    <mergeCell ref="E171:E173"/>
    <mergeCell ref="C180:C181"/>
    <mergeCell ref="B165:B166"/>
    <mergeCell ref="C165:C166"/>
    <mergeCell ref="D165:D166"/>
    <mergeCell ref="E165:E166"/>
    <mergeCell ref="F165:F166"/>
    <mergeCell ref="E180:E181"/>
    <mergeCell ref="E178:E179"/>
    <mergeCell ref="A174:A175"/>
    <mergeCell ref="A149:A150"/>
    <mergeCell ref="B149:B150"/>
    <mergeCell ref="C149:C150"/>
    <mergeCell ref="A159:A160"/>
    <mergeCell ref="B159:B160"/>
    <mergeCell ref="C159:C160"/>
    <mergeCell ref="D159:D160"/>
    <mergeCell ref="E159:E160"/>
    <mergeCell ref="F159:F160"/>
    <mergeCell ref="D149:D150"/>
    <mergeCell ref="E149:E150"/>
    <mergeCell ref="F149:F150"/>
    <mergeCell ref="A165:A166"/>
    <mergeCell ref="A163:A164"/>
    <mergeCell ref="B163:B164"/>
    <mergeCell ref="C163:C164"/>
    <mergeCell ref="D163:D164"/>
    <mergeCell ref="E163:E164"/>
    <mergeCell ref="F163:F164"/>
    <mergeCell ref="E147:E148"/>
    <mergeCell ref="F147:F148"/>
    <mergeCell ref="G147:G148"/>
    <mergeCell ref="H147:H148"/>
    <mergeCell ref="I147:I148"/>
    <mergeCell ref="A145:A146"/>
    <mergeCell ref="B145:B146"/>
    <mergeCell ref="C145:C146"/>
    <mergeCell ref="D145:D146"/>
    <mergeCell ref="E145:E146"/>
    <mergeCell ref="A139:A140"/>
    <mergeCell ref="B139:B140"/>
    <mergeCell ref="C139:C140"/>
    <mergeCell ref="D139:D140"/>
    <mergeCell ref="E139:E140"/>
    <mergeCell ref="A143:A144"/>
    <mergeCell ref="C151:C152"/>
    <mergeCell ref="H145:H146"/>
    <mergeCell ref="I145:I146"/>
    <mergeCell ref="I149:I150"/>
    <mergeCell ref="G149:G150"/>
    <mergeCell ref="F133:F134"/>
    <mergeCell ref="G133:G134"/>
    <mergeCell ref="H133:H134"/>
    <mergeCell ref="I133:I134"/>
    <mergeCell ref="A137:A138"/>
    <mergeCell ref="B137:B138"/>
    <mergeCell ref="C137:C138"/>
    <mergeCell ref="D137:D138"/>
    <mergeCell ref="E137:E138"/>
    <mergeCell ref="F137:F138"/>
    <mergeCell ref="G137:G138"/>
    <mergeCell ref="H137:H138"/>
    <mergeCell ref="I137:I138"/>
    <mergeCell ref="A141:A142"/>
    <mergeCell ref="B141:B142"/>
    <mergeCell ref="L145:L146"/>
    <mergeCell ref="J143:J144"/>
    <mergeCell ref="F145:F146"/>
    <mergeCell ref="J139:J140"/>
    <mergeCell ref="M135:M136"/>
    <mergeCell ref="F171:F173"/>
    <mergeCell ref="H174:H175"/>
    <mergeCell ref="I157:I158"/>
    <mergeCell ref="D131:D132"/>
    <mergeCell ref="E131:E132"/>
    <mergeCell ref="CE192:CL192"/>
    <mergeCell ref="B111:B112"/>
    <mergeCell ref="C111:C112"/>
    <mergeCell ref="D111:D112"/>
    <mergeCell ref="E111:E112"/>
    <mergeCell ref="D119:D120"/>
    <mergeCell ref="E119:E120"/>
    <mergeCell ref="B115:B116"/>
    <mergeCell ref="C115:C116"/>
    <mergeCell ref="D115:D116"/>
    <mergeCell ref="E115:E116"/>
    <mergeCell ref="F115:F116"/>
    <mergeCell ref="G115:G116"/>
    <mergeCell ref="H115:H116"/>
    <mergeCell ref="I115:I116"/>
    <mergeCell ref="H117:H118"/>
    <mergeCell ref="I117:I118"/>
    <mergeCell ref="J119:J120"/>
    <mergeCell ref="H119:H120"/>
    <mergeCell ref="I119:I120"/>
    <mergeCell ref="E117:E118"/>
    <mergeCell ref="G117:G118"/>
    <mergeCell ref="B143:B144"/>
    <mergeCell ref="C143:C144"/>
    <mergeCell ref="D133:D134"/>
    <mergeCell ref="E133:E134"/>
    <mergeCell ref="M145:M146"/>
    <mergeCell ref="K153:K154"/>
    <mergeCell ref="L153:L154"/>
    <mergeCell ref="M153:M154"/>
    <mergeCell ref="M176:M177"/>
    <mergeCell ref="J133:J134"/>
    <mergeCell ref="F121:F122"/>
    <mergeCell ref="G121:G122"/>
    <mergeCell ref="H178:H179"/>
    <mergeCell ref="K149:K150"/>
    <mergeCell ref="L149:L150"/>
    <mergeCell ref="M149:M150"/>
    <mergeCell ref="H159:H160"/>
    <mergeCell ref="H143:H144"/>
    <mergeCell ref="K129:K130"/>
    <mergeCell ref="L129:L130"/>
    <mergeCell ref="I143:I144"/>
    <mergeCell ref="K141:K142"/>
    <mergeCell ref="L141:L142"/>
    <mergeCell ref="J145:J146"/>
    <mergeCell ref="J141:J142"/>
    <mergeCell ref="F139:F140"/>
    <mergeCell ref="G139:G140"/>
    <mergeCell ref="H139:H140"/>
    <mergeCell ref="I139:I140"/>
    <mergeCell ref="G135:G136"/>
    <mergeCell ref="J129:J130"/>
    <mergeCell ref="J149:J150"/>
    <mergeCell ref="K145:K146"/>
    <mergeCell ref="M127:M128"/>
    <mergeCell ref="M137:M138"/>
    <mergeCell ref="M133:M134"/>
    <mergeCell ref="K165:K166"/>
    <mergeCell ref="CF223:CG223"/>
    <mergeCell ref="CF224:CG224"/>
    <mergeCell ref="BH216:BI216"/>
    <mergeCell ref="BH217:BI217"/>
    <mergeCell ref="BH218:BI218"/>
    <mergeCell ref="BH219:BI219"/>
    <mergeCell ref="BH220:BI220"/>
    <mergeCell ref="BH221:BI221"/>
    <mergeCell ref="BH222:BI222"/>
    <mergeCell ref="BH223:BI223"/>
    <mergeCell ref="BX222:BY222"/>
    <mergeCell ref="BX223:BY223"/>
    <mergeCell ref="BX224:BY224"/>
    <mergeCell ref="BX221:BY221"/>
    <mergeCell ref="A186:G187"/>
    <mergeCell ref="A195:A197"/>
    <mergeCell ref="BG196:BN196"/>
    <mergeCell ref="BX217:BY217"/>
    <mergeCell ref="V217:W217"/>
    <mergeCell ref="CF217:CG217"/>
    <mergeCell ref="AZ191:BF191"/>
    <mergeCell ref="B180:B181"/>
    <mergeCell ref="F178:F179"/>
    <mergeCell ref="G178:G179"/>
    <mergeCell ref="H176:H177"/>
    <mergeCell ref="E176:E177"/>
    <mergeCell ref="G171:G173"/>
    <mergeCell ref="G165:G166"/>
    <mergeCell ref="H165:H166"/>
    <mergeCell ref="I165:I166"/>
    <mergeCell ref="B178:B179"/>
    <mergeCell ref="H141:H142"/>
    <mergeCell ref="I141:I142"/>
    <mergeCell ref="A153:A154"/>
    <mergeCell ref="B153:B154"/>
    <mergeCell ref="C153:C154"/>
    <mergeCell ref="D153:D154"/>
    <mergeCell ref="A151:A152"/>
    <mergeCell ref="B151:B152"/>
    <mergeCell ref="A147:A148"/>
    <mergeCell ref="M171:M173"/>
    <mergeCell ref="CE172:CL172"/>
    <mergeCell ref="BX216:BY216"/>
    <mergeCell ref="V216:W216"/>
    <mergeCell ref="AZ192:BF192"/>
    <mergeCell ref="BG213:BN213"/>
    <mergeCell ref="V192:AA192"/>
    <mergeCell ref="AN192:AS192"/>
    <mergeCell ref="I182:I183"/>
    <mergeCell ref="I186:I187"/>
    <mergeCell ref="CE214:CL214"/>
    <mergeCell ref="L171:L173"/>
    <mergeCell ref="J171:J173"/>
    <mergeCell ref="M178:M179"/>
    <mergeCell ref="M184:M185"/>
    <mergeCell ref="J186:M186"/>
    <mergeCell ref="AB192:AG192"/>
    <mergeCell ref="AH192:AM192"/>
    <mergeCell ref="D143:D144"/>
    <mergeCell ref="E143:E144"/>
    <mergeCell ref="F143:F144"/>
    <mergeCell ref="G143:G144"/>
    <mergeCell ref="J165:J166"/>
    <mergeCell ref="CE213:CL213"/>
    <mergeCell ref="H155:H156"/>
    <mergeCell ref="I155:I156"/>
    <mergeCell ref="L135:L136"/>
    <mergeCell ref="K139:K140"/>
    <mergeCell ref="L139:L140"/>
    <mergeCell ref="M125:M126"/>
    <mergeCell ref="H125:H126"/>
    <mergeCell ref="I125:I126"/>
    <mergeCell ref="J125:J126"/>
    <mergeCell ref="K125:K126"/>
    <mergeCell ref="C176:C177"/>
    <mergeCell ref="A184:A185"/>
    <mergeCell ref="C184:C185"/>
    <mergeCell ref="B129:B130"/>
    <mergeCell ref="C129:C130"/>
    <mergeCell ref="D129:D130"/>
    <mergeCell ref="A127:A128"/>
    <mergeCell ref="B127:B128"/>
    <mergeCell ref="E151:E152"/>
    <mergeCell ref="F151:F152"/>
    <mergeCell ref="C133:C134"/>
    <mergeCell ref="C127:C128"/>
    <mergeCell ref="D127:D128"/>
    <mergeCell ref="A135:A136"/>
    <mergeCell ref="B135:B136"/>
    <mergeCell ref="C135:C136"/>
    <mergeCell ref="D135:D136"/>
    <mergeCell ref="E135:E136"/>
    <mergeCell ref="F135:F136"/>
    <mergeCell ref="C182:C183"/>
    <mergeCell ref="A180:A181"/>
    <mergeCell ref="F184:F185"/>
    <mergeCell ref="D151:D152"/>
    <mergeCell ref="F131:F132"/>
    <mergeCell ref="B147:B148"/>
    <mergeCell ref="AH191:AM191"/>
    <mergeCell ref="AN191:AS191"/>
    <mergeCell ref="BO214:BV214"/>
    <mergeCell ref="F202:F203"/>
    <mergeCell ref="G202:G203"/>
    <mergeCell ref="H200:H201"/>
    <mergeCell ref="I200:I201"/>
    <mergeCell ref="A208:G209"/>
    <mergeCell ref="K214:M214"/>
    <mergeCell ref="M174:M175"/>
    <mergeCell ref="K171:K173"/>
    <mergeCell ref="O192:U192"/>
    <mergeCell ref="BG214:BN214"/>
    <mergeCell ref="AB196:AG196"/>
    <mergeCell ref="AH196:AM196"/>
    <mergeCell ref="A182:A183"/>
    <mergeCell ref="G204:G205"/>
    <mergeCell ref="I208:I209"/>
    <mergeCell ref="A198:A199"/>
    <mergeCell ref="A206:A207"/>
    <mergeCell ref="A200:A201"/>
    <mergeCell ref="C195:C197"/>
    <mergeCell ref="F195:F197"/>
    <mergeCell ref="C141:C142"/>
    <mergeCell ref="D141:D142"/>
    <mergeCell ref="E141:E142"/>
    <mergeCell ref="F141:F142"/>
    <mergeCell ref="G141:G142"/>
    <mergeCell ref="D198:D199"/>
    <mergeCell ref="D195:D197"/>
    <mergeCell ref="G195:G197"/>
    <mergeCell ref="C202:C203"/>
    <mergeCell ref="I195:I197"/>
    <mergeCell ref="D202:D203"/>
    <mergeCell ref="AZ214:BF214"/>
    <mergeCell ref="AT214:AY214"/>
    <mergeCell ref="BX219:BY219"/>
    <mergeCell ref="AT196:AY196"/>
    <mergeCell ref="BW214:CD214"/>
    <mergeCell ref="BO196:BV196"/>
    <mergeCell ref="BP216:BQ216"/>
    <mergeCell ref="BW196:CD196"/>
    <mergeCell ref="E204:E205"/>
    <mergeCell ref="AB216:AC216"/>
    <mergeCell ref="V218:W218"/>
    <mergeCell ref="V219:W219"/>
    <mergeCell ref="AN218:AO218"/>
    <mergeCell ref="AN219:AO219"/>
    <mergeCell ref="E202:E203"/>
    <mergeCell ref="C206:C207"/>
    <mergeCell ref="F204:F205"/>
    <mergeCell ref="D204:D205"/>
    <mergeCell ref="H204:H205"/>
    <mergeCell ref="I206:I207"/>
    <mergeCell ref="G206:G207"/>
    <mergeCell ref="AN213:AS213"/>
    <mergeCell ref="H195:H197"/>
    <mergeCell ref="BO213:BV213"/>
    <mergeCell ref="J208:M208"/>
    <mergeCell ref="H208:H209"/>
    <mergeCell ref="B200:B201"/>
    <mergeCell ref="CM214:CT214"/>
    <mergeCell ref="A204:A205"/>
    <mergeCell ref="CE196:CL196"/>
    <mergeCell ref="AZ196:BF196"/>
    <mergeCell ref="BX218:BY218"/>
    <mergeCell ref="CN218:CO218"/>
    <mergeCell ref="CN219:CO219"/>
    <mergeCell ref="B204:B205"/>
    <mergeCell ref="F206:F207"/>
    <mergeCell ref="E195:E197"/>
    <mergeCell ref="C198:C199"/>
    <mergeCell ref="B195:B197"/>
    <mergeCell ref="AN216:AO216"/>
    <mergeCell ref="AN217:AO217"/>
    <mergeCell ref="CN216:CO216"/>
    <mergeCell ref="CN217:CO217"/>
    <mergeCell ref="CF216:CG216"/>
    <mergeCell ref="CF219:CG219"/>
    <mergeCell ref="J195:J197"/>
    <mergeCell ref="AN196:AS196"/>
    <mergeCell ref="AB213:AG213"/>
    <mergeCell ref="K212:M212"/>
    <mergeCell ref="K211:M211"/>
    <mergeCell ref="M202:M203"/>
    <mergeCell ref="V196:AA196"/>
    <mergeCell ref="N195:CT195"/>
    <mergeCell ref="CM196:CT196"/>
    <mergeCell ref="K213:M213"/>
    <mergeCell ref="J209:M209"/>
    <mergeCell ref="F198:F199"/>
    <mergeCell ref="G198:G199"/>
    <mergeCell ref="CX228:CY228"/>
    <mergeCell ref="CZ228:DA228"/>
    <mergeCell ref="CX223:CY223"/>
    <mergeCell ref="CZ223:DA223"/>
    <mergeCell ref="CX222:CY222"/>
    <mergeCell ref="CZ222:DA222"/>
    <mergeCell ref="CZ227:DA227"/>
    <mergeCell ref="CX227:CY227"/>
    <mergeCell ref="P217:Q217"/>
    <mergeCell ref="P218:Q218"/>
    <mergeCell ref="P219:Q219"/>
    <mergeCell ref="P220:Q220"/>
    <mergeCell ref="P221:Q221"/>
    <mergeCell ref="P222:Q222"/>
    <mergeCell ref="P223:Q223"/>
    <mergeCell ref="P224:Q224"/>
    <mergeCell ref="BP217:BQ217"/>
    <mergeCell ref="BP218:BQ218"/>
    <mergeCell ref="BP219:BQ219"/>
    <mergeCell ref="BP220:BQ220"/>
    <mergeCell ref="BX220:BY220"/>
    <mergeCell ref="BP221:BQ221"/>
    <mergeCell ref="BP222:BQ222"/>
    <mergeCell ref="CF220:CG220"/>
    <mergeCell ref="CF221:CG221"/>
    <mergeCell ref="CN224:CO224"/>
    <mergeCell ref="CN223:CO223"/>
    <mergeCell ref="CF218:CG218"/>
    <mergeCell ref="CN220:CO220"/>
    <mergeCell ref="CN221:CO221"/>
    <mergeCell ref="CN222:CO222"/>
    <mergeCell ref="CF222:CG222"/>
    <mergeCell ref="E129:E130"/>
    <mergeCell ref="F129:F130"/>
    <mergeCell ref="G129:G130"/>
    <mergeCell ref="H129:H130"/>
    <mergeCell ref="I129:I130"/>
    <mergeCell ref="G151:G152"/>
    <mergeCell ref="J159:J160"/>
    <mergeCell ref="J153:J154"/>
    <mergeCell ref="H167:H168"/>
    <mergeCell ref="K131:K132"/>
    <mergeCell ref="L131:L132"/>
    <mergeCell ref="G161:G162"/>
    <mergeCell ref="H161:H162"/>
    <mergeCell ref="I161:I162"/>
    <mergeCell ref="L147:L148"/>
    <mergeCell ref="K137:K138"/>
    <mergeCell ref="L137:L138"/>
    <mergeCell ref="K133:K134"/>
    <mergeCell ref="L133:L134"/>
    <mergeCell ref="J137:J138"/>
    <mergeCell ref="H135:H136"/>
    <mergeCell ref="I135:I136"/>
    <mergeCell ref="J135:J136"/>
    <mergeCell ref="J168:M168"/>
    <mergeCell ref="K135:K136"/>
    <mergeCell ref="G145:G146"/>
    <mergeCell ref="G131:G132"/>
    <mergeCell ref="H131:H132"/>
    <mergeCell ref="H149:H150"/>
    <mergeCell ref="I167:I168"/>
    <mergeCell ref="I159:I160"/>
    <mergeCell ref="H157:H158"/>
    <mergeCell ref="G109:G110"/>
    <mergeCell ref="H109:H110"/>
    <mergeCell ref="I109:I110"/>
    <mergeCell ref="J109:J110"/>
    <mergeCell ref="K109:K110"/>
    <mergeCell ref="K119:K120"/>
    <mergeCell ref="L119:L120"/>
    <mergeCell ref="J123:J124"/>
    <mergeCell ref="K123:K124"/>
    <mergeCell ref="L123:L124"/>
    <mergeCell ref="J117:J118"/>
    <mergeCell ref="I107:I108"/>
    <mergeCell ref="J107:J108"/>
    <mergeCell ref="K107:K108"/>
    <mergeCell ref="L107:L108"/>
    <mergeCell ref="L113:L114"/>
    <mergeCell ref="K117:K118"/>
    <mergeCell ref="G107:G108"/>
    <mergeCell ref="H107:H108"/>
    <mergeCell ref="G123:G124"/>
    <mergeCell ref="G119:G120"/>
    <mergeCell ref="K121:K122"/>
    <mergeCell ref="L121:L122"/>
    <mergeCell ref="H121:H122"/>
    <mergeCell ref="I121:I122"/>
    <mergeCell ref="J121:J122"/>
    <mergeCell ref="G103:G104"/>
    <mergeCell ref="H103:H104"/>
    <mergeCell ref="I103:I104"/>
    <mergeCell ref="J103:J104"/>
    <mergeCell ref="K103:K104"/>
    <mergeCell ref="G101:G102"/>
    <mergeCell ref="M93:M94"/>
    <mergeCell ref="G97:G98"/>
    <mergeCell ref="J93:J94"/>
    <mergeCell ref="L93:L94"/>
    <mergeCell ref="J97:J98"/>
    <mergeCell ref="L91:L92"/>
    <mergeCell ref="J101:J102"/>
    <mergeCell ref="K101:K102"/>
    <mergeCell ref="L101:L102"/>
    <mergeCell ref="L95:L96"/>
    <mergeCell ref="I93:I94"/>
    <mergeCell ref="L103:L104"/>
    <mergeCell ref="M103:M104"/>
    <mergeCell ref="H101:H102"/>
    <mergeCell ref="I101:I102"/>
    <mergeCell ref="G95:G96"/>
    <mergeCell ref="H95:H96"/>
    <mergeCell ref="I95:I96"/>
    <mergeCell ref="J95:J96"/>
    <mergeCell ref="K95:K96"/>
    <mergeCell ref="M99:M100"/>
    <mergeCell ref="H99:H100"/>
    <mergeCell ref="G99:G100"/>
    <mergeCell ref="H97:H98"/>
    <mergeCell ref="M83:M84"/>
    <mergeCell ref="J83:J84"/>
    <mergeCell ref="M85:M86"/>
    <mergeCell ref="K83:K84"/>
    <mergeCell ref="L83:L84"/>
    <mergeCell ref="K85:K86"/>
    <mergeCell ref="G87:G88"/>
    <mergeCell ref="H87:H88"/>
    <mergeCell ref="K93:K94"/>
    <mergeCell ref="K87:K88"/>
    <mergeCell ref="M91:M92"/>
    <mergeCell ref="J89:J90"/>
    <mergeCell ref="K89:K90"/>
    <mergeCell ref="L89:L90"/>
    <mergeCell ref="G89:G90"/>
    <mergeCell ref="I97:I98"/>
    <mergeCell ref="M95:M96"/>
    <mergeCell ref="L85:L86"/>
    <mergeCell ref="J85:J86"/>
    <mergeCell ref="J91:J92"/>
    <mergeCell ref="M89:M90"/>
    <mergeCell ref="K91:K92"/>
    <mergeCell ref="M97:M98"/>
    <mergeCell ref="H91:H92"/>
    <mergeCell ref="I91:I92"/>
    <mergeCell ref="H93:H94"/>
    <mergeCell ref="D11:D12"/>
    <mergeCell ref="D13:D14"/>
    <mergeCell ref="G67:G68"/>
    <mergeCell ref="A53:A54"/>
    <mergeCell ref="B53:B54"/>
    <mergeCell ref="C53:C54"/>
    <mergeCell ref="D53:D54"/>
    <mergeCell ref="E53:E54"/>
    <mergeCell ref="F53:F54"/>
    <mergeCell ref="G53:G54"/>
    <mergeCell ref="F67:F68"/>
    <mergeCell ref="C57:C58"/>
    <mergeCell ref="D57:D58"/>
    <mergeCell ref="E57:E58"/>
    <mergeCell ref="F57:F58"/>
    <mergeCell ref="E61:E62"/>
    <mergeCell ref="F55:F56"/>
    <mergeCell ref="E21:E22"/>
    <mergeCell ref="F21:F22"/>
    <mergeCell ref="A27:A28"/>
    <mergeCell ref="B27:B28"/>
    <mergeCell ref="A21:A22"/>
    <mergeCell ref="B21:B22"/>
    <mergeCell ref="D63:D64"/>
    <mergeCell ref="E63:E64"/>
    <mergeCell ref="E29:E30"/>
    <mergeCell ref="C65:C66"/>
    <mergeCell ref="D65:D66"/>
    <mergeCell ref="E65:E66"/>
    <mergeCell ref="A59:A60"/>
    <mergeCell ref="G17:G18"/>
    <mergeCell ref="G21:G22"/>
    <mergeCell ref="A4:A6"/>
    <mergeCell ref="B4:B6"/>
    <mergeCell ref="B7:B8"/>
    <mergeCell ref="B9:B10"/>
    <mergeCell ref="A13:A14"/>
    <mergeCell ref="G9:G10"/>
    <mergeCell ref="G19:G20"/>
    <mergeCell ref="C13:C14"/>
    <mergeCell ref="G13:G14"/>
    <mergeCell ref="B17:B18"/>
    <mergeCell ref="F17:F18"/>
    <mergeCell ref="C27:C28"/>
    <mergeCell ref="D27:D28"/>
    <mergeCell ref="E27:E28"/>
    <mergeCell ref="F27:F28"/>
    <mergeCell ref="A19:A20"/>
    <mergeCell ref="B19:B20"/>
    <mergeCell ref="D9:D10"/>
    <mergeCell ref="A7:A8"/>
    <mergeCell ref="B13:B14"/>
    <mergeCell ref="B11:B12"/>
    <mergeCell ref="A15:A16"/>
    <mergeCell ref="B15:B16"/>
    <mergeCell ref="E4:E6"/>
    <mergeCell ref="A23:A24"/>
    <mergeCell ref="B23:B24"/>
    <mergeCell ref="A9:A10"/>
    <mergeCell ref="C9:C10"/>
    <mergeCell ref="D21:D22"/>
    <mergeCell ref="A11:A12"/>
    <mergeCell ref="A17:A18"/>
    <mergeCell ref="E11:E12"/>
    <mergeCell ref="F4:F6"/>
    <mergeCell ref="C4:C6"/>
    <mergeCell ref="E9:E10"/>
    <mergeCell ref="E7:E8"/>
    <mergeCell ref="D4:D6"/>
    <mergeCell ref="D7:D8"/>
    <mergeCell ref="F65:F66"/>
    <mergeCell ref="G65:G66"/>
    <mergeCell ref="F37:F38"/>
    <mergeCell ref="G37:G38"/>
    <mergeCell ref="G7:G8"/>
    <mergeCell ref="C7:C8"/>
    <mergeCell ref="F15:F16"/>
    <mergeCell ref="F9:F10"/>
    <mergeCell ref="F13:F14"/>
    <mergeCell ref="F11:F12"/>
    <mergeCell ref="C23:C24"/>
    <mergeCell ref="D23:D24"/>
    <mergeCell ref="G15:G16"/>
    <mergeCell ref="F29:F30"/>
    <mergeCell ref="F33:F34"/>
    <mergeCell ref="D29:D30"/>
    <mergeCell ref="C21:C22"/>
    <mergeCell ref="G23:G24"/>
    <mergeCell ref="C17:C18"/>
    <mergeCell ref="C15:C16"/>
    <mergeCell ref="C29:C30"/>
    <mergeCell ref="C31:C32"/>
    <mergeCell ref="D31:D32"/>
    <mergeCell ref="C47:C48"/>
    <mergeCell ref="C11:C12"/>
    <mergeCell ref="E23:E24"/>
    <mergeCell ref="K55:K56"/>
    <mergeCell ref="I31:I32"/>
    <mergeCell ref="G41:G42"/>
    <mergeCell ref="G31:G32"/>
    <mergeCell ref="H31:H32"/>
    <mergeCell ref="G27:G28"/>
    <mergeCell ref="K57:K58"/>
    <mergeCell ref="K23:K24"/>
    <mergeCell ref="K27:K28"/>
    <mergeCell ref="I35:I36"/>
    <mergeCell ref="G29:G30"/>
    <mergeCell ref="J25:J26"/>
    <mergeCell ref="K25:K26"/>
    <mergeCell ref="K29:K30"/>
    <mergeCell ref="G35:G36"/>
    <mergeCell ref="G33:G34"/>
    <mergeCell ref="K45:K46"/>
    <mergeCell ref="J53:J54"/>
    <mergeCell ref="J23:J24"/>
    <mergeCell ref="H19:H20"/>
    <mergeCell ref="J45:J46"/>
    <mergeCell ref="H17:H18"/>
    <mergeCell ref="L51:L52"/>
    <mergeCell ref="H41:H42"/>
    <mergeCell ref="I41:I42"/>
    <mergeCell ref="J41:J42"/>
    <mergeCell ref="K41:K42"/>
    <mergeCell ref="L41:L42"/>
    <mergeCell ref="J49:J50"/>
    <mergeCell ref="K49:K50"/>
    <mergeCell ref="L49:L50"/>
    <mergeCell ref="G25:G26"/>
    <mergeCell ref="H25:H26"/>
    <mergeCell ref="H21:H22"/>
    <mergeCell ref="I21:I22"/>
    <mergeCell ref="J21:J22"/>
    <mergeCell ref="H23:H24"/>
    <mergeCell ref="I23:I24"/>
    <mergeCell ref="J51:J52"/>
    <mergeCell ref="K51:K52"/>
    <mergeCell ref="M23:M24"/>
    <mergeCell ref="CM5:CT5"/>
    <mergeCell ref="K35:K36"/>
    <mergeCell ref="L35:L36"/>
    <mergeCell ref="J39:J40"/>
    <mergeCell ref="K39:K40"/>
    <mergeCell ref="L39:L40"/>
    <mergeCell ref="J43:J44"/>
    <mergeCell ref="K43:K44"/>
    <mergeCell ref="L43:L44"/>
    <mergeCell ref="J47:J48"/>
    <mergeCell ref="K47:K48"/>
    <mergeCell ref="L47:L48"/>
    <mergeCell ref="J27:J28"/>
    <mergeCell ref="I17:I18"/>
    <mergeCell ref="I4:I6"/>
    <mergeCell ref="BG5:BN5"/>
    <mergeCell ref="BO5:BV5"/>
    <mergeCell ref="I11:I12"/>
    <mergeCell ref="BW5:CD5"/>
    <mergeCell ref="AZ5:BF5"/>
    <mergeCell ref="L29:L30"/>
    <mergeCell ref="J31:J32"/>
    <mergeCell ref="K31:K32"/>
    <mergeCell ref="L31:L32"/>
    <mergeCell ref="N4:CT4"/>
    <mergeCell ref="CE5:CL5"/>
    <mergeCell ref="M33:M34"/>
    <mergeCell ref="K4:K6"/>
    <mergeCell ref="M27:M28"/>
    <mergeCell ref="N5:U5"/>
    <mergeCell ref="L4:L6"/>
    <mergeCell ref="I19:I20"/>
    <mergeCell ref="I45:I46"/>
    <mergeCell ref="L33:L34"/>
    <mergeCell ref="AN5:AS5"/>
    <mergeCell ref="AT5:AY5"/>
    <mergeCell ref="M25:M26"/>
    <mergeCell ref="I25:I26"/>
    <mergeCell ref="L25:L26"/>
    <mergeCell ref="M45:M46"/>
    <mergeCell ref="M31:M32"/>
    <mergeCell ref="M39:M40"/>
    <mergeCell ref="L27:L28"/>
    <mergeCell ref="I29:I30"/>
    <mergeCell ref="J29:J30"/>
    <mergeCell ref="L21:L22"/>
    <mergeCell ref="M21:M22"/>
    <mergeCell ref="I27:I28"/>
    <mergeCell ref="M29:M30"/>
    <mergeCell ref="L23:L24"/>
    <mergeCell ref="O191:U191"/>
    <mergeCell ref="F7:F8"/>
    <mergeCell ref="AH5:AM5"/>
    <mergeCell ref="M53:M54"/>
    <mergeCell ref="F176:F177"/>
    <mergeCell ref="G176:G177"/>
    <mergeCell ref="F91:F92"/>
    <mergeCell ref="M7:M8"/>
    <mergeCell ref="I53:I54"/>
    <mergeCell ref="L87:L88"/>
    <mergeCell ref="M87:M88"/>
    <mergeCell ref="H13:H14"/>
    <mergeCell ref="I13:I14"/>
    <mergeCell ref="G11:G12"/>
    <mergeCell ref="K79:K80"/>
    <mergeCell ref="I81:I82"/>
    <mergeCell ref="H73:H74"/>
    <mergeCell ref="K21:K22"/>
    <mergeCell ref="G105:G106"/>
    <mergeCell ref="F101:F102"/>
    <mergeCell ref="I15:I16"/>
    <mergeCell ref="I83:I84"/>
    <mergeCell ref="I7:I8"/>
    <mergeCell ref="G4:G6"/>
    <mergeCell ref="H11:H12"/>
    <mergeCell ref="H15:H16"/>
    <mergeCell ref="M35:M36"/>
    <mergeCell ref="H37:H38"/>
    <mergeCell ref="I37:I38"/>
    <mergeCell ref="G125:G126"/>
    <mergeCell ref="M47:M48"/>
    <mergeCell ref="H29:H30"/>
    <mergeCell ref="K59:K60"/>
    <mergeCell ref="H75:H76"/>
    <mergeCell ref="H79:H80"/>
    <mergeCell ref="I79:I80"/>
    <mergeCell ref="I65:I66"/>
    <mergeCell ref="H67:H68"/>
    <mergeCell ref="J67:J68"/>
    <mergeCell ref="K53:K54"/>
    <mergeCell ref="L53:L54"/>
    <mergeCell ref="V5:AA5"/>
    <mergeCell ref="AB5:AG5"/>
    <mergeCell ref="H7:H8"/>
    <mergeCell ref="H9:H10"/>
    <mergeCell ref="J4:J6"/>
    <mergeCell ref="M9:M10"/>
    <mergeCell ref="H47:H48"/>
    <mergeCell ref="H27:H28"/>
    <mergeCell ref="I9:I10"/>
    <mergeCell ref="H33:H34"/>
    <mergeCell ref="I33:I34"/>
    <mergeCell ref="J33:J34"/>
    <mergeCell ref="K33:K34"/>
    <mergeCell ref="L59:L60"/>
    <mergeCell ref="L55:L56"/>
    <mergeCell ref="L57:L58"/>
    <mergeCell ref="M73:M74"/>
    <mergeCell ref="M75:M76"/>
    <mergeCell ref="M77:M78"/>
    <mergeCell ref="K77:K78"/>
    <mergeCell ref="L77:L78"/>
    <mergeCell ref="H4:H6"/>
    <mergeCell ref="M4:M6"/>
    <mergeCell ref="E125:E126"/>
    <mergeCell ref="F125:F126"/>
    <mergeCell ref="F117:F118"/>
    <mergeCell ref="A99:A100"/>
    <mergeCell ref="B99:B100"/>
    <mergeCell ref="E105:E106"/>
    <mergeCell ref="F105:F106"/>
    <mergeCell ref="E121:E122"/>
    <mergeCell ref="A121:A122"/>
    <mergeCell ref="B121:B122"/>
    <mergeCell ref="C121:C122"/>
    <mergeCell ref="D121:D122"/>
    <mergeCell ref="E103:E104"/>
    <mergeCell ref="F103:F104"/>
    <mergeCell ref="A107:A108"/>
    <mergeCell ref="A113:A114"/>
    <mergeCell ref="B113:B114"/>
    <mergeCell ref="C113:C114"/>
    <mergeCell ref="D113:D114"/>
    <mergeCell ref="E113:E114"/>
    <mergeCell ref="E109:E110"/>
    <mergeCell ref="F109:F110"/>
    <mergeCell ref="F111:F112"/>
    <mergeCell ref="E107:E108"/>
    <mergeCell ref="F107:F108"/>
    <mergeCell ref="F113:F114"/>
    <mergeCell ref="E123:E124"/>
    <mergeCell ref="F123:F124"/>
    <mergeCell ref="F119:F120"/>
    <mergeCell ref="B105:B106"/>
    <mergeCell ref="A178:A179"/>
    <mergeCell ref="D178:D179"/>
    <mergeCell ref="C105:C106"/>
    <mergeCell ref="D105:D106"/>
    <mergeCell ref="A117:A118"/>
    <mergeCell ref="A105:A106"/>
    <mergeCell ref="A111:A112"/>
    <mergeCell ref="B119:B120"/>
    <mergeCell ref="C119:C120"/>
    <mergeCell ref="B117:B118"/>
    <mergeCell ref="C117:C118"/>
    <mergeCell ref="D117:D118"/>
    <mergeCell ref="A123:A124"/>
    <mergeCell ref="B123:B124"/>
    <mergeCell ref="C123:C124"/>
    <mergeCell ref="A125:A126"/>
    <mergeCell ref="B125:B126"/>
    <mergeCell ref="C125:C126"/>
    <mergeCell ref="D125:D126"/>
    <mergeCell ref="A176:A177"/>
    <mergeCell ref="B176:B177"/>
    <mergeCell ref="C178:C179"/>
    <mergeCell ref="D176:D177"/>
    <mergeCell ref="B174:B175"/>
    <mergeCell ref="C147:C148"/>
    <mergeCell ref="D147:D148"/>
    <mergeCell ref="H184:H185"/>
    <mergeCell ref="F87:F88"/>
    <mergeCell ref="F89:F90"/>
    <mergeCell ref="C91:C92"/>
    <mergeCell ref="B182:B183"/>
    <mergeCell ref="E184:E185"/>
    <mergeCell ref="H186:H187"/>
    <mergeCell ref="F182:F183"/>
    <mergeCell ref="G182:G183"/>
    <mergeCell ref="G174:G175"/>
    <mergeCell ref="I174:I175"/>
    <mergeCell ref="I178:I179"/>
    <mergeCell ref="H180:H181"/>
    <mergeCell ref="B184:B185"/>
    <mergeCell ref="D184:D185"/>
    <mergeCell ref="B109:B110"/>
    <mergeCell ref="C109:C110"/>
    <mergeCell ref="G184:G185"/>
    <mergeCell ref="E182:E183"/>
    <mergeCell ref="D182:D183"/>
    <mergeCell ref="H89:H90"/>
    <mergeCell ref="I89:I90"/>
    <mergeCell ref="G91:G92"/>
    <mergeCell ref="G180:G181"/>
    <mergeCell ref="H182:H183"/>
    <mergeCell ref="D101:D102"/>
    <mergeCell ref="E99:E100"/>
    <mergeCell ref="H171:H173"/>
    <mergeCell ref="D123:D124"/>
    <mergeCell ref="B131:B132"/>
    <mergeCell ref="C131:C132"/>
    <mergeCell ref="B133:B134"/>
    <mergeCell ref="A167:G168"/>
    <mergeCell ref="A129:A130"/>
    <mergeCell ref="C93:C94"/>
    <mergeCell ref="C95:C96"/>
    <mergeCell ref="C171:C173"/>
    <mergeCell ref="B171:B173"/>
    <mergeCell ref="E174:E175"/>
    <mergeCell ref="F174:F175"/>
    <mergeCell ref="B107:B108"/>
    <mergeCell ref="C107:C108"/>
    <mergeCell ref="A97:A98"/>
    <mergeCell ref="A109:A110"/>
    <mergeCell ref="D109:D110"/>
    <mergeCell ref="D103:D104"/>
    <mergeCell ref="A93:A94"/>
    <mergeCell ref="D171:D173"/>
    <mergeCell ref="F93:F94"/>
    <mergeCell ref="C99:C100"/>
    <mergeCell ref="A119:A120"/>
    <mergeCell ref="F99:F100"/>
    <mergeCell ref="A115:A116"/>
    <mergeCell ref="D107:D108"/>
    <mergeCell ref="A131:A132"/>
    <mergeCell ref="A133:A134"/>
    <mergeCell ref="C174:C175"/>
    <mergeCell ref="D174:D175"/>
    <mergeCell ref="A171:A173"/>
    <mergeCell ref="C97:C98"/>
    <mergeCell ref="D97:D98"/>
    <mergeCell ref="C103:C104"/>
    <mergeCell ref="A103:A104"/>
    <mergeCell ref="B103:B104"/>
    <mergeCell ref="E89:E90"/>
    <mergeCell ref="D85:D86"/>
    <mergeCell ref="E85:E86"/>
    <mergeCell ref="I87:I88"/>
    <mergeCell ref="E81:E82"/>
    <mergeCell ref="B97:B98"/>
    <mergeCell ref="B87:B88"/>
    <mergeCell ref="B81:B82"/>
    <mergeCell ref="F95:F96"/>
    <mergeCell ref="B83:B84"/>
    <mergeCell ref="E79:E80"/>
    <mergeCell ref="D87:D88"/>
    <mergeCell ref="C87:C88"/>
    <mergeCell ref="F81:F82"/>
    <mergeCell ref="B101:B102"/>
    <mergeCell ref="B89:B90"/>
    <mergeCell ref="C101:C102"/>
    <mergeCell ref="B93:B94"/>
    <mergeCell ref="E95:E96"/>
    <mergeCell ref="E97:E98"/>
    <mergeCell ref="B91:B92"/>
    <mergeCell ref="D91:D92"/>
    <mergeCell ref="H83:H84"/>
    <mergeCell ref="C89:C90"/>
    <mergeCell ref="D89:D90"/>
    <mergeCell ref="B79:B80"/>
    <mergeCell ref="D93:D94"/>
    <mergeCell ref="E93:E94"/>
    <mergeCell ref="E87:E88"/>
    <mergeCell ref="I49:I50"/>
    <mergeCell ref="G51:G52"/>
    <mergeCell ref="F79:F80"/>
    <mergeCell ref="L61:L62"/>
    <mergeCell ref="M59:M60"/>
    <mergeCell ref="K61:K62"/>
    <mergeCell ref="H71:H72"/>
    <mergeCell ref="I67:I68"/>
    <mergeCell ref="D71:D72"/>
    <mergeCell ref="M61:M62"/>
    <mergeCell ref="J61:J62"/>
    <mergeCell ref="G77:G78"/>
    <mergeCell ref="I71:I72"/>
    <mergeCell ref="E71:E72"/>
    <mergeCell ref="G61:G62"/>
    <mergeCell ref="H61:H62"/>
    <mergeCell ref="J81:J82"/>
    <mergeCell ref="J79:J80"/>
    <mergeCell ref="G71:G72"/>
    <mergeCell ref="M65:M66"/>
    <mergeCell ref="K63:K64"/>
    <mergeCell ref="L63:L64"/>
    <mergeCell ref="J65:J66"/>
    <mergeCell ref="M69:M70"/>
    <mergeCell ref="J73:J74"/>
    <mergeCell ref="M55:M56"/>
    <mergeCell ref="F73:F74"/>
    <mergeCell ref="K81:K82"/>
    <mergeCell ref="L81:L82"/>
    <mergeCell ref="I59:I60"/>
    <mergeCell ref="J59:J60"/>
    <mergeCell ref="A35:A36"/>
    <mergeCell ref="B35:B36"/>
    <mergeCell ref="C35:C36"/>
    <mergeCell ref="D35:D36"/>
    <mergeCell ref="E35:E36"/>
    <mergeCell ref="F35:F36"/>
    <mergeCell ref="A37:A38"/>
    <mergeCell ref="B37:B38"/>
    <mergeCell ref="E37:E38"/>
    <mergeCell ref="I43:I44"/>
    <mergeCell ref="E41:E42"/>
    <mergeCell ref="F41:F42"/>
    <mergeCell ref="J55:J56"/>
    <mergeCell ref="F45:F46"/>
    <mergeCell ref="G45:G46"/>
    <mergeCell ref="M57:M58"/>
    <mergeCell ref="J57:J58"/>
    <mergeCell ref="H55:H56"/>
    <mergeCell ref="I55:I56"/>
    <mergeCell ref="L45:L46"/>
    <mergeCell ref="H43:H44"/>
    <mergeCell ref="M41:M42"/>
    <mergeCell ref="A45:A46"/>
    <mergeCell ref="B45:B46"/>
    <mergeCell ref="C45:C46"/>
    <mergeCell ref="M43:M44"/>
    <mergeCell ref="H45:H46"/>
    <mergeCell ref="K37:K38"/>
    <mergeCell ref="L37:L38"/>
    <mergeCell ref="M37:M38"/>
    <mergeCell ref="M49:M50"/>
    <mergeCell ref="M51:M52"/>
    <mergeCell ref="C19:C20"/>
    <mergeCell ref="H39:H40"/>
    <mergeCell ref="I39:I40"/>
    <mergeCell ref="A43:A44"/>
    <mergeCell ref="B43:B44"/>
    <mergeCell ref="A39:A40"/>
    <mergeCell ref="B39:B40"/>
    <mergeCell ref="C39:C40"/>
    <mergeCell ref="D39:D40"/>
    <mergeCell ref="E39:E40"/>
    <mergeCell ref="F39:F40"/>
    <mergeCell ref="G39:G40"/>
    <mergeCell ref="C43:C44"/>
    <mergeCell ref="D43:D44"/>
    <mergeCell ref="E43:E44"/>
    <mergeCell ref="C37:C38"/>
    <mergeCell ref="J35:J36"/>
    <mergeCell ref="D37:D38"/>
    <mergeCell ref="J37:J38"/>
    <mergeCell ref="H35:H36"/>
    <mergeCell ref="F43:F44"/>
    <mergeCell ref="G43:G44"/>
    <mergeCell ref="A41:A42"/>
    <mergeCell ref="B41:B42"/>
    <mergeCell ref="C41:C42"/>
    <mergeCell ref="D41:D42"/>
    <mergeCell ref="A25:A26"/>
    <mergeCell ref="B25:B26"/>
    <mergeCell ref="C25:C26"/>
    <mergeCell ref="D25:D26"/>
    <mergeCell ref="E25:E26"/>
    <mergeCell ref="F25:F26"/>
    <mergeCell ref="A71:A72"/>
    <mergeCell ref="I69:I70"/>
    <mergeCell ref="E67:E68"/>
    <mergeCell ref="D67:D68"/>
    <mergeCell ref="A49:A50"/>
    <mergeCell ref="A47:A48"/>
    <mergeCell ref="B47:B48"/>
    <mergeCell ref="A55:A56"/>
    <mergeCell ref="B55:B56"/>
    <mergeCell ref="C55:C56"/>
    <mergeCell ref="A61:A62"/>
    <mergeCell ref="B61:B62"/>
    <mergeCell ref="E59:E60"/>
    <mergeCell ref="F59:F60"/>
    <mergeCell ref="D59:D60"/>
    <mergeCell ref="B59:B60"/>
    <mergeCell ref="C59:C60"/>
    <mergeCell ref="B65:B66"/>
    <mergeCell ref="H53:H54"/>
    <mergeCell ref="H51:H52"/>
    <mergeCell ref="G55:G56"/>
    <mergeCell ref="G57:G58"/>
    <mergeCell ref="H57:H58"/>
    <mergeCell ref="I57:I58"/>
    <mergeCell ref="H59:H60"/>
    <mergeCell ref="G69:G70"/>
    <mergeCell ref="H65:H66"/>
    <mergeCell ref="G47:G48"/>
    <mergeCell ref="B49:B50"/>
    <mergeCell ref="I51:I52"/>
    <mergeCell ref="D47:D48"/>
    <mergeCell ref="F71:F72"/>
    <mergeCell ref="A33:A34"/>
    <mergeCell ref="B33:B34"/>
    <mergeCell ref="C33:C34"/>
    <mergeCell ref="E45:E46"/>
    <mergeCell ref="A57:A58"/>
    <mergeCell ref="B57:B58"/>
    <mergeCell ref="D55:D56"/>
    <mergeCell ref="E55:E56"/>
    <mergeCell ref="C71:C72"/>
    <mergeCell ref="C75:C76"/>
    <mergeCell ref="C83:C84"/>
    <mergeCell ref="D83:D84"/>
    <mergeCell ref="E83:E84"/>
    <mergeCell ref="C79:C80"/>
    <mergeCell ref="F83:F84"/>
    <mergeCell ref="A89:A90"/>
    <mergeCell ref="D79:D80"/>
    <mergeCell ref="B85:B86"/>
    <mergeCell ref="A51:A52"/>
    <mergeCell ref="B51:B52"/>
    <mergeCell ref="E51:E52"/>
    <mergeCell ref="A69:A70"/>
    <mergeCell ref="A63:A64"/>
    <mergeCell ref="B63:B64"/>
    <mergeCell ref="B67:B68"/>
    <mergeCell ref="A67:A68"/>
    <mergeCell ref="D73:D74"/>
    <mergeCell ref="F85:F86"/>
    <mergeCell ref="E75:E76"/>
    <mergeCell ref="A77:A78"/>
    <mergeCell ref="B77:B78"/>
    <mergeCell ref="D75:D76"/>
    <mergeCell ref="A29:A30"/>
    <mergeCell ref="B29:B30"/>
    <mergeCell ref="A31:A32"/>
    <mergeCell ref="B31:B32"/>
    <mergeCell ref="E31:E32"/>
    <mergeCell ref="C81:C82"/>
    <mergeCell ref="D81:D82"/>
    <mergeCell ref="E77:E78"/>
    <mergeCell ref="A75:A76"/>
    <mergeCell ref="F47:F48"/>
    <mergeCell ref="C51:C52"/>
    <mergeCell ref="F69:F70"/>
    <mergeCell ref="J75:J76"/>
    <mergeCell ref="A101:A102"/>
    <mergeCell ref="A87:A88"/>
    <mergeCell ref="A81:A82"/>
    <mergeCell ref="E91:E92"/>
    <mergeCell ref="D99:D100"/>
    <mergeCell ref="D95:D96"/>
    <mergeCell ref="A95:A96"/>
    <mergeCell ref="B95:B96"/>
    <mergeCell ref="A73:A74"/>
    <mergeCell ref="C85:C86"/>
    <mergeCell ref="B73:B74"/>
    <mergeCell ref="B75:B76"/>
    <mergeCell ref="A79:A80"/>
    <mergeCell ref="E73:E74"/>
    <mergeCell ref="A91:A92"/>
    <mergeCell ref="A85:A86"/>
    <mergeCell ref="A83:A84"/>
    <mergeCell ref="D77:D78"/>
    <mergeCell ref="A65:A66"/>
    <mergeCell ref="C67:C68"/>
    <mergeCell ref="I47:I48"/>
    <mergeCell ref="E47:E48"/>
    <mergeCell ref="F75:F76"/>
    <mergeCell ref="F77:F78"/>
    <mergeCell ref="G81:G82"/>
    <mergeCell ref="I63:I64"/>
    <mergeCell ref="H69:H70"/>
    <mergeCell ref="H63:H64"/>
    <mergeCell ref="I73:I74"/>
    <mergeCell ref="G73:G74"/>
    <mergeCell ref="I77:I78"/>
    <mergeCell ref="G75:G76"/>
    <mergeCell ref="G79:G80"/>
    <mergeCell ref="H77:H78"/>
    <mergeCell ref="B69:B70"/>
    <mergeCell ref="B71:B72"/>
    <mergeCell ref="F61:F62"/>
    <mergeCell ref="F51:F52"/>
    <mergeCell ref="E69:E70"/>
    <mergeCell ref="C63:C64"/>
    <mergeCell ref="G59:G60"/>
    <mergeCell ref="G63:G64"/>
    <mergeCell ref="M81:M82"/>
    <mergeCell ref="L79:L80"/>
    <mergeCell ref="M63:M64"/>
    <mergeCell ref="K75:K76"/>
    <mergeCell ref="M79:M80"/>
    <mergeCell ref="J77:J78"/>
    <mergeCell ref="L75:L76"/>
    <mergeCell ref="M71:M72"/>
    <mergeCell ref="M67:M68"/>
    <mergeCell ref="I75:I76"/>
    <mergeCell ref="I61:I62"/>
    <mergeCell ref="L67:L68"/>
    <mergeCell ref="L71:L72"/>
    <mergeCell ref="K73:K74"/>
    <mergeCell ref="L73:L74"/>
    <mergeCell ref="K71:K72"/>
    <mergeCell ref="L65:L66"/>
    <mergeCell ref="K65:K66"/>
    <mergeCell ref="K69:K70"/>
    <mergeCell ref="L69:L70"/>
    <mergeCell ref="K67:K68"/>
    <mergeCell ref="J71:J72"/>
    <mergeCell ref="D17:D18"/>
    <mergeCell ref="D15:D16"/>
    <mergeCell ref="D19:D20"/>
    <mergeCell ref="C49:C50"/>
    <mergeCell ref="D49:D50"/>
    <mergeCell ref="E49:E50"/>
    <mergeCell ref="F49:F50"/>
    <mergeCell ref="G49:G50"/>
    <mergeCell ref="H49:H50"/>
    <mergeCell ref="C73:C74"/>
    <mergeCell ref="C77:C78"/>
    <mergeCell ref="D51:D52"/>
    <mergeCell ref="D61:D62"/>
    <mergeCell ref="C69:C70"/>
    <mergeCell ref="D69:D70"/>
    <mergeCell ref="J87:J88"/>
    <mergeCell ref="G93:G94"/>
    <mergeCell ref="F63:F64"/>
    <mergeCell ref="D45:D46"/>
    <mergeCell ref="J69:J70"/>
    <mergeCell ref="J63:J64"/>
    <mergeCell ref="F23:F24"/>
    <mergeCell ref="F19:F20"/>
    <mergeCell ref="H81:H82"/>
    <mergeCell ref="C61:C62"/>
    <mergeCell ref="F31:F32"/>
    <mergeCell ref="D33:D34"/>
    <mergeCell ref="E33:E34"/>
    <mergeCell ref="G85:G86"/>
    <mergeCell ref="H85:H86"/>
    <mergeCell ref="I85:I86"/>
    <mergeCell ref="G83:G84"/>
    <mergeCell ref="A202:A203"/>
    <mergeCell ref="V256:W256"/>
    <mergeCell ref="V257:W257"/>
    <mergeCell ref="V258:W258"/>
    <mergeCell ref="V259:W259"/>
    <mergeCell ref="V260:W260"/>
    <mergeCell ref="V261:W261"/>
    <mergeCell ref="V262:W262"/>
    <mergeCell ref="P231:Q231"/>
    <mergeCell ref="P232:Q232"/>
    <mergeCell ref="P236:Q236"/>
    <mergeCell ref="P234:Q234"/>
    <mergeCell ref="H206:H207"/>
    <mergeCell ref="B202:B203"/>
    <mergeCell ref="H202:H203"/>
    <mergeCell ref="V234:W234"/>
    <mergeCell ref="V236:W236"/>
    <mergeCell ref="V237:W237"/>
    <mergeCell ref="V238:W238"/>
    <mergeCell ref="V239:W239"/>
    <mergeCell ref="V240:W240"/>
    <mergeCell ref="V241:W241"/>
    <mergeCell ref="V242:W242"/>
    <mergeCell ref="V243:W243"/>
    <mergeCell ref="E206:E207"/>
    <mergeCell ref="V213:AA213"/>
    <mergeCell ref="V229:W229"/>
    <mergeCell ref="V230:W230"/>
    <mergeCell ref="V231:W231"/>
    <mergeCell ref="V232:W232"/>
    <mergeCell ref="V233:W233"/>
    <mergeCell ref="M206:M207"/>
    <mergeCell ref="AT249:AU249"/>
    <mergeCell ref="AT250:AU250"/>
    <mergeCell ref="AT251:AU251"/>
    <mergeCell ref="AT252:AU252"/>
    <mergeCell ref="AT253:AU253"/>
    <mergeCell ref="AT254:AU254"/>
    <mergeCell ref="AT239:AU239"/>
    <mergeCell ref="AT240:AU240"/>
    <mergeCell ref="AT241:AU241"/>
    <mergeCell ref="AT242:AU242"/>
    <mergeCell ref="AT243:AU243"/>
    <mergeCell ref="AT244:AU244"/>
    <mergeCell ref="V263:W263"/>
    <mergeCell ref="V264:W264"/>
    <mergeCell ref="AB217:AC217"/>
    <mergeCell ref="AB218:AC218"/>
    <mergeCell ref="AB219:AC219"/>
    <mergeCell ref="AB220:AC220"/>
    <mergeCell ref="AB221:AC221"/>
    <mergeCell ref="AB222:AC222"/>
    <mergeCell ref="AB223:AC223"/>
    <mergeCell ref="AB224:AC224"/>
    <mergeCell ref="AN233:AO233"/>
    <mergeCell ref="AN234:AO234"/>
    <mergeCell ref="AB232:AC232"/>
    <mergeCell ref="AB226:AC226"/>
    <mergeCell ref="AB230:AC230"/>
    <mergeCell ref="AN236:AO236"/>
    <mergeCell ref="AN237:AO237"/>
    <mergeCell ref="AN238:AO238"/>
    <mergeCell ref="AN239:AO239"/>
    <mergeCell ref="AN222:AO222"/>
  </mergeCells>
  <phoneticPr fontId="2"/>
  <dataValidations count="2">
    <dataValidation type="list" allowBlank="1" showInputMessage="1" showErrorMessage="1" sqref="C174:C185 C198:C207 C7:C166" xr:uid="{00000000-0002-0000-0200-000000000000}">
      <formula1>Division</formula1>
    </dataValidation>
    <dataValidation type="list" allowBlank="1" showInputMessage="1" showErrorMessage="1" sqref="B198:B207 B174:B185 B7:B166" xr:uid="{00000000-0002-0000-0200-000001000000}">
      <formula1>Status</formula1>
    </dataValidation>
  </dataValidations>
  <hyperlinks>
    <hyperlink ref="G206:G207" location="休暇!A1" display="休暇" xr:uid="{00000000-0004-0000-0200-000000000000}"/>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58"/>
  <sheetViews>
    <sheetView tabSelected="1" zoomScale="85" zoomScaleNormal="85" workbookViewId="0">
      <pane xSplit="5" ySplit="4" topLeftCell="F13" activePane="bottomRight" state="frozen"/>
      <selection pane="topRight" activeCell="F1" sqref="F1"/>
      <selection pane="bottomLeft" activeCell="A5" sqref="A5"/>
      <selection pane="bottomRight"/>
    </sheetView>
  </sheetViews>
  <sheetFormatPr defaultColWidth="9" defaultRowHeight="20.100000000000001" customHeight="1" outlineLevelRow="1" outlineLevelCol="1" x14ac:dyDescent="0.4"/>
  <cols>
    <col min="1" max="1" width="6.25" style="1" customWidth="1"/>
    <col min="2" max="2" width="6.25" style="1" customWidth="1" outlineLevel="1"/>
    <col min="3" max="3" width="9" style="1" customWidth="1" outlineLevel="1"/>
    <col min="4" max="4" width="11.375" style="1" customWidth="1" outlineLevel="1"/>
    <col min="5" max="5" width="38.625" style="256" customWidth="1"/>
    <col min="6" max="6" width="50.875" style="1" bestFit="1" customWidth="1"/>
    <col min="7" max="7" width="45.625" style="1" customWidth="1" outlineLevel="1"/>
    <col min="8" max="8" width="12.75" style="2" bestFit="1" customWidth="1"/>
    <col min="9" max="9" width="55" style="251" customWidth="1"/>
    <col min="10" max="10" width="15.125" style="52" bestFit="1" customWidth="1"/>
    <col min="11" max="16384" width="9" style="1"/>
  </cols>
  <sheetData>
    <row r="1" spans="1:9" ht="30" customHeight="1" x14ac:dyDescent="0.4">
      <c r="A1" s="21" t="s">
        <v>33</v>
      </c>
      <c r="B1" s="21"/>
    </row>
    <row r="2" spans="1:9" ht="5.0999999999999996" customHeight="1" x14ac:dyDescent="0.4"/>
    <row r="3" spans="1:9" ht="31.5" customHeight="1" x14ac:dyDescent="0.4">
      <c r="A3" s="483" t="s">
        <v>0</v>
      </c>
      <c r="B3" s="496" t="s">
        <v>156</v>
      </c>
      <c r="C3" s="496" t="s">
        <v>2</v>
      </c>
      <c r="D3" s="496" t="s">
        <v>3</v>
      </c>
      <c r="E3" s="590" t="s">
        <v>1</v>
      </c>
      <c r="F3" s="476" t="s">
        <v>923</v>
      </c>
      <c r="G3" s="476" t="s">
        <v>942</v>
      </c>
      <c r="H3" s="579" t="s">
        <v>146</v>
      </c>
      <c r="I3" s="483" t="s">
        <v>4</v>
      </c>
    </row>
    <row r="4" spans="1:9" ht="31.5" customHeight="1" x14ac:dyDescent="0.4">
      <c r="A4" s="485"/>
      <c r="B4" s="496"/>
      <c r="C4" s="496"/>
      <c r="D4" s="496"/>
      <c r="E4" s="591"/>
      <c r="F4" s="478"/>
      <c r="G4" s="478"/>
      <c r="H4" s="579"/>
      <c r="I4" s="485"/>
    </row>
    <row r="5" spans="1:9" ht="20.100000000000001" hidden="1" customHeight="1" outlineLevel="1" x14ac:dyDescent="0.4">
      <c r="A5" s="587"/>
      <c r="B5" s="581"/>
      <c r="C5" s="581" t="s">
        <v>155</v>
      </c>
      <c r="D5" s="584" t="s">
        <v>153</v>
      </c>
      <c r="E5" s="592" t="s">
        <v>154</v>
      </c>
      <c r="F5" s="63" t="s">
        <v>149</v>
      </c>
      <c r="G5" s="64"/>
      <c r="H5" s="580"/>
      <c r="I5" s="595"/>
    </row>
    <row r="6" spans="1:9" ht="20.100000000000001" hidden="1" customHeight="1" outlineLevel="1" x14ac:dyDescent="0.4">
      <c r="A6" s="588"/>
      <c r="B6" s="582"/>
      <c r="C6" s="582"/>
      <c r="D6" s="585"/>
      <c r="E6" s="593"/>
      <c r="F6" s="65" t="s">
        <v>150</v>
      </c>
      <c r="G6" s="66"/>
      <c r="H6" s="580"/>
      <c r="I6" s="595"/>
    </row>
    <row r="7" spans="1:9" ht="21" hidden="1" customHeight="1" outlineLevel="1" x14ac:dyDescent="0.4">
      <c r="A7" s="588"/>
      <c r="B7" s="582"/>
      <c r="C7" s="582"/>
      <c r="D7" s="585"/>
      <c r="E7" s="593"/>
      <c r="F7" s="65" t="s">
        <v>151</v>
      </c>
      <c r="G7" s="66"/>
      <c r="H7" s="580"/>
      <c r="I7" s="595"/>
    </row>
    <row r="8" spans="1:9" ht="20.100000000000001" hidden="1" customHeight="1" outlineLevel="1" x14ac:dyDescent="0.4">
      <c r="A8" s="589"/>
      <c r="B8" s="583"/>
      <c r="C8" s="583"/>
      <c r="D8" s="586"/>
      <c r="E8" s="594"/>
      <c r="F8" s="67" t="s">
        <v>152</v>
      </c>
      <c r="G8" s="68"/>
      <c r="H8" s="580"/>
      <c r="I8" s="595"/>
    </row>
    <row r="9" spans="1:9" ht="43.15" hidden="1" customHeight="1" outlineLevel="1" collapsed="1" x14ac:dyDescent="0.4">
      <c r="A9" s="249"/>
      <c r="B9" s="168" t="s">
        <v>329</v>
      </c>
      <c r="C9" s="168" t="s">
        <v>443</v>
      </c>
      <c r="D9" s="168" t="s">
        <v>330</v>
      </c>
      <c r="E9" s="257" t="s">
        <v>444</v>
      </c>
      <c r="F9" s="167" t="s">
        <v>559</v>
      </c>
      <c r="G9" s="167"/>
      <c r="H9" s="250">
        <v>46167</v>
      </c>
      <c r="I9" s="259"/>
    </row>
    <row r="10" spans="1:9" ht="43.15" hidden="1" customHeight="1" outlineLevel="1" collapsed="1" x14ac:dyDescent="0.4">
      <c r="A10" s="249"/>
      <c r="B10" s="168" t="s">
        <v>329</v>
      </c>
      <c r="C10" s="168" t="s">
        <v>443</v>
      </c>
      <c r="D10" s="168" t="s">
        <v>330</v>
      </c>
      <c r="E10" s="257" t="s">
        <v>445</v>
      </c>
      <c r="F10" s="167" t="s">
        <v>613</v>
      </c>
      <c r="G10" s="167"/>
      <c r="H10" s="250">
        <v>46199</v>
      </c>
      <c r="I10" s="259"/>
    </row>
    <row r="11" spans="1:9" ht="43.15" hidden="1" customHeight="1" outlineLevel="1" collapsed="1" x14ac:dyDescent="0.4">
      <c r="A11" s="249"/>
      <c r="B11" s="168" t="s">
        <v>329</v>
      </c>
      <c r="C11" s="168" t="s">
        <v>443</v>
      </c>
      <c r="D11" s="168" t="s">
        <v>330</v>
      </c>
      <c r="E11" s="257" t="s">
        <v>444</v>
      </c>
      <c r="F11" s="167" t="s">
        <v>723</v>
      </c>
      <c r="G11" s="167"/>
      <c r="H11" s="250">
        <v>46223</v>
      </c>
      <c r="I11" s="259"/>
    </row>
    <row r="12" spans="1:9" ht="43.15" hidden="1" customHeight="1" outlineLevel="1" collapsed="1" x14ac:dyDescent="0.4">
      <c r="A12" s="249"/>
      <c r="B12" s="168" t="s">
        <v>329</v>
      </c>
      <c r="C12" s="168" t="s">
        <v>443</v>
      </c>
      <c r="D12" s="168" t="s">
        <v>330</v>
      </c>
      <c r="E12" s="257" t="s">
        <v>444</v>
      </c>
      <c r="F12" s="167" t="s">
        <v>801</v>
      </c>
      <c r="G12" s="167"/>
      <c r="H12" s="250">
        <v>46252</v>
      </c>
      <c r="I12" s="259"/>
    </row>
    <row r="13" spans="1:9" ht="15.75" collapsed="1" x14ac:dyDescent="0.4">
      <c r="A13" s="603">
        <v>1</v>
      </c>
      <c r="B13" s="611" t="s">
        <v>344</v>
      </c>
      <c r="C13" s="611" t="s">
        <v>416</v>
      </c>
      <c r="D13" s="611" t="s">
        <v>446</v>
      </c>
      <c r="E13" s="614" t="s">
        <v>418</v>
      </c>
      <c r="F13" s="252"/>
      <c r="G13" s="252"/>
      <c r="H13" s="568"/>
      <c r="I13" s="617"/>
    </row>
    <row r="14" spans="1:9" ht="15.75" hidden="1" outlineLevel="1" x14ac:dyDescent="0.4">
      <c r="A14" s="604"/>
      <c r="B14" s="612"/>
      <c r="C14" s="612"/>
      <c r="D14" s="612"/>
      <c r="E14" s="615"/>
      <c r="F14" s="254" t="s">
        <v>462</v>
      </c>
      <c r="G14" s="255"/>
      <c r="H14" s="620"/>
      <c r="I14" s="618"/>
    </row>
    <row r="15" spans="1:9" ht="15.75" hidden="1" outlineLevel="1" x14ac:dyDescent="0.4">
      <c r="A15" s="604"/>
      <c r="B15" s="612"/>
      <c r="C15" s="612"/>
      <c r="D15" s="612"/>
      <c r="E15" s="615"/>
      <c r="F15" s="254" t="s">
        <v>518</v>
      </c>
      <c r="G15" s="255"/>
      <c r="H15" s="620"/>
      <c r="I15" s="618"/>
    </row>
    <row r="16" spans="1:9" ht="15.75" hidden="1" outlineLevel="1" x14ac:dyDescent="0.4">
      <c r="A16" s="604"/>
      <c r="B16" s="612"/>
      <c r="C16" s="612"/>
      <c r="D16" s="612"/>
      <c r="E16" s="615"/>
      <c r="F16" s="254" t="s">
        <v>519</v>
      </c>
      <c r="G16" s="255"/>
      <c r="H16" s="620"/>
      <c r="I16" s="618"/>
    </row>
    <row r="17" spans="1:10" ht="15.75" hidden="1" outlineLevel="1" x14ac:dyDescent="0.4">
      <c r="A17" s="604"/>
      <c r="B17" s="612"/>
      <c r="C17" s="612"/>
      <c r="D17" s="612"/>
      <c r="E17" s="615"/>
      <c r="F17" s="254" t="s">
        <v>535</v>
      </c>
      <c r="G17" s="255"/>
      <c r="H17" s="620"/>
      <c r="I17" s="618"/>
    </row>
    <row r="18" spans="1:10" ht="15.75" hidden="1" outlineLevel="1" x14ac:dyDescent="0.4">
      <c r="A18" s="604"/>
      <c r="B18" s="612"/>
      <c r="C18" s="612"/>
      <c r="D18" s="612"/>
      <c r="E18" s="615"/>
      <c r="F18" s="254" t="s">
        <v>567</v>
      </c>
      <c r="G18" s="255"/>
      <c r="H18" s="620"/>
      <c r="I18" s="618"/>
    </row>
    <row r="19" spans="1:10" ht="15.75" hidden="1" outlineLevel="1" x14ac:dyDescent="0.4">
      <c r="A19" s="604"/>
      <c r="B19" s="612"/>
      <c r="C19" s="612"/>
      <c r="D19" s="612"/>
      <c r="E19" s="615"/>
      <c r="F19" s="254" t="s">
        <v>607</v>
      </c>
      <c r="G19" s="255"/>
      <c r="H19" s="620"/>
      <c r="I19" s="618"/>
    </row>
    <row r="20" spans="1:10" ht="15.75" hidden="1" outlineLevel="1" x14ac:dyDescent="0.4">
      <c r="A20" s="604"/>
      <c r="B20" s="612"/>
      <c r="C20" s="612"/>
      <c r="D20" s="612"/>
      <c r="E20" s="615"/>
      <c r="F20" s="254" t="s">
        <v>614</v>
      </c>
      <c r="G20" s="255"/>
      <c r="H20" s="620"/>
      <c r="I20" s="618"/>
    </row>
    <row r="21" spans="1:10" ht="15.75" hidden="1" outlineLevel="1" x14ac:dyDescent="0.4">
      <c r="A21" s="604"/>
      <c r="B21" s="612"/>
      <c r="C21" s="612"/>
      <c r="D21" s="612"/>
      <c r="E21" s="615"/>
      <c r="F21" s="254" t="s">
        <v>724</v>
      </c>
      <c r="G21" s="255"/>
      <c r="H21" s="620"/>
      <c r="I21" s="618"/>
    </row>
    <row r="22" spans="1:10" ht="15.75" hidden="1" outlineLevel="1" x14ac:dyDescent="0.4">
      <c r="A22" s="604"/>
      <c r="B22" s="612"/>
      <c r="C22" s="612"/>
      <c r="D22" s="612"/>
      <c r="E22" s="615"/>
      <c r="F22" s="254" t="s">
        <v>767</v>
      </c>
      <c r="G22" s="255"/>
      <c r="H22" s="620"/>
      <c r="I22" s="618"/>
    </row>
    <row r="23" spans="1:10" ht="15.75" hidden="1" outlineLevel="1" x14ac:dyDescent="0.4">
      <c r="A23" s="604"/>
      <c r="B23" s="612"/>
      <c r="C23" s="612"/>
      <c r="D23" s="612"/>
      <c r="E23" s="615"/>
      <c r="F23" s="254" t="s">
        <v>784</v>
      </c>
      <c r="G23" s="255"/>
      <c r="H23" s="620"/>
      <c r="I23" s="618"/>
    </row>
    <row r="24" spans="1:10" ht="15.75" hidden="1" outlineLevel="1" x14ac:dyDescent="0.4">
      <c r="A24" s="604"/>
      <c r="B24" s="612"/>
      <c r="C24" s="612"/>
      <c r="D24" s="612"/>
      <c r="E24" s="615"/>
      <c r="F24" s="254" t="s">
        <v>826</v>
      </c>
      <c r="G24" s="255"/>
      <c r="H24" s="620"/>
      <c r="I24" s="618"/>
    </row>
    <row r="25" spans="1:10" ht="15.75" hidden="1" outlineLevel="1" x14ac:dyDescent="0.4">
      <c r="A25" s="604"/>
      <c r="B25" s="612"/>
      <c r="C25" s="612"/>
      <c r="D25" s="612"/>
      <c r="E25" s="615"/>
      <c r="F25" s="254" t="s">
        <v>874</v>
      </c>
      <c r="G25" s="255"/>
      <c r="H25" s="620"/>
      <c r="I25" s="618"/>
    </row>
    <row r="26" spans="1:10" ht="15.75" hidden="1" outlineLevel="1" x14ac:dyDescent="0.4">
      <c r="A26" s="604"/>
      <c r="B26" s="612"/>
      <c r="C26" s="612"/>
      <c r="D26" s="612"/>
      <c r="E26" s="615"/>
      <c r="F26" s="254" t="s">
        <v>909</v>
      </c>
      <c r="G26" s="255"/>
      <c r="H26" s="620"/>
      <c r="I26" s="618"/>
    </row>
    <row r="27" spans="1:10" ht="15.75" collapsed="1" x14ac:dyDescent="0.4">
      <c r="A27" s="604"/>
      <c r="B27" s="612"/>
      <c r="C27" s="612"/>
      <c r="D27" s="612"/>
      <c r="E27" s="615"/>
      <c r="F27" s="254" t="s">
        <v>943</v>
      </c>
      <c r="G27" s="255" t="s">
        <v>944</v>
      </c>
      <c r="H27" s="620"/>
      <c r="I27" s="618"/>
    </row>
    <row r="28" spans="1:10" ht="15.75" x14ac:dyDescent="0.4">
      <c r="A28" s="605"/>
      <c r="B28" s="613"/>
      <c r="C28" s="613"/>
      <c r="D28" s="613"/>
      <c r="E28" s="616"/>
      <c r="F28" s="253"/>
      <c r="G28" s="253"/>
      <c r="H28" s="621"/>
      <c r="I28" s="619"/>
    </row>
    <row r="29" spans="1:10" ht="24" hidden="1" customHeight="1" outlineLevel="1" x14ac:dyDescent="0.4">
      <c r="A29" s="603">
        <v>2</v>
      </c>
      <c r="B29" s="611" t="s">
        <v>427</v>
      </c>
      <c r="C29" s="611" t="s">
        <v>421</v>
      </c>
      <c r="D29" s="611"/>
      <c r="E29" s="614" t="s">
        <v>422</v>
      </c>
      <c r="F29" s="252"/>
      <c r="G29" s="252"/>
      <c r="H29" s="568">
        <v>46115</v>
      </c>
      <c r="I29" s="617" t="s">
        <v>460</v>
      </c>
    </row>
    <row r="30" spans="1:10" ht="24" hidden="1" customHeight="1" outlineLevel="1" x14ac:dyDescent="0.4">
      <c r="A30" s="604"/>
      <c r="B30" s="612"/>
      <c r="C30" s="612"/>
      <c r="D30" s="612"/>
      <c r="E30" s="622"/>
      <c r="F30" s="254" t="s">
        <v>447</v>
      </c>
      <c r="G30" s="255"/>
      <c r="H30" s="620"/>
      <c r="I30" s="618"/>
    </row>
    <row r="31" spans="1:10" ht="24" hidden="1" customHeight="1" outlineLevel="1" x14ac:dyDescent="0.4">
      <c r="A31" s="605"/>
      <c r="B31" s="613"/>
      <c r="C31" s="613"/>
      <c r="D31" s="613"/>
      <c r="E31" s="616"/>
      <c r="F31" s="253"/>
      <c r="G31" s="253"/>
      <c r="H31" s="620"/>
      <c r="I31" s="619"/>
      <c r="J31" s="52" t="s">
        <v>480</v>
      </c>
    </row>
    <row r="32" spans="1:10" ht="20.100000000000001" hidden="1" customHeight="1" outlineLevel="1" collapsed="1" x14ac:dyDescent="0.4">
      <c r="A32" s="603">
        <v>3</v>
      </c>
      <c r="B32" s="352" t="s">
        <v>424</v>
      </c>
      <c r="C32" s="352" t="s">
        <v>425</v>
      </c>
      <c r="D32" s="352" t="s">
        <v>423</v>
      </c>
      <c r="E32" s="607" t="s">
        <v>426</v>
      </c>
      <c r="F32" s="169"/>
      <c r="G32" s="270"/>
      <c r="H32" s="264"/>
      <c r="I32" s="598" t="s">
        <v>460</v>
      </c>
    </row>
    <row r="33" spans="1:10" ht="20.100000000000001" hidden="1" customHeight="1" outlineLevel="1" x14ac:dyDescent="0.4">
      <c r="A33" s="604"/>
      <c r="B33" s="573"/>
      <c r="C33" s="573"/>
      <c r="D33" s="573"/>
      <c r="E33" s="610"/>
      <c r="F33" s="258" t="s">
        <v>449</v>
      </c>
      <c r="G33" s="269"/>
      <c r="H33" s="266">
        <v>46097</v>
      </c>
      <c r="I33" s="599"/>
    </row>
    <row r="34" spans="1:10" ht="20.100000000000001" hidden="1" customHeight="1" outlineLevel="1" x14ac:dyDescent="0.4">
      <c r="A34" s="604"/>
      <c r="B34" s="573"/>
      <c r="C34" s="573"/>
      <c r="D34" s="573"/>
      <c r="E34" s="610"/>
      <c r="F34" s="258" t="s">
        <v>450</v>
      </c>
      <c r="G34" s="269"/>
      <c r="H34" s="263">
        <v>46107</v>
      </c>
      <c r="I34" s="599"/>
    </row>
    <row r="35" spans="1:10" ht="20.100000000000001" hidden="1" customHeight="1" outlineLevel="1" x14ac:dyDescent="0.4">
      <c r="A35" s="604"/>
      <c r="B35" s="573"/>
      <c r="C35" s="573"/>
      <c r="D35" s="573"/>
      <c r="E35" s="610"/>
      <c r="F35" s="258" t="s">
        <v>456</v>
      </c>
      <c r="G35" s="269"/>
      <c r="H35" s="265">
        <v>46119</v>
      </c>
      <c r="I35" s="599"/>
    </row>
    <row r="36" spans="1:10" ht="20.100000000000001" hidden="1" customHeight="1" outlineLevel="1" collapsed="1" x14ac:dyDescent="0.4">
      <c r="A36" s="604"/>
      <c r="B36" s="573"/>
      <c r="C36" s="573"/>
      <c r="D36" s="573"/>
      <c r="E36" s="610"/>
      <c r="F36" s="258" t="s">
        <v>517</v>
      </c>
      <c r="G36" s="269"/>
      <c r="H36" s="264">
        <v>46142</v>
      </c>
      <c r="I36" s="599"/>
    </row>
    <row r="37" spans="1:10" ht="20.100000000000001" hidden="1" customHeight="1" outlineLevel="1" x14ac:dyDescent="0.4">
      <c r="A37" s="605"/>
      <c r="B37" s="353"/>
      <c r="C37" s="353"/>
      <c r="D37" s="353"/>
      <c r="E37" s="609"/>
      <c r="F37" s="166"/>
      <c r="G37" s="84"/>
      <c r="H37" s="267"/>
      <c r="I37" s="572"/>
      <c r="J37" s="52" t="s">
        <v>480</v>
      </c>
    </row>
    <row r="38" spans="1:10" ht="20.100000000000001" hidden="1" customHeight="1" outlineLevel="1" collapsed="1" x14ac:dyDescent="0.4">
      <c r="A38" s="603">
        <v>4</v>
      </c>
      <c r="B38" s="352" t="s">
        <v>427</v>
      </c>
      <c r="C38" s="352" t="s">
        <v>428</v>
      </c>
      <c r="D38" s="352" t="s">
        <v>448</v>
      </c>
      <c r="E38" s="607" t="s">
        <v>429</v>
      </c>
      <c r="F38" s="169"/>
      <c r="G38" s="169"/>
      <c r="H38" s="549" t="s">
        <v>875</v>
      </c>
      <c r="I38" s="552" t="s">
        <v>609</v>
      </c>
    </row>
    <row r="39" spans="1:10" ht="20.100000000000001" hidden="1" customHeight="1" outlineLevel="1" x14ac:dyDescent="0.4">
      <c r="A39" s="604"/>
      <c r="B39" s="573"/>
      <c r="C39" s="573"/>
      <c r="D39" s="573"/>
      <c r="E39" s="608"/>
      <c r="F39" s="166" t="s">
        <v>451</v>
      </c>
      <c r="G39" s="166"/>
      <c r="H39" s="550"/>
      <c r="I39" s="553"/>
    </row>
    <row r="40" spans="1:10" ht="20.100000000000001" hidden="1" customHeight="1" outlineLevel="1" x14ac:dyDescent="0.4">
      <c r="A40" s="604"/>
      <c r="B40" s="573"/>
      <c r="C40" s="573"/>
      <c r="D40" s="573"/>
      <c r="E40" s="608"/>
      <c r="F40" s="166" t="s">
        <v>449</v>
      </c>
      <c r="G40" s="166"/>
      <c r="H40" s="550"/>
      <c r="I40" s="553"/>
    </row>
    <row r="41" spans="1:10" ht="20.100000000000001" hidden="1" customHeight="1" outlineLevel="1" x14ac:dyDescent="0.4">
      <c r="A41" s="604"/>
      <c r="B41" s="573"/>
      <c r="C41" s="573"/>
      <c r="D41" s="573"/>
      <c r="E41" s="608"/>
      <c r="F41" s="166" t="s">
        <v>456</v>
      </c>
      <c r="G41" s="166"/>
      <c r="H41" s="550"/>
      <c r="I41" s="553"/>
    </row>
    <row r="42" spans="1:10" ht="20.100000000000001" hidden="1" customHeight="1" outlineLevel="1" x14ac:dyDescent="0.4">
      <c r="A42" s="604"/>
      <c r="B42" s="573"/>
      <c r="C42" s="573"/>
      <c r="D42" s="573"/>
      <c r="E42" s="608"/>
      <c r="F42" s="166" t="s">
        <v>562</v>
      </c>
      <c r="G42" s="166"/>
      <c r="H42" s="551"/>
      <c r="I42" s="553"/>
    </row>
    <row r="43" spans="1:10" ht="20.100000000000001" hidden="1" customHeight="1" outlineLevel="1" collapsed="1" x14ac:dyDescent="0.4">
      <c r="A43" s="604"/>
      <c r="B43" s="573"/>
      <c r="C43" s="573"/>
      <c r="D43" s="573"/>
      <c r="E43" s="608"/>
      <c r="F43" s="166"/>
      <c r="G43" s="166"/>
      <c r="H43" s="549">
        <v>46185</v>
      </c>
      <c r="I43" s="553"/>
    </row>
    <row r="44" spans="1:10" ht="20.100000000000001" hidden="1" customHeight="1" outlineLevel="1" x14ac:dyDescent="0.4">
      <c r="A44" s="604"/>
      <c r="B44" s="573"/>
      <c r="C44" s="573"/>
      <c r="D44" s="573"/>
      <c r="E44" s="608"/>
      <c r="F44" s="166" t="s">
        <v>589</v>
      </c>
      <c r="G44" s="166"/>
      <c r="H44" s="550"/>
      <c r="I44" s="553"/>
    </row>
    <row r="45" spans="1:10" ht="20.100000000000001" hidden="1" customHeight="1" outlineLevel="1" x14ac:dyDescent="0.4">
      <c r="A45" s="604"/>
      <c r="B45" s="573"/>
      <c r="C45" s="573"/>
      <c r="D45" s="573"/>
      <c r="E45" s="608"/>
      <c r="F45" s="84" t="s">
        <v>449</v>
      </c>
      <c r="G45" s="84"/>
      <c r="H45" s="551"/>
      <c r="I45" s="553"/>
    </row>
    <row r="46" spans="1:10" ht="20.100000000000001" hidden="1" customHeight="1" outlineLevel="1" collapsed="1" x14ac:dyDescent="0.4">
      <c r="A46" s="604"/>
      <c r="B46" s="573"/>
      <c r="C46" s="573"/>
      <c r="D46" s="573"/>
      <c r="E46" s="608"/>
      <c r="F46" s="166"/>
      <c r="G46" s="166"/>
      <c r="H46" s="549">
        <v>46192</v>
      </c>
      <c r="I46" s="553"/>
    </row>
    <row r="47" spans="1:10" ht="20.100000000000001" hidden="1" customHeight="1" outlineLevel="1" x14ac:dyDescent="0.4">
      <c r="A47" s="604"/>
      <c r="B47" s="573"/>
      <c r="C47" s="573"/>
      <c r="D47" s="573"/>
      <c r="E47" s="608"/>
      <c r="F47" s="166" t="s">
        <v>457</v>
      </c>
      <c r="G47" s="166"/>
      <c r="H47" s="550"/>
      <c r="I47" s="553"/>
    </row>
    <row r="48" spans="1:10" ht="20.100000000000001" hidden="1" customHeight="1" outlineLevel="1" x14ac:dyDescent="0.4">
      <c r="A48" s="604"/>
      <c r="B48" s="573"/>
      <c r="C48" s="573"/>
      <c r="D48" s="573"/>
      <c r="E48" s="608"/>
      <c r="F48" s="166" t="s">
        <v>449</v>
      </c>
      <c r="G48" s="166"/>
      <c r="H48" s="550"/>
      <c r="I48" s="553"/>
    </row>
    <row r="49" spans="1:10" ht="20.100000000000001" hidden="1" customHeight="1" outlineLevel="1" x14ac:dyDescent="0.4">
      <c r="A49" s="604"/>
      <c r="B49" s="573"/>
      <c r="C49" s="573"/>
      <c r="D49" s="573"/>
      <c r="E49" s="608"/>
      <c r="F49" s="84" t="s">
        <v>608</v>
      </c>
      <c r="G49" s="84"/>
      <c r="H49" s="551"/>
      <c r="I49" s="554"/>
    </row>
    <row r="50" spans="1:10" ht="20.100000000000001" hidden="1" customHeight="1" outlineLevel="1" x14ac:dyDescent="0.4">
      <c r="A50" s="604"/>
      <c r="B50" s="573"/>
      <c r="C50" s="573"/>
      <c r="D50" s="573"/>
      <c r="E50" s="608"/>
      <c r="F50" s="166"/>
      <c r="G50" s="166"/>
      <c r="H50" s="323"/>
      <c r="I50" s="555" t="s">
        <v>910</v>
      </c>
    </row>
    <row r="51" spans="1:10" ht="20.100000000000001" hidden="1" customHeight="1" outlineLevel="1" x14ac:dyDescent="0.4">
      <c r="A51" s="604"/>
      <c r="B51" s="573"/>
      <c r="C51" s="573"/>
      <c r="D51" s="573"/>
      <c r="E51" s="608"/>
      <c r="F51" s="166" t="s">
        <v>457</v>
      </c>
      <c r="G51" s="269"/>
      <c r="H51" s="558">
        <v>46281</v>
      </c>
      <c r="I51" s="556"/>
    </row>
    <row r="52" spans="1:10" ht="20.100000000000001" hidden="1" customHeight="1" outlineLevel="1" x14ac:dyDescent="0.4">
      <c r="A52" s="604"/>
      <c r="B52" s="573"/>
      <c r="C52" s="573"/>
      <c r="D52" s="573"/>
      <c r="E52" s="608"/>
      <c r="F52" s="166" t="s">
        <v>890</v>
      </c>
      <c r="G52" s="269"/>
      <c r="H52" s="558"/>
      <c r="I52" s="556"/>
    </row>
    <row r="53" spans="1:10" ht="20.100000000000001" hidden="1" customHeight="1" outlineLevel="1" x14ac:dyDescent="0.4">
      <c r="A53" s="604"/>
      <c r="B53" s="573"/>
      <c r="C53" s="573"/>
      <c r="D53" s="573"/>
      <c r="E53" s="608"/>
      <c r="F53" s="166" t="s">
        <v>893</v>
      </c>
      <c r="G53" s="269"/>
      <c r="H53" s="558"/>
      <c r="I53" s="556"/>
    </row>
    <row r="54" spans="1:10" ht="20.100000000000001" hidden="1" customHeight="1" outlineLevel="1" x14ac:dyDescent="0.4">
      <c r="A54" s="605"/>
      <c r="B54" s="353"/>
      <c r="C54" s="353"/>
      <c r="D54" s="353"/>
      <c r="E54" s="609"/>
      <c r="F54" s="84"/>
      <c r="G54" s="84"/>
      <c r="H54" s="324"/>
      <c r="I54" s="557"/>
      <c r="J54" s="52" t="s">
        <v>611</v>
      </c>
    </row>
    <row r="55" spans="1:10" ht="20.100000000000001" hidden="1" customHeight="1" outlineLevel="1" collapsed="1" x14ac:dyDescent="0.4">
      <c r="A55" s="603">
        <v>5</v>
      </c>
      <c r="B55" s="352" t="s">
        <v>344</v>
      </c>
      <c r="C55" s="352" t="s">
        <v>430</v>
      </c>
      <c r="D55" s="352" t="s">
        <v>431</v>
      </c>
      <c r="E55" s="490" t="s">
        <v>432</v>
      </c>
      <c r="F55" s="169" t="s">
        <v>452</v>
      </c>
      <c r="G55" s="169"/>
      <c r="H55" s="569" t="s">
        <v>463</v>
      </c>
      <c r="I55" s="596" t="s">
        <v>460</v>
      </c>
    </row>
    <row r="56" spans="1:10" ht="20.100000000000001" hidden="1" customHeight="1" outlineLevel="1" x14ac:dyDescent="0.4">
      <c r="A56" s="604"/>
      <c r="B56" s="573"/>
      <c r="C56" s="573"/>
      <c r="D56" s="573"/>
      <c r="E56" s="606"/>
      <c r="F56" s="166" t="s">
        <v>453</v>
      </c>
      <c r="G56" s="166"/>
      <c r="H56" s="570"/>
      <c r="I56" s="572"/>
    </row>
    <row r="57" spans="1:10" ht="20.100000000000001" hidden="1" customHeight="1" outlineLevel="1" x14ac:dyDescent="0.4">
      <c r="A57" s="604"/>
      <c r="B57" s="573"/>
      <c r="C57" s="573"/>
      <c r="D57" s="573"/>
      <c r="E57" s="606"/>
      <c r="F57" s="166" t="s">
        <v>449</v>
      </c>
      <c r="G57" s="166"/>
      <c r="H57" s="570"/>
      <c r="I57" s="572"/>
    </row>
    <row r="58" spans="1:10" ht="20.100000000000001" hidden="1" customHeight="1" outlineLevel="1" x14ac:dyDescent="0.4">
      <c r="A58" s="604"/>
      <c r="B58" s="573"/>
      <c r="C58" s="573"/>
      <c r="D58" s="573"/>
      <c r="E58" s="606"/>
      <c r="F58" s="166" t="s">
        <v>485</v>
      </c>
      <c r="G58" s="166"/>
      <c r="H58" s="570"/>
      <c r="I58" s="572"/>
    </row>
    <row r="59" spans="1:10" ht="20.100000000000001" hidden="1" customHeight="1" outlineLevel="1" x14ac:dyDescent="0.4">
      <c r="A59" s="604"/>
      <c r="B59" s="573"/>
      <c r="C59" s="573"/>
      <c r="D59" s="573"/>
      <c r="E59" s="606"/>
      <c r="F59" s="166" t="s">
        <v>458</v>
      </c>
      <c r="G59" s="166"/>
      <c r="H59" s="570"/>
      <c r="I59" s="572"/>
    </row>
    <row r="60" spans="1:10" ht="20.100000000000001" hidden="1" customHeight="1" outlineLevel="1" x14ac:dyDescent="0.4">
      <c r="A60" s="604"/>
      <c r="B60" s="573"/>
      <c r="C60" s="573"/>
      <c r="D60" s="573"/>
      <c r="E60" s="606"/>
      <c r="F60" s="166" t="s">
        <v>490</v>
      </c>
      <c r="G60" s="166"/>
      <c r="H60" s="570"/>
      <c r="I60" s="572"/>
    </row>
    <row r="61" spans="1:10" ht="20.100000000000001" hidden="1" customHeight="1" outlineLevel="1" x14ac:dyDescent="0.4">
      <c r="A61" s="605"/>
      <c r="B61" s="353"/>
      <c r="C61" s="353"/>
      <c r="D61" s="353"/>
      <c r="E61" s="491"/>
      <c r="F61" s="84" t="s">
        <v>497</v>
      </c>
      <c r="G61" s="84"/>
      <c r="H61" s="570"/>
      <c r="I61" s="572"/>
      <c r="J61" s="286" t="s">
        <v>481</v>
      </c>
    </row>
    <row r="62" spans="1:10" ht="20.100000000000001" hidden="1" customHeight="1" outlineLevel="1" collapsed="1" x14ac:dyDescent="0.4">
      <c r="A62" s="350">
        <f>A55+1</f>
        <v>6</v>
      </c>
      <c r="B62" s="352" t="s">
        <v>433</v>
      </c>
      <c r="C62" s="352" t="s">
        <v>434</v>
      </c>
      <c r="D62" s="352" t="s">
        <v>435</v>
      </c>
      <c r="E62" s="490" t="s">
        <v>454</v>
      </c>
      <c r="F62" s="169"/>
      <c r="G62" s="169"/>
      <c r="H62" s="549">
        <v>46157</v>
      </c>
      <c r="I62" s="596" t="s">
        <v>592</v>
      </c>
    </row>
    <row r="63" spans="1:10" ht="20.100000000000001" hidden="1" customHeight="1" outlineLevel="1" x14ac:dyDescent="0.4">
      <c r="A63" s="577"/>
      <c r="B63" s="573"/>
      <c r="C63" s="573"/>
      <c r="D63" s="573"/>
      <c r="E63" s="606"/>
      <c r="F63" s="166" t="s">
        <v>513</v>
      </c>
      <c r="G63" s="166"/>
      <c r="H63" s="550"/>
      <c r="I63" s="572"/>
    </row>
    <row r="64" spans="1:10" ht="20.100000000000001" hidden="1" customHeight="1" outlineLevel="1" x14ac:dyDescent="0.4">
      <c r="A64" s="577"/>
      <c r="B64" s="573"/>
      <c r="C64" s="573"/>
      <c r="D64" s="573"/>
      <c r="E64" s="606"/>
      <c r="F64" s="166" t="s">
        <v>455</v>
      </c>
      <c r="G64" s="166"/>
      <c r="H64" s="550"/>
      <c r="I64" s="572"/>
    </row>
    <row r="65" spans="1:10" ht="20.100000000000001" hidden="1" customHeight="1" outlineLevel="1" x14ac:dyDescent="0.4">
      <c r="A65" s="577"/>
      <c r="B65" s="573"/>
      <c r="C65" s="573"/>
      <c r="D65" s="573"/>
      <c r="E65" s="606"/>
      <c r="F65" s="166" t="s">
        <v>456</v>
      </c>
      <c r="G65" s="166"/>
      <c r="H65" s="550"/>
      <c r="I65" s="572"/>
    </row>
    <row r="66" spans="1:10" ht="20.100000000000001" hidden="1" customHeight="1" outlineLevel="1" collapsed="1" x14ac:dyDescent="0.4">
      <c r="A66" s="577"/>
      <c r="B66" s="573"/>
      <c r="C66" s="573"/>
      <c r="D66" s="573"/>
      <c r="E66" s="606"/>
      <c r="F66" s="166"/>
      <c r="G66" s="166"/>
      <c r="H66" s="550"/>
      <c r="I66" s="572"/>
    </row>
    <row r="67" spans="1:10" ht="20.100000000000001" hidden="1" customHeight="1" outlineLevel="1" collapsed="1" x14ac:dyDescent="0.4">
      <c r="A67" s="577"/>
      <c r="B67" s="573"/>
      <c r="C67" s="573"/>
      <c r="D67" s="573"/>
      <c r="E67" s="606"/>
      <c r="F67" s="166" t="s">
        <v>514</v>
      </c>
      <c r="G67" s="166"/>
      <c r="H67" s="550"/>
      <c r="I67" s="572"/>
    </row>
    <row r="68" spans="1:10" ht="20.100000000000001" hidden="1" customHeight="1" outlineLevel="1" x14ac:dyDescent="0.4">
      <c r="A68" s="577"/>
      <c r="B68" s="573"/>
      <c r="C68" s="573"/>
      <c r="D68" s="573"/>
      <c r="E68" s="606"/>
      <c r="F68" s="166" t="s">
        <v>515</v>
      </c>
      <c r="G68" s="166"/>
      <c r="H68" s="550"/>
      <c r="I68" s="572"/>
    </row>
    <row r="69" spans="1:10" ht="20.100000000000001" hidden="1" customHeight="1" outlineLevel="1" x14ac:dyDescent="0.4">
      <c r="A69" s="577"/>
      <c r="B69" s="573"/>
      <c r="C69" s="573"/>
      <c r="D69" s="573"/>
      <c r="E69" s="606"/>
      <c r="F69" s="166" t="s">
        <v>455</v>
      </c>
      <c r="G69" s="166"/>
      <c r="H69" s="550"/>
      <c r="I69" s="572"/>
    </row>
    <row r="70" spans="1:10" ht="20.100000000000001" hidden="1" customHeight="1" outlineLevel="1" x14ac:dyDescent="0.4">
      <c r="A70" s="577"/>
      <c r="B70" s="573"/>
      <c r="C70" s="573"/>
      <c r="D70" s="573"/>
      <c r="E70" s="606"/>
      <c r="F70" s="166" t="s">
        <v>523</v>
      </c>
      <c r="G70" s="166"/>
      <c r="H70" s="550"/>
      <c r="I70" s="572"/>
    </row>
    <row r="71" spans="1:10" ht="20.100000000000001" hidden="1" customHeight="1" outlineLevel="1" x14ac:dyDescent="0.4">
      <c r="A71" s="577"/>
      <c r="B71" s="573"/>
      <c r="C71" s="573"/>
      <c r="D71" s="573"/>
      <c r="E71" s="606"/>
      <c r="F71" s="166" t="s">
        <v>490</v>
      </c>
      <c r="G71" s="166"/>
      <c r="H71" s="551"/>
      <c r="I71" s="572"/>
    </row>
    <row r="72" spans="1:10" ht="20.100000000000001" hidden="1" customHeight="1" outlineLevel="1" x14ac:dyDescent="0.4">
      <c r="A72" s="577"/>
      <c r="B72" s="573"/>
      <c r="C72" s="573"/>
      <c r="D72" s="573"/>
      <c r="E72" s="606"/>
      <c r="F72" s="166"/>
      <c r="G72" s="166"/>
      <c r="H72" s="264"/>
      <c r="I72" s="572"/>
    </row>
    <row r="73" spans="1:10" ht="20.100000000000001" hidden="1" customHeight="1" outlineLevel="1" collapsed="1" x14ac:dyDescent="0.4">
      <c r="A73" s="577"/>
      <c r="B73" s="573"/>
      <c r="C73" s="573"/>
      <c r="D73" s="573"/>
      <c r="E73" s="606"/>
      <c r="F73" s="166" t="s">
        <v>579</v>
      </c>
      <c r="G73" s="166"/>
      <c r="H73" s="549">
        <v>46178</v>
      </c>
      <c r="I73" s="572"/>
    </row>
    <row r="74" spans="1:10" ht="20.100000000000001" hidden="1" customHeight="1" outlineLevel="1" x14ac:dyDescent="0.4">
      <c r="A74" s="577"/>
      <c r="B74" s="573"/>
      <c r="C74" s="573"/>
      <c r="D74" s="573"/>
      <c r="E74" s="606"/>
      <c r="F74" s="166" t="s">
        <v>578</v>
      </c>
      <c r="G74" s="166"/>
      <c r="H74" s="550"/>
      <c r="I74" s="572"/>
    </row>
    <row r="75" spans="1:10" ht="20.100000000000001" hidden="1" customHeight="1" outlineLevel="1" x14ac:dyDescent="0.4">
      <c r="A75" s="577"/>
      <c r="B75" s="573"/>
      <c r="C75" s="573"/>
      <c r="D75" s="573"/>
      <c r="E75" s="606"/>
      <c r="F75" s="166" t="s">
        <v>455</v>
      </c>
      <c r="G75" s="166"/>
      <c r="H75" s="550"/>
      <c r="I75" s="572"/>
    </row>
    <row r="76" spans="1:10" ht="20.100000000000001" hidden="1" customHeight="1" outlineLevel="1" x14ac:dyDescent="0.4">
      <c r="A76" s="577"/>
      <c r="B76" s="573"/>
      <c r="C76" s="573"/>
      <c r="D76" s="573"/>
      <c r="E76" s="606"/>
      <c r="F76" s="166" t="s">
        <v>523</v>
      </c>
      <c r="G76" s="166"/>
      <c r="H76" s="550"/>
      <c r="I76" s="572"/>
    </row>
    <row r="77" spans="1:10" ht="20.100000000000001" hidden="1" customHeight="1" outlineLevel="1" x14ac:dyDescent="0.4">
      <c r="A77" s="577"/>
      <c r="B77" s="573"/>
      <c r="C77" s="573"/>
      <c r="D77" s="573"/>
      <c r="E77" s="606"/>
      <c r="F77" s="166"/>
      <c r="G77" s="166"/>
      <c r="H77" s="550"/>
      <c r="I77" s="572"/>
    </row>
    <row r="78" spans="1:10" ht="20.100000000000001" hidden="1" customHeight="1" outlineLevel="1" collapsed="1" x14ac:dyDescent="0.4">
      <c r="A78" s="351"/>
      <c r="B78" s="353"/>
      <c r="C78" s="353"/>
      <c r="D78" s="353"/>
      <c r="E78" s="491"/>
      <c r="F78" s="84"/>
      <c r="G78" s="84"/>
      <c r="H78" s="551"/>
      <c r="I78" s="572"/>
      <c r="J78" s="52" t="s">
        <v>525</v>
      </c>
    </row>
    <row r="79" spans="1:10" ht="20.100000000000001" hidden="1" customHeight="1" outlineLevel="1" collapsed="1" x14ac:dyDescent="0.4">
      <c r="A79" s="350">
        <f>A62+1</f>
        <v>7</v>
      </c>
      <c r="B79" s="352" t="s">
        <v>344</v>
      </c>
      <c r="C79" s="352" t="s">
        <v>437</v>
      </c>
      <c r="D79" s="352" t="s">
        <v>438</v>
      </c>
      <c r="E79" s="600" t="s">
        <v>439</v>
      </c>
      <c r="F79" s="169" t="s">
        <v>457</v>
      </c>
      <c r="G79" s="166"/>
      <c r="H79" s="569">
        <v>46122</v>
      </c>
      <c r="I79" s="596" t="s">
        <v>460</v>
      </c>
    </row>
    <row r="80" spans="1:10" ht="20.100000000000001" hidden="1" customHeight="1" outlineLevel="1" x14ac:dyDescent="0.4">
      <c r="A80" s="577"/>
      <c r="B80" s="573"/>
      <c r="C80" s="573"/>
      <c r="D80" s="573"/>
      <c r="E80" s="601"/>
      <c r="F80" s="166" t="s">
        <v>449</v>
      </c>
      <c r="G80" s="166"/>
      <c r="H80" s="570"/>
      <c r="I80" s="572"/>
    </row>
    <row r="81" spans="1:10" ht="20.100000000000001" hidden="1" customHeight="1" outlineLevel="1" x14ac:dyDescent="0.4">
      <c r="A81" s="577"/>
      <c r="B81" s="573"/>
      <c r="C81" s="573"/>
      <c r="D81" s="573"/>
      <c r="E81" s="601"/>
      <c r="F81" s="166" t="s">
        <v>485</v>
      </c>
      <c r="G81" s="166"/>
      <c r="H81" s="570"/>
      <c r="I81" s="572"/>
    </row>
    <row r="82" spans="1:10" ht="20.100000000000001" hidden="1" customHeight="1" outlineLevel="1" x14ac:dyDescent="0.4">
      <c r="A82" s="577"/>
      <c r="B82" s="573"/>
      <c r="C82" s="573"/>
      <c r="D82" s="573"/>
      <c r="E82" s="601"/>
      <c r="F82" s="166" t="s">
        <v>458</v>
      </c>
      <c r="G82" s="166"/>
      <c r="H82" s="570"/>
      <c r="I82" s="572"/>
    </row>
    <row r="83" spans="1:10" ht="20.100000000000001" hidden="1" customHeight="1" outlineLevel="1" x14ac:dyDescent="0.4">
      <c r="A83" s="577"/>
      <c r="B83" s="573"/>
      <c r="C83" s="573"/>
      <c r="D83" s="573"/>
      <c r="E83" s="601"/>
      <c r="F83" s="166" t="s">
        <v>490</v>
      </c>
      <c r="G83" s="166"/>
      <c r="H83" s="570"/>
      <c r="I83" s="572"/>
    </row>
    <row r="84" spans="1:10" ht="20.100000000000001" hidden="1" customHeight="1" outlineLevel="1" x14ac:dyDescent="0.4">
      <c r="A84" s="351"/>
      <c r="B84" s="353"/>
      <c r="C84" s="353"/>
      <c r="D84" s="353"/>
      <c r="E84" s="602"/>
      <c r="F84" s="84" t="s">
        <v>497</v>
      </c>
      <c r="G84" s="84"/>
      <c r="H84" s="570"/>
      <c r="I84" s="572"/>
      <c r="J84" s="286" t="s">
        <v>482</v>
      </c>
    </row>
    <row r="85" spans="1:10" ht="20.100000000000001" hidden="1" customHeight="1" outlineLevel="1" collapsed="1" x14ac:dyDescent="0.4">
      <c r="A85" s="350">
        <v>8</v>
      </c>
      <c r="B85" s="352" t="s">
        <v>344</v>
      </c>
      <c r="C85" s="352" t="s">
        <v>459</v>
      </c>
      <c r="D85" s="352" t="s">
        <v>441</v>
      </c>
      <c r="E85" s="600" t="s">
        <v>442</v>
      </c>
      <c r="F85" s="169" t="s">
        <v>464</v>
      </c>
      <c r="G85" s="169"/>
      <c r="H85" s="569">
        <v>46122</v>
      </c>
      <c r="I85" s="596" t="s">
        <v>498</v>
      </c>
    </row>
    <row r="86" spans="1:10" ht="20.100000000000001" hidden="1" customHeight="1" outlineLevel="1" x14ac:dyDescent="0.4">
      <c r="A86" s="577"/>
      <c r="B86" s="573"/>
      <c r="C86" s="573"/>
      <c r="D86" s="573"/>
      <c r="E86" s="601"/>
      <c r="F86" s="166" t="s">
        <v>449</v>
      </c>
      <c r="G86" s="166"/>
      <c r="H86" s="570"/>
      <c r="I86" s="597"/>
    </row>
    <row r="87" spans="1:10" ht="20.100000000000001" hidden="1" customHeight="1" outlineLevel="1" x14ac:dyDescent="0.4">
      <c r="A87" s="577"/>
      <c r="B87" s="573"/>
      <c r="C87" s="573"/>
      <c r="D87" s="573"/>
      <c r="E87" s="601"/>
      <c r="F87" s="166" t="s">
        <v>485</v>
      </c>
      <c r="G87" s="166"/>
      <c r="H87" s="570"/>
      <c r="I87" s="597"/>
    </row>
    <row r="88" spans="1:10" ht="20.100000000000001" hidden="1" customHeight="1" outlineLevel="1" x14ac:dyDescent="0.4">
      <c r="A88" s="577"/>
      <c r="B88" s="573"/>
      <c r="C88" s="573"/>
      <c r="D88" s="573"/>
      <c r="E88" s="601"/>
      <c r="F88" s="166" t="s">
        <v>490</v>
      </c>
      <c r="G88" s="166"/>
      <c r="H88" s="570"/>
      <c r="I88" s="597"/>
    </row>
    <row r="89" spans="1:10" ht="20.100000000000001" hidden="1" customHeight="1" outlineLevel="1" x14ac:dyDescent="0.4">
      <c r="A89" s="351"/>
      <c r="B89" s="353"/>
      <c r="C89" s="353"/>
      <c r="D89" s="353"/>
      <c r="E89" s="602"/>
      <c r="F89" s="84" t="s">
        <v>497</v>
      </c>
      <c r="G89" s="84"/>
      <c r="H89" s="570"/>
      <c r="I89" s="597"/>
      <c r="J89" s="286" t="s">
        <v>483</v>
      </c>
    </row>
    <row r="90" spans="1:10" ht="18.75" hidden="1" customHeight="1" outlineLevel="1" collapsed="1" x14ac:dyDescent="0.4">
      <c r="A90" s="350">
        <v>9</v>
      </c>
      <c r="B90" s="352" t="s">
        <v>344</v>
      </c>
      <c r="C90" s="352" t="s">
        <v>465</v>
      </c>
      <c r="D90" s="352" t="s">
        <v>466</v>
      </c>
      <c r="E90" s="607" t="s">
        <v>467</v>
      </c>
      <c r="F90" s="169" t="s">
        <v>457</v>
      </c>
      <c r="G90" s="169"/>
      <c r="H90" s="569">
        <v>46122</v>
      </c>
      <c r="I90" s="567" t="s">
        <v>460</v>
      </c>
    </row>
    <row r="91" spans="1:10" ht="18.75" hidden="1" customHeight="1" outlineLevel="1" x14ac:dyDescent="0.4">
      <c r="A91" s="577"/>
      <c r="B91" s="573"/>
      <c r="C91" s="573"/>
      <c r="D91" s="573"/>
      <c r="E91" s="608"/>
      <c r="F91" s="166" t="s">
        <v>449</v>
      </c>
      <c r="G91" s="166"/>
      <c r="H91" s="569"/>
      <c r="I91" s="562"/>
    </row>
    <row r="92" spans="1:10" ht="18.75" hidden="1" customHeight="1" outlineLevel="1" x14ac:dyDescent="0.4">
      <c r="A92" s="577"/>
      <c r="B92" s="573"/>
      <c r="C92" s="573"/>
      <c r="D92" s="573"/>
      <c r="E92" s="608"/>
      <c r="F92" s="166" t="s">
        <v>490</v>
      </c>
      <c r="G92" s="166"/>
      <c r="H92" s="570"/>
      <c r="I92" s="561"/>
    </row>
    <row r="93" spans="1:10" ht="18.75" hidden="1" customHeight="1" outlineLevel="1" x14ac:dyDescent="0.4">
      <c r="A93" s="351"/>
      <c r="B93" s="353"/>
      <c r="C93" s="353"/>
      <c r="D93" s="353"/>
      <c r="E93" s="609"/>
      <c r="F93" s="84" t="s">
        <v>497</v>
      </c>
      <c r="G93" s="84"/>
      <c r="H93" s="570"/>
      <c r="I93" s="557"/>
      <c r="J93" s="286" t="s">
        <v>484</v>
      </c>
    </row>
    <row r="94" spans="1:10" ht="20.100000000000001" hidden="1" customHeight="1" outlineLevel="1" x14ac:dyDescent="0.4">
      <c r="A94" s="350">
        <v>10</v>
      </c>
      <c r="B94" s="352" t="s">
        <v>475</v>
      </c>
      <c r="C94" s="352" t="s">
        <v>472</v>
      </c>
      <c r="D94" s="352"/>
      <c r="E94" s="574" t="s">
        <v>468</v>
      </c>
      <c r="F94" s="169"/>
      <c r="G94" s="169"/>
      <c r="H94" s="569">
        <v>46122</v>
      </c>
      <c r="I94" s="571" t="s">
        <v>460</v>
      </c>
    </row>
    <row r="95" spans="1:10" ht="20.100000000000001" hidden="1" customHeight="1" outlineLevel="1" x14ac:dyDescent="0.4">
      <c r="A95" s="577"/>
      <c r="B95" s="573"/>
      <c r="C95" s="573"/>
      <c r="D95" s="573"/>
      <c r="E95" s="575"/>
      <c r="F95" s="166" t="s">
        <v>487</v>
      </c>
      <c r="G95" s="166"/>
      <c r="H95" s="570"/>
      <c r="I95" s="572"/>
    </row>
    <row r="96" spans="1:10" ht="20.100000000000001" hidden="1" customHeight="1" outlineLevel="1" x14ac:dyDescent="0.4">
      <c r="A96" s="351"/>
      <c r="B96" s="353"/>
      <c r="C96" s="353"/>
      <c r="D96" s="353"/>
      <c r="E96" s="576"/>
      <c r="F96" s="84"/>
      <c r="G96" s="84"/>
      <c r="H96" s="570"/>
      <c r="I96" s="572"/>
      <c r="J96" s="286" t="s">
        <v>483</v>
      </c>
    </row>
    <row r="97" spans="1:10" ht="20.100000000000001" hidden="1" customHeight="1" outlineLevel="1" collapsed="1" x14ac:dyDescent="0.4">
      <c r="A97" s="350">
        <v>11</v>
      </c>
      <c r="B97" s="352" t="s">
        <v>476</v>
      </c>
      <c r="C97" s="352" t="s">
        <v>473</v>
      </c>
      <c r="D97" s="352" t="s">
        <v>471</v>
      </c>
      <c r="E97" s="574" t="s">
        <v>469</v>
      </c>
      <c r="F97" s="169"/>
      <c r="G97" s="169"/>
      <c r="H97" s="260"/>
      <c r="I97" s="564" t="s">
        <v>460</v>
      </c>
    </row>
    <row r="98" spans="1:10" ht="20.100000000000001" hidden="1" customHeight="1" outlineLevel="1" x14ac:dyDescent="0.4">
      <c r="A98" s="577"/>
      <c r="B98" s="573"/>
      <c r="C98" s="573"/>
      <c r="D98" s="573"/>
      <c r="E98" s="575"/>
      <c r="F98" s="166" t="s">
        <v>449</v>
      </c>
      <c r="G98" s="166"/>
      <c r="H98" s="550">
        <v>46136</v>
      </c>
      <c r="I98" s="565"/>
    </row>
    <row r="99" spans="1:10" ht="20.100000000000001" hidden="1" customHeight="1" outlineLevel="1" x14ac:dyDescent="0.4">
      <c r="A99" s="577"/>
      <c r="B99" s="573"/>
      <c r="C99" s="573"/>
      <c r="D99" s="573"/>
      <c r="E99" s="575"/>
      <c r="F99" s="166" t="s">
        <v>486</v>
      </c>
      <c r="G99" s="166"/>
      <c r="H99" s="550"/>
      <c r="I99" s="565"/>
    </row>
    <row r="100" spans="1:10" ht="20.100000000000001" hidden="1" customHeight="1" outlineLevel="1" x14ac:dyDescent="0.4">
      <c r="A100" s="577"/>
      <c r="B100" s="573"/>
      <c r="C100" s="573"/>
      <c r="D100" s="573"/>
      <c r="E100" s="575"/>
      <c r="F100" s="166" t="s">
        <v>511</v>
      </c>
      <c r="G100" s="166"/>
      <c r="H100" s="550"/>
      <c r="I100" s="565"/>
    </row>
    <row r="101" spans="1:10" ht="20.100000000000001" hidden="1" customHeight="1" outlineLevel="1" x14ac:dyDescent="0.4">
      <c r="A101" s="577"/>
      <c r="B101" s="573"/>
      <c r="C101" s="573"/>
      <c r="D101" s="573"/>
      <c r="E101" s="575"/>
      <c r="F101" s="84" t="s">
        <v>510</v>
      </c>
      <c r="G101" s="84"/>
      <c r="H101" s="550"/>
      <c r="I101" s="565"/>
      <c r="J101" s="52" t="s">
        <v>480</v>
      </c>
    </row>
    <row r="102" spans="1:10" ht="20.100000000000001" hidden="1" customHeight="1" outlineLevel="1" x14ac:dyDescent="0.4">
      <c r="A102" s="577"/>
      <c r="B102" s="573"/>
      <c r="C102" s="573"/>
      <c r="D102" s="573"/>
      <c r="E102" s="575"/>
      <c r="F102" s="166" t="s">
        <v>488</v>
      </c>
      <c r="G102" s="166"/>
      <c r="H102" s="549">
        <v>46140</v>
      </c>
      <c r="I102" s="565"/>
    </row>
    <row r="103" spans="1:10" ht="20.100000000000001" hidden="1" customHeight="1" outlineLevel="1" x14ac:dyDescent="0.4">
      <c r="A103" s="577"/>
      <c r="B103" s="573"/>
      <c r="C103" s="573"/>
      <c r="D103" s="573"/>
      <c r="E103" s="575"/>
      <c r="F103" s="166" t="s">
        <v>489</v>
      </c>
      <c r="G103" s="166"/>
      <c r="H103" s="550"/>
      <c r="I103" s="565"/>
    </row>
    <row r="104" spans="1:10" ht="20.100000000000001" hidden="1" customHeight="1" outlineLevel="1" x14ac:dyDescent="0.4">
      <c r="A104" s="577"/>
      <c r="B104" s="573"/>
      <c r="C104" s="573"/>
      <c r="D104" s="573"/>
      <c r="E104" s="575"/>
      <c r="F104" s="166" t="s">
        <v>509</v>
      </c>
      <c r="G104" s="166"/>
      <c r="H104" s="550"/>
      <c r="I104" s="565"/>
    </row>
    <row r="105" spans="1:10" ht="20.100000000000001" hidden="1" customHeight="1" outlineLevel="1" x14ac:dyDescent="0.4">
      <c r="A105" s="577"/>
      <c r="B105" s="573"/>
      <c r="C105" s="573"/>
      <c r="D105" s="573"/>
      <c r="E105" s="575"/>
      <c r="F105" s="275" t="s">
        <v>510</v>
      </c>
      <c r="G105" s="84"/>
      <c r="H105" s="551"/>
      <c r="I105" s="566"/>
    </row>
    <row r="106" spans="1:10" ht="20.100000000000001" hidden="1" customHeight="1" outlineLevel="1" collapsed="1" x14ac:dyDescent="0.4">
      <c r="A106" s="577"/>
      <c r="B106" s="573"/>
      <c r="C106" s="573"/>
      <c r="D106" s="573"/>
      <c r="E106" s="575"/>
      <c r="F106" s="258"/>
      <c r="G106" s="166"/>
      <c r="H106" s="568">
        <v>46169</v>
      </c>
      <c r="I106" s="567" t="s">
        <v>566</v>
      </c>
    </row>
    <row r="107" spans="1:10" ht="20.100000000000001" hidden="1" customHeight="1" outlineLevel="1" x14ac:dyDescent="0.4">
      <c r="A107" s="577"/>
      <c r="B107" s="573"/>
      <c r="C107" s="573"/>
      <c r="D107" s="573"/>
      <c r="E107" s="575"/>
      <c r="F107" s="166" t="s">
        <v>536</v>
      </c>
      <c r="G107" s="166"/>
      <c r="H107" s="550"/>
      <c r="I107" s="561"/>
    </row>
    <row r="108" spans="1:10" ht="20.100000000000001" hidden="1" customHeight="1" outlineLevel="1" x14ac:dyDescent="0.4">
      <c r="A108" s="577"/>
      <c r="B108" s="573"/>
      <c r="C108" s="573"/>
      <c r="D108" s="573"/>
      <c r="E108" s="575"/>
      <c r="F108" s="166" t="s">
        <v>537</v>
      </c>
      <c r="G108" s="166"/>
      <c r="H108" s="550"/>
      <c r="I108" s="561"/>
    </row>
    <row r="109" spans="1:10" ht="20.100000000000001" hidden="1" customHeight="1" outlineLevel="1" x14ac:dyDescent="0.4">
      <c r="A109" s="577"/>
      <c r="B109" s="573"/>
      <c r="C109" s="573"/>
      <c r="D109" s="573"/>
      <c r="E109" s="575"/>
      <c r="F109" s="166" t="s">
        <v>560</v>
      </c>
      <c r="G109" s="166"/>
      <c r="H109" s="550"/>
      <c r="I109" s="561"/>
    </row>
    <row r="110" spans="1:10" ht="20.100000000000001" hidden="1" customHeight="1" outlineLevel="1" x14ac:dyDescent="0.4">
      <c r="A110" s="577"/>
      <c r="B110" s="573"/>
      <c r="C110" s="573"/>
      <c r="D110" s="573"/>
      <c r="E110" s="575"/>
      <c r="F110" s="166" t="s">
        <v>510</v>
      </c>
      <c r="G110" s="166"/>
      <c r="H110" s="550"/>
      <c r="I110" s="561"/>
    </row>
    <row r="111" spans="1:10" ht="20.100000000000001" hidden="1" customHeight="1" outlineLevel="1" x14ac:dyDescent="0.4">
      <c r="A111" s="351"/>
      <c r="B111" s="353"/>
      <c r="C111" s="353"/>
      <c r="D111" s="353"/>
      <c r="E111" s="576"/>
      <c r="F111" s="261"/>
      <c r="G111" s="84"/>
      <c r="H111" s="551"/>
      <c r="I111" s="557"/>
      <c r="J111" s="52" t="s">
        <v>480</v>
      </c>
    </row>
    <row r="112" spans="1:10" ht="20.100000000000001" hidden="1" customHeight="1" outlineLevel="1" x14ac:dyDescent="0.4">
      <c r="A112" s="350">
        <v>12</v>
      </c>
      <c r="B112" s="352" t="s">
        <v>475</v>
      </c>
      <c r="C112" s="352" t="s">
        <v>474</v>
      </c>
      <c r="D112" s="352"/>
      <c r="E112" s="578" t="s">
        <v>470</v>
      </c>
      <c r="F112" s="169"/>
      <c r="G112" s="169"/>
      <c r="H112" s="569">
        <v>46120</v>
      </c>
      <c r="I112" s="567" t="s">
        <v>460</v>
      </c>
    </row>
    <row r="113" spans="1:10" ht="20.100000000000001" hidden="1" customHeight="1" outlineLevel="1" x14ac:dyDescent="0.4">
      <c r="A113" s="577"/>
      <c r="B113" s="573"/>
      <c r="C113" s="573"/>
      <c r="D113" s="573"/>
      <c r="E113" s="575"/>
      <c r="F113" s="166" t="s">
        <v>477</v>
      </c>
      <c r="G113" s="166"/>
      <c r="H113" s="570"/>
      <c r="I113" s="561"/>
    </row>
    <row r="114" spans="1:10" ht="20.100000000000001" hidden="1" customHeight="1" outlineLevel="1" x14ac:dyDescent="0.4">
      <c r="A114" s="577"/>
      <c r="B114" s="573"/>
      <c r="C114" s="573"/>
      <c r="D114" s="573"/>
      <c r="E114" s="575"/>
      <c r="F114" s="166" t="s">
        <v>478</v>
      </c>
      <c r="G114" s="166"/>
      <c r="H114" s="570"/>
      <c r="I114" s="561"/>
    </row>
    <row r="115" spans="1:10" ht="20.100000000000001" hidden="1" customHeight="1" outlineLevel="1" x14ac:dyDescent="0.4">
      <c r="A115" s="577"/>
      <c r="B115" s="573"/>
      <c r="C115" s="573"/>
      <c r="D115" s="573"/>
      <c r="E115" s="575"/>
      <c r="F115" s="166" t="s">
        <v>479</v>
      </c>
      <c r="G115" s="166"/>
      <c r="H115" s="570"/>
      <c r="I115" s="561"/>
    </row>
    <row r="116" spans="1:10" ht="20.100000000000001" hidden="1" customHeight="1" outlineLevel="1" x14ac:dyDescent="0.4">
      <c r="A116" s="351"/>
      <c r="B116" s="353"/>
      <c r="C116" s="353"/>
      <c r="D116" s="353"/>
      <c r="E116" s="576"/>
      <c r="F116" s="84"/>
      <c r="G116" s="84"/>
      <c r="H116" s="570"/>
      <c r="I116" s="557"/>
      <c r="J116" s="286" t="s">
        <v>481</v>
      </c>
    </row>
    <row r="117" spans="1:10" ht="20.100000000000001" hidden="1" customHeight="1" outlineLevel="1" collapsed="1" x14ac:dyDescent="0.4">
      <c r="A117" s="350">
        <v>13</v>
      </c>
      <c r="B117" s="352" t="s">
        <v>499</v>
      </c>
      <c r="C117" s="352" t="s">
        <v>500</v>
      </c>
      <c r="D117" s="352"/>
      <c r="E117" s="578" t="s">
        <v>501</v>
      </c>
      <c r="F117" s="169" t="s">
        <v>457</v>
      </c>
      <c r="G117" s="169"/>
      <c r="H117" s="569">
        <v>46143</v>
      </c>
      <c r="I117" s="567" t="s">
        <v>498</v>
      </c>
    </row>
    <row r="118" spans="1:10" ht="20.100000000000001" hidden="1" customHeight="1" outlineLevel="1" x14ac:dyDescent="0.4">
      <c r="A118" s="577"/>
      <c r="B118" s="573"/>
      <c r="C118" s="573"/>
      <c r="D118" s="573"/>
      <c r="E118" s="575"/>
      <c r="F118" s="166" t="s">
        <v>449</v>
      </c>
      <c r="G118" s="166"/>
      <c r="H118" s="570"/>
      <c r="I118" s="561"/>
    </row>
    <row r="119" spans="1:10" ht="20.100000000000001" hidden="1" customHeight="1" outlineLevel="1" x14ac:dyDescent="0.4">
      <c r="A119" s="577"/>
      <c r="B119" s="573"/>
      <c r="C119" s="573"/>
      <c r="D119" s="573"/>
      <c r="E119" s="575"/>
      <c r="F119" s="166" t="s">
        <v>458</v>
      </c>
      <c r="G119" s="166"/>
      <c r="H119" s="570"/>
      <c r="I119" s="561"/>
    </row>
    <row r="120" spans="1:10" ht="20.100000000000001" hidden="1" customHeight="1" outlineLevel="1" x14ac:dyDescent="0.4">
      <c r="A120" s="577"/>
      <c r="B120" s="573"/>
      <c r="C120" s="573"/>
      <c r="D120" s="573"/>
      <c r="E120" s="575"/>
      <c r="F120" s="166" t="s">
        <v>490</v>
      </c>
      <c r="G120" s="166"/>
      <c r="H120" s="570"/>
      <c r="I120" s="561"/>
    </row>
    <row r="121" spans="1:10" ht="20.100000000000001" hidden="1" customHeight="1" outlineLevel="1" x14ac:dyDescent="0.4">
      <c r="A121" s="351"/>
      <c r="B121" s="353"/>
      <c r="C121" s="353"/>
      <c r="D121" s="353"/>
      <c r="E121" s="576"/>
      <c r="F121" s="84" t="s">
        <v>497</v>
      </c>
      <c r="G121" s="84"/>
      <c r="H121" s="570"/>
      <c r="I121" s="557"/>
      <c r="J121" s="52" t="s">
        <v>512</v>
      </c>
    </row>
    <row r="122" spans="1:10" ht="20.100000000000001" hidden="1" customHeight="1" outlineLevel="1" collapsed="1" x14ac:dyDescent="0.4">
      <c r="A122" s="350">
        <v>14</v>
      </c>
      <c r="B122" s="352" t="s">
        <v>427</v>
      </c>
      <c r="C122" s="352" t="s">
        <v>503</v>
      </c>
      <c r="D122" s="352"/>
      <c r="E122" s="578" t="s">
        <v>502</v>
      </c>
      <c r="F122" s="166" t="s">
        <v>457</v>
      </c>
      <c r="G122" s="166"/>
      <c r="H122" s="549">
        <v>46142</v>
      </c>
      <c r="I122" s="567" t="s">
        <v>498</v>
      </c>
    </row>
    <row r="123" spans="1:10" ht="20.100000000000001" hidden="1" customHeight="1" outlineLevel="1" x14ac:dyDescent="0.4">
      <c r="A123" s="577"/>
      <c r="B123" s="573"/>
      <c r="C123" s="573"/>
      <c r="D123" s="573"/>
      <c r="E123" s="575"/>
      <c r="F123" s="166" t="s">
        <v>455</v>
      </c>
      <c r="G123" s="166"/>
      <c r="H123" s="550"/>
      <c r="I123" s="562"/>
    </row>
    <row r="124" spans="1:10" ht="20.100000000000001" hidden="1" customHeight="1" outlineLevel="1" x14ac:dyDescent="0.4">
      <c r="A124" s="577"/>
      <c r="B124" s="573"/>
      <c r="C124" s="573"/>
      <c r="D124" s="573"/>
      <c r="E124" s="575"/>
      <c r="F124" s="166" t="s">
        <v>485</v>
      </c>
      <c r="G124" s="166"/>
      <c r="H124" s="550"/>
      <c r="I124" s="562"/>
    </row>
    <row r="125" spans="1:10" ht="20.100000000000001" hidden="1" customHeight="1" outlineLevel="1" x14ac:dyDescent="0.4">
      <c r="A125" s="577"/>
      <c r="B125" s="573"/>
      <c r="C125" s="573"/>
      <c r="D125" s="573"/>
      <c r="E125" s="575"/>
      <c r="F125" s="166" t="s">
        <v>490</v>
      </c>
      <c r="G125" s="166"/>
      <c r="H125" s="550"/>
      <c r="I125" s="562"/>
    </row>
    <row r="126" spans="1:10" ht="20.100000000000001" hidden="1" customHeight="1" outlineLevel="1" x14ac:dyDescent="0.4">
      <c r="A126" s="577"/>
      <c r="B126" s="573"/>
      <c r="C126" s="573"/>
      <c r="D126" s="573"/>
      <c r="E126" s="575"/>
      <c r="F126" s="166" t="s">
        <v>497</v>
      </c>
      <c r="G126" s="166"/>
      <c r="H126" s="551"/>
      <c r="I126" s="563"/>
    </row>
    <row r="127" spans="1:10" ht="20.100000000000001" hidden="1" customHeight="1" outlineLevel="1" collapsed="1" x14ac:dyDescent="0.4">
      <c r="A127" s="577"/>
      <c r="B127" s="573"/>
      <c r="C127" s="573"/>
      <c r="D127" s="573"/>
      <c r="E127" s="575"/>
      <c r="F127" s="166" t="s">
        <v>591</v>
      </c>
      <c r="G127" s="166"/>
      <c r="H127" s="287" t="s">
        <v>590</v>
      </c>
      <c r="I127" s="291" t="s">
        <v>593</v>
      </c>
    </row>
    <row r="128" spans="1:10" ht="20.100000000000001" hidden="1" customHeight="1" outlineLevel="1" collapsed="1" x14ac:dyDescent="0.4">
      <c r="A128" s="577"/>
      <c r="B128" s="573"/>
      <c r="C128" s="573"/>
      <c r="D128" s="573"/>
      <c r="E128" s="575"/>
      <c r="F128" s="166"/>
      <c r="G128" s="166"/>
      <c r="H128" s="289"/>
      <c r="I128" s="288"/>
    </row>
    <row r="129" spans="1:10" ht="20.100000000000001" hidden="1" customHeight="1" outlineLevel="1" x14ac:dyDescent="0.4">
      <c r="A129" s="577"/>
      <c r="B129" s="573"/>
      <c r="C129" s="573"/>
      <c r="D129" s="573"/>
      <c r="E129" s="575"/>
      <c r="F129" s="289" t="s">
        <v>766</v>
      </c>
      <c r="G129" s="166"/>
      <c r="H129" s="549">
        <v>46239</v>
      </c>
      <c r="I129" s="561" t="s">
        <v>768</v>
      </c>
    </row>
    <row r="130" spans="1:10" ht="20.100000000000001" hidden="1" customHeight="1" outlineLevel="1" x14ac:dyDescent="0.4">
      <c r="A130" s="577"/>
      <c r="B130" s="573"/>
      <c r="C130" s="573"/>
      <c r="D130" s="573"/>
      <c r="E130" s="575"/>
      <c r="F130" s="289" t="s">
        <v>485</v>
      </c>
      <c r="G130" s="166"/>
      <c r="H130" s="551"/>
      <c r="I130" s="561"/>
    </row>
    <row r="131" spans="1:10" ht="20.100000000000001" hidden="1" customHeight="1" outlineLevel="1" x14ac:dyDescent="0.4">
      <c r="A131" s="351"/>
      <c r="B131" s="353"/>
      <c r="C131" s="353"/>
      <c r="D131" s="353"/>
      <c r="E131" s="576"/>
      <c r="F131" s="166"/>
      <c r="G131" s="84"/>
      <c r="H131" s="285"/>
      <c r="I131" s="290"/>
      <c r="J131" s="52" t="s">
        <v>524</v>
      </c>
    </row>
    <row r="132" spans="1:10" ht="20.100000000000001" hidden="1" customHeight="1" outlineLevel="1" collapsed="1" x14ac:dyDescent="0.4">
      <c r="A132" s="350">
        <v>15</v>
      </c>
      <c r="B132" s="352" t="s">
        <v>507</v>
      </c>
      <c r="C132" s="352" t="s">
        <v>527</v>
      </c>
      <c r="D132" s="352" t="s">
        <v>528</v>
      </c>
      <c r="E132" s="578" t="s">
        <v>526</v>
      </c>
      <c r="F132" s="169"/>
      <c r="G132" s="169"/>
      <c r="H132" s="260"/>
      <c r="I132" s="567" t="s">
        <v>460</v>
      </c>
    </row>
    <row r="133" spans="1:10" ht="20.100000000000001" hidden="1" customHeight="1" outlineLevel="1" x14ac:dyDescent="0.4">
      <c r="A133" s="577"/>
      <c r="B133" s="573"/>
      <c r="C133" s="573"/>
      <c r="D133" s="573"/>
      <c r="E133" s="575"/>
      <c r="F133" s="166" t="s">
        <v>531</v>
      </c>
      <c r="G133" s="166"/>
      <c r="H133" s="549">
        <v>46186</v>
      </c>
      <c r="I133" s="561"/>
    </row>
    <row r="134" spans="1:10" ht="20.100000000000001" hidden="1" customHeight="1" outlineLevel="1" x14ac:dyDescent="0.4">
      <c r="A134" s="577"/>
      <c r="B134" s="573"/>
      <c r="C134" s="573"/>
      <c r="D134" s="573"/>
      <c r="E134" s="575"/>
      <c r="F134" s="166" t="s">
        <v>580</v>
      </c>
      <c r="G134" s="166"/>
      <c r="H134" s="550"/>
      <c r="I134" s="561"/>
    </row>
    <row r="135" spans="1:10" ht="20.100000000000001" hidden="1" customHeight="1" outlineLevel="1" x14ac:dyDescent="0.4">
      <c r="A135" s="577"/>
      <c r="B135" s="573"/>
      <c r="C135" s="573"/>
      <c r="D135" s="573"/>
      <c r="E135" s="575"/>
      <c r="F135" s="166" t="s">
        <v>456</v>
      </c>
      <c r="G135" s="166"/>
      <c r="H135" s="550"/>
      <c r="I135" s="561"/>
    </row>
    <row r="136" spans="1:10" ht="20.100000000000001" hidden="1" customHeight="1" outlineLevel="1" collapsed="1" x14ac:dyDescent="0.4">
      <c r="A136" s="577"/>
      <c r="B136" s="573"/>
      <c r="C136" s="573"/>
      <c r="D136" s="573"/>
      <c r="E136" s="575"/>
      <c r="F136" s="166" t="s">
        <v>594</v>
      </c>
      <c r="G136" s="166"/>
      <c r="H136" s="550" t="s">
        <v>604</v>
      </c>
      <c r="I136" s="561"/>
    </row>
    <row r="137" spans="1:10" ht="20.100000000000001" hidden="1" customHeight="1" outlineLevel="1" x14ac:dyDescent="0.4">
      <c r="A137" s="577"/>
      <c r="B137" s="573"/>
      <c r="C137" s="573"/>
      <c r="D137" s="573"/>
      <c r="E137" s="575"/>
      <c r="F137" s="166" t="s">
        <v>605</v>
      </c>
      <c r="G137" s="166"/>
      <c r="H137" s="550"/>
      <c r="I137" s="561"/>
    </row>
    <row r="138" spans="1:10" ht="20.100000000000001" hidden="1" customHeight="1" outlineLevel="1" x14ac:dyDescent="0.4">
      <c r="A138" s="577"/>
      <c r="B138" s="573"/>
      <c r="C138" s="573"/>
      <c r="D138" s="573"/>
      <c r="E138" s="575"/>
      <c r="F138" s="166" t="s">
        <v>490</v>
      </c>
      <c r="G138" s="166"/>
      <c r="H138" s="550"/>
      <c r="I138" s="561"/>
    </row>
    <row r="139" spans="1:10" ht="20.100000000000001" hidden="1" customHeight="1" outlineLevel="1" x14ac:dyDescent="0.4">
      <c r="A139" s="351"/>
      <c r="B139" s="353"/>
      <c r="C139" s="353"/>
      <c r="D139" s="353"/>
      <c r="E139" s="576"/>
      <c r="F139" s="84"/>
      <c r="G139" s="84"/>
      <c r="H139" s="551"/>
      <c r="I139" s="557"/>
      <c r="J139" s="52" t="s">
        <v>480</v>
      </c>
    </row>
    <row r="140" spans="1:10" ht="20.100000000000001" hidden="1" customHeight="1" outlineLevel="1" collapsed="1" x14ac:dyDescent="0.4">
      <c r="A140" s="350">
        <v>16</v>
      </c>
      <c r="B140" s="352" t="s">
        <v>424</v>
      </c>
      <c r="C140" s="352" t="s">
        <v>530</v>
      </c>
      <c r="D140" s="352" t="s">
        <v>423</v>
      </c>
      <c r="E140" s="574" t="s">
        <v>529</v>
      </c>
      <c r="F140" s="169"/>
      <c r="G140" s="169"/>
      <c r="H140" s="260"/>
      <c r="I140" s="567" t="s">
        <v>460</v>
      </c>
    </row>
    <row r="141" spans="1:10" ht="20.100000000000001" hidden="1" customHeight="1" outlineLevel="1" x14ac:dyDescent="0.4">
      <c r="A141" s="577"/>
      <c r="B141" s="573"/>
      <c r="C141" s="573"/>
      <c r="D141" s="573"/>
      <c r="E141" s="575"/>
      <c r="F141" s="166" t="s">
        <v>532</v>
      </c>
      <c r="G141" s="166"/>
      <c r="H141" s="263">
        <v>46164</v>
      </c>
      <c r="I141" s="561"/>
    </row>
    <row r="142" spans="1:10" ht="20.100000000000001" hidden="1" customHeight="1" outlineLevel="1" x14ac:dyDescent="0.4">
      <c r="A142" s="577"/>
      <c r="B142" s="573"/>
      <c r="C142" s="573"/>
      <c r="D142" s="573"/>
      <c r="E142" s="575"/>
      <c r="F142" s="166" t="s">
        <v>534</v>
      </c>
      <c r="G142" s="166"/>
      <c r="H142" s="263">
        <v>46202</v>
      </c>
      <c r="I142" s="561"/>
    </row>
    <row r="143" spans="1:10" ht="20.100000000000001" hidden="1" customHeight="1" outlineLevel="1" x14ac:dyDescent="0.4">
      <c r="A143" s="577"/>
      <c r="B143" s="573"/>
      <c r="C143" s="573"/>
      <c r="D143" s="573"/>
      <c r="E143" s="575"/>
      <c r="F143" s="166" t="s">
        <v>538</v>
      </c>
      <c r="G143" s="166"/>
      <c r="H143" s="263">
        <v>46204</v>
      </c>
      <c r="I143" s="561"/>
    </row>
    <row r="144" spans="1:10" ht="20.100000000000001" hidden="1" customHeight="1" outlineLevel="1" x14ac:dyDescent="0.4">
      <c r="A144" s="577"/>
      <c r="B144" s="573"/>
      <c r="C144" s="573"/>
      <c r="D144" s="573"/>
      <c r="E144" s="575"/>
      <c r="F144" s="166" t="s">
        <v>449</v>
      </c>
      <c r="G144" s="166"/>
      <c r="H144" s="263">
        <v>46212</v>
      </c>
      <c r="I144" s="561"/>
    </row>
    <row r="145" spans="1:10" ht="20.100000000000001" hidden="1" customHeight="1" outlineLevel="1" collapsed="1" x14ac:dyDescent="0.4">
      <c r="A145" s="577"/>
      <c r="B145" s="573"/>
      <c r="C145" s="573"/>
      <c r="D145" s="573"/>
      <c r="E145" s="575"/>
      <c r="F145" s="166" t="s">
        <v>676</v>
      </c>
      <c r="G145" s="166"/>
      <c r="H145" s="263">
        <v>46213</v>
      </c>
      <c r="I145" s="561"/>
    </row>
    <row r="146" spans="1:10" ht="20.100000000000001" hidden="1" customHeight="1" outlineLevel="1" x14ac:dyDescent="0.4">
      <c r="A146" s="577"/>
      <c r="B146" s="573"/>
      <c r="C146" s="573"/>
      <c r="D146" s="573"/>
      <c r="E146" s="575"/>
      <c r="F146" s="166" t="s">
        <v>725</v>
      </c>
      <c r="G146" s="166"/>
      <c r="H146" s="263">
        <v>46219</v>
      </c>
      <c r="I146" s="561"/>
    </row>
    <row r="147" spans="1:10" ht="20.100000000000001" hidden="1" customHeight="1" outlineLevel="1" collapsed="1" x14ac:dyDescent="0.4">
      <c r="A147" s="577"/>
      <c r="B147" s="573"/>
      <c r="C147" s="573"/>
      <c r="D147" s="573"/>
      <c r="E147" s="575"/>
      <c r="F147" s="166" t="s">
        <v>766</v>
      </c>
      <c r="G147" s="166"/>
      <c r="H147" s="549">
        <v>46240</v>
      </c>
      <c r="I147" s="561"/>
    </row>
    <row r="148" spans="1:10" ht="20.100000000000001" hidden="1" customHeight="1" outlineLevel="1" x14ac:dyDescent="0.4">
      <c r="A148" s="577"/>
      <c r="B148" s="573"/>
      <c r="C148" s="573"/>
      <c r="D148" s="573"/>
      <c r="E148" s="575"/>
      <c r="F148" s="166" t="s">
        <v>676</v>
      </c>
      <c r="G148" s="166"/>
      <c r="H148" s="550"/>
      <c r="I148" s="561"/>
    </row>
    <row r="149" spans="1:10" ht="20.100000000000001" hidden="1" customHeight="1" outlineLevel="1" x14ac:dyDescent="0.4">
      <c r="A149" s="577"/>
      <c r="B149" s="573"/>
      <c r="C149" s="573"/>
      <c r="D149" s="573"/>
      <c r="E149" s="575"/>
      <c r="F149" s="166" t="s">
        <v>725</v>
      </c>
      <c r="G149" s="166"/>
      <c r="H149" s="551"/>
      <c r="I149" s="561"/>
    </row>
    <row r="150" spans="1:10" ht="20.100000000000001" hidden="1" customHeight="1" outlineLevel="1" collapsed="1" x14ac:dyDescent="0.4">
      <c r="A150" s="577"/>
      <c r="B150" s="573"/>
      <c r="C150" s="573"/>
      <c r="D150" s="573"/>
      <c r="E150" s="575"/>
      <c r="F150" s="166" t="s">
        <v>858</v>
      </c>
      <c r="G150" s="166"/>
      <c r="H150" s="549">
        <v>46276</v>
      </c>
      <c r="I150" s="561"/>
    </row>
    <row r="151" spans="1:10" ht="20.100000000000001" hidden="1" customHeight="1" outlineLevel="1" x14ac:dyDescent="0.4">
      <c r="A151" s="351"/>
      <c r="B151" s="353"/>
      <c r="C151" s="353"/>
      <c r="D151" s="353"/>
      <c r="E151" s="576"/>
      <c r="F151" s="166"/>
      <c r="G151" s="84"/>
      <c r="H151" s="551"/>
      <c r="I151" s="557"/>
      <c r="J151" s="52" t="s">
        <v>512</v>
      </c>
    </row>
    <row r="152" spans="1:10" ht="20.100000000000001" hidden="1" customHeight="1" outlineLevel="1" collapsed="1" x14ac:dyDescent="0.4">
      <c r="A152" s="350">
        <v>17</v>
      </c>
      <c r="B152" s="352" t="s">
        <v>549</v>
      </c>
      <c r="C152" s="352" t="s">
        <v>550</v>
      </c>
      <c r="D152" s="352"/>
      <c r="E152" s="574" t="s">
        <v>551</v>
      </c>
      <c r="F152" s="169"/>
      <c r="G152" s="169"/>
      <c r="H152" s="260"/>
      <c r="I152" s="567" t="s">
        <v>498</v>
      </c>
    </row>
    <row r="153" spans="1:10" ht="20.100000000000001" hidden="1" customHeight="1" outlineLevel="1" x14ac:dyDescent="0.4">
      <c r="A153" s="577"/>
      <c r="B153" s="573"/>
      <c r="C153" s="573"/>
      <c r="D153" s="573"/>
      <c r="E153" s="575"/>
      <c r="F153" s="166" t="s">
        <v>561</v>
      </c>
      <c r="G153" s="166"/>
      <c r="H153" s="263">
        <v>46164</v>
      </c>
      <c r="I153" s="562"/>
    </row>
    <row r="154" spans="1:10" ht="20.100000000000001" hidden="1" customHeight="1" outlineLevel="1" x14ac:dyDescent="0.4">
      <c r="A154" s="577"/>
      <c r="B154" s="573"/>
      <c r="C154" s="573"/>
      <c r="D154" s="573"/>
      <c r="E154" s="575"/>
      <c r="F154" s="166" t="s">
        <v>615</v>
      </c>
      <c r="G154" s="166"/>
      <c r="H154" s="263">
        <v>46202</v>
      </c>
      <c r="I154" s="562"/>
    </row>
    <row r="155" spans="1:10" ht="20.100000000000001" hidden="1" customHeight="1" outlineLevel="1" x14ac:dyDescent="0.4">
      <c r="A155" s="577"/>
      <c r="B155" s="573"/>
      <c r="C155" s="573"/>
      <c r="D155" s="573"/>
      <c r="E155" s="575"/>
      <c r="F155" s="166" t="s">
        <v>616</v>
      </c>
      <c r="G155" s="166"/>
      <c r="H155" s="263">
        <v>46204</v>
      </c>
      <c r="I155" s="562"/>
    </row>
    <row r="156" spans="1:10" ht="20.100000000000001" hidden="1" customHeight="1" outlineLevel="1" collapsed="1" x14ac:dyDescent="0.4">
      <c r="A156" s="577"/>
      <c r="B156" s="573"/>
      <c r="C156" s="573"/>
      <c r="D156" s="573"/>
      <c r="E156" s="575"/>
      <c r="F156" s="166" t="s">
        <v>682</v>
      </c>
      <c r="G156" s="166"/>
      <c r="H156" s="263">
        <v>46212</v>
      </c>
      <c r="I156" s="562"/>
    </row>
    <row r="157" spans="1:10" ht="20.100000000000001" hidden="1" customHeight="1" outlineLevel="1" x14ac:dyDescent="0.4">
      <c r="A157" s="577"/>
      <c r="B157" s="573"/>
      <c r="C157" s="573"/>
      <c r="D157" s="573"/>
      <c r="E157" s="575"/>
      <c r="F157" s="166" t="s">
        <v>691</v>
      </c>
      <c r="G157" s="166"/>
      <c r="H157" s="263">
        <v>46216</v>
      </c>
      <c r="I157" s="562"/>
    </row>
    <row r="158" spans="1:10" ht="20.100000000000001" hidden="1" customHeight="1" outlineLevel="1" collapsed="1" x14ac:dyDescent="0.4">
      <c r="A158" s="577"/>
      <c r="B158" s="573"/>
      <c r="C158" s="573"/>
      <c r="D158" s="573"/>
      <c r="E158" s="575"/>
      <c r="F158" s="166" t="s">
        <v>740</v>
      </c>
      <c r="G158" s="166"/>
      <c r="H158" s="263">
        <v>46227</v>
      </c>
      <c r="I158" s="562"/>
    </row>
    <row r="159" spans="1:10" ht="20.100000000000001" hidden="1" customHeight="1" outlineLevel="1" collapsed="1" x14ac:dyDescent="0.4">
      <c r="A159" s="577"/>
      <c r="B159" s="573"/>
      <c r="C159" s="573"/>
      <c r="D159" s="573"/>
      <c r="E159" s="575"/>
      <c r="F159" s="289" t="s">
        <v>775</v>
      </c>
      <c r="G159" s="166"/>
      <c r="H159" s="263">
        <v>46238</v>
      </c>
      <c r="I159" s="562"/>
    </row>
    <row r="160" spans="1:10" ht="20.100000000000001" hidden="1" customHeight="1" outlineLevel="1" x14ac:dyDescent="0.4">
      <c r="A160" s="577"/>
      <c r="B160" s="573"/>
      <c r="C160" s="573"/>
      <c r="D160" s="573"/>
      <c r="E160" s="575"/>
      <c r="F160" s="166" t="s">
        <v>485</v>
      </c>
      <c r="G160" s="166"/>
      <c r="H160" s="263">
        <v>46259</v>
      </c>
      <c r="I160" s="562"/>
    </row>
    <row r="161" spans="1:10" ht="20.100000000000001" hidden="1" customHeight="1" outlineLevel="1" x14ac:dyDescent="0.4">
      <c r="A161" s="577"/>
      <c r="B161" s="573"/>
      <c r="C161" s="573"/>
      <c r="D161" s="573"/>
      <c r="E161" s="575"/>
      <c r="F161" s="166" t="s">
        <v>894</v>
      </c>
      <c r="G161" s="166"/>
      <c r="H161" s="549">
        <v>46283</v>
      </c>
      <c r="I161" s="562"/>
    </row>
    <row r="162" spans="1:10" ht="20.100000000000001" hidden="1" customHeight="1" outlineLevel="1" x14ac:dyDescent="0.4">
      <c r="A162" s="577"/>
      <c r="B162" s="573"/>
      <c r="C162" s="573"/>
      <c r="D162" s="573"/>
      <c r="E162" s="575"/>
      <c r="F162" s="166" t="s">
        <v>858</v>
      </c>
      <c r="G162" s="166"/>
      <c r="H162" s="550"/>
      <c r="I162" s="562"/>
    </row>
    <row r="163" spans="1:10" ht="20.100000000000001" hidden="1" customHeight="1" outlineLevel="1" x14ac:dyDescent="0.4">
      <c r="A163" s="577"/>
      <c r="B163" s="573"/>
      <c r="C163" s="573"/>
      <c r="D163" s="573"/>
      <c r="E163" s="575"/>
      <c r="F163" s="166" t="s">
        <v>766</v>
      </c>
      <c r="G163" s="166"/>
      <c r="H163" s="550"/>
      <c r="I163" s="562"/>
    </row>
    <row r="164" spans="1:10" ht="20.100000000000001" hidden="1" customHeight="1" outlineLevel="1" x14ac:dyDescent="0.4">
      <c r="A164" s="577"/>
      <c r="B164" s="573"/>
      <c r="C164" s="573"/>
      <c r="D164" s="573"/>
      <c r="E164" s="575"/>
      <c r="F164" s="166" t="s">
        <v>895</v>
      </c>
      <c r="G164" s="166"/>
      <c r="H164" s="551"/>
      <c r="I164" s="563"/>
    </row>
    <row r="165" spans="1:10" ht="20.100000000000001" customHeight="1" collapsed="1" x14ac:dyDescent="0.4">
      <c r="A165" s="577"/>
      <c r="B165" s="573"/>
      <c r="C165" s="573"/>
      <c r="D165" s="573"/>
      <c r="E165" s="575"/>
      <c r="F165" s="166" t="s">
        <v>947</v>
      </c>
      <c r="G165" s="166"/>
      <c r="H165" s="322">
        <v>46297</v>
      </c>
      <c r="I165" s="288"/>
    </row>
    <row r="166" spans="1:10" ht="20.100000000000001" customHeight="1" x14ac:dyDescent="0.4">
      <c r="A166" s="351"/>
      <c r="B166" s="353"/>
      <c r="C166" s="353"/>
      <c r="D166" s="353"/>
      <c r="E166" s="576"/>
      <c r="F166" s="84" t="s">
        <v>945</v>
      </c>
      <c r="G166" s="84" t="s">
        <v>946</v>
      </c>
      <c r="H166" s="322">
        <v>46304</v>
      </c>
      <c r="I166" s="290"/>
      <c r="J166" s="52" t="s">
        <v>512</v>
      </c>
    </row>
    <row r="167" spans="1:10" ht="20.100000000000001" hidden="1" customHeight="1" outlineLevel="1" collapsed="1" x14ac:dyDescent="0.4">
      <c r="A167" s="350">
        <v>18</v>
      </c>
      <c r="B167" s="352" t="s">
        <v>552</v>
      </c>
      <c r="C167" s="352" t="s">
        <v>553</v>
      </c>
      <c r="D167" s="352" t="s">
        <v>558</v>
      </c>
      <c r="E167" s="574" t="s">
        <v>546</v>
      </c>
      <c r="F167" s="169" t="s">
        <v>457</v>
      </c>
      <c r="G167" s="169"/>
      <c r="H167" s="569">
        <v>46178</v>
      </c>
      <c r="I167" s="555" t="s">
        <v>460</v>
      </c>
    </row>
    <row r="168" spans="1:10" ht="20.100000000000001" hidden="1" customHeight="1" outlineLevel="1" x14ac:dyDescent="0.4">
      <c r="A168" s="577"/>
      <c r="B168" s="573"/>
      <c r="C168" s="573"/>
      <c r="D168" s="573"/>
      <c r="E168" s="575"/>
      <c r="F168" s="166" t="s">
        <v>449</v>
      </c>
      <c r="G168" s="166"/>
      <c r="H168" s="570"/>
      <c r="I168" s="561"/>
    </row>
    <row r="169" spans="1:10" ht="20.100000000000001" hidden="1" customHeight="1" outlineLevel="1" x14ac:dyDescent="0.4">
      <c r="A169" s="577"/>
      <c r="B169" s="573"/>
      <c r="C169" s="573"/>
      <c r="D169" s="573"/>
      <c r="E169" s="575"/>
      <c r="F169" s="166" t="s">
        <v>485</v>
      </c>
      <c r="G169" s="166"/>
      <c r="H169" s="570"/>
      <c r="I169" s="561"/>
    </row>
    <row r="170" spans="1:10" ht="20.100000000000001" hidden="1" customHeight="1" outlineLevel="1" x14ac:dyDescent="0.4">
      <c r="A170" s="577"/>
      <c r="B170" s="573"/>
      <c r="C170" s="573"/>
      <c r="D170" s="573"/>
      <c r="E170" s="575"/>
      <c r="F170" s="166" t="s">
        <v>458</v>
      </c>
      <c r="G170" s="166"/>
      <c r="H170" s="570"/>
      <c r="I170" s="561"/>
    </row>
    <row r="171" spans="1:10" ht="20.100000000000001" hidden="1" customHeight="1" outlineLevel="1" collapsed="1" x14ac:dyDescent="0.4">
      <c r="A171" s="350">
        <v>19</v>
      </c>
      <c r="B171" s="352" t="s">
        <v>554</v>
      </c>
      <c r="C171" s="352" t="s">
        <v>555</v>
      </c>
      <c r="D171" s="352" t="s">
        <v>557</v>
      </c>
      <c r="E171" s="574" t="s">
        <v>556</v>
      </c>
      <c r="F171" s="169"/>
      <c r="G171" s="169"/>
      <c r="H171" s="569">
        <v>46178</v>
      </c>
      <c r="I171" s="555"/>
    </row>
    <row r="172" spans="1:10" ht="20.100000000000001" hidden="1" customHeight="1" outlineLevel="1" x14ac:dyDescent="0.4">
      <c r="A172" s="577"/>
      <c r="B172" s="573"/>
      <c r="C172" s="573"/>
      <c r="D172" s="573"/>
      <c r="E172" s="575"/>
      <c r="F172" s="166" t="s">
        <v>573</v>
      </c>
      <c r="G172" s="166"/>
      <c r="H172" s="569"/>
      <c r="I172" s="561"/>
    </row>
    <row r="173" spans="1:10" ht="20.100000000000001" hidden="1" customHeight="1" outlineLevel="1" x14ac:dyDescent="0.4">
      <c r="A173" s="577"/>
      <c r="B173" s="573"/>
      <c r="C173" s="573"/>
      <c r="D173" s="573"/>
      <c r="E173" s="575"/>
      <c r="F173" s="166" t="s">
        <v>574</v>
      </c>
      <c r="G173" s="166"/>
      <c r="H173" s="569"/>
      <c r="I173" s="561"/>
    </row>
    <row r="174" spans="1:10" ht="20.100000000000001" hidden="1" customHeight="1" outlineLevel="1" x14ac:dyDescent="0.4">
      <c r="A174" s="577"/>
      <c r="B174" s="573"/>
      <c r="C174" s="573"/>
      <c r="D174" s="573"/>
      <c r="E174" s="575"/>
      <c r="F174" s="166" t="s">
        <v>575</v>
      </c>
      <c r="G174" s="166"/>
      <c r="H174" s="569"/>
      <c r="I174" s="561"/>
    </row>
    <row r="175" spans="1:10" ht="20.100000000000001" hidden="1" customHeight="1" outlineLevel="1" x14ac:dyDescent="0.4">
      <c r="A175" s="351"/>
      <c r="B175" s="353"/>
      <c r="C175" s="353"/>
      <c r="D175" s="353"/>
      <c r="E175" s="576"/>
      <c r="F175" s="84"/>
      <c r="G175" s="84"/>
      <c r="H175" s="570"/>
      <c r="I175" s="557"/>
      <c r="J175" s="52" t="s">
        <v>577</v>
      </c>
    </row>
    <row r="176" spans="1:10" ht="20.100000000000001" hidden="1" customHeight="1" outlineLevel="1" collapsed="1" x14ac:dyDescent="0.4">
      <c r="A176" s="350">
        <v>20</v>
      </c>
      <c r="B176" s="352" t="s">
        <v>570</v>
      </c>
      <c r="C176" s="352" t="s">
        <v>571</v>
      </c>
      <c r="D176" s="352"/>
      <c r="E176" s="574" t="s">
        <v>572</v>
      </c>
      <c r="F176" s="169"/>
      <c r="G176" s="169"/>
      <c r="H176" s="569">
        <v>46178</v>
      </c>
      <c r="I176" s="555" t="s">
        <v>592</v>
      </c>
    </row>
    <row r="177" spans="1:10" ht="20.100000000000001" hidden="1" customHeight="1" outlineLevel="1" x14ac:dyDescent="0.4">
      <c r="A177" s="577"/>
      <c r="B177" s="573"/>
      <c r="C177" s="573"/>
      <c r="D177" s="573"/>
      <c r="E177" s="575"/>
      <c r="F177" s="166" t="s">
        <v>576</v>
      </c>
      <c r="G177" s="166"/>
      <c r="H177" s="570"/>
      <c r="I177" s="561"/>
    </row>
    <row r="178" spans="1:10" ht="20.100000000000001" hidden="1" customHeight="1" outlineLevel="1" x14ac:dyDescent="0.4">
      <c r="A178" s="577"/>
      <c r="B178" s="573"/>
      <c r="C178" s="573"/>
      <c r="D178" s="573"/>
      <c r="E178" s="575"/>
      <c r="F178" s="166" t="s">
        <v>581</v>
      </c>
      <c r="G178" s="166"/>
      <c r="H178" s="570"/>
      <c r="I178" s="561"/>
    </row>
    <row r="179" spans="1:10" ht="20.100000000000001" hidden="1" customHeight="1" outlineLevel="1" x14ac:dyDescent="0.4">
      <c r="A179" s="577"/>
      <c r="B179" s="573"/>
      <c r="C179" s="573"/>
      <c r="D179" s="573"/>
      <c r="E179" s="575"/>
      <c r="F179" s="166" t="s">
        <v>582</v>
      </c>
      <c r="G179" s="166"/>
      <c r="H179" s="570"/>
      <c r="I179" s="561"/>
    </row>
    <row r="180" spans="1:10" ht="20.100000000000001" hidden="1" customHeight="1" outlineLevel="1" x14ac:dyDescent="0.4">
      <c r="A180" s="577"/>
      <c r="B180" s="573"/>
      <c r="C180" s="573"/>
      <c r="D180" s="573"/>
      <c r="E180" s="575"/>
      <c r="F180" s="166" t="s">
        <v>583</v>
      </c>
      <c r="G180" s="166"/>
      <c r="H180" s="570"/>
      <c r="I180" s="561"/>
    </row>
    <row r="181" spans="1:10" ht="20.100000000000001" hidden="1" customHeight="1" outlineLevel="1" x14ac:dyDescent="0.4">
      <c r="A181" s="351"/>
      <c r="B181" s="353"/>
      <c r="C181" s="353"/>
      <c r="D181" s="353"/>
      <c r="E181" s="576"/>
      <c r="F181" s="84"/>
      <c r="G181" s="84"/>
      <c r="H181" s="570"/>
      <c r="I181" s="557"/>
      <c r="J181" s="52" t="s">
        <v>480</v>
      </c>
    </row>
    <row r="182" spans="1:10" ht="20.100000000000001" hidden="1" customHeight="1" outlineLevel="1" collapsed="1" x14ac:dyDescent="0.4">
      <c r="A182" s="350">
        <v>21</v>
      </c>
      <c r="B182" s="352" t="s">
        <v>600</v>
      </c>
      <c r="C182" s="352" t="s">
        <v>601</v>
      </c>
      <c r="D182" s="352"/>
      <c r="E182" s="574" t="s">
        <v>599</v>
      </c>
      <c r="F182" s="169"/>
      <c r="G182" s="169"/>
      <c r="H182" s="278"/>
      <c r="I182" s="555" t="s">
        <v>498</v>
      </c>
    </row>
    <row r="183" spans="1:10" ht="20.100000000000001" hidden="1" customHeight="1" outlineLevel="1" x14ac:dyDescent="0.4">
      <c r="A183" s="577"/>
      <c r="B183" s="573"/>
      <c r="C183" s="573"/>
      <c r="D183" s="573"/>
      <c r="E183" s="575"/>
      <c r="F183" s="166" t="s">
        <v>602</v>
      </c>
      <c r="G183" s="166"/>
      <c r="H183" s="263">
        <v>46190</v>
      </c>
      <c r="I183" s="561"/>
    </row>
    <row r="184" spans="1:10" ht="20.100000000000001" hidden="1" customHeight="1" outlineLevel="1" x14ac:dyDescent="0.4">
      <c r="A184" s="577"/>
      <c r="B184" s="573"/>
      <c r="C184" s="573"/>
      <c r="D184" s="573"/>
      <c r="E184" s="575"/>
      <c r="F184" s="166" t="s">
        <v>606</v>
      </c>
      <c r="G184" s="166"/>
      <c r="H184" s="263">
        <v>46192</v>
      </c>
      <c r="I184" s="561"/>
    </row>
    <row r="185" spans="1:10" ht="20.100000000000001" hidden="1" customHeight="1" outlineLevel="1" x14ac:dyDescent="0.4">
      <c r="A185" s="577"/>
      <c r="B185" s="573"/>
      <c r="C185" s="573"/>
      <c r="D185" s="573"/>
      <c r="E185" s="575"/>
      <c r="F185" s="166" t="s">
        <v>610</v>
      </c>
      <c r="G185" s="166"/>
      <c r="H185" s="263">
        <v>46196</v>
      </c>
      <c r="I185" s="561"/>
    </row>
    <row r="186" spans="1:10" ht="20.100000000000001" hidden="1" customHeight="1" outlineLevel="1" x14ac:dyDescent="0.4">
      <c r="A186" s="577"/>
      <c r="B186" s="573"/>
      <c r="C186" s="573"/>
      <c r="D186" s="573"/>
      <c r="E186" s="575"/>
      <c r="F186" s="166" t="s">
        <v>617</v>
      </c>
      <c r="G186" s="166"/>
      <c r="H186" s="263">
        <v>46198</v>
      </c>
      <c r="I186" s="561"/>
    </row>
    <row r="187" spans="1:10" ht="20.100000000000001" hidden="1" customHeight="1" outlineLevel="1" collapsed="1" x14ac:dyDescent="0.4">
      <c r="A187" s="577"/>
      <c r="B187" s="573"/>
      <c r="C187" s="573"/>
      <c r="D187" s="573"/>
      <c r="E187" s="575"/>
      <c r="F187" s="166" t="s">
        <v>683</v>
      </c>
      <c r="G187" s="166"/>
      <c r="H187" s="263">
        <v>46217</v>
      </c>
      <c r="I187" s="561"/>
    </row>
    <row r="188" spans="1:10" ht="20.100000000000001" hidden="1" customHeight="1" outlineLevel="1" x14ac:dyDescent="0.4">
      <c r="A188" s="577"/>
      <c r="B188" s="573"/>
      <c r="C188" s="573"/>
      <c r="D188" s="573"/>
      <c r="E188" s="575"/>
      <c r="F188" s="166" t="s">
        <v>618</v>
      </c>
      <c r="G188" s="166"/>
      <c r="H188" s="263">
        <v>46206</v>
      </c>
      <c r="I188" s="561"/>
    </row>
    <row r="189" spans="1:10" ht="20.100000000000001" hidden="1" customHeight="1" outlineLevel="1" collapsed="1" x14ac:dyDescent="0.4">
      <c r="A189" s="577"/>
      <c r="B189" s="573"/>
      <c r="C189" s="573"/>
      <c r="D189" s="573"/>
      <c r="E189" s="575"/>
      <c r="F189" s="166" t="s">
        <v>456</v>
      </c>
      <c r="G189" s="166"/>
      <c r="H189" s="263">
        <v>46217</v>
      </c>
      <c r="I189" s="561"/>
    </row>
    <row r="190" spans="1:10" ht="20.100000000000001" hidden="1" customHeight="1" outlineLevel="1" collapsed="1" x14ac:dyDescent="0.4">
      <c r="A190" s="577"/>
      <c r="B190" s="573"/>
      <c r="C190" s="573"/>
      <c r="D190" s="573"/>
      <c r="E190" s="575"/>
      <c r="F190" s="166" t="s">
        <v>727</v>
      </c>
      <c r="G190" s="166"/>
      <c r="H190" s="263">
        <v>46225</v>
      </c>
      <c r="I190" s="561"/>
    </row>
    <row r="191" spans="1:10" ht="41.25" hidden="1" customHeight="1" outlineLevel="1" collapsed="1" x14ac:dyDescent="0.4">
      <c r="A191" s="351"/>
      <c r="B191" s="353"/>
      <c r="C191" s="353"/>
      <c r="D191" s="353"/>
      <c r="E191" s="576"/>
      <c r="F191" s="84" t="s">
        <v>490</v>
      </c>
      <c r="G191" s="84"/>
      <c r="H191" s="263">
        <v>46274</v>
      </c>
      <c r="I191" s="557"/>
      <c r="J191" s="52" t="s">
        <v>603</v>
      </c>
    </row>
    <row r="192" spans="1:10" ht="20.100000000000001" hidden="1" customHeight="1" outlineLevel="1" collapsed="1" x14ac:dyDescent="0.4">
      <c r="A192" s="350">
        <v>22</v>
      </c>
      <c r="B192" s="352" t="s">
        <v>621</v>
      </c>
      <c r="C192" s="352" t="s">
        <v>619</v>
      </c>
      <c r="D192" s="352" t="s">
        <v>712</v>
      </c>
      <c r="E192" s="574" t="s">
        <v>620</v>
      </c>
      <c r="F192" s="169"/>
      <c r="G192" s="169"/>
      <c r="H192" s="278"/>
      <c r="I192" s="555" t="s">
        <v>498</v>
      </c>
    </row>
    <row r="193" spans="1:10" ht="20.100000000000001" hidden="1" customHeight="1" outlineLevel="1" x14ac:dyDescent="0.4">
      <c r="A193" s="577"/>
      <c r="B193" s="573"/>
      <c r="C193" s="573"/>
      <c r="D193" s="573"/>
      <c r="E193" s="575"/>
      <c r="F193" s="166" t="s">
        <v>677</v>
      </c>
      <c r="G193" s="166"/>
      <c r="H193" s="549">
        <v>46212</v>
      </c>
      <c r="I193" s="561"/>
    </row>
    <row r="194" spans="1:10" ht="20.100000000000001" hidden="1" customHeight="1" outlineLevel="1" x14ac:dyDescent="0.4">
      <c r="A194" s="577"/>
      <c r="B194" s="573"/>
      <c r="C194" s="573"/>
      <c r="D194" s="573"/>
      <c r="E194" s="575"/>
      <c r="F194" s="166" t="s">
        <v>685</v>
      </c>
      <c r="G194" s="166"/>
      <c r="H194" s="551"/>
      <c r="I194" s="557"/>
    </row>
    <row r="195" spans="1:10" ht="20.100000000000001" hidden="1" customHeight="1" outlineLevel="1" x14ac:dyDescent="0.4">
      <c r="A195" s="577"/>
      <c r="B195" s="573"/>
      <c r="C195" s="573"/>
      <c r="D195" s="573"/>
      <c r="E195" s="575"/>
      <c r="F195" s="166"/>
      <c r="G195" s="166"/>
      <c r="H195" s="266"/>
      <c r="I195" s="292"/>
    </row>
    <row r="196" spans="1:10" ht="20.100000000000001" hidden="1" customHeight="1" outlineLevel="1" x14ac:dyDescent="0.4">
      <c r="A196" s="577"/>
      <c r="B196" s="573"/>
      <c r="C196" s="573"/>
      <c r="D196" s="573"/>
      <c r="E196" s="575"/>
      <c r="F196" s="166" t="s">
        <v>789</v>
      </c>
      <c r="G196" s="166"/>
      <c r="H196" s="263">
        <v>46244</v>
      </c>
      <c r="I196" s="292"/>
    </row>
    <row r="197" spans="1:10" ht="20.100000000000001" hidden="1" customHeight="1" outlineLevel="1" collapsed="1" x14ac:dyDescent="0.4">
      <c r="A197" s="577"/>
      <c r="B197" s="573"/>
      <c r="C197" s="573"/>
      <c r="D197" s="573"/>
      <c r="E197" s="575"/>
      <c r="F197" s="166" t="s">
        <v>449</v>
      </c>
      <c r="G197" s="166"/>
      <c r="H197" s="263">
        <v>46265</v>
      </c>
      <c r="I197" s="562" t="s">
        <v>949</v>
      </c>
    </row>
    <row r="198" spans="1:10" ht="20.100000000000001" customHeight="1" collapsed="1" x14ac:dyDescent="0.4">
      <c r="A198" s="577"/>
      <c r="B198" s="573"/>
      <c r="C198" s="573"/>
      <c r="D198" s="573"/>
      <c r="E198" s="575"/>
      <c r="F198" s="166" t="s">
        <v>921</v>
      </c>
      <c r="G198" s="166"/>
      <c r="H198" s="559" t="s">
        <v>941</v>
      </c>
      <c r="I198" s="562"/>
    </row>
    <row r="199" spans="1:10" ht="20.100000000000001" customHeight="1" x14ac:dyDescent="0.4">
      <c r="A199" s="577"/>
      <c r="B199" s="573"/>
      <c r="C199" s="573"/>
      <c r="D199" s="573"/>
      <c r="E199" s="575"/>
      <c r="F199" s="166" t="s">
        <v>725</v>
      </c>
      <c r="G199" s="166"/>
      <c r="H199" s="558"/>
      <c r="I199" s="562"/>
    </row>
    <row r="200" spans="1:10" ht="20.100000000000001" customHeight="1" x14ac:dyDescent="0.4">
      <c r="A200" s="577"/>
      <c r="B200" s="573"/>
      <c r="C200" s="573"/>
      <c r="D200" s="573"/>
      <c r="E200" s="575"/>
      <c r="F200" s="166" t="s">
        <v>920</v>
      </c>
      <c r="G200" s="166" t="s">
        <v>922</v>
      </c>
      <c r="H200" s="558"/>
      <c r="I200" s="562"/>
    </row>
    <row r="201" spans="1:10" ht="20.100000000000001" customHeight="1" x14ac:dyDescent="0.4">
      <c r="A201" s="577"/>
      <c r="B201" s="573"/>
      <c r="C201" s="573"/>
      <c r="D201" s="573"/>
      <c r="E201" s="575"/>
      <c r="F201" s="166" t="s">
        <v>930</v>
      </c>
      <c r="G201" s="166"/>
      <c r="H201" s="558"/>
      <c r="I201" s="562"/>
    </row>
    <row r="202" spans="1:10" ht="20.100000000000001" customHeight="1" x14ac:dyDescent="0.4">
      <c r="A202" s="577"/>
      <c r="B202" s="573"/>
      <c r="C202" s="573"/>
      <c r="D202" s="573"/>
      <c r="E202" s="575"/>
      <c r="F202" s="166" t="s">
        <v>948</v>
      </c>
      <c r="G202" s="166"/>
      <c r="H202" s="558"/>
      <c r="I202" s="562"/>
    </row>
    <row r="203" spans="1:10" ht="20.100000000000001" customHeight="1" x14ac:dyDescent="0.4">
      <c r="A203" s="351"/>
      <c r="B203" s="353"/>
      <c r="C203" s="353"/>
      <c r="D203" s="353"/>
      <c r="E203" s="576"/>
      <c r="F203" s="84" t="s">
        <v>940</v>
      </c>
      <c r="G203" s="84"/>
      <c r="H203" s="560"/>
      <c r="I203" s="563"/>
      <c r="J203" s="52" t="s">
        <v>622</v>
      </c>
    </row>
    <row r="204" spans="1:10" ht="20.100000000000001" hidden="1" customHeight="1" outlineLevel="1" x14ac:dyDescent="0.4">
      <c r="A204" s="350">
        <v>23</v>
      </c>
      <c r="B204" s="352" t="s">
        <v>641</v>
      </c>
      <c r="C204" s="352" t="s">
        <v>630</v>
      </c>
      <c r="D204" s="352"/>
      <c r="E204" s="574" t="s">
        <v>628</v>
      </c>
      <c r="F204" s="169" t="s">
        <v>669</v>
      </c>
      <c r="G204" s="169"/>
      <c r="H204" s="569">
        <v>46212</v>
      </c>
      <c r="I204" s="555" t="s">
        <v>460</v>
      </c>
    </row>
    <row r="205" spans="1:10" ht="20.100000000000001" hidden="1" customHeight="1" outlineLevel="1" x14ac:dyDescent="0.4">
      <c r="A205" s="577"/>
      <c r="B205" s="573"/>
      <c r="C205" s="573"/>
      <c r="D205" s="573"/>
      <c r="E205" s="575"/>
      <c r="F205" s="166" t="s">
        <v>670</v>
      </c>
      <c r="G205" s="166"/>
      <c r="H205" s="569"/>
      <c r="I205" s="561"/>
    </row>
    <row r="206" spans="1:10" ht="20.100000000000001" hidden="1" customHeight="1" outlineLevel="1" x14ac:dyDescent="0.4">
      <c r="A206" s="577"/>
      <c r="B206" s="573"/>
      <c r="C206" s="573"/>
      <c r="D206" s="573"/>
      <c r="E206" s="575"/>
      <c r="F206" s="166" t="s">
        <v>458</v>
      </c>
      <c r="G206" s="166"/>
      <c r="H206" s="570"/>
      <c r="I206" s="561"/>
    </row>
    <row r="207" spans="1:10" ht="20.100000000000001" hidden="1" customHeight="1" outlineLevel="1" x14ac:dyDescent="0.4">
      <c r="A207" s="351"/>
      <c r="B207" s="353"/>
      <c r="C207" s="353"/>
      <c r="D207" s="353"/>
      <c r="E207" s="576"/>
      <c r="F207" s="84" t="s">
        <v>668</v>
      </c>
      <c r="G207" s="84"/>
      <c r="H207" s="570"/>
      <c r="I207" s="557"/>
      <c r="J207" s="52" t="s">
        <v>671</v>
      </c>
    </row>
    <row r="208" spans="1:10" ht="20.100000000000001" hidden="1" customHeight="1" outlineLevel="1" x14ac:dyDescent="0.4">
      <c r="A208" s="350">
        <v>24</v>
      </c>
      <c r="B208" s="352" t="s">
        <v>642</v>
      </c>
      <c r="C208" s="352" t="s">
        <v>631</v>
      </c>
      <c r="D208" s="352" t="s">
        <v>710</v>
      </c>
      <c r="E208" s="574" t="s">
        <v>711</v>
      </c>
      <c r="F208" s="169" t="s">
        <v>457</v>
      </c>
      <c r="G208" s="169"/>
      <c r="H208" s="569">
        <v>46219</v>
      </c>
      <c r="I208" s="555" t="s">
        <v>684</v>
      </c>
    </row>
    <row r="209" spans="1:10" ht="20.100000000000001" hidden="1" customHeight="1" outlineLevel="1" x14ac:dyDescent="0.4">
      <c r="A209" s="577"/>
      <c r="B209" s="573"/>
      <c r="C209" s="573"/>
      <c r="D209" s="573"/>
      <c r="E209" s="575"/>
      <c r="F209" s="166" t="s">
        <v>449</v>
      </c>
      <c r="G209" s="166"/>
      <c r="H209" s="569"/>
      <c r="I209" s="561"/>
    </row>
    <row r="210" spans="1:10" ht="20.100000000000001" hidden="1" customHeight="1" outlineLevel="1" x14ac:dyDescent="0.4">
      <c r="A210" s="577"/>
      <c r="B210" s="573"/>
      <c r="C210" s="573"/>
      <c r="D210" s="573"/>
      <c r="E210" s="575"/>
      <c r="F210" s="166" t="s">
        <v>485</v>
      </c>
      <c r="G210" s="166"/>
      <c r="H210" s="569"/>
      <c r="I210" s="561"/>
    </row>
    <row r="211" spans="1:10" ht="20.100000000000001" hidden="1" customHeight="1" outlineLevel="1" x14ac:dyDescent="0.4">
      <c r="A211" s="577"/>
      <c r="B211" s="573"/>
      <c r="C211" s="573"/>
      <c r="D211" s="573"/>
      <c r="E211" s="575"/>
      <c r="F211" s="166" t="s">
        <v>458</v>
      </c>
      <c r="G211" s="166"/>
      <c r="H211" s="569"/>
      <c r="I211" s="561"/>
    </row>
    <row r="212" spans="1:10" ht="20.100000000000001" hidden="1" customHeight="1" outlineLevel="1" x14ac:dyDescent="0.4">
      <c r="A212" s="577"/>
      <c r="B212" s="573"/>
      <c r="C212" s="573"/>
      <c r="D212" s="573"/>
      <c r="E212" s="575"/>
      <c r="F212" s="166" t="s">
        <v>490</v>
      </c>
      <c r="G212" s="166"/>
      <c r="H212" s="570"/>
      <c r="I212" s="561"/>
    </row>
    <row r="213" spans="1:10" ht="20.100000000000001" hidden="1" customHeight="1" outlineLevel="1" x14ac:dyDescent="0.4">
      <c r="A213" s="351"/>
      <c r="B213" s="353"/>
      <c r="C213" s="353"/>
      <c r="D213" s="353"/>
      <c r="E213" s="576"/>
      <c r="F213" s="84" t="s">
        <v>497</v>
      </c>
      <c r="G213" s="84"/>
      <c r="H213" s="570"/>
      <c r="I213" s="557"/>
      <c r="J213" s="52" t="s">
        <v>672</v>
      </c>
    </row>
    <row r="214" spans="1:10" ht="20.100000000000001" hidden="1" customHeight="1" outlineLevel="1" x14ac:dyDescent="0.4">
      <c r="A214" s="350">
        <v>25</v>
      </c>
      <c r="B214" s="352" t="s">
        <v>643</v>
      </c>
      <c r="C214" s="352" t="s">
        <v>632</v>
      </c>
      <c r="D214" s="352"/>
      <c r="E214" s="574" t="s">
        <v>629</v>
      </c>
      <c r="F214" s="169"/>
      <c r="G214" s="169"/>
      <c r="H214" s="569">
        <v>46211</v>
      </c>
      <c r="I214" s="567" t="s">
        <v>498</v>
      </c>
    </row>
    <row r="215" spans="1:10" ht="20.100000000000001" hidden="1" customHeight="1" outlineLevel="1" x14ac:dyDescent="0.4">
      <c r="A215" s="577"/>
      <c r="B215" s="573"/>
      <c r="C215" s="573"/>
      <c r="D215" s="573"/>
      <c r="E215" s="575"/>
      <c r="F215" s="166" t="s">
        <v>678</v>
      </c>
      <c r="G215" s="166"/>
      <c r="H215" s="570"/>
      <c r="I215" s="562"/>
    </row>
    <row r="216" spans="1:10" ht="20.100000000000001" hidden="1" customHeight="1" outlineLevel="1" x14ac:dyDescent="0.4">
      <c r="A216" s="577"/>
      <c r="B216" s="573"/>
      <c r="C216" s="573"/>
      <c r="D216" s="573"/>
      <c r="E216" s="575"/>
      <c r="F216" s="166" t="s">
        <v>686</v>
      </c>
      <c r="G216" s="166"/>
      <c r="H216" s="570"/>
      <c r="I216" s="562"/>
    </row>
    <row r="217" spans="1:10" ht="20.100000000000001" hidden="1" customHeight="1" outlineLevel="1" x14ac:dyDescent="0.4">
      <c r="A217" s="351"/>
      <c r="B217" s="353"/>
      <c r="C217" s="353"/>
      <c r="D217" s="353"/>
      <c r="E217" s="576"/>
      <c r="F217" s="84"/>
      <c r="G217" s="84"/>
      <c r="H217" s="570"/>
      <c r="I217" s="563"/>
      <c r="J217" s="52" t="s">
        <v>674</v>
      </c>
    </row>
    <row r="218" spans="1:10" ht="20.100000000000001" hidden="1" customHeight="1" outlineLevel="1" collapsed="1" x14ac:dyDescent="0.4">
      <c r="A218" s="350">
        <v>26</v>
      </c>
      <c r="B218" s="352" t="s">
        <v>644</v>
      </c>
      <c r="C218" s="352" t="s">
        <v>633</v>
      </c>
      <c r="D218" s="352"/>
      <c r="E218" s="574" t="s">
        <v>634</v>
      </c>
      <c r="F218" s="169"/>
      <c r="G218" s="169"/>
      <c r="H218" s="569">
        <v>46234</v>
      </c>
      <c r="I218" s="571" t="s">
        <v>498</v>
      </c>
    </row>
    <row r="219" spans="1:10" ht="20.100000000000001" hidden="1" customHeight="1" outlineLevel="1" x14ac:dyDescent="0.4">
      <c r="A219" s="577"/>
      <c r="B219" s="573"/>
      <c r="C219" s="573"/>
      <c r="D219" s="573"/>
      <c r="E219" s="575"/>
      <c r="F219" s="166" t="s">
        <v>457</v>
      </c>
      <c r="G219" s="166"/>
      <c r="H219" s="569"/>
      <c r="I219" s="572"/>
    </row>
    <row r="220" spans="1:10" ht="20.100000000000001" hidden="1" customHeight="1" outlineLevel="1" x14ac:dyDescent="0.4">
      <c r="A220" s="577"/>
      <c r="B220" s="573"/>
      <c r="C220" s="573"/>
      <c r="D220" s="573"/>
      <c r="E220" s="575"/>
      <c r="F220" s="166" t="s">
        <v>449</v>
      </c>
      <c r="G220" s="166"/>
      <c r="H220" s="570"/>
      <c r="I220" s="572"/>
    </row>
    <row r="221" spans="1:10" ht="20.100000000000001" hidden="1" customHeight="1" outlineLevel="1" x14ac:dyDescent="0.4">
      <c r="A221" s="351"/>
      <c r="B221" s="353"/>
      <c r="C221" s="353"/>
      <c r="D221" s="353"/>
      <c r="E221" s="576"/>
      <c r="F221" s="166"/>
      <c r="G221" s="166"/>
      <c r="H221" s="570"/>
      <c r="I221" s="572"/>
      <c r="J221" s="286" t="s">
        <v>481</v>
      </c>
    </row>
    <row r="222" spans="1:10" ht="20.100000000000001" hidden="1" customHeight="1" outlineLevel="1" x14ac:dyDescent="0.4">
      <c r="A222" s="350">
        <v>27</v>
      </c>
      <c r="B222" s="352" t="s">
        <v>645</v>
      </c>
      <c r="C222" s="352" t="s">
        <v>636</v>
      </c>
      <c r="D222" s="352" t="s">
        <v>709</v>
      </c>
      <c r="E222" s="574" t="s">
        <v>635</v>
      </c>
      <c r="F222" s="169"/>
      <c r="G222" s="169"/>
      <c r="H222" s="549">
        <v>46210</v>
      </c>
      <c r="I222" s="567" t="s">
        <v>460</v>
      </c>
    </row>
    <row r="223" spans="1:10" ht="20.100000000000001" hidden="1" customHeight="1" outlineLevel="1" x14ac:dyDescent="0.4">
      <c r="A223" s="577"/>
      <c r="B223" s="573"/>
      <c r="C223" s="573"/>
      <c r="D223" s="573"/>
      <c r="E223" s="575"/>
      <c r="F223" s="166" t="s">
        <v>679</v>
      </c>
      <c r="G223" s="166"/>
      <c r="H223" s="550"/>
      <c r="I223" s="561"/>
    </row>
    <row r="224" spans="1:10" ht="20.100000000000001" hidden="1" customHeight="1" outlineLevel="1" x14ac:dyDescent="0.4">
      <c r="A224" s="577"/>
      <c r="B224" s="573"/>
      <c r="C224" s="573"/>
      <c r="D224" s="573"/>
      <c r="E224" s="575"/>
      <c r="F224" s="166" t="s">
        <v>680</v>
      </c>
      <c r="G224" s="166"/>
      <c r="H224" s="550"/>
      <c r="I224" s="561"/>
    </row>
    <row r="225" spans="1:10" ht="20.100000000000001" hidden="1" customHeight="1" outlineLevel="1" x14ac:dyDescent="0.4">
      <c r="A225" s="577"/>
      <c r="B225" s="573"/>
      <c r="C225" s="573"/>
      <c r="D225" s="573"/>
      <c r="E225" s="575"/>
      <c r="F225" s="166" t="s">
        <v>681</v>
      </c>
      <c r="G225" s="166"/>
      <c r="H225" s="551"/>
      <c r="I225" s="561"/>
    </row>
    <row r="226" spans="1:10" ht="20.100000000000001" hidden="1" customHeight="1" outlineLevel="1" x14ac:dyDescent="0.4">
      <c r="A226" s="577"/>
      <c r="B226" s="573"/>
      <c r="C226" s="573"/>
      <c r="D226" s="573"/>
      <c r="E226" s="575"/>
      <c r="F226" s="166" t="s">
        <v>687</v>
      </c>
      <c r="G226" s="166"/>
      <c r="H226" s="263">
        <v>46212</v>
      </c>
      <c r="I226" s="561"/>
    </row>
    <row r="227" spans="1:10" ht="20.100000000000001" hidden="1" customHeight="1" outlineLevel="1" x14ac:dyDescent="0.4">
      <c r="A227" s="577"/>
      <c r="B227" s="573"/>
      <c r="C227" s="573"/>
      <c r="D227" s="573"/>
      <c r="E227" s="575"/>
      <c r="F227" s="166" t="s">
        <v>689</v>
      </c>
      <c r="G227" s="166"/>
      <c r="H227" s="550">
        <v>46213</v>
      </c>
      <c r="I227" s="561"/>
    </row>
    <row r="228" spans="1:10" ht="20.100000000000001" hidden="1" customHeight="1" outlineLevel="1" x14ac:dyDescent="0.4">
      <c r="A228" s="577"/>
      <c r="B228" s="573"/>
      <c r="C228" s="573"/>
      <c r="D228" s="573"/>
      <c r="E228" s="575"/>
      <c r="F228" s="166" t="s">
        <v>690</v>
      </c>
      <c r="G228" s="166"/>
      <c r="H228" s="550"/>
      <c r="I228" s="561"/>
    </row>
    <row r="229" spans="1:10" ht="20.100000000000001" hidden="1" customHeight="1" outlineLevel="1" x14ac:dyDescent="0.4">
      <c r="A229" s="577"/>
      <c r="B229" s="573"/>
      <c r="C229" s="573"/>
      <c r="D229" s="573"/>
      <c r="E229" s="575"/>
      <c r="F229" s="166" t="s">
        <v>688</v>
      </c>
      <c r="G229" s="166"/>
      <c r="H229" s="550"/>
      <c r="I229" s="561"/>
    </row>
    <row r="230" spans="1:10" ht="20.100000000000001" hidden="1" customHeight="1" outlineLevel="1" x14ac:dyDescent="0.4">
      <c r="A230" s="351"/>
      <c r="B230" s="353"/>
      <c r="C230" s="353"/>
      <c r="D230" s="353"/>
      <c r="E230" s="576"/>
      <c r="F230" s="84"/>
      <c r="G230" s="84"/>
      <c r="H230" s="285"/>
      <c r="I230" s="557"/>
      <c r="J230" s="286" t="s">
        <v>675</v>
      </c>
    </row>
    <row r="231" spans="1:10" ht="20.100000000000001" hidden="1" customHeight="1" outlineLevel="1" collapsed="1" x14ac:dyDescent="0.4">
      <c r="A231" s="350">
        <v>28</v>
      </c>
      <c r="B231" s="352" t="s">
        <v>646</v>
      </c>
      <c r="C231" s="352" t="s">
        <v>638</v>
      </c>
      <c r="D231" s="352" t="s">
        <v>708</v>
      </c>
      <c r="E231" s="574" t="s">
        <v>637</v>
      </c>
      <c r="F231" s="169"/>
      <c r="G231" s="169"/>
      <c r="H231" s="549">
        <v>46223</v>
      </c>
      <c r="I231" s="571"/>
    </row>
    <row r="232" spans="1:10" ht="20.100000000000001" hidden="1" customHeight="1" outlineLevel="1" x14ac:dyDescent="0.4">
      <c r="A232" s="577"/>
      <c r="B232" s="573"/>
      <c r="C232" s="573"/>
      <c r="D232" s="573"/>
      <c r="E232" s="575"/>
      <c r="F232" s="166" t="s">
        <v>728</v>
      </c>
      <c r="G232" s="166"/>
      <c r="H232" s="551"/>
      <c r="I232" s="571"/>
    </row>
    <row r="233" spans="1:10" ht="20.100000000000001" hidden="1" customHeight="1" outlineLevel="1" x14ac:dyDescent="0.4">
      <c r="A233" s="577"/>
      <c r="B233" s="573"/>
      <c r="C233" s="573"/>
      <c r="D233" s="573"/>
      <c r="E233" s="575"/>
      <c r="F233" s="166" t="s">
        <v>729</v>
      </c>
      <c r="G233" s="166"/>
      <c r="H233" s="263">
        <v>46223</v>
      </c>
      <c r="I233" s="572"/>
    </row>
    <row r="234" spans="1:10" ht="20.100000000000001" hidden="1" customHeight="1" outlineLevel="1" collapsed="1" x14ac:dyDescent="0.4">
      <c r="A234" s="577"/>
      <c r="B234" s="573"/>
      <c r="C234" s="573"/>
      <c r="D234" s="573"/>
      <c r="E234" s="575"/>
      <c r="F234" s="166" t="s">
        <v>741</v>
      </c>
      <c r="G234" s="166"/>
      <c r="H234" s="263">
        <v>46227</v>
      </c>
      <c r="I234" s="572"/>
    </row>
    <row r="235" spans="1:10" ht="20.100000000000001" hidden="1" customHeight="1" outlineLevel="1" x14ac:dyDescent="0.4">
      <c r="A235" s="577"/>
      <c r="B235" s="573"/>
      <c r="C235" s="573"/>
      <c r="D235" s="573"/>
      <c r="E235" s="575"/>
      <c r="F235" s="289" t="s">
        <v>763</v>
      </c>
      <c r="G235" s="166"/>
      <c r="H235" s="263">
        <v>46234</v>
      </c>
      <c r="I235" s="572"/>
    </row>
    <row r="236" spans="1:10" ht="20.100000000000001" hidden="1" customHeight="1" outlineLevel="1" x14ac:dyDescent="0.4">
      <c r="A236" s="577"/>
      <c r="B236" s="573"/>
      <c r="C236" s="573"/>
      <c r="D236" s="573"/>
      <c r="E236" s="575"/>
      <c r="F236" s="289" t="s">
        <v>764</v>
      </c>
      <c r="G236" s="166"/>
      <c r="H236" s="263">
        <v>46241</v>
      </c>
      <c r="I236" s="572"/>
    </row>
    <row r="237" spans="1:10" ht="20.100000000000001" hidden="1" customHeight="1" outlineLevel="1" x14ac:dyDescent="0.4">
      <c r="A237" s="577"/>
      <c r="B237" s="573"/>
      <c r="C237" s="573"/>
      <c r="D237" s="573"/>
      <c r="E237" s="575"/>
      <c r="F237" s="289" t="s">
        <v>765</v>
      </c>
      <c r="G237" s="166"/>
      <c r="H237" s="263">
        <v>46241</v>
      </c>
      <c r="I237" s="572"/>
    </row>
    <row r="238" spans="1:10" ht="20.100000000000001" hidden="1" customHeight="1" outlineLevel="1" x14ac:dyDescent="0.4">
      <c r="A238" s="351"/>
      <c r="B238" s="353"/>
      <c r="C238" s="353"/>
      <c r="D238" s="353"/>
      <c r="E238" s="576"/>
      <c r="F238" s="84"/>
      <c r="G238" s="84"/>
      <c r="H238" s="249"/>
      <c r="I238" s="572"/>
      <c r="J238" s="52" t="s">
        <v>754</v>
      </c>
    </row>
    <row r="239" spans="1:10" ht="20.100000000000001" hidden="1" customHeight="1" outlineLevel="1" x14ac:dyDescent="0.4">
      <c r="A239" s="350">
        <v>29</v>
      </c>
      <c r="B239" s="352" t="s">
        <v>647</v>
      </c>
      <c r="C239" s="352" t="s">
        <v>639</v>
      </c>
      <c r="D239" s="352" t="s">
        <v>706</v>
      </c>
      <c r="E239" s="574" t="s">
        <v>707</v>
      </c>
      <c r="F239" s="169" t="s">
        <v>457</v>
      </c>
      <c r="G239" s="169"/>
      <c r="H239" s="569">
        <v>46227</v>
      </c>
      <c r="I239" s="571" t="s">
        <v>498</v>
      </c>
    </row>
    <row r="240" spans="1:10" ht="20.100000000000001" hidden="1" customHeight="1" outlineLevel="1" x14ac:dyDescent="0.4">
      <c r="A240" s="577"/>
      <c r="B240" s="573"/>
      <c r="C240" s="573"/>
      <c r="D240" s="573"/>
      <c r="E240" s="575"/>
      <c r="F240" s="166" t="s">
        <v>449</v>
      </c>
      <c r="G240" s="166"/>
      <c r="H240" s="570"/>
      <c r="I240" s="572"/>
    </row>
    <row r="241" spans="1:10" ht="20.100000000000001" hidden="1" customHeight="1" outlineLevel="1" x14ac:dyDescent="0.4">
      <c r="A241" s="577"/>
      <c r="B241" s="573"/>
      <c r="C241" s="573"/>
      <c r="D241" s="573"/>
      <c r="E241" s="575"/>
      <c r="F241" s="166" t="s">
        <v>458</v>
      </c>
      <c r="G241" s="166"/>
      <c r="H241" s="570"/>
      <c r="I241" s="572"/>
    </row>
    <row r="242" spans="1:10" ht="20.100000000000001" hidden="1" customHeight="1" outlineLevel="1" x14ac:dyDescent="0.4">
      <c r="A242" s="351"/>
      <c r="B242" s="353"/>
      <c r="C242" s="353"/>
      <c r="D242" s="353"/>
      <c r="E242" s="576"/>
      <c r="F242" s="84" t="s">
        <v>490</v>
      </c>
      <c r="G242" s="84"/>
      <c r="H242" s="570"/>
      <c r="I242" s="572"/>
      <c r="J242" s="52" t="s">
        <v>673</v>
      </c>
    </row>
    <row r="243" spans="1:10" ht="20.100000000000001" hidden="1" customHeight="1" outlineLevel="1" collapsed="1" x14ac:dyDescent="0.4">
      <c r="A243" s="350">
        <v>30</v>
      </c>
      <c r="B243" s="352" t="s">
        <v>648</v>
      </c>
      <c r="C243" s="352" t="s">
        <v>640</v>
      </c>
      <c r="D243" s="352" t="s">
        <v>698</v>
      </c>
      <c r="E243" s="574" t="s">
        <v>702</v>
      </c>
      <c r="F243" s="169" t="s">
        <v>457</v>
      </c>
      <c r="G243" s="169"/>
      <c r="H243" s="569">
        <v>46226</v>
      </c>
      <c r="I243" s="555" t="s">
        <v>498</v>
      </c>
    </row>
    <row r="244" spans="1:10" ht="20.100000000000001" hidden="1" customHeight="1" outlineLevel="1" x14ac:dyDescent="0.4">
      <c r="A244" s="577"/>
      <c r="B244" s="573"/>
      <c r="C244" s="573"/>
      <c r="D244" s="573"/>
      <c r="E244" s="575"/>
      <c r="F244" s="166" t="s">
        <v>449</v>
      </c>
      <c r="G244" s="166"/>
      <c r="H244" s="569"/>
      <c r="I244" s="561"/>
    </row>
    <row r="245" spans="1:10" ht="20.100000000000001" hidden="1" customHeight="1" outlineLevel="1" x14ac:dyDescent="0.4">
      <c r="A245" s="577"/>
      <c r="B245" s="573"/>
      <c r="C245" s="573"/>
      <c r="D245" s="573"/>
      <c r="E245" s="575"/>
      <c r="F245" s="166" t="s">
        <v>485</v>
      </c>
      <c r="G245" s="166"/>
      <c r="H245" s="569"/>
      <c r="I245" s="561"/>
    </row>
    <row r="246" spans="1:10" ht="20.100000000000001" hidden="1" customHeight="1" outlineLevel="1" x14ac:dyDescent="0.4">
      <c r="A246" s="577"/>
      <c r="B246" s="573"/>
      <c r="C246" s="573"/>
      <c r="D246" s="573"/>
      <c r="E246" s="575"/>
      <c r="F246" s="166" t="s">
        <v>458</v>
      </c>
      <c r="G246" s="166"/>
      <c r="H246" s="569"/>
      <c r="I246" s="561"/>
    </row>
    <row r="247" spans="1:10" ht="20.100000000000001" hidden="1" customHeight="1" outlineLevel="1" x14ac:dyDescent="0.4">
      <c r="A247" s="577"/>
      <c r="B247" s="573"/>
      <c r="C247" s="573"/>
      <c r="D247" s="573"/>
      <c r="E247" s="575"/>
      <c r="F247" s="166" t="s">
        <v>490</v>
      </c>
      <c r="G247" s="166"/>
      <c r="H247" s="570"/>
      <c r="I247" s="561"/>
    </row>
    <row r="248" spans="1:10" ht="20.100000000000001" hidden="1" customHeight="1" outlineLevel="1" x14ac:dyDescent="0.4">
      <c r="A248" s="351"/>
      <c r="B248" s="353"/>
      <c r="C248" s="353"/>
      <c r="D248" s="353"/>
      <c r="E248" s="576"/>
      <c r="F248" s="84" t="s">
        <v>497</v>
      </c>
      <c r="G248" s="84"/>
      <c r="H248" s="570"/>
      <c r="I248" s="557"/>
      <c r="J248" s="52" t="s">
        <v>674</v>
      </c>
    </row>
    <row r="249" spans="1:10" ht="20.100000000000001" hidden="1" customHeight="1" outlineLevel="1" x14ac:dyDescent="0.4">
      <c r="A249" s="350">
        <v>31</v>
      </c>
      <c r="B249" s="352" t="s">
        <v>720</v>
      </c>
      <c r="C249" s="352" t="s">
        <v>692</v>
      </c>
      <c r="D249" s="352" t="s">
        <v>699</v>
      </c>
      <c r="E249" s="574" t="s">
        <v>703</v>
      </c>
      <c r="F249" s="169" t="s">
        <v>457</v>
      </c>
      <c r="G249" s="169"/>
      <c r="H249" s="569">
        <v>46226</v>
      </c>
      <c r="I249" s="555" t="s">
        <v>498</v>
      </c>
    </row>
    <row r="250" spans="1:10" ht="20.100000000000001" hidden="1" customHeight="1" outlineLevel="1" x14ac:dyDescent="0.4">
      <c r="A250" s="577"/>
      <c r="B250" s="573"/>
      <c r="C250" s="573"/>
      <c r="D250" s="573"/>
      <c r="E250" s="575"/>
      <c r="F250" s="166" t="s">
        <v>449</v>
      </c>
      <c r="G250" s="166"/>
      <c r="H250" s="569"/>
      <c r="I250" s="561"/>
    </row>
    <row r="251" spans="1:10" ht="20.100000000000001" hidden="1" customHeight="1" outlineLevel="1" x14ac:dyDescent="0.4">
      <c r="A251" s="577"/>
      <c r="B251" s="573"/>
      <c r="C251" s="573"/>
      <c r="D251" s="573"/>
      <c r="E251" s="575"/>
      <c r="F251" s="166" t="s">
        <v>485</v>
      </c>
      <c r="G251" s="166"/>
      <c r="H251" s="569"/>
      <c r="I251" s="561"/>
    </row>
    <row r="252" spans="1:10" ht="20.100000000000001" hidden="1" customHeight="1" outlineLevel="1" x14ac:dyDescent="0.4">
      <c r="A252" s="577"/>
      <c r="B252" s="573"/>
      <c r="C252" s="573"/>
      <c r="D252" s="573"/>
      <c r="E252" s="575"/>
      <c r="F252" s="166" t="s">
        <v>458</v>
      </c>
      <c r="G252" s="166"/>
      <c r="H252" s="569"/>
      <c r="I252" s="561"/>
    </row>
    <row r="253" spans="1:10" ht="20.100000000000001" hidden="1" customHeight="1" outlineLevel="1" x14ac:dyDescent="0.4">
      <c r="A253" s="577"/>
      <c r="B253" s="573"/>
      <c r="C253" s="573"/>
      <c r="D253" s="573"/>
      <c r="E253" s="575"/>
      <c r="F253" s="166" t="s">
        <v>490</v>
      </c>
      <c r="G253" s="166"/>
      <c r="H253" s="570"/>
      <c r="I253" s="561"/>
    </row>
    <row r="254" spans="1:10" ht="20.100000000000001" hidden="1" customHeight="1" outlineLevel="1" x14ac:dyDescent="0.4">
      <c r="A254" s="351"/>
      <c r="B254" s="353"/>
      <c r="C254" s="353"/>
      <c r="D254" s="353"/>
      <c r="E254" s="576"/>
      <c r="F254" s="84" t="s">
        <v>497</v>
      </c>
      <c r="G254" s="84"/>
      <c r="H254" s="570"/>
      <c r="I254" s="557"/>
      <c r="J254" s="52" t="s">
        <v>695</v>
      </c>
    </row>
    <row r="255" spans="1:10" ht="20.100000000000001" hidden="1" customHeight="1" outlineLevel="1" collapsed="1" x14ac:dyDescent="0.4">
      <c r="A255" s="350">
        <v>32</v>
      </c>
      <c r="B255" s="352" t="s">
        <v>721</v>
      </c>
      <c r="C255" s="352" t="s">
        <v>693</v>
      </c>
      <c r="D255" s="352" t="s">
        <v>700</v>
      </c>
      <c r="E255" s="574" t="s">
        <v>704</v>
      </c>
      <c r="F255" s="169" t="s">
        <v>457</v>
      </c>
      <c r="G255" s="169"/>
      <c r="H255" s="569">
        <v>46233</v>
      </c>
      <c r="I255" s="555" t="s">
        <v>460</v>
      </c>
    </row>
    <row r="256" spans="1:10" ht="20.100000000000001" hidden="1" customHeight="1" outlineLevel="1" x14ac:dyDescent="0.4">
      <c r="A256" s="577"/>
      <c r="B256" s="573"/>
      <c r="C256" s="573"/>
      <c r="D256" s="573"/>
      <c r="E256" s="575"/>
      <c r="F256" s="166" t="s">
        <v>449</v>
      </c>
      <c r="G256" s="166"/>
      <c r="H256" s="569"/>
      <c r="I256" s="561"/>
    </row>
    <row r="257" spans="1:10" ht="20.100000000000001" hidden="1" customHeight="1" outlineLevel="1" x14ac:dyDescent="0.4">
      <c r="A257" s="577"/>
      <c r="B257" s="573"/>
      <c r="C257" s="573"/>
      <c r="D257" s="573"/>
      <c r="E257" s="575"/>
      <c r="F257" s="166" t="s">
        <v>485</v>
      </c>
      <c r="G257" s="166"/>
      <c r="H257" s="569"/>
      <c r="I257" s="561"/>
    </row>
    <row r="258" spans="1:10" ht="20.100000000000001" hidden="1" customHeight="1" outlineLevel="1" x14ac:dyDescent="0.4">
      <c r="A258" s="577"/>
      <c r="B258" s="573"/>
      <c r="C258" s="573"/>
      <c r="D258" s="573"/>
      <c r="E258" s="575"/>
      <c r="F258" s="166" t="s">
        <v>458</v>
      </c>
      <c r="G258" s="166"/>
      <c r="H258" s="569"/>
      <c r="I258" s="561"/>
    </row>
    <row r="259" spans="1:10" ht="20.100000000000001" hidden="1" customHeight="1" outlineLevel="1" x14ac:dyDescent="0.4">
      <c r="A259" s="351"/>
      <c r="B259" s="353"/>
      <c r="C259" s="353"/>
      <c r="D259" s="353"/>
      <c r="E259" s="576"/>
      <c r="F259" s="84" t="s">
        <v>497</v>
      </c>
      <c r="G259" s="84"/>
      <c r="H259" s="570"/>
      <c r="I259" s="557"/>
      <c r="J259" s="52" t="s">
        <v>696</v>
      </c>
    </row>
    <row r="260" spans="1:10" ht="20.100000000000001" hidden="1" customHeight="1" outlineLevel="1" x14ac:dyDescent="0.4">
      <c r="A260" s="350">
        <v>33</v>
      </c>
      <c r="B260" s="352" t="s">
        <v>722</v>
      </c>
      <c r="C260" s="352" t="s">
        <v>694</v>
      </c>
      <c r="D260" s="352" t="s">
        <v>701</v>
      </c>
      <c r="E260" s="574" t="s">
        <v>705</v>
      </c>
      <c r="F260" s="169" t="s">
        <v>457</v>
      </c>
      <c r="G260" s="169"/>
      <c r="H260" s="569">
        <v>46227</v>
      </c>
      <c r="I260" s="555" t="s">
        <v>498</v>
      </c>
    </row>
    <row r="261" spans="1:10" ht="20.100000000000001" hidden="1" customHeight="1" outlineLevel="1" x14ac:dyDescent="0.4">
      <c r="A261" s="577"/>
      <c r="B261" s="573"/>
      <c r="C261" s="573"/>
      <c r="D261" s="573"/>
      <c r="E261" s="575"/>
      <c r="F261" s="166" t="s">
        <v>449</v>
      </c>
      <c r="G261" s="166"/>
      <c r="H261" s="569"/>
      <c r="I261" s="561"/>
    </row>
    <row r="262" spans="1:10" ht="20.100000000000001" hidden="1" customHeight="1" outlineLevel="1" x14ac:dyDescent="0.4">
      <c r="A262" s="577"/>
      <c r="B262" s="573"/>
      <c r="C262" s="573"/>
      <c r="D262" s="573"/>
      <c r="E262" s="575"/>
      <c r="F262" s="166" t="s">
        <v>485</v>
      </c>
      <c r="G262" s="166"/>
      <c r="H262" s="569"/>
      <c r="I262" s="561"/>
    </row>
    <row r="263" spans="1:10" ht="20.100000000000001" hidden="1" customHeight="1" outlineLevel="1" x14ac:dyDescent="0.4">
      <c r="A263" s="577"/>
      <c r="B263" s="573"/>
      <c r="C263" s="573"/>
      <c r="D263" s="573"/>
      <c r="E263" s="575"/>
      <c r="F263" s="166" t="s">
        <v>458</v>
      </c>
      <c r="G263" s="166"/>
      <c r="H263" s="569"/>
      <c r="I263" s="561"/>
    </row>
    <row r="264" spans="1:10" ht="20.100000000000001" hidden="1" customHeight="1" outlineLevel="1" x14ac:dyDescent="0.4">
      <c r="A264" s="577"/>
      <c r="B264" s="573"/>
      <c r="C264" s="573"/>
      <c r="D264" s="573"/>
      <c r="E264" s="575"/>
      <c r="F264" s="166" t="s">
        <v>490</v>
      </c>
      <c r="G264" s="166"/>
      <c r="H264" s="570"/>
      <c r="I264" s="561"/>
    </row>
    <row r="265" spans="1:10" ht="20.100000000000001" hidden="1" customHeight="1" outlineLevel="1" x14ac:dyDescent="0.4">
      <c r="A265" s="351"/>
      <c r="B265" s="353"/>
      <c r="C265" s="353"/>
      <c r="D265" s="353"/>
      <c r="E265" s="576"/>
      <c r="F265" s="84" t="s">
        <v>497</v>
      </c>
      <c r="G265" s="84"/>
      <c r="H265" s="570"/>
      <c r="I265" s="557"/>
      <c r="J265" s="52" t="s">
        <v>697</v>
      </c>
    </row>
    <row r="266" spans="1:10" ht="20.100000000000001" hidden="1" customHeight="1" outlineLevel="1" collapsed="1" x14ac:dyDescent="0.4">
      <c r="A266" s="350">
        <v>34</v>
      </c>
      <c r="B266" s="352" t="s">
        <v>733</v>
      </c>
      <c r="C266" s="352" t="s">
        <v>735</v>
      </c>
      <c r="D266" s="352" t="s">
        <v>734</v>
      </c>
      <c r="E266" s="574" t="s">
        <v>732</v>
      </c>
      <c r="F266" s="169"/>
      <c r="G266" s="169"/>
      <c r="H266" s="569">
        <v>46234</v>
      </c>
      <c r="I266" s="571" t="s">
        <v>498</v>
      </c>
    </row>
    <row r="267" spans="1:10" ht="20.100000000000001" hidden="1" customHeight="1" outlineLevel="1" x14ac:dyDescent="0.4">
      <c r="A267" s="577"/>
      <c r="B267" s="573"/>
      <c r="C267" s="573"/>
      <c r="D267" s="573"/>
      <c r="E267" s="575"/>
      <c r="F267" s="166" t="s">
        <v>457</v>
      </c>
      <c r="G267" s="166"/>
      <c r="H267" s="570"/>
      <c r="I267" s="572"/>
    </row>
    <row r="268" spans="1:10" ht="20.100000000000001" hidden="1" customHeight="1" outlineLevel="1" x14ac:dyDescent="0.4">
      <c r="A268" s="577"/>
      <c r="B268" s="573"/>
      <c r="C268" s="573"/>
      <c r="D268" s="573"/>
      <c r="E268" s="575"/>
      <c r="F268" s="166" t="s">
        <v>449</v>
      </c>
      <c r="G268" s="166"/>
      <c r="H268" s="570"/>
      <c r="I268" s="572"/>
    </row>
    <row r="269" spans="1:10" ht="20.100000000000001" hidden="1" customHeight="1" outlineLevel="1" x14ac:dyDescent="0.4">
      <c r="A269" s="577"/>
      <c r="B269" s="573"/>
      <c r="C269" s="573"/>
      <c r="D269" s="573"/>
      <c r="E269" s="575"/>
      <c r="F269" s="166" t="s">
        <v>727</v>
      </c>
      <c r="G269" s="166"/>
      <c r="H269" s="570"/>
      <c r="I269" s="572"/>
    </row>
    <row r="270" spans="1:10" ht="20.100000000000001" hidden="1" customHeight="1" outlineLevel="1" x14ac:dyDescent="0.4">
      <c r="A270" s="577"/>
      <c r="B270" s="573"/>
      <c r="C270" s="573"/>
      <c r="D270" s="573"/>
      <c r="E270" s="575"/>
      <c r="F270" s="166" t="s">
        <v>785</v>
      </c>
      <c r="G270" s="166"/>
      <c r="H270" s="570"/>
      <c r="I270" s="572"/>
    </row>
    <row r="271" spans="1:10" ht="20.100000000000001" hidden="1" customHeight="1" outlineLevel="1" x14ac:dyDescent="0.4">
      <c r="A271" s="351"/>
      <c r="B271" s="353"/>
      <c r="C271" s="353"/>
      <c r="D271" s="353"/>
      <c r="E271" s="576"/>
      <c r="F271" s="84"/>
      <c r="G271" s="84"/>
      <c r="H271" s="570"/>
      <c r="I271" s="572"/>
      <c r="J271" s="52" t="s">
        <v>480</v>
      </c>
    </row>
    <row r="272" spans="1:10" ht="20.100000000000001" hidden="1" customHeight="1" outlineLevel="1" x14ac:dyDescent="0.4">
      <c r="A272" s="350">
        <v>35</v>
      </c>
      <c r="B272" s="352" t="s">
        <v>424</v>
      </c>
      <c r="C272" s="352" t="s">
        <v>731</v>
      </c>
      <c r="D272" s="352" t="s">
        <v>736</v>
      </c>
      <c r="E272" s="574" t="s">
        <v>737</v>
      </c>
      <c r="F272" s="169" t="s">
        <v>457</v>
      </c>
      <c r="G272" s="169"/>
      <c r="H272" s="569">
        <v>46233</v>
      </c>
      <c r="I272" s="571" t="s">
        <v>498</v>
      </c>
    </row>
    <row r="273" spans="1:10" ht="20.100000000000001" hidden="1" customHeight="1" outlineLevel="1" x14ac:dyDescent="0.4">
      <c r="A273" s="577"/>
      <c r="B273" s="573"/>
      <c r="C273" s="573"/>
      <c r="D273" s="573"/>
      <c r="E273" s="575"/>
      <c r="F273" s="166" t="s">
        <v>449</v>
      </c>
      <c r="G273" s="166"/>
      <c r="H273" s="569"/>
      <c r="I273" s="572"/>
    </row>
    <row r="274" spans="1:10" ht="20.100000000000001" hidden="1" customHeight="1" outlineLevel="1" x14ac:dyDescent="0.4">
      <c r="A274" s="577"/>
      <c r="B274" s="573"/>
      <c r="C274" s="573"/>
      <c r="D274" s="573"/>
      <c r="E274" s="575"/>
      <c r="F274" s="166" t="s">
        <v>485</v>
      </c>
      <c r="G274" s="166"/>
      <c r="H274" s="569"/>
      <c r="I274" s="572"/>
    </row>
    <row r="275" spans="1:10" ht="20.100000000000001" hidden="1" customHeight="1" outlineLevel="1" x14ac:dyDescent="0.4">
      <c r="A275" s="577"/>
      <c r="B275" s="573"/>
      <c r="C275" s="573"/>
      <c r="D275" s="573"/>
      <c r="E275" s="575"/>
      <c r="F275" s="166" t="s">
        <v>458</v>
      </c>
      <c r="G275" s="166"/>
      <c r="H275" s="569"/>
      <c r="I275" s="572"/>
    </row>
    <row r="276" spans="1:10" ht="20.100000000000001" hidden="1" customHeight="1" outlineLevel="1" x14ac:dyDescent="0.4">
      <c r="A276" s="351"/>
      <c r="B276" s="353"/>
      <c r="C276" s="353"/>
      <c r="D276" s="353"/>
      <c r="E276" s="576"/>
      <c r="F276" s="84" t="s">
        <v>497</v>
      </c>
      <c r="G276" s="84"/>
      <c r="H276" s="570"/>
      <c r="I276" s="572"/>
      <c r="J276" s="52" t="s">
        <v>730</v>
      </c>
    </row>
    <row r="277" spans="1:10" ht="20.100000000000001" hidden="1" customHeight="1" outlineLevel="1" x14ac:dyDescent="0.4">
      <c r="A277" s="350">
        <v>36</v>
      </c>
      <c r="B277" s="352" t="s">
        <v>476</v>
      </c>
      <c r="C277" s="352" t="s">
        <v>739</v>
      </c>
      <c r="D277" s="352"/>
      <c r="E277" s="574" t="s">
        <v>738</v>
      </c>
      <c r="F277" s="169"/>
      <c r="G277" s="169"/>
      <c r="H277" s="569">
        <v>46231</v>
      </c>
      <c r="I277" s="567" t="s">
        <v>498</v>
      </c>
    </row>
    <row r="278" spans="1:10" ht="20.100000000000001" hidden="1" customHeight="1" outlineLevel="1" x14ac:dyDescent="0.4">
      <c r="A278" s="577"/>
      <c r="B278" s="573"/>
      <c r="C278" s="573"/>
      <c r="D278" s="573"/>
      <c r="E278" s="575"/>
      <c r="F278" s="166" t="s">
        <v>742</v>
      </c>
      <c r="G278" s="166"/>
      <c r="H278" s="569"/>
      <c r="I278" s="562"/>
    </row>
    <row r="279" spans="1:10" ht="20.100000000000001" hidden="1" customHeight="1" outlineLevel="1" x14ac:dyDescent="0.4">
      <c r="A279" s="577"/>
      <c r="B279" s="573"/>
      <c r="C279" s="573"/>
      <c r="D279" s="573"/>
      <c r="E279" s="575"/>
      <c r="F279" s="166" t="s">
        <v>743</v>
      </c>
      <c r="G279" s="166"/>
      <c r="H279" s="570"/>
      <c r="I279" s="562"/>
    </row>
    <row r="280" spans="1:10" ht="20.100000000000001" hidden="1" customHeight="1" outlineLevel="1" x14ac:dyDescent="0.4">
      <c r="A280" s="577"/>
      <c r="B280" s="573"/>
      <c r="C280" s="573"/>
      <c r="D280" s="573"/>
      <c r="E280" s="575"/>
      <c r="F280" s="166" t="s">
        <v>744</v>
      </c>
      <c r="G280" s="166"/>
      <c r="H280" s="570"/>
      <c r="I280" s="562"/>
    </row>
    <row r="281" spans="1:10" ht="20.100000000000001" hidden="1" customHeight="1" outlineLevel="1" x14ac:dyDescent="0.4">
      <c r="A281" s="351"/>
      <c r="B281" s="353"/>
      <c r="C281" s="353"/>
      <c r="D281" s="353"/>
      <c r="E281" s="576"/>
      <c r="F281" s="84"/>
      <c r="G281" s="84"/>
      <c r="H281" s="570"/>
      <c r="I281" s="563"/>
      <c r="J281" s="52" t="s">
        <v>480</v>
      </c>
    </row>
    <row r="282" spans="1:10" ht="20.100000000000001" hidden="1" customHeight="1" outlineLevel="1" x14ac:dyDescent="0.4">
      <c r="A282" s="350">
        <v>37</v>
      </c>
      <c r="B282" s="352" t="s">
        <v>747</v>
      </c>
      <c r="C282" s="352" t="s">
        <v>746</v>
      </c>
      <c r="D282" s="352"/>
      <c r="E282" s="574" t="s">
        <v>745</v>
      </c>
      <c r="F282" s="169"/>
      <c r="G282" s="169"/>
      <c r="H282" s="569">
        <v>46231</v>
      </c>
      <c r="I282" s="555" t="s">
        <v>498</v>
      </c>
    </row>
    <row r="283" spans="1:10" ht="20.100000000000001" hidden="1" customHeight="1" outlineLevel="1" x14ac:dyDescent="0.4">
      <c r="A283" s="577"/>
      <c r="B283" s="573"/>
      <c r="C283" s="573"/>
      <c r="D283" s="573"/>
      <c r="E283" s="575"/>
      <c r="F283" s="166" t="s">
        <v>748</v>
      </c>
      <c r="G283" s="166"/>
      <c r="H283" s="570"/>
      <c r="I283" s="561"/>
    </row>
    <row r="284" spans="1:10" ht="20.100000000000001" hidden="1" customHeight="1" outlineLevel="1" x14ac:dyDescent="0.4">
      <c r="A284" s="577"/>
      <c r="B284" s="573"/>
      <c r="C284" s="573"/>
      <c r="D284" s="573"/>
      <c r="E284" s="575"/>
      <c r="F284" s="166" t="s">
        <v>749</v>
      </c>
      <c r="G284" s="166"/>
      <c r="H284" s="570"/>
      <c r="I284" s="561"/>
    </row>
    <row r="285" spans="1:10" ht="20.100000000000001" hidden="1" customHeight="1" outlineLevel="1" x14ac:dyDescent="0.4">
      <c r="A285" s="351"/>
      <c r="B285" s="353"/>
      <c r="C285" s="353"/>
      <c r="D285" s="353"/>
      <c r="E285" s="576"/>
      <c r="F285" s="84"/>
      <c r="G285" s="84"/>
      <c r="H285" s="570"/>
      <c r="I285" s="557"/>
      <c r="J285" s="52" t="s">
        <v>755</v>
      </c>
    </row>
    <row r="286" spans="1:10" ht="20.100000000000001" customHeight="1" collapsed="1" x14ac:dyDescent="0.4">
      <c r="A286" s="350">
        <v>38</v>
      </c>
      <c r="B286" s="352" t="s">
        <v>757</v>
      </c>
      <c r="C286" s="352" t="s">
        <v>758</v>
      </c>
      <c r="D286" s="352"/>
      <c r="E286" s="574" t="s">
        <v>756</v>
      </c>
      <c r="F286" s="169"/>
      <c r="G286" s="169"/>
      <c r="H286" s="278"/>
      <c r="I286" s="571"/>
    </row>
    <row r="287" spans="1:10" ht="20.100000000000001" hidden="1" customHeight="1" outlineLevel="1" x14ac:dyDescent="0.4">
      <c r="A287" s="577"/>
      <c r="B287" s="573"/>
      <c r="C287" s="573"/>
      <c r="D287" s="573"/>
      <c r="E287" s="575"/>
      <c r="F287" s="166" t="s">
        <v>776</v>
      </c>
      <c r="G287" s="166"/>
      <c r="H287" s="263">
        <v>46237</v>
      </c>
      <c r="I287" s="572"/>
    </row>
    <row r="288" spans="1:10" ht="20.100000000000001" hidden="1" customHeight="1" outlineLevel="1" x14ac:dyDescent="0.4">
      <c r="A288" s="577"/>
      <c r="B288" s="573"/>
      <c r="C288" s="573"/>
      <c r="D288" s="573"/>
      <c r="E288" s="575"/>
      <c r="F288" s="166" t="s">
        <v>790</v>
      </c>
      <c r="G288" s="166"/>
      <c r="H288" s="263">
        <v>46241</v>
      </c>
      <c r="I288" s="572"/>
    </row>
    <row r="289" spans="1:10" ht="20.100000000000001" hidden="1" customHeight="1" outlineLevel="1" collapsed="1" x14ac:dyDescent="0.4">
      <c r="A289" s="577"/>
      <c r="B289" s="573"/>
      <c r="C289" s="573"/>
      <c r="D289" s="573"/>
      <c r="E289" s="575"/>
      <c r="F289" s="166" t="s">
        <v>804</v>
      </c>
      <c r="G289" s="166"/>
      <c r="H289" s="263">
        <v>46248</v>
      </c>
      <c r="I289" s="572"/>
    </row>
    <row r="290" spans="1:10" ht="20.100000000000001" customHeight="1" collapsed="1" x14ac:dyDescent="0.4">
      <c r="A290" s="577"/>
      <c r="B290" s="573"/>
      <c r="C290" s="573"/>
      <c r="D290" s="573"/>
      <c r="E290" s="575"/>
      <c r="F290" s="166" t="s">
        <v>924</v>
      </c>
      <c r="G290" s="166"/>
      <c r="H290" s="263">
        <v>46290</v>
      </c>
      <c r="I290" s="572"/>
    </row>
    <row r="291" spans="1:10" ht="20.100000000000001" customHeight="1" x14ac:dyDescent="0.4">
      <c r="A291" s="577"/>
      <c r="B291" s="573"/>
      <c r="C291" s="573"/>
      <c r="D291" s="573"/>
      <c r="E291" s="575"/>
      <c r="F291" s="166" t="s">
        <v>802</v>
      </c>
      <c r="G291" s="166" t="s">
        <v>803</v>
      </c>
      <c r="H291" s="559">
        <v>46304</v>
      </c>
      <c r="I291" s="572"/>
    </row>
    <row r="292" spans="1:10" ht="20.100000000000001" customHeight="1" x14ac:dyDescent="0.4">
      <c r="A292" s="577"/>
      <c r="B292" s="573"/>
      <c r="C292" s="573"/>
      <c r="D292" s="573"/>
      <c r="E292" s="575"/>
      <c r="F292" s="166" t="s">
        <v>938</v>
      </c>
      <c r="G292" s="166" t="s">
        <v>939</v>
      </c>
      <c r="H292" s="560"/>
      <c r="I292" s="572"/>
    </row>
    <row r="293" spans="1:10" ht="20.100000000000001" customHeight="1" x14ac:dyDescent="0.4">
      <c r="A293" s="351"/>
      <c r="B293" s="353"/>
      <c r="C293" s="353"/>
      <c r="D293" s="353"/>
      <c r="E293" s="576"/>
      <c r="F293" s="84"/>
      <c r="G293" s="84"/>
      <c r="H293" s="249"/>
      <c r="I293" s="572"/>
      <c r="J293" s="52" t="s">
        <v>778</v>
      </c>
    </row>
    <row r="294" spans="1:10" ht="20.100000000000001" hidden="1" customHeight="1" outlineLevel="1" x14ac:dyDescent="0.4">
      <c r="A294" s="350">
        <v>39</v>
      </c>
      <c r="B294" s="352" t="s">
        <v>762</v>
      </c>
      <c r="C294" s="352" t="s">
        <v>760</v>
      </c>
      <c r="D294" s="352"/>
      <c r="E294" s="574" t="s">
        <v>761</v>
      </c>
      <c r="F294" s="169"/>
      <c r="G294" s="169"/>
      <c r="H294" s="260"/>
      <c r="I294" s="571" t="s">
        <v>859</v>
      </c>
    </row>
    <row r="295" spans="1:10" ht="20.100000000000001" hidden="1" customHeight="1" outlineLevel="1" x14ac:dyDescent="0.4">
      <c r="A295" s="577"/>
      <c r="B295" s="573"/>
      <c r="C295" s="573"/>
      <c r="D295" s="573"/>
      <c r="E295" s="575"/>
      <c r="F295" s="166" t="s">
        <v>777</v>
      </c>
      <c r="G295" s="166"/>
      <c r="H295" s="550">
        <v>46248</v>
      </c>
      <c r="I295" s="571"/>
    </row>
    <row r="296" spans="1:10" ht="20.100000000000001" hidden="1" customHeight="1" outlineLevel="1" x14ac:dyDescent="0.4">
      <c r="A296" s="577"/>
      <c r="B296" s="573"/>
      <c r="C296" s="573"/>
      <c r="D296" s="573"/>
      <c r="E296" s="575"/>
      <c r="F296" s="166" t="s">
        <v>786</v>
      </c>
      <c r="G296" s="166"/>
      <c r="H296" s="550"/>
      <c r="I296" s="572"/>
    </row>
    <row r="297" spans="1:10" ht="20.100000000000001" hidden="1" customHeight="1" outlineLevel="1" x14ac:dyDescent="0.4">
      <c r="A297" s="577"/>
      <c r="B297" s="573"/>
      <c r="C297" s="573"/>
      <c r="D297" s="573"/>
      <c r="E297" s="575"/>
      <c r="F297" s="166" t="s">
        <v>787</v>
      </c>
      <c r="G297" s="166"/>
      <c r="H297" s="550"/>
      <c r="I297" s="572"/>
    </row>
    <row r="298" spans="1:10" ht="20.100000000000001" hidden="1" customHeight="1" outlineLevel="1" x14ac:dyDescent="0.4">
      <c r="A298" s="577"/>
      <c r="B298" s="573"/>
      <c r="C298" s="573"/>
      <c r="D298" s="573"/>
      <c r="E298" s="575"/>
      <c r="F298" s="166" t="s">
        <v>805</v>
      </c>
      <c r="G298" s="166"/>
      <c r="H298" s="550"/>
      <c r="I298" s="572"/>
    </row>
    <row r="299" spans="1:10" ht="20.100000000000001" hidden="1" customHeight="1" outlineLevel="1" x14ac:dyDescent="0.4">
      <c r="A299" s="577"/>
      <c r="B299" s="573"/>
      <c r="C299" s="573"/>
      <c r="D299" s="573"/>
      <c r="E299" s="575"/>
      <c r="F299" s="166" t="s">
        <v>821</v>
      </c>
      <c r="G299" s="166"/>
      <c r="H299" s="551"/>
      <c r="I299" s="572"/>
    </row>
    <row r="300" spans="1:10" ht="20.100000000000001" hidden="1" customHeight="1" outlineLevel="1" x14ac:dyDescent="0.4">
      <c r="A300" s="351"/>
      <c r="B300" s="353"/>
      <c r="C300" s="353"/>
      <c r="D300" s="353"/>
      <c r="E300" s="576"/>
      <c r="F300" s="84" t="s">
        <v>822</v>
      </c>
      <c r="G300" s="84"/>
      <c r="H300" s="263">
        <v>46253</v>
      </c>
      <c r="I300" s="572"/>
      <c r="J300" s="52" t="s">
        <v>779</v>
      </c>
    </row>
    <row r="301" spans="1:10" ht="20.100000000000001" hidden="1" customHeight="1" outlineLevel="1" x14ac:dyDescent="0.4">
      <c r="A301" s="350">
        <v>40</v>
      </c>
      <c r="B301" s="352" t="s">
        <v>796</v>
      </c>
      <c r="C301" s="352" t="s">
        <v>794</v>
      </c>
      <c r="D301" s="352" t="s">
        <v>791</v>
      </c>
      <c r="E301" s="574" t="s">
        <v>792</v>
      </c>
      <c r="F301" s="169"/>
      <c r="G301" s="169"/>
      <c r="H301" s="569">
        <v>46255</v>
      </c>
      <c r="I301" s="571" t="s">
        <v>498</v>
      </c>
    </row>
    <row r="302" spans="1:10" ht="20.100000000000001" hidden="1" customHeight="1" outlineLevel="1" x14ac:dyDescent="0.4">
      <c r="A302" s="577"/>
      <c r="B302" s="573"/>
      <c r="C302" s="573"/>
      <c r="D302" s="573"/>
      <c r="E302" s="575"/>
      <c r="F302" s="166" t="s">
        <v>449</v>
      </c>
      <c r="G302" s="166"/>
      <c r="H302" s="570"/>
      <c r="I302" s="572"/>
    </row>
    <row r="303" spans="1:10" ht="20.100000000000001" hidden="1" customHeight="1" outlineLevel="1" x14ac:dyDescent="0.4">
      <c r="A303" s="577"/>
      <c r="B303" s="573"/>
      <c r="C303" s="573"/>
      <c r="D303" s="573"/>
      <c r="E303" s="575"/>
      <c r="F303" s="166" t="s">
        <v>485</v>
      </c>
      <c r="G303" s="166"/>
      <c r="H303" s="570"/>
      <c r="I303" s="572"/>
    </row>
    <row r="304" spans="1:10" ht="20.100000000000001" hidden="1" customHeight="1" outlineLevel="1" x14ac:dyDescent="0.4">
      <c r="A304" s="577"/>
      <c r="B304" s="573"/>
      <c r="C304" s="573"/>
      <c r="D304" s="573"/>
      <c r="E304" s="575"/>
      <c r="F304" s="166" t="s">
        <v>458</v>
      </c>
      <c r="G304" s="166"/>
      <c r="H304" s="570"/>
      <c r="I304" s="572"/>
    </row>
    <row r="305" spans="1:10" ht="20.100000000000001" hidden="1" customHeight="1" outlineLevel="1" x14ac:dyDescent="0.4">
      <c r="A305" s="351"/>
      <c r="B305" s="353"/>
      <c r="C305" s="353"/>
      <c r="D305" s="353"/>
      <c r="E305" s="576"/>
      <c r="F305" s="166" t="s">
        <v>490</v>
      </c>
      <c r="G305" s="84"/>
      <c r="H305" s="570"/>
      <c r="I305" s="572"/>
      <c r="J305" s="52" t="s">
        <v>799</v>
      </c>
    </row>
    <row r="306" spans="1:10" ht="20.100000000000001" hidden="1" customHeight="1" outlineLevel="1" x14ac:dyDescent="0.4">
      <c r="A306" s="350">
        <v>41</v>
      </c>
      <c r="B306" s="352" t="s">
        <v>797</v>
      </c>
      <c r="C306" s="352" t="s">
        <v>795</v>
      </c>
      <c r="D306" s="352"/>
      <c r="E306" s="574" t="s">
        <v>793</v>
      </c>
      <c r="F306" s="169"/>
      <c r="G306" s="169"/>
      <c r="H306" s="569">
        <v>46258</v>
      </c>
      <c r="I306" s="571" t="s">
        <v>498</v>
      </c>
    </row>
    <row r="307" spans="1:10" ht="20.100000000000001" hidden="1" customHeight="1" outlineLevel="1" x14ac:dyDescent="0.4">
      <c r="A307" s="577"/>
      <c r="B307" s="573"/>
      <c r="C307" s="573"/>
      <c r="D307" s="573"/>
      <c r="E307" s="575"/>
      <c r="F307" s="166" t="s">
        <v>748</v>
      </c>
      <c r="G307" s="166"/>
      <c r="H307" s="569"/>
      <c r="I307" s="571"/>
    </row>
    <row r="308" spans="1:10" ht="20.100000000000001" hidden="1" customHeight="1" outlineLevel="1" x14ac:dyDescent="0.4">
      <c r="A308" s="577"/>
      <c r="B308" s="573"/>
      <c r="C308" s="573"/>
      <c r="D308" s="573"/>
      <c r="E308" s="575"/>
      <c r="F308" s="166" t="s">
        <v>749</v>
      </c>
      <c r="G308" s="166"/>
      <c r="H308" s="570"/>
      <c r="I308" s="572"/>
    </row>
    <row r="309" spans="1:10" ht="20.100000000000001" hidden="1" customHeight="1" outlineLevel="1" x14ac:dyDescent="0.4">
      <c r="A309" s="351"/>
      <c r="B309" s="353"/>
      <c r="C309" s="353"/>
      <c r="D309" s="353"/>
      <c r="E309" s="576"/>
      <c r="F309" s="84"/>
      <c r="G309" s="84"/>
      <c r="H309" s="570"/>
      <c r="I309" s="572"/>
      <c r="J309" s="52" t="s">
        <v>800</v>
      </c>
    </row>
    <row r="310" spans="1:10" ht="20.100000000000001" hidden="1" customHeight="1" outlineLevel="1" collapsed="1" x14ac:dyDescent="0.4">
      <c r="A310" s="350">
        <v>42</v>
      </c>
      <c r="B310" s="352" t="s">
        <v>807</v>
      </c>
      <c r="C310" s="352" t="s">
        <v>806</v>
      </c>
      <c r="D310" s="352" t="s">
        <v>809</v>
      </c>
      <c r="E310" s="574" t="s">
        <v>808</v>
      </c>
      <c r="F310" s="169" t="s">
        <v>457</v>
      </c>
      <c r="G310" s="169"/>
      <c r="H310" s="569">
        <v>46263</v>
      </c>
      <c r="I310" s="571" t="s">
        <v>498</v>
      </c>
    </row>
    <row r="311" spans="1:10" ht="20.100000000000001" hidden="1" customHeight="1" outlineLevel="1" x14ac:dyDescent="0.4">
      <c r="A311" s="577"/>
      <c r="B311" s="573"/>
      <c r="C311" s="573"/>
      <c r="D311" s="573"/>
      <c r="E311" s="575"/>
      <c r="F311" s="166" t="s">
        <v>449</v>
      </c>
      <c r="G311" s="166"/>
      <c r="H311" s="570"/>
      <c r="I311" s="572"/>
    </row>
    <row r="312" spans="1:10" ht="20.100000000000001" hidden="1" customHeight="1" outlineLevel="1" x14ac:dyDescent="0.4">
      <c r="A312" s="577"/>
      <c r="B312" s="573"/>
      <c r="C312" s="573"/>
      <c r="D312" s="573"/>
      <c r="E312" s="575"/>
      <c r="F312" s="166" t="s">
        <v>485</v>
      </c>
      <c r="G312" s="166"/>
      <c r="H312" s="570"/>
      <c r="I312" s="572"/>
    </row>
    <row r="313" spans="1:10" ht="20.100000000000001" hidden="1" customHeight="1" outlineLevel="1" x14ac:dyDescent="0.4">
      <c r="A313" s="577"/>
      <c r="B313" s="573"/>
      <c r="C313" s="573"/>
      <c r="D313" s="573"/>
      <c r="E313" s="575"/>
      <c r="F313" s="166" t="s">
        <v>458</v>
      </c>
      <c r="G313" s="166"/>
      <c r="H313" s="570"/>
      <c r="I313" s="572"/>
    </row>
    <row r="314" spans="1:10" ht="20.100000000000001" hidden="1" customHeight="1" outlineLevel="1" x14ac:dyDescent="0.4">
      <c r="A314" s="577"/>
      <c r="B314" s="573"/>
      <c r="C314" s="573"/>
      <c r="D314" s="573"/>
      <c r="E314" s="575"/>
      <c r="F314" s="166" t="s">
        <v>490</v>
      </c>
      <c r="G314" s="166"/>
      <c r="H314" s="570"/>
      <c r="I314" s="572"/>
    </row>
    <row r="315" spans="1:10" ht="20.100000000000001" hidden="1" customHeight="1" outlineLevel="1" x14ac:dyDescent="0.4">
      <c r="A315" s="351"/>
      <c r="B315" s="353"/>
      <c r="C315" s="353"/>
      <c r="D315" s="353"/>
      <c r="E315" s="576"/>
      <c r="F315" s="84" t="s">
        <v>497</v>
      </c>
      <c r="G315" s="84"/>
      <c r="H315" s="570"/>
      <c r="I315" s="572"/>
      <c r="J315" s="52" t="s">
        <v>813</v>
      </c>
    </row>
    <row r="316" spans="1:10" ht="20.100000000000001" hidden="1" customHeight="1" outlineLevel="1" x14ac:dyDescent="0.4">
      <c r="A316" s="350">
        <v>43</v>
      </c>
      <c r="B316" s="352" t="s">
        <v>811</v>
      </c>
      <c r="C316" s="352" t="s">
        <v>812</v>
      </c>
      <c r="D316" s="352"/>
      <c r="E316" s="574" t="s">
        <v>810</v>
      </c>
      <c r="F316" s="169" t="s">
        <v>863</v>
      </c>
      <c r="G316" s="169"/>
      <c r="H316" s="569">
        <v>46255</v>
      </c>
      <c r="I316" s="571" t="s">
        <v>498</v>
      </c>
    </row>
    <row r="317" spans="1:10" ht="20.100000000000001" hidden="1" customHeight="1" outlineLevel="1" x14ac:dyDescent="0.4">
      <c r="A317" s="577"/>
      <c r="B317" s="573"/>
      <c r="C317" s="573"/>
      <c r="D317" s="573"/>
      <c r="E317" s="575"/>
      <c r="F317" s="166" t="s">
        <v>823</v>
      </c>
      <c r="G317" s="166"/>
      <c r="H317" s="570"/>
      <c r="I317" s="572"/>
    </row>
    <row r="318" spans="1:10" ht="20.100000000000001" hidden="1" customHeight="1" outlineLevel="1" x14ac:dyDescent="0.4">
      <c r="A318" s="577"/>
      <c r="B318" s="573"/>
      <c r="C318" s="573"/>
      <c r="D318" s="573"/>
      <c r="E318" s="575"/>
      <c r="F318" s="166" t="s">
        <v>824</v>
      </c>
      <c r="G318" s="166"/>
      <c r="H318" s="570"/>
      <c r="I318" s="572"/>
    </row>
    <row r="319" spans="1:10" ht="20.100000000000001" hidden="1" customHeight="1" outlineLevel="1" x14ac:dyDescent="0.4">
      <c r="A319" s="351"/>
      <c r="B319" s="353"/>
      <c r="C319" s="353"/>
      <c r="D319" s="353"/>
      <c r="E319" s="576"/>
      <c r="F319" s="84" t="s">
        <v>825</v>
      </c>
      <c r="G319" s="84"/>
      <c r="H319" s="570"/>
      <c r="I319" s="572"/>
      <c r="J319" s="52" t="s">
        <v>833</v>
      </c>
    </row>
    <row r="320" spans="1:10" ht="20.100000000000001" hidden="1" customHeight="1" outlineLevel="1" x14ac:dyDescent="0.4">
      <c r="A320" s="350">
        <v>44</v>
      </c>
      <c r="B320" s="352" t="s">
        <v>476</v>
      </c>
      <c r="C320" s="352" t="s">
        <v>829</v>
      </c>
      <c r="D320" s="352"/>
      <c r="E320" s="574" t="s">
        <v>831</v>
      </c>
      <c r="F320" s="169"/>
      <c r="G320" s="169"/>
      <c r="H320" s="569">
        <v>46255</v>
      </c>
      <c r="I320" s="571" t="s">
        <v>498</v>
      </c>
    </row>
    <row r="321" spans="1:10" ht="20.100000000000001" hidden="1" customHeight="1" outlineLevel="1" x14ac:dyDescent="0.4">
      <c r="A321" s="577"/>
      <c r="B321" s="573"/>
      <c r="C321" s="573"/>
      <c r="D321" s="573"/>
      <c r="E321" s="575"/>
      <c r="F321" s="166" t="s">
        <v>748</v>
      </c>
      <c r="G321" s="166"/>
      <c r="H321" s="570"/>
      <c r="I321" s="572"/>
    </row>
    <row r="322" spans="1:10" ht="20.100000000000001" hidden="1" customHeight="1" outlineLevel="1" x14ac:dyDescent="0.4">
      <c r="A322" s="577"/>
      <c r="B322" s="573"/>
      <c r="C322" s="573"/>
      <c r="D322" s="573"/>
      <c r="E322" s="575"/>
      <c r="F322" s="166" t="s">
        <v>749</v>
      </c>
      <c r="G322" s="166"/>
      <c r="H322" s="570"/>
      <c r="I322" s="572"/>
    </row>
    <row r="323" spans="1:10" ht="20.100000000000001" hidden="1" customHeight="1" outlineLevel="1" x14ac:dyDescent="0.4">
      <c r="A323" s="351"/>
      <c r="B323" s="353"/>
      <c r="C323" s="353"/>
      <c r="D323" s="353"/>
      <c r="E323" s="576"/>
      <c r="F323" s="84"/>
      <c r="G323" s="84"/>
      <c r="H323" s="570"/>
      <c r="I323" s="572"/>
      <c r="J323" s="52" t="s">
        <v>832</v>
      </c>
    </row>
    <row r="324" spans="1:10" ht="20.100000000000001" hidden="1" customHeight="1" outlineLevel="1" collapsed="1" x14ac:dyDescent="0.4">
      <c r="A324" s="350">
        <v>45</v>
      </c>
      <c r="B324" s="352" t="s">
        <v>807</v>
      </c>
      <c r="C324" s="352" t="s">
        <v>860</v>
      </c>
      <c r="D324" s="352" t="s">
        <v>861</v>
      </c>
      <c r="E324" s="574" t="s">
        <v>862</v>
      </c>
      <c r="F324" s="169" t="s">
        <v>457</v>
      </c>
      <c r="G324" s="169"/>
      <c r="H324" s="569">
        <v>46276</v>
      </c>
      <c r="I324" s="571" t="s">
        <v>910</v>
      </c>
    </row>
    <row r="325" spans="1:10" ht="20.100000000000001" hidden="1" customHeight="1" outlineLevel="1" x14ac:dyDescent="0.4">
      <c r="A325" s="577"/>
      <c r="B325" s="573"/>
      <c r="C325" s="573"/>
      <c r="D325" s="573"/>
      <c r="E325" s="575"/>
      <c r="F325" s="166" t="s">
        <v>449</v>
      </c>
      <c r="G325" s="166"/>
      <c r="H325" s="569"/>
      <c r="I325" s="571"/>
    </row>
    <row r="326" spans="1:10" ht="20.100000000000001" hidden="1" customHeight="1" outlineLevel="1" x14ac:dyDescent="0.4">
      <c r="A326" s="577"/>
      <c r="B326" s="573"/>
      <c r="C326" s="573"/>
      <c r="D326" s="573"/>
      <c r="E326" s="575"/>
      <c r="F326" s="166" t="s">
        <v>485</v>
      </c>
      <c r="G326" s="166"/>
      <c r="H326" s="570"/>
      <c r="I326" s="572"/>
    </row>
    <row r="327" spans="1:10" ht="20.100000000000001" hidden="1" customHeight="1" outlineLevel="1" x14ac:dyDescent="0.4">
      <c r="A327" s="577"/>
      <c r="B327" s="573"/>
      <c r="C327" s="573"/>
      <c r="D327" s="573"/>
      <c r="E327" s="575"/>
      <c r="F327" s="166" t="s">
        <v>458</v>
      </c>
      <c r="G327" s="166"/>
      <c r="H327" s="570"/>
      <c r="I327" s="572"/>
    </row>
    <row r="328" spans="1:10" ht="20.100000000000001" hidden="1" customHeight="1" outlineLevel="1" x14ac:dyDescent="0.4">
      <c r="A328" s="577"/>
      <c r="B328" s="573"/>
      <c r="C328" s="573"/>
      <c r="D328" s="573"/>
      <c r="E328" s="575"/>
      <c r="F328" s="166" t="s">
        <v>490</v>
      </c>
      <c r="G328" s="166"/>
      <c r="H328" s="570"/>
      <c r="I328" s="572"/>
    </row>
    <row r="329" spans="1:10" ht="20.100000000000001" hidden="1" customHeight="1" outlineLevel="1" x14ac:dyDescent="0.4">
      <c r="A329" s="351"/>
      <c r="B329" s="353"/>
      <c r="C329" s="353"/>
      <c r="D329" s="353"/>
      <c r="E329" s="576"/>
      <c r="F329" s="84" t="s">
        <v>497</v>
      </c>
      <c r="G329" s="84"/>
      <c r="H329" s="570"/>
      <c r="I329" s="572"/>
      <c r="J329" s="52" t="s">
        <v>867</v>
      </c>
    </row>
    <row r="330" spans="1:10" ht="20.100000000000001" hidden="1" customHeight="1" outlineLevel="1" collapsed="1" x14ac:dyDescent="0.4">
      <c r="A330" s="350">
        <v>46</v>
      </c>
      <c r="B330" s="352" t="s">
        <v>865</v>
      </c>
      <c r="C330" s="352" t="s">
        <v>866</v>
      </c>
      <c r="D330" s="352"/>
      <c r="E330" s="574" t="s">
        <v>864</v>
      </c>
      <c r="F330" s="169"/>
      <c r="G330" s="169"/>
      <c r="H330" s="569">
        <v>46295</v>
      </c>
      <c r="I330" s="567" t="s">
        <v>498</v>
      </c>
    </row>
    <row r="331" spans="1:10" ht="20.100000000000001" hidden="1" customHeight="1" outlineLevel="1" x14ac:dyDescent="0.4">
      <c r="A331" s="577"/>
      <c r="B331" s="573"/>
      <c r="C331" s="573"/>
      <c r="D331" s="573"/>
      <c r="E331" s="575"/>
      <c r="F331" s="166" t="s">
        <v>457</v>
      </c>
      <c r="G331" s="166"/>
      <c r="H331" s="569"/>
      <c r="I331" s="562"/>
    </row>
    <row r="332" spans="1:10" ht="20.100000000000001" hidden="1" customHeight="1" outlineLevel="1" x14ac:dyDescent="0.4">
      <c r="A332" s="577"/>
      <c r="B332" s="573"/>
      <c r="C332" s="573"/>
      <c r="D332" s="573"/>
      <c r="E332" s="575"/>
      <c r="F332" s="166" t="s">
        <v>449</v>
      </c>
      <c r="G332" s="166"/>
      <c r="H332" s="570"/>
      <c r="I332" s="562"/>
    </row>
    <row r="333" spans="1:10" ht="20.100000000000001" hidden="1" customHeight="1" outlineLevel="1" x14ac:dyDescent="0.4">
      <c r="A333" s="577"/>
      <c r="B333" s="573"/>
      <c r="C333" s="573"/>
      <c r="D333" s="573"/>
      <c r="E333" s="575"/>
      <c r="F333" s="166" t="s">
        <v>456</v>
      </c>
      <c r="G333" s="166"/>
      <c r="H333" s="570"/>
      <c r="I333" s="562"/>
    </row>
    <row r="334" spans="1:10" ht="20.100000000000001" hidden="1" customHeight="1" outlineLevel="1" x14ac:dyDescent="0.4">
      <c r="A334" s="351"/>
      <c r="B334" s="353"/>
      <c r="C334" s="353"/>
      <c r="D334" s="353"/>
      <c r="E334" s="576"/>
      <c r="F334" s="84"/>
      <c r="G334" s="84"/>
      <c r="H334" s="570"/>
      <c r="I334" s="563"/>
      <c r="J334" s="52" t="s">
        <v>868</v>
      </c>
    </row>
    <row r="335" spans="1:10" ht="20.100000000000001" hidden="1" customHeight="1" outlineLevel="1" x14ac:dyDescent="0.4">
      <c r="A335" s="350">
        <v>47</v>
      </c>
      <c r="B335" s="352" t="s">
        <v>896</v>
      </c>
      <c r="C335" s="352" t="s">
        <v>878</v>
      </c>
      <c r="D335" s="352" t="s">
        <v>877</v>
      </c>
      <c r="E335" s="574" t="s">
        <v>876</v>
      </c>
      <c r="F335" s="169"/>
      <c r="G335" s="169"/>
      <c r="H335" s="569">
        <v>46272</v>
      </c>
      <c r="I335" s="555" t="s">
        <v>891</v>
      </c>
    </row>
    <row r="336" spans="1:10" ht="20.100000000000001" hidden="1" customHeight="1" outlineLevel="1" x14ac:dyDescent="0.4">
      <c r="A336" s="577"/>
      <c r="B336" s="573"/>
      <c r="C336" s="573"/>
      <c r="D336" s="573"/>
      <c r="E336" s="575"/>
      <c r="F336" s="166" t="s">
        <v>882</v>
      </c>
      <c r="G336" s="166"/>
      <c r="H336" s="570"/>
      <c r="I336" s="561"/>
    </row>
    <row r="337" spans="1:10" ht="20.100000000000001" hidden="1" customHeight="1" outlineLevel="1" x14ac:dyDescent="0.4">
      <c r="A337" s="577"/>
      <c r="B337" s="573"/>
      <c r="C337" s="573"/>
      <c r="D337" s="573"/>
      <c r="E337" s="575"/>
      <c r="F337" s="166" t="s">
        <v>883</v>
      </c>
      <c r="G337" s="166"/>
      <c r="H337" s="570"/>
      <c r="I337" s="561"/>
    </row>
    <row r="338" spans="1:10" ht="20.100000000000001" hidden="1" customHeight="1" outlineLevel="1" x14ac:dyDescent="0.4">
      <c r="A338" s="351"/>
      <c r="B338" s="353"/>
      <c r="C338" s="353"/>
      <c r="D338" s="353"/>
      <c r="E338" s="576"/>
      <c r="F338" s="84"/>
      <c r="G338" s="84"/>
      <c r="H338" s="570"/>
      <c r="I338" s="557"/>
      <c r="J338" s="52" t="s">
        <v>673</v>
      </c>
    </row>
    <row r="339" spans="1:10" ht="20.100000000000001" hidden="1" customHeight="1" outlineLevel="1" x14ac:dyDescent="0.4">
      <c r="A339" s="350">
        <v>48</v>
      </c>
      <c r="B339" s="352" t="s">
        <v>897</v>
      </c>
      <c r="C339" s="352" t="s">
        <v>881</v>
      </c>
      <c r="D339" s="352"/>
      <c r="E339" s="574" t="s">
        <v>879</v>
      </c>
      <c r="F339" s="169"/>
      <c r="G339" s="169"/>
      <c r="H339" s="569">
        <v>46272</v>
      </c>
      <c r="I339" s="571" t="s">
        <v>498</v>
      </c>
    </row>
    <row r="340" spans="1:10" ht="20.100000000000001" hidden="1" customHeight="1" outlineLevel="1" x14ac:dyDescent="0.4">
      <c r="A340" s="577"/>
      <c r="B340" s="573"/>
      <c r="C340" s="573"/>
      <c r="D340" s="573"/>
      <c r="E340" s="575"/>
      <c r="F340" s="166" t="s">
        <v>777</v>
      </c>
      <c r="G340" s="166"/>
      <c r="H340" s="570"/>
      <c r="I340" s="572"/>
    </row>
    <row r="341" spans="1:10" ht="20.100000000000001" hidden="1" customHeight="1" outlineLevel="1" x14ac:dyDescent="0.4">
      <c r="A341" s="577"/>
      <c r="B341" s="573"/>
      <c r="C341" s="573"/>
      <c r="D341" s="573"/>
      <c r="E341" s="575"/>
      <c r="F341" s="166" t="s">
        <v>884</v>
      </c>
      <c r="G341" s="166"/>
      <c r="H341" s="570"/>
      <c r="I341" s="572"/>
    </row>
    <row r="342" spans="1:10" ht="20.100000000000001" hidden="1" customHeight="1" outlineLevel="1" x14ac:dyDescent="0.4">
      <c r="A342" s="577"/>
      <c r="B342" s="573"/>
      <c r="C342" s="573"/>
      <c r="D342" s="573"/>
      <c r="E342" s="575"/>
      <c r="F342" s="166" t="s">
        <v>885</v>
      </c>
      <c r="G342" s="166"/>
      <c r="H342" s="570"/>
      <c r="I342" s="572"/>
    </row>
    <row r="343" spans="1:10" ht="20.100000000000001" hidden="1" customHeight="1" outlineLevel="1" x14ac:dyDescent="0.4">
      <c r="A343" s="577"/>
      <c r="B343" s="573"/>
      <c r="C343" s="573"/>
      <c r="D343" s="573"/>
      <c r="E343" s="575"/>
      <c r="F343" s="166" t="s">
        <v>886</v>
      </c>
      <c r="G343" s="166"/>
      <c r="H343" s="570"/>
      <c r="I343" s="572"/>
    </row>
    <row r="344" spans="1:10" ht="20.100000000000001" hidden="1" customHeight="1" outlineLevel="1" x14ac:dyDescent="0.4">
      <c r="A344" s="351"/>
      <c r="B344" s="353"/>
      <c r="C344" s="353"/>
      <c r="D344" s="353"/>
      <c r="E344" s="576"/>
      <c r="F344" s="84"/>
      <c r="G344" s="84"/>
      <c r="H344" s="570"/>
      <c r="I344" s="572"/>
      <c r="J344" s="52" t="s">
        <v>480</v>
      </c>
    </row>
    <row r="345" spans="1:10" ht="20.100000000000001" hidden="1" customHeight="1" outlineLevel="1" collapsed="1" x14ac:dyDescent="0.4">
      <c r="A345" s="350">
        <v>49</v>
      </c>
      <c r="B345" s="352" t="s">
        <v>905</v>
      </c>
      <c r="C345" s="352" t="s">
        <v>898</v>
      </c>
      <c r="D345" s="352"/>
      <c r="E345" s="574" t="s">
        <v>901</v>
      </c>
      <c r="F345" s="169" t="s">
        <v>457</v>
      </c>
      <c r="G345" s="169"/>
      <c r="H345" s="569">
        <v>46296</v>
      </c>
      <c r="I345" s="571" t="s">
        <v>498</v>
      </c>
    </row>
    <row r="346" spans="1:10" ht="20.100000000000001" hidden="1" customHeight="1" outlineLevel="1" x14ac:dyDescent="0.4">
      <c r="A346" s="577"/>
      <c r="B346" s="573"/>
      <c r="C346" s="573"/>
      <c r="D346" s="573"/>
      <c r="E346" s="575"/>
      <c r="F346" s="166" t="s">
        <v>449</v>
      </c>
      <c r="G346" s="166"/>
      <c r="H346" s="570"/>
      <c r="I346" s="572"/>
    </row>
    <row r="347" spans="1:10" ht="20.100000000000001" hidden="1" customHeight="1" outlineLevel="1" x14ac:dyDescent="0.4">
      <c r="A347" s="577"/>
      <c r="B347" s="573"/>
      <c r="C347" s="573"/>
      <c r="D347" s="573"/>
      <c r="E347" s="575"/>
      <c r="F347" s="166" t="s">
        <v>485</v>
      </c>
      <c r="G347" s="166"/>
      <c r="H347" s="570"/>
      <c r="I347" s="572"/>
    </row>
    <row r="348" spans="1:10" ht="20.100000000000001" hidden="1" customHeight="1" outlineLevel="1" x14ac:dyDescent="0.4">
      <c r="A348" s="577"/>
      <c r="B348" s="573"/>
      <c r="C348" s="573"/>
      <c r="D348" s="573"/>
      <c r="E348" s="575"/>
      <c r="F348" s="166" t="s">
        <v>458</v>
      </c>
      <c r="G348" s="166"/>
      <c r="H348" s="570"/>
      <c r="I348" s="572"/>
    </row>
    <row r="349" spans="1:10" ht="20.100000000000001" hidden="1" customHeight="1" outlineLevel="1" x14ac:dyDescent="0.4">
      <c r="A349" s="577"/>
      <c r="B349" s="573"/>
      <c r="C349" s="573"/>
      <c r="D349" s="573"/>
      <c r="E349" s="575"/>
      <c r="F349" s="166" t="s">
        <v>490</v>
      </c>
      <c r="G349" s="166"/>
      <c r="H349" s="570"/>
      <c r="I349" s="572"/>
    </row>
    <row r="350" spans="1:10" ht="20.100000000000001" hidden="1" customHeight="1" outlineLevel="1" x14ac:dyDescent="0.4">
      <c r="A350" s="351"/>
      <c r="B350" s="353"/>
      <c r="C350" s="353"/>
      <c r="D350" s="353"/>
      <c r="E350" s="576"/>
      <c r="F350" s="84"/>
      <c r="G350" s="84"/>
      <c r="H350" s="570"/>
      <c r="I350" s="572"/>
      <c r="J350" s="52" t="s">
        <v>907</v>
      </c>
    </row>
    <row r="351" spans="1:10" ht="20.100000000000001" customHeight="1" collapsed="1" x14ac:dyDescent="0.4">
      <c r="A351" s="350">
        <v>50</v>
      </c>
      <c r="B351" s="352" t="s">
        <v>906</v>
      </c>
      <c r="C351" s="352" t="s">
        <v>900</v>
      </c>
      <c r="D351" s="352" t="s">
        <v>1001</v>
      </c>
      <c r="E351" s="574" t="s">
        <v>902</v>
      </c>
      <c r="F351" s="169" t="s">
        <v>457</v>
      </c>
      <c r="G351" s="169"/>
      <c r="H351" s="569">
        <v>46295</v>
      </c>
      <c r="I351" s="571" t="s">
        <v>498</v>
      </c>
    </row>
    <row r="352" spans="1:10" ht="20.100000000000001" customHeight="1" x14ac:dyDescent="0.4">
      <c r="A352" s="577"/>
      <c r="B352" s="573"/>
      <c r="C352" s="573"/>
      <c r="D352" s="573"/>
      <c r="E352" s="575"/>
      <c r="F352" s="166" t="s">
        <v>449</v>
      </c>
      <c r="G352" s="166"/>
      <c r="H352" s="570"/>
      <c r="I352" s="572"/>
    </row>
    <row r="353" spans="1:10" ht="20.100000000000001" customHeight="1" x14ac:dyDescent="0.4">
      <c r="A353" s="577"/>
      <c r="B353" s="573"/>
      <c r="C353" s="573"/>
      <c r="D353" s="573"/>
      <c r="E353" s="575"/>
      <c r="F353" s="166" t="s">
        <v>485</v>
      </c>
      <c r="G353" s="166"/>
      <c r="H353" s="570"/>
      <c r="I353" s="572"/>
    </row>
    <row r="354" spans="1:10" ht="20.100000000000001" customHeight="1" x14ac:dyDescent="0.4">
      <c r="A354" s="577"/>
      <c r="B354" s="573"/>
      <c r="C354" s="573"/>
      <c r="D354" s="573"/>
      <c r="E354" s="575"/>
      <c r="F354" s="166" t="s">
        <v>458</v>
      </c>
      <c r="G354" s="166"/>
      <c r="H354" s="570"/>
      <c r="I354" s="572"/>
    </row>
    <row r="355" spans="1:10" ht="20.100000000000001" customHeight="1" x14ac:dyDescent="0.4">
      <c r="A355" s="577"/>
      <c r="B355" s="573"/>
      <c r="C355" s="573"/>
      <c r="D355" s="573"/>
      <c r="E355" s="575"/>
      <c r="F355" s="166" t="s">
        <v>490</v>
      </c>
      <c r="G355" s="166"/>
      <c r="H355" s="570"/>
      <c r="I355" s="572"/>
    </row>
    <row r="356" spans="1:10" ht="20.100000000000001" customHeight="1" x14ac:dyDescent="0.4">
      <c r="A356" s="351"/>
      <c r="B356" s="353"/>
      <c r="C356" s="353"/>
      <c r="D356" s="353"/>
      <c r="E356" s="576"/>
      <c r="F356" s="84" t="s">
        <v>497</v>
      </c>
      <c r="G356" s="84"/>
      <c r="H356" s="570"/>
      <c r="I356" s="572"/>
      <c r="J356" s="52" t="s">
        <v>908</v>
      </c>
    </row>
    <row r="357" spans="1:10" ht="20.100000000000001" hidden="1" customHeight="1" outlineLevel="1" x14ac:dyDescent="0.4">
      <c r="A357" s="350">
        <v>51</v>
      </c>
      <c r="B357" s="352" t="s">
        <v>911</v>
      </c>
      <c r="C357" s="352" t="s">
        <v>912</v>
      </c>
      <c r="D357" s="352"/>
      <c r="E357" s="574" t="s">
        <v>914</v>
      </c>
      <c r="F357" s="169"/>
      <c r="G357" s="169"/>
      <c r="H357" s="569">
        <v>46286</v>
      </c>
      <c r="I357" s="571" t="s">
        <v>498</v>
      </c>
    </row>
    <row r="358" spans="1:10" ht="20.100000000000001" hidden="1" customHeight="1" outlineLevel="1" x14ac:dyDescent="0.4">
      <c r="A358" s="577"/>
      <c r="B358" s="573"/>
      <c r="C358" s="573"/>
      <c r="D358" s="573"/>
      <c r="E358" s="575"/>
      <c r="F358" s="166" t="s">
        <v>742</v>
      </c>
      <c r="G358" s="166"/>
      <c r="H358" s="570"/>
      <c r="I358" s="572"/>
    </row>
    <row r="359" spans="1:10" ht="20.100000000000001" hidden="1" customHeight="1" outlineLevel="1" x14ac:dyDescent="0.4">
      <c r="A359" s="577"/>
      <c r="B359" s="573"/>
      <c r="C359" s="573"/>
      <c r="D359" s="573"/>
      <c r="E359" s="575"/>
      <c r="F359" s="166" t="s">
        <v>743</v>
      </c>
      <c r="G359" s="166"/>
      <c r="H359" s="570"/>
      <c r="I359" s="572"/>
    </row>
    <row r="360" spans="1:10" ht="20.100000000000001" hidden="1" customHeight="1" outlineLevel="1" x14ac:dyDescent="0.4">
      <c r="A360" s="577"/>
      <c r="B360" s="573"/>
      <c r="C360" s="573"/>
      <c r="D360" s="573"/>
      <c r="E360" s="575"/>
      <c r="F360" s="166" t="s">
        <v>744</v>
      </c>
      <c r="G360" s="166"/>
      <c r="H360" s="570"/>
      <c r="I360" s="572"/>
    </row>
    <row r="361" spans="1:10" ht="20.100000000000001" hidden="1" customHeight="1" outlineLevel="1" x14ac:dyDescent="0.4">
      <c r="A361" s="351"/>
      <c r="B361" s="353"/>
      <c r="C361" s="353"/>
      <c r="D361" s="353"/>
      <c r="E361" s="576"/>
      <c r="F361" s="84"/>
      <c r="G361" s="84"/>
      <c r="H361" s="570"/>
      <c r="I361" s="572"/>
      <c r="J361" s="52" t="s">
        <v>913</v>
      </c>
    </row>
    <row r="362" spans="1:10" ht="20.100000000000001" hidden="1" customHeight="1" outlineLevel="1" collapsed="1" x14ac:dyDescent="0.4">
      <c r="A362" s="350">
        <v>52</v>
      </c>
      <c r="B362" s="352" t="s">
        <v>476</v>
      </c>
      <c r="C362" s="352" t="s">
        <v>926</v>
      </c>
      <c r="D362" s="352"/>
      <c r="E362" s="574" t="s">
        <v>925</v>
      </c>
      <c r="F362" s="169"/>
      <c r="G362" s="169"/>
      <c r="H362" s="569">
        <v>46295</v>
      </c>
      <c r="I362" s="571" t="s">
        <v>937</v>
      </c>
    </row>
    <row r="363" spans="1:10" ht="20.100000000000001" hidden="1" customHeight="1" outlineLevel="1" x14ac:dyDescent="0.4">
      <c r="A363" s="577"/>
      <c r="B363" s="573"/>
      <c r="C363" s="573"/>
      <c r="D363" s="573"/>
      <c r="E363" s="575"/>
      <c r="F363" s="166" t="s">
        <v>742</v>
      </c>
      <c r="G363" s="166"/>
      <c r="H363" s="570"/>
      <c r="I363" s="572"/>
    </row>
    <row r="364" spans="1:10" ht="20.100000000000001" hidden="1" customHeight="1" outlineLevel="1" x14ac:dyDescent="0.4">
      <c r="A364" s="577"/>
      <c r="B364" s="573"/>
      <c r="C364" s="573"/>
      <c r="D364" s="573"/>
      <c r="E364" s="575"/>
      <c r="F364" s="166" t="s">
        <v>743</v>
      </c>
      <c r="G364" s="166"/>
      <c r="H364" s="570"/>
      <c r="I364" s="572"/>
    </row>
    <row r="365" spans="1:10" ht="20.100000000000001" hidden="1" customHeight="1" outlineLevel="1" x14ac:dyDescent="0.4">
      <c r="A365" s="577"/>
      <c r="B365" s="573"/>
      <c r="C365" s="573"/>
      <c r="D365" s="573"/>
      <c r="E365" s="575"/>
      <c r="F365" s="166" t="s">
        <v>744</v>
      </c>
      <c r="G365" s="166"/>
      <c r="H365" s="570"/>
      <c r="I365" s="572"/>
    </row>
    <row r="366" spans="1:10" ht="20.100000000000001" hidden="1" customHeight="1" outlineLevel="1" x14ac:dyDescent="0.4">
      <c r="A366" s="351"/>
      <c r="B366" s="353"/>
      <c r="C366" s="353"/>
      <c r="D366" s="353"/>
      <c r="E366" s="576"/>
      <c r="F366" s="84"/>
      <c r="G366" s="84"/>
      <c r="H366" s="570"/>
      <c r="I366" s="572"/>
      <c r="J366" s="52" t="s">
        <v>927</v>
      </c>
    </row>
    <row r="367" spans="1:10" ht="20.100000000000001" customHeight="1" collapsed="1" x14ac:dyDescent="0.4">
      <c r="A367" s="350">
        <v>53</v>
      </c>
      <c r="B367" s="352" t="s">
        <v>936</v>
      </c>
      <c r="C367" s="352" t="s">
        <v>934</v>
      </c>
      <c r="D367" s="352"/>
      <c r="E367" s="574" t="s">
        <v>932</v>
      </c>
      <c r="F367" s="169"/>
      <c r="G367" s="169"/>
      <c r="H367" s="569">
        <v>46301</v>
      </c>
      <c r="I367" s="571" t="s">
        <v>951</v>
      </c>
    </row>
    <row r="368" spans="1:10" ht="20.100000000000001" customHeight="1" x14ac:dyDescent="0.4">
      <c r="A368" s="577"/>
      <c r="B368" s="573"/>
      <c r="C368" s="573"/>
      <c r="D368" s="573"/>
      <c r="E368" s="575"/>
      <c r="F368" s="166" t="s">
        <v>950</v>
      </c>
      <c r="G368" s="166"/>
      <c r="H368" s="570"/>
      <c r="I368" s="572"/>
    </row>
    <row r="369" spans="1:10" ht="20.100000000000001" customHeight="1" x14ac:dyDescent="0.4">
      <c r="A369" s="351"/>
      <c r="B369" s="353"/>
      <c r="C369" s="353"/>
      <c r="D369" s="353"/>
      <c r="E369" s="576"/>
      <c r="F369" s="84"/>
      <c r="G369" s="84"/>
      <c r="H369" s="570"/>
      <c r="I369" s="572"/>
      <c r="J369" s="52" t="s">
        <v>675</v>
      </c>
    </row>
    <row r="370" spans="1:10" ht="20.100000000000001" customHeight="1" x14ac:dyDescent="0.4">
      <c r="A370" s="350">
        <v>54</v>
      </c>
      <c r="B370" s="352" t="s">
        <v>954</v>
      </c>
      <c r="C370" s="352" t="s">
        <v>953</v>
      </c>
      <c r="D370" s="352"/>
      <c r="E370" s="574" t="s">
        <v>952</v>
      </c>
      <c r="F370" s="169"/>
      <c r="G370" s="169"/>
      <c r="H370" s="569">
        <v>46304</v>
      </c>
      <c r="I370" s="571" t="s">
        <v>460</v>
      </c>
    </row>
    <row r="371" spans="1:10" ht="20.100000000000001" customHeight="1" x14ac:dyDescent="0.4">
      <c r="A371" s="577"/>
      <c r="B371" s="573"/>
      <c r="C371" s="573"/>
      <c r="D371" s="573"/>
      <c r="E371" s="575"/>
      <c r="F371" s="166" t="s">
        <v>457</v>
      </c>
      <c r="G371" s="166"/>
      <c r="H371" s="570"/>
      <c r="I371" s="572"/>
    </row>
    <row r="372" spans="1:10" ht="20.100000000000001" customHeight="1" x14ac:dyDescent="0.4">
      <c r="A372" s="577"/>
      <c r="B372" s="573"/>
      <c r="C372" s="573"/>
      <c r="D372" s="573"/>
      <c r="E372" s="575"/>
      <c r="F372" s="166" t="s">
        <v>955</v>
      </c>
      <c r="G372" s="166"/>
      <c r="H372" s="570"/>
      <c r="I372" s="572"/>
    </row>
    <row r="373" spans="1:10" ht="20.100000000000001" customHeight="1" x14ac:dyDescent="0.4">
      <c r="A373" s="577"/>
      <c r="B373" s="573"/>
      <c r="C373" s="573"/>
      <c r="D373" s="573"/>
      <c r="E373" s="575"/>
      <c r="F373" s="166" t="s">
        <v>727</v>
      </c>
      <c r="G373" s="166"/>
      <c r="H373" s="570"/>
      <c r="I373" s="572"/>
    </row>
    <row r="374" spans="1:10" ht="20.100000000000001" customHeight="1" x14ac:dyDescent="0.4">
      <c r="A374" s="351"/>
      <c r="B374" s="353"/>
      <c r="C374" s="353"/>
      <c r="D374" s="353"/>
      <c r="E374" s="576"/>
      <c r="F374" s="84"/>
      <c r="G374" s="84"/>
      <c r="H374" s="570"/>
      <c r="I374" s="572"/>
      <c r="J374" s="52" t="s">
        <v>987</v>
      </c>
    </row>
    <row r="375" spans="1:10" ht="20.100000000000001" customHeight="1" x14ac:dyDescent="0.4">
      <c r="A375" s="350">
        <v>55</v>
      </c>
      <c r="B375" s="352" t="s">
        <v>958</v>
      </c>
      <c r="C375" s="352" t="s">
        <v>957</v>
      </c>
      <c r="D375" s="352" t="s">
        <v>999</v>
      </c>
      <c r="E375" s="574" t="s">
        <v>956</v>
      </c>
      <c r="F375" s="169"/>
      <c r="G375" s="169"/>
      <c r="H375" s="569">
        <v>46322</v>
      </c>
      <c r="I375" s="571"/>
    </row>
    <row r="376" spans="1:10" ht="20.100000000000001" customHeight="1" x14ac:dyDescent="0.4">
      <c r="A376" s="577"/>
      <c r="B376" s="573"/>
      <c r="C376" s="573"/>
      <c r="D376" s="573"/>
      <c r="E376" s="575"/>
      <c r="F376" s="166" t="s">
        <v>959</v>
      </c>
      <c r="G376" s="166" t="s">
        <v>962</v>
      </c>
      <c r="H376" s="570"/>
      <c r="I376" s="572"/>
    </row>
    <row r="377" spans="1:10" ht="20.100000000000001" customHeight="1" x14ac:dyDescent="0.4">
      <c r="A377" s="577"/>
      <c r="B377" s="573"/>
      <c r="C377" s="573"/>
      <c r="D377" s="573"/>
      <c r="E377" s="575"/>
      <c r="F377" s="166" t="s">
        <v>960</v>
      </c>
      <c r="G377" s="166"/>
      <c r="H377" s="570"/>
      <c r="I377" s="572"/>
    </row>
    <row r="378" spans="1:10" ht="20.100000000000001" customHeight="1" x14ac:dyDescent="0.4">
      <c r="A378" s="577"/>
      <c r="B378" s="573"/>
      <c r="C378" s="573"/>
      <c r="D378" s="573"/>
      <c r="E378" s="575"/>
      <c r="F378" s="166" t="s">
        <v>961</v>
      </c>
      <c r="G378" s="166"/>
      <c r="H378" s="570"/>
      <c r="I378" s="572"/>
    </row>
    <row r="379" spans="1:10" ht="20.100000000000001" customHeight="1" x14ac:dyDescent="0.4">
      <c r="A379" s="351"/>
      <c r="B379" s="353"/>
      <c r="C379" s="353"/>
      <c r="D379" s="353"/>
      <c r="E379" s="576"/>
      <c r="F379" s="84"/>
      <c r="G379" s="84"/>
      <c r="H379" s="570"/>
      <c r="I379" s="572"/>
      <c r="J379" s="52" t="s">
        <v>988</v>
      </c>
    </row>
    <row r="380" spans="1:10" ht="20.100000000000001" customHeight="1" x14ac:dyDescent="0.4">
      <c r="A380" s="350">
        <v>56</v>
      </c>
      <c r="B380" s="352" t="s">
        <v>965</v>
      </c>
      <c r="C380" s="352" t="s">
        <v>964</v>
      </c>
      <c r="D380" s="352" t="s">
        <v>1000</v>
      </c>
      <c r="E380" s="574" t="s">
        <v>963</v>
      </c>
      <c r="F380" s="169" t="s">
        <v>457</v>
      </c>
      <c r="G380" s="169"/>
      <c r="H380" s="569">
        <v>46318</v>
      </c>
      <c r="I380" s="567"/>
    </row>
    <row r="381" spans="1:10" ht="20.100000000000001" customHeight="1" x14ac:dyDescent="0.4">
      <c r="A381" s="577"/>
      <c r="B381" s="573"/>
      <c r="C381" s="573"/>
      <c r="D381" s="573"/>
      <c r="E381" s="575"/>
      <c r="F381" s="166" t="s">
        <v>449</v>
      </c>
      <c r="G381" s="166"/>
      <c r="H381" s="569"/>
      <c r="I381" s="562"/>
    </row>
    <row r="382" spans="1:10" ht="20.100000000000001" customHeight="1" x14ac:dyDescent="0.4">
      <c r="A382" s="577"/>
      <c r="B382" s="573"/>
      <c r="C382" s="573"/>
      <c r="D382" s="573"/>
      <c r="E382" s="575"/>
      <c r="F382" s="166" t="s">
        <v>485</v>
      </c>
      <c r="G382" s="166"/>
      <c r="H382" s="570"/>
      <c r="I382" s="562"/>
    </row>
    <row r="383" spans="1:10" ht="20.100000000000001" customHeight="1" x14ac:dyDescent="0.4">
      <c r="A383" s="577"/>
      <c r="B383" s="573"/>
      <c r="C383" s="573"/>
      <c r="D383" s="573"/>
      <c r="E383" s="575"/>
      <c r="F383" s="166" t="s">
        <v>966</v>
      </c>
      <c r="G383" s="166" t="s">
        <v>971</v>
      </c>
      <c r="H383" s="570"/>
      <c r="I383" s="562"/>
    </row>
    <row r="384" spans="1:10" ht="20.100000000000001" customHeight="1" x14ac:dyDescent="0.4">
      <c r="A384" s="577"/>
      <c r="B384" s="573"/>
      <c r="C384" s="573"/>
      <c r="D384" s="573"/>
      <c r="E384" s="575"/>
      <c r="F384" s="166" t="s">
        <v>458</v>
      </c>
      <c r="G384" s="166"/>
      <c r="H384" s="570"/>
      <c r="I384" s="562"/>
    </row>
    <row r="385" spans="1:10" ht="20.100000000000001" customHeight="1" x14ac:dyDescent="0.4">
      <c r="A385" s="351"/>
      <c r="B385" s="353"/>
      <c r="C385" s="353"/>
      <c r="D385" s="353"/>
      <c r="E385" s="576"/>
      <c r="F385" s="166" t="s">
        <v>940</v>
      </c>
      <c r="G385" s="166"/>
      <c r="H385" s="570"/>
      <c r="I385" s="563"/>
      <c r="J385" s="52" t="s">
        <v>989</v>
      </c>
    </row>
    <row r="386" spans="1:10" ht="20.100000000000001" customHeight="1" x14ac:dyDescent="0.4">
      <c r="A386" s="350">
        <v>57</v>
      </c>
      <c r="B386" s="352" t="s">
        <v>973</v>
      </c>
      <c r="C386" s="352" t="s">
        <v>974</v>
      </c>
      <c r="D386" s="352" t="s">
        <v>999</v>
      </c>
      <c r="E386" s="574" t="s">
        <v>967</v>
      </c>
      <c r="F386" s="169"/>
      <c r="G386" s="169"/>
      <c r="H386" s="569">
        <v>46318</v>
      </c>
      <c r="I386" s="555"/>
    </row>
    <row r="387" spans="1:10" ht="20.100000000000001" customHeight="1" x14ac:dyDescent="0.4">
      <c r="A387" s="577"/>
      <c r="B387" s="573"/>
      <c r="C387" s="573"/>
      <c r="D387" s="573"/>
      <c r="E387" s="575"/>
      <c r="F387" s="166" t="s">
        <v>970</v>
      </c>
      <c r="G387" s="166" t="s">
        <v>972</v>
      </c>
      <c r="H387" s="570"/>
      <c r="I387" s="561"/>
    </row>
    <row r="388" spans="1:10" ht="20.100000000000001" customHeight="1" x14ac:dyDescent="0.4">
      <c r="A388" s="577"/>
      <c r="B388" s="573"/>
      <c r="C388" s="573"/>
      <c r="D388" s="573"/>
      <c r="E388" s="575"/>
      <c r="F388" s="166" t="s">
        <v>968</v>
      </c>
      <c r="G388" s="166"/>
      <c r="H388" s="570"/>
      <c r="I388" s="561"/>
    </row>
    <row r="389" spans="1:10" ht="20.100000000000001" customHeight="1" x14ac:dyDescent="0.4">
      <c r="A389" s="577"/>
      <c r="B389" s="573"/>
      <c r="C389" s="573"/>
      <c r="D389" s="573"/>
      <c r="E389" s="575"/>
      <c r="F389" s="166" t="s">
        <v>969</v>
      </c>
      <c r="G389" s="166"/>
      <c r="H389" s="570"/>
      <c r="I389" s="561"/>
    </row>
    <row r="390" spans="1:10" ht="20.100000000000001" customHeight="1" x14ac:dyDescent="0.4">
      <c r="A390" s="351"/>
      <c r="B390" s="353"/>
      <c r="C390" s="353"/>
      <c r="D390" s="353"/>
      <c r="E390" s="576"/>
      <c r="F390" s="84"/>
      <c r="G390" s="84"/>
      <c r="H390" s="570"/>
      <c r="I390" s="557"/>
      <c r="J390" s="52" t="s">
        <v>990</v>
      </c>
    </row>
    <row r="391" spans="1:10" ht="20.100000000000001" customHeight="1" x14ac:dyDescent="0.4">
      <c r="A391" s="350">
        <v>58</v>
      </c>
      <c r="B391" s="352" t="s">
        <v>977</v>
      </c>
      <c r="C391" s="352" t="s">
        <v>976</v>
      </c>
      <c r="D391" s="352" t="s">
        <v>999</v>
      </c>
      <c r="E391" s="574" t="s">
        <v>975</v>
      </c>
      <c r="F391" s="169"/>
      <c r="G391" s="169"/>
      <c r="H391" s="569">
        <v>46304</v>
      </c>
      <c r="I391" s="596" t="s">
        <v>982</v>
      </c>
    </row>
    <row r="392" spans="1:10" ht="20.100000000000001" customHeight="1" x14ac:dyDescent="0.4">
      <c r="A392" s="577"/>
      <c r="B392" s="573"/>
      <c r="C392" s="573"/>
      <c r="D392" s="573"/>
      <c r="E392" s="575"/>
      <c r="F392" s="166" t="s">
        <v>978</v>
      </c>
      <c r="G392" s="166" t="s">
        <v>993</v>
      </c>
      <c r="H392" s="569"/>
      <c r="I392" s="596"/>
    </row>
    <row r="393" spans="1:10" ht="20.100000000000001" customHeight="1" x14ac:dyDescent="0.4">
      <c r="A393" s="577"/>
      <c r="B393" s="573"/>
      <c r="C393" s="573"/>
      <c r="D393" s="573"/>
      <c r="E393" s="575"/>
      <c r="F393" s="166" t="s">
        <v>979</v>
      </c>
      <c r="G393" s="166" t="s">
        <v>994</v>
      </c>
      <c r="H393" s="570"/>
      <c r="I393" s="597"/>
    </row>
    <row r="394" spans="1:10" ht="20.100000000000001" customHeight="1" x14ac:dyDescent="0.4">
      <c r="A394" s="577"/>
      <c r="B394" s="573"/>
      <c r="C394" s="573"/>
      <c r="D394" s="573"/>
      <c r="E394" s="575"/>
      <c r="F394" s="166" t="s">
        <v>980</v>
      </c>
      <c r="G394" s="166"/>
      <c r="H394" s="570"/>
      <c r="I394" s="597"/>
    </row>
    <row r="395" spans="1:10" ht="20.100000000000001" customHeight="1" x14ac:dyDescent="0.4">
      <c r="A395" s="577"/>
      <c r="B395" s="573"/>
      <c r="C395" s="573"/>
      <c r="D395" s="573"/>
      <c r="E395" s="575"/>
      <c r="F395" s="166" t="s">
        <v>981</v>
      </c>
      <c r="G395" s="166"/>
      <c r="H395" s="570"/>
      <c r="I395" s="597"/>
    </row>
    <row r="396" spans="1:10" ht="20.100000000000001" customHeight="1" x14ac:dyDescent="0.4">
      <c r="A396" s="351"/>
      <c r="B396" s="353"/>
      <c r="C396" s="353"/>
      <c r="D396" s="353"/>
      <c r="E396" s="576"/>
      <c r="F396" s="84"/>
      <c r="G396" s="84"/>
      <c r="H396" s="570"/>
      <c r="I396" s="597"/>
      <c r="J396" s="52" t="s">
        <v>992</v>
      </c>
    </row>
    <row r="397" spans="1:10" ht="20.100000000000001" customHeight="1" x14ac:dyDescent="0.4">
      <c r="A397" s="350">
        <v>59</v>
      </c>
      <c r="B397" s="352" t="s">
        <v>986</v>
      </c>
      <c r="C397" s="352" t="s">
        <v>984</v>
      </c>
      <c r="D397" s="352" t="s">
        <v>999</v>
      </c>
      <c r="E397" s="574" t="s">
        <v>985</v>
      </c>
      <c r="F397" s="169"/>
      <c r="G397" s="169"/>
      <c r="H397" s="569">
        <v>46322</v>
      </c>
      <c r="I397" s="571"/>
    </row>
    <row r="398" spans="1:10" ht="20.100000000000001" customHeight="1" x14ac:dyDescent="0.4">
      <c r="A398" s="577"/>
      <c r="B398" s="573"/>
      <c r="C398" s="573"/>
      <c r="D398" s="573"/>
      <c r="E398" s="575"/>
      <c r="F398" s="166" t="s">
        <v>995</v>
      </c>
      <c r="G398" s="166" t="s">
        <v>1002</v>
      </c>
      <c r="H398" s="570"/>
      <c r="I398" s="572"/>
    </row>
    <row r="399" spans="1:10" ht="20.100000000000001" customHeight="1" x14ac:dyDescent="0.4">
      <c r="A399" s="577"/>
      <c r="B399" s="573"/>
      <c r="C399" s="573"/>
      <c r="D399" s="573"/>
      <c r="E399" s="575"/>
      <c r="F399" s="166" t="s">
        <v>996</v>
      </c>
      <c r="G399" s="166"/>
      <c r="H399" s="570"/>
      <c r="I399" s="572"/>
    </row>
    <row r="400" spans="1:10" ht="20.100000000000001" customHeight="1" x14ac:dyDescent="0.4">
      <c r="A400" s="577"/>
      <c r="B400" s="573"/>
      <c r="C400" s="573"/>
      <c r="D400" s="573"/>
      <c r="E400" s="575"/>
      <c r="F400" s="166" t="s">
        <v>997</v>
      </c>
      <c r="G400" s="166"/>
      <c r="H400" s="570"/>
      <c r="I400" s="572"/>
    </row>
    <row r="401" spans="1:10" ht="20.100000000000001" customHeight="1" x14ac:dyDescent="0.4">
      <c r="A401" s="577"/>
      <c r="B401" s="573"/>
      <c r="C401" s="573"/>
      <c r="D401" s="573"/>
      <c r="E401" s="575"/>
      <c r="F401" s="166" t="s">
        <v>998</v>
      </c>
      <c r="G401" s="166"/>
      <c r="H401" s="570"/>
      <c r="I401" s="572"/>
    </row>
    <row r="402" spans="1:10" ht="20.100000000000001" customHeight="1" x14ac:dyDescent="0.4">
      <c r="A402" s="351"/>
      <c r="B402" s="353"/>
      <c r="C402" s="353"/>
      <c r="D402" s="353"/>
      <c r="E402" s="576"/>
      <c r="F402" s="84"/>
      <c r="G402" s="84"/>
      <c r="H402" s="570"/>
      <c r="I402" s="572"/>
      <c r="J402" s="52" t="s">
        <v>991</v>
      </c>
    </row>
    <row r="403" spans="1:10" ht="20.100000000000001" hidden="1" customHeight="1" outlineLevel="1" x14ac:dyDescent="0.4">
      <c r="A403" s="350">
        <v>60</v>
      </c>
      <c r="B403" s="352"/>
      <c r="C403" s="352"/>
      <c r="D403" s="352"/>
      <c r="E403" s="574"/>
      <c r="F403" s="169"/>
      <c r="G403" s="169"/>
      <c r="H403" s="569"/>
      <c r="I403" s="571"/>
    </row>
    <row r="404" spans="1:10" ht="20.100000000000001" hidden="1" customHeight="1" outlineLevel="1" x14ac:dyDescent="0.4">
      <c r="A404" s="577"/>
      <c r="B404" s="573"/>
      <c r="C404" s="573"/>
      <c r="D404" s="573"/>
      <c r="E404" s="575"/>
      <c r="F404" s="166"/>
      <c r="G404" s="166"/>
      <c r="H404" s="570"/>
      <c r="I404" s="572"/>
    </row>
    <row r="405" spans="1:10" ht="20.100000000000001" hidden="1" customHeight="1" outlineLevel="1" x14ac:dyDescent="0.4">
      <c r="A405" s="577"/>
      <c r="B405" s="573"/>
      <c r="C405" s="573"/>
      <c r="D405" s="573"/>
      <c r="E405" s="575"/>
      <c r="F405" s="166"/>
      <c r="G405" s="166"/>
      <c r="H405" s="570"/>
      <c r="I405" s="572"/>
    </row>
    <row r="406" spans="1:10" ht="20.100000000000001" hidden="1" customHeight="1" outlineLevel="1" x14ac:dyDescent="0.4">
      <c r="A406" s="577"/>
      <c r="B406" s="573"/>
      <c r="C406" s="573"/>
      <c r="D406" s="573"/>
      <c r="E406" s="575"/>
      <c r="F406" s="166"/>
      <c r="G406" s="166"/>
      <c r="H406" s="570"/>
      <c r="I406" s="572"/>
    </row>
    <row r="407" spans="1:10" ht="20.100000000000001" hidden="1" customHeight="1" outlineLevel="1" x14ac:dyDescent="0.4">
      <c r="A407" s="351"/>
      <c r="B407" s="353"/>
      <c r="C407" s="353"/>
      <c r="D407" s="353"/>
      <c r="E407" s="576"/>
      <c r="F407" s="84"/>
      <c r="G407" s="84"/>
      <c r="H407" s="570"/>
      <c r="I407" s="572"/>
    </row>
    <row r="408" spans="1:10" ht="20.100000000000001" hidden="1" customHeight="1" outlineLevel="1" x14ac:dyDescent="0.4">
      <c r="A408" s="350">
        <v>61</v>
      </c>
      <c r="B408" s="352"/>
      <c r="C408" s="352"/>
      <c r="D408" s="352"/>
      <c r="E408" s="574"/>
      <c r="F408" s="169"/>
      <c r="G408" s="169"/>
      <c r="H408" s="569"/>
      <c r="I408" s="571"/>
    </row>
    <row r="409" spans="1:10" ht="20.100000000000001" hidden="1" customHeight="1" outlineLevel="1" x14ac:dyDescent="0.4">
      <c r="A409" s="577"/>
      <c r="B409" s="573"/>
      <c r="C409" s="573"/>
      <c r="D409" s="573"/>
      <c r="E409" s="575"/>
      <c r="F409" s="166"/>
      <c r="G409" s="166"/>
      <c r="H409" s="570"/>
      <c r="I409" s="572"/>
    </row>
    <row r="410" spans="1:10" ht="20.100000000000001" hidden="1" customHeight="1" outlineLevel="1" x14ac:dyDescent="0.4">
      <c r="A410" s="577"/>
      <c r="B410" s="573"/>
      <c r="C410" s="573"/>
      <c r="D410" s="573"/>
      <c r="E410" s="575"/>
      <c r="F410" s="166"/>
      <c r="G410" s="166"/>
      <c r="H410" s="570"/>
      <c r="I410" s="572"/>
    </row>
    <row r="411" spans="1:10" ht="20.100000000000001" hidden="1" customHeight="1" outlineLevel="1" x14ac:dyDescent="0.4">
      <c r="A411" s="577"/>
      <c r="B411" s="573"/>
      <c r="C411" s="573"/>
      <c r="D411" s="573"/>
      <c r="E411" s="575"/>
      <c r="F411" s="166"/>
      <c r="G411" s="166"/>
      <c r="H411" s="570"/>
      <c r="I411" s="572"/>
    </row>
    <row r="412" spans="1:10" ht="20.100000000000001" hidden="1" customHeight="1" outlineLevel="1" x14ac:dyDescent="0.4">
      <c r="A412" s="351"/>
      <c r="B412" s="353"/>
      <c r="C412" s="353"/>
      <c r="D412" s="353"/>
      <c r="E412" s="576"/>
      <c r="F412" s="84"/>
      <c r="G412" s="84"/>
      <c r="H412" s="570"/>
      <c r="I412" s="572"/>
    </row>
    <row r="413" spans="1:10" ht="20.100000000000001" hidden="1" customHeight="1" outlineLevel="1" x14ac:dyDescent="0.4">
      <c r="A413" s="350">
        <v>62</v>
      </c>
      <c r="B413" s="352"/>
      <c r="C413" s="352"/>
      <c r="D413" s="352"/>
      <c r="E413" s="574"/>
      <c r="F413" s="169"/>
      <c r="G413" s="169"/>
      <c r="H413" s="569"/>
      <c r="I413" s="571"/>
    </row>
    <row r="414" spans="1:10" ht="20.100000000000001" hidden="1" customHeight="1" outlineLevel="1" x14ac:dyDescent="0.4">
      <c r="A414" s="577"/>
      <c r="B414" s="573"/>
      <c r="C414" s="573"/>
      <c r="D414" s="573"/>
      <c r="E414" s="575"/>
      <c r="F414" s="166"/>
      <c r="G414" s="166"/>
      <c r="H414" s="570"/>
      <c r="I414" s="572"/>
    </row>
    <row r="415" spans="1:10" ht="20.100000000000001" hidden="1" customHeight="1" outlineLevel="1" x14ac:dyDescent="0.4">
      <c r="A415" s="577"/>
      <c r="B415" s="573"/>
      <c r="C415" s="573"/>
      <c r="D415" s="573"/>
      <c r="E415" s="575"/>
      <c r="F415" s="166"/>
      <c r="G415" s="166"/>
      <c r="H415" s="570"/>
      <c r="I415" s="572"/>
    </row>
    <row r="416" spans="1:10" ht="20.100000000000001" hidden="1" customHeight="1" outlineLevel="1" x14ac:dyDescent="0.4">
      <c r="A416" s="577"/>
      <c r="B416" s="573"/>
      <c r="C416" s="573"/>
      <c r="D416" s="573"/>
      <c r="E416" s="575"/>
      <c r="F416" s="166"/>
      <c r="G416" s="166"/>
      <c r="H416" s="570"/>
      <c r="I416" s="572"/>
    </row>
    <row r="417" spans="1:9" ht="20.100000000000001" hidden="1" customHeight="1" outlineLevel="1" x14ac:dyDescent="0.4">
      <c r="A417" s="351"/>
      <c r="B417" s="353"/>
      <c r="C417" s="353"/>
      <c r="D417" s="353"/>
      <c r="E417" s="576"/>
      <c r="F417" s="84"/>
      <c r="G417" s="84"/>
      <c r="H417" s="570"/>
      <c r="I417" s="572"/>
    </row>
    <row r="418" spans="1:9" ht="20.100000000000001" hidden="1" customHeight="1" outlineLevel="1" x14ac:dyDescent="0.4">
      <c r="A418" s="350">
        <v>63</v>
      </c>
      <c r="B418" s="352"/>
      <c r="C418" s="352"/>
      <c r="D418" s="352"/>
      <c r="E418" s="574"/>
      <c r="F418" s="169"/>
      <c r="G418" s="169"/>
      <c r="H418" s="569"/>
      <c r="I418" s="571"/>
    </row>
    <row r="419" spans="1:9" ht="20.100000000000001" hidden="1" customHeight="1" outlineLevel="1" x14ac:dyDescent="0.4">
      <c r="A419" s="577"/>
      <c r="B419" s="573"/>
      <c r="C419" s="573"/>
      <c r="D419" s="573"/>
      <c r="E419" s="575"/>
      <c r="F419" s="166"/>
      <c r="G419" s="166"/>
      <c r="H419" s="570"/>
      <c r="I419" s="572"/>
    </row>
    <row r="420" spans="1:9" ht="20.100000000000001" hidden="1" customHeight="1" outlineLevel="1" x14ac:dyDescent="0.4">
      <c r="A420" s="577"/>
      <c r="B420" s="573"/>
      <c r="C420" s="573"/>
      <c r="D420" s="573"/>
      <c r="E420" s="575"/>
      <c r="F420" s="166"/>
      <c r="G420" s="166"/>
      <c r="H420" s="570"/>
      <c r="I420" s="572"/>
    </row>
    <row r="421" spans="1:9" ht="20.100000000000001" hidden="1" customHeight="1" outlineLevel="1" x14ac:dyDescent="0.4">
      <c r="A421" s="577"/>
      <c r="B421" s="573"/>
      <c r="C421" s="573"/>
      <c r="D421" s="573"/>
      <c r="E421" s="575"/>
      <c r="F421" s="166"/>
      <c r="G421" s="166"/>
      <c r="H421" s="570"/>
      <c r="I421" s="572"/>
    </row>
    <row r="422" spans="1:9" ht="20.100000000000001" hidden="1" customHeight="1" outlineLevel="1" x14ac:dyDescent="0.4">
      <c r="A422" s="351"/>
      <c r="B422" s="353"/>
      <c r="C422" s="353"/>
      <c r="D422" s="353"/>
      <c r="E422" s="576"/>
      <c r="F422" s="84"/>
      <c r="G422" s="84"/>
      <c r="H422" s="570"/>
      <c r="I422" s="572"/>
    </row>
    <row r="423" spans="1:9" ht="20.100000000000001" hidden="1" customHeight="1" outlineLevel="1" x14ac:dyDescent="0.4">
      <c r="A423" s="350">
        <v>64</v>
      </c>
      <c r="B423" s="352"/>
      <c r="C423" s="352"/>
      <c r="D423" s="352"/>
      <c r="E423" s="574"/>
      <c r="F423" s="169"/>
      <c r="G423" s="169"/>
      <c r="H423" s="569"/>
      <c r="I423" s="571"/>
    </row>
    <row r="424" spans="1:9" ht="20.100000000000001" hidden="1" customHeight="1" outlineLevel="1" x14ac:dyDescent="0.4">
      <c r="A424" s="577"/>
      <c r="B424" s="573"/>
      <c r="C424" s="573"/>
      <c r="D424" s="573"/>
      <c r="E424" s="575"/>
      <c r="F424" s="166"/>
      <c r="G424" s="166"/>
      <c r="H424" s="570"/>
      <c r="I424" s="572"/>
    </row>
    <row r="425" spans="1:9" ht="20.100000000000001" hidden="1" customHeight="1" outlineLevel="1" x14ac:dyDescent="0.4">
      <c r="A425" s="577"/>
      <c r="B425" s="573"/>
      <c r="C425" s="573"/>
      <c r="D425" s="573"/>
      <c r="E425" s="575"/>
      <c r="F425" s="166"/>
      <c r="G425" s="166"/>
      <c r="H425" s="570"/>
      <c r="I425" s="572"/>
    </row>
    <row r="426" spans="1:9" ht="20.100000000000001" hidden="1" customHeight="1" outlineLevel="1" x14ac:dyDescent="0.4">
      <c r="A426" s="577"/>
      <c r="B426" s="573"/>
      <c r="C426" s="573"/>
      <c r="D426" s="573"/>
      <c r="E426" s="575"/>
      <c r="F426" s="166"/>
      <c r="G426" s="166"/>
      <c r="H426" s="570"/>
      <c r="I426" s="572"/>
    </row>
    <row r="427" spans="1:9" ht="20.100000000000001" hidden="1" customHeight="1" outlineLevel="1" x14ac:dyDescent="0.4">
      <c r="A427" s="351"/>
      <c r="B427" s="353"/>
      <c r="C427" s="353"/>
      <c r="D427" s="353"/>
      <c r="E427" s="576"/>
      <c r="F427" s="84"/>
      <c r="G427" s="84"/>
      <c r="H427" s="570"/>
      <c r="I427" s="572"/>
    </row>
    <row r="428" spans="1:9" ht="20.100000000000001" hidden="1" customHeight="1" outlineLevel="1" x14ac:dyDescent="0.4">
      <c r="A428" s="350">
        <v>65</v>
      </c>
      <c r="B428" s="352"/>
      <c r="C428" s="352"/>
      <c r="D428" s="352"/>
      <c r="E428" s="574"/>
      <c r="F428" s="169"/>
      <c r="G428" s="169"/>
      <c r="H428" s="569"/>
      <c r="I428" s="571"/>
    </row>
    <row r="429" spans="1:9" ht="20.100000000000001" hidden="1" customHeight="1" outlineLevel="1" x14ac:dyDescent="0.4">
      <c r="A429" s="577"/>
      <c r="B429" s="573"/>
      <c r="C429" s="573"/>
      <c r="D429" s="573"/>
      <c r="E429" s="575"/>
      <c r="F429" s="166"/>
      <c r="G429" s="166"/>
      <c r="H429" s="570"/>
      <c r="I429" s="572"/>
    </row>
    <row r="430" spans="1:9" ht="20.100000000000001" hidden="1" customHeight="1" outlineLevel="1" x14ac:dyDescent="0.4">
      <c r="A430" s="577"/>
      <c r="B430" s="573"/>
      <c r="C430" s="573"/>
      <c r="D430" s="573"/>
      <c r="E430" s="575"/>
      <c r="F430" s="166"/>
      <c r="G430" s="166"/>
      <c r="H430" s="570"/>
      <c r="I430" s="572"/>
    </row>
    <row r="431" spans="1:9" ht="20.100000000000001" hidden="1" customHeight="1" outlineLevel="1" x14ac:dyDescent="0.4">
      <c r="A431" s="577"/>
      <c r="B431" s="573"/>
      <c r="C431" s="573"/>
      <c r="D431" s="573"/>
      <c r="E431" s="575"/>
      <c r="F431" s="166"/>
      <c r="G431" s="166"/>
      <c r="H431" s="570"/>
      <c r="I431" s="572"/>
    </row>
    <row r="432" spans="1:9" ht="20.100000000000001" hidden="1" customHeight="1" outlineLevel="1" x14ac:dyDescent="0.4">
      <c r="A432" s="351"/>
      <c r="B432" s="353"/>
      <c r="C432" s="353"/>
      <c r="D432" s="353"/>
      <c r="E432" s="576"/>
      <c r="F432" s="84"/>
      <c r="G432" s="84"/>
      <c r="H432" s="570"/>
      <c r="I432" s="572"/>
    </row>
    <row r="433" spans="1:9" ht="20.100000000000001" hidden="1" customHeight="1" outlineLevel="1" x14ac:dyDescent="0.4">
      <c r="A433" s="350">
        <v>66</v>
      </c>
      <c r="B433" s="352"/>
      <c r="C433" s="352"/>
      <c r="D433" s="352"/>
      <c r="E433" s="574"/>
      <c r="F433" s="169"/>
      <c r="G433" s="169"/>
      <c r="H433" s="569"/>
      <c r="I433" s="567"/>
    </row>
    <row r="434" spans="1:9" ht="20.100000000000001" hidden="1" customHeight="1" outlineLevel="1" x14ac:dyDescent="0.4">
      <c r="A434" s="577"/>
      <c r="B434" s="573"/>
      <c r="C434" s="573"/>
      <c r="D434" s="573"/>
      <c r="E434" s="575"/>
      <c r="F434" s="166"/>
      <c r="G434" s="166"/>
      <c r="H434" s="569"/>
      <c r="I434" s="562"/>
    </row>
    <row r="435" spans="1:9" ht="20.100000000000001" hidden="1" customHeight="1" outlineLevel="1" x14ac:dyDescent="0.4">
      <c r="A435" s="577"/>
      <c r="B435" s="573"/>
      <c r="C435" s="573"/>
      <c r="D435" s="573"/>
      <c r="E435" s="575"/>
      <c r="F435" s="166"/>
      <c r="G435" s="166"/>
      <c r="H435" s="570"/>
      <c r="I435" s="562"/>
    </row>
    <row r="436" spans="1:9" ht="20.100000000000001" hidden="1" customHeight="1" outlineLevel="1" x14ac:dyDescent="0.4">
      <c r="A436" s="577"/>
      <c r="B436" s="573"/>
      <c r="C436" s="573"/>
      <c r="D436" s="573"/>
      <c r="E436" s="575"/>
      <c r="F436" s="166"/>
      <c r="G436" s="166"/>
      <c r="H436" s="570"/>
      <c r="I436" s="562"/>
    </row>
    <row r="437" spans="1:9" ht="20.100000000000001" hidden="1" customHeight="1" outlineLevel="1" x14ac:dyDescent="0.4">
      <c r="A437" s="577"/>
      <c r="B437" s="573"/>
      <c r="C437" s="573"/>
      <c r="D437" s="573"/>
      <c r="E437" s="575"/>
      <c r="F437" s="166"/>
      <c r="G437" s="166"/>
      <c r="H437" s="570"/>
      <c r="I437" s="562"/>
    </row>
    <row r="438" spans="1:9" ht="20.100000000000001" hidden="1" customHeight="1" outlineLevel="1" x14ac:dyDescent="0.4">
      <c r="A438" s="351"/>
      <c r="B438" s="353"/>
      <c r="C438" s="353"/>
      <c r="D438" s="353"/>
      <c r="E438" s="576"/>
      <c r="F438" s="166"/>
      <c r="G438" s="166"/>
      <c r="H438" s="570"/>
      <c r="I438" s="563"/>
    </row>
    <row r="439" spans="1:9" ht="20.100000000000001" hidden="1" customHeight="1" outlineLevel="1" x14ac:dyDescent="0.4">
      <c r="A439" s="350">
        <v>67</v>
      </c>
      <c r="B439" s="352"/>
      <c r="C439" s="352"/>
      <c r="D439" s="352"/>
      <c r="E439" s="574"/>
      <c r="F439" s="169"/>
      <c r="G439" s="169"/>
      <c r="H439" s="569"/>
      <c r="I439" s="555"/>
    </row>
    <row r="440" spans="1:9" ht="20.100000000000001" hidden="1" customHeight="1" outlineLevel="1" x14ac:dyDescent="0.4">
      <c r="A440" s="577"/>
      <c r="B440" s="573"/>
      <c r="C440" s="573"/>
      <c r="D440" s="573"/>
      <c r="E440" s="575"/>
      <c r="F440" s="166"/>
      <c r="G440" s="166"/>
      <c r="H440" s="570"/>
      <c r="I440" s="561"/>
    </row>
    <row r="441" spans="1:9" ht="20.100000000000001" hidden="1" customHeight="1" outlineLevel="1" x14ac:dyDescent="0.4">
      <c r="A441" s="577"/>
      <c r="B441" s="573"/>
      <c r="C441" s="573"/>
      <c r="D441" s="573"/>
      <c r="E441" s="575"/>
      <c r="F441" s="166"/>
      <c r="G441" s="166"/>
      <c r="H441" s="570"/>
      <c r="I441" s="561"/>
    </row>
    <row r="442" spans="1:9" ht="20.100000000000001" hidden="1" customHeight="1" outlineLevel="1" x14ac:dyDescent="0.4">
      <c r="A442" s="351"/>
      <c r="B442" s="353"/>
      <c r="C442" s="353"/>
      <c r="D442" s="353"/>
      <c r="E442" s="576"/>
      <c r="F442" s="84"/>
      <c r="G442" s="84"/>
      <c r="H442" s="570"/>
      <c r="I442" s="557"/>
    </row>
    <row r="443" spans="1:9" ht="20.100000000000001" hidden="1" customHeight="1" outlineLevel="1" x14ac:dyDescent="0.4">
      <c r="A443" s="350">
        <v>68</v>
      </c>
      <c r="B443" s="352"/>
      <c r="C443" s="352"/>
      <c r="D443" s="352"/>
      <c r="E443" s="574"/>
      <c r="F443" s="169"/>
      <c r="G443" s="169"/>
      <c r="H443" s="569"/>
      <c r="I443" s="571"/>
    </row>
    <row r="444" spans="1:9" ht="20.100000000000001" hidden="1" customHeight="1" outlineLevel="1" x14ac:dyDescent="0.4">
      <c r="A444" s="577"/>
      <c r="B444" s="573"/>
      <c r="C444" s="573"/>
      <c r="D444" s="573"/>
      <c r="E444" s="575"/>
      <c r="F444" s="166"/>
      <c r="G444" s="166"/>
      <c r="H444" s="570"/>
      <c r="I444" s="572"/>
    </row>
    <row r="445" spans="1:9" ht="20.100000000000001" hidden="1" customHeight="1" outlineLevel="1" x14ac:dyDescent="0.4">
      <c r="A445" s="577"/>
      <c r="B445" s="573"/>
      <c r="C445" s="573"/>
      <c r="D445" s="573"/>
      <c r="E445" s="575"/>
      <c r="F445" s="166"/>
      <c r="G445" s="166"/>
      <c r="H445" s="570"/>
      <c r="I445" s="572"/>
    </row>
    <row r="446" spans="1:9" ht="20.100000000000001" hidden="1" customHeight="1" outlineLevel="1" x14ac:dyDescent="0.4">
      <c r="A446" s="577"/>
      <c r="B446" s="573"/>
      <c r="C446" s="573"/>
      <c r="D446" s="573"/>
      <c r="E446" s="575"/>
      <c r="F446" s="166"/>
      <c r="G446" s="166"/>
      <c r="H446" s="570"/>
      <c r="I446" s="572"/>
    </row>
    <row r="447" spans="1:9" ht="20.100000000000001" hidden="1" customHeight="1" outlineLevel="1" x14ac:dyDescent="0.4">
      <c r="A447" s="351"/>
      <c r="B447" s="353"/>
      <c r="C447" s="353"/>
      <c r="D447" s="353"/>
      <c r="E447" s="576"/>
      <c r="F447" s="84"/>
      <c r="G447" s="84"/>
      <c r="H447" s="570"/>
      <c r="I447" s="572"/>
    </row>
    <row r="448" spans="1:9" ht="20.100000000000001" hidden="1" customHeight="1" outlineLevel="1" x14ac:dyDescent="0.4">
      <c r="A448" s="350">
        <v>69</v>
      </c>
      <c r="B448" s="352"/>
      <c r="C448" s="352"/>
      <c r="D448" s="352"/>
      <c r="E448" s="574"/>
      <c r="F448" s="169"/>
      <c r="G448" s="169"/>
      <c r="H448" s="569"/>
      <c r="I448" s="571"/>
    </row>
    <row r="449" spans="1:9" ht="20.100000000000001" hidden="1" customHeight="1" outlineLevel="1" x14ac:dyDescent="0.4">
      <c r="A449" s="577"/>
      <c r="B449" s="573"/>
      <c r="C449" s="573"/>
      <c r="D449" s="573"/>
      <c r="E449" s="575"/>
      <c r="F449" s="166"/>
      <c r="G449" s="166"/>
      <c r="H449" s="570"/>
      <c r="I449" s="572"/>
    </row>
    <row r="450" spans="1:9" ht="20.100000000000001" hidden="1" customHeight="1" outlineLevel="1" x14ac:dyDescent="0.4">
      <c r="A450" s="577"/>
      <c r="B450" s="573"/>
      <c r="C450" s="573"/>
      <c r="D450" s="573"/>
      <c r="E450" s="575"/>
      <c r="F450" s="166"/>
      <c r="G450" s="166"/>
      <c r="H450" s="570"/>
      <c r="I450" s="572"/>
    </row>
    <row r="451" spans="1:9" ht="20.100000000000001" hidden="1" customHeight="1" outlineLevel="1" x14ac:dyDescent="0.4">
      <c r="A451" s="577"/>
      <c r="B451" s="573"/>
      <c r="C451" s="573"/>
      <c r="D451" s="573"/>
      <c r="E451" s="575"/>
      <c r="F451" s="166"/>
      <c r="G451" s="166"/>
      <c r="H451" s="570"/>
      <c r="I451" s="572"/>
    </row>
    <row r="452" spans="1:9" ht="20.100000000000001" hidden="1" customHeight="1" outlineLevel="1" x14ac:dyDescent="0.4">
      <c r="A452" s="351"/>
      <c r="B452" s="353"/>
      <c r="C452" s="353"/>
      <c r="D452" s="353"/>
      <c r="E452" s="576"/>
      <c r="F452" s="84"/>
      <c r="G452" s="84"/>
      <c r="H452" s="570"/>
      <c r="I452" s="572"/>
    </row>
    <row r="453" spans="1:9" ht="20.100000000000001" hidden="1" customHeight="1" outlineLevel="1" x14ac:dyDescent="0.4">
      <c r="A453" s="350">
        <v>70</v>
      </c>
      <c r="B453" s="352"/>
      <c r="C453" s="352"/>
      <c r="D453" s="352"/>
      <c r="E453" s="574"/>
      <c r="F453" s="169"/>
      <c r="G453" s="169"/>
      <c r="H453" s="569"/>
      <c r="I453" s="571"/>
    </row>
    <row r="454" spans="1:9" ht="20.100000000000001" hidden="1" customHeight="1" outlineLevel="1" x14ac:dyDescent="0.4">
      <c r="A454" s="577"/>
      <c r="B454" s="573"/>
      <c r="C454" s="573"/>
      <c r="D454" s="573"/>
      <c r="E454" s="575"/>
      <c r="F454" s="166"/>
      <c r="G454" s="166"/>
      <c r="H454" s="570"/>
      <c r="I454" s="572"/>
    </row>
    <row r="455" spans="1:9" ht="20.100000000000001" hidden="1" customHeight="1" outlineLevel="1" x14ac:dyDescent="0.4">
      <c r="A455" s="577"/>
      <c r="B455" s="573"/>
      <c r="C455" s="573"/>
      <c r="D455" s="573"/>
      <c r="E455" s="575"/>
      <c r="F455" s="166"/>
      <c r="G455" s="166"/>
      <c r="H455" s="570"/>
      <c r="I455" s="572"/>
    </row>
    <row r="456" spans="1:9" ht="20.100000000000001" hidden="1" customHeight="1" outlineLevel="1" x14ac:dyDescent="0.4">
      <c r="A456" s="577"/>
      <c r="B456" s="573"/>
      <c r="C456" s="573"/>
      <c r="D456" s="573"/>
      <c r="E456" s="575"/>
      <c r="F456" s="166"/>
      <c r="G456" s="166"/>
      <c r="H456" s="570"/>
      <c r="I456" s="572"/>
    </row>
    <row r="457" spans="1:9" ht="20.100000000000001" hidden="1" customHeight="1" outlineLevel="1" x14ac:dyDescent="0.4">
      <c r="A457" s="351"/>
      <c r="B457" s="353"/>
      <c r="C457" s="353"/>
      <c r="D457" s="353"/>
      <c r="E457" s="576"/>
      <c r="F457" s="84"/>
      <c r="G457" s="84"/>
      <c r="H457" s="570"/>
      <c r="I457" s="572"/>
    </row>
    <row r="458" spans="1:9" ht="20.100000000000001" customHeight="1" collapsed="1" x14ac:dyDescent="0.4"/>
  </sheetData>
  <autoFilter ref="A4:J457" xr:uid="{00000000-0001-0000-0300-000000000000}"/>
  <mergeCells count="519">
    <mergeCell ref="C433:C438"/>
    <mergeCell ref="D433:D438"/>
    <mergeCell ref="E433:E438"/>
    <mergeCell ref="H433:H438"/>
    <mergeCell ref="A413:A417"/>
    <mergeCell ref="B413:B417"/>
    <mergeCell ref="C413:C417"/>
    <mergeCell ref="D413:D417"/>
    <mergeCell ref="E413:E417"/>
    <mergeCell ref="H413:H417"/>
    <mergeCell ref="I453:I457"/>
    <mergeCell ref="A443:A447"/>
    <mergeCell ref="B443:B447"/>
    <mergeCell ref="C443:C447"/>
    <mergeCell ref="D443:D447"/>
    <mergeCell ref="E443:E447"/>
    <mergeCell ref="H443:H447"/>
    <mergeCell ref="I443:I447"/>
    <mergeCell ref="A448:A452"/>
    <mergeCell ref="B448:B452"/>
    <mergeCell ref="C448:C452"/>
    <mergeCell ref="D448:D452"/>
    <mergeCell ref="E448:E452"/>
    <mergeCell ref="H448:H452"/>
    <mergeCell ref="I448:I452"/>
    <mergeCell ref="A453:A457"/>
    <mergeCell ref="B453:B457"/>
    <mergeCell ref="C453:C457"/>
    <mergeCell ref="D453:D457"/>
    <mergeCell ref="E453:E457"/>
    <mergeCell ref="H453:H457"/>
    <mergeCell ref="I433:I438"/>
    <mergeCell ref="A439:A442"/>
    <mergeCell ref="B439:B442"/>
    <mergeCell ref="C439:C442"/>
    <mergeCell ref="D439:D442"/>
    <mergeCell ref="E439:E442"/>
    <mergeCell ref="H439:H442"/>
    <mergeCell ref="I439:I442"/>
    <mergeCell ref="A423:A427"/>
    <mergeCell ref="B423:B427"/>
    <mergeCell ref="C423:C427"/>
    <mergeCell ref="D423:D427"/>
    <mergeCell ref="E423:E427"/>
    <mergeCell ref="H423:H427"/>
    <mergeCell ref="I423:I427"/>
    <mergeCell ref="A428:A432"/>
    <mergeCell ref="B428:B432"/>
    <mergeCell ref="C428:C432"/>
    <mergeCell ref="D428:D432"/>
    <mergeCell ref="E428:E432"/>
    <mergeCell ref="H428:H432"/>
    <mergeCell ref="I428:I432"/>
    <mergeCell ref="A433:A438"/>
    <mergeCell ref="B433:B438"/>
    <mergeCell ref="I413:I417"/>
    <mergeCell ref="A418:A422"/>
    <mergeCell ref="B418:B422"/>
    <mergeCell ref="C418:C422"/>
    <mergeCell ref="D418:D422"/>
    <mergeCell ref="E418:E422"/>
    <mergeCell ref="H418:H422"/>
    <mergeCell ref="I418:I422"/>
    <mergeCell ref="A403:A407"/>
    <mergeCell ref="B403:B407"/>
    <mergeCell ref="C403:C407"/>
    <mergeCell ref="D403:D407"/>
    <mergeCell ref="E403:E407"/>
    <mergeCell ref="H403:H407"/>
    <mergeCell ref="I403:I407"/>
    <mergeCell ref="A408:A412"/>
    <mergeCell ref="B408:B412"/>
    <mergeCell ref="C408:C412"/>
    <mergeCell ref="D408:D412"/>
    <mergeCell ref="E408:E412"/>
    <mergeCell ref="H408:H412"/>
    <mergeCell ref="I408:I412"/>
    <mergeCell ref="H391:H396"/>
    <mergeCell ref="I391:I396"/>
    <mergeCell ref="A397:A402"/>
    <mergeCell ref="B397:B402"/>
    <mergeCell ref="C397:C402"/>
    <mergeCell ref="D397:D402"/>
    <mergeCell ref="E397:E402"/>
    <mergeCell ref="H397:H402"/>
    <mergeCell ref="I397:I402"/>
    <mergeCell ref="A391:A396"/>
    <mergeCell ref="B391:B396"/>
    <mergeCell ref="C391:C396"/>
    <mergeCell ref="D391:D396"/>
    <mergeCell ref="E391:E396"/>
    <mergeCell ref="A380:A385"/>
    <mergeCell ref="B380:B385"/>
    <mergeCell ref="C380:C385"/>
    <mergeCell ref="D380:D385"/>
    <mergeCell ref="E380:E385"/>
    <mergeCell ref="H380:H385"/>
    <mergeCell ref="I380:I385"/>
    <mergeCell ref="A386:A390"/>
    <mergeCell ref="B386:B390"/>
    <mergeCell ref="C386:C390"/>
    <mergeCell ref="D386:D390"/>
    <mergeCell ref="E386:E390"/>
    <mergeCell ref="H386:H390"/>
    <mergeCell ref="I386:I390"/>
    <mergeCell ref="A370:A374"/>
    <mergeCell ref="B370:B374"/>
    <mergeCell ref="C370:C374"/>
    <mergeCell ref="D370:D374"/>
    <mergeCell ref="E370:E374"/>
    <mergeCell ref="H370:H374"/>
    <mergeCell ref="I370:I374"/>
    <mergeCell ref="A375:A379"/>
    <mergeCell ref="B375:B379"/>
    <mergeCell ref="C375:C379"/>
    <mergeCell ref="D375:D379"/>
    <mergeCell ref="E375:E379"/>
    <mergeCell ref="H375:H379"/>
    <mergeCell ref="I375:I379"/>
    <mergeCell ref="A362:A366"/>
    <mergeCell ref="B362:B366"/>
    <mergeCell ref="C362:C366"/>
    <mergeCell ref="D362:D366"/>
    <mergeCell ref="E362:E366"/>
    <mergeCell ref="H362:H366"/>
    <mergeCell ref="I362:I366"/>
    <mergeCell ref="A367:A369"/>
    <mergeCell ref="B367:B369"/>
    <mergeCell ref="C367:C369"/>
    <mergeCell ref="D367:D369"/>
    <mergeCell ref="E367:E369"/>
    <mergeCell ref="H367:H369"/>
    <mergeCell ref="I367:I369"/>
    <mergeCell ref="A351:A356"/>
    <mergeCell ref="B351:B356"/>
    <mergeCell ref="C351:C356"/>
    <mergeCell ref="D351:D356"/>
    <mergeCell ref="E351:E356"/>
    <mergeCell ref="H351:H356"/>
    <mergeCell ref="I351:I356"/>
    <mergeCell ref="A357:A361"/>
    <mergeCell ref="B357:B361"/>
    <mergeCell ref="C357:C361"/>
    <mergeCell ref="D357:D361"/>
    <mergeCell ref="E357:E361"/>
    <mergeCell ref="H357:H361"/>
    <mergeCell ref="I357:I361"/>
    <mergeCell ref="A339:A344"/>
    <mergeCell ref="B339:B344"/>
    <mergeCell ref="C339:C344"/>
    <mergeCell ref="D339:D344"/>
    <mergeCell ref="E339:E344"/>
    <mergeCell ref="H339:H344"/>
    <mergeCell ref="I339:I344"/>
    <mergeCell ref="A345:A350"/>
    <mergeCell ref="B345:B350"/>
    <mergeCell ref="C345:C350"/>
    <mergeCell ref="D345:D350"/>
    <mergeCell ref="E345:E350"/>
    <mergeCell ref="H345:H350"/>
    <mergeCell ref="I345:I350"/>
    <mergeCell ref="A330:A334"/>
    <mergeCell ref="B330:B334"/>
    <mergeCell ref="C330:C334"/>
    <mergeCell ref="D330:D334"/>
    <mergeCell ref="E330:E334"/>
    <mergeCell ref="H330:H334"/>
    <mergeCell ref="I330:I334"/>
    <mergeCell ref="A335:A338"/>
    <mergeCell ref="B335:B338"/>
    <mergeCell ref="C335:C338"/>
    <mergeCell ref="D335:D338"/>
    <mergeCell ref="E335:E338"/>
    <mergeCell ref="H335:H338"/>
    <mergeCell ref="I335:I338"/>
    <mergeCell ref="A320:A323"/>
    <mergeCell ref="B320:B323"/>
    <mergeCell ref="C320:C323"/>
    <mergeCell ref="D320:D323"/>
    <mergeCell ref="E320:E323"/>
    <mergeCell ref="H320:H323"/>
    <mergeCell ref="I320:I323"/>
    <mergeCell ref="A324:A329"/>
    <mergeCell ref="B324:B329"/>
    <mergeCell ref="C324:C329"/>
    <mergeCell ref="D324:D329"/>
    <mergeCell ref="E324:E329"/>
    <mergeCell ref="H324:H329"/>
    <mergeCell ref="I324:I329"/>
    <mergeCell ref="A310:A315"/>
    <mergeCell ref="B310:B315"/>
    <mergeCell ref="C310:C315"/>
    <mergeCell ref="D310:D315"/>
    <mergeCell ref="E310:E315"/>
    <mergeCell ref="H310:H315"/>
    <mergeCell ref="I310:I315"/>
    <mergeCell ref="A316:A319"/>
    <mergeCell ref="B316:B319"/>
    <mergeCell ref="C316:C319"/>
    <mergeCell ref="D316:D319"/>
    <mergeCell ref="E316:E319"/>
    <mergeCell ref="H316:H319"/>
    <mergeCell ref="I316:I319"/>
    <mergeCell ref="A301:A305"/>
    <mergeCell ref="B301:B305"/>
    <mergeCell ref="C301:C305"/>
    <mergeCell ref="D301:D305"/>
    <mergeCell ref="E301:E305"/>
    <mergeCell ref="H301:H305"/>
    <mergeCell ref="I301:I305"/>
    <mergeCell ref="A306:A309"/>
    <mergeCell ref="B306:B309"/>
    <mergeCell ref="C306:C309"/>
    <mergeCell ref="D306:D309"/>
    <mergeCell ref="E306:E309"/>
    <mergeCell ref="H306:H309"/>
    <mergeCell ref="I306:I309"/>
    <mergeCell ref="A286:A293"/>
    <mergeCell ref="B286:B293"/>
    <mergeCell ref="C286:C293"/>
    <mergeCell ref="D286:D293"/>
    <mergeCell ref="E286:E293"/>
    <mergeCell ref="I286:I293"/>
    <mergeCell ref="A294:A300"/>
    <mergeCell ref="B294:B300"/>
    <mergeCell ref="C294:C300"/>
    <mergeCell ref="D294:D300"/>
    <mergeCell ref="E294:E300"/>
    <mergeCell ref="I294:I300"/>
    <mergeCell ref="H295:H299"/>
    <mergeCell ref="H291:H292"/>
    <mergeCell ref="A277:A281"/>
    <mergeCell ref="B277:B281"/>
    <mergeCell ref="C277:C281"/>
    <mergeCell ref="D277:D281"/>
    <mergeCell ref="E277:E281"/>
    <mergeCell ref="H277:H281"/>
    <mergeCell ref="I277:I281"/>
    <mergeCell ref="A282:A285"/>
    <mergeCell ref="B282:B285"/>
    <mergeCell ref="C282:C285"/>
    <mergeCell ref="D282:D285"/>
    <mergeCell ref="E282:E285"/>
    <mergeCell ref="H282:H285"/>
    <mergeCell ref="I282:I285"/>
    <mergeCell ref="A13:A28"/>
    <mergeCell ref="B13:B28"/>
    <mergeCell ref="C13:C28"/>
    <mergeCell ref="D13:D28"/>
    <mergeCell ref="E13:E28"/>
    <mergeCell ref="I13:I28"/>
    <mergeCell ref="H13:H28"/>
    <mergeCell ref="A29:A31"/>
    <mergeCell ref="B29:B31"/>
    <mergeCell ref="C29:C31"/>
    <mergeCell ref="D29:D31"/>
    <mergeCell ref="E29:E31"/>
    <mergeCell ref="H29:H31"/>
    <mergeCell ref="I29:I31"/>
    <mergeCell ref="B55:B61"/>
    <mergeCell ref="H79:H84"/>
    <mergeCell ref="I132:I139"/>
    <mergeCell ref="A122:A131"/>
    <mergeCell ref="B122:B131"/>
    <mergeCell ref="H122:H126"/>
    <mergeCell ref="I122:I126"/>
    <mergeCell ref="D117:D121"/>
    <mergeCell ref="E117:E121"/>
    <mergeCell ref="H117:H121"/>
    <mergeCell ref="I117:I121"/>
    <mergeCell ref="A117:A121"/>
    <mergeCell ref="B117:B121"/>
    <mergeCell ref="C117:C121"/>
    <mergeCell ref="C122:C131"/>
    <mergeCell ref="D122:D131"/>
    <mergeCell ref="E122:E131"/>
    <mergeCell ref="A132:A139"/>
    <mergeCell ref="B132:B139"/>
    <mergeCell ref="C132:C139"/>
    <mergeCell ref="D132:D139"/>
    <mergeCell ref="E132:E139"/>
    <mergeCell ref="H136:H139"/>
    <mergeCell ref="H133:H135"/>
    <mergeCell ref="A79:A84"/>
    <mergeCell ref="B79:B84"/>
    <mergeCell ref="C79:C84"/>
    <mergeCell ref="D79:D84"/>
    <mergeCell ref="E79:E84"/>
    <mergeCell ref="A62:A78"/>
    <mergeCell ref="B62:B78"/>
    <mergeCell ref="C62:C78"/>
    <mergeCell ref="D62:D78"/>
    <mergeCell ref="E62:E78"/>
    <mergeCell ref="D85:D89"/>
    <mergeCell ref="E85:E89"/>
    <mergeCell ref="A90:A93"/>
    <mergeCell ref="B90:B93"/>
    <mergeCell ref="A38:A54"/>
    <mergeCell ref="B38:B54"/>
    <mergeCell ref="A55:A61"/>
    <mergeCell ref="A32:A37"/>
    <mergeCell ref="B32:B37"/>
    <mergeCell ref="E55:E61"/>
    <mergeCell ref="C32:C37"/>
    <mergeCell ref="C38:C54"/>
    <mergeCell ref="D38:D54"/>
    <mergeCell ref="E38:E54"/>
    <mergeCell ref="C55:C61"/>
    <mergeCell ref="D55:D61"/>
    <mergeCell ref="D32:D37"/>
    <mergeCell ref="E32:E37"/>
    <mergeCell ref="A85:A89"/>
    <mergeCell ref="B85:B89"/>
    <mergeCell ref="C85:C89"/>
    <mergeCell ref="C90:C93"/>
    <mergeCell ref="D90:D93"/>
    <mergeCell ref="E90:E93"/>
    <mergeCell ref="D94:D96"/>
    <mergeCell ref="E94:E96"/>
    <mergeCell ref="H90:H93"/>
    <mergeCell ref="A94:A96"/>
    <mergeCell ref="H94:H96"/>
    <mergeCell ref="A97:A111"/>
    <mergeCell ref="B97:B111"/>
    <mergeCell ref="C97:C111"/>
    <mergeCell ref="D97:D111"/>
    <mergeCell ref="A140:A151"/>
    <mergeCell ref="B140:B151"/>
    <mergeCell ref="C140:C151"/>
    <mergeCell ref="D140:D151"/>
    <mergeCell ref="E140:E151"/>
    <mergeCell ref="A152:A166"/>
    <mergeCell ref="B152:B166"/>
    <mergeCell ref="I3:I4"/>
    <mergeCell ref="I5:I8"/>
    <mergeCell ref="I55:I61"/>
    <mergeCell ref="I62:I78"/>
    <mergeCell ref="I79:I84"/>
    <mergeCell ref="I85:I89"/>
    <mergeCell ref="I94:I96"/>
    <mergeCell ref="I90:I93"/>
    <mergeCell ref="I32:I37"/>
    <mergeCell ref="C152:C166"/>
    <mergeCell ref="D152:D166"/>
    <mergeCell ref="E152:E166"/>
    <mergeCell ref="B94:B96"/>
    <mergeCell ref="C94:C96"/>
    <mergeCell ref="B112:B116"/>
    <mergeCell ref="C112:C116"/>
    <mergeCell ref="D112:D116"/>
    <mergeCell ref="H3:H4"/>
    <mergeCell ref="H5:H8"/>
    <mergeCell ref="G3:G4"/>
    <mergeCell ref="F3:F4"/>
    <mergeCell ref="A3:A4"/>
    <mergeCell ref="B3:B4"/>
    <mergeCell ref="B5:B8"/>
    <mergeCell ref="C5:C8"/>
    <mergeCell ref="D5:D8"/>
    <mergeCell ref="A5:A8"/>
    <mergeCell ref="C3:C4"/>
    <mergeCell ref="D3:D4"/>
    <mergeCell ref="E3:E4"/>
    <mergeCell ref="E5:E8"/>
    <mergeCell ref="I112:I116"/>
    <mergeCell ref="I140:I151"/>
    <mergeCell ref="I167:I170"/>
    <mergeCell ref="H112:H116"/>
    <mergeCell ref="D208:D213"/>
    <mergeCell ref="E208:E213"/>
    <mergeCell ref="H208:H213"/>
    <mergeCell ref="D192:D203"/>
    <mergeCell ref="E192:E203"/>
    <mergeCell ref="D182:D191"/>
    <mergeCell ref="H176:H181"/>
    <mergeCell ref="E112:E116"/>
    <mergeCell ref="D176:D181"/>
    <mergeCell ref="E176:E181"/>
    <mergeCell ref="H167:H170"/>
    <mergeCell ref="D171:D175"/>
    <mergeCell ref="E171:E175"/>
    <mergeCell ref="H171:H175"/>
    <mergeCell ref="I214:I217"/>
    <mergeCell ref="A214:A217"/>
    <mergeCell ref="B214:B217"/>
    <mergeCell ref="C214:C217"/>
    <mergeCell ref="A176:A181"/>
    <mergeCell ref="D260:D265"/>
    <mergeCell ref="E260:E265"/>
    <mergeCell ref="H260:H265"/>
    <mergeCell ref="I260:I265"/>
    <mergeCell ref="H249:H254"/>
    <mergeCell ref="I249:I254"/>
    <mergeCell ref="D214:D217"/>
    <mergeCell ref="H231:H232"/>
    <mergeCell ref="B176:B181"/>
    <mergeCell ref="C176:C181"/>
    <mergeCell ref="H227:H229"/>
    <mergeCell ref="I182:I191"/>
    <mergeCell ref="B208:B213"/>
    <mergeCell ref="C208:C213"/>
    <mergeCell ref="A192:A203"/>
    <mergeCell ref="B192:B203"/>
    <mergeCell ref="C192:C203"/>
    <mergeCell ref="A182:A191"/>
    <mergeCell ref="B182:B191"/>
    <mergeCell ref="C182:C191"/>
    <mergeCell ref="E182:E191"/>
    <mergeCell ref="I204:I207"/>
    <mergeCell ref="I208:I213"/>
    <mergeCell ref="I272:I276"/>
    <mergeCell ref="A255:A259"/>
    <mergeCell ref="B255:B259"/>
    <mergeCell ref="C255:C259"/>
    <mergeCell ref="D255:D259"/>
    <mergeCell ref="E255:E259"/>
    <mergeCell ref="H255:H259"/>
    <mergeCell ref="I255:I259"/>
    <mergeCell ref="A260:A265"/>
    <mergeCell ref="B260:B265"/>
    <mergeCell ref="C260:C265"/>
    <mergeCell ref="D266:D271"/>
    <mergeCell ref="E266:E271"/>
    <mergeCell ref="H266:H271"/>
    <mergeCell ref="I266:I271"/>
    <mergeCell ref="A266:A271"/>
    <mergeCell ref="B266:B271"/>
    <mergeCell ref="C266:C271"/>
    <mergeCell ref="H218:H221"/>
    <mergeCell ref="A222:A230"/>
    <mergeCell ref="A112:A116"/>
    <mergeCell ref="H85:H89"/>
    <mergeCell ref="H161:H164"/>
    <mergeCell ref="A272:A276"/>
    <mergeCell ref="B272:B276"/>
    <mergeCell ref="C272:C276"/>
    <mergeCell ref="D272:D276"/>
    <mergeCell ref="E272:E276"/>
    <mergeCell ref="H272:H276"/>
    <mergeCell ref="A249:A254"/>
    <mergeCell ref="B249:B254"/>
    <mergeCell ref="C249:C254"/>
    <mergeCell ref="D249:D254"/>
    <mergeCell ref="E249:E254"/>
    <mergeCell ref="D167:D170"/>
    <mergeCell ref="E167:E170"/>
    <mergeCell ref="E97:E111"/>
    <mergeCell ref="H98:H101"/>
    <mergeCell ref="A171:A175"/>
    <mergeCell ref="B171:B175"/>
    <mergeCell ref="C171:C175"/>
    <mergeCell ref="A167:A170"/>
    <mergeCell ref="B167:B170"/>
    <mergeCell ref="C167:C170"/>
    <mergeCell ref="B222:B230"/>
    <mergeCell ref="C222:C230"/>
    <mergeCell ref="D222:D230"/>
    <mergeCell ref="E222:E230"/>
    <mergeCell ref="E214:E217"/>
    <mergeCell ref="H214:H217"/>
    <mergeCell ref="A204:A207"/>
    <mergeCell ref="A231:A238"/>
    <mergeCell ref="B231:B238"/>
    <mergeCell ref="C231:C238"/>
    <mergeCell ref="D231:D238"/>
    <mergeCell ref="E231:E238"/>
    <mergeCell ref="A218:A221"/>
    <mergeCell ref="B218:B221"/>
    <mergeCell ref="C218:C221"/>
    <mergeCell ref="D218:D221"/>
    <mergeCell ref="E218:E221"/>
    <mergeCell ref="I218:I221"/>
    <mergeCell ref="I222:I230"/>
    <mergeCell ref="B204:B207"/>
    <mergeCell ref="C204:C207"/>
    <mergeCell ref="D204:D207"/>
    <mergeCell ref="E204:E207"/>
    <mergeCell ref="H204:H207"/>
    <mergeCell ref="H222:H225"/>
    <mergeCell ref="A243:A248"/>
    <mergeCell ref="B243:B248"/>
    <mergeCell ref="C243:C248"/>
    <mergeCell ref="D243:D248"/>
    <mergeCell ref="E243:E248"/>
    <mergeCell ref="H243:H248"/>
    <mergeCell ref="I243:I248"/>
    <mergeCell ref="I231:I238"/>
    <mergeCell ref="A239:A242"/>
    <mergeCell ref="B239:B242"/>
    <mergeCell ref="C239:C242"/>
    <mergeCell ref="D239:D242"/>
    <mergeCell ref="E239:E242"/>
    <mergeCell ref="H239:H242"/>
    <mergeCell ref="I239:I242"/>
    <mergeCell ref="A208:A213"/>
    <mergeCell ref="H46:H49"/>
    <mergeCell ref="I38:I49"/>
    <mergeCell ref="I50:I54"/>
    <mergeCell ref="H51:H53"/>
    <mergeCell ref="H198:H203"/>
    <mergeCell ref="H193:H194"/>
    <mergeCell ref="I192:I194"/>
    <mergeCell ref="I197:I203"/>
    <mergeCell ref="I97:I105"/>
    <mergeCell ref="I106:I111"/>
    <mergeCell ref="H102:H105"/>
    <mergeCell ref="H106:H111"/>
    <mergeCell ref="H55:H61"/>
    <mergeCell ref="H62:H71"/>
    <mergeCell ref="H73:H78"/>
    <mergeCell ref="H129:H130"/>
    <mergeCell ref="I129:I130"/>
    <mergeCell ref="H150:H151"/>
    <mergeCell ref="H147:H149"/>
    <mergeCell ref="I152:I164"/>
    <mergeCell ref="H38:H42"/>
    <mergeCell ref="H43:H45"/>
    <mergeCell ref="I171:I175"/>
    <mergeCell ref="I176:I181"/>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J135"/>
  <sheetViews>
    <sheetView topLeftCell="A12" zoomScale="85" zoomScaleNormal="85" workbookViewId="0">
      <selection activeCell="A12" sqref="A12"/>
    </sheetView>
  </sheetViews>
  <sheetFormatPr defaultColWidth="9" defaultRowHeight="20.100000000000001" customHeight="1" outlineLevelRow="1" x14ac:dyDescent="0.4"/>
  <cols>
    <col min="1" max="1" width="4.5" style="1" customWidth="1"/>
    <col min="2" max="2" width="12.25" style="1" customWidth="1"/>
    <col min="3" max="31" width="3.625" style="2" customWidth="1"/>
    <col min="32" max="33" width="3.625" style="1" customWidth="1"/>
    <col min="34" max="34" width="9" style="1"/>
    <col min="35" max="35" width="10.875" style="1" customWidth="1"/>
    <col min="36" max="16384" width="9" style="1"/>
  </cols>
  <sheetData>
    <row r="1" spans="2:36" ht="20.100000000000001" hidden="1" customHeight="1" x14ac:dyDescent="0.4"/>
    <row r="2" spans="2:36" ht="20.100000000000001" hidden="1" customHeight="1" x14ac:dyDescent="0.4">
      <c r="B2" s="483" t="s">
        <v>30</v>
      </c>
      <c r="C2" s="6">
        <v>1</v>
      </c>
      <c r="D2" s="6">
        <v>2</v>
      </c>
      <c r="E2" s="6">
        <v>3</v>
      </c>
      <c r="F2" s="6">
        <v>4</v>
      </c>
      <c r="G2" s="6">
        <v>5</v>
      </c>
      <c r="H2" s="6">
        <v>6</v>
      </c>
      <c r="I2" s="6">
        <v>7</v>
      </c>
      <c r="J2" s="6">
        <v>8</v>
      </c>
      <c r="K2" s="6">
        <v>9</v>
      </c>
      <c r="L2" s="6">
        <v>10</v>
      </c>
      <c r="M2" s="6">
        <v>11</v>
      </c>
      <c r="N2" s="6">
        <v>12</v>
      </c>
      <c r="O2" s="6">
        <v>13</v>
      </c>
      <c r="P2" s="6">
        <v>14</v>
      </c>
      <c r="Q2" s="6">
        <v>15</v>
      </c>
      <c r="R2" s="6">
        <v>16</v>
      </c>
      <c r="S2" s="6">
        <v>17</v>
      </c>
      <c r="T2" s="6">
        <v>18</v>
      </c>
      <c r="U2" s="6">
        <v>19</v>
      </c>
      <c r="V2" s="6">
        <v>20</v>
      </c>
      <c r="W2" s="6">
        <v>21</v>
      </c>
      <c r="X2" s="6">
        <v>22</v>
      </c>
      <c r="Y2" s="6">
        <v>23</v>
      </c>
      <c r="Z2" s="6">
        <v>24</v>
      </c>
      <c r="AA2" s="6">
        <v>25</v>
      </c>
      <c r="AB2" s="6">
        <v>26</v>
      </c>
      <c r="AC2" s="6">
        <v>27</v>
      </c>
      <c r="AD2" s="6">
        <v>28</v>
      </c>
      <c r="AE2" s="6">
        <v>29</v>
      </c>
    </row>
    <row r="3" spans="2:36" ht="20.100000000000001" hidden="1" customHeight="1" x14ac:dyDescent="0.4">
      <c r="B3" s="485"/>
      <c r="C3" s="6" t="s">
        <v>68</v>
      </c>
      <c r="D3" s="6" t="s">
        <v>67</v>
      </c>
      <c r="E3" s="6" t="s">
        <v>70</v>
      </c>
      <c r="F3" s="6" t="s">
        <v>72</v>
      </c>
      <c r="G3" s="6" t="s">
        <v>73</v>
      </c>
      <c r="H3" s="6" t="s">
        <v>74</v>
      </c>
      <c r="I3" s="6" t="s">
        <v>75</v>
      </c>
      <c r="J3" s="6" t="s">
        <v>68</v>
      </c>
      <c r="K3" s="6" t="s">
        <v>67</v>
      </c>
      <c r="L3" s="6" t="s">
        <v>70</v>
      </c>
      <c r="M3" s="6" t="s">
        <v>72</v>
      </c>
      <c r="N3" s="6" t="s">
        <v>73</v>
      </c>
      <c r="O3" s="6" t="s">
        <v>74</v>
      </c>
      <c r="P3" s="6" t="s">
        <v>75</v>
      </c>
      <c r="Q3" s="6" t="s">
        <v>68</v>
      </c>
      <c r="R3" s="6" t="s">
        <v>67</v>
      </c>
      <c r="S3" s="6" t="s">
        <v>70</v>
      </c>
      <c r="T3" s="6" t="s">
        <v>72</v>
      </c>
      <c r="U3" s="6" t="s">
        <v>73</v>
      </c>
      <c r="V3" s="6" t="s">
        <v>74</v>
      </c>
      <c r="W3" s="6" t="s">
        <v>75</v>
      </c>
      <c r="X3" s="6" t="s">
        <v>68</v>
      </c>
      <c r="Y3" s="6" t="s">
        <v>67</v>
      </c>
      <c r="Z3" s="6" t="s">
        <v>70</v>
      </c>
      <c r="AA3" s="6" t="s">
        <v>72</v>
      </c>
      <c r="AB3" s="6" t="s">
        <v>73</v>
      </c>
      <c r="AC3" s="6" t="s">
        <v>74</v>
      </c>
      <c r="AD3" s="6" t="s">
        <v>75</v>
      </c>
      <c r="AE3" s="6" t="s">
        <v>68</v>
      </c>
    </row>
    <row r="4" spans="2:36" ht="20.100000000000001" hidden="1" customHeight="1" x14ac:dyDescent="0.4">
      <c r="B4" s="4" t="s">
        <v>60</v>
      </c>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2:36" ht="20.100000000000001" hidden="1" customHeight="1" x14ac:dyDescent="0.4">
      <c r="B5" s="4" t="s">
        <v>61</v>
      </c>
      <c r="C5" s="3"/>
      <c r="D5" s="3"/>
      <c r="E5" s="3"/>
      <c r="F5" s="3"/>
      <c r="G5" s="3"/>
      <c r="H5" s="3"/>
      <c r="I5" s="3"/>
      <c r="J5" s="3"/>
      <c r="K5" s="3"/>
      <c r="L5" s="3"/>
      <c r="M5" s="3"/>
      <c r="N5" s="3"/>
      <c r="O5" s="3" t="s">
        <v>77</v>
      </c>
      <c r="P5" s="3"/>
      <c r="Q5" s="3"/>
      <c r="R5" s="3"/>
      <c r="S5" s="3"/>
      <c r="T5" s="3"/>
      <c r="U5" s="3"/>
      <c r="V5" s="3"/>
      <c r="W5" s="3"/>
      <c r="X5" s="3"/>
      <c r="Y5" s="3"/>
      <c r="Z5" s="3"/>
      <c r="AA5" s="3"/>
      <c r="AB5" s="3"/>
      <c r="AC5" s="3"/>
      <c r="AD5" s="3"/>
      <c r="AE5" s="3"/>
    </row>
    <row r="6" spans="2:36" ht="20.100000000000001" hidden="1" customHeight="1" x14ac:dyDescent="0.4">
      <c r="B6" s="4" t="s">
        <v>62</v>
      </c>
      <c r="C6" s="3"/>
      <c r="D6" s="3"/>
      <c r="E6" s="3"/>
      <c r="F6" s="3"/>
      <c r="G6" s="3"/>
      <c r="H6" s="3"/>
      <c r="I6" s="3"/>
      <c r="J6" s="3"/>
      <c r="K6" s="3"/>
      <c r="L6" s="3"/>
      <c r="M6" s="3"/>
      <c r="N6" s="3"/>
      <c r="O6" s="3"/>
      <c r="P6" s="3"/>
      <c r="Q6" s="3"/>
      <c r="R6" s="3"/>
      <c r="S6" s="3" t="s">
        <v>76</v>
      </c>
      <c r="T6" s="3"/>
      <c r="U6" s="3"/>
      <c r="V6" s="3"/>
      <c r="W6" s="3"/>
      <c r="X6" s="3"/>
      <c r="Y6" s="3"/>
      <c r="Z6" s="3"/>
      <c r="AA6" s="3"/>
      <c r="AB6" s="3"/>
      <c r="AC6" s="3"/>
      <c r="AD6" s="3"/>
      <c r="AE6" s="3"/>
    </row>
    <row r="7" spans="2:36" ht="20.100000000000001" hidden="1" customHeight="1" x14ac:dyDescent="0.4">
      <c r="B7" s="4" t="s">
        <v>63</v>
      </c>
      <c r="C7" s="3"/>
      <c r="D7" s="3"/>
      <c r="E7" s="3"/>
      <c r="F7" s="3"/>
      <c r="G7" s="3"/>
      <c r="H7" s="3"/>
      <c r="I7" s="3" t="s">
        <v>78</v>
      </c>
      <c r="J7" s="3"/>
      <c r="K7" s="3"/>
      <c r="L7" s="3"/>
      <c r="M7" s="3"/>
      <c r="N7" s="3"/>
      <c r="O7" s="3"/>
      <c r="P7" s="3"/>
      <c r="Q7" s="3"/>
      <c r="R7" s="3"/>
      <c r="S7" s="3"/>
      <c r="T7" s="3"/>
      <c r="U7" s="3" t="s">
        <v>77</v>
      </c>
      <c r="V7" s="3" t="s">
        <v>76</v>
      </c>
      <c r="W7" s="3"/>
      <c r="X7" s="3"/>
      <c r="Y7" s="3"/>
      <c r="Z7" s="3"/>
      <c r="AA7" s="3"/>
      <c r="AB7" s="3"/>
      <c r="AC7" s="3"/>
      <c r="AD7" s="3"/>
      <c r="AE7" s="3"/>
    </row>
    <row r="8" spans="2:36" ht="20.100000000000001" hidden="1" customHeight="1" x14ac:dyDescent="0.4">
      <c r="B8" s="4" t="s">
        <v>64</v>
      </c>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2:36" ht="20.100000000000001" hidden="1" customHeight="1" x14ac:dyDescent="0.4">
      <c r="B9" s="4" t="s">
        <v>65</v>
      </c>
      <c r="C9" s="3"/>
      <c r="D9" s="3"/>
      <c r="E9" s="3"/>
      <c r="F9" s="3"/>
      <c r="G9" s="3"/>
      <c r="H9" s="3"/>
      <c r="I9" s="3"/>
      <c r="J9" s="3"/>
      <c r="K9" s="3"/>
      <c r="L9" s="3"/>
      <c r="M9" s="3"/>
      <c r="N9" s="3"/>
      <c r="O9" s="3"/>
      <c r="P9" s="3"/>
      <c r="Q9" s="3"/>
      <c r="R9" s="3"/>
      <c r="S9" s="3"/>
      <c r="T9" s="3"/>
      <c r="U9" s="3"/>
      <c r="V9" s="3"/>
      <c r="W9" s="3"/>
      <c r="X9" s="3"/>
      <c r="Y9" s="3"/>
      <c r="Z9" s="3"/>
      <c r="AA9" s="3"/>
      <c r="AB9" s="3"/>
      <c r="AC9" s="3"/>
      <c r="AD9" s="3"/>
      <c r="AE9" s="3"/>
    </row>
    <row r="10" spans="2:36" ht="20.100000000000001" hidden="1" customHeight="1" x14ac:dyDescent="0.4">
      <c r="B10" s="4" t="s">
        <v>66</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spans="2:36" ht="20.100000000000001" hidden="1" customHeight="1" x14ac:dyDescent="0.4"/>
    <row r="13" spans="2:36" ht="20.100000000000001" customHeight="1" x14ac:dyDescent="0.4">
      <c r="B13" s="46" t="s">
        <v>100</v>
      </c>
    </row>
    <row r="14" spans="2:36" ht="20.100000000000001" customHeight="1" x14ac:dyDescent="0.4">
      <c r="B14" s="46" t="s">
        <v>101</v>
      </c>
    </row>
    <row r="15" spans="2:36" ht="20.100000000000001" hidden="1" customHeight="1" outlineLevel="1" x14ac:dyDescent="0.4">
      <c r="AI15" s="1">
        <f>AI18*7.5</f>
        <v>120</v>
      </c>
    </row>
    <row r="16" spans="2:36" ht="20.100000000000001" hidden="1" customHeight="1" outlineLevel="1" x14ac:dyDescent="0.4">
      <c r="B16" s="623">
        <v>46113</v>
      </c>
      <c r="C16" s="6">
        <v>1</v>
      </c>
      <c r="D16" s="6">
        <v>2</v>
      </c>
      <c r="E16" s="6">
        <v>3</v>
      </c>
      <c r="F16" s="6">
        <v>4</v>
      </c>
      <c r="G16" s="6">
        <v>5</v>
      </c>
      <c r="H16" s="6">
        <v>6</v>
      </c>
      <c r="I16" s="6">
        <v>7</v>
      </c>
      <c r="J16" s="6">
        <v>8</v>
      </c>
      <c r="K16" s="6">
        <v>9</v>
      </c>
      <c r="L16" s="6">
        <v>10</v>
      </c>
      <c r="M16" s="6">
        <v>11</v>
      </c>
      <c r="N16" s="6">
        <v>12</v>
      </c>
      <c r="O16" s="6">
        <v>13</v>
      </c>
      <c r="P16" s="6">
        <v>14</v>
      </c>
      <c r="Q16" s="6">
        <v>15</v>
      </c>
      <c r="R16" s="6">
        <v>16</v>
      </c>
      <c r="S16" s="6">
        <v>17</v>
      </c>
      <c r="T16" s="6">
        <v>18</v>
      </c>
      <c r="U16" s="6">
        <v>19</v>
      </c>
      <c r="V16" s="6">
        <v>20</v>
      </c>
      <c r="W16" s="6">
        <v>21</v>
      </c>
      <c r="X16" s="6">
        <v>22</v>
      </c>
      <c r="Y16" s="6">
        <v>23</v>
      </c>
      <c r="Z16" s="6">
        <v>24</v>
      </c>
      <c r="AA16" s="6">
        <v>25</v>
      </c>
      <c r="AB16" s="6">
        <v>26</v>
      </c>
      <c r="AC16" s="6">
        <v>27</v>
      </c>
      <c r="AD16" s="6">
        <v>28</v>
      </c>
      <c r="AE16" s="6">
        <v>29</v>
      </c>
      <c r="AF16" s="6">
        <v>30</v>
      </c>
      <c r="AG16" s="6"/>
      <c r="AH16" s="483" t="s">
        <v>105</v>
      </c>
      <c r="AI16" s="476" t="s">
        <v>106</v>
      </c>
      <c r="AJ16" s="72" t="s">
        <v>495</v>
      </c>
    </row>
    <row r="17" spans="2:36" ht="20.100000000000001" hidden="1" customHeight="1" outlineLevel="1" x14ac:dyDescent="0.4">
      <c r="B17" s="624"/>
      <c r="C17" s="6" t="s">
        <v>107</v>
      </c>
      <c r="D17" s="6" t="s">
        <v>108</v>
      </c>
      <c r="E17" s="6" t="s">
        <v>109</v>
      </c>
      <c r="F17" s="6" t="s">
        <v>110</v>
      </c>
      <c r="G17" s="6" t="s">
        <v>415</v>
      </c>
      <c r="H17" s="6" t="s">
        <v>414</v>
      </c>
      <c r="I17" s="6" t="s">
        <v>71</v>
      </c>
      <c r="J17" s="6" t="s">
        <v>107</v>
      </c>
      <c r="K17" s="6" t="s">
        <v>108</v>
      </c>
      <c r="L17" s="6" t="s">
        <v>109</v>
      </c>
      <c r="M17" s="6" t="s">
        <v>110</v>
      </c>
      <c r="N17" s="6" t="s">
        <v>111</v>
      </c>
      <c r="O17" s="6" t="s">
        <v>69</v>
      </c>
      <c r="P17" s="6" t="s">
        <v>71</v>
      </c>
      <c r="Q17" s="6" t="s">
        <v>107</v>
      </c>
      <c r="R17" s="6" t="s">
        <v>492</v>
      </c>
      <c r="S17" s="6" t="s">
        <v>109</v>
      </c>
      <c r="T17" s="6" t="s">
        <v>110</v>
      </c>
      <c r="U17" s="6" t="s">
        <v>111</v>
      </c>
      <c r="V17" s="6" t="s">
        <v>69</v>
      </c>
      <c r="W17" s="6" t="s">
        <v>71</v>
      </c>
      <c r="X17" s="6" t="s">
        <v>491</v>
      </c>
      <c r="Y17" s="6" t="s">
        <v>108</v>
      </c>
      <c r="Z17" s="6" t="s">
        <v>494</v>
      </c>
      <c r="AA17" s="6" t="s">
        <v>110</v>
      </c>
      <c r="AB17" s="6" t="s">
        <v>111</v>
      </c>
      <c r="AC17" s="6" t="s">
        <v>69</v>
      </c>
      <c r="AD17" s="6" t="s">
        <v>71</v>
      </c>
      <c r="AE17" s="6" t="s">
        <v>107</v>
      </c>
      <c r="AF17" s="6" t="s">
        <v>108</v>
      </c>
      <c r="AG17" s="6"/>
      <c r="AH17" s="485"/>
      <c r="AI17" s="478"/>
      <c r="AJ17" s="72" t="s">
        <v>520</v>
      </c>
    </row>
    <row r="18" spans="2:36" ht="20.100000000000001" hidden="1" customHeight="1" outlineLevel="1" x14ac:dyDescent="0.4">
      <c r="B18" s="4" t="s">
        <v>162</v>
      </c>
      <c r="C18" s="3" t="s">
        <v>403</v>
      </c>
      <c r="D18" s="3" t="s">
        <v>403</v>
      </c>
      <c r="E18" s="3" t="s">
        <v>403</v>
      </c>
      <c r="F18" s="3" t="s">
        <v>404</v>
      </c>
      <c r="G18" s="3" t="s">
        <v>404</v>
      </c>
      <c r="H18" s="3" t="s">
        <v>403</v>
      </c>
      <c r="I18" s="3" t="s">
        <v>403</v>
      </c>
      <c r="J18" s="3" t="s">
        <v>403</v>
      </c>
      <c r="K18" s="3" t="s">
        <v>403</v>
      </c>
      <c r="L18" s="3" t="s">
        <v>403</v>
      </c>
      <c r="M18" s="3" t="s">
        <v>404</v>
      </c>
      <c r="N18" s="3" t="s">
        <v>404</v>
      </c>
      <c r="O18" s="3" t="s">
        <v>405</v>
      </c>
      <c r="P18" s="3" t="s">
        <v>405</v>
      </c>
      <c r="Q18" s="3" t="s">
        <v>405</v>
      </c>
      <c r="R18" s="3" t="s">
        <v>405</v>
      </c>
      <c r="S18" s="3" t="s">
        <v>405</v>
      </c>
      <c r="T18" s="3" t="s">
        <v>404</v>
      </c>
      <c r="U18" s="3" t="s">
        <v>404</v>
      </c>
      <c r="V18" s="3" t="s">
        <v>403</v>
      </c>
      <c r="W18" s="3" t="s">
        <v>403</v>
      </c>
      <c r="X18" s="3" t="s">
        <v>403</v>
      </c>
      <c r="Y18" s="3" t="s">
        <v>403</v>
      </c>
      <c r="Z18" s="3" t="s">
        <v>403</v>
      </c>
      <c r="AA18" s="3" t="s">
        <v>404</v>
      </c>
      <c r="AB18" s="3" t="s">
        <v>404</v>
      </c>
      <c r="AC18" s="3" t="s">
        <v>403</v>
      </c>
      <c r="AD18" s="3" t="s">
        <v>403</v>
      </c>
      <c r="AE18" s="3" t="s">
        <v>403</v>
      </c>
      <c r="AF18" s="3" t="s">
        <v>405</v>
      </c>
      <c r="AG18" s="3"/>
      <c r="AH18" s="4">
        <f>COUNTIF(C18:AG18,"L")</f>
        <v>0</v>
      </c>
      <c r="AI18" s="4">
        <f>COUNTIF(C18:AG18,"A")</f>
        <v>16</v>
      </c>
      <c r="AJ18" s="72" t="s">
        <v>402</v>
      </c>
    </row>
    <row r="19" spans="2:36" ht="20.100000000000001" hidden="1" customHeight="1" outlineLevel="1" x14ac:dyDescent="0.4">
      <c r="B19" s="4" t="s">
        <v>396</v>
      </c>
      <c r="C19" s="3" t="s">
        <v>406</v>
      </c>
      <c r="D19" s="3" t="s">
        <v>406</v>
      </c>
      <c r="E19" s="3" t="s">
        <v>406</v>
      </c>
      <c r="F19" s="3" t="s">
        <v>404</v>
      </c>
      <c r="G19" s="3" t="s">
        <v>404</v>
      </c>
      <c r="H19" s="3" t="s">
        <v>406</v>
      </c>
      <c r="I19" s="3" t="s">
        <v>406</v>
      </c>
      <c r="J19" s="3" t="s">
        <v>406</v>
      </c>
      <c r="K19" s="3" t="s">
        <v>406</v>
      </c>
      <c r="L19" s="3" t="s">
        <v>406</v>
      </c>
      <c r="M19" s="3" t="s">
        <v>404</v>
      </c>
      <c r="N19" s="3" t="s">
        <v>404</v>
      </c>
      <c r="O19" s="3" t="s">
        <v>405</v>
      </c>
      <c r="P19" s="3" t="s">
        <v>405</v>
      </c>
      <c r="Q19" s="3" t="s">
        <v>405</v>
      </c>
      <c r="R19" s="3" t="s">
        <v>405</v>
      </c>
      <c r="S19" s="3" t="s">
        <v>405</v>
      </c>
      <c r="T19" s="3" t="s">
        <v>404</v>
      </c>
      <c r="U19" s="3" t="s">
        <v>404</v>
      </c>
      <c r="V19" s="3" t="s">
        <v>406</v>
      </c>
      <c r="W19" s="3" t="s">
        <v>406</v>
      </c>
      <c r="X19" s="3" t="s">
        <v>406</v>
      </c>
      <c r="Y19" s="3" t="s">
        <v>406</v>
      </c>
      <c r="Z19" s="3" t="s">
        <v>406</v>
      </c>
      <c r="AA19" s="3" t="s">
        <v>404</v>
      </c>
      <c r="AB19" s="3" t="s">
        <v>404</v>
      </c>
      <c r="AC19" s="3" t="s">
        <v>406</v>
      </c>
      <c r="AD19" s="3" t="s">
        <v>406</v>
      </c>
      <c r="AE19" s="3" t="s">
        <v>406</v>
      </c>
      <c r="AF19" s="3" t="s">
        <v>405</v>
      </c>
      <c r="AG19" s="3"/>
      <c r="AH19" s="4">
        <f t="shared" ref="AH19:AH24" si="0">COUNTIF(C19:AG19,"L")</f>
        <v>16</v>
      </c>
      <c r="AI19" s="4">
        <f t="shared" ref="AI19:AI24" si="1">COUNTIF(C19:AG19,"A")</f>
        <v>0</v>
      </c>
      <c r="AJ19" s="72" t="s">
        <v>496</v>
      </c>
    </row>
    <row r="20" spans="2:36" ht="20.100000000000001" hidden="1" customHeight="1" outlineLevel="1" x14ac:dyDescent="0.4">
      <c r="B20" s="4" t="s">
        <v>170</v>
      </c>
      <c r="C20" s="3" t="s">
        <v>403</v>
      </c>
      <c r="D20" s="3" t="s">
        <v>403</v>
      </c>
      <c r="E20" s="3" t="s">
        <v>403</v>
      </c>
      <c r="F20" s="3" t="s">
        <v>404</v>
      </c>
      <c r="G20" s="3" t="s">
        <v>404</v>
      </c>
      <c r="H20" s="3" t="s">
        <v>403</v>
      </c>
      <c r="I20" s="3" t="s">
        <v>403</v>
      </c>
      <c r="J20" s="3" t="s">
        <v>403</v>
      </c>
      <c r="K20" s="3" t="s">
        <v>403</v>
      </c>
      <c r="L20" s="3" t="s">
        <v>403</v>
      </c>
      <c r="M20" s="3" t="s">
        <v>404</v>
      </c>
      <c r="N20" s="3" t="s">
        <v>404</v>
      </c>
      <c r="O20" s="3" t="s">
        <v>405</v>
      </c>
      <c r="P20" s="3" t="s">
        <v>405</v>
      </c>
      <c r="Q20" s="3" t="s">
        <v>405</v>
      </c>
      <c r="R20" s="3" t="s">
        <v>405</v>
      </c>
      <c r="S20" s="3" t="s">
        <v>405</v>
      </c>
      <c r="T20" s="3" t="s">
        <v>404</v>
      </c>
      <c r="U20" s="3" t="s">
        <v>404</v>
      </c>
      <c r="V20" s="3" t="s">
        <v>403</v>
      </c>
      <c r="W20" s="3" t="s">
        <v>403</v>
      </c>
      <c r="X20" s="3" t="s">
        <v>403</v>
      </c>
      <c r="Y20" s="3" t="s">
        <v>403</v>
      </c>
      <c r="Z20" s="3" t="s">
        <v>403</v>
      </c>
      <c r="AA20" s="3" t="s">
        <v>404</v>
      </c>
      <c r="AB20" s="3" t="s">
        <v>404</v>
      </c>
      <c r="AC20" s="3" t="s">
        <v>403</v>
      </c>
      <c r="AD20" s="3" t="s">
        <v>403</v>
      </c>
      <c r="AE20" s="3" t="s">
        <v>403</v>
      </c>
      <c r="AF20" s="3" t="s">
        <v>405</v>
      </c>
      <c r="AG20" s="3"/>
      <c r="AH20" s="4">
        <f t="shared" si="0"/>
        <v>0</v>
      </c>
      <c r="AI20" s="4">
        <f t="shared" si="1"/>
        <v>16</v>
      </c>
      <c r="AJ20" s="55"/>
    </row>
    <row r="21" spans="2:36" ht="20.100000000000001" hidden="1" customHeight="1" outlineLevel="1" x14ac:dyDescent="0.4">
      <c r="B21" s="4" t="s">
        <v>397</v>
      </c>
      <c r="C21" s="3" t="s">
        <v>403</v>
      </c>
      <c r="D21" s="3" t="s">
        <v>403</v>
      </c>
      <c r="E21" s="3" t="s">
        <v>403</v>
      </c>
      <c r="F21" s="3" t="s">
        <v>404</v>
      </c>
      <c r="G21" s="3" t="s">
        <v>404</v>
      </c>
      <c r="H21" s="3" t="s">
        <v>403</v>
      </c>
      <c r="I21" s="3" t="s">
        <v>403</v>
      </c>
      <c r="J21" s="3" t="s">
        <v>403</v>
      </c>
      <c r="K21" s="3" t="s">
        <v>403</v>
      </c>
      <c r="L21" s="3" t="s">
        <v>403</v>
      </c>
      <c r="M21" s="3" t="s">
        <v>404</v>
      </c>
      <c r="N21" s="3" t="s">
        <v>404</v>
      </c>
      <c r="O21" s="3" t="s">
        <v>405</v>
      </c>
      <c r="P21" s="3" t="s">
        <v>405</v>
      </c>
      <c r="Q21" s="3" t="s">
        <v>405</v>
      </c>
      <c r="R21" s="3" t="s">
        <v>405</v>
      </c>
      <c r="S21" s="3" t="s">
        <v>405</v>
      </c>
      <c r="T21" s="3" t="s">
        <v>404</v>
      </c>
      <c r="U21" s="3" t="s">
        <v>404</v>
      </c>
      <c r="V21" s="3" t="s">
        <v>403</v>
      </c>
      <c r="W21" s="3" t="s">
        <v>403</v>
      </c>
      <c r="X21" s="3" t="s">
        <v>403</v>
      </c>
      <c r="Y21" s="3" t="s">
        <v>403</v>
      </c>
      <c r="Z21" s="3" t="s">
        <v>403</v>
      </c>
      <c r="AA21" s="3" t="s">
        <v>404</v>
      </c>
      <c r="AB21" s="3" t="s">
        <v>404</v>
      </c>
      <c r="AC21" s="3" t="s">
        <v>403</v>
      </c>
      <c r="AD21" s="3" t="s">
        <v>403</v>
      </c>
      <c r="AE21" s="3" t="s">
        <v>403</v>
      </c>
      <c r="AF21" s="3" t="s">
        <v>405</v>
      </c>
      <c r="AG21" s="3"/>
      <c r="AH21" s="4">
        <f t="shared" si="0"/>
        <v>0</v>
      </c>
      <c r="AI21" s="4">
        <f t="shared" si="1"/>
        <v>16</v>
      </c>
      <c r="AJ21" s="72"/>
    </row>
    <row r="22" spans="2:36" ht="20.100000000000001" hidden="1" customHeight="1" outlineLevel="1" x14ac:dyDescent="0.4">
      <c r="B22" s="4" t="s">
        <v>398</v>
      </c>
      <c r="C22" s="3" t="s">
        <v>403</v>
      </c>
      <c r="D22" s="3" t="s">
        <v>403</v>
      </c>
      <c r="E22" s="3" t="s">
        <v>403</v>
      </c>
      <c r="F22" s="3" t="s">
        <v>404</v>
      </c>
      <c r="G22" s="3" t="s">
        <v>404</v>
      </c>
      <c r="H22" s="3" t="s">
        <v>403</v>
      </c>
      <c r="I22" s="3" t="s">
        <v>403</v>
      </c>
      <c r="J22" s="3" t="s">
        <v>403</v>
      </c>
      <c r="K22" s="3" t="s">
        <v>403</v>
      </c>
      <c r="L22" s="3" t="s">
        <v>403</v>
      </c>
      <c r="M22" s="3" t="s">
        <v>404</v>
      </c>
      <c r="N22" s="3" t="s">
        <v>404</v>
      </c>
      <c r="O22" s="3" t="s">
        <v>405</v>
      </c>
      <c r="P22" s="3" t="s">
        <v>405</v>
      </c>
      <c r="Q22" s="3" t="s">
        <v>405</v>
      </c>
      <c r="R22" s="3" t="s">
        <v>405</v>
      </c>
      <c r="S22" s="3" t="s">
        <v>405</v>
      </c>
      <c r="T22" s="3" t="s">
        <v>404</v>
      </c>
      <c r="U22" s="3" t="s">
        <v>404</v>
      </c>
      <c r="V22" s="3" t="s">
        <v>403</v>
      </c>
      <c r="W22" s="3" t="s">
        <v>403</v>
      </c>
      <c r="X22" s="3" t="s">
        <v>403</v>
      </c>
      <c r="Y22" s="3" t="s">
        <v>403</v>
      </c>
      <c r="Z22" s="3" t="s">
        <v>403</v>
      </c>
      <c r="AA22" s="3" t="s">
        <v>404</v>
      </c>
      <c r="AB22" s="3" t="s">
        <v>404</v>
      </c>
      <c r="AC22" s="3" t="s">
        <v>403</v>
      </c>
      <c r="AD22" s="3" t="s">
        <v>403</v>
      </c>
      <c r="AE22" s="3" t="s">
        <v>403</v>
      </c>
      <c r="AF22" s="3" t="s">
        <v>405</v>
      </c>
      <c r="AG22" s="3"/>
      <c r="AH22" s="4">
        <f t="shared" si="0"/>
        <v>0</v>
      </c>
      <c r="AI22" s="4">
        <f t="shared" si="1"/>
        <v>16</v>
      </c>
      <c r="AJ22" s="72"/>
    </row>
    <row r="23" spans="2:36" ht="20.100000000000001" hidden="1" customHeight="1" outlineLevel="1" x14ac:dyDescent="0.4">
      <c r="B23" s="4" t="s">
        <v>399</v>
      </c>
      <c r="C23" s="3" t="s">
        <v>403</v>
      </c>
      <c r="D23" s="3" t="s">
        <v>403</v>
      </c>
      <c r="E23" s="3" t="s">
        <v>403</v>
      </c>
      <c r="F23" s="3" t="s">
        <v>404</v>
      </c>
      <c r="G23" s="3" t="s">
        <v>404</v>
      </c>
      <c r="H23" s="3" t="s">
        <v>403</v>
      </c>
      <c r="I23" s="3" t="s">
        <v>403</v>
      </c>
      <c r="J23" s="3" t="s">
        <v>403</v>
      </c>
      <c r="K23" s="3" t="s">
        <v>403</v>
      </c>
      <c r="L23" s="3" t="s">
        <v>403</v>
      </c>
      <c r="M23" s="3" t="s">
        <v>404</v>
      </c>
      <c r="N23" s="3" t="s">
        <v>404</v>
      </c>
      <c r="O23" s="3" t="s">
        <v>405</v>
      </c>
      <c r="P23" s="3" t="s">
        <v>405</v>
      </c>
      <c r="Q23" s="3" t="s">
        <v>405</v>
      </c>
      <c r="R23" s="3" t="s">
        <v>405</v>
      </c>
      <c r="S23" s="3" t="s">
        <v>405</v>
      </c>
      <c r="T23" s="3" t="s">
        <v>404</v>
      </c>
      <c r="U23" s="3" t="s">
        <v>404</v>
      </c>
      <c r="V23" s="3" t="s">
        <v>403</v>
      </c>
      <c r="W23" s="3" t="s">
        <v>403</v>
      </c>
      <c r="X23" s="3" t="s">
        <v>403</v>
      </c>
      <c r="Y23" s="3" t="s">
        <v>403</v>
      </c>
      <c r="Z23" s="3" t="s">
        <v>403</v>
      </c>
      <c r="AA23" s="3" t="s">
        <v>404</v>
      </c>
      <c r="AB23" s="3" t="s">
        <v>404</v>
      </c>
      <c r="AC23" s="3" t="s">
        <v>403</v>
      </c>
      <c r="AD23" s="3" t="s">
        <v>403</v>
      </c>
      <c r="AE23" s="3" t="s">
        <v>403</v>
      </c>
      <c r="AF23" s="3" t="s">
        <v>405</v>
      </c>
      <c r="AG23" s="3"/>
      <c r="AH23" s="4">
        <f t="shared" si="0"/>
        <v>0</v>
      </c>
      <c r="AI23" s="4">
        <f t="shared" si="1"/>
        <v>16</v>
      </c>
      <c r="AJ23" s="72"/>
    </row>
    <row r="24" spans="2:36" ht="20.100000000000001" hidden="1" customHeight="1" outlineLevel="1" x14ac:dyDescent="0.4">
      <c r="B24" s="4" t="s">
        <v>400</v>
      </c>
      <c r="C24" s="3" t="s">
        <v>403</v>
      </c>
      <c r="D24" s="3" t="s">
        <v>403</v>
      </c>
      <c r="E24" s="3" t="s">
        <v>403</v>
      </c>
      <c r="F24" s="3" t="s">
        <v>404</v>
      </c>
      <c r="G24" s="3" t="s">
        <v>404</v>
      </c>
      <c r="H24" s="3" t="s">
        <v>403</v>
      </c>
      <c r="I24" s="3" t="s">
        <v>403</v>
      </c>
      <c r="J24" s="3" t="s">
        <v>403</v>
      </c>
      <c r="K24" s="3" t="s">
        <v>403</v>
      </c>
      <c r="L24" s="3" t="s">
        <v>403</v>
      </c>
      <c r="M24" s="3" t="s">
        <v>404</v>
      </c>
      <c r="N24" s="3" t="s">
        <v>404</v>
      </c>
      <c r="O24" s="3" t="s">
        <v>405</v>
      </c>
      <c r="P24" s="3" t="s">
        <v>405</v>
      </c>
      <c r="Q24" s="3" t="s">
        <v>405</v>
      </c>
      <c r="R24" s="3" t="s">
        <v>405</v>
      </c>
      <c r="S24" s="3" t="s">
        <v>405</v>
      </c>
      <c r="T24" s="3" t="s">
        <v>404</v>
      </c>
      <c r="U24" s="3" t="s">
        <v>404</v>
      </c>
      <c r="V24" s="3" t="s">
        <v>403</v>
      </c>
      <c r="W24" s="3" t="s">
        <v>403</v>
      </c>
      <c r="X24" s="3" t="s">
        <v>403</v>
      </c>
      <c r="Y24" s="3" t="s">
        <v>403</v>
      </c>
      <c r="Z24" s="3" t="s">
        <v>403</v>
      </c>
      <c r="AA24" s="3" t="s">
        <v>404</v>
      </c>
      <c r="AB24" s="3" t="s">
        <v>404</v>
      </c>
      <c r="AC24" s="3" t="s">
        <v>403</v>
      </c>
      <c r="AD24" s="3" t="s">
        <v>403</v>
      </c>
      <c r="AE24" s="3" t="s">
        <v>403</v>
      </c>
      <c r="AF24" s="3" t="s">
        <v>405</v>
      </c>
      <c r="AG24" s="3"/>
      <c r="AH24" s="4">
        <f t="shared" si="0"/>
        <v>0</v>
      </c>
      <c r="AI24" s="4">
        <f t="shared" si="1"/>
        <v>16</v>
      </c>
      <c r="AJ24" s="72"/>
    </row>
    <row r="25" spans="2:36" ht="20.100000000000001" hidden="1" customHeight="1" outlineLevel="1" collapsed="1" x14ac:dyDescent="0.4">
      <c r="C25" s="234" t="s">
        <v>407</v>
      </c>
      <c r="M25" s="625" t="s">
        <v>401</v>
      </c>
      <c r="N25" s="625"/>
      <c r="O25" s="625"/>
      <c r="P25" s="625"/>
      <c r="Q25" s="625"/>
      <c r="R25" s="625"/>
      <c r="S25" s="625"/>
      <c r="T25" s="625"/>
      <c r="U25" s="625"/>
    </row>
    <row r="26" spans="2:36" ht="20.100000000000001" hidden="1" customHeight="1" outlineLevel="1" collapsed="1" x14ac:dyDescent="0.4">
      <c r="AI26" s="1">
        <f>AI29*7.5</f>
        <v>142.5</v>
      </c>
    </row>
    <row r="27" spans="2:36" ht="20.100000000000001" hidden="1" customHeight="1" outlineLevel="1" x14ac:dyDescent="0.4">
      <c r="B27" s="623">
        <f>DATE(YEAR(B16),MONTH(B16)+1,DAY(B16))</f>
        <v>46143</v>
      </c>
      <c r="C27" s="6">
        <v>1</v>
      </c>
      <c r="D27" s="6">
        <v>2</v>
      </c>
      <c r="E27" s="6">
        <v>3</v>
      </c>
      <c r="F27" s="6">
        <v>4</v>
      </c>
      <c r="G27" s="6">
        <v>5</v>
      </c>
      <c r="H27" s="6">
        <v>6</v>
      </c>
      <c r="I27" s="6">
        <v>7</v>
      </c>
      <c r="J27" s="6">
        <v>8</v>
      </c>
      <c r="K27" s="6">
        <v>9</v>
      </c>
      <c r="L27" s="6">
        <v>10</v>
      </c>
      <c r="M27" s="6">
        <v>11</v>
      </c>
      <c r="N27" s="6">
        <v>12</v>
      </c>
      <c r="O27" s="6">
        <v>13</v>
      </c>
      <c r="P27" s="6">
        <v>14</v>
      </c>
      <c r="Q27" s="6">
        <v>15</v>
      </c>
      <c r="R27" s="6">
        <v>16</v>
      </c>
      <c r="S27" s="6">
        <v>17</v>
      </c>
      <c r="T27" s="6">
        <v>18</v>
      </c>
      <c r="U27" s="6">
        <v>19</v>
      </c>
      <c r="V27" s="6">
        <v>20</v>
      </c>
      <c r="W27" s="6">
        <v>21</v>
      </c>
      <c r="X27" s="6">
        <v>22</v>
      </c>
      <c r="Y27" s="6">
        <v>23</v>
      </c>
      <c r="Z27" s="6">
        <v>24</v>
      </c>
      <c r="AA27" s="6">
        <v>25</v>
      </c>
      <c r="AB27" s="6">
        <v>26</v>
      </c>
      <c r="AC27" s="6">
        <v>27</v>
      </c>
      <c r="AD27" s="6">
        <v>28</v>
      </c>
      <c r="AE27" s="6">
        <v>29</v>
      </c>
      <c r="AF27" s="6">
        <v>30</v>
      </c>
      <c r="AG27" s="6">
        <v>31</v>
      </c>
      <c r="AH27" s="483" t="s">
        <v>105</v>
      </c>
      <c r="AI27" s="476" t="s">
        <v>106</v>
      </c>
      <c r="AJ27" s="72" t="s">
        <v>495</v>
      </c>
    </row>
    <row r="28" spans="2:36" ht="20.100000000000001" hidden="1" customHeight="1" outlineLevel="1" x14ac:dyDescent="0.4">
      <c r="B28" s="624"/>
      <c r="C28" s="6" t="s">
        <v>109</v>
      </c>
      <c r="D28" s="6" t="s">
        <v>110</v>
      </c>
      <c r="E28" s="6" t="s">
        <v>111</v>
      </c>
      <c r="F28" s="6" t="s">
        <v>69</v>
      </c>
      <c r="G28" s="6" t="s">
        <v>71</v>
      </c>
      <c r="H28" s="6" t="s">
        <v>107</v>
      </c>
      <c r="I28" s="6" t="s">
        <v>108</v>
      </c>
      <c r="J28" s="6" t="s">
        <v>109</v>
      </c>
      <c r="K28" s="6" t="s">
        <v>110</v>
      </c>
      <c r="L28" s="6" t="s">
        <v>111</v>
      </c>
      <c r="M28" s="6" t="s">
        <v>69</v>
      </c>
      <c r="N28" s="6" t="s">
        <v>71</v>
      </c>
      <c r="O28" s="6" t="s">
        <v>107</v>
      </c>
      <c r="P28" s="6" t="s">
        <v>108</v>
      </c>
      <c r="Q28" s="6" t="s">
        <v>109</v>
      </c>
      <c r="R28" s="6" t="s">
        <v>110</v>
      </c>
      <c r="S28" s="6" t="s">
        <v>111</v>
      </c>
      <c r="T28" s="6" t="s">
        <v>69</v>
      </c>
      <c r="U28" s="6" t="s">
        <v>71</v>
      </c>
      <c r="V28" s="6" t="s">
        <v>107</v>
      </c>
      <c r="W28" s="6" t="s">
        <v>108</v>
      </c>
      <c r="X28" s="6" t="s">
        <v>109</v>
      </c>
      <c r="Y28" s="6" t="s">
        <v>110</v>
      </c>
      <c r="Z28" s="6" t="s">
        <v>111</v>
      </c>
      <c r="AA28" s="6" t="s">
        <v>69</v>
      </c>
      <c r="AB28" s="6" t="s">
        <v>71</v>
      </c>
      <c r="AC28" s="6" t="s">
        <v>107</v>
      </c>
      <c r="AD28" s="6" t="s">
        <v>492</v>
      </c>
      <c r="AE28" s="6" t="s">
        <v>109</v>
      </c>
      <c r="AF28" s="6" t="s">
        <v>110</v>
      </c>
      <c r="AG28" s="6" t="s">
        <v>111</v>
      </c>
      <c r="AH28" s="485"/>
      <c r="AI28" s="478"/>
      <c r="AJ28" s="72" t="s">
        <v>565</v>
      </c>
    </row>
    <row r="29" spans="2:36" ht="20.100000000000001" hidden="1" customHeight="1" outlineLevel="1" x14ac:dyDescent="0.4">
      <c r="B29" s="4" t="s">
        <v>162</v>
      </c>
      <c r="C29" s="3" t="s">
        <v>405</v>
      </c>
      <c r="D29" s="3" t="s">
        <v>404</v>
      </c>
      <c r="E29" s="3" t="s">
        <v>404</v>
      </c>
      <c r="F29" s="3" t="s">
        <v>403</v>
      </c>
      <c r="G29" s="3" t="s">
        <v>403</v>
      </c>
      <c r="H29" s="3" t="s">
        <v>403</v>
      </c>
      <c r="I29" s="3" t="s">
        <v>403</v>
      </c>
      <c r="J29" s="3" t="s">
        <v>403</v>
      </c>
      <c r="K29" s="3" t="s">
        <v>404</v>
      </c>
      <c r="L29" s="3" t="s">
        <v>404</v>
      </c>
      <c r="M29" s="3" t="s">
        <v>403</v>
      </c>
      <c r="N29" s="3" t="s">
        <v>403</v>
      </c>
      <c r="O29" s="3" t="s">
        <v>403</v>
      </c>
      <c r="P29" s="3" t="s">
        <v>403</v>
      </c>
      <c r="Q29" s="3" t="s">
        <v>403</v>
      </c>
      <c r="R29" s="3" t="s">
        <v>404</v>
      </c>
      <c r="S29" s="3" t="s">
        <v>404</v>
      </c>
      <c r="T29" s="3" t="s">
        <v>403</v>
      </c>
      <c r="U29" s="3" t="s">
        <v>403</v>
      </c>
      <c r="V29" s="3" t="s">
        <v>403</v>
      </c>
      <c r="W29" s="3" t="s">
        <v>403</v>
      </c>
      <c r="X29" s="3" t="s">
        <v>403</v>
      </c>
      <c r="Y29" s="3" t="s">
        <v>404</v>
      </c>
      <c r="Z29" s="3" t="s">
        <v>404</v>
      </c>
      <c r="AA29" s="3" t="s">
        <v>403</v>
      </c>
      <c r="AB29" s="3" t="s">
        <v>403</v>
      </c>
      <c r="AC29" s="3" t="s">
        <v>403</v>
      </c>
      <c r="AD29" s="3" t="s">
        <v>405</v>
      </c>
      <c r="AE29" s="3" t="s">
        <v>403</v>
      </c>
      <c r="AF29" s="3" t="s">
        <v>404</v>
      </c>
      <c r="AG29" s="3" t="s">
        <v>404</v>
      </c>
      <c r="AH29" s="4">
        <f>COUNTIF(C29:AG29,"L")</f>
        <v>0</v>
      </c>
      <c r="AI29" s="4">
        <f>COUNTIF(C29:AG29,"A")</f>
        <v>19</v>
      </c>
      <c r="AJ29" s="72" t="s">
        <v>402</v>
      </c>
    </row>
    <row r="30" spans="2:36" ht="20.100000000000001" hidden="1" customHeight="1" outlineLevel="1" x14ac:dyDescent="0.4">
      <c r="B30" s="4" t="s">
        <v>396</v>
      </c>
      <c r="C30" s="3" t="s">
        <v>405</v>
      </c>
      <c r="D30" s="3" t="s">
        <v>404</v>
      </c>
      <c r="E30" s="3" t="s">
        <v>404</v>
      </c>
      <c r="F30" s="3" t="s">
        <v>406</v>
      </c>
      <c r="G30" s="3" t="s">
        <v>406</v>
      </c>
      <c r="H30" s="3" t="s">
        <v>406</v>
      </c>
      <c r="I30" s="3" t="s">
        <v>406</v>
      </c>
      <c r="J30" s="3" t="s">
        <v>406</v>
      </c>
      <c r="K30" s="3" t="s">
        <v>404</v>
      </c>
      <c r="L30" s="3" t="s">
        <v>404</v>
      </c>
      <c r="M30" s="3" t="s">
        <v>406</v>
      </c>
      <c r="N30" s="3" t="s">
        <v>406</v>
      </c>
      <c r="O30" s="3" t="s">
        <v>406</v>
      </c>
      <c r="P30" s="3" t="s">
        <v>406</v>
      </c>
      <c r="Q30" s="3" t="s">
        <v>406</v>
      </c>
      <c r="R30" s="3" t="s">
        <v>404</v>
      </c>
      <c r="S30" s="3" t="s">
        <v>404</v>
      </c>
      <c r="T30" s="3" t="s">
        <v>406</v>
      </c>
      <c r="U30" s="3" t="s">
        <v>406</v>
      </c>
      <c r="V30" s="3" t="s">
        <v>406</v>
      </c>
      <c r="W30" s="3" t="s">
        <v>406</v>
      </c>
      <c r="X30" s="3" t="s">
        <v>406</v>
      </c>
      <c r="Y30" s="3" t="s">
        <v>404</v>
      </c>
      <c r="Z30" s="3" t="s">
        <v>404</v>
      </c>
      <c r="AA30" s="3" t="s">
        <v>406</v>
      </c>
      <c r="AB30" s="3" t="s">
        <v>406</v>
      </c>
      <c r="AC30" s="3" t="s">
        <v>406</v>
      </c>
      <c r="AD30" s="3" t="s">
        <v>405</v>
      </c>
      <c r="AE30" s="3" t="s">
        <v>406</v>
      </c>
      <c r="AF30" s="3" t="s">
        <v>404</v>
      </c>
      <c r="AG30" s="3" t="s">
        <v>404</v>
      </c>
      <c r="AH30" s="4">
        <f t="shared" ref="AH30:AH34" si="2">COUNTIF(C30:AG30,"L")</f>
        <v>19</v>
      </c>
      <c r="AI30" s="4">
        <f t="shared" ref="AI30:AI34" si="3">COUNTIF(C30:AG30,"A")</f>
        <v>0</v>
      </c>
      <c r="AJ30" s="72" t="s">
        <v>496</v>
      </c>
    </row>
    <row r="31" spans="2:36" ht="20.100000000000001" hidden="1" customHeight="1" outlineLevel="1" x14ac:dyDescent="0.4">
      <c r="B31" s="4" t="s">
        <v>170</v>
      </c>
      <c r="C31" s="3" t="s">
        <v>405</v>
      </c>
      <c r="D31" s="3" t="s">
        <v>404</v>
      </c>
      <c r="E31" s="3" t="s">
        <v>404</v>
      </c>
      <c r="F31" s="3" t="s">
        <v>403</v>
      </c>
      <c r="G31" s="3" t="s">
        <v>403</v>
      </c>
      <c r="H31" s="3" t="s">
        <v>403</v>
      </c>
      <c r="I31" s="3" t="s">
        <v>403</v>
      </c>
      <c r="J31" s="3" t="s">
        <v>403</v>
      </c>
      <c r="K31" s="3" t="s">
        <v>404</v>
      </c>
      <c r="L31" s="3" t="s">
        <v>404</v>
      </c>
      <c r="M31" s="3" t="s">
        <v>403</v>
      </c>
      <c r="N31" s="3" t="s">
        <v>403</v>
      </c>
      <c r="O31" s="3" t="s">
        <v>403</v>
      </c>
      <c r="P31" s="3" t="s">
        <v>403</v>
      </c>
      <c r="Q31" s="3" t="s">
        <v>403</v>
      </c>
      <c r="R31" s="3" t="s">
        <v>404</v>
      </c>
      <c r="S31" s="3" t="s">
        <v>404</v>
      </c>
      <c r="T31" s="3" t="s">
        <v>403</v>
      </c>
      <c r="U31" s="3" t="s">
        <v>403</v>
      </c>
      <c r="V31" s="3" t="s">
        <v>403</v>
      </c>
      <c r="W31" s="3" t="s">
        <v>403</v>
      </c>
      <c r="X31" s="3" t="s">
        <v>403</v>
      </c>
      <c r="Y31" s="3" t="s">
        <v>404</v>
      </c>
      <c r="Z31" s="3" t="s">
        <v>404</v>
      </c>
      <c r="AA31" s="3" t="s">
        <v>403</v>
      </c>
      <c r="AB31" s="3" t="s">
        <v>403</v>
      </c>
      <c r="AC31" s="3" t="s">
        <v>403</v>
      </c>
      <c r="AD31" s="3" t="s">
        <v>405</v>
      </c>
      <c r="AE31" s="3" t="s">
        <v>403</v>
      </c>
      <c r="AF31" s="3" t="s">
        <v>404</v>
      </c>
      <c r="AG31" s="3" t="s">
        <v>404</v>
      </c>
      <c r="AH31" s="4">
        <f t="shared" si="2"/>
        <v>0</v>
      </c>
      <c r="AI31" s="4">
        <f t="shared" si="3"/>
        <v>19</v>
      </c>
      <c r="AJ31" s="72"/>
    </row>
    <row r="32" spans="2:36" ht="20.100000000000001" hidden="1" customHeight="1" outlineLevel="1" x14ac:dyDescent="0.4">
      <c r="B32" s="4" t="s">
        <v>398</v>
      </c>
      <c r="C32" s="3" t="s">
        <v>405</v>
      </c>
      <c r="D32" s="3" t="s">
        <v>404</v>
      </c>
      <c r="E32" s="3" t="s">
        <v>404</v>
      </c>
      <c r="F32" s="3" t="s">
        <v>403</v>
      </c>
      <c r="G32" s="3" t="s">
        <v>403</v>
      </c>
      <c r="H32" s="3" t="s">
        <v>403</v>
      </c>
      <c r="I32" s="3" t="s">
        <v>403</v>
      </c>
      <c r="J32" s="3" t="s">
        <v>403</v>
      </c>
      <c r="K32" s="3" t="s">
        <v>404</v>
      </c>
      <c r="L32" s="3" t="s">
        <v>404</v>
      </c>
      <c r="M32" s="3" t="s">
        <v>403</v>
      </c>
      <c r="N32" s="3" t="s">
        <v>403</v>
      </c>
      <c r="O32" s="3" t="s">
        <v>403</v>
      </c>
      <c r="P32" s="3" t="s">
        <v>403</v>
      </c>
      <c r="Q32" s="3" t="s">
        <v>403</v>
      </c>
      <c r="R32" s="3" t="s">
        <v>404</v>
      </c>
      <c r="S32" s="3" t="s">
        <v>404</v>
      </c>
      <c r="T32" s="3" t="s">
        <v>403</v>
      </c>
      <c r="U32" s="3" t="s">
        <v>403</v>
      </c>
      <c r="V32" s="3" t="s">
        <v>403</v>
      </c>
      <c r="W32" s="3" t="s">
        <v>403</v>
      </c>
      <c r="X32" s="3" t="s">
        <v>403</v>
      </c>
      <c r="Y32" s="3" t="s">
        <v>404</v>
      </c>
      <c r="Z32" s="3" t="s">
        <v>404</v>
      </c>
      <c r="AA32" s="3" t="s">
        <v>403</v>
      </c>
      <c r="AB32" s="3" t="s">
        <v>403</v>
      </c>
      <c r="AC32" s="3" t="s">
        <v>403</v>
      </c>
      <c r="AD32" s="3" t="s">
        <v>405</v>
      </c>
      <c r="AE32" s="3" t="s">
        <v>403</v>
      </c>
      <c r="AF32" s="3" t="s">
        <v>404</v>
      </c>
      <c r="AG32" s="3" t="s">
        <v>404</v>
      </c>
      <c r="AH32" s="4">
        <f t="shared" si="2"/>
        <v>0</v>
      </c>
      <c r="AI32" s="4">
        <f t="shared" si="3"/>
        <v>19</v>
      </c>
      <c r="AJ32" s="72"/>
    </row>
    <row r="33" spans="2:36" ht="20.100000000000001" hidden="1" customHeight="1" outlineLevel="1" x14ac:dyDescent="0.4">
      <c r="B33" s="4" t="s">
        <v>399</v>
      </c>
      <c r="C33" s="3" t="s">
        <v>405</v>
      </c>
      <c r="D33" s="3" t="s">
        <v>404</v>
      </c>
      <c r="E33" s="3" t="s">
        <v>404</v>
      </c>
      <c r="F33" s="3" t="s">
        <v>403</v>
      </c>
      <c r="G33" s="3" t="s">
        <v>403</v>
      </c>
      <c r="H33" s="3" t="s">
        <v>403</v>
      </c>
      <c r="I33" s="3" t="s">
        <v>403</v>
      </c>
      <c r="J33" s="3" t="s">
        <v>403</v>
      </c>
      <c r="K33" s="3" t="s">
        <v>404</v>
      </c>
      <c r="L33" s="3" t="s">
        <v>404</v>
      </c>
      <c r="M33" s="3" t="s">
        <v>403</v>
      </c>
      <c r="N33" s="3" t="s">
        <v>403</v>
      </c>
      <c r="O33" s="3" t="s">
        <v>403</v>
      </c>
      <c r="P33" s="3" t="s">
        <v>403</v>
      </c>
      <c r="Q33" s="3" t="s">
        <v>403</v>
      </c>
      <c r="R33" s="3" t="s">
        <v>404</v>
      </c>
      <c r="S33" s="3" t="s">
        <v>404</v>
      </c>
      <c r="T33" s="3" t="s">
        <v>403</v>
      </c>
      <c r="U33" s="3" t="s">
        <v>403</v>
      </c>
      <c r="V33" s="3" t="s">
        <v>403</v>
      </c>
      <c r="W33" s="3" t="s">
        <v>403</v>
      </c>
      <c r="X33" s="3" t="s">
        <v>403</v>
      </c>
      <c r="Y33" s="3" t="s">
        <v>404</v>
      </c>
      <c r="Z33" s="3" t="s">
        <v>404</v>
      </c>
      <c r="AA33" s="3" t="s">
        <v>403</v>
      </c>
      <c r="AB33" s="3" t="s">
        <v>403</v>
      </c>
      <c r="AC33" s="3" t="s">
        <v>403</v>
      </c>
      <c r="AD33" s="3" t="s">
        <v>405</v>
      </c>
      <c r="AE33" s="3" t="s">
        <v>403</v>
      </c>
      <c r="AF33" s="3" t="s">
        <v>404</v>
      </c>
      <c r="AG33" s="3" t="s">
        <v>404</v>
      </c>
      <c r="AH33" s="4">
        <f t="shared" si="2"/>
        <v>0</v>
      </c>
      <c r="AI33" s="4">
        <f t="shared" si="3"/>
        <v>19</v>
      </c>
      <c r="AJ33" s="72"/>
    </row>
    <row r="34" spans="2:36" ht="20.100000000000001" hidden="1" customHeight="1" outlineLevel="1" x14ac:dyDescent="0.4">
      <c r="B34" s="4" t="s">
        <v>400</v>
      </c>
      <c r="C34" s="3" t="s">
        <v>405</v>
      </c>
      <c r="D34" s="3" t="s">
        <v>404</v>
      </c>
      <c r="E34" s="3" t="s">
        <v>404</v>
      </c>
      <c r="F34" s="3" t="s">
        <v>403</v>
      </c>
      <c r="G34" s="3" t="s">
        <v>403</v>
      </c>
      <c r="H34" s="3" t="s">
        <v>403</v>
      </c>
      <c r="I34" s="3" t="s">
        <v>403</v>
      </c>
      <c r="J34" s="3" t="s">
        <v>403</v>
      </c>
      <c r="K34" s="3" t="s">
        <v>404</v>
      </c>
      <c r="L34" s="3" t="s">
        <v>404</v>
      </c>
      <c r="M34" s="3" t="s">
        <v>403</v>
      </c>
      <c r="N34" s="3" t="s">
        <v>403</v>
      </c>
      <c r="O34" s="3" t="s">
        <v>403</v>
      </c>
      <c r="P34" s="3" t="s">
        <v>403</v>
      </c>
      <c r="Q34" s="3" t="s">
        <v>403</v>
      </c>
      <c r="R34" s="3" t="s">
        <v>404</v>
      </c>
      <c r="S34" s="3" t="s">
        <v>404</v>
      </c>
      <c r="T34" s="3" t="s">
        <v>403</v>
      </c>
      <c r="U34" s="3" t="s">
        <v>403</v>
      </c>
      <c r="V34" s="3" t="s">
        <v>403</v>
      </c>
      <c r="W34" s="3" t="s">
        <v>403</v>
      </c>
      <c r="X34" s="3" t="s">
        <v>403</v>
      </c>
      <c r="Y34" s="3" t="s">
        <v>404</v>
      </c>
      <c r="Z34" s="3" t="s">
        <v>404</v>
      </c>
      <c r="AA34" s="3" t="s">
        <v>403</v>
      </c>
      <c r="AB34" s="3" t="s">
        <v>403</v>
      </c>
      <c r="AC34" s="3" t="s">
        <v>403</v>
      </c>
      <c r="AD34" s="3" t="s">
        <v>405</v>
      </c>
      <c r="AE34" s="3" t="s">
        <v>403</v>
      </c>
      <c r="AF34" s="3" t="s">
        <v>404</v>
      </c>
      <c r="AG34" s="3" t="s">
        <v>404</v>
      </c>
      <c r="AH34" s="4">
        <f t="shared" si="2"/>
        <v>0</v>
      </c>
      <c r="AI34" s="4">
        <f t="shared" si="3"/>
        <v>19</v>
      </c>
    </row>
    <row r="35" spans="2:36" ht="20.100000000000001" hidden="1" customHeight="1" outlineLevel="1" x14ac:dyDescent="0.4">
      <c r="C35" s="229" t="s">
        <v>407</v>
      </c>
      <c r="AF35" s="2"/>
      <c r="AG35" s="2"/>
    </row>
    <row r="36" spans="2:36" ht="20.100000000000001" hidden="1" customHeight="1" outlineLevel="1" collapsed="1" x14ac:dyDescent="0.4">
      <c r="AI36" s="1">
        <f>AI39*7.5</f>
        <v>165</v>
      </c>
    </row>
    <row r="37" spans="2:36" ht="20.100000000000001" hidden="1" customHeight="1" outlineLevel="1" x14ac:dyDescent="0.4">
      <c r="B37" s="623">
        <f>DATE(YEAR(B27),MONTH(B27)+1,DAY(B27))</f>
        <v>46174</v>
      </c>
      <c r="C37" s="6">
        <v>1</v>
      </c>
      <c r="D37" s="6">
        <v>2</v>
      </c>
      <c r="E37" s="6">
        <v>3</v>
      </c>
      <c r="F37" s="6">
        <v>4</v>
      </c>
      <c r="G37" s="6">
        <v>5</v>
      </c>
      <c r="H37" s="6">
        <v>6</v>
      </c>
      <c r="I37" s="6">
        <v>7</v>
      </c>
      <c r="J37" s="6">
        <v>8</v>
      </c>
      <c r="K37" s="6">
        <v>9</v>
      </c>
      <c r="L37" s="6">
        <v>10</v>
      </c>
      <c r="M37" s="6">
        <v>11</v>
      </c>
      <c r="N37" s="6">
        <v>12</v>
      </c>
      <c r="O37" s="6">
        <v>13</v>
      </c>
      <c r="P37" s="6">
        <v>14</v>
      </c>
      <c r="Q37" s="6">
        <v>15</v>
      </c>
      <c r="R37" s="6">
        <v>16</v>
      </c>
      <c r="S37" s="6">
        <v>17</v>
      </c>
      <c r="T37" s="6">
        <v>18</v>
      </c>
      <c r="U37" s="6">
        <v>19</v>
      </c>
      <c r="V37" s="6">
        <v>20</v>
      </c>
      <c r="W37" s="6">
        <v>21</v>
      </c>
      <c r="X37" s="6">
        <v>22</v>
      </c>
      <c r="Y37" s="6">
        <v>23</v>
      </c>
      <c r="Z37" s="6">
        <v>24</v>
      </c>
      <c r="AA37" s="6">
        <v>25</v>
      </c>
      <c r="AB37" s="6">
        <v>26</v>
      </c>
      <c r="AC37" s="6">
        <v>27</v>
      </c>
      <c r="AD37" s="6">
        <v>28</v>
      </c>
      <c r="AE37" s="6">
        <v>29</v>
      </c>
      <c r="AF37" s="6">
        <v>30</v>
      </c>
      <c r="AG37" s="6"/>
      <c r="AH37" s="483" t="s">
        <v>105</v>
      </c>
      <c r="AI37" s="476" t="s">
        <v>106</v>
      </c>
      <c r="AJ37" s="72" t="s">
        <v>584</v>
      </c>
    </row>
    <row r="38" spans="2:36" ht="20.100000000000001" hidden="1" customHeight="1" outlineLevel="1" x14ac:dyDescent="0.4">
      <c r="B38" s="624"/>
      <c r="C38" s="6" t="s">
        <v>69</v>
      </c>
      <c r="D38" s="6" t="s">
        <v>71</v>
      </c>
      <c r="E38" s="6" t="s">
        <v>107</v>
      </c>
      <c r="F38" s="6" t="s">
        <v>108</v>
      </c>
      <c r="G38" s="6" t="s">
        <v>109</v>
      </c>
      <c r="H38" s="6" t="s">
        <v>110</v>
      </c>
      <c r="I38" s="6" t="s">
        <v>111</v>
      </c>
      <c r="J38" s="6" t="s">
        <v>69</v>
      </c>
      <c r="K38" s="6" t="s">
        <v>71</v>
      </c>
      <c r="L38" s="6" t="s">
        <v>107</v>
      </c>
      <c r="M38" s="6" t="s">
        <v>108</v>
      </c>
      <c r="N38" s="6" t="s">
        <v>109</v>
      </c>
      <c r="O38" s="6" t="s">
        <v>110</v>
      </c>
      <c r="P38" s="6" t="s">
        <v>111</v>
      </c>
      <c r="Q38" s="6" t="s">
        <v>69</v>
      </c>
      <c r="R38" s="6" t="s">
        <v>71</v>
      </c>
      <c r="S38" s="6" t="s">
        <v>107</v>
      </c>
      <c r="T38" s="6" t="s">
        <v>108</v>
      </c>
      <c r="U38" s="6" t="s">
        <v>109</v>
      </c>
      <c r="V38" s="6" t="s">
        <v>110</v>
      </c>
      <c r="W38" s="6" t="s">
        <v>111</v>
      </c>
      <c r="X38" s="6" t="s">
        <v>69</v>
      </c>
      <c r="Y38" s="6" t="s">
        <v>71</v>
      </c>
      <c r="Z38" s="6" t="s">
        <v>107</v>
      </c>
      <c r="AA38" s="6" t="s">
        <v>108</v>
      </c>
      <c r="AB38" s="6" t="s">
        <v>109</v>
      </c>
      <c r="AC38" s="6" t="s">
        <v>110</v>
      </c>
      <c r="AD38" s="6" t="s">
        <v>111</v>
      </c>
      <c r="AE38" s="6" t="s">
        <v>69</v>
      </c>
      <c r="AF38" s="6" t="s">
        <v>71</v>
      </c>
      <c r="AG38" s="6"/>
      <c r="AH38" s="485"/>
      <c r="AI38" s="478"/>
      <c r="AJ38" s="72" t="s">
        <v>587</v>
      </c>
    </row>
    <row r="39" spans="2:36" ht="20.100000000000001" hidden="1" customHeight="1" outlineLevel="1" x14ac:dyDescent="0.4">
      <c r="B39" s="4" t="s">
        <v>162</v>
      </c>
      <c r="C39" s="3" t="s">
        <v>403</v>
      </c>
      <c r="D39" s="3" t="s">
        <v>403</v>
      </c>
      <c r="E39" s="3" t="s">
        <v>403</v>
      </c>
      <c r="F39" s="3" t="s">
        <v>403</v>
      </c>
      <c r="G39" s="3" t="s">
        <v>403</v>
      </c>
      <c r="H39" s="3" t="s">
        <v>404</v>
      </c>
      <c r="I39" s="3" t="s">
        <v>404</v>
      </c>
      <c r="J39" s="3" t="s">
        <v>403</v>
      </c>
      <c r="K39" s="3" t="s">
        <v>403</v>
      </c>
      <c r="L39" s="3" t="s">
        <v>403</v>
      </c>
      <c r="M39" s="3" t="s">
        <v>403</v>
      </c>
      <c r="N39" s="3" t="s">
        <v>403</v>
      </c>
      <c r="O39" s="3" t="s">
        <v>404</v>
      </c>
      <c r="P39" s="3" t="s">
        <v>404</v>
      </c>
      <c r="Q39" s="3" t="s">
        <v>403</v>
      </c>
      <c r="R39" s="3" t="s">
        <v>403</v>
      </c>
      <c r="S39" s="3" t="s">
        <v>403</v>
      </c>
      <c r="T39" s="3" t="s">
        <v>403</v>
      </c>
      <c r="U39" s="3" t="s">
        <v>403</v>
      </c>
      <c r="V39" s="3" t="s">
        <v>404</v>
      </c>
      <c r="W39" s="3" t="s">
        <v>404</v>
      </c>
      <c r="X39" s="3" t="s">
        <v>403</v>
      </c>
      <c r="Y39" s="3" t="s">
        <v>403</v>
      </c>
      <c r="Z39" s="3" t="s">
        <v>403</v>
      </c>
      <c r="AA39" s="3" t="s">
        <v>403</v>
      </c>
      <c r="AB39" s="3" t="s">
        <v>403</v>
      </c>
      <c r="AC39" s="3" t="s">
        <v>404</v>
      </c>
      <c r="AD39" s="3" t="s">
        <v>404</v>
      </c>
      <c r="AE39" s="3" t="s">
        <v>403</v>
      </c>
      <c r="AF39" s="3" t="s">
        <v>403</v>
      </c>
      <c r="AG39" s="3"/>
      <c r="AH39" s="4">
        <f>COUNTIF(C39:AG39,"L")</f>
        <v>0</v>
      </c>
      <c r="AI39" s="4">
        <f>COUNTIF(C39:AG39,"A")</f>
        <v>22</v>
      </c>
      <c r="AJ39" s="72" t="s">
        <v>585</v>
      </c>
    </row>
    <row r="40" spans="2:36" ht="20.100000000000001" hidden="1" customHeight="1" outlineLevel="1" x14ac:dyDescent="0.4">
      <c r="B40" s="4" t="s">
        <v>396</v>
      </c>
      <c r="C40" s="3" t="s">
        <v>406</v>
      </c>
      <c r="D40" s="3" t="s">
        <v>406</v>
      </c>
      <c r="E40" s="3" t="s">
        <v>406</v>
      </c>
      <c r="F40" s="3" t="s">
        <v>406</v>
      </c>
      <c r="G40" s="3" t="s">
        <v>406</v>
      </c>
      <c r="H40" s="3" t="s">
        <v>404</v>
      </c>
      <c r="I40" s="3" t="s">
        <v>404</v>
      </c>
      <c r="J40" s="3" t="s">
        <v>406</v>
      </c>
      <c r="K40" s="3" t="s">
        <v>406</v>
      </c>
      <c r="L40" s="3" t="s">
        <v>406</v>
      </c>
      <c r="M40" s="3" t="s">
        <v>406</v>
      </c>
      <c r="N40" s="3" t="s">
        <v>406</v>
      </c>
      <c r="O40" s="3" t="s">
        <v>404</v>
      </c>
      <c r="P40" s="3" t="s">
        <v>404</v>
      </c>
      <c r="Q40" s="3" t="s">
        <v>406</v>
      </c>
      <c r="R40" s="3" t="s">
        <v>403</v>
      </c>
      <c r="S40" s="3" t="s">
        <v>403</v>
      </c>
      <c r="T40" s="3" t="s">
        <v>403</v>
      </c>
      <c r="U40" s="3" t="s">
        <v>403</v>
      </c>
      <c r="V40" s="3" t="s">
        <v>404</v>
      </c>
      <c r="W40" s="3" t="s">
        <v>404</v>
      </c>
      <c r="X40" s="3" t="s">
        <v>403</v>
      </c>
      <c r="Y40" s="3" t="s">
        <v>403</v>
      </c>
      <c r="Z40" s="3" t="s">
        <v>403</v>
      </c>
      <c r="AA40" s="3" t="s">
        <v>403</v>
      </c>
      <c r="AB40" s="3" t="s">
        <v>403</v>
      </c>
      <c r="AC40" s="3" t="s">
        <v>404</v>
      </c>
      <c r="AD40" s="3" t="s">
        <v>404</v>
      </c>
      <c r="AE40" s="3" t="s">
        <v>403</v>
      </c>
      <c r="AF40" s="3" t="s">
        <v>403</v>
      </c>
      <c r="AG40" s="3"/>
      <c r="AH40" s="4">
        <f t="shared" ref="AH40:AH44" si="4">COUNTIF(C40:AG40,"L")</f>
        <v>11</v>
      </c>
      <c r="AI40" s="4">
        <f t="shared" ref="AI40:AI44" si="5">COUNTIF(C40:AG40,"A")</f>
        <v>11</v>
      </c>
      <c r="AJ40" s="72" t="s">
        <v>586</v>
      </c>
    </row>
    <row r="41" spans="2:36" ht="20.100000000000001" hidden="1" customHeight="1" outlineLevel="1" x14ac:dyDescent="0.4">
      <c r="B41" s="4" t="s">
        <v>170</v>
      </c>
      <c r="C41" s="3" t="s">
        <v>403</v>
      </c>
      <c r="D41" s="3" t="s">
        <v>403</v>
      </c>
      <c r="E41" s="3" t="s">
        <v>403</v>
      </c>
      <c r="F41" s="3" t="s">
        <v>403</v>
      </c>
      <c r="G41" s="3" t="s">
        <v>403</v>
      </c>
      <c r="H41" s="3" t="s">
        <v>404</v>
      </c>
      <c r="I41" s="3" t="s">
        <v>404</v>
      </c>
      <c r="J41" s="3" t="s">
        <v>403</v>
      </c>
      <c r="K41" s="3" t="s">
        <v>403</v>
      </c>
      <c r="L41" s="3" t="s">
        <v>403</v>
      </c>
      <c r="M41" s="3" t="s">
        <v>403</v>
      </c>
      <c r="N41" s="3" t="s">
        <v>403</v>
      </c>
      <c r="O41" s="3" t="s">
        <v>404</v>
      </c>
      <c r="P41" s="3" t="s">
        <v>404</v>
      </c>
      <c r="Q41" s="3" t="s">
        <v>403</v>
      </c>
      <c r="R41" s="3" t="s">
        <v>403</v>
      </c>
      <c r="S41" s="3" t="s">
        <v>403</v>
      </c>
      <c r="T41" s="3" t="s">
        <v>403</v>
      </c>
      <c r="U41" s="3" t="s">
        <v>403</v>
      </c>
      <c r="V41" s="3" t="s">
        <v>404</v>
      </c>
      <c r="W41" s="3" t="s">
        <v>404</v>
      </c>
      <c r="X41" s="3" t="s">
        <v>403</v>
      </c>
      <c r="Y41" s="3" t="s">
        <v>403</v>
      </c>
      <c r="Z41" s="3" t="s">
        <v>403</v>
      </c>
      <c r="AA41" s="3" t="s">
        <v>403</v>
      </c>
      <c r="AB41" s="3" t="s">
        <v>403</v>
      </c>
      <c r="AC41" s="3" t="s">
        <v>404</v>
      </c>
      <c r="AD41" s="3" t="s">
        <v>404</v>
      </c>
      <c r="AE41" s="3" t="s">
        <v>403</v>
      </c>
      <c r="AF41" s="3" t="s">
        <v>403</v>
      </c>
      <c r="AG41" s="3"/>
      <c r="AH41" s="4">
        <f t="shared" si="4"/>
        <v>0</v>
      </c>
      <c r="AI41" s="4">
        <f t="shared" si="5"/>
        <v>22</v>
      </c>
    </row>
    <row r="42" spans="2:36" ht="20.100000000000001" hidden="1" customHeight="1" outlineLevel="1" x14ac:dyDescent="0.4">
      <c r="B42" s="4" t="s">
        <v>398</v>
      </c>
      <c r="C42" s="3" t="s">
        <v>403</v>
      </c>
      <c r="D42" s="3" t="s">
        <v>403</v>
      </c>
      <c r="E42" s="3" t="s">
        <v>403</v>
      </c>
      <c r="F42" s="3" t="s">
        <v>403</v>
      </c>
      <c r="G42" s="3" t="s">
        <v>403</v>
      </c>
      <c r="H42" s="3" t="s">
        <v>404</v>
      </c>
      <c r="I42" s="3" t="s">
        <v>404</v>
      </c>
      <c r="J42" s="3" t="s">
        <v>403</v>
      </c>
      <c r="K42" s="3" t="s">
        <v>403</v>
      </c>
      <c r="L42" s="3" t="s">
        <v>403</v>
      </c>
      <c r="M42" s="3" t="s">
        <v>403</v>
      </c>
      <c r="N42" s="3" t="s">
        <v>403</v>
      </c>
      <c r="O42" s="3" t="s">
        <v>404</v>
      </c>
      <c r="P42" s="3" t="s">
        <v>404</v>
      </c>
      <c r="Q42" s="3" t="s">
        <v>403</v>
      </c>
      <c r="R42" s="3" t="s">
        <v>403</v>
      </c>
      <c r="S42" s="3" t="s">
        <v>403</v>
      </c>
      <c r="T42" s="3" t="s">
        <v>403</v>
      </c>
      <c r="U42" s="3" t="s">
        <v>403</v>
      </c>
      <c r="V42" s="3" t="s">
        <v>404</v>
      </c>
      <c r="W42" s="3" t="s">
        <v>404</v>
      </c>
      <c r="X42" s="3" t="s">
        <v>403</v>
      </c>
      <c r="Y42" s="3" t="s">
        <v>403</v>
      </c>
      <c r="Z42" s="3" t="s">
        <v>403</v>
      </c>
      <c r="AA42" s="3" t="s">
        <v>403</v>
      </c>
      <c r="AB42" s="3" t="s">
        <v>403</v>
      </c>
      <c r="AC42" s="3" t="s">
        <v>404</v>
      </c>
      <c r="AD42" s="3" t="s">
        <v>404</v>
      </c>
      <c r="AE42" s="3" t="s">
        <v>403</v>
      </c>
      <c r="AF42" s="3" t="s">
        <v>403</v>
      </c>
      <c r="AG42" s="3"/>
      <c r="AH42" s="4">
        <f t="shared" si="4"/>
        <v>0</v>
      </c>
      <c r="AI42" s="4">
        <f t="shared" si="5"/>
        <v>22</v>
      </c>
      <c r="AJ42" s="72"/>
    </row>
    <row r="43" spans="2:36" ht="20.100000000000001" hidden="1" customHeight="1" outlineLevel="1" x14ac:dyDescent="0.4">
      <c r="B43" s="4" t="s">
        <v>399</v>
      </c>
      <c r="C43" s="3" t="s">
        <v>403</v>
      </c>
      <c r="D43" s="3" t="s">
        <v>403</v>
      </c>
      <c r="E43" s="3" t="s">
        <v>403</v>
      </c>
      <c r="F43" s="3" t="s">
        <v>403</v>
      </c>
      <c r="G43" s="3" t="s">
        <v>403</v>
      </c>
      <c r="H43" s="3" t="s">
        <v>404</v>
      </c>
      <c r="I43" s="3" t="s">
        <v>404</v>
      </c>
      <c r="J43" s="3" t="s">
        <v>403</v>
      </c>
      <c r="K43" s="3" t="s">
        <v>403</v>
      </c>
      <c r="L43" s="3" t="s">
        <v>403</v>
      </c>
      <c r="M43" s="3" t="s">
        <v>403</v>
      </c>
      <c r="N43" s="3" t="s">
        <v>403</v>
      </c>
      <c r="O43" s="3" t="s">
        <v>404</v>
      </c>
      <c r="P43" s="3" t="s">
        <v>404</v>
      </c>
      <c r="Q43" s="3" t="s">
        <v>403</v>
      </c>
      <c r="R43" s="3" t="s">
        <v>403</v>
      </c>
      <c r="S43" s="3" t="s">
        <v>403</v>
      </c>
      <c r="T43" s="3" t="s">
        <v>403</v>
      </c>
      <c r="U43" s="3" t="s">
        <v>403</v>
      </c>
      <c r="V43" s="3" t="s">
        <v>404</v>
      </c>
      <c r="W43" s="3" t="s">
        <v>404</v>
      </c>
      <c r="X43" s="3" t="s">
        <v>403</v>
      </c>
      <c r="Y43" s="3" t="s">
        <v>403</v>
      </c>
      <c r="Z43" s="3" t="s">
        <v>403</v>
      </c>
      <c r="AA43" s="3" t="s">
        <v>403</v>
      </c>
      <c r="AB43" s="3" t="s">
        <v>403</v>
      </c>
      <c r="AC43" s="3" t="s">
        <v>404</v>
      </c>
      <c r="AD43" s="3" t="s">
        <v>404</v>
      </c>
      <c r="AE43" s="3" t="s">
        <v>403</v>
      </c>
      <c r="AF43" s="3" t="s">
        <v>403</v>
      </c>
      <c r="AG43" s="3"/>
      <c r="AH43" s="4">
        <f t="shared" si="4"/>
        <v>0</v>
      </c>
      <c r="AI43" s="4">
        <f t="shared" si="5"/>
        <v>22</v>
      </c>
      <c r="AJ43" s="72"/>
    </row>
    <row r="44" spans="2:36" ht="20.100000000000001" hidden="1" customHeight="1" outlineLevel="1" x14ac:dyDescent="0.4">
      <c r="B44" s="4" t="s">
        <v>400</v>
      </c>
      <c r="C44" s="3" t="s">
        <v>403</v>
      </c>
      <c r="D44" s="3" t="s">
        <v>403</v>
      </c>
      <c r="E44" s="3" t="s">
        <v>403</v>
      </c>
      <c r="F44" s="3" t="s">
        <v>403</v>
      </c>
      <c r="G44" s="3" t="s">
        <v>403</v>
      </c>
      <c r="H44" s="3" t="s">
        <v>404</v>
      </c>
      <c r="I44" s="3" t="s">
        <v>404</v>
      </c>
      <c r="J44" s="3" t="s">
        <v>403</v>
      </c>
      <c r="K44" s="3" t="s">
        <v>403</v>
      </c>
      <c r="L44" s="3" t="s">
        <v>403</v>
      </c>
      <c r="M44" s="3" t="s">
        <v>403</v>
      </c>
      <c r="N44" s="3" t="s">
        <v>403</v>
      </c>
      <c r="O44" s="3" t="s">
        <v>404</v>
      </c>
      <c r="P44" s="3" t="s">
        <v>404</v>
      </c>
      <c r="Q44" s="3" t="s">
        <v>403</v>
      </c>
      <c r="R44" s="3" t="s">
        <v>403</v>
      </c>
      <c r="S44" s="3" t="s">
        <v>403</v>
      </c>
      <c r="T44" s="3" t="s">
        <v>403</v>
      </c>
      <c r="U44" s="3" t="s">
        <v>403</v>
      </c>
      <c r="V44" s="3" t="s">
        <v>404</v>
      </c>
      <c r="W44" s="3" t="s">
        <v>404</v>
      </c>
      <c r="X44" s="3" t="s">
        <v>403</v>
      </c>
      <c r="Y44" s="3" t="s">
        <v>403</v>
      </c>
      <c r="Z44" s="3" t="s">
        <v>403</v>
      </c>
      <c r="AA44" s="3" t="s">
        <v>403</v>
      </c>
      <c r="AB44" s="3" t="s">
        <v>403</v>
      </c>
      <c r="AC44" s="3" t="s">
        <v>404</v>
      </c>
      <c r="AD44" s="3" t="s">
        <v>404</v>
      </c>
      <c r="AE44" s="3" t="s">
        <v>403</v>
      </c>
      <c r="AF44" s="3" t="s">
        <v>403</v>
      </c>
      <c r="AG44" s="3"/>
      <c r="AH44" s="4">
        <f t="shared" si="4"/>
        <v>0</v>
      </c>
      <c r="AI44" s="4">
        <f t="shared" si="5"/>
        <v>22</v>
      </c>
      <c r="AJ44" s="72"/>
    </row>
    <row r="45" spans="2:36" ht="20.100000000000001" customHeight="1" collapsed="1" x14ac:dyDescent="0.4">
      <c r="C45" s="229"/>
      <c r="AF45" s="2"/>
      <c r="AG45" s="2"/>
      <c r="AJ45" s="72"/>
    </row>
    <row r="46" spans="2:36" ht="20.100000000000001" hidden="1" customHeight="1" outlineLevel="1" x14ac:dyDescent="0.4">
      <c r="AI46" s="1">
        <f>AI49*7.5</f>
        <v>165</v>
      </c>
    </row>
    <row r="47" spans="2:36" ht="20.100000000000001" hidden="1" customHeight="1" outlineLevel="1" x14ac:dyDescent="0.4">
      <c r="B47" s="623">
        <f>DATE(YEAR(B37),MONTH(B37)+1,DAY(B37))</f>
        <v>46204</v>
      </c>
      <c r="C47" s="6">
        <v>1</v>
      </c>
      <c r="D47" s="6">
        <v>2</v>
      </c>
      <c r="E47" s="6">
        <v>3</v>
      </c>
      <c r="F47" s="6">
        <v>4</v>
      </c>
      <c r="G47" s="6">
        <v>5</v>
      </c>
      <c r="H47" s="6">
        <v>6</v>
      </c>
      <c r="I47" s="6">
        <v>7</v>
      </c>
      <c r="J47" s="6">
        <v>8</v>
      </c>
      <c r="K47" s="6">
        <v>9</v>
      </c>
      <c r="L47" s="6">
        <v>10</v>
      </c>
      <c r="M47" s="6">
        <v>11</v>
      </c>
      <c r="N47" s="6">
        <v>12</v>
      </c>
      <c r="O47" s="6">
        <v>13</v>
      </c>
      <c r="P47" s="6">
        <v>14</v>
      </c>
      <c r="Q47" s="6">
        <v>15</v>
      </c>
      <c r="R47" s="6">
        <v>16</v>
      </c>
      <c r="S47" s="6">
        <v>17</v>
      </c>
      <c r="T47" s="6">
        <v>18</v>
      </c>
      <c r="U47" s="6">
        <v>19</v>
      </c>
      <c r="V47" s="6">
        <v>20</v>
      </c>
      <c r="W47" s="6">
        <v>21</v>
      </c>
      <c r="X47" s="6">
        <v>22</v>
      </c>
      <c r="Y47" s="6">
        <v>23</v>
      </c>
      <c r="Z47" s="6">
        <v>24</v>
      </c>
      <c r="AA47" s="6">
        <v>25</v>
      </c>
      <c r="AB47" s="6">
        <v>26</v>
      </c>
      <c r="AC47" s="6">
        <v>27</v>
      </c>
      <c r="AD47" s="6">
        <v>28</v>
      </c>
      <c r="AE47" s="6">
        <v>29</v>
      </c>
      <c r="AF47" s="6">
        <v>30</v>
      </c>
      <c r="AG47" s="6">
        <v>31</v>
      </c>
      <c r="AH47" s="483" t="s">
        <v>105</v>
      </c>
      <c r="AI47" s="476" t="s">
        <v>106</v>
      </c>
      <c r="AJ47" s="72" t="s">
        <v>584</v>
      </c>
    </row>
    <row r="48" spans="2:36" ht="20.100000000000001" hidden="1" customHeight="1" outlineLevel="1" x14ac:dyDescent="0.4">
      <c r="B48" s="624"/>
      <c r="C48" s="6" t="s">
        <v>107</v>
      </c>
      <c r="D48" s="6" t="s">
        <v>108</v>
      </c>
      <c r="E48" s="6" t="s">
        <v>109</v>
      </c>
      <c r="F48" s="6" t="s">
        <v>110</v>
      </c>
      <c r="G48" s="6" t="s">
        <v>111</v>
      </c>
      <c r="H48" s="6" t="s">
        <v>69</v>
      </c>
      <c r="I48" s="6" t="s">
        <v>71</v>
      </c>
      <c r="J48" s="6" t="s">
        <v>107</v>
      </c>
      <c r="K48" s="6" t="s">
        <v>108</v>
      </c>
      <c r="L48" s="6" t="s">
        <v>109</v>
      </c>
      <c r="M48" s="6" t="s">
        <v>110</v>
      </c>
      <c r="N48" s="6" t="s">
        <v>111</v>
      </c>
      <c r="O48" s="6" t="s">
        <v>69</v>
      </c>
      <c r="P48" s="6" t="s">
        <v>71</v>
      </c>
      <c r="Q48" s="6" t="s">
        <v>107</v>
      </c>
      <c r="R48" s="6" t="s">
        <v>108</v>
      </c>
      <c r="S48" s="6" t="s">
        <v>109</v>
      </c>
      <c r="T48" s="6" t="s">
        <v>110</v>
      </c>
      <c r="U48" s="6" t="s">
        <v>111</v>
      </c>
      <c r="V48" s="6" t="s">
        <v>69</v>
      </c>
      <c r="W48" s="6" t="s">
        <v>71</v>
      </c>
      <c r="X48" s="6" t="s">
        <v>107</v>
      </c>
      <c r="Y48" s="6" t="s">
        <v>108</v>
      </c>
      <c r="Z48" s="6" t="s">
        <v>109</v>
      </c>
      <c r="AA48" s="6" t="s">
        <v>110</v>
      </c>
      <c r="AB48" s="6" t="s">
        <v>111</v>
      </c>
      <c r="AC48" s="6" t="s">
        <v>69</v>
      </c>
      <c r="AD48" s="6" t="s">
        <v>71</v>
      </c>
      <c r="AE48" s="6" t="s">
        <v>491</v>
      </c>
      <c r="AF48" s="6" t="s">
        <v>108</v>
      </c>
      <c r="AG48" s="6" t="s">
        <v>109</v>
      </c>
      <c r="AH48" s="485"/>
      <c r="AI48" s="478"/>
      <c r="AJ48" s="72" t="s">
        <v>587</v>
      </c>
    </row>
    <row r="49" spans="2:36" ht="20.100000000000001" hidden="1" customHeight="1" outlineLevel="1" x14ac:dyDescent="0.4">
      <c r="B49" s="4" t="s">
        <v>162</v>
      </c>
      <c r="C49" s="3" t="s">
        <v>104</v>
      </c>
      <c r="D49" s="3" t="s">
        <v>104</v>
      </c>
      <c r="E49" s="3" t="s">
        <v>104</v>
      </c>
      <c r="F49" s="3" t="s">
        <v>102</v>
      </c>
      <c r="G49" s="3" t="s">
        <v>102</v>
      </c>
      <c r="H49" s="3" t="s">
        <v>104</v>
      </c>
      <c r="I49" s="3" t="s">
        <v>104</v>
      </c>
      <c r="J49" s="3" t="s">
        <v>104</v>
      </c>
      <c r="K49" s="3" t="s">
        <v>104</v>
      </c>
      <c r="L49" s="3" t="s">
        <v>104</v>
      </c>
      <c r="M49" s="3" t="s">
        <v>102</v>
      </c>
      <c r="N49" s="3" t="s">
        <v>102</v>
      </c>
      <c r="O49" s="3" t="s">
        <v>104</v>
      </c>
      <c r="P49" s="3" t="s">
        <v>104</v>
      </c>
      <c r="Q49" s="3" t="s">
        <v>104</v>
      </c>
      <c r="R49" s="3" t="s">
        <v>104</v>
      </c>
      <c r="S49" s="3" t="s">
        <v>104</v>
      </c>
      <c r="T49" s="3" t="s">
        <v>102</v>
      </c>
      <c r="U49" s="3" t="s">
        <v>102</v>
      </c>
      <c r="V49" s="3" t="s">
        <v>104</v>
      </c>
      <c r="W49" s="3" t="s">
        <v>104</v>
      </c>
      <c r="X49" s="3" t="s">
        <v>104</v>
      </c>
      <c r="Y49" s="3" t="s">
        <v>104</v>
      </c>
      <c r="Z49" s="3" t="s">
        <v>104</v>
      </c>
      <c r="AA49" s="3" t="s">
        <v>102</v>
      </c>
      <c r="AB49" s="3" t="s">
        <v>102</v>
      </c>
      <c r="AC49" s="3" t="s">
        <v>104</v>
      </c>
      <c r="AD49" s="3" t="s">
        <v>104</v>
      </c>
      <c r="AE49" s="3" t="s">
        <v>103</v>
      </c>
      <c r="AF49" s="3" t="s">
        <v>104</v>
      </c>
      <c r="AG49" s="3" t="s">
        <v>104</v>
      </c>
      <c r="AH49" s="4">
        <f>COUNTIF(C49:AG49,"L")</f>
        <v>0</v>
      </c>
      <c r="AI49" s="4">
        <f>COUNTIF(C49:AG49,"A")</f>
        <v>22</v>
      </c>
      <c r="AJ49" s="72" t="s">
        <v>585</v>
      </c>
    </row>
    <row r="50" spans="2:36" ht="20.100000000000001" hidden="1" customHeight="1" outlineLevel="1" x14ac:dyDescent="0.4">
      <c r="B50" s="4" t="s">
        <v>396</v>
      </c>
      <c r="C50" s="3" t="s">
        <v>104</v>
      </c>
      <c r="D50" s="3" t="s">
        <v>104</v>
      </c>
      <c r="E50" s="3" t="s">
        <v>104</v>
      </c>
      <c r="F50" s="3" t="s">
        <v>102</v>
      </c>
      <c r="G50" s="3" t="s">
        <v>102</v>
      </c>
      <c r="H50" s="3" t="s">
        <v>104</v>
      </c>
      <c r="I50" s="3" t="s">
        <v>104</v>
      </c>
      <c r="J50" s="3" t="s">
        <v>104</v>
      </c>
      <c r="K50" s="3" t="s">
        <v>104</v>
      </c>
      <c r="L50" s="3" t="s">
        <v>104</v>
      </c>
      <c r="M50" s="3" t="s">
        <v>102</v>
      </c>
      <c r="N50" s="3" t="s">
        <v>102</v>
      </c>
      <c r="O50" s="3" t="s">
        <v>104</v>
      </c>
      <c r="P50" s="3" t="s">
        <v>104</v>
      </c>
      <c r="Q50" s="3" t="s">
        <v>104</v>
      </c>
      <c r="R50" s="3" t="s">
        <v>104</v>
      </c>
      <c r="S50" s="3" t="s">
        <v>104</v>
      </c>
      <c r="T50" s="3" t="s">
        <v>102</v>
      </c>
      <c r="U50" s="3" t="s">
        <v>102</v>
      </c>
      <c r="V50" s="3" t="s">
        <v>104</v>
      </c>
      <c r="W50" s="3" t="s">
        <v>104</v>
      </c>
      <c r="X50" s="3" t="s">
        <v>104</v>
      </c>
      <c r="Y50" s="3" t="s">
        <v>104</v>
      </c>
      <c r="Z50" s="3" t="s">
        <v>104</v>
      </c>
      <c r="AA50" s="3" t="s">
        <v>102</v>
      </c>
      <c r="AB50" s="3" t="s">
        <v>102</v>
      </c>
      <c r="AC50" s="3" t="s">
        <v>104</v>
      </c>
      <c r="AD50" s="3" t="s">
        <v>104</v>
      </c>
      <c r="AE50" s="3" t="s">
        <v>103</v>
      </c>
      <c r="AF50" s="3" t="s">
        <v>104</v>
      </c>
      <c r="AG50" s="3" t="s">
        <v>104</v>
      </c>
      <c r="AH50" s="4">
        <f t="shared" ref="AH50:AH54" si="6">COUNTIF(C50:AG50,"L")</f>
        <v>0</v>
      </c>
      <c r="AI50" s="4">
        <f t="shared" ref="AI50:AI54" si="7">COUNTIF(C50:AG50,"A")</f>
        <v>22</v>
      </c>
      <c r="AJ50" s="72" t="s">
        <v>586</v>
      </c>
    </row>
    <row r="51" spans="2:36" ht="20.100000000000001" hidden="1" customHeight="1" outlineLevel="1" x14ac:dyDescent="0.4">
      <c r="B51" s="4" t="s">
        <v>170</v>
      </c>
      <c r="C51" s="3" t="s">
        <v>104</v>
      </c>
      <c r="D51" s="3" t="s">
        <v>104</v>
      </c>
      <c r="E51" s="3" t="s">
        <v>104</v>
      </c>
      <c r="F51" s="3" t="s">
        <v>102</v>
      </c>
      <c r="G51" s="3" t="s">
        <v>102</v>
      </c>
      <c r="H51" s="3" t="s">
        <v>104</v>
      </c>
      <c r="I51" s="3" t="s">
        <v>104</v>
      </c>
      <c r="J51" s="3" t="s">
        <v>104</v>
      </c>
      <c r="K51" s="3" t="s">
        <v>104</v>
      </c>
      <c r="L51" s="3" t="s">
        <v>104</v>
      </c>
      <c r="M51" s="3" t="s">
        <v>102</v>
      </c>
      <c r="N51" s="3" t="s">
        <v>102</v>
      </c>
      <c r="O51" s="3" t="s">
        <v>104</v>
      </c>
      <c r="P51" s="3" t="s">
        <v>104</v>
      </c>
      <c r="Q51" s="3" t="s">
        <v>104</v>
      </c>
      <c r="R51" s="3" t="s">
        <v>104</v>
      </c>
      <c r="S51" s="3" t="s">
        <v>104</v>
      </c>
      <c r="T51" s="3" t="s">
        <v>102</v>
      </c>
      <c r="U51" s="3" t="s">
        <v>102</v>
      </c>
      <c r="V51" s="3" t="s">
        <v>104</v>
      </c>
      <c r="W51" s="3" t="s">
        <v>104</v>
      </c>
      <c r="X51" s="3" t="s">
        <v>104</v>
      </c>
      <c r="Y51" s="3" t="s">
        <v>104</v>
      </c>
      <c r="Z51" s="3" t="s">
        <v>104</v>
      </c>
      <c r="AA51" s="3" t="s">
        <v>102</v>
      </c>
      <c r="AB51" s="3" t="s">
        <v>102</v>
      </c>
      <c r="AC51" s="3" t="s">
        <v>104</v>
      </c>
      <c r="AD51" s="3" t="s">
        <v>104</v>
      </c>
      <c r="AE51" s="3" t="s">
        <v>103</v>
      </c>
      <c r="AF51" s="3" t="s">
        <v>104</v>
      </c>
      <c r="AG51" s="3" t="s">
        <v>104</v>
      </c>
      <c r="AH51" s="4">
        <f t="shared" si="6"/>
        <v>0</v>
      </c>
      <c r="AI51" s="4">
        <f t="shared" si="7"/>
        <v>22</v>
      </c>
      <c r="AJ51" s="72"/>
    </row>
    <row r="52" spans="2:36" ht="20.100000000000001" hidden="1" customHeight="1" outlineLevel="1" x14ac:dyDescent="0.4">
      <c r="B52" s="4" t="s">
        <v>398</v>
      </c>
      <c r="C52" s="3" t="s">
        <v>104</v>
      </c>
      <c r="D52" s="3" t="s">
        <v>104</v>
      </c>
      <c r="E52" s="3" t="s">
        <v>104</v>
      </c>
      <c r="F52" s="3" t="s">
        <v>102</v>
      </c>
      <c r="G52" s="3" t="s">
        <v>102</v>
      </c>
      <c r="H52" s="3" t="s">
        <v>104</v>
      </c>
      <c r="I52" s="3" t="s">
        <v>104</v>
      </c>
      <c r="J52" s="3" t="s">
        <v>104</v>
      </c>
      <c r="K52" s="3" t="s">
        <v>104</v>
      </c>
      <c r="L52" s="3" t="s">
        <v>104</v>
      </c>
      <c r="M52" s="3" t="s">
        <v>102</v>
      </c>
      <c r="N52" s="3" t="s">
        <v>102</v>
      </c>
      <c r="O52" s="3" t="s">
        <v>104</v>
      </c>
      <c r="P52" s="3" t="s">
        <v>104</v>
      </c>
      <c r="Q52" s="3" t="s">
        <v>104</v>
      </c>
      <c r="R52" s="3" t="s">
        <v>104</v>
      </c>
      <c r="S52" s="3" t="s">
        <v>104</v>
      </c>
      <c r="T52" s="3" t="s">
        <v>102</v>
      </c>
      <c r="U52" s="3" t="s">
        <v>102</v>
      </c>
      <c r="V52" s="3" t="s">
        <v>104</v>
      </c>
      <c r="W52" s="3" t="s">
        <v>104</v>
      </c>
      <c r="X52" s="3" t="s">
        <v>104</v>
      </c>
      <c r="Y52" s="3" t="s">
        <v>104</v>
      </c>
      <c r="Z52" s="3" t="s">
        <v>104</v>
      </c>
      <c r="AA52" s="3" t="s">
        <v>102</v>
      </c>
      <c r="AB52" s="3" t="s">
        <v>102</v>
      </c>
      <c r="AC52" s="3" t="s">
        <v>104</v>
      </c>
      <c r="AD52" s="3" t="s">
        <v>104</v>
      </c>
      <c r="AE52" s="3" t="s">
        <v>103</v>
      </c>
      <c r="AF52" s="3" t="s">
        <v>104</v>
      </c>
      <c r="AG52" s="3" t="s">
        <v>104</v>
      </c>
      <c r="AH52" s="4">
        <f t="shared" si="6"/>
        <v>0</v>
      </c>
      <c r="AI52" s="4">
        <f t="shared" si="7"/>
        <v>22</v>
      </c>
      <c r="AJ52" s="72"/>
    </row>
    <row r="53" spans="2:36" ht="20.100000000000001" hidden="1" customHeight="1" outlineLevel="1" x14ac:dyDescent="0.4">
      <c r="B53" s="4" t="s">
        <v>399</v>
      </c>
      <c r="C53" s="3" t="s">
        <v>104</v>
      </c>
      <c r="D53" s="3" t="s">
        <v>104</v>
      </c>
      <c r="E53" s="3" t="s">
        <v>104</v>
      </c>
      <c r="F53" s="3" t="s">
        <v>102</v>
      </c>
      <c r="G53" s="3" t="s">
        <v>102</v>
      </c>
      <c r="H53" s="3" t="s">
        <v>104</v>
      </c>
      <c r="I53" s="3" t="s">
        <v>104</v>
      </c>
      <c r="J53" s="3" t="s">
        <v>104</v>
      </c>
      <c r="K53" s="3" t="s">
        <v>104</v>
      </c>
      <c r="L53" s="3" t="s">
        <v>104</v>
      </c>
      <c r="M53" s="3" t="s">
        <v>102</v>
      </c>
      <c r="N53" s="3" t="s">
        <v>102</v>
      </c>
      <c r="O53" s="3" t="s">
        <v>104</v>
      </c>
      <c r="P53" s="3" t="s">
        <v>104</v>
      </c>
      <c r="Q53" s="3" t="s">
        <v>104</v>
      </c>
      <c r="R53" s="3" t="s">
        <v>104</v>
      </c>
      <c r="S53" s="3" t="s">
        <v>104</v>
      </c>
      <c r="T53" s="3" t="s">
        <v>102</v>
      </c>
      <c r="U53" s="3" t="s">
        <v>102</v>
      </c>
      <c r="V53" s="3" t="s">
        <v>104</v>
      </c>
      <c r="W53" s="3" t="s">
        <v>104</v>
      </c>
      <c r="X53" s="3" t="s">
        <v>104</v>
      </c>
      <c r="Y53" s="3" t="s">
        <v>104</v>
      </c>
      <c r="Z53" s="3" t="s">
        <v>104</v>
      </c>
      <c r="AA53" s="3" t="s">
        <v>102</v>
      </c>
      <c r="AB53" s="3" t="s">
        <v>102</v>
      </c>
      <c r="AC53" s="3" t="s">
        <v>104</v>
      </c>
      <c r="AD53" s="3" t="s">
        <v>104</v>
      </c>
      <c r="AE53" s="3" t="s">
        <v>103</v>
      </c>
      <c r="AF53" s="3" t="s">
        <v>104</v>
      </c>
      <c r="AG53" s="3" t="s">
        <v>104</v>
      </c>
      <c r="AH53" s="4">
        <f t="shared" si="6"/>
        <v>0</v>
      </c>
      <c r="AI53" s="4">
        <f t="shared" si="7"/>
        <v>22</v>
      </c>
    </row>
    <row r="54" spans="2:36" ht="20.100000000000001" hidden="1" customHeight="1" outlineLevel="1" x14ac:dyDescent="0.4">
      <c r="B54" s="4" t="s">
        <v>400</v>
      </c>
      <c r="C54" s="3" t="s">
        <v>104</v>
      </c>
      <c r="D54" s="3" t="s">
        <v>104</v>
      </c>
      <c r="E54" s="3" t="s">
        <v>104</v>
      </c>
      <c r="F54" s="3" t="s">
        <v>102</v>
      </c>
      <c r="G54" s="3" t="s">
        <v>102</v>
      </c>
      <c r="H54" s="3" t="s">
        <v>104</v>
      </c>
      <c r="I54" s="3" t="s">
        <v>104</v>
      </c>
      <c r="J54" s="3" t="s">
        <v>104</v>
      </c>
      <c r="K54" s="3" t="s">
        <v>104</v>
      </c>
      <c r="L54" s="3" t="s">
        <v>104</v>
      </c>
      <c r="M54" s="3" t="s">
        <v>102</v>
      </c>
      <c r="N54" s="3" t="s">
        <v>102</v>
      </c>
      <c r="O54" s="3" t="s">
        <v>104</v>
      </c>
      <c r="P54" s="3" t="s">
        <v>104</v>
      </c>
      <c r="Q54" s="3" t="s">
        <v>104</v>
      </c>
      <c r="R54" s="3" t="s">
        <v>104</v>
      </c>
      <c r="S54" s="3" t="s">
        <v>104</v>
      </c>
      <c r="T54" s="3" t="s">
        <v>102</v>
      </c>
      <c r="U54" s="3" t="s">
        <v>102</v>
      </c>
      <c r="V54" s="3" t="s">
        <v>104</v>
      </c>
      <c r="W54" s="3" t="s">
        <v>104</v>
      </c>
      <c r="X54" s="3" t="s">
        <v>104</v>
      </c>
      <c r="Y54" s="3" t="s">
        <v>104</v>
      </c>
      <c r="Z54" s="3" t="s">
        <v>104</v>
      </c>
      <c r="AA54" s="3" t="s">
        <v>102</v>
      </c>
      <c r="AB54" s="3" t="s">
        <v>102</v>
      </c>
      <c r="AC54" s="3" t="s">
        <v>104</v>
      </c>
      <c r="AD54" s="3" t="s">
        <v>104</v>
      </c>
      <c r="AE54" s="3" t="s">
        <v>103</v>
      </c>
      <c r="AF54" s="3" t="s">
        <v>104</v>
      </c>
      <c r="AG54" s="3" t="s">
        <v>104</v>
      </c>
      <c r="AH54" s="4">
        <f t="shared" si="6"/>
        <v>0</v>
      </c>
      <c r="AI54" s="4">
        <f t="shared" si="7"/>
        <v>22</v>
      </c>
    </row>
    <row r="55" spans="2:36" ht="20.100000000000001" hidden="1" customHeight="1" outlineLevel="1" collapsed="1" x14ac:dyDescent="0.4">
      <c r="AI55" s="1">
        <f>AI58*7.5</f>
        <v>157.5</v>
      </c>
    </row>
    <row r="56" spans="2:36" ht="20.100000000000001" hidden="1" customHeight="1" outlineLevel="1" x14ac:dyDescent="0.4">
      <c r="B56" s="623">
        <f>DATE(YEAR(B47),MONTH(B47)+1,DAY(B47))</f>
        <v>46235</v>
      </c>
      <c r="C56" s="6">
        <v>1</v>
      </c>
      <c r="D56" s="6">
        <v>2</v>
      </c>
      <c r="E56" s="6">
        <v>3</v>
      </c>
      <c r="F56" s="6">
        <v>4</v>
      </c>
      <c r="G56" s="6">
        <v>5</v>
      </c>
      <c r="H56" s="6">
        <v>6</v>
      </c>
      <c r="I56" s="6">
        <v>7</v>
      </c>
      <c r="J56" s="6">
        <v>8</v>
      </c>
      <c r="K56" s="6">
        <v>9</v>
      </c>
      <c r="L56" s="6">
        <v>10</v>
      </c>
      <c r="M56" s="6">
        <v>11</v>
      </c>
      <c r="N56" s="6">
        <v>12</v>
      </c>
      <c r="O56" s="6">
        <v>13</v>
      </c>
      <c r="P56" s="6">
        <v>14</v>
      </c>
      <c r="Q56" s="6">
        <v>15</v>
      </c>
      <c r="R56" s="6">
        <v>16</v>
      </c>
      <c r="S56" s="6">
        <v>17</v>
      </c>
      <c r="T56" s="6">
        <v>18</v>
      </c>
      <c r="U56" s="6">
        <v>19</v>
      </c>
      <c r="V56" s="6">
        <v>20</v>
      </c>
      <c r="W56" s="6">
        <v>21</v>
      </c>
      <c r="X56" s="6">
        <v>22</v>
      </c>
      <c r="Y56" s="6">
        <v>23</v>
      </c>
      <c r="Z56" s="6">
        <v>24</v>
      </c>
      <c r="AA56" s="6">
        <v>25</v>
      </c>
      <c r="AB56" s="6">
        <v>26</v>
      </c>
      <c r="AC56" s="6">
        <v>27</v>
      </c>
      <c r="AD56" s="6">
        <v>28</v>
      </c>
      <c r="AE56" s="6">
        <v>29</v>
      </c>
      <c r="AF56" s="6">
        <v>30</v>
      </c>
      <c r="AG56" s="6">
        <v>31</v>
      </c>
      <c r="AH56" s="483" t="s">
        <v>105</v>
      </c>
      <c r="AI56" s="476" t="s">
        <v>106</v>
      </c>
      <c r="AJ56" s="72" t="s">
        <v>584</v>
      </c>
    </row>
    <row r="57" spans="2:36" ht="20.100000000000001" hidden="1" customHeight="1" outlineLevel="1" x14ac:dyDescent="0.4">
      <c r="B57" s="624"/>
      <c r="C57" s="6" t="s">
        <v>110</v>
      </c>
      <c r="D57" s="6" t="s">
        <v>111</v>
      </c>
      <c r="E57" s="6" t="s">
        <v>69</v>
      </c>
      <c r="F57" s="6" t="s">
        <v>71</v>
      </c>
      <c r="G57" s="6" t="s">
        <v>107</v>
      </c>
      <c r="H57" s="6" t="s">
        <v>108</v>
      </c>
      <c r="I57" s="6" t="s">
        <v>109</v>
      </c>
      <c r="J57" s="6" t="s">
        <v>110</v>
      </c>
      <c r="K57" s="6" t="s">
        <v>111</v>
      </c>
      <c r="L57" s="6" t="s">
        <v>69</v>
      </c>
      <c r="M57" s="6" t="s">
        <v>71</v>
      </c>
      <c r="N57" s="6" t="s">
        <v>107</v>
      </c>
      <c r="O57" s="6" t="s">
        <v>108</v>
      </c>
      <c r="P57" s="6" t="s">
        <v>109</v>
      </c>
      <c r="Q57" s="6" t="s">
        <v>110</v>
      </c>
      <c r="R57" s="6" t="s">
        <v>111</v>
      </c>
      <c r="S57" s="6" t="s">
        <v>69</v>
      </c>
      <c r="T57" s="6" t="s">
        <v>71</v>
      </c>
      <c r="U57" s="6" t="s">
        <v>107</v>
      </c>
      <c r="V57" s="6" t="s">
        <v>108</v>
      </c>
      <c r="W57" s="6" t="s">
        <v>109</v>
      </c>
      <c r="X57" s="6" t="s">
        <v>110</v>
      </c>
      <c r="Y57" s="6" t="s">
        <v>111</v>
      </c>
      <c r="Z57" s="6" t="s">
        <v>69</v>
      </c>
      <c r="AA57" s="6" t="s">
        <v>71</v>
      </c>
      <c r="AB57" s="6" t="s">
        <v>107</v>
      </c>
      <c r="AC57" s="6" t="s">
        <v>108</v>
      </c>
      <c r="AD57" s="6" t="s">
        <v>109</v>
      </c>
      <c r="AE57" s="6" t="s">
        <v>110</v>
      </c>
      <c r="AF57" s="6" t="s">
        <v>111</v>
      </c>
      <c r="AG57" s="6" t="s">
        <v>69</v>
      </c>
      <c r="AH57" s="485"/>
      <c r="AI57" s="478"/>
      <c r="AJ57" s="72" t="s">
        <v>587</v>
      </c>
    </row>
    <row r="58" spans="2:36" ht="20.100000000000001" hidden="1" customHeight="1" outlineLevel="1" x14ac:dyDescent="0.4">
      <c r="B58" s="4" t="s">
        <v>162</v>
      </c>
      <c r="C58" s="3" t="s">
        <v>102</v>
      </c>
      <c r="D58" s="3" t="s">
        <v>102</v>
      </c>
      <c r="E58" s="3" t="s">
        <v>104</v>
      </c>
      <c r="F58" s="3" t="s">
        <v>104</v>
      </c>
      <c r="G58" s="3" t="s">
        <v>104</v>
      </c>
      <c r="H58" s="3" t="s">
        <v>104</v>
      </c>
      <c r="I58" s="3" t="s">
        <v>104</v>
      </c>
      <c r="J58" s="3" t="s">
        <v>102</v>
      </c>
      <c r="K58" s="3" t="s">
        <v>102</v>
      </c>
      <c r="L58" s="3" t="s">
        <v>104</v>
      </c>
      <c r="M58" s="3" t="s">
        <v>104</v>
      </c>
      <c r="N58" s="3" t="s">
        <v>104</v>
      </c>
      <c r="O58" s="3" t="s">
        <v>104</v>
      </c>
      <c r="P58" s="3" t="s">
        <v>104</v>
      </c>
      <c r="Q58" s="3" t="s">
        <v>102</v>
      </c>
      <c r="R58" s="3" t="s">
        <v>102</v>
      </c>
      <c r="S58" s="3" t="s">
        <v>104</v>
      </c>
      <c r="T58" s="3" t="s">
        <v>104</v>
      </c>
      <c r="U58" s="3" t="s">
        <v>104</v>
      </c>
      <c r="V58" s="3" t="s">
        <v>104</v>
      </c>
      <c r="W58" s="3" t="s">
        <v>104</v>
      </c>
      <c r="X58" s="3" t="s">
        <v>102</v>
      </c>
      <c r="Y58" s="3" t="s">
        <v>102</v>
      </c>
      <c r="Z58" s="3" t="s">
        <v>104</v>
      </c>
      <c r="AA58" s="3" t="s">
        <v>104</v>
      </c>
      <c r="AB58" s="3" t="s">
        <v>104</v>
      </c>
      <c r="AC58" s="3" t="s">
        <v>104</v>
      </c>
      <c r="AD58" s="3" t="s">
        <v>104</v>
      </c>
      <c r="AE58" s="3" t="s">
        <v>102</v>
      </c>
      <c r="AF58" s="3" t="s">
        <v>102</v>
      </c>
      <c r="AG58" s="3" t="s">
        <v>104</v>
      </c>
      <c r="AH58" s="4">
        <f>COUNTIF(C58:AG58,"L")</f>
        <v>0</v>
      </c>
      <c r="AI58" s="4">
        <f>COUNTIF(C58:AG58,"A")</f>
        <v>21</v>
      </c>
      <c r="AJ58" s="72" t="s">
        <v>585</v>
      </c>
    </row>
    <row r="59" spans="2:36" ht="20.100000000000001" hidden="1" customHeight="1" outlineLevel="1" x14ac:dyDescent="0.4">
      <c r="B59" s="4" t="s">
        <v>396</v>
      </c>
      <c r="C59" s="3" t="s">
        <v>102</v>
      </c>
      <c r="D59" s="3" t="s">
        <v>102</v>
      </c>
      <c r="E59" s="3" t="s">
        <v>104</v>
      </c>
      <c r="F59" s="3" t="s">
        <v>104</v>
      </c>
      <c r="G59" s="3" t="s">
        <v>104</v>
      </c>
      <c r="H59" s="3" t="s">
        <v>104</v>
      </c>
      <c r="I59" s="3" t="s">
        <v>104</v>
      </c>
      <c r="J59" s="3" t="s">
        <v>102</v>
      </c>
      <c r="K59" s="3" t="s">
        <v>102</v>
      </c>
      <c r="L59" s="3" t="s">
        <v>104</v>
      </c>
      <c r="M59" s="3" t="s">
        <v>104</v>
      </c>
      <c r="N59" s="3" t="s">
        <v>104</v>
      </c>
      <c r="O59" s="3" t="s">
        <v>104</v>
      </c>
      <c r="P59" s="3" t="s">
        <v>104</v>
      </c>
      <c r="Q59" s="3" t="s">
        <v>102</v>
      </c>
      <c r="R59" s="3" t="s">
        <v>102</v>
      </c>
      <c r="S59" s="3" t="s">
        <v>104</v>
      </c>
      <c r="T59" s="3" t="s">
        <v>104</v>
      </c>
      <c r="U59" s="3" t="s">
        <v>104</v>
      </c>
      <c r="V59" s="3" t="s">
        <v>104</v>
      </c>
      <c r="W59" s="3" t="s">
        <v>104</v>
      </c>
      <c r="X59" s="3" t="s">
        <v>102</v>
      </c>
      <c r="Y59" s="3" t="s">
        <v>102</v>
      </c>
      <c r="Z59" s="3" t="s">
        <v>104</v>
      </c>
      <c r="AA59" s="3" t="s">
        <v>104</v>
      </c>
      <c r="AB59" s="3" t="s">
        <v>104</v>
      </c>
      <c r="AC59" s="3" t="s">
        <v>104</v>
      </c>
      <c r="AD59" s="3" t="s">
        <v>104</v>
      </c>
      <c r="AE59" s="3" t="s">
        <v>102</v>
      </c>
      <c r="AF59" s="3" t="s">
        <v>102</v>
      </c>
      <c r="AG59" s="3" t="s">
        <v>104</v>
      </c>
      <c r="AH59" s="4">
        <f t="shared" ref="AH59:AH63" si="8">COUNTIF(C59:AG59,"L")</f>
        <v>0</v>
      </c>
      <c r="AI59" s="4">
        <f t="shared" ref="AI59:AI63" si="9">COUNTIF(C59:AG59,"A")</f>
        <v>21</v>
      </c>
      <c r="AJ59" s="72" t="s">
        <v>586</v>
      </c>
    </row>
    <row r="60" spans="2:36" ht="20.100000000000001" hidden="1" customHeight="1" outlineLevel="1" x14ac:dyDescent="0.4">
      <c r="B60" s="4" t="s">
        <v>170</v>
      </c>
      <c r="C60" s="3" t="s">
        <v>102</v>
      </c>
      <c r="D60" s="3" t="s">
        <v>102</v>
      </c>
      <c r="E60" s="3" t="s">
        <v>104</v>
      </c>
      <c r="F60" s="3" t="s">
        <v>104</v>
      </c>
      <c r="G60" s="3" t="s">
        <v>104</v>
      </c>
      <c r="H60" s="3" t="s">
        <v>104</v>
      </c>
      <c r="I60" s="3" t="s">
        <v>104</v>
      </c>
      <c r="J60" s="3" t="s">
        <v>102</v>
      </c>
      <c r="K60" s="3" t="s">
        <v>102</v>
      </c>
      <c r="L60" s="3" t="s">
        <v>104</v>
      </c>
      <c r="M60" s="3" t="s">
        <v>104</v>
      </c>
      <c r="N60" s="3" t="s">
        <v>104</v>
      </c>
      <c r="O60" s="3" t="s">
        <v>104</v>
      </c>
      <c r="P60" s="3" t="s">
        <v>104</v>
      </c>
      <c r="Q60" s="3" t="s">
        <v>102</v>
      </c>
      <c r="R60" s="3" t="s">
        <v>102</v>
      </c>
      <c r="S60" s="3" t="s">
        <v>104</v>
      </c>
      <c r="T60" s="3" t="s">
        <v>104</v>
      </c>
      <c r="U60" s="3" t="s">
        <v>104</v>
      </c>
      <c r="V60" s="3" t="s">
        <v>104</v>
      </c>
      <c r="W60" s="3" t="s">
        <v>104</v>
      </c>
      <c r="X60" s="3" t="s">
        <v>102</v>
      </c>
      <c r="Y60" s="3" t="s">
        <v>102</v>
      </c>
      <c r="Z60" s="3" t="s">
        <v>104</v>
      </c>
      <c r="AA60" s="3" t="s">
        <v>104</v>
      </c>
      <c r="AB60" s="3" t="s">
        <v>104</v>
      </c>
      <c r="AC60" s="3" t="s">
        <v>104</v>
      </c>
      <c r="AD60" s="3" t="s">
        <v>104</v>
      </c>
      <c r="AE60" s="3" t="s">
        <v>102</v>
      </c>
      <c r="AF60" s="3" t="s">
        <v>102</v>
      </c>
      <c r="AG60" s="3" t="s">
        <v>104</v>
      </c>
      <c r="AH60" s="4">
        <f t="shared" ref="AH60:AH62" si="10">COUNTIF(C60:AG60,"L")</f>
        <v>0</v>
      </c>
      <c r="AI60" s="4">
        <f t="shared" ref="AI60:AI62" si="11">COUNTIF(C60:AG60,"A")</f>
        <v>21</v>
      </c>
    </row>
    <row r="61" spans="2:36" ht="20.100000000000001" hidden="1" customHeight="1" outlineLevel="1" x14ac:dyDescent="0.4">
      <c r="B61" s="4" t="s">
        <v>398</v>
      </c>
      <c r="C61" s="3" t="s">
        <v>102</v>
      </c>
      <c r="D61" s="3" t="s">
        <v>102</v>
      </c>
      <c r="E61" s="3" t="s">
        <v>104</v>
      </c>
      <c r="F61" s="3" t="s">
        <v>104</v>
      </c>
      <c r="G61" s="3" t="s">
        <v>104</v>
      </c>
      <c r="H61" s="3" t="s">
        <v>104</v>
      </c>
      <c r="I61" s="3" t="s">
        <v>104</v>
      </c>
      <c r="J61" s="3" t="s">
        <v>102</v>
      </c>
      <c r="K61" s="3" t="s">
        <v>102</v>
      </c>
      <c r="L61" s="3" t="s">
        <v>104</v>
      </c>
      <c r="M61" s="3" t="s">
        <v>104</v>
      </c>
      <c r="N61" s="3" t="s">
        <v>104</v>
      </c>
      <c r="O61" s="3" t="s">
        <v>104</v>
      </c>
      <c r="P61" s="3" t="s">
        <v>104</v>
      </c>
      <c r="Q61" s="3" t="s">
        <v>102</v>
      </c>
      <c r="R61" s="3" t="s">
        <v>102</v>
      </c>
      <c r="S61" s="3" t="s">
        <v>104</v>
      </c>
      <c r="T61" s="3" t="s">
        <v>104</v>
      </c>
      <c r="U61" s="3" t="s">
        <v>104</v>
      </c>
      <c r="V61" s="3" t="s">
        <v>104</v>
      </c>
      <c r="W61" s="3" t="s">
        <v>104</v>
      </c>
      <c r="X61" s="3" t="s">
        <v>102</v>
      </c>
      <c r="Y61" s="3" t="s">
        <v>102</v>
      </c>
      <c r="Z61" s="3" t="s">
        <v>104</v>
      </c>
      <c r="AA61" s="3" t="s">
        <v>104</v>
      </c>
      <c r="AB61" s="3" t="s">
        <v>104</v>
      </c>
      <c r="AC61" s="3" t="s">
        <v>104</v>
      </c>
      <c r="AD61" s="3" t="s">
        <v>104</v>
      </c>
      <c r="AE61" s="3" t="s">
        <v>102</v>
      </c>
      <c r="AF61" s="3" t="s">
        <v>102</v>
      </c>
      <c r="AG61" s="3" t="s">
        <v>104</v>
      </c>
      <c r="AH61" s="4">
        <f t="shared" si="10"/>
        <v>0</v>
      </c>
      <c r="AI61" s="4">
        <f t="shared" si="11"/>
        <v>21</v>
      </c>
    </row>
    <row r="62" spans="2:36" ht="20.100000000000001" hidden="1" customHeight="1" outlineLevel="1" x14ac:dyDescent="0.4">
      <c r="B62" s="4" t="s">
        <v>399</v>
      </c>
      <c r="C62" s="3" t="s">
        <v>102</v>
      </c>
      <c r="D62" s="3" t="s">
        <v>102</v>
      </c>
      <c r="E62" s="3" t="s">
        <v>104</v>
      </c>
      <c r="F62" s="3" t="s">
        <v>104</v>
      </c>
      <c r="G62" s="3" t="s">
        <v>104</v>
      </c>
      <c r="H62" s="3" t="s">
        <v>104</v>
      </c>
      <c r="I62" s="3" t="s">
        <v>104</v>
      </c>
      <c r="J62" s="3" t="s">
        <v>102</v>
      </c>
      <c r="K62" s="3" t="s">
        <v>102</v>
      </c>
      <c r="L62" s="3" t="s">
        <v>104</v>
      </c>
      <c r="M62" s="3" t="s">
        <v>104</v>
      </c>
      <c r="N62" s="3" t="s">
        <v>104</v>
      </c>
      <c r="O62" s="3" t="s">
        <v>104</v>
      </c>
      <c r="P62" s="3" t="s">
        <v>104</v>
      </c>
      <c r="Q62" s="3" t="s">
        <v>102</v>
      </c>
      <c r="R62" s="3" t="s">
        <v>102</v>
      </c>
      <c r="S62" s="3" t="s">
        <v>104</v>
      </c>
      <c r="T62" s="3" t="s">
        <v>104</v>
      </c>
      <c r="U62" s="3" t="s">
        <v>104</v>
      </c>
      <c r="V62" s="3" t="s">
        <v>104</v>
      </c>
      <c r="W62" s="3" t="s">
        <v>104</v>
      </c>
      <c r="X62" s="3" t="s">
        <v>102</v>
      </c>
      <c r="Y62" s="3" t="s">
        <v>102</v>
      </c>
      <c r="Z62" s="3" t="s">
        <v>104</v>
      </c>
      <c r="AA62" s="3" t="s">
        <v>104</v>
      </c>
      <c r="AB62" s="3" t="s">
        <v>104</v>
      </c>
      <c r="AC62" s="3" t="s">
        <v>104</v>
      </c>
      <c r="AD62" s="3" t="s">
        <v>104</v>
      </c>
      <c r="AE62" s="3" t="s">
        <v>102</v>
      </c>
      <c r="AF62" s="3" t="s">
        <v>102</v>
      </c>
      <c r="AG62" s="3" t="s">
        <v>104</v>
      </c>
      <c r="AH62" s="4">
        <f t="shared" si="10"/>
        <v>0</v>
      </c>
      <c r="AI62" s="4">
        <f t="shared" si="11"/>
        <v>21</v>
      </c>
    </row>
    <row r="63" spans="2:36" ht="20.100000000000001" hidden="1" customHeight="1" outlineLevel="1" x14ac:dyDescent="0.4">
      <c r="B63" s="4" t="s">
        <v>400</v>
      </c>
      <c r="C63" s="3" t="s">
        <v>102</v>
      </c>
      <c r="D63" s="3" t="s">
        <v>102</v>
      </c>
      <c r="E63" s="3" t="s">
        <v>104</v>
      </c>
      <c r="F63" s="3" t="s">
        <v>104</v>
      </c>
      <c r="G63" s="3" t="s">
        <v>104</v>
      </c>
      <c r="H63" s="3" t="s">
        <v>104</v>
      </c>
      <c r="I63" s="3" t="s">
        <v>104</v>
      </c>
      <c r="J63" s="3" t="s">
        <v>102</v>
      </c>
      <c r="K63" s="3" t="s">
        <v>102</v>
      </c>
      <c r="L63" s="3" t="s">
        <v>104</v>
      </c>
      <c r="M63" s="3" t="s">
        <v>104</v>
      </c>
      <c r="N63" s="3" t="s">
        <v>104</v>
      </c>
      <c r="O63" s="3" t="s">
        <v>104</v>
      </c>
      <c r="P63" s="3" t="s">
        <v>104</v>
      </c>
      <c r="Q63" s="3" t="s">
        <v>102</v>
      </c>
      <c r="R63" s="3" t="s">
        <v>102</v>
      </c>
      <c r="S63" s="3" t="s">
        <v>104</v>
      </c>
      <c r="T63" s="3" t="s">
        <v>104</v>
      </c>
      <c r="U63" s="3" t="s">
        <v>104</v>
      </c>
      <c r="V63" s="3" t="s">
        <v>104</v>
      </c>
      <c r="W63" s="3" t="s">
        <v>104</v>
      </c>
      <c r="X63" s="3" t="s">
        <v>102</v>
      </c>
      <c r="Y63" s="3" t="s">
        <v>102</v>
      </c>
      <c r="Z63" s="3" t="s">
        <v>104</v>
      </c>
      <c r="AA63" s="3" t="s">
        <v>104</v>
      </c>
      <c r="AB63" s="3" t="s">
        <v>104</v>
      </c>
      <c r="AC63" s="3" t="s">
        <v>104</v>
      </c>
      <c r="AD63" s="3" t="s">
        <v>104</v>
      </c>
      <c r="AE63" s="3" t="s">
        <v>102</v>
      </c>
      <c r="AF63" s="3" t="s">
        <v>102</v>
      </c>
      <c r="AG63" s="3" t="s">
        <v>104</v>
      </c>
      <c r="AH63" s="4">
        <f t="shared" si="8"/>
        <v>0</v>
      </c>
      <c r="AI63" s="4">
        <f t="shared" si="9"/>
        <v>21</v>
      </c>
    </row>
    <row r="64" spans="2:36" ht="20.100000000000001" hidden="1" customHeight="1" outlineLevel="1" collapsed="1" x14ac:dyDescent="0.4">
      <c r="AI64" s="1">
        <f>AI67*7.5</f>
        <v>165</v>
      </c>
    </row>
    <row r="65" spans="2:36" ht="20.100000000000001" hidden="1" customHeight="1" outlineLevel="1" x14ac:dyDescent="0.4">
      <c r="B65" s="623">
        <f>DATE(YEAR(B56),MONTH(B56)+1,DAY(B56))</f>
        <v>46266</v>
      </c>
      <c r="C65" s="6">
        <v>1</v>
      </c>
      <c r="D65" s="6">
        <v>2</v>
      </c>
      <c r="E65" s="6">
        <v>3</v>
      </c>
      <c r="F65" s="6">
        <v>4</v>
      </c>
      <c r="G65" s="6">
        <v>5</v>
      </c>
      <c r="H65" s="6">
        <v>6</v>
      </c>
      <c r="I65" s="6">
        <v>7</v>
      </c>
      <c r="J65" s="6">
        <v>8</v>
      </c>
      <c r="K65" s="6">
        <v>9</v>
      </c>
      <c r="L65" s="6">
        <v>10</v>
      </c>
      <c r="M65" s="6">
        <v>11</v>
      </c>
      <c r="N65" s="6">
        <v>12</v>
      </c>
      <c r="O65" s="6">
        <v>13</v>
      </c>
      <c r="P65" s="6">
        <v>14</v>
      </c>
      <c r="Q65" s="6">
        <v>15</v>
      </c>
      <c r="R65" s="6">
        <v>16</v>
      </c>
      <c r="S65" s="6">
        <v>17</v>
      </c>
      <c r="T65" s="6">
        <v>18</v>
      </c>
      <c r="U65" s="6">
        <v>19</v>
      </c>
      <c r="V65" s="6">
        <v>20</v>
      </c>
      <c r="W65" s="6">
        <v>21</v>
      </c>
      <c r="X65" s="6">
        <v>22</v>
      </c>
      <c r="Y65" s="6">
        <v>23</v>
      </c>
      <c r="Z65" s="6">
        <v>24</v>
      </c>
      <c r="AA65" s="6">
        <v>25</v>
      </c>
      <c r="AB65" s="6">
        <v>26</v>
      </c>
      <c r="AC65" s="6">
        <v>27</v>
      </c>
      <c r="AD65" s="6">
        <v>28</v>
      </c>
      <c r="AE65" s="6">
        <v>29</v>
      </c>
      <c r="AF65" s="6">
        <v>30</v>
      </c>
      <c r="AG65" s="6"/>
      <c r="AH65" s="483" t="s">
        <v>105</v>
      </c>
      <c r="AI65" s="476" t="s">
        <v>106</v>
      </c>
      <c r="AJ65" s="72" t="s">
        <v>584</v>
      </c>
    </row>
    <row r="66" spans="2:36" ht="20.100000000000001" hidden="1" customHeight="1" outlineLevel="1" x14ac:dyDescent="0.4">
      <c r="B66" s="624"/>
      <c r="C66" s="6" t="s">
        <v>71</v>
      </c>
      <c r="D66" s="6" t="s">
        <v>107</v>
      </c>
      <c r="E66" s="6" t="s">
        <v>108</v>
      </c>
      <c r="F66" s="6" t="s">
        <v>109</v>
      </c>
      <c r="G66" s="6" t="s">
        <v>110</v>
      </c>
      <c r="H66" s="6" t="s">
        <v>111</v>
      </c>
      <c r="I66" s="6" t="s">
        <v>69</v>
      </c>
      <c r="J66" s="6" t="s">
        <v>71</v>
      </c>
      <c r="K66" s="6" t="s">
        <v>107</v>
      </c>
      <c r="L66" s="6" t="s">
        <v>108</v>
      </c>
      <c r="M66" s="6" t="s">
        <v>109</v>
      </c>
      <c r="N66" s="6" t="s">
        <v>110</v>
      </c>
      <c r="O66" s="6" t="s">
        <v>111</v>
      </c>
      <c r="P66" s="6" t="s">
        <v>69</v>
      </c>
      <c r="Q66" s="6" t="s">
        <v>71</v>
      </c>
      <c r="R66" s="6" t="s">
        <v>107</v>
      </c>
      <c r="S66" s="6" t="s">
        <v>108</v>
      </c>
      <c r="T66" s="6" t="s">
        <v>109</v>
      </c>
      <c r="U66" s="6" t="s">
        <v>110</v>
      </c>
      <c r="V66" s="6" t="s">
        <v>111</v>
      </c>
      <c r="W66" s="6" t="s">
        <v>69</v>
      </c>
      <c r="X66" s="6" t="s">
        <v>71</v>
      </c>
      <c r="Y66" s="6" t="s">
        <v>107</v>
      </c>
      <c r="Z66" s="6" t="s">
        <v>108</v>
      </c>
      <c r="AA66" s="6" t="s">
        <v>109</v>
      </c>
      <c r="AB66" s="6" t="s">
        <v>110</v>
      </c>
      <c r="AC66" s="6" t="s">
        <v>111</v>
      </c>
      <c r="AD66" s="6" t="s">
        <v>69</v>
      </c>
      <c r="AE66" s="6" t="s">
        <v>71</v>
      </c>
      <c r="AF66" s="6" t="s">
        <v>107</v>
      </c>
      <c r="AG66" s="6"/>
      <c r="AH66" s="485"/>
      <c r="AI66" s="478"/>
      <c r="AJ66" s="72" t="s">
        <v>587</v>
      </c>
    </row>
    <row r="67" spans="2:36" ht="20.100000000000001" hidden="1" customHeight="1" outlineLevel="1" x14ac:dyDescent="0.4">
      <c r="B67" s="4" t="s">
        <v>162</v>
      </c>
      <c r="C67" s="3" t="s">
        <v>104</v>
      </c>
      <c r="D67" s="3" t="s">
        <v>104</v>
      </c>
      <c r="E67" s="3" t="s">
        <v>104</v>
      </c>
      <c r="F67" s="3" t="s">
        <v>104</v>
      </c>
      <c r="G67" s="3" t="s">
        <v>102</v>
      </c>
      <c r="H67" s="3" t="s">
        <v>102</v>
      </c>
      <c r="I67" s="3" t="s">
        <v>104</v>
      </c>
      <c r="J67" s="3" t="s">
        <v>104</v>
      </c>
      <c r="K67" s="3" t="s">
        <v>104</v>
      </c>
      <c r="L67" s="3" t="s">
        <v>104</v>
      </c>
      <c r="M67" s="3" t="s">
        <v>104</v>
      </c>
      <c r="N67" s="3" t="s">
        <v>102</v>
      </c>
      <c r="O67" s="3" t="s">
        <v>102</v>
      </c>
      <c r="P67" s="3" t="s">
        <v>104</v>
      </c>
      <c r="Q67" s="3" t="s">
        <v>104</v>
      </c>
      <c r="R67" s="3" t="s">
        <v>104</v>
      </c>
      <c r="S67" s="3" t="s">
        <v>104</v>
      </c>
      <c r="T67" s="3" t="s">
        <v>104</v>
      </c>
      <c r="U67" s="3" t="s">
        <v>102</v>
      </c>
      <c r="V67" s="3" t="s">
        <v>102</v>
      </c>
      <c r="W67" s="3" t="s">
        <v>104</v>
      </c>
      <c r="X67" s="3" t="s">
        <v>104</v>
      </c>
      <c r="Y67" s="3" t="s">
        <v>104</v>
      </c>
      <c r="Z67" s="3" t="s">
        <v>104</v>
      </c>
      <c r="AA67" s="3" t="s">
        <v>104</v>
      </c>
      <c r="AB67" s="3" t="s">
        <v>102</v>
      </c>
      <c r="AC67" s="3" t="s">
        <v>102</v>
      </c>
      <c r="AD67" s="3" t="s">
        <v>104</v>
      </c>
      <c r="AE67" s="3" t="s">
        <v>104</v>
      </c>
      <c r="AF67" s="3" t="s">
        <v>104</v>
      </c>
      <c r="AG67" s="3"/>
      <c r="AH67" s="4">
        <f>COUNTIF(C67:AG67,"L")</f>
        <v>0</v>
      </c>
      <c r="AI67" s="4">
        <f>COUNTIF(C67:AG67,"A")</f>
        <v>22</v>
      </c>
      <c r="AJ67" s="72" t="s">
        <v>585</v>
      </c>
    </row>
    <row r="68" spans="2:36" ht="20.100000000000001" hidden="1" customHeight="1" outlineLevel="1" x14ac:dyDescent="0.4">
      <c r="B68" s="4" t="s">
        <v>396</v>
      </c>
      <c r="C68" s="3" t="s">
        <v>104</v>
      </c>
      <c r="D68" s="3" t="s">
        <v>104</v>
      </c>
      <c r="E68" s="3" t="s">
        <v>104</v>
      </c>
      <c r="F68" s="3" t="s">
        <v>104</v>
      </c>
      <c r="G68" s="3" t="s">
        <v>102</v>
      </c>
      <c r="H68" s="3" t="s">
        <v>102</v>
      </c>
      <c r="I68" s="3" t="s">
        <v>104</v>
      </c>
      <c r="J68" s="3" t="s">
        <v>104</v>
      </c>
      <c r="K68" s="3" t="s">
        <v>104</v>
      </c>
      <c r="L68" s="3" t="s">
        <v>104</v>
      </c>
      <c r="M68" s="3" t="s">
        <v>104</v>
      </c>
      <c r="N68" s="3" t="s">
        <v>102</v>
      </c>
      <c r="O68" s="3" t="s">
        <v>102</v>
      </c>
      <c r="P68" s="3" t="s">
        <v>104</v>
      </c>
      <c r="Q68" s="3" t="s">
        <v>104</v>
      </c>
      <c r="R68" s="3" t="s">
        <v>104</v>
      </c>
      <c r="S68" s="3" t="s">
        <v>104</v>
      </c>
      <c r="T68" s="3" t="s">
        <v>104</v>
      </c>
      <c r="U68" s="3" t="s">
        <v>102</v>
      </c>
      <c r="V68" s="3" t="s">
        <v>102</v>
      </c>
      <c r="W68" s="3" t="s">
        <v>104</v>
      </c>
      <c r="X68" s="3" t="s">
        <v>104</v>
      </c>
      <c r="Y68" s="3" t="s">
        <v>104</v>
      </c>
      <c r="Z68" s="3" t="s">
        <v>104</v>
      </c>
      <c r="AA68" s="3" t="s">
        <v>104</v>
      </c>
      <c r="AB68" s="3" t="s">
        <v>102</v>
      </c>
      <c r="AC68" s="3" t="s">
        <v>102</v>
      </c>
      <c r="AD68" s="3" t="s">
        <v>104</v>
      </c>
      <c r="AE68" s="3" t="s">
        <v>104</v>
      </c>
      <c r="AF68" s="3" t="s">
        <v>104</v>
      </c>
      <c r="AG68" s="3"/>
      <c r="AH68" s="4">
        <f t="shared" ref="AH68:AH72" si="12">COUNTIF(C68:AG68,"L")</f>
        <v>0</v>
      </c>
      <c r="AI68" s="4">
        <f t="shared" ref="AI68:AI72" si="13">COUNTIF(C68:AG68,"A")</f>
        <v>22</v>
      </c>
      <c r="AJ68" s="72" t="s">
        <v>586</v>
      </c>
    </row>
    <row r="69" spans="2:36" ht="20.100000000000001" hidden="1" customHeight="1" outlineLevel="1" x14ac:dyDescent="0.4">
      <c r="B69" s="4" t="s">
        <v>170</v>
      </c>
      <c r="C69" s="3" t="s">
        <v>104</v>
      </c>
      <c r="D69" s="3" t="s">
        <v>104</v>
      </c>
      <c r="E69" s="3" t="s">
        <v>104</v>
      </c>
      <c r="F69" s="3" t="s">
        <v>104</v>
      </c>
      <c r="G69" s="3" t="s">
        <v>102</v>
      </c>
      <c r="H69" s="3" t="s">
        <v>102</v>
      </c>
      <c r="I69" s="3" t="s">
        <v>104</v>
      </c>
      <c r="J69" s="3" t="s">
        <v>104</v>
      </c>
      <c r="K69" s="3" t="s">
        <v>104</v>
      </c>
      <c r="L69" s="3" t="s">
        <v>104</v>
      </c>
      <c r="M69" s="3" t="s">
        <v>104</v>
      </c>
      <c r="N69" s="3" t="s">
        <v>102</v>
      </c>
      <c r="O69" s="3" t="s">
        <v>102</v>
      </c>
      <c r="P69" s="3" t="s">
        <v>104</v>
      </c>
      <c r="Q69" s="3" t="s">
        <v>104</v>
      </c>
      <c r="R69" s="3" t="s">
        <v>104</v>
      </c>
      <c r="S69" s="3" t="s">
        <v>104</v>
      </c>
      <c r="T69" s="3" t="s">
        <v>104</v>
      </c>
      <c r="U69" s="3" t="s">
        <v>102</v>
      </c>
      <c r="V69" s="3" t="s">
        <v>102</v>
      </c>
      <c r="W69" s="3" t="s">
        <v>104</v>
      </c>
      <c r="X69" s="3" t="s">
        <v>104</v>
      </c>
      <c r="Y69" s="3" t="s">
        <v>104</v>
      </c>
      <c r="Z69" s="3" t="s">
        <v>104</v>
      </c>
      <c r="AA69" s="3" t="s">
        <v>104</v>
      </c>
      <c r="AB69" s="3" t="s">
        <v>102</v>
      </c>
      <c r="AC69" s="3" t="s">
        <v>102</v>
      </c>
      <c r="AD69" s="3" t="s">
        <v>104</v>
      </c>
      <c r="AE69" s="3" t="s">
        <v>104</v>
      </c>
      <c r="AF69" s="3" t="s">
        <v>104</v>
      </c>
      <c r="AG69" s="3"/>
      <c r="AH69" s="4">
        <f t="shared" ref="AH69:AH70" si="14">COUNTIF(C69:AG69,"L")</f>
        <v>0</v>
      </c>
      <c r="AI69" s="4">
        <f t="shared" ref="AI69:AI70" si="15">COUNTIF(C69:AG69,"A")</f>
        <v>22</v>
      </c>
      <c r="AJ69" s="72"/>
    </row>
    <row r="70" spans="2:36" ht="20.100000000000001" hidden="1" customHeight="1" outlineLevel="1" x14ac:dyDescent="0.4">
      <c r="B70" s="4" t="s">
        <v>398</v>
      </c>
      <c r="C70" s="3" t="s">
        <v>104</v>
      </c>
      <c r="D70" s="3" t="s">
        <v>104</v>
      </c>
      <c r="E70" s="3" t="s">
        <v>104</v>
      </c>
      <c r="F70" s="3" t="s">
        <v>104</v>
      </c>
      <c r="G70" s="3" t="s">
        <v>102</v>
      </c>
      <c r="H70" s="3" t="s">
        <v>102</v>
      </c>
      <c r="I70" s="3" t="s">
        <v>104</v>
      </c>
      <c r="J70" s="3" t="s">
        <v>104</v>
      </c>
      <c r="K70" s="3" t="s">
        <v>104</v>
      </c>
      <c r="L70" s="3" t="s">
        <v>104</v>
      </c>
      <c r="M70" s="3" t="s">
        <v>104</v>
      </c>
      <c r="N70" s="3" t="s">
        <v>102</v>
      </c>
      <c r="O70" s="3" t="s">
        <v>102</v>
      </c>
      <c r="P70" s="3" t="s">
        <v>104</v>
      </c>
      <c r="Q70" s="3" t="s">
        <v>104</v>
      </c>
      <c r="R70" s="3" t="s">
        <v>104</v>
      </c>
      <c r="S70" s="3" t="s">
        <v>104</v>
      </c>
      <c r="T70" s="3" t="s">
        <v>104</v>
      </c>
      <c r="U70" s="3" t="s">
        <v>102</v>
      </c>
      <c r="V70" s="3" t="s">
        <v>102</v>
      </c>
      <c r="W70" s="3" t="s">
        <v>104</v>
      </c>
      <c r="X70" s="3" t="s">
        <v>104</v>
      </c>
      <c r="Y70" s="3" t="s">
        <v>104</v>
      </c>
      <c r="Z70" s="3" t="s">
        <v>104</v>
      </c>
      <c r="AA70" s="3" t="s">
        <v>104</v>
      </c>
      <c r="AB70" s="3" t="s">
        <v>102</v>
      </c>
      <c r="AC70" s="3" t="s">
        <v>102</v>
      </c>
      <c r="AD70" s="3" t="s">
        <v>104</v>
      </c>
      <c r="AE70" s="3" t="s">
        <v>104</v>
      </c>
      <c r="AF70" s="3" t="s">
        <v>104</v>
      </c>
      <c r="AG70" s="3"/>
      <c r="AH70" s="4">
        <f t="shared" si="14"/>
        <v>0</v>
      </c>
      <c r="AI70" s="4">
        <f t="shared" si="15"/>
        <v>22</v>
      </c>
    </row>
    <row r="71" spans="2:36" ht="20.100000000000001" hidden="1" customHeight="1" outlineLevel="1" x14ac:dyDescent="0.4">
      <c r="B71" s="4" t="s">
        <v>399</v>
      </c>
      <c r="C71" s="3" t="s">
        <v>104</v>
      </c>
      <c r="D71" s="3" t="s">
        <v>104</v>
      </c>
      <c r="E71" s="3" t="s">
        <v>104</v>
      </c>
      <c r="F71" s="3" t="s">
        <v>104</v>
      </c>
      <c r="G71" s="3" t="s">
        <v>102</v>
      </c>
      <c r="H71" s="3" t="s">
        <v>102</v>
      </c>
      <c r="I71" s="3" t="s">
        <v>104</v>
      </c>
      <c r="J71" s="3" t="s">
        <v>104</v>
      </c>
      <c r="K71" s="3" t="s">
        <v>104</v>
      </c>
      <c r="L71" s="3" t="s">
        <v>104</v>
      </c>
      <c r="M71" s="3" t="s">
        <v>104</v>
      </c>
      <c r="N71" s="3" t="s">
        <v>102</v>
      </c>
      <c r="O71" s="3" t="s">
        <v>102</v>
      </c>
      <c r="P71" s="3" t="s">
        <v>104</v>
      </c>
      <c r="Q71" s="3" t="s">
        <v>104</v>
      </c>
      <c r="R71" s="3" t="s">
        <v>104</v>
      </c>
      <c r="S71" s="3" t="s">
        <v>104</v>
      </c>
      <c r="T71" s="3" t="s">
        <v>104</v>
      </c>
      <c r="U71" s="3" t="s">
        <v>102</v>
      </c>
      <c r="V71" s="3" t="s">
        <v>102</v>
      </c>
      <c r="W71" s="3" t="s">
        <v>104</v>
      </c>
      <c r="X71" s="3" t="s">
        <v>104</v>
      </c>
      <c r="Y71" s="3" t="s">
        <v>104</v>
      </c>
      <c r="Z71" s="3" t="s">
        <v>104</v>
      </c>
      <c r="AA71" s="3" t="s">
        <v>104</v>
      </c>
      <c r="AB71" s="3" t="s">
        <v>102</v>
      </c>
      <c r="AC71" s="3" t="s">
        <v>102</v>
      </c>
      <c r="AD71" s="3" t="s">
        <v>104</v>
      </c>
      <c r="AE71" s="3" t="s">
        <v>104</v>
      </c>
      <c r="AF71" s="3" t="s">
        <v>104</v>
      </c>
      <c r="AG71" s="3"/>
      <c r="AH71" s="4">
        <f t="shared" si="12"/>
        <v>0</v>
      </c>
      <c r="AI71" s="4">
        <f t="shared" si="13"/>
        <v>22</v>
      </c>
    </row>
    <row r="72" spans="2:36" ht="20.100000000000001" hidden="1" customHeight="1" outlineLevel="1" x14ac:dyDescent="0.4">
      <c r="B72" s="4" t="s">
        <v>400</v>
      </c>
      <c r="C72" s="3" t="s">
        <v>104</v>
      </c>
      <c r="D72" s="3" t="s">
        <v>104</v>
      </c>
      <c r="E72" s="3" t="s">
        <v>104</v>
      </c>
      <c r="F72" s="3" t="s">
        <v>104</v>
      </c>
      <c r="G72" s="3" t="s">
        <v>102</v>
      </c>
      <c r="H72" s="3" t="s">
        <v>102</v>
      </c>
      <c r="I72" s="3" t="s">
        <v>104</v>
      </c>
      <c r="J72" s="3" t="s">
        <v>104</v>
      </c>
      <c r="K72" s="3" t="s">
        <v>104</v>
      </c>
      <c r="L72" s="3" t="s">
        <v>104</v>
      </c>
      <c r="M72" s="3" t="s">
        <v>104</v>
      </c>
      <c r="N72" s="3" t="s">
        <v>102</v>
      </c>
      <c r="O72" s="3" t="s">
        <v>102</v>
      </c>
      <c r="P72" s="3" t="s">
        <v>104</v>
      </c>
      <c r="Q72" s="3" t="s">
        <v>104</v>
      </c>
      <c r="R72" s="3" t="s">
        <v>104</v>
      </c>
      <c r="S72" s="3" t="s">
        <v>104</v>
      </c>
      <c r="T72" s="3" t="s">
        <v>104</v>
      </c>
      <c r="U72" s="3" t="s">
        <v>102</v>
      </c>
      <c r="V72" s="3" t="s">
        <v>102</v>
      </c>
      <c r="W72" s="3" t="s">
        <v>104</v>
      </c>
      <c r="X72" s="3" t="s">
        <v>104</v>
      </c>
      <c r="Y72" s="3" t="s">
        <v>104</v>
      </c>
      <c r="Z72" s="3" t="s">
        <v>104</v>
      </c>
      <c r="AA72" s="3" t="s">
        <v>104</v>
      </c>
      <c r="AB72" s="3" t="s">
        <v>102</v>
      </c>
      <c r="AC72" s="3" t="s">
        <v>102</v>
      </c>
      <c r="AD72" s="3" t="s">
        <v>104</v>
      </c>
      <c r="AE72" s="3" t="s">
        <v>104</v>
      </c>
      <c r="AF72" s="3" t="s">
        <v>104</v>
      </c>
      <c r="AG72" s="3"/>
      <c r="AH72" s="4">
        <f t="shared" si="12"/>
        <v>0</v>
      </c>
      <c r="AI72" s="4">
        <f t="shared" si="13"/>
        <v>22</v>
      </c>
    </row>
    <row r="73" spans="2:36" ht="20.100000000000001" customHeight="1" collapsed="1" x14ac:dyDescent="0.4">
      <c r="AI73" s="1">
        <f>AI76*7.5</f>
        <v>150</v>
      </c>
    </row>
    <row r="74" spans="2:36" ht="20.100000000000001" customHeight="1" x14ac:dyDescent="0.4">
      <c r="B74" s="623">
        <f>DATE(YEAR(B65),MONTH(B65)+1,DAY(B65))</f>
        <v>46296</v>
      </c>
      <c r="C74" s="6">
        <v>1</v>
      </c>
      <c r="D74" s="6">
        <v>2</v>
      </c>
      <c r="E74" s="6">
        <v>3</v>
      </c>
      <c r="F74" s="6">
        <v>4</v>
      </c>
      <c r="G74" s="6">
        <v>5</v>
      </c>
      <c r="H74" s="6">
        <v>6</v>
      </c>
      <c r="I74" s="6">
        <v>7</v>
      </c>
      <c r="J74" s="6">
        <v>8</v>
      </c>
      <c r="K74" s="6">
        <v>9</v>
      </c>
      <c r="L74" s="6">
        <v>10</v>
      </c>
      <c r="M74" s="6">
        <v>11</v>
      </c>
      <c r="N74" s="6">
        <v>12</v>
      </c>
      <c r="O74" s="6">
        <v>13</v>
      </c>
      <c r="P74" s="6">
        <v>14</v>
      </c>
      <c r="Q74" s="6">
        <v>15</v>
      </c>
      <c r="R74" s="6">
        <v>16</v>
      </c>
      <c r="S74" s="6">
        <v>17</v>
      </c>
      <c r="T74" s="6">
        <v>18</v>
      </c>
      <c r="U74" s="6">
        <v>19</v>
      </c>
      <c r="V74" s="6">
        <v>20</v>
      </c>
      <c r="W74" s="6">
        <v>21</v>
      </c>
      <c r="X74" s="6">
        <v>22</v>
      </c>
      <c r="Y74" s="6">
        <v>23</v>
      </c>
      <c r="Z74" s="6">
        <v>24</v>
      </c>
      <c r="AA74" s="6">
        <v>25</v>
      </c>
      <c r="AB74" s="6">
        <v>26</v>
      </c>
      <c r="AC74" s="6">
        <v>27</v>
      </c>
      <c r="AD74" s="6">
        <v>28</v>
      </c>
      <c r="AE74" s="6">
        <v>29</v>
      </c>
      <c r="AF74" s="6">
        <v>30</v>
      </c>
      <c r="AG74" s="6">
        <v>31</v>
      </c>
      <c r="AH74" s="483" t="s">
        <v>105</v>
      </c>
      <c r="AI74" s="476" t="s">
        <v>106</v>
      </c>
      <c r="AJ74" s="72" t="s">
        <v>584</v>
      </c>
    </row>
    <row r="75" spans="2:36" ht="20.100000000000001" customHeight="1" x14ac:dyDescent="0.4">
      <c r="B75" s="624"/>
      <c r="C75" s="6" t="s">
        <v>108</v>
      </c>
      <c r="D75" s="6" t="s">
        <v>109</v>
      </c>
      <c r="E75" s="6" t="s">
        <v>110</v>
      </c>
      <c r="F75" s="6" t="s">
        <v>111</v>
      </c>
      <c r="G75" s="6" t="s">
        <v>69</v>
      </c>
      <c r="H75" s="6" t="s">
        <v>71</v>
      </c>
      <c r="I75" s="6" t="s">
        <v>107</v>
      </c>
      <c r="J75" s="6" t="s">
        <v>108</v>
      </c>
      <c r="K75" s="6" t="s">
        <v>109</v>
      </c>
      <c r="L75" s="6" t="s">
        <v>110</v>
      </c>
      <c r="M75" s="6" t="s">
        <v>111</v>
      </c>
      <c r="N75" s="6" t="s">
        <v>69</v>
      </c>
      <c r="O75" s="6" t="s">
        <v>71</v>
      </c>
      <c r="P75" s="6" t="s">
        <v>107</v>
      </c>
      <c r="Q75" s="6" t="s">
        <v>108</v>
      </c>
      <c r="R75" s="6" t="s">
        <v>109</v>
      </c>
      <c r="S75" s="6" t="s">
        <v>110</v>
      </c>
      <c r="T75" s="6" t="s">
        <v>111</v>
      </c>
      <c r="U75" s="6" t="s">
        <v>69</v>
      </c>
      <c r="V75" s="6" t="s">
        <v>71</v>
      </c>
      <c r="W75" s="6" t="s">
        <v>107</v>
      </c>
      <c r="X75" s="6" t="s">
        <v>108</v>
      </c>
      <c r="Y75" s="6" t="s">
        <v>109</v>
      </c>
      <c r="Z75" s="6" t="s">
        <v>110</v>
      </c>
      <c r="AA75" s="6" t="s">
        <v>111</v>
      </c>
      <c r="AB75" s="6" t="s">
        <v>69</v>
      </c>
      <c r="AC75" s="6" t="s">
        <v>71</v>
      </c>
      <c r="AD75" s="6" t="s">
        <v>107</v>
      </c>
      <c r="AE75" s="6" t="s">
        <v>108</v>
      </c>
      <c r="AF75" s="6" t="s">
        <v>109</v>
      </c>
      <c r="AG75" s="6" t="s">
        <v>110</v>
      </c>
      <c r="AH75" s="485"/>
      <c r="AI75" s="478"/>
      <c r="AJ75" s="72" t="s">
        <v>587</v>
      </c>
    </row>
    <row r="76" spans="2:36" ht="20.100000000000001" customHeight="1" x14ac:dyDescent="0.4">
      <c r="B76" s="4" t="s">
        <v>162</v>
      </c>
      <c r="C76" s="3" t="s">
        <v>104</v>
      </c>
      <c r="D76" s="3" t="s">
        <v>104</v>
      </c>
      <c r="E76" s="3" t="s">
        <v>102</v>
      </c>
      <c r="F76" s="3" t="s">
        <v>102</v>
      </c>
      <c r="G76" s="3" t="s">
        <v>104</v>
      </c>
      <c r="H76" s="3" t="s">
        <v>104</v>
      </c>
      <c r="I76" s="3" t="s">
        <v>104</v>
      </c>
      <c r="J76" s="3" t="s">
        <v>104</v>
      </c>
      <c r="K76" s="3" t="s">
        <v>104</v>
      </c>
      <c r="L76" s="3" t="s">
        <v>102</v>
      </c>
      <c r="M76" s="3" t="s">
        <v>102</v>
      </c>
      <c r="N76" s="3" t="s">
        <v>104</v>
      </c>
      <c r="O76" s="3" t="s">
        <v>104</v>
      </c>
      <c r="P76" s="3" t="s">
        <v>104</v>
      </c>
      <c r="Q76" s="3" t="s">
        <v>104</v>
      </c>
      <c r="R76" s="3" t="s">
        <v>104</v>
      </c>
      <c r="S76" s="3" t="s">
        <v>102</v>
      </c>
      <c r="T76" s="3" t="s">
        <v>102</v>
      </c>
      <c r="U76" s="3" t="s">
        <v>104</v>
      </c>
      <c r="V76" s="3" t="s">
        <v>104</v>
      </c>
      <c r="W76" s="3" t="s">
        <v>104</v>
      </c>
      <c r="X76" s="3" t="s">
        <v>104</v>
      </c>
      <c r="Y76" s="3" t="s">
        <v>104</v>
      </c>
      <c r="Z76" s="3" t="s">
        <v>102</v>
      </c>
      <c r="AA76" s="3" t="s">
        <v>102</v>
      </c>
      <c r="AB76" s="3" t="s">
        <v>405</v>
      </c>
      <c r="AC76" s="3" t="s">
        <v>405</v>
      </c>
      <c r="AD76" s="3" t="s">
        <v>104</v>
      </c>
      <c r="AE76" s="3" t="s">
        <v>104</v>
      </c>
      <c r="AF76" s="3" t="s">
        <v>104</v>
      </c>
      <c r="AG76" s="3" t="s">
        <v>102</v>
      </c>
      <c r="AH76" s="4">
        <f>COUNTIF(C76:AG76,"L")</f>
        <v>0</v>
      </c>
      <c r="AI76" s="4">
        <f>COUNTIF(C76:AG76,"A")</f>
        <v>20</v>
      </c>
      <c r="AJ76" s="72" t="s">
        <v>585</v>
      </c>
    </row>
    <row r="77" spans="2:36" ht="20.100000000000001" customHeight="1" x14ac:dyDescent="0.4">
      <c r="B77" s="4" t="s">
        <v>396</v>
      </c>
      <c r="C77" s="3" t="s">
        <v>104</v>
      </c>
      <c r="D77" s="3" t="s">
        <v>104</v>
      </c>
      <c r="E77" s="3" t="s">
        <v>102</v>
      </c>
      <c r="F77" s="3" t="s">
        <v>102</v>
      </c>
      <c r="G77" s="3" t="s">
        <v>104</v>
      </c>
      <c r="H77" s="3" t="s">
        <v>104</v>
      </c>
      <c r="I77" s="3" t="s">
        <v>104</v>
      </c>
      <c r="J77" s="3" t="s">
        <v>104</v>
      </c>
      <c r="K77" s="3" t="s">
        <v>104</v>
      </c>
      <c r="L77" s="3" t="s">
        <v>102</v>
      </c>
      <c r="M77" s="3" t="s">
        <v>102</v>
      </c>
      <c r="N77" s="3" t="s">
        <v>104</v>
      </c>
      <c r="O77" s="3" t="s">
        <v>104</v>
      </c>
      <c r="P77" s="3" t="s">
        <v>104</v>
      </c>
      <c r="Q77" s="3" t="s">
        <v>104</v>
      </c>
      <c r="R77" s="3" t="s">
        <v>104</v>
      </c>
      <c r="S77" s="3" t="s">
        <v>102</v>
      </c>
      <c r="T77" s="3" t="s">
        <v>102</v>
      </c>
      <c r="U77" s="3" t="s">
        <v>104</v>
      </c>
      <c r="V77" s="3" t="s">
        <v>104</v>
      </c>
      <c r="W77" s="3" t="s">
        <v>104</v>
      </c>
      <c r="X77" s="3" t="s">
        <v>104</v>
      </c>
      <c r="Y77" s="3" t="s">
        <v>104</v>
      </c>
      <c r="Z77" s="3" t="s">
        <v>102</v>
      </c>
      <c r="AA77" s="3" t="s">
        <v>102</v>
      </c>
      <c r="AB77" s="3" t="s">
        <v>405</v>
      </c>
      <c r="AC77" s="3" t="s">
        <v>405</v>
      </c>
      <c r="AD77" s="3" t="s">
        <v>104</v>
      </c>
      <c r="AE77" s="3" t="s">
        <v>104</v>
      </c>
      <c r="AF77" s="3" t="s">
        <v>104</v>
      </c>
      <c r="AG77" s="3" t="s">
        <v>102</v>
      </c>
      <c r="AH77" s="4">
        <f t="shared" ref="AH77:AH82" si="16">COUNTIF(C77:AG77,"L")</f>
        <v>0</v>
      </c>
      <c r="AI77" s="4">
        <f t="shared" ref="AI77:AI82" si="17">COUNTIF(C77:AG77,"A")</f>
        <v>20</v>
      </c>
      <c r="AJ77" s="72" t="s">
        <v>586</v>
      </c>
    </row>
    <row r="78" spans="2:36" ht="20.100000000000001" customHeight="1" x14ac:dyDescent="0.4">
      <c r="B78" s="4" t="s">
        <v>170</v>
      </c>
      <c r="C78" s="3" t="s">
        <v>104</v>
      </c>
      <c r="D78" s="3" t="s">
        <v>104</v>
      </c>
      <c r="E78" s="3" t="s">
        <v>102</v>
      </c>
      <c r="F78" s="3" t="s">
        <v>102</v>
      </c>
      <c r="G78" s="3" t="s">
        <v>104</v>
      </c>
      <c r="H78" s="3" t="s">
        <v>104</v>
      </c>
      <c r="I78" s="3" t="s">
        <v>104</v>
      </c>
      <c r="J78" s="3" t="s">
        <v>104</v>
      </c>
      <c r="K78" s="3" t="s">
        <v>104</v>
      </c>
      <c r="L78" s="3" t="s">
        <v>102</v>
      </c>
      <c r="M78" s="3" t="s">
        <v>102</v>
      </c>
      <c r="N78" s="3" t="s">
        <v>104</v>
      </c>
      <c r="O78" s="3" t="s">
        <v>104</v>
      </c>
      <c r="P78" s="3" t="s">
        <v>104</v>
      </c>
      <c r="Q78" s="3" t="s">
        <v>104</v>
      </c>
      <c r="R78" s="3" t="s">
        <v>104</v>
      </c>
      <c r="S78" s="3" t="s">
        <v>102</v>
      </c>
      <c r="T78" s="3" t="s">
        <v>102</v>
      </c>
      <c r="U78" s="3" t="s">
        <v>104</v>
      </c>
      <c r="V78" s="3" t="s">
        <v>104</v>
      </c>
      <c r="W78" s="3" t="s">
        <v>104</v>
      </c>
      <c r="X78" s="3" t="s">
        <v>104</v>
      </c>
      <c r="Y78" s="3" t="s">
        <v>104</v>
      </c>
      <c r="Z78" s="3" t="s">
        <v>102</v>
      </c>
      <c r="AA78" s="3" t="s">
        <v>102</v>
      </c>
      <c r="AB78" s="3" t="s">
        <v>405</v>
      </c>
      <c r="AC78" s="3" t="s">
        <v>405</v>
      </c>
      <c r="AD78" s="3" t="s">
        <v>104</v>
      </c>
      <c r="AE78" s="3" t="s">
        <v>104</v>
      </c>
      <c r="AF78" s="3" t="s">
        <v>104</v>
      </c>
      <c r="AG78" s="3" t="s">
        <v>102</v>
      </c>
      <c r="AH78" s="4">
        <f t="shared" ref="AH78:AH80" si="18">COUNTIF(C78:AG78,"L")</f>
        <v>0</v>
      </c>
      <c r="AI78" s="4">
        <f t="shared" ref="AI78:AI80" si="19">COUNTIF(C78:AG78,"A")</f>
        <v>20</v>
      </c>
      <c r="AJ78" s="72"/>
    </row>
    <row r="79" spans="2:36" ht="20.100000000000001" customHeight="1" x14ac:dyDescent="0.4">
      <c r="B79" s="4" t="s">
        <v>398</v>
      </c>
      <c r="C79" s="3" t="s">
        <v>104</v>
      </c>
      <c r="D79" s="3" t="s">
        <v>104</v>
      </c>
      <c r="E79" s="3" t="s">
        <v>102</v>
      </c>
      <c r="F79" s="3" t="s">
        <v>102</v>
      </c>
      <c r="G79" s="3" t="s">
        <v>104</v>
      </c>
      <c r="H79" s="3" t="s">
        <v>104</v>
      </c>
      <c r="I79" s="3" t="s">
        <v>104</v>
      </c>
      <c r="J79" s="3" t="s">
        <v>104</v>
      </c>
      <c r="K79" s="3" t="s">
        <v>104</v>
      </c>
      <c r="L79" s="3" t="s">
        <v>102</v>
      </c>
      <c r="M79" s="3" t="s">
        <v>102</v>
      </c>
      <c r="N79" s="3" t="s">
        <v>104</v>
      </c>
      <c r="O79" s="3" t="s">
        <v>104</v>
      </c>
      <c r="P79" s="3" t="s">
        <v>104</v>
      </c>
      <c r="Q79" s="3" t="s">
        <v>104</v>
      </c>
      <c r="R79" s="3" t="s">
        <v>104</v>
      </c>
      <c r="S79" s="3" t="s">
        <v>102</v>
      </c>
      <c r="T79" s="3" t="s">
        <v>102</v>
      </c>
      <c r="U79" s="3" t="s">
        <v>104</v>
      </c>
      <c r="V79" s="3" t="s">
        <v>104</v>
      </c>
      <c r="W79" s="3" t="s">
        <v>104</v>
      </c>
      <c r="X79" s="3" t="s">
        <v>104</v>
      </c>
      <c r="Y79" s="3" t="s">
        <v>104</v>
      </c>
      <c r="Z79" s="3" t="s">
        <v>102</v>
      </c>
      <c r="AA79" s="3" t="s">
        <v>102</v>
      </c>
      <c r="AB79" s="3" t="s">
        <v>405</v>
      </c>
      <c r="AC79" s="3" t="s">
        <v>405</v>
      </c>
      <c r="AD79" s="3" t="s">
        <v>104</v>
      </c>
      <c r="AE79" s="3" t="s">
        <v>104</v>
      </c>
      <c r="AF79" s="3" t="s">
        <v>104</v>
      </c>
      <c r="AG79" s="3" t="s">
        <v>102</v>
      </c>
      <c r="AH79" s="4">
        <f t="shared" si="18"/>
        <v>0</v>
      </c>
      <c r="AI79" s="4">
        <f t="shared" si="19"/>
        <v>20</v>
      </c>
      <c r="AJ79" s="72"/>
    </row>
    <row r="80" spans="2:36" ht="20.100000000000001" customHeight="1" x14ac:dyDescent="0.4">
      <c r="B80" s="4" t="s">
        <v>399</v>
      </c>
      <c r="C80" s="3" t="s">
        <v>104</v>
      </c>
      <c r="D80" s="3" t="s">
        <v>104</v>
      </c>
      <c r="E80" s="3" t="s">
        <v>102</v>
      </c>
      <c r="F80" s="3" t="s">
        <v>102</v>
      </c>
      <c r="G80" s="3" t="s">
        <v>104</v>
      </c>
      <c r="H80" s="3" t="s">
        <v>104</v>
      </c>
      <c r="I80" s="3" t="s">
        <v>104</v>
      </c>
      <c r="J80" s="3" t="s">
        <v>104</v>
      </c>
      <c r="K80" s="3" t="s">
        <v>104</v>
      </c>
      <c r="L80" s="3" t="s">
        <v>102</v>
      </c>
      <c r="M80" s="3" t="s">
        <v>102</v>
      </c>
      <c r="N80" s="3" t="s">
        <v>104</v>
      </c>
      <c r="O80" s="3" t="s">
        <v>104</v>
      </c>
      <c r="P80" s="3" t="s">
        <v>104</v>
      </c>
      <c r="Q80" s="3" t="s">
        <v>104</v>
      </c>
      <c r="R80" s="3" t="s">
        <v>104</v>
      </c>
      <c r="S80" s="3" t="s">
        <v>102</v>
      </c>
      <c r="T80" s="3" t="s">
        <v>102</v>
      </c>
      <c r="U80" s="3" t="s">
        <v>104</v>
      </c>
      <c r="V80" s="3" t="s">
        <v>104</v>
      </c>
      <c r="W80" s="3" t="s">
        <v>104</v>
      </c>
      <c r="X80" s="3" t="s">
        <v>104</v>
      </c>
      <c r="Y80" s="3" t="s">
        <v>104</v>
      </c>
      <c r="Z80" s="3" t="s">
        <v>102</v>
      </c>
      <c r="AA80" s="3" t="s">
        <v>102</v>
      </c>
      <c r="AB80" s="3" t="s">
        <v>405</v>
      </c>
      <c r="AC80" s="3" t="s">
        <v>405</v>
      </c>
      <c r="AD80" s="3" t="s">
        <v>104</v>
      </c>
      <c r="AE80" s="3" t="s">
        <v>104</v>
      </c>
      <c r="AF80" s="3" t="s">
        <v>104</v>
      </c>
      <c r="AG80" s="3" t="s">
        <v>102</v>
      </c>
      <c r="AH80" s="4">
        <f t="shared" si="18"/>
        <v>0</v>
      </c>
      <c r="AI80" s="4">
        <f t="shared" si="19"/>
        <v>20</v>
      </c>
    </row>
    <row r="81" spans="2:36" ht="20.100000000000001" customHeight="1" x14ac:dyDescent="0.4">
      <c r="B81" s="4" t="s">
        <v>400</v>
      </c>
      <c r="C81" s="3" t="s">
        <v>104</v>
      </c>
      <c r="D81" s="3" t="s">
        <v>104</v>
      </c>
      <c r="E81" s="3" t="s">
        <v>102</v>
      </c>
      <c r="F81" s="3" t="s">
        <v>102</v>
      </c>
      <c r="G81" s="3" t="s">
        <v>104</v>
      </c>
      <c r="H81" s="3" t="s">
        <v>104</v>
      </c>
      <c r="I81" s="3" t="s">
        <v>104</v>
      </c>
      <c r="J81" s="3" t="s">
        <v>104</v>
      </c>
      <c r="K81" s="3" t="s">
        <v>104</v>
      </c>
      <c r="L81" s="3" t="s">
        <v>102</v>
      </c>
      <c r="M81" s="3" t="s">
        <v>102</v>
      </c>
      <c r="N81" s="3" t="s">
        <v>104</v>
      </c>
      <c r="O81" s="3" t="s">
        <v>104</v>
      </c>
      <c r="P81" s="3" t="s">
        <v>104</v>
      </c>
      <c r="Q81" s="3" t="s">
        <v>104</v>
      </c>
      <c r="R81" s="3" t="s">
        <v>104</v>
      </c>
      <c r="S81" s="3" t="s">
        <v>102</v>
      </c>
      <c r="T81" s="3" t="s">
        <v>102</v>
      </c>
      <c r="U81" s="3" t="s">
        <v>104</v>
      </c>
      <c r="V81" s="3" t="s">
        <v>104</v>
      </c>
      <c r="W81" s="3" t="s">
        <v>104</v>
      </c>
      <c r="X81" s="3" t="s">
        <v>104</v>
      </c>
      <c r="Y81" s="3" t="s">
        <v>104</v>
      </c>
      <c r="Z81" s="3" t="s">
        <v>102</v>
      </c>
      <c r="AA81" s="3" t="s">
        <v>102</v>
      </c>
      <c r="AB81" s="3" t="s">
        <v>405</v>
      </c>
      <c r="AC81" s="3" t="s">
        <v>405</v>
      </c>
      <c r="AD81" s="3" t="s">
        <v>104</v>
      </c>
      <c r="AE81" s="3" t="s">
        <v>104</v>
      </c>
      <c r="AF81" s="3" t="s">
        <v>104</v>
      </c>
      <c r="AG81" s="3" t="s">
        <v>102</v>
      </c>
      <c r="AH81" s="4">
        <f t="shared" si="16"/>
        <v>0</v>
      </c>
      <c r="AI81" s="4">
        <f t="shared" si="17"/>
        <v>20</v>
      </c>
    </row>
    <row r="82" spans="2:36" ht="20.100000000000001" customHeight="1" x14ac:dyDescent="0.4">
      <c r="B82" s="4" t="s">
        <v>928</v>
      </c>
      <c r="C82" s="3" t="s">
        <v>104</v>
      </c>
      <c r="D82" s="3" t="s">
        <v>104</v>
      </c>
      <c r="E82" s="3" t="s">
        <v>102</v>
      </c>
      <c r="F82" s="3" t="s">
        <v>102</v>
      </c>
      <c r="G82" s="3" t="s">
        <v>104</v>
      </c>
      <c r="H82" s="3" t="s">
        <v>104</v>
      </c>
      <c r="I82" s="3" t="s">
        <v>104</v>
      </c>
      <c r="J82" s="3" t="s">
        <v>104</v>
      </c>
      <c r="K82" s="3" t="s">
        <v>104</v>
      </c>
      <c r="L82" s="3" t="s">
        <v>102</v>
      </c>
      <c r="M82" s="3" t="s">
        <v>102</v>
      </c>
      <c r="N82" s="3" t="s">
        <v>104</v>
      </c>
      <c r="O82" s="3" t="s">
        <v>104</v>
      </c>
      <c r="P82" s="3" t="s">
        <v>104</v>
      </c>
      <c r="Q82" s="3" t="s">
        <v>104</v>
      </c>
      <c r="R82" s="3" t="s">
        <v>104</v>
      </c>
      <c r="S82" s="3" t="s">
        <v>102</v>
      </c>
      <c r="T82" s="3" t="s">
        <v>102</v>
      </c>
      <c r="U82" s="3" t="s">
        <v>104</v>
      </c>
      <c r="V82" s="3" t="s">
        <v>104</v>
      </c>
      <c r="W82" s="3" t="s">
        <v>104</v>
      </c>
      <c r="X82" s="3" t="s">
        <v>104</v>
      </c>
      <c r="Y82" s="3" t="s">
        <v>104</v>
      </c>
      <c r="Z82" s="3" t="s">
        <v>102</v>
      </c>
      <c r="AA82" s="3" t="s">
        <v>102</v>
      </c>
      <c r="AB82" s="3" t="s">
        <v>405</v>
      </c>
      <c r="AC82" s="3" t="s">
        <v>405</v>
      </c>
      <c r="AD82" s="3" t="s">
        <v>104</v>
      </c>
      <c r="AE82" s="3" t="s">
        <v>104</v>
      </c>
      <c r="AF82" s="3" t="s">
        <v>104</v>
      </c>
      <c r="AG82" s="3" t="s">
        <v>102</v>
      </c>
      <c r="AH82" s="4">
        <f t="shared" si="16"/>
        <v>0</v>
      </c>
      <c r="AI82" s="4">
        <f t="shared" si="17"/>
        <v>20</v>
      </c>
    </row>
    <row r="83" spans="2:36" ht="20.100000000000001" hidden="1" customHeight="1" outlineLevel="1" x14ac:dyDescent="0.4">
      <c r="AI83" s="1">
        <f>AI86*7.5</f>
        <v>142.5</v>
      </c>
    </row>
    <row r="84" spans="2:36" ht="20.100000000000001" hidden="1" customHeight="1" outlineLevel="1" x14ac:dyDescent="0.4">
      <c r="B84" s="623">
        <f>DATE(YEAR(B74),MONTH(B74)+1,DAY(B74))</f>
        <v>46327</v>
      </c>
      <c r="C84" s="6">
        <v>1</v>
      </c>
      <c r="D84" s="6">
        <v>2</v>
      </c>
      <c r="E84" s="6">
        <v>3</v>
      </c>
      <c r="F84" s="6">
        <v>4</v>
      </c>
      <c r="G84" s="6">
        <v>5</v>
      </c>
      <c r="H84" s="6">
        <v>6</v>
      </c>
      <c r="I84" s="6">
        <v>7</v>
      </c>
      <c r="J84" s="6">
        <v>8</v>
      </c>
      <c r="K84" s="6">
        <v>9</v>
      </c>
      <c r="L84" s="6">
        <v>10</v>
      </c>
      <c r="M84" s="6">
        <v>11</v>
      </c>
      <c r="N84" s="6">
        <v>12</v>
      </c>
      <c r="O84" s="6">
        <v>13</v>
      </c>
      <c r="P84" s="6">
        <v>14</v>
      </c>
      <c r="Q84" s="6">
        <v>15</v>
      </c>
      <c r="R84" s="6">
        <v>16</v>
      </c>
      <c r="S84" s="6">
        <v>17</v>
      </c>
      <c r="T84" s="6">
        <v>18</v>
      </c>
      <c r="U84" s="6">
        <v>19</v>
      </c>
      <c r="V84" s="6">
        <v>20</v>
      </c>
      <c r="W84" s="6">
        <v>21</v>
      </c>
      <c r="X84" s="6">
        <v>22</v>
      </c>
      <c r="Y84" s="6">
        <v>23</v>
      </c>
      <c r="Z84" s="6">
        <v>24</v>
      </c>
      <c r="AA84" s="6">
        <v>25</v>
      </c>
      <c r="AB84" s="6">
        <v>26</v>
      </c>
      <c r="AC84" s="6">
        <v>27</v>
      </c>
      <c r="AD84" s="6">
        <v>28</v>
      </c>
      <c r="AE84" s="6">
        <v>29</v>
      </c>
      <c r="AF84" s="6">
        <v>30</v>
      </c>
      <c r="AG84" s="6"/>
      <c r="AH84" s="483" t="s">
        <v>105</v>
      </c>
      <c r="AI84" s="476" t="s">
        <v>106</v>
      </c>
      <c r="AJ84" s="72"/>
    </row>
    <row r="85" spans="2:36" ht="20.100000000000001" hidden="1" customHeight="1" outlineLevel="1" x14ac:dyDescent="0.4">
      <c r="B85" s="624"/>
      <c r="C85" s="6" t="s">
        <v>111</v>
      </c>
      <c r="D85" s="6" t="s">
        <v>69</v>
      </c>
      <c r="E85" s="6" t="s">
        <v>71</v>
      </c>
      <c r="F85" s="6" t="s">
        <v>107</v>
      </c>
      <c r="G85" s="6" t="s">
        <v>108</v>
      </c>
      <c r="H85" s="6" t="s">
        <v>109</v>
      </c>
      <c r="I85" s="6" t="s">
        <v>110</v>
      </c>
      <c r="J85" s="6" t="s">
        <v>111</v>
      </c>
      <c r="K85" s="6" t="s">
        <v>69</v>
      </c>
      <c r="L85" s="6" t="s">
        <v>71</v>
      </c>
      <c r="M85" s="6" t="s">
        <v>107</v>
      </c>
      <c r="N85" s="6" t="s">
        <v>108</v>
      </c>
      <c r="O85" s="6" t="s">
        <v>109</v>
      </c>
      <c r="P85" s="6" t="s">
        <v>110</v>
      </c>
      <c r="Q85" s="6" t="s">
        <v>111</v>
      </c>
      <c r="R85" s="6" t="s">
        <v>69</v>
      </c>
      <c r="S85" s="6" t="s">
        <v>71</v>
      </c>
      <c r="T85" s="6" t="s">
        <v>107</v>
      </c>
      <c r="U85" s="6" t="s">
        <v>108</v>
      </c>
      <c r="V85" s="6" t="s">
        <v>109</v>
      </c>
      <c r="W85" s="6" t="s">
        <v>110</v>
      </c>
      <c r="X85" s="6" t="s">
        <v>111</v>
      </c>
      <c r="Y85" s="6" t="s">
        <v>69</v>
      </c>
      <c r="Z85" s="6" t="s">
        <v>71</v>
      </c>
      <c r="AA85" s="6" t="s">
        <v>107</v>
      </c>
      <c r="AB85" s="6" t="s">
        <v>108</v>
      </c>
      <c r="AC85" s="6" t="s">
        <v>109</v>
      </c>
      <c r="AD85" s="6" t="s">
        <v>110</v>
      </c>
      <c r="AE85" s="6" t="s">
        <v>111</v>
      </c>
      <c r="AF85" s="6" t="s">
        <v>69</v>
      </c>
      <c r="AG85" s="6"/>
      <c r="AH85" s="485"/>
      <c r="AI85" s="478"/>
      <c r="AJ85" s="72"/>
    </row>
    <row r="86" spans="2:36" ht="20.100000000000001" hidden="1" customHeight="1" outlineLevel="1" x14ac:dyDescent="0.4">
      <c r="B86" s="4" t="s">
        <v>162</v>
      </c>
      <c r="C86" s="3" t="s">
        <v>102</v>
      </c>
      <c r="D86" s="3" t="s">
        <v>104</v>
      </c>
      <c r="E86" s="3" t="s">
        <v>104</v>
      </c>
      <c r="F86" s="3" t="s">
        <v>104</v>
      </c>
      <c r="G86" s="3" t="s">
        <v>104</v>
      </c>
      <c r="H86" s="3" t="s">
        <v>104</v>
      </c>
      <c r="I86" s="3" t="s">
        <v>102</v>
      </c>
      <c r="J86" s="3" t="s">
        <v>102</v>
      </c>
      <c r="K86" s="3" t="s">
        <v>104</v>
      </c>
      <c r="L86" s="3" t="s">
        <v>104</v>
      </c>
      <c r="M86" s="3" t="s">
        <v>104</v>
      </c>
      <c r="N86" s="3" t="s">
        <v>104</v>
      </c>
      <c r="O86" s="3" t="s">
        <v>104</v>
      </c>
      <c r="P86" s="3" t="s">
        <v>102</v>
      </c>
      <c r="Q86" s="3" t="s">
        <v>102</v>
      </c>
      <c r="R86" s="3" t="s">
        <v>104</v>
      </c>
      <c r="S86" s="3" t="s">
        <v>104</v>
      </c>
      <c r="T86" s="3" t="s">
        <v>104</v>
      </c>
      <c r="U86" s="3" t="s">
        <v>104</v>
      </c>
      <c r="V86" s="3" t="s">
        <v>104</v>
      </c>
      <c r="W86" s="3" t="s">
        <v>102</v>
      </c>
      <c r="X86" s="3" t="s">
        <v>102</v>
      </c>
      <c r="Y86" s="3" t="s">
        <v>405</v>
      </c>
      <c r="Z86" s="3" t="s">
        <v>405</v>
      </c>
      <c r="AA86" s="3" t="s">
        <v>104</v>
      </c>
      <c r="AB86" s="3" t="s">
        <v>104</v>
      </c>
      <c r="AC86" s="3" t="s">
        <v>104</v>
      </c>
      <c r="AD86" s="3" t="s">
        <v>102</v>
      </c>
      <c r="AE86" s="3" t="s">
        <v>102</v>
      </c>
      <c r="AF86" s="3" t="s">
        <v>104</v>
      </c>
      <c r="AG86" s="3"/>
      <c r="AH86" s="4">
        <f>COUNTIF(C86:AG86,"L")</f>
        <v>0</v>
      </c>
      <c r="AI86" s="4">
        <f>COUNTIF(C86:AG86,"A")</f>
        <v>19</v>
      </c>
      <c r="AJ86" s="72"/>
    </row>
    <row r="87" spans="2:36" ht="20.100000000000001" hidden="1" customHeight="1" outlineLevel="1" x14ac:dyDescent="0.4">
      <c r="B87" s="4" t="s">
        <v>396</v>
      </c>
      <c r="C87" s="3" t="s">
        <v>102</v>
      </c>
      <c r="D87" s="3" t="s">
        <v>104</v>
      </c>
      <c r="E87" s="3" t="s">
        <v>104</v>
      </c>
      <c r="F87" s="3" t="s">
        <v>104</v>
      </c>
      <c r="G87" s="3" t="s">
        <v>104</v>
      </c>
      <c r="H87" s="3" t="s">
        <v>104</v>
      </c>
      <c r="I87" s="3" t="s">
        <v>102</v>
      </c>
      <c r="J87" s="3" t="s">
        <v>102</v>
      </c>
      <c r="K87" s="3" t="s">
        <v>104</v>
      </c>
      <c r="L87" s="3" t="s">
        <v>104</v>
      </c>
      <c r="M87" s="3" t="s">
        <v>104</v>
      </c>
      <c r="N87" s="3" t="s">
        <v>104</v>
      </c>
      <c r="O87" s="3" t="s">
        <v>104</v>
      </c>
      <c r="P87" s="3" t="s">
        <v>102</v>
      </c>
      <c r="Q87" s="3" t="s">
        <v>102</v>
      </c>
      <c r="R87" s="3" t="s">
        <v>104</v>
      </c>
      <c r="S87" s="3" t="s">
        <v>104</v>
      </c>
      <c r="T87" s="3" t="s">
        <v>104</v>
      </c>
      <c r="U87" s="3" t="s">
        <v>104</v>
      </c>
      <c r="V87" s="3" t="s">
        <v>104</v>
      </c>
      <c r="W87" s="3" t="s">
        <v>102</v>
      </c>
      <c r="X87" s="3" t="s">
        <v>102</v>
      </c>
      <c r="Y87" s="3" t="s">
        <v>405</v>
      </c>
      <c r="Z87" s="3" t="s">
        <v>405</v>
      </c>
      <c r="AA87" s="3" t="s">
        <v>104</v>
      </c>
      <c r="AB87" s="3" t="s">
        <v>104</v>
      </c>
      <c r="AC87" s="3" t="s">
        <v>104</v>
      </c>
      <c r="AD87" s="3" t="s">
        <v>102</v>
      </c>
      <c r="AE87" s="3" t="s">
        <v>102</v>
      </c>
      <c r="AF87" s="3" t="s">
        <v>104</v>
      </c>
      <c r="AG87" s="3"/>
      <c r="AH87" s="4">
        <f t="shared" ref="AH87:AH92" si="20">COUNTIF(C87:AG87,"L")</f>
        <v>0</v>
      </c>
      <c r="AI87" s="4">
        <f t="shared" ref="AI87:AI92" si="21">COUNTIF(C87:AG87,"A")</f>
        <v>19</v>
      </c>
      <c r="AJ87" s="182"/>
    </row>
    <row r="88" spans="2:36" ht="20.100000000000001" hidden="1" customHeight="1" outlineLevel="1" x14ac:dyDescent="0.4">
      <c r="B88" s="4" t="s">
        <v>170</v>
      </c>
      <c r="C88" s="3" t="s">
        <v>102</v>
      </c>
      <c r="D88" s="3" t="s">
        <v>104</v>
      </c>
      <c r="E88" s="3" t="s">
        <v>104</v>
      </c>
      <c r="F88" s="3" t="s">
        <v>104</v>
      </c>
      <c r="G88" s="3" t="s">
        <v>104</v>
      </c>
      <c r="H88" s="3" t="s">
        <v>104</v>
      </c>
      <c r="I88" s="3" t="s">
        <v>102</v>
      </c>
      <c r="J88" s="3" t="s">
        <v>102</v>
      </c>
      <c r="K88" s="3" t="s">
        <v>104</v>
      </c>
      <c r="L88" s="3" t="s">
        <v>104</v>
      </c>
      <c r="M88" s="3" t="s">
        <v>104</v>
      </c>
      <c r="N88" s="3" t="s">
        <v>104</v>
      </c>
      <c r="O88" s="3" t="s">
        <v>104</v>
      </c>
      <c r="P88" s="3" t="s">
        <v>102</v>
      </c>
      <c r="Q88" s="3" t="s">
        <v>102</v>
      </c>
      <c r="R88" s="3" t="s">
        <v>104</v>
      </c>
      <c r="S88" s="3" t="s">
        <v>104</v>
      </c>
      <c r="T88" s="3" t="s">
        <v>104</v>
      </c>
      <c r="U88" s="3" t="s">
        <v>104</v>
      </c>
      <c r="V88" s="3" t="s">
        <v>104</v>
      </c>
      <c r="W88" s="3" t="s">
        <v>102</v>
      </c>
      <c r="X88" s="3" t="s">
        <v>102</v>
      </c>
      <c r="Y88" s="3" t="s">
        <v>405</v>
      </c>
      <c r="Z88" s="3" t="s">
        <v>405</v>
      </c>
      <c r="AA88" s="3" t="s">
        <v>104</v>
      </c>
      <c r="AB88" s="3" t="s">
        <v>104</v>
      </c>
      <c r="AC88" s="3" t="s">
        <v>104</v>
      </c>
      <c r="AD88" s="3" t="s">
        <v>102</v>
      </c>
      <c r="AE88" s="3" t="s">
        <v>102</v>
      </c>
      <c r="AF88" s="3" t="s">
        <v>104</v>
      </c>
      <c r="AG88" s="3"/>
      <c r="AH88" s="4">
        <f t="shared" ref="AH88:AH90" si="22">COUNTIF(C88:AG88,"L")</f>
        <v>0</v>
      </c>
      <c r="AI88" s="4">
        <f t="shared" ref="AI88:AI90" si="23">COUNTIF(C88:AG88,"A")</f>
        <v>19</v>
      </c>
    </row>
    <row r="89" spans="2:36" ht="20.100000000000001" hidden="1" customHeight="1" outlineLevel="1" x14ac:dyDescent="0.4">
      <c r="B89" s="4" t="s">
        <v>397</v>
      </c>
      <c r="C89" s="3" t="s">
        <v>102</v>
      </c>
      <c r="D89" s="3" t="s">
        <v>104</v>
      </c>
      <c r="E89" s="3" t="s">
        <v>104</v>
      </c>
      <c r="F89" s="3" t="s">
        <v>104</v>
      </c>
      <c r="G89" s="3" t="s">
        <v>104</v>
      </c>
      <c r="H89" s="3" t="s">
        <v>104</v>
      </c>
      <c r="I89" s="3" t="s">
        <v>102</v>
      </c>
      <c r="J89" s="3" t="s">
        <v>102</v>
      </c>
      <c r="K89" s="3" t="s">
        <v>104</v>
      </c>
      <c r="L89" s="3" t="s">
        <v>104</v>
      </c>
      <c r="M89" s="3" t="s">
        <v>104</v>
      </c>
      <c r="N89" s="3" t="s">
        <v>104</v>
      </c>
      <c r="O89" s="3" t="s">
        <v>104</v>
      </c>
      <c r="P89" s="3" t="s">
        <v>102</v>
      </c>
      <c r="Q89" s="3" t="s">
        <v>102</v>
      </c>
      <c r="R89" s="3" t="s">
        <v>104</v>
      </c>
      <c r="S89" s="3" t="s">
        <v>104</v>
      </c>
      <c r="T89" s="3" t="s">
        <v>104</v>
      </c>
      <c r="U89" s="3" t="s">
        <v>104</v>
      </c>
      <c r="V89" s="3" t="s">
        <v>104</v>
      </c>
      <c r="W89" s="3" t="s">
        <v>102</v>
      </c>
      <c r="X89" s="3" t="s">
        <v>102</v>
      </c>
      <c r="Y89" s="3" t="s">
        <v>405</v>
      </c>
      <c r="Z89" s="3" t="s">
        <v>405</v>
      </c>
      <c r="AA89" s="3" t="s">
        <v>104</v>
      </c>
      <c r="AB89" s="3" t="s">
        <v>104</v>
      </c>
      <c r="AC89" s="3" t="s">
        <v>104</v>
      </c>
      <c r="AD89" s="3" t="s">
        <v>102</v>
      </c>
      <c r="AE89" s="3" t="s">
        <v>102</v>
      </c>
      <c r="AF89" s="3" t="s">
        <v>104</v>
      </c>
      <c r="AG89" s="3"/>
      <c r="AH89" s="4">
        <f t="shared" si="22"/>
        <v>0</v>
      </c>
      <c r="AI89" s="4">
        <f t="shared" si="23"/>
        <v>19</v>
      </c>
      <c r="AJ89" s="72"/>
    </row>
    <row r="90" spans="2:36" ht="20.100000000000001" hidden="1" customHeight="1" outlineLevel="1" x14ac:dyDescent="0.4">
      <c r="B90" s="4" t="s">
        <v>398</v>
      </c>
      <c r="C90" s="3" t="s">
        <v>102</v>
      </c>
      <c r="D90" s="3" t="s">
        <v>104</v>
      </c>
      <c r="E90" s="3" t="s">
        <v>104</v>
      </c>
      <c r="F90" s="3" t="s">
        <v>104</v>
      </c>
      <c r="G90" s="3" t="s">
        <v>104</v>
      </c>
      <c r="H90" s="3" t="s">
        <v>104</v>
      </c>
      <c r="I90" s="3" t="s">
        <v>102</v>
      </c>
      <c r="J90" s="3" t="s">
        <v>102</v>
      </c>
      <c r="K90" s="3" t="s">
        <v>104</v>
      </c>
      <c r="L90" s="3" t="s">
        <v>104</v>
      </c>
      <c r="M90" s="3" t="s">
        <v>104</v>
      </c>
      <c r="N90" s="3" t="s">
        <v>104</v>
      </c>
      <c r="O90" s="3" t="s">
        <v>104</v>
      </c>
      <c r="P90" s="3" t="s">
        <v>102</v>
      </c>
      <c r="Q90" s="3" t="s">
        <v>102</v>
      </c>
      <c r="R90" s="3" t="s">
        <v>104</v>
      </c>
      <c r="S90" s="3" t="s">
        <v>104</v>
      </c>
      <c r="T90" s="3" t="s">
        <v>104</v>
      </c>
      <c r="U90" s="3" t="s">
        <v>104</v>
      </c>
      <c r="V90" s="3" t="s">
        <v>104</v>
      </c>
      <c r="W90" s="3" t="s">
        <v>102</v>
      </c>
      <c r="X90" s="3" t="s">
        <v>102</v>
      </c>
      <c r="Y90" s="3" t="s">
        <v>405</v>
      </c>
      <c r="Z90" s="3" t="s">
        <v>405</v>
      </c>
      <c r="AA90" s="3" t="s">
        <v>104</v>
      </c>
      <c r="AB90" s="3" t="s">
        <v>104</v>
      </c>
      <c r="AC90" s="3" t="s">
        <v>104</v>
      </c>
      <c r="AD90" s="3" t="s">
        <v>102</v>
      </c>
      <c r="AE90" s="3" t="s">
        <v>102</v>
      </c>
      <c r="AF90" s="3" t="s">
        <v>104</v>
      </c>
      <c r="AG90" s="3"/>
      <c r="AH90" s="4">
        <f t="shared" si="22"/>
        <v>0</v>
      </c>
      <c r="AI90" s="4">
        <f t="shared" si="23"/>
        <v>19</v>
      </c>
    </row>
    <row r="91" spans="2:36" ht="20.100000000000001" hidden="1" customHeight="1" outlineLevel="1" x14ac:dyDescent="0.4">
      <c r="B91" s="4" t="s">
        <v>399</v>
      </c>
      <c r="C91" s="3" t="s">
        <v>102</v>
      </c>
      <c r="D91" s="3" t="s">
        <v>104</v>
      </c>
      <c r="E91" s="3" t="s">
        <v>104</v>
      </c>
      <c r="F91" s="3" t="s">
        <v>104</v>
      </c>
      <c r="G91" s="3" t="s">
        <v>104</v>
      </c>
      <c r="H91" s="3" t="s">
        <v>104</v>
      </c>
      <c r="I91" s="3" t="s">
        <v>102</v>
      </c>
      <c r="J91" s="3" t="s">
        <v>102</v>
      </c>
      <c r="K91" s="3" t="s">
        <v>104</v>
      </c>
      <c r="L91" s="3" t="s">
        <v>104</v>
      </c>
      <c r="M91" s="3" t="s">
        <v>104</v>
      </c>
      <c r="N91" s="3" t="s">
        <v>104</v>
      </c>
      <c r="O91" s="3" t="s">
        <v>104</v>
      </c>
      <c r="P91" s="3" t="s">
        <v>102</v>
      </c>
      <c r="Q91" s="3" t="s">
        <v>102</v>
      </c>
      <c r="R91" s="3" t="s">
        <v>104</v>
      </c>
      <c r="S91" s="3" t="s">
        <v>104</v>
      </c>
      <c r="T91" s="3" t="s">
        <v>104</v>
      </c>
      <c r="U91" s="3" t="s">
        <v>104</v>
      </c>
      <c r="V91" s="3" t="s">
        <v>104</v>
      </c>
      <c r="W91" s="3" t="s">
        <v>102</v>
      </c>
      <c r="X91" s="3" t="s">
        <v>102</v>
      </c>
      <c r="Y91" s="3" t="s">
        <v>405</v>
      </c>
      <c r="Z91" s="3" t="s">
        <v>405</v>
      </c>
      <c r="AA91" s="3" t="s">
        <v>104</v>
      </c>
      <c r="AB91" s="3" t="s">
        <v>104</v>
      </c>
      <c r="AC91" s="3" t="s">
        <v>104</v>
      </c>
      <c r="AD91" s="3" t="s">
        <v>102</v>
      </c>
      <c r="AE91" s="3" t="s">
        <v>102</v>
      </c>
      <c r="AF91" s="3" t="s">
        <v>104</v>
      </c>
      <c r="AG91" s="3"/>
      <c r="AH91" s="4">
        <f t="shared" si="20"/>
        <v>0</v>
      </c>
      <c r="AI91" s="4">
        <f t="shared" si="21"/>
        <v>19</v>
      </c>
      <c r="AJ91" s="182"/>
    </row>
    <row r="92" spans="2:36" ht="20.100000000000001" hidden="1" customHeight="1" outlineLevel="1" x14ac:dyDescent="0.4">
      <c r="B92" s="4" t="s">
        <v>400</v>
      </c>
      <c r="C92" s="3" t="s">
        <v>102</v>
      </c>
      <c r="D92" s="3" t="s">
        <v>104</v>
      </c>
      <c r="E92" s="3" t="s">
        <v>104</v>
      </c>
      <c r="F92" s="3" t="s">
        <v>104</v>
      </c>
      <c r="G92" s="3" t="s">
        <v>104</v>
      </c>
      <c r="H92" s="3" t="s">
        <v>104</v>
      </c>
      <c r="I92" s="3" t="s">
        <v>102</v>
      </c>
      <c r="J92" s="3" t="s">
        <v>102</v>
      </c>
      <c r="K92" s="3" t="s">
        <v>104</v>
      </c>
      <c r="L92" s="3" t="s">
        <v>104</v>
      </c>
      <c r="M92" s="3" t="s">
        <v>104</v>
      </c>
      <c r="N92" s="3" t="s">
        <v>104</v>
      </c>
      <c r="O92" s="3" t="s">
        <v>104</v>
      </c>
      <c r="P92" s="3" t="s">
        <v>102</v>
      </c>
      <c r="Q92" s="3" t="s">
        <v>102</v>
      </c>
      <c r="R92" s="3" t="s">
        <v>104</v>
      </c>
      <c r="S92" s="3" t="s">
        <v>104</v>
      </c>
      <c r="T92" s="3" t="s">
        <v>104</v>
      </c>
      <c r="U92" s="3" t="s">
        <v>104</v>
      </c>
      <c r="V92" s="3" t="s">
        <v>104</v>
      </c>
      <c r="W92" s="3" t="s">
        <v>102</v>
      </c>
      <c r="X92" s="3" t="s">
        <v>102</v>
      </c>
      <c r="Y92" s="3" t="s">
        <v>405</v>
      </c>
      <c r="Z92" s="3" t="s">
        <v>405</v>
      </c>
      <c r="AA92" s="3" t="s">
        <v>104</v>
      </c>
      <c r="AB92" s="3" t="s">
        <v>104</v>
      </c>
      <c r="AC92" s="3" t="s">
        <v>104</v>
      </c>
      <c r="AD92" s="3" t="s">
        <v>102</v>
      </c>
      <c r="AE92" s="3" t="s">
        <v>102</v>
      </c>
      <c r="AF92" s="3" t="s">
        <v>104</v>
      </c>
      <c r="AG92" s="3"/>
      <c r="AH92" s="4">
        <f t="shared" si="20"/>
        <v>0</v>
      </c>
      <c r="AI92" s="4">
        <f t="shared" si="21"/>
        <v>19</v>
      </c>
    </row>
    <row r="93" spans="2:36" ht="20.100000000000001" hidden="1" customHeight="1" outlineLevel="1" collapsed="1" x14ac:dyDescent="0.4">
      <c r="AI93" s="1">
        <f>AI96*7.5</f>
        <v>165</v>
      </c>
    </row>
    <row r="94" spans="2:36" ht="20.100000000000001" hidden="1" customHeight="1" outlineLevel="1" x14ac:dyDescent="0.4">
      <c r="B94" s="623">
        <f>DATE(YEAR(B84),MONTH(B84)+1,DAY(B84))</f>
        <v>46357</v>
      </c>
      <c r="C94" s="6">
        <v>1</v>
      </c>
      <c r="D94" s="6">
        <v>2</v>
      </c>
      <c r="E94" s="6">
        <v>3</v>
      </c>
      <c r="F94" s="6">
        <v>4</v>
      </c>
      <c r="G94" s="6">
        <v>5</v>
      </c>
      <c r="H94" s="6">
        <v>6</v>
      </c>
      <c r="I94" s="6">
        <v>7</v>
      </c>
      <c r="J94" s="6">
        <v>8</v>
      </c>
      <c r="K94" s="6">
        <v>9</v>
      </c>
      <c r="L94" s="6">
        <v>10</v>
      </c>
      <c r="M94" s="6">
        <v>11</v>
      </c>
      <c r="N94" s="6">
        <v>12</v>
      </c>
      <c r="O94" s="6">
        <v>13</v>
      </c>
      <c r="P94" s="6">
        <v>14</v>
      </c>
      <c r="Q94" s="6">
        <v>15</v>
      </c>
      <c r="R94" s="6">
        <v>16</v>
      </c>
      <c r="S94" s="6">
        <v>17</v>
      </c>
      <c r="T94" s="6">
        <v>18</v>
      </c>
      <c r="U94" s="6">
        <v>19</v>
      </c>
      <c r="V94" s="6">
        <v>20</v>
      </c>
      <c r="W94" s="6">
        <v>21</v>
      </c>
      <c r="X94" s="6">
        <v>22</v>
      </c>
      <c r="Y94" s="6">
        <v>23</v>
      </c>
      <c r="Z94" s="6">
        <v>24</v>
      </c>
      <c r="AA94" s="6">
        <v>25</v>
      </c>
      <c r="AB94" s="6">
        <v>26</v>
      </c>
      <c r="AC94" s="6">
        <v>27</v>
      </c>
      <c r="AD94" s="6">
        <v>28</v>
      </c>
      <c r="AE94" s="6">
        <v>29</v>
      </c>
      <c r="AF94" s="6">
        <v>30</v>
      </c>
      <c r="AG94" s="6">
        <v>31</v>
      </c>
      <c r="AH94" s="483" t="s">
        <v>105</v>
      </c>
      <c r="AI94" s="476" t="s">
        <v>106</v>
      </c>
      <c r="AJ94" s="72"/>
    </row>
    <row r="95" spans="2:36" ht="20.100000000000001" hidden="1" customHeight="1" outlineLevel="1" x14ac:dyDescent="0.4">
      <c r="B95" s="624"/>
      <c r="C95" s="6" t="s">
        <v>71</v>
      </c>
      <c r="D95" s="6" t="s">
        <v>107</v>
      </c>
      <c r="E95" s="6" t="s">
        <v>108</v>
      </c>
      <c r="F95" s="6" t="s">
        <v>109</v>
      </c>
      <c r="G95" s="6" t="s">
        <v>110</v>
      </c>
      <c r="H95" s="6" t="s">
        <v>111</v>
      </c>
      <c r="I95" s="6" t="s">
        <v>69</v>
      </c>
      <c r="J95" s="6" t="s">
        <v>71</v>
      </c>
      <c r="K95" s="6" t="s">
        <v>107</v>
      </c>
      <c r="L95" s="6" t="s">
        <v>108</v>
      </c>
      <c r="M95" s="6" t="s">
        <v>109</v>
      </c>
      <c r="N95" s="6" t="s">
        <v>110</v>
      </c>
      <c r="O95" s="6" t="s">
        <v>111</v>
      </c>
      <c r="P95" s="6" t="s">
        <v>69</v>
      </c>
      <c r="Q95" s="6" t="s">
        <v>71</v>
      </c>
      <c r="R95" s="6" t="s">
        <v>107</v>
      </c>
      <c r="S95" s="6" t="s">
        <v>108</v>
      </c>
      <c r="T95" s="6" t="s">
        <v>109</v>
      </c>
      <c r="U95" s="6" t="s">
        <v>110</v>
      </c>
      <c r="V95" s="6" t="s">
        <v>111</v>
      </c>
      <c r="W95" s="6" t="s">
        <v>69</v>
      </c>
      <c r="X95" s="6" t="s">
        <v>71</v>
      </c>
      <c r="Y95" s="6" t="s">
        <v>107</v>
      </c>
      <c r="Z95" s="6" t="s">
        <v>108</v>
      </c>
      <c r="AA95" s="6" t="s">
        <v>109</v>
      </c>
      <c r="AB95" s="6" t="s">
        <v>110</v>
      </c>
      <c r="AC95" s="6" t="s">
        <v>111</v>
      </c>
      <c r="AD95" s="6" t="s">
        <v>69</v>
      </c>
      <c r="AE95" s="6" t="s">
        <v>71</v>
      </c>
      <c r="AF95" s="6" t="s">
        <v>107</v>
      </c>
      <c r="AG95" s="6" t="s">
        <v>108</v>
      </c>
      <c r="AH95" s="485"/>
      <c r="AI95" s="478"/>
      <c r="AJ95" s="72"/>
    </row>
    <row r="96" spans="2:36" ht="20.100000000000001" hidden="1" customHeight="1" outlineLevel="1" x14ac:dyDescent="0.4">
      <c r="B96" s="4" t="s">
        <v>162</v>
      </c>
      <c r="C96" s="3" t="s">
        <v>104</v>
      </c>
      <c r="D96" s="3" t="s">
        <v>104</v>
      </c>
      <c r="E96" s="3" t="s">
        <v>104</v>
      </c>
      <c r="F96" s="3" t="s">
        <v>405</v>
      </c>
      <c r="G96" s="3" t="s">
        <v>102</v>
      </c>
      <c r="H96" s="3" t="s">
        <v>102</v>
      </c>
      <c r="I96" s="3" t="s">
        <v>104</v>
      </c>
      <c r="J96" s="3" t="s">
        <v>104</v>
      </c>
      <c r="K96" s="3" t="s">
        <v>104</v>
      </c>
      <c r="L96" s="3" t="s">
        <v>104</v>
      </c>
      <c r="M96" s="3" t="s">
        <v>104</v>
      </c>
      <c r="N96" s="3" t="s">
        <v>102</v>
      </c>
      <c r="O96" s="3" t="s">
        <v>102</v>
      </c>
      <c r="P96" s="3" t="s">
        <v>104</v>
      </c>
      <c r="Q96" s="3" t="s">
        <v>104</v>
      </c>
      <c r="R96" s="3" t="s">
        <v>104</v>
      </c>
      <c r="S96" s="3" t="s">
        <v>104</v>
      </c>
      <c r="T96" s="3" t="s">
        <v>104</v>
      </c>
      <c r="U96" s="3" t="s">
        <v>102</v>
      </c>
      <c r="V96" s="3" t="s">
        <v>102</v>
      </c>
      <c r="W96" s="3" t="s">
        <v>104</v>
      </c>
      <c r="X96" s="3" t="s">
        <v>104</v>
      </c>
      <c r="Y96" s="3" t="s">
        <v>104</v>
      </c>
      <c r="Z96" s="3" t="s">
        <v>104</v>
      </c>
      <c r="AA96" s="3" t="s">
        <v>104</v>
      </c>
      <c r="AB96" s="3" t="s">
        <v>102</v>
      </c>
      <c r="AC96" s="3" t="s">
        <v>102</v>
      </c>
      <c r="AD96" s="3" t="s">
        <v>104</v>
      </c>
      <c r="AE96" s="3" t="s">
        <v>104</v>
      </c>
      <c r="AF96" s="3" t="s">
        <v>104</v>
      </c>
      <c r="AG96" s="3" t="s">
        <v>104</v>
      </c>
      <c r="AH96" s="4">
        <f>COUNTIF(C96:AG96,"L")</f>
        <v>0</v>
      </c>
      <c r="AI96" s="4">
        <f>COUNTIF(C96:AG96,"A")</f>
        <v>22</v>
      </c>
      <c r="AJ96" s="72"/>
    </row>
    <row r="97" spans="2:36" ht="20.100000000000001" hidden="1" customHeight="1" outlineLevel="1" x14ac:dyDescent="0.4">
      <c r="B97" s="4" t="s">
        <v>396</v>
      </c>
      <c r="C97" s="3" t="s">
        <v>104</v>
      </c>
      <c r="D97" s="3" t="s">
        <v>104</v>
      </c>
      <c r="E97" s="3" t="s">
        <v>104</v>
      </c>
      <c r="F97" s="3" t="s">
        <v>405</v>
      </c>
      <c r="G97" s="3" t="s">
        <v>102</v>
      </c>
      <c r="H97" s="3" t="s">
        <v>102</v>
      </c>
      <c r="I97" s="3" t="s">
        <v>104</v>
      </c>
      <c r="J97" s="3" t="s">
        <v>104</v>
      </c>
      <c r="K97" s="3" t="s">
        <v>104</v>
      </c>
      <c r="L97" s="3" t="s">
        <v>104</v>
      </c>
      <c r="M97" s="3" t="s">
        <v>104</v>
      </c>
      <c r="N97" s="3" t="s">
        <v>102</v>
      </c>
      <c r="O97" s="3" t="s">
        <v>102</v>
      </c>
      <c r="P97" s="3" t="s">
        <v>104</v>
      </c>
      <c r="Q97" s="3" t="s">
        <v>104</v>
      </c>
      <c r="R97" s="3" t="s">
        <v>104</v>
      </c>
      <c r="S97" s="3" t="s">
        <v>104</v>
      </c>
      <c r="T97" s="3" t="s">
        <v>104</v>
      </c>
      <c r="U97" s="3" t="s">
        <v>102</v>
      </c>
      <c r="V97" s="3" t="s">
        <v>102</v>
      </c>
      <c r="W97" s="3" t="s">
        <v>104</v>
      </c>
      <c r="X97" s="3" t="s">
        <v>104</v>
      </c>
      <c r="Y97" s="3" t="s">
        <v>104</v>
      </c>
      <c r="Z97" s="3" t="s">
        <v>104</v>
      </c>
      <c r="AA97" s="3" t="s">
        <v>104</v>
      </c>
      <c r="AB97" s="3" t="s">
        <v>102</v>
      </c>
      <c r="AC97" s="3" t="s">
        <v>102</v>
      </c>
      <c r="AD97" s="3" t="s">
        <v>104</v>
      </c>
      <c r="AE97" s="3" t="s">
        <v>104</v>
      </c>
      <c r="AF97" s="3" t="s">
        <v>104</v>
      </c>
      <c r="AG97" s="3" t="s">
        <v>104</v>
      </c>
      <c r="AH97" s="4">
        <f t="shared" ref="AH97:AH102" si="24">COUNTIF(C97:AG97,"L")</f>
        <v>0</v>
      </c>
      <c r="AI97" s="4">
        <f t="shared" ref="AI97:AI102" si="25">COUNTIF(C97:AG97,"A")</f>
        <v>22</v>
      </c>
      <c r="AJ97" s="72"/>
    </row>
    <row r="98" spans="2:36" ht="20.100000000000001" hidden="1" customHeight="1" outlineLevel="1" x14ac:dyDescent="0.4">
      <c r="B98" s="4" t="s">
        <v>170</v>
      </c>
      <c r="C98" s="3" t="s">
        <v>104</v>
      </c>
      <c r="D98" s="3" t="s">
        <v>104</v>
      </c>
      <c r="E98" s="3" t="s">
        <v>104</v>
      </c>
      <c r="F98" s="3" t="s">
        <v>405</v>
      </c>
      <c r="G98" s="3" t="s">
        <v>102</v>
      </c>
      <c r="H98" s="3" t="s">
        <v>102</v>
      </c>
      <c r="I98" s="3" t="s">
        <v>104</v>
      </c>
      <c r="J98" s="3" t="s">
        <v>104</v>
      </c>
      <c r="K98" s="3" t="s">
        <v>104</v>
      </c>
      <c r="L98" s="3" t="s">
        <v>104</v>
      </c>
      <c r="M98" s="3" t="s">
        <v>104</v>
      </c>
      <c r="N98" s="3" t="s">
        <v>102</v>
      </c>
      <c r="O98" s="3" t="s">
        <v>102</v>
      </c>
      <c r="P98" s="3" t="s">
        <v>104</v>
      </c>
      <c r="Q98" s="3" t="s">
        <v>104</v>
      </c>
      <c r="R98" s="3" t="s">
        <v>104</v>
      </c>
      <c r="S98" s="3" t="s">
        <v>104</v>
      </c>
      <c r="T98" s="3" t="s">
        <v>104</v>
      </c>
      <c r="U98" s="3" t="s">
        <v>102</v>
      </c>
      <c r="V98" s="3" t="s">
        <v>102</v>
      </c>
      <c r="W98" s="3" t="s">
        <v>104</v>
      </c>
      <c r="X98" s="3" t="s">
        <v>104</v>
      </c>
      <c r="Y98" s="3" t="s">
        <v>104</v>
      </c>
      <c r="Z98" s="3" t="s">
        <v>104</v>
      </c>
      <c r="AA98" s="3" t="s">
        <v>104</v>
      </c>
      <c r="AB98" s="3" t="s">
        <v>102</v>
      </c>
      <c r="AC98" s="3" t="s">
        <v>102</v>
      </c>
      <c r="AD98" s="3" t="s">
        <v>104</v>
      </c>
      <c r="AE98" s="3" t="s">
        <v>104</v>
      </c>
      <c r="AF98" s="3" t="s">
        <v>104</v>
      </c>
      <c r="AG98" s="3" t="s">
        <v>104</v>
      </c>
      <c r="AH98" s="4">
        <f t="shared" si="24"/>
        <v>0</v>
      </c>
      <c r="AI98" s="4">
        <f t="shared" ref="AI98:AI100" si="26">COUNTIF(C98:AG98,"A")</f>
        <v>22</v>
      </c>
    </row>
    <row r="99" spans="2:36" ht="20.100000000000001" hidden="1" customHeight="1" outlineLevel="1" x14ac:dyDescent="0.4">
      <c r="B99" s="4" t="s">
        <v>397</v>
      </c>
      <c r="C99" s="3" t="s">
        <v>104</v>
      </c>
      <c r="D99" s="3" t="s">
        <v>104</v>
      </c>
      <c r="E99" s="3" t="s">
        <v>104</v>
      </c>
      <c r="F99" s="3" t="s">
        <v>405</v>
      </c>
      <c r="G99" s="3" t="s">
        <v>102</v>
      </c>
      <c r="H99" s="3" t="s">
        <v>102</v>
      </c>
      <c r="I99" s="3" t="s">
        <v>104</v>
      </c>
      <c r="J99" s="3" t="s">
        <v>104</v>
      </c>
      <c r="K99" s="3" t="s">
        <v>104</v>
      </c>
      <c r="L99" s="3" t="s">
        <v>104</v>
      </c>
      <c r="M99" s="3" t="s">
        <v>104</v>
      </c>
      <c r="N99" s="3" t="s">
        <v>102</v>
      </c>
      <c r="O99" s="3" t="s">
        <v>102</v>
      </c>
      <c r="P99" s="3" t="s">
        <v>104</v>
      </c>
      <c r="Q99" s="3" t="s">
        <v>104</v>
      </c>
      <c r="R99" s="3" t="s">
        <v>104</v>
      </c>
      <c r="S99" s="3" t="s">
        <v>104</v>
      </c>
      <c r="T99" s="3" t="s">
        <v>104</v>
      </c>
      <c r="U99" s="3" t="s">
        <v>102</v>
      </c>
      <c r="V99" s="3" t="s">
        <v>102</v>
      </c>
      <c r="W99" s="3" t="s">
        <v>104</v>
      </c>
      <c r="X99" s="3" t="s">
        <v>104</v>
      </c>
      <c r="Y99" s="3" t="s">
        <v>104</v>
      </c>
      <c r="Z99" s="3" t="s">
        <v>104</v>
      </c>
      <c r="AA99" s="3" t="s">
        <v>104</v>
      </c>
      <c r="AB99" s="3" t="s">
        <v>102</v>
      </c>
      <c r="AC99" s="3" t="s">
        <v>102</v>
      </c>
      <c r="AD99" s="3" t="s">
        <v>104</v>
      </c>
      <c r="AE99" s="3" t="s">
        <v>104</v>
      </c>
      <c r="AF99" s="3" t="s">
        <v>104</v>
      </c>
      <c r="AG99" s="3" t="s">
        <v>104</v>
      </c>
      <c r="AH99" s="4">
        <f t="shared" si="24"/>
        <v>0</v>
      </c>
      <c r="AI99" s="4">
        <f t="shared" si="26"/>
        <v>22</v>
      </c>
    </row>
    <row r="100" spans="2:36" ht="20.100000000000001" hidden="1" customHeight="1" outlineLevel="1" x14ac:dyDescent="0.4">
      <c r="B100" s="4" t="s">
        <v>398</v>
      </c>
      <c r="C100" s="3" t="s">
        <v>104</v>
      </c>
      <c r="D100" s="3" t="s">
        <v>104</v>
      </c>
      <c r="E100" s="3" t="s">
        <v>104</v>
      </c>
      <c r="F100" s="3" t="s">
        <v>405</v>
      </c>
      <c r="G100" s="3" t="s">
        <v>102</v>
      </c>
      <c r="H100" s="3" t="s">
        <v>102</v>
      </c>
      <c r="I100" s="3" t="s">
        <v>104</v>
      </c>
      <c r="J100" s="3" t="s">
        <v>104</v>
      </c>
      <c r="K100" s="3" t="s">
        <v>104</v>
      </c>
      <c r="L100" s="3" t="s">
        <v>104</v>
      </c>
      <c r="M100" s="3" t="s">
        <v>104</v>
      </c>
      <c r="N100" s="3" t="s">
        <v>102</v>
      </c>
      <c r="O100" s="3" t="s">
        <v>102</v>
      </c>
      <c r="P100" s="3" t="s">
        <v>104</v>
      </c>
      <c r="Q100" s="3" t="s">
        <v>104</v>
      </c>
      <c r="R100" s="3" t="s">
        <v>104</v>
      </c>
      <c r="S100" s="3" t="s">
        <v>104</v>
      </c>
      <c r="T100" s="3" t="s">
        <v>104</v>
      </c>
      <c r="U100" s="3" t="s">
        <v>102</v>
      </c>
      <c r="V100" s="3" t="s">
        <v>102</v>
      </c>
      <c r="W100" s="3" t="s">
        <v>104</v>
      </c>
      <c r="X100" s="3" t="s">
        <v>104</v>
      </c>
      <c r="Y100" s="3" t="s">
        <v>104</v>
      </c>
      <c r="Z100" s="3" t="s">
        <v>104</v>
      </c>
      <c r="AA100" s="3" t="s">
        <v>104</v>
      </c>
      <c r="AB100" s="3" t="s">
        <v>102</v>
      </c>
      <c r="AC100" s="3" t="s">
        <v>102</v>
      </c>
      <c r="AD100" s="3" t="s">
        <v>104</v>
      </c>
      <c r="AE100" s="3" t="s">
        <v>104</v>
      </c>
      <c r="AF100" s="3" t="s">
        <v>104</v>
      </c>
      <c r="AG100" s="3" t="s">
        <v>104</v>
      </c>
      <c r="AH100" s="4">
        <f t="shared" si="24"/>
        <v>0</v>
      </c>
      <c r="AI100" s="4">
        <f t="shared" si="26"/>
        <v>22</v>
      </c>
      <c r="AJ100" s="72"/>
    </row>
    <row r="101" spans="2:36" ht="20.100000000000001" hidden="1" customHeight="1" outlineLevel="1" x14ac:dyDescent="0.4">
      <c r="B101" s="4" t="s">
        <v>399</v>
      </c>
      <c r="C101" s="3" t="s">
        <v>104</v>
      </c>
      <c r="D101" s="3" t="s">
        <v>104</v>
      </c>
      <c r="E101" s="3" t="s">
        <v>104</v>
      </c>
      <c r="F101" s="3" t="s">
        <v>405</v>
      </c>
      <c r="G101" s="3" t="s">
        <v>102</v>
      </c>
      <c r="H101" s="3" t="s">
        <v>102</v>
      </c>
      <c r="I101" s="3" t="s">
        <v>104</v>
      </c>
      <c r="J101" s="3" t="s">
        <v>104</v>
      </c>
      <c r="K101" s="3" t="s">
        <v>104</v>
      </c>
      <c r="L101" s="3" t="s">
        <v>104</v>
      </c>
      <c r="M101" s="3" t="s">
        <v>104</v>
      </c>
      <c r="N101" s="3" t="s">
        <v>102</v>
      </c>
      <c r="O101" s="3" t="s">
        <v>102</v>
      </c>
      <c r="P101" s="3" t="s">
        <v>104</v>
      </c>
      <c r="Q101" s="3" t="s">
        <v>104</v>
      </c>
      <c r="R101" s="3" t="s">
        <v>104</v>
      </c>
      <c r="S101" s="3" t="s">
        <v>104</v>
      </c>
      <c r="T101" s="3" t="s">
        <v>104</v>
      </c>
      <c r="U101" s="3" t="s">
        <v>102</v>
      </c>
      <c r="V101" s="3" t="s">
        <v>102</v>
      </c>
      <c r="W101" s="3" t="s">
        <v>104</v>
      </c>
      <c r="X101" s="3" t="s">
        <v>104</v>
      </c>
      <c r="Y101" s="3" t="s">
        <v>104</v>
      </c>
      <c r="Z101" s="3" t="s">
        <v>104</v>
      </c>
      <c r="AA101" s="3" t="s">
        <v>104</v>
      </c>
      <c r="AB101" s="3" t="s">
        <v>102</v>
      </c>
      <c r="AC101" s="3" t="s">
        <v>102</v>
      </c>
      <c r="AD101" s="3" t="s">
        <v>104</v>
      </c>
      <c r="AE101" s="3" t="s">
        <v>104</v>
      </c>
      <c r="AF101" s="3" t="s">
        <v>104</v>
      </c>
      <c r="AG101" s="3" t="s">
        <v>104</v>
      </c>
      <c r="AH101" s="4">
        <f t="shared" si="24"/>
        <v>0</v>
      </c>
      <c r="AI101" s="4">
        <f t="shared" si="25"/>
        <v>22</v>
      </c>
    </row>
    <row r="102" spans="2:36" ht="20.100000000000001" hidden="1" customHeight="1" outlineLevel="1" x14ac:dyDescent="0.4">
      <c r="B102" s="4" t="s">
        <v>400</v>
      </c>
      <c r="C102" s="3" t="s">
        <v>104</v>
      </c>
      <c r="D102" s="3" t="s">
        <v>104</v>
      </c>
      <c r="E102" s="3" t="s">
        <v>104</v>
      </c>
      <c r="F102" s="3" t="s">
        <v>405</v>
      </c>
      <c r="G102" s="3" t="s">
        <v>102</v>
      </c>
      <c r="H102" s="3" t="s">
        <v>102</v>
      </c>
      <c r="I102" s="3" t="s">
        <v>104</v>
      </c>
      <c r="J102" s="3" t="s">
        <v>104</v>
      </c>
      <c r="K102" s="3" t="s">
        <v>104</v>
      </c>
      <c r="L102" s="3" t="s">
        <v>104</v>
      </c>
      <c r="M102" s="3" t="s">
        <v>104</v>
      </c>
      <c r="N102" s="3" t="s">
        <v>102</v>
      </c>
      <c r="O102" s="3" t="s">
        <v>102</v>
      </c>
      <c r="P102" s="3" t="s">
        <v>104</v>
      </c>
      <c r="Q102" s="3" t="s">
        <v>104</v>
      </c>
      <c r="R102" s="3" t="s">
        <v>104</v>
      </c>
      <c r="S102" s="3" t="s">
        <v>104</v>
      </c>
      <c r="T102" s="3" t="s">
        <v>104</v>
      </c>
      <c r="U102" s="3" t="s">
        <v>102</v>
      </c>
      <c r="V102" s="3" t="s">
        <v>102</v>
      </c>
      <c r="W102" s="3" t="s">
        <v>104</v>
      </c>
      <c r="X102" s="3" t="s">
        <v>104</v>
      </c>
      <c r="Y102" s="3" t="s">
        <v>104</v>
      </c>
      <c r="Z102" s="3" t="s">
        <v>104</v>
      </c>
      <c r="AA102" s="3" t="s">
        <v>104</v>
      </c>
      <c r="AB102" s="3" t="s">
        <v>102</v>
      </c>
      <c r="AC102" s="3" t="s">
        <v>102</v>
      </c>
      <c r="AD102" s="3" t="s">
        <v>104</v>
      </c>
      <c r="AE102" s="3" t="s">
        <v>104</v>
      </c>
      <c r="AF102" s="3" t="s">
        <v>104</v>
      </c>
      <c r="AG102" s="3" t="s">
        <v>104</v>
      </c>
      <c r="AH102" s="4">
        <f t="shared" si="24"/>
        <v>0</v>
      </c>
      <c r="AI102" s="4">
        <f t="shared" si="25"/>
        <v>22</v>
      </c>
    </row>
    <row r="103" spans="2:36" ht="20.100000000000001" hidden="1" customHeight="1" outlineLevel="1" x14ac:dyDescent="0.4">
      <c r="AI103" s="1">
        <f>AI106*7.5</f>
        <v>142.5</v>
      </c>
    </row>
    <row r="104" spans="2:36" ht="20.100000000000001" hidden="1" customHeight="1" outlineLevel="1" x14ac:dyDescent="0.4">
      <c r="B104" s="623">
        <f>DATE(YEAR(B94),MONTH(B94)+1,DAY(B94))</f>
        <v>46388</v>
      </c>
      <c r="C104" s="6">
        <v>1</v>
      </c>
      <c r="D104" s="6">
        <v>2</v>
      </c>
      <c r="E104" s="6">
        <v>3</v>
      </c>
      <c r="F104" s="6">
        <v>4</v>
      </c>
      <c r="G104" s="6">
        <v>5</v>
      </c>
      <c r="H104" s="6">
        <v>6</v>
      </c>
      <c r="I104" s="6">
        <v>7</v>
      </c>
      <c r="J104" s="6">
        <v>8</v>
      </c>
      <c r="K104" s="6">
        <v>9</v>
      </c>
      <c r="L104" s="6">
        <v>10</v>
      </c>
      <c r="M104" s="6">
        <v>11</v>
      </c>
      <c r="N104" s="6">
        <v>12</v>
      </c>
      <c r="O104" s="6">
        <v>13</v>
      </c>
      <c r="P104" s="6">
        <v>14</v>
      </c>
      <c r="Q104" s="6">
        <v>15</v>
      </c>
      <c r="R104" s="6">
        <v>16</v>
      </c>
      <c r="S104" s="6">
        <v>17</v>
      </c>
      <c r="T104" s="6">
        <v>18</v>
      </c>
      <c r="U104" s="6">
        <v>19</v>
      </c>
      <c r="V104" s="6">
        <v>20</v>
      </c>
      <c r="W104" s="6">
        <v>21</v>
      </c>
      <c r="X104" s="6">
        <v>22</v>
      </c>
      <c r="Y104" s="6">
        <v>23</v>
      </c>
      <c r="Z104" s="6">
        <v>24</v>
      </c>
      <c r="AA104" s="6">
        <v>25</v>
      </c>
      <c r="AB104" s="6">
        <v>26</v>
      </c>
      <c r="AC104" s="6">
        <v>27</v>
      </c>
      <c r="AD104" s="6">
        <v>28</v>
      </c>
      <c r="AE104" s="6">
        <v>29</v>
      </c>
      <c r="AF104" s="6">
        <v>30</v>
      </c>
      <c r="AG104" s="6">
        <v>31</v>
      </c>
      <c r="AH104" s="483" t="s">
        <v>105</v>
      </c>
      <c r="AI104" s="476" t="s">
        <v>106</v>
      </c>
      <c r="AJ104" s="72"/>
    </row>
    <row r="105" spans="2:36" ht="20.100000000000001" hidden="1" customHeight="1" outlineLevel="1" x14ac:dyDescent="0.4">
      <c r="B105" s="624"/>
      <c r="C105" s="6" t="s">
        <v>109</v>
      </c>
      <c r="D105" s="6" t="s">
        <v>110</v>
      </c>
      <c r="E105" s="6" t="s">
        <v>111</v>
      </c>
      <c r="F105" s="6" t="s">
        <v>69</v>
      </c>
      <c r="G105" s="6" t="s">
        <v>71</v>
      </c>
      <c r="H105" s="6" t="s">
        <v>107</v>
      </c>
      <c r="I105" s="6" t="s">
        <v>108</v>
      </c>
      <c r="J105" s="6" t="s">
        <v>109</v>
      </c>
      <c r="K105" s="6" t="s">
        <v>110</v>
      </c>
      <c r="L105" s="6" t="s">
        <v>111</v>
      </c>
      <c r="M105" s="6" t="s">
        <v>69</v>
      </c>
      <c r="N105" s="6" t="s">
        <v>71</v>
      </c>
      <c r="O105" s="6" t="s">
        <v>107</v>
      </c>
      <c r="P105" s="6" t="s">
        <v>108</v>
      </c>
      <c r="Q105" s="6" t="s">
        <v>109</v>
      </c>
      <c r="R105" s="6" t="s">
        <v>110</v>
      </c>
      <c r="S105" s="6" t="s">
        <v>111</v>
      </c>
      <c r="T105" s="6" t="s">
        <v>69</v>
      </c>
      <c r="U105" s="6" t="s">
        <v>71</v>
      </c>
      <c r="V105" s="6" t="s">
        <v>107</v>
      </c>
      <c r="W105" s="6" t="s">
        <v>108</v>
      </c>
      <c r="X105" s="6" t="s">
        <v>109</v>
      </c>
      <c r="Y105" s="6" t="s">
        <v>110</v>
      </c>
      <c r="Z105" s="6" t="s">
        <v>111</v>
      </c>
      <c r="AA105" s="6" t="s">
        <v>69</v>
      </c>
      <c r="AB105" s="6" t="s">
        <v>71</v>
      </c>
      <c r="AC105" s="6" t="s">
        <v>107</v>
      </c>
      <c r="AD105" s="6" t="s">
        <v>108</v>
      </c>
      <c r="AE105" s="6" t="s">
        <v>109</v>
      </c>
      <c r="AF105" s="6" t="s">
        <v>110</v>
      </c>
      <c r="AG105" s="6" t="s">
        <v>111</v>
      </c>
      <c r="AH105" s="485"/>
      <c r="AI105" s="478"/>
      <c r="AJ105" s="72"/>
    </row>
    <row r="106" spans="2:36" ht="20.100000000000001" hidden="1" customHeight="1" outlineLevel="1" x14ac:dyDescent="0.4">
      <c r="B106" s="4" t="s">
        <v>162</v>
      </c>
      <c r="C106" s="3" t="s">
        <v>405</v>
      </c>
      <c r="D106" s="3" t="s">
        <v>102</v>
      </c>
      <c r="E106" s="3" t="s">
        <v>102</v>
      </c>
      <c r="F106" s="3" t="s">
        <v>104</v>
      </c>
      <c r="G106" s="3" t="s">
        <v>104</v>
      </c>
      <c r="H106" s="3" t="s">
        <v>104</v>
      </c>
      <c r="I106" s="3" t="s">
        <v>104</v>
      </c>
      <c r="J106" s="3" t="s">
        <v>104</v>
      </c>
      <c r="K106" s="3" t="s">
        <v>102</v>
      </c>
      <c r="L106" s="3" t="s">
        <v>102</v>
      </c>
      <c r="M106" s="3" t="s">
        <v>104</v>
      </c>
      <c r="N106" s="3" t="s">
        <v>104</v>
      </c>
      <c r="O106" s="3" t="s">
        <v>104</v>
      </c>
      <c r="P106" s="3" t="s">
        <v>104</v>
      </c>
      <c r="Q106" s="3" t="s">
        <v>104</v>
      </c>
      <c r="R106" s="3" t="s">
        <v>102</v>
      </c>
      <c r="S106" s="3" t="s">
        <v>102</v>
      </c>
      <c r="T106" s="3" t="s">
        <v>104</v>
      </c>
      <c r="U106" s="3" t="s">
        <v>104</v>
      </c>
      <c r="V106" s="3" t="s">
        <v>104</v>
      </c>
      <c r="W106" s="3" t="s">
        <v>104</v>
      </c>
      <c r="X106" s="3" t="s">
        <v>104</v>
      </c>
      <c r="Y106" s="3" t="s">
        <v>102</v>
      </c>
      <c r="Z106" s="3" t="s">
        <v>102</v>
      </c>
      <c r="AA106" s="3" t="s">
        <v>405</v>
      </c>
      <c r="AB106" s="3" t="s">
        <v>104</v>
      </c>
      <c r="AC106" s="3" t="s">
        <v>104</v>
      </c>
      <c r="AD106" s="3" t="s">
        <v>104</v>
      </c>
      <c r="AE106" s="3" t="s">
        <v>104</v>
      </c>
      <c r="AF106" s="3" t="s">
        <v>102</v>
      </c>
      <c r="AG106" s="3" t="s">
        <v>102</v>
      </c>
      <c r="AH106" s="4">
        <f t="shared" ref="AH106:AH112" si="27">COUNTIF(C106:AF106,"L")</f>
        <v>0</v>
      </c>
      <c r="AI106" s="4">
        <f t="shared" ref="AI106:AI112" si="28">COUNTIF(C106:AF106,"A")</f>
        <v>19</v>
      </c>
      <c r="AJ106" s="72"/>
    </row>
    <row r="107" spans="2:36" ht="20.100000000000001" hidden="1" customHeight="1" outlineLevel="1" x14ac:dyDescent="0.4">
      <c r="B107" s="4" t="s">
        <v>396</v>
      </c>
      <c r="C107" s="3" t="s">
        <v>405</v>
      </c>
      <c r="D107" s="3" t="s">
        <v>102</v>
      </c>
      <c r="E107" s="3" t="s">
        <v>102</v>
      </c>
      <c r="F107" s="3" t="s">
        <v>104</v>
      </c>
      <c r="G107" s="3" t="s">
        <v>104</v>
      </c>
      <c r="H107" s="3" t="s">
        <v>104</v>
      </c>
      <c r="I107" s="3" t="s">
        <v>104</v>
      </c>
      <c r="J107" s="3" t="s">
        <v>104</v>
      </c>
      <c r="K107" s="3" t="s">
        <v>102</v>
      </c>
      <c r="L107" s="3" t="s">
        <v>102</v>
      </c>
      <c r="M107" s="3" t="s">
        <v>104</v>
      </c>
      <c r="N107" s="3" t="s">
        <v>104</v>
      </c>
      <c r="O107" s="3" t="s">
        <v>104</v>
      </c>
      <c r="P107" s="3" t="s">
        <v>104</v>
      </c>
      <c r="Q107" s="3" t="s">
        <v>104</v>
      </c>
      <c r="R107" s="3" t="s">
        <v>102</v>
      </c>
      <c r="S107" s="3" t="s">
        <v>102</v>
      </c>
      <c r="T107" s="3" t="s">
        <v>104</v>
      </c>
      <c r="U107" s="3" t="s">
        <v>104</v>
      </c>
      <c r="V107" s="3" t="s">
        <v>104</v>
      </c>
      <c r="W107" s="3" t="s">
        <v>104</v>
      </c>
      <c r="X107" s="3" t="s">
        <v>104</v>
      </c>
      <c r="Y107" s="3" t="s">
        <v>102</v>
      </c>
      <c r="Z107" s="3" t="s">
        <v>102</v>
      </c>
      <c r="AA107" s="3" t="s">
        <v>405</v>
      </c>
      <c r="AB107" s="3" t="s">
        <v>104</v>
      </c>
      <c r="AC107" s="3" t="s">
        <v>104</v>
      </c>
      <c r="AD107" s="3" t="s">
        <v>104</v>
      </c>
      <c r="AE107" s="3" t="s">
        <v>104</v>
      </c>
      <c r="AF107" s="3" t="s">
        <v>102</v>
      </c>
      <c r="AG107" s="3" t="s">
        <v>102</v>
      </c>
      <c r="AH107" s="4">
        <f t="shared" si="27"/>
        <v>0</v>
      </c>
      <c r="AI107" s="4">
        <f t="shared" si="28"/>
        <v>19</v>
      </c>
      <c r="AJ107" s="72"/>
    </row>
    <row r="108" spans="2:36" ht="20.100000000000001" hidden="1" customHeight="1" outlineLevel="1" x14ac:dyDescent="0.4">
      <c r="B108" s="4" t="s">
        <v>170</v>
      </c>
      <c r="C108" s="3" t="s">
        <v>405</v>
      </c>
      <c r="D108" s="3" t="s">
        <v>102</v>
      </c>
      <c r="E108" s="3" t="s">
        <v>102</v>
      </c>
      <c r="F108" s="3" t="s">
        <v>104</v>
      </c>
      <c r="G108" s="3" t="s">
        <v>104</v>
      </c>
      <c r="H108" s="3" t="s">
        <v>104</v>
      </c>
      <c r="I108" s="3" t="s">
        <v>104</v>
      </c>
      <c r="J108" s="3" t="s">
        <v>104</v>
      </c>
      <c r="K108" s="3" t="s">
        <v>102</v>
      </c>
      <c r="L108" s="3" t="s">
        <v>102</v>
      </c>
      <c r="M108" s="3" t="s">
        <v>104</v>
      </c>
      <c r="N108" s="3" t="s">
        <v>104</v>
      </c>
      <c r="O108" s="3" t="s">
        <v>104</v>
      </c>
      <c r="P108" s="3" t="s">
        <v>104</v>
      </c>
      <c r="Q108" s="3" t="s">
        <v>104</v>
      </c>
      <c r="R108" s="3" t="s">
        <v>102</v>
      </c>
      <c r="S108" s="3" t="s">
        <v>102</v>
      </c>
      <c r="T108" s="3" t="s">
        <v>104</v>
      </c>
      <c r="U108" s="3" t="s">
        <v>104</v>
      </c>
      <c r="V108" s="3" t="s">
        <v>104</v>
      </c>
      <c r="W108" s="3" t="s">
        <v>104</v>
      </c>
      <c r="X108" s="3" t="s">
        <v>104</v>
      </c>
      <c r="Y108" s="3" t="s">
        <v>102</v>
      </c>
      <c r="Z108" s="3" t="s">
        <v>102</v>
      </c>
      <c r="AA108" s="3" t="s">
        <v>405</v>
      </c>
      <c r="AB108" s="3" t="s">
        <v>104</v>
      </c>
      <c r="AC108" s="3" t="s">
        <v>104</v>
      </c>
      <c r="AD108" s="3" t="s">
        <v>104</v>
      </c>
      <c r="AE108" s="3" t="s">
        <v>104</v>
      </c>
      <c r="AF108" s="3" t="s">
        <v>102</v>
      </c>
      <c r="AG108" s="3" t="s">
        <v>102</v>
      </c>
      <c r="AH108" s="4">
        <f t="shared" si="27"/>
        <v>0</v>
      </c>
      <c r="AI108" s="4">
        <f t="shared" si="28"/>
        <v>19</v>
      </c>
    </row>
    <row r="109" spans="2:36" ht="20.100000000000001" hidden="1" customHeight="1" outlineLevel="1" x14ac:dyDescent="0.4">
      <c r="B109" s="4" t="s">
        <v>397</v>
      </c>
      <c r="C109" s="3" t="s">
        <v>405</v>
      </c>
      <c r="D109" s="3" t="s">
        <v>102</v>
      </c>
      <c r="E109" s="3" t="s">
        <v>102</v>
      </c>
      <c r="F109" s="3" t="s">
        <v>104</v>
      </c>
      <c r="G109" s="3" t="s">
        <v>104</v>
      </c>
      <c r="H109" s="3" t="s">
        <v>104</v>
      </c>
      <c r="I109" s="3" t="s">
        <v>104</v>
      </c>
      <c r="J109" s="3" t="s">
        <v>104</v>
      </c>
      <c r="K109" s="3" t="s">
        <v>102</v>
      </c>
      <c r="L109" s="3" t="s">
        <v>102</v>
      </c>
      <c r="M109" s="3" t="s">
        <v>104</v>
      </c>
      <c r="N109" s="3" t="s">
        <v>104</v>
      </c>
      <c r="O109" s="3" t="s">
        <v>104</v>
      </c>
      <c r="P109" s="3" t="s">
        <v>104</v>
      </c>
      <c r="Q109" s="3" t="s">
        <v>104</v>
      </c>
      <c r="R109" s="3" t="s">
        <v>102</v>
      </c>
      <c r="S109" s="3" t="s">
        <v>102</v>
      </c>
      <c r="T109" s="3" t="s">
        <v>104</v>
      </c>
      <c r="U109" s="3" t="s">
        <v>104</v>
      </c>
      <c r="V109" s="3" t="s">
        <v>104</v>
      </c>
      <c r="W109" s="3" t="s">
        <v>104</v>
      </c>
      <c r="X109" s="3" t="s">
        <v>104</v>
      </c>
      <c r="Y109" s="3" t="s">
        <v>102</v>
      </c>
      <c r="Z109" s="3" t="s">
        <v>102</v>
      </c>
      <c r="AA109" s="3" t="s">
        <v>405</v>
      </c>
      <c r="AB109" s="3" t="s">
        <v>104</v>
      </c>
      <c r="AC109" s="3" t="s">
        <v>104</v>
      </c>
      <c r="AD109" s="3" t="s">
        <v>104</v>
      </c>
      <c r="AE109" s="3" t="s">
        <v>104</v>
      </c>
      <c r="AF109" s="3" t="s">
        <v>102</v>
      </c>
      <c r="AG109" s="3" t="s">
        <v>102</v>
      </c>
      <c r="AH109" s="4">
        <f t="shared" si="27"/>
        <v>0</v>
      </c>
      <c r="AI109" s="4">
        <f t="shared" si="28"/>
        <v>19</v>
      </c>
    </row>
    <row r="110" spans="2:36" ht="20.100000000000001" hidden="1" customHeight="1" outlineLevel="1" x14ac:dyDescent="0.4">
      <c r="B110" s="4" t="s">
        <v>398</v>
      </c>
      <c r="C110" s="3" t="s">
        <v>405</v>
      </c>
      <c r="D110" s="3" t="s">
        <v>102</v>
      </c>
      <c r="E110" s="3" t="s">
        <v>102</v>
      </c>
      <c r="F110" s="3" t="s">
        <v>104</v>
      </c>
      <c r="G110" s="3" t="s">
        <v>104</v>
      </c>
      <c r="H110" s="3" t="s">
        <v>104</v>
      </c>
      <c r="I110" s="3" t="s">
        <v>104</v>
      </c>
      <c r="J110" s="3" t="s">
        <v>104</v>
      </c>
      <c r="K110" s="3" t="s">
        <v>102</v>
      </c>
      <c r="L110" s="3" t="s">
        <v>102</v>
      </c>
      <c r="M110" s="3" t="s">
        <v>104</v>
      </c>
      <c r="N110" s="3" t="s">
        <v>104</v>
      </c>
      <c r="O110" s="3" t="s">
        <v>104</v>
      </c>
      <c r="P110" s="3" t="s">
        <v>104</v>
      </c>
      <c r="Q110" s="3" t="s">
        <v>104</v>
      </c>
      <c r="R110" s="3" t="s">
        <v>102</v>
      </c>
      <c r="S110" s="3" t="s">
        <v>102</v>
      </c>
      <c r="T110" s="3" t="s">
        <v>104</v>
      </c>
      <c r="U110" s="3" t="s">
        <v>104</v>
      </c>
      <c r="V110" s="3" t="s">
        <v>104</v>
      </c>
      <c r="W110" s="3" t="s">
        <v>104</v>
      </c>
      <c r="X110" s="3" t="s">
        <v>104</v>
      </c>
      <c r="Y110" s="3" t="s">
        <v>102</v>
      </c>
      <c r="Z110" s="3" t="s">
        <v>102</v>
      </c>
      <c r="AA110" s="3" t="s">
        <v>405</v>
      </c>
      <c r="AB110" s="3" t="s">
        <v>104</v>
      </c>
      <c r="AC110" s="3" t="s">
        <v>104</v>
      </c>
      <c r="AD110" s="3" t="s">
        <v>104</v>
      </c>
      <c r="AE110" s="3" t="s">
        <v>104</v>
      </c>
      <c r="AF110" s="3" t="s">
        <v>102</v>
      </c>
      <c r="AG110" s="3" t="s">
        <v>102</v>
      </c>
      <c r="AH110" s="4">
        <f t="shared" si="27"/>
        <v>0</v>
      </c>
      <c r="AI110" s="4">
        <f t="shared" si="28"/>
        <v>19</v>
      </c>
    </row>
    <row r="111" spans="2:36" ht="20.100000000000001" hidden="1" customHeight="1" outlineLevel="1" x14ac:dyDescent="0.4">
      <c r="B111" s="4" t="s">
        <v>399</v>
      </c>
      <c r="C111" s="3" t="s">
        <v>405</v>
      </c>
      <c r="D111" s="3" t="s">
        <v>102</v>
      </c>
      <c r="E111" s="3" t="s">
        <v>102</v>
      </c>
      <c r="F111" s="3" t="s">
        <v>104</v>
      </c>
      <c r="G111" s="3" t="s">
        <v>104</v>
      </c>
      <c r="H111" s="3" t="s">
        <v>104</v>
      </c>
      <c r="I111" s="3" t="s">
        <v>104</v>
      </c>
      <c r="J111" s="3" t="s">
        <v>104</v>
      </c>
      <c r="K111" s="3" t="s">
        <v>102</v>
      </c>
      <c r="L111" s="3" t="s">
        <v>102</v>
      </c>
      <c r="M111" s="3" t="s">
        <v>104</v>
      </c>
      <c r="N111" s="3" t="s">
        <v>104</v>
      </c>
      <c r="O111" s="3" t="s">
        <v>104</v>
      </c>
      <c r="P111" s="3" t="s">
        <v>104</v>
      </c>
      <c r="Q111" s="3" t="s">
        <v>104</v>
      </c>
      <c r="R111" s="3" t="s">
        <v>102</v>
      </c>
      <c r="S111" s="3" t="s">
        <v>102</v>
      </c>
      <c r="T111" s="3" t="s">
        <v>104</v>
      </c>
      <c r="U111" s="3" t="s">
        <v>104</v>
      </c>
      <c r="V111" s="3" t="s">
        <v>104</v>
      </c>
      <c r="W111" s="3" t="s">
        <v>104</v>
      </c>
      <c r="X111" s="3" t="s">
        <v>104</v>
      </c>
      <c r="Y111" s="3" t="s">
        <v>102</v>
      </c>
      <c r="Z111" s="3" t="s">
        <v>102</v>
      </c>
      <c r="AA111" s="3" t="s">
        <v>405</v>
      </c>
      <c r="AB111" s="3" t="s">
        <v>104</v>
      </c>
      <c r="AC111" s="3" t="s">
        <v>104</v>
      </c>
      <c r="AD111" s="3" t="s">
        <v>104</v>
      </c>
      <c r="AE111" s="3" t="s">
        <v>104</v>
      </c>
      <c r="AF111" s="3" t="s">
        <v>102</v>
      </c>
      <c r="AG111" s="3" t="s">
        <v>102</v>
      </c>
      <c r="AH111" s="4">
        <f t="shared" si="27"/>
        <v>0</v>
      </c>
      <c r="AI111" s="4">
        <f t="shared" si="28"/>
        <v>19</v>
      </c>
    </row>
    <row r="112" spans="2:36" ht="20.100000000000001" hidden="1" customHeight="1" outlineLevel="1" x14ac:dyDescent="0.4">
      <c r="B112" s="4" t="s">
        <v>400</v>
      </c>
      <c r="C112" s="3" t="s">
        <v>405</v>
      </c>
      <c r="D112" s="3" t="s">
        <v>102</v>
      </c>
      <c r="E112" s="3" t="s">
        <v>102</v>
      </c>
      <c r="F112" s="3" t="s">
        <v>104</v>
      </c>
      <c r="G112" s="3" t="s">
        <v>104</v>
      </c>
      <c r="H112" s="3" t="s">
        <v>104</v>
      </c>
      <c r="I112" s="3" t="s">
        <v>104</v>
      </c>
      <c r="J112" s="3" t="s">
        <v>104</v>
      </c>
      <c r="K112" s="3" t="s">
        <v>102</v>
      </c>
      <c r="L112" s="3" t="s">
        <v>102</v>
      </c>
      <c r="M112" s="3" t="s">
        <v>104</v>
      </c>
      <c r="N112" s="3" t="s">
        <v>104</v>
      </c>
      <c r="O112" s="3" t="s">
        <v>104</v>
      </c>
      <c r="P112" s="3" t="s">
        <v>104</v>
      </c>
      <c r="Q112" s="3" t="s">
        <v>104</v>
      </c>
      <c r="R112" s="3" t="s">
        <v>102</v>
      </c>
      <c r="S112" s="3" t="s">
        <v>102</v>
      </c>
      <c r="T112" s="3" t="s">
        <v>104</v>
      </c>
      <c r="U112" s="3" t="s">
        <v>104</v>
      </c>
      <c r="V112" s="3" t="s">
        <v>104</v>
      </c>
      <c r="W112" s="3" t="s">
        <v>104</v>
      </c>
      <c r="X112" s="3" t="s">
        <v>104</v>
      </c>
      <c r="Y112" s="3" t="s">
        <v>102</v>
      </c>
      <c r="Z112" s="3" t="s">
        <v>102</v>
      </c>
      <c r="AA112" s="3" t="s">
        <v>405</v>
      </c>
      <c r="AB112" s="3" t="s">
        <v>104</v>
      </c>
      <c r="AC112" s="3" t="s">
        <v>104</v>
      </c>
      <c r="AD112" s="3" t="s">
        <v>104</v>
      </c>
      <c r="AE112" s="3" t="s">
        <v>104</v>
      </c>
      <c r="AF112" s="3" t="s">
        <v>102</v>
      </c>
      <c r="AG112" s="3" t="s">
        <v>102</v>
      </c>
      <c r="AH112" s="4">
        <f t="shared" si="27"/>
        <v>0</v>
      </c>
      <c r="AI112" s="4">
        <f t="shared" si="28"/>
        <v>19</v>
      </c>
    </row>
    <row r="113" spans="2:36" ht="20.100000000000001" hidden="1" customHeight="1" outlineLevel="1" x14ac:dyDescent="0.4">
      <c r="AI113" s="1">
        <f>AI116*7.5</f>
        <v>127.5</v>
      </c>
    </row>
    <row r="114" spans="2:36" ht="20.100000000000001" hidden="1" customHeight="1" outlineLevel="1" x14ac:dyDescent="0.4">
      <c r="B114" s="623">
        <f>DATE(YEAR(B104),MONTH(B104)+1,DAY(B104))</f>
        <v>46419</v>
      </c>
      <c r="C114" s="6">
        <v>1</v>
      </c>
      <c r="D114" s="6">
        <v>2</v>
      </c>
      <c r="E114" s="6">
        <v>3</v>
      </c>
      <c r="F114" s="6">
        <v>4</v>
      </c>
      <c r="G114" s="6">
        <v>5</v>
      </c>
      <c r="H114" s="6">
        <v>6</v>
      </c>
      <c r="I114" s="6">
        <v>7</v>
      </c>
      <c r="J114" s="6">
        <v>8</v>
      </c>
      <c r="K114" s="6">
        <v>9</v>
      </c>
      <c r="L114" s="6">
        <v>10</v>
      </c>
      <c r="M114" s="6">
        <v>11</v>
      </c>
      <c r="N114" s="6">
        <v>12</v>
      </c>
      <c r="O114" s="6">
        <v>13</v>
      </c>
      <c r="P114" s="6">
        <v>14</v>
      </c>
      <c r="Q114" s="6">
        <v>15</v>
      </c>
      <c r="R114" s="6">
        <v>16</v>
      </c>
      <c r="S114" s="6">
        <v>17</v>
      </c>
      <c r="T114" s="6">
        <v>18</v>
      </c>
      <c r="U114" s="6">
        <v>19</v>
      </c>
      <c r="V114" s="6">
        <v>20</v>
      </c>
      <c r="W114" s="6">
        <v>21</v>
      </c>
      <c r="X114" s="6">
        <v>22</v>
      </c>
      <c r="Y114" s="6">
        <v>23</v>
      </c>
      <c r="Z114" s="6">
        <v>24</v>
      </c>
      <c r="AA114" s="6">
        <v>25</v>
      </c>
      <c r="AB114" s="6">
        <v>26</v>
      </c>
      <c r="AC114" s="6">
        <v>27</v>
      </c>
      <c r="AD114" s="6">
        <v>28</v>
      </c>
      <c r="AE114" s="6"/>
      <c r="AF114" s="6"/>
      <c r="AG114" s="6"/>
      <c r="AH114" s="483" t="s">
        <v>105</v>
      </c>
      <c r="AI114" s="476" t="s">
        <v>106</v>
      </c>
      <c r="AJ114" s="72"/>
    </row>
    <row r="115" spans="2:36" ht="20.100000000000001" hidden="1" customHeight="1" outlineLevel="1" x14ac:dyDescent="0.4">
      <c r="B115" s="624"/>
      <c r="C115" s="6" t="s">
        <v>69</v>
      </c>
      <c r="D115" s="6" t="s">
        <v>71</v>
      </c>
      <c r="E115" s="6" t="s">
        <v>107</v>
      </c>
      <c r="F115" s="6" t="s">
        <v>108</v>
      </c>
      <c r="G115" s="6" t="s">
        <v>109</v>
      </c>
      <c r="H115" s="6" t="s">
        <v>110</v>
      </c>
      <c r="I115" s="6" t="s">
        <v>111</v>
      </c>
      <c r="J115" s="6" t="s">
        <v>69</v>
      </c>
      <c r="K115" s="6" t="s">
        <v>71</v>
      </c>
      <c r="L115" s="6" t="s">
        <v>107</v>
      </c>
      <c r="M115" s="6" t="s">
        <v>108</v>
      </c>
      <c r="N115" s="6" t="s">
        <v>109</v>
      </c>
      <c r="O115" s="6" t="s">
        <v>110</v>
      </c>
      <c r="P115" s="6" t="s">
        <v>111</v>
      </c>
      <c r="Q115" s="6" t="s">
        <v>69</v>
      </c>
      <c r="R115" s="6" t="s">
        <v>71</v>
      </c>
      <c r="S115" s="6" t="s">
        <v>107</v>
      </c>
      <c r="T115" s="6" t="s">
        <v>108</v>
      </c>
      <c r="U115" s="6" t="s">
        <v>109</v>
      </c>
      <c r="V115" s="6" t="s">
        <v>110</v>
      </c>
      <c r="W115" s="6" t="s">
        <v>111</v>
      </c>
      <c r="X115" s="6" t="s">
        <v>69</v>
      </c>
      <c r="Y115" s="6" t="s">
        <v>71</v>
      </c>
      <c r="Z115" s="6" t="s">
        <v>107</v>
      </c>
      <c r="AA115" s="6" t="s">
        <v>108</v>
      </c>
      <c r="AB115" s="6" t="s">
        <v>109</v>
      </c>
      <c r="AC115" s="6" t="s">
        <v>110</v>
      </c>
      <c r="AD115" s="6" t="s">
        <v>111</v>
      </c>
      <c r="AE115" s="6"/>
      <c r="AF115" s="6"/>
      <c r="AG115" s="6"/>
      <c r="AH115" s="485"/>
      <c r="AI115" s="478"/>
      <c r="AJ115" s="72"/>
    </row>
    <row r="116" spans="2:36" ht="20.100000000000001" hidden="1" customHeight="1" outlineLevel="1" x14ac:dyDescent="0.4">
      <c r="B116" s="4" t="s">
        <v>162</v>
      </c>
      <c r="C116" s="3" t="s">
        <v>104</v>
      </c>
      <c r="D116" s="3" t="s">
        <v>104</v>
      </c>
      <c r="E116" s="3" t="s">
        <v>104</v>
      </c>
      <c r="F116" s="3" t="s">
        <v>104</v>
      </c>
      <c r="G116" s="3" t="s">
        <v>104</v>
      </c>
      <c r="H116" s="3" t="s">
        <v>102</v>
      </c>
      <c r="I116" s="3" t="s">
        <v>102</v>
      </c>
      <c r="J116" s="3" t="s">
        <v>104</v>
      </c>
      <c r="K116" s="3" t="s">
        <v>104</v>
      </c>
      <c r="L116" s="3" t="s">
        <v>104</v>
      </c>
      <c r="M116" s="3" t="s">
        <v>104</v>
      </c>
      <c r="N116" s="3" t="s">
        <v>405</v>
      </c>
      <c r="O116" s="3" t="s">
        <v>102</v>
      </c>
      <c r="P116" s="3" t="s">
        <v>102</v>
      </c>
      <c r="Q116" s="3" t="s">
        <v>104</v>
      </c>
      <c r="R116" s="3" t="s">
        <v>405</v>
      </c>
      <c r="S116" s="3" t="s">
        <v>405</v>
      </c>
      <c r="T116" s="3" t="s">
        <v>104</v>
      </c>
      <c r="U116" s="3" t="s">
        <v>104</v>
      </c>
      <c r="V116" s="3" t="s">
        <v>102</v>
      </c>
      <c r="W116" s="3" t="s">
        <v>102</v>
      </c>
      <c r="X116" s="3" t="s">
        <v>104</v>
      </c>
      <c r="Y116" s="3" t="s">
        <v>104</v>
      </c>
      <c r="Z116" s="3" t="s">
        <v>104</v>
      </c>
      <c r="AA116" s="3" t="s">
        <v>104</v>
      </c>
      <c r="AB116" s="3" t="s">
        <v>104</v>
      </c>
      <c r="AC116" s="3" t="s">
        <v>102</v>
      </c>
      <c r="AD116" s="3" t="s">
        <v>102</v>
      </c>
      <c r="AE116" s="3"/>
      <c r="AF116" s="3"/>
      <c r="AG116" s="3"/>
      <c r="AH116" s="4">
        <f>COUNTIF(C116:AG116,"L")</f>
        <v>0</v>
      </c>
      <c r="AI116" s="4">
        <f>COUNTIF(C116:AG116,"A")</f>
        <v>17</v>
      </c>
      <c r="AJ116" s="72"/>
    </row>
    <row r="117" spans="2:36" ht="20.100000000000001" hidden="1" customHeight="1" outlineLevel="1" x14ac:dyDescent="0.4">
      <c r="B117" s="4" t="s">
        <v>396</v>
      </c>
      <c r="C117" s="3" t="s">
        <v>104</v>
      </c>
      <c r="D117" s="3" t="s">
        <v>104</v>
      </c>
      <c r="E117" s="3" t="s">
        <v>104</v>
      </c>
      <c r="F117" s="3" t="s">
        <v>104</v>
      </c>
      <c r="G117" s="3" t="s">
        <v>104</v>
      </c>
      <c r="H117" s="3" t="s">
        <v>102</v>
      </c>
      <c r="I117" s="3" t="s">
        <v>102</v>
      </c>
      <c r="J117" s="3" t="s">
        <v>104</v>
      </c>
      <c r="K117" s="3" t="s">
        <v>104</v>
      </c>
      <c r="L117" s="3" t="s">
        <v>104</v>
      </c>
      <c r="M117" s="3" t="s">
        <v>104</v>
      </c>
      <c r="N117" s="3" t="s">
        <v>405</v>
      </c>
      <c r="O117" s="3" t="s">
        <v>102</v>
      </c>
      <c r="P117" s="3" t="s">
        <v>102</v>
      </c>
      <c r="Q117" s="3" t="s">
        <v>104</v>
      </c>
      <c r="R117" s="3" t="s">
        <v>405</v>
      </c>
      <c r="S117" s="3" t="s">
        <v>405</v>
      </c>
      <c r="T117" s="3" t="s">
        <v>104</v>
      </c>
      <c r="U117" s="3" t="s">
        <v>104</v>
      </c>
      <c r="V117" s="3" t="s">
        <v>102</v>
      </c>
      <c r="W117" s="3" t="s">
        <v>102</v>
      </c>
      <c r="X117" s="3" t="s">
        <v>104</v>
      </c>
      <c r="Y117" s="3" t="s">
        <v>104</v>
      </c>
      <c r="Z117" s="3" t="s">
        <v>104</v>
      </c>
      <c r="AA117" s="3" t="s">
        <v>104</v>
      </c>
      <c r="AB117" s="3" t="s">
        <v>104</v>
      </c>
      <c r="AC117" s="3" t="s">
        <v>102</v>
      </c>
      <c r="AD117" s="3" t="s">
        <v>102</v>
      </c>
      <c r="AE117" s="3"/>
      <c r="AF117" s="3"/>
      <c r="AG117" s="3"/>
      <c r="AH117" s="4">
        <f t="shared" ref="AH117:AH122" si="29">COUNTIF(C117:AG117,"L")</f>
        <v>0</v>
      </c>
      <c r="AI117" s="4">
        <f t="shared" ref="AI117:AI122" si="30">COUNTIF(C117:AG117,"A")</f>
        <v>17</v>
      </c>
      <c r="AJ117" s="72"/>
    </row>
    <row r="118" spans="2:36" ht="20.100000000000001" hidden="1" customHeight="1" outlineLevel="1" x14ac:dyDescent="0.4">
      <c r="B118" s="4" t="s">
        <v>170</v>
      </c>
      <c r="C118" s="3" t="s">
        <v>104</v>
      </c>
      <c r="D118" s="3" t="s">
        <v>104</v>
      </c>
      <c r="E118" s="3" t="s">
        <v>104</v>
      </c>
      <c r="F118" s="3" t="s">
        <v>104</v>
      </c>
      <c r="G118" s="3" t="s">
        <v>104</v>
      </c>
      <c r="H118" s="3" t="s">
        <v>102</v>
      </c>
      <c r="I118" s="3" t="s">
        <v>102</v>
      </c>
      <c r="J118" s="3" t="s">
        <v>104</v>
      </c>
      <c r="K118" s="3" t="s">
        <v>104</v>
      </c>
      <c r="L118" s="3" t="s">
        <v>104</v>
      </c>
      <c r="M118" s="3" t="s">
        <v>104</v>
      </c>
      <c r="N118" s="3" t="s">
        <v>405</v>
      </c>
      <c r="O118" s="3" t="s">
        <v>102</v>
      </c>
      <c r="P118" s="3" t="s">
        <v>102</v>
      </c>
      <c r="Q118" s="3" t="s">
        <v>104</v>
      </c>
      <c r="R118" s="3" t="s">
        <v>405</v>
      </c>
      <c r="S118" s="3" t="s">
        <v>405</v>
      </c>
      <c r="T118" s="3" t="s">
        <v>104</v>
      </c>
      <c r="U118" s="3" t="s">
        <v>104</v>
      </c>
      <c r="V118" s="3" t="s">
        <v>102</v>
      </c>
      <c r="W118" s="3" t="s">
        <v>102</v>
      </c>
      <c r="X118" s="3" t="s">
        <v>104</v>
      </c>
      <c r="Y118" s="3" t="s">
        <v>104</v>
      </c>
      <c r="Z118" s="3" t="s">
        <v>104</v>
      </c>
      <c r="AA118" s="3" t="s">
        <v>104</v>
      </c>
      <c r="AB118" s="3" t="s">
        <v>104</v>
      </c>
      <c r="AC118" s="3" t="s">
        <v>102</v>
      </c>
      <c r="AD118" s="3" t="s">
        <v>102</v>
      </c>
      <c r="AE118" s="3"/>
      <c r="AF118" s="3"/>
      <c r="AG118" s="3"/>
      <c r="AH118" s="4">
        <f t="shared" ref="AH118:AH120" si="31">COUNTIF(C118:AG118,"L")</f>
        <v>0</v>
      </c>
      <c r="AI118" s="4">
        <f t="shared" ref="AI118:AI120" si="32">COUNTIF(C118:AG118,"A")</f>
        <v>17</v>
      </c>
    </row>
    <row r="119" spans="2:36" ht="20.100000000000001" hidden="1" customHeight="1" outlineLevel="1" x14ac:dyDescent="0.4">
      <c r="B119" s="4" t="s">
        <v>397</v>
      </c>
      <c r="C119" s="3" t="s">
        <v>104</v>
      </c>
      <c r="D119" s="3" t="s">
        <v>104</v>
      </c>
      <c r="E119" s="3" t="s">
        <v>104</v>
      </c>
      <c r="F119" s="3" t="s">
        <v>104</v>
      </c>
      <c r="G119" s="3" t="s">
        <v>104</v>
      </c>
      <c r="H119" s="3" t="s">
        <v>102</v>
      </c>
      <c r="I119" s="3" t="s">
        <v>102</v>
      </c>
      <c r="J119" s="3" t="s">
        <v>104</v>
      </c>
      <c r="K119" s="3" t="s">
        <v>104</v>
      </c>
      <c r="L119" s="3" t="s">
        <v>104</v>
      </c>
      <c r="M119" s="3" t="s">
        <v>104</v>
      </c>
      <c r="N119" s="3" t="s">
        <v>405</v>
      </c>
      <c r="O119" s="3" t="s">
        <v>102</v>
      </c>
      <c r="P119" s="3" t="s">
        <v>102</v>
      </c>
      <c r="Q119" s="3" t="s">
        <v>104</v>
      </c>
      <c r="R119" s="3" t="s">
        <v>405</v>
      </c>
      <c r="S119" s="3" t="s">
        <v>405</v>
      </c>
      <c r="T119" s="3" t="s">
        <v>104</v>
      </c>
      <c r="U119" s="3" t="s">
        <v>104</v>
      </c>
      <c r="V119" s="3" t="s">
        <v>102</v>
      </c>
      <c r="W119" s="3" t="s">
        <v>102</v>
      </c>
      <c r="X119" s="3" t="s">
        <v>104</v>
      </c>
      <c r="Y119" s="3" t="s">
        <v>104</v>
      </c>
      <c r="Z119" s="3" t="s">
        <v>104</v>
      </c>
      <c r="AA119" s="3" t="s">
        <v>104</v>
      </c>
      <c r="AB119" s="3" t="s">
        <v>104</v>
      </c>
      <c r="AC119" s="3" t="s">
        <v>102</v>
      </c>
      <c r="AD119" s="3" t="s">
        <v>102</v>
      </c>
      <c r="AE119" s="3"/>
      <c r="AF119" s="3"/>
      <c r="AG119" s="3"/>
      <c r="AH119" s="4">
        <f t="shared" si="31"/>
        <v>0</v>
      </c>
      <c r="AI119" s="4">
        <f t="shared" si="32"/>
        <v>17</v>
      </c>
    </row>
    <row r="120" spans="2:36" ht="20.100000000000001" hidden="1" customHeight="1" outlineLevel="1" x14ac:dyDescent="0.4">
      <c r="B120" s="4" t="s">
        <v>398</v>
      </c>
      <c r="C120" s="3" t="s">
        <v>104</v>
      </c>
      <c r="D120" s="3" t="s">
        <v>104</v>
      </c>
      <c r="E120" s="3" t="s">
        <v>104</v>
      </c>
      <c r="F120" s="3" t="s">
        <v>104</v>
      </c>
      <c r="G120" s="3" t="s">
        <v>104</v>
      </c>
      <c r="H120" s="3" t="s">
        <v>102</v>
      </c>
      <c r="I120" s="3" t="s">
        <v>102</v>
      </c>
      <c r="J120" s="3" t="s">
        <v>104</v>
      </c>
      <c r="K120" s="3" t="s">
        <v>104</v>
      </c>
      <c r="L120" s="3" t="s">
        <v>104</v>
      </c>
      <c r="M120" s="3" t="s">
        <v>104</v>
      </c>
      <c r="N120" s="3" t="s">
        <v>405</v>
      </c>
      <c r="O120" s="3" t="s">
        <v>102</v>
      </c>
      <c r="P120" s="3" t="s">
        <v>102</v>
      </c>
      <c r="Q120" s="3" t="s">
        <v>104</v>
      </c>
      <c r="R120" s="3" t="s">
        <v>405</v>
      </c>
      <c r="S120" s="3" t="s">
        <v>405</v>
      </c>
      <c r="T120" s="3" t="s">
        <v>104</v>
      </c>
      <c r="U120" s="3" t="s">
        <v>104</v>
      </c>
      <c r="V120" s="3" t="s">
        <v>102</v>
      </c>
      <c r="W120" s="3" t="s">
        <v>102</v>
      </c>
      <c r="X120" s="3" t="s">
        <v>104</v>
      </c>
      <c r="Y120" s="3" t="s">
        <v>104</v>
      </c>
      <c r="Z120" s="3" t="s">
        <v>104</v>
      </c>
      <c r="AA120" s="3" t="s">
        <v>104</v>
      </c>
      <c r="AB120" s="3" t="s">
        <v>104</v>
      </c>
      <c r="AC120" s="3" t="s">
        <v>102</v>
      </c>
      <c r="AD120" s="3" t="s">
        <v>102</v>
      </c>
      <c r="AE120" s="3"/>
      <c r="AF120" s="3"/>
      <c r="AG120" s="3"/>
      <c r="AH120" s="4">
        <f t="shared" si="31"/>
        <v>0</v>
      </c>
      <c r="AI120" s="4">
        <f t="shared" si="32"/>
        <v>17</v>
      </c>
      <c r="AJ120" s="72"/>
    </row>
    <row r="121" spans="2:36" ht="20.100000000000001" hidden="1" customHeight="1" outlineLevel="1" x14ac:dyDescent="0.4">
      <c r="B121" s="4" t="s">
        <v>399</v>
      </c>
      <c r="C121" s="3" t="s">
        <v>104</v>
      </c>
      <c r="D121" s="3" t="s">
        <v>104</v>
      </c>
      <c r="E121" s="3" t="s">
        <v>104</v>
      </c>
      <c r="F121" s="3" t="s">
        <v>104</v>
      </c>
      <c r="G121" s="3" t="s">
        <v>104</v>
      </c>
      <c r="H121" s="3" t="s">
        <v>102</v>
      </c>
      <c r="I121" s="3" t="s">
        <v>102</v>
      </c>
      <c r="J121" s="3" t="s">
        <v>104</v>
      </c>
      <c r="K121" s="3" t="s">
        <v>104</v>
      </c>
      <c r="L121" s="3" t="s">
        <v>104</v>
      </c>
      <c r="M121" s="3" t="s">
        <v>104</v>
      </c>
      <c r="N121" s="3" t="s">
        <v>405</v>
      </c>
      <c r="O121" s="3" t="s">
        <v>102</v>
      </c>
      <c r="P121" s="3" t="s">
        <v>102</v>
      </c>
      <c r="Q121" s="3" t="s">
        <v>104</v>
      </c>
      <c r="R121" s="3" t="s">
        <v>405</v>
      </c>
      <c r="S121" s="3" t="s">
        <v>405</v>
      </c>
      <c r="T121" s="3" t="s">
        <v>104</v>
      </c>
      <c r="U121" s="3" t="s">
        <v>104</v>
      </c>
      <c r="V121" s="3" t="s">
        <v>102</v>
      </c>
      <c r="W121" s="3" t="s">
        <v>102</v>
      </c>
      <c r="X121" s="3" t="s">
        <v>104</v>
      </c>
      <c r="Y121" s="3" t="s">
        <v>104</v>
      </c>
      <c r="Z121" s="3" t="s">
        <v>104</v>
      </c>
      <c r="AA121" s="3" t="s">
        <v>104</v>
      </c>
      <c r="AB121" s="3" t="s">
        <v>104</v>
      </c>
      <c r="AC121" s="3" t="s">
        <v>102</v>
      </c>
      <c r="AD121" s="3" t="s">
        <v>102</v>
      </c>
      <c r="AE121" s="3"/>
      <c r="AF121" s="3"/>
      <c r="AG121" s="3"/>
      <c r="AH121" s="4">
        <f t="shared" si="29"/>
        <v>0</v>
      </c>
      <c r="AI121" s="4">
        <f t="shared" si="30"/>
        <v>17</v>
      </c>
    </row>
    <row r="122" spans="2:36" ht="20.100000000000001" hidden="1" customHeight="1" outlineLevel="1" x14ac:dyDescent="0.4">
      <c r="B122" s="4" t="s">
        <v>400</v>
      </c>
      <c r="C122" s="3" t="s">
        <v>104</v>
      </c>
      <c r="D122" s="3" t="s">
        <v>104</v>
      </c>
      <c r="E122" s="3" t="s">
        <v>104</v>
      </c>
      <c r="F122" s="3" t="s">
        <v>104</v>
      </c>
      <c r="G122" s="3" t="s">
        <v>104</v>
      </c>
      <c r="H122" s="3" t="s">
        <v>102</v>
      </c>
      <c r="I122" s="3" t="s">
        <v>102</v>
      </c>
      <c r="J122" s="3" t="s">
        <v>104</v>
      </c>
      <c r="K122" s="3" t="s">
        <v>104</v>
      </c>
      <c r="L122" s="3" t="s">
        <v>104</v>
      </c>
      <c r="M122" s="3" t="s">
        <v>104</v>
      </c>
      <c r="N122" s="3" t="s">
        <v>405</v>
      </c>
      <c r="O122" s="3" t="s">
        <v>102</v>
      </c>
      <c r="P122" s="3" t="s">
        <v>102</v>
      </c>
      <c r="Q122" s="3" t="s">
        <v>104</v>
      </c>
      <c r="R122" s="3" t="s">
        <v>405</v>
      </c>
      <c r="S122" s="3" t="s">
        <v>405</v>
      </c>
      <c r="T122" s="3" t="s">
        <v>104</v>
      </c>
      <c r="U122" s="3" t="s">
        <v>104</v>
      </c>
      <c r="V122" s="3" t="s">
        <v>102</v>
      </c>
      <c r="W122" s="3" t="s">
        <v>102</v>
      </c>
      <c r="X122" s="3" t="s">
        <v>104</v>
      </c>
      <c r="Y122" s="3" t="s">
        <v>104</v>
      </c>
      <c r="Z122" s="3" t="s">
        <v>104</v>
      </c>
      <c r="AA122" s="3" t="s">
        <v>104</v>
      </c>
      <c r="AB122" s="3" t="s">
        <v>104</v>
      </c>
      <c r="AC122" s="3" t="s">
        <v>102</v>
      </c>
      <c r="AD122" s="3" t="s">
        <v>102</v>
      </c>
      <c r="AE122" s="3"/>
      <c r="AF122" s="3"/>
      <c r="AG122" s="3"/>
      <c r="AH122" s="4">
        <f t="shared" si="29"/>
        <v>0</v>
      </c>
      <c r="AI122" s="4">
        <f t="shared" si="30"/>
        <v>17</v>
      </c>
    </row>
    <row r="123" spans="2:36" ht="20.100000000000001" hidden="1" customHeight="1" outlineLevel="1" x14ac:dyDescent="0.4">
      <c r="AI123" s="1">
        <f>AI126*7.5</f>
        <v>165</v>
      </c>
    </row>
    <row r="124" spans="2:36" ht="20.100000000000001" hidden="1" customHeight="1" outlineLevel="1" x14ac:dyDescent="0.4">
      <c r="B124" s="623">
        <f>DATE(YEAR(B114),MONTH(B114)+1,DAY(B114))</f>
        <v>46447</v>
      </c>
      <c r="C124" s="6">
        <v>1</v>
      </c>
      <c r="D124" s="6">
        <v>2</v>
      </c>
      <c r="E124" s="6">
        <v>3</v>
      </c>
      <c r="F124" s="6">
        <v>4</v>
      </c>
      <c r="G124" s="6">
        <v>5</v>
      </c>
      <c r="H124" s="6">
        <v>6</v>
      </c>
      <c r="I124" s="6">
        <v>7</v>
      </c>
      <c r="J124" s="6">
        <v>8</v>
      </c>
      <c r="K124" s="6">
        <v>9</v>
      </c>
      <c r="L124" s="6">
        <v>10</v>
      </c>
      <c r="M124" s="6">
        <v>11</v>
      </c>
      <c r="N124" s="6">
        <v>12</v>
      </c>
      <c r="O124" s="6">
        <v>13</v>
      </c>
      <c r="P124" s="6">
        <v>14</v>
      </c>
      <c r="Q124" s="6">
        <v>15</v>
      </c>
      <c r="R124" s="6">
        <v>16</v>
      </c>
      <c r="S124" s="6">
        <v>17</v>
      </c>
      <c r="T124" s="6">
        <v>18</v>
      </c>
      <c r="U124" s="6">
        <v>19</v>
      </c>
      <c r="V124" s="6">
        <v>20</v>
      </c>
      <c r="W124" s="6">
        <v>21</v>
      </c>
      <c r="X124" s="6">
        <v>22</v>
      </c>
      <c r="Y124" s="6">
        <v>23</v>
      </c>
      <c r="Z124" s="6">
        <v>24</v>
      </c>
      <c r="AA124" s="6">
        <v>25</v>
      </c>
      <c r="AB124" s="6">
        <v>26</v>
      </c>
      <c r="AC124" s="6">
        <v>27</v>
      </c>
      <c r="AD124" s="6">
        <v>28</v>
      </c>
      <c r="AE124" s="6">
        <v>29</v>
      </c>
      <c r="AF124" s="6">
        <v>30</v>
      </c>
      <c r="AG124" s="6">
        <v>31</v>
      </c>
      <c r="AH124" s="483" t="s">
        <v>105</v>
      </c>
      <c r="AI124" s="476" t="s">
        <v>106</v>
      </c>
    </row>
    <row r="125" spans="2:36" ht="20.100000000000001" hidden="1" customHeight="1" outlineLevel="1" x14ac:dyDescent="0.4">
      <c r="B125" s="624"/>
      <c r="C125" s="6" t="s">
        <v>69</v>
      </c>
      <c r="D125" s="6" t="s">
        <v>71</v>
      </c>
      <c r="E125" s="6" t="s">
        <v>107</v>
      </c>
      <c r="F125" s="6" t="s">
        <v>108</v>
      </c>
      <c r="G125" s="6" t="s">
        <v>109</v>
      </c>
      <c r="H125" s="6" t="s">
        <v>110</v>
      </c>
      <c r="I125" s="6" t="s">
        <v>111</v>
      </c>
      <c r="J125" s="6" t="s">
        <v>69</v>
      </c>
      <c r="K125" s="6" t="s">
        <v>71</v>
      </c>
      <c r="L125" s="6" t="s">
        <v>107</v>
      </c>
      <c r="M125" s="6" t="s">
        <v>108</v>
      </c>
      <c r="N125" s="6" t="s">
        <v>109</v>
      </c>
      <c r="O125" s="6" t="s">
        <v>110</v>
      </c>
      <c r="P125" s="6" t="s">
        <v>111</v>
      </c>
      <c r="Q125" s="6" t="s">
        <v>69</v>
      </c>
      <c r="R125" s="6" t="s">
        <v>71</v>
      </c>
      <c r="S125" s="6" t="s">
        <v>107</v>
      </c>
      <c r="T125" s="6" t="s">
        <v>108</v>
      </c>
      <c r="U125" s="6" t="s">
        <v>109</v>
      </c>
      <c r="V125" s="6" t="s">
        <v>110</v>
      </c>
      <c r="W125" s="6" t="s">
        <v>111</v>
      </c>
      <c r="X125" s="6" t="s">
        <v>69</v>
      </c>
      <c r="Y125" s="6" t="s">
        <v>71</v>
      </c>
      <c r="Z125" s="6" t="s">
        <v>107</v>
      </c>
      <c r="AA125" s="6" t="s">
        <v>108</v>
      </c>
      <c r="AB125" s="6" t="s">
        <v>109</v>
      </c>
      <c r="AC125" s="6" t="s">
        <v>110</v>
      </c>
      <c r="AD125" s="6" t="s">
        <v>111</v>
      </c>
      <c r="AE125" s="6" t="s">
        <v>69</v>
      </c>
      <c r="AF125" s="6" t="s">
        <v>71</v>
      </c>
      <c r="AG125" s="6" t="s">
        <v>107</v>
      </c>
      <c r="AH125" s="485"/>
      <c r="AI125" s="478"/>
    </row>
    <row r="126" spans="2:36" ht="20.100000000000001" hidden="1" customHeight="1" outlineLevel="1" x14ac:dyDescent="0.4">
      <c r="B126" s="4" t="s">
        <v>162</v>
      </c>
      <c r="C126" s="3" t="s">
        <v>104</v>
      </c>
      <c r="D126" s="3" t="s">
        <v>405</v>
      </c>
      <c r="E126" s="3" t="s">
        <v>104</v>
      </c>
      <c r="F126" s="3" t="s">
        <v>104</v>
      </c>
      <c r="G126" s="3" t="s">
        <v>104</v>
      </c>
      <c r="H126" s="3" t="s">
        <v>102</v>
      </c>
      <c r="I126" s="3" t="s">
        <v>102</v>
      </c>
      <c r="J126" s="3" t="s">
        <v>104</v>
      </c>
      <c r="K126" s="3" t="s">
        <v>104</v>
      </c>
      <c r="L126" s="3" t="s">
        <v>104</v>
      </c>
      <c r="M126" s="3" t="s">
        <v>104</v>
      </c>
      <c r="N126" s="3" t="s">
        <v>104</v>
      </c>
      <c r="O126" s="3" t="s">
        <v>102</v>
      </c>
      <c r="P126" s="3" t="s">
        <v>102</v>
      </c>
      <c r="Q126" s="3" t="s">
        <v>104</v>
      </c>
      <c r="R126" s="3" t="s">
        <v>104</v>
      </c>
      <c r="S126" s="3" t="s">
        <v>104</v>
      </c>
      <c r="T126" s="3" t="s">
        <v>104</v>
      </c>
      <c r="U126" s="3" t="s">
        <v>104</v>
      </c>
      <c r="V126" s="3" t="s">
        <v>102</v>
      </c>
      <c r="W126" s="3" t="s">
        <v>102</v>
      </c>
      <c r="X126" s="3" t="s">
        <v>104</v>
      </c>
      <c r="Y126" s="3" t="s">
        <v>104</v>
      </c>
      <c r="Z126" s="3" t="s">
        <v>104</v>
      </c>
      <c r="AA126" s="3" t="s">
        <v>104</v>
      </c>
      <c r="AB126" s="3" t="s">
        <v>104</v>
      </c>
      <c r="AC126" s="3" t="s">
        <v>102</v>
      </c>
      <c r="AD126" s="3" t="s">
        <v>102</v>
      </c>
      <c r="AE126" s="3" t="s">
        <v>104</v>
      </c>
      <c r="AF126" s="3" t="s">
        <v>104</v>
      </c>
      <c r="AG126" s="3" t="s">
        <v>104</v>
      </c>
      <c r="AH126" s="4">
        <f>COUNTIF(C126:AG126,"L")</f>
        <v>0</v>
      </c>
      <c r="AI126" s="4">
        <f>COUNTIF(C126:AG126,"A")</f>
        <v>22</v>
      </c>
    </row>
    <row r="127" spans="2:36" ht="20.100000000000001" hidden="1" customHeight="1" outlineLevel="1" x14ac:dyDescent="0.4">
      <c r="B127" s="4" t="s">
        <v>396</v>
      </c>
      <c r="C127" s="3" t="s">
        <v>104</v>
      </c>
      <c r="D127" s="3" t="s">
        <v>405</v>
      </c>
      <c r="E127" s="3" t="s">
        <v>104</v>
      </c>
      <c r="F127" s="3" t="s">
        <v>104</v>
      </c>
      <c r="G127" s="3" t="s">
        <v>104</v>
      </c>
      <c r="H127" s="3" t="s">
        <v>102</v>
      </c>
      <c r="I127" s="3" t="s">
        <v>102</v>
      </c>
      <c r="J127" s="3" t="s">
        <v>104</v>
      </c>
      <c r="K127" s="3" t="s">
        <v>104</v>
      </c>
      <c r="L127" s="3" t="s">
        <v>104</v>
      </c>
      <c r="M127" s="3" t="s">
        <v>104</v>
      </c>
      <c r="N127" s="3" t="s">
        <v>104</v>
      </c>
      <c r="O127" s="3" t="s">
        <v>102</v>
      </c>
      <c r="P127" s="3" t="s">
        <v>102</v>
      </c>
      <c r="Q127" s="3" t="s">
        <v>104</v>
      </c>
      <c r="R127" s="3" t="s">
        <v>104</v>
      </c>
      <c r="S127" s="3" t="s">
        <v>104</v>
      </c>
      <c r="T127" s="3" t="s">
        <v>104</v>
      </c>
      <c r="U127" s="3" t="s">
        <v>104</v>
      </c>
      <c r="V127" s="3" t="s">
        <v>102</v>
      </c>
      <c r="W127" s="3" t="s">
        <v>102</v>
      </c>
      <c r="X127" s="3" t="s">
        <v>104</v>
      </c>
      <c r="Y127" s="3" t="s">
        <v>104</v>
      </c>
      <c r="Z127" s="3" t="s">
        <v>104</v>
      </c>
      <c r="AA127" s="3" t="s">
        <v>104</v>
      </c>
      <c r="AB127" s="3" t="s">
        <v>104</v>
      </c>
      <c r="AC127" s="3" t="s">
        <v>102</v>
      </c>
      <c r="AD127" s="3" t="s">
        <v>102</v>
      </c>
      <c r="AE127" s="3" t="s">
        <v>104</v>
      </c>
      <c r="AF127" s="3" t="s">
        <v>104</v>
      </c>
      <c r="AG127" s="3" t="s">
        <v>104</v>
      </c>
      <c r="AH127" s="4">
        <f t="shared" ref="AH127:AH132" si="33">COUNTIF(C127:AG127,"L")</f>
        <v>0</v>
      </c>
      <c r="AI127" s="4">
        <f t="shared" ref="AI127:AI132" si="34">COUNTIF(C127:AG127,"A")</f>
        <v>22</v>
      </c>
    </row>
    <row r="128" spans="2:36" ht="20.100000000000001" hidden="1" customHeight="1" outlineLevel="1" x14ac:dyDescent="0.4">
      <c r="B128" s="4" t="s">
        <v>170</v>
      </c>
      <c r="C128" s="3" t="s">
        <v>104</v>
      </c>
      <c r="D128" s="3" t="s">
        <v>405</v>
      </c>
      <c r="E128" s="3" t="s">
        <v>104</v>
      </c>
      <c r="F128" s="3" t="s">
        <v>104</v>
      </c>
      <c r="G128" s="3" t="s">
        <v>104</v>
      </c>
      <c r="H128" s="3" t="s">
        <v>102</v>
      </c>
      <c r="I128" s="3" t="s">
        <v>102</v>
      </c>
      <c r="J128" s="3" t="s">
        <v>104</v>
      </c>
      <c r="K128" s="3" t="s">
        <v>104</v>
      </c>
      <c r="L128" s="3" t="s">
        <v>104</v>
      </c>
      <c r="M128" s="3" t="s">
        <v>104</v>
      </c>
      <c r="N128" s="3" t="s">
        <v>104</v>
      </c>
      <c r="O128" s="3" t="s">
        <v>102</v>
      </c>
      <c r="P128" s="3" t="s">
        <v>102</v>
      </c>
      <c r="Q128" s="3" t="s">
        <v>104</v>
      </c>
      <c r="R128" s="3" t="s">
        <v>104</v>
      </c>
      <c r="S128" s="3" t="s">
        <v>104</v>
      </c>
      <c r="T128" s="3" t="s">
        <v>104</v>
      </c>
      <c r="U128" s="3" t="s">
        <v>104</v>
      </c>
      <c r="V128" s="3" t="s">
        <v>102</v>
      </c>
      <c r="W128" s="3" t="s">
        <v>102</v>
      </c>
      <c r="X128" s="3" t="s">
        <v>104</v>
      </c>
      <c r="Y128" s="3" t="s">
        <v>104</v>
      </c>
      <c r="Z128" s="3" t="s">
        <v>104</v>
      </c>
      <c r="AA128" s="3" t="s">
        <v>104</v>
      </c>
      <c r="AB128" s="3" t="s">
        <v>104</v>
      </c>
      <c r="AC128" s="3" t="s">
        <v>102</v>
      </c>
      <c r="AD128" s="3" t="s">
        <v>102</v>
      </c>
      <c r="AE128" s="3" t="s">
        <v>104</v>
      </c>
      <c r="AF128" s="3" t="s">
        <v>104</v>
      </c>
      <c r="AG128" s="3" t="s">
        <v>104</v>
      </c>
      <c r="AH128" s="4">
        <f t="shared" ref="AH128:AH130" si="35">COUNTIF(C128:AG128,"L")</f>
        <v>0</v>
      </c>
      <c r="AI128" s="4">
        <f t="shared" ref="AI128:AI130" si="36">COUNTIF(C128:AG128,"A")</f>
        <v>22</v>
      </c>
    </row>
    <row r="129" spans="2:35" ht="20.100000000000001" hidden="1" customHeight="1" outlineLevel="1" x14ac:dyDescent="0.4">
      <c r="B129" s="4" t="s">
        <v>397</v>
      </c>
      <c r="C129" s="3" t="s">
        <v>104</v>
      </c>
      <c r="D129" s="3" t="s">
        <v>405</v>
      </c>
      <c r="E129" s="3" t="s">
        <v>104</v>
      </c>
      <c r="F129" s="3" t="s">
        <v>104</v>
      </c>
      <c r="G129" s="3" t="s">
        <v>104</v>
      </c>
      <c r="H129" s="3" t="s">
        <v>102</v>
      </c>
      <c r="I129" s="3" t="s">
        <v>102</v>
      </c>
      <c r="J129" s="3" t="s">
        <v>104</v>
      </c>
      <c r="K129" s="3" t="s">
        <v>104</v>
      </c>
      <c r="L129" s="3" t="s">
        <v>104</v>
      </c>
      <c r="M129" s="3" t="s">
        <v>104</v>
      </c>
      <c r="N129" s="3" t="s">
        <v>104</v>
      </c>
      <c r="O129" s="3" t="s">
        <v>102</v>
      </c>
      <c r="P129" s="3" t="s">
        <v>102</v>
      </c>
      <c r="Q129" s="3" t="s">
        <v>104</v>
      </c>
      <c r="R129" s="3" t="s">
        <v>104</v>
      </c>
      <c r="S129" s="3" t="s">
        <v>104</v>
      </c>
      <c r="T129" s="3" t="s">
        <v>104</v>
      </c>
      <c r="U129" s="3" t="s">
        <v>104</v>
      </c>
      <c r="V129" s="3" t="s">
        <v>102</v>
      </c>
      <c r="W129" s="3" t="s">
        <v>102</v>
      </c>
      <c r="X129" s="3" t="s">
        <v>104</v>
      </c>
      <c r="Y129" s="3" t="s">
        <v>104</v>
      </c>
      <c r="Z129" s="3" t="s">
        <v>104</v>
      </c>
      <c r="AA129" s="3" t="s">
        <v>104</v>
      </c>
      <c r="AB129" s="3" t="s">
        <v>104</v>
      </c>
      <c r="AC129" s="3" t="s">
        <v>102</v>
      </c>
      <c r="AD129" s="3" t="s">
        <v>102</v>
      </c>
      <c r="AE129" s="3" t="s">
        <v>104</v>
      </c>
      <c r="AF129" s="3" t="s">
        <v>104</v>
      </c>
      <c r="AG129" s="3" t="s">
        <v>104</v>
      </c>
      <c r="AH129" s="4">
        <f t="shared" si="35"/>
        <v>0</v>
      </c>
      <c r="AI129" s="4">
        <f t="shared" si="36"/>
        <v>22</v>
      </c>
    </row>
    <row r="130" spans="2:35" ht="20.100000000000001" hidden="1" customHeight="1" outlineLevel="1" x14ac:dyDescent="0.4">
      <c r="B130" s="4" t="s">
        <v>398</v>
      </c>
      <c r="C130" s="3" t="s">
        <v>104</v>
      </c>
      <c r="D130" s="3" t="s">
        <v>405</v>
      </c>
      <c r="E130" s="3" t="s">
        <v>104</v>
      </c>
      <c r="F130" s="3" t="s">
        <v>104</v>
      </c>
      <c r="G130" s="3" t="s">
        <v>104</v>
      </c>
      <c r="H130" s="3" t="s">
        <v>102</v>
      </c>
      <c r="I130" s="3" t="s">
        <v>102</v>
      </c>
      <c r="J130" s="3" t="s">
        <v>104</v>
      </c>
      <c r="K130" s="3" t="s">
        <v>104</v>
      </c>
      <c r="L130" s="3" t="s">
        <v>104</v>
      </c>
      <c r="M130" s="3" t="s">
        <v>104</v>
      </c>
      <c r="N130" s="3" t="s">
        <v>104</v>
      </c>
      <c r="O130" s="3" t="s">
        <v>102</v>
      </c>
      <c r="P130" s="3" t="s">
        <v>102</v>
      </c>
      <c r="Q130" s="3" t="s">
        <v>104</v>
      </c>
      <c r="R130" s="3" t="s">
        <v>104</v>
      </c>
      <c r="S130" s="3" t="s">
        <v>104</v>
      </c>
      <c r="T130" s="3" t="s">
        <v>104</v>
      </c>
      <c r="U130" s="3" t="s">
        <v>104</v>
      </c>
      <c r="V130" s="3" t="s">
        <v>102</v>
      </c>
      <c r="W130" s="3" t="s">
        <v>102</v>
      </c>
      <c r="X130" s="3" t="s">
        <v>104</v>
      </c>
      <c r="Y130" s="3" t="s">
        <v>104</v>
      </c>
      <c r="Z130" s="3" t="s">
        <v>104</v>
      </c>
      <c r="AA130" s="3" t="s">
        <v>104</v>
      </c>
      <c r="AB130" s="3" t="s">
        <v>104</v>
      </c>
      <c r="AC130" s="3" t="s">
        <v>102</v>
      </c>
      <c r="AD130" s="3" t="s">
        <v>102</v>
      </c>
      <c r="AE130" s="3" t="s">
        <v>104</v>
      </c>
      <c r="AF130" s="3" t="s">
        <v>104</v>
      </c>
      <c r="AG130" s="3" t="s">
        <v>104</v>
      </c>
      <c r="AH130" s="4">
        <f t="shared" si="35"/>
        <v>0</v>
      </c>
      <c r="AI130" s="4">
        <f t="shared" si="36"/>
        <v>22</v>
      </c>
    </row>
    <row r="131" spans="2:35" ht="20.100000000000001" hidden="1" customHeight="1" outlineLevel="1" x14ac:dyDescent="0.4">
      <c r="B131" s="4" t="s">
        <v>399</v>
      </c>
      <c r="C131" s="3" t="s">
        <v>104</v>
      </c>
      <c r="D131" s="3" t="s">
        <v>405</v>
      </c>
      <c r="E131" s="3" t="s">
        <v>104</v>
      </c>
      <c r="F131" s="3" t="s">
        <v>104</v>
      </c>
      <c r="G131" s="3" t="s">
        <v>104</v>
      </c>
      <c r="H131" s="3" t="s">
        <v>102</v>
      </c>
      <c r="I131" s="3" t="s">
        <v>102</v>
      </c>
      <c r="J131" s="3" t="s">
        <v>104</v>
      </c>
      <c r="K131" s="3" t="s">
        <v>104</v>
      </c>
      <c r="L131" s="3" t="s">
        <v>104</v>
      </c>
      <c r="M131" s="3" t="s">
        <v>104</v>
      </c>
      <c r="N131" s="3" t="s">
        <v>104</v>
      </c>
      <c r="O131" s="3" t="s">
        <v>102</v>
      </c>
      <c r="P131" s="3" t="s">
        <v>102</v>
      </c>
      <c r="Q131" s="3" t="s">
        <v>104</v>
      </c>
      <c r="R131" s="3" t="s">
        <v>104</v>
      </c>
      <c r="S131" s="3" t="s">
        <v>104</v>
      </c>
      <c r="T131" s="3" t="s">
        <v>104</v>
      </c>
      <c r="U131" s="3" t="s">
        <v>104</v>
      </c>
      <c r="V131" s="3" t="s">
        <v>102</v>
      </c>
      <c r="W131" s="3" t="s">
        <v>102</v>
      </c>
      <c r="X131" s="3" t="s">
        <v>104</v>
      </c>
      <c r="Y131" s="3" t="s">
        <v>104</v>
      </c>
      <c r="Z131" s="3" t="s">
        <v>104</v>
      </c>
      <c r="AA131" s="3" t="s">
        <v>104</v>
      </c>
      <c r="AB131" s="3" t="s">
        <v>104</v>
      </c>
      <c r="AC131" s="3" t="s">
        <v>102</v>
      </c>
      <c r="AD131" s="3" t="s">
        <v>102</v>
      </c>
      <c r="AE131" s="3" t="s">
        <v>104</v>
      </c>
      <c r="AF131" s="3" t="s">
        <v>104</v>
      </c>
      <c r="AG131" s="3" t="s">
        <v>104</v>
      </c>
      <c r="AH131" s="4">
        <f t="shared" si="33"/>
        <v>0</v>
      </c>
      <c r="AI131" s="4">
        <f t="shared" si="34"/>
        <v>22</v>
      </c>
    </row>
    <row r="132" spans="2:35" ht="20.100000000000001" hidden="1" customHeight="1" outlineLevel="1" x14ac:dyDescent="0.4">
      <c r="B132" s="4" t="s">
        <v>400</v>
      </c>
      <c r="C132" s="3" t="s">
        <v>104</v>
      </c>
      <c r="D132" s="3" t="s">
        <v>405</v>
      </c>
      <c r="E132" s="3" t="s">
        <v>104</v>
      </c>
      <c r="F132" s="3" t="s">
        <v>104</v>
      </c>
      <c r="G132" s="3" t="s">
        <v>104</v>
      </c>
      <c r="H132" s="3" t="s">
        <v>102</v>
      </c>
      <c r="I132" s="3" t="s">
        <v>102</v>
      </c>
      <c r="J132" s="3" t="s">
        <v>104</v>
      </c>
      <c r="K132" s="3" t="s">
        <v>104</v>
      </c>
      <c r="L132" s="3" t="s">
        <v>104</v>
      </c>
      <c r="M132" s="3" t="s">
        <v>104</v>
      </c>
      <c r="N132" s="3" t="s">
        <v>104</v>
      </c>
      <c r="O132" s="3" t="s">
        <v>102</v>
      </c>
      <c r="P132" s="3" t="s">
        <v>102</v>
      </c>
      <c r="Q132" s="3" t="s">
        <v>104</v>
      </c>
      <c r="R132" s="3" t="s">
        <v>104</v>
      </c>
      <c r="S132" s="3" t="s">
        <v>104</v>
      </c>
      <c r="T132" s="3" t="s">
        <v>104</v>
      </c>
      <c r="U132" s="3" t="s">
        <v>104</v>
      </c>
      <c r="V132" s="3" t="s">
        <v>102</v>
      </c>
      <c r="W132" s="3" t="s">
        <v>102</v>
      </c>
      <c r="X132" s="3" t="s">
        <v>104</v>
      </c>
      <c r="Y132" s="3" t="s">
        <v>104</v>
      </c>
      <c r="Z132" s="3" t="s">
        <v>104</v>
      </c>
      <c r="AA132" s="3" t="s">
        <v>104</v>
      </c>
      <c r="AB132" s="3" t="s">
        <v>104</v>
      </c>
      <c r="AC132" s="3" t="s">
        <v>102</v>
      </c>
      <c r="AD132" s="3" t="s">
        <v>102</v>
      </c>
      <c r="AE132" s="3" t="s">
        <v>104</v>
      </c>
      <c r="AF132" s="3" t="s">
        <v>104</v>
      </c>
      <c r="AG132" s="3" t="s">
        <v>104</v>
      </c>
      <c r="AH132" s="4">
        <f t="shared" si="33"/>
        <v>0</v>
      </c>
      <c r="AI132" s="4">
        <f t="shared" si="34"/>
        <v>22</v>
      </c>
    </row>
    <row r="133" spans="2:35" ht="20.100000000000001" hidden="1" customHeight="1" outlineLevel="1" x14ac:dyDescent="0.4"/>
    <row r="134" spans="2:35" ht="20.100000000000001" hidden="1" customHeight="1" outlineLevel="1" collapsed="1" x14ac:dyDescent="0.4">
      <c r="C134" s="262"/>
    </row>
    <row r="135" spans="2:35" ht="20.100000000000001" customHeight="1" collapsed="1" x14ac:dyDescent="0.4"/>
  </sheetData>
  <mergeCells count="38">
    <mergeCell ref="B37:B38"/>
    <mergeCell ref="AH37:AH38"/>
    <mergeCell ref="AI37:AI38"/>
    <mergeCell ref="B47:B48"/>
    <mergeCell ref="AH47:AH48"/>
    <mergeCell ref="AI47:AI48"/>
    <mergeCell ref="B2:B3"/>
    <mergeCell ref="B16:B17"/>
    <mergeCell ref="AH16:AH17"/>
    <mergeCell ref="AI16:AI17"/>
    <mergeCell ref="B27:B28"/>
    <mergeCell ref="AH27:AH28"/>
    <mergeCell ref="AI27:AI28"/>
    <mergeCell ref="M25:U25"/>
    <mergeCell ref="B56:B57"/>
    <mergeCell ref="AH56:AH57"/>
    <mergeCell ref="AI56:AI57"/>
    <mergeCell ref="B65:B66"/>
    <mergeCell ref="AH65:AH66"/>
    <mergeCell ref="AI65:AI66"/>
    <mergeCell ref="B74:B75"/>
    <mergeCell ref="AH74:AH75"/>
    <mergeCell ref="AI74:AI75"/>
    <mergeCell ref="B84:B85"/>
    <mergeCell ref="AH84:AH85"/>
    <mergeCell ref="AI84:AI85"/>
    <mergeCell ref="B94:B95"/>
    <mergeCell ref="AH94:AH95"/>
    <mergeCell ref="AI94:AI95"/>
    <mergeCell ref="B124:B125"/>
    <mergeCell ref="AH124:AH125"/>
    <mergeCell ref="AI124:AI125"/>
    <mergeCell ref="B104:B105"/>
    <mergeCell ref="AH104:AH105"/>
    <mergeCell ref="AI104:AI105"/>
    <mergeCell ref="B114:B115"/>
    <mergeCell ref="AH114:AH115"/>
    <mergeCell ref="AI114:AI115"/>
  </mergeCells>
  <phoneticPr fontId="2"/>
  <conditionalFormatting sqref="C4:AE10">
    <cfRule type="expression" dxfId="50" priority="57449">
      <formula>C$3="H"</formula>
    </cfRule>
    <cfRule type="expression" dxfId="49" priority="57450">
      <formula>C$3="日"</formula>
    </cfRule>
    <cfRule type="expression" dxfId="48" priority="57451">
      <formula>C$3="土"</formula>
    </cfRule>
  </conditionalFormatting>
  <conditionalFormatting sqref="C18:AG24 C49:AG54 C67:AG72">
    <cfRule type="cellIs" dxfId="47" priority="345" operator="equal">
      <formula>"H"</formula>
    </cfRule>
    <cfRule type="cellIs" dxfId="46" priority="346" operator="equal">
      <formula>"S"</formula>
    </cfRule>
    <cfRule type="cellIs" dxfId="45" priority="347" operator="equal">
      <formula>"L"</formula>
    </cfRule>
    <cfRule type="cellIs" dxfId="44" priority="348" operator="equal">
      <formula>"HL"</formula>
    </cfRule>
  </conditionalFormatting>
  <conditionalFormatting sqref="C29:AG34 D30:E35 K30:L35 R30:S35 Y30:Z35 AF30:AG35">
    <cfRule type="cellIs" dxfId="43" priority="429" operator="equal">
      <formula>"H"</formula>
    </cfRule>
    <cfRule type="cellIs" dxfId="42" priority="430" operator="equal">
      <formula>"S"</formula>
    </cfRule>
    <cfRule type="cellIs" dxfId="41" priority="431" operator="equal">
      <formula>"L"</formula>
    </cfRule>
    <cfRule type="cellIs" dxfId="40" priority="432" operator="equal">
      <formula>"HL"</formula>
    </cfRule>
  </conditionalFormatting>
  <conditionalFormatting sqref="C39:AG44 H40:I45 O40:P45 V40:Y45 AC40:AF45 J41:K45">
    <cfRule type="cellIs" dxfId="39" priority="385" operator="equal">
      <formula>"H"</formula>
    </cfRule>
    <cfRule type="cellIs" dxfId="38" priority="386" operator="equal">
      <formula>"S"</formula>
    </cfRule>
    <cfRule type="cellIs" dxfId="37" priority="387" operator="equal">
      <formula>"L"</formula>
    </cfRule>
    <cfRule type="cellIs" dxfId="36" priority="388" operator="equal">
      <formula>"HL"</formula>
    </cfRule>
  </conditionalFormatting>
  <conditionalFormatting sqref="C58:AG63">
    <cfRule type="cellIs" dxfId="35" priority="201" operator="equal">
      <formula>"H"</formula>
    </cfRule>
    <cfRule type="cellIs" dxfId="34" priority="202" operator="equal">
      <formula>"S"</formula>
    </cfRule>
    <cfRule type="cellIs" dxfId="33" priority="203" operator="equal">
      <formula>"L"</formula>
    </cfRule>
    <cfRule type="cellIs" dxfId="32" priority="204" operator="equal">
      <formula>"HL"</formula>
    </cfRule>
  </conditionalFormatting>
  <conditionalFormatting sqref="C76:AG82">
    <cfRule type="cellIs" dxfId="31" priority="33" operator="equal">
      <formula>"H"</formula>
    </cfRule>
    <cfRule type="cellIs" dxfId="30" priority="34" operator="equal">
      <formula>"S"</formula>
    </cfRule>
    <cfRule type="cellIs" dxfId="29" priority="35" operator="equal">
      <formula>"L"</formula>
    </cfRule>
    <cfRule type="cellIs" dxfId="28" priority="36" operator="equal">
      <formula>"HL"</formula>
    </cfRule>
  </conditionalFormatting>
  <conditionalFormatting sqref="C86:AG92">
    <cfRule type="cellIs" dxfId="27" priority="25" operator="equal">
      <formula>"H"</formula>
    </cfRule>
    <cfRule type="cellIs" dxfId="26" priority="26" operator="equal">
      <formula>"S"</formula>
    </cfRule>
    <cfRule type="cellIs" dxfId="25" priority="27" operator="equal">
      <formula>"L"</formula>
    </cfRule>
    <cfRule type="cellIs" dxfId="24" priority="28" operator="equal">
      <formula>"HL"</formula>
    </cfRule>
  </conditionalFormatting>
  <conditionalFormatting sqref="C96:AG102">
    <cfRule type="cellIs" dxfId="23" priority="21" operator="equal">
      <formula>"H"</formula>
    </cfRule>
    <cfRule type="cellIs" dxfId="22" priority="22" operator="equal">
      <formula>"S"</formula>
    </cfRule>
    <cfRule type="cellIs" dxfId="21" priority="23" operator="equal">
      <formula>"L"</formula>
    </cfRule>
    <cfRule type="cellIs" dxfId="20" priority="24" operator="equal">
      <formula>"HL"</formula>
    </cfRule>
  </conditionalFormatting>
  <conditionalFormatting sqref="C106:AG112">
    <cfRule type="cellIs" dxfId="19" priority="13" operator="equal">
      <formula>"H"</formula>
    </cfRule>
    <cfRule type="cellIs" dxfId="18" priority="14" operator="equal">
      <formula>"S"</formula>
    </cfRule>
    <cfRule type="cellIs" dxfId="17" priority="15" operator="equal">
      <formula>"L"</formula>
    </cfRule>
    <cfRule type="cellIs" dxfId="16" priority="16" operator="equal">
      <formula>"HL"</formula>
    </cfRule>
  </conditionalFormatting>
  <conditionalFormatting sqref="C116:AG122">
    <cfRule type="cellIs" dxfId="15" priority="1" operator="equal">
      <formula>"H"</formula>
    </cfRule>
    <cfRule type="cellIs" dxfId="14" priority="2" operator="equal">
      <formula>"S"</formula>
    </cfRule>
    <cfRule type="cellIs" dxfId="13" priority="3" operator="equal">
      <formula>"L"</formula>
    </cfRule>
    <cfRule type="cellIs" dxfId="12" priority="4" operator="equal">
      <formula>"HL"</formula>
    </cfRule>
  </conditionalFormatting>
  <conditionalFormatting sqref="C126:AG132">
    <cfRule type="cellIs" dxfId="11" priority="5" operator="equal">
      <formula>"H"</formula>
    </cfRule>
    <cfRule type="cellIs" dxfId="10" priority="6" operator="equal">
      <formula>"S"</formula>
    </cfRule>
    <cfRule type="cellIs" dxfId="9" priority="7" operator="equal">
      <formula>"L"</formula>
    </cfRule>
    <cfRule type="cellIs" dxfId="8" priority="8" operator="equal">
      <formula>"HL"</formula>
    </cfRule>
  </conditionalFormatting>
  <conditionalFormatting sqref="D35:AG35">
    <cfRule type="cellIs" dxfId="7" priority="341" operator="equal">
      <formula>"H"</formula>
    </cfRule>
    <cfRule type="cellIs" dxfId="6" priority="342" operator="equal">
      <formula>"S"</formula>
    </cfRule>
    <cfRule type="cellIs" dxfId="5" priority="343" operator="equal">
      <formula>"L"</formula>
    </cfRule>
    <cfRule type="cellIs" dxfId="4" priority="344" operator="equal">
      <formula>"HL"</formula>
    </cfRule>
  </conditionalFormatting>
  <conditionalFormatting sqref="D45:AG45">
    <cfRule type="cellIs" dxfId="3" priority="337" operator="equal">
      <formula>"H"</formula>
    </cfRule>
    <cfRule type="cellIs" dxfId="2" priority="338" operator="equal">
      <formula>"S"</formula>
    </cfRule>
    <cfRule type="cellIs" dxfId="1" priority="339" operator="equal">
      <formula>"L"</formula>
    </cfRule>
    <cfRule type="cellIs" dxfId="0" priority="340" operator="equal">
      <formula>"HL"</formula>
    </cfRule>
  </conditionalFormatting>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2:I32"/>
  <sheetViews>
    <sheetView view="pageBreakPreview" zoomScale="85" zoomScaleNormal="85" zoomScaleSheetLayoutView="85" workbookViewId="0"/>
  </sheetViews>
  <sheetFormatPr defaultColWidth="9" defaultRowHeight="20.100000000000001" customHeight="1" x14ac:dyDescent="0.4"/>
  <cols>
    <col min="1" max="1" width="4.5" style="1" customWidth="1"/>
    <col min="2" max="2" width="9" style="1"/>
    <col min="3" max="3" width="27.25" style="1" bestFit="1" customWidth="1"/>
    <col min="4" max="4" width="28.125" style="1" bestFit="1" customWidth="1"/>
    <col min="5" max="5" width="11.625" style="1" bestFit="1" customWidth="1"/>
    <col min="6" max="6" width="18.125" style="1" customWidth="1"/>
    <col min="7" max="7" width="9" style="1"/>
    <col min="8" max="8" width="11.125" style="1" customWidth="1"/>
    <col min="9" max="9" width="28.125" style="1" customWidth="1"/>
    <col min="10" max="16384" width="9" style="1"/>
  </cols>
  <sheetData>
    <row r="2" spans="2:9" ht="20.100000000000001" customHeight="1" x14ac:dyDescent="0.4">
      <c r="B2" s="33" t="s">
        <v>378</v>
      </c>
      <c r="C2" s="28"/>
      <c r="D2" s="29"/>
      <c r="G2" s="33" t="s">
        <v>379</v>
      </c>
      <c r="H2" s="28"/>
      <c r="I2" s="29"/>
    </row>
    <row r="3" spans="2:9" ht="20.100000000000001" customHeight="1" x14ac:dyDescent="0.4">
      <c r="B3" s="30" t="s">
        <v>49</v>
      </c>
      <c r="C3" s="31">
        <v>46023</v>
      </c>
      <c r="D3" t="s">
        <v>380</v>
      </c>
      <c r="G3" s="2" t="s">
        <v>112</v>
      </c>
      <c r="H3" s="31">
        <v>46023</v>
      </c>
      <c r="I3" s="32" t="s">
        <v>50</v>
      </c>
    </row>
    <row r="4" spans="2:9" ht="20.100000000000001" customHeight="1" x14ac:dyDescent="0.4">
      <c r="B4" s="30"/>
      <c r="C4" s="31">
        <v>46024</v>
      </c>
      <c r="D4" t="s">
        <v>380</v>
      </c>
      <c r="G4" s="2"/>
      <c r="H4" s="31">
        <v>46024</v>
      </c>
      <c r="I4" s="32" t="s">
        <v>50</v>
      </c>
    </row>
    <row r="5" spans="2:9" ht="20.100000000000001" customHeight="1" x14ac:dyDescent="0.4">
      <c r="B5" s="30"/>
      <c r="C5" s="31">
        <v>46025</v>
      </c>
      <c r="D5" t="s">
        <v>337</v>
      </c>
      <c r="H5" s="31">
        <v>46025</v>
      </c>
      <c r="I5" s="32" t="s">
        <v>50</v>
      </c>
    </row>
    <row r="6" spans="2:9" ht="20.100000000000001" customHeight="1" x14ac:dyDescent="0.4">
      <c r="B6" s="30"/>
      <c r="C6" s="31">
        <v>46026</v>
      </c>
      <c r="D6" t="s">
        <v>332</v>
      </c>
      <c r="H6" s="31">
        <v>46034</v>
      </c>
      <c r="I6" s="32" t="s">
        <v>113</v>
      </c>
    </row>
    <row r="7" spans="2:9" ht="20.100000000000001" customHeight="1" x14ac:dyDescent="0.4">
      <c r="B7" s="30" t="s">
        <v>51</v>
      </c>
      <c r="C7" s="31">
        <v>46065</v>
      </c>
      <c r="D7" t="s">
        <v>381</v>
      </c>
      <c r="G7" s="2" t="s">
        <v>116</v>
      </c>
      <c r="H7" s="31">
        <v>46064</v>
      </c>
      <c r="I7" s="32" t="s">
        <v>173</v>
      </c>
    </row>
    <row r="8" spans="2:9" ht="20.100000000000001" customHeight="1" x14ac:dyDescent="0.4">
      <c r="B8" s="30"/>
      <c r="C8" s="31">
        <v>46066</v>
      </c>
      <c r="D8" t="s">
        <v>382</v>
      </c>
      <c r="H8" s="31">
        <v>46076</v>
      </c>
      <c r="I8" s="1" t="s">
        <v>114</v>
      </c>
    </row>
    <row r="9" spans="2:9" ht="20.100000000000001" customHeight="1" x14ac:dyDescent="0.4">
      <c r="B9" s="30"/>
      <c r="C9" s="31">
        <v>46069</v>
      </c>
      <c r="D9" t="s">
        <v>383</v>
      </c>
      <c r="G9" s="2" t="s">
        <v>115</v>
      </c>
      <c r="H9" s="31">
        <v>46101</v>
      </c>
      <c r="I9" s="1" t="s">
        <v>117</v>
      </c>
    </row>
    <row r="10" spans="2:9" ht="20.100000000000001" customHeight="1" x14ac:dyDescent="0.4">
      <c r="B10" s="30"/>
      <c r="C10" s="31">
        <v>46070</v>
      </c>
      <c r="D10" t="s">
        <v>384</v>
      </c>
      <c r="G10" s="2" t="s">
        <v>118</v>
      </c>
      <c r="H10" s="31">
        <v>46141</v>
      </c>
      <c r="I10" s="1" t="s">
        <v>119</v>
      </c>
    </row>
    <row r="11" spans="2:9" ht="20.100000000000001" customHeight="1" x14ac:dyDescent="0.4">
      <c r="B11" s="30" t="s">
        <v>52</v>
      </c>
      <c r="C11" s="31">
        <v>46083</v>
      </c>
      <c r="D11" t="s">
        <v>385</v>
      </c>
      <c r="G11" s="2" t="s">
        <v>120</v>
      </c>
      <c r="H11" s="31">
        <v>46145</v>
      </c>
      <c r="I11" s="1" t="s">
        <v>121</v>
      </c>
    </row>
    <row r="12" spans="2:9" ht="20.100000000000001" customHeight="1" x14ac:dyDescent="0.4">
      <c r="C12" s="31">
        <v>46108</v>
      </c>
      <c r="D12" t="s">
        <v>53</v>
      </c>
      <c r="G12" s="2"/>
      <c r="H12" s="31">
        <v>46146</v>
      </c>
      <c r="I12" s="1" t="s">
        <v>122</v>
      </c>
    </row>
    <row r="13" spans="2:9" ht="20.100000000000001" customHeight="1" x14ac:dyDescent="0.4">
      <c r="B13" s="30" t="s">
        <v>54</v>
      </c>
      <c r="C13" s="31">
        <v>46125</v>
      </c>
      <c r="D13" t="s">
        <v>386</v>
      </c>
      <c r="G13" s="2"/>
      <c r="H13" s="31">
        <v>46147</v>
      </c>
      <c r="I13" s="1" t="s">
        <v>123</v>
      </c>
    </row>
    <row r="14" spans="2:9" ht="20.100000000000001" customHeight="1" x14ac:dyDescent="0.4">
      <c r="C14" s="31">
        <v>46126</v>
      </c>
      <c r="D14" t="s">
        <v>333</v>
      </c>
      <c r="H14" s="31">
        <v>46148</v>
      </c>
      <c r="I14" s="32" t="s">
        <v>337</v>
      </c>
    </row>
    <row r="15" spans="2:9" ht="20.100000000000001" customHeight="1" x14ac:dyDescent="0.4">
      <c r="C15" s="31">
        <v>46127</v>
      </c>
      <c r="D15" t="s">
        <v>333</v>
      </c>
      <c r="G15" s="2" t="s">
        <v>124</v>
      </c>
      <c r="H15" s="31">
        <v>46223</v>
      </c>
      <c r="I15" s="1" t="s">
        <v>125</v>
      </c>
    </row>
    <row r="16" spans="2:9" ht="20.100000000000001" customHeight="1" x14ac:dyDescent="0.4">
      <c r="C16" s="31">
        <v>46128</v>
      </c>
      <c r="D16" t="s">
        <v>333</v>
      </c>
      <c r="G16" s="2" t="s">
        <v>126</v>
      </c>
      <c r="H16" s="31">
        <v>46245</v>
      </c>
      <c r="I16" s="1" t="s">
        <v>127</v>
      </c>
    </row>
    <row r="17" spans="2:9" ht="20.100000000000001" customHeight="1" x14ac:dyDescent="0.4">
      <c r="C17" s="31">
        <v>46129</v>
      </c>
      <c r="D17" t="s">
        <v>333</v>
      </c>
      <c r="G17" s="2" t="s">
        <v>128</v>
      </c>
      <c r="H17" s="31">
        <v>46286</v>
      </c>
      <c r="I17" s="1" t="s">
        <v>129</v>
      </c>
    </row>
    <row r="18" spans="2:9" ht="20.100000000000001" customHeight="1" x14ac:dyDescent="0.4">
      <c r="C18" s="31">
        <v>46130</v>
      </c>
      <c r="D18" t="s">
        <v>333</v>
      </c>
      <c r="G18" s="2"/>
      <c r="H18" s="31">
        <v>46287</v>
      </c>
      <c r="I18" s="1" t="s">
        <v>387</v>
      </c>
    </row>
    <row r="19" spans="2:9" ht="20.100000000000001" customHeight="1" x14ac:dyDescent="0.4">
      <c r="C19" s="31">
        <v>46131</v>
      </c>
      <c r="D19" t="s">
        <v>333</v>
      </c>
      <c r="G19" s="2"/>
      <c r="H19" s="31">
        <v>46288</v>
      </c>
      <c r="I19" s="1" t="s">
        <v>130</v>
      </c>
    </row>
    <row r="20" spans="2:9" ht="20.100000000000001" customHeight="1" x14ac:dyDescent="0.4">
      <c r="C20" s="31">
        <v>45777</v>
      </c>
      <c r="D20" t="s">
        <v>334</v>
      </c>
      <c r="G20" s="30" t="s">
        <v>57</v>
      </c>
      <c r="H20" s="31">
        <v>46307</v>
      </c>
      <c r="I20" s="32" t="s">
        <v>161</v>
      </c>
    </row>
    <row r="21" spans="2:9" ht="20.100000000000001" customHeight="1" x14ac:dyDescent="0.4">
      <c r="B21" s="30" t="s">
        <v>55</v>
      </c>
      <c r="C21" s="31">
        <v>46143</v>
      </c>
      <c r="D21" s="228" t="s">
        <v>388</v>
      </c>
      <c r="G21" s="30" t="s">
        <v>131</v>
      </c>
      <c r="H21" s="31">
        <v>46329</v>
      </c>
      <c r="I21" s="32" t="s">
        <v>132</v>
      </c>
    </row>
    <row r="22" spans="2:9" ht="20.100000000000001" customHeight="1" x14ac:dyDescent="0.4">
      <c r="B22" s="30" t="s">
        <v>389</v>
      </c>
      <c r="C22" s="31">
        <v>46170</v>
      </c>
      <c r="D22" s="228" t="s">
        <v>540</v>
      </c>
      <c r="E22" s="276"/>
      <c r="H22" s="31">
        <v>46349</v>
      </c>
      <c r="I22" s="1" t="s">
        <v>133</v>
      </c>
    </row>
    <row r="23" spans="2:9" ht="20.100000000000001" customHeight="1" x14ac:dyDescent="0.4">
      <c r="B23" s="30" t="s">
        <v>56</v>
      </c>
      <c r="C23" s="31">
        <v>46222</v>
      </c>
      <c r="D23" t="s">
        <v>335</v>
      </c>
      <c r="G23" s="2" t="s">
        <v>147</v>
      </c>
      <c r="H23" s="31">
        <v>46387</v>
      </c>
      <c r="I23" s="1" t="s">
        <v>148</v>
      </c>
    </row>
    <row r="24" spans="2:9" ht="20.100000000000001" customHeight="1" x14ac:dyDescent="0.4">
      <c r="C24" s="31">
        <v>46232</v>
      </c>
      <c r="D24" t="s">
        <v>391</v>
      </c>
    </row>
    <row r="25" spans="2:9" ht="20.100000000000001" customHeight="1" x14ac:dyDescent="0.4">
      <c r="B25" s="30" t="s">
        <v>57</v>
      </c>
      <c r="C25" s="31">
        <v>46320</v>
      </c>
      <c r="D25" t="s">
        <v>336</v>
      </c>
    </row>
    <row r="26" spans="2:9" ht="20.100000000000001" customHeight="1" x14ac:dyDescent="0.4">
      <c r="C26" s="31">
        <v>46321</v>
      </c>
      <c r="D26" t="s">
        <v>336</v>
      </c>
      <c r="G26" s="2"/>
      <c r="H26" s="31"/>
    </row>
    <row r="27" spans="2:9" ht="20.100000000000001" customHeight="1" x14ac:dyDescent="0.4">
      <c r="C27" s="31">
        <v>46322</v>
      </c>
      <c r="D27" t="s">
        <v>336</v>
      </c>
      <c r="G27" s="2"/>
      <c r="H27" s="31"/>
    </row>
    <row r="28" spans="2:9" ht="20.100000000000001" customHeight="1" x14ac:dyDescent="0.4">
      <c r="C28" s="31" t="s">
        <v>390</v>
      </c>
      <c r="D28" t="s">
        <v>539</v>
      </c>
      <c r="G28" s="30"/>
      <c r="H28" s="31"/>
      <c r="I28"/>
    </row>
    <row r="29" spans="2:9" ht="20.100000000000001" customHeight="1" x14ac:dyDescent="0.4">
      <c r="B29" s="30" t="s">
        <v>58</v>
      </c>
      <c r="C29" s="31">
        <v>46349</v>
      </c>
      <c r="D29" t="s">
        <v>392</v>
      </c>
      <c r="H29" s="31"/>
      <c r="I29"/>
    </row>
    <row r="30" spans="2:9" ht="20.100000000000001" customHeight="1" x14ac:dyDescent="0.4">
      <c r="C30" s="31">
        <v>46350</v>
      </c>
      <c r="D30" t="s">
        <v>393</v>
      </c>
      <c r="G30" s="30"/>
      <c r="H30" s="31"/>
      <c r="I30"/>
    </row>
    <row r="31" spans="2:9" ht="20.100000000000001" customHeight="1" x14ac:dyDescent="0.4">
      <c r="B31" s="30" t="s">
        <v>59</v>
      </c>
      <c r="C31" s="31">
        <v>46360</v>
      </c>
      <c r="D31" t="s">
        <v>394</v>
      </c>
      <c r="H31" s="31"/>
      <c r="I31"/>
    </row>
    <row r="32" spans="2:9" ht="20.100000000000001" customHeight="1" x14ac:dyDescent="0.4">
      <c r="C32" s="31">
        <v>46381</v>
      </c>
      <c r="D32" t="s">
        <v>395</v>
      </c>
    </row>
  </sheetData>
  <phoneticPr fontId="2"/>
  <pageMargins left="0.7" right="0.7" top="0.75" bottom="0.75" header="0.3" footer="0.3"/>
  <pageSetup paperSize="9" scale="51"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1E92-E9B0-4CF6-B1CE-7720D76122D0}">
  <dimension ref="A1:Q34"/>
  <sheetViews>
    <sheetView view="pageBreakPreview" zoomScale="85" zoomScaleNormal="100" zoomScaleSheetLayoutView="85" workbookViewId="0"/>
  </sheetViews>
  <sheetFormatPr defaultColWidth="8.75" defaultRowHeight="18.75" x14ac:dyDescent="0.4"/>
  <cols>
    <col min="1" max="1" width="25.375" bestFit="1" customWidth="1"/>
    <col min="2" max="2" width="6" customWidth="1"/>
    <col min="3" max="11" width="9.5" bestFit="1" customWidth="1"/>
    <col min="15" max="16" width="8.875" customWidth="1"/>
  </cols>
  <sheetData>
    <row r="1" spans="1:17" x14ac:dyDescent="0.4">
      <c r="A1" s="212"/>
      <c r="B1" s="212"/>
      <c r="C1" s="213" t="s">
        <v>354</v>
      </c>
      <c r="D1" s="213" t="s">
        <v>355</v>
      </c>
      <c r="E1" s="213" t="s">
        <v>356</v>
      </c>
      <c r="F1" s="213" t="s">
        <v>357</v>
      </c>
      <c r="G1" s="213" t="s">
        <v>358</v>
      </c>
      <c r="H1" s="213" t="s">
        <v>359</v>
      </c>
      <c r="I1" s="213" t="s">
        <v>360</v>
      </c>
      <c r="J1" s="213" t="s">
        <v>361</v>
      </c>
      <c r="K1" s="213" t="s">
        <v>362</v>
      </c>
      <c r="L1" s="213" t="s">
        <v>363</v>
      </c>
      <c r="M1" s="213" t="s">
        <v>364</v>
      </c>
      <c r="N1" s="213" t="s">
        <v>365</v>
      </c>
      <c r="O1" s="295"/>
      <c r="P1" s="295"/>
      <c r="Q1" s="295"/>
    </row>
    <row r="2" spans="1:17" x14ac:dyDescent="0.4">
      <c r="A2" s="214" t="s">
        <v>366</v>
      </c>
      <c r="B2" s="214"/>
      <c r="C2" s="215">
        <v>5</v>
      </c>
      <c r="D2" s="215">
        <v>5</v>
      </c>
      <c r="E2" s="215">
        <v>5</v>
      </c>
      <c r="F2" s="215">
        <v>5</v>
      </c>
      <c r="G2" s="215">
        <v>5</v>
      </c>
      <c r="H2" s="215">
        <v>5</v>
      </c>
      <c r="I2" s="215">
        <v>5</v>
      </c>
      <c r="J2" s="215">
        <v>5</v>
      </c>
      <c r="K2" s="215">
        <v>5</v>
      </c>
      <c r="L2" s="215">
        <v>5</v>
      </c>
      <c r="M2" s="215">
        <v>5</v>
      </c>
      <c r="N2" s="215">
        <v>5</v>
      </c>
      <c r="O2" s="295"/>
      <c r="P2" s="295"/>
      <c r="Q2" s="295"/>
    </row>
    <row r="3" spans="1:17" x14ac:dyDescent="0.4">
      <c r="A3" s="216" t="s">
        <v>17</v>
      </c>
      <c r="B3" s="299"/>
      <c r="C3" s="299"/>
      <c r="D3" s="299"/>
      <c r="E3" s="299"/>
      <c r="F3" s="299"/>
      <c r="G3" s="299"/>
      <c r="H3" s="299"/>
      <c r="I3" s="299"/>
      <c r="J3" s="299"/>
      <c r="K3" s="299"/>
      <c r="L3" s="299"/>
      <c r="M3" s="299"/>
      <c r="N3" s="299"/>
      <c r="O3" s="295"/>
      <c r="P3" s="295"/>
      <c r="Q3" s="295"/>
    </row>
    <row r="4" spans="1:17" x14ac:dyDescent="0.4">
      <c r="A4" s="217" t="s">
        <v>367</v>
      </c>
      <c r="B4" s="217" t="s">
        <v>24</v>
      </c>
      <c r="C4" s="218">
        <f>'案件．要員情報まとめ'!O166</f>
        <v>5.1041666666666661</v>
      </c>
      <c r="D4" s="218">
        <f>'案件．要員情報まとめ'!P166</f>
        <v>3.6771929824561398</v>
      </c>
      <c r="E4" s="218">
        <f>'案件．要員情報まとめ'!Q166</f>
        <v>4.3939393939393936</v>
      </c>
      <c r="F4" s="218">
        <f>'案件．要員情報まとめ'!R166</f>
        <v>5.127272727272727</v>
      </c>
      <c r="G4" s="218">
        <f>'案件．要員情報まとめ'!S166</f>
        <v>4.5365079365079364</v>
      </c>
      <c r="H4" s="218">
        <f>'案件．要員情報まとめ'!T166</f>
        <v>4.8848484848484839</v>
      </c>
      <c r="I4" s="218">
        <f>'案件．要員情報まとめ'!U166</f>
        <v>3.1133333333333337</v>
      </c>
      <c r="J4" s="218">
        <f>'案件．要員情報まとめ'!V166</f>
        <v>0</v>
      </c>
      <c r="K4" s="218">
        <f>'案件．要員情報まとめ'!W166</f>
        <v>0</v>
      </c>
      <c r="L4" s="218">
        <f>'案件．要員情報まとめ'!X166</f>
        <v>0</v>
      </c>
      <c r="M4" s="218">
        <f>'案件．要員情報まとめ'!Y166</f>
        <v>0</v>
      </c>
      <c r="N4" s="218">
        <f>'案件．要員情報まとめ'!Z166</f>
        <v>0</v>
      </c>
      <c r="O4" s="295"/>
      <c r="P4" s="295"/>
      <c r="Q4" s="295"/>
    </row>
    <row r="5" spans="1:17" x14ac:dyDescent="0.4">
      <c r="A5" s="217" t="s">
        <v>368</v>
      </c>
      <c r="B5" s="217" t="s">
        <v>25</v>
      </c>
      <c r="C5" s="218">
        <f>'案件．要員情報まとめ'!O167</f>
        <v>4.6708333333333325</v>
      </c>
      <c r="D5" s="218">
        <f>'案件．要員情報まとめ'!P167</f>
        <v>3.3228070175438598</v>
      </c>
      <c r="E5" s="218">
        <f>'案件．要員情報まとめ'!Q167</f>
        <v>4.0333333333333332</v>
      </c>
      <c r="F5" s="218">
        <f>'案件．要員情報まとめ'!R167</f>
        <v>4.8893939393939405</v>
      </c>
      <c r="G5" s="218">
        <f>'案件．要員情報まとめ'!S167</f>
        <v>4.4460317460317453</v>
      </c>
      <c r="H5" s="218">
        <f>'案件．要員情報まとめ'!T167</f>
        <v>4.6545454545454543</v>
      </c>
      <c r="I5" s="218">
        <f>'案件．要員情報まとめ'!U167</f>
        <v>1.3066666666666666</v>
      </c>
      <c r="J5" s="218">
        <f>'案件．要員情報まとめ'!V167</f>
        <v>0</v>
      </c>
      <c r="K5" s="218">
        <f>'案件．要員情報まとめ'!W167</f>
        <v>0</v>
      </c>
      <c r="L5" s="218">
        <f>'案件．要員情報まとめ'!X167</f>
        <v>0</v>
      </c>
      <c r="M5" s="218">
        <f>'案件．要員情報まとめ'!Y167</f>
        <v>0</v>
      </c>
      <c r="N5" s="218">
        <f>'案件．要員情報まとめ'!Z167</f>
        <v>0</v>
      </c>
      <c r="O5" s="295"/>
      <c r="P5" s="295"/>
      <c r="Q5" s="295"/>
    </row>
    <row r="6" spans="1:17" s="222" customFormat="1" x14ac:dyDescent="0.4">
      <c r="A6" s="219" t="s">
        <v>369</v>
      </c>
      <c r="B6" s="220"/>
      <c r="C6" s="221">
        <f>C2-C5</f>
        <v>0.3291666666666675</v>
      </c>
      <c r="D6" s="221">
        <f>D2-D5</f>
        <v>1.6771929824561402</v>
      </c>
      <c r="E6" s="221">
        <f t="shared" ref="E6:N6" si="0">E2-E5</f>
        <v>0.96666666666666679</v>
      </c>
      <c r="F6" s="221">
        <f>F2-F5</f>
        <v>0.11060606060605949</v>
      </c>
      <c r="G6" s="221">
        <f>G2-G5</f>
        <v>0.55396825396825466</v>
      </c>
      <c r="H6" s="221">
        <f t="shared" si="0"/>
        <v>0.34545454545454568</v>
      </c>
      <c r="I6" s="221">
        <f t="shared" si="0"/>
        <v>3.6933333333333334</v>
      </c>
      <c r="J6" s="221">
        <f t="shared" si="0"/>
        <v>5</v>
      </c>
      <c r="K6" s="221">
        <f t="shared" si="0"/>
        <v>5</v>
      </c>
      <c r="L6" s="221">
        <f t="shared" si="0"/>
        <v>5</v>
      </c>
      <c r="M6" s="221">
        <f t="shared" si="0"/>
        <v>5</v>
      </c>
      <c r="N6" s="221">
        <f t="shared" si="0"/>
        <v>5</v>
      </c>
      <c r="O6" s="296"/>
      <c r="P6" s="296"/>
      <c r="Q6" s="296"/>
    </row>
    <row r="7" spans="1:17" x14ac:dyDescent="0.4">
      <c r="A7" s="216" t="s">
        <v>29</v>
      </c>
      <c r="B7" s="299"/>
      <c r="C7" s="299"/>
      <c r="D7" s="299"/>
      <c r="E7" s="299"/>
      <c r="F7" s="299"/>
      <c r="G7" s="299"/>
      <c r="H7" s="299"/>
      <c r="I7" s="299"/>
      <c r="J7" s="299"/>
      <c r="K7" s="299"/>
      <c r="L7" s="299"/>
      <c r="M7" s="299"/>
      <c r="N7" s="299"/>
      <c r="O7" s="295"/>
      <c r="P7" s="295"/>
      <c r="Q7" s="295"/>
    </row>
    <row r="8" spans="1:17" x14ac:dyDescent="0.4">
      <c r="A8" s="217" t="s">
        <v>370</v>
      </c>
      <c r="B8" s="217" t="s">
        <v>24</v>
      </c>
      <c r="C8" s="218">
        <f>'案件．要員情報まとめ'!O184</f>
        <v>0.9</v>
      </c>
      <c r="D8" s="218">
        <f>'案件．要員情報まとめ'!P184</f>
        <v>0.80701754385964908</v>
      </c>
      <c r="E8" s="218">
        <f>'案件．要員情報まとめ'!Q184</f>
        <v>0.90909090909090895</v>
      </c>
      <c r="F8" s="218">
        <f>'案件．要員情報まとめ'!R184</f>
        <v>0.79090909090909078</v>
      </c>
      <c r="G8" s="218">
        <f>'案件．要員情報まとめ'!S184</f>
        <v>0.84952380952380957</v>
      </c>
      <c r="H8" s="218">
        <f>'案件．要員情報まとめ'!T184</f>
        <v>0.99619047619047629</v>
      </c>
      <c r="I8" s="218">
        <f>'案件．要員情報まとめ'!U184</f>
        <v>1.0699999999999998</v>
      </c>
      <c r="J8" s="218">
        <f>'案件．要員情報まとめ'!V184</f>
        <v>0</v>
      </c>
      <c r="K8" s="218">
        <f>'案件．要員情報まとめ'!W184</f>
        <v>0</v>
      </c>
      <c r="L8" s="218">
        <f>'案件．要員情報まとめ'!X184</f>
        <v>0</v>
      </c>
      <c r="M8" s="218">
        <f>'案件．要員情報まとめ'!Y184</f>
        <v>0</v>
      </c>
      <c r="N8" s="218">
        <f>'案件．要員情報まとめ'!Z184</f>
        <v>0</v>
      </c>
      <c r="O8" s="295"/>
      <c r="P8" s="295"/>
      <c r="Q8" s="295"/>
    </row>
    <row r="9" spans="1:17" x14ac:dyDescent="0.4">
      <c r="A9" s="217" t="s">
        <v>371</v>
      </c>
      <c r="B9" s="217" t="s">
        <v>25</v>
      </c>
      <c r="C9" s="218">
        <f>'案件．要員情報まとめ'!O185</f>
        <v>0.85416666666666663</v>
      </c>
      <c r="D9" s="218">
        <f>'案件．要員情報まとめ'!P185</f>
        <v>0.67368421052631589</v>
      </c>
      <c r="E9" s="218">
        <f>'案件．要員情報まとめ'!Q185</f>
        <v>0.86969696969696964</v>
      </c>
      <c r="F9" s="218">
        <f>'案件．要員情報まとめ'!R185</f>
        <v>0.75303030303030305</v>
      </c>
      <c r="G9" s="218">
        <f>'案件．要員情報まとめ'!S185</f>
        <v>0.82190476190476192</v>
      </c>
      <c r="H9" s="218">
        <f>'案件．要員情報まとめ'!T185</f>
        <v>0.96363636363636362</v>
      </c>
      <c r="I9" s="218">
        <f>'案件．要員情報まとめ'!U185</f>
        <v>0.17833333333333334</v>
      </c>
      <c r="J9" s="218">
        <f>'案件．要員情報まとめ'!V185</f>
        <v>0</v>
      </c>
      <c r="K9" s="218">
        <f>'案件．要員情報まとめ'!W185</f>
        <v>0</v>
      </c>
      <c r="L9" s="218">
        <f>'案件．要員情報まとめ'!X185</f>
        <v>0</v>
      </c>
      <c r="M9" s="218">
        <f>'案件．要員情報まとめ'!Y185</f>
        <v>0</v>
      </c>
      <c r="N9" s="218">
        <f>'案件．要員情報まとめ'!Z185</f>
        <v>0</v>
      </c>
      <c r="O9" s="295"/>
      <c r="P9" s="295"/>
      <c r="Q9" s="295"/>
    </row>
    <row r="10" spans="1:17" x14ac:dyDescent="0.4">
      <c r="A10" s="216" t="s">
        <v>372</v>
      </c>
      <c r="B10" s="299"/>
      <c r="C10" s="299"/>
      <c r="D10" s="299"/>
      <c r="E10" s="299"/>
      <c r="F10" s="299"/>
      <c r="G10" s="299"/>
      <c r="H10" s="299"/>
      <c r="I10" s="299"/>
      <c r="J10" s="299"/>
      <c r="K10" s="299"/>
      <c r="L10" s="299"/>
      <c r="M10" s="299"/>
      <c r="N10" s="299"/>
      <c r="O10" s="295"/>
      <c r="P10" s="295"/>
      <c r="Q10" s="295"/>
    </row>
    <row r="11" spans="1:17" x14ac:dyDescent="0.4">
      <c r="A11" s="217" t="s">
        <v>373</v>
      </c>
      <c r="B11" s="217" t="s">
        <v>24</v>
      </c>
      <c r="C11" s="218">
        <f>'案件．要員情報まとめ'!O187</f>
        <v>6.0041666666666664</v>
      </c>
      <c r="D11" s="218">
        <f>'案件．要員情報まとめ'!P187</f>
        <v>4.4842105263157892</v>
      </c>
      <c r="E11" s="218">
        <f>'案件．要員情報まとめ'!Q187</f>
        <v>5.3030303030303028</v>
      </c>
      <c r="F11" s="218">
        <f>'案件．要員情報まとめ'!R187</f>
        <v>5.918181818181818</v>
      </c>
      <c r="G11" s="218">
        <f>'案件．要員情報まとめ'!S187</f>
        <v>5.3860317460317457</v>
      </c>
      <c r="H11" s="218">
        <f>'案件．要員情報まとめ'!T187</f>
        <v>5.8810389610389606</v>
      </c>
      <c r="I11" s="218">
        <f>'案件．要員情報まとめ'!U187</f>
        <v>4.1833333333333336</v>
      </c>
      <c r="J11" s="218">
        <f>'案件．要員情報まとめ'!V187</f>
        <v>0</v>
      </c>
      <c r="K11" s="218">
        <f>'案件．要員情報まとめ'!W187</f>
        <v>0</v>
      </c>
      <c r="L11" s="218">
        <f>'案件．要員情報まとめ'!X187</f>
        <v>0</v>
      </c>
      <c r="M11" s="218">
        <f>'案件．要員情報まとめ'!Y187</f>
        <v>0</v>
      </c>
      <c r="N11" s="218">
        <f>'案件．要員情報まとめ'!Z187</f>
        <v>0</v>
      </c>
      <c r="O11" s="302">
        <f>SUM(C11:N11)/2</f>
        <v>18.579996677299306</v>
      </c>
      <c r="P11" s="295"/>
      <c r="Q11" s="295"/>
    </row>
    <row r="12" spans="1:17" ht="19.5" customHeight="1" x14ac:dyDescent="0.4">
      <c r="A12" s="217" t="s">
        <v>373</v>
      </c>
      <c r="B12" s="217" t="s">
        <v>25</v>
      </c>
      <c r="C12" s="218">
        <f>'案件．要員情報まとめ'!O188</f>
        <v>5.5249999999999995</v>
      </c>
      <c r="D12" s="218">
        <f>'案件．要員情報まとめ'!P188</f>
        <v>3.9964912280701759</v>
      </c>
      <c r="E12" s="218">
        <f>'案件．要員情報まとめ'!Q188</f>
        <v>4.9030303030303024</v>
      </c>
      <c r="F12" s="218">
        <f>'案件．要員情報まとめ'!R188</f>
        <v>5.6424242424242435</v>
      </c>
      <c r="G12" s="218">
        <f>'案件．要員情報まとめ'!S188</f>
        <v>5.2679365079365077</v>
      </c>
      <c r="H12" s="218">
        <f>'案件．要員情報まとめ'!T188</f>
        <v>5.6181818181818182</v>
      </c>
      <c r="I12" s="218">
        <f>'案件．要員情報まとめ'!U188</f>
        <v>1.4849999999999999</v>
      </c>
      <c r="J12" s="218">
        <f>'案件．要員情報まとめ'!V188</f>
        <v>0</v>
      </c>
      <c r="K12" s="218">
        <f>'案件．要員情報まとめ'!W188</f>
        <v>0</v>
      </c>
      <c r="L12" s="218">
        <f>'案件．要員情報まとめ'!X188</f>
        <v>0</v>
      </c>
      <c r="M12" s="218">
        <f>'案件．要員情報まとめ'!Y188</f>
        <v>0</v>
      </c>
      <c r="N12" s="218">
        <f>'案件．要員情報まとめ'!Z188</f>
        <v>0</v>
      </c>
      <c r="O12" s="302">
        <f>SUM(C12:N12)/1</f>
        <v>32.43806409964305</v>
      </c>
      <c r="P12" s="295"/>
      <c r="Q12" s="295"/>
    </row>
    <row r="13" spans="1:17" s="222" customFormat="1" ht="19.5" customHeight="1" x14ac:dyDescent="0.4">
      <c r="A13" s="223" t="s">
        <v>369</v>
      </c>
      <c r="B13" s="220"/>
      <c r="C13" s="221">
        <f t="shared" ref="C13:N13" si="1">C2-C12</f>
        <v>-0.52499999999999947</v>
      </c>
      <c r="D13" s="221">
        <f t="shared" si="1"/>
        <v>1.0035087719298241</v>
      </c>
      <c r="E13" s="221">
        <f t="shared" si="1"/>
        <v>9.6969696969697594E-2</v>
      </c>
      <c r="F13" s="221">
        <f t="shared" si="1"/>
        <v>-0.64242424242424345</v>
      </c>
      <c r="G13" s="221">
        <f t="shared" si="1"/>
        <v>-0.2679365079365077</v>
      </c>
      <c r="H13" s="221">
        <f t="shared" si="1"/>
        <v>-0.61818181818181817</v>
      </c>
      <c r="I13" s="221">
        <f t="shared" si="1"/>
        <v>3.5150000000000001</v>
      </c>
      <c r="J13" s="221">
        <f t="shared" si="1"/>
        <v>5</v>
      </c>
      <c r="K13" s="221">
        <f t="shared" si="1"/>
        <v>5</v>
      </c>
      <c r="L13" s="221">
        <f t="shared" si="1"/>
        <v>5</v>
      </c>
      <c r="M13" s="221">
        <f t="shared" si="1"/>
        <v>5</v>
      </c>
      <c r="N13" s="221">
        <f t="shared" si="1"/>
        <v>5</v>
      </c>
      <c r="O13" s="296"/>
      <c r="P13" s="296"/>
      <c r="Q13" s="296"/>
    </row>
    <row r="14" spans="1:17" x14ac:dyDescent="0.4">
      <c r="A14" s="224" t="s">
        <v>374</v>
      </c>
      <c r="B14" s="300"/>
      <c r="C14" s="301"/>
      <c r="D14" s="301"/>
      <c r="E14" s="301"/>
      <c r="F14" s="301"/>
      <c r="G14" s="301"/>
      <c r="H14" s="301"/>
      <c r="I14" s="301"/>
      <c r="J14" s="301"/>
      <c r="K14" s="301"/>
      <c r="L14" s="301"/>
      <c r="M14" s="301"/>
      <c r="N14" s="301"/>
      <c r="O14" s="295"/>
      <c r="P14" s="295"/>
      <c r="Q14" s="295"/>
    </row>
    <row r="15" spans="1:17" x14ac:dyDescent="0.4">
      <c r="A15" s="225" t="s">
        <v>375</v>
      </c>
      <c r="B15" s="226"/>
      <c r="C15" s="227">
        <f>C12/C2</f>
        <v>1.105</v>
      </c>
      <c r="D15" s="227">
        <v>0.80199999999999994</v>
      </c>
      <c r="E15" s="227">
        <v>0.98199999999999998</v>
      </c>
      <c r="F15" s="227">
        <v>1.1351515151515155</v>
      </c>
      <c r="G15" s="227">
        <v>1.0580000000000001</v>
      </c>
      <c r="H15" s="227" t="s">
        <v>376</v>
      </c>
      <c r="I15" s="227" t="s">
        <v>376</v>
      </c>
      <c r="J15" s="227" t="s">
        <v>376</v>
      </c>
      <c r="K15" s="227" t="s">
        <v>376</v>
      </c>
      <c r="L15" s="227" t="s">
        <v>376</v>
      </c>
      <c r="M15" s="227" t="s">
        <v>376</v>
      </c>
      <c r="N15" s="227" t="s">
        <v>376</v>
      </c>
      <c r="O15" s="297">
        <f>SUM(C15:N15)/2</f>
        <v>2.5410757575757579</v>
      </c>
      <c r="P15" s="298"/>
      <c r="Q15" s="295"/>
    </row>
    <row r="16" spans="1:17" ht="19.5" customHeight="1" x14ac:dyDescent="0.4">
      <c r="A16" s="225" t="s">
        <v>377</v>
      </c>
      <c r="B16" s="226"/>
      <c r="C16" s="227">
        <f>C11/C12</f>
        <v>1.0867269984917045</v>
      </c>
      <c r="D16" s="227">
        <v>1.117206982543641</v>
      </c>
      <c r="E16" s="227">
        <v>1.0794297352342159</v>
      </c>
      <c r="F16" s="227">
        <v>1.0432461292044843</v>
      </c>
      <c r="G16" s="227">
        <v>1.0189035916824196</v>
      </c>
      <c r="H16" s="227" t="s">
        <v>376</v>
      </c>
      <c r="I16" s="227" t="s">
        <v>376</v>
      </c>
      <c r="J16" s="227" t="s">
        <v>376</v>
      </c>
      <c r="K16" s="227" t="s">
        <v>376</v>
      </c>
      <c r="L16" s="227" t="s">
        <v>376</v>
      </c>
      <c r="M16" s="227" t="s">
        <v>376</v>
      </c>
      <c r="N16" s="227" t="s">
        <v>376</v>
      </c>
      <c r="O16" s="297">
        <f>SUM(C16:N16)/2</f>
        <v>2.6727567185782326</v>
      </c>
      <c r="P16" s="298"/>
      <c r="Q16" s="295"/>
    </row>
    <row r="17" spans="1:17" s="222" customFormat="1" ht="19.5" customHeight="1" x14ac:dyDescent="0.4">
      <c r="A17" s="223"/>
      <c r="B17" s="220"/>
      <c r="C17" s="221"/>
      <c r="D17" s="221"/>
      <c r="E17" s="221"/>
      <c r="F17" s="221"/>
      <c r="G17" s="221"/>
      <c r="H17" s="221"/>
      <c r="I17" s="221"/>
      <c r="J17" s="221"/>
      <c r="K17" s="221"/>
      <c r="L17" s="221"/>
      <c r="M17" s="221"/>
      <c r="N17" s="221"/>
      <c r="O17" s="296"/>
      <c r="P17" s="296"/>
      <c r="Q17" s="296"/>
    </row>
    <row r="18" spans="1:17" x14ac:dyDescent="0.4">
      <c r="A18" s="295"/>
      <c r="B18" s="295"/>
      <c r="C18" s="295"/>
      <c r="D18" s="295"/>
      <c r="E18" s="295"/>
      <c r="F18" s="295"/>
      <c r="G18" s="295"/>
      <c r="H18" s="295"/>
      <c r="I18" s="295"/>
      <c r="J18" s="295"/>
      <c r="K18" s="295"/>
      <c r="L18" s="295"/>
      <c r="M18" s="295"/>
      <c r="N18" s="295"/>
      <c r="O18" s="295"/>
      <c r="P18" s="295"/>
      <c r="Q18" s="295"/>
    </row>
    <row r="19" spans="1:17" x14ac:dyDescent="0.4">
      <c r="A19" s="295"/>
      <c r="B19" s="295"/>
      <c r="C19" s="295"/>
      <c r="D19" s="295"/>
      <c r="E19" s="295"/>
      <c r="F19" s="295"/>
      <c r="G19" s="295"/>
      <c r="H19" s="295"/>
      <c r="I19" s="295"/>
      <c r="J19" s="295"/>
      <c r="K19" s="295"/>
      <c r="L19" s="295"/>
      <c r="M19" s="295"/>
      <c r="N19" s="295"/>
      <c r="O19" s="295"/>
      <c r="P19" s="295"/>
      <c r="Q19" s="295"/>
    </row>
    <row r="20" spans="1:17" x14ac:dyDescent="0.4">
      <c r="A20" s="295"/>
      <c r="B20" s="295"/>
      <c r="C20" s="295"/>
      <c r="D20" s="295"/>
      <c r="E20" s="295"/>
      <c r="F20" s="295"/>
      <c r="G20" s="295"/>
      <c r="H20" s="295"/>
      <c r="I20" s="295"/>
      <c r="J20" s="295"/>
      <c r="K20" s="295"/>
      <c r="L20" s="295"/>
      <c r="M20" s="295"/>
      <c r="N20" s="295"/>
      <c r="O20" s="295"/>
      <c r="P20" s="295"/>
      <c r="Q20" s="295"/>
    </row>
    <row r="21" spans="1:17" x14ac:dyDescent="0.4">
      <c r="A21" s="295"/>
      <c r="B21" s="295"/>
      <c r="C21" s="295"/>
      <c r="D21" s="295"/>
      <c r="E21" s="295"/>
      <c r="F21" s="295"/>
      <c r="G21" s="295"/>
      <c r="H21" s="295"/>
      <c r="I21" s="295"/>
      <c r="J21" s="295"/>
      <c r="K21" s="295"/>
      <c r="L21" s="295"/>
      <c r="M21" s="295"/>
      <c r="N21" s="295"/>
      <c r="O21" s="295"/>
      <c r="P21" s="295"/>
      <c r="Q21" s="295"/>
    </row>
    <row r="22" spans="1:17" x14ac:dyDescent="0.4">
      <c r="A22" s="295"/>
      <c r="B22" s="295"/>
      <c r="C22" s="295"/>
      <c r="D22" s="295"/>
      <c r="E22" s="295"/>
      <c r="F22" s="295"/>
      <c r="G22" s="295"/>
      <c r="H22" s="295"/>
      <c r="I22" s="295"/>
      <c r="J22" s="295"/>
      <c r="K22" s="295"/>
      <c r="L22" s="295"/>
      <c r="M22" s="295"/>
      <c r="N22" s="295"/>
      <c r="O22" s="295"/>
      <c r="P22" s="295"/>
      <c r="Q22" s="295"/>
    </row>
    <row r="23" spans="1:17" x14ac:dyDescent="0.4">
      <c r="A23" s="295"/>
      <c r="B23" s="295"/>
      <c r="C23" s="295"/>
      <c r="D23" s="295"/>
      <c r="E23" s="295"/>
      <c r="F23" s="295"/>
      <c r="G23" s="295"/>
      <c r="H23" s="295"/>
      <c r="I23" s="295"/>
      <c r="J23" s="295"/>
      <c r="K23" s="295"/>
      <c r="L23" s="295"/>
      <c r="M23" s="295"/>
      <c r="N23" s="295"/>
      <c r="O23" s="295"/>
      <c r="P23" s="295"/>
      <c r="Q23" s="295"/>
    </row>
    <row r="24" spans="1:17" x14ac:dyDescent="0.4">
      <c r="A24" s="295"/>
      <c r="B24" s="295"/>
      <c r="C24" s="295"/>
      <c r="D24" s="295"/>
      <c r="E24" s="295"/>
      <c r="F24" s="295"/>
      <c r="G24" s="295"/>
      <c r="H24" s="295"/>
      <c r="I24" s="295"/>
      <c r="J24" s="295"/>
      <c r="K24" s="295"/>
      <c r="L24" s="295"/>
      <c r="M24" s="295"/>
      <c r="N24" s="295"/>
      <c r="O24" s="295"/>
      <c r="P24" s="295"/>
      <c r="Q24" s="295"/>
    </row>
    <row r="25" spans="1:17" x14ac:dyDescent="0.4">
      <c r="A25" s="295"/>
      <c r="B25" s="295"/>
      <c r="C25" s="295"/>
      <c r="D25" s="295"/>
      <c r="E25" s="295"/>
      <c r="F25" s="295"/>
      <c r="G25" s="295"/>
      <c r="H25" s="295"/>
      <c r="I25" s="295"/>
      <c r="J25" s="295"/>
      <c r="K25" s="295"/>
      <c r="L25" s="295"/>
      <c r="M25" s="295"/>
      <c r="N25" s="295"/>
      <c r="O25" s="295"/>
      <c r="P25" s="295"/>
      <c r="Q25" s="295"/>
    </row>
    <row r="26" spans="1:17" x14ac:dyDescent="0.4">
      <c r="A26" s="295"/>
      <c r="B26" s="295"/>
      <c r="C26" s="295"/>
      <c r="D26" s="295"/>
      <c r="E26" s="295"/>
      <c r="F26" s="295"/>
      <c r="G26" s="295"/>
      <c r="H26" s="295"/>
      <c r="I26" s="295"/>
      <c r="J26" s="295"/>
      <c r="K26" s="295"/>
      <c r="L26" s="295"/>
      <c r="M26" s="295"/>
      <c r="N26" s="295"/>
      <c r="O26" s="295"/>
      <c r="P26" s="295"/>
      <c r="Q26" s="295"/>
    </row>
    <row r="27" spans="1:17" x14ac:dyDescent="0.4">
      <c r="A27" s="295"/>
      <c r="B27" s="295"/>
      <c r="C27" s="295"/>
      <c r="D27" s="295"/>
      <c r="E27" s="295"/>
      <c r="F27" s="295"/>
      <c r="G27" s="295"/>
      <c r="H27" s="295"/>
      <c r="I27" s="295"/>
      <c r="J27" s="295"/>
      <c r="K27" s="295"/>
      <c r="L27" s="295"/>
      <c r="M27" s="295"/>
      <c r="N27" s="295"/>
      <c r="O27" s="295"/>
      <c r="P27" s="295"/>
      <c r="Q27" s="295"/>
    </row>
    <row r="28" spans="1:17" x14ac:dyDescent="0.4">
      <c r="A28" s="295"/>
      <c r="B28" s="295"/>
      <c r="C28" s="295"/>
      <c r="D28" s="295"/>
      <c r="E28" s="295"/>
      <c r="F28" s="295"/>
      <c r="G28" s="295"/>
      <c r="H28" s="295"/>
      <c r="I28" s="295"/>
      <c r="J28" s="295"/>
      <c r="K28" s="295"/>
      <c r="L28" s="295"/>
      <c r="M28" s="295"/>
      <c r="N28" s="295"/>
      <c r="O28" s="295"/>
      <c r="P28" s="295"/>
      <c r="Q28" s="295"/>
    </row>
    <row r="29" spans="1:17" x14ac:dyDescent="0.4">
      <c r="A29" s="295"/>
      <c r="B29" s="295"/>
      <c r="C29" s="295"/>
      <c r="D29" s="295"/>
      <c r="E29" s="295"/>
      <c r="F29" s="295"/>
      <c r="G29" s="295"/>
      <c r="H29" s="295"/>
      <c r="I29" s="295"/>
      <c r="J29" s="295"/>
      <c r="K29" s="295"/>
      <c r="L29" s="295"/>
      <c r="M29" s="295"/>
      <c r="N29" s="295"/>
      <c r="O29" s="295"/>
      <c r="P29" s="295"/>
      <c r="Q29" s="295"/>
    </row>
    <row r="30" spans="1:17" x14ac:dyDescent="0.4">
      <c r="A30" s="295"/>
      <c r="B30" s="295"/>
      <c r="C30" s="295"/>
      <c r="D30" s="295"/>
      <c r="E30" s="295"/>
      <c r="F30" s="295"/>
      <c r="G30" s="295"/>
      <c r="H30" s="295"/>
      <c r="I30" s="295"/>
      <c r="J30" s="295"/>
      <c r="K30" s="295"/>
      <c r="L30" s="295"/>
      <c r="M30" s="295"/>
      <c r="N30" s="295"/>
      <c r="O30" s="295"/>
      <c r="P30" s="295"/>
      <c r="Q30" s="295"/>
    </row>
    <row r="31" spans="1:17" x14ac:dyDescent="0.4">
      <c r="A31" s="295"/>
      <c r="B31" s="295"/>
      <c r="C31" s="295"/>
      <c r="D31" s="295"/>
      <c r="E31" s="295"/>
      <c r="F31" s="295"/>
      <c r="G31" s="295"/>
      <c r="H31" s="295"/>
      <c r="I31" s="295"/>
      <c r="J31" s="295"/>
      <c r="K31" s="295"/>
      <c r="L31" s="295"/>
      <c r="M31" s="295"/>
      <c r="N31" s="295"/>
      <c r="O31" s="295"/>
      <c r="P31" s="295"/>
      <c r="Q31" s="295"/>
    </row>
    <row r="32" spans="1:17" x14ac:dyDescent="0.4">
      <c r="E32" s="293"/>
      <c r="F32" s="293" t="s">
        <v>781</v>
      </c>
      <c r="G32" s="293" t="s">
        <v>782</v>
      </c>
    </row>
    <row r="33" spans="5:7" x14ac:dyDescent="0.4">
      <c r="E33" s="293" t="s">
        <v>780</v>
      </c>
      <c r="F33" s="294">
        <f>H4</f>
        <v>4.8848484848484839</v>
      </c>
      <c r="G33" s="294">
        <f>H5</f>
        <v>4.6545454545454543</v>
      </c>
    </row>
    <row r="34" spans="5:7" x14ac:dyDescent="0.4">
      <c r="E34" s="293" t="s">
        <v>783</v>
      </c>
      <c r="F34" s="294">
        <f>H8</f>
        <v>0.99619047619047629</v>
      </c>
      <c r="G34" s="294">
        <f>H9</f>
        <v>0.96363636363636362</v>
      </c>
    </row>
  </sheetData>
  <phoneticPr fontId="2"/>
  <pageMargins left="0.7" right="0.7" top="0.75" bottom="0.75" header="0.3" footer="0.3"/>
  <pageSetup paperSize="9" scale="36"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A8E0-CDBE-42C1-B600-AF4B14F4DB81}">
  <dimension ref="A1:N19"/>
  <sheetViews>
    <sheetView view="pageBreakPreview" zoomScale="85" zoomScaleNormal="85" zoomScaleSheetLayoutView="85" workbookViewId="0"/>
  </sheetViews>
  <sheetFormatPr defaultColWidth="8.75" defaultRowHeight="18.75" x14ac:dyDescent="0.4"/>
  <cols>
    <col min="1" max="1" width="31.75" style="295" bestFit="1" customWidth="1"/>
    <col min="2" max="4" width="8.75" style="295"/>
    <col min="5" max="13" width="10" style="295" customWidth="1"/>
    <col min="14" max="16384" width="8.75" style="295"/>
  </cols>
  <sheetData>
    <row r="1" spans="1:14" x14ac:dyDescent="0.4">
      <c r="A1" s="307" t="s">
        <v>836</v>
      </c>
    </row>
    <row r="2" spans="1:14" x14ac:dyDescent="0.4">
      <c r="A2" s="213" t="s">
        <v>837</v>
      </c>
      <c r="B2" s="213" t="s">
        <v>354</v>
      </c>
      <c r="C2" s="213" t="s">
        <v>355</v>
      </c>
      <c r="D2" s="213" t="s">
        <v>356</v>
      </c>
      <c r="E2" s="213" t="s">
        <v>357</v>
      </c>
      <c r="F2" s="213" t="s">
        <v>358</v>
      </c>
      <c r="G2" s="213" t="s">
        <v>359</v>
      </c>
      <c r="H2" s="213" t="s">
        <v>360</v>
      </c>
      <c r="I2" s="213" t="s">
        <v>361</v>
      </c>
      <c r="J2" s="213" t="s">
        <v>362</v>
      </c>
      <c r="K2" s="213" t="s">
        <v>363</v>
      </c>
      <c r="L2" s="213" t="s">
        <v>364</v>
      </c>
      <c r="M2" s="213" t="s">
        <v>365</v>
      </c>
    </row>
    <row r="3" spans="1:14" x14ac:dyDescent="0.4">
      <c r="A3" s="304" t="s">
        <v>856</v>
      </c>
      <c r="B3" s="310"/>
      <c r="C3" s="310"/>
      <c r="D3" s="310"/>
      <c r="E3" s="309">
        <v>21</v>
      </c>
      <c r="F3" s="320">
        <v>14</v>
      </c>
      <c r="G3" s="215">
        <v>15</v>
      </c>
      <c r="H3" s="215"/>
      <c r="I3" s="215"/>
      <c r="J3" s="215"/>
      <c r="K3" s="215"/>
      <c r="L3" s="215"/>
      <c r="M3" s="215"/>
      <c r="N3" s="295" t="s">
        <v>225</v>
      </c>
    </row>
    <row r="4" spans="1:14" x14ac:dyDescent="0.4">
      <c r="A4" s="305" t="s">
        <v>841</v>
      </c>
      <c r="B4" s="311"/>
      <c r="C4" s="311"/>
      <c r="D4" s="311"/>
      <c r="E4" s="314">
        <v>1350</v>
      </c>
      <c r="F4" s="218">
        <v>1050</v>
      </c>
      <c r="G4" s="218">
        <v>1305</v>
      </c>
      <c r="H4" s="218"/>
      <c r="I4" s="218"/>
      <c r="J4" s="218"/>
      <c r="K4" s="218"/>
      <c r="L4" s="218"/>
      <c r="M4" s="218"/>
      <c r="N4" s="319" t="s">
        <v>853</v>
      </c>
    </row>
    <row r="5" spans="1:14" x14ac:dyDescent="0.4">
      <c r="A5" s="306" t="s">
        <v>846</v>
      </c>
      <c r="B5" s="312"/>
      <c r="C5" s="312"/>
      <c r="D5" s="312"/>
      <c r="E5" s="315">
        <v>787.25</v>
      </c>
      <c r="F5" s="317">
        <v>667.25</v>
      </c>
      <c r="G5" s="317">
        <v>719</v>
      </c>
      <c r="H5" s="303"/>
      <c r="I5" s="303"/>
      <c r="J5" s="303"/>
      <c r="K5" s="303"/>
      <c r="L5" s="303"/>
      <c r="M5" s="303"/>
      <c r="N5" s="319" t="s">
        <v>853</v>
      </c>
    </row>
    <row r="6" spans="1:14" x14ac:dyDescent="0.4">
      <c r="A6" s="305" t="s">
        <v>842</v>
      </c>
      <c r="B6" s="311"/>
      <c r="C6" s="311"/>
      <c r="D6" s="311"/>
      <c r="E6" s="315">
        <v>562.75</v>
      </c>
      <c r="F6" s="218">
        <v>382.75</v>
      </c>
      <c r="G6" s="218">
        <v>586</v>
      </c>
      <c r="H6" s="218"/>
      <c r="I6" s="218"/>
      <c r="J6" s="218"/>
      <c r="K6" s="218"/>
      <c r="L6" s="218"/>
      <c r="M6" s="218"/>
      <c r="N6" s="319" t="s">
        <v>853</v>
      </c>
    </row>
    <row r="7" spans="1:14" x14ac:dyDescent="0.4">
      <c r="A7" s="306" t="s">
        <v>847</v>
      </c>
      <c r="B7" s="312"/>
      <c r="C7" s="312"/>
      <c r="D7" s="312"/>
      <c r="E7" s="315">
        <v>3.5171874999999999</v>
      </c>
      <c r="F7" s="317">
        <v>2.5516666666666667</v>
      </c>
      <c r="G7" s="317">
        <v>3.9066666666666667</v>
      </c>
      <c r="H7" s="303"/>
      <c r="I7" s="303"/>
      <c r="J7" s="303"/>
      <c r="K7" s="303"/>
      <c r="L7" s="303"/>
      <c r="M7" s="303"/>
      <c r="N7" s="319" t="s">
        <v>854</v>
      </c>
    </row>
    <row r="8" spans="1:14" x14ac:dyDescent="0.4">
      <c r="A8" s="306" t="s">
        <v>843</v>
      </c>
      <c r="B8" s="312"/>
      <c r="C8" s="312"/>
      <c r="D8" s="312"/>
      <c r="E8" s="308">
        <v>0.48054290947148087</v>
      </c>
      <c r="F8" s="316">
        <v>0.29716551538310798</v>
      </c>
      <c r="G8" s="316">
        <v>0.31171454554043843</v>
      </c>
      <c r="H8" s="303"/>
      <c r="I8" s="303"/>
      <c r="J8" s="303"/>
      <c r="K8" s="303"/>
      <c r="L8" s="303"/>
      <c r="M8" s="303"/>
      <c r="N8" s="319" t="s">
        <v>855</v>
      </c>
    </row>
    <row r="9" spans="1:14" x14ac:dyDescent="0.4">
      <c r="A9" s="303" t="s">
        <v>844</v>
      </c>
      <c r="B9" s="312"/>
      <c r="C9" s="312"/>
      <c r="D9" s="312"/>
      <c r="E9" s="308">
        <v>0.74285714285714299</v>
      </c>
      <c r="F9" s="316">
        <v>0.73928571428571421</v>
      </c>
      <c r="G9" s="316">
        <v>0.73928571428571421</v>
      </c>
      <c r="H9" s="303"/>
      <c r="I9" s="303"/>
      <c r="J9" s="303"/>
      <c r="K9" s="303"/>
      <c r="L9" s="303"/>
      <c r="M9" s="303"/>
      <c r="N9" s="319" t="s">
        <v>855</v>
      </c>
    </row>
    <row r="10" spans="1:14" x14ac:dyDescent="0.4">
      <c r="A10" s="303" t="s">
        <v>845</v>
      </c>
      <c r="B10" s="312"/>
      <c r="C10" s="312"/>
      <c r="D10" s="312"/>
      <c r="E10" s="308">
        <v>0.92476190476190467</v>
      </c>
      <c r="F10" s="316">
        <v>0.9257142857142856</v>
      </c>
      <c r="G10" s="316">
        <v>0.9257142857142856</v>
      </c>
      <c r="H10" s="303"/>
      <c r="I10" s="303"/>
      <c r="J10" s="303"/>
      <c r="K10" s="303"/>
      <c r="L10" s="303"/>
      <c r="M10" s="303"/>
      <c r="N10" s="319" t="s">
        <v>855</v>
      </c>
    </row>
    <row r="11" spans="1:14" x14ac:dyDescent="0.4">
      <c r="A11" s="303" t="s">
        <v>838</v>
      </c>
      <c r="B11" s="312"/>
      <c r="C11" s="312"/>
      <c r="D11" s="312"/>
      <c r="E11" s="313">
        <v>0.71483010479517306</v>
      </c>
      <c r="F11" s="316">
        <v>0.57362307980517047</v>
      </c>
      <c r="G11" s="316">
        <v>0.81502086230876214</v>
      </c>
      <c r="H11" s="303"/>
      <c r="I11" s="303"/>
      <c r="J11" s="303"/>
      <c r="K11" s="303"/>
      <c r="L11" s="303"/>
      <c r="M11" s="303"/>
      <c r="N11" s="319" t="s">
        <v>855</v>
      </c>
    </row>
    <row r="12" spans="1:14" x14ac:dyDescent="0.4">
      <c r="A12" s="303" t="s">
        <v>839</v>
      </c>
      <c r="B12" s="312"/>
      <c r="C12" s="312"/>
      <c r="D12" s="312"/>
      <c r="E12" s="313">
        <v>0.41685185185185186</v>
      </c>
      <c r="F12" s="316">
        <v>0.36452380952380953</v>
      </c>
      <c r="G12" s="316">
        <v>0.44904214559386973</v>
      </c>
      <c r="H12" s="303"/>
      <c r="I12" s="303"/>
      <c r="J12" s="303"/>
      <c r="K12" s="303"/>
      <c r="L12" s="303"/>
      <c r="M12" s="303"/>
      <c r="N12" s="319" t="s">
        <v>855</v>
      </c>
    </row>
    <row r="13" spans="1:14" x14ac:dyDescent="0.4">
      <c r="A13" s="303" t="s">
        <v>840</v>
      </c>
      <c r="B13" s="312"/>
      <c r="C13" s="312"/>
      <c r="D13" s="312"/>
      <c r="E13" s="313">
        <v>0.24487179487179453</v>
      </c>
      <c r="F13" s="316">
        <v>0.25217391304347825</v>
      </c>
      <c r="G13" s="316">
        <v>0.25217391304347825</v>
      </c>
      <c r="H13" s="303"/>
      <c r="I13" s="303"/>
      <c r="J13" s="303"/>
      <c r="K13" s="303"/>
      <c r="L13" s="303"/>
      <c r="M13" s="303"/>
      <c r="N13" s="319" t="s">
        <v>855</v>
      </c>
    </row>
    <row r="14" spans="1:14" x14ac:dyDescent="0.4">
      <c r="A14" s="303" t="s">
        <v>849</v>
      </c>
      <c r="B14" s="312"/>
      <c r="C14" s="312"/>
      <c r="D14" s="312"/>
      <c r="E14" s="318">
        <v>5</v>
      </c>
      <c r="F14" s="317">
        <v>5</v>
      </c>
      <c r="G14" s="317">
        <v>5</v>
      </c>
      <c r="H14" s="303"/>
      <c r="I14" s="303"/>
      <c r="J14" s="303"/>
      <c r="K14" s="303"/>
      <c r="L14" s="303"/>
      <c r="M14" s="303"/>
      <c r="N14" s="319" t="s">
        <v>854</v>
      </c>
    </row>
    <row r="15" spans="1:14" x14ac:dyDescent="0.4">
      <c r="A15" s="303" t="s">
        <v>850</v>
      </c>
      <c r="B15" s="312"/>
      <c r="C15" s="312"/>
      <c r="D15" s="312"/>
      <c r="E15" s="318">
        <v>9.0000000000000018</v>
      </c>
      <c r="F15" s="317">
        <v>7.0000000000000009</v>
      </c>
      <c r="G15" s="317">
        <v>8.7000000000000011</v>
      </c>
      <c r="H15" s="303"/>
      <c r="I15" s="303"/>
      <c r="J15" s="303"/>
      <c r="K15" s="303"/>
      <c r="L15" s="303"/>
      <c r="M15" s="303"/>
      <c r="N15" s="319" t="s">
        <v>854</v>
      </c>
    </row>
    <row r="16" spans="1:14" x14ac:dyDescent="0.4">
      <c r="A16" s="303" t="s">
        <v>851</v>
      </c>
      <c r="B16" s="312"/>
      <c r="C16" s="312"/>
      <c r="D16" s="312"/>
      <c r="E16" s="318">
        <v>4.0000000000000018</v>
      </c>
      <c r="F16" s="317">
        <v>2.0000000000000009</v>
      </c>
      <c r="G16" s="317">
        <v>3.7000000000000011</v>
      </c>
      <c r="H16" s="303"/>
      <c r="I16" s="303"/>
      <c r="J16" s="303"/>
      <c r="K16" s="303"/>
      <c r="L16" s="303"/>
      <c r="M16" s="303"/>
      <c r="N16" s="319" t="s">
        <v>854</v>
      </c>
    </row>
    <row r="17" spans="1:14" x14ac:dyDescent="0.4">
      <c r="A17" s="303" t="s">
        <v>852</v>
      </c>
      <c r="B17" s="312"/>
      <c r="C17" s="312"/>
      <c r="D17" s="312"/>
      <c r="E17" s="318">
        <v>3.5171874999999999</v>
      </c>
      <c r="F17" s="317">
        <v>2.5516666666666667</v>
      </c>
      <c r="G17" s="317">
        <v>3.9066666666666667</v>
      </c>
      <c r="H17" s="303"/>
      <c r="I17" s="303"/>
      <c r="J17" s="303"/>
      <c r="K17" s="303"/>
      <c r="L17" s="303"/>
      <c r="M17" s="303"/>
      <c r="N17" s="319" t="s">
        <v>854</v>
      </c>
    </row>
    <row r="18" spans="1:14" x14ac:dyDescent="0.4">
      <c r="A18" s="303" t="s">
        <v>848</v>
      </c>
      <c r="B18" s="312"/>
      <c r="C18" s="312"/>
      <c r="D18" s="312"/>
      <c r="E18" s="313">
        <v>0.87929687499999998</v>
      </c>
      <c r="F18" s="316">
        <v>1.2758333333333327</v>
      </c>
      <c r="G18" s="316">
        <v>1.0558558558558555</v>
      </c>
      <c r="H18" s="303"/>
      <c r="I18" s="303"/>
      <c r="J18" s="303"/>
      <c r="K18" s="303"/>
      <c r="L18" s="303"/>
      <c r="M18" s="303"/>
      <c r="N18" s="319" t="s">
        <v>855</v>
      </c>
    </row>
    <row r="19" spans="1:14" x14ac:dyDescent="0.4">
      <c r="A19" s="321" t="s">
        <v>857</v>
      </c>
    </row>
  </sheetData>
  <phoneticPr fontId="2"/>
  <pageMargins left="0.7" right="0.7" top="0.75" bottom="0.75" header="0.3" footer="0.3"/>
  <pageSetup paperSize="9" scale="51"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B13"/>
  <sheetViews>
    <sheetView workbookViewId="0"/>
  </sheetViews>
  <sheetFormatPr defaultRowHeight="18.75" x14ac:dyDescent="0.4"/>
  <sheetData>
    <row r="1" spans="2:2" x14ac:dyDescent="0.4">
      <c r="B1" t="s">
        <v>16</v>
      </c>
    </row>
    <row r="2" spans="2:2" x14ac:dyDescent="0.4">
      <c r="B2" t="s">
        <v>10</v>
      </c>
    </row>
    <row r="3" spans="2:2" x14ac:dyDescent="0.4">
      <c r="B3" t="s">
        <v>11</v>
      </c>
    </row>
    <row r="4" spans="2:2" x14ac:dyDescent="0.4">
      <c r="B4" t="s">
        <v>12</v>
      </c>
    </row>
    <row r="5" spans="2:2" x14ac:dyDescent="0.4">
      <c r="B5" t="s">
        <v>13</v>
      </c>
    </row>
    <row r="6" spans="2:2" x14ac:dyDescent="0.4">
      <c r="B6" t="s">
        <v>28</v>
      </c>
    </row>
    <row r="7" spans="2:2" x14ac:dyDescent="0.4">
      <c r="B7" t="s">
        <v>15</v>
      </c>
    </row>
    <row r="9" spans="2:2" x14ac:dyDescent="0.4">
      <c r="B9" t="s">
        <v>44</v>
      </c>
    </row>
    <row r="10" spans="2:2" x14ac:dyDescent="0.4">
      <c r="B10" t="s">
        <v>45</v>
      </c>
    </row>
    <row r="11" spans="2:2" x14ac:dyDescent="0.4">
      <c r="B11" t="s">
        <v>46</v>
      </c>
    </row>
    <row r="12" spans="2:2" x14ac:dyDescent="0.4">
      <c r="B12" t="s">
        <v>48</v>
      </c>
    </row>
    <row r="13" spans="2:2" x14ac:dyDescent="0.4">
      <c r="B13" t="s">
        <v>47</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5</vt:i4>
      </vt:variant>
    </vt:vector>
  </HeadingPairs>
  <TitlesOfParts>
    <vt:vector size="14" baseType="lpstr">
      <vt:lpstr>説明</vt:lpstr>
      <vt:lpstr>案件．要員情報まとめ</vt:lpstr>
      <vt:lpstr>案件．要員情報</vt:lpstr>
      <vt:lpstr>週次報告</vt:lpstr>
      <vt:lpstr>休暇</vt:lpstr>
      <vt:lpstr>祝日</vt:lpstr>
      <vt:lpstr>DIRタスク対応の人月まとめ</vt:lpstr>
      <vt:lpstr>AI活用PoC結果推移</vt:lpstr>
      <vt:lpstr>Not Available</vt:lpstr>
      <vt:lpstr>Division</vt:lpstr>
      <vt:lpstr>AI活用PoC結果推移!Print_Area</vt:lpstr>
      <vt:lpstr>DIRタスク対応の人月まとめ!Print_Area</vt:lpstr>
      <vt:lpstr>案件．要員情報まとめ!Status</vt:lpstr>
      <vt:lpstr>Status</vt:lpstr>
    </vt:vector>
  </TitlesOfParts>
  <Company>Daiwa Institute of Research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チーそーウィン/DIR-BI金融システム開発第一部</dc:creator>
  <cp:lastModifiedBy>ティンザー アウン/DIR金融フロントシステム第一部</cp:lastModifiedBy>
  <dcterms:created xsi:type="dcterms:W3CDTF">2020-02-26T11:03:32Z</dcterms:created>
  <dcterms:modified xsi:type="dcterms:W3CDTF">2026-10-07T13:48:42Z</dcterms:modified>
</cp:coreProperties>
</file>